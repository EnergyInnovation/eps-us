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BEbIC\"/>
    </mc:Choice>
  </mc:AlternateContent>
  <xr:revisionPtr revIDLastSave="0" documentId="11_C6238454A7BEC5EC6CF4E5368B5B9E6FD79B6F5F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BLS Employment" sheetId="2" r:id="rId2"/>
    <sheet name="BLS 2.11 ag excerpt" sheetId="3" r:id="rId3"/>
    <sheet name="BLS Table 2.11" sheetId="4" r:id="rId4"/>
    <sheet name="AEO25 Table 23" sheetId="5" r:id="rId5"/>
    <sheet name="AEO 2026 Table 23 " sheetId="6" r:id="rId6"/>
    <sheet name="g2025 derivation" sheetId="7" r:id="rId7"/>
    <sheet name="OECD Mining &amp; Utilities" sheetId="8" r:id="rId8"/>
    <sheet name="OECD Manufacturing" sheetId="9" r:id="rId9"/>
    <sheet name="OECD Construction" sheetId="10" r:id="rId10"/>
    <sheet name="OECD Transport Retail Food" sheetId="11" r:id="rId11"/>
    <sheet name="OECD Info Comms" sheetId="12" r:id="rId12"/>
    <sheet name="OECD Finance Insurance" sheetId="13" r:id="rId13"/>
    <sheet name="OECD Prof Tech Admin" sheetId="14" r:id="rId14"/>
    <sheet name="2025 projection" sheetId="15" r:id="rId15"/>
    <sheet name="Checks" sheetId="16" r:id="rId16"/>
    <sheet name="BEbIC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6" l="1"/>
  <c r="C15" i="16" s="1"/>
  <c r="B14" i="16"/>
  <c r="B13" i="16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U6" i="7"/>
  <c r="AU3" i="15" s="1"/>
  <c r="AU5" i="15" s="1"/>
  <c r="AT6" i="7"/>
  <c r="AT3" i="15" s="1"/>
  <c r="AT5" i="15" s="1"/>
  <c r="AS6" i="7"/>
  <c r="AS3" i="15" s="1"/>
  <c r="AS5" i="15" s="1"/>
  <c r="AK2" i="17" s="1"/>
  <c r="AR6" i="7"/>
  <c r="AR3" i="15" s="1"/>
  <c r="AR5" i="15" s="1"/>
  <c r="AJ2" i="17" s="1"/>
  <c r="AQ6" i="7"/>
  <c r="AQ3" i="15" s="1"/>
  <c r="AQ5" i="15" s="1"/>
  <c r="AI2" i="17" s="1"/>
  <c r="AP6" i="7"/>
  <c r="AP3" i="15" s="1"/>
  <c r="AP5" i="15" s="1"/>
  <c r="AH2" i="17" s="1"/>
  <c r="AO6" i="7"/>
  <c r="AO3" i="15" s="1"/>
  <c r="AO5" i="15" s="1"/>
  <c r="AG2" i="17" s="1"/>
  <c r="AN6" i="7"/>
  <c r="AN3" i="15" s="1"/>
  <c r="AN5" i="15" s="1"/>
  <c r="AF2" i="17" s="1"/>
  <c r="Y6" i="7"/>
  <c r="Y3" i="15" s="1"/>
  <c r="Y5" i="15" s="1"/>
  <c r="V2" i="17" s="1"/>
  <c r="X6" i="7"/>
  <c r="X3" i="15" s="1"/>
  <c r="X5" i="15" s="1"/>
  <c r="U2" i="17" s="1"/>
  <c r="W6" i="7"/>
  <c r="W3" i="15" s="1"/>
  <c r="W5" i="15" s="1"/>
  <c r="T2" i="17" s="1"/>
  <c r="V6" i="7"/>
  <c r="V3" i="15" s="1"/>
  <c r="V5" i="15" s="1"/>
  <c r="S2" i="17" s="1"/>
  <c r="U6" i="7"/>
  <c r="U3" i="15" s="1"/>
  <c r="U5" i="15" s="1"/>
  <c r="R2" i="17" s="1"/>
  <c r="T6" i="7"/>
  <c r="T3" i="15" s="1"/>
  <c r="T5" i="15" s="1"/>
  <c r="Q2" i="17" s="1"/>
  <c r="S6" i="7"/>
  <c r="S3" i="15" s="1"/>
  <c r="S5" i="15" s="1"/>
  <c r="P2" i="17" s="1"/>
  <c r="R6" i="7"/>
  <c r="R3" i="15" s="1"/>
  <c r="R5" i="15" s="1"/>
  <c r="O2" i="17" s="1"/>
  <c r="C6" i="7"/>
  <c r="C3" i="15" s="1"/>
  <c r="B6" i="7"/>
  <c r="B3" i="15" s="1"/>
  <c r="BA5" i="7"/>
  <c r="BA6" i="7" s="1"/>
  <c r="BA3" i="15" s="1"/>
  <c r="BA5" i="15" s="1"/>
  <c r="AQ2" i="17" s="1"/>
  <c r="AZ5" i="7"/>
  <c r="AZ6" i="7" s="1"/>
  <c r="AZ3" i="15" s="1"/>
  <c r="AZ5" i="15" s="1"/>
  <c r="AY5" i="7"/>
  <c r="AY6" i="7" s="1"/>
  <c r="AY3" i="15" s="1"/>
  <c r="AY5" i="15" s="1"/>
  <c r="AP2" i="17" s="1"/>
  <c r="AX5" i="7"/>
  <c r="AX6" i="7" s="1"/>
  <c r="AX3" i="15" s="1"/>
  <c r="AX5" i="15" s="1"/>
  <c r="AO2" i="17" s="1"/>
  <c r="AW5" i="7"/>
  <c r="AW6" i="7" s="1"/>
  <c r="AW3" i="15" s="1"/>
  <c r="AW5" i="15" s="1"/>
  <c r="AN2" i="17" s="1"/>
  <c r="AV5" i="7"/>
  <c r="AV6" i="7" s="1"/>
  <c r="AV3" i="15" s="1"/>
  <c r="AV5" i="15" s="1"/>
  <c r="AM2" i="17" s="1"/>
  <c r="AU5" i="7"/>
  <c r="AT5" i="7"/>
  <c r="AS5" i="7"/>
  <c r="AR5" i="7"/>
  <c r="AQ5" i="7"/>
  <c r="AP5" i="7"/>
  <c r="AO5" i="7"/>
  <c r="AN5" i="7"/>
  <c r="AM5" i="7"/>
  <c r="AM6" i="7" s="1"/>
  <c r="AM3" i="15" s="1"/>
  <c r="AM5" i="15" s="1"/>
  <c r="AL5" i="7"/>
  <c r="AL6" i="7" s="1"/>
  <c r="AL3" i="15" s="1"/>
  <c r="AK5" i="7"/>
  <c r="AK6" i="7" s="1"/>
  <c r="AK3" i="15" s="1"/>
  <c r="AJ5" i="7"/>
  <c r="AJ6" i="7" s="1"/>
  <c r="AJ3" i="15" s="1"/>
  <c r="AI5" i="7"/>
  <c r="AI6" i="7" s="1"/>
  <c r="AI3" i="15" s="1"/>
  <c r="AH5" i="7"/>
  <c r="AH6" i="7" s="1"/>
  <c r="AH3" i="15" s="1"/>
  <c r="AH5" i="15" s="1"/>
  <c r="AD2" i="17" s="1"/>
  <c r="AG5" i="7"/>
  <c r="AG6" i="7" s="1"/>
  <c r="AG3" i="15" s="1"/>
  <c r="AG5" i="15" s="1"/>
  <c r="AC2" i="17" s="1"/>
  <c r="AF5" i="7"/>
  <c r="AF6" i="7" s="1"/>
  <c r="AF3" i="15" s="1"/>
  <c r="AF5" i="15" s="1"/>
  <c r="AB2" i="17" s="1"/>
  <c r="AE5" i="7"/>
  <c r="AE6" i="7" s="1"/>
  <c r="AE3" i="15" s="1"/>
  <c r="AD5" i="7"/>
  <c r="AD6" i="7" s="1"/>
  <c r="AD3" i="15" s="1"/>
  <c r="AD5" i="15" s="1"/>
  <c r="Z2" i="17" s="1"/>
  <c r="AC5" i="7"/>
  <c r="AC6" i="7" s="1"/>
  <c r="AC3" i="15" s="1"/>
  <c r="AC5" i="15" s="1"/>
  <c r="Y2" i="17" s="1"/>
  <c r="AB5" i="7"/>
  <c r="AB6" i="7" s="1"/>
  <c r="AB3" i="15" s="1"/>
  <c r="AB5" i="15" s="1"/>
  <c r="AA5" i="7"/>
  <c r="AA6" i="7" s="1"/>
  <c r="AA3" i="15" s="1"/>
  <c r="AA5" i="15" s="1"/>
  <c r="X2" i="17" s="1"/>
  <c r="Z5" i="7"/>
  <c r="Z6" i="7" s="1"/>
  <c r="Z3" i="15" s="1"/>
  <c r="Z5" i="15" s="1"/>
  <c r="W2" i="17" s="1"/>
  <c r="Y5" i="7"/>
  <c r="X5" i="7"/>
  <c r="W5" i="7"/>
  <c r="V5" i="7"/>
  <c r="U5" i="7"/>
  <c r="T5" i="7"/>
  <c r="S5" i="7"/>
  <c r="R5" i="7"/>
  <c r="Q5" i="7"/>
  <c r="Q6" i="7" s="1"/>
  <c r="Q3" i="15" s="1"/>
  <c r="Q5" i="15" s="1"/>
  <c r="N2" i="17" s="1"/>
  <c r="P5" i="7"/>
  <c r="P6" i="7" s="1"/>
  <c r="P3" i="15" s="1"/>
  <c r="P5" i="15" s="1"/>
  <c r="M2" i="17" s="1"/>
  <c r="O5" i="7"/>
  <c r="O6" i="7" s="1"/>
  <c r="O3" i="15" s="1"/>
  <c r="O5" i="15" s="1"/>
  <c r="L2" i="17" s="1"/>
  <c r="N5" i="7"/>
  <c r="N6" i="7" s="1"/>
  <c r="N3" i="15" s="1"/>
  <c r="N5" i="15" s="1"/>
  <c r="K2" i="17" s="1"/>
  <c r="M5" i="7"/>
  <c r="M6" i="7" s="1"/>
  <c r="M3" i="15" s="1"/>
  <c r="M5" i="15" s="1"/>
  <c r="J2" i="17" s="1"/>
  <c r="L5" i="7"/>
  <c r="L6" i="7" s="1"/>
  <c r="L3" i="15" s="1"/>
  <c r="L5" i="15" s="1"/>
  <c r="I2" i="17" s="1"/>
  <c r="K5" i="7"/>
  <c r="K6" i="7" s="1"/>
  <c r="K3" i="15" s="1"/>
  <c r="K5" i="15" s="1"/>
  <c r="H2" i="17" s="1"/>
  <c r="J5" i="7"/>
  <c r="J6" i="7" s="1"/>
  <c r="J3" i="15" s="1"/>
  <c r="J5" i="15" s="1"/>
  <c r="G2" i="17" s="1"/>
  <c r="I5" i="7"/>
  <c r="I6" i="7" s="1"/>
  <c r="I3" i="15" s="1"/>
  <c r="I5" i="15" s="1"/>
  <c r="F2" i="17" s="1"/>
  <c r="H5" i="7"/>
  <c r="H6" i="7" s="1"/>
  <c r="H3" i="15" s="1"/>
  <c r="H5" i="15" s="1"/>
  <c r="G5" i="7"/>
  <c r="G6" i="7" s="1"/>
  <c r="G3" i="15" s="1"/>
  <c r="G5" i="15" s="1"/>
  <c r="E2" i="17" s="1"/>
  <c r="F5" i="7"/>
  <c r="F6" i="7" s="1"/>
  <c r="F3" i="15" s="1"/>
  <c r="F5" i="15" s="1"/>
  <c r="D2" i="17" s="1"/>
  <c r="E5" i="7"/>
  <c r="E6" i="7" s="1"/>
  <c r="E3" i="15" s="1"/>
  <c r="E5" i="15" s="1"/>
  <c r="C2" i="17" s="1"/>
  <c r="D5" i="7"/>
  <c r="D6" i="7" s="1"/>
  <c r="D3" i="15" s="1"/>
  <c r="C5" i="7"/>
  <c r="B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B28" i="3"/>
  <c r="B27" i="3"/>
  <c r="B26" i="3"/>
  <c r="B25" i="3"/>
  <c r="AK5" i="15" s="1"/>
  <c r="B24" i="3"/>
  <c r="AJ5" i="15" s="1"/>
  <c r="B23" i="3"/>
  <c r="AI5" i="15" s="1"/>
  <c r="B11" i="3"/>
  <c r="B10" i="3"/>
  <c r="C5" i="15" s="1"/>
  <c r="B9" i="3"/>
  <c r="B5" i="15" s="1"/>
  <c r="AL2" i="17" l="1"/>
  <c r="D5" i="15"/>
  <c r="B2" i="17" s="1"/>
  <c r="AL5" i="15"/>
  <c r="AE2" i="17" s="1"/>
  <c r="AE5" i="15"/>
  <c r="AA2" i="17" s="1"/>
  <c r="B4" i="16"/>
  <c r="C4" i="16" s="1"/>
  <c r="B10" i="16" l="1"/>
  <c r="C10" i="16" s="1"/>
  <c r="B7" i="16"/>
</calcChain>
</file>

<file path=xl/sharedStrings.xml><?xml version="1.0" encoding="utf-8"?>
<sst xmlns="http://schemas.openxmlformats.org/spreadsheetml/2006/main" count="6610" uniqueCount="2298">
  <si>
    <t>BEbIC BAU Employment by ISIC Code</t>
  </si>
  <si>
    <t>Sources:</t>
  </si>
  <si>
    <t>Nonfarm employment by industry (2024)</t>
  </si>
  <si>
    <t>U.S. Bureau of Labor Statistics</t>
  </si>
  <si>
    <t>Current Employment Statistics, Table B-1a</t>
  </si>
  <si>
    <t>https://www.bls.gov/ces/data/employment-and-earnings/2024/table1a_2024</t>
  </si>
  <si>
    <t>Tab 'BLS Employment', pasted verbatim from the stock workbook including its hand-split blocks. Column A holds the editable 52-code ISIC assignment; rows under the six split parents are re-labeled to their 52-code children by NAICS (column C). NAICS 5415 computer systems design -&gt; ISIC 62T63 (consistent deviation).</t>
  </si>
  <si>
    <t>Farm-sector employment (incl. self-employed)</t>
  </si>
  <si>
    <t>CPS, Table cpsaat15 (cell B5 of the BLS Employment tab)</t>
  </si>
  <si>
    <t>https://www.bls.gov/cps/cpsaat15.htm</t>
  </si>
  <si>
    <t>Added to agriculture and split ISIC 01/02/03 by BLS Table 2.11 matrix shares — tab 'BLS 2.11 ag excerpt'.</t>
  </si>
  <si>
    <t>Private household employment</t>
  </si>
  <si>
    <t>IPUMS SDA (2024 ACS)</t>
  </si>
  <si>
    <t>empstat x ind crosstab (cell B9 of the BLS Employment tab)</t>
  </si>
  <si>
    <t>https://sda.usa.ipums.org/sdaweb/analysis/?dataset=all_usa_samples</t>
  </si>
  <si>
    <t>Added to ISIC 97T98.</t>
  </si>
  <si>
    <t>Notes:</t>
  </si>
  <si>
    <t>42 vs 52</t>
  </si>
  <si>
    <t>This is the 42-code build (six OECD-native parents un-split). The calculation layer runs at 52 codes because the 2025 employment growth factor (1+g2025)/(1+LP) differs across the sub-codes within each collapsed parent; applying growth at 52 then summing is the correct result. See the '2025 projection' tab: row 5 = per-52-code 2025 employment, row 6 = 42-code parent, and the BEbIC tab sums row 5 by row 6.</t>
  </si>
  <si>
    <t>Pipeline</t>
  </si>
  <si>
    <t>486000 pipeline-transport employment is assigned to ISIC 352T353 (energy pipelines &amp; gas processing), not the land-transport bucket. 352T353 is not a collapsed parent, so it stays put; the transport children collapse to 49T53 without pipeline.</t>
  </si>
  <si>
    <t>Export</t>
  </si>
  <si>
    <t>BEbIC.csv = tab BEbIC values; canonical 42-code column order (positional Vensim read).</t>
  </si>
  <si>
    <t>Other data</t>
  </si>
  <si>
    <t>ISIC 01T03</t>
  </si>
  <si>
    <t>agriculture and related activities</t>
  </si>
  <si>
    <t>accessed 1/8/26</t>
  </si>
  <si>
    <t>ISIC 97T98</t>
  </si>
  <si>
    <t>private households</t>
  </si>
  <si>
    <t>Data split to assign to proper EPS ISIC Categories</t>
  </si>
  <si>
    <t>uses gross output data from io-model/BObIC</t>
  </si>
  <si>
    <t>Other miscellaneous nondurable goods manufacturing(1)</t>
  </si>
  <si>
    <t>3122,60</t>
  </si>
  <si>
    <t>-</t>
  </si>
  <si>
    <t>Tobacco manufacturing</t>
  </si>
  <si>
    <t>ISIC 10T12</t>
  </si>
  <si>
    <t>Leather and allied product manufacturing</t>
  </si>
  <si>
    <t>ISIC 13T15</t>
  </si>
  <si>
    <t>Asphalt paving, roofing, saturated materials, and other petroleum and coal products manufacturing(1)</t>
  </si>
  <si>
    <t>32412,9</t>
  </si>
  <si>
    <t>Asphalt paving mixture and block manufacturing</t>
  </si>
  <si>
    <t>ISIC 19</t>
  </si>
  <si>
    <t>Asphalt shingle and coating materials manufacturing</t>
  </si>
  <si>
    <t>ISIC 241</t>
  </si>
  <si>
    <t>Other petroleum and coal products manufacturing</t>
  </si>
  <si>
    <t>All data from BLS</t>
  </si>
  <si>
    <t>ESTABLISHMENT DATA</t>
  </si>
  <si>
    <t>https://www.bls.gov/ces/data/employment-and-earnings/2024/table1a_202411.htm</t>
  </si>
  <si>
    <t>Table B-1a. Employees on nonfarm payrolls by industry sector and selected industry detail, seasonally adjusted</t>
  </si>
  <si>
    <t>[In thousands]</t>
  </si>
  <si>
    <t>Industry</t>
  </si>
  <si>
    <t>2022 NAICS code</t>
  </si>
  <si>
    <t>Seasonally adjusted</t>
  </si>
  <si>
    <t>Change from:</t>
  </si>
  <si>
    <t>Nov.</t>
  </si>
  <si>
    <t>July</t>
  </si>
  <si>
    <t>Aug.</t>
  </si>
  <si>
    <t>Sept.</t>
  </si>
  <si>
    <t>Oct.</t>
  </si>
  <si>
    <t>Oct. 2024 - Nov. 2024(p)</t>
  </si>
  <si>
    <t>2024(p)</t>
  </si>
  <si>
    <t>Total nonfarm</t>
  </si>
  <si>
    <t>Total private</t>
  </si>
  <si>
    <t>Goods-producing</t>
  </si>
  <si>
    <t>Mining and logging</t>
  </si>
  <si>
    <t>ISIC 02</t>
  </si>
  <si>
    <t>Logging</t>
  </si>
  <si>
    <t>Mining, quarrying, and oil and gas extraction</t>
  </si>
  <si>
    <t>ISIC 06</t>
  </si>
  <si>
    <t>Oil and gas extraction</t>
  </si>
  <si>
    <t>Mining (except oil and gas)</t>
  </si>
  <si>
    <t>ISIC 05</t>
  </si>
  <si>
    <t>Coal mining</t>
  </si>
  <si>
    <t>Surface coal mining(1)</t>
  </si>
  <si>
    <t>Underground coal mining(1)</t>
  </si>
  <si>
    <t>ISIC 07</t>
  </si>
  <si>
    <t>Metal ore mining</t>
  </si>
  <si>
    <t>ISIC 08</t>
  </si>
  <si>
    <t>Nonmetallic mineral mining and quarrying</t>
  </si>
  <si>
    <t>Stone mining and quarrying(1)</t>
  </si>
  <si>
    <t>Crushed and broken limestone mining and quarrying(1)</t>
  </si>
  <si>
    <t>Dimension stone, crushed and broken granite, and other crushed and broken stone mining and quarrying(1)</t>
  </si>
  <si>
    <t>212311,3,9</t>
  </si>
  <si>
    <t>Sand, gravel, clay, and ceramic and refractory minerals mining and quarrying(1)</t>
  </si>
  <si>
    <t>Construction sand and gravel mining(1)</t>
  </si>
  <si>
    <t>Other nonmetallic mineral mining and quarrying(1)</t>
  </si>
  <si>
    <t>ISIC 09</t>
  </si>
  <si>
    <t>Support activities for mining</t>
  </si>
  <si>
    <t>Support activities for oil and gas operations(1)</t>
  </si>
  <si>
    <t>ISIC 41T43</t>
  </si>
  <si>
    <t>Construction</t>
  </si>
  <si>
    <t>Construction of buildings</t>
  </si>
  <si>
    <t>Residential building construction</t>
  </si>
  <si>
    <t>New single-family housing construction (except for-sale builders)</t>
  </si>
  <si>
    <t>New multifamily housing construction (except for-sale builders)</t>
  </si>
  <si>
    <t>New housing for-sale builders</t>
  </si>
  <si>
    <t>Residential remodelers</t>
  </si>
  <si>
    <t>Nonresidential building construction</t>
  </si>
  <si>
    <t>Industrial building construction</t>
  </si>
  <si>
    <t>Commercial and institutional building construction</t>
  </si>
  <si>
    <t>Heavy and civil engineering construction</t>
  </si>
  <si>
    <t>Utility system construction(1)</t>
  </si>
  <si>
    <t>Water and sewer line and related structures construction(1)</t>
  </si>
  <si>
    <t>Oil and gas pipeline and related structures construction(1)</t>
  </si>
  <si>
    <t>Power and communication line and related structures construction(1)</t>
  </si>
  <si>
    <t>Land subdivision(1)</t>
  </si>
  <si>
    <t>Highway, street, and bridge construction(1)</t>
  </si>
  <si>
    <t>Other heavy and civil engineering construction(1)</t>
  </si>
  <si>
    <t>Specialty trade contractors</t>
  </si>
  <si>
    <t>Residential specialty trade contractors</t>
  </si>
  <si>
    <t>part 238</t>
  </si>
  <si>
    <t>Nonresidential specialty trade contractors</t>
  </si>
  <si>
    <t>Foundation, structure, and building exterior contractors(1)</t>
  </si>
  <si>
    <t>Poured concrete foundation and structure contractors</t>
  </si>
  <si>
    <t>Structural steel and precast concrete contractors</t>
  </si>
  <si>
    <t>Framing contractors</t>
  </si>
  <si>
    <t>Masonry contractors</t>
  </si>
  <si>
    <t>Glass and glazing contractors</t>
  </si>
  <si>
    <t>Roofing contractors</t>
  </si>
  <si>
    <t>Siding contractors</t>
  </si>
  <si>
    <t>Other foundation, structure, and building exterior contractors</t>
  </si>
  <si>
    <t>Building equipment contractors(1)</t>
  </si>
  <si>
    <t>Electrical contractors and other wiring installation contractors</t>
  </si>
  <si>
    <t>Plumbing, heating, and air-conditioning contractors</t>
  </si>
  <si>
    <t>Other building equipment contractors</t>
  </si>
  <si>
    <t>Building finishing contractors(1)</t>
  </si>
  <si>
    <t>Drywall and insulation contractors</t>
  </si>
  <si>
    <t>Painting and wall covering contractors</t>
  </si>
  <si>
    <t>Flooring contractors</t>
  </si>
  <si>
    <t>Tile and terrazzo contractors</t>
  </si>
  <si>
    <t>Finish carpentry contractors</t>
  </si>
  <si>
    <t>Other building finishing contractors</t>
  </si>
  <si>
    <t>Other specialty trade contractors(1)</t>
  </si>
  <si>
    <t>Site preparation contractors</t>
  </si>
  <si>
    <t>All other specialty trade contractors</t>
  </si>
  <si>
    <t>Manufacturing</t>
  </si>
  <si>
    <t>Durable goods</t>
  </si>
  <si>
    <t>ISIC 16</t>
  </si>
  <si>
    <t>Wood product manufacturing</t>
  </si>
  <si>
    <t>Sawmills and wood preservation(1)</t>
  </si>
  <si>
    <t>Veneer, plywood, and engineered wood product manufacturing(1)</t>
  </si>
  <si>
    <t>Other wood product manufacturing(1)</t>
  </si>
  <si>
    <t>Millwork(1)</t>
  </si>
  <si>
    <t>Wood window and door manufacturing(1)</t>
  </si>
  <si>
    <t>Cut stock, resawing lumber, planing, and other millwork (including flooring)(1)</t>
  </si>
  <si>
    <t>321912,8</t>
  </si>
  <si>
    <t>Wood container and pallet manufacturing(1)</t>
  </si>
  <si>
    <t>All other wood product manufacturing(1)</t>
  </si>
  <si>
    <t>Nonmetallic mineral product manufacturing</t>
  </si>
  <si>
    <t>ISIC 239</t>
  </si>
  <si>
    <t>Clay product and refractory manufacturing(1)</t>
  </si>
  <si>
    <t>ISIC 231</t>
  </si>
  <si>
    <t>Glass and glass product manufacturing(1)</t>
  </si>
  <si>
    <t>Cement and concrete product manufacturing(1)</t>
  </si>
  <si>
    <t>Ready-mix concrete manufacturing(1)</t>
  </si>
  <si>
    <t>Cement and concrete pipe, brick, block, and other concrete product manufacturing(1)</t>
  </si>
  <si>
    <t>32731,3,9</t>
  </si>
  <si>
    <t>Lime, gypsum, and other nonmetallic mineral product manufacturing(1)</t>
  </si>
  <si>
    <t>3274,9</t>
  </si>
  <si>
    <t>Primary metal manufacturing</t>
  </si>
  <si>
    <t>Iron and steel mills and ferroalloy manufacturing(1)</t>
  </si>
  <si>
    <t>Steel product manufacturing from purchased steel(1)</t>
  </si>
  <si>
    <t>ISIC 242</t>
  </si>
  <si>
    <t>Alumina, aluminum, and other nonferrous metal production and processing(1)</t>
  </si>
  <si>
    <t>3313,4</t>
  </si>
  <si>
    <t>Foundries(1)</t>
  </si>
  <si>
    <t>Ferrous metal foundries(1)</t>
  </si>
  <si>
    <t>Nonferrous metal foundries(1)</t>
  </si>
  <si>
    <t>ISIC 25</t>
  </si>
  <si>
    <t>Fabricated metal product manufacturing</t>
  </si>
  <si>
    <t>Forging and stamping(1)</t>
  </si>
  <si>
    <t>Architectural and structural metals manufacturing(1)</t>
  </si>
  <si>
    <t>Plate work and fabricated structural product manufacturing(1)</t>
  </si>
  <si>
    <t>Fabricated structural metal manufacturing(1)</t>
  </si>
  <si>
    <t>Plate work and prefabricated metal building and component manufacturing(1)</t>
  </si>
  <si>
    <t>332311,3</t>
  </si>
  <si>
    <t>Ornamental and architectural metal products manufacturing(1)</t>
  </si>
  <si>
    <t>Metal window and door manufacturing(1)</t>
  </si>
  <si>
    <t>Sheet metal work manufacturing(1)</t>
  </si>
  <si>
    <t>Ornamental and architectural metal work manufacturing(1)</t>
  </si>
  <si>
    <t>Boiler, tank, and shipping container manufacturing(1)</t>
  </si>
  <si>
    <t>Hardware, spring, and wire product manufacturing(1)</t>
  </si>
  <si>
    <t>3325,6</t>
  </si>
  <si>
    <t>Machine shops; turned product; and screw, nut, and bolt manufacturing(1)</t>
  </si>
  <si>
    <t>Machine shops(1)</t>
  </si>
  <si>
    <t>Turned product and screw, nut, and bolt manufacturing(1)</t>
  </si>
  <si>
    <t>Coating, engraving, heat treating, and allied activities(1)</t>
  </si>
  <si>
    <t>Metal heat treating, coating, engraving (except jewelry and silverware), and allied services to manufacturers(1)</t>
  </si>
  <si>
    <t>332811,2</t>
  </si>
  <si>
    <t>Electroplating, plating, polishing, anodizing, and coloring(1)</t>
  </si>
  <si>
    <t>Cutlery, handtool, and other fabricated metal product manufacturing(1)</t>
  </si>
  <si>
    <t>Metal valve manufacturing(1)</t>
  </si>
  <si>
    <t>Fluid power valve and hose fitting manufacturing(1)</t>
  </si>
  <si>
    <t>Industrial valve, plumbing fixture fitting and trim, and other metal valve and pipe fitting manufacturing(1)</t>
  </si>
  <si>
    <t>332911,3,9</t>
  </si>
  <si>
    <t>Cutlery, handtool, and all other fabricated metal product manufacturing(1)</t>
  </si>
  <si>
    <t>Small arms, ammunition, and other ordnance and ordnance accessories manufacturing(1)</t>
  </si>
  <si>
    <t>332992,3,4</t>
  </si>
  <si>
    <t>Cutlery, handtool, ball and roller bearing, fabricated pipe, pipe fitting, and all other fabricated metal product manufacturing(1)</t>
  </si>
  <si>
    <t>332200;991,9</t>
  </si>
  <si>
    <t>ISIC 28</t>
  </si>
  <si>
    <t>Machinery manufacturing</t>
  </si>
  <si>
    <t>Agriculture, construction, and mining machinery manufacturing(1)</t>
  </si>
  <si>
    <t>Agricultural implement manufacturing(1)</t>
  </si>
  <si>
    <t>Construction machinery manufacturing(1)</t>
  </si>
  <si>
    <t>Mining and oil and gas field machinery manufacturing(1)</t>
  </si>
  <si>
    <t>Industrial machinery manufacturing(1)</t>
  </si>
  <si>
    <t>All other industrial machinery manufacturing(1)</t>
  </si>
  <si>
    <t>Commercial and service industry machinery manufacturing(1)</t>
  </si>
  <si>
    <t>Ventilation, heating, air-conditioning, and commercial refrigeration equipment manufacturing(1)</t>
  </si>
  <si>
    <t>Air-conditioning and warm air heating equipment and commercial and industrial refrigeration equipment manufacturing(1)</t>
  </si>
  <si>
    <t>Metalworking machinery manufacturing(1)</t>
  </si>
  <si>
    <t>Special die and tool, die set, jig, and fixture manufacturing(1)</t>
  </si>
  <si>
    <t>Machine tool manufacturing(1)</t>
  </si>
  <si>
    <t>Industrial mold, cutting tool and machine tool accessory, rolling mill, and other metalworking machinery manufacturing(1)</t>
  </si>
  <si>
    <t>333511,5,9</t>
  </si>
  <si>
    <t>Engine, turbine, and power transmission equipment manufacturing(1)</t>
  </si>
  <si>
    <t>Other general purpose machinery manufacturing(1)</t>
  </si>
  <si>
    <t>Pump and compressor manufacturing(1)</t>
  </si>
  <si>
    <t>Material handling equipment manufacturing(1)</t>
  </si>
  <si>
    <t>All other general purpose machinery manufacturing(1)</t>
  </si>
  <si>
    <t>ISIC 26</t>
  </si>
  <si>
    <t>Computer and electronic product manufacturing</t>
  </si>
  <si>
    <t>Computer and peripheral equipment manufacturing</t>
  </si>
  <si>
    <t>Communications equipment manufacturing</t>
  </si>
  <si>
    <t>Radio and television broadcasting and wireless communications equipment manufacturing(1)</t>
  </si>
  <si>
    <t>Semiconductor and other electronic component manufacturing</t>
  </si>
  <si>
    <t>Bare printed circuit board manufacturing(1)</t>
  </si>
  <si>
    <t>Semiconductor and related device manufacturing(1)</t>
  </si>
  <si>
    <t>Printed electronic circuit assembly manufacturing(1)</t>
  </si>
  <si>
    <t>Capacitor, resistor, coil, transformer, other inductor, electronic connector, and other electronic component manufacturing(1)</t>
  </si>
  <si>
    <t>334416,7,9</t>
  </si>
  <si>
    <t>Navigational, measuring, electromedical, and control instruments manufacturing</t>
  </si>
  <si>
    <t>Electromedical and electrotherapeutic apparatus manufacturing(1)</t>
  </si>
  <si>
    <t>Search, detection, navigation, guidance, aeronautical, and nautical system and instrument manufacturing(1)</t>
  </si>
  <si>
    <t>Instruments and related products manufacturing for measuring, displaying, and controlling industrial process variables(1)</t>
  </si>
  <si>
    <t>Instrument manufacturing for measuring and testing electricity and electrical signals(1)</t>
  </si>
  <si>
    <t>Miscellaneous electronic instruments manufacturing(1)</t>
  </si>
  <si>
    <t>334512,4,6-9</t>
  </si>
  <si>
    <t>Manufacturing and reproducing magnetic and optical media and audio and video equipment manufacturing</t>
  </si>
  <si>
    <t>3343,6</t>
  </si>
  <si>
    <t>ISIC 27</t>
  </si>
  <si>
    <t>Electrical equipment, appliance, and component manufacturing</t>
  </si>
  <si>
    <t>Electric lighting equipment manufacturing(1)</t>
  </si>
  <si>
    <t>Household appliance manufacturing(1)</t>
  </si>
  <si>
    <t>Electrical equipment manufacturing(1)</t>
  </si>
  <si>
    <t>Power, distribution, and specialty transformer manufacturing(1)</t>
  </si>
  <si>
    <t>Motor, generator, switchgear and switchboard apparatus, and relay and industrial control manufacturing(1)</t>
  </si>
  <si>
    <t>335312,3,4</t>
  </si>
  <si>
    <t>Other electrical equipment and component manufacturing(1)</t>
  </si>
  <si>
    <t>Battery manufacturing(1)</t>
  </si>
  <si>
    <t>Wiring device manufacturing(1)</t>
  </si>
  <si>
    <t>Communication and energy wire and cable and all other electrical equipment and component manufacturing(1)</t>
  </si>
  <si>
    <t>33592,9</t>
  </si>
  <si>
    <t>Transportation equipment manufacturing</t>
  </si>
  <si>
    <t>ISIC 29</t>
  </si>
  <si>
    <t>Motor vehicles and parts(1)(2)</t>
  </si>
  <si>
    <t>3361,2,3</t>
  </si>
  <si>
    <t>Motor vehicle manufacturing(1)</t>
  </si>
  <si>
    <t>Motor vehicle body and trailer manufacturing(1)</t>
  </si>
  <si>
    <t>Motor vehicle parts manufacturing(1)</t>
  </si>
  <si>
    <t>Motor vehicle gasoline engine and engine parts manufacturing(1)</t>
  </si>
  <si>
    <t>Motor vehicle electrical and electronic equipment manufacturing(1)</t>
  </si>
  <si>
    <t>Motor vehicle steering and suspension components, except spring, manufacturing(1)</t>
  </si>
  <si>
    <t>Motor vehicle transmission and power train parts manufacturing(1)</t>
  </si>
  <si>
    <t>Motor vehicle metal stamping(1)</t>
  </si>
  <si>
    <t>Motor vehicle brake system, seating, interior trim, and other motor vehicle parts manufacturing(1)</t>
  </si>
  <si>
    <t>33634,6,9</t>
  </si>
  <si>
    <t>ISIC 302T309</t>
  </si>
  <si>
    <t>Aerospace product and parts manufacturing(1)</t>
  </si>
  <si>
    <t>Aircraft manufacturing(1)</t>
  </si>
  <si>
    <t>Aircraft engine and engine parts manufacturing(1)</t>
  </si>
  <si>
    <t>Other aircraft parts and auxiliary equipment manufacturing(1)</t>
  </si>
  <si>
    <t>Guided missile; space vehicle; and guided missile and space vehicle propulsion unit, parts, and auxiliary equipment manufacturing(1)</t>
  </si>
  <si>
    <t>336414,5,9</t>
  </si>
  <si>
    <t>ISIC 301</t>
  </si>
  <si>
    <t>Ship and boat building(1)</t>
  </si>
  <si>
    <t>Ship building and repairing(1)</t>
  </si>
  <si>
    <t>Boat building(1)</t>
  </si>
  <si>
    <t>Railroad rolling stock and other transportation equipment manufacturing(1)</t>
  </si>
  <si>
    <t>3365,9</t>
  </si>
  <si>
    <t>ISIC 31T33</t>
  </si>
  <si>
    <t>Furniture and related product manufacturing</t>
  </si>
  <si>
    <t>Household and institutional furniture and kitchen cabinet manufacturing(1)</t>
  </si>
  <si>
    <t>Wood kitchen cabinet and countertop manufacturing(1)</t>
  </si>
  <si>
    <t>Household and institutional furniture manufacturing(1)</t>
  </si>
  <si>
    <t>Upholstered household furniture manufacturing(1)</t>
  </si>
  <si>
    <t>Nonupholstered household furniture and institutional furniture manufacturing(1)</t>
  </si>
  <si>
    <t>337122,6,7</t>
  </si>
  <si>
    <t>Office furniture (including fixtures) and other furniture related product manufacturing(1)</t>
  </si>
  <si>
    <t>Office furniture and custom architectural woodwork and millwork manufacturing(1)</t>
  </si>
  <si>
    <t>337211,2,4</t>
  </si>
  <si>
    <t>Showcase, partition, shelving, locker, and other furniture related product manufacturing(1)</t>
  </si>
  <si>
    <t>Miscellaneous manufacturing</t>
  </si>
  <si>
    <t>Medical equipment and supplies manufacturing(1)</t>
  </si>
  <si>
    <t>Surgical and medical instrument manufacturing(1)</t>
  </si>
  <si>
    <t>Surgical appliance and supplies manufacturing(1)</t>
  </si>
  <si>
    <t>Dental laboratories(1)</t>
  </si>
  <si>
    <t>Other miscellaneous manufacturing(1)</t>
  </si>
  <si>
    <t>Jewelry, silverware, and sporting and athletic goods manufacturing(1)</t>
  </si>
  <si>
    <t>33991,2</t>
  </si>
  <si>
    <t>Sign manufacturing(1)</t>
  </si>
  <si>
    <t>Doll, toy, game, office supplies (except paper), and all other miscellaneous manufacturing(1)</t>
  </si>
  <si>
    <t>33993,4,9</t>
  </si>
  <si>
    <t>Nondurable goods</t>
  </si>
  <si>
    <t>Food manufacturing</t>
  </si>
  <si>
    <t>Animal food manufacturing(1)</t>
  </si>
  <si>
    <t>Grain and oilseed milling(1)</t>
  </si>
  <si>
    <t>Flour milling, malt, starch, and vegetable fats and oils manufacturing(1)</t>
  </si>
  <si>
    <t>31121,2</t>
  </si>
  <si>
    <t>Breakfast cereal manufacturing(1)</t>
  </si>
  <si>
    <t>Sugar and confectionery product manufacturing(1)</t>
  </si>
  <si>
    <t>Chocolate and confectionery manufacturing(1)</t>
  </si>
  <si>
    <t>Fruit and vegetable preserving and specialty food manufacturing(1)</t>
  </si>
  <si>
    <t>Frozen food manufacturing(1)</t>
  </si>
  <si>
    <t>Frozen fruit, juice, and vegetable manufacturing(1)</t>
  </si>
  <si>
    <t>Frozen specialty food manufacturing(1)</t>
  </si>
  <si>
    <t>Fruit and vegetable canning, pickling, and drying(1)</t>
  </si>
  <si>
    <t>Dairy product manufacturing(1)</t>
  </si>
  <si>
    <t>Fluid milk manufacturing(1)</t>
  </si>
  <si>
    <t>Animal slaughtering and processing(1)</t>
  </si>
  <si>
    <t>Animal, except poultry, slaughtering(1)</t>
  </si>
  <si>
    <t>Meat processed from carcasses, rendering, and meat byproduct processing(1)</t>
  </si>
  <si>
    <t>311612,3</t>
  </si>
  <si>
    <t>Poultry processing(1)</t>
  </si>
  <si>
    <t>Seafood product preparation and packaging(1)</t>
  </si>
  <si>
    <t>Bakeries and tortilla manufacturing(1)</t>
  </si>
  <si>
    <t>Bread and bakery product manufacturing(1)</t>
  </si>
  <si>
    <t>Retail bakeries(1)</t>
  </si>
  <si>
    <t>Commercial bakeries and frozen cakes, pies, and other pastries manufacturing(1)</t>
  </si>
  <si>
    <t>311812,3</t>
  </si>
  <si>
    <t>Cookie, cracker, pasta, and tortilla manufacturing(1)</t>
  </si>
  <si>
    <t>31182,3</t>
  </si>
  <si>
    <t>Other food manufacturing(1)</t>
  </si>
  <si>
    <t>Snack food manufacturing(1)</t>
  </si>
  <si>
    <t>Coffee, tea, flavoring syrup and concentrate, seasoning, dressing, and other food manufacturing(1)</t>
  </si>
  <si>
    <t>31192,3,4,9</t>
  </si>
  <si>
    <t>Textile mills</t>
  </si>
  <si>
    <t>Fabric mills(1)</t>
  </si>
  <si>
    <t>Textile product mills</t>
  </si>
  <si>
    <t>Textile furnishings mills(1)</t>
  </si>
  <si>
    <t>Other textile product mills(1)</t>
  </si>
  <si>
    <t>Textile bag and canvas mills(1)</t>
  </si>
  <si>
    <t>All other textile product mills(1)</t>
  </si>
  <si>
    <t>Apparel manufacturing</t>
  </si>
  <si>
    <t>Cut and sew apparel manufacturing (except contractors)(1)</t>
  </si>
  <si>
    <t>ISIC 17T18</t>
  </si>
  <si>
    <t>Paper manufacturing</t>
  </si>
  <si>
    <t>Pulp, paper, and paperboard mills(1)</t>
  </si>
  <si>
    <t>Converted paper product manufacturing(1)</t>
  </si>
  <si>
    <t>Paperboard container manufacturing(1)</t>
  </si>
  <si>
    <t>Paper bag and coated and treated paper manufacturing(1)</t>
  </si>
  <si>
    <t>Stationery and other converted paper products(1)</t>
  </si>
  <si>
    <t>32223,9</t>
  </si>
  <si>
    <t>Printing and related support activities</t>
  </si>
  <si>
    <t>Commercial and book printing (except screen)(1)</t>
  </si>
  <si>
    <t>323111,7</t>
  </si>
  <si>
    <t>Petroleum and coal products manufacturing</t>
  </si>
  <si>
    <t>Petroleum refineries(1)</t>
  </si>
  <si>
    <t>See above</t>
  </si>
  <si>
    <t>Chemical manufacturing</t>
  </si>
  <si>
    <t>ISIC 20</t>
  </si>
  <si>
    <t>Basic chemical manufacturing(1)</t>
  </si>
  <si>
    <t>Petrochemical, industrial gas, synthetic dye, pigment, and other basic inorganic chemical manufacturing(1)</t>
  </si>
  <si>
    <t>32511,2,3,8</t>
  </si>
  <si>
    <t>Other basic organic chemical manufacturing(1)</t>
  </si>
  <si>
    <t>Resin, synthetic rubber, and artificial and synthetic fibers and filaments manufacturing(1)</t>
  </si>
  <si>
    <t>Plastics material and resin manufacturing(1)</t>
  </si>
  <si>
    <t>Pesticide, fertilizer, and other agricultural chemical manufacturing(1)</t>
  </si>
  <si>
    <t>ISIC 21</t>
  </si>
  <si>
    <t>Pharmaceutical and medicine manufacturing(1)</t>
  </si>
  <si>
    <t>Pharmaceutical preparation manufacturing(1)</t>
  </si>
  <si>
    <t>Medicinal, botanical, in-vitro diagnostic substance, and biological product manufacturing(1)</t>
  </si>
  <si>
    <t>325411,3,4</t>
  </si>
  <si>
    <t>Paint, coating, and adhesive manufacturing(1)</t>
  </si>
  <si>
    <t>Soap, cleaning compound, and toilet preparation manufacturing(1)</t>
  </si>
  <si>
    <t>Soap and cleaning compound manufacturing(1)</t>
  </si>
  <si>
    <t>Toilet preparation manufacturing(1)</t>
  </si>
  <si>
    <t>Other chemical product and preparation manufacturing(1)</t>
  </si>
  <si>
    <t>ISIC 22</t>
  </si>
  <si>
    <t>Plastics and rubber products manufacturing</t>
  </si>
  <si>
    <t>Plastics product manufacturing(1)</t>
  </si>
  <si>
    <t>Plastics packaging materials and unlaminated film and sheet manufacturing(1)</t>
  </si>
  <si>
    <t>Plastics pipe, pipe fitting, and unlaminated profile shape manufacturing(1)</t>
  </si>
  <si>
    <t>Polystyrene, urethane, and other foam product manufacturing(1)</t>
  </si>
  <si>
    <t>32614,5</t>
  </si>
  <si>
    <t>Laminated plastics plate, sheet (except packaging), shape, and plastics bottle manufacturing(1)</t>
  </si>
  <si>
    <t>32613,6</t>
  </si>
  <si>
    <t>Other plastics product manufacturing(1)</t>
  </si>
  <si>
    <t>Rubber product manufacturing(1)</t>
  </si>
  <si>
    <t>Tire manufacturing(1)</t>
  </si>
  <si>
    <t>Rubber and plastics hoses, belting, and other rubber product manufacturing(1)</t>
  </si>
  <si>
    <t>32622,9</t>
  </si>
  <si>
    <t>Beverage, tobacco, and leather and allied product manufacturing</t>
  </si>
  <si>
    <t>312,6</t>
  </si>
  <si>
    <t>Beverage manufacturing(1)</t>
  </si>
  <si>
    <t>Soft drinks and ice(1)</t>
  </si>
  <si>
    <t>Soft drinks(1)</t>
  </si>
  <si>
    <t>Breweries, wineries, and distilleries(1)</t>
  </si>
  <si>
    <t>31212,3,4</t>
  </si>
  <si>
    <t>Service-providing</t>
  </si>
  <si>
    <t>Private service-providing</t>
  </si>
  <si>
    <t>Trade, transportation, and utilities</t>
  </si>
  <si>
    <t>ISIC 45T47</t>
  </si>
  <si>
    <t>Wholesale trade</t>
  </si>
  <si>
    <t>Merchant wholesalers, durable goods</t>
  </si>
  <si>
    <t>Motor vehicle and motor vehicle parts and supplies merchant wholesalers(1)</t>
  </si>
  <si>
    <t>Automobile and other motor vehicle merchant wholesalers(1)</t>
  </si>
  <si>
    <t>Motor vehicle supplies and new parts merchant wholesalers(1)</t>
  </si>
  <si>
    <t>Furniture and home furnishing merchant wholesalers(1)</t>
  </si>
  <si>
    <t>Furniture merchant wholesalers(1)</t>
  </si>
  <si>
    <t>Home furnishing merchant wholesalers(1)</t>
  </si>
  <si>
    <t>Lumber and other construction materials merchant wholesalers(1)</t>
  </si>
  <si>
    <t>Lumber, plywood, millwork, and wood panel merchant wholesalers(1)</t>
  </si>
  <si>
    <t>Brick, stone, and related construction material merchant wholesalers(1)</t>
  </si>
  <si>
    <t>Roofing, siding, insulation, and other construction material merchant wholesalers(1)</t>
  </si>
  <si>
    <t>42333,9</t>
  </si>
  <si>
    <t>Professional and commercial equipment and supplies merchant wholesalers(1)</t>
  </si>
  <si>
    <t>Office equipment merchant wholesalers(1)</t>
  </si>
  <si>
    <t>Computer and computer peripheral equipment and software merchant wholesalers(1)</t>
  </si>
  <si>
    <t>Medical, dental, and hospital equipment and supplies merchant wholesalers(1)</t>
  </si>
  <si>
    <t>Ophthalmic goods and photographic, commercial, and professional equipment and supplies merchant wholesalers(1)</t>
  </si>
  <si>
    <t>42341,4,6,9</t>
  </si>
  <si>
    <t>Metal and mineral (except petroleum) merchant wholesalers(1)</t>
  </si>
  <si>
    <t>Household appliances and electrical and electronic goods merchant wholesalers(1)</t>
  </si>
  <si>
    <t>Electrical apparatus and equipment, wiring supplies, and related equipment merchant wholesalers(1)</t>
  </si>
  <si>
    <t>Household appliances, electric housewares, consumer electronics, and other electronic parts and equipment merchant wholesalers(1)</t>
  </si>
  <si>
    <t>42362,9</t>
  </si>
  <si>
    <t>Hardware, and plumbing and heating equipment and supplies merchant wholesalers(1)</t>
  </si>
  <si>
    <t>Hardware merchant wholesalers(1)</t>
  </si>
  <si>
    <t>Plumbing, heating, and hydronics equipment and supplies merchant wholesalers(1)</t>
  </si>
  <si>
    <t>Warm air heating, air-conditioning, and refrigeration equipment and supplies merchant wholesalers(1)</t>
  </si>
  <si>
    <t>42373,4</t>
  </si>
  <si>
    <t>Machinery, equipment, and supplies merchant wholesalers(1)</t>
  </si>
  <si>
    <t>Construction and mining (except oil well) machinery and equipment merchant wholesalers(1)</t>
  </si>
  <si>
    <t>Farm and garden machinery and equipment merchant wholesalers(1)</t>
  </si>
  <si>
    <t>Industrial machinery and equipment merchant wholesalers(1)</t>
  </si>
  <si>
    <t>Industrial supplies merchant wholesalers(1)</t>
  </si>
  <si>
    <t>Service establishment equipment and supplies merchant wholesalers(1)</t>
  </si>
  <si>
    <t>Transportation equipment and supplies (except motor vehicle) merchant wholesalers(1)</t>
  </si>
  <si>
    <t>Miscellaneous durable goods merchant wholesalers(1)</t>
  </si>
  <si>
    <t>Sporting and recreational goods and supplies merchant wholesalers(1)</t>
  </si>
  <si>
    <t>Recyclable material merchant wholesalers(1)</t>
  </si>
  <si>
    <t>Jewelry, watch, precious stone, and precious metal merchant wholesalers(1)</t>
  </si>
  <si>
    <t>Toy and hobby goods and supplies and other miscellaneous durable goods merchant wholesalers(1)</t>
  </si>
  <si>
    <t>42392,9</t>
  </si>
  <si>
    <t>Merchant wholesalers, nondurable goods</t>
  </si>
  <si>
    <t>Paper and paper product merchant wholesalers(1)</t>
  </si>
  <si>
    <t>Printing and writing paper, stationery, and office supplies merchant wholesalers(1)</t>
  </si>
  <si>
    <t>42411,2</t>
  </si>
  <si>
    <t>Industrial and personal service paper merchant wholesalers(1)</t>
  </si>
  <si>
    <t>Drugs and druggists' sundries merchant wholesalers(1)</t>
  </si>
  <si>
    <t>Apparel, piece goods, and notions merchant wholesalers(1)</t>
  </si>
  <si>
    <t>Clothing and clothing accessories merchant wholesalers(1)</t>
  </si>
  <si>
    <t>Grocery and related product merchant wholesalers(1)</t>
  </si>
  <si>
    <t>General line grocery merchant wholesalers(1)</t>
  </si>
  <si>
    <t>Fresh fruit and vegetable merchant wholesalers(1)</t>
  </si>
  <si>
    <t>Farm product raw material merchant wholesalers(1)</t>
  </si>
  <si>
    <t>Grain and field bean merchant wholesalers(1)</t>
  </si>
  <si>
    <t>Chemical and allied products merchant wholesalers(1)</t>
  </si>
  <si>
    <t>Petroleum and petroleum products merchant wholesalers(1)</t>
  </si>
  <si>
    <t>Beer, wine, and distilled alcoholic beverage merchant wholesalers(1)</t>
  </si>
  <si>
    <t>Beer and ale merchant wholesalers(1)</t>
  </si>
  <si>
    <t>Wine and distilled alcoholic beverage merchant wholesalers(1)</t>
  </si>
  <si>
    <t>Miscellaneous nondurable goods merchant wholesalers(1)</t>
  </si>
  <si>
    <t>Farm supplies merchant wholesalers(1)</t>
  </si>
  <si>
    <t>Flower, nursery stock, and florists' supplies merchant wholesalers(1)</t>
  </si>
  <si>
    <t>All other nondurable goods merchant wholesalers(1)</t>
  </si>
  <si>
    <t>42492,4,5,9</t>
  </si>
  <si>
    <t>Wholesale trade agents and brokers</t>
  </si>
  <si>
    <t>Retail trade</t>
  </si>
  <si>
    <t>Motor vehicle and parts dealers</t>
  </si>
  <si>
    <t>Automobile dealers</t>
  </si>
  <si>
    <t>New car dealers(1)</t>
  </si>
  <si>
    <t>Used car dealers(1)</t>
  </si>
  <si>
    <t>Other motor vehicle dealers</t>
  </si>
  <si>
    <t>Recreational vehicle dealers(1)</t>
  </si>
  <si>
    <t>Motorcycle, boat, and other motor vehicle dealers(1)</t>
  </si>
  <si>
    <t>Automotive parts, accessories, and tire retailers</t>
  </si>
  <si>
    <t>Automotive parts and accessories retailers(1)</t>
  </si>
  <si>
    <t>Tire dealers(1)</t>
  </si>
  <si>
    <t>Building material and garden equipment and supplies dealers</t>
  </si>
  <si>
    <t>Building material and supplies dealers(1)</t>
  </si>
  <si>
    <t>Hardware retailers(1)</t>
  </si>
  <si>
    <t>Home centers, paint, wallpaper, and other building material dealers(1)</t>
  </si>
  <si>
    <t>44411,2,8</t>
  </si>
  <si>
    <t>Lawn and garden equipment and supplies retailers(1)</t>
  </si>
  <si>
    <t>Outdoor power equipment retailers(1)</t>
  </si>
  <si>
    <t>Nursery, garden center, and farm supply retailers(1)</t>
  </si>
  <si>
    <t>Food and beverage retailers</t>
  </si>
  <si>
    <t>Grocery and convenience retailers(1)</t>
  </si>
  <si>
    <t>Supermarkets and other grocery retailers (except convenience retailers)(1)</t>
  </si>
  <si>
    <t>Convenience retailers and vending machine operators(1)</t>
  </si>
  <si>
    <t>Convenience retailers(1)</t>
  </si>
  <si>
    <t>Vending machine operators(1)</t>
  </si>
  <si>
    <t>Specialty food retailers(1)</t>
  </si>
  <si>
    <t>Fruit and vegetable retailers(1)</t>
  </si>
  <si>
    <t>Meat, fish, and seafood retailers(1)</t>
  </si>
  <si>
    <t>44524,5</t>
  </si>
  <si>
    <t>Other specialty food retailers(1)</t>
  </si>
  <si>
    <t>Beer, wine, and liquor retailers(1)</t>
  </si>
  <si>
    <t>Furniture, home furnishings, electronics, and appliance retailers</t>
  </si>
  <si>
    <t>Furniture and home furnishings retailers</t>
  </si>
  <si>
    <t>Furniture retailers(1)</t>
  </si>
  <si>
    <t>Home furnishings retailers(1)</t>
  </si>
  <si>
    <t>Floor covering retailers(1)</t>
  </si>
  <si>
    <t>Window treatment and all other home furnishings retailers(1)</t>
  </si>
  <si>
    <t>449122,9</t>
  </si>
  <si>
    <t>Electronics and appliance retailers</t>
  </si>
  <si>
    <t>General merchandise retailers</t>
  </si>
  <si>
    <t>Department stores</t>
  </si>
  <si>
    <t>Warehouse clubs, supercenters, and other general merchandise retailers</t>
  </si>
  <si>
    <t>Warehouse clubs and supercenters(1)</t>
  </si>
  <si>
    <t>All other general merchandise retailers(1)</t>
  </si>
  <si>
    <t>Health and personal care retailers</t>
  </si>
  <si>
    <t>Pharmacies and drug retailers(1)</t>
  </si>
  <si>
    <t>Cosmetics, beauty supplies, and perfume retailers(1)</t>
  </si>
  <si>
    <t>Optical goods retailers(1)</t>
  </si>
  <si>
    <t>Other health and personal care retailers(1)</t>
  </si>
  <si>
    <t>Food (health) supplement retailers(1)</t>
  </si>
  <si>
    <t>All other health and personal care retailers(1)</t>
  </si>
  <si>
    <t>Gasoline stations and fuel dealers</t>
  </si>
  <si>
    <t>Gasoline stations(1)</t>
  </si>
  <si>
    <t>Gasoline stations with convenience stores(1)</t>
  </si>
  <si>
    <t>Other gasoline stations(1)</t>
  </si>
  <si>
    <t>Fuel dealers(1)</t>
  </si>
  <si>
    <t>Clothing, clothing accessories, shoe, and jewelry retailers</t>
  </si>
  <si>
    <t>Clothing and clothing accessories retailers(1)</t>
  </si>
  <si>
    <t>Shoe retailers(1)</t>
  </si>
  <si>
    <t>Jewelry, luggage, and leather goods retailers(1)</t>
  </si>
  <si>
    <t>Sporting goods, hobby, musical instrument, book, and miscellaneous retailers</t>
  </si>
  <si>
    <t>Sporting goods, hobby, and musical instrument retailers(1)</t>
  </si>
  <si>
    <t>Sporting goods retailers(1)</t>
  </si>
  <si>
    <t>Hobby, toy, and game retailers(1)</t>
  </si>
  <si>
    <t>Sewing, needlework, and piece goods retailers(1)</t>
  </si>
  <si>
    <t>Musical instrument and supplies retailers(1)</t>
  </si>
  <si>
    <t>Book retailers and news dealers(1)</t>
  </si>
  <si>
    <t>Florists(1)</t>
  </si>
  <si>
    <t>Office supplies, stationery, and gift retailers(1)</t>
  </si>
  <si>
    <t>Office supplies and stationery retailers(1)</t>
  </si>
  <si>
    <t>Gift, novelty, and souvenir retailers(1)</t>
  </si>
  <si>
    <t>Used merchandise retailers(1)</t>
  </si>
  <si>
    <t>Other miscellaneous retailers(1)</t>
  </si>
  <si>
    <t>Pet and pet supplies retailers(1)</t>
  </si>
  <si>
    <t>Art dealers(1)</t>
  </si>
  <si>
    <t>Manufactured (mobile) home dealers and all other miscellaneous retailers(1)</t>
  </si>
  <si>
    <t>45993,9</t>
  </si>
  <si>
    <t>Tobacco, electronic cigarette, and other smoking supplies retailers(1)</t>
  </si>
  <si>
    <t>Transportation and warehousing</t>
  </si>
  <si>
    <t>Air transportation</t>
  </si>
  <si>
    <t>Scheduled air transportation(1)</t>
  </si>
  <si>
    <t>Nonscheduled air transportation(1)</t>
  </si>
  <si>
    <t>Rail transportation</t>
  </si>
  <si>
    <t>Water transportation</t>
  </si>
  <si>
    <t>Truck transportation</t>
  </si>
  <si>
    <t>General freight trucking(1)</t>
  </si>
  <si>
    <t>General freight trucking, local(1)</t>
  </si>
  <si>
    <t>General freight trucking, long-distance(1)</t>
  </si>
  <si>
    <t>General freight trucking, long-distance, truckload(1)</t>
  </si>
  <si>
    <t>General freight trucking, long-distance, less than truckload(1)</t>
  </si>
  <si>
    <t>Specialized freight trucking(1)</t>
  </si>
  <si>
    <t>Used household and office goods moving(1)</t>
  </si>
  <si>
    <t>Specialized freight (except used goods) trucking, local(1)</t>
  </si>
  <si>
    <t>Specialized freight (except used goods) trucking, long-distance(1)</t>
  </si>
  <si>
    <t>Transit and ground passenger transportation</t>
  </si>
  <si>
    <t>Taxi and limousine service(1)</t>
  </si>
  <si>
    <t>School and employee bus transportation(1)</t>
  </si>
  <si>
    <t>Urban transit systems and interurban, rural, and charter bus transportation(1)</t>
  </si>
  <si>
    <t>4851,2,5</t>
  </si>
  <si>
    <t>Other transit and ground passenger transportation(1)</t>
  </si>
  <si>
    <t>Pipeline transportation</t>
  </si>
  <si>
    <t>Scenic and sightseeing transportation</t>
  </si>
  <si>
    <t>Support activities for transportation</t>
  </si>
  <si>
    <t>Support activities for air transportation(1)</t>
  </si>
  <si>
    <t>Support activities for water transportation(1)</t>
  </si>
  <si>
    <t>Marine cargo handling(1)</t>
  </si>
  <si>
    <t>Support activities for road transportation(1)</t>
  </si>
  <si>
    <t>Freight transportation arrangement(1)</t>
  </si>
  <si>
    <t>Other support activities for transportation, including rail(1)</t>
  </si>
  <si>
    <t>4882,9</t>
  </si>
  <si>
    <t>Couriers and messengers</t>
  </si>
  <si>
    <t>Couriers and express delivery services(1)</t>
  </si>
  <si>
    <t>Local messengers and delivery and private postal service(1)</t>
  </si>
  <si>
    <t>Warehousing and storage</t>
  </si>
  <si>
    <t>General warehousing and storage(1)</t>
  </si>
  <si>
    <t>Refrigerated warehousing and storage(1)</t>
  </si>
  <si>
    <t>Other warehousing and storage, including farm product(1)</t>
  </si>
  <si>
    <t>49313,9</t>
  </si>
  <si>
    <t>Utilities</t>
  </si>
  <si>
    <t>ISIC 351</t>
  </si>
  <si>
    <t>Electric power generation, transmission and distribution(1)</t>
  </si>
  <si>
    <t>Electric power generation(1)</t>
  </si>
  <si>
    <t>Fossil fuel electric power generation(1)</t>
  </si>
  <si>
    <t>Hydroelectric and nuclear, solar, wind, geothermal, biomass, and other electric power generation(1)</t>
  </si>
  <si>
    <t>221111,3-8</t>
  </si>
  <si>
    <t>Electric power transmission, control, and distribution(1)</t>
  </si>
  <si>
    <t>Electric bulk power transmission and control(1)</t>
  </si>
  <si>
    <t>Electric power distribution(1)</t>
  </si>
  <si>
    <t>ISIC 352T353</t>
  </si>
  <si>
    <t>Natural gas distribution(1)</t>
  </si>
  <si>
    <t>ISIC 36T39</t>
  </si>
  <si>
    <t>Water, sewage, and other systems(1)</t>
  </si>
  <si>
    <t>Information</t>
  </si>
  <si>
    <t>ISIC 58T60</t>
  </si>
  <si>
    <t>Motion picture and sound recording industries</t>
  </si>
  <si>
    <t>Motion picture and video production(1)</t>
  </si>
  <si>
    <t>Motion picture and video exhibition(1)</t>
  </si>
  <si>
    <t>Publishing industries</t>
  </si>
  <si>
    <t>Newspaper, periodical, book, and directory publishers(1)</t>
  </si>
  <si>
    <t>Newspaper publishers(1)</t>
  </si>
  <si>
    <t>Periodical publishers(1)</t>
  </si>
  <si>
    <t>Book publishers(1)</t>
  </si>
  <si>
    <t>Directory, mailing list, and other publishers(1)</t>
  </si>
  <si>
    <t>51314,9</t>
  </si>
  <si>
    <t>Software publishers(1)</t>
  </si>
  <si>
    <t>Broadcasting and content providers</t>
  </si>
  <si>
    <t>Radio and television broadcasting stations(1)</t>
  </si>
  <si>
    <t>Radio broadcasting stations(1)</t>
  </si>
  <si>
    <t>Television broadcasting stations(1)</t>
  </si>
  <si>
    <t>Media streaming distribution services, social networks, and other media networks and content providers(1)</t>
  </si>
  <si>
    <t>ISIC 61</t>
  </si>
  <si>
    <t>Telecommunications</t>
  </si>
  <si>
    <t>Wired and wireless telecommunications (except satellite)(1)</t>
  </si>
  <si>
    <t>Wired and wireless telecommunications carriers (except satellite)(1)</t>
  </si>
  <si>
    <t>Wired telecommunications carriers(1)</t>
  </si>
  <si>
    <t>Wireless telecommunications carriers (except satellite)(1)</t>
  </si>
  <si>
    <t>Telecommunications resellers(1)</t>
  </si>
  <si>
    <t>All other telecommunications(1)</t>
  </si>
  <si>
    <t>5174,8</t>
  </si>
  <si>
    <t>ISIC 62T63</t>
  </si>
  <si>
    <t>Computing infrastructure providers, data processing, web hosting, and related services</t>
  </si>
  <si>
    <t>Web search portals, libraries, archives, and other information services</t>
  </si>
  <si>
    <t>Libraries and archives(1)</t>
  </si>
  <si>
    <t>Web search portals and all other information services(1)</t>
  </si>
  <si>
    <t>Financial activities(3)</t>
  </si>
  <si>
    <t>ISIC 64T66</t>
  </si>
  <si>
    <t>Finance and insurance</t>
  </si>
  <si>
    <t>Monetary authorities-central bank</t>
  </si>
  <si>
    <t>Credit intermediation and related activities</t>
  </si>
  <si>
    <t>Depository credit intermediation</t>
  </si>
  <si>
    <t>Commercial banking(1)</t>
  </si>
  <si>
    <t>Credit unions(1)</t>
  </si>
  <si>
    <t>Savings institutions and other depository credit intermediation(1)</t>
  </si>
  <si>
    <t>Nondepository credit intermediation</t>
  </si>
  <si>
    <t>Credit card issuing(1)</t>
  </si>
  <si>
    <t>Sales financing(1)</t>
  </si>
  <si>
    <t>Other nondepository credit intermediation(1)</t>
  </si>
  <si>
    <t>Consumer lending(1)</t>
  </si>
  <si>
    <t>Real estate credit(1)</t>
  </si>
  <si>
    <t>International, secondary market, and all other nondepository credit intermediation(1)</t>
  </si>
  <si>
    <t>Activities related to credit intermediation</t>
  </si>
  <si>
    <t>Mortgage and nonmortgage loan brokers(1)</t>
  </si>
  <si>
    <t>Financial transactions processing, reserve, and clearinghouse activities(1)</t>
  </si>
  <si>
    <t>Other activities related to credit intermediation(1)</t>
  </si>
  <si>
    <t>Securities, commodity contracts, funds, trusts, and other financial vehicles, investments, and related activities</t>
  </si>
  <si>
    <t>523,5</t>
  </si>
  <si>
    <t>Securities and commodity contracts brokerage, intermediation, and exchanges(1)</t>
  </si>
  <si>
    <t>5231,2</t>
  </si>
  <si>
    <t>Investment banking and securities intermediation(1)</t>
  </si>
  <si>
    <t>Funds, trusts, and other financial vehicles and investment activities(1)</t>
  </si>
  <si>
    <t>5239,50</t>
  </si>
  <si>
    <t>Miscellaneous intermediation(1)</t>
  </si>
  <si>
    <t>Portfolio management and investment advice(1)</t>
  </si>
  <si>
    <t>All other financial investment activities(1)</t>
  </si>
  <si>
    <t>Insurance carriers and related activities</t>
  </si>
  <si>
    <t>Insurance carriers(1)</t>
  </si>
  <si>
    <t>Direct life, health, and medical insurance carriers(1)</t>
  </si>
  <si>
    <t>Direct insurance (except life, health, and medical) carriers(1)</t>
  </si>
  <si>
    <t>Direct property and casualty insurance carriers(1)</t>
  </si>
  <si>
    <t>Direct title insurance and other direct insurance (except life, health, and medical) carriers(1)</t>
  </si>
  <si>
    <t>524127,8</t>
  </si>
  <si>
    <t>Reinsurance carriers(1)</t>
  </si>
  <si>
    <t>Agencies, brokerages, and other insurance related activities(1)</t>
  </si>
  <si>
    <t>Insurance agencies and brokerages(1)</t>
  </si>
  <si>
    <t>Other insurance related activities(1)</t>
  </si>
  <si>
    <t>Claims adjusting(1)</t>
  </si>
  <si>
    <t>Pharmacy benefit management and other third party administration of insurance and pension funds(1)</t>
  </si>
  <si>
    <t>All other insurance related activities(1)</t>
  </si>
  <si>
    <t>ISIC 68</t>
  </si>
  <si>
    <t>Real estate and rental and leasing</t>
  </si>
  <si>
    <t>Real estate</t>
  </si>
  <si>
    <t>Lessors of real estate(1)</t>
  </si>
  <si>
    <t>Lessors of residential buildings and dwellings(1)</t>
  </si>
  <si>
    <t>Lessors of nonresidential buildings (except miniwarehouses)(1)</t>
  </si>
  <si>
    <t>Lessors of miniwarehouses and self-storage units(1)</t>
  </si>
  <si>
    <t>Lessors of other real estate property(1)</t>
  </si>
  <si>
    <t>Offices of real estate agents and brokers(1)</t>
  </si>
  <si>
    <t>Activities related to real estate(1)</t>
  </si>
  <si>
    <t>Real estate property managers(1)</t>
  </si>
  <si>
    <t>Residential property managers(1)</t>
  </si>
  <si>
    <t>Nonresidential property managers(1)</t>
  </si>
  <si>
    <t>Offices of real estate appraisers(1)</t>
  </si>
  <si>
    <t>Other activities related to real estate(1)</t>
  </si>
  <si>
    <t>Rental and leasing services</t>
  </si>
  <si>
    <t>Automotive equipment rental and leasing(1)</t>
  </si>
  <si>
    <t>Passenger car rental and leasing(1)</t>
  </si>
  <si>
    <t>Truck, utility trailer, and recreational vehicle (RV) rental and leasing(1)</t>
  </si>
  <si>
    <t>Consumer goods rental(1)</t>
  </si>
  <si>
    <t>Home health equipment rental(1)</t>
  </si>
  <si>
    <t>General rental centers(1)</t>
  </si>
  <si>
    <t>Commercial and industrial machinery and equipment rental and leasing(1)</t>
  </si>
  <si>
    <t>Construction, transportation, mining, and forestry machinery and equipment rental and leasing(1)</t>
  </si>
  <si>
    <t>Office, commercial, and industrial machinery and equipment rental and leasing(1)</t>
  </si>
  <si>
    <t>53242,9</t>
  </si>
  <si>
    <t>Lessors of nonfinancial intangible assets (except copyrighted works)</t>
  </si>
  <si>
    <t>Professional and business services</t>
  </si>
  <si>
    <t>Professional, scientific, and technical services</t>
  </si>
  <si>
    <t>ISIC 69T75</t>
  </si>
  <si>
    <t>Legal services</t>
  </si>
  <si>
    <t>Offices of lawyers(1)</t>
  </si>
  <si>
    <t>Other legal services(1)</t>
  </si>
  <si>
    <t>Accounting, tax preparation, bookkeeping, and payroll services</t>
  </si>
  <si>
    <t>Offices of certified public accountants(1)</t>
  </si>
  <si>
    <t>Tax preparation services(1)</t>
  </si>
  <si>
    <t>Payroll services(1)</t>
  </si>
  <si>
    <t>Other accounting services(1)</t>
  </si>
  <si>
    <t>Architectural, engineering, and related services</t>
  </si>
  <si>
    <t>Architectural services(1)</t>
  </si>
  <si>
    <t>Landscape architectural services(1)</t>
  </si>
  <si>
    <t>Engineering and drafting services(1)</t>
  </si>
  <si>
    <t>54133,4</t>
  </si>
  <si>
    <t>Building inspection, surveying, and mapping services(1)</t>
  </si>
  <si>
    <t>54135,6,7</t>
  </si>
  <si>
    <t>Testing laboratories and services(1)</t>
  </si>
  <si>
    <t>Specialized design services</t>
  </si>
  <si>
    <t>Interior design services(1)</t>
  </si>
  <si>
    <t>Graphic design services(1)</t>
  </si>
  <si>
    <t>Computer systems design and related services</t>
  </si>
  <si>
    <t>Custom computer programming services(1)</t>
  </si>
  <si>
    <t>Computer systems design services(1)</t>
  </si>
  <si>
    <t>Computer facilities management services(1)</t>
  </si>
  <si>
    <t>Other computer related services(1)</t>
  </si>
  <si>
    <t>Management, scientific, and technical consulting services</t>
  </si>
  <si>
    <t>Management consulting services(1)</t>
  </si>
  <si>
    <t>Administrative management and general management consulting services(1)</t>
  </si>
  <si>
    <t>Human resources consulting services(1)</t>
  </si>
  <si>
    <t>Marketing consulting services(1)</t>
  </si>
  <si>
    <t>Process, physical distribution, and logistics consulting services(1)</t>
  </si>
  <si>
    <t>Other management consulting services(1)</t>
  </si>
  <si>
    <t>Environmental consulting services(1)</t>
  </si>
  <si>
    <t>Other scientific and technical consulting services(1)</t>
  </si>
  <si>
    <t>Scientific research and development services</t>
  </si>
  <si>
    <t>Research and development in the physical, engineering, and life sciences(1)</t>
  </si>
  <si>
    <t>Research and development in nanotechnology(1)</t>
  </si>
  <si>
    <t>Research and development in biotechnology, except nanobiotechnology(1)</t>
  </si>
  <si>
    <t>Research and development in the physical, engineering, and life sciences, except nanotechnology and biotechnology(1)</t>
  </si>
  <si>
    <t>Research and development in the social sciences and humanities(1)</t>
  </si>
  <si>
    <t>Advertising, public relations, and related services</t>
  </si>
  <si>
    <t>Advertising agencies(1)</t>
  </si>
  <si>
    <t>Public relations agencies(1)</t>
  </si>
  <si>
    <t>Media buying agencies and media representatives(1)</t>
  </si>
  <si>
    <t>54183,4</t>
  </si>
  <si>
    <t>Indoor and outdoor display advertising(1)</t>
  </si>
  <si>
    <t>Direct mail advertising(1)</t>
  </si>
  <si>
    <t>Advertising material distribution and other services related to advertising(1)</t>
  </si>
  <si>
    <t>54187,9</t>
  </si>
  <si>
    <t>Other professional, scientific, and technical services</t>
  </si>
  <si>
    <t>Marketing research and public opinion polling(1)</t>
  </si>
  <si>
    <t>Photographic services(1)</t>
  </si>
  <si>
    <t>Veterinary services(1)</t>
  </si>
  <si>
    <t>Translation, interpretation, and all other professional, scientific, and technical services(1)</t>
  </si>
  <si>
    <t>54193,9</t>
  </si>
  <si>
    <t>Management of companies and enterprises</t>
  </si>
  <si>
    <t>Offices of bank and other holding companies(1)</t>
  </si>
  <si>
    <t>551111,2</t>
  </si>
  <si>
    <t>Corporate, subsidiary, and regional managing offices(1)</t>
  </si>
  <si>
    <t>Administrative and support and waste management and remediation services</t>
  </si>
  <si>
    <t>ISIC 77T82</t>
  </si>
  <si>
    <t>Administrative and support services</t>
  </si>
  <si>
    <t>Office administrative services</t>
  </si>
  <si>
    <t>Facilities support services</t>
  </si>
  <si>
    <t>Employment services</t>
  </si>
  <si>
    <t>Employment placement agencies and executive search services(1)</t>
  </si>
  <si>
    <t>Employment placement agencies(1)</t>
  </si>
  <si>
    <t>Executive search services(1)</t>
  </si>
  <si>
    <t>Temporary help services(1)</t>
  </si>
  <si>
    <t>Professional employer organizations(1)</t>
  </si>
  <si>
    <t>Business support services</t>
  </si>
  <si>
    <t>Document preparation services(1)</t>
  </si>
  <si>
    <t>Telephone call centers(1)</t>
  </si>
  <si>
    <t>Telephone answering services(1)</t>
  </si>
  <si>
    <t>Telemarketing bureaus and other contact centers(1)</t>
  </si>
  <si>
    <t>Business service centers(1)</t>
  </si>
  <si>
    <t>Collection agencies(1)</t>
  </si>
  <si>
    <t>Credit bureaus and other business support services(1)</t>
  </si>
  <si>
    <t>56145,9</t>
  </si>
  <si>
    <t>Travel arrangement and reservation services</t>
  </si>
  <si>
    <t>Travel agencies(1)</t>
  </si>
  <si>
    <t>Tour operators(1)</t>
  </si>
  <si>
    <t>Other travel arrangement and reservation services(1)</t>
  </si>
  <si>
    <t>Investigation and security services</t>
  </si>
  <si>
    <t>Investigation, guard, and armored car services(1)</t>
  </si>
  <si>
    <t>Investigation and personal background check services(1)</t>
  </si>
  <si>
    <t>Security guards, patrol services, and armored car services(1)</t>
  </si>
  <si>
    <t>561612,3</t>
  </si>
  <si>
    <t>Security systems services(1)</t>
  </si>
  <si>
    <t>Services to buildings and dwellings</t>
  </si>
  <si>
    <t>Exterminating and pest control services(1)</t>
  </si>
  <si>
    <t>Janitorial services(1)</t>
  </si>
  <si>
    <t>Landscaping services(1)</t>
  </si>
  <si>
    <t>Carpet and upholstery cleaning services(1)</t>
  </si>
  <si>
    <t>Other services to buildings and dwellings(1)</t>
  </si>
  <si>
    <t>Other support services</t>
  </si>
  <si>
    <t>Packaging and labeling services(1)</t>
  </si>
  <si>
    <t>Convention and trade show organizers(1)</t>
  </si>
  <si>
    <t>All other support services(1)</t>
  </si>
  <si>
    <t>Waste management and remediation services</t>
  </si>
  <si>
    <t>Waste collection(1)</t>
  </si>
  <si>
    <t>Waste treatment and disposal(1)</t>
  </si>
  <si>
    <t>Hazardous waste treatment and disposal(1)</t>
  </si>
  <si>
    <t>Solid waste landfill, combustors, and incinerators and other nonhazardous waste treatment and disposal(1)</t>
  </si>
  <si>
    <t>562212,3,9</t>
  </si>
  <si>
    <t>Remediation and other waste management services(1)</t>
  </si>
  <si>
    <t>Remediation services(1)</t>
  </si>
  <si>
    <t>Materials recovery facilities and other waste management services(1)</t>
  </si>
  <si>
    <t>56292,9</t>
  </si>
  <si>
    <t>Private education and health services</t>
  </si>
  <si>
    <t>ISIC 85</t>
  </si>
  <si>
    <t>Private educational services</t>
  </si>
  <si>
    <t>Private elementary and secondary schools(1)</t>
  </si>
  <si>
    <t>Private junior colleges, colleges, universities, and professional schools(1)</t>
  </si>
  <si>
    <t>6112,3</t>
  </si>
  <si>
    <t>Private business schools and computer and management training(1)</t>
  </si>
  <si>
    <t>Private business and secretarial schools and private computer training(1)</t>
  </si>
  <si>
    <t>61141,2</t>
  </si>
  <si>
    <t>Private professional and management development training(1)</t>
  </si>
  <si>
    <t>Private technical and trade schools(1)</t>
  </si>
  <si>
    <t>Other private schools and instruction(1)</t>
  </si>
  <si>
    <t>Private fine arts schools(1)</t>
  </si>
  <si>
    <t>Private sports and recreation instruction(1)</t>
  </si>
  <si>
    <t>Private language schools and all other private schools and instruction(1)</t>
  </si>
  <si>
    <t>61163,9</t>
  </si>
  <si>
    <t>Private educational support services(1)</t>
  </si>
  <si>
    <t>ISIC 86T88</t>
  </si>
  <si>
    <t>Health care and social assistance</t>
  </si>
  <si>
    <t>Health care(4)</t>
  </si>
  <si>
    <t>621,2,3</t>
  </si>
  <si>
    <t>Ambulatory health care services</t>
  </si>
  <si>
    <t>Offices of physicians</t>
  </si>
  <si>
    <t>Offices of physicians (except mental health specialists)(1)</t>
  </si>
  <si>
    <t>Offices of physicians, mental health specialists(1)</t>
  </si>
  <si>
    <t>Offices of dentists</t>
  </si>
  <si>
    <t>Offices of other health practitioners</t>
  </si>
  <si>
    <t>Offices of chiropractors(1)</t>
  </si>
  <si>
    <t>Offices of optometrists(1)</t>
  </si>
  <si>
    <t>Offices of mental health practitioners (except physicians)(1)</t>
  </si>
  <si>
    <t>Offices of physical, occupational and speech therapists, and audiologists(1)</t>
  </si>
  <si>
    <t>Offices of all other health practitioners(1)</t>
  </si>
  <si>
    <t>Offices of podiatrists(1)</t>
  </si>
  <si>
    <t>Offices of all other miscellaneous health practitioners(1)</t>
  </si>
  <si>
    <t>Outpatient care centers</t>
  </si>
  <si>
    <t>Outpatient mental health and substance abuse centers(1)</t>
  </si>
  <si>
    <t>Other outpatient care centers(1)</t>
  </si>
  <si>
    <t>62141,9</t>
  </si>
  <si>
    <t>HMO medical centers(1)</t>
  </si>
  <si>
    <t>Kidney dialysis centers(1)</t>
  </si>
  <si>
    <t>Freestanding ambulatory surgical and emergency centers(1)</t>
  </si>
  <si>
    <t>Family planning and all other outpatient care centers(1)</t>
  </si>
  <si>
    <t>621410,98</t>
  </si>
  <si>
    <t>Medical and diagnostic laboratories</t>
  </si>
  <si>
    <t>Medical laboratories(1)</t>
  </si>
  <si>
    <t>Diagnostic imaging centers(1)</t>
  </si>
  <si>
    <t>Home health care services</t>
  </si>
  <si>
    <t>Other ambulatory health care services</t>
  </si>
  <si>
    <t>Ambulance services(1)</t>
  </si>
  <si>
    <t>All other ambulatory health care services(1)</t>
  </si>
  <si>
    <t>Blood and organ banks(1)</t>
  </si>
  <si>
    <t>All other miscellaneous ambulatory health care services(1)</t>
  </si>
  <si>
    <t>Hospitals</t>
  </si>
  <si>
    <t>General medical and surgical hospitals(1)</t>
  </si>
  <si>
    <t>Psychiatric and substance abuse hospitals(1)</t>
  </si>
  <si>
    <t>Specialty, except psychiatric and substance abuse, hospitals(1)</t>
  </si>
  <si>
    <t>Nursing and residential care facilities</t>
  </si>
  <si>
    <t>Skilled nursing care facilities</t>
  </si>
  <si>
    <t>Residential intellectual and developmental disability, mental health, and substance abuse facilities</t>
  </si>
  <si>
    <t>Residential intellectual and developmental disability facilities(1)</t>
  </si>
  <si>
    <t>Residential mental health and substance abuse facilities(1)</t>
  </si>
  <si>
    <t>Continuing care retirement communities and assisted living facilities for the elderly</t>
  </si>
  <si>
    <t>Continuing care retirement communities(1)</t>
  </si>
  <si>
    <t>Assisted living facilities for the elderly(1)</t>
  </si>
  <si>
    <t>Other residential care facilities</t>
  </si>
  <si>
    <t>Social assistance</t>
  </si>
  <si>
    <t>Individual and family services</t>
  </si>
  <si>
    <t>Child and youth services(1)</t>
  </si>
  <si>
    <t>Services for the elderly and persons with disabilities(1)</t>
  </si>
  <si>
    <t>Other individual and family services(1)</t>
  </si>
  <si>
    <t>Community food and housing, and emergency and other relief services</t>
  </si>
  <si>
    <t>Community food services(1)</t>
  </si>
  <si>
    <t>Community housing, emergency, and relief services(1)</t>
  </si>
  <si>
    <t>62422,3</t>
  </si>
  <si>
    <t>Vocational rehabilitation services</t>
  </si>
  <si>
    <t>Child care services</t>
  </si>
  <si>
    <t>Leisure and hospitality</t>
  </si>
  <si>
    <t>ISIC 90T93</t>
  </si>
  <si>
    <t>Arts, entertainment, and recreation</t>
  </si>
  <si>
    <t>Performing arts, spectator sports, and related industries</t>
  </si>
  <si>
    <t>Performing arts companies(1)</t>
  </si>
  <si>
    <t>Musical groups and artists(1)</t>
  </si>
  <si>
    <t>Theater, dance, and other performing arts companies and dinner theaters(1)</t>
  </si>
  <si>
    <t>71111,2,9</t>
  </si>
  <si>
    <t>Spectator sports(1)</t>
  </si>
  <si>
    <t>Sports teams and clubs(1)</t>
  </si>
  <si>
    <t>Racetracks and other spectator sports(1)</t>
  </si>
  <si>
    <t>711212,9</t>
  </si>
  <si>
    <t>Arts and sports promoters and agents and managers for public figures(1)</t>
  </si>
  <si>
    <t>7113,4</t>
  </si>
  <si>
    <t>Independent artists, writers, and performers(1)</t>
  </si>
  <si>
    <t>Museums, historical sites, and similar institutions</t>
  </si>
  <si>
    <t>Museums(1)</t>
  </si>
  <si>
    <t>Historical sites, zoos, botanical gardens, nature parks, and other similar institutions(1)</t>
  </si>
  <si>
    <t>71212,3,9</t>
  </si>
  <si>
    <t>Amusement, gambling, and recreation industries</t>
  </si>
  <si>
    <t>Amusement parks and arcades(1)</t>
  </si>
  <si>
    <t>Gambling industries(1)</t>
  </si>
  <si>
    <t>Casinos, except casino hotels(1)</t>
  </si>
  <si>
    <t>Other gambling industries(1)</t>
  </si>
  <si>
    <t>Other amusement and recreation industries(1)</t>
  </si>
  <si>
    <t>Golf courses and country clubs(1)</t>
  </si>
  <si>
    <t>Skiing facilities(1)</t>
  </si>
  <si>
    <t>Marinas(1)</t>
  </si>
  <si>
    <t>Fitness and recreational sports centers(1)</t>
  </si>
  <si>
    <t>Bowling centers(1)</t>
  </si>
  <si>
    <t>All other amusement and recreation industries(1)</t>
  </si>
  <si>
    <t>ISIC 55T56</t>
  </si>
  <si>
    <t>Accommodation and food services</t>
  </si>
  <si>
    <t>Accommodation</t>
  </si>
  <si>
    <t>Traveler accommodation(1)</t>
  </si>
  <si>
    <t>Hotels (except casino hotels) and motels(1)</t>
  </si>
  <si>
    <t>Casino hotels(1)</t>
  </si>
  <si>
    <t>Other traveler accommodation(1)</t>
  </si>
  <si>
    <t>Bed-and-breakfast inns(1)</t>
  </si>
  <si>
    <t>All other traveler accommodation and rooming and boarding houses, dormitories, and workers' camps(1)</t>
  </si>
  <si>
    <t>Recreational vehicle (RV) parks and recreational camps(1)</t>
  </si>
  <si>
    <t>Food services and drinking places</t>
  </si>
  <si>
    <t>Special food services(1)</t>
  </si>
  <si>
    <t>Food service contractors(1)</t>
  </si>
  <si>
    <t>Caterers and mobile food services(1)</t>
  </si>
  <si>
    <t>72232,3</t>
  </si>
  <si>
    <t>Drinking places, alcoholic beverages(1)</t>
  </si>
  <si>
    <t>Restaurants and other eating places(1)</t>
  </si>
  <si>
    <t>Full-service restaurants(1)</t>
  </si>
  <si>
    <t>Limited-service restaurants(1)</t>
  </si>
  <si>
    <t>Cafeterias, grill buffets, and buffets(1)</t>
  </si>
  <si>
    <t>Snack and nonalcoholic beverage bars(1)</t>
  </si>
  <si>
    <t>Other services</t>
  </si>
  <si>
    <t>Repair and maintenance</t>
  </si>
  <si>
    <t>Automotive repair and maintenance(1)</t>
  </si>
  <si>
    <t>Automotive mechanical and electrical repair and maintenance(1)</t>
  </si>
  <si>
    <t>General automotive repair(1)</t>
  </si>
  <si>
    <t>Specialized automotive repair(1)</t>
  </si>
  <si>
    <t>Automotive body, paint, interior, and glass repair(1)</t>
  </si>
  <si>
    <t>Automotive body, paint, and interior repair and maintenance(1)</t>
  </si>
  <si>
    <t>Automotive glass replacement shops(1)</t>
  </si>
  <si>
    <t>Other automotive repair and maintenance(1)</t>
  </si>
  <si>
    <t>Car washes(1)</t>
  </si>
  <si>
    <t>Automotive oil change and lubrication shops and all other automotive repair and maintenance(1)</t>
  </si>
  <si>
    <t>811191,8</t>
  </si>
  <si>
    <t>ISIC 94T96</t>
  </si>
  <si>
    <t>Electronic and precision equipment repair and maintenance(1)</t>
  </si>
  <si>
    <t>Commercial and industrial machinery and equipment (except automotive and electronic) repair and maintenance(1)</t>
  </si>
  <si>
    <t>Personal and household goods repair and maintenance(1)</t>
  </si>
  <si>
    <t>Personal and laundry services</t>
  </si>
  <si>
    <t>Personal care services(1)</t>
  </si>
  <si>
    <t>Hair, nail, and skin care services(1)</t>
  </si>
  <si>
    <t>Barber shops and beauty salons(1)</t>
  </si>
  <si>
    <t>812111,2</t>
  </si>
  <si>
    <t>Nail salons(1)</t>
  </si>
  <si>
    <t>Other personal care services(1)</t>
  </si>
  <si>
    <t>Death care services(1)</t>
  </si>
  <si>
    <t>Funeral homes and funeral services(1)</t>
  </si>
  <si>
    <t>Cemeteries and crematories(1)</t>
  </si>
  <si>
    <t>Drycleaning and laundry services(1)</t>
  </si>
  <si>
    <t>Coin-operated laundries and drycleaners(1)</t>
  </si>
  <si>
    <t>Drycleaning and laundry services, except coin-operated(1)</t>
  </si>
  <si>
    <t>Linen and uniform supply(1)</t>
  </si>
  <si>
    <t>Linen supply(1)</t>
  </si>
  <si>
    <t>Industrial launderers(1)</t>
  </si>
  <si>
    <t>Other personal services(1)</t>
  </si>
  <si>
    <t>Pet care (except veterinary) services(1)</t>
  </si>
  <si>
    <t>Parking lots and garages(1)</t>
  </si>
  <si>
    <t>Photofinishing and all other personal services(1)</t>
  </si>
  <si>
    <t>81292,9</t>
  </si>
  <si>
    <t>Religious, grantmaking, civic, professional, and similar organizations</t>
  </si>
  <si>
    <t>Grantmaking and giving services(1)</t>
  </si>
  <si>
    <t>Grantmaking foundations(1)</t>
  </si>
  <si>
    <t>Voluntary health organizations(1)</t>
  </si>
  <si>
    <t>Other grantmaking and giving services(1)</t>
  </si>
  <si>
    <t>Social advocacy organizations(1)</t>
  </si>
  <si>
    <t>Human rights organizations(1)</t>
  </si>
  <si>
    <t>Environment, conservation, wildlife, and other social advocacy organizations(1)</t>
  </si>
  <si>
    <t>813312,9</t>
  </si>
  <si>
    <t>Civic and social organizations(1)</t>
  </si>
  <si>
    <t>Business, professional, labor, political, and similar organizations(1)</t>
  </si>
  <si>
    <t>Business associations(1)</t>
  </si>
  <si>
    <t>Professional organizations(1)</t>
  </si>
  <si>
    <t>Labor unions and similar labor organizations(1)</t>
  </si>
  <si>
    <t>Political and other similar organizations (except business, professional, and labor organizations)(1)</t>
  </si>
  <si>
    <t>81394,9</t>
  </si>
  <si>
    <t>ISIC 84</t>
  </si>
  <si>
    <t>Government</t>
  </si>
  <si>
    <t>Federal</t>
  </si>
  <si>
    <t>Federal, except U.S. Postal Service</t>
  </si>
  <si>
    <t>Federal hospitals(1)</t>
  </si>
  <si>
    <t>Department of Defense(1)</t>
  </si>
  <si>
    <t>U.S. Postal Service(5)</t>
  </si>
  <si>
    <t>Other Federal government(1)</t>
  </si>
  <si>
    <t>State government</t>
  </si>
  <si>
    <t>State government education</t>
  </si>
  <si>
    <t>State government, excluding education</t>
  </si>
  <si>
    <t>State hospitals(1)</t>
  </si>
  <si>
    <t>State government general administration(1)</t>
  </si>
  <si>
    <t>Other State government(1)</t>
  </si>
  <si>
    <t>Local government</t>
  </si>
  <si>
    <t>Local government education</t>
  </si>
  <si>
    <t>Local government, excluding education</t>
  </si>
  <si>
    <t>Local government utilities(1)</t>
  </si>
  <si>
    <t>Local government transportation(1)</t>
  </si>
  <si>
    <t>Local hospitals(1)</t>
  </si>
  <si>
    <t>Local government general administration(1)</t>
  </si>
  <si>
    <t>Other local government(1)</t>
  </si>
  <si>
    <t>BLS Employment Projections Table 2.11 (2024 matrix) — agriculture-block employment, for splitting the CPS farm-sector total across ISIC 01/02/03 (CES rows already cover logging &amp; ag support)</t>
  </si>
  <si>
    <t>Matrix code</t>
  </si>
  <si>
    <t>Employment 2024 (000s)</t>
  </si>
  <si>
    <t>111000</t>
  </si>
  <si>
    <t>Crop production</t>
  </si>
  <si>
    <t>112000</t>
  </si>
  <si>
    <t>Animal production and aquaculture</t>
  </si>
  <si>
    <t>1131-2</t>
  </si>
  <si>
    <t>Forestry</t>
  </si>
  <si>
    <t>114000</t>
  </si>
  <si>
    <t>Fishing, hunting and trapping</t>
  </si>
  <si>
    <t>Share to ISIC 01 (farming)</t>
  </si>
  <si>
    <t>Share to ISIC 02 (forestry)</t>
  </si>
  <si>
    <t>Share to ISIC 03 (fishing)</t>
  </si>
  <si>
    <t>Transport modes (for splitting the CES 'Transportation and warehousing' supersector row)</t>
  </si>
  <si>
    <t>482000</t>
  </si>
  <si>
    <t>484000</t>
  </si>
  <si>
    <t>485000</t>
  </si>
  <si>
    <t>483000</t>
  </si>
  <si>
    <t>481000</t>
  </si>
  <si>
    <t>48A000</t>
  </si>
  <si>
    <t>493000</t>
  </si>
  <si>
    <t>492000</t>
  </si>
  <si>
    <t>486000</t>
  </si>
  <si>
    <t>Share to ISIC 49</t>
  </si>
  <si>
    <t>Share to ISIC 50</t>
  </si>
  <si>
    <t>Share to ISIC 51</t>
  </si>
  <si>
    <t>Share to ISIC 52</t>
  </si>
  <si>
    <t>Share to ISIC 53</t>
  </si>
  <si>
    <t>Share to ISIC 352T353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</si>
  <si>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</si>
  <si>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</si>
  <si>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</si>
  <si>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</si>
  <si>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</si>
  <si>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</si>
  <si>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</si>
  <si>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</si>
  <si>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</si>
  <si>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</si>
  <si>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</si>
  <si>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</si>
  <si>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</si>
  <si>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</si>
  <si>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</si>
  <si>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</si>
  <si>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</si>
  <si>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</si>
  <si>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</si>
  <si>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</si>
  <si>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</si>
  <si>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</si>
  <si>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</si>
  <si>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</si>
  <si>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</si>
  <si>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ISIC 01</t>
  </si>
  <si>
    <t xml:space="preserve">      Animal production and aquaculture</t>
  </si>
  <si>
    <t xml:space="preserve">      Forestry and logging</t>
  </si>
  <si>
    <t>113000</t>
  </si>
  <si>
    <t xml:space="preserve">        Forestry</t>
  </si>
  <si>
    <t xml:space="preserve">        Logging</t>
  </si>
  <si>
    <t>113300</t>
  </si>
  <si>
    <t xml:space="preserve">      Fishing, hunting and trapping</t>
  </si>
  <si>
    <t>ISIC 03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</si>
  <si>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</si>
  <si>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</si>
  <si>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</si>
  <si>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</si>
  <si>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</si>
  <si>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</si>
  <si>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</si>
  <si>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</si>
  <si>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</si>
  <si>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</si>
  <si>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</si>
  <si>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</si>
  <si>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</si>
  <si>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</si>
  <si>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</si>
  <si>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</si>
  <si>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</si>
  <si>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</si>
  <si>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</si>
  <si>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</si>
  <si>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</si>
  <si>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</si>
  <si>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</si>
  <si>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</si>
  <si>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</si>
  <si>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</si>
  <si>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</si>
  <si>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</si>
  <si>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</si>
  <si>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</si>
  <si>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</si>
  <si>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</si>
  <si>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</si>
  <si>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</si>
  <si>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</si>
  <si>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</si>
  <si>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</si>
  <si>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</si>
  <si>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</si>
  <si>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</si>
  <si>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</si>
  <si>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</si>
  <si>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</si>
  <si>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</si>
  <si>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</si>
  <si>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</si>
  <si>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</si>
  <si>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</si>
  <si>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</si>
  <si>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</si>
  <si>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</si>
  <si>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</si>
  <si>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</si>
  <si>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</si>
  <si>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</si>
  <si>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</si>
  <si>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</si>
  <si>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</si>
  <si>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</si>
  <si>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</si>
  <si>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</si>
  <si>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</si>
  <si>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</si>
  <si>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</si>
  <si>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</si>
  <si>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</si>
  <si>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</si>
  <si>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</si>
  <si>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</si>
  <si>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</si>
  <si>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</si>
  <si>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</si>
  <si>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</si>
  <si>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</si>
  <si>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</si>
  <si>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</si>
  <si>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</si>
  <si>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</si>
  <si>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</si>
  <si>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</si>
  <si>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</si>
  <si>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</si>
  <si>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</si>
  <si>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</si>
  <si>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</si>
  <si>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</si>
  <si>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</si>
  <si>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</si>
  <si>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</si>
  <si>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</si>
  <si>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</si>
  <si>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</si>
  <si>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</si>
  <si>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</si>
  <si>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</si>
  <si>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</si>
  <si>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</si>
  <si>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</si>
  <si>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</si>
  <si>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</si>
  <si>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</si>
  <si>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</si>
  <si>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</si>
  <si>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</si>
  <si>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</si>
  <si>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</si>
  <si>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</si>
  <si>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</si>
  <si>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</si>
  <si>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</si>
  <si>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</si>
  <si>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</si>
  <si>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</si>
  <si>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</si>
  <si>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</si>
  <si>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</si>
  <si>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</si>
  <si>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</si>
  <si>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</si>
  <si>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</si>
  <si>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</si>
  <si>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</si>
  <si>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</si>
  <si>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</si>
  <si>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</si>
  <si>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</si>
  <si>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</si>
  <si>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</si>
  <si>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</si>
  <si>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</si>
  <si>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</si>
  <si>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</si>
  <si>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</si>
  <si>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</si>
  <si>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</si>
  <si>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</si>
  <si>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</si>
  <si>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</si>
  <si>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</si>
  <si>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</si>
  <si>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</si>
  <si>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</si>
  <si>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</si>
  <si>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</si>
  <si>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</si>
  <si>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</si>
  <si>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</si>
  <si>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</si>
  <si>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</si>
  <si>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</si>
  <si>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</si>
  <si>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</si>
  <si>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</si>
  <si>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</si>
  <si>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</si>
  <si>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</si>
  <si>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</si>
  <si>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</si>
  <si>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</si>
  <si>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</si>
  <si>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</si>
  <si>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</si>
  <si>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</si>
  <si>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</si>
  <si>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</si>
  <si>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</si>
  <si>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</si>
  <si>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</si>
  <si>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</si>
  <si>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</si>
  <si>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</si>
  <si>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</si>
  <si>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</si>
  <si>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</si>
  <si>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</si>
  <si>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</si>
  <si>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</si>
  <si>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</si>
  <si>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</si>
  <si>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</si>
  <si>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</si>
  <si>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</si>
  <si>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</si>
  <si>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</si>
  <si>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</si>
  <si>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</si>
  <si>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</si>
  <si>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</si>
  <si>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</si>
  <si>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</si>
  <si>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</si>
  <si>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</si>
  <si>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</si>
  <si>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</si>
  <si>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</si>
  <si>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</si>
  <si>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</si>
  <si>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</si>
  <si>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</si>
  <si>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</si>
  <si>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</si>
  <si>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</si>
  <si>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</si>
  <si>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</si>
  <si>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</si>
  <si>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</si>
  <si>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</si>
  <si>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</si>
  <si>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</si>
  <si>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</si>
  <si>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</si>
  <si>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</si>
  <si>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</si>
  <si>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</si>
  <si>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</si>
  <si>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</si>
  <si>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</si>
  <si>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</si>
  <si>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</si>
  <si>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</si>
  <si>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</si>
  <si>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</si>
  <si>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</si>
  <si>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</si>
  <si>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</si>
  <si>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</si>
  <si>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</si>
  <si>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</si>
  <si>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</si>
  <si>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</si>
  <si>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</si>
  <si>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</si>
  <si>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</si>
  <si>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</si>
  <si>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</si>
  <si>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</si>
  <si>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</si>
  <si>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</si>
  <si>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</si>
  <si>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</si>
  <si>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</si>
  <si>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</si>
  <si>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</si>
  <si>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</si>
  <si>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</si>
  <si>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</si>
  <si>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</si>
  <si>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</si>
  <si>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</si>
  <si>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</si>
  <si>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</si>
  <si>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</si>
  <si>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</si>
  <si>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</si>
  <si>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</si>
  <si>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</si>
  <si>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</si>
  <si>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</si>
  <si>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</si>
  <si>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</si>
  <si>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</si>
  <si>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</si>
  <si>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</si>
  <si>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</si>
  <si>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</si>
  <si>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</si>
  <si>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</si>
  <si>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</si>
  <si>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</si>
  <si>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</si>
  <si>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</si>
  <si>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</si>
  <si>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</si>
  <si>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</si>
  <si>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</si>
  <si>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</si>
  <si>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</si>
  <si>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</si>
  <si>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</si>
  <si>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</si>
  <si>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</si>
  <si>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</si>
  <si>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</si>
  <si>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</si>
  <si>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</si>
  <si>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</si>
  <si>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</si>
  <si>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</si>
  <si>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</si>
  <si>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</si>
  <si>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</si>
  <si>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</si>
  <si>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</si>
  <si>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</si>
  <si>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</si>
  <si>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</si>
  <si>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</si>
  <si>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</si>
  <si>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</si>
  <si>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</si>
  <si>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</si>
  <si>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</si>
  <si>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</si>
  <si>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</si>
  <si>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</si>
  <si>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</si>
  <si>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</si>
  <si>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</si>
  <si>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</si>
  <si>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</si>
  <si>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</si>
  <si>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</si>
  <si>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</si>
  <si>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</si>
  <si>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</si>
  <si>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</si>
  <si>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</si>
  <si>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</si>
  <si>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</si>
  <si>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</si>
  <si>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</si>
  <si>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</si>
  <si>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</si>
  <si>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</si>
  <si>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</si>
  <si>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</si>
  <si>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</si>
  <si>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</si>
  <si>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</si>
  <si>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</si>
  <si>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</si>
  <si>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</si>
  <si>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</si>
  <si>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</si>
  <si>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</si>
  <si>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</si>
  <si>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</si>
  <si>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</si>
  <si>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</si>
  <si>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</si>
  <si>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</si>
  <si>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</si>
  <si>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</si>
  <si>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</si>
  <si>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</si>
  <si>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ISIC 51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</si>
  <si>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</si>
  <si>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</si>
  <si>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</si>
  <si>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</si>
  <si>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</si>
  <si>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ISIC 49</t>
  </si>
  <si>
    <t xml:space="preserve">      Water transportation</t>
  </si>
  <si>
    <t>ISIC 50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</si>
  <si>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</si>
  <si>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</si>
  <si>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</si>
  <si>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</si>
  <si>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</si>
  <si>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 xml:space="preserve">      Transit and ground passenger transportation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</si>
  <si>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</si>
  <si>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</si>
  <si>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</si>
  <si>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</si>
  <si>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</si>
  <si>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</si>
  <si>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</si>
  <si>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</si>
  <si>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</si>
  <si>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</si>
  <si>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</si>
  <si>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</si>
  <si>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</si>
  <si>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</si>
  <si>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</si>
  <si>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</si>
  <si>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</si>
  <si>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</si>
  <si>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</si>
  <si>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</si>
  <si>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</si>
  <si>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>ISIC 52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</si>
  <si>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</si>
  <si>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</si>
  <si>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</si>
  <si>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</si>
  <si>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</si>
  <si>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</si>
  <si>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</si>
  <si>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</si>
  <si>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</si>
  <si>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</si>
  <si>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</si>
  <si>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</si>
  <si>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</si>
  <si>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</si>
  <si>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</si>
  <si>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</si>
  <si>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</si>
  <si>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</si>
  <si>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</si>
  <si>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</si>
  <si>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</si>
  <si>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</si>
  <si>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</si>
  <si>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ISIC 53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</si>
  <si>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</si>
  <si>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</si>
  <si>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</si>
  <si>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</si>
  <si>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</si>
  <si>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</si>
  <si>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</si>
  <si>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</si>
  <si>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</si>
  <si>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</si>
  <si>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</si>
  <si>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</si>
  <si>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</si>
  <si>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</si>
  <si>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</si>
  <si>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</si>
  <si>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</si>
  <si>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</si>
  <si>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</si>
  <si>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</si>
  <si>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</si>
  <si>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</si>
  <si>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</si>
  <si>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</si>
  <si>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</si>
  <si>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</si>
  <si>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</si>
  <si>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</si>
  <si>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</si>
  <si>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</si>
  <si>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</si>
  <si>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</si>
  <si>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</si>
  <si>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</si>
  <si>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</si>
  <si>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</si>
  <si>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</si>
  <si>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</si>
  <si>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</si>
  <si>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</si>
  <si>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</si>
  <si>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</si>
  <si>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</si>
  <si>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</si>
  <si>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</si>
  <si>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</si>
  <si>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</si>
  <si>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</si>
  <si>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</si>
  <si>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</si>
  <si>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</si>
  <si>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</si>
  <si>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</si>
  <si>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</si>
  <si>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</si>
  <si>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</si>
  <si>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</si>
  <si>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</si>
  <si>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</si>
  <si>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</si>
  <si>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</si>
  <si>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</si>
  <si>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</si>
  <si>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</si>
  <si>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</si>
  <si>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</si>
  <si>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</si>
  <si>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</si>
  <si>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</si>
  <si>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</si>
  <si>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</si>
  <si>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</si>
  <si>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</si>
  <si>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</si>
  <si>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</si>
  <si>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</si>
  <si>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</si>
  <si>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</si>
  <si>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</si>
  <si>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</si>
  <si>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</si>
  <si>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</si>
  <si>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</si>
  <si>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</si>
  <si>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</si>
  <si>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</si>
  <si>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</si>
  <si>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</si>
  <si>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</si>
  <si>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</si>
  <si>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</si>
  <si>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</si>
  <si>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</si>
  <si>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</si>
  <si>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</si>
  <si>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</si>
  <si>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</si>
  <si>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</si>
  <si>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</si>
  <si>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</si>
  <si>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</si>
  <si>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</si>
  <si>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</si>
  <si>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</si>
  <si>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</si>
  <si>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</si>
  <si>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</si>
  <si>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</si>
  <si>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</si>
  <si>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</si>
  <si>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</si>
  <si>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</si>
  <si>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</si>
  <si>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</si>
  <si>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</si>
  <si>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</si>
  <si>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</si>
  <si>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</si>
  <si>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</si>
  <si>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</si>
  <si>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</si>
  <si>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</si>
  <si>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</si>
  <si>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</si>
  <si>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</si>
  <si>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</si>
  <si>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</si>
  <si>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</si>
  <si>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</si>
  <si>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</si>
  <si>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</si>
  <si>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</si>
  <si>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</si>
  <si>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</si>
  <si>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</si>
  <si>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</si>
  <si>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</si>
  <si>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</si>
  <si>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</si>
  <si>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</si>
  <si>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</si>
  <si>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</si>
  <si>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</si>
  <si>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</si>
  <si>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</si>
  <si>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</si>
  <si>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</si>
  <si>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</si>
  <si>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</si>
  <si>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</si>
  <si>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</si>
  <si>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</si>
  <si>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</si>
  <si>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</si>
  <si>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</si>
  <si>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</si>
  <si>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</si>
  <si>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</si>
  <si>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</si>
  <si>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</si>
  <si>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</si>
  <si>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</si>
  <si>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</si>
  <si>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</si>
  <si>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</si>
  <si>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</si>
  <si>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</si>
  <si>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</si>
  <si>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</si>
  <si>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</si>
  <si>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</si>
  <si>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</si>
  <si>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</si>
  <si>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</si>
  <si>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</si>
  <si>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</si>
  <si>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</si>
  <si>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</si>
  <si>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</si>
  <si>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</si>
  <si>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</si>
  <si>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</si>
  <si>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</si>
  <si>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</si>
  <si>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</si>
  <si>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</si>
  <si>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</si>
  <si>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</si>
  <si>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</si>
  <si>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</si>
  <si>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</si>
  <si>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</si>
  <si>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</si>
  <si>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</si>
  <si>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</si>
  <si>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</si>
  <si>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</si>
  <si>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</si>
  <si>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</si>
  <si>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</si>
  <si>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</si>
  <si>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</si>
  <si>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</si>
  <si>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</si>
  <si>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</si>
  <si>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</si>
  <si>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</si>
  <si>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</si>
  <si>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</si>
  <si>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</si>
  <si>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</si>
  <si>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</si>
  <si>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</si>
  <si>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</si>
  <si>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</si>
  <si>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</si>
  <si>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</si>
  <si>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</si>
  <si>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</si>
  <si>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</si>
  <si>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</si>
  <si>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</si>
  <si>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</si>
  <si>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</si>
  <si>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</si>
  <si>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</si>
  <si>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</si>
  <si>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</si>
  <si>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</si>
  <si>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</si>
  <si>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</si>
  <si>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</si>
  <si>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</si>
  <si>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</si>
  <si>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</si>
  <si>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</si>
  <si>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</si>
  <si>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</si>
  <si>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</si>
  <si>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</si>
  <si>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</si>
  <si>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</si>
  <si>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</si>
  <si>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</si>
  <si>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</si>
  <si>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</si>
  <si>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</si>
  <si>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</si>
  <si>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</si>
  <si>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</si>
  <si>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</si>
  <si>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</si>
  <si>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</si>
  <si>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</si>
  <si>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</si>
  <si>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</si>
  <si>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</si>
  <si>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</si>
  <si>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</si>
  <si>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</si>
  <si>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</si>
  <si>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</si>
  <si>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</si>
  <si>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</si>
  <si>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</si>
  <si>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</si>
  <si>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</si>
  <si>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</si>
  <si>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</si>
  <si>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</si>
  <si>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</si>
  <si>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</si>
  <si>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</si>
  <si>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</si>
  <si>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</si>
  <si>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</si>
  <si>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</si>
  <si>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</si>
  <si>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</si>
  <si>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</si>
  <si>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</si>
  <si>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</si>
  <si>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</si>
  <si>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</si>
  <si>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</si>
  <si>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</si>
  <si>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</si>
  <si>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</si>
  <si>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</si>
  <si>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</si>
  <si>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</si>
  <si>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</si>
  <si>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</si>
  <si>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</si>
  <si>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</si>
  <si>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</si>
  <si>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</si>
  <si>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</si>
  <si>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</si>
  <si>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</si>
  <si>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</si>
  <si>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</si>
  <si>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</si>
  <si>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</si>
  <si>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</si>
  <si>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</si>
  <si>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</si>
  <si>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</si>
  <si>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</si>
  <si>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</si>
  <si>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</si>
  <si>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</si>
  <si>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</si>
  <si>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</si>
  <si>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</si>
  <si>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</si>
  <si>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</si>
  <si>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</si>
  <si>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</si>
  <si>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</si>
  <si>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</si>
  <si>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</si>
  <si>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</si>
  <si>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</si>
  <si>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</si>
  <si>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</si>
  <si>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</si>
  <si>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</si>
  <si>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</si>
  <si>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</si>
  <si>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</si>
  <si>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</si>
  <si>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</si>
  <si>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</si>
  <si>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</si>
  <si>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</si>
  <si>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</si>
  <si>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</si>
  <si>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</si>
  <si>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</si>
  <si>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</si>
  <si>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</si>
  <si>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</si>
  <si>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</si>
  <si>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</si>
  <si>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</si>
  <si>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</si>
  <si>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</si>
  <si>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</si>
  <si>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</si>
  <si>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</si>
  <si>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</si>
  <si>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</si>
  <si>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</si>
  <si>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</si>
  <si>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</si>
  <si>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</si>
  <si>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</si>
  <si>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</si>
  <si>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</si>
  <si>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</si>
  <si>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</si>
  <si>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</si>
  <si>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</si>
  <si>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</si>
  <si>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</si>
  <si>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</si>
  <si>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</si>
  <si>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</si>
  <si>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</si>
  <si>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</si>
  <si>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</si>
  <si>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</si>
  <si>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</si>
  <si>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</si>
  <si>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</si>
  <si>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</si>
  <si>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</si>
  <si>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</si>
  <si>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</si>
  <si>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</si>
  <si>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</si>
  <si>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</si>
  <si>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</si>
  <si>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</si>
  <si>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</si>
  <si>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</si>
  <si>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</si>
  <si>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</si>
  <si>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</si>
  <si>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</si>
  <si>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</si>
  <si>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</si>
  <si>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</si>
  <si>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</si>
  <si>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</si>
  <si>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</si>
  <si>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</si>
  <si>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</si>
  <si>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</si>
  <si>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</si>
  <si>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</si>
  <si>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</si>
  <si>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</si>
  <si>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</si>
  <si>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</si>
  <si>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</si>
  <si>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</si>
  <si>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</si>
  <si>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</si>
  <si>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</si>
  <si>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</si>
  <si>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</si>
  <si>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</si>
  <si>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</si>
  <si>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</si>
  <si>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</si>
  <si>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</si>
  <si>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</si>
  <si>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</si>
  <si>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</si>
  <si>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</si>
  <si>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</si>
  <si>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</si>
  <si>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</si>
  <si>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</si>
  <si>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</si>
  <si>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</si>
  <si>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</si>
  <si>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</si>
  <si>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</si>
  <si>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</si>
  <si>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</si>
  <si>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</si>
  <si>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</si>
  <si>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</si>
  <si>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</si>
  <si>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</si>
  <si>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</si>
  <si>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</si>
  <si>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</si>
  <si>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</si>
  <si>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</si>
  <si>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</si>
  <si>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</si>
  <si>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</si>
  <si>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</si>
  <si>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</si>
  <si>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</si>
  <si>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</si>
  <si>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</si>
  <si>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</si>
  <si>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</si>
  <si>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</si>
  <si>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</si>
  <si>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</si>
  <si>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</si>
  <si>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</si>
  <si>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</si>
  <si>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</si>
  <si>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</si>
  <si>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</si>
  <si>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</si>
  <si>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</si>
  <si>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</si>
  <si>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</si>
  <si>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</si>
  <si>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</si>
  <si>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</si>
  <si>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</si>
  <si>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</si>
  <si>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</si>
  <si>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</si>
  <si>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</si>
  <si>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</si>
  <si>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</si>
  <si>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</si>
  <si>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</si>
  <si>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</si>
  <si>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</si>
  <si>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</si>
  <si>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</si>
  <si>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</si>
  <si>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</si>
  <si>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Printing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</si>
  <si>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</si>
  <si>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</si>
  <si>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</si>
  <si>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</si>
  <si>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</si>
  <si>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</si>
  <si>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</si>
  <si>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</si>
  <si>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</si>
  <si>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</si>
  <si>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</si>
  <si>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</si>
  <si>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</si>
  <si>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</si>
  <si>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</si>
  <si>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</si>
  <si>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</si>
  <si>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</si>
  <si>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</si>
  <si>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</si>
  <si>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</si>
  <si>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</si>
  <si>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</si>
  <si>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</si>
  <si>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</si>
  <si>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</si>
  <si>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</si>
  <si>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</si>
  <si>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</si>
  <si>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</si>
  <si>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</si>
  <si>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</si>
  <si>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</si>
  <si>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</si>
  <si>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</si>
  <si>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</si>
  <si>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</si>
  <si>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</si>
  <si>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</si>
  <si>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</si>
  <si>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</si>
  <si>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</si>
  <si>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</si>
  <si>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</si>
  <si>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</si>
  <si>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</si>
  <si>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</si>
  <si>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</si>
  <si>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</si>
  <si>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</si>
  <si>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</si>
  <si>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</si>
  <si>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</si>
  <si>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</si>
  <si>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</si>
  <si>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</si>
  <si>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</si>
  <si>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</si>
  <si>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</si>
  <si>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</si>
  <si>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</si>
  <si>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</si>
  <si>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</si>
  <si>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</si>
  <si>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</si>
  <si>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</si>
  <si>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</si>
  <si>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</si>
  <si>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</si>
  <si>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</si>
  <si>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</si>
  <si>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</si>
  <si>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</si>
  <si>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</si>
  <si>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</si>
  <si>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</si>
  <si>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</si>
  <si>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</si>
  <si>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</si>
  <si>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</si>
  <si>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</si>
  <si>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</si>
  <si>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</si>
  <si>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</si>
  <si>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</si>
  <si>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</si>
  <si>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</si>
  <si>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</si>
  <si>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</si>
  <si>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</si>
  <si>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</si>
  <si>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</si>
  <si>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</si>
  <si>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</si>
  <si>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Machinery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</si>
  <si>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</si>
  <si>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</si>
  <si>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</si>
  <si>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</si>
  <si>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</si>
  <si>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</si>
  <si>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</si>
  <si>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</si>
  <si>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</si>
  <si>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</si>
  <si>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</si>
  <si>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</si>
  <si>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</si>
  <si>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</si>
  <si>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</si>
  <si>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</si>
  <si>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</si>
  <si>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</si>
  <si>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</si>
  <si>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</si>
  <si>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</si>
  <si>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</si>
  <si>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</si>
  <si>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</si>
  <si>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</si>
  <si>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</si>
  <si>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</si>
  <si>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</si>
  <si>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</si>
  <si>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</si>
  <si>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</si>
  <si>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</si>
  <si>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</si>
  <si>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</si>
  <si>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</si>
  <si>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</si>
  <si>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</si>
  <si>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</si>
  <si>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</si>
  <si>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</si>
  <si>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</si>
  <si>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</si>
  <si>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</si>
  <si>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</si>
  <si>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</si>
  <si>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</si>
  <si>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</si>
  <si>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</si>
  <si>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</si>
  <si>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</si>
  <si>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</si>
  <si>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</si>
  <si>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</si>
  <si>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</si>
  <si>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</si>
  <si>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</si>
  <si>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</si>
  <si>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</si>
  <si>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</si>
  <si>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</si>
  <si>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</si>
  <si>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</si>
  <si>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</si>
  <si>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</si>
  <si>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</si>
  <si>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</si>
  <si>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</si>
  <si>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</si>
  <si>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</si>
  <si>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</si>
  <si>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</si>
  <si>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</si>
  <si>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</si>
  <si>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</si>
  <si>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</si>
  <si>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</si>
  <si>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</si>
  <si>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</si>
  <si>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</si>
  <si>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</si>
  <si>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</si>
  <si>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</si>
  <si>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</si>
  <si>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</si>
  <si>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</si>
  <si>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</si>
  <si>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</si>
  <si>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</si>
  <si>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</si>
  <si>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</si>
  <si>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</si>
  <si>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</si>
  <si>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</si>
  <si>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</si>
  <si>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</si>
  <si>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</si>
  <si>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</si>
  <si>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</si>
  <si>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</si>
  <si>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</si>
  <si>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</si>
  <si>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</si>
  <si>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</si>
  <si>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</si>
  <si>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</si>
  <si>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</si>
  <si>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</si>
  <si>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</si>
  <si>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</si>
  <si>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</si>
  <si>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 IsDisplayed="true"&gt;&lt;Name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</si>
  <si>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Dataset: Productivity and ULC by main economic activity (ISIC Rev.4)</t>
  </si>
  <si>
    <t>Subject</t>
  </si>
  <si>
    <t>Gross value added per person employed, constant prices</t>
  </si>
  <si>
    <t>Activity</t>
  </si>
  <si>
    <t>BDE: Mining and utilities</t>
  </si>
  <si>
    <t>Time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</si>
  <si>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</si>
  <si>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</si>
  <si>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</si>
  <si>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</si>
  <si>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</si>
  <si>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</si>
  <si>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</si>
  <si>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</si>
  <si>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</si>
  <si>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</si>
  <si>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</si>
  <si>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</si>
  <si>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</si>
  <si>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</si>
  <si>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</si>
  <si>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</si>
  <si>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</si>
  <si>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</si>
  <si>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</si>
  <si>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</si>
  <si>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</si>
  <si>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</si>
  <si>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</si>
  <si>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</si>
  <si>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</si>
  <si>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Measure</t>
  </si>
  <si>
    <t>Annual growth/change</t>
  </si>
  <si>
    <t>Unit</t>
  </si>
  <si>
    <t>Percentage</t>
  </si>
  <si>
    <t>Country</t>
  </si>
  <si>
    <t>Australia</t>
  </si>
  <si>
    <t>..</t>
  </si>
  <si>
    <t>Austria</t>
  </si>
  <si>
    <t>Belgium</t>
  </si>
  <si>
    <t>Canada</t>
  </si>
  <si>
    <t>Chile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</si>
  <si>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</si>
  <si>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</si>
  <si>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</si>
  <si>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</si>
  <si>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</si>
  <si>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</si>
  <si>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</si>
  <si>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</si>
  <si>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</si>
  <si>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</si>
  <si>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</si>
  <si>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</si>
  <si>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</si>
  <si>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</si>
  <si>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</si>
  <si>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</si>
  <si>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</si>
  <si>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Mexico</t>
  </si>
  <si>
    <t>Netherlands</t>
  </si>
  <si>
    <t>New Zealand</t>
  </si>
  <si>
    <t>Norway</t>
  </si>
  <si>
    <t>Poland</t>
  </si>
  <si>
    <t>Portugal</t>
  </si>
  <si>
    <t>Slovak Republic</t>
  </si>
  <si>
    <t>Slovenia</t>
  </si>
  <si>
    <t>Spain</t>
  </si>
  <si>
    <t>Sweden</t>
  </si>
  <si>
    <t>Switzerland</t>
  </si>
  <si>
    <t>United Kingdom</t>
  </si>
  <si>
    <t>United States</t>
  </si>
  <si>
    <t>Euro area (19 countries)</t>
  </si>
  <si>
    <t>European Union (28 countries)</t>
  </si>
  <si>
    <t>Non-OECD Economies</t>
  </si>
  <si>
    <t xml:space="preserve">  Brazil</t>
  </si>
  <si>
    <t xml:space="preserve">  Costa Rica</t>
  </si>
  <si>
    <t>Data extracted on 04 Jun 2020 21:30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</si>
  <si>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 IsDisplayed="true"&gt;&lt;Name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</si>
  <si>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C: Manufacturing</t>
  </si>
  <si>
    <t>Data extracted on 04 Jun 2020 21:28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</si>
  <si>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 IsDisplayed="true"&gt;&lt;Name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</si>
  <si>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F: Construction</t>
  </si>
  <si>
    <t>Data extracted on 04 Jun 2020 21:26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</si>
  <si>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 IsDisplayed="true"&gt;&lt;Name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</si>
  <si>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G_I: Wholesale retail trade accommodation food services, transportation and storage</t>
  </si>
  <si>
    <t>i</t>
  </si>
  <si>
    <t>Data extracted on 04 Jun 2020 21:36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</si>
  <si>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 IsDisplayed="true"&gt;&lt;Name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</si>
  <si>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J: Information and communication</t>
  </si>
  <si>
    <t>Data extracted on 04 Jun 2020 21:39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</si>
  <si>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 IsDisplayed="true"&gt;&lt;Name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</si>
  <si>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K: Financial and insurance activities</t>
  </si>
  <si>
    <t>Data extracted on 04 Jun 2020 21:42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</si>
  <si>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 IsDisplayed="true"&gt;&lt;Name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</si>
  <si>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MN: Professional, scientific and technical activities, Administrative and support service activities</t>
  </si>
  <si>
    <t>Data extracted on 04 Jun 2020 21:47 UTC (GMT) from OECD.Stat</t>
  </si>
  <si>
    <t>IT-year convention: BEbIC (non-SY) = 2025 employment = 2024 data x (1+g2025)/(1+LP2025). Row 3 = live g2025; row 4 = labor-productivity growth from the embedded OECD group tabs; row 5 = per-52-code 2025 employment (2024 base x growth); row 6 = 42-code parent. The BEbIC output tab sums row 5 by row 6.</t>
  </si>
  <si>
    <t>g2025 (output)</t>
  </si>
  <si>
    <t>LP growth 2025</t>
  </si>
  <si>
    <t>2025 employment (jobs)</t>
  </si>
  <si>
    <t>EPS42 parent</t>
  </si>
  <si>
    <t>ISIC 07T08</t>
  </si>
  <si>
    <t>ISIC 30</t>
  </si>
  <si>
    <t>ISIC 49T53</t>
  </si>
  <si>
    <t>ISIC 69T82</t>
  </si>
  <si>
    <t>ISIC 90T96</t>
  </si>
  <si>
    <t>Validation checks</t>
  </si>
  <si>
    <t>CPS ag split shares sum to 1</t>
  </si>
  <si>
    <t>Total employment (sum of 42 output row, jobs)</t>
  </si>
  <si>
    <t>Level conservation: sum of 42 outputs = sum of per-52-code 2025 employment (collapse must not add/drop jobs)</t>
  </si>
  <si>
    <t>BLS CONTROL TOTAL (2024 basis): all assigned CES rows + CPS farm + IPUMS households vs published CES Total nonfarm + CPS farm + households — catches double-counted or missed CES rows</t>
  </si>
  <si>
    <t>assigned total (2024)</t>
  </si>
  <si>
    <t>control total (CES Total nonfarm x1000 + CPS farm + households)</t>
  </si>
  <si>
    <t>relative gap</t>
  </si>
  <si>
    <t>Unit: jobs</t>
  </si>
  <si>
    <t>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</si>
</sst>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da.usa.ipums.org/sdaweb/analysis/?dataset=all_usa_samples" TargetMode="External"/><Relationship Id="rId2" Type="http://schemas.openxmlformats.org/officeDocument/2006/relationships/hyperlink" Target="https://www.bls.gov/cps/cpsaat15.htm" TargetMode="External"/><Relationship Id="rId1" Type="http://schemas.openxmlformats.org/officeDocument/2006/relationships/hyperlink" Target="https://www.bls.gov/ces/data/employment-and-earnings/2024/table1a_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B4" s="4" t="s">
        <v>3</v>
      </c>
    </row>
    <row r="5" spans="1:2" x14ac:dyDescent="0.25">
      <c r="B5" s="4" t="s">
        <v>4</v>
      </c>
    </row>
    <row r="6" spans="1:2" x14ac:dyDescent="0.25">
      <c r="B6" s="4">
        <v>2024</v>
      </c>
    </row>
    <row r="7" spans="1:2" x14ac:dyDescent="0.25">
      <c r="B7" s="5" t="s">
        <v>5</v>
      </c>
    </row>
    <row r="8" spans="1:2" ht="45" x14ac:dyDescent="0.25">
      <c r="B8" s="4" t="s">
        <v>6</v>
      </c>
    </row>
    <row r="10" spans="1:2" x14ac:dyDescent="0.25">
      <c r="B10" s="3" t="s">
        <v>7</v>
      </c>
    </row>
    <row r="11" spans="1:2" x14ac:dyDescent="0.25">
      <c r="B11" s="4" t="s">
        <v>3</v>
      </c>
    </row>
    <row r="12" spans="1:2" x14ac:dyDescent="0.25">
      <c r="B12" s="4" t="s">
        <v>8</v>
      </c>
    </row>
    <row r="13" spans="1:2" x14ac:dyDescent="0.25">
      <c r="B13" s="4">
        <v>2024</v>
      </c>
    </row>
    <row r="14" spans="1:2" x14ac:dyDescent="0.25">
      <c r="B14" s="5" t="s">
        <v>9</v>
      </c>
    </row>
    <row r="15" spans="1:2" x14ac:dyDescent="0.25">
      <c r="B15" s="4" t="s">
        <v>10</v>
      </c>
    </row>
    <row r="17" spans="1:2" x14ac:dyDescent="0.25">
      <c r="B17" s="3" t="s">
        <v>11</v>
      </c>
    </row>
    <row r="18" spans="1:2" x14ac:dyDescent="0.25">
      <c r="B18" s="4" t="s">
        <v>12</v>
      </c>
    </row>
    <row r="19" spans="1:2" x14ac:dyDescent="0.25">
      <c r="B19" s="4" t="s">
        <v>13</v>
      </c>
    </row>
    <row r="20" spans="1:2" x14ac:dyDescent="0.25">
      <c r="B20" s="4">
        <v>2024</v>
      </c>
    </row>
    <row r="21" spans="1:2" x14ac:dyDescent="0.25">
      <c r="B21" s="5" t="s">
        <v>14</v>
      </c>
    </row>
    <row r="22" spans="1:2" x14ac:dyDescent="0.25">
      <c r="B22" s="4" t="s">
        <v>15</v>
      </c>
    </row>
    <row r="25" spans="1:2" x14ac:dyDescent="0.25">
      <c r="A25" s="2" t="s">
        <v>16</v>
      </c>
    </row>
    <row r="26" spans="1:2" ht="60" x14ac:dyDescent="0.25">
      <c r="A26" s="2" t="s">
        <v>17</v>
      </c>
      <c r="B26" s="4" t="s">
        <v>18</v>
      </c>
    </row>
    <row r="27" spans="1:2" ht="45" x14ac:dyDescent="0.25">
      <c r="A27" s="2" t="s">
        <v>19</v>
      </c>
      <c r="B27" s="4" t="s">
        <v>20</v>
      </c>
    </row>
    <row r="28" spans="1:2" x14ac:dyDescent="0.25">
      <c r="A28" s="2" t="s">
        <v>21</v>
      </c>
      <c r="B28" s="4" t="s">
        <v>22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93"/>
  <sheetViews>
    <sheetView workbookViewId="0">
      <pane ySplit="13" topLeftCell="A14" activePane="bottomLeft" state="frozen"/>
      <selection pane="bottomLeft"/>
    </sheetView>
  </sheetViews>
  <sheetFormatPr defaultRowHeight="15" x14ac:dyDescent="0.25"/>
  <sheetData>
    <row r="2" spans="1:10" x14ac:dyDescent="0.25">
      <c r="A2" t="s">
        <v>23</v>
      </c>
    </row>
    <row r="4" spans="1:10" x14ac:dyDescent="0.25">
      <c r="B4" t="s">
        <v>24</v>
      </c>
      <c r="C4" t="s">
        <v>25</v>
      </c>
    </row>
    <row r="5" spans="1:10" x14ac:dyDescent="0.25">
      <c r="B5">
        <v>2254000</v>
      </c>
    </row>
    <row r="6" spans="1:10" x14ac:dyDescent="0.25">
      <c r="B6" t="s">
        <v>9</v>
      </c>
      <c r="C6" t="s">
        <v>26</v>
      </c>
    </row>
    <row r="8" spans="1:10" x14ac:dyDescent="0.25">
      <c r="B8" t="s">
        <v>27</v>
      </c>
      <c r="C8" t="s">
        <v>28</v>
      </c>
    </row>
    <row r="9" spans="1:10" x14ac:dyDescent="0.25">
      <c r="B9">
        <v>608254</v>
      </c>
    </row>
    <row r="10" spans="1:10" x14ac:dyDescent="0.25">
      <c r="B10" t="s">
        <v>14</v>
      </c>
    </row>
    <row r="13" spans="1:10" x14ac:dyDescent="0.25">
      <c r="A13" t="s">
        <v>29</v>
      </c>
    </row>
    <row r="14" spans="1:10" x14ac:dyDescent="0.25">
      <c r="A14" t="s">
        <v>30</v>
      </c>
    </row>
    <row r="16" spans="1:10" x14ac:dyDescent="0.25">
      <c r="B16" t="s">
        <v>31</v>
      </c>
      <c r="C16" t="s">
        <v>32</v>
      </c>
      <c r="D16">
        <v>36.200000000000003</v>
      </c>
      <c r="E16">
        <v>35.200000000000003</v>
      </c>
      <c r="F16">
        <v>35.4</v>
      </c>
      <c r="G16">
        <v>35</v>
      </c>
      <c r="H16">
        <v>35.6</v>
      </c>
      <c r="I16" t="s">
        <v>33</v>
      </c>
      <c r="J16" t="s">
        <v>33</v>
      </c>
    </row>
    <row r="18" spans="1:10" x14ac:dyDescent="0.25">
      <c r="A18">
        <v>312200</v>
      </c>
      <c r="B18" t="s">
        <v>34</v>
      </c>
      <c r="C18">
        <v>69178</v>
      </c>
      <c r="D18" t="s">
        <v>35</v>
      </c>
      <c r="F18">
        <v>0.87351474209230384</v>
      </c>
      <c r="G18" t="s">
        <v>35</v>
      </c>
    </row>
    <row r="19" spans="1:10" x14ac:dyDescent="0.25">
      <c r="A19">
        <v>316000</v>
      </c>
      <c r="B19" t="s">
        <v>36</v>
      </c>
      <c r="C19">
        <v>10017</v>
      </c>
      <c r="D19" t="s">
        <v>37</v>
      </c>
      <c r="F19">
        <v>0.12648525790769621</v>
      </c>
      <c r="G19" t="s">
        <v>37</v>
      </c>
    </row>
    <row r="21" spans="1:10" x14ac:dyDescent="0.25">
      <c r="A21" t="s">
        <v>35</v>
      </c>
      <c r="D21">
        <v>31.6212336637414</v>
      </c>
      <c r="E21">
        <v>30.747718921649099</v>
      </c>
      <c r="F21">
        <v>30.922421870067559</v>
      </c>
      <c r="G21">
        <v>30.573015973230639</v>
      </c>
      <c r="H21">
        <v>31.097124818486019</v>
      </c>
    </row>
    <row r="22" spans="1:10" x14ac:dyDescent="0.25">
      <c r="A22" t="s">
        <v>37</v>
      </c>
      <c r="D22">
        <v>4.5787663362586022</v>
      </c>
      <c r="E22">
        <v>4.4522810783509064</v>
      </c>
      <c r="F22">
        <v>4.4775781299324446</v>
      </c>
      <c r="G22">
        <v>4.4269840267693663</v>
      </c>
      <c r="H22">
        <v>4.5028751815139847</v>
      </c>
    </row>
    <row r="24" spans="1:10" x14ac:dyDescent="0.25">
      <c r="B24" t="s">
        <v>38</v>
      </c>
      <c r="C24" t="s">
        <v>39</v>
      </c>
      <c r="D24">
        <v>46.8</v>
      </c>
      <c r="E24">
        <v>45.9</v>
      </c>
      <c r="F24">
        <v>46.1</v>
      </c>
      <c r="G24">
        <v>45.8</v>
      </c>
      <c r="H24">
        <v>45.8</v>
      </c>
      <c r="I24" t="s">
        <v>33</v>
      </c>
      <c r="J24" t="s">
        <v>33</v>
      </c>
    </row>
    <row r="26" spans="1:10" x14ac:dyDescent="0.25">
      <c r="A26">
        <v>324121</v>
      </c>
      <c r="B26" t="s">
        <v>40</v>
      </c>
      <c r="C26">
        <v>18352</v>
      </c>
      <c r="D26" t="s">
        <v>41</v>
      </c>
      <c r="F26">
        <v>0.57650226368500479</v>
      </c>
      <c r="G26" t="s">
        <v>41</v>
      </c>
    </row>
    <row r="27" spans="1:10" x14ac:dyDescent="0.25">
      <c r="A27">
        <v>324122</v>
      </c>
      <c r="B27" t="s">
        <v>42</v>
      </c>
      <c r="C27">
        <v>15265</v>
      </c>
      <c r="D27" t="s">
        <v>41</v>
      </c>
      <c r="F27">
        <v>0.42349773631499521</v>
      </c>
      <c r="G27" t="s">
        <v>43</v>
      </c>
    </row>
    <row r="28" spans="1:10" x14ac:dyDescent="0.25">
      <c r="A28">
        <v>324190</v>
      </c>
      <c r="B28" t="s">
        <v>44</v>
      </c>
      <c r="C28">
        <v>24695</v>
      </c>
      <c r="D28" t="s">
        <v>43</v>
      </c>
    </row>
    <row r="30" spans="1:10" x14ac:dyDescent="0.25">
      <c r="A30" t="s">
        <v>41</v>
      </c>
      <c r="D30">
        <v>26.980305940458219</v>
      </c>
      <c r="E30">
        <v>26.46145390314172</v>
      </c>
      <c r="F30">
        <v>26.57675435587872</v>
      </c>
      <c r="G30">
        <v>26.403803676773219</v>
      </c>
      <c r="H30">
        <v>26.403803676773219</v>
      </c>
    </row>
    <row r="31" spans="1:10" x14ac:dyDescent="0.25">
      <c r="A31" t="s">
        <v>43</v>
      </c>
      <c r="D31">
        <v>19.819694059541771</v>
      </c>
      <c r="E31">
        <v>19.438546096858278</v>
      </c>
      <c r="F31">
        <v>19.523245644121278</v>
      </c>
      <c r="G31">
        <v>19.396196323226778</v>
      </c>
      <c r="H31">
        <v>19.396196323226778</v>
      </c>
    </row>
    <row r="34" spans="1:10" x14ac:dyDescent="0.25">
      <c r="A34" t="s">
        <v>45</v>
      </c>
    </row>
    <row r="36" spans="1:10" x14ac:dyDescent="0.25">
      <c r="B36" t="s">
        <v>46</v>
      </c>
      <c r="C36" t="s">
        <v>47</v>
      </c>
    </row>
    <row r="37" spans="1:10" x14ac:dyDescent="0.25">
      <c r="B37" t="s">
        <v>48</v>
      </c>
    </row>
    <row r="38" spans="1:10" x14ac:dyDescent="0.25">
      <c r="B38" t="s">
        <v>49</v>
      </c>
    </row>
    <row r="39" spans="1:10" x14ac:dyDescent="0.25">
      <c r="B39" t="s">
        <v>50</v>
      </c>
      <c r="C39" t="s">
        <v>51</v>
      </c>
      <c r="D39" t="s">
        <v>52</v>
      </c>
      <c r="J39" t="s">
        <v>53</v>
      </c>
    </row>
    <row r="40" spans="1:10" x14ac:dyDescent="0.25"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54</v>
      </c>
      <c r="J40" t="s">
        <v>59</v>
      </c>
    </row>
    <row r="41" spans="1:10" x14ac:dyDescent="0.25">
      <c r="D41">
        <v>2023</v>
      </c>
      <c r="E41">
        <v>2024</v>
      </c>
      <c r="F41">
        <v>2024</v>
      </c>
      <c r="G41">
        <v>2024</v>
      </c>
      <c r="H41" t="s">
        <v>60</v>
      </c>
      <c r="I41" t="s">
        <v>60</v>
      </c>
    </row>
    <row r="42" spans="1:10" x14ac:dyDescent="0.25">
      <c r="B42" t="s">
        <v>61</v>
      </c>
      <c r="D42">
        <v>157014</v>
      </c>
      <c r="E42">
        <v>158692</v>
      </c>
      <c r="F42">
        <v>158770</v>
      </c>
      <c r="G42">
        <v>159025</v>
      </c>
      <c r="H42">
        <v>159061</v>
      </c>
      <c r="I42">
        <v>159288</v>
      </c>
      <c r="J42">
        <v>227</v>
      </c>
    </row>
    <row r="44" spans="1:10" x14ac:dyDescent="0.25">
      <c r="B44" t="s">
        <v>62</v>
      </c>
      <c r="D44">
        <v>134014</v>
      </c>
      <c r="E44">
        <v>135347</v>
      </c>
      <c r="F44">
        <v>135384</v>
      </c>
      <c r="G44">
        <v>135606</v>
      </c>
      <c r="H44">
        <v>135604</v>
      </c>
      <c r="I44">
        <v>135798</v>
      </c>
      <c r="J44">
        <v>194</v>
      </c>
    </row>
    <row r="46" spans="1:10" x14ac:dyDescent="0.25">
      <c r="B46" t="s">
        <v>63</v>
      </c>
      <c r="D46">
        <v>21690</v>
      </c>
      <c r="E46">
        <v>21833</v>
      </c>
      <c r="F46">
        <v>21835</v>
      </c>
      <c r="G46">
        <v>21850</v>
      </c>
      <c r="H46">
        <v>21806</v>
      </c>
      <c r="I46">
        <v>21840</v>
      </c>
      <c r="J46">
        <v>34</v>
      </c>
    </row>
    <row r="48" spans="1:10" x14ac:dyDescent="0.25">
      <c r="B48" t="s">
        <v>64</v>
      </c>
      <c r="D48">
        <v>640</v>
      </c>
      <c r="E48">
        <v>635</v>
      </c>
      <c r="F48">
        <v>635</v>
      </c>
      <c r="G48">
        <v>636</v>
      </c>
      <c r="H48">
        <v>638</v>
      </c>
      <c r="I48">
        <v>640</v>
      </c>
      <c r="J48">
        <v>2</v>
      </c>
    </row>
    <row r="49" spans="1:10" x14ac:dyDescent="0.25">
      <c r="A49" t="s">
        <v>65</v>
      </c>
      <c r="B49" t="s">
        <v>66</v>
      </c>
      <c r="C49">
        <v>1133</v>
      </c>
      <c r="D49">
        <v>43.4</v>
      </c>
      <c r="E49">
        <v>38.5</v>
      </c>
      <c r="F49">
        <v>38</v>
      </c>
      <c r="G49">
        <v>38.200000000000003</v>
      </c>
      <c r="H49">
        <v>38.200000000000003</v>
      </c>
      <c r="I49">
        <v>38.200000000000003</v>
      </c>
      <c r="J49">
        <v>0</v>
      </c>
    </row>
    <row r="50" spans="1:10" x14ac:dyDescent="0.25">
      <c r="B50" t="s">
        <v>67</v>
      </c>
      <c r="C50">
        <v>21</v>
      </c>
      <c r="D50">
        <v>596.20000000000005</v>
      </c>
      <c r="E50">
        <v>596.70000000000005</v>
      </c>
      <c r="F50">
        <v>596.70000000000005</v>
      </c>
      <c r="G50">
        <v>598.20000000000005</v>
      </c>
      <c r="H50">
        <v>599.29999999999995</v>
      </c>
      <c r="I50">
        <v>601.5</v>
      </c>
      <c r="J50">
        <v>2.2000000000000002</v>
      </c>
    </row>
    <row r="51" spans="1:10" x14ac:dyDescent="0.25">
      <c r="A51" t="s">
        <v>68</v>
      </c>
      <c r="B51" t="s">
        <v>69</v>
      </c>
      <c r="C51">
        <v>211</v>
      </c>
      <c r="D51">
        <v>117.4</v>
      </c>
      <c r="E51">
        <v>120</v>
      </c>
      <c r="F51">
        <v>119</v>
      </c>
      <c r="G51">
        <v>119.6</v>
      </c>
      <c r="H51">
        <v>119.6</v>
      </c>
      <c r="I51">
        <v>119.7</v>
      </c>
      <c r="J51">
        <v>0.1</v>
      </c>
    </row>
    <row r="52" spans="1:10" x14ac:dyDescent="0.25">
      <c r="B52" t="s">
        <v>70</v>
      </c>
      <c r="C52">
        <v>212</v>
      </c>
      <c r="D52">
        <v>187.1</v>
      </c>
      <c r="E52">
        <v>188.8</v>
      </c>
      <c r="F52">
        <v>188.6</v>
      </c>
      <c r="G52">
        <v>189</v>
      </c>
      <c r="H52">
        <v>189.3</v>
      </c>
      <c r="I52">
        <v>190</v>
      </c>
      <c r="J52">
        <v>0.7</v>
      </c>
    </row>
    <row r="53" spans="1:10" x14ac:dyDescent="0.25">
      <c r="A53" t="s">
        <v>71</v>
      </c>
      <c r="B53" t="s">
        <v>72</v>
      </c>
      <c r="C53">
        <v>2121</v>
      </c>
      <c r="D53">
        <v>42.7</v>
      </c>
      <c r="E53">
        <v>43.6</v>
      </c>
      <c r="F53">
        <v>43.2</v>
      </c>
      <c r="G53">
        <v>43.2</v>
      </c>
      <c r="H53">
        <v>42.8</v>
      </c>
      <c r="I53">
        <v>43.4</v>
      </c>
      <c r="J53">
        <v>0.6</v>
      </c>
    </row>
    <row r="54" spans="1:10" x14ac:dyDescent="0.25">
      <c r="B54" t="s">
        <v>73</v>
      </c>
      <c r="C54">
        <v>212114</v>
      </c>
      <c r="D54">
        <v>19.600000000000001</v>
      </c>
      <c r="E54">
        <v>19.7</v>
      </c>
      <c r="F54">
        <v>19.2</v>
      </c>
      <c r="G54">
        <v>19.100000000000001</v>
      </c>
      <c r="H54">
        <v>18.600000000000001</v>
      </c>
      <c r="I54" t="s">
        <v>33</v>
      </c>
      <c r="J54" t="s">
        <v>33</v>
      </c>
    </row>
    <row r="55" spans="1:10" x14ac:dyDescent="0.25">
      <c r="B55" t="s">
        <v>74</v>
      </c>
      <c r="C55">
        <v>212115</v>
      </c>
      <c r="D55">
        <v>23</v>
      </c>
      <c r="E55">
        <v>23.9</v>
      </c>
      <c r="F55">
        <v>23.9</v>
      </c>
      <c r="G55">
        <v>24</v>
      </c>
      <c r="H55">
        <v>24.2</v>
      </c>
      <c r="I55" t="s">
        <v>33</v>
      </c>
      <c r="J55" t="s">
        <v>33</v>
      </c>
    </row>
    <row r="56" spans="1:10" x14ac:dyDescent="0.25">
      <c r="A56" t="s">
        <v>75</v>
      </c>
      <c r="B56" t="s">
        <v>76</v>
      </c>
      <c r="C56">
        <v>2122</v>
      </c>
      <c r="D56">
        <v>43.7</v>
      </c>
      <c r="E56">
        <v>43.5</v>
      </c>
      <c r="F56">
        <v>43.6</v>
      </c>
      <c r="G56">
        <v>43.6</v>
      </c>
      <c r="H56">
        <v>43.6</v>
      </c>
      <c r="I56">
        <v>43.7</v>
      </c>
      <c r="J56">
        <v>0.1</v>
      </c>
    </row>
    <row r="57" spans="1:10" x14ac:dyDescent="0.25">
      <c r="A57" t="s">
        <v>77</v>
      </c>
      <c r="B57" t="s">
        <v>78</v>
      </c>
      <c r="C57">
        <v>2123</v>
      </c>
      <c r="D57">
        <v>100.7</v>
      </c>
      <c r="E57">
        <v>101.7</v>
      </c>
      <c r="F57">
        <v>101.8</v>
      </c>
      <c r="G57">
        <v>102.3</v>
      </c>
      <c r="H57">
        <v>102.9</v>
      </c>
      <c r="I57">
        <v>102.9</v>
      </c>
      <c r="J57">
        <v>0</v>
      </c>
    </row>
    <row r="58" spans="1:10" x14ac:dyDescent="0.25">
      <c r="B58" t="s">
        <v>79</v>
      </c>
      <c r="C58">
        <v>21231</v>
      </c>
      <c r="D58">
        <v>44.5</v>
      </c>
      <c r="E58">
        <v>45.4</v>
      </c>
      <c r="F58">
        <v>45.6</v>
      </c>
      <c r="G58">
        <v>45.5</v>
      </c>
      <c r="H58">
        <v>45.6</v>
      </c>
      <c r="I58" t="s">
        <v>33</v>
      </c>
      <c r="J58" t="s">
        <v>33</v>
      </c>
    </row>
    <row r="59" spans="1:10" x14ac:dyDescent="0.25">
      <c r="B59" t="s">
        <v>80</v>
      </c>
      <c r="C59">
        <v>212312</v>
      </c>
      <c r="D59">
        <v>23</v>
      </c>
      <c r="E59">
        <v>23.6</v>
      </c>
      <c r="F59">
        <v>23.5</v>
      </c>
      <c r="G59">
        <v>23.5</v>
      </c>
      <c r="H59">
        <v>23.5</v>
      </c>
      <c r="I59" t="s">
        <v>33</v>
      </c>
      <c r="J59" t="s">
        <v>33</v>
      </c>
    </row>
    <row r="60" spans="1:10" x14ac:dyDescent="0.25">
      <c r="B60" t="s">
        <v>81</v>
      </c>
      <c r="C60" t="s">
        <v>82</v>
      </c>
      <c r="D60">
        <v>21.3</v>
      </c>
      <c r="E60">
        <v>21.9</v>
      </c>
      <c r="F60">
        <v>22.1</v>
      </c>
      <c r="G60">
        <v>21.9</v>
      </c>
      <c r="H60">
        <v>22</v>
      </c>
      <c r="I60" t="s">
        <v>33</v>
      </c>
      <c r="J60" t="s">
        <v>33</v>
      </c>
    </row>
    <row r="61" spans="1:10" x14ac:dyDescent="0.25">
      <c r="B61" t="s">
        <v>83</v>
      </c>
      <c r="C61">
        <v>21232</v>
      </c>
      <c r="D61">
        <v>44.2</v>
      </c>
      <c r="E61">
        <v>44</v>
      </c>
      <c r="F61">
        <v>43.4</v>
      </c>
      <c r="G61">
        <v>44.4</v>
      </c>
      <c r="H61">
        <v>44.3</v>
      </c>
      <c r="I61" t="s">
        <v>33</v>
      </c>
      <c r="J61" t="s">
        <v>33</v>
      </c>
    </row>
    <row r="62" spans="1:10" x14ac:dyDescent="0.25">
      <c r="B62" t="s">
        <v>84</v>
      </c>
      <c r="C62">
        <v>212321</v>
      </c>
      <c r="D62">
        <v>30</v>
      </c>
      <c r="E62">
        <v>29.1</v>
      </c>
      <c r="F62">
        <v>28.5</v>
      </c>
      <c r="G62">
        <v>29.2</v>
      </c>
      <c r="H62">
        <v>29.4</v>
      </c>
      <c r="I62" t="s">
        <v>33</v>
      </c>
      <c r="J62" t="s">
        <v>33</v>
      </c>
    </row>
    <row r="63" spans="1:10" x14ac:dyDescent="0.25">
      <c r="B63" t="s">
        <v>85</v>
      </c>
      <c r="C63">
        <v>21239</v>
      </c>
      <c r="D63">
        <v>12.2</v>
      </c>
      <c r="E63">
        <v>12.4</v>
      </c>
      <c r="F63">
        <v>12.7</v>
      </c>
      <c r="G63">
        <v>12.6</v>
      </c>
      <c r="H63">
        <v>13</v>
      </c>
      <c r="I63" t="s">
        <v>33</v>
      </c>
      <c r="J63" t="s">
        <v>33</v>
      </c>
    </row>
    <row r="64" spans="1:10" x14ac:dyDescent="0.25">
      <c r="A64" t="s">
        <v>86</v>
      </c>
      <c r="B64" t="s">
        <v>87</v>
      </c>
      <c r="C64">
        <v>213</v>
      </c>
      <c r="D64">
        <v>291.7</v>
      </c>
      <c r="E64">
        <v>287.89999999999998</v>
      </c>
      <c r="F64">
        <v>289.10000000000002</v>
      </c>
      <c r="G64">
        <v>289.60000000000002</v>
      </c>
      <c r="H64">
        <v>290.39999999999998</v>
      </c>
      <c r="I64">
        <v>291.8</v>
      </c>
      <c r="J64">
        <v>1.4</v>
      </c>
    </row>
    <row r="65" spans="1:10" x14ac:dyDescent="0.25">
      <c r="B65" t="s">
        <v>88</v>
      </c>
      <c r="C65">
        <v>213112</v>
      </c>
      <c r="D65">
        <v>228.4</v>
      </c>
      <c r="E65">
        <v>226.7</v>
      </c>
      <c r="F65">
        <v>227.3</v>
      </c>
      <c r="G65">
        <v>227.6</v>
      </c>
      <c r="H65">
        <v>228.8</v>
      </c>
      <c r="I65" t="s">
        <v>33</v>
      </c>
      <c r="J65" t="s">
        <v>33</v>
      </c>
    </row>
    <row r="67" spans="1:10" x14ac:dyDescent="0.25">
      <c r="A67" t="s">
        <v>89</v>
      </c>
      <c r="B67" t="s">
        <v>90</v>
      </c>
      <c r="C67">
        <v>23</v>
      </c>
      <c r="D67">
        <v>8102</v>
      </c>
      <c r="E67">
        <v>8247</v>
      </c>
      <c r="F67">
        <v>8275</v>
      </c>
      <c r="G67">
        <v>8301</v>
      </c>
      <c r="H67">
        <v>8303</v>
      </c>
      <c r="I67">
        <v>8313</v>
      </c>
      <c r="J67">
        <v>10</v>
      </c>
    </row>
    <row r="68" spans="1:10" x14ac:dyDescent="0.25">
      <c r="B68" t="s">
        <v>91</v>
      </c>
      <c r="C68">
        <v>236</v>
      </c>
      <c r="D68">
        <v>1829.8</v>
      </c>
      <c r="E68">
        <v>1876.2</v>
      </c>
      <c r="F68">
        <v>1882.7</v>
      </c>
      <c r="G68">
        <v>1884.1</v>
      </c>
      <c r="H68">
        <v>1883.8</v>
      </c>
      <c r="I68">
        <v>1883.5</v>
      </c>
      <c r="J68">
        <v>-0.3</v>
      </c>
    </row>
    <row r="69" spans="1:10" x14ac:dyDescent="0.25">
      <c r="B69" t="s">
        <v>92</v>
      </c>
      <c r="C69">
        <v>2361</v>
      </c>
      <c r="D69">
        <v>931.4</v>
      </c>
      <c r="E69">
        <v>945.9</v>
      </c>
      <c r="F69">
        <v>951.6</v>
      </c>
      <c r="G69">
        <v>955.4</v>
      </c>
      <c r="H69">
        <v>956.2</v>
      </c>
      <c r="I69">
        <v>957.6</v>
      </c>
      <c r="J69">
        <v>1.4</v>
      </c>
    </row>
    <row r="70" spans="1:10" x14ac:dyDescent="0.25">
      <c r="B70" t="s">
        <v>93</v>
      </c>
      <c r="C70">
        <v>236115</v>
      </c>
      <c r="D70">
        <v>378.2</v>
      </c>
      <c r="E70">
        <v>386.7</v>
      </c>
      <c r="F70">
        <v>387.5</v>
      </c>
      <c r="G70">
        <v>388</v>
      </c>
      <c r="H70">
        <v>389</v>
      </c>
      <c r="I70" t="s">
        <v>33</v>
      </c>
      <c r="J70" t="s">
        <v>33</v>
      </c>
    </row>
    <row r="71" spans="1:10" x14ac:dyDescent="0.25">
      <c r="B71" t="s">
        <v>94</v>
      </c>
      <c r="C71">
        <v>236116</v>
      </c>
      <c r="D71">
        <v>48.5</v>
      </c>
      <c r="E71">
        <v>47.5</v>
      </c>
      <c r="F71">
        <v>47.1</v>
      </c>
      <c r="G71">
        <v>47.9</v>
      </c>
      <c r="H71">
        <v>48.1</v>
      </c>
      <c r="I71" t="s">
        <v>33</v>
      </c>
      <c r="J71" t="s">
        <v>33</v>
      </c>
    </row>
    <row r="72" spans="1:10" x14ac:dyDescent="0.25">
      <c r="B72" t="s">
        <v>95</v>
      </c>
      <c r="C72">
        <v>236117</v>
      </c>
      <c r="D72">
        <v>53.8</v>
      </c>
      <c r="E72">
        <v>54.3</v>
      </c>
      <c r="F72">
        <v>54.8</v>
      </c>
      <c r="G72">
        <v>55</v>
      </c>
      <c r="H72">
        <v>55.5</v>
      </c>
      <c r="I72" t="s">
        <v>33</v>
      </c>
      <c r="J72" t="s">
        <v>33</v>
      </c>
    </row>
    <row r="73" spans="1:10" x14ac:dyDescent="0.25">
      <c r="B73" t="s">
        <v>96</v>
      </c>
      <c r="C73">
        <v>236118</v>
      </c>
      <c r="D73">
        <v>450.9</v>
      </c>
      <c r="E73">
        <v>457.4</v>
      </c>
      <c r="F73">
        <v>462.2</v>
      </c>
      <c r="G73">
        <v>464.4</v>
      </c>
      <c r="H73">
        <v>463.7</v>
      </c>
      <c r="I73" t="s">
        <v>33</v>
      </c>
      <c r="J73" t="s">
        <v>33</v>
      </c>
    </row>
    <row r="74" spans="1:10" x14ac:dyDescent="0.25">
      <c r="B74" t="s">
        <v>97</v>
      </c>
      <c r="C74">
        <v>2362</v>
      </c>
      <c r="D74">
        <v>898.4</v>
      </c>
      <c r="E74">
        <v>930.3</v>
      </c>
      <c r="F74">
        <v>931.1</v>
      </c>
      <c r="G74">
        <v>928.7</v>
      </c>
      <c r="H74">
        <v>927.6</v>
      </c>
      <c r="I74">
        <v>925.9</v>
      </c>
      <c r="J74">
        <v>-1.7</v>
      </c>
    </row>
    <row r="75" spans="1:10" x14ac:dyDescent="0.25">
      <c r="B75" t="s">
        <v>98</v>
      </c>
      <c r="C75">
        <v>23621</v>
      </c>
      <c r="D75">
        <v>159.4</v>
      </c>
      <c r="E75">
        <v>166.4</v>
      </c>
      <c r="F75">
        <v>167.2</v>
      </c>
      <c r="G75">
        <v>169.4</v>
      </c>
      <c r="H75">
        <v>170.8</v>
      </c>
      <c r="I75" t="s">
        <v>33</v>
      </c>
      <c r="J75" t="s">
        <v>33</v>
      </c>
    </row>
    <row r="76" spans="1:10" x14ac:dyDescent="0.25">
      <c r="B76" t="s">
        <v>99</v>
      </c>
      <c r="C76">
        <v>23622</v>
      </c>
      <c r="D76">
        <v>738.9</v>
      </c>
      <c r="E76">
        <v>763.9</v>
      </c>
      <c r="F76">
        <v>763.8</v>
      </c>
      <c r="G76">
        <v>759.3</v>
      </c>
      <c r="H76">
        <v>756.8</v>
      </c>
      <c r="I76" t="s">
        <v>33</v>
      </c>
      <c r="J76" t="s">
        <v>33</v>
      </c>
    </row>
    <row r="77" spans="1:10" x14ac:dyDescent="0.25">
      <c r="B77" t="s">
        <v>100</v>
      </c>
      <c r="C77">
        <v>237</v>
      </c>
      <c r="D77">
        <v>1131.5</v>
      </c>
      <c r="E77">
        <v>1141.3</v>
      </c>
      <c r="F77">
        <v>1152.5</v>
      </c>
      <c r="G77">
        <v>1160.8</v>
      </c>
      <c r="H77">
        <v>1159.8</v>
      </c>
      <c r="I77">
        <v>1161.3</v>
      </c>
      <c r="J77">
        <v>1.5</v>
      </c>
    </row>
    <row r="78" spans="1:10" x14ac:dyDescent="0.25">
      <c r="B78" t="s">
        <v>101</v>
      </c>
      <c r="C78">
        <v>2371</v>
      </c>
      <c r="D78">
        <v>582.4</v>
      </c>
      <c r="E78">
        <v>583.70000000000005</v>
      </c>
      <c r="F78">
        <v>593.4</v>
      </c>
      <c r="G78">
        <v>596.6</v>
      </c>
      <c r="H78">
        <v>596.9</v>
      </c>
      <c r="I78" t="s">
        <v>33</v>
      </c>
      <c r="J78" t="s">
        <v>33</v>
      </c>
    </row>
    <row r="79" spans="1:10" x14ac:dyDescent="0.25">
      <c r="B79" t="s">
        <v>102</v>
      </c>
      <c r="C79">
        <v>23711</v>
      </c>
      <c r="D79">
        <v>204.3</v>
      </c>
      <c r="E79">
        <v>206.1</v>
      </c>
      <c r="F79">
        <v>206.5</v>
      </c>
      <c r="G79">
        <v>208.1</v>
      </c>
      <c r="H79">
        <v>208.5</v>
      </c>
      <c r="I79" t="s">
        <v>33</v>
      </c>
      <c r="J79" t="s">
        <v>33</v>
      </c>
    </row>
    <row r="80" spans="1:10" x14ac:dyDescent="0.25">
      <c r="B80" t="s">
        <v>103</v>
      </c>
      <c r="C80">
        <v>23712</v>
      </c>
      <c r="D80">
        <v>139.9</v>
      </c>
      <c r="E80">
        <v>141.4</v>
      </c>
      <c r="F80">
        <v>146.6</v>
      </c>
      <c r="G80">
        <v>147.80000000000001</v>
      </c>
      <c r="H80">
        <v>149.30000000000001</v>
      </c>
      <c r="I80" t="s">
        <v>33</v>
      </c>
      <c r="J80" t="s">
        <v>33</v>
      </c>
    </row>
    <row r="81" spans="2:10" x14ac:dyDescent="0.25">
      <c r="B81" t="s">
        <v>104</v>
      </c>
      <c r="C81">
        <v>23713</v>
      </c>
      <c r="D81">
        <v>238.4</v>
      </c>
      <c r="E81">
        <v>238.3</v>
      </c>
      <c r="F81">
        <v>241.4</v>
      </c>
      <c r="G81">
        <v>240.2</v>
      </c>
      <c r="H81">
        <v>239.1</v>
      </c>
      <c r="I81" t="s">
        <v>33</v>
      </c>
      <c r="J81" t="s">
        <v>33</v>
      </c>
    </row>
    <row r="82" spans="2:10" x14ac:dyDescent="0.25">
      <c r="B82" t="s">
        <v>105</v>
      </c>
      <c r="C82">
        <v>2372</v>
      </c>
      <c r="D82">
        <v>40</v>
      </c>
      <c r="E82">
        <v>40.799999999999997</v>
      </c>
      <c r="F82">
        <v>40.5</v>
      </c>
      <c r="G82">
        <v>40.299999999999997</v>
      </c>
      <c r="H82">
        <v>40.1</v>
      </c>
      <c r="I82" t="s">
        <v>33</v>
      </c>
      <c r="J82" t="s">
        <v>33</v>
      </c>
    </row>
    <row r="83" spans="2:10" x14ac:dyDescent="0.25">
      <c r="B83" t="s">
        <v>106</v>
      </c>
      <c r="C83">
        <v>2373</v>
      </c>
      <c r="D83">
        <v>379.8</v>
      </c>
      <c r="E83">
        <v>382.5</v>
      </c>
      <c r="F83">
        <v>384.2</v>
      </c>
      <c r="G83">
        <v>385.9</v>
      </c>
      <c r="H83">
        <v>386.2</v>
      </c>
      <c r="I83" t="s">
        <v>33</v>
      </c>
      <c r="J83" t="s">
        <v>33</v>
      </c>
    </row>
    <row r="84" spans="2:10" x14ac:dyDescent="0.25">
      <c r="B84" t="s">
        <v>107</v>
      </c>
      <c r="C84">
        <v>2379</v>
      </c>
      <c r="D84">
        <v>131.4</v>
      </c>
      <c r="E84">
        <v>134.19999999999999</v>
      </c>
      <c r="F84">
        <v>134.19999999999999</v>
      </c>
      <c r="G84">
        <v>134.9</v>
      </c>
      <c r="H84">
        <v>135.19999999999999</v>
      </c>
      <c r="I84" t="s">
        <v>33</v>
      </c>
      <c r="J84" t="s">
        <v>33</v>
      </c>
    </row>
    <row r="85" spans="2:10" x14ac:dyDescent="0.25">
      <c r="B85" t="s">
        <v>108</v>
      </c>
      <c r="C85">
        <v>238</v>
      </c>
      <c r="D85">
        <v>5140.3</v>
      </c>
      <c r="E85">
        <v>5229.7</v>
      </c>
      <c r="F85">
        <v>5239.3</v>
      </c>
      <c r="G85">
        <v>5256.2</v>
      </c>
      <c r="H85">
        <v>5259.4</v>
      </c>
      <c r="I85">
        <v>5268.1</v>
      </c>
      <c r="J85">
        <v>8.6999999999999993</v>
      </c>
    </row>
    <row r="86" spans="2:10" x14ac:dyDescent="0.25">
      <c r="B86" t="s">
        <v>109</v>
      </c>
      <c r="C86" t="s">
        <v>110</v>
      </c>
      <c r="D86">
        <v>2390</v>
      </c>
      <c r="E86">
        <v>2416.6</v>
      </c>
      <c r="F86">
        <v>2414.3000000000002</v>
      </c>
      <c r="G86">
        <v>2421.5</v>
      </c>
      <c r="H86">
        <v>2414.5</v>
      </c>
      <c r="I86">
        <v>2416.1999999999998</v>
      </c>
      <c r="J86">
        <v>1.7</v>
      </c>
    </row>
    <row r="87" spans="2:10" x14ac:dyDescent="0.25">
      <c r="B87" t="s">
        <v>111</v>
      </c>
      <c r="C87" t="s">
        <v>110</v>
      </c>
      <c r="D87">
        <v>2750.3</v>
      </c>
      <c r="E87">
        <v>2813.1</v>
      </c>
      <c r="F87">
        <v>2825</v>
      </c>
      <c r="G87">
        <v>2834.7</v>
      </c>
      <c r="H87">
        <v>2844.9</v>
      </c>
      <c r="I87">
        <v>2851.9</v>
      </c>
      <c r="J87">
        <v>7</v>
      </c>
    </row>
    <row r="88" spans="2:10" x14ac:dyDescent="0.25">
      <c r="B88" t="s">
        <v>112</v>
      </c>
      <c r="C88">
        <v>2381</v>
      </c>
      <c r="D88">
        <v>1003.5</v>
      </c>
      <c r="E88">
        <v>998.3</v>
      </c>
      <c r="F88">
        <v>999.3</v>
      </c>
      <c r="G88">
        <v>1002.4</v>
      </c>
      <c r="H88">
        <v>999.8</v>
      </c>
      <c r="I88" t="s">
        <v>33</v>
      </c>
      <c r="J88" t="s">
        <v>33</v>
      </c>
    </row>
    <row r="89" spans="2:10" x14ac:dyDescent="0.25">
      <c r="B89" t="s">
        <v>113</v>
      </c>
      <c r="C89">
        <v>23811</v>
      </c>
      <c r="D89">
        <v>253.1</v>
      </c>
      <c r="E89">
        <v>249.8</v>
      </c>
      <c r="F89">
        <v>250.3</v>
      </c>
      <c r="G89">
        <v>251</v>
      </c>
      <c r="H89">
        <v>249.3</v>
      </c>
      <c r="I89" t="s">
        <v>33</v>
      </c>
      <c r="J89" t="s">
        <v>33</v>
      </c>
    </row>
    <row r="90" spans="2:10" x14ac:dyDescent="0.25">
      <c r="B90" t="s">
        <v>114</v>
      </c>
      <c r="C90">
        <v>23812</v>
      </c>
      <c r="D90">
        <v>83.5</v>
      </c>
      <c r="E90">
        <v>84</v>
      </c>
      <c r="F90">
        <v>83.4</v>
      </c>
      <c r="G90">
        <v>82.9</v>
      </c>
      <c r="H90">
        <v>81.900000000000006</v>
      </c>
      <c r="I90" t="s">
        <v>33</v>
      </c>
      <c r="J90" t="s">
        <v>33</v>
      </c>
    </row>
    <row r="91" spans="2:10" x14ac:dyDescent="0.25">
      <c r="B91" t="s">
        <v>115</v>
      </c>
      <c r="C91">
        <v>23813</v>
      </c>
      <c r="D91">
        <v>85.8</v>
      </c>
      <c r="E91">
        <v>81.099999999999994</v>
      </c>
      <c r="F91">
        <v>82.4</v>
      </c>
      <c r="G91">
        <v>80.900000000000006</v>
      </c>
      <c r="H91">
        <v>81.3</v>
      </c>
      <c r="I91" t="s">
        <v>33</v>
      </c>
      <c r="J91" t="s">
        <v>33</v>
      </c>
    </row>
    <row r="92" spans="2:10" x14ac:dyDescent="0.25">
      <c r="B92" t="s">
        <v>116</v>
      </c>
      <c r="C92">
        <v>23814</v>
      </c>
      <c r="D92">
        <v>146.6</v>
      </c>
      <c r="E92">
        <v>151.69999999999999</v>
      </c>
      <c r="F92">
        <v>150.4</v>
      </c>
      <c r="G92">
        <v>151.19999999999999</v>
      </c>
      <c r="H92">
        <v>152.5</v>
      </c>
      <c r="I92" t="s">
        <v>33</v>
      </c>
      <c r="J92" t="s">
        <v>33</v>
      </c>
    </row>
    <row r="93" spans="2:10" x14ac:dyDescent="0.25">
      <c r="B93" t="s">
        <v>117</v>
      </c>
      <c r="C93">
        <v>23815</v>
      </c>
      <c r="D93">
        <v>75.900000000000006</v>
      </c>
      <c r="E93">
        <v>72.5</v>
      </c>
      <c r="F93">
        <v>72.8</v>
      </c>
      <c r="G93">
        <v>74.2</v>
      </c>
      <c r="H93">
        <v>74</v>
      </c>
      <c r="I93" t="s">
        <v>33</v>
      </c>
      <c r="J93" t="s">
        <v>33</v>
      </c>
    </row>
    <row r="94" spans="2:10" x14ac:dyDescent="0.25">
      <c r="B94" t="s">
        <v>118</v>
      </c>
      <c r="C94">
        <v>23816</v>
      </c>
      <c r="D94">
        <v>250.5</v>
      </c>
      <c r="E94">
        <v>256.10000000000002</v>
      </c>
      <c r="F94">
        <v>255</v>
      </c>
      <c r="G94">
        <v>258.10000000000002</v>
      </c>
      <c r="H94">
        <v>255.9</v>
      </c>
      <c r="I94" t="s">
        <v>33</v>
      </c>
      <c r="J94" t="s">
        <v>33</v>
      </c>
    </row>
    <row r="95" spans="2:10" x14ac:dyDescent="0.25">
      <c r="B95" t="s">
        <v>119</v>
      </c>
      <c r="C95">
        <v>23817</v>
      </c>
      <c r="D95">
        <v>42.4</v>
      </c>
      <c r="E95">
        <v>41.5</v>
      </c>
      <c r="F95">
        <v>41</v>
      </c>
      <c r="G95">
        <v>41.2</v>
      </c>
      <c r="H95">
        <v>41</v>
      </c>
      <c r="I95" t="s">
        <v>33</v>
      </c>
      <c r="J95" t="s">
        <v>33</v>
      </c>
    </row>
    <row r="96" spans="2:10" x14ac:dyDescent="0.25">
      <c r="B96" t="s">
        <v>120</v>
      </c>
      <c r="C96">
        <v>23819</v>
      </c>
      <c r="D96">
        <v>63.7</v>
      </c>
      <c r="E96">
        <v>62.5</v>
      </c>
      <c r="F96">
        <v>63.6</v>
      </c>
      <c r="G96">
        <v>64</v>
      </c>
      <c r="H96">
        <v>64.599999999999994</v>
      </c>
      <c r="I96" t="s">
        <v>33</v>
      </c>
      <c r="J96" t="s">
        <v>33</v>
      </c>
    </row>
    <row r="97" spans="2:10" x14ac:dyDescent="0.25">
      <c r="B97" t="s">
        <v>121</v>
      </c>
      <c r="C97">
        <v>2382</v>
      </c>
      <c r="D97">
        <v>2519.1999999999998</v>
      </c>
      <c r="E97">
        <v>2583.6999999999998</v>
      </c>
      <c r="F97">
        <v>2588.1</v>
      </c>
      <c r="G97">
        <v>2590.5</v>
      </c>
      <c r="H97">
        <v>2593.3000000000002</v>
      </c>
      <c r="I97" t="s">
        <v>33</v>
      </c>
      <c r="J97" t="s">
        <v>33</v>
      </c>
    </row>
    <row r="98" spans="2:10" x14ac:dyDescent="0.25">
      <c r="B98" t="s">
        <v>122</v>
      </c>
      <c r="C98">
        <v>23821</v>
      </c>
      <c r="D98">
        <v>1088.0999999999999</v>
      </c>
      <c r="E98">
        <v>1112.0999999999999</v>
      </c>
      <c r="F98">
        <v>1111.5</v>
      </c>
      <c r="G98">
        <v>1112.4000000000001</v>
      </c>
      <c r="H98">
        <v>1115.5999999999999</v>
      </c>
      <c r="I98" t="s">
        <v>33</v>
      </c>
      <c r="J98" t="s">
        <v>33</v>
      </c>
    </row>
    <row r="99" spans="2:10" x14ac:dyDescent="0.25">
      <c r="B99" t="s">
        <v>123</v>
      </c>
      <c r="C99">
        <v>23822</v>
      </c>
      <c r="D99">
        <v>1276</v>
      </c>
      <c r="E99">
        <v>1308.7</v>
      </c>
      <c r="F99">
        <v>1315.1</v>
      </c>
      <c r="G99">
        <v>1315.4</v>
      </c>
      <c r="H99">
        <v>1316</v>
      </c>
      <c r="I99" t="s">
        <v>33</v>
      </c>
      <c r="J99" t="s">
        <v>33</v>
      </c>
    </row>
    <row r="100" spans="2:10" x14ac:dyDescent="0.25">
      <c r="B100" t="s">
        <v>124</v>
      </c>
      <c r="C100">
        <v>23829</v>
      </c>
      <c r="D100">
        <v>154.80000000000001</v>
      </c>
      <c r="E100">
        <v>161.30000000000001</v>
      </c>
      <c r="F100">
        <v>161.19999999999999</v>
      </c>
      <c r="G100">
        <v>161.9</v>
      </c>
      <c r="H100">
        <v>161.5</v>
      </c>
      <c r="I100" t="s">
        <v>33</v>
      </c>
      <c r="J100" t="s">
        <v>33</v>
      </c>
    </row>
    <row r="101" spans="2:10" x14ac:dyDescent="0.25">
      <c r="B101" t="s">
        <v>125</v>
      </c>
      <c r="C101">
        <v>2383</v>
      </c>
      <c r="D101">
        <v>831.5</v>
      </c>
      <c r="E101">
        <v>836.4</v>
      </c>
      <c r="F101">
        <v>838.5</v>
      </c>
      <c r="G101">
        <v>841.9</v>
      </c>
      <c r="H101">
        <v>841.4</v>
      </c>
      <c r="I101" t="s">
        <v>33</v>
      </c>
      <c r="J101" t="s">
        <v>33</v>
      </c>
    </row>
    <row r="102" spans="2:10" x14ac:dyDescent="0.25">
      <c r="B102" t="s">
        <v>126</v>
      </c>
      <c r="C102">
        <v>23831</v>
      </c>
      <c r="D102">
        <v>248.7</v>
      </c>
      <c r="E102">
        <v>242.9</v>
      </c>
      <c r="F102">
        <v>243.3</v>
      </c>
      <c r="G102">
        <v>243.8</v>
      </c>
      <c r="H102">
        <v>244</v>
      </c>
      <c r="I102" t="s">
        <v>33</v>
      </c>
      <c r="J102" t="s">
        <v>33</v>
      </c>
    </row>
    <row r="103" spans="2:10" x14ac:dyDescent="0.25">
      <c r="B103" t="s">
        <v>127</v>
      </c>
      <c r="C103">
        <v>23832</v>
      </c>
      <c r="D103">
        <v>206.8</v>
      </c>
      <c r="E103">
        <v>209</v>
      </c>
      <c r="F103">
        <v>210.4</v>
      </c>
      <c r="G103">
        <v>210.5</v>
      </c>
      <c r="H103">
        <v>210.7</v>
      </c>
      <c r="I103" t="s">
        <v>33</v>
      </c>
      <c r="J103" t="s">
        <v>33</v>
      </c>
    </row>
    <row r="104" spans="2:10" x14ac:dyDescent="0.25">
      <c r="B104" t="s">
        <v>128</v>
      </c>
      <c r="C104">
        <v>23833</v>
      </c>
      <c r="D104">
        <v>77.2</v>
      </c>
      <c r="E104">
        <v>78.8</v>
      </c>
      <c r="F104">
        <v>78.3</v>
      </c>
      <c r="G104">
        <v>78.599999999999994</v>
      </c>
      <c r="H104">
        <v>78.7</v>
      </c>
      <c r="I104" t="s">
        <v>33</v>
      </c>
      <c r="J104" t="s">
        <v>33</v>
      </c>
    </row>
    <row r="105" spans="2:10" x14ac:dyDescent="0.25">
      <c r="B105" t="s">
        <v>129</v>
      </c>
      <c r="C105">
        <v>23834</v>
      </c>
      <c r="D105">
        <v>53.5</v>
      </c>
      <c r="E105">
        <v>49.8</v>
      </c>
      <c r="F105">
        <v>49.6</v>
      </c>
      <c r="G105">
        <v>50</v>
      </c>
      <c r="H105">
        <v>49.8</v>
      </c>
      <c r="I105" t="s">
        <v>33</v>
      </c>
      <c r="J105" t="s">
        <v>33</v>
      </c>
    </row>
    <row r="106" spans="2:10" x14ac:dyDescent="0.25">
      <c r="B106" t="s">
        <v>130</v>
      </c>
      <c r="C106">
        <v>23835</v>
      </c>
      <c r="D106">
        <v>158.4</v>
      </c>
      <c r="E106">
        <v>166.3</v>
      </c>
      <c r="F106">
        <v>166.6</v>
      </c>
      <c r="G106">
        <v>167.2</v>
      </c>
      <c r="H106">
        <v>167.6</v>
      </c>
      <c r="I106" t="s">
        <v>33</v>
      </c>
      <c r="J106" t="s">
        <v>33</v>
      </c>
    </row>
    <row r="107" spans="2:10" x14ac:dyDescent="0.25">
      <c r="B107" t="s">
        <v>131</v>
      </c>
      <c r="C107">
        <v>23839</v>
      </c>
      <c r="D107">
        <v>84.5</v>
      </c>
      <c r="E107">
        <v>88.1</v>
      </c>
      <c r="F107">
        <v>88.5</v>
      </c>
      <c r="G107">
        <v>90.7</v>
      </c>
      <c r="H107">
        <v>89.7</v>
      </c>
      <c r="I107" t="s">
        <v>33</v>
      </c>
      <c r="J107" t="s">
        <v>33</v>
      </c>
    </row>
    <row r="108" spans="2:10" x14ac:dyDescent="0.25">
      <c r="B108" t="s">
        <v>132</v>
      </c>
      <c r="C108">
        <v>2389</v>
      </c>
      <c r="D108">
        <v>790.2</v>
      </c>
      <c r="E108">
        <v>811.2</v>
      </c>
      <c r="F108">
        <v>817.9</v>
      </c>
      <c r="G108">
        <v>823</v>
      </c>
      <c r="H108">
        <v>824.9</v>
      </c>
      <c r="I108" t="s">
        <v>33</v>
      </c>
      <c r="J108" t="s">
        <v>33</v>
      </c>
    </row>
    <row r="109" spans="2:10" x14ac:dyDescent="0.25">
      <c r="B109" t="s">
        <v>133</v>
      </c>
      <c r="C109">
        <v>23891</v>
      </c>
      <c r="D109">
        <v>402.7</v>
      </c>
      <c r="E109">
        <v>407.5</v>
      </c>
      <c r="F109">
        <v>407.3</v>
      </c>
      <c r="G109">
        <v>412.3</v>
      </c>
      <c r="H109">
        <v>414.2</v>
      </c>
      <c r="I109" t="s">
        <v>33</v>
      </c>
      <c r="J109" t="s">
        <v>33</v>
      </c>
    </row>
    <row r="110" spans="2:10" x14ac:dyDescent="0.25">
      <c r="B110" t="s">
        <v>134</v>
      </c>
      <c r="C110">
        <v>23899</v>
      </c>
      <c r="D110">
        <v>388.1</v>
      </c>
      <c r="E110">
        <v>406.2</v>
      </c>
      <c r="F110">
        <v>408.5</v>
      </c>
      <c r="G110">
        <v>409.9</v>
      </c>
      <c r="H110">
        <v>411.2</v>
      </c>
      <c r="I110" t="s">
        <v>33</v>
      </c>
      <c r="J110" t="s">
        <v>33</v>
      </c>
    </row>
    <row r="112" spans="2:10" x14ac:dyDescent="0.25">
      <c r="B112" t="s">
        <v>135</v>
      </c>
      <c r="D112">
        <v>12948</v>
      </c>
      <c r="E112">
        <v>12951</v>
      </c>
      <c r="F112">
        <v>12925</v>
      </c>
      <c r="G112">
        <v>12913</v>
      </c>
      <c r="H112">
        <v>12865</v>
      </c>
      <c r="I112">
        <v>12887</v>
      </c>
      <c r="J112">
        <v>22</v>
      </c>
    </row>
    <row r="114" spans="1:10" x14ac:dyDescent="0.25">
      <c r="B114" t="s">
        <v>136</v>
      </c>
      <c r="D114">
        <v>8129</v>
      </c>
      <c r="E114">
        <v>8130</v>
      </c>
      <c r="F114">
        <v>8100</v>
      </c>
      <c r="G114">
        <v>8096</v>
      </c>
      <c r="H114">
        <v>8052</v>
      </c>
      <c r="I114">
        <v>8078</v>
      </c>
      <c r="J114">
        <v>26</v>
      </c>
    </row>
    <row r="115" spans="1:10" x14ac:dyDescent="0.25">
      <c r="A115" t="s">
        <v>137</v>
      </c>
      <c r="B115" t="s">
        <v>138</v>
      </c>
      <c r="C115">
        <v>321</v>
      </c>
      <c r="D115">
        <v>415.1</v>
      </c>
      <c r="E115">
        <v>416.3</v>
      </c>
      <c r="F115">
        <v>414.6</v>
      </c>
      <c r="G115">
        <v>413.6</v>
      </c>
      <c r="H115">
        <v>412.8</v>
      </c>
      <c r="I115">
        <v>412.5</v>
      </c>
      <c r="J115">
        <v>-0.3</v>
      </c>
    </row>
    <row r="116" spans="1:10" x14ac:dyDescent="0.25">
      <c r="B116" t="s">
        <v>139</v>
      </c>
      <c r="C116">
        <v>3211</v>
      </c>
      <c r="D116">
        <v>89.9</v>
      </c>
      <c r="E116">
        <v>88.7</v>
      </c>
      <c r="F116">
        <v>88</v>
      </c>
      <c r="G116">
        <v>87.5</v>
      </c>
      <c r="H116">
        <v>87.5</v>
      </c>
      <c r="I116" t="s">
        <v>33</v>
      </c>
      <c r="J116" t="s">
        <v>33</v>
      </c>
    </row>
    <row r="117" spans="1:10" x14ac:dyDescent="0.25">
      <c r="B117" t="s">
        <v>140</v>
      </c>
      <c r="C117">
        <v>3212</v>
      </c>
      <c r="D117">
        <v>83</v>
      </c>
      <c r="E117">
        <v>82.3</v>
      </c>
      <c r="F117">
        <v>82</v>
      </c>
      <c r="G117">
        <v>81.900000000000006</v>
      </c>
      <c r="H117">
        <v>81</v>
      </c>
      <c r="I117" t="s">
        <v>33</v>
      </c>
      <c r="J117" t="s">
        <v>33</v>
      </c>
    </row>
    <row r="118" spans="1:10" x14ac:dyDescent="0.25">
      <c r="B118" t="s">
        <v>141</v>
      </c>
      <c r="C118">
        <v>3219</v>
      </c>
      <c r="D118">
        <v>242.1</v>
      </c>
      <c r="E118">
        <v>245.7</v>
      </c>
      <c r="F118">
        <v>245</v>
      </c>
      <c r="G118">
        <v>244</v>
      </c>
      <c r="H118">
        <v>244</v>
      </c>
      <c r="I118" t="s">
        <v>33</v>
      </c>
      <c r="J118" t="s">
        <v>33</v>
      </c>
    </row>
    <row r="119" spans="1:10" x14ac:dyDescent="0.25">
      <c r="B119" t="s">
        <v>142</v>
      </c>
      <c r="C119">
        <v>32191</v>
      </c>
      <c r="D119">
        <v>102</v>
      </c>
      <c r="E119">
        <v>102.2</v>
      </c>
      <c r="F119">
        <v>102.2</v>
      </c>
      <c r="G119">
        <v>101.4</v>
      </c>
      <c r="H119">
        <v>101.9</v>
      </c>
      <c r="I119" t="s">
        <v>33</v>
      </c>
      <c r="J119" t="s">
        <v>33</v>
      </c>
    </row>
    <row r="120" spans="1:10" x14ac:dyDescent="0.25">
      <c r="B120" t="s">
        <v>143</v>
      </c>
      <c r="C120">
        <v>321911</v>
      </c>
      <c r="D120">
        <v>56.9</v>
      </c>
      <c r="E120">
        <v>56.4</v>
      </c>
      <c r="F120">
        <v>56.6</v>
      </c>
      <c r="G120">
        <v>56.6</v>
      </c>
      <c r="H120">
        <v>56.5</v>
      </c>
      <c r="I120" t="s">
        <v>33</v>
      </c>
      <c r="J120" t="s">
        <v>33</v>
      </c>
    </row>
    <row r="121" spans="1:10" x14ac:dyDescent="0.25">
      <c r="B121" t="s">
        <v>144</v>
      </c>
      <c r="C121" t="s">
        <v>145</v>
      </c>
      <c r="D121">
        <v>45.1</v>
      </c>
      <c r="E121">
        <v>45.9</v>
      </c>
      <c r="F121">
        <v>45.6</v>
      </c>
      <c r="G121">
        <v>44.8</v>
      </c>
      <c r="H121">
        <v>45.4</v>
      </c>
      <c r="I121" t="s">
        <v>33</v>
      </c>
      <c r="J121" t="s">
        <v>33</v>
      </c>
    </row>
    <row r="122" spans="1:10" x14ac:dyDescent="0.25">
      <c r="B122" t="s">
        <v>146</v>
      </c>
      <c r="C122">
        <v>32192</v>
      </c>
      <c r="D122">
        <v>64.5</v>
      </c>
      <c r="E122">
        <v>65.7</v>
      </c>
      <c r="F122">
        <v>65.5</v>
      </c>
      <c r="G122">
        <v>64.5</v>
      </c>
      <c r="H122">
        <v>64.7</v>
      </c>
      <c r="I122" t="s">
        <v>33</v>
      </c>
      <c r="J122" t="s">
        <v>33</v>
      </c>
    </row>
    <row r="123" spans="1:10" x14ac:dyDescent="0.25">
      <c r="B123" t="s">
        <v>147</v>
      </c>
      <c r="C123">
        <v>32199</v>
      </c>
      <c r="D123">
        <v>75.7</v>
      </c>
      <c r="E123">
        <v>77.7</v>
      </c>
      <c r="F123">
        <v>77</v>
      </c>
      <c r="G123">
        <v>77.3</v>
      </c>
      <c r="H123">
        <v>77.2</v>
      </c>
      <c r="I123" t="s">
        <v>33</v>
      </c>
      <c r="J123" t="s">
        <v>33</v>
      </c>
    </row>
    <row r="124" spans="1:10" x14ac:dyDescent="0.25">
      <c r="B124" t="s">
        <v>148</v>
      </c>
      <c r="C124">
        <v>327</v>
      </c>
      <c r="D124">
        <v>422.5</v>
      </c>
      <c r="E124">
        <v>423.3</v>
      </c>
      <c r="F124">
        <v>423</v>
      </c>
      <c r="G124">
        <v>424.8</v>
      </c>
      <c r="H124">
        <v>428.2</v>
      </c>
      <c r="I124">
        <v>426.7</v>
      </c>
      <c r="J124">
        <v>-1.5</v>
      </c>
    </row>
    <row r="125" spans="1:10" x14ac:dyDescent="0.25">
      <c r="A125" t="s">
        <v>149</v>
      </c>
      <c r="B125" t="s">
        <v>150</v>
      </c>
      <c r="C125">
        <v>3271</v>
      </c>
      <c r="D125">
        <v>35.5</v>
      </c>
      <c r="E125">
        <v>35.6</v>
      </c>
      <c r="F125">
        <v>35.6</v>
      </c>
      <c r="G125">
        <v>35.5</v>
      </c>
      <c r="H125">
        <v>35.5</v>
      </c>
      <c r="I125" t="s">
        <v>33</v>
      </c>
      <c r="J125" t="s">
        <v>33</v>
      </c>
    </row>
    <row r="126" spans="1:10" x14ac:dyDescent="0.25">
      <c r="A126" t="s">
        <v>151</v>
      </c>
      <c r="B126" t="s">
        <v>152</v>
      </c>
      <c r="C126">
        <v>3272</v>
      </c>
      <c r="D126">
        <v>81.7</v>
      </c>
      <c r="E126">
        <v>78.900000000000006</v>
      </c>
      <c r="F126">
        <v>77.400000000000006</v>
      </c>
      <c r="G126">
        <v>77.599999999999994</v>
      </c>
      <c r="H126">
        <v>78.2</v>
      </c>
      <c r="I126" t="s">
        <v>33</v>
      </c>
      <c r="J126" t="s">
        <v>33</v>
      </c>
    </row>
    <row r="127" spans="1:10" x14ac:dyDescent="0.25">
      <c r="A127" t="s">
        <v>149</v>
      </c>
      <c r="B127" t="s">
        <v>153</v>
      </c>
      <c r="C127">
        <v>3273</v>
      </c>
      <c r="D127">
        <v>206.9</v>
      </c>
      <c r="E127">
        <v>207.1</v>
      </c>
      <c r="F127">
        <v>206.7</v>
      </c>
      <c r="G127">
        <v>208.2</v>
      </c>
      <c r="H127">
        <v>209.5</v>
      </c>
      <c r="I127" t="s">
        <v>33</v>
      </c>
      <c r="J127" t="s">
        <v>33</v>
      </c>
    </row>
    <row r="128" spans="1:10" x14ac:dyDescent="0.25">
      <c r="B128" t="s">
        <v>154</v>
      </c>
      <c r="C128">
        <v>32732</v>
      </c>
      <c r="D128">
        <v>106.1</v>
      </c>
      <c r="E128">
        <v>107.4</v>
      </c>
      <c r="F128">
        <v>106.8</v>
      </c>
      <c r="G128">
        <v>107.1</v>
      </c>
      <c r="H128">
        <v>107.5</v>
      </c>
      <c r="I128" t="s">
        <v>33</v>
      </c>
      <c r="J128" t="s">
        <v>33</v>
      </c>
    </row>
    <row r="129" spans="1:10" x14ac:dyDescent="0.25">
      <c r="B129" t="s">
        <v>155</v>
      </c>
      <c r="C129" t="s">
        <v>156</v>
      </c>
      <c r="D129">
        <v>100.9</v>
      </c>
      <c r="E129">
        <v>99.7</v>
      </c>
      <c r="F129">
        <v>100.1</v>
      </c>
      <c r="G129">
        <v>101.3</v>
      </c>
      <c r="H129">
        <v>102.1</v>
      </c>
      <c r="I129" t="s">
        <v>33</v>
      </c>
      <c r="J129" t="s">
        <v>33</v>
      </c>
    </row>
    <row r="130" spans="1:10" x14ac:dyDescent="0.25">
      <c r="A130" t="s">
        <v>149</v>
      </c>
      <c r="B130" t="s">
        <v>157</v>
      </c>
      <c r="C130" t="s">
        <v>158</v>
      </c>
      <c r="D130">
        <v>97.9</v>
      </c>
      <c r="E130">
        <v>101.7</v>
      </c>
      <c r="F130">
        <v>103.2</v>
      </c>
      <c r="G130">
        <v>103.5</v>
      </c>
      <c r="H130">
        <v>105.1</v>
      </c>
      <c r="I130" t="s">
        <v>33</v>
      </c>
      <c r="J130" t="s">
        <v>33</v>
      </c>
    </row>
    <row r="131" spans="1:10" x14ac:dyDescent="0.25">
      <c r="B131" t="s">
        <v>159</v>
      </c>
      <c r="C131">
        <v>331</v>
      </c>
      <c r="D131">
        <v>372.1</v>
      </c>
      <c r="E131">
        <v>372.6</v>
      </c>
      <c r="F131">
        <v>372.3</v>
      </c>
      <c r="G131">
        <v>371.4</v>
      </c>
      <c r="H131">
        <v>371</v>
      </c>
      <c r="I131">
        <v>371.3</v>
      </c>
      <c r="J131">
        <v>0.3</v>
      </c>
    </row>
    <row r="132" spans="1:10" x14ac:dyDescent="0.25">
      <c r="A132" t="s">
        <v>43</v>
      </c>
      <c r="B132" t="s">
        <v>160</v>
      </c>
      <c r="C132">
        <v>3311</v>
      </c>
      <c r="D132">
        <v>80.400000000000006</v>
      </c>
      <c r="E132">
        <v>80</v>
      </c>
      <c r="F132">
        <v>80.099999999999994</v>
      </c>
      <c r="G132">
        <v>78.900000000000006</v>
      </c>
      <c r="H132">
        <v>79.599999999999994</v>
      </c>
      <c r="I132" t="s">
        <v>33</v>
      </c>
      <c r="J132" t="s">
        <v>33</v>
      </c>
    </row>
    <row r="133" spans="1:10" x14ac:dyDescent="0.25">
      <c r="A133" t="s">
        <v>43</v>
      </c>
      <c r="B133" t="s">
        <v>161</v>
      </c>
      <c r="C133">
        <v>3312</v>
      </c>
      <c r="D133">
        <v>60.7</v>
      </c>
      <c r="E133">
        <v>60.3</v>
      </c>
      <c r="F133">
        <v>59.5</v>
      </c>
      <c r="G133">
        <v>59.6</v>
      </c>
      <c r="H133">
        <v>59.7</v>
      </c>
      <c r="I133" t="s">
        <v>33</v>
      </c>
      <c r="J133" t="s">
        <v>33</v>
      </c>
    </row>
    <row r="134" spans="1:10" x14ac:dyDescent="0.25">
      <c r="A134" t="s">
        <v>162</v>
      </c>
      <c r="B134" t="s">
        <v>163</v>
      </c>
      <c r="C134" t="s">
        <v>164</v>
      </c>
      <c r="D134">
        <v>124.8</v>
      </c>
      <c r="E134">
        <v>124.3</v>
      </c>
      <c r="F134">
        <v>124.5</v>
      </c>
      <c r="G134">
        <v>123.9</v>
      </c>
      <c r="H134">
        <v>123.2</v>
      </c>
      <c r="I134" t="s">
        <v>33</v>
      </c>
      <c r="J134" t="s">
        <v>33</v>
      </c>
    </row>
    <row r="135" spans="1:10" x14ac:dyDescent="0.25">
      <c r="B135" t="s">
        <v>165</v>
      </c>
      <c r="C135">
        <v>3315</v>
      </c>
      <c r="D135">
        <v>106.1</v>
      </c>
      <c r="E135">
        <v>108.2</v>
      </c>
      <c r="F135">
        <v>108</v>
      </c>
      <c r="G135">
        <v>108</v>
      </c>
      <c r="H135">
        <v>108.8</v>
      </c>
      <c r="I135" t="s">
        <v>33</v>
      </c>
      <c r="J135" t="s">
        <v>33</v>
      </c>
    </row>
    <row r="136" spans="1:10" x14ac:dyDescent="0.25">
      <c r="A136" t="s">
        <v>43</v>
      </c>
      <c r="B136" t="s">
        <v>166</v>
      </c>
      <c r="C136">
        <v>33151</v>
      </c>
      <c r="D136">
        <v>54.1</v>
      </c>
      <c r="E136">
        <v>55.5</v>
      </c>
      <c r="F136">
        <v>55.1</v>
      </c>
      <c r="G136">
        <v>54.6</v>
      </c>
      <c r="H136">
        <v>54.5</v>
      </c>
      <c r="I136" t="s">
        <v>33</v>
      </c>
      <c r="J136" t="s">
        <v>33</v>
      </c>
    </row>
    <row r="137" spans="1:10" x14ac:dyDescent="0.25">
      <c r="A137" t="s">
        <v>162</v>
      </c>
      <c r="B137" t="s">
        <v>167</v>
      </c>
      <c r="C137">
        <v>33152</v>
      </c>
      <c r="D137">
        <v>51.6</v>
      </c>
      <c r="E137">
        <v>53.2</v>
      </c>
      <c r="F137">
        <v>53.3</v>
      </c>
      <c r="G137">
        <v>53.6</v>
      </c>
      <c r="H137">
        <v>54</v>
      </c>
      <c r="I137" t="s">
        <v>33</v>
      </c>
      <c r="J137" t="s">
        <v>33</v>
      </c>
    </row>
    <row r="138" spans="1:10" x14ac:dyDescent="0.25">
      <c r="A138" t="s">
        <v>168</v>
      </c>
      <c r="B138" t="s">
        <v>169</v>
      </c>
      <c r="C138">
        <v>332</v>
      </c>
      <c r="D138">
        <v>1460</v>
      </c>
      <c r="E138">
        <v>1461.5</v>
      </c>
      <c r="F138">
        <v>1458.5</v>
      </c>
      <c r="G138">
        <v>1459.5</v>
      </c>
      <c r="H138">
        <v>1456.3</v>
      </c>
      <c r="I138">
        <v>1456.4</v>
      </c>
      <c r="J138">
        <v>0.1</v>
      </c>
    </row>
    <row r="139" spans="1:10" x14ac:dyDescent="0.25">
      <c r="B139" t="s">
        <v>170</v>
      </c>
      <c r="C139">
        <v>3321</v>
      </c>
      <c r="D139">
        <v>89.6</v>
      </c>
      <c r="E139">
        <v>88.8</v>
      </c>
      <c r="F139">
        <v>89.7</v>
      </c>
      <c r="G139">
        <v>90.3</v>
      </c>
      <c r="H139">
        <v>89.5</v>
      </c>
      <c r="I139" t="s">
        <v>33</v>
      </c>
      <c r="J139" t="s">
        <v>33</v>
      </c>
    </row>
    <row r="140" spans="1:10" x14ac:dyDescent="0.25">
      <c r="B140" t="s">
        <v>171</v>
      </c>
      <c r="C140">
        <v>3323</v>
      </c>
      <c r="D140">
        <v>421.5</v>
      </c>
      <c r="E140">
        <v>427</v>
      </c>
      <c r="F140">
        <v>426.5</v>
      </c>
      <c r="G140">
        <v>426.3</v>
      </c>
      <c r="H140">
        <v>425.3</v>
      </c>
      <c r="I140" t="s">
        <v>33</v>
      </c>
      <c r="J140" t="s">
        <v>33</v>
      </c>
    </row>
    <row r="141" spans="1:10" x14ac:dyDescent="0.25">
      <c r="B141" t="s">
        <v>172</v>
      </c>
      <c r="C141">
        <v>33231</v>
      </c>
      <c r="D141">
        <v>189.6</v>
      </c>
      <c r="E141">
        <v>194.5</v>
      </c>
      <c r="F141">
        <v>194.2</v>
      </c>
      <c r="G141">
        <v>194.2</v>
      </c>
      <c r="H141">
        <v>195</v>
      </c>
      <c r="I141" t="s">
        <v>33</v>
      </c>
      <c r="J141" t="s">
        <v>33</v>
      </c>
    </row>
    <row r="142" spans="1:10" x14ac:dyDescent="0.25">
      <c r="B142" t="s">
        <v>173</v>
      </c>
      <c r="C142">
        <v>332312</v>
      </c>
      <c r="D142">
        <v>102.5</v>
      </c>
      <c r="E142">
        <v>104.4</v>
      </c>
      <c r="F142">
        <v>104</v>
      </c>
      <c r="G142">
        <v>103.6</v>
      </c>
      <c r="H142">
        <v>104.6</v>
      </c>
      <c r="I142" t="s">
        <v>33</v>
      </c>
      <c r="J142" t="s">
        <v>33</v>
      </c>
    </row>
    <row r="143" spans="1:10" x14ac:dyDescent="0.25">
      <c r="B143" t="s">
        <v>174</v>
      </c>
      <c r="C143" t="s">
        <v>175</v>
      </c>
      <c r="D143">
        <v>86.7</v>
      </c>
      <c r="E143">
        <v>90.1</v>
      </c>
      <c r="F143">
        <v>90.2</v>
      </c>
      <c r="G143">
        <v>90.3</v>
      </c>
      <c r="H143">
        <v>90.5</v>
      </c>
      <c r="I143" t="s">
        <v>33</v>
      </c>
      <c r="J143" t="s">
        <v>33</v>
      </c>
    </row>
    <row r="144" spans="1:10" x14ac:dyDescent="0.25">
      <c r="B144" t="s">
        <v>176</v>
      </c>
      <c r="C144">
        <v>33232</v>
      </c>
      <c r="D144">
        <v>232.2</v>
      </c>
      <c r="E144">
        <v>233.3</v>
      </c>
      <c r="F144">
        <v>232.9</v>
      </c>
      <c r="G144">
        <v>232.4</v>
      </c>
      <c r="H144">
        <v>230.9</v>
      </c>
      <c r="I144" t="s">
        <v>33</v>
      </c>
      <c r="J144" t="s">
        <v>33</v>
      </c>
    </row>
    <row r="145" spans="2:10" x14ac:dyDescent="0.25">
      <c r="B145" t="s">
        <v>177</v>
      </c>
      <c r="C145">
        <v>332321</v>
      </c>
      <c r="D145">
        <v>68.400000000000006</v>
      </c>
      <c r="E145">
        <v>69.8</v>
      </c>
      <c r="F145">
        <v>69.2</v>
      </c>
      <c r="G145">
        <v>69.099999999999994</v>
      </c>
      <c r="H145">
        <v>68.7</v>
      </c>
      <c r="I145" t="s">
        <v>33</v>
      </c>
      <c r="J145" t="s">
        <v>33</v>
      </c>
    </row>
    <row r="146" spans="2:10" x14ac:dyDescent="0.25">
      <c r="B146" t="s">
        <v>178</v>
      </c>
      <c r="C146">
        <v>332322</v>
      </c>
      <c r="D146">
        <v>118.1</v>
      </c>
      <c r="E146">
        <v>118.9</v>
      </c>
      <c r="F146">
        <v>119.7</v>
      </c>
      <c r="G146">
        <v>119.5</v>
      </c>
      <c r="H146">
        <v>119</v>
      </c>
      <c r="I146" t="s">
        <v>33</v>
      </c>
      <c r="J146" t="s">
        <v>33</v>
      </c>
    </row>
    <row r="147" spans="2:10" x14ac:dyDescent="0.25">
      <c r="B147" t="s">
        <v>179</v>
      </c>
      <c r="C147">
        <v>332323</v>
      </c>
      <c r="D147">
        <v>45.3</v>
      </c>
      <c r="E147">
        <v>44.7</v>
      </c>
      <c r="F147">
        <v>44</v>
      </c>
      <c r="G147">
        <v>43.9</v>
      </c>
      <c r="H147">
        <v>43.1</v>
      </c>
      <c r="I147" t="s">
        <v>33</v>
      </c>
      <c r="J147" t="s">
        <v>33</v>
      </c>
    </row>
    <row r="148" spans="2:10" x14ac:dyDescent="0.25">
      <c r="B148" t="s">
        <v>180</v>
      </c>
      <c r="C148">
        <v>3324</v>
      </c>
      <c r="D148">
        <v>95.4</v>
      </c>
      <c r="E148">
        <v>98.6</v>
      </c>
      <c r="F148">
        <v>98.6</v>
      </c>
      <c r="G148">
        <v>98.6</v>
      </c>
      <c r="H148">
        <v>98</v>
      </c>
      <c r="I148" t="s">
        <v>33</v>
      </c>
      <c r="J148" t="s">
        <v>33</v>
      </c>
    </row>
    <row r="149" spans="2:10" x14ac:dyDescent="0.25">
      <c r="B149" t="s">
        <v>181</v>
      </c>
      <c r="C149" t="s">
        <v>182</v>
      </c>
      <c r="D149">
        <v>64.900000000000006</v>
      </c>
      <c r="E149">
        <v>64.3</v>
      </c>
      <c r="F149">
        <v>64</v>
      </c>
      <c r="G149">
        <v>63.9</v>
      </c>
      <c r="H149">
        <v>63.5</v>
      </c>
      <c r="I149" t="s">
        <v>33</v>
      </c>
      <c r="J149" t="s">
        <v>33</v>
      </c>
    </row>
    <row r="150" spans="2:10" x14ac:dyDescent="0.25">
      <c r="B150" t="s">
        <v>183</v>
      </c>
      <c r="C150">
        <v>3327</v>
      </c>
      <c r="D150">
        <v>342.3</v>
      </c>
      <c r="E150">
        <v>333.5</v>
      </c>
      <c r="F150">
        <v>331.8</v>
      </c>
      <c r="G150">
        <v>331.3</v>
      </c>
      <c r="H150">
        <v>331.7</v>
      </c>
      <c r="I150" t="s">
        <v>33</v>
      </c>
      <c r="J150" t="s">
        <v>33</v>
      </c>
    </row>
    <row r="151" spans="2:10" x14ac:dyDescent="0.25">
      <c r="B151" t="s">
        <v>184</v>
      </c>
      <c r="C151">
        <v>33271</v>
      </c>
      <c r="D151">
        <v>266.5</v>
      </c>
      <c r="E151">
        <v>260</v>
      </c>
      <c r="F151">
        <v>258.60000000000002</v>
      </c>
      <c r="G151">
        <v>257.8</v>
      </c>
      <c r="H151">
        <v>258.3</v>
      </c>
      <c r="I151" t="s">
        <v>33</v>
      </c>
      <c r="J151" t="s">
        <v>33</v>
      </c>
    </row>
    <row r="152" spans="2:10" x14ac:dyDescent="0.25">
      <c r="B152" t="s">
        <v>185</v>
      </c>
      <c r="C152">
        <v>33272</v>
      </c>
      <c r="D152">
        <v>75.7</v>
      </c>
      <c r="E152">
        <v>73.5</v>
      </c>
      <c r="F152">
        <v>73.599999999999994</v>
      </c>
      <c r="G152">
        <v>73.400000000000006</v>
      </c>
      <c r="H152">
        <v>73.3</v>
      </c>
      <c r="I152" t="s">
        <v>33</v>
      </c>
      <c r="J152" t="s">
        <v>33</v>
      </c>
    </row>
    <row r="153" spans="2:10" x14ac:dyDescent="0.25">
      <c r="B153" t="s">
        <v>186</v>
      </c>
      <c r="C153">
        <v>3328</v>
      </c>
      <c r="D153">
        <v>129.6</v>
      </c>
      <c r="E153">
        <v>130.4</v>
      </c>
      <c r="F153">
        <v>129.80000000000001</v>
      </c>
      <c r="G153">
        <v>129.80000000000001</v>
      </c>
      <c r="H153">
        <v>128.9</v>
      </c>
      <c r="I153" t="s">
        <v>33</v>
      </c>
      <c r="J153" t="s">
        <v>33</v>
      </c>
    </row>
    <row r="154" spans="2:10" x14ac:dyDescent="0.25">
      <c r="B154" t="s">
        <v>187</v>
      </c>
      <c r="C154" t="s">
        <v>188</v>
      </c>
      <c r="D154">
        <v>77.3</v>
      </c>
      <c r="E154">
        <v>76.2</v>
      </c>
      <c r="F154">
        <v>76.3</v>
      </c>
      <c r="G154">
        <v>76.7</v>
      </c>
      <c r="H154">
        <v>76.2</v>
      </c>
      <c r="I154" t="s">
        <v>33</v>
      </c>
      <c r="J154" t="s">
        <v>33</v>
      </c>
    </row>
    <row r="155" spans="2:10" x14ac:dyDescent="0.25">
      <c r="B155" t="s">
        <v>189</v>
      </c>
      <c r="C155">
        <v>332813</v>
      </c>
      <c r="D155">
        <v>52.3</v>
      </c>
      <c r="E155">
        <v>53.7</v>
      </c>
      <c r="F155">
        <v>53.3</v>
      </c>
      <c r="G155">
        <v>53.2</v>
      </c>
      <c r="H155">
        <v>52.9</v>
      </c>
      <c r="I155" t="s">
        <v>33</v>
      </c>
      <c r="J155" t="s">
        <v>33</v>
      </c>
    </row>
    <row r="156" spans="2:10" x14ac:dyDescent="0.25">
      <c r="B156" t="s">
        <v>190</v>
      </c>
      <c r="C156">
        <v>3329</v>
      </c>
      <c r="D156">
        <v>316</v>
      </c>
      <c r="E156">
        <v>318.3</v>
      </c>
      <c r="F156">
        <v>317.5</v>
      </c>
      <c r="G156">
        <v>319</v>
      </c>
      <c r="H156">
        <v>318.89999999999998</v>
      </c>
      <c r="I156" t="s">
        <v>33</v>
      </c>
      <c r="J156" t="s">
        <v>33</v>
      </c>
    </row>
    <row r="157" spans="2:10" x14ac:dyDescent="0.25">
      <c r="B157" t="s">
        <v>191</v>
      </c>
      <c r="C157">
        <v>33291</v>
      </c>
      <c r="D157">
        <v>89.8</v>
      </c>
      <c r="E157">
        <v>90.9</v>
      </c>
      <c r="F157">
        <v>91.4</v>
      </c>
      <c r="G157">
        <v>91.3</v>
      </c>
      <c r="H157">
        <v>91.6</v>
      </c>
      <c r="I157" t="s">
        <v>33</v>
      </c>
      <c r="J157" t="s">
        <v>33</v>
      </c>
    </row>
    <row r="158" spans="2:10" x14ac:dyDescent="0.25">
      <c r="B158" t="s">
        <v>192</v>
      </c>
      <c r="C158">
        <v>332912</v>
      </c>
      <c r="D158">
        <v>38.5</v>
      </c>
      <c r="E158">
        <v>37.9</v>
      </c>
      <c r="F158">
        <v>38</v>
      </c>
      <c r="G158">
        <v>38.1</v>
      </c>
      <c r="H158">
        <v>38</v>
      </c>
      <c r="I158" t="s">
        <v>33</v>
      </c>
      <c r="J158" t="s">
        <v>33</v>
      </c>
    </row>
    <row r="159" spans="2:10" x14ac:dyDescent="0.25">
      <c r="B159" t="s">
        <v>193</v>
      </c>
      <c r="C159" t="s">
        <v>194</v>
      </c>
      <c r="D159">
        <v>51.3</v>
      </c>
      <c r="E159">
        <v>53.2</v>
      </c>
      <c r="F159">
        <v>53.5</v>
      </c>
      <c r="G159">
        <v>53</v>
      </c>
      <c r="H159">
        <v>53.5</v>
      </c>
      <c r="I159" t="s">
        <v>33</v>
      </c>
      <c r="J159" t="s">
        <v>33</v>
      </c>
    </row>
    <row r="160" spans="2:10" x14ac:dyDescent="0.25">
      <c r="B160" t="s">
        <v>195</v>
      </c>
      <c r="C160">
        <v>33299</v>
      </c>
      <c r="D160">
        <v>226</v>
      </c>
      <c r="E160">
        <v>227.7</v>
      </c>
      <c r="F160">
        <v>225.6</v>
      </c>
      <c r="G160">
        <v>227.6</v>
      </c>
      <c r="H160">
        <v>227.5</v>
      </c>
      <c r="I160" t="s">
        <v>33</v>
      </c>
      <c r="J160" t="s">
        <v>33</v>
      </c>
    </row>
    <row r="161" spans="1:10" x14ac:dyDescent="0.25">
      <c r="B161" t="s">
        <v>196</v>
      </c>
      <c r="C161" t="s">
        <v>197</v>
      </c>
      <c r="D161">
        <v>54</v>
      </c>
      <c r="E161">
        <v>55</v>
      </c>
      <c r="F161">
        <v>54</v>
      </c>
      <c r="G161">
        <v>53.9</v>
      </c>
      <c r="H161">
        <v>54.7</v>
      </c>
      <c r="I161" t="s">
        <v>33</v>
      </c>
      <c r="J161" t="s">
        <v>33</v>
      </c>
    </row>
    <row r="162" spans="1:10" x14ac:dyDescent="0.25">
      <c r="B162" t="s">
        <v>198</v>
      </c>
      <c r="C162" t="s">
        <v>199</v>
      </c>
      <c r="D162">
        <v>172.2</v>
      </c>
      <c r="E162">
        <v>172.4</v>
      </c>
      <c r="F162">
        <v>171.4</v>
      </c>
      <c r="G162">
        <v>173.6</v>
      </c>
      <c r="H162">
        <v>172.9</v>
      </c>
      <c r="I162" t="s">
        <v>33</v>
      </c>
      <c r="J162" t="s">
        <v>33</v>
      </c>
    </row>
    <row r="163" spans="1:10" x14ac:dyDescent="0.25">
      <c r="A163" t="s">
        <v>200</v>
      </c>
      <c r="B163" t="s">
        <v>201</v>
      </c>
      <c r="C163">
        <v>333</v>
      </c>
      <c r="D163">
        <v>1138</v>
      </c>
      <c r="E163">
        <v>1131.0999999999999</v>
      </c>
      <c r="F163">
        <v>1129.4000000000001</v>
      </c>
      <c r="G163">
        <v>1132</v>
      </c>
      <c r="H163">
        <v>1132</v>
      </c>
      <c r="I163">
        <v>1134.7</v>
      </c>
      <c r="J163">
        <v>2.7</v>
      </c>
    </row>
    <row r="164" spans="1:10" x14ac:dyDescent="0.25">
      <c r="B164" t="s">
        <v>202</v>
      </c>
      <c r="C164">
        <v>3331</v>
      </c>
      <c r="D164">
        <v>222</v>
      </c>
      <c r="E164">
        <v>219.9</v>
      </c>
      <c r="F164">
        <v>217</v>
      </c>
      <c r="G164">
        <v>217.1</v>
      </c>
      <c r="H164">
        <v>217.2</v>
      </c>
      <c r="I164" t="s">
        <v>33</v>
      </c>
      <c r="J164" t="s">
        <v>33</v>
      </c>
    </row>
    <row r="165" spans="1:10" x14ac:dyDescent="0.25">
      <c r="B165" t="s">
        <v>203</v>
      </c>
      <c r="C165">
        <v>33311</v>
      </c>
      <c r="D165">
        <v>86.9</v>
      </c>
      <c r="E165">
        <v>85.6</v>
      </c>
      <c r="F165">
        <v>85.1</v>
      </c>
      <c r="G165">
        <v>84.4</v>
      </c>
      <c r="H165">
        <v>84</v>
      </c>
      <c r="I165" t="s">
        <v>33</v>
      </c>
      <c r="J165" t="s">
        <v>33</v>
      </c>
    </row>
    <row r="166" spans="1:10" x14ac:dyDescent="0.25">
      <c r="B166" t="s">
        <v>204</v>
      </c>
      <c r="C166">
        <v>33312</v>
      </c>
      <c r="D166">
        <v>75.099999999999994</v>
      </c>
      <c r="E166">
        <v>76.2</v>
      </c>
      <c r="F166">
        <v>75.400000000000006</v>
      </c>
      <c r="G166">
        <v>75</v>
      </c>
      <c r="H166">
        <v>74.3</v>
      </c>
      <c r="I166" t="s">
        <v>33</v>
      </c>
      <c r="J166" t="s">
        <v>33</v>
      </c>
    </row>
    <row r="167" spans="1:10" x14ac:dyDescent="0.25">
      <c r="B167" t="s">
        <v>205</v>
      </c>
      <c r="C167">
        <v>33313</v>
      </c>
      <c r="D167">
        <v>59.9</v>
      </c>
      <c r="E167">
        <v>58.1</v>
      </c>
      <c r="F167">
        <v>57.7</v>
      </c>
      <c r="G167">
        <v>58.1</v>
      </c>
      <c r="H167">
        <v>59.2</v>
      </c>
      <c r="I167" t="s">
        <v>33</v>
      </c>
      <c r="J167" t="s">
        <v>33</v>
      </c>
    </row>
    <row r="168" spans="1:10" x14ac:dyDescent="0.25">
      <c r="B168" t="s">
        <v>206</v>
      </c>
      <c r="C168">
        <v>3332</v>
      </c>
      <c r="D168">
        <v>132.6</v>
      </c>
      <c r="E168">
        <v>133.30000000000001</v>
      </c>
      <c r="F168">
        <v>133.19999999999999</v>
      </c>
      <c r="G168">
        <v>133</v>
      </c>
      <c r="H168">
        <v>133.4</v>
      </c>
      <c r="I168" t="s">
        <v>33</v>
      </c>
      <c r="J168" t="s">
        <v>33</v>
      </c>
    </row>
    <row r="169" spans="1:10" x14ac:dyDescent="0.25">
      <c r="B169" t="s">
        <v>207</v>
      </c>
      <c r="C169">
        <v>333248</v>
      </c>
      <c r="D169">
        <v>70.3</v>
      </c>
      <c r="E169">
        <v>70.900000000000006</v>
      </c>
      <c r="F169">
        <v>70.8</v>
      </c>
      <c r="G169">
        <v>70.900000000000006</v>
      </c>
      <c r="H169">
        <v>70.900000000000006</v>
      </c>
      <c r="I169" t="s">
        <v>33</v>
      </c>
      <c r="J169" t="s">
        <v>33</v>
      </c>
    </row>
    <row r="170" spans="1:10" x14ac:dyDescent="0.25">
      <c r="B170" t="s">
        <v>208</v>
      </c>
      <c r="C170">
        <v>3333</v>
      </c>
      <c r="D170">
        <v>91.9</v>
      </c>
      <c r="E170">
        <v>91.3</v>
      </c>
      <c r="F170">
        <v>91.6</v>
      </c>
      <c r="G170">
        <v>92.1</v>
      </c>
      <c r="H170">
        <v>92.2</v>
      </c>
      <c r="I170" t="s">
        <v>33</v>
      </c>
      <c r="J170" t="s">
        <v>33</v>
      </c>
    </row>
    <row r="171" spans="1:10" x14ac:dyDescent="0.25">
      <c r="B171" t="s">
        <v>209</v>
      </c>
      <c r="C171">
        <v>3334</v>
      </c>
      <c r="D171">
        <v>152.9</v>
      </c>
      <c r="E171">
        <v>154</v>
      </c>
      <c r="F171">
        <v>154.80000000000001</v>
      </c>
      <c r="G171">
        <v>155.6</v>
      </c>
      <c r="H171">
        <v>156.6</v>
      </c>
      <c r="I171" t="s">
        <v>33</v>
      </c>
      <c r="J171" t="s">
        <v>33</v>
      </c>
    </row>
    <row r="172" spans="1:10" x14ac:dyDescent="0.25">
      <c r="B172" t="s">
        <v>210</v>
      </c>
      <c r="C172">
        <v>333415</v>
      </c>
      <c r="D172">
        <v>101.2</v>
      </c>
      <c r="E172">
        <v>99.8</v>
      </c>
      <c r="F172">
        <v>100.4</v>
      </c>
      <c r="G172">
        <v>101.2</v>
      </c>
      <c r="H172">
        <v>101.6</v>
      </c>
      <c r="I172" t="s">
        <v>33</v>
      </c>
      <c r="J172" t="s">
        <v>33</v>
      </c>
    </row>
    <row r="173" spans="1:10" x14ac:dyDescent="0.25">
      <c r="B173" t="s">
        <v>211</v>
      </c>
      <c r="C173">
        <v>3335</v>
      </c>
      <c r="D173">
        <v>161</v>
      </c>
      <c r="E173">
        <v>158.4</v>
      </c>
      <c r="F173">
        <v>158.30000000000001</v>
      </c>
      <c r="G173">
        <v>158.30000000000001</v>
      </c>
      <c r="H173">
        <v>157.5</v>
      </c>
      <c r="I173" t="s">
        <v>33</v>
      </c>
      <c r="J173" t="s">
        <v>33</v>
      </c>
    </row>
    <row r="174" spans="1:10" x14ac:dyDescent="0.25">
      <c r="B174" t="s">
        <v>212</v>
      </c>
      <c r="C174">
        <v>333514</v>
      </c>
      <c r="D174">
        <v>53.3</v>
      </c>
      <c r="E174">
        <v>52.2</v>
      </c>
      <c r="F174">
        <v>52.1</v>
      </c>
      <c r="G174">
        <v>52.2</v>
      </c>
      <c r="H174">
        <v>51.9</v>
      </c>
      <c r="I174" t="s">
        <v>33</v>
      </c>
      <c r="J174" t="s">
        <v>33</v>
      </c>
    </row>
    <row r="175" spans="1:10" x14ac:dyDescent="0.25">
      <c r="B175" t="s">
        <v>213</v>
      </c>
      <c r="C175">
        <v>333517</v>
      </c>
      <c r="D175">
        <v>42.5</v>
      </c>
      <c r="E175">
        <v>41.7</v>
      </c>
      <c r="F175">
        <v>41.7</v>
      </c>
      <c r="G175">
        <v>41.9</v>
      </c>
      <c r="H175">
        <v>41.8</v>
      </c>
      <c r="I175" t="s">
        <v>33</v>
      </c>
      <c r="J175" t="s">
        <v>33</v>
      </c>
    </row>
    <row r="176" spans="1:10" x14ac:dyDescent="0.25">
      <c r="B176" t="s">
        <v>214</v>
      </c>
      <c r="C176" t="s">
        <v>215</v>
      </c>
      <c r="D176">
        <v>65.3</v>
      </c>
      <c r="E176">
        <v>64.5</v>
      </c>
      <c r="F176">
        <v>64.400000000000006</v>
      </c>
      <c r="G176">
        <v>64.3</v>
      </c>
      <c r="H176">
        <v>63.9</v>
      </c>
      <c r="I176" t="s">
        <v>33</v>
      </c>
      <c r="J176" t="s">
        <v>33</v>
      </c>
    </row>
    <row r="177" spans="1:10" x14ac:dyDescent="0.25">
      <c r="B177" t="s">
        <v>216</v>
      </c>
      <c r="C177">
        <v>3336</v>
      </c>
      <c r="D177">
        <v>91.4</v>
      </c>
      <c r="E177">
        <v>92.7</v>
      </c>
      <c r="F177">
        <v>91.7</v>
      </c>
      <c r="G177">
        <v>92.6</v>
      </c>
      <c r="H177">
        <v>93.4</v>
      </c>
      <c r="I177" t="s">
        <v>33</v>
      </c>
      <c r="J177" t="s">
        <v>33</v>
      </c>
    </row>
    <row r="178" spans="1:10" x14ac:dyDescent="0.25">
      <c r="B178" t="s">
        <v>217</v>
      </c>
      <c r="C178">
        <v>3339</v>
      </c>
      <c r="D178">
        <v>286.10000000000002</v>
      </c>
      <c r="E178">
        <v>281.8</v>
      </c>
      <c r="F178">
        <v>281.60000000000002</v>
      </c>
      <c r="G178">
        <v>281.60000000000002</v>
      </c>
      <c r="H178">
        <v>280.89999999999998</v>
      </c>
      <c r="I178" t="s">
        <v>33</v>
      </c>
      <c r="J178" t="s">
        <v>33</v>
      </c>
    </row>
    <row r="179" spans="1:10" x14ac:dyDescent="0.25">
      <c r="B179" t="s">
        <v>218</v>
      </c>
      <c r="C179">
        <v>33391</v>
      </c>
      <c r="D179">
        <v>48.1</v>
      </c>
      <c r="E179">
        <v>48.2</v>
      </c>
      <c r="F179">
        <v>48.1</v>
      </c>
      <c r="G179">
        <v>48.7</v>
      </c>
      <c r="H179">
        <v>48.7</v>
      </c>
      <c r="I179" t="s">
        <v>33</v>
      </c>
      <c r="J179" t="s">
        <v>33</v>
      </c>
    </row>
    <row r="180" spans="1:10" x14ac:dyDescent="0.25">
      <c r="B180" t="s">
        <v>219</v>
      </c>
      <c r="C180">
        <v>33392</v>
      </c>
      <c r="D180">
        <v>95.2</v>
      </c>
      <c r="E180">
        <v>95</v>
      </c>
      <c r="F180">
        <v>95.1</v>
      </c>
      <c r="G180">
        <v>94.9</v>
      </c>
      <c r="H180">
        <v>95.1</v>
      </c>
      <c r="I180" t="s">
        <v>33</v>
      </c>
      <c r="J180" t="s">
        <v>33</v>
      </c>
    </row>
    <row r="181" spans="1:10" x14ac:dyDescent="0.25">
      <c r="B181" t="s">
        <v>220</v>
      </c>
      <c r="C181">
        <v>33399</v>
      </c>
      <c r="D181">
        <v>143</v>
      </c>
      <c r="E181">
        <v>138.4</v>
      </c>
      <c r="F181">
        <v>138.30000000000001</v>
      </c>
      <c r="G181">
        <v>137.80000000000001</v>
      </c>
      <c r="H181">
        <v>136.9</v>
      </c>
      <c r="I181" t="s">
        <v>33</v>
      </c>
      <c r="J181" t="s">
        <v>33</v>
      </c>
    </row>
    <row r="182" spans="1:10" x14ac:dyDescent="0.25">
      <c r="A182" t="s">
        <v>221</v>
      </c>
      <c r="B182" t="s">
        <v>222</v>
      </c>
      <c r="C182">
        <v>334</v>
      </c>
      <c r="D182">
        <v>1106.5</v>
      </c>
      <c r="E182">
        <v>1099.5</v>
      </c>
      <c r="F182">
        <v>1097.2</v>
      </c>
      <c r="G182">
        <v>1096.7</v>
      </c>
      <c r="H182">
        <v>1093.2</v>
      </c>
      <c r="I182">
        <v>1089.2</v>
      </c>
      <c r="J182">
        <v>-4</v>
      </c>
    </row>
    <row r="183" spans="1:10" x14ac:dyDescent="0.25">
      <c r="B183" t="s">
        <v>223</v>
      </c>
      <c r="C183">
        <v>3341</v>
      </c>
      <c r="D183">
        <v>162.19999999999999</v>
      </c>
      <c r="E183">
        <v>160</v>
      </c>
      <c r="F183">
        <v>159.69999999999999</v>
      </c>
      <c r="G183">
        <v>159.9</v>
      </c>
      <c r="H183">
        <v>159.5</v>
      </c>
      <c r="I183">
        <v>159.6</v>
      </c>
      <c r="J183">
        <v>0.1</v>
      </c>
    </row>
    <row r="184" spans="1:10" x14ac:dyDescent="0.25">
      <c r="B184" t="s">
        <v>224</v>
      </c>
      <c r="C184">
        <v>3342</v>
      </c>
      <c r="D184">
        <v>87</v>
      </c>
      <c r="E184">
        <v>84.8</v>
      </c>
      <c r="F184">
        <v>84.8</v>
      </c>
      <c r="G184">
        <v>84.4</v>
      </c>
      <c r="H184">
        <v>84.4</v>
      </c>
      <c r="I184">
        <v>85.1</v>
      </c>
      <c r="J184">
        <v>0.7</v>
      </c>
    </row>
    <row r="185" spans="1:10" x14ac:dyDescent="0.25">
      <c r="B185" t="s">
        <v>225</v>
      </c>
      <c r="C185">
        <v>33422</v>
      </c>
      <c r="D185">
        <v>53.6</v>
      </c>
      <c r="E185">
        <v>51.1</v>
      </c>
      <c r="F185">
        <v>51</v>
      </c>
      <c r="G185">
        <v>50.8</v>
      </c>
      <c r="H185">
        <v>50.7</v>
      </c>
      <c r="I185" t="s">
        <v>33</v>
      </c>
      <c r="J185" t="s">
        <v>33</v>
      </c>
    </row>
    <row r="186" spans="1:10" x14ac:dyDescent="0.25">
      <c r="B186" t="s">
        <v>226</v>
      </c>
      <c r="C186">
        <v>3344</v>
      </c>
      <c r="D186">
        <v>392.1</v>
      </c>
      <c r="E186">
        <v>391.5</v>
      </c>
      <c r="F186">
        <v>391</v>
      </c>
      <c r="G186">
        <v>390</v>
      </c>
      <c r="H186">
        <v>387.6</v>
      </c>
      <c r="I186">
        <v>384.1</v>
      </c>
      <c r="J186">
        <v>-3.5</v>
      </c>
    </row>
    <row r="187" spans="1:10" x14ac:dyDescent="0.25">
      <c r="B187" t="s">
        <v>227</v>
      </c>
      <c r="C187">
        <v>334412</v>
      </c>
      <c r="D187">
        <v>26.9</v>
      </c>
      <c r="E187">
        <v>27.3</v>
      </c>
      <c r="F187">
        <v>27.2</v>
      </c>
      <c r="G187">
        <v>27.2</v>
      </c>
      <c r="H187">
        <v>27</v>
      </c>
      <c r="I187" t="s">
        <v>33</v>
      </c>
      <c r="J187" t="s">
        <v>33</v>
      </c>
    </row>
    <row r="188" spans="1:10" x14ac:dyDescent="0.25">
      <c r="B188" t="s">
        <v>228</v>
      </c>
      <c r="C188">
        <v>334413</v>
      </c>
      <c r="D188">
        <v>199.9</v>
      </c>
      <c r="E188">
        <v>197.8</v>
      </c>
      <c r="F188">
        <v>196.4</v>
      </c>
      <c r="G188">
        <v>196.7</v>
      </c>
      <c r="H188">
        <v>194.2</v>
      </c>
      <c r="I188" t="s">
        <v>33</v>
      </c>
      <c r="J188" t="s">
        <v>33</v>
      </c>
    </row>
    <row r="189" spans="1:10" x14ac:dyDescent="0.25">
      <c r="B189" t="s">
        <v>229</v>
      </c>
      <c r="C189">
        <v>334418</v>
      </c>
      <c r="D189">
        <v>61.4</v>
      </c>
      <c r="E189">
        <v>62</v>
      </c>
      <c r="F189">
        <v>61.9</v>
      </c>
      <c r="G189">
        <v>61.3</v>
      </c>
      <c r="H189">
        <v>61.4</v>
      </c>
      <c r="I189" t="s">
        <v>33</v>
      </c>
      <c r="J189" t="s">
        <v>33</v>
      </c>
    </row>
    <row r="190" spans="1:10" x14ac:dyDescent="0.25">
      <c r="B190" t="s">
        <v>230</v>
      </c>
      <c r="C190" t="s">
        <v>231</v>
      </c>
      <c r="D190">
        <v>103.3</v>
      </c>
      <c r="E190">
        <v>104.7</v>
      </c>
      <c r="F190">
        <v>105.5</v>
      </c>
      <c r="G190">
        <v>104.9</v>
      </c>
      <c r="H190">
        <v>104.8</v>
      </c>
      <c r="I190" t="s">
        <v>33</v>
      </c>
      <c r="J190" t="s">
        <v>33</v>
      </c>
    </row>
    <row r="191" spans="1:10" x14ac:dyDescent="0.25">
      <c r="B191" t="s">
        <v>232</v>
      </c>
      <c r="C191">
        <v>3345</v>
      </c>
      <c r="D191">
        <v>434.6</v>
      </c>
      <c r="E191">
        <v>432.5</v>
      </c>
      <c r="F191">
        <v>430.7</v>
      </c>
      <c r="G191">
        <v>431.4</v>
      </c>
      <c r="H191">
        <v>430.9</v>
      </c>
      <c r="I191">
        <v>429.1</v>
      </c>
      <c r="J191">
        <v>-1.8</v>
      </c>
    </row>
    <row r="192" spans="1:10" x14ac:dyDescent="0.25">
      <c r="B192" t="s">
        <v>233</v>
      </c>
      <c r="C192">
        <v>334510</v>
      </c>
      <c r="D192">
        <v>75.7</v>
      </c>
      <c r="E192">
        <v>75.3</v>
      </c>
      <c r="F192">
        <v>74.8</v>
      </c>
      <c r="G192">
        <v>74.900000000000006</v>
      </c>
      <c r="H192">
        <v>74.400000000000006</v>
      </c>
      <c r="I192" t="s">
        <v>33</v>
      </c>
      <c r="J192" t="s">
        <v>33</v>
      </c>
    </row>
    <row r="193" spans="1:10" x14ac:dyDescent="0.25">
      <c r="B193" t="s">
        <v>234</v>
      </c>
      <c r="C193">
        <v>334511</v>
      </c>
      <c r="D193">
        <v>136.30000000000001</v>
      </c>
      <c r="E193">
        <v>134</v>
      </c>
      <c r="F193">
        <v>132.30000000000001</v>
      </c>
      <c r="G193">
        <v>132.30000000000001</v>
      </c>
      <c r="H193">
        <v>132.19999999999999</v>
      </c>
      <c r="I193" t="s">
        <v>33</v>
      </c>
      <c r="J193" t="s">
        <v>33</v>
      </c>
    </row>
    <row r="194" spans="1:10" x14ac:dyDescent="0.25">
      <c r="B194" t="s">
        <v>235</v>
      </c>
      <c r="C194">
        <v>334513</v>
      </c>
      <c r="D194">
        <v>57.2</v>
      </c>
      <c r="E194">
        <v>58.5</v>
      </c>
      <c r="F194">
        <v>58.6</v>
      </c>
      <c r="G194">
        <v>58</v>
      </c>
      <c r="H194">
        <v>57.9</v>
      </c>
      <c r="I194" t="s">
        <v>33</v>
      </c>
      <c r="J194" t="s">
        <v>33</v>
      </c>
    </row>
    <row r="195" spans="1:10" x14ac:dyDescent="0.25">
      <c r="B195" t="s">
        <v>236</v>
      </c>
      <c r="C195">
        <v>334515</v>
      </c>
      <c r="D195">
        <v>38</v>
      </c>
      <c r="E195">
        <v>37.1</v>
      </c>
      <c r="F195">
        <v>36.9</v>
      </c>
      <c r="G195">
        <v>36.9</v>
      </c>
      <c r="H195">
        <v>37</v>
      </c>
      <c r="I195" t="s">
        <v>33</v>
      </c>
      <c r="J195" t="s">
        <v>33</v>
      </c>
    </row>
    <row r="196" spans="1:10" x14ac:dyDescent="0.25">
      <c r="B196" t="s">
        <v>237</v>
      </c>
      <c r="C196" t="s">
        <v>238</v>
      </c>
      <c r="D196">
        <v>127.5</v>
      </c>
      <c r="E196">
        <v>128.1</v>
      </c>
      <c r="F196">
        <v>128.19999999999999</v>
      </c>
      <c r="G196">
        <v>129</v>
      </c>
      <c r="H196">
        <v>128.9</v>
      </c>
      <c r="I196" t="s">
        <v>33</v>
      </c>
      <c r="J196" t="s">
        <v>33</v>
      </c>
    </row>
    <row r="197" spans="1:10" x14ac:dyDescent="0.25">
      <c r="B197" t="s">
        <v>239</v>
      </c>
      <c r="C197" t="s">
        <v>240</v>
      </c>
      <c r="D197">
        <v>30.6</v>
      </c>
      <c r="E197">
        <v>30.8</v>
      </c>
      <c r="F197">
        <v>30.9</v>
      </c>
      <c r="G197">
        <v>30.9</v>
      </c>
      <c r="H197">
        <v>30.7</v>
      </c>
      <c r="I197">
        <v>31.4</v>
      </c>
      <c r="J197">
        <v>0.7</v>
      </c>
    </row>
    <row r="198" spans="1:10" x14ac:dyDescent="0.25">
      <c r="A198" t="s">
        <v>241</v>
      </c>
      <c r="B198" t="s">
        <v>242</v>
      </c>
      <c r="C198">
        <v>335</v>
      </c>
      <c r="D198">
        <v>415.1</v>
      </c>
      <c r="E198">
        <v>405.2</v>
      </c>
      <c r="F198">
        <v>403.5</v>
      </c>
      <c r="G198">
        <v>402.4</v>
      </c>
      <c r="H198">
        <v>403.4</v>
      </c>
      <c r="I198">
        <v>400.8</v>
      </c>
      <c r="J198">
        <v>-2.6</v>
      </c>
    </row>
    <row r="199" spans="1:10" x14ac:dyDescent="0.25">
      <c r="B199" t="s">
        <v>243</v>
      </c>
      <c r="C199">
        <v>3351</v>
      </c>
      <c r="D199">
        <v>36.9</v>
      </c>
      <c r="E199">
        <v>35.4</v>
      </c>
      <c r="F199">
        <v>34.5</v>
      </c>
      <c r="G199">
        <v>34.299999999999997</v>
      </c>
      <c r="H199">
        <v>34.299999999999997</v>
      </c>
      <c r="I199" t="s">
        <v>33</v>
      </c>
      <c r="J199" t="s">
        <v>33</v>
      </c>
    </row>
    <row r="200" spans="1:10" x14ac:dyDescent="0.25">
      <c r="B200" t="s">
        <v>244</v>
      </c>
      <c r="C200">
        <v>3352</v>
      </c>
      <c r="D200">
        <v>66.099999999999994</v>
      </c>
      <c r="E200">
        <v>61.1</v>
      </c>
      <c r="F200">
        <v>61.8</v>
      </c>
      <c r="G200">
        <v>61.4</v>
      </c>
      <c r="H200">
        <v>61.3</v>
      </c>
      <c r="I200" t="s">
        <v>33</v>
      </c>
      <c r="J200" t="s">
        <v>33</v>
      </c>
    </row>
    <row r="201" spans="1:10" x14ac:dyDescent="0.25">
      <c r="B201" t="s">
        <v>245</v>
      </c>
      <c r="C201">
        <v>3353</v>
      </c>
      <c r="D201">
        <v>147.4</v>
      </c>
      <c r="E201">
        <v>147.9</v>
      </c>
      <c r="F201">
        <v>147.19999999999999</v>
      </c>
      <c r="G201">
        <v>147.19999999999999</v>
      </c>
      <c r="H201">
        <v>147.69999999999999</v>
      </c>
      <c r="I201" t="s">
        <v>33</v>
      </c>
      <c r="J201" t="s">
        <v>33</v>
      </c>
    </row>
    <row r="202" spans="1:10" x14ac:dyDescent="0.25">
      <c r="B202" t="s">
        <v>246</v>
      </c>
      <c r="C202">
        <v>335311</v>
      </c>
      <c r="D202">
        <v>30.6</v>
      </c>
      <c r="E202">
        <v>33</v>
      </c>
      <c r="F202">
        <v>32.4</v>
      </c>
      <c r="G202">
        <v>32.299999999999997</v>
      </c>
      <c r="H202">
        <v>32.299999999999997</v>
      </c>
      <c r="I202" t="s">
        <v>33</v>
      </c>
      <c r="J202" t="s">
        <v>33</v>
      </c>
    </row>
    <row r="203" spans="1:10" x14ac:dyDescent="0.25">
      <c r="B203" t="s">
        <v>247</v>
      </c>
      <c r="C203" t="s">
        <v>248</v>
      </c>
      <c r="D203">
        <v>116.6</v>
      </c>
      <c r="E203">
        <v>115.3</v>
      </c>
      <c r="F203">
        <v>114.7</v>
      </c>
      <c r="G203">
        <v>114.8</v>
      </c>
      <c r="H203">
        <v>115.2</v>
      </c>
      <c r="I203" t="s">
        <v>33</v>
      </c>
      <c r="J203" t="s">
        <v>33</v>
      </c>
    </row>
    <row r="204" spans="1:10" x14ac:dyDescent="0.25">
      <c r="B204" t="s">
        <v>249</v>
      </c>
      <c r="C204">
        <v>3359</v>
      </c>
      <c r="D204">
        <v>164.3</v>
      </c>
      <c r="E204">
        <v>160.69999999999999</v>
      </c>
      <c r="F204">
        <v>160.5</v>
      </c>
      <c r="G204">
        <v>160</v>
      </c>
      <c r="H204">
        <v>160</v>
      </c>
      <c r="I204" t="s">
        <v>33</v>
      </c>
      <c r="J204" t="s">
        <v>33</v>
      </c>
    </row>
    <row r="205" spans="1:10" x14ac:dyDescent="0.25">
      <c r="B205" t="s">
        <v>250</v>
      </c>
      <c r="C205">
        <v>33591</v>
      </c>
      <c r="D205">
        <v>50.2</v>
      </c>
      <c r="E205">
        <v>50.1</v>
      </c>
      <c r="F205">
        <v>50</v>
      </c>
      <c r="G205">
        <v>50</v>
      </c>
      <c r="H205">
        <v>50.3</v>
      </c>
      <c r="I205" t="s">
        <v>33</v>
      </c>
      <c r="J205" t="s">
        <v>33</v>
      </c>
    </row>
    <row r="206" spans="1:10" x14ac:dyDescent="0.25">
      <c r="B206" t="s">
        <v>251</v>
      </c>
      <c r="C206">
        <v>33593</v>
      </c>
      <c r="D206">
        <v>39.299999999999997</v>
      </c>
      <c r="E206">
        <v>39.700000000000003</v>
      </c>
      <c r="F206">
        <v>39.799999999999997</v>
      </c>
      <c r="G206">
        <v>39.9</v>
      </c>
      <c r="H206">
        <v>40.4</v>
      </c>
      <c r="I206" t="s">
        <v>33</v>
      </c>
      <c r="J206" t="s">
        <v>33</v>
      </c>
    </row>
    <row r="207" spans="1:10" x14ac:dyDescent="0.25">
      <c r="B207" t="s">
        <v>252</v>
      </c>
      <c r="C207" t="s">
        <v>253</v>
      </c>
      <c r="D207">
        <v>74.599999999999994</v>
      </c>
      <c r="E207">
        <v>71.2</v>
      </c>
      <c r="F207">
        <v>70.599999999999994</v>
      </c>
      <c r="G207">
        <v>69.7</v>
      </c>
      <c r="H207">
        <v>69.400000000000006</v>
      </c>
      <c r="I207" t="s">
        <v>33</v>
      </c>
      <c r="J207" t="s">
        <v>33</v>
      </c>
    </row>
    <row r="208" spans="1:10" x14ac:dyDescent="0.25">
      <c r="B208" t="s">
        <v>254</v>
      </c>
      <c r="C208">
        <v>336</v>
      </c>
      <c r="D208">
        <v>1822.1</v>
      </c>
      <c r="E208">
        <v>1860.8</v>
      </c>
      <c r="F208">
        <v>1842.6</v>
      </c>
      <c r="G208">
        <v>1838.1</v>
      </c>
      <c r="H208">
        <v>1796.6</v>
      </c>
      <c r="I208">
        <v>1828.6</v>
      </c>
      <c r="J208">
        <v>32</v>
      </c>
    </row>
    <row r="209" spans="1:10" x14ac:dyDescent="0.25">
      <c r="A209" t="s">
        <v>255</v>
      </c>
      <c r="B209" t="s">
        <v>256</v>
      </c>
      <c r="C209" t="s">
        <v>257</v>
      </c>
      <c r="D209">
        <v>1058.5</v>
      </c>
      <c r="E209">
        <v>1082.5</v>
      </c>
      <c r="F209">
        <v>1067</v>
      </c>
      <c r="G209">
        <v>1062.5</v>
      </c>
      <c r="H209">
        <v>1059.5</v>
      </c>
      <c r="I209">
        <v>1059.0999999999999</v>
      </c>
      <c r="J209">
        <v>-0.4</v>
      </c>
    </row>
    <row r="210" spans="1:10" x14ac:dyDescent="0.25">
      <c r="B210" t="s">
        <v>258</v>
      </c>
      <c r="C210">
        <v>3361</v>
      </c>
      <c r="D210">
        <v>300.7</v>
      </c>
      <c r="E210">
        <v>317</v>
      </c>
      <c r="F210">
        <v>313.7</v>
      </c>
      <c r="G210">
        <v>311.8</v>
      </c>
      <c r="H210">
        <v>312</v>
      </c>
      <c r="I210" t="s">
        <v>33</v>
      </c>
      <c r="J210" t="s">
        <v>33</v>
      </c>
    </row>
    <row r="211" spans="1:10" x14ac:dyDescent="0.25">
      <c r="B211" t="s">
        <v>259</v>
      </c>
      <c r="C211">
        <v>3362</v>
      </c>
      <c r="D211">
        <v>176</v>
      </c>
      <c r="E211">
        <v>175.4</v>
      </c>
      <c r="F211">
        <v>175.9</v>
      </c>
      <c r="G211">
        <v>176</v>
      </c>
      <c r="H211">
        <v>175.5</v>
      </c>
      <c r="I211" t="s">
        <v>33</v>
      </c>
      <c r="J211" t="s">
        <v>33</v>
      </c>
    </row>
    <row r="212" spans="1:10" x14ac:dyDescent="0.25">
      <c r="B212" t="s">
        <v>260</v>
      </c>
      <c r="C212">
        <v>3363</v>
      </c>
      <c r="D212">
        <v>582.70000000000005</v>
      </c>
      <c r="E212">
        <v>585.79999999999995</v>
      </c>
      <c r="F212">
        <v>580.5</v>
      </c>
      <c r="G212">
        <v>577.6</v>
      </c>
      <c r="H212">
        <v>574.4</v>
      </c>
      <c r="I212" t="s">
        <v>33</v>
      </c>
      <c r="J212" t="s">
        <v>33</v>
      </c>
    </row>
    <row r="213" spans="1:10" x14ac:dyDescent="0.25">
      <c r="B213" t="s">
        <v>261</v>
      </c>
      <c r="C213">
        <v>33631</v>
      </c>
      <c r="D213">
        <v>58.6</v>
      </c>
      <c r="E213">
        <v>57.8</v>
      </c>
      <c r="F213">
        <v>58.2</v>
      </c>
      <c r="G213">
        <v>58.4</v>
      </c>
      <c r="H213">
        <v>57.6</v>
      </c>
      <c r="I213" t="s">
        <v>33</v>
      </c>
      <c r="J213" t="s">
        <v>33</v>
      </c>
    </row>
    <row r="214" spans="1:10" x14ac:dyDescent="0.25">
      <c r="B214" t="s">
        <v>262</v>
      </c>
      <c r="C214">
        <v>33632</v>
      </c>
      <c r="D214">
        <v>62.7</v>
      </c>
      <c r="E214">
        <v>60.9</v>
      </c>
      <c r="F214">
        <v>60.7</v>
      </c>
      <c r="G214">
        <v>60.5</v>
      </c>
      <c r="H214">
        <v>60</v>
      </c>
      <c r="I214" t="s">
        <v>33</v>
      </c>
      <c r="J214" t="s">
        <v>33</v>
      </c>
    </row>
    <row r="215" spans="1:10" x14ac:dyDescent="0.25">
      <c r="B215" t="s">
        <v>263</v>
      </c>
      <c r="C215">
        <v>33633</v>
      </c>
      <c r="D215">
        <v>34.4</v>
      </c>
      <c r="E215">
        <v>34.700000000000003</v>
      </c>
      <c r="F215">
        <v>34</v>
      </c>
      <c r="G215">
        <v>33.4</v>
      </c>
      <c r="H215">
        <v>33.299999999999997</v>
      </c>
      <c r="I215" t="s">
        <v>33</v>
      </c>
      <c r="J215" t="s">
        <v>33</v>
      </c>
    </row>
    <row r="216" spans="1:10" x14ac:dyDescent="0.25">
      <c r="B216" t="s">
        <v>264</v>
      </c>
      <c r="C216">
        <v>33635</v>
      </c>
      <c r="D216">
        <v>86.1</v>
      </c>
      <c r="E216">
        <v>87.6</v>
      </c>
      <c r="F216">
        <v>85.6</v>
      </c>
      <c r="G216">
        <v>86</v>
      </c>
      <c r="H216">
        <v>85.4</v>
      </c>
      <c r="I216" t="s">
        <v>33</v>
      </c>
      <c r="J216" t="s">
        <v>33</v>
      </c>
    </row>
    <row r="217" spans="1:10" x14ac:dyDescent="0.25">
      <c r="B217" t="s">
        <v>265</v>
      </c>
      <c r="C217">
        <v>33637</v>
      </c>
      <c r="D217">
        <v>85.7</v>
      </c>
      <c r="E217">
        <v>84.5</v>
      </c>
      <c r="F217">
        <v>84.6</v>
      </c>
      <c r="G217">
        <v>84.5</v>
      </c>
      <c r="H217">
        <v>85.2</v>
      </c>
      <c r="I217" t="s">
        <v>33</v>
      </c>
      <c r="J217" t="s">
        <v>33</v>
      </c>
    </row>
    <row r="218" spans="1:10" x14ac:dyDescent="0.25">
      <c r="B218" t="s">
        <v>266</v>
      </c>
      <c r="C218" t="s">
        <v>267</v>
      </c>
      <c r="D218">
        <v>257.10000000000002</v>
      </c>
      <c r="E218">
        <v>257.89999999999998</v>
      </c>
      <c r="F218">
        <v>256.89999999999998</v>
      </c>
      <c r="G218">
        <v>255.9</v>
      </c>
      <c r="H218">
        <v>253.6</v>
      </c>
      <c r="I218" t="s">
        <v>33</v>
      </c>
      <c r="J218" t="s">
        <v>33</v>
      </c>
    </row>
    <row r="219" spans="1:10" x14ac:dyDescent="0.25">
      <c r="A219" t="s">
        <v>268</v>
      </c>
      <c r="B219" t="s">
        <v>269</v>
      </c>
      <c r="C219">
        <v>3364</v>
      </c>
      <c r="D219">
        <v>546.9</v>
      </c>
      <c r="E219">
        <v>555.29999999999995</v>
      </c>
      <c r="F219">
        <v>554.6</v>
      </c>
      <c r="G219">
        <v>555.20000000000005</v>
      </c>
      <c r="H219">
        <v>519.29999999999995</v>
      </c>
      <c r="I219" t="s">
        <v>33</v>
      </c>
      <c r="J219" t="s">
        <v>33</v>
      </c>
    </row>
    <row r="220" spans="1:10" x14ac:dyDescent="0.25">
      <c r="B220" t="s">
        <v>270</v>
      </c>
      <c r="C220">
        <v>336411</v>
      </c>
      <c r="D220">
        <v>248.3</v>
      </c>
      <c r="E220">
        <v>253.1</v>
      </c>
      <c r="F220">
        <v>253.7</v>
      </c>
      <c r="G220">
        <v>252.7</v>
      </c>
      <c r="H220">
        <v>216.9</v>
      </c>
      <c r="I220" t="s">
        <v>33</v>
      </c>
      <c r="J220" t="s">
        <v>33</v>
      </c>
    </row>
    <row r="221" spans="1:10" x14ac:dyDescent="0.25">
      <c r="B221" t="s">
        <v>271</v>
      </c>
      <c r="C221">
        <v>336412</v>
      </c>
      <c r="D221">
        <v>86</v>
      </c>
      <c r="E221">
        <v>89.8</v>
      </c>
      <c r="F221">
        <v>89.7</v>
      </c>
      <c r="G221">
        <v>90.2</v>
      </c>
      <c r="H221">
        <v>90.6</v>
      </c>
      <c r="I221" t="s">
        <v>33</v>
      </c>
      <c r="J221" t="s">
        <v>33</v>
      </c>
    </row>
    <row r="222" spans="1:10" x14ac:dyDescent="0.25">
      <c r="B222" t="s">
        <v>272</v>
      </c>
      <c r="C222">
        <v>336413</v>
      </c>
      <c r="D222">
        <v>102.6</v>
      </c>
      <c r="E222">
        <v>104.2</v>
      </c>
      <c r="F222">
        <v>103.8</v>
      </c>
      <c r="G222">
        <v>104.4</v>
      </c>
      <c r="H222">
        <v>103.9</v>
      </c>
      <c r="I222" t="s">
        <v>33</v>
      </c>
      <c r="J222" t="s">
        <v>33</v>
      </c>
    </row>
    <row r="223" spans="1:10" x14ac:dyDescent="0.25">
      <c r="B223" t="s">
        <v>273</v>
      </c>
      <c r="C223" t="s">
        <v>274</v>
      </c>
      <c r="D223">
        <v>110</v>
      </c>
      <c r="E223">
        <v>108.5</v>
      </c>
      <c r="F223">
        <v>107.5</v>
      </c>
      <c r="G223">
        <v>107.7</v>
      </c>
      <c r="H223">
        <v>107.5</v>
      </c>
      <c r="I223" t="s">
        <v>33</v>
      </c>
      <c r="J223" t="s">
        <v>33</v>
      </c>
    </row>
    <row r="224" spans="1:10" x14ac:dyDescent="0.25">
      <c r="A224" t="s">
        <v>275</v>
      </c>
      <c r="B224" t="s">
        <v>276</v>
      </c>
      <c r="C224">
        <v>3366</v>
      </c>
      <c r="D224">
        <v>155.19999999999999</v>
      </c>
      <c r="E224">
        <v>153</v>
      </c>
      <c r="F224">
        <v>151</v>
      </c>
      <c r="G224">
        <v>151.69999999999999</v>
      </c>
      <c r="H224">
        <v>151.19999999999999</v>
      </c>
      <c r="I224" t="s">
        <v>33</v>
      </c>
      <c r="J224" t="s">
        <v>33</v>
      </c>
    </row>
    <row r="225" spans="1:10" x14ac:dyDescent="0.25">
      <c r="B225" t="s">
        <v>277</v>
      </c>
      <c r="C225">
        <v>336611</v>
      </c>
      <c r="D225">
        <v>107.9</v>
      </c>
      <c r="E225">
        <v>110.7</v>
      </c>
      <c r="F225">
        <v>109</v>
      </c>
      <c r="G225">
        <v>109.5</v>
      </c>
      <c r="H225">
        <v>109.2</v>
      </c>
      <c r="I225" t="s">
        <v>33</v>
      </c>
      <c r="J225" t="s">
        <v>33</v>
      </c>
    </row>
    <row r="226" spans="1:10" x14ac:dyDescent="0.25">
      <c r="B226" t="s">
        <v>278</v>
      </c>
      <c r="C226">
        <v>336612</v>
      </c>
      <c r="D226">
        <v>47.3</v>
      </c>
      <c r="E226">
        <v>42.4</v>
      </c>
      <c r="F226">
        <v>42</v>
      </c>
      <c r="G226">
        <v>42.3</v>
      </c>
      <c r="H226">
        <v>42</v>
      </c>
      <c r="I226" t="s">
        <v>33</v>
      </c>
      <c r="J226" t="s">
        <v>33</v>
      </c>
    </row>
    <row r="227" spans="1:10" x14ac:dyDescent="0.25">
      <c r="A227" t="s">
        <v>268</v>
      </c>
      <c r="B227" t="s">
        <v>279</v>
      </c>
      <c r="C227" t="s">
        <v>280</v>
      </c>
      <c r="D227">
        <v>63.4</v>
      </c>
      <c r="E227">
        <v>67.900000000000006</v>
      </c>
      <c r="F227">
        <v>68.2</v>
      </c>
      <c r="G227">
        <v>67.8</v>
      </c>
      <c r="H227">
        <v>67.900000000000006</v>
      </c>
      <c r="I227" t="s">
        <v>33</v>
      </c>
      <c r="J227" t="s">
        <v>33</v>
      </c>
    </row>
    <row r="228" spans="1:10" x14ac:dyDescent="0.25">
      <c r="A228" t="s">
        <v>281</v>
      </c>
      <c r="B228" t="s">
        <v>282</v>
      </c>
      <c r="C228">
        <v>337</v>
      </c>
      <c r="D228">
        <v>352</v>
      </c>
      <c r="E228">
        <v>341.3</v>
      </c>
      <c r="F228">
        <v>340.5</v>
      </c>
      <c r="G228">
        <v>339.9</v>
      </c>
      <c r="H228">
        <v>339.6</v>
      </c>
      <c r="I228">
        <v>338.6</v>
      </c>
      <c r="J228">
        <v>-1</v>
      </c>
    </row>
    <row r="229" spans="1:10" x14ac:dyDescent="0.25">
      <c r="B229" t="s">
        <v>283</v>
      </c>
      <c r="C229">
        <v>3371</v>
      </c>
      <c r="D229">
        <v>224</v>
      </c>
      <c r="E229">
        <v>219.3</v>
      </c>
      <c r="F229">
        <v>218.4</v>
      </c>
      <c r="G229">
        <v>217.8</v>
      </c>
      <c r="H229">
        <v>217.9</v>
      </c>
      <c r="I229" t="s">
        <v>33</v>
      </c>
      <c r="J229" t="s">
        <v>33</v>
      </c>
    </row>
    <row r="230" spans="1:10" x14ac:dyDescent="0.25">
      <c r="B230" t="s">
        <v>284</v>
      </c>
      <c r="C230">
        <v>33711</v>
      </c>
      <c r="D230">
        <v>118.2</v>
      </c>
      <c r="E230">
        <v>116.7</v>
      </c>
      <c r="F230">
        <v>116.5</v>
      </c>
      <c r="G230">
        <v>116.4</v>
      </c>
      <c r="H230">
        <v>116.6</v>
      </c>
      <c r="I230" t="s">
        <v>33</v>
      </c>
      <c r="J230" t="s">
        <v>33</v>
      </c>
    </row>
    <row r="231" spans="1:10" x14ac:dyDescent="0.25">
      <c r="B231" t="s">
        <v>285</v>
      </c>
      <c r="C231">
        <v>33712</v>
      </c>
      <c r="D231">
        <v>106.1</v>
      </c>
      <c r="E231">
        <v>102.3</v>
      </c>
      <c r="F231">
        <v>102</v>
      </c>
      <c r="G231">
        <v>101.3</v>
      </c>
      <c r="H231">
        <v>101.6</v>
      </c>
      <c r="I231" t="s">
        <v>33</v>
      </c>
      <c r="J231" t="s">
        <v>33</v>
      </c>
    </row>
    <row r="232" spans="1:10" x14ac:dyDescent="0.25">
      <c r="B232" t="s">
        <v>286</v>
      </c>
      <c r="C232">
        <v>337121</v>
      </c>
      <c r="D232">
        <v>46.9</v>
      </c>
      <c r="E232">
        <v>45.2</v>
      </c>
      <c r="F232">
        <v>44.7</v>
      </c>
      <c r="G232">
        <v>44.6</v>
      </c>
      <c r="H232">
        <v>44.7</v>
      </c>
      <c r="I232" t="s">
        <v>33</v>
      </c>
      <c r="J232" t="s">
        <v>33</v>
      </c>
    </row>
    <row r="233" spans="1:10" x14ac:dyDescent="0.25">
      <c r="B233" t="s">
        <v>287</v>
      </c>
      <c r="C233" t="s">
        <v>288</v>
      </c>
      <c r="D233">
        <v>59</v>
      </c>
      <c r="E233">
        <v>57.4</v>
      </c>
      <c r="F233">
        <v>56.9</v>
      </c>
      <c r="G233">
        <v>56.6</v>
      </c>
      <c r="H233">
        <v>56.8</v>
      </c>
      <c r="I233" t="s">
        <v>33</v>
      </c>
      <c r="J233" t="s">
        <v>33</v>
      </c>
    </row>
    <row r="234" spans="1:10" x14ac:dyDescent="0.25">
      <c r="B234" t="s">
        <v>289</v>
      </c>
      <c r="C234">
        <v>3372</v>
      </c>
      <c r="D234">
        <v>127</v>
      </c>
      <c r="E234">
        <v>121.8</v>
      </c>
      <c r="F234">
        <v>122.3</v>
      </c>
      <c r="G234">
        <v>121.1</v>
      </c>
      <c r="H234">
        <v>121</v>
      </c>
      <c r="I234" t="s">
        <v>33</v>
      </c>
      <c r="J234" t="s">
        <v>33</v>
      </c>
    </row>
    <row r="235" spans="1:10" x14ac:dyDescent="0.25">
      <c r="B235" t="s">
        <v>290</v>
      </c>
      <c r="C235" t="s">
        <v>291</v>
      </c>
      <c r="D235">
        <v>60.5</v>
      </c>
      <c r="E235">
        <v>59.8</v>
      </c>
      <c r="F235">
        <v>59.9</v>
      </c>
      <c r="G235">
        <v>59.9</v>
      </c>
      <c r="H235">
        <v>60</v>
      </c>
      <c r="I235" t="s">
        <v>33</v>
      </c>
      <c r="J235" t="s">
        <v>33</v>
      </c>
    </row>
    <row r="236" spans="1:10" x14ac:dyDescent="0.25">
      <c r="B236" t="s">
        <v>292</v>
      </c>
      <c r="C236">
        <v>337215</v>
      </c>
      <c r="D236">
        <v>66.3</v>
      </c>
      <c r="E236">
        <v>61.9</v>
      </c>
      <c r="F236">
        <v>62.6</v>
      </c>
      <c r="G236">
        <v>61.1</v>
      </c>
      <c r="H236">
        <v>61.1</v>
      </c>
      <c r="I236" t="s">
        <v>33</v>
      </c>
      <c r="J236" t="s">
        <v>33</v>
      </c>
    </row>
    <row r="237" spans="1:10" x14ac:dyDescent="0.25">
      <c r="A237" t="s">
        <v>281</v>
      </c>
      <c r="B237" t="s">
        <v>293</v>
      </c>
      <c r="C237">
        <v>339</v>
      </c>
      <c r="D237">
        <v>625.5</v>
      </c>
      <c r="E237">
        <v>618.5</v>
      </c>
      <c r="F237">
        <v>618.4</v>
      </c>
      <c r="G237">
        <v>618</v>
      </c>
      <c r="H237">
        <v>618.79999999999995</v>
      </c>
      <c r="I237">
        <v>619.1</v>
      </c>
      <c r="J237">
        <v>0.3</v>
      </c>
    </row>
    <row r="238" spans="1:10" x14ac:dyDescent="0.25">
      <c r="B238" t="s">
        <v>294</v>
      </c>
      <c r="C238">
        <v>3391</v>
      </c>
      <c r="D238">
        <v>332.6</v>
      </c>
      <c r="E238">
        <v>329.3</v>
      </c>
      <c r="F238">
        <v>329.3</v>
      </c>
      <c r="G238">
        <v>329.6</v>
      </c>
      <c r="H238">
        <v>330.4</v>
      </c>
      <c r="I238" t="s">
        <v>33</v>
      </c>
      <c r="J238" t="s">
        <v>33</v>
      </c>
    </row>
    <row r="239" spans="1:10" x14ac:dyDescent="0.25">
      <c r="B239" t="s">
        <v>295</v>
      </c>
      <c r="C239">
        <v>339112</v>
      </c>
      <c r="D239">
        <v>142</v>
      </c>
      <c r="E239">
        <v>142.9</v>
      </c>
      <c r="F239">
        <v>142.69999999999999</v>
      </c>
      <c r="G239">
        <v>143.5</v>
      </c>
      <c r="H239">
        <v>143.9</v>
      </c>
      <c r="I239" t="s">
        <v>33</v>
      </c>
      <c r="J239" t="s">
        <v>33</v>
      </c>
    </row>
    <row r="240" spans="1:10" x14ac:dyDescent="0.25">
      <c r="B240" t="s">
        <v>296</v>
      </c>
      <c r="C240">
        <v>339113</v>
      </c>
      <c r="D240">
        <v>105.4</v>
      </c>
      <c r="E240">
        <v>104.6</v>
      </c>
      <c r="F240">
        <v>104.4</v>
      </c>
      <c r="G240">
        <v>104.5</v>
      </c>
      <c r="H240">
        <v>104.5</v>
      </c>
      <c r="I240" t="s">
        <v>33</v>
      </c>
      <c r="J240" t="s">
        <v>33</v>
      </c>
    </row>
    <row r="241" spans="1:10" x14ac:dyDescent="0.25">
      <c r="B241" t="s">
        <v>297</v>
      </c>
      <c r="C241">
        <v>339116</v>
      </c>
      <c r="D241">
        <v>44.9</v>
      </c>
      <c r="E241">
        <v>42.5</v>
      </c>
      <c r="F241">
        <v>42.3</v>
      </c>
      <c r="G241">
        <v>41.9</v>
      </c>
      <c r="H241">
        <v>41.7</v>
      </c>
      <c r="I241" t="s">
        <v>33</v>
      </c>
      <c r="J241" t="s">
        <v>33</v>
      </c>
    </row>
    <row r="242" spans="1:10" x14ac:dyDescent="0.25">
      <c r="B242" t="s">
        <v>298</v>
      </c>
      <c r="C242">
        <v>3399</v>
      </c>
      <c r="D242">
        <v>292.8</v>
      </c>
      <c r="E242">
        <v>289.7</v>
      </c>
      <c r="F242">
        <v>289.39999999999998</v>
      </c>
      <c r="G242">
        <v>288.60000000000002</v>
      </c>
      <c r="H242">
        <v>288.60000000000002</v>
      </c>
      <c r="I242" t="s">
        <v>33</v>
      </c>
      <c r="J242" t="s">
        <v>33</v>
      </c>
    </row>
    <row r="243" spans="1:10" x14ac:dyDescent="0.25">
      <c r="B243" t="s">
        <v>299</v>
      </c>
      <c r="C243" t="s">
        <v>300</v>
      </c>
      <c r="D243">
        <v>68.599999999999994</v>
      </c>
      <c r="E243">
        <v>65.099999999999994</v>
      </c>
      <c r="F243">
        <v>65.599999999999994</v>
      </c>
      <c r="G243">
        <v>65.2</v>
      </c>
      <c r="H243">
        <v>65.5</v>
      </c>
      <c r="I243" t="s">
        <v>33</v>
      </c>
      <c r="J243" t="s">
        <v>33</v>
      </c>
    </row>
    <row r="244" spans="1:10" x14ac:dyDescent="0.25">
      <c r="B244" t="s">
        <v>301</v>
      </c>
      <c r="C244">
        <v>33995</v>
      </c>
      <c r="D244">
        <v>74.5</v>
      </c>
      <c r="E244">
        <v>75.7</v>
      </c>
      <c r="F244">
        <v>75.8</v>
      </c>
      <c r="G244">
        <v>76.3</v>
      </c>
      <c r="H244">
        <v>76.2</v>
      </c>
      <c r="I244" t="s">
        <v>33</v>
      </c>
      <c r="J244" t="s">
        <v>33</v>
      </c>
    </row>
    <row r="245" spans="1:10" x14ac:dyDescent="0.25">
      <c r="B245" t="s">
        <v>302</v>
      </c>
      <c r="C245" t="s">
        <v>303</v>
      </c>
      <c r="D245">
        <v>149.5</v>
      </c>
      <c r="E245">
        <v>148.69999999999999</v>
      </c>
      <c r="F245">
        <v>148</v>
      </c>
      <c r="G245">
        <v>147.19999999999999</v>
      </c>
      <c r="H245">
        <v>147.5</v>
      </c>
      <c r="I245" t="s">
        <v>33</v>
      </c>
      <c r="J245" t="s">
        <v>33</v>
      </c>
    </row>
    <row r="247" spans="1:10" x14ac:dyDescent="0.25">
      <c r="B247" t="s">
        <v>304</v>
      </c>
      <c r="D247">
        <v>4819</v>
      </c>
      <c r="E247">
        <v>4821</v>
      </c>
      <c r="F247">
        <v>4825</v>
      </c>
      <c r="G247">
        <v>4817</v>
      </c>
      <c r="H247">
        <v>4813</v>
      </c>
      <c r="I247">
        <v>4809</v>
      </c>
      <c r="J247">
        <v>-4</v>
      </c>
    </row>
    <row r="248" spans="1:10" x14ac:dyDescent="0.25">
      <c r="A248" t="s">
        <v>35</v>
      </c>
      <c r="B248" t="s">
        <v>305</v>
      </c>
      <c r="C248">
        <v>311</v>
      </c>
      <c r="D248">
        <v>1729.3</v>
      </c>
      <c r="E248">
        <v>1739.8</v>
      </c>
      <c r="F248">
        <v>1745.3</v>
      </c>
      <c r="G248">
        <v>1744.1</v>
      </c>
      <c r="H248">
        <v>1742.8</v>
      </c>
      <c r="I248">
        <v>1741.8</v>
      </c>
      <c r="J248">
        <v>-1</v>
      </c>
    </row>
    <row r="249" spans="1:10" x14ac:dyDescent="0.25">
      <c r="B249" t="s">
        <v>306</v>
      </c>
      <c r="C249">
        <v>3111</v>
      </c>
      <c r="D249">
        <v>73.5</v>
      </c>
      <c r="E249">
        <v>75.2</v>
      </c>
      <c r="F249">
        <v>74.8</v>
      </c>
      <c r="G249">
        <v>75.599999999999994</v>
      </c>
      <c r="H249">
        <v>75.5</v>
      </c>
      <c r="I249" t="s">
        <v>33</v>
      </c>
      <c r="J249" t="s">
        <v>33</v>
      </c>
    </row>
    <row r="250" spans="1:10" x14ac:dyDescent="0.25">
      <c r="B250" t="s">
        <v>307</v>
      </c>
      <c r="C250">
        <v>3112</v>
      </c>
      <c r="D250">
        <v>63.7</v>
      </c>
      <c r="E250">
        <v>64.3</v>
      </c>
      <c r="F250">
        <v>64.8</v>
      </c>
      <c r="G250">
        <v>64.8</v>
      </c>
      <c r="H250">
        <v>65.099999999999994</v>
      </c>
      <c r="I250" t="s">
        <v>33</v>
      </c>
      <c r="J250" t="s">
        <v>33</v>
      </c>
    </row>
    <row r="251" spans="1:10" x14ac:dyDescent="0.25">
      <c r="B251" t="s">
        <v>308</v>
      </c>
      <c r="C251" t="s">
        <v>309</v>
      </c>
      <c r="D251">
        <v>51.1</v>
      </c>
      <c r="E251">
        <v>51.4</v>
      </c>
      <c r="F251">
        <v>52</v>
      </c>
      <c r="G251">
        <v>51.8</v>
      </c>
      <c r="H251">
        <v>52.3</v>
      </c>
      <c r="I251" t="s">
        <v>33</v>
      </c>
      <c r="J251" t="s">
        <v>33</v>
      </c>
    </row>
    <row r="252" spans="1:10" x14ac:dyDescent="0.25">
      <c r="B252" t="s">
        <v>310</v>
      </c>
      <c r="C252">
        <v>31123</v>
      </c>
      <c r="D252">
        <v>12.7</v>
      </c>
      <c r="E252">
        <v>12.9</v>
      </c>
      <c r="F252">
        <v>12.9</v>
      </c>
      <c r="G252">
        <v>13</v>
      </c>
      <c r="H252">
        <v>13</v>
      </c>
      <c r="I252" t="s">
        <v>33</v>
      </c>
      <c r="J252" t="s">
        <v>33</v>
      </c>
    </row>
    <row r="253" spans="1:10" x14ac:dyDescent="0.25">
      <c r="B253" t="s">
        <v>311</v>
      </c>
      <c r="C253">
        <v>3113</v>
      </c>
      <c r="D253">
        <v>81</v>
      </c>
      <c r="E253">
        <v>80.7</v>
      </c>
      <c r="F253">
        <v>81.5</v>
      </c>
      <c r="G253">
        <v>79.7</v>
      </c>
      <c r="H253">
        <v>79.2</v>
      </c>
      <c r="I253" t="s">
        <v>33</v>
      </c>
      <c r="J253" t="s">
        <v>33</v>
      </c>
    </row>
    <row r="254" spans="1:10" x14ac:dyDescent="0.25">
      <c r="B254" t="s">
        <v>312</v>
      </c>
      <c r="C254">
        <v>31135</v>
      </c>
      <c r="D254">
        <v>40.299999999999997</v>
      </c>
      <c r="E254">
        <v>41.8</v>
      </c>
      <c r="F254">
        <v>41.5</v>
      </c>
      <c r="G254">
        <v>41</v>
      </c>
      <c r="H254">
        <v>40.9</v>
      </c>
      <c r="I254" t="s">
        <v>33</v>
      </c>
      <c r="J254" t="s">
        <v>33</v>
      </c>
    </row>
    <row r="255" spans="1:10" x14ac:dyDescent="0.25">
      <c r="B255" t="s">
        <v>313</v>
      </c>
      <c r="C255">
        <v>3114</v>
      </c>
      <c r="D255">
        <v>167.7</v>
      </c>
      <c r="E255">
        <v>167.6</v>
      </c>
      <c r="F255">
        <v>167.5</v>
      </c>
      <c r="G255">
        <v>166.5</v>
      </c>
      <c r="H255">
        <v>165.6</v>
      </c>
      <c r="I255" t="s">
        <v>33</v>
      </c>
      <c r="J255" t="s">
        <v>33</v>
      </c>
    </row>
    <row r="256" spans="1:10" x14ac:dyDescent="0.25">
      <c r="B256" t="s">
        <v>314</v>
      </c>
      <c r="C256">
        <v>31141</v>
      </c>
      <c r="D256">
        <v>91</v>
      </c>
      <c r="E256">
        <v>94</v>
      </c>
      <c r="F256">
        <v>95.4</v>
      </c>
      <c r="G256">
        <v>94.1</v>
      </c>
      <c r="H256">
        <v>93.3</v>
      </c>
      <c r="I256" t="s">
        <v>33</v>
      </c>
      <c r="J256" t="s">
        <v>33</v>
      </c>
    </row>
    <row r="257" spans="2:10" x14ac:dyDescent="0.25">
      <c r="B257" t="s">
        <v>315</v>
      </c>
      <c r="C257">
        <v>311411</v>
      </c>
      <c r="D257">
        <v>30.5</v>
      </c>
      <c r="E257">
        <v>32.799999999999997</v>
      </c>
      <c r="F257">
        <v>33.700000000000003</v>
      </c>
      <c r="G257">
        <v>32.4</v>
      </c>
      <c r="H257">
        <v>31.8</v>
      </c>
      <c r="I257" t="s">
        <v>33</v>
      </c>
      <c r="J257" t="s">
        <v>33</v>
      </c>
    </row>
    <row r="258" spans="2:10" x14ac:dyDescent="0.25">
      <c r="B258" t="s">
        <v>316</v>
      </c>
      <c r="C258">
        <v>311412</v>
      </c>
      <c r="D258">
        <v>60.5</v>
      </c>
      <c r="E258">
        <v>60.4</v>
      </c>
      <c r="F258">
        <v>61</v>
      </c>
      <c r="G258">
        <v>60.9</v>
      </c>
      <c r="H258">
        <v>61.2</v>
      </c>
      <c r="I258" t="s">
        <v>33</v>
      </c>
      <c r="J258" t="s">
        <v>33</v>
      </c>
    </row>
    <row r="259" spans="2:10" x14ac:dyDescent="0.25">
      <c r="B259" t="s">
        <v>317</v>
      </c>
      <c r="C259">
        <v>31142</v>
      </c>
      <c r="D259">
        <v>77.599999999999994</v>
      </c>
      <c r="E259">
        <v>75.2</v>
      </c>
      <c r="F259">
        <v>72.7</v>
      </c>
      <c r="G259">
        <v>72.599999999999994</v>
      </c>
      <c r="H259">
        <v>72.8</v>
      </c>
      <c r="I259" t="s">
        <v>33</v>
      </c>
      <c r="J259" t="s">
        <v>33</v>
      </c>
    </row>
    <row r="260" spans="2:10" x14ac:dyDescent="0.25">
      <c r="B260" t="s">
        <v>318</v>
      </c>
      <c r="C260">
        <v>3115</v>
      </c>
      <c r="D260">
        <v>167</v>
      </c>
      <c r="E260">
        <v>168.9</v>
      </c>
      <c r="F260">
        <v>168.7</v>
      </c>
      <c r="G260">
        <v>168.5</v>
      </c>
      <c r="H260">
        <v>168</v>
      </c>
      <c r="I260" t="s">
        <v>33</v>
      </c>
      <c r="J260" t="s">
        <v>33</v>
      </c>
    </row>
    <row r="261" spans="2:10" x14ac:dyDescent="0.25">
      <c r="B261" t="s">
        <v>319</v>
      </c>
      <c r="C261">
        <v>311511</v>
      </c>
      <c r="D261">
        <v>56.1</v>
      </c>
      <c r="E261">
        <v>56.2</v>
      </c>
      <c r="F261">
        <v>55.9</v>
      </c>
      <c r="G261">
        <v>56</v>
      </c>
      <c r="H261">
        <v>55.8</v>
      </c>
      <c r="I261" t="s">
        <v>33</v>
      </c>
      <c r="J261" t="s">
        <v>33</v>
      </c>
    </row>
    <row r="262" spans="2:10" x14ac:dyDescent="0.25">
      <c r="B262" t="s">
        <v>320</v>
      </c>
      <c r="C262">
        <v>3116</v>
      </c>
      <c r="D262">
        <v>547.1</v>
      </c>
      <c r="E262">
        <v>551.5</v>
      </c>
      <c r="F262">
        <v>554.5</v>
      </c>
      <c r="G262">
        <v>554.6</v>
      </c>
      <c r="H262">
        <v>555.20000000000005</v>
      </c>
      <c r="I262" t="s">
        <v>33</v>
      </c>
      <c r="J262" t="s">
        <v>33</v>
      </c>
    </row>
    <row r="263" spans="2:10" x14ac:dyDescent="0.25">
      <c r="B263" t="s">
        <v>321</v>
      </c>
      <c r="C263">
        <v>311611</v>
      </c>
      <c r="D263">
        <v>148.1</v>
      </c>
      <c r="E263">
        <v>147.9</v>
      </c>
      <c r="F263">
        <v>148.1</v>
      </c>
      <c r="G263">
        <v>147.9</v>
      </c>
      <c r="H263">
        <v>147.6</v>
      </c>
      <c r="I263" t="s">
        <v>33</v>
      </c>
      <c r="J263" t="s">
        <v>33</v>
      </c>
    </row>
    <row r="264" spans="2:10" x14ac:dyDescent="0.25">
      <c r="B264" t="s">
        <v>322</v>
      </c>
      <c r="C264" t="s">
        <v>323</v>
      </c>
      <c r="D264">
        <v>158.19999999999999</v>
      </c>
      <c r="E264">
        <v>162.4</v>
      </c>
      <c r="F264">
        <v>162.30000000000001</v>
      </c>
      <c r="G264">
        <v>161.9</v>
      </c>
      <c r="H264">
        <v>161.6</v>
      </c>
      <c r="I264" t="s">
        <v>33</v>
      </c>
      <c r="J264" t="s">
        <v>33</v>
      </c>
    </row>
    <row r="265" spans="2:10" x14ac:dyDescent="0.25">
      <c r="B265" t="s">
        <v>324</v>
      </c>
      <c r="C265">
        <v>311615</v>
      </c>
      <c r="D265">
        <v>240.3</v>
      </c>
      <c r="E265">
        <v>242</v>
      </c>
      <c r="F265">
        <v>243.9</v>
      </c>
      <c r="G265">
        <v>244.4</v>
      </c>
      <c r="H265">
        <v>245.5</v>
      </c>
      <c r="I265" t="s">
        <v>33</v>
      </c>
      <c r="J265" t="s">
        <v>33</v>
      </c>
    </row>
    <row r="266" spans="2:10" x14ac:dyDescent="0.25">
      <c r="B266" t="s">
        <v>325</v>
      </c>
      <c r="C266">
        <v>3117</v>
      </c>
      <c r="D266">
        <v>25.5</v>
      </c>
      <c r="E266">
        <v>23.4</v>
      </c>
      <c r="F266">
        <v>24</v>
      </c>
      <c r="G266">
        <v>24.2</v>
      </c>
      <c r="H266">
        <v>24.5</v>
      </c>
      <c r="I266" t="s">
        <v>33</v>
      </c>
      <c r="J266" t="s">
        <v>33</v>
      </c>
    </row>
    <row r="267" spans="2:10" x14ac:dyDescent="0.25">
      <c r="B267" t="s">
        <v>326</v>
      </c>
      <c r="C267">
        <v>3118</v>
      </c>
      <c r="D267">
        <v>340.2</v>
      </c>
      <c r="E267">
        <v>351.4</v>
      </c>
      <c r="F267">
        <v>353.2</v>
      </c>
      <c r="G267">
        <v>354.4</v>
      </c>
      <c r="H267">
        <v>354.7</v>
      </c>
      <c r="I267" t="s">
        <v>33</v>
      </c>
      <c r="J267" t="s">
        <v>33</v>
      </c>
    </row>
    <row r="268" spans="2:10" x14ac:dyDescent="0.25">
      <c r="B268" t="s">
        <v>327</v>
      </c>
      <c r="C268">
        <v>31181</v>
      </c>
      <c r="D268">
        <v>257.5</v>
      </c>
      <c r="E268">
        <v>268.89999999999998</v>
      </c>
      <c r="F268">
        <v>270.3</v>
      </c>
      <c r="G268">
        <v>271.5</v>
      </c>
      <c r="H268">
        <v>272.3</v>
      </c>
      <c r="I268" t="s">
        <v>33</v>
      </c>
      <c r="J268" t="s">
        <v>33</v>
      </c>
    </row>
    <row r="269" spans="2:10" x14ac:dyDescent="0.25">
      <c r="B269" t="s">
        <v>328</v>
      </c>
      <c r="C269">
        <v>311811</v>
      </c>
      <c r="D269">
        <v>99.6</v>
      </c>
      <c r="E269">
        <v>104.8</v>
      </c>
      <c r="F269">
        <v>106.1</v>
      </c>
      <c r="G269">
        <v>107.4</v>
      </c>
      <c r="H269">
        <v>108</v>
      </c>
      <c r="I269" t="s">
        <v>33</v>
      </c>
      <c r="J269" t="s">
        <v>33</v>
      </c>
    </row>
    <row r="270" spans="2:10" x14ac:dyDescent="0.25">
      <c r="B270" t="s">
        <v>329</v>
      </c>
      <c r="C270" t="s">
        <v>330</v>
      </c>
      <c r="D270">
        <v>158.19999999999999</v>
      </c>
      <c r="E270">
        <v>163.69999999999999</v>
      </c>
      <c r="F270">
        <v>164.2</v>
      </c>
      <c r="G270">
        <v>164.6</v>
      </c>
      <c r="H270">
        <v>164.7</v>
      </c>
      <c r="I270" t="s">
        <v>33</v>
      </c>
      <c r="J270" t="s">
        <v>33</v>
      </c>
    </row>
    <row r="271" spans="2:10" x14ac:dyDescent="0.25">
      <c r="B271" t="s">
        <v>331</v>
      </c>
      <c r="C271" t="s">
        <v>332</v>
      </c>
      <c r="D271">
        <v>82.1</v>
      </c>
      <c r="E271">
        <v>83</v>
      </c>
      <c r="F271">
        <v>82.7</v>
      </c>
      <c r="G271">
        <v>82.7</v>
      </c>
      <c r="H271">
        <v>81.8</v>
      </c>
      <c r="I271" t="s">
        <v>33</v>
      </c>
      <c r="J271" t="s">
        <v>33</v>
      </c>
    </row>
    <row r="272" spans="2:10" x14ac:dyDescent="0.25">
      <c r="B272" t="s">
        <v>333</v>
      </c>
      <c r="C272">
        <v>3119</v>
      </c>
      <c r="D272">
        <v>261.89999999999998</v>
      </c>
      <c r="E272">
        <v>255.1</v>
      </c>
      <c r="F272">
        <v>255.2</v>
      </c>
      <c r="G272">
        <v>255.6</v>
      </c>
      <c r="H272">
        <v>255.1</v>
      </c>
      <c r="I272" t="s">
        <v>33</v>
      </c>
      <c r="J272" t="s">
        <v>33</v>
      </c>
    </row>
    <row r="273" spans="1:10" x14ac:dyDescent="0.25">
      <c r="B273" t="s">
        <v>334</v>
      </c>
      <c r="C273">
        <v>31191</v>
      </c>
      <c r="D273">
        <v>65.5</v>
      </c>
      <c r="E273">
        <v>64.2</v>
      </c>
      <c r="F273">
        <v>64.5</v>
      </c>
      <c r="G273">
        <v>64.599999999999994</v>
      </c>
      <c r="H273">
        <v>64.7</v>
      </c>
      <c r="I273" t="s">
        <v>33</v>
      </c>
      <c r="J273" t="s">
        <v>33</v>
      </c>
    </row>
    <row r="274" spans="1:10" x14ac:dyDescent="0.25">
      <c r="B274" t="s">
        <v>335</v>
      </c>
      <c r="C274" t="s">
        <v>336</v>
      </c>
      <c r="D274">
        <v>196.7</v>
      </c>
      <c r="E274">
        <v>191</v>
      </c>
      <c r="F274">
        <v>190.8</v>
      </c>
      <c r="G274">
        <v>191</v>
      </c>
      <c r="H274">
        <v>190.4</v>
      </c>
      <c r="I274" t="s">
        <v>33</v>
      </c>
      <c r="J274" t="s">
        <v>33</v>
      </c>
    </row>
    <row r="275" spans="1:10" x14ac:dyDescent="0.25">
      <c r="A275" t="s">
        <v>37</v>
      </c>
      <c r="B275" t="s">
        <v>337</v>
      </c>
      <c r="C275">
        <v>313</v>
      </c>
      <c r="D275">
        <v>90</v>
      </c>
      <c r="E275">
        <v>89.7</v>
      </c>
      <c r="F275">
        <v>89</v>
      </c>
      <c r="G275">
        <v>89.3</v>
      </c>
      <c r="H275">
        <v>89.1</v>
      </c>
      <c r="I275">
        <v>89.2</v>
      </c>
      <c r="J275">
        <v>0.1</v>
      </c>
    </row>
    <row r="276" spans="1:10" x14ac:dyDescent="0.25">
      <c r="B276" t="s">
        <v>338</v>
      </c>
      <c r="C276">
        <v>3132</v>
      </c>
      <c r="D276">
        <v>42.5</v>
      </c>
      <c r="E276">
        <v>41.3</v>
      </c>
      <c r="F276">
        <v>41.1</v>
      </c>
      <c r="G276">
        <v>41.1</v>
      </c>
      <c r="H276">
        <v>41</v>
      </c>
      <c r="I276" t="s">
        <v>33</v>
      </c>
      <c r="J276" t="s">
        <v>33</v>
      </c>
    </row>
    <row r="277" spans="1:10" x14ac:dyDescent="0.25">
      <c r="A277" t="s">
        <v>37</v>
      </c>
      <c r="B277" t="s">
        <v>339</v>
      </c>
      <c r="C277">
        <v>314</v>
      </c>
      <c r="D277">
        <v>96.1</v>
      </c>
      <c r="E277">
        <v>95</v>
      </c>
      <c r="F277">
        <v>93.5</v>
      </c>
      <c r="G277">
        <v>94.5</v>
      </c>
      <c r="H277">
        <v>95.4</v>
      </c>
      <c r="I277">
        <v>95.4</v>
      </c>
      <c r="J277">
        <v>0</v>
      </c>
    </row>
    <row r="278" spans="1:10" x14ac:dyDescent="0.25">
      <c r="B278" t="s">
        <v>340</v>
      </c>
      <c r="C278">
        <v>3141</v>
      </c>
      <c r="D278">
        <v>39.200000000000003</v>
      </c>
      <c r="E278">
        <v>37.9</v>
      </c>
      <c r="F278">
        <v>37.1</v>
      </c>
      <c r="G278">
        <v>37.1</v>
      </c>
      <c r="H278">
        <v>37.200000000000003</v>
      </c>
      <c r="I278" t="s">
        <v>33</v>
      </c>
      <c r="J278" t="s">
        <v>33</v>
      </c>
    </row>
    <row r="279" spans="1:10" x14ac:dyDescent="0.25">
      <c r="B279" t="s">
        <v>341</v>
      </c>
      <c r="C279">
        <v>3149</v>
      </c>
      <c r="D279">
        <v>57</v>
      </c>
      <c r="E279">
        <v>57</v>
      </c>
      <c r="F279">
        <v>56.2</v>
      </c>
      <c r="G279">
        <v>57.4</v>
      </c>
      <c r="H279">
        <v>58</v>
      </c>
      <c r="I279" t="s">
        <v>33</v>
      </c>
      <c r="J279" t="s">
        <v>33</v>
      </c>
    </row>
    <row r="280" spans="1:10" x14ac:dyDescent="0.25">
      <c r="B280" t="s">
        <v>342</v>
      </c>
      <c r="C280">
        <v>31491</v>
      </c>
      <c r="D280">
        <v>21.5</v>
      </c>
      <c r="E280">
        <v>20.5</v>
      </c>
      <c r="F280">
        <v>20.5</v>
      </c>
      <c r="G280">
        <v>21.1</v>
      </c>
      <c r="H280">
        <v>21.7</v>
      </c>
      <c r="I280" t="s">
        <v>33</v>
      </c>
      <c r="J280" t="s">
        <v>33</v>
      </c>
    </row>
    <row r="281" spans="1:10" x14ac:dyDescent="0.25">
      <c r="B281" t="s">
        <v>343</v>
      </c>
      <c r="C281">
        <v>31499</v>
      </c>
      <c r="D281">
        <v>35.4</v>
      </c>
      <c r="E281">
        <v>36.200000000000003</v>
      </c>
      <c r="F281">
        <v>35.700000000000003</v>
      </c>
      <c r="G281">
        <v>36.4</v>
      </c>
      <c r="H281">
        <v>36.200000000000003</v>
      </c>
      <c r="I281" t="s">
        <v>33</v>
      </c>
      <c r="J281" t="s">
        <v>33</v>
      </c>
    </row>
    <row r="282" spans="1:10" x14ac:dyDescent="0.25">
      <c r="A282" t="s">
        <v>37</v>
      </c>
      <c r="B282" t="s">
        <v>344</v>
      </c>
      <c r="C282">
        <v>315</v>
      </c>
      <c r="D282">
        <v>88.6</v>
      </c>
      <c r="E282">
        <v>84</v>
      </c>
      <c r="F282">
        <v>84.1</v>
      </c>
      <c r="G282">
        <v>83.7</v>
      </c>
      <c r="H282">
        <v>83.3</v>
      </c>
      <c r="I282">
        <v>83.3</v>
      </c>
      <c r="J282">
        <v>0</v>
      </c>
    </row>
    <row r="283" spans="1:10" x14ac:dyDescent="0.25">
      <c r="B283" t="s">
        <v>345</v>
      </c>
      <c r="C283">
        <v>31525</v>
      </c>
      <c r="D283">
        <v>48.2</v>
      </c>
      <c r="E283">
        <v>45</v>
      </c>
      <c r="F283">
        <v>44.9</v>
      </c>
      <c r="G283">
        <v>44.8</v>
      </c>
      <c r="H283">
        <v>44.6</v>
      </c>
      <c r="I283" t="s">
        <v>33</v>
      </c>
      <c r="J283" t="s">
        <v>33</v>
      </c>
    </row>
    <row r="284" spans="1:10" x14ac:dyDescent="0.25">
      <c r="A284" t="s">
        <v>346</v>
      </c>
      <c r="B284" t="s">
        <v>347</v>
      </c>
      <c r="C284">
        <v>322</v>
      </c>
      <c r="D284">
        <v>353.1</v>
      </c>
      <c r="E284">
        <v>350.1</v>
      </c>
      <c r="F284">
        <v>349.7</v>
      </c>
      <c r="G284">
        <v>349.3</v>
      </c>
      <c r="H284">
        <v>349.9</v>
      </c>
      <c r="I284">
        <v>349.1</v>
      </c>
      <c r="J284">
        <v>-0.8</v>
      </c>
    </row>
    <row r="285" spans="1:10" x14ac:dyDescent="0.25">
      <c r="B285" t="s">
        <v>348</v>
      </c>
      <c r="C285">
        <v>3221</v>
      </c>
      <c r="D285">
        <v>86.4</v>
      </c>
      <c r="E285">
        <v>84.5</v>
      </c>
      <c r="F285">
        <v>84.6</v>
      </c>
      <c r="G285">
        <v>84</v>
      </c>
      <c r="H285">
        <v>84.4</v>
      </c>
      <c r="I285" t="s">
        <v>33</v>
      </c>
      <c r="J285" t="s">
        <v>33</v>
      </c>
    </row>
    <row r="286" spans="1:10" x14ac:dyDescent="0.25">
      <c r="B286" t="s">
        <v>349</v>
      </c>
      <c r="C286">
        <v>3222</v>
      </c>
      <c r="D286">
        <v>266.60000000000002</v>
      </c>
      <c r="E286">
        <v>265.39999999999998</v>
      </c>
      <c r="F286">
        <v>265.10000000000002</v>
      </c>
      <c r="G286">
        <v>265.10000000000002</v>
      </c>
      <c r="H286">
        <v>265.39999999999998</v>
      </c>
      <c r="I286" t="s">
        <v>33</v>
      </c>
      <c r="J286" t="s">
        <v>33</v>
      </c>
    </row>
    <row r="287" spans="1:10" x14ac:dyDescent="0.25">
      <c r="B287" t="s">
        <v>350</v>
      </c>
      <c r="C287">
        <v>32221</v>
      </c>
      <c r="D287">
        <v>154.5</v>
      </c>
      <c r="E287">
        <v>155.4</v>
      </c>
      <c r="F287">
        <v>155.5</v>
      </c>
      <c r="G287">
        <v>155.6</v>
      </c>
      <c r="H287">
        <v>156.19999999999999</v>
      </c>
      <c r="I287" t="s">
        <v>33</v>
      </c>
      <c r="J287" t="s">
        <v>33</v>
      </c>
    </row>
    <row r="288" spans="1:10" x14ac:dyDescent="0.25">
      <c r="B288" t="s">
        <v>351</v>
      </c>
      <c r="C288">
        <v>32222</v>
      </c>
      <c r="D288">
        <v>53.5</v>
      </c>
      <c r="E288">
        <v>53</v>
      </c>
      <c r="F288">
        <v>53.1</v>
      </c>
      <c r="G288">
        <v>53.5</v>
      </c>
      <c r="H288">
        <v>53.4</v>
      </c>
      <c r="I288" t="s">
        <v>33</v>
      </c>
      <c r="J288" t="s">
        <v>33</v>
      </c>
    </row>
    <row r="289" spans="1:10" x14ac:dyDescent="0.25">
      <c r="B289" t="s">
        <v>352</v>
      </c>
      <c r="C289" t="s">
        <v>353</v>
      </c>
      <c r="D289">
        <v>59</v>
      </c>
      <c r="E289">
        <v>56.9</v>
      </c>
      <c r="F289">
        <v>56.2</v>
      </c>
      <c r="G289">
        <v>56.2</v>
      </c>
      <c r="H289">
        <v>56</v>
      </c>
      <c r="I289" t="s">
        <v>33</v>
      </c>
      <c r="J289" t="s">
        <v>33</v>
      </c>
    </row>
    <row r="290" spans="1:10" x14ac:dyDescent="0.25">
      <c r="A290" t="s">
        <v>346</v>
      </c>
      <c r="B290" t="s">
        <v>354</v>
      </c>
      <c r="C290">
        <v>323</v>
      </c>
      <c r="D290">
        <v>364.5</v>
      </c>
      <c r="E290">
        <v>360.4</v>
      </c>
      <c r="F290">
        <v>360.6</v>
      </c>
      <c r="G290">
        <v>360</v>
      </c>
      <c r="H290">
        <v>359.7</v>
      </c>
      <c r="I290">
        <v>358.9</v>
      </c>
      <c r="J290">
        <v>-0.8</v>
      </c>
    </row>
    <row r="291" spans="1:10" x14ac:dyDescent="0.25">
      <c r="B291" t="s">
        <v>355</v>
      </c>
      <c r="C291" t="s">
        <v>356</v>
      </c>
      <c r="D291">
        <v>271.10000000000002</v>
      </c>
      <c r="E291">
        <v>269.7</v>
      </c>
      <c r="F291">
        <v>270.5</v>
      </c>
      <c r="G291">
        <v>270.7</v>
      </c>
      <c r="H291">
        <v>270.5</v>
      </c>
      <c r="I291" t="s">
        <v>33</v>
      </c>
      <c r="J291" t="s">
        <v>33</v>
      </c>
    </row>
    <row r="292" spans="1:10" x14ac:dyDescent="0.25">
      <c r="B292" t="s">
        <v>357</v>
      </c>
      <c r="C292">
        <v>324</v>
      </c>
      <c r="D292">
        <v>109</v>
      </c>
      <c r="E292">
        <v>108.1</v>
      </c>
      <c r="F292">
        <v>107.8</v>
      </c>
      <c r="G292">
        <v>107.7</v>
      </c>
      <c r="H292">
        <v>107.3</v>
      </c>
      <c r="I292">
        <v>107</v>
      </c>
      <c r="J292">
        <v>-0.3</v>
      </c>
    </row>
    <row r="293" spans="1:10" x14ac:dyDescent="0.25">
      <c r="A293" t="s">
        <v>41</v>
      </c>
      <c r="B293" t="s">
        <v>358</v>
      </c>
      <c r="C293">
        <v>32411</v>
      </c>
      <c r="D293">
        <v>62.2</v>
      </c>
      <c r="E293">
        <v>62.6</v>
      </c>
      <c r="F293">
        <v>61.8</v>
      </c>
      <c r="G293">
        <v>61.8</v>
      </c>
      <c r="H293">
        <v>61.5</v>
      </c>
      <c r="I293" t="s">
        <v>33</v>
      </c>
      <c r="J293" t="s">
        <v>33</v>
      </c>
    </row>
    <row r="294" spans="1:10" x14ac:dyDescent="0.25">
      <c r="A294" t="s">
        <v>359</v>
      </c>
      <c r="B294" t="s">
        <v>38</v>
      </c>
      <c r="C294" t="s">
        <v>39</v>
      </c>
      <c r="D294">
        <v>46.8</v>
      </c>
      <c r="E294">
        <v>45.9</v>
      </c>
      <c r="F294">
        <v>46.1</v>
      </c>
      <c r="G294">
        <v>45.8</v>
      </c>
      <c r="H294">
        <v>45.8</v>
      </c>
      <c r="I294" t="s">
        <v>33</v>
      </c>
      <c r="J294" t="s">
        <v>33</v>
      </c>
    </row>
    <row r="295" spans="1:10" x14ac:dyDescent="0.25">
      <c r="B295" t="s">
        <v>360</v>
      </c>
      <c r="C295">
        <v>325</v>
      </c>
      <c r="D295">
        <v>897.2</v>
      </c>
      <c r="E295">
        <v>902.3</v>
      </c>
      <c r="F295">
        <v>902.8</v>
      </c>
      <c r="G295">
        <v>901.9</v>
      </c>
      <c r="H295">
        <v>901.8</v>
      </c>
      <c r="I295">
        <v>902.5</v>
      </c>
      <c r="J295">
        <v>0.7</v>
      </c>
    </row>
    <row r="296" spans="1:10" x14ac:dyDescent="0.25">
      <c r="A296" t="s">
        <v>361</v>
      </c>
      <c r="B296" t="s">
        <v>362</v>
      </c>
      <c r="C296">
        <v>3251</v>
      </c>
      <c r="D296">
        <v>156.4</v>
      </c>
      <c r="E296">
        <v>159.4</v>
      </c>
      <c r="F296">
        <v>159.1</v>
      </c>
      <c r="G296">
        <v>159.4</v>
      </c>
      <c r="H296">
        <v>159.19999999999999</v>
      </c>
      <c r="I296" t="s">
        <v>33</v>
      </c>
      <c r="J296" t="s">
        <v>33</v>
      </c>
    </row>
    <row r="297" spans="1:10" x14ac:dyDescent="0.25">
      <c r="B297" t="s">
        <v>363</v>
      </c>
      <c r="C297" t="s">
        <v>364</v>
      </c>
      <c r="D297">
        <v>98.9</v>
      </c>
      <c r="E297">
        <v>98.8</v>
      </c>
      <c r="F297">
        <v>98.8</v>
      </c>
      <c r="G297">
        <v>98.7</v>
      </c>
      <c r="H297">
        <v>98.8</v>
      </c>
      <c r="I297" t="s">
        <v>33</v>
      </c>
      <c r="J297" t="s">
        <v>33</v>
      </c>
    </row>
    <row r="298" spans="1:10" x14ac:dyDescent="0.25">
      <c r="B298" t="s">
        <v>365</v>
      </c>
      <c r="C298">
        <v>32519</v>
      </c>
      <c r="D298">
        <v>57.5</v>
      </c>
      <c r="E298">
        <v>60.2</v>
      </c>
      <c r="F298">
        <v>60.1</v>
      </c>
      <c r="G298">
        <v>60.5</v>
      </c>
      <c r="H298">
        <v>60.5</v>
      </c>
      <c r="I298" t="s">
        <v>33</v>
      </c>
      <c r="J298" t="s">
        <v>33</v>
      </c>
    </row>
    <row r="299" spans="1:10" x14ac:dyDescent="0.25">
      <c r="A299" t="s">
        <v>361</v>
      </c>
      <c r="B299" t="s">
        <v>366</v>
      </c>
      <c r="C299">
        <v>3252</v>
      </c>
      <c r="D299">
        <v>96.9</v>
      </c>
      <c r="E299">
        <v>94.8</v>
      </c>
      <c r="F299">
        <v>95.6</v>
      </c>
      <c r="G299">
        <v>95.4</v>
      </c>
      <c r="H299">
        <v>95.5</v>
      </c>
      <c r="I299" t="s">
        <v>33</v>
      </c>
      <c r="J299" t="s">
        <v>33</v>
      </c>
    </row>
    <row r="300" spans="1:10" x14ac:dyDescent="0.25">
      <c r="B300" t="s">
        <v>367</v>
      </c>
      <c r="C300">
        <v>325211</v>
      </c>
      <c r="D300">
        <v>62.2</v>
      </c>
      <c r="E300">
        <v>61.1</v>
      </c>
      <c r="F300">
        <v>61.5</v>
      </c>
      <c r="G300">
        <v>61.4</v>
      </c>
      <c r="H300">
        <v>61.6</v>
      </c>
      <c r="I300" t="s">
        <v>33</v>
      </c>
      <c r="J300" t="s">
        <v>33</v>
      </c>
    </row>
    <row r="301" spans="1:10" x14ac:dyDescent="0.25">
      <c r="A301" t="s">
        <v>361</v>
      </c>
      <c r="B301" t="s">
        <v>368</v>
      </c>
      <c r="C301">
        <v>3253</v>
      </c>
      <c r="D301">
        <v>38</v>
      </c>
      <c r="E301">
        <v>40.299999999999997</v>
      </c>
      <c r="F301">
        <v>40.6</v>
      </c>
      <c r="G301">
        <v>40.6</v>
      </c>
      <c r="H301">
        <v>40.6</v>
      </c>
      <c r="I301" t="s">
        <v>33</v>
      </c>
      <c r="J301" t="s">
        <v>33</v>
      </c>
    </row>
    <row r="302" spans="1:10" x14ac:dyDescent="0.25">
      <c r="A302" t="s">
        <v>369</v>
      </c>
      <c r="B302" t="s">
        <v>370</v>
      </c>
      <c r="C302">
        <v>3254</v>
      </c>
      <c r="D302">
        <v>343.5</v>
      </c>
      <c r="E302">
        <v>345</v>
      </c>
      <c r="F302">
        <v>344</v>
      </c>
      <c r="G302">
        <v>343.4</v>
      </c>
      <c r="H302">
        <v>343.9</v>
      </c>
      <c r="I302" t="s">
        <v>33</v>
      </c>
      <c r="J302" t="s">
        <v>33</v>
      </c>
    </row>
    <row r="303" spans="1:10" x14ac:dyDescent="0.25">
      <c r="B303" t="s">
        <v>371</v>
      </c>
      <c r="C303">
        <v>325412</v>
      </c>
      <c r="D303">
        <v>227</v>
      </c>
      <c r="E303">
        <v>230.8</v>
      </c>
      <c r="F303">
        <v>229.4</v>
      </c>
      <c r="G303">
        <v>229.2</v>
      </c>
      <c r="H303">
        <v>229.7</v>
      </c>
      <c r="I303" t="s">
        <v>33</v>
      </c>
      <c r="J303" t="s">
        <v>33</v>
      </c>
    </row>
    <row r="304" spans="1:10" x14ac:dyDescent="0.25">
      <c r="B304" t="s">
        <v>372</v>
      </c>
      <c r="C304" t="s">
        <v>373</v>
      </c>
      <c r="D304">
        <v>116.8</v>
      </c>
      <c r="E304">
        <v>114.3</v>
      </c>
      <c r="F304">
        <v>114.3</v>
      </c>
      <c r="G304">
        <v>114.1</v>
      </c>
      <c r="H304">
        <v>114.2</v>
      </c>
      <c r="I304" t="s">
        <v>33</v>
      </c>
      <c r="J304" t="s">
        <v>33</v>
      </c>
    </row>
    <row r="305" spans="1:10" x14ac:dyDescent="0.25">
      <c r="A305" t="s">
        <v>361</v>
      </c>
      <c r="B305" t="s">
        <v>374</v>
      </c>
      <c r="C305">
        <v>3255</v>
      </c>
      <c r="D305">
        <v>62.8</v>
      </c>
      <c r="E305">
        <v>62</v>
      </c>
      <c r="F305">
        <v>62.4</v>
      </c>
      <c r="G305">
        <v>62.1</v>
      </c>
      <c r="H305">
        <v>62.2</v>
      </c>
      <c r="I305" t="s">
        <v>33</v>
      </c>
      <c r="J305" t="s">
        <v>33</v>
      </c>
    </row>
    <row r="306" spans="1:10" x14ac:dyDescent="0.25">
      <c r="A306" t="s">
        <v>361</v>
      </c>
      <c r="B306" t="s">
        <v>375</v>
      </c>
      <c r="C306">
        <v>3256</v>
      </c>
      <c r="D306">
        <v>116.2</v>
      </c>
      <c r="E306">
        <v>119.1</v>
      </c>
      <c r="F306">
        <v>118.7</v>
      </c>
      <c r="G306">
        <v>118.7</v>
      </c>
      <c r="H306">
        <v>118.7</v>
      </c>
      <c r="I306" t="s">
        <v>33</v>
      </c>
      <c r="J306" t="s">
        <v>33</v>
      </c>
    </row>
    <row r="307" spans="1:10" x14ac:dyDescent="0.25">
      <c r="B307" t="s">
        <v>376</v>
      </c>
      <c r="C307">
        <v>32561</v>
      </c>
      <c r="D307">
        <v>58.1</v>
      </c>
      <c r="E307">
        <v>60.5</v>
      </c>
      <c r="F307">
        <v>60</v>
      </c>
      <c r="G307">
        <v>60.2</v>
      </c>
      <c r="H307">
        <v>60.6</v>
      </c>
      <c r="I307" t="s">
        <v>33</v>
      </c>
      <c r="J307" t="s">
        <v>33</v>
      </c>
    </row>
    <row r="308" spans="1:10" x14ac:dyDescent="0.25">
      <c r="B308" t="s">
        <v>377</v>
      </c>
      <c r="C308">
        <v>32562</v>
      </c>
      <c r="D308">
        <v>58</v>
      </c>
      <c r="E308">
        <v>58.5</v>
      </c>
      <c r="F308">
        <v>58.5</v>
      </c>
      <c r="G308">
        <v>58.3</v>
      </c>
      <c r="H308">
        <v>57.8</v>
      </c>
      <c r="I308" t="s">
        <v>33</v>
      </c>
      <c r="J308" t="s">
        <v>33</v>
      </c>
    </row>
    <row r="309" spans="1:10" x14ac:dyDescent="0.25">
      <c r="A309" t="s">
        <v>361</v>
      </c>
      <c r="B309" t="s">
        <v>378</v>
      </c>
      <c r="C309">
        <v>3259</v>
      </c>
      <c r="D309">
        <v>81.599999999999994</v>
      </c>
      <c r="E309">
        <v>82.4</v>
      </c>
      <c r="F309">
        <v>81.5</v>
      </c>
      <c r="G309">
        <v>81</v>
      </c>
      <c r="H309">
        <v>80.8</v>
      </c>
      <c r="I309" t="s">
        <v>33</v>
      </c>
      <c r="J309" t="s">
        <v>33</v>
      </c>
    </row>
    <row r="310" spans="1:10" x14ac:dyDescent="0.25">
      <c r="A310" t="s">
        <v>379</v>
      </c>
      <c r="B310" t="s">
        <v>380</v>
      </c>
      <c r="C310">
        <v>326</v>
      </c>
      <c r="D310">
        <v>729.7</v>
      </c>
      <c r="E310">
        <v>723.3</v>
      </c>
      <c r="F310">
        <v>722.4</v>
      </c>
      <c r="G310">
        <v>720.6</v>
      </c>
      <c r="H310">
        <v>718.2</v>
      </c>
      <c r="I310">
        <v>717</v>
      </c>
      <c r="J310">
        <v>-1.2</v>
      </c>
    </row>
    <row r="311" spans="1:10" x14ac:dyDescent="0.25">
      <c r="B311" t="s">
        <v>381</v>
      </c>
      <c r="C311">
        <v>3261</v>
      </c>
      <c r="D311">
        <v>596.6</v>
      </c>
      <c r="E311">
        <v>591.6</v>
      </c>
      <c r="F311">
        <v>590.9</v>
      </c>
      <c r="G311">
        <v>590</v>
      </c>
      <c r="H311">
        <v>587.70000000000005</v>
      </c>
      <c r="I311" t="s">
        <v>33</v>
      </c>
      <c r="J311" t="s">
        <v>33</v>
      </c>
    </row>
    <row r="312" spans="1:10" x14ac:dyDescent="0.25">
      <c r="B312" t="s">
        <v>382</v>
      </c>
      <c r="C312">
        <v>32611</v>
      </c>
      <c r="D312">
        <v>96.7</v>
      </c>
      <c r="E312">
        <v>98.1</v>
      </c>
      <c r="F312">
        <v>98.4</v>
      </c>
      <c r="G312">
        <v>98.8</v>
      </c>
      <c r="H312">
        <v>99.1</v>
      </c>
      <c r="I312" t="s">
        <v>33</v>
      </c>
      <c r="J312" t="s">
        <v>33</v>
      </c>
    </row>
    <row r="313" spans="1:10" x14ac:dyDescent="0.25">
      <c r="B313" t="s">
        <v>383</v>
      </c>
      <c r="C313">
        <v>32612</v>
      </c>
      <c r="D313">
        <v>54.7</v>
      </c>
      <c r="E313">
        <v>54.5</v>
      </c>
      <c r="F313">
        <v>53.5</v>
      </c>
      <c r="G313">
        <v>53.1</v>
      </c>
      <c r="H313">
        <v>53.1</v>
      </c>
      <c r="I313" t="s">
        <v>33</v>
      </c>
      <c r="J313" t="s">
        <v>33</v>
      </c>
    </row>
    <row r="314" spans="1:10" x14ac:dyDescent="0.25">
      <c r="B314" t="s">
        <v>384</v>
      </c>
      <c r="C314" t="s">
        <v>385</v>
      </c>
      <c r="D314">
        <v>64.7</v>
      </c>
      <c r="E314">
        <v>65</v>
      </c>
      <c r="F314">
        <v>65</v>
      </c>
      <c r="G314">
        <v>65</v>
      </c>
      <c r="H314">
        <v>64.400000000000006</v>
      </c>
      <c r="I314" t="s">
        <v>33</v>
      </c>
      <c r="J314" t="s">
        <v>33</v>
      </c>
    </row>
    <row r="315" spans="1:10" x14ac:dyDescent="0.25">
      <c r="B315" t="s">
        <v>386</v>
      </c>
      <c r="C315" t="s">
        <v>387</v>
      </c>
      <c r="D315">
        <v>54.9</v>
      </c>
      <c r="E315">
        <v>54.6</v>
      </c>
      <c r="F315">
        <v>54.8</v>
      </c>
      <c r="G315">
        <v>54.6</v>
      </c>
      <c r="H315">
        <v>54.6</v>
      </c>
      <c r="I315" t="s">
        <v>33</v>
      </c>
      <c r="J315" t="s">
        <v>33</v>
      </c>
    </row>
    <row r="316" spans="1:10" x14ac:dyDescent="0.25">
      <c r="B316" t="s">
        <v>388</v>
      </c>
      <c r="C316">
        <v>32619</v>
      </c>
      <c r="D316">
        <v>325.10000000000002</v>
      </c>
      <c r="E316">
        <v>320.3</v>
      </c>
      <c r="F316">
        <v>318.89999999999998</v>
      </c>
      <c r="G316">
        <v>317.7</v>
      </c>
      <c r="H316">
        <v>316.3</v>
      </c>
      <c r="I316" t="s">
        <v>33</v>
      </c>
      <c r="J316" t="s">
        <v>33</v>
      </c>
    </row>
    <row r="317" spans="1:10" x14ac:dyDescent="0.25">
      <c r="B317" t="s">
        <v>389</v>
      </c>
      <c r="C317">
        <v>3262</v>
      </c>
      <c r="D317">
        <v>132.69999999999999</v>
      </c>
      <c r="E317">
        <v>131.5</v>
      </c>
      <c r="F317">
        <v>131.1</v>
      </c>
      <c r="G317">
        <v>130.69999999999999</v>
      </c>
      <c r="H317">
        <v>130.5</v>
      </c>
      <c r="I317" t="s">
        <v>33</v>
      </c>
      <c r="J317" t="s">
        <v>33</v>
      </c>
    </row>
    <row r="318" spans="1:10" x14ac:dyDescent="0.25">
      <c r="B318" t="s">
        <v>390</v>
      </c>
      <c r="C318">
        <v>32621</v>
      </c>
      <c r="D318">
        <v>57.7</v>
      </c>
      <c r="E318">
        <v>56.6</v>
      </c>
      <c r="F318">
        <v>56.4</v>
      </c>
      <c r="G318">
        <v>56.2</v>
      </c>
      <c r="H318">
        <v>55.9</v>
      </c>
      <c r="I318" t="s">
        <v>33</v>
      </c>
      <c r="J318" t="s">
        <v>33</v>
      </c>
    </row>
    <row r="319" spans="1:10" x14ac:dyDescent="0.25">
      <c r="B319" t="s">
        <v>391</v>
      </c>
      <c r="C319" t="s">
        <v>392</v>
      </c>
      <c r="D319">
        <v>75.099999999999994</v>
      </c>
      <c r="E319">
        <v>75.099999999999994</v>
      </c>
      <c r="F319">
        <v>74.7</v>
      </c>
      <c r="G319">
        <v>74.5</v>
      </c>
      <c r="H319">
        <v>74.400000000000006</v>
      </c>
      <c r="I319" t="s">
        <v>33</v>
      </c>
      <c r="J319" t="s">
        <v>33</v>
      </c>
    </row>
    <row r="320" spans="1:10" x14ac:dyDescent="0.25">
      <c r="B320" t="s">
        <v>393</v>
      </c>
      <c r="C320" t="s">
        <v>394</v>
      </c>
      <c r="D320">
        <v>361.4</v>
      </c>
      <c r="E320">
        <v>368.5</v>
      </c>
      <c r="F320">
        <v>369.3</v>
      </c>
      <c r="G320">
        <v>366.3</v>
      </c>
      <c r="H320">
        <v>365.6</v>
      </c>
      <c r="I320">
        <v>364.9</v>
      </c>
      <c r="J320">
        <v>-0.7</v>
      </c>
    </row>
    <row r="321" spans="1:10" x14ac:dyDescent="0.25">
      <c r="A321" t="s">
        <v>35</v>
      </c>
      <c r="B321" t="s">
        <v>395</v>
      </c>
      <c r="C321">
        <v>3121</v>
      </c>
      <c r="D321">
        <v>325.39999999999998</v>
      </c>
      <c r="E321">
        <v>333.5</v>
      </c>
      <c r="F321">
        <v>334.1</v>
      </c>
      <c r="G321">
        <v>331.5</v>
      </c>
      <c r="H321">
        <v>330.2</v>
      </c>
      <c r="I321" t="s">
        <v>33</v>
      </c>
      <c r="J321" t="s">
        <v>33</v>
      </c>
    </row>
    <row r="322" spans="1:10" x14ac:dyDescent="0.25">
      <c r="B322" t="s">
        <v>396</v>
      </c>
      <c r="C322">
        <v>31211</v>
      </c>
      <c r="D322">
        <v>110.7</v>
      </c>
      <c r="E322">
        <v>112.9</v>
      </c>
      <c r="F322">
        <v>111.5</v>
      </c>
      <c r="G322">
        <v>109.1</v>
      </c>
      <c r="H322">
        <v>108.9</v>
      </c>
      <c r="I322" t="s">
        <v>33</v>
      </c>
      <c r="J322" t="s">
        <v>33</v>
      </c>
    </row>
    <row r="323" spans="1:10" x14ac:dyDescent="0.25">
      <c r="B323" t="s">
        <v>397</v>
      </c>
      <c r="C323">
        <v>312111</v>
      </c>
      <c r="D323">
        <v>81.400000000000006</v>
      </c>
      <c r="E323">
        <v>81.5</v>
      </c>
      <c r="F323">
        <v>80.900000000000006</v>
      </c>
      <c r="G323">
        <v>81</v>
      </c>
      <c r="H323">
        <v>81.400000000000006</v>
      </c>
      <c r="I323" t="s">
        <v>33</v>
      </c>
      <c r="J323" t="s">
        <v>33</v>
      </c>
    </row>
    <row r="324" spans="1:10" x14ac:dyDescent="0.25">
      <c r="B324" t="s">
        <v>398</v>
      </c>
      <c r="C324" t="s">
        <v>399</v>
      </c>
      <c r="D324">
        <v>215.1</v>
      </c>
      <c r="E324">
        <v>220.7</v>
      </c>
      <c r="F324">
        <v>222.3</v>
      </c>
      <c r="G324">
        <v>222.1</v>
      </c>
      <c r="H324">
        <v>220.6</v>
      </c>
      <c r="I324" t="s">
        <v>33</v>
      </c>
      <c r="J324" t="s">
        <v>33</v>
      </c>
    </row>
    <row r="325" spans="1:10" x14ac:dyDescent="0.25">
      <c r="A325" t="s">
        <v>359</v>
      </c>
      <c r="B325" t="s">
        <v>31</v>
      </c>
      <c r="C325" t="s">
        <v>32</v>
      </c>
      <c r="D325">
        <v>36.200000000000003</v>
      </c>
      <c r="E325">
        <v>35.200000000000003</v>
      </c>
      <c r="F325">
        <v>35.4</v>
      </c>
      <c r="G325">
        <v>35</v>
      </c>
      <c r="H325">
        <v>35.6</v>
      </c>
      <c r="I325" t="s">
        <v>33</v>
      </c>
      <c r="J325" t="s">
        <v>33</v>
      </c>
    </row>
    <row r="327" spans="1:10" x14ac:dyDescent="0.25">
      <c r="B327" t="s">
        <v>400</v>
      </c>
      <c r="D327">
        <v>135324</v>
      </c>
      <c r="E327">
        <v>136859</v>
      </c>
      <c r="F327">
        <v>136935</v>
      </c>
      <c r="G327">
        <v>137175</v>
      </c>
      <c r="H327">
        <v>137255</v>
      </c>
      <c r="I327">
        <v>137448</v>
      </c>
      <c r="J327">
        <v>193</v>
      </c>
    </row>
    <row r="329" spans="1:10" x14ac:dyDescent="0.25">
      <c r="B329" t="s">
        <v>401</v>
      </c>
      <c r="D329">
        <v>112324</v>
      </c>
      <c r="E329">
        <v>113514</v>
      </c>
      <c r="F329">
        <v>113549</v>
      </c>
      <c r="G329">
        <v>113756</v>
      </c>
      <c r="H329">
        <v>113798</v>
      </c>
      <c r="I329">
        <v>113958</v>
      </c>
      <c r="J329">
        <v>160</v>
      </c>
    </row>
    <row r="331" spans="1:10" x14ac:dyDescent="0.25">
      <c r="B331" t="s">
        <v>402</v>
      </c>
      <c r="D331">
        <v>28843</v>
      </c>
      <c r="E331">
        <v>29036</v>
      </c>
      <c r="F331">
        <v>29039</v>
      </c>
      <c r="G331">
        <v>29059</v>
      </c>
      <c r="H331">
        <v>29055</v>
      </c>
      <c r="I331">
        <v>29032</v>
      </c>
      <c r="J331">
        <v>-23</v>
      </c>
    </row>
    <row r="333" spans="1:10" x14ac:dyDescent="0.25">
      <c r="A333" t="s">
        <v>403</v>
      </c>
      <c r="B333" t="s">
        <v>404</v>
      </c>
      <c r="C333">
        <v>42</v>
      </c>
      <c r="D333">
        <v>6152.1</v>
      </c>
      <c r="E333">
        <v>6175.2</v>
      </c>
      <c r="F333">
        <v>6182.1</v>
      </c>
      <c r="G333">
        <v>6184.5</v>
      </c>
      <c r="H333">
        <v>6188.6</v>
      </c>
      <c r="I333">
        <v>6190.2</v>
      </c>
      <c r="J333">
        <v>1.6</v>
      </c>
    </row>
    <row r="334" spans="1:10" x14ac:dyDescent="0.25">
      <c r="B334" t="s">
        <v>405</v>
      </c>
      <c r="C334">
        <v>423</v>
      </c>
      <c r="D334">
        <v>3420.5</v>
      </c>
      <c r="E334">
        <v>3444.8</v>
      </c>
      <c r="F334">
        <v>3449.7</v>
      </c>
      <c r="G334">
        <v>3450.4</v>
      </c>
      <c r="H334">
        <v>3455.1</v>
      </c>
      <c r="I334">
        <v>3453.1</v>
      </c>
      <c r="J334">
        <v>-2</v>
      </c>
    </row>
    <row r="335" spans="1:10" x14ac:dyDescent="0.25">
      <c r="B335" t="s">
        <v>406</v>
      </c>
      <c r="C335">
        <v>4231</v>
      </c>
      <c r="D335">
        <v>384.7</v>
      </c>
      <c r="E335">
        <v>383.6</v>
      </c>
      <c r="F335">
        <v>383.7</v>
      </c>
      <c r="G335">
        <v>383.2</v>
      </c>
      <c r="H335">
        <v>382.7</v>
      </c>
      <c r="I335" t="s">
        <v>33</v>
      </c>
      <c r="J335" t="s">
        <v>33</v>
      </c>
    </row>
    <row r="336" spans="1:10" x14ac:dyDescent="0.25">
      <c r="B336" t="s">
        <v>407</v>
      </c>
      <c r="C336">
        <v>42311</v>
      </c>
      <c r="D336">
        <v>141.1</v>
      </c>
      <c r="E336">
        <v>140.9</v>
      </c>
      <c r="F336">
        <v>141</v>
      </c>
      <c r="G336">
        <v>140.1</v>
      </c>
      <c r="H336">
        <v>140.4</v>
      </c>
      <c r="I336" t="s">
        <v>33</v>
      </c>
      <c r="J336" t="s">
        <v>33</v>
      </c>
    </row>
    <row r="337" spans="2:10" x14ac:dyDescent="0.25">
      <c r="B337" t="s">
        <v>408</v>
      </c>
      <c r="C337">
        <v>42312</v>
      </c>
      <c r="D337">
        <v>185.2</v>
      </c>
      <c r="E337">
        <v>184.3</v>
      </c>
      <c r="F337">
        <v>183.5</v>
      </c>
      <c r="G337">
        <v>184.6</v>
      </c>
      <c r="H337">
        <v>183.8</v>
      </c>
      <c r="I337" t="s">
        <v>33</v>
      </c>
      <c r="J337" t="s">
        <v>33</v>
      </c>
    </row>
    <row r="338" spans="2:10" x14ac:dyDescent="0.25">
      <c r="B338" t="s">
        <v>409</v>
      </c>
      <c r="C338">
        <v>4232</v>
      </c>
      <c r="D338">
        <v>110.6</v>
      </c>
      <c r="E338">
        <v>108.5</v>
      </c>
      <c r="F338">
        <v>108.4</v>
      </c>
      <c r="G338">
        <v>108.5</v>
      </c>
      <c r="H338">
        <v>108.6</v>
      </c>
      <c r="I338" t="s">
        <v>33</v>
      </c>
      <c r="J338" t="s">
        <v>33</v>
      </c>
    </row>
    <row r="339" spans="2:10" x14ac:dyDescent="0.25">
      <c r="B339" t="s">
        <v>410</v>
      </c>
      <c r="C339">
        <v>42321</v>
      </c>
      <c r="D339">
        <v>51.1</v>
      </c>
      <c r="E339">
        <v>50.6</v>
      </c>
      <c r="F339">
        <v>50.7</v>
      </c>
      <c r="G339">
        <v>50.8</v>
      </c>
      <c r="H339">
        <v>51</v>
      </c>
      <c r="I339" t="s">
        <v>33</v>
      </c>
      <c r="J339" t="s">
        <v>33</v>
      </c>
    </row>
    <row r="340" spans="2:10" x14ac:dyDescent="0.25">
      <c r="B340" t="s">
        <v>411</v>
      </c>
      <c r="C340">
        <v>42322</v>
      </c>
      <c r="D340">
        <v>59.7</v>
      </c>
      <c r="E340">
        <v>58</v>
      </c>
      <c r="F340">
        <v>57.7</v>
      </c>
      <c r="G340">
        <v>57.8</v>
      </c>
      <c r="H340">
        <v>57.8</v>
      </c>
      <c r="I340" t="s">
        <v>33</v>
      </c>
      <c r="J340" t="s">
        <v>33</v>
      </c>
    </row>
    <row r="341" spans="2:10" x14ac:dyDescent="0.25">
      <c r="B341" t="s">
        <v>412</v>
      </c>
      <c r="C341">
        <v>4233</v>
      </c>
      <c r="D341">
        <v>266.60000000000002</v>
      </c>
      <c r="E341">
        <v>274.89999999999998</v>
      </c>
      <c r="F341">
        <v>275.7</v>
      </c>
      <c r="G341">
        <v>274.2</v>
      </c>
      <c r="H341">
        <v>273.7</v>
      </c>
      <c r="I341" t="s">
        <v>33</v>
      </c>
      <c r="J341" t="s">
        <v>33</v>
      </c>
    </row>
    <row r="342" spans="2:10" x14ac:dyDescent="0.25">
      <c r="B342" t="s">
        <v>413</v>
      </c>
      <c r="C342">
        <v>42331</v>
      </c>
      <c r="D342">
        <v>118.5</v>
      </c>
      <c r="E342">
        <v>121.1</v>
      </c>
      <c r="F342">
        <v>121.7</v>
      </c>
      <c r="G342">
        <v>121.3</v>
      </c>
      <c r="H342">
        <v>120.3</v>
      </c>
      <c r="I342" t="s">
        <v>33</v>
      </c>
      <c r="J342" t="s">
        <v>33</v>
      </c>
    </row>
    <row r="343" spans="2:10" x14ac:dyDescent="0.25">
      <c r="B343" t="s">
        <v>414</v>
      </c>
      <c r="C343">
        <v>42332</v>
      </c>
      <c r="D343">
        <v>67.900000000000006</v>
      </c>
      <c r="E343">
        <v>70.8</v>
      </c>
      <c r="F343">
        <v>70.7</v>
      </c>
      <c r="G343">
        <v>70.3</v>
      </c>
      <c r="H343">
        <v>70.5</v>
      </c>
      <c r="I343" t="s">
        <v>33</v>
      </c>
      <c r="J343" t="s">
        <v>33</v>
      </c>
    </row>
    <row r="344" spans="2:10" x14ac:dyDescent="0.25">
      <c r="B344" t="s">
        <v>415</v>
      </c>
      <c r="C344" t="s">
        <v>416</v>
      </c>
      <c r="D344">
        <v>80.3</v>
      </c>
      <c r="E344">
        <v>83.8</v>
      </c>
      <c r="F344">
        <v>84</v>
      </c>
      <c r="G344">
        <v>82.9</v>
      </c>
      <c r="H344">
        <v>83.5</v>
      </c>
      <c r="I344" t="s">
        <v>33</v>
      </c>
      <c r="J344" t="s">
        <v>33</v>
      </c>
    </row>
    <row r="345" spans="2:10" x14ac:dyDescent="0.25">
      <c r="B345" t="s">
        <v>417</v>
      </c>
      <c r="C345">
        <v>4234</v>
      </c>
      <c r="D345">
        <v>753.3</v>
      </c>
      <c r="E345">
        <v>759</v>
      </c>
      <c r="F345">
        <v>759</v>
      </c>
      <c r="G345">
        <v>763.2</v>
      </c>
      <c r="H345">
        <v>764</v>
      </c>
      <c r="I345" t="s">
        <v>33</v>
      </c>
      <c r="J345" t="s">
        <v>33</v>
      </c>
    </row>
    <row r="346" spans="2:10" x14ac:dyDescent="0.25">
      <c r="B346" t="s">
        <v>418</v>
      </c>
      <c r="C346">
        <v>42342</v>
      </c>
      <c r="D346">
        <v>69.5</v>
      </c>
      <c r="E346">
        <v>68.8</v>
      </c>
      <c r="F346">
        <v>68.5</v>
      </c>
      <c r="G346">
        <v>68.5</v>
      </c>
      <c r="H346">
        <v>67.599999999999994</v>
      </c>
      <c r="I346" t="s">
        <v>33</v>
      </c>
      <c r="J346" t="s">
        <v>33</v>
      </c>
    </row>
    <row r="347" spans="2:10" x14ac:dyDescent="0.25">
      <c r="B347" t="s">
        <v>419</v>
      </c>
      <c r="C347">
        <v>42343</v>
      </c>
      <c r="D347">
        <v>235.4</v>
      </c>
      <c r="E347">
        <v>238.2</v>
      </c>
      <c r="F347">
        <v>239.1</v>
      </c>
      <c r="G347">
        <v>240.6</v>
      </c>
      <c r="H347">
        <v>242.1</v>
      </c>
      <c r="I347" t="s">
        <v>33</v>
      </c>
      <c r="J347" t="s">
        <v>33</v>
      </c>
    </row>
    <row r="348" spans="2:10" x14ac:dyDescent="0.25">
      <c r="B348" t="s">
        <v>420</v>
      </c>
      <c r="C348">
        <v>42345</v>
      </c>
      <c r="D348">
        <v>314.3</v>
      </c>
      <c r="E348">
        <v>318.10000000000002</v>
      </c>
      <c r="F348">
        <v>319.10000000000002</v>
      </c>
      <c r="G348">
        <v>320.2</v>
      </c>
      <c r="H348">
        <v>320.5</v>
      </c>
      <c r="I348" t="s">
        <v>33</v>
      </c>
      <c r="J348" t="s">
        <v>33</v>
      </c>
    </row>
    <row r="349" spans="2:10" x14ac:dyDescent="0.25">
      <c r="B349" t="s">
        <v>421</v>
      </c>
      <c r="C349" t="s">
        <v>422</v>
      </c>
      <c r="D349">
        <v>133.9</v>
      </c>
      <c r="E349">
        <v>134.1</v>
      </c>
      <c r="F349">
        <v>132.80000000000001</v>
      </c>
      <c r="G349">
        <v>133.80000000000001</v>
      </c>
      <c r="H349">
        <v>133.1</v>
      </c>
      <c r="I349" t="s">
        <v>33</v>
      </c>
      <c r="J349" t="s">
        <v>33</v>
      </c>
    </row>
    <row r="350" spans="2:10" x14ac:dyDescent="0.25">
      <c r="B350" t="s">
        <v>423</v>
      </c>
      <c r="C350">
        <v>4235</v>
      </c>
      <c r="D350">
        <v>135.30000000000001</v>
      </c>
      <c r="E350">
        <v>137.69999999999999</v>
      </c>
      <c r="F350">
        <v>139.1</v>
      </c>
      <c r="G350">
        <v>138.4</v>
      </c>
      <c r="H350">
        <v>140.30000000000001</v>
      </c>
      <c r="I350" t="s">
        <v>33</v>
      </c>
      <c r="J350" t="s">
        <v>33</v>
      </c>
    </row>
    <row r="351" spans="2:10" x14ac:dyDescent="0.25">
      <c r="B351" t="s">
        <v>424</v>
      </c>
      <c r="C351">
        <v>4236</v>
      </c>
      <c r="D351">
        <v>377.6</v>
      </c>
      <c r="E351">
        <v>372.5</v>
      </c>
      <c r="F351">
        <v>372.3</v>
      </c>
      <c r="G351">
        <v>372</v>
      </c>
      <c r="H351">
        <v>372.2</v>
      </c>
      <c r="I351" t="s">
        <v>33</v>
      </c>
      <c r="J351" t="s">
        <v>33</v>
      </c>
    </row>
    <row r="352" spans="2:10" x14ac:dyDescent="0.25">
      <c r="B352" t="s">
        <v>425</v>
      </c>
      <c r="C352">
        <v>42361</v>
      </c>
      <c r="D352">
        <v>196.8</v>
      </c>
      <c r="E352">
        <v>195.1</v>
      </c>
      <c r="F352">
        <v>194.3</v>
      </c>
      <c r="G352">
        <v>193.6</v>
      </c>
      <c r="H352">
        <v>193.5</v>
      </c>
      <c r="I352" t="s">
        <v>33</v>
      </c>
      <c r="J352" t="s">
        <v>33</v>
      </c>
    </row>
    <row r="353" spans="2:10" x14ac:dyDescent="0.25">
      <c r="B353" t="s">
        <v>426</v>
      </c>
      <c r="C353" t="s">
        <v>427</v>
      </c>
      <c r="D353">
        <v>181.1</v>
      </c>
      <c r="E353">
        <v>177.7</v>
      </c>
      <c r="F353">
        <v>178.1</v>
      </c>
      <c r="G353">
        <v>178.2</v>
      </c>
      <c r="H353">
        <v>178.9</v>
      </c>
      <c r="I353" t="s">
        <v>33</v>
      </c>
      <c r="J353" t="s">
        <v>33</v>
      </c>
    </row>
    <row r="354" spans="2:10" x14ac:dyDescent="0.25">
      <c r="B354" t="s">
        <v>428</v>
      </c>
      <c r="C354">
        <v>4237</v>
      </c>
      <c r="D354">
        <v>310.8</v>
      </c>
      <c r="E354">
        <v>313.39999999999998</v>
      </c>
      <c r="F354">
        <v>313.2</v>
      </c>
      <c r="G354">
        <v>315.2</v>
      </c>
      <c r="H354">
        <v>316.8</v>
      </c>
      <c r="I354" t="s">
        <v>33</v>
      </c>
      <c r="J354" t="s">
        <v>33</v>
      </c>
    </row>
    <row r="355" spans="2:10" x14ac:dyDescent="0.25">
      <c r="B355" t="s">
        <v>429</v>
      </c>
      <c r="C355">
        <v>42371</v>
      </c>
      <c r="D355">
        <v>90.1</v>
      </c>
      <c r="E355">
        <v>88.7</v>
      </c>
      <c r="F355">
        <v>88.7</v>
      </c>
      <c r="G355">
        <v>88.7</v>
      </c>
      <c r="H355">
        <v>90.1</v>
      </c>
      <c r="I355" t="s">
        <v>33</v>
      </c>
      <c r="J355" t="s">
        <v>33</v>
      </c>
    </row>
    <row r="356" spans="2:10" x14ac:dyDescent="0.25">
      <c r="B356" t="s">
        <v>430</v>
      </c>
      <c r="C356">
        <v>42372</v>
      </c>
      <c r="D356">
        <v>119.7</v>
      </c>
      <c r="E356">
        <v>122</v>
      </c>
      <c r="F356">
        <v>121.4</v>
      </c>
      <c r="G356">
        <v>122.6</v>
      </c>
      <c r="H356">
        <v>123</v>
      </c>
      <c r="I356" t="s">
        <v>33</v>
      </c>
      <c r="J356" t="s">
        <v>33</v>
      </c>
    </row>
    <row r="357" spans="2:10" x14ac:dyDescent="0.25">
      <c r="B357" t="s">
        <v>431</v>
      </c>
      <c r="C357" t="s">
        <v>432</v>
      </c>
      <c r="D357">
        <v>100.5</v>
      </c>
      <c r="E357">
        <v>103.4</v>
      </c>
      <c r="F357">
        <v>103.3</v>
      </c>
      <c r="G357">
        <v>103.8</v>
      </c>
      <c r="H357">
        <v>104.2</v>
      </c>
      <c r="I357" t="s">
        <v>33</v>
      </c>
      <c r="J357" t="s">
        <v>33</v>
      </c>
    </row>
    <row r="358" spans="2:10" x14ac:dyDescent="0.25">
      <c r="B358" t="s">
        <v>433</v>
      </c>
      <c r="C358">
        <v>4238</v>
      </c>
      <c r="D358">
        <v>762.1</v>
      </c>
      <c r="E358">
        <v>766.4</v>
      </c>
      <c r="F358">
        <v>767.1</v>
      </c>
      <c r="G358">
        <v>766.1</v>
      </c>
      <c r="H358">
        <v>765.7</v>
      </c>
      <c r="I358" t="s">
        <v>33</v>
      </c>
      <c r="J358" t="s">
        <v>33</v>
      </c>
    </row>
    <row r="359" spans="2:10" x14ac:dyDescent="0.25">
      <c r="B359" t="s">
        <v>434</v>
      </c>
      <c r="C359">
        <v>42381</v>
      </c>
      <c r="D359">
        <v>105.7</v>
      </c>
      <c r="E359">
        <v>109.2</v>
      </c>
      <c r="F359">
        <v>109.2</v>
      </c>
      <c r="G359">
        <v>109.9</v>
      </c>
      <c r="H359">
        <v>110.2</v>
      </c>
      <c r="I359" t="s">
        <v>33</v>
      </c>
      <c r="J359" t="s">
        <v>33</v>
      </c>
    </row>
    <row r="360" spans="2:10" x14ac:dyDescent="0.25">
      <c r="B360" t="s">
        <v>435</v>
      </c>
      <c r="C360">
        <v>42382</v>
      </c>
      <c r="D360">
        <v>116.4</v>
      </c>
      <c r="E360">
        <v>115.3</v>
      </c>
      <c r="F360">
        <v>114.7</v>
      </c>
      <c r="G360">
        <v>113.6</v>
      </c>
      <c r="H360">
        <v>113.1</v>
      </c>
      <c r="I360" t="s">
        <v>33</v>
      </c>
      <c r="J360" t="s">
        <v>33</v>
      </c>
    </row>
    <row r="361" spans="2:10" x14ac:dyDescent="0.25">
      <c r="B361" t="s">
        <v>436</v>
      </c>
      <c r="C361">
        <v>42383</v>
      </c>
      <c r="D361">
        <v>343.3</v>
      </c>
      <c r="E361">
        <v>342.7</v>
      </c>
      <c r="F361">
        <v>343.6</v>
      </c>
      <c r="G361">
        <v>343.1</v>
      </c>
      <c r="H361">
        <v>343</v>
      </c>
      <c r="I361" t="s">
        <v>33</v>
      </c>
      <c r="J361" t="s">
        <v>33</v>
      </c>
    </row>
    <row r="362" spans="2:10" x14ac:dyDescent="0.25">
      <c r="B362" t="s">
        <v>437</v>
      </c>
      <c r="C362">
        <v>42384</v>
      </c>
      <c r="D362">
        <v>104.4</v>
      </c>
      <c r="E362">
        <v>105.5</v>
      </c>
      <c r="F362">
        <v>105.7</v>
      </c>
      <c r="G362">
        <v>105.6</v>
      </c>
      <c r="H362">
        <v>105</v>
      </c>
      <c r="I362" t="s">
        <v>33</v>
      </c>
      <c r="J362" t="s">
        <v>33</v>
      </c>
    </row>
    <row r="363" spans="2:10" x14ac:dyDescent="0.25">
      <c r="B363" t="s">
        <v>438</v>
      </c>
      <c r="C363">
        <v>42385</v>
      </c>
      <c r="D363">
        <v>54.8</v>
      </c>
      <c r="E363">
        <v>55.2</v>
      </c>
      <c r="F363">
        <v>55.3</v>
      </c>
      <c r="G363">
        <v>55.1</v>
      </c>
      <c r="H363">
        <v>55.3</v>
      </c>
      <c r="I363" t="s">
        <v>33</v>
      </c>
      <c r="J363" t="s">
        <v>33</v>
      </c>
    </row>
    <row r="364" spans="2:10" x14ac:dyDescent="0.25">
      <c r="B364" t="s">
        <v>439</v>
      </c>
      <c r="C364">
        <v>42386</v>
      </c>
      <c r="D364">
        <v>37.200000000000003</v>
      </c>
      <c r="E364">
        <v>38.9</v>
      </c>
      <c r="F364">
        <v>38.700000000000003</v>
      </c>
      <c r="G364">
        <v>38.200000000000003</v>
      </c>
      <c r="H364">
        <v>38.799999999999997</v>
      </c>
      <c r="I364" t="s">
        <v>33</v>
      </c>
      <c r="J364" t="s">
        <v>33</v>
      </c>
    </row>
    <row r="365" spans="2:10" x14ac:dyDescent="0.25">
      <c r="B365" t="s">
        <v>440</v>
      </c>
      <c r="C365">
        <v>4239</v>
      </c>
      <c r="D365">
        <v>320.60000000000002</v>
      </c>
      <c r="E365">
        <v>326.39999999999998</v>
      </c>
      <c r="F365">
        <v>329.4</v>
      </c>
      <c r="G365">
        <v>330.2</v>
      </c>
      <c r="H365">
        <v>333</v>
      </c>
      <c r="I365" t="s">
        <v>33</v>
      </c>
      <c r="J365" t="s">
        <v>33</v>
      </c>
    </row>
    <row r="366" spans="2:10" x14ac:dyDescent="0.25">
      <c r="B366" t="s">
        <v>441</v>
      </c>
      <c r="C366">
        <v>42391</v>
      </c>
      <c r="D366">
        <v>67.099999999999994</v>
      </c>
      <c r="E366">
        <v>68.2</v>
      </c>
      <c r="F366">
        <v>68.8</v>
      </c>
      <c r="G366">
        <v>69.400000000000006</v>
      </c>
      <c r="H366">
        <v>69.7</v>
      </c>
      <c r="I366" t="s">
        <v>33</v>
      </c>
      <c r="J366" t="s">
        <v>33</v>
      </c>
    </row>
    <row r="367" spans="2:10" x14ac:dyDescent="0.25">
      <c r="B367" t="s">
        <v>442</v>
      </c>
      <c r="C367">
        <v>42393</v>
      </c>
      <c r="D367">
        <v>99.8</v>
      </c>
      <c r="E367">
        <v>99.2</v>
      </c>
      <c r="F367">
        <v>100.5</v>
      </c>
      <c r="G367">
        <v>100.4</v>
      </c>
      <c r="H367">
        <v>101</v>
      </c>
      <c r="I367" t="s">
        <v>33</v>
      </c>
      <c r="J367" t="s">
        <v>33</v>
      </c>
    </row>
    <row r="368" spans="2:10" x14ac:dyDescent="0.25">
      <c r="B368" t="s">
        <v>443</v>
      </c>
      <c r="C368">
        <v>42394</v>
      </c>
      <c r="D368">
        <v>34.4</v>
      </c>
      <c r="E368">
        <v>32.5</v>
      </c>
      <c r="F368">
        <v>32.1</v>
      </c>
      <c r="G368">
        <v>31.6</v>
      </c>
      <c r="H368">
        <v>31.8</v>
      </c>
      <c r="I368" t="s">
        <v>33</v>
      </c>
      <c r="J368" t="s">
        <v>33</v>
      </c>
    </row>
    <row r="369" spans="2:10" x14ac:dyDescent="0.25">
      <c r="B369" t="s">
        <v>444</v>
      </c>
      <c r="C369" t="s">
        <v>445</v>
      </c>
      <c r="D369">
        <v>119.5</v>
      </c>
      <c r="E369">
        <v>127.2</v>
      </c>
      <c r="F369">
        <v>128.5</v>
      </c>
      <c r="G369">
        <v>128.9</v>
      </c>
      <c r="H369">
        <v>130.1</v>
      </c>
      <c r="I369" t="s">
        <v>33</v>
      </c>
      <c r="J369" t="s">
        <v>33</v>
      </c>
    </row>
    <row r="370" spans="2:10" x14ac:dyDescent="0.25">
      <c r="B370" t="s">
        <v>446</v>
      </c>
      <c r="C370">
        <v>424</v>
      </c>
      <c r="D370">
        <v>2215.8000000000002</v>
      </c>
      <c r="E370">
        <v>2217.1999999999998</v>
      </c>
      <c r="F370">
        <v>2219.1</v>
      </c>
      <c r="G370">
        <v>2220.1</v>
      </c>
      <c r="H370">
        <v>2219.8000000000002</v>
      </c>
      <c r="I370">
        <v>2223.5</v>
      </c>
      <c r="J370">
        <v>3.7</v>
      </c>
    </row>
    <row r="371" spans="2:10" x14ac:dyDescent="0.25">
      <c r="B371" t="s">
        <v>447</v>
      </c>
      <c r="C371">
        <v>4241</v>
      </c>
      <c r="D371">
        <v>112.8</v>
      </c>
      <c r="E371">
        <v>109.8</v>
      </c>
      <c r="F371">
        <v>109.8</v>
      </c>
      <c r="G371">
        <v>108.9</v>
      </c>
      <c r="H371">
        <v>109.3</v>
      </c>
      <c r="I371" t="s">
        <v>33</v>
      </c>
      <c r="J371" t="s">
        <v>33</v>
      </c>
    </row>
    <row r="372" spans="2:10" x14ac:dyDescent="0.25">
      <c r="B372" t="s">
        <v>448</v>
      </c>
      <c r="C372" t="s">
        <v>449</v>
      </c>
      <c r="D372">
        <v>49.8</v>
      </c>
      <c r="E372">
        <v>47.6</v>
      </c>
      <c r="F372">
        <v>47.8</v>
      </c>
      <c r="G372">
        <v>46.5</v>
      </c>
      <c r="H372">
        <v>45.9</v>
      </c>
      <c r="I372" t="s">
        <v>33</v>
      </c>
      <c r="J372" t="s">
        <v>33</v>
      </c>
    </row>
    <row r="373" spans="2:10" x14ac:dyDescent="0.25">
      <c r="B373" t="s">
        <v>450</v>
      </c>
      <c r="C373">
        <v>42413</v>
      </c>
      <c r="D373">
        <v>62.9</v>
      </c>
      <c r="E373">
        <v>62.2</v>
      </c>
      <c r="F373">
        <v>62.1</v>
      </c>
      <c r="G373">
        <v>62.5</v>
      </c>
      <c r="H373">
        <v>63.3</v>
      </c>
      <c r="I373" t="s">
        <v>33</v>
      </c>
      <c r="J373" t="s">
        <v>33</v>
      </c>
    </row>
    <row r="374" spans="2:10" x14ac:dyDescent="0.25">
      <c r="B374" t="s">
        <v>451</v>
      </c>
      <c r="C374">
        <v>4242</v>
      </c>
      <c r="D374">
        <v>259.39999999999998</v>
      </c>
      <c r="E374">
        <v>254.7</v>
      </c>
      <c r="F374">
        <v>254.5</v>
      </c>
      <c r="G374">
        <v>254.2</v>
      </c>
      <c r="H374">
        <v>252.3</v>
      </c>
      <c r="I374" t="s">
        <v>33</v>
      </c>
      <c r="J374" t="s">
        <v>33</v>
      </c>
    </row>
    <row r="375" spans="2:10" x14ac:dyDescent="0.25">
      <c r="B375" t="s">
        <v>452</v>
      </c>
      <c r="C375">
        <v>4243</v>
      </c>
      <c r="D375">
        <v>149</v>
      </c>
      <c r="E375">
        <v>145.4</v>
      </c>
      <c r="F375">
        <v>146</v>
      </c>
      <c r="G375">
        <v>145.5</v>
      </c>
      <c r="H375">
        <v>145</v>
      </c>
      <c r="I375" t="s">
        <v>33</v>
      </c>
      <c r="J375" t="s">
        <v>33</v>
      </c>
    </row>
    <row r="376" spans="2:10" x14ac:dyDescent="0.25">
      <c r="B376" t="s">
        <v>453</v>
      </c>
      <c r="C376">
        <v>42435</v>
      </c>
      <c r="D376">
        <v>98.7</v>
      </c>
      <c r="E376">
        <v>97.9</v>
      </c>
      <c r="F376">
        <v>98.2</v>
      </c>
      <c r="G376">
        <v>98.1</v>
      </c>
      <c r="H376">
        <v>97.8</v>
      </c>
      <c r="I376" t="s">
        <v>33</v>
      </c>
      <c r="J376" t="s">
        <v>33</v>
      </c>
    </row>
    <row r="377" spans="2:10" x14ac:dyDescent="0.25">
      <c r="B377" t="s">
        <v>454</v>
      </c>
      <c r="C377">
        <v>4244</v>
      </c>
      <c r="D377">
        <v>823.1</v>
      </c>
      <c r="E377">
        <v>833.4</v>
      </c>
      <c r="F377">
        <v>835.1</v>
      </c>
      <c r="G377">
        <v>836.1</v>
      </c>
      <c r="H377">
        <v>838.3</v>
      </c>
      <c r="I377" t="s">
        <v>33</v>
      </c>
      <c r="J377" t="s">
        <v>33</v>
      </c>
    </row>
    <row r="378" spans="2:10" x14ac:dyDescent="0.25">
      <c r="B378" t="s">
        <v>455</v>
      </c>
      <c r="C378">
        <v>42441</v>
      </c>
      <c r="D378">
        <v>260.60000000000002</v>
      </c>
      <c r="E378">
        <v>259.5</v>
      </c>
      <c r="F378">
        <v>260.2</v>
      </c>
      <c r="G378">
        <v>260.39999999999998</v>
      </c>
      <c r="H378">
        <v>261.8</v>
      </c>
      <c r="I378" t="s">
        <v>33</v>
      </c>
      <c r="J378" t="s">
        <v>33</v>
      </c>
    </row>
    <row r="379" spans="2:10" x14ac:dyDescent="0.25">
      <c r="B379" t="s">
        <v>456</v>
      </c>
      <c r="C379">
        <v>42448</v>
      </c>
      <c r="D379">
        <v>96.8</v>
      </c>
      <c r="E379">
        <v>96.9</v>
      </c>
      <c r="F379">
        <v>97.5</v>
      </c>
      <c r="G379">
        <v>98.1</v>
      </c>
      <c r="H379">
        <v>98.4</v>
      </c>
      <c r="I379" t="s">
        <v>33</v>
      </c>
      <c r="J379" t="s">
        <v>33</v>
      </c>
    </row>
    <row r="380" spans="2:10" x14ac:dyDescent="0.25">
      <c r="B380" t="s">
        <v>457</v>
      </c>
      <c r="C380">
        <v>4245</v>
      </c>
      <c r="D380">
        <v>71.099999999999994</v>
      </c>
      <c r="E380">
        <v>73.400000000000006</v>
      </c>
      <c r="F380">
        <v>74</v>
      </c>
      <c r="G380">
        <v>73.7</v>
      </c>
      <c r="H380">
        <v>74.3</v>
      </c>
      <c r="I380" t="s">
        <v>33</v>
      </c>
      <c r="J380" t="s">
        <v>33</v>
      </c>
    </row>
    <row r="381" spans="2:10" x14ac:dyDescent="0.25">
      <c r="B381" t="s">
        <v>458</v>
      </c>
      <c r="C381">
        <v>42451</v>
      </c>
      <c r="D381">
        <v>38.700000000000003</v>
      </c>
      <c r="E381">
        <v>39.5</v>
      </c>
      <c r="F381">
        <v>39.700000000000003</v>
      </c>
      <c r="G381">
        <v>39.6</v>
      </c>
      <c r="H381">
        <v>39.200000000000003</v>
      </c>
      <c r="I381" t="s">
        <v>33</v>
      </c>
      <c r="J381" t="s">
        <v>33</v>
      </c>
    </row>
    <row r="382" spans="2:10" x14ac:dyDescent="0.25">
      <c r="B382" t="s">
        <v>459</v>
      </c>
      <c r="C382">
        <v>4246</v>
      </c>
      <c r="D382">
        <v>151.4</v>
      </c>
      <c r="E382">
        <v>154.69999999999999</v>
      </c>
      <c r="F382">
        <v>153.9</v>
      </c>
      <c r="G382">
        <v>154.4</v>
      </c>
      <c r="H382">
        <v>155.1</v>
      </c>
      <c r="I382" t="s">
        <v>33</v>
      </c>
      <c r="J382" t="s">
        <v>33</v>
      </c>
    </row>
    <row r="383" spans="2:10" x14ac:dyDescent="0.25">
      <c r="B383" t="s">
        <v>460</v>
      </c>
      <c r="C383">
        <v>4247</v>
      </c>
      <c r="D383">
        <v>101.1</v>
      </c>
      <c r="E383">
        <v>101.5</v>
      </c>
      <c r="F383">
        <v>102.6</v>
      </c>
      <c r="G383">
        <v>102.7</v>
      </c>
      <c r="H383">
        <v>101.6</v>
      </c>
      <c r="I383" t="s">
        <v>33</v>
      </c>
      <c r="J383" t="s">
        <v>33</v>
      </c>
    </row>
    <row r="384" spans="2:10" x14ac:dyDescent="0.25">
      <c r="B384" t="s">
        <v>461</v>
      </c>
      <c r="C384">
        <v>4248</v>
      </c>
      <c r="D384">
        <v>217.4</v>
      </c>
      <c r="E384">
        <v>217.4</v>
      </c>
      <c r="F384">
        <v>217.7</v>
      </c>
      <c r="G384">
        <v>218.4</v>
      </c>
      <c r="H384">
        <v>217.7</v>
      </c>
      <c r="I384" t="s">
        <v>33</v>
      </c>
      <c r="J384" t="s">
        <v>33</v>
      </c>
    </row>
    <row r="385" spans="1:10" x14ac:dyDescent="0.25">
      <c r="B385" t="s">
        <v>462</v>
      </c>
      <c r="C385">
        <v>42481</v>
      </c>
      <c r="D385">
        <v>118.3</v>
      </c>
      <c r="E385">
        <v>118</v>
      </c>
      <c r="F385">
        <v>117.9</v>
      </c>
      <c r="G385">
        <v>118.4</v>
      </c>
      <c r="H385">
        <v>118.3</v>
      </c>
      <c r="I385" t="s">
        <v>33</v>
      </c>
      <c r="J385" t="s">
        <v>33</v>
      </c>
    </row>
    <row r="386" spans="1:10" x14ac:dyDescent="0.25">
      <c r="B386" t="s">
        <v>463</v>
      </c>
      <c r="C386">
        <v>42482</v>
      </c>
      <c r="D386">
        <v>98.9</v>
      </c>
      <c r="E386">
        <v>99.4</v>
      </c>
      <c r="F386">
        <v>99.8</v>
      </c>
      <c r="G386">
        <v>99.9</v>
      </c>
      <c r="H386">
        <v>99.4</v>
      </c>
      <c r="I386" t="s">
        <v>33</v>
      </c>
      <c r="J386" t="s">
        <v>33</v>
      </c>
    </row>
    <row r="387" spans="1:10" x14ac:dyDescent="0.25">
      <c r="B387" t="s">
        <v>464</v>
      </c>
      <c r="C387">
        <v>4249</v>
      </c>
      <c r="D387">
        <v>328.7</v>
      </c>
      <c r="E387">
        <v>327.8</v>
      </c>
      <c r="F387">
        <v>327.39999999999998</v>
      </c>
      <c r="G387">
        <v>326.60000000000002</v>
      </c>
      <c r="H387">
        <v>326</v>
      </c>
      <c r="I387" t="s">
        <v>33</v>
      </c>
      <c r="J387" t="s">
        <v>33</v>
      </c>
    </row>
    <row r="388" spans="1:10" x14ac:dyDescent="0.25">
      <c r="B388" t="s">
        <v>465</v>
      </c>
      <c r="C388">
        <v>42491</v>
      </c>
      <c r="D388">
        <v>121.4</v>
      </c>
      <c r="E388">
        <v>121.3</v>
      </c>
      <c r="F388">
        <v>120.8</v>
      </c>
      <c r="G388">
        <v>120.7</v>
      </c>
      <c r="H388">
        <v>120.4</v>
      </c>
      <c r="I388" t="s">
        <v>33</v>
      </c>
      <c r="J388" t="s">
        <v>33</v>
      </c>
    </row>
    <row r="389" spans="1:10" x14ac:dyDescent="0.25">
      <c r="B389" t="s">
        <v>466</v>
      </c>
      <c r="C389">
        <v>42493</v>
      </c>
      <c r="D389">
        <v>49.3</v>
      </c>
      <c r="E389">
        <v>52.1</v>
      </c>
      <c r="F389">
        <v>52.7</v>
      </c>
      <c r="G389">
        <v>53.2</v>
      </c>
      <c r="H389">
        <v>53.1</v>
      </c>
      <c r="I389" t="s">
        <v>33</v>
      </c>
      <c r="J389" t="s">
        <v>33</v>
      </c>
    </row>
    <row r="390" spans="1:10" x14ac:dyDescent="0.25">
      <c r="B390" t="s">
        <v>467</v>
      </c>
      <c r="C390" t="s">
        <v>468</v>
      </c>
      <c r="D390">
        <v>158.30000000000001</v>
      </c>
      <c r="E390">
        <v>154.6</v>
      </c>
      <c r="F390">
        <v>154</v>
      </c>
      <c r="G390">
        <v>153.1</v>
      </c>
      <c r="H390">
        <v>152.6</v>
      </c>
      <c r="I390" t="s">
        <v>33</v>
      </c>
      <c r="J390" t="s">
        <v>33</v>
      </c>
    </row>
    <row r="391" spans="1:10" x14ac:dyDescent="0.25">
      <c r="B391" t="s">
        <v>469</v>
      </c>
      <c r="C391">
        <v>425</v>
      </c>
      <c r="D391">
        <v>515.79999999999995</v>
      </c>
      <c r="E391">
        <v>513.20000000000005</v>
      </c>
      <c r="F391">
        <v>513.29999999999995</v>
      </c>
      <c r="G391">
        <v>514</v>
      </c>
      <c r="H391">
        <v>513.70000000000005</v>
      </c>
      <c r="I391">
        <v>513.6</v>
      </c>
      <c r="J391">
        <v>-0.1</v>
      </c>
    </row>
    <row r="393" spans="1:10" x14ac:dyDescent="0.25">
      <c r="A393" t="s">
        <v>403</v>
      </c>
      <c r="B393" t="s">
        <v>470</v>
      </c>
      <c r="D393">
        <v>15570.4</v>
      </c>
      <c r="E393">
        <v>15661.3</v>
      </c>
      <c r="F393">
        <v>15646.8</v>
      </c>
      <c r="G393">
        <v>15654.1</v>
      </c>
      <c r="H393">
        <v>15650.4</v>
      </c>
      <c r="I393">
        <v>15622.4</v>
      </c>
      <c r="J393">
        <v>-28</v>
      </c>
    </row>
    <row r="394" spans="1:10" x14ac:dyDescent="0.25">
      <c r="B394" t="s">
        <v>471</v>
      </c>
      <c r="C394">
        <v>441</v>
      </c>
      <c r="D394">
        <v>2066</v>
      </c>
      <c r="E394">
        <v>2073.6999999999998</v>
      </c>
      <c r="F394">
        <v>2073.4</v>
      </c>
      <c r="G394">
        <v>2075.6999999999998</v>
      </c>
      <c r="H394">
        <v>2078.1999999999998</v>
      </c>
      <c r="I394">
        <v>2080.8000000000002</v>
      </c>
      <c r="J394">
        <v>2.6</v>
      </c>
    </row>
    <row r="395" spans="1:10" x14ac:dyDescent="0.25">
      <c r="B395" t="s">
        <v>472</v>
      </c>
      <c r="C395">
        <v>4411</v>
      </c>
      <c r="D395">
        <v>1291.3</v>
      </c>
      <c r="E395">
        <v>1304.2</v>
      </c>
      <c r="F395">
        <v>1302.7</v>
      </c>
      <c r="G395">
        <v>1304.7</v>
      </c>
      <c r="H395">
        <v>1306.8</v>
      </c>
      <c r="I395">
        <v>1307.7</v>
      </c>
      <c r="J395">
        <v>0.9</v>
      </c>
    </row>
    <row r="396" spans="1:10" x14ac:dyDescent="0.25">
      <c r="B396" t="s">
        <v>473</v>
      </c>
      <c r="C396">
        <v>44111</v>
      </c>
      <c r="D396">
        <v>1114.9000000000001</v>
      </c>
      <c r="E396">
        <v>1130.5</v>
      </c>
      <c r="F396">
        <v>1132.0999999999999</v>
      </c>
      <c r="G396">
        <v>1132.7</v>
      </c>
      <c r="H396">
        <v>1134.5999999999999</v>
      </c>
      <c r="I396" t="s">
        <v>33</v>
      </c>
      <c r="J396" t="s">
        <v>33</v>
      </c>
    </row>
    <row r="397" spans="1:10" x14ac:dyDescent="0.25">
      <c r="B397" t="s">
        <v>474</v>
      </c>
      <c r="C397">
        <v>44112</v>
      </c>
      <c r="D397">
        <v>176.2</v>
      </c>
      <c r="E397">
        <v>173.6</v>
      </c>
      <c r="F397">
        <v>170.5</v>
      </c>
      <c r="G397">
        <v>171.3</v>
      </c>
      <c r="H397">
        <v>172</v>
      </c>
      <c r="I397" t="s">
        <v>33</v>
      </c>
      <c r="J397" t="s">
        <v>33</v>
      </c>
    </row>
    <row r="398" spans="1:10" x14ac:dyDescent="0.25">
      <c r="B398" t="s">
        <v>475</v>
      </c>
      <c r="C398">
        <v>4412</v>
      </c>
      <c r="D398">
        <v>174.9</v>
      </c>
      <c r="E398">
        <v>167.5</v>
      </c>
      <c r="F398">
        <v>166.1</v>
      </c>
      <c r="G398">
        <v>166.3</v>
      </c>
      <c r="H398">
        <v>166</v>
      </c>
      <c r="I398">
        <v>167.8</v>
      </c>
      <c r="J398">
        <v>1.8</v>
      </c>
    </row>
    <row r="399" spans="1:10" x14ac:dyDescent="0.25">
      <c r="B399" t="s">
        <v>476</v>
      </c>
      <c r="C399">
        <v>44121</v>
      </c>
      <c r="D399">
        <v>53.7</v>
      </c>
      <c r="E399">
        <v>52.4</v>
      </c>
      <c r="F399">
        <v>52.5</v>
      </c>
      <c r="G399">
        <v>52.8</v>
      </c>
      <c r="H399">
        <v>52.9</v>
      </c>
      <c r="I399" t="s">
        <v>33</v>
      </c>
      <c r="J399" t="s">
        <v>33</v>
      </c>
    </row>
    <row r="400" spans="1:10" x14ac:dyDescent="0.25">
      <c r="B400" t="s">
        <v>477</v>
      </c>
      <c r="C400">
        <v>44122</v>
      </c>
      <c r="D400">
        <v>121.7</v>
      </c>
      <c r="E400">
        <v>115</v>
      </c>
      <c r="F400">
        <v>113.6</v>
      </c>
      <c r="G400">
        <v>113.4</v>
      </c>
      <c r="H400">
        <v>112.8</v>
      </c>
      <c r="I400" t="s">
        <v>33</v>
      </c>
      <c r="J400" t="s">
        <v>33</v>
      </c>
    </row>
    <row r="401" spans="2:10" x14ac:dyDescent="0.25">
      <c r="B401" t="s">
        <v>478</v>
      </c>
      <c r="C401">
        <v>4413</v>
      </c>
      <c r="D401">
        <v>599.79999999999995</v>
      </c>
      <c r="E401">
        <v>602</v>
      </c>
      <c r="F401">
        <v>604.5</v>
      </c>
      <c r="G401">
        <v>604.79999999999995</v>
      </c>
      <c r="H401">
        <v>605.5</v>
      </c>
      <c r="I401">
        <v>605.29999999999995</v>
      </c>
      <c r="J401">
        <v>-0.2</v>
      </c>
    </row>
    <row r="402" spans="2:10" x14ac:dyDescent="0.25">
      <c r="B402" t="s">
        <v>479</v>
      </c>
      <c r="C402">
        <v>44133</v>
      </c>
      <c r="D402">
        <v>402.5</v>
      </c>
      <c r="E402">
        <v>405.8</v>
      </c>
      <c r="F402">
        <v>407.5</v>
      </c>
      <c r="G402">
        <v>407.2</v>
      </c>
      <c r="H402">
        <v>407.2</v>
      </c>
      <c r="I402" t="s">
        <v>33</v>
      </c>
      <c r="J402" t="s">
        <v>33</v>
      </c>
    </row>
    <row r="403" spans="2:10" x14ac:dyDescent="0.25">
      <c r="B403" t="s">
        <v>480</v>
      </c>
      <c r="C403">
        <v>44134</v>
      </c>
      <c r="D403">
        <v>197.8</v>
      </c>
      <c r="E403">
        <v>196.9</v>
      </c>
      <c r="F403">
        <v>197.2</v>
      </c>
      <c r="G403">
        <v>197.5</v>
      </c>
      <c r="H403">
        <v>197.9</v>
      </c>
      <c r="I403" t="s">
        <v>33</v>
      </c>
      <c r="J403" t="s">
        <v>33</v>
      </c>
    </row>
    <row r="404" spans="2:10" x14ac:dyDescent="0.25">
      <c r="B404" t="s">
        <v>481</v>
      </c>
      <c r="C404">
        <v>444</v>
      </c>
      <c r="D404">
        <v>1398.9</v>
      </c>
      <c r="E404">
        <v>1376.2</v>
      </c>
      <c r="F404">
        <v>1374.9</v>
      </c>
      <c r="G404">
        <v>1373.1</v>
      </c>
      <c r="H404">
        <v>1372</v>
      </c>
      <c r="I404">
        <v>1368.1</v>
      </c>
      <c r="J404">
        <v>-3.9</v>
      </c>
    </row>
    <row r="405" spans="2:10" x14ac:dyDescent="0.25">
      <c r="B405" t="s">
        <v>482</v>
      </c>
      <c r="C405">
        <v>4441</v>
      </c>
      <c r="D405">
        <v>1210.0999999999999</v>
      </c>
      <c r="E405">
        <v>1188.2</v>
      </c>
      <c r="F405">
        <v>1188.7</v>
      </c>
      <c r="G405">
        <v>1186.8</v>
      </c>
      <c r="H405">
        <v>1186.7</v>
      </c>
      <c r="I405" t="s">
        <v>33</v>
      </c>
      <c r="J405" t="s">
        <v>33</v>
      </c>
    </row>
    <row r="406" spans="2:10" x14ac:dyDescent="0.25">
      <c r="B406" t="s">
        <v>483</v>
      </c>
      <c r="C406">
        <v>44414</v>
      </c>
      <c r="D406">
        <v>178</v>
      </c>
      <c r="E406">
        <v>179.7</v>
      </c>
      <c r="F406">
        <v>179.7</v>
      </c>
      <c r="G406">
        <v>178.9</v>
      </c>
      <c r="H406">
        <v>178.7</v>
      </c>
      <c r="I406" t="s">
        <v>33</v>
      </c>
      <c r="J406" t="s">
        <v>33</v>
      </c>
    </row>
    <row r="407" spans="2:10" x14ac:dyDescent="0.25">
      <c r="B407" t="s">
        <v>484</v>
      </c>
      <c r="C407" t="s">
        <v>485</v>
      </c>
      <c r="D407">
        <v>1033.5</v>
      </c>
      <c r="E407">
        <v>1007</v>
      </c>
      <c r="F407">
        <v>1008.6</v>
      </c>
      <c r="G407">
        <v>1005.7</v>
      </c>
      <c r="H407">
        <v>1007</v>
      </c>
      <c r="I407" t="s">
        <v>33</v>
      </c>
      <c r="J407" t="s">
        <v>33</v>
      </c>
    </row>
    <row r="408" spans="2:10" x14ac:dyDescent="0.25">
      <c r="B408" t="s">
        <v>486</v>
      </c>
      <c r="C408">
        <v>4442</v>
      </c>
      <c r="D408">
        <v>190.9</v>
      </c>
      <c r="E408">
        <v>186</v>
      </c>
      <c r="F408">
        <v>185.8</v>
      </c>
      <c r="G408">
        <v>187.1</v>
      </c>
      <c r="H408">
        <v>187</v>
      </c>
      <c r="I408" t="s">
        <v>33</v>
      </c>
      <c r="J408" t="s">
        <v>33</v>
      </c>
    </row>
    <row r="409" spans="2:10" x14ac:dyDescent="0.25">
      <c r="B409" t="s">
        <v>487</v>
      </c>
      <c r="C409">
        <v>44423</v>
      </c>
      <c r="D409">
        <v>33.1</v>
      </c>
      <c r="E409">
        <v>31.3</v>
      </c>
      <c r="F409">
        <v>31.6</v>
      </c>
      <c r="G409">
        <v>32</v>
      </c>
      <c r="H409">
        <v>31.9</v>
      </c>
      <c r="I409" t="s">
        <v>33</v>
      </c>
      <c r="J409" t="s">
        <v>33</v>
      </c>
    </row>
    <row r="410" spans="2:10" x14ac:dyDescent="0.25">
      <c r="B410" t="s">
        <v>488</v>
      </c>
      <c r="C410">
        <v>44424</v>
      </c>
      <c r="D410">
        <v>158</v>
      </c>
      <c r="E410">
        <v>154.69999999999999</v>
      </c>
      <c r="F410">
        <v>154.30000000000001</v>
      </c>
      <c r="G410">
        <v>155.1</v>
      </c>
      <c r="H410">
        <v>155.1</v>
      </c>
      <c r="I410" t="s">
        <v>33</v>
      </c>
      <c r="J410" t="s">
        <v>33</v>
      </c>
    </row>
    <row r="411" spans="2:10" x14ac:dyDescent="0.25">
      <c r="B411" t="s">
        <v>489</v>
      </c>
      <c r="C411">
        <v>445</v>
      </c>
      <c r="D411">
        <v>3247.5</v>
      </c>
      <c r="E411">
        <v>3258.2</v>
      </c>
      <c r="F411">
        <v>3260</v>
      </c>
      <c r="G411">
        <v>3263.3</v>
      </c>
      <c r="H411">
        <v>3271.4</v>
      </c>
      <c r="I411">
        <v>3268.5</v>
      </c>
      <c r="J411">
        <v>-2.9</v>
      </c>
    </row>
    <row r="412" spans="2:10" x14ac:dyDescent="0.25">
      <c r="B412" t="s">
        <v>490</v>
      </c>
      <c r="C412">
        <v>4451</v>
      </c>
      <c r="D412">
        <v>2833.5</v>
      </c>
      <c r="E412">
        <v>2852.2</v>
      </c>
      <c r="F412">
        <v>2856.4</v>
      </c>
      <c r="G412">
        <v>2861</v>
      </c>
      <c r="H412">
        <v>2868</v>
      </c>
      <c r="I412" t="s">
        <v>33</v>
      </c>
      <c r="J412" t="s">
        <v>33</v>
      </c>
    </row>
    <row r="413" spans="2:10" x14ac:dyDescent="0.25">
      <c r="B413" t="s">
        <v>491</v>
      </c>
      <c r="C413">
        <v>44511</v>
      </c>
      <c r="D413">
        <v>2616.9</v>
      </c>
      <c r="E413">
        <v>2635.6</v>
      </c>
      <c r="F413">
        <v>2638.9</v>
      </c>
      <c r="G413">
        <v>2643.8</v>
      </c>
      <c r="H413">
        <v>2650.2</v>
      </c>
      <c r="I413" t="s">
        <v>33</v>
      </c>
      <c r="J413" t="s">
        <v>33</v>
      </c>
    </row>
    <row r="414" spans="2:10" x14ac:dyDescent="0.25">
      <c r="B414" t="s">
        <v>492</v>
      </c>
      <c r="C414">
        <v>44513</v>
      </c>
      <c r="D414">
        <v>215.3</v>
      </c>
      <c r="E414">
        <v>216.3</v>
      </c>
      <c r="F414">
        <v>216.9</v>
      </c>
      <c r="G414">
        <v>216.7</v>
      </c>
      <c r="H414">
        <v>217</v>
      </c>
      <c r="I414" t="s">
        <v>33</v>
      </c>
      <c r="J414" t="s">
        <v>33</v>
      </c>
    </row>
    <row r="415" spans="2:10" x14ac:dyDescent="0.25">
      <c r="B415" t="s">
        <v>493</v>
      </c>
      <c r="C415">
        <v>445131</v>
      </c>
      <c r="D415">
        <v>176.9</v>
      </c>
      <c r="E415">
        <v>178.2</v>
      </c>
      <c r="F415">
        <v>179.1</v>
      </c>
      <c r="G415">
        <v>178.5</v>
      </c>
      <c r="H415">
        <v>179.3</v>
      </c>
      <c r="I415" t="s">
        <v>33</v>
      </c>
      <c r="J415" t="s">
        <v>33</v>
      </c>
    </row>
    <row r="416" spans="2:10" x14ac:dyDescent="0.25">
      <c r="B416" t="s">
        <v>494</v>
      </c>
      <c r="C416">
        <v>445132</v>
      </c>
      <c r="D416">
        <v>38.700000000000003</v>
      </c>
      <c r="E416">
        <v>37.6</v>
      </c>
      <c r="F416">
        <v>37.4</v>
      </c>
      <c r="G416">
        <v>37.6</v>
      </c>
      <c r="H416">
        <v>38.1</v>
      </c>
      <c r="I416" t="s">
        <v>33</v>
      </c>
      <c r="J416" t="s">
        <v>33</v>
      </c>
    </row>
    <row r="417" spans="2:10" x14ac:dyDescent="0.25">
      <c r="B417" t="s">
        <v>495</v>
      </c>
      <c r="C417">
        <v>4452</v>
      </c>
      <c r="D417">
        <v>233.3</v>
      </c>
      <c r="E417">
        <v>227.6</v>
      </c>
      <c r="F417">
        <v>226.7</v>
      </c>
      <c r="G417">
        <v>226.6</v>
      </c>
      <c r="H417">
        <v>226.8</v>
      </c>
      <c r="I417" t="s">
        <v>33</v>
      </c>
      <c r="J417" t="s">
        <v>33</v>
      </c>
    </row>
    <row r="418" spans="2:10" x14ac:dyDescent="0.25">
      <c r="B418" t="s">
        <v>496</v>
      </c>
      <c r="C418">
        <v>44523</v>
      </c>
      <c r="D418">
        <v>39.1</v>
      </c>
      <c r="E418">
        <v>38.9</v>
      </c>
      <c r="F418">
        <v>37.700000000000003</v>
      </c>
      <c r="G418">
        <v>38.200000000000003</v>
      </c>
      <c r="H418">
        <v>37.4</v>
      </c>
      <c r="I418" t="s">
        <v>33</v>
      </c>
      <c r="J418" t="s">
        <v>33</v>
      </c>
    </row>
    <row r="419" spans="2:10" x14ac:dyDescent="0.25">
      <c r="B419" t="s">
        <v>497</v>
      </c>
      <c r="C419" t="s">
        <v>498</v>
      </c>
      <c r="D419">
        <v>75.099999999999994</v>
      </c>
      <c r="E419">
        <v>71.400000000000006</v>
      </c>
      <c r="F419">
        <v>71.099999999999994</v>
      </c>
      <c r="G419">
        <v>70.3</v>
      </c>
      <c r="H419">
        <v>71.099999999999994</v>
      </c>
      <c r="I419" t="s">
        <v>33</v>
      </c>
      <c r="J419" t="s">
        <v>33</v>
      </c>
    </row>
    <row r="420" spans="2:10" x14ac:dyDescent="0.25">
      <c r="B420" t="s">
        <v>499</v>
      </c>
      <c r="C420">
        <v>44529</v>
      </c>
      <c r="D420">
        <v>120.3</v>
      </c>
      <c r="E420">
        <v>117.3</v>
      </c>
      <c r="F420">
        <v>117.1</v>
      </c>
      <c r="G420">
        <v>117.4</v>
      </c>
      <c r="H420">
        <v>119.6</v>
      </c>
      <c r="I420" t="s">
        <v>33</v>
      </c>
      <c r="J420" t="s">
        <v>33</v>
      </c>
    </row>
    <row r="421" spans="2:10" x14ac:dyDescent="0.25">
      <c r="B421" t="s">
        <v>500</v>
      </c>
      <c r="C421">
        <v>4453</v>
      </c>
      <c r="D421">
        <v>181.1</v>
      </c>
      <c r="E421">
        <v>177.3</v>
      </c>
      <c r="F421">
        <v>177.3</v>
      </c>
      <c r="G421">
        <v>176.8</v>
      </c>
      <c r="H421">
        <v>177.5</v>
      </c>
      <c r="I421" t="s">
        <v>33</v>
      </c>
      <c r="J421" t="s">
        <v>33</v>
      </c>
    </row>
    <row r="422" spans="2:10" x14ac:dyDescent="0.25">
      <c r="B422" t="s">
        <v>501</v>
      </c>
      <c r="C422">
        <v>449</v>
      </c>
      <c r="D422">
        <v>832</v>
      </c>
      <c r="E422">
        <v>816.9</v>
      </c>
      <c r="F422">
        <v>817.5</v>
      </c>
      <c r="G422">
        <v>823.5</v>
      </c>
      <c r="H422">
        <v>823.4</v>
      </c>
      <c r="I422">
        <v>825.6</v>
      </c>
      <c r="J422">
        <v>2.2000000000000002</v>
      </c>
    </row>
    <row r="423" spans="2:10" x14ac:dyDescent="0.25">
      <c r="B423" t="s">
        <v>502</v>
      </c>
      <c r="C423">
        <v>4491</v>
      </c>
      <c r="D423">
        <v>428.6</v>
      </c>
      <c r="E423">
        <v>419.7</v>
      </c>
      <c r="F423">
        <v>420.6</v>
      </c>
      <c r="G423">
        <v>421.4</v>
      </c>
      <c r="H423">
        <v>419.8</v>
      </c>
      <c r="I423">
        <v>418.4</v>
      </c>
      <c r="J423">
        <v>-1.4</v>
      </c>
    </row>
    <row r="424" spans="2:10" x14ac:dyDescent="0.25">
      <c r="B424" t="s">
        <v>503</v>
      </c>
      <c r="C424">
        <v>44911</v>
      </c>
      <c r="D424">
        <v>208.6</v>
      </c>
      <c r="E424">
        <v>199.1</v>
      </c>
      <c r="F424">
        <v>198.9</v>
      </c>
      <c r="G424">
        <v>197.9</v>
      </c>
      <c r="H424">
        <v>196.8</v>
      </c>
      <c r="I424" t="s">
        <v>33</v>
      </c>
      <c r="J424" t="s">
        <v>33</v>
      </c>
    </row>
    <row r="425" spans="2:10" x14ac:dyDescent="0.25">
      <c r="B425" t="s">
        <v>504</v>
      </c>
      <c r="C425">
        <v>44912</v>
      </c>
      <c r="D425">
        <v>219.1</v>
      </c>
      <c r="E425">
        <v>219.9</v>
      </c>
      <c r="F425">
        <v>221.4</v>
      </c>
      <c r="G425">
        <v>223.2</v>
      </c>
      <c r="H425">
        <v>222.7</v>
      </c>
      <c r="I425" t="s">
        <v>33</v>
      </c>
      <c r="J425" t="s">
        <v>33</v>
      </c>
    </row>
    <row r="426" spans="2:10" x14ac:dyDescent="0.25">
      <c r="B426" t="s">
        <v>505</v>
      </c>
      <c r="C426">
        <v>449121</v>
      </c>
      <c r="D426">
        <v>70.599999999999994</v>
      </c>
      <c r="E426">
        <v>72.2</v>
      </c>
      <c r="F426">
        <v>72.8</v>
      </c>
      <c r="G426">
        <v>72.900000000000006</v>
      </c>
      <c r="H426">
        <v>72.599999999999994</v>
      </c>
      <c r="I426" t="s">
        <v>33</v>
      </c>
      <c r="J426" t="s">
        <v>33</v>
      </c>
    </row>
    <row r="427" spans="2:10" x14ac:dyDescent="0.25">
      <c r="B427" t="s">
        <v>506</v>
      </c>
      <c r="C427" t="s">
        <v>507</v>
      </c>
      <c r="D427">
        <v>147.80000000000001</v>
      </c>
      <c r="E427">
        <v>148.4</v>
      </c>
      <c r="F427">
        <v>149.6</v>
      </c>
      <c r="G427">
        <v>151.30000000000001</v>
      </c>
      <c r="H427">
        <v>150.6</v>
      </c>
      <c r="I427" t="s">
        <v>33</v>
      </c>
      <c r="J427" t="s">
        <v>33</v>
      </c>
    </row>
    <row r="428" spans="2:10" x14ac:dyDescent="0.25">
      <c r="B428" t="s">
        <v>508</v>
      </c>
      <c r="C428">
        <v>4492</v>
      </c>
      <c r="D428">
        <v>403.5</v>
      </c>
      <c r="E428">
        <v>397.2</v>
      </c>
      <c r="F428">
        <v>396.9</v>
      </c>
      <c r="G428">
        <v>402.1</v>
      </c>
      <c r="H428">
        <v>403.6</v>
      </c>
      <c r="I428">
        <v>407.2</v>
      </c>
      <c r="J428">
        <v>3.6</v>
      </c>
    </row>
    <row r="429" spans="2:10" x14ac:dyDescent="0.25">
      <c r="B429" t="s">
        <v>509</v>
      </c>
      <c r="C429">
        <v>455</v>
      </c>
      <c r="D429">
        <v>3193</v>
      </c>
      <c r="E429">
        <v>3289.8</v>
      </c>
      <c r="F429">
        <v>3286.6</v>
      </c>
      <c r="G429">
        <v>3286.9</v>
      </c>
      <c r="H429">
        <v>3283.1</v>
      </c>
      <c r="I429">
        <v>3268.1</v>
      </c>
      <c r="J429">
        <v>-15</v>
      </c>
    </row>
    <row r="430" spans="2:10" x14ac:dyDescent="0.25">
      <c r="B430" t="s">
        <v>510</v>
      </c>
      <c r="C430">
        <v>4551</v>
      </c>
      <c r="D430">
        <v>937.7</v>
      </c>
      <c r="E430">
        <v>972.5</v>
      </c>
      <c r="F430">
        <v>968.6</v>
      </c>
      <c r="G430">
        <v>968.8</v>
      </c>
      <c r="H430">
        <v>967.3</v>
      </c>
      <c r="I430">
        <v>957</v>
      </c>
      <c r="J430">
        <v>-10.3</v>
      </c>
    </row>
    <row r="431" spans="2:10" x14ac:dyDescent="0.25">
      <c r="B431" t="s">
        <v>511</v>
      </c>
      <c r="C431">
        <v>4552</v>
      </c>
      <c r="D431">
        <v>2255.3000000000002</v>
      </c>
      <c r="E431">
        <v>2317.3000000000002</v>
      </c>
      <c r="F431">
        <v>2318</v>
      </c>
      <c r="G431">
        <v>2318</v>
      </c>
      <c r="H431">
        <v>2315.9</v>
      </c>
      <c r="I431">
        <v>2311.1</v>
      </c>
      <c r="J431">
        <v>-4.8</v>
      </c>
    </row>
    <row r="432" spans="2:10" x14ac:dyDescent="0.25">
      <c r="B432" t="s">
        <v>512</v>
      </c>
      <c r="C432">
        <v>455211</v>
      </c>
      <c r="D432">
        <v>1631.8</v>
      </c>
      <c r="E432">
        <v>1675.6</v>
      </c>
      <c r="F432">
        <v>1673.4</v>
      </c>
      <c r="G432">
        <v>1669.7</v>
      </c>
      <c r="H432">
        <v>1660.9</v>
      </c>
      <c r="I432" t="s">
        <v>33</v>
      </c>
      <c r="J432" t="s">
        <v>33</v>
      </c>
    </row>
    <row r="433" spans="2:10" x14ac:dyDescent="0.25">
      <c r="B433" t="s">
        <v>513</v>
      </c>
      <c r="C433">
        <v>455219</v>
      </c>
      <c r="D433">
        <v>624.79999999999995</v>
      </c>
      <c r="E433">
        <v>643.5</v>
      </c>
      <c r="F433">
        <v>648.20000000000005</v>
      </c>
      <c r="G433">
        <v>646.4</v>
      </c>
      <c r="H433">
        <v>656.5</v>
      </c>
      <c r="I433" t="s">
        <v>33</v>
      </c>
      <c r="J433" t="s">
        <v>33</v>
      </c>
    </row>
    <row r="434" spans="2:10" x14ac:dyDescent="0.25">
      <c r="B434" t="s">
        <v>514</v>
      </c>
      <c r="C434">
        <v>456</v>
      </c>
      <c r="D434">
        <v>1093.5999999999999</v>
      </c>
      <c r="E434">
        <v>1093.0999999999999</v>
      </c>
      <c r="F434">
        <v>1086.8</v>
      </c>
      <c r="G434">
        <v>1090.5999999999999</v>
      </c>
      <c r="H434">
        <v>1092.5999999999999</v>
      </c>
      <c r="I434">
        <v>1089.3</v>
      </c>
      <c r="J434">
        <v>-3.3</v>
      </c>
    </row>
    <row r="435" spans="2:10" x14ac:dyDescent="0.25">
      <c r="B435" t="s">
        <v>515</v>
      </c>
      <c r="C435">
        <v>45611</v>
      </c>
      <c r="D435">
        <v>720.3</v>
      </c>
      <c r="E435">
        <v>710.4</v>
      </c>
      <c r="F435">
        <v>705.2</v>
      </c>
      <c r="G435">
        <v>708.7</v>
      </c>
      <c r="H435">
        <v>708.8</v>
      </c>
      <c r="I435" t="s">
        <v>33</v>
      </c>
      <c r="J435" t="s">
        <v>33</v>
      </c>
    </row>
    <row r="436" spans="2:10" x14ac:dyDescent="0.25">
      <c r="B436" t="s">
        <v>516</v>
      </c>
      <c r="C436">
        <v>45612</v>
      </c>
      <c r="D436">
        <v>179.4</v>
      </c>
      <c r="E436">
        <v>186.5</v>
      </c>
      <c r="F436">
        <v>186.7</v>
      </c>
      <c r="G436">
        <v>187.5</v>
      </c>
      <c r="H436">
        <v>187.7</v>
      </c>
      <c r="I436" t="s">
        <v>33</v>
      </c>
      <c r="J436" t="s">
        <v>33</v>
      </c>
    </row>
    <row r="437" spans="2:10" x14ac:dyDescent="0.25">
      <c r="B437" t="s">
        <v>517</v>
      </c>
      <c r="C437">
        <v>45613</v>
      </c>
      <c r="D437">
        <v>71.5</v>
      </c>
      <c r="E437">
        <v>72.099999999999994</v>
      </c>
      <c r="F437">
        <v>71.900000000000006</v>
      </c>
      <c r="G437">
        <v>70.400000000000006</v>
      </c>
      <c r="H437">
        <v>71.5</v>
      </c>
      <c r="I437" t="s">
        <v>33</v>
      </c>
      <c r="J437" t="s">
        <v>33</v>
      </c>
    </row>
    <row r="438" spans="2:10" x14ac:dyDescent="0.25">
      <c r="B438" t="s">
        <v>518</v>
      </c>
      <c r="C438">
        <v>45619</v>
      </c>
      <c r="D438">
        <v>120.7</v>
      </c>
      <c r="E438">
        <v>123.8</v>
      </c>
      <c r="F438">
        <v>124.3</v>
      </c>
      <c r="G438">
        <v>125.6</v>
      </c>
      <c r="H438">
        <v>124.9</v>
      </c>
      <c r="I438" t="s">
        <v>33</v>
      </c>
      <c r="J438" t="s">
        <v>33</v>
      </c>
    </row>
    <row r="439" spans="2:10" x14ac:dyDescent="0.25">
      <c r="B439" t="s">
        <v>519</v>
      </c>
      <c r="C439">
        <v>456191</v>
      </c>
      <c r="D439">
        <v>48.4</v>
      </c>
      <c r="E439">
        <v>49.7</v>
      </c>
      <c r="F439">
        <v>49.7</v>
      </c>
      <c r="G439">
        <v>51.3</v>
      </c>
      <c r="H439">
        <v>50.5</v>
      </c>
      <c r="I439" t="s">
        <v>33</v>
      </c>
      <c r="J439" t="s">
        <v>33</v>
      </c>
    </row>
    <row r="440" spans="2:10" x14ac:dyDescent="0.25">
      <c r="B440" t="s">
        <v>520</v>
      </c>
      <c r="C440">
        <v>456199</v>
      </c>
      <c r="D440">
        <v>72.8</v>
      </c>
      <c r="E440">
        <v>74</v>
      </c>
      <c r="F440">
        <v>74.3</v>
      </c>
      <c r="G440">
        <v>74.099999999999994</v>
      </c>
      <c r="H440">
        <v>74</v>
      </c>
      <c r="I440" t="s">
        <v>33</v>
      </c>
      <c r="J440" t="s">
        <v>33</v>
      </c>
    </row>
    <row r="441" spans="2:10" x14ac:dyDescent="0.25">
      <c r="B441" t="s">
        <v>521</v>
      </c>
      <c r="C441">
        <v>457</v>
      </c>
      <c r="D441">
        <v>1066.9000000000001</v>
      </c>
      <c r="E441">
        <v>1080</v>
      </c>
      <c r="F441">
        <v>1079.5999999999999</v>
      </c>
      <c r="G441">
        <v>1080.0999999999999</v>
      </c>
      <c r="H441">
        <v>1079.5</v>
      </c>
      <c r="I441">
        <v>1080.7</v>
      </c>
      <c r="J441">
        <v>1.2</v>
      </c>
    </row>
    <row r="442" spans="2:10" x14ac:dyDescent="0.25">
      <c r="B442" t="s">
        <v>522</v>
      </c>
      <c r="C442">
        <v>4571</v>
      </c>
      <c r="D442">
        <v>995.7</v>
      </c>
      <c r="E442">
        <v>1006.9</v>
      </c>
      <c r="F442">
        <v>1006.3</v>
      </c>
      <c r="G442">
        <v>1007.7</v>
      </c>
      <c r="H442">
        <v>1007.5</v>
      </c>
      <c r="I442" t="s">
        <v>33</v>
      </c>
      <c r="J442" t="s">
        <v>33</v>
      </c>
    </row>
    <row r="443" spans="2:10" x14ac:dyDescent="0.25">
      <c r="B443" t="s">
        <v>523</v>
      </c>
      <c r="C443">
        <v>45711</v>
      </c>
      <c r="D443">
        <v>898.8</v>
      </c>
      <c r="E443">
        <v>911.1</v>
      </c>
      <c r="F443">
        <v>911.1</v>
      </c>
      <c r="G443">
        <v>913.7</v>
      </c>
      <c r="H443">
        <v>913.4</v>
      </c>
      <c r="I443" t="s">
        <v>33</v>
      </c>
      <c r="J443" t="s">
        <v>33</v>
      </c>
    </row>
    <row r="444" spans="2:10" x14ac:dyDescent="0.25">
      <c r="B444" t="s">
        <v>524</v>
      </c>
      <c r="C444">
        <v>45712</v>
      </c>
      <c r="D444">
        <v>96.5</v>
      </c>
      <c r="E444">
        <v>95.8</v>
      </c>
      <c r="F444">
        <v>95.5</v>
      </c>
      <c r="G444">
        <v>95.1</v>
      </c>
      <c r="H444">
        <v>94.6</v>
      </c>
      <c r="I444" t="s">
        <v>33</v>
      </c>
      <c r="J444" t="s">
        <v>33</v>
      </c>
    </row>
    <row r="445" spans="2:10" x14ac:dyDescent="0.25">
      <c r="B445" t="s">
        <v>525</v>
      </c>
      <c r="C445">
        <v>4572</v>
      </c>
      <c r="D445">
        <v>70.599999999999994</v>
      </c>
      <c r="E445">
        <v>72.900000000000006</v>
      </c>
      <c r="F445">
        <v>73.099999999999994</v>
      </c>
      <c r="G445">
        <v>72.2</v>
      </c>
      <c r="H445">
        <v>71.400000000000006</v>
      </c>
      <c r="I445" t="s">
        <v>33</v>
      </c>
      <c r="J445" t="s">
        <v>33</v>
      </c>
    </row>
    <row r="446" spans="2:10" x14ac:dyDescent="0.25">
      <c r="B446" t="s">
        <v>526</v>
      </c>
      <c r="C446">
        <v>458</v>
      </c>
      <c r="D446">
        <v>1132.7</v>
      </c>
      <c r="E446">
        <v>1134.5</v>
      </c>
      <c r="F446">
        <v>1128.7</v>
      </c>
      <c r="G446">
        <v>1126.4000000000001</v>
      </c>
      <c r="H446">
        <v>1117.2</v>
      </c>
      <c r="I446">
        <v>1114</v>
      </c>
      <c r="J446">
        <v>-3.2</v>
      </c>
    </row>
    <row r="447" spans="2:10" x14ac:dyDescent="0.25">
      <c r="B447" t="s">
        <v>527</v>
      </c>
      <c r="C447">
        <v>4581</v>
      </c>
      <c r="D447">
        <v>840.9</v>
      </c>
      <c r="E447">
        <v>840.6</v>
      </c>
      <c r="F447">
        <v>837.1</v>
      </c>
      <c r="G447">
        <v>835.5</v>
      </c>
      <c r="H447">
        <v>829.3</v>
      </c>
      <c r="I447" t="s">
        <v>33</v>
      </c>
      <c r="J447" t="s">
        <v>33</v>
      </c>
    </row>
    <row r="448" spans="2:10" x14ac:dyDescent="0.25">
      <c r="B448" t="s">
        <v>528</v>
      </c>
      <c r="C448">
        <v>4582</v>
      </c>
      <c r="D448">
        <v>170.1</v>
      </c>
      <c r="E448">
        <v>167.6</v>
      </c>
      <c r="F448">
        <v>167.5</v>
      </c>
      <c r="G448">
        <v>166.4</v>
      </c>
      <c r="H448">
        <v>165.5</v>
      </c>
      <c r="I448" t="s">
        <v>33</v>
      </c>
      <c r="J448" t="s">
        <v>33</v>
      </c>
    </row>
    <row r="449" spans="2:10" x14ac:dyDescent="0.25">
      <c r="B449" t="s">
        <v>529</v>
      </c>
      <c r="C449">
        <v>4583</v>
      </c>
      <c r="D449">
        <v>124.8</v>
      </c>
      <c r="E449">
        <v>125.7</v>
      </c>
      <c r="F449">
        <v>123.6</v>
      </c>
      <c r="G449">
        <v>124.9</v>
      </c>
      <c r="H449">
        <v>123.8</v>
      </c>
      <c r="I449" t="s">
        <v>33</v>
      </c>
      <c r="J449" t="s">
        <v>33</v>
      </c>
    </row>
    <row r="450" spans="2:10" x14ac:dyDescent="0.25">
      <c r="B450" t="s">
        <v>530</v>
      </c>
      <c r="C450">
        <v>459</v>
      </c>
      <c r="D450">
        <v>1539.8</v>
      </c>
      <c r="E450">
        <v>1538.9</v>
      </c>
      <c r="F450">
        <v>1539.3</v>
      </c>
      <c r="G450">
        <v>1534.5</v>
      </c>
      <c r="H450">
        <v>1533</v>
      </c>
      <c r="I450">
        <v>1527.3</v>
      </c>
      <c r="J450">
        <v>-5.7</v>
      </c>
    </row>
    <row r="451" spans="2:10" x14ac:dyDescent="0.25">
      <c r="B451" t="s">
        <v>531</v>
      </c>
      <c r="C451">
        <v>4591</v>
      </c>
      <c r="D451">
        <v>502</v>
      </c>
      <c r="E451">
        <v>488.1</v>
      </c>
      <c r="F451">
        <v>484.2</v>
      </c>
      <c r="G451">
        <v>481.2</v>
      </c>
      <c r="H451">
        <v>479.1</v>
      </c>
      <c r="I451" t="s">
        <v>33</v>
      </c>
      <c r="J451" t="s">
        <v>33</v>
      </c>
    </row>
    <row r="452" spans="2:10" x14ac:dyDescent="0.25">
      <c r="B452" t="s">
        <v>532</v>
      </c>
      <c r="C452">
        <v>45911</v>
      </c>
      <c r="D452">
        <v>304.10000000000002</v>
      </c>
      <c r="E452">
        <v>297.5</v>
      </c>
      <c r="F452">
        <v>295.5</v>
      </c>
      <c r="G452">
        <v>293.8</v>
      </c>
      <c r="H452">
        <v>292.2</v>
      </c>
      <c r="I452" t="s">
        <v>33</v>
      </c>
      <c r="J452" t="s">
        <v>33</v>
      </c>
    </row>
    <row r="453" spans="2:10" x14ac:dyDescent="0.25">
      <c r="B453" t="s">
        <v>533</v>
      </c>
      <c r="C453">
        <v>45912</v>
      </c>
      <c r="D453">
        <v>131.5</v>
      </c>
      <c r="E453">
        <v>127.6</v>
      </c>
      <c r="F453">
        <v>125.1</v>
      </c>
      <c r="G453">
        <v>125.4</v>
      </c>
      <c r="H453">
        <v>124.2</v>
      </c>
      <c r="I453" t="s">
        <v>33</v>
      </c>
      <c r="J453" t="s">
        <v>33</v>
      </c>
    </row>
    <row r="454" spans="2:10" x14ac:dyDescent="0.25">
      <c r="B454" t="s">
        <v>534</v>
      </c>
      <c r="C454">
        <v>45913</v>
      </c>
      <c r="D454">
        <v>30.4</v>
      </c>
      <c r="E454">
        <v>30.3</v>
      </c>
      <c r="F454">
        <v>29.6</v>
      </c>
      <c r="G454">
        <v>29.4</v>
      </c>
      <c r="H454">
        <v>29.1</v>
      </c>
      <c r="I454" t="s">
        <v>33</v>
      </c>
      <c r="J454" t="s">
        <v>33</v>
      </c>
    </row>
    <row r="455" spans="2:10" x14ac:dyDescent="0.25">
      <c r="B455" t="s">
        <v>535</v>
      </c>
      <c r="C455">
        <v>45914</v>
      </c>
      <c r="D455">
        <v>33.299999999999997</v>
      </c>
      <c r="E455">
        <v>33.700000000000003</v>
      </c>
      <c r="F455">
        <v>32.9</v>
      </c>
      <c r="G455">
        <v>33.200000000000003</v>
      </c>
      <c r="H455">
        <v>33.700000000000003</v>
      </c>
      <c r="I455" t="s">
        <v>33</v>
      </c>
      <c r="J455" t="s">
        <v>33</v>
      </c>
    </row>
    <row r="456" spans="2:10" x14ac:dyDescent="0.25">
      <c r="B456" t="s">
        <v>536</v>
      </c>
      <c r="C456">
        <v>4592</v>
      </c>
      <c r="D456">
        <v>72.599999999999994</v>
      </c>
      <c r="E456">
        <v>73.5</v>
      </c>
      <c r="F456">
        <v>72.5</v>
      </c>
      <c r="G456">
        <v>73.2</v>
      </c>
      <c r="H456">
        <v>72.5</v>
      </c>
      <c r="I456" t="s">
        <v>33</v>
      </c>
      <c r="J456" t="s">
        <v>33</v>
      </c>
    </row>
    <row r="457" spans="2:10" x14ac:dyDescent="0.25">
      <c r="B457" t="s">
        <v>537</v>
      </c>
      <c r="C457">
        <v>4593</v>
      </c>
      <c r="D457">
        <v>63.9</v>
      </c>
      <c r="E457">
        <v>60.5</v>
      </c>
      <c r="F457">
        <v>61.9</v>
      </c>
      <c r="G457">
        <v>61.6</v>
      </c>
      <c r="H457">
        <v>62.9</v>
      </c>
      <c r="I457" t="s">
        <v>33</v>
      </c>
      <c r="J457" t="s">
        <v>33</v>
      </c>
    </row>
    <row r="458" spans="2:10" x14ac:dyDescent="0.25">
      <c r="B458" t="s">
        <v>538</v>
      </c>
      <c r="C458">
        <v>4594</v>
      </c>
      <c r="D458">
        <v>204.4</v>
      </c>
      <c r="E458">
        <v>208.8</v>
      </c>
      <c r="F458">
        <v>208.4</v>
      </c>
      <c r="G458">
        <v>207.1</v>
      </c>
      <c r="H458">
        <v>206</v>
      </c>
      <c r="I458" t="s">
        <v>33</v>
      </c>
      <c r="J458" t="s">
        <v>33</v>
      </c>
    </row>
    <row r="459" spans="2:10" x14ac:dyDescent="0.25">
      <c r="B459" t="s">
        <v>539</v>
      </c>
      <c r="C459">
        <v>45941</v>
      </c>
      <c r="D459">
        <v>66.099999999999994</v>
      </c>
      <c r="E459">
        <v>66.7</v>
      </c>
      <c r="F459">
        <v>66.2</v>
      </c>
      <c r="G459">
        <v>66</v>
      </c>
      <c r="H459">
        <v>65.900000000000006</v>
      </c>
      <c r="I459" t="s">
        <v>33</v>
      </c>
      <c r="J459" t="s">
        <v>33</v>
      </c>
    </row>
    <row r="460" spans="2:10" x14ac:dyDescent="0.25">
      <c r="B460" t="s">
        <v>540</v>
      </c>
      <c r="C460">
        <v>45942</v>
      </c>
      <c r="D460">
        <v>138.19999999999999</v>
      </c>
      <c r="E460">
        <v>142.6</v>
      </c>
      <c r="F460">
        <v>141.1</v>
      </c>
      <c r="G460">
        <v>140.30000000000001</v>
      </c>
      <c r="H460">
        <v>140.1</v>
      </c>
      <c r="I460" t="s">
        <v>33</v>
      </c>
      <c r="J460" t="s">
        <v>33</v>
      </c>
    </row>
    <row r="461" spans="2:10" x14ac:dyDescent="0.25">
      <c r="B461" t="s">
        <v>541</v>
      </c>
      <c r="C461">
        <v>4595</v>
      </c>
      <c r="D461">
        <v>209.3</v>
      </c>
      <c r="E461">
        <v>213</v>
      </c>
      <c r="F461">
        <v>212.1</v>
      </c>
      <c r="G461">
        <v>213</v>
      </c>
      <c r="H461">
        <v>213.1</v>
      </c>
      <c r="I461" t="s">
        <v>33</v>
      </c>
      <c r="J461" t="s">
        <v>33</v>
      </c>
    </row>
    <row r="462" spans="2:10" x14ac:dyDescent="0.25">
      <c r="B462" t="s">
        <v>542</v>
      </c>
      <c r="C462">
        <v>4599</v>
      </c>
      <c r="D462">
        <v>485.2</v>
      </c>
      <c r="E462">
        <v>496.5</v>
      </c>
      <c r="F462">
        <v>499.4</v>
      </c>
      <c r="G462">
        <v>500.4</v>
      </c>
      <c r="H462">
        <v>500.4</v>
      </c>
      <c r="I462" t="s">
        <v>33</v>
      </c>
      <c r="J462" t="s">
        <v>33</v>
      </c>
    </row>
    <row r="463" spans="2:10" x14ac:dyDescent="0.25">
      <c r="B463" t="s">
        <v>543</v>
      </c>
      <c r="C463">
        <v>45991</v>
      </c>
      <c r="D463">
        <v>135.6</v>
      </c>
      <c r="E463">
        <v>139.5</v>
      </c>
      <c r="F463">
        <v>139.4</v>
      </c>
      <c r="G463">
        <v>140.19999999999999</v>
      </c>
      <c r="H463">
        <v>137.80000000000001</v>
      </c>
      <c r="I463" t="s">
        <v>33</v>
      </c>
      <c r="J463" t="s">
        <v>33</v>
      </c>
    </row>
    <row r="464" spans="2:10" x14ac:dyDescent="0.25">
      <c r="B464" t="s">
        <v>544</v>
      </c>
      <c r="C464">
        <v>45992</v>
      </c>
      <c r="D464">
        <v>17.5</v>
      </c>
      <c r="E464">
        <v>17.8</v>
      </c>
      <c r="F464">
        <v>17.5</v>
      </c>
      <c r="G464">
        <v>15.9</v>
      </c>
      <c r="H464">
        <v>16.2</v>
      </c>
      <c r="I464" t="s">
        <v>33</v>
      </c>
      <c r="J464" t="s">
        <v>33</v>
      </c>
    </row>
    <row r="465" spans="2:10" x14ac:dyDescent="0.25">
      <c r="B465" t="s">
        <v>545</v>
      </c>
      <c r="C465" t="s">
        <v>546</v>
      </c>
      <c r="D465">
        <v>332.1</v>
      </c>
      <c r="E465">
        <v>338.9</v>
      </c>
      <c r="F465">
        <v>342.9</v>
      </c>
      <c r="G465">
        <v>344.2</v>
      </c>
      <c r="H465">
        <v>347.3</v>
      </c>
      <c r="I465" t="s">
        <v>33</v>
      </c>
      <c r="J465" t="s">
        <v>33</v>
      </c>
    </row>
    <row r="466" spans="2:10" x14ac:dyDescent="0.25">
      <c r="B466" t="s">
        <v>547</v>
      </c>
      <c r="C466">
        <v>459991</v>
      </c>
      <c r="D466">
        <v>131.4</v>
      </c>
      <c r="E466">
        <v>130.6</v>
      </c>
      <c r="F466">
        <v>132.1</v>
      </c>
      <c r="G466">
        <v>132.19999999999999</v>
      </c>
      <c r="H466">
        <v>133</v>
      </c>
      <c r="I466" t="s">
        <v>33</v>
      </c>
      <c r="J466" t="s">
        <v>33</v>
      </c>
    </row>
    <row r="468" spans="2:10" x14ac:dyDescent="0.25">
      <c r="B468" t="s">
        <v>548</v>
      </c>
      <c r="D468">
        <v>6538.9</v>
      </c>
      <c r="E468">
        <v>6609.3</v>
      </c>
      <c r="F468">
        <v>6620</v>
      </c>
      <c r="G468">
        <v>6627.8</v>
      </c>
      <c r="H468">
        <v>6623.8</v>
      </c>
      <c r="I468">
        <v>6627.2</v>
      </c>
      <c r="J468">
        <v>3.4</v>
      </c>
    </row>
    <row r="469" spans="2:10" x14ac:dyDescent="0.25">
      <c r="B469" t="s">
        <v>549</v>
      </c>
      <c r="C469">
        <v>481</v>
      </c>
      <c r="D469">
        <v>566</v>
      </c>
      <c r="E469">
        <v>575.20000000000005</v>
      </c>
      <c r="F469">
        <v>576.9</v>
      </c>
      <c r="G469">
        <v>575.6</v>
      </c>
      <c r="H469">
        <v>574.4</v>
      </c>
      <c r="I469">
        <v>574.79999999999995</v>
      </c>
      <c r="J469">
        <v>0.4</v>
      </c>
    </row>
    <row r="470" spans="2:10" x14ac:dyDescent="0.25">
      <c r="B470" t="s">
        <v>550</v>
      </c>
      <c r="C470">
        <v>4811</v>
      </c>
      <c r="D470">
        <v>507</v>
      </c>
      <c r="E470">
        <v>511.7</v>
      </c>
      <c r="F470">
        <v>512.70000000000005</v>
      </c>
      <c r="G470">
        <v>512.5</v>
      </c>
      <c r="H470">
        <v>511.8</v>
      </c>
      <c r="I470" t="s">
        <v>33</v>
      </c>
      <c r="J470" t="s">
        <v>33</v>
      </c>
    </row>
    <row r="471" spans="2:10" x14ac:dyDescent="0.25">
      <c r="B471" t="s">
        <v>551</v>
      </c>
      <c r="C471">
        <v>4812</v>
      </c>
      <c r="D471">
        <v>59</v>
      </c>
      <c r="E471">
        <v>63.2</v>
      </c>
      <c r="F471">
        <v>63.6</v>
      </c>
      <c r="G471">
        <v>63.4</v>
      </c>
      <c r="H471">
        <v>62.9</v>
      </c>
      <c r="I471" t="s">
        <v>33</v>
      </c>
      <c r="J471" t="s">
        <v>33</v>
      </c>
    </row>
    <row r="472" spans="2:10" x14ac:dyDescent="0.25">
      <c r="B472" t="s">
        <v>552</v>
      </c>
      <c r="C472">
        <v>482</v>
      </c>
      <c r="D472">
        <v>152.80000000000001</v>
      </c>
      <c r="E472">
        <v>150.9</v>
      </c>
      <c r="F472">
        <v>150.5</v>
      </c>
      <c r="G472">
        <v>149.80000000000001</v>
      </c>
      <c r="H472">
        <v>150</v>
      </c>
      <c r="I472">
        <v>150</v>
      </c>
      <c r="J472">
        <v>0</v>
      </c>
    </row>
    <row r="473" spans="2:10" x14ac:dyDescent="0.25">
      <c r="B473" t="s">
        <v>553</v>
      </c>
      <c r="C473">
        <v>483</v>
      </c>
      <c r="D473">
        <v>71</v>
      </c>
      <c r="E473">
        <v>75.3</v>
      </c>
      <c r="F473">
        <v>74.5</v>
      </c>
      <c r="G473">
        <v>74.2</v>
      </c>
      <c r="H473">
        <v>74</v>
      </c>
      <c r="I473">
        <v>73.599999999999994</v>
      </c>
      <c r="J473">
        <v>-0.4</v>
      </c>
    </row>
    <row r="474" spans="2:10" x14ac:dyDescent="0.25">
      <c r="B474" t="s">
        <v>554</v>
      </c>
      <c r="C474">
        <v>484</v>
      </c>
      <c r="D474">
        <v>1550.1</v>
      </c>
      <c r="E474">
        <v>1545</v>
      </c>
      <c r="F474">
        <v>1546.4</v>
      </c>
      <c r="G474">
        <v>1546.6</v>
      </c>
      <c r="H474">
        <v>1545.8</v>
      </c>
      <c r="I474">
        <v>1548.7</v>
      </c>
      <c r="J474">
        <v>2.9</v>
      </c>
    </row>
    <row r="475" spans="2:10" x14ac:dyDescent="0.25">
      <c r="B475" t="s">
        <v>555</v>
      </c>
      <c r="C475">
        <v>4841</v>
      </c>
      <c r="D475">
        <v>1089.4000000000001</v>
      </c>
      <c r="E475">
        <v>1081</v>
      </c>
      <c r="F475">
        <v>1079.3</v>
      </c>
      <c r="G475">
        <v>1080.3</v>
      </c>
      <c r="H475">
        <v>1078.8</v>
      </c>
      <c r="I475" t="s">
        <v>33</v>
      </c>
      <c r="J475" t="s">
        <v>33</v>
      </c>
    </row>
    <row r="476" spans="2:10" x14ac:dyDescent="0.25">
      <c r="B476" t="s">
        <v>556</v>
      </c>
      <c r="C476">
        <v>48411</v>
      </c>
      <c r="D476">
        <v>302.7</v>
      </c>
      <c r="E476">
        <v>300.60000000000002</v>
      </c>
      <c r="F476">
        <v>300.60000000000002</v>
      </c>
      <c r="G476">
        <v>301.10000000000002</v>
      </c>
      <c r="H476">
        <v>301</v>
      </c>
      <c r="I476" t="s">
        <v>33</v>
      </c>
      <c r="J476" t="s">
        <v>33</v>
      </c>
    </row>
    <row r="477" spans="2:10" x14ac:dyDescent="0.25">
      <c r="B477" t="s">
        <v>557</v>
      </c>
      <c r="C477">
        <v>48412</v>
      </c>
      <c r="D477">
        <v>788.9</v>
      </c>
      <c r="E477">
        <v>781</v>
      </c>
      <c r="F477">
        <v>779.7</v>
      </c>
      <c r="G477">
        <v>780.8</v>
      </c>
      <c r="H477">
        <v>779</v>
      </c>
      <c r="I477" t="s">
        <v>33</v>
      </c>
      <c r="J477" t="s">
        <v>33</v>
      </c>
    </row>
    <row r="478" spans="2:10" x14ac:dyDescent="0.25">
      <c r="B478" t="s">
        <v>558</v>
      </c>
      <c r="C478">
        <v>484121</v>
      </c>
      <c r="D478">
        <v>545.5</v>
      </c>
      <c r="E478">
        <v>542.5</v>
      </c>
      <c r="F478">
        <v>542.1</v>
      </c>
      <c r="G478">
        <v>543.29999999999995</v>
      </c>
      <c r="H478">
        <v>541.5</v>
      </c>
      <c r="I478" t="s">
        <v>33</v>
      </c>
      <c r="J478" t="s">
        <v>33</v>
      </c>
    </row>
    <row r="479" spans="2:10" x14ac:dyDescent="0.25">
      <c r="B479" t="s">
        <v>559</v>
      </c>
      <c r="C479">
        <v>484122</v>
      </c>
      <c r="D479">
        <v>241.4</v>
      </c>
      <c r="E479">
        <v>239.9</v>
      </c>
      <c r="F479">
        <v>238.8</v>
      </c>
      <c r="G479">
        <v>237.7</v>
      </c>
      <c r="H479">
        <v>237.3</v>
      </c>
      <c r="I479" t="s">
        <v>33</v>
      </c>
      <c r="J479" t="s">
        <v>33</v>
      </c>
    </row>
    <row r="480" spans="2:10" x14ac:dyDescent="0.25">
      <c r="B480" t="s">
        <v>560</v>
      </c>
      <c r="C480">
        <v>4842</v>
      </c>
      <c r="D480">
        <v>462.8</v>
      </c>
      <c r="E480">
        <v>463.1</v>
      </c>
      <c r="F480">
        <v>466.1</v>
      </c>
      <c r="G480">
        <v>465.6</v>
      </c>
      <c r="H480">
        <v>468.1</v>
      </c>
      <c r="I480" t="s">
        <v>33</v>
      </c>
      <c r="J480" t="s">
        <v>33</v>
      </c>
    </row>
    <row r="481" spans="2:10" x14ac:dyDescent="0.25">
      <c r="B481" t="s">
        <v>561</v>
      </c>
      <c r="C481">
        <v>48421</v>
      </c>
      <c r="D481">
        <v>99.1</v>
      </c>
      <c r="E481">
        <v>98.7</v>
      </c>
      <c r="F481">
        <v>98.2</v>
      </c>
      <c r="G481">
        <v>98.4</v>
      </c>
      <c r="H481">
        <v>99.9</v>
      </c>
      <c r="I481" t="s">
        <v>33</v>
      </c>
      <c r="J481" t="s">
        <v>33</v>
      </c>
    </row>
    <row r="482" spans="2:10" x14ac:dyDescent="0.25">
      <c r="B482" t="s">
        <v>562</v>
      </c>
      <c r="C482">
        <v>48422</v>
      </c>
      <c r="D482">
        <v>233.9</v>
      </c>
      <c r="E482">
        <v>232.3</v>
      </c>
      <c r="F482">
        <v>233.4</v>
      </c>
      <c r="G482">
        <v>233.1</v>
      </c>
      <c r="H482">
        <v>233.8</v>
      </c>
      <c r="I482" t="s">
        <v>33</v>
      </c>
      <c r="J482" t="s">
        <v>33</v>
      </c>
    </row>
    <row r="483" spans="2:10" x14ac:dyDescent="0.25">
      <c r="B483" t="s">
        <v>563</v>
      </c>
      <c r="C483">
        <v>48423</v>
      </c>
      <c r="D483">
        <v>130.9</v>
      </c>
      <c r="E483">
        <v>132.30000000000001</v>
      </c>
      <c r="F483">
        <v>134.4</v>
      </c>
      <c r="G483">
        <v>134.6</v>
      </c>
      <c r="H483">
        <v>134.69999999999999</v>
      </c>
      <c r="I483" t="s">
        <v>33</v>
      </c>
      <c r="J483" t="s">
        <v>33</v>
      </c>
    </row>
    <row r="484" spans="2:10" x14ac:dyDescent="0.25">
      <c r="B484" t="s">
        <v>564</v>
      </c>
      <c r="C484">
        <v>485</v>
      </c>
      <c r="D484">
        <v>430.3</v>
      </c>
      <c r="E484">
        <v>435.4</v>
      </c>
      <c r="F484">
        <v>440</v>
      </c>
      <c r="G484">
        <v>450.9</v>
      </c>
      <c r="H484">
        <v>452.9</v>
      </c>
      <c r="I484">
        <v>454.7</v>
      </c>
      <c r="J484">
        <v>1.8</v>
      </c>
    </row>
    <row r="485" spans="2:10" x14ac:dyDescent="0.25">
      <c r="B485" t="s">
        <v>565</v>
      </c>
      <c r="C485">
        <v>4853</v>
      </c>
      <c r="D485">
        <v>58.4</v>
      </c>
      <c r="E485">
        <v>58.6</v>
      </c>
      <c r="F485">
        <v>58.1</v>
      </c>
      <c r="G485">
        <v>57.7</v>
      </c>
      <c r="H485">
        <v>58.1</v>
      </c>
      <c r="I485" t="s">
        <v>33</v>
      </c>
      <c r="J485" t="s">
        <v>33</v>
      </c>
    </row>
    <row r="486" spans="2:10" x14ac:dyDescent="0.25">
      <c r="B486" t="s">
        <v>566</v>
      </c>
      <c r="C486">
        <v>4854</v>
      </c>
      <c r="D486">
        <v>186.6</v>
      </c>
      <c r="E486">
        <v>191.3</v>
      </c>
      <c r="F486">
        <v>197.1</v>
      </c>
      <c r="G486">
        <v>205.1</v>
      </c>
      <c r="H486">
        <v>209.1</v>
      </c>
      <c r="I486" t="s">
        <v>33</v>
      </c>
      <c r="J486" t="s">
        <v>33</v>
      </c>
    </row>
    <row r="487" spans="2:10" x14ac:dyDescent="0.25">
      <c r="B487" t="s">
        <v>567</v>
      </c>
      <c r="C487" t="s">
        <v>568</v>
      </c>
      <c r="D487">
        <v>82</v>
      </c>
      <c r="E487">
        <v>81.8</v>
      </c>
      <c r="F487">
        <v>81.400000000000006</v>
      </c>
      <c r="G487">
        <v>81</v>
      </c>
      <c r="H487">
        <v>80.3</v>
      </c>
      <c r="I487" t="s">
        <v>33</v>
      </c>
      <c r="J487" t="s">
        <v>33</v>
      </c>
    </row>
    <row r="488" spans="2:10" x14ac:dyDescent="0.25">
      <c r="B488" t="s">
        <v>569</v>
      </c>
      <c r="C488">
        <v>4859</v>
      </c>
      <c r="D488">
        <v>103.8</v>
      </c>
      <c r="E488">
        <v>104.3</v>
      </c>
      <c r="F488">
        <v>105</v>
      </c>
      <c r="G488">
        <v>105.9</v>
      </c>
      <c r="H488">
        <v>106.9</v>
      </c>
      <c r="I488" t="s">
        <v>33</v>
      </c>
      <c r="J488" t="s">
        <v>33</v>
      </c>
    </row>
    <row r="489" spans="2:10" x14ac:dyDescent="0.25">
      <c r="B489" t="s">
        <v>570</v>
      </c>
      <c r="C489">
        <v>486</v>
      </c>
      <c r="D489">
        <v>52.1</v>
      </c>
      <c r="E489">
        <v>54.9</v>
      </c>
      <c r="F489">
        <v>54.3</v>
      </c>
      <c r="G489">
        <v>54.5</v>
      </c>
      <c r="H489">
        <v>54.4</v>
      </c>
      <c r="I489">
        <v>54.6</v>
      </c>
      <c r="J489">
        <v>0.2</v>
      </c>
    </row>
    <row r="490" spans="2:10" x14ac:dyDescent="0.25">
      <c r="B490" t="s">
        <v>571</v>
      </c>
      <c r="C490">
        <v>487</v>
      </c>
      <c r="D490">
        <v>31</v>
      </c>
      <c r="E490">
        <v>35.5</v>
      </c>
      <c r="F490">
        <v>35.4</v>
      </c>
      <c r="G490">
        <v>33.6</v>
      </c>
      <c r="H490">
        <v>33.6</v>
      </c>
      <c r="I490">
        <v>32.700000000000003</v>
      </c>
      <c r="J490">
        <v>-0.9</v>
      </c>
    </row>
    <row r="491" spans="2:10" x14ac:dyDescent="0.25">
      <c r="B491" t="s">
        <v>572</v>
      </c>
      <c r="C491">
        <v>488</v>
      </c>
      <c r="D491">
        <v>826.9</v>
      </c>
      <c r="E491">
        <v>854.4</v>
      </c>
      <c r="F491">
        <v>855.9</v>
      </c>
      <c r="G491">
        <v>856.5</v>
      </c>
      <c r="H491">
        <v>859.3</v>
      </c>
      <c r="I491">
        <v>862.3</v>
      </c>
      <c r="J491">
        <v>3</v>
      </c>
    </row>
    <row r="492" spans="2:10" x14ac:dyDescent="0.25">
      <c r="B492" t="s">
        <v>573</v>
      </c>
      <c r="C492">
        <v>4881</v>
      </c>
      <c r="D492">
        <v>258.2</v>
      </c>
      <c r="E492">
        <v>278.39999999999998</v>
      </c>
      <c r="F492">
        <v>278.2</v>
      </c>
      <c r="G492">
        <v>278.5</v>
      </c>
      <c r="H492">
        <v>279.39999999999998</v>
      </c>
      <c r="I492" t="s">
        <v>33</v>
      </c>
      <c r="J492" t="s">
        <v>33</v>
      </c>
    </row>
    <row r="493" spans="2:10" x14ac:dyDescent="0.25">
      <c r="B493" t="s">
        <v>574</v>
      </c>
      <c r="C493">
        <v>4883</v>
      </c>
      <c r="D493">
        <v>95.1</v>
      </c>
      <c r="E493">
        <v>97.4</v>
      </c>
      <c r="F493">
        <v>98</v>
      </c>
      <c r="G493">
        <v>98.4</v>
      </c>
      <c r="H493">
        <v>99.7</v>
      </c>
      <c r="I493" t="s">
        <v>33</v>
      </c>
      <c r="J493" t="s">
        <v>33</v>
      </c>
    </row>
    <row r="494" spans="2:10" x14ac:dyDescent="0.25">
      <c r="B494" t="s">
        <v>575</v>
      </c>
      <c r="C494">
        <v>48832</v>
      </c>
      <c r="D494">
        <v>62.7</v>
      </c>
      <c r="E494">
        <v>63.8</v>
      </c>
      <c r="F494">
        <v>64.400000000000006</v>
      </c>
      <c r="G494">
        <v>64.5</v>
      </c>
      <c r="H494">
        <v>65.2</v>
      </c>
      <c r="I494" t="s">
        <v>33</v>
      </c>
      <c r="J494" t="s">
        <v>33</v>
      </c>
    </row>
    <row r="495" spans="2:10" x14ac:dyDescent="0.25">
      <c r="B495" t="s">
        <v>576</v>
      </c>
      <c r="C495">
        <v>4884</v>
      </c>
      <c r="D495">
        <v>118.1</v>
      </c>
      <c r="E495">
        <v>118.5</v>
      </c>
      <c r="F495">
        <v>117.9</v>
      </c>
      <c r="G495">
        <v>118.9</v>
      </c>
      <c r="H495">
        <v>119.1</v>
      </c>
      <c r="I495" t="s">
        <v>33</v>
      </c>
      <c r="J495" t="s">
        <v>33</v>
      </c>
    </row>
    <row r="496" spans="2:10" x14ac:dyDescent="0.25">
      <c r="B496" t="s">
        <v>577</v>
      </c>
      <c r="C496">
        <v>4885</v>
      </c>
      <c r="D496">
        <v>267.60000000000002</v>
      </c>
      <c r="E496">
        <v>271.60000000000002</v>
      </c>
      <c r="F496">
        <v>270.39999999999998</v>
      </c>
      <c r="G496">
        <v>269.8</v>
      </c>
      <c r="H496">
        <v>269.10000000000002</v>
      </c>
      <c r="I496" t="s">
        <v>33</v>
      </c>
      <c r="J496" t="s">
        <v>33</v>
      </c>
    </row>
    <row r="497" spans="1:10" x14ac:dyDescent="0.25">
      <c r="B497" t="s">
        <v>578</v>
      </c>
      <c r="C497" t="s">
        <v>579</v>
      </c>
      <c r="D497">
        <v>86.2</v>
      </c>
      <c r="E497">
        <v>88.9</v>
      </c>
      <c r="F497">
        <v>91.6</v>
      </c>
      <c r="G497">
        <v>90.1</v>
      </c>
      <c r="H497">
        <v>90.3</v>
      </c>
      <c r="I497" t="s">
        <v>33</v>
      </c>
      <c r="J497" t="s">
        <v>33</v>
      </c>
    </row>
    <row r="498" spans="1:10" x14ac:dyDescent="0.25">
      <c r="B498" t="s">
        <v>580</v>
      </c>
      <c r="C498">
        <v>492</v>
      </c>
      <c r="D498">
        <v>1086.4000000000001</v>
      </c>
      <c r="E498">
        <v>1099.9000000000001</v>
      </c>
      <c r="F498">
        <v>1104.2</v>
      </c>
      <c r="G498">
        <v>1108.0999999999999</v>
      </c>
      <c r="H498">
        <v>1105.8</v>
      </c>
      <c r="I498">
        <v>1103.5999999999999</v>
      </c>
      <c r="J498">
        <v>-2.2000000000000002</v>
      </c>
    </row>
    <row r="499" spans="1:10" x14ac:dyDescent="0.25">
      <c r="B499" t="s">
        <v>581</v>
      </c>
      <c r="C499">
        <v>4921</v>
      </c>
      <c r="D499">
        <v>896.1</v>
      </c>
      <c r="E499">
        <v>905.8</v>
      </c>
      <c r="F499">
        <v>910.1</v>
      </c>
      <c r="G499">
        <v>914</v>
      </c>
      <c r="H499">
        <v>913.3</v>
      </c>
      <c r="I499" t="s">
        <v>33</v>
      </c>
      <c r="J499" t="s">
        <v>33</v>
      </c>
    </row>
    <row r="500" spans="1:10" x14ac:dyDescent="0.25">
      <c r="B500" t="s">
        <v>582</v>
      </c>
      <c r="C500">
        <v>49111221</v>
      </c>
      <c r="D500">
        <v>195</v>
      </c>
      <c r="E500">
        <v>195</v>
      </c>
      <c r="F500">
        <v>197.2</v>
      </c>
      <c r="G500">
        <v>199.5</v>
      </c>
      <c r="H500">
        <v>198</v>
      </c>
      <c r="I500" t="s">
        <v>33</v>
      </c>
      <c r="J500" t="s">
        <v>33</v>
      </c>
    </row>
    <row r="501" spans="1:10" x14ac:dyDescent="0.25">
      <c r="B501" t="s">
        <v>583</v>
      </c>
      <c r="C501">
        <v>493</v>
      </c>
      <c r="D501">
        <v>1772.3</v>
      </c>
      <c r="E501">
        <v>1782.8</v>
      </c>
      <c r="F501">
        <v>1781.9</v>
      </c>
      <c r="G501">
        <v>1778</v>
      </c>
      <c r="H501">
        <v>1773.6</v>
      </c>
      <c r="I501">
        <v>1772.2</v>
      </c>
      <c r="J501">
        <v>-1.4</v>
      </c>
    </row>
    <row r="502" spans="1:10" x14ac:dyDescent="0.25">
      <c r="B502" t="s">
        <v>584</v>
      </c>
      <c r="C502">
        <v>49311</v>
      </c>
      <c r="D502">
        <v>1634.8</v>
      </c>
      <c r="E502">
        <v>1648.2</v>
      </c>
      <c r="F502">
        <v>1645.9</v>
      </c>
      <c r="G502">
        <v>1644</v>
      </c>
      <c r="H502">
        <v>1639.2</v>
      </c>
      <c r="I502" t="s">
        <v>33</v>
      </c>
      <c r="J502" t="s">
        <v>33</v>
      </c>
    </row>
    <row r="503" spans="1:10" x14ac:dyDescent="0.25">
      <c r="B503" t="s">
        <v>585</v>
      </c>
      <c r="C503">
        <v>49312</v>
      </c>
      <c r="D503">
        <v>74.3</v>
      </c>
      <c r="E503">
        <v>72.5</v>
      </c>
      <c r="F503">
        <v>72.599999999999994</v>
      </c>
      <c r="G503">
        <v>71.7</v>
      </c>
      <c r="H503">
        <v>71.599999999999994</v>
      </c>
      <c r="I503" t="s">
        <v>33</v>
      </c>
      <c r="J503" t="s">
        <v>33</v>
      </c>
    </row>
    <row r="504" spans="1:10" x14ac:dyDescent="0.25">
      <c r="B504" t="s">
        <v>586</v>
      </c>
      <c r="C504" t="s">
        <v>587</v>
      </c>
      <c r="D504">
        <v>62</v>
      </c>
      <c r="E504">
        <v>62</v>
      </c>
      <c r="F504">
        <v>61.8</v>
      </c>
      <c r="G504">
        <v>61.8</v>
      </c>
      <c r="H504">
        <v>62</v>
      </c>
      <c r="I504" t="s">
        <v>33</v>
      </c>
      <c r="J504" t="s">
        <v>33</v>
      </c>
    </row>
    <row r="506" spans="1:10" x14ac:dyDescent="0.25">
      <c r="B506" t="s">
        <v>588</v>
      </c>
      <c r="C506">
        <v>22</v>
      </c>
      <c r="D506">
        <v>581.4</v>
      </c>
      <c r="E506">
        <v>590.5</v>
      </c>
      <c r="F506">
        <v>590.4</v>
      </c>
      <c r="G506">
        <v>593</v>
      </c>
      <c r="H506">
        <v>592</v>
      </c>
      <c r="I506">
        <v>591.9</v>
      </c>
      <c r="J506">
        <v>-0.1</v>
      </c>
    </row>
    <row r="507" spans="1:10" x14ac:dyDescent="0.25">
      <c r="A507" t="s">
        <v>589</v>
      </c>
      <c r="B507" t="s">
        <v>590</v>
      </c>
      <c r="C507">
        <v>2211</v>
      </c>
      <c r="D507">
        <v>406.5</v>
      </c>
      <c r="E507">
        <v>413.3</v>
      </c>
      <c r="F507">
        <v>413.2</v>
      </c>
      <c r="G507">
        <v>414.1</v>
      </c>
      <c r="H507">
        <v>415.2</v>
      </c>
      <c r="I507" t="s">
        <v>33</v>
      </c>
      <c r="J507" t="s">
        <v>33</v>
      </c>
    </row>
    <row r="508" spans="1:10" x14ac:dyDescent="0.25">
      <c r="B508" t="s">
        <v>591</v>
      </c>
      <c r="C508">
        <v>22111</v>
      </c>
      <c r="D508">
        <v>154</v>
      </c>
      <c r="E508">
        <v>158.9</v>
      </c>
      <c r="F508">
        <v>158.4</v>
      </c>
      <c r="G508">
        <v>159.1</v>
      </c>
      <c r="H508">
        <v>159.30000000000001</v>
      </c>
      <c r="I508" t="s">
        <v>33</v>
      </c>
      <c r="J508" t="s">
        <v>33</v>
      </c>
    </row>
    <row r="509" spans="1:10" x14ac:dyDescent="0.25">
      <c r="B509" t="s">
        <v>592</v>
      </c>
      <c r="C509">
        <v>221112</v>
      </c>
      <c r="D509">
        <v>77.7</v>
      </c>
      <c r="E509">
        <v>79</v>
      </c>
      <c r="F509">
        <v>78.400000000000006</v>
      </c>
      <c r="G509">
        <v>78.400000000000006</v>
      </c>
      <c r="H509">
        <v>78.400000000000006</v>
      </c>
      <c r="I509" t="s">
        <v>33</v>
      </c>
      <c r="J509" t="s">
        <v>33</v>
      </c>
    </row>
    <row r="510" spans="1:10" x14ac:dyDescent="0.25">
      <c r="B510" t="s">
        <v>593</v>
      </c>
      <c r="C510" t="s">
        <v>594</v>
      </c>
      <c r="D510">
        <v>76.400000000000006</v>
      </c>
      <c r="E510">
        <v>79.900000000000006</v>
      </c>
      <c r="F510">
        <v>80.099999999999994</v>
      </c>
      <c r="G510">
        <v>80.7</v>
      </c>
      <c r="H510">
        <v>81.099999999999994</v>
      </c>
      <c r="I510" t="s">
        <v>33</v>
      </c>
      <c r="J510" t="s">
        <v>33</v>
      </c>
    </row>
    <row r="511" spans="1:10" x14ac:dyDescent="0.25">
      <c r="B511" t="s">
        <v>595</v>
      </c>
      <c r="C511">
        <v>22112</v>
      </c>
      <c r="D511">
        <v>252.6</v>
      </c>
      <c r="E511">
        <v>254</v>
      </c>
      <c r="F511">
        <v>253.5</v>
      </c>
      <c r="G511">
        <v>254.2</v>
      </c>
      <c r="H511">
        <v>254.1</v>
      </c>
      <c r="I511" t="s">
        <v>33</v>
      </c>
      <c r="J511" t="s">
        <v>33</v>
      </c>
    </row>
    <row r="512" spans="1:10" x14ac:dyDescent="0.25">
      <c r="B512" t="s">
        <v>596</v>
      </c>
      <c r="C512">
        <v>221121</v>
      </c>
      <c r="D512">
        <v>27.2</v>
      </c>
      <c r="E512">
        <v>27.6</v>
      </c>
      <c r="F512">
        <v>27.6</v>
      </c>
      <c r="G512">
        <v>27.7</v>
      </c>
      <c r="H512">
        <v>27.7</v>
      </c>
      <c r="I512" t="s">
        <v>33</v>
      </c>
      <c r="J512" t="s">
        <v>33</v>
      </c>
    </row>
    <row r="513" spans="1:10" x14ac:dyDescent="0.25">
      <c r="B513" t="s">
        <v>597</v>
      </c>
      <c r="C513">
        <v>221122</v>
      </c>
      <c r="D513">
        <v>225.5</v>
      </c>
      <c r="E513">
        <v>226.4</v>
      </c>
      <c r="F513">
        <v>225.8</v>
      </c>
      <c r="G513">
        <v>226.5</v>
      </c>
      <c r="H513">
        <v>226.5</v>
      </c>
      <c r="I513" t="s">
        <v>33</v>
      </c>
      <c r="J513" t="s">
        <v>33</v>
      </c>
    </row>
    <row r="514" spans="1:10" x14ac:dyDescent="0.25">
      <c r="A514" t="s">
        <v>598</v>
      </c>
      <c r="B514" t="s">
        <v>599</v>
      </c>
      <c r="C514">
        <v>2212</v>
      </c>
      <c r="D514">
        <v>114.6</v>
      </c>
      <c r="E514">
        <v>114.4</v>
      </c>
      <c r="F514">
        <v>114.7</v>
      </c>
      <c r="G514">
        <v>115.1</v>
      </c>
      <c r="H514">
        <v>115.3</v>
      </c>
      <c r="I514" t="s">
        <v>33</v>
      </c>
      <c r="J514" t="s">
        <v>33</v>
      </c>
    </row>
    <row r="515" spans="1:10" x14ac:dyDescent="0.25">
      <c r="A515" t="s">
        <v>600</v>
      </c>
      <c r="B515" t="s">
        <v>601</v>
      </c>
      <c r="C515">
        <v>2213</v>
      </c>
      <c r="D515">
        <v>59.9</v>
      </c>
      <c r="E515">
        <v>63.1</v>
      </c>
      <c r="F515">
        <v>63.6</v>
      </c>
      <c r="G515">
        <v>64.2</v>
      </c>
      <c r="H515">
        <v>63.1</v>
      </c>
      <c r="I515" t="s">
        <v>33</v>
      </c>
      <c r="J515" t="s">
        <v>33</v>
      </c>
    </row>
    <row r="517" spans="1:10" x14ac:dyDescent="0.25">
      <c r="B517" t="s">
        <v>602</v>
      </c>
      <c r="C517">
        <v>51</v>
      </c>
      <c r="D517">
        <v>2999</v>
      </c>
      <c r="E517">
        <v>2999</v>
      </c>
      <c r="F517">
        <v>2991</v>
      </c>
      <c r="G517">
        <v>2992</v>
      </c>
      <c r="H517">
        <v>2986</v>
      </c>
      <c r="I517">
        <v>2986</v>
      </c>
      <c r="J517">
        <v>0</v>
      </c>
    </row>
    <row r="518" spans="1:10" x14ac:dyDescent="0.25">
      <c r="A518" t="s">
        <v>603</v>
      </c>
      <c r="B518" t="s">
        <v>604</v>
      </c>
      <c r="C518">
        <v>512</v>
      </c>
      <c r="D518">
        <v>420.4</v>
      </c>
      <c r="E518">
        <v>447.3</v>
      </c>
      <c r="F518">
        <v>447.5</v>
      </c>
      <c r="G518">
        <v>445</v>
      </c>
      <c r="H518">
        <v>443</v>
      </c>
      <c r="I518">
        <v>444.9</v>
      </c>
      <c r="J518">
        <v>1.9</v>
      </c>
    </row>
    <row r="519" spans="1:10" x14ac:dyDescent="0.25">
      <c r="B519" t="s">
        <v>605</v>
      </c>
      <c r="C519">
        <v>51211</v>
      </c>
      <c r="D519">
        <v>245.8</v>
      </c>
      <c r="E519">
        <v>276.10000000000002</v>
      </c>
      <c r="F519">
        <v>270.89999999999998</v>
      </c>
      <c r="G519">
        <v>267.8</v>
      </c>
      <c r="H519">
        <v>266.5</v>
      </c>
      <c r="I519" t="s">
        <v>33</v>
      </c>
      <c r="J519" t="s">
        <v>33</v>
      </c>
    </row>
    <row r="520" spans="1:10" x14ac:dyDescent="0.25">
      <c r="B520" t="s">
        <v>606</v>
      </c>
      <c r="C520">
        <v>51213</v>
      </c>
      <c r="D520">
        <v>122.8</v>
      </c>
      <c r="E520">
        <v>116.8</v>
      </c>
      <c r="F520">
        <v>119.6</v>
      </c>
      <c r="G520">
        <v>119.6</v>
      </c>
      <c r="H520">
        <v>119.3</v>
      </c>
      <c r="I520" t="s">
        <v>33</v>
      </c>
      <c r="J520" t="s">
        <v>33</v>
      </c>
    </row>
    <row r="521" spans="1:10" x14ac:dyDescent="0.25">
      <c r="A521" t="s">
        <v>603</v>
      </c>
      <c r="B521" t="s">
        <v>607</v>
      </c>
      <c r="C521">
        <v>513</v>
      </c>
      <c r="D521">
        <v>933</v>
      </c>
      <c r="E521">
        <v>921.3</v>
      </c>
      <c r="F521">
        <v>918.4</v>
      </c>
      <c r="G521">
        <v>921.2</v>
      </c>
      <c r="H521">
        <v>924.6</v>
      </c>
      <c r="I521">
        <v>921.6</v>
      </c>
      <c r="J521">
        <v>-3</v>
      </c>
    </row>
    <row r="522" spans="1:10" x14ac:dyDescent="0.25">
      <c r="B522" t="s">
        <v>608</v>
      </c>
      <c r="C522">
        <v>5131</v>
      </c>
      <c r="D522">
        <v>284.2</v>
      </c>
      <c r="E522">
        <v>271.2</v>
      </c>
      <c r="F522">
        <v>270.8</v>
      </c>
      <c r="G522">
        <v>269</v>
      </c>
      <c r="H522">
        <v>267.7</v>
      </c>
      <c r="I522" t="s">
        <v>33</v>
      </c>
      <c r="J522" t="s">
        <v>33</v>
      </c>
    </row>
    <row r="523" spans="1:10" x14ac:dyDescent="0.25">
      <c r="B523" t="s">
        <v>609</v>
      </c>
      <c r="C523">
        <v>51311</v>
      </c>
      <c r="D523">
        <v>91.2</v>
      </c>
      <c r="E523">
        <v>86.4</v>
      </c>
      <c r="F523">
        <v>85.5</v>
      </c>
      <c r="G523">
        <v>84.1</v>
      </c>
      <c r="H523">
        <v>83.9</v>
      </c>
      <c r="I523" t="s">
        <v>33</v>
      </c>
      <c r="J523" t="s">
        <v>33</v>
      </c>
    </row>
    <row r="524" spans="1:10" x14ac:dyDescent="0.25">
      <c r="B524" t="s">
        <v>610</v>
      </c>
      <c r="C524">
        <v>51312</v>
      </c>
      <c r="D524">
        <v>69</v>
      </c>
      <c r="E524">
        <v>65.8</v>
      </c>
      <c r="F524">
        <v>65.400000000000006</v>
      </c>
      <c r="G524">
        <v>64.900000000000006</v>
      </c>
      <c r="H524">
        <v>64.599999999999994</v>
      </c>
      <c r="I524" t="s">
        <v>33</v>
      </c>
      <c r="J524" t="s">
        <v>33</v>
      </c>
    </row>
    <row r="525" spans="1:10" x14ac:dyDescent="0.25">
      <c r="B525" t="s">
        <v>611</v>
      </c>
      <c r="C525">
        <v>51313</v>
      </c>
      <c r="D525">
        <v>55.1</v>
      </c>
      <c r="E525">
        <v>56.9</v>
      </c>
      <c r="F525">
        <v>56.7</v>
      </c>
      <c r="G525">
        <v>56.6</v>
      </c>
      <c r="H525">
        <v>56.4</v>
      </c>
      <c r="I525" t="s">
        <v>33</v>
      </c>
      <c r="J525" t="s">
        <v>33</v>
      </c>
    </row>
    <row r="526" spans="1:10" x14ac:dyDescent="0.25">
      <c r="B526" t="s">
        <v>612</v>
      </c>
      <c r="C526" t="s">
        <v>613</v>
      </c>
      <c r="D526">
        <v>68.5</v>
      </c>
      <c r="E526">
        <v>62.9</v>
      </c>
      <c r="F526">
        <v>62.9</v>
      </c>
      <c r="G526">
        <v>62.6</v>
      </c>
      <c r="H526">
        <v>62.2</v>
      </c>
      <c r="I526" t="s">
        <v>33</v>
      </c>
      <c r="J526" t="s">
        <v>33</v>
      </c>
    </row>
    <row r="527" spans="1:10" x14ac:dyDescent="0.25">
      <c r="B527" t="s">
        <v>614</v>
      </c>
      <c r="C527">
        <v>5132</v>
      </c>
      <c r="D527">
        <v>649.79999999999995</v>
      </c>
      <c r="E527">
        <v>653.79999999999995</v>
      </c>
      <c r="F527">
        <v>652.20000000000005</v>
      </c>
      <c r="G527">
        <v>655.6</v>
      </c>
      <c r="H527">
        <v>658.2</v>
      </c>
      <c r="I527" t="s">
        <v>33</v>
      </c>
      <c r="J527" t="s">
        <v>33</v>
      </c>
    </row>
    <row r="528" spans="1:10" x14ac:dyDescent="0.25">
      <c r="A528" t="s">
        <v>603</v>
      </c>
      <c r="B528" t="s">
        <v>615</v>
      </c>
      <c r="C528">
        <v>516</v>
      </c>
      <c r="D528">
        <v>342.3</v>
      </c>
      <c r="E528">
        <v>338.6</v>
      </c>
      <c r="F528">
        <v>336.6</v>
      </c>
      <c r="G528">
        <v>337</v>
      </c>
      <c r="H528">
        <v>335.6</v>
      </c>
      <c r="I528">
        <v>334.1</v>
      </c>
      <c r="J528">
        <v>-1.5</v>
      </c>
    </row>
    <row r="529" spans="1:10" x14ac:dyDescent="0.25">
      <c r="B529" t="s">
        <v>616</v>
      </c>
      <c r="C529">
        <v>5161</v>
      </c>
      <c r="D529">
        <v>119.4</v>
      </c>
      <c r="E529">
        <v>119.9</v>
      </c>
      <c r="F529">
        <v>119</v>
      </c>
      <c r="G529">
        <v>118.8</v>
      </c>
      <c r="H529">
        <v>117.7</v>
      </c>
      <c r="I529" t="s">
        <v>33</v>
      </c>
      <c r="J529" t="s">
        <v>33</v>
      </c>
    </row>
    <row r="530" spans="1:10" x14ac:dyDescent="0.25">
      <c r="B530" t="s">
        <v>617</v>
      </c>
      <c r="C530">
        <v>51611</v>
      </c>
      <c r="D530">
        <v>52.3</v>
      </c>
      <c r="E530">
        <v>52.1</v>
      </c>
      <c r="F530">
        <v>51.4</v>
      </c>
      <c r="G530">
        <v>52.3</v>
      </c>
      <c r="H530">
        <v>51.1</v>
      </c>
      <c r="I530" t="s">
        <v>33</v>
      </c>
      <c r="J530" t="s">
        <v>33</v>
      </c>
    </row>
    <row r="531" spans="1:10" x14ac:dyDescent="0.25">
      <c r="B531" t="s">
        <v>618</v>
      </c>
      <c r="C531">
        <v>51612</v>
      </c>
      <c r="D531">
        <v>67.3</v>
      </c>
      <c r="E531">
        <v>67.8</v>
      </c>
      <c r="F531">
        <v>67.3</v>
      </c>
      <c r="G531">
        <v>67.099999999999994</v>
      </c>
      <c r="H531">
        <v>66.599999999999994</v>
      </c>
      <c r="I531" t="s">
        <v>33</v>
      </c>
      <c r="J531" t="s">
        <v>33</v>
      </c>
    </row>
    <row r="532" spans="1:10" x14ac:dyDescent="0.25">
      <c r="B532" t="s">
        <v>619</v>
      </c>
      <c r="C532">
        <v>5162</v>
      </c>
      <c r="D532">
        <v>222.8</v>
      </c>
      <c r="E532">
        <v>218.7</v>
      </c>
      <c r="F532">
        <v>217.5</v>
      </c>
      <c r="G532">
        <v>218</v>
      </c>
      <c r="H532">
        <v>218</v>
      </c>
      <c r="I532" t="s">
        <v>33</v>
      </c>
      <c r="J532" t="s">
        <v>33</v>
      </c>
    </row>
    <row r="533" spans="1:10" x14ac:dyDescent="0.25">
      <c r="A533" t="s">
        <v>620</v>
      </c>
      <c r="B533" t="s">
        <v>621</v>
      </c>
      <c r="C533">
        <v>517</v>
      </c>
      <c r="D533">
        <v>635</v>
      </c>
      <c r="E533">
        <v>621.9</v>
      </c>
      <c r="F533">
        <v>619.70000000000005</v>
      </c>
      <c r="G533">
        <v>619.6</v>
      </c>
      <c r="H533">
        <v>613.29999999999995</v>
      </c>
      <c r="I533">
        <v>614.5</v>
      </c>
      <c r="J533">
        <v>1.2</v>
      </c>
    </row>
    <row r="534" spans="1:10" x14ac:dyDescent="0.25">
      <c r="B534" t="s">
        <v>622</v>
      </c>
      <c r="C534">
        <v>5171</v>
      </c>
      <c r="D534">
        <v>580</v>
      </c>
      <c r="E534">
        <v>567.1</v>
      </c>
      <c r="F534">
        <v>565</v>
      </c>
      <c r="G534">
        <v>564.6</v>
      </c>
      <c r="H534">
        <v>558.20000000000005</v>
      </c>
      <c r="I534" t="s">
        <v>33</v>
      </c>
      <c r="J534" t="s">
        <v>33</v>
      </c>
    </row>
    <row r="535" spans="1:10" x14ac:dyDescent="0.25">
      <c r="B535" t="s">
        <v>623</v>
      </c>
      <c r="C535">
        <v>51711</v>
      </c>
      <c r="D535">
        <v>541.5</v>
      </c>
      <c r="E535">
        <v>530</v>
      </c>
      <c r="F535">
        <v>527.20000000000005</v>
      </c>
      <c r="G535">
        <v>527.29999999999995</v>
      </c>
      <c r="H535">
        <v>520.4</v>
      </c>
      <c r="I535" t="s">
        <v>33</v>
      </c>
      <c r="J535" t="s">
        <v>33</v>
      </c>
    </row>
    <row r="536" spans="1:10" x14ac:dyDescent="0.25">
      <c r="B536" t="s">
        <v>624</v>
      </c>
      <c r="C536">
        <v>517111</v>
      </c>
      <c r="D536">
        <v>457.9</v>
      </c>
      <c r="E536">
        <v>448</v>
      </c>
      <c r="F536">
        <v>445.1</v>
      </c>
      <c r="G536">
        <v>444.6</v>
      </c>
      <c r="H536">
        <v>438.4</v>
      </c>
      <c r="I536" t="s">
        <v>33</v>
      </c>
      <c r="J536" t="s">
        <v>33</v>
      </c>
    </row>
    <row r="537" spans="1:10" x14ac:dyDescent="0.25">
      <c r="B537" t="s">
        <v>625</v>
      </c>
      <c r="C537">
        <v>517112</v>
      </c>
      <c r="D537">
        <v>83.5</v>
      </c>
      <c r="E537">
        <v>82.1</v>
      </c>
      <c r="F537">
        <v>81.900000000000006</v>
      </c>
      <c r="G537">
        <v>82.2</v>
      </c>
      <c r="H537">
        <v>82.1</v>
      </c>
      <c r="I537" t="s">
        <v>33</v>
      </c>
      <c r="J537" t="s">
        <v>33</v>
      </c>
    </row>
    <row r="538" spans="1:10" x14ac:dyDescent="0.25">
      <c r="B538" t="s">
        <v>626</v>
      </c>
      <c r="C538">
        <v>51712</v>
      </c>
      <c r="D538">
        <v>38.799999999999997</v>
      </c>
      <c r="E538">
        <v>37.299999999999997</v>
      </c>
      <c r="F538">
        <v>37.5</v>
      </c>
      <c r="G538">
        <v>37.299999999999997</v>
      </c>
      <c r="H538">
        <v>37.5</v>
      </c>
      <c r="I538" t="s">
        <v>33</v>
      </c>
      <c r="J538" t="s">
        <v>33</v>
      </c>
    </row>
    <row r="539" spans="1:10" x14ac:dyDescent="0.25">
      <c r="B539" t="s">
        <v>627</v>
      </c>
      <c r="C539" t="s">
        <v>628</v>
      </c>
      <c r="D539">
        <v>54.8</v>
      </c>
      <c r="E539">
        <v>55</v>
      </c>
      <c r="F539">
        <v>55.2</v>
      </c>
      <c r="G539">
        <v>55.2</v>
      </c>
      <c r="H539">
        <v>55.2</v>
      </c>
      <c r="I539" t="s">
        <v>33</v>
      </c>
      <c r="J539" t="s">
        <v>33</v>
      </c>
    </row>
    <row r="540" spans="1:10" x14ac:dyDescent="0.25">
      <c r="A540" t="s">
        <v>629</v>
      </c>
      <c r="B540" t="s">
        <v>630</v>
      </c>
      <c r="C540">
        <v>518</v>
      </c>
      <c r="D540">
        <v>490.7</v>
      </c>
      <c r="E540">
        <v>494.9</v>
      </c>
      <c r="F540">
        <v>493.9</v>
      </c>
      <c r="G540">
        <v>493.1</v>
      </c>
      <c r="H540">
        <v>492.1</v>
      </c>
      <c r="I540">
        <v>493.2</v>
      </c>
      <c r="J540">
        <v>1.1000000000000001</v>
      </c>
    </row>
    <row r="541" spans="1:10" x14ac:dyDescent="0.25">
      <c r="A541" t="s">
        <v>629</v>
      </c>
      <c r="B541" t="s">
        <v>631</v>
      </c>
      <c r="C541">
        <v>519</v>
      </c>
      <c r="D541">
        <v>177.4</v>
      </c>
      <c r="E541">
        <v>174.6</v>
      </c>
      <c r="F541">
        <v>175.2</v>
      </c>
      <c r="G541">
        <v>175.8</v>
      </c>
      <c r="H541">
        <v>177</v>
      </c>
      <c r="I541">
        <v>178</v>
      </c>
      <c r="J541">
        <v>1</v>
      </c>
    </row>
    <row r="542" spans="1:10" x14ac:dyDescent="0.25">
      <c r="B542" t="s">
        <v>632</v>
      </c>
      <c r="C542">
        <v>51921</v>
      </c>
      <c r="D542">
        <v>28.1</v>
      </c>
      <c r="E542">
        <v>27.4</v>
      </c>
      <c r="F542">
        <v>27.6</v>
      </c>
      <c r="G542">
        <v>27.9</v>
      </c>
      <c r="H542">
        <v>28.3</v>
      </c>
      <c r="I542" t="s">
        <v>33</v>
      </c>
      <c r="J542" t="s">
        <v>33</v>
      </c>
    </row>
    <row r="543" spans="1:10" x14ac:dyDescent="0.25">
      <c r="B543" t="s">
        <v>633</v>
      </c>
      <c r="C543">
        <v>51929</v>
      </c>
      <c r="D543">
        <v>150.30000000000001</v>
      </c>
      <c r="E543">
        <v>147.5</v>
      </c>
      <c r="F543">
        <v>147.6</v>
      </c>
      <c r="G543">
        <v>148.19999999999999</v>
      </c>
      <c r="H543">
        <v>149.1</v>
      </c>
      <c r="I543" t="s">
        <v>33</v>
      </c>
      <c r="J543" t="s">
        <v>33</v>
      </c>
    </row>
    <row r="545" spans="1:10" x14ac:dyDescent="0.25">
      <c r="B545" t="s">
        <v>634</v>
      </c>
      <c r="D545">
        <v>9227</v>
      </c>
      <c r="E545">
        <v>9244</v>
      </c>
      <c r="F545">
        <v>9251</v>
      </c>
      <c r="G545">
        <v>9257</v>
      </c>
      <c r="H545">
        <v>9263</v>
      </c>
      <c r="I545">
        <v>9280</v>
      </c>
      <c r="J545">
        <v>17</v>
      </c>
    </row>
    <row r="546" spans="1:10" x14ac:dyDescent="0.25">
      <c r="A546" t="s">
        <v>635</v>
      </c>
      <c r="B546" t="s">
        <v>636</v>
      </c>
      <c r="C546">
        <v>52</v>
      </c>
      <c r="D546">
        <v>6736.6</v>
      </c>
      <c r="E546">
        <v>6747.8</v>
      </c>
      <c r="F546">
        <v>6747.9</v>
      </c>
      <c r="G546">
        <v>6751.6</v>
      </c>
      <c r="H546">
        <v>6751.9</v>
      </c>
      <c r="I546">
        <v>6765.1</v>
      </c>
      <c r="J546">
        <v>13.2</v>
      </c>
    </row>
    <row r="547" spans="1:10" x14ac:dyDescent="0.25">
      <c r="B547" t="s">
        <v>637</v>
      </c>
      <c r="C547">
        <v>521</v>
      </c>
      <c r="D547">
        <v>22.6</v>
      </c>
      <c r="E547">
        <v>22.7</v>
      </c>
      <c r="F547">
        <v>23</v>
      </c>
      <c r="G547">
        <v>23.2</v>
      </c>
      <c r="H547">
        <v>23.2</v>
      </c>
      <c r="I547">
        <v>23.4</v>
      </c>
      <c r="J547">
        <v>0.2</v>
      </c>
    </row>
    <row r="548" spans="1:10" x14ac:dyDescent="0.25">
      <c r="B548" t="s">
        <v>638</v>
      </c>
      <c r="C548">
        <v>522</v>
      </c>
      <c r="D548">
        <v>2607.1999999999998</v>
      </c>
      <c r="E548">
        <v>2578.9</v>
      </c>
      <c r="F548">
        <v>2577.5</v>
      </c>
      <c r="G548">
        <v>2577.5</v>
      </c>
      <c r="H548">
        <v>2575.5</v>
      </c>
      <c r="I548">
        <v>2582.3000000000002</v>
      </c>
      <c r="J548">
        <v>6.8</v>
      </c>
    </row>
    <row r="549" spans="1:10" x14ac:dyDescent="0.25">
      <c r="B549" t="s">
        <v>639</v>
      </c>
      <c r="C549">
        <v>5221</v>
      </c>
      <c r="D549">
        <v>1787.6</v>
      </c>
      <c r="E549">
        <v>1770.7</v>
      </c>
      <c r="F549">
        <v>1770.9</v>
      </c>
      <c r="G549">
        <v>1773.1</v>
      </c>
      <c r="H549">
        <v>1774.1</v>
      </c>
      <c r="I549">
        <v>1773.9</v>
      </c>
      <c r="J549">
        <v>-0.2</v>
      </c>
    </row>
    <row r="550" spans="1:10" x14ac:dyDescent="0.25">
      <c r="B550" t="s">
        <v>640</v>
      </c>
      <c r="C550">
        <v>52211</v>
      </c>
      <c r="D550">
        <v>1380.1</v>
      </c>
      <c r="E550">
        <v>1360.6</v>
      </c>
      <c r="F550">
        <v>1359.5</v>
      </c>
      <c r="G550">
        <v>1360.8</v>
      </c>
      <c r="H550">
        <v>1361.2</v>
      </c>
      <c r="I550">
        <v>1361</v>
      </c>
      <c r="J550">
        <v>-0.2</v>
      </c>
    </row>
    <row r="551" spans="1:10" x14ac:dyDescent="0.25">
      <c r="B551" t="s">
        <v>641</v>
      </c>
      <c r="C551">
        <v>52213</v>
      </c>
      <c r="D551">
        <v>309.7</v>
      </c>
      <c r="E551">
        <v>312.5</v>
      </c>
      <c r="F551">
        <v>313.3</v>
      </c>
      <c r="G551">
        <v>314.39999999999998</v>
      </c>
      <c r="H551">
        <v>315.3</v>
      </c>
      <c r="I551" t="s">
        <v>33</v>
      </c>
      <c r="J551" t="s">
        <v>33</v>
      </c>
    </row>
    <row r="552" spans="1:10" x14ac:dyDescent="0.25">
      <c r="B552" t="s">
        <v>642</v>
      </c>
      <c r="C552">
        <v>52218</v>
      </c>
      <c r="D552">
        <v>98.6</v>
      </c>
      <c r="E552">
        <v>98</v>
      </c>
      <c r="F552">
        <v>98.1</v>
      </c>
      <c r="G552">
        <v>97.6</v>
      </c>
      <c r="H552">
        <v>97.5</v>
      </c>
      <c r="I552" t="s">
        <v>33</v>
      </c>
      <c r="J552" t="s">
        <v>33</v>
      </c>
    </row>
    <row r="553" spans="1:10" x14ac:dyDescent="0.25">
      <c r="B553" t="s">
        <v>643</v>
      </c>
      <c r="C553">
        <v>5222</v>
      </c>
      <c r="D553">
        <v>531.9</v>
      </c>
      <c r="E553">
        <v>527.4</v>
      </c>
      <c r="F553">
        <v>525.6</v>
      </c>
      <c r="G553">
        <v>525.79999999999995</v>
      </c>
      <c r="H553">
        <v>524.70000000000005</v>
      </c>
      <c r="I553">
        <v>529.6</v>
      </c>
      <c r="J553">
        <v>4.9000000000000004</v>
      </c>
    </row>
    <row r="554" spans="1:10" x14ac:dyDescent="0.25">
      <c r="B554" t="s">
        <v>644</v>
      </c>
      <c r="C554">
        <v>52221</v>
      </c>
      <c r="D554">
        <v>69.3</v>
      </c>
      <c r="E554">
        <v>70.900000000000006</v>
      </c>
      <c r="F554">
        <v>70.2</v>
      </c>
      <c r="G554">
        <v>70</v>
      </c>
      <c r="H554">
        <v>67.900000000000006</v>
      </c>
      <c r="I554" t="s">
        <v>33</v>
      </c>
      <c r="J554" t="s">
        <v>33</v>
      </c>
    </row>
    <row r="555" spans="1:10" x14ac:dyDescent="0.25">
      <c r="B555" t="s">
        <v>645</v>
      </c>
      <c r="C555">
        <v>52222</v>
      </c>
      <c r="D555">
        <v>87.4</v>
      </c>
      <c r="E555">
        <v>86.6</v>
      </c>
      <c r="F555">
        <v>86.2</v>
      </c>
      <c r="G555">
        <v>85.7</v>
      </c>
      <c r="H555">
        <v>85.6</v>
      </c>
      <c r="I555" t="s">
        <v>33</v>
      </c>
      <c r="J555" t="s">
        <v>33</v>
      </c>
    </row>
    <row r="556" spans="1:10" x14ac:dyDescent="0.25">
      <c r="B556" t="s">
        <v>646</v>
      </c>
      <c r="C556">
        <v>52229</v>
      </c>
      <c r="D556">
        <v>373.5</v>
      </c>
      <c r="E556">
        <v>370.4</v>
      </c>
      <c r="F556">
        <v>369</v>
      </c>
      <c r="G556">
        <v>369.7</v>
      </c>
      <c r="H556">
        <v>370.3</v>
      </c>
      <c r="I556" t="s">
        <v>33</v>
      </c>
      <c r="J556" t="s">
        <v>33</v>
      </c>
    </row>
    <row r="557" spans="1:10" x14ac:dyDescent="0.25">
      <c r="B557" t="s">
        <v>647</v>
      </c>
      <c r="C557">
        <v>522291</v>
      </c>
      <c r="D557">
        <v>91.3</v>
      </c>
      <c r="E557">
        <v>94.3</v>
      </c>
      <c r="F557">
        <v>92.9</v>
      </c>
      <c r="G557">
        <v>91.7</v>
      </c>
      <c r="H557">
        <v>91.1</v>
      </c>
      <c r="I557" t="s">
        <v>33</v>
      </c>
      <c r="J557" t="s">
        <v>33</v>
      </c>
    </row>
    <row r="558" spans="1:10" x14ac:dyDescent="0.25">
      <c r="B558" t="s">
        <v>648</v>
      </c>
      <c r="C558">
        <v>522292</v>
      </c>
      <c r="D558">
        <v>189.5</v>
      </c>
      <c r="E558">
        <v>183.9</v>
      </c>
      <c r="F558">
        <v>183.4</v>
      </c>
      <c r="G558">
        <v>185.7</v>
      </c>
      <c r="H558">
        <v>186.7</v>
      </c>
      <c r="I558" t="s">
        <v>33</v>
      </c>
      <c r="J558" t="s">
        <v>33</v>
      </c>
    </row>
    <row r="559" spans="1:10" x14ac:dyDescent="0.25">
      <c r="B559" t="s">
        <v>649</v>
      </c>
      <c r="C559">
        <v>522299</v>
      </c>
      <c r="D559">
        <v>92.4</v>
      </c>
      <c r="E559">
        <v>92.6</v>
      </c>
      <c r="F559">
        <v>92.3</v>
      </c>
      <c r="G559">
        <v>92.1</v>
      </c>
      <c r="H559">
        <v>92</v>
      </c>
      <c r="I559" t="s">
        <v>33</v>
      </c>
      <c r="J559" t="s">
        <v>33</v>
      </c>
    </row>
    <row r="560" spans="1:10" x14ac:dyDescent="0.25">
      <c r="B560" t="s">
        <v>650</v>
      </c>
      <c r="C560">
        <v>5223</v>
      </c>
      <c r="D560">
        <v>287.7</v>
      </c>
      <c r="E560">
        <v>280.89999999999998</v>
      </c>
      <c r="F560">
        <v>281.10000000000002</v>
      </c>
      <c r="G560">
        <v>278.60000000000002</v>
      </c>
      <c r="H560">
        <v>276.8</v>
      </c>
      <c r="I560">
        <v>278.8</v>
      </c>
      <c r="J560">
        <v>2</v>
      </c>
    </row>
    <row r="561" spans="2:10" x14ac:dyDescent="0.25">
      <c r="B561" t="s">
        <v>651</v>
      </c>
      <c r="C561">
        <v>52231</v>
      </c>
      <c r="D561">
        <v>87.2</v>
      </c>
      <c r="E561">
        <v>86.9</v>
      </c>
      <c r="F561">
        <v>87.8</v>
      </c>
      <c r="G561">
        <v>86.6</v>
      </c>
      <c r="H561">
        <v>86.7</v>
      </c>
      <c r="I561" t="s">
        <v>33</v>
      </c>
      <c r="J561" t="s">
        <v>33</v>
      </c>
    </row>
    <row r="562" spans="2:10" x14ac:dyDescent="0.25">
      <c r="B562" t="s">
        <v>652</v>
      </c>
      <c r="C562">
        <v>52232</v>
      </c>
      <c r="D562">
        <v>132.80000000000001</v>
      </c>
      <c r="E562">
        <v>130.9</v>
      </c>
      <c r="F562">
        <v>131</v>
      </c>
      <c r="G562">
        <v>130.5</v>
      </c>
      <c r="H562">
        <v>128.69999999999999</v>
      </c>
      <c r="I562" t="s">
        <v>33</v>
      </c>
      <c r="J562" t="s">
        <v>33</v>
      </c>
    </row>
    <row r="563" spans="2:10" x14ac:dyDescent="0.25">
      <c r="B563" t="s">
        <v>653</v>
      </c>
      <c r="C563">
        <v>52239</v>
      </c>
      <c r="D563">
        <v>67.5</v>
      </c>
      <c r="E563">
        <v>62.9</v>
      </c>
      <c r="F563">
        <v>62.1</v>
      </c>
      <c r="G563">
        <v>61.2</v>
      </c>
      <c r="H563">
        <v>61.2</v>
      </c>
      <c r="I563" t="s">
        <v>33</v>
      </c>
      <c r="J563" t="s">
        <v>33</v>
      </c>
    </row>
    <row r="564" spans="2:10" x14ac:dyDescent="0.25">
      <c r="B564" t="s">
        <v>654</v>
      </c>
      <c r="C564" t="s">
        <v>655</v>
      </c>
      <c r="D564">
        <v>1113.4000000000001</v>
      </c>
      <c r="E564">
        <v>1120.2</v>
      </c>
      <c r="F564">
        <v>1119.8</v>
      </c>
      <c r="G564">
        <v>1123.2</v>
      </c>
      <c r="H564">
        <v>1123.9000000000001</v>
      </c>
      <c r="I564">
        <v>1125</v>
      </c>
      <c r="J564">
        <v>1.1000000000000001</v>
      </c>
    </row>
    <row r="565" spans="2:10" x14ac:dyDescent="0.25">
      <c r="B565" t="s">
        <v>656</v>
      </c>
      <c r="C565" t="s">
        <v>657</v>
      </c>
      <c r="D565">
        <v>485.3</v>
      </c>
      <c r="E565">
        <v>477.8</v>
      </c>
      <c r="F565">
        <v>476.3</v>
      </c>
      <c r="G565">
        <v>477.5</v>
      </c>
      <c r="H565">
        <v>477.7</v>
      </c>
      <c r="I565" t="s">
        <v>33</v>
      </c>
      <c r="J565" t="s">
        <v>33</v>
      </c>
    </row>
    <row r="566" spans="2:10" x14ac:dyDescent="0.25">
      <c r="B566" t="s">
        <v>658</v>
      </c>
      <c r="C566">
        <v>52315</v>
      </c>
      <c r="D566">
        <v>452.4</v>
      </c>
      <c r="E566">
        <v>446.4</v>
      </c>
      <c r="F566">
        <v>445.4</v>
      </c>
      <c r="G566">
        <v>446.6</v>
      </c>
      <c r="H566">
        <v>446</v>
      </c>
      <c r="I566" t="s">
        <v>33</v>
      </c>
      <c r="J566" t="s">
        <v>33</v>
      </c>
    </row>
    <row r="567" spans="2:10" x14ac:dyDescent="0.25">
      <c r="B567" t="s">
        <v>659</v>
      </c>
      <c r="C567" t="s">
        <v>660</v>
      </c>
      <c r="D567">
        <v>628.29999999999995</v>
      </c>
      <c r="E567">
        <v>642</v>
      </c>
      <c r="F567">
        <v>643.79999999999995</v>
      </c>
      <c r="G567">
        <v>645.79999999999995</v>
      </c>
      <c r="H567">
        <v>646.6</v>
      </c>
      <c r="I567" t="s">
        <v>33</v>
      </c>
      <c r="J567" t="s">
        <v>33</v>
      </c>
    </row>
    <row r="568" spans="2:10" x14ac:dyDescent="0.25">
      <c r="B568" t="s">
        <v>661</v>
      </c>
      <c r="C568">
        <v>52391</v>
      </c>
      <c r="D568">
        <v>35.4</v>
      </c>
      <c r="E568">
        <v>36.1</v>
      </c>
      <c r="F568">
        <v>35.700000000000003</v>
      </c>
      <c r="G568">
        <v>36.5</v>
      </c>
      <c r="H568">
        <v>36.299999999999997</v>
      </c>
      <c r="I568" t="s">
        <v>33</v>
      </c>
      <c r="J568" t="s">
        <v>33</v>
      </c>
    </row>
    <row r="569" spans="2:10" x14ac:dyDescent="0.25">
      <c r="B569" t="s">
        <v>662</v>
      </c>
      <c r="C569">
        <v>52394</v>
      </c>
      <c r="D569">
        <v>503.2</v>
      </c>
      <c r="E569">
        <v>513.20000000000005</v>
      </c>
      <c r="F569">
        <v>514.29999999999995</v>
      </c>
      <c r="G569">
        <v>516.20000000000005</v>
      </c>
      <c r="H569">
        <v>516.29999999999995</v>
      </c>
      <c r="I569" t="s">
        <v>33</v>
      </c>
      <c r="J569" t="s">
        <v>33</v>
      </c>
    </row>
    <row r="570" spans="2:10" x14ac:dyDescent="0.25">
      <c r="B570" t="s">
        <v>663</v>
      </c>
      <c r="C570">
        <v>52399500</v>
      </c>
      <c r="D570">
        <v>89.4</v>
      </c>
      <c r="E570">
        <v>92.8</v>
      </c>
      <c r="F570">
        <v>93.5</v>
      </c>
      <c r="G570">
        <v>93</v>
      </c>
      <c r="H570">
        <v>93.9</v>
      </c>
      <c r="I570" t="s">
        <v>33</v>
      </c>
      <c r="J570" t="s">
        <v>33</v>
      </c>
    </row>
    <row r="571" spans="2:10" x14ac:dyDescent="0.25">
      <c r="B571" t="s">
        <v>664</v>
      </c>
      <c r="C571">
        <v>524</v>
      </c>
      <c r="D571">
        <v>2993.4</v>
      </c>
      <c r="E571">
        <v>3026</v>
      </c>
      <c r="F571">
        <v>3027.6</v>
      </c>
      <c r="G571">
        <v>3027.7</v>
      </c>
      <c r="H571">
        <v>3029.3</v>
      </c>
      <c r="I571">
        <v>3034.4</v>
      </c>
      <c r="J571">
        <v>5.0999999999999996</v>
      </c>
    </row>
    <row r="572" spans="2:10" x14ac:dyDescent="0.25">
      <c r="B572" t="s">
        <v>665</v>
      </c>
      <c r="C572">
        <v>5241</v>
      </c>
      <c r="D572">
        <v>1623.8</v>
      </c>
      <c r="E572">
        <v>1633.5</v>
      </c>
      <c r="F572">
        <v>1631</v>
      </c>
      <c r="G572">
        <v>1631.8</v>
      </c>
      <c r="H572">
        <v>1629.9</v>
      </c>
      <c r="I572" t="s">
        <v>33</v>
      </c>
      <c r="J572" t="s">
        <v>33</v>
      </c>
    </row>
    <row r="573" spans="2:10" x14ac:dyDescent="0.25">
      <c r="B573" t="s">
        <v>666</v>
      </c>
      <c r="C573">
        <v>52411</v>
      </c>
      <c r="D573">
        <v>913.6</v>
      </c>
      <c r="E573">
        <v>921</v>
      </c>
      <c r="F573">
        <v>917.6</v>
      </c>
      <c r="G573">
        <v>917.7</v>
      </c>
      <c r="H573">
        <v>916.7</v>
      </c>
      <c r="I573" t="s">
        <v>33</v>
      </c>
      <c r="J573" t="s">
        <v>33</v>
      </c>
    </row>
    <row r="574" spans="2:10" x14ac:dyDescent="0.25">
      <c r="B574" t="s">
        <v>667</v>
      </c>
      <c r="C574">
        <v>52412</v>
      </c>
      <c r="D574">
        <v>679.7</v>
      </c>
      <c r="E574">
        <v>681.5</v>
      </c>
      <c r="F574">
        <v>681.9</v>
      </c>
      <c r="G574">
        <v>682.4</v>
      </c>
      <c r="H574">
        <v>682.6</v>
      </c>
      <c r="I574" t="s">
        <v>33</v>
      </c>
      <c r="J574" t="s">
        <v>33</v>
      </c>
    </row>
    <row r="575" spans="2:10" x14ac:dyDescent="0.25">
      <c r="B575" t="s">
        <v>668</v>
      </c>
      <c r="C575">
        <v>524126</v>
      </c>
      <c r="D575">
        <v>591.1</v>
      </c>
      <c r="E575">
        <v>592.6</v>
      </c>
      <c r="F575">
        <v>592.6</v>
      </c>
      <c r="G575">
        <v>592.6</v>
      </c>
      <c r="H575">
        <v>592.5</v>
      </c>
      <c r="I575" t="s">
        <v>33</v>
      </c>
      <c r="J575" t="s">
        <v>33</v>
      </c>
    </row>
    <row r="576" spans="2:10" x14ac:dyDescent="0.25">
      <c r="B576" t="s">
        <v>669</v>
      </c>
      <c r="C576" t="s">
        <v>670</v>
      </c>
      <c r="D576">
        <v>88.3</v>
      </c>
      <c r="E576">
        <v>89.2</v>
      </c>
      <c r="F576">
        <v>90</v>
      </c>
      <c r="G576">
        <v>89.9</v>
      </c>
      <c r="H576">
        <v>90</v>
      </c>
      <c r="I576" t="s">
        <v>33</v>
      </c>
      <c r="J576" t="s">
        <v>33</v>
      </c>
    </row>
    <row r="577" spans="1:10" x14ac:dyDescent="0.25">
      <c r="B577" t="s">
        <v>671</v>
      </c>
      <c r="C577">
        <v>52413</v>
      </c>
      <c r="D577">
        <v>31.2</v>
      </c>
      <c r="E577">
        <v>31.6</v>
      </c>
      <c r="F577">
        <v>31.7</v>
      </c>
      <c r="G577">
        <v>31.7</v>
      </c>
      <c r="H577">
        <v>31.7</v>
      </c>
      <c r="I577" t="s">
        <v>33</v>
      </c>
      <c r="J577" t="s">
        <v>33</v>
      </c>
    </row>
    <row r="578" spans="1:10" x14ac:dyDescent="0.25">
      <c r="B578" t="s">
        <v>672</v>
      </c>
      <c r="C578">
        <v>5242</v>
      </c>
      <c r="D578">
        <v>1369.2</v>
      </c>
      <c r="E578">
        <v>1391.8</v>
      </c>
      <c r="F578">
        <v>1395.1</v>
      </c>
      <c r="G578">
        <v>1396.3</v>
      </c>
      <c r="H578">
        <v>1398.9</v>
      </c>
      <c r="I578" t="s">
        <v>33</v>
      </c>
      <c r="J578" t="s">
        <v>33</v>
      </c>
    </row>
    <row r="579" spans="1:10" x14ac:dyDescent="0.25">
      <c r="B579" t="s">
        <v>673</v>
      </c>
      <c r="C579">
        <v>52421</v>
      </c>
      <c r="D579">
        <v>975</v>
      </c>
      <c r="E579">
        <v>997.6</v>
      </c>
      <c r="F579">
        <v>1000.2</v>
      </c>
      <c r="G579">
        <v>1000.6</v>
      </c>
      <c r="H579">
        <v>1003</v>
      </c>
      <c r="I579" t="s">
        <v>33</v>
      </c>
      <c r="J579" t="s">
        <v>33</v>
      </c>
    </row>
    <row r="580" spans="1:10" x14ac:dyDescent="0.25">
      <c r="B580" t="s">
        <v>674</v>
      </c>
      <c r="C580">
        <v>52429</v>
      </c>
      <c r="D580">
        <v>395.3</v>
      </c>
      <c r="E580">
        <v>394</v>
      </c>
      <c r="F580">
        <v>396.3</v>
      </c>
      <c r="G580">
        <v>395.3</v>
      </c>
      <c r="H580">
        <v>396.5</v>
      </c>
      <c r="I580" t="s">
        <v>33</v>
      </c>
      <c r="J580" t="s">
        <v>33</v>
      </c>
    </row>
    <row r="581" spans="1:10" x14ac:dyDescent="0.25">
      <c r="B581" t="s">
        <v>675</v>
      </c>
      <c r="C581">
        <v>524291</v>
      </c>
      <c r="D581">
        <v>66.5</v>
      </c>
      <c r="E581">
        <v>66.5</v>
      </c>
      <c r="F581">
        <v>66</v>
      </c>
      <c r="G581">
        <v>64.099999999999994</v>
      </c>
      <c r="H581">
        <v>66.400000000000006</v>
      </c>
      <c r="I581" t="s">
        <v>33</v>
      </c>
      <c r="J581" t="s">
        <v>33</v>
      </c>
    </row>
    <row r="582" spans="1:10" x14ac:dyDescent="0.25">
      <c r="B582" t="s">
        <v>676</v>
      </c>
      <c r="C582">
        <v>524292</v>
      </c>
      <c r="D582">
        <v>222</v>
      </c>
      <c r="E582">
        <v>223.1</v>
      </c>
      <c r="F582">
        <v>224.7</v>
      </c>
      <c r="G582">
        <v>224.8</v>
      </c>
      <c r="H582">
        <v>224.8</v>
      </c>
      <c r="I582" t="s">
        <v>33</v>
      </c>
      <c r="J582" t="s">
        <v>33</v>
      </c>
    </row>
    <row r="583" spans="1:10" x14ac:dyDescent="0.25">
      <c r="B583" t="s">
        <v>677</v>
      </c>
      <c r="C583">
        <v>524298</v>
      </c>
      <c r="D583">
        <v>106.3</v>
      </c>
      <c r="E583">
        <v>105.4</v>
      </c>
      <c r="F583">
        <v>105.8</v>
      </c>
      <c r="G583">
        <v>105.6</v>
      </c>
      <c r="H583">
        <v>105.2</v>
      </c>
      <c r="I583" t="s">
        <v>33</v>
      </c>
      <c r="J583" t="s">
        <v>33</v>
      </c>
    </row>
    <row r="584" spans="1:10" x14ac:dyDescent="0.25">
      <c r="A584" t="s">
        <v>678</v>
      </c>
      <c r="B584" t="s">
        <v>679</v>
      </c>
      <c r="C584">
        <v>53</v>
      </c>
      <c r="D584">
        <v>2490.6999999999998</v>
      </c>
      <c r="E584">
        <v>2496.1</v>
      </c>
      <c r="F584">
        <v>2502.6999999999998</v>
      </c>
      <c r="G584">
        <v>2505.8000000000002</v>
      </c>
      <c r="H584">
        <v>2511.5</v>
      </c>
      <c r="I584">
        <v>2515.1999999999998</v>
      </c>
      <c r="J584">
        <v>3.7</v>
      </c>
    </row>
    <row r="585" spans="1:10" x14ac:dyDescent="0.25">
      <c r="B585" t="s">
        <v>680</v>
      </c>
      <c r="C585">
        <v>531</v>
      </c>
      <c r="D585">
        <v>1868.9</v>
      </c>
      <c r="E585">
        <v>1889</v>
      </c>
      <c r="F585">
        <v>1890.2</v>
      </c>
      <c r="G585">
        <v>1891.8</v>
      </c>
      <c r="H585">
        <v>1892.8</v>
      </c>
      <c r="I585">
        <v>1894</v>
      </c>
      <c r="J585">
        <v>1.2</v>
      </c>
    </row>
    <row r="586" spans="1:10" x14ac:dyDescent="0.25">
      <c r="B586" t="s">
        <v>681</v>
      </c>
      <c r="C586">
        <v>5311</v>
      </c>
      <c r="D586">
        <v>629.79999999999995</v>
      </c>
      <c r="E586">
        <v>639.29999999999995</v>
      </c>
      <c r="F586">
        <v>639.5</v>
      </c>
      <c r="G586">
        <v>638.5</v>
      </c>
      <c r="H586">
        <v>638.70000000000005</v>
      </c>
      <c r="I586" t="s">
        <v>33</v>
      </c>
      <c r="J586" t="s">
        <v>33</v>
      </c>
    </row>
    <row r="587" spans="1:10" x14ac:dyDescent="0.25">
      <c r="B587" t="s">
        <v>682</v>
      </c>
      <c r="C587">
        <v>53111</v>
      </c>
      <c r="D587">
        <v>371.3</v>
      </c>
      <c r="E587">
        <v>376.9</v>
      </c>
      <c r="F587">
        <v>377.3</v>
      </c>
      <c r="G587">
        <v>377.3</v>
      </c>
      <c r="H587">
        <v>378.2</v>
      </c>
      <c r="I587" t="s">
        <v>33</v>
      </c>
      <c r="J587" t="s">
        <v>33</v>
      </c>
    </row>
    <row r="588" spans="1:10" x14ac:dyDescent="0.25">
      <c r="B588" t="s">
        <v>683</v>
      </c>
      <c r="C588">
        <v>53112</v>
      </c>
      <c r="D588">
        <v>155.9</v>
      </c>
      <c r="E588">
        <v>158.30000000000001</v>
      </c>
      <c r="F588">
        <v>157.9</v>
      </c>
      <c r="G588">
        <v>157.69999999999999</v>
      </c>
      <c r="H588">
        <v>158</v>
      </c>
      <c r="I588" t="s">
        <v>33</v>
      </c>
      <c r="J588" t="s">
        <v>33</v>
      </c>
    </row>
    <row r="589" spans="1:10" x14ac:dyDescent="0.25">
      <c r="B589" t="s">
        <v>684</v>
      </c>
      <c r="C589">
        <v>53113</v>
      </c>
      <c r="D589">
        <v>60.2</v>
      </c>
      <c r="E589">
        <v>61</v>
      </c>
      <c r="F589">
        <v>61.4</v>
      </c>
      <c r="G589">
        <v>61.2</v>
      </c>
      <c r="H589">
        <v>61.2</v>
      </c>
      <c r="I589" t="s">
        <v>33</v>
      </c>
      <c r="J589" t="s">
        <v>33</v>
      </c>
    </row>
    <row r="590" spans="1:10" x14ac:dyDescent="0.25">
      <c r="B590" t="s">
        <v>685</v>
      </c>
      <c r="C590">
        <v>53119</v>
      </c>
      <c r="D590">
        <v>43.1</v>
      </c>
      <c r="E590">
        <v>43.5</v>
      </c>
      <c r="F590">
        <v>42.9</v>
      </c>
      <c r="G590">
        <v>42</v>
      </c>
      <c r="H590">
        <v>41.4</v>
      </c>
      <c r="I590" t="s">
        <v>33</v>
      </c>
      <c r="J590" t="s">
        <v>33</v>
      </c>
    </row>
    <row r="591" spans="1:10" x14ac:dyDescent="0.25">
      <c r="B591" t="s">
        <v>686</v>
      </c>
      <c r="C591">
        <v>5312</v>
      </c>
      <c r="D591">
        <v>408.7</v>
      </c>
      <c r="E591">
        <v>398.3</v>
      </c>
      <c r="F591">
        <v>397.8</v>
      </c>
      <c r="G591">
        <v>398.4</v>
      </c>
      <c r="H591">
        <v>399.8</v>
      </c>
      <c r="I591" t="s">
        <v>33</v>
      </c>
      <c r="J591" t="s">
        <v>33</v>
      </c>
    </row>
    <row r="592" spans="1:10" x14ac:dyDescent="0.25">
      <c r="B592" t="s">
        <v>687</v>
      </c>
      <c r="C592">
        <v>5313</v>
      </c>
      <c r="D592">
        <v>831.9</v>
      </c>
      <c r="E592">
        <v>850.5</v>
      </c>
      <c r="F592">
        <v>851.8</v>
      </c>
      <c r="G592">
        <v>853.7</v>
      </c>
      <c r="H592">
        <v>855</v>
      </c>
      <c r="I592" t="s">
        <v>33</v>
      </c>
      <c r="J592" t="s">
        <v>33</v>
      </c>
    </row>
    <row r="593" spans="2:10" x14ac:dyDescent="0.25">
      <c r="B593" t="s">
        <v>688</v>
      </c>
      <c r="C593">
        <v>53131</v>
      </c>
      <c r="D593">
        <v>708.6</v>
      </c>
      <c r="E593">
        <v>728.7</v>
      </c>
      <c r="F593">
        <v>729.8</v>
      </c>
      <c r="G593">
        <v>731.1</v>
      </c>
      <c r="H593">
        <v>732.5</v>
      </c>
      <c r="I593" t="s">
        <v>33</v>
      </c>
      <c r="J593" t="s">
        <v>33</v>
      </c>
    </row>
    <row r="594" spans="2:10" x14ac:dyDescent="0.25">
      <c r="B594" t="s">
        <v>689</v>
      </c>
      <c r="C594">
        <v>531311</v>
      </c>
      <c r="D594">
        <v>536.79999999999995</v>
      </c>
      <c r="E594">
        <v>556.5</v>
      </c>
      <c r="F594">
        <v>556.70000000000005</v>
      </c>
      <c r="G594">
        <v>557.79999999999995</v>
      </c>
      <c r="H594">
        <v>558.5</v>
      </c>
      <c r="I594" t="s">
        <v>33</v>
      </c>
      <c r="J594" t="s">
        <v>33</v>
      </c>
    </row>
    <row r="595" spans="2:10" x14ac:dyDescent="0.25">
      <c r="B595" t="s">
        <v>690</v>
      </c>
      <c r="C595">
        <v>531312</v>
      </c>
      <c r="D595">
        <v>172.1</v>
      </c>
      <c r="E595">
        <v>172</v>
      </c>
      <c r="F595">
        <v>173</v>
      </c>
      <c r="G595">
        <v>173.2</v>
      </c>
      <c r="H595">
        <v>174</v>
      </c>
      <c r="I595" t="s">
        <v>33</v>
      </c>
      <c r="J595" t="s">
        <v>33</v>
      </c>
    </row>
    <row r="596" spans="2:10" x14ac:dyDescent="0.25">
      <c r="B596" t="s">
        <v>691</v>
      </c>
      <c r="C596">
        <v>53132</v>
      </c>
      <c r="D596">
        <v>30.2</v>
      </c>
      <c r="E596">
        <v>28.9</v>
      </c>
      <c r="F596">
        <v>29.1</v>
      </c>
      <c r="G596">
        <v>28.9</v>
      </c>
      <c r="H596">
        <v>29.1</v>
      </c>
      <c r="I596" t="s">
        <v>33</v>
      </c>
      <c r="J596" t="s">
        <v>33</v>
      </c>
    </row>
    <row r="597" spans="2:10" x14ac:dyDescent="0.25">
      <c r="B597" t="s">
        <v>692</v>
      </c>
      <c r="C597">
        <v>53139</v>
      </c>
      <c r="D597">
        <v>93</v>
      </c>
      <c r="E597">
        <v>92.8</v>
      </c>
      <c r="F597">
        <v>92.9</v>
      </c>
      <c r="G597">
        <v>94.1</v>
      </c>
      <c r="H597">
        <v>93.5</v>
      </c>
      <c r="I597" t="s">
        <v>33</v>
      </c>
      <c r="J597" t="s">
        <v>33</v>
      </c>
    </row>
    <row r="598" spans="2:10" x14ac:dyDescent="0.25">
      <c r="B598" t="s">
        <v>693</v>
      </c>
      <c r="C598">
        <v>532</v>
      </c>
      <c r="D598">
        <v>598.6</v>
      </c>
      <c r="E598">
        <v>583.5</v>
      </c>
      <c r="F598">
        <v>588.79999999999995</v>
      </c>
      <c r="G598">
        <v>590.1</v>
      </c>
      <c r="H598">
        <v>594.79999999999995</v>
      </c>
      <c r="I598">
        <v>597.29999999999995</v>
      </c>
      <c r="J598">
        <v>2.5</v>
      </c>
    </row>
    <row r="599" spans="2:10" x14ac:dyDescent="0.25">
      <c r="B599" t="s">
        <v>694</v>
      </c>
      <c r="C599">
        <v>5321</v>
      </c>
      <c r="D599">
        <v>236.4</v>
      </c>
      <c r="E599">
        <v>232.3</v>
      </c>
      <c r="F599">
        <v>233.4</v>
      </c>
      <c r="G599">
        <v>233.8</v>
      </c>
      <c r="H599">
        <v>234.8</v>
      </c>
      <c r="I599" t="s">
        <v>33</v>
      </c>
      <c r="J599" t="s">
        <v>33</v>
      </c>
    </row>
    <row r="600" spans="2:10" x14ac:dyDescent="0.25">
      <c r="B600" t="s">
        <v>695</v>
      </c>
      <c r="C600">
        <v>53211</v>
      </c>
      <c r="D600">
        <v>136.1</v>
      </c>
      <c r="E600">
        <v>130.6</v>
      </c>
      <c r="F600">
        <v>132.19999999999999</v>
      </c>
      <c r="G600">
        <v>132.1</v>
      </c>
      <c r="H600">
        <v>134.4</v>
      </c>
      <c r="I600" t="s">
        <v>33</v>
      </c>
      <c r="J600" t="s">
        <v>33</v>
      </c>
    </row>
    <row r="601" spans="2:10" x14ac:dyDescent="0.25">
      <c r="B601" t="s">
        <v>696</v>
      </c>
      <c r="C601">
        <v>53212</v>
      </c>
      <c r="D601">
        <v>99.9</v>
      </c>
      <c r="E601">
        <v>101.1</v>
      </c>
      <c r="F601">
        <v>101.1</v>
      </c>
      <c r="G601">
        <v>101.5</v>
      </c>
      <c r="H601">
        <v>101</v>
      </c>
      <c r="I601" t="s">
        <v>33</v>
      </c>
      <c r="J601" t="s">
        <v>33</v>
      </c>
    </row>
    <row r="602" spans="2:10" x14ac:dyDescent="0.25">
      <c r="B602" t="s">
        <v>697</v>
      </c>
      <c r="C602">
        <v>5322</v>
      </c>
      <c r="D602">
        <v>132.9</v>
      </c>
      <c r="E602">
        <v>123.6</v>
      </c>
      <c r="F602">
        <v>124.9</v>
      </c>
      <c r="G602">
        <v>126.7</v>
      </c>
      <c r="H602">
        <v>127.9</v>
      </c>
      <c r="I602" t="s">
        <v>33</v>
      </c>
      <c r="J602" t="s">
        <v>33</v>
      </c>
    </row>
    <row r="603" spans="2:10" x14ac:dyDescent="0.25">
      <c r="B603" t="s">
        <v>698</v>
      </c>
      <c r="C603">
        <v>532283</v>
      </c>
      <c r="D603">
        <v>33.6</v>
      </c>
      <c r="E603">
        <v>32.700000000000003</v>
      </c>
      <c r="F603">
        <v>33</v>
      </c>
      <c r="G603">
        <v>32.6</v>
      </c>
      <c r="H603">
        <v>32.799999999999997</v>
      </c>
      <c r="I603" t="s">
        <v>33</v>
      </c>
      <c r="J603" t="s">
        <v>33</v>
      </c>
    </row>
    <row r="604" spans="2:10" x14ac:dyDescent="0.25">
      <c r="B604" t="s">
        <v>699</v>
      </c>
      <c r="C604">
        <v>5323</v>
      </c>
      <c r="D604">
        <v>33.700000000000003</v>
      </c>
      <c r="E604">
        <v>31.4</v>
      </c>
      <c r="F604">
        <v>32.4</v>
      </c>
      <c r="G604">
        <v>32.4</v>
      </c>
      <c r="H604">
        <v>32.6</v>
      </c>
      <c r="I604" t="s">
        <v>33</v>
      </c>
      <c r="J604" t="s">
        <v>33</v>
      </c>
    </row>
    <row r="605" spans="2:10" x14ac:dyDescent="0.25">
      <c r="B605" t="s">
        <v>700</v>
      </c>
      <c r="C605">
        <v>5324</v>
      </c>
      <c r="D605">
        <v>195.2</v>
      </c>
      <c r="E605">
        <v>198.6</v>
      </c>
      <c r="F605">
        <v>197.7</v>
      </c>
      <c r="G605">
        <v>198.2</v>
      </c>
      <c r="H605">
        <v>198.5</v>
      </c>
      <c r="I605" t="s">
        <v>33</v>
      </c>
      <c r="J605" t="s">
        <v>33</v>
      </c>
    </row>
    <row r="606" spans="2:10" x14ac:dyDescent="0.25">
      <c r="B606" t="s">
        <v>701</v>
      </c>
      <c r="C606">
        <v>53241</v>
      </c>
      <c r="D606">
        <v>101.4</v>
      </c>
      <c r="E606">
        <v>104.9</v>
      </c>
      <c r="F606">
        <v>105</v>
      </c>
      <c r="G606">
        <v>105.2</v>
      </c>
      <c r="H606">
        <v>106.2</v>
      </c>
      <c r="I606" t="s">
        <v>33</v>
      </c>
      <c r="J606" t="s">
        <v>33</v>
      </c>
    </row>
    <row r="607" spans="2:10" x14ac:dyDescent="0.25">
      <c r="B607" t="s">
        <v>702</v>
      </c>
      <c r="C607" t="s">
        <v>703</v>
      </c>
      <c r="D607">
        <v>94.4</v>
      </c>
      <c r="E607">
        <v>93.8</v>
      </c>
      <c r="F607">
        <v>92.3</v>
      </c>
      <c r="G607">
        <v>92.4</v>
      </c>
      <c r="H607">
        <v>92.4</v>
      </c>
      <c r="I607" t="s">
        <v>33</v>
      </c>
      <c r="J607" t="s">
        <v>33</v>
      </c>
    </row>
    <row r="608" spans="2:10" x14ac:dyDescent="0.25">
      <c r="B608" t="s">
        <v>704</v>
      </c>
      <c r="C608">
        <v>533</v>
      </c>
      <c r="D608">
        <v>23.2</v>
      </c>
      <c r="E608">
        <v>23.6</v>
      </c>
      <c r="F608">
        <v>23.7</v>
      </c>
      <c r="G608">
        <v>23.9</v>
      </c>
      <c r="H608">
        <v>23.9</v>
      </c>
      <c r="I608">
        <v>23.9</v>
      </c>
      <c r="J608">
        <v>0</v>
      </c>
    </row>
    <row r="610" spans="1:10" x14ac:dyDescent="0.25">
      <c r="B610" t="s">
        <v>705</v>
      </c>
      <c r="D610">
        <v>22869</v>
      </c>
      <c r="E610">
        <v>22976</v>
      </c>
      <c r="F610">
        <v>22929</v>
      </c>
      <c r="G610">
        <v>22951</v>
      </c>
      <c r="H610">
        <v>22928</v>
      </c>
      <c r="I610">
        <v>22954</v>
      </c>
      <c r="J610">
        <v>26</v>
      </c>
    </row>
    <row r="611" spans="1:10" x14ac:dyDescent="0.25">
      <c r="B611" t="s">
        <v>706</v>
      </c>
      <c r="C611">
        <v>54</v>
      </c>
      <c r="D611">
        <v>10907.2</v>
      </c>
      <c r="E611">
        <v>11029.6</v>
      </c>
      <c r="F611">
        <v>11022.4</v>
      </c>
      <c r="G611">
        <v>11032.1</v>
      </c>
      <c r="H611">
        <v>11034.8</v>
      </c>
      <c r="I611">
        <v>11050.7</v>
      </c>
      <c r="J611">
        <v>15.9</v>
      </c>
    </row>
    <row r="612" spans="1:10" x14ac:dyDescent="0.25">
      <c r="A612" t="s">
        <v>707</v>
      </c>
      <c r="B612" t="s">
        <v>708</v>
      </c>
      <c r="C612">
        <v>5411</v>
      </c>
      <c r="D612">
        <v>1188.0999999999999</v>
      </c>
      <c r="E612">
        <v>1182.5999999999999</v>
      </c>
      <c r="F612">
        <v>1180.8</v>
      </c>
      <c r="G612">
        <v>1181.8</v>
      </c>
      <c r="H612">
        <v>1183.5</v>
      </c>
      <c r="I612">
        <v>1184.3</v>
      </c>
      <c r="J612">
        <v>0.8</v>
      </c>
    </row>
    <row r="613" spans="1:10" x14ac:dyDescent="0.25">
      <c r="B613" t="s">
        <v>709</v>
      </c>
      <c r="C613">
        <v>54111</v>
      </c>
      <c r="D613">
        <v>1093.9000000000001</v>
      </c>
      <c r="E613">
        <v>1086.7</v>
      </c>
      <c r="F613">
        <v>1086.2</v>
      </c>
      <c r="G613">
        <v>1087.7</v>
      </c>
      <c r="H613">
        <v>1088.3</v>
      </c>
      <c r="I613" t="s">
        <v>33</v>
      </c>
      <c r="J613" t="s">
        <v>33</v>
      </c>
    </row>
    <row r="614" spans="1:10" x14ac:dyDescent="0.25">
      <c r="B614" t="s">
        <v>710</v>
      </c>
      <c r="C614">
        <v>54119</v>
      </c>
      <c r="D614">
        <v>94.9</v>
      </c>
      <c r="E614">
        <v>94.9</v>
      </c>
      <c r="F614">
        <v>95.4</v>
      </c>
      <c r="G614">
        <v>95.2</v>
      </c>
      <c r="H614">
        <v>95</v>
      </c>
      <c r="I614" t="s">
        <v>33</v>
      </c>
      <c r="J614" t="s">
        <v>33</v>
      </c>
    </row>
    <row r="615" spans="1:10" x14ac:dyDescent="0.25">
      <c r="A615" t="s">
        <v>707</v>
      </c>
      <c r="B615" t="s">
        <v>711</v>
      </c>
      <c r="C615">
        <v>5412</v>
      </c>
      <c r="D615">
        <v>1151</v>
      </c>
      <c r="E615">
        <v>1173.3</v>
      </c>
      <c r="F615">
        <v>1173.5</v>
      </c>
      <c r="G615">
        <v>1173.0999999999999</v>
      </c>
      <c r="H615">
        <v>1171.4000000000001</v>
      </c>
      <c r="I615">
        <v>1170.5999999999999</v>
      </c>
      <c r="J615">
        <v>-0.8</v>
      </c>
    </row>
    <row r="616" spans="1:10" x14ac:dyDescent="0.25">
      <c r="B616" t="s">
        <v>712</v>
      </c>
      <c r="C616">
        <v>541211</v>
      </c>
      <c r="D616">
        <v>551.6</v>
      </c>
      <c r="E616">
        <v>558.9</v>
      </c>
      <c r="F616">
        <v>555.5</v>
      </c>
      <c r="G616">
        <v>557.70000000000005</v>
      </c>
      <c r="H616">
        <v>555.79999999999995</v>
      </c>
      <c r="I616" t="s">
        <v>33</v>
      </c>
      <c r="J616" t="s">
        <v>33</v>
      </c>
    </row>
    <row r="617" spans="1:10" x14ac:dyDescent="0.25">
      <c r="B617" t="s">
        <v>713</v>
      </c>
      <c r="C617">
        <v>541213</v>
      </c>
      <c r="D617">
        <v>99.9</v>
      </c>
      <c r="E617">
        <v>99.6</v>
      </c>
      <c r="F617">
        <v>99.6</v>
      </c>
      <c r="G617">
        <v>98.9</v>
      </c>
      <c r="H617">
        <v>99.2</v>
      </c>
      <c r="I617" t="s">
        <v>33</v>
      </c>
      <c r="J617" t="s">
        <v>33</v>
      </c>
    </row>
    <row r="618" spans="1:10" x14ac:dyDescent="0.25">
      <c r="B618" t="s">
        <v>714</v>
      </c>
      <c r="C618">
        <v>541214</v>
      </c>
      <c r="D618">
        <v>214.6</v>
      </c>
      <c r="E618">
        <v>232.8</v>
      </c>
      <c r="F618">
        <v>236</v>
      </c>
      <c r="G618">
        <v>235.6</v>
      </c>
      <c r="H618">
        <v>235.6</v>
      </c>
      <c r="I618" t="s">
        <v>33</v>
      </c>
      <c r="J618" t="s">
        <v>33</v>
      </c>
    </row>
    <row r="619" spans="1:10" x14ac:dyDescent="0.25">
      <c r="B619" t="s">
        <v>715</v>
      </c>
      <c r="C619">
        <v>541219</v>
      </c>
      <c r="D619">
        <v>285</v>
      </c>
      <c r="E619">
        <v>279.7</v>
      </c>
      <c r="F619">
        <v>280.2</v>
      </c>
      <c r="G619">
        <v>281.8</v>
      </c>
      <c r="H619">
        <v>279.89999999999998</v>
      </c>
      <c r="I619" t="s">
        <v>33</v>
      </c>
      <c r="J619" t="s">
        <v>33</v>
      </c>
    </row>
    <row r="620" spans="1:10" x14ac:dyDescent="0.25">
      <c r="A620" t="s">
        <v>707</v>
      </c>
      <c r="B620" t="s">
        <v>716</v>
      </c>
      <c r="C620">
        <v>5413</v>
      </c>
      <c r="D620">
        <v>1673.4</v>
      </c>
      <c r="E620">
        <v>1707.8</v>
      </c>
      <c r="F620">
        <v>1706.9</v>
      </c>
      <c r="G620">
        <v>1705.5</v>
      </c>
      <c r="H620">
        <v>1706.9</v>
      </c>
      <c r="I620">
        <v>1717.3</v>
      </c>
      <c r="J620">
        <v>10.4</v>
      </c>
    </row>
    <row r="621" spans="1:10" x14ac:dyDescent="0.25">
      <c r="B621" t="s">
        <v>717</v>
      </c>
      <c r="C621">
        <v>54131</v>
      </c>
      <c r="D621">
        <v>206.1</v>
      </c>
      <c r="E621">
        <v>204.9</v>
      </c>
      <c r="F621">
        <v>203.5</v>
      </c>
      <c r="G621">
        <v>203.1</v>
      </c>
      <c r="H621">
        <v>203</v>
      </c>
      <c r="I621" t="s">
        <v>33</v>
      </c>
      <c r="J621" t="s">
        <v>33</v>
      </c>
    </row>
    <row r="622" spans="1:10" x14ac:dyDescent="0.25">
      <c r="B622" t="s">
        <v>718</v>
      </c>
      <c r="C622">
        <v>54132</v>
      </c>
      <c r="D622">
        <v>31.6</v>
      </c>
      <c r="E622">
        <v>31.4</v>
      </c>
      <c r="F622">
        <v>31.2</v>
      </c>
      <c r="G622">
        <v>30.8</v>
      </c>
      <c r="H622">
        <v>30.6</v>
      </c>
      <c r="I622" t="s">
        <v>33</v>
      </c>
      <c r="J622" t="s">
        <v>33</v>
      </c>
    </row>
    <row r="623" spans="1:10" x14ac:dyDescent="0.25">
      <c r="B623" t="s">
        <v>719</v>
      </c>
      <c r="C623" t="s">
        <v>720</v>
      </c>
      <c r="D623">
        <v>1158.5999999999999</v>
      </c>
      <c r="E623">
        <v>1193.3</v>
      </c>
      <c r="F623">
        <v>1195.2</v>
      </c>
      <c r="G623">
        <v>1195.2</v>
      </c>
      <c r="H623">
        <v>1197.7</v>
      </c>
      <c r="I623" t="s">
        <v>33</v>
      </c>
      <c r="J623" t="s">
        <v>33</v>
      </c>
    </row>
    <row r="624" spans="1:10" x14ac:dyDescent="0.25">
      <c r="B624" t="s">
        <v>721</v>
      </c>
      <c r="C624" t="s">
        <v>722</v>
      </c>
      <c r="D624">
        <v>96.5</v>
      </c>
      <c r="E624">
        <v>94.1</v>
      </c>
      <c r="F624">
        <v>94.4</v>
      </c>
      <c r="G624">
        <v>94.3</v>
      </c>
      <c r="H624">
        <v>95.3</v>
      </c>
      <c r="I624" t="s">
        <v>33</v>
      </c>
      <c r="J624" t="s">
        <v>33</v>
      </c>
    </row>
    <row r="625" spans="1:10" x14ac:dyDescent="0.25">
      <c r="B625" t="s">
        <v>723</v>
      </c>
      <c r="C625">
        <v>54138</v>
      </c>
      <c r="D625">
        <v>180.2</v>
      </c>
      <c r="E625">
        <v>184.3</v>
      </c>
      <c r="F625">
        <v>182.6</v>
      </c>
      <c r="G625">
        <v>182.3</v>
      </c>
      <c r="H625">
        <v>181.4</v>
      </c>
      <c r="I625" t="s">
        <v>33</v>
      </c>
      <c r="J625" t="s">
        <v>33</v>
      </c>
    </row>
    <row r="626" spans="1:10" x14ac:dyDescent="0.25">
      <c r="A626" t="s">
        <v>707</v>
      </c>
      <c r="B626" t="s">
        <v>724</v>
      </c>
      <c r="C626">
        <v>5414</v>
      </c>
      <c r="D626">
        <v>154.19999999999999</v>
      </c>
      <c r="E626">
        <v>152.30000000000001</v>
      </c>
      <c r="F626">
        <v>152.9</v>
      </c>
      <c r="G626">
        <v>152.9</v>
      </c>
      <c r="H626">
        <v>154.69999999999999</v>
      </c>
      <c r="I626">
        <v>155.6</v>
      </c>
      <c r="J626">
        <v>0.9</v>
      </c>
    </row>
    <row r="627" spans="1:10" x14ac:dyDescent="0.25">
      <c r="B627" t="s">
        <v>725</v>
      </c>
      <c r="C627">
        <v>54141</v>
      </c>
      <c r="D627">
        <v>53.7</v>
      </c>
      <c r="E627">
        <v>54.8</v>
      </c>
      <c r="F627">
        <v>55</v>
      </c>
      <c r="G627">
        <v>55.4</v>
      </c>
      <c r="H627">
        <v>56.3</v>
      </c>
      <c r="I627" t="s">
        <v>33</v>
      </c>
      <c r="J627" t="s">
        <v>33</v>
      </c>
    </row>
    <row r="628" spans="1:10" x14ac:dyDescent="0.25">
      <c r="B628" t="s">
        <v>726</v>
      </c>
      <c r="C628">
        <v>54143</v>
      </c>
      <c r="D628">
        <v>59.2</v>
      </c>
      <c r="E628">
        <v>57.1</v>
      </c>
      <c r="F628">
        <v>58.1</v>
      </c>
      <c r="G628">
        <v>58</v>
      </c>
      <c r="H628">
        <v>58.8</v>
      </c>
      <c r="I628" t="s">
        <v>33</v>
      </c>
      <c r="J628" t="s">
        <v>33</v>
      </c>
    </row>
    <row r="629" spans="1:10" x14ac:dyDescent="0.25">
      <c r="A629" t="s">
        <v>629</v>
      </c>
      <c r="B629" t="s">
        <v>727</v>
      </c>
      <c r="C629">
        <v>5415</v>
      </c>
      <c r="D629">
        <v>2517.6999999999998</v>
      </c>
      <c r="E629">
        <v>2548.6</v>
      </c>
      <c r="F629">
        <v>2546.6999999999998</v>
      </c>
      <c r="G629">
        <v>2549.6999999999998</v>
      </c>
      <c r="H629">
        <v>2548.3000000000002</v>
      </c>
      <c r="I629">
        <v>2549.5</v>
      </c>
      <c r="J629">
        <v>1.2</v>
      </c>
    </row>
    <row r="630" spans="1:10" x14ac:dyDescent="0.25">
      <c r="B630" t="s">
        <v>728</v>
      </c>
      <c r="C630">
        <v>541511</v>
      </c>
      <c r="D630">
        <v>1139.5999999999999</v>
      </c>
      <c r="E630">
        <v>1159.0999999999999</v>
      </c>
      <c r="F630">
        <v>1163.0999999999999</v>
      </c>
      <c r="G630">
        <v>1166.0999999999999</v>
      </c>
      <c r="H630">
        <v>1166.0999999999999</v>
      </c>
      <c r="I630" t="s">
        <v>33</v>
      </c>
      <c r="J630" t="s">
        <v>33</v>
      </c>
    </row>
    <row r="631" spans="1:10" x14ac:dyDescent="0.25">
      <c r="B631" t="s">
        <v>729</v>
      </c>
      <c r="C631">
        <v>541512</v>
      </c>
      <c r="D631">
        <v>1166.9000000000001</v>
      </c>
      <c r="E631">
        <v>1171.9000000000001</v>
      </c>
      <c r="F631">
        <v>1169.4000000000001</v>
      </c>
      <c r="G631">
        <v>1167.4000000000001</v>
      </c>
      <c r="H631">
        <v>1165.5</v>
      </c>
      <c r="I631" t="s">
        <v>33</v>
      </c>
      <c r="J631" t="s">
        <v>33</v>
      </c>
    </row>
    <row r="632" spans="1:10" x14ac:dyDescent="0.25">
      <c r="B632" t="s">
        <v>730</v>
      </c>
      <c r="C632">
        <v>541513</v>
      </c>
      <c r="D632">
        <v>78</v>
      </c>
      <c r="E632">
        <v>80.400000000000006</v>
      </c>
      <c r="F632">
        <v>79.2</v>
      </c>
      <c r="G632">
        <v>79.400000000000006</v>
      </c>
      <c r="H632">
        <v>79.2</v>
      </c>
      <c r="I632" t="s">
        <v>33</v>
      </c>
      <c r="J632" t="s">
        <v>33</v>
      </c>
    </row>
    <row r="633" spans="1:10" x14ac:dyDescent="0.25">
      <c r="B633" t="s">
        <v>731</v>
      </c>
      <c r="C633">
        <v>541519</v>
      </c>
      <c r="D633">
        <v>131.80000000000001</v>
      </c>
      <c r="E633">
        <v>134.4</v>
      </c>
      <c r="F633">
        <v>134.6</v>
      </c>
      <c r="G633">
        <v>135.6</v>
      </c>
      <c r="H633">
        <v>135.9</v>
      </c>
      <c r="I633" t="s">
        <v>33</v>
      </c>
      <c r="J633" t="s">
        <v>33</v>
      </c>
    </row>
    <row r="634" spans="1:10" x14ac:dyDescent="0.25">
      <c r="A634" t="s">
        <v>707</v>
      </c>
      <c r="B634" t="s">
        <v>732</v>
      </c>
      <c r="C634">
        <v>5416</v>
      </c>
      <c r="D634">
        <v>1886.2</v>
      </c>
      <c r="E634">
        <v>1903.8</v>
      </c>
      <c r="F634">
        <v>1902.6</v>
      </c>
      <c r="G634">
        <v>1903.8</v>
      </c>
      <c r="H634">
        <v>1905.6</v>
      </c>
      <c r="I634">
        <v>1908</v>
      </c>
      <c r="J634">
        <v>2.4</v>
      </c>
    </row>
    <row r="635" spans="1:10" x14ac:dyDescent="0.25">
      <c r="B635" t="s">
        <v>733</v>
      </c>
      <c r="C635">
        <v>54161</v>
      </c>
      <c r="D635">
        <v>1566</v>
      </c>
      <c r="E635">
        <v>1573.9</v>
      </c>
      <c r="F635">
        <v>1572.4</v>
      </c>
      <c r="G635">
        <v>1574.1</v>
      </c>
      <c r="H635">
        <v>1574.3</v>
      </c>
      <c r="I635" t="s">
        <v>33</v>
      </c>
      <c r="J635" t="s">
        <v>33</v>
      </c>
    </row>
    <row r="636" spans="1:10" x14ac:dyDescent="0.25">
      <c r="B636" t="s">
        <v>734</v>
      </c>
      <c r="C636">
        <v>541611</v>
      </c>
      <c r="D636">
        <v>854.7</v>
      </c>
      <c r="E636">
        <v>860.5</v>
      </c>
      <c r="F636">
        <v>860.6</v>
      </c>
      <c r="G636">
        <v>861.8</v>
      </c>
      <c r="H636">
        <v>861.4</v>
      </c>
      <c r="I636" t="s">
        <v>33</v>
      </c>
      <c r="J636" t="s">
        <v>33</v>
      </c>
    </row>
    <row r="637" spans="1:10" x14ac:dyDescent="0.25">
      <c r="B637" t="s">
        <v>735</v>
      </c>
      <c r="C637">
        <v>541612</v>
      </c>
      <c r="D637">
        <v>94.7</v>
      </c>
      <c r="E637">
        <v>96.6</v>
      </c>
      <c r="F637">
        <v>95.5</v>
      </c>
      <c r="G637">
        <v>94.3</v>
      </c>
      <c r="H637">
        <v>95.6</v>
      </c>
      <c r="I637" t="s">
        <v>33</v>
      </c>
      <c r="J637" t="s">
        <v>33</v>
      </c>
    </row>
    <row r="638" spans="1:10" x14ac:dyDescent="0.25">
      <c r="B638" t="s">
        <v>736</v>
      </c>
      <c r="C638">
        <v>541613</v>
      </c>
      <c r="D638">
        <v>328.1</v>
      </c>
      <c r="E638">
        <v>321.5</v>
      </c>
      <c r="F638">
        <v>320.3</v>
      </c>
      <c r="G638">
        <v>321.60000000000002</v>
      </c>
      <c r="H638">
        <v>322.7</v>
      </c>
      <c r="I638" t="s">
        <v>33</v>
      </c>
      <c r="J638" t="s">
        <v>33</v>
      </c>
    </row>
    <row r="639" spans="1:10" x14ac:dyDescent="0.25">
      <c r="B639" t="s">
        <v>737</v>
      </c>
      <c r="C639">
        <v>541614</v>
      </c>
      <c r="D639">
        <v>166.2</v>
      </c>
      <c r="E639">
        <v>169</v>
      </c>
      <c r="F639">
        <v>169.1</v>
      </c>
      <c r="G639">
        <v>169.3</v>
      </c>
      <c r="H639">
        <v>169.8</v>
      </c>
      <c r="I639" t="s">
        <v>33</v>
      </c>
      <c r="J639" t="s">
        <v>33</v>
      </c>
    </row>
    <row r="640" spans="1:10" x14ac:dyDescent="0.25">
      <c r="B640" t="s">
        <v>738</v>
      </c>
      <c r="C640">
        <v>541618</v>
      </c>
      <c r="D640">
        <v>123.3</v>
      </c>
      <c r="E640">
        <v>126.7</v>
      </c>
      <c r="F640">
        <v>126.2</v>
      </c>
      <c r="G640">
        <v>126.3</v>
      </c>
      <c r="H640">
        <v>126.7</v>
      </c>
      <c r="I640" t="s">
        <v>33</v>
      </c>
      <c r="J640" t="s">
        <v>33</v>
      </c>
    </row>
    <row r="641" spans="1:10" x14ac:dyDescent="0.25">
      <c r="B641" t="s">
        <v>739</v>
      </c>
      <c r="C641">
        <v>54162</v>
      </c>
      <c r="D641">
        <v>100.6</v>
      </c>
      <c r="E641">
        <v>107.8</v>
      </c>
      <c r="F641">
        <v>107.6</v>
      </c>
      <c r="G641">
        <v>107.7</v>
      </c>
      <c r="H641">
        <v>107.4</v>
      </c>
      <c r="I641" t="s">
        <v>33</v>
      </c>
      <c r="J641" t="s">
        <v>33</v>
      </c>
    </row>
    <row r="642" spans="1:10" x14ac:dyDescent="0.25">
      <c r="B642" t="s">
        <v>740</v>
      </c>
      <c r="C642">
        <v>54169</v>
      </c>
      <c r="D642">
        <v>218.5</v>
      </c>
      <c r="E642">
        <v>221.9</v>
      </c>
      <c r="F642">
        <v>220.8</v>
      </c>
      <c r="G642">
        <v>221</v>
      </c>
      <c r="H642">
        <v>221.6</v>
      </c>
      <c r="I642" t="s">
        <v>33</v>
      </c>
      <c r="J642" t="s">
        <v>33</v>
      </c>
    </row>
    <row r="643" spans="1:10" x14ac:dyDescent="0.25">
      <c r="A643" t="s">
        <v>707</v>
      </c>
      <c r="B643" t="s">
        <v>741</v>
      </c>
      <c r="C643">
        <v>5417</v>
      </c>
      <c r="D643">
        <v>948.5</v>
      </c>
      <c r="E643">
        <v>955.8</v>
      </c>
      <c r="F643">
        <v>955.2</v>
      </c>
      <c r="G643">
        <v>959.2</v>
      </c>
      <c r="H643">
        <v>960.9</v>
      </c>
      <c r="I643">
        <v>961.9</v>
      </c>
      <c r="J643">
        <v>1</v>
      </c>
    </row>
    <row r="644" spans="1:10" x14ac:dyDescent="0.25">
      <c r="B644" t="s">
        <v>742</v>
      </c>
      <c r="C644">
        <v>54171</v>
      </c>
      <c r="D644">
        <v>879.4</v>
      </c>
      <c r="E644">
        <v>886</v>
      </c>
      <c r="F644">
        <v>884.4</v>
      </c>
      <c r="G644">
        <v>889.4</v>
      </c>
      <c r="H644">
        <v>891.8</v>
      </c>
      <c r="I644" t="s">
        <v>33</v>
      </c>
      <c r="J644" t="s">
        <v>33</v>
      </c>
    </row>
    <row r="645" spans="1:10" x14ac:dyDescent="0.25">
      <c r="B645" t="s">
        <v>743</v>
      </c>
      <c r="C645">
        <v>541713</v>
      </c>
      <c r="D645">
        <v>29.6</v>
      </c>
      <c r="E645">
        <v>29.4</v>
      </c>
      <c r="F645">
        <v>29.1</v>
      </c>
      <c r="G645">
        <v>29.1</v>
      </c>
      <c r="H645">
        <v>29.6</v>
      </c>
      <c r="I645" t="s">
        <v>33</v>
      </c>
      <c r="J645" t="s">
        <v>33</v>
      </c>
    </row>
    <row r="646" spans="1:10" x14ac:dyDescent="0.25">
      <c r="B646" t="s">
        <v>744</v>
      </c>
      <c r="C646">
        <v>541714</v>
      </c>
      <c r="D646">
        <v>292.5</v>
      </c>
      <c r="E646">
        <v>299.2</v>
      </c>
      <c r="F646">
        <v>298.7</v>
      </c>
      <c r="G646">
        <v>301.39999999999998</v>
      </c>
      <c r="H646">
        <v>303</v>
      </c>
      <c r="I646" t="s">
        <v>33</v>
      </c>
      <c r="J646" t="s">
        <v>33</v>
      </c>
    </row>
    <row r="647" spans="1:10" x14ac:dyDescent="0.25">
      <c r="B647" t="s">
        <v>745</v>
      </c>
      <c r="C647">
        <v>541715</v>
      </c>
      <c r="D647">
        <v>557.1</v>
      </c>
      <c r="E647">
        <v>557.4</v>
      </c>
      <c r="F647">
        <v>557.1</v>
      </c>
      <c r="G647">
        <v>559</v>
      </c>
      <c r="H647">
        <v>559.79999999999995</v>
      </c>
      <c r="I647" t="s">
        <v>33</v>
      </c>
      <c r="J647" t="s">
        <v>33</v>
      </c>
    </row>
    <row r="648" spans="1:10" x14ac:dyDescent="0.25">
      <c r="B648" t="s">
        <v>746</v>
      </c>
      <c r="C648">
        <v>54172</v>
      </c>
      <c r="D648">
        <v>69.2</v>
      </c>
      <c r="E648">
        <v>69.7</v>
      </c>
      <c r="F648">
        <v>70.3</v>
      </c>
      <c r="G648">
        <v>70</v>
      </c>
      <c r="H648">
        <v>70.099999999999994</v>
      </c>
      <c r="I648" t="s">
        <v>33</v>
      </c>
      <c r="J648" t="s">
        <v>33</v>
      </c>
    </row>
    <row r="649" spans="1:10" x14ac:dyDescent="0.25">
      <c r="A649" t="s">
        <v>707</v>
      </c>
      <c r="B649" t="s">
        <v>747</v>
      </c>
      <c r="C649">
        <v>5418</v>
      </c>
      <c r="D649">
        <v>514.79999999999995</v>
      </c>
      <c r="E649">
        <v>522.6</v>
      </c>
      <c r="F649">
        <v>521</v>
      </c>
      <c r="G649">
        <v>522.70000000000005</v>
      </c>
      <c r="H649">
        <v>523.20000000000005</v>
      </c>
      <c r="I649">
        <v>522.9</v>
      </c>
      <c r="J649">
        <v>-0.3</v>
      </c>
    </row>
    <row r="650" spans="1:10" x14ac:dyDescent="0.25">
      <c r="B650" t="s">
        <v>748</v>
      </c>
      <c r="C650">
        <v>54181</v>
      </c>
      <c r="D650">
        <v>234.7</v>
      </c>
      <c r="E650">
        <v>237.6</v>
      </c>
      <c r="F650">
        <v>236.9</v>
      </c>
      <c r="G650">
        <v>236.5</v>
      </c>
      <c r="H650">
        <v>237.2</v>
      </c>
      <c r="I650" t="s">
        <v>33</v>
      </c>
      <c r="J650" t="s">
        <v>33</v>
      </c>
    </row>
    <row r="651" spans="1:10" x14ac:dyDescent="0.25">
      <c r="B651" t="s">
        <v>749</v>
      </c>
      <c r="C651">
        <v>54182</v>
      </c>
      <c r="D651">
        <v>66</v>
      </c>
      <c r="E651">
        <v>70.5</v>
      </c>
      <c r="F651">
        <v>70.900000000000006</v>
      </c>
      <c r="G651">
        <v>70.900000000000006</v>
      </c>
      <c r="H651">
        <v>71.3</v>
      </c>
      <c r="I651" t="s">
        <v>33</v>
      </c>
      <c r="J651" t="s">
        <v>33</v>
      </c>
    </row>
    <row r="652" spans="1:10" x14ac:dyDescent="0.25">
      <c r="B652" t="s">
        <v>750</v>
      </c>
      <c r="C652" t="s">
        <v>751</v>
      </c>
      <c r="D652">
        <v>38</v>
      </c>
      <c r="E652">
        <v>38.700000000000003</v>
      </c>
      <c r="F652">
        <v>38.200000000000003</v>
      </c>
      <c r="G652">
        <v>38</v>
      </c>
      <c r="H652">
        <v>38.200000000000003</v>
      </c>
      <c r="I652" t="s">
        <v>33</v>
      </c>
      <c r="J652" t="s">
        <v>33</v>
      </c>
    </row>
    <row r="653" spans="1:10" x14ac:dyDescent="0.25">
      <c r="B653" t="s">
        <v>752</v>
      </c>
      <c r="C653">
        <v>54185</v>
      </c>
      <c r="D653">
        <v>30.6</v>
      </c>
      <c r="E653">
        <v>30.6</v>
      </c>
      <c r="F653">
        <v>30.6</v>
      </c>
      <c r="G653">
        <v>30.7</v>
      </c>
      <c r="H653">
        <v>31</v>
      </c>
      <c r="I653" t="s">
        <v>33</v>
      </c>
      <c r="J653" t="s">
        <v>33</v>
      </c>
    </row>
    <row r="654" spans="1:10" x14ac:dyDescent="0.25">
      <c r="B654" t="s">
        <v>753</v>
      </c>
      <c r="C654">
        <v>54186</v>
      </c>
      <c r="D654">
        <v>32.5</v>
      </c>
      <c r="E654">
        <v>30.3</v>
      </c>
      <c r="F654">
        <v>29.8</v>
      </c>
      <c r="G654">
        <v>29.4</v>
      </c>
      <c r="H654">
        <v>28.3</v>
      </c>
      <c r="I654" t="s">
        <v>33</v>
      </c>
      <c r="J654" t="s">
        <v>33</v>
      </c>
    </row>
    <row r="655" spans="1:10" x14ac:dyDescent="0.25">
      <c r="B655" t="s">
        <v>754</v>
      </c>
      <c r="C655" t="s">
        <v>755</v>
      </c>
      <c r="D655">
        <v>111.9</v>
      </c>
      <c r="E655">
        <v>114.9</v>
      </c>
      <c r="F655">
        <v>115.1</v>
      </c>
      <c r="G655">
        <v>117.3</v>
      </c>
      <c r="H655">
        <v>117.3</v>
      </c>
      <c r="I655" t="s">
        <v>33</v>
      </c>
      <c r="J655" t="s">
        <v>33</v>
      </c>
    </row>
    <row r="656" spans="1:10" x14ac:dyDescent="0.25">
      <c r="A656" t="s">
        <v>707</v>
      </c>
      <c r="B656" t="s">
        <v>756</v>
      </c>
      <c r="C656">
        <v>5419</v>
      </c>
      <c r="D656">
        <v>873.4</v>
      </c>
      <c r="E656">
        <v>882.9</v>
      </c>
      <c r="F656">
        <v>882.8</v>
      </c>
      <c r="G656">
        <v>883.5</v>
      </c>
      <c r="H656">
        <v>880.2</v>
      </c>
      <c r="I656">
        <v>880.6</v>
      </c>
      <c r="J656">
        <v>0.4</v>
      </c>
    </row>
    <row r="657" spans="1:10" x14ac:dyDescent="0.25">
      <c r="B657" t="s">
        <v>757</v>
      </c>
      <c r="C657">
        <v>54191</v>
      </c>
      <c r="D657">
        <v>72.2</v>
      </c>
      <c r="E657">
        <v>70.3</v>
      </c>
      <c r="F657">
        <v>69.8</v>
      </c>
      <c r="G657">
        <v>70.400000000000006</v>
      </c>
      <c r="H657">
        <v>68.8</v>
      </c>
      <c r="I657" t="s">
        <v>33</v>
      </c>
      <c r="J657" t="s">
        <v>33</v>
      </c>
    </row>
    <row r="658" spans="1:10" x14ac:dyDescent="0.25">
      <c r="B658" t="s">
        <v>758</v>
      </c>
      <c r="C658">
        <v>54192</v>
      </c>
      <c r="D658">
        <v>47.6</v>
      </c>
      <c r="E658">
        <v>44.8</v>
      </c>
      <c r="F658">
        <v>43.7</v>
      </c>
      <c r="G658">
        <v>44.7</v>
      </c>
      <c r="H658">
        <v>44.9</v>
      </c>
      <c r="I658" t="s">
        <v>33</v>
      </c>
      <c r="J658" t="s">
        <v>33</v>
      </c>
    </row>
    <row r="659" spans="1:10" x14ac:dyDescent="0.25">
      <c r="B659" t="s">
        <v>759</v>
      </c>
      <c r="C659">
        <v>54194</v>
      </c>
      <c r="D659">
        <v>466.7</v>
      </c>
      <c r="E659">
        <v>464.6</v>
      </c>
      <c r="F659">
        <v>464.1</v>
      </c>
      <c r="G659">
        <v>465.7</v>
      </c>
      <c r="H659">
        <v>462.6</v>
      </c>
      <c r="I659" t="s">
        <v>33</v>
      </c>
      <c r="J659" t="s">
        <v>33</v>
      </c>
    </row>
    <row r="660" spans="1:10" x14ac:dyDescent="0.25">
      <c r="B660" t="s">
        <v>760</v>
      </c>
      <c r="C660" t="s">
        <v>761</v>
      </c>
      <c r="D660">
        <v>288.3</v>
      </c>
      <c r="E660">
        <v>301.7</v>
      </c>
      <c r="F660">
        <v>302.8</v>
      </c>
      <c r="G660">
        <v>303</v>
      </c>
      <c r="H660">
        <v>303.89999999999998</v>
      </c>
      <c r="I660" t="s">
        <v>33</v>
      </c>
      <c r="J660" t="s">
        <v>33</v>
      </c>
    </row>
    <row r="661" spans="1:10" x14ac:dyDescent="0.25">
      <c r="A661" t="s">
        <v>707</v>
      </c>
      <c r="B661" t="s">
        <v>762</v>
      </c>
      <c r="C661">
        <v>55</v>
      </c>
      <c r="D661">
        <v>2556.1999999999998</v>
      </c>
      <c r="E661">
        <v>2567.4</v>
      </c>
      <c r="F661">
        <v>2559.5</v>
      </c>
      <c r="G661">
        <v>2563.3000000000002</v>
      </c>
      <c r="H661">
        <v>2565.6999999999998</v>
      </c>
      <c r="I661">
        <v>2564.8000000000002</v>
      </c>
      <c r="J661">
        <v>-0.9</v>
      </c>
    </row>
    <row r="662" spans="1:10" x14ac:dyDescent="0.25">
      <c r="B662" t="s">
        <v>763</v>
      </c>
      <c r="C662" t="s">
        <v>764</v>
      </c>
      <c r="D662">
        <v>101.3</v>
      </c>
      <c r="E662">
        <v>106</v>
      </c>
      <c r="F662">
        <v>106.4</v>
      </c>
      <c r="G662">
        <v>106.7</v>
      </c>
      <c r="H662">
        <v>106.9</v>
      </c>
      <c r="I662" t="s">
        <v>33</v>
      </c>
      <c r="J662" t="s">
        <v>33</v>
      </c>
    </row>
    <row r="663" spans="1:10" x14ac:dyDescent="0.25">
      <c r="B663" t="s">
        <v>765</v>
      </c>
      <c r="C663">
        <v>551114</v>
      </c>
      <c r="D663">
        <v>2455.6999999999998</v>
      </c>
      <c r="E663">
        <v>2457.8000000000002</v>
      </c>
      <c r="F663">
        <v>2451.1999999999998</v>
      </c>
      <c r="G663">
        <v>2456.5</v>
      </c>
      <c r="H663">
        <v>2459.9</v>
      </c>
      <c r="I663" t="s">
        <v>33</v>
      </c>
      <c r="J663" t="s">
        <v>33</v>
      </c>
    </row>
    <row r="664" spans="1:10" x14ac:dyDescent="0.25">
      <c r="B664" t="s">
        <v>766</v>
      </c>
      <c r="C664">
        <v>56</v>
      </c>
      <c r="D664">
        <v>9405.5</v>
      </c>
      <c r="E664">
        <v>9379.2999999999993</v>
      </c>
      <c r="F664">
        <v>9346.7999999999993</v>
      </c>
      <c r="G664">
        <v>9355.5</v>
      </c>
      <c r="H664">
        <v>9327.6</v>
      </c>
      <c r="I664">
        <v>9338.7999999999993</v>
      </c>
      <c r="J664">
        <v>11.2</v>
      </c>
    </row>
    <row r="665" spans="1:10" x14ac:dyDescent="0.25">
      <c r="A665" t="s">
        <v>767</v>
      </c>
      <c r="B665" t="s">
        <v>768</v>
      </c>
      <c r="C665">
        <v>561</v>
      </c>
      <c r="D665">
        <v>8900</v>
      </c>
      <c r="E665">
        <v>8860.1</v>
      </c>
      <c r="F665">
        <v>8826.7000000000007</v>
      </c>
      <c r="G665">
        <v>8833.9</v>
      </c>
      <c r="H665">
        <v>8804.4</v>
      </c>
      <c r="I665">
        <v>8813.2999999999993</v>
      </c>
      <c r="J665">
        <v>8.9</v>
      </c>
    </row>
    <row r="666" spans="1:10" x14ac:dyDescent="0.25">
      <c r="B666" t="s">
        <v>769</v>
      </c>
      <c r="C666">
        <v>5611</v>
      </c>
      <c r="D666">
        <v>632.9</v>
      </c>
      <c r="E666">
        <v>632.4</v>
      </c>
      <c r="F666">
        <v>630.5</v>
      </c>
      <c r="G666">
        <v>631.79999999999995</v>
      </c>
      <c r="H666">
        <v>632.1</v>
      </c>
      <c r="I666">
        <v>633.20000000000005</v>
      </c>
      <c r="J666">
        <v>1.1000000000000001</v>
      </c>
    </row>
    <row r="667" spans="1:10" x14ac:dyDescent="0.25">
      <c r="B667" t="s">
        <v>770</v>
      </c>
      <c r="C667">
        <v>5612</v>
      </c>
      <c r="D667">
        <v>172.4</v>
      </c>
      <c r="E667">
        <v>183</v>
      </c>
      <c r="F667">
        <v>183.4</v>
      </c>
      <c r="G667">
        <v>184.4</v>
      </c>
      <c r="H667">
        <v>184.2</v>
      </c>
      <c r="I667">
        <v>185.7</v>
      </c>
      <c r="J667">
        <v>1.5</v>
      </c>
    </row>
    <row r="668" spans="1:10" x14ac:dyDescent="0.25">
      <c r="B668" t="s">
        <v>771</v>
      </c>
      <c r="C668">
        <v>5613</v>
      </c>
      <c r="D668">
        <v>3553.2</v>
      </c>
      <c r="E668">
        <v>3479.8</v>
      </c>
      <c r="F668">
        <v>3454.5</v>
      </c>
      <c r="G668">
        <v>3463.1</v>
      </c>
      <c r="H668">
        <v>3429.7</v>
      </c>
      <c r="I668">
        <v>3436.5</v>
      </c>
      <c r="J668">
        <v>6.8</v>
      </c>
    </row>
    <row r="669" spans="1:10" x14ac:dyDescent="0.25">
      <c r="B669" t="s">
        <v>772</v>
      </c>
      <c r="C669">
        <v>56131</v>
      </c>
      <c r="D669">
        <v>309.5</v>
      </c>
      <c r="E669">
        <v>328.3</v>
      </c>
      <c r="F669">
        <v>328</v>
      </c>
      <c r="G669">
        <v>328.7</v>
      </c>
      <c r="H669">
        <v>326.10000000000002</v>
      </c>
      <c r="I669" t="s">
        <v>33</v>
      </c>
      <c r="J669" t="s">
        <v>33</v>
      </c>
    </row>
    <row r="670" spans="1:10" x14ac:dyDescent="0.25">
      <c r="B670" t="s">
        <v>773</v>
      </c>
      <c r="C670">
        <v>561311</v>
      </c>
      <c r="D670">
        <v>264.3</v>
      </c>
      <c r="E670">
        <v>282.10000000000002</v>
      </c>
      <c r="F670">
        <v>280.89999999999998</v>
      </c>
      <c r="G670">
        <v>281.5</v>
      </c>
      <c r="H670">
        <v>280.5</v>
      </c>
      <c r="I670" t="s">
        <v>33</v>
      </c>
      <c r="J670" t="s">
        <v>33</v>
      </c>
    </row>
    <row r="671" spans="1:10" x14ac:dyDescent="0.25">
      <c r="B671" t="s">
        <v>774</v>
      </c>
      <c r="C671">
        <v>561312</v>
      </c>
      <c r="D671">
        <v>43.8</v>
      </c>
      <c r="E671">
        <v>45.1</v>
      </c>
      <c r="F671">
        <v>45.7</v>
      </c>
      <c r="G671">
        <v>45.9</v>
      </c>
      <c r="H671">
        <v>45.6</v>
      </c>
      <c r="I671" t="s">
        <v>33</v>
      </c>
      <c r="J671" t="s">
        <v>33</v>
      </c>
    </row>
    <row r="672" spans="1:10" x14ac:dyDescent="0.25">
      <c r="B672" t="s">
        <v>775</v>
      </c>
      <c r="C672">
        <v>56132</v>
      </c>
      <c r="D672">
        <v>2785.8</v>
      </c>
      <c r="E672">
        <v>2696.5</v>
      </c>
      <c r="F672">
        <v>2673.2</v>
      </c>
      <c r="G672">
        <v>2678</v>
      </c>
      <c r="H672">
        <v>2644.7</v>
      </c>
      <c r="I672">
        <v>2646.3</v>
      </c>
      <c r="J672">
        <v>1.6</v>
      </c>
    </row>
    <row r="673" spans="2:10" x14ac:dyDescent="0.25">
      <c r="B673" t="s">
        <v>776</v>
      </c>
      <c r="C673">
        <v>56133</v>
      </c>
      <c r="D673">
        <v>456.5</v>
      </c>
      <c r="E673">
        <v>454.6</v>
      </c>
      <c r="F673">
        <v>453.7</v>
      </c>
      <c r="G673">
        <v>454.7</v>
      </c>
      <c r="H673">
        <v>451.8</v>
      </c>
      <c r="I673" t="s">
        <v>33</v>
      </c>
      <c r="J673" t="s">
        <v>33</v>
      </c>
    </row>
    <row r="674" spans="2:10" x14ac:dyDescent="0.25">
      <c r="B674" t="s">
        <v>777</v>
      </c>
      <c r="C674">
        <v>5614</v>
      </c>
      <c r="D674">
        <v>723.6</v>
      </c>
      <c r="E674">
        <v>699.3</v>
      </c>
      <c r="F674">
        <v>694.7</v>
      </c>
      <c r="G674">
        <v>691.6</v>
      </c>
      <c r="H674">
        <v>687.3</v>
      </c>
      <c r="I674">
        <v>687.1</v>
      </c>
      <c r="J674">
        <v>-0.2</v>
      </c>
    </row>
    <row r="675" spans="2:10" x14ac:dyDescent="0.25">
      <c r="B675" t="s">
        <v>778</v>
      </c>
      <c r="C675">
        <v>56141</v>
      </c>
      <c r="D675">
        <v>37.9</v>
      </c>
      <c r="E675">
        <v>35.9</v>
      </c>
      <c r="F675">
        <v>35.299999999999997</v>
      </c>
      <c r="G675">
        <v>35.299999999999997</v>
      </c>
      <c r="H675">
        <v>35</v>
      </c>
      <c r="I675" t="s">
        <v>33</v>
      </c>
      <c r="J675" t="s">
        <v>33</v>
      </c>
    </row>
    <row r="676" spans="2:10" x14ac:dyDescent="0.25">
      <c r="B676" t="s">
        <v>779</v>
      </c>
      <c r="C676">
        <v>56142</v>
      </c>
      <c r="D676">
        <v>383.6</v>
      </c>
      <c r="E676">
        <v>367.7</v>
      </c>
      <c r="F676">
        <v>363.9</v>
      </c>
      <c r="G676">
        <v>364.4</v>
      </c>
      <c r="H676">
        <v>362.6</v>
      </c>
      <c r="I676" t="s">
        <v>33</v>
      </c>
      <c r="J676" t="s">
        <v>33</v>
      </c>
    </row>
    <row r="677" spans="2:10" x14ac:dyDescent="0.25">
      <c r="B677" t="s">
        <v>780</v>
      </c>
      <c r="C677">
        <v>561421</v>
      </c>
      <c r="D677">
        <v>35.6</v>
      </c>
      <c r="E677">
        <v>35</v>
      </c>
      <c r="F677">
        <v>35.5</v>
      </c>
      <c r="G677">
        <v>35.1</v>
      </c>
      <c r="H677">
        <v>35.799999999999997</v>
      </c>
      <c r="I677" t="s">
        <v>33</v>
      </c>
      <c r="J677" t="s">
        <v>33</v>
      </c>
    </row>
    <row r="678" spans="2:10" x14ac:dyDescent="0.25">
      <c r="B678" t="s">
        <v>781</v>
      </c>
      <c r="C678">
        <v>561422</v>
      </c>
      <c r="D678">
        <v>347.7</v>
      </c>
      <c r="E678">
        <v>332.9</v>
      </c>
      <c r="F678">
        <v>328.8</v>
      </c>
      <c r="G678">
        <v>329.4</v>
      </c>
      <c r="H678">
        <v>326.60000000000002</v>
      </c>
      <c r="I678" t="s">
        <v>33</v>
      </c>
      <c r="J678" t="s">
        <v>33</v>
      </c>
    </row>
    <row r="679" spans="2:10" x14ac:dyDescent="0.25">
      <c r="B679" t="s">
        <v>782</v>
      </c>
      <c r="C679">
        <v>56143</v>
      </c>
      <c r="D679">
        <v>81.8</v>
      </c>
      <c r="E679">
        <v>80.900000000000006</v>
      </c>
      <c r="F679">
        <v>82.1</v>
      </c>
      <c r="G679">
        <v>81.3</v>
      </c>
      <c r="H679">
        <v>80.400000000000006</v>
      </c>
      <c r="I679" t="s">
        <v>33</v>
      </c>
      <c r="J679" t="s">
        <v>33</v>
      </c>
    </row>
    <row r="680" spans="2:10" x14ac:dyDescent="0.25">
      <c r="B680" t="s">
        <v>783</v>
      </c>
      <c r="C680">
        <v>56144</v>
      </c>
      <c r="D680">
        <v>90.7</v>
      </c>
      <c r="E680">
        <v>85.4</v>
      </c>
      <c r="F680">
        <v>85.2</v>
      </c>
      <c r="G680">
        <v>85</v>
      </c>
      <c r="H680">
        <v>83.1</v>
      </c>
      <c r="I680" t="s">
        <v>33</v>
      </c>
      <c r="J680" t="s">
        <v>33</v>
      </c>
    </row>
    <row r="681" spans="2:10" x14ac:dyDescent="0.25">
      <c r="B681" t="s">
        <v>784</v>
      </c>
      <c r="C681" t="s">
        <v>785</v>
      </c>
      <c r="D681">
        <v>128.9</v>
      </c>
      <c r="E681">
        <v>128.69999999999999</v>
      </c>
      <c r="F681">
        <v>129</v>
      </c>
      <c r="G681">
        <v>126.8</v>
      </c>
      <c r="H681">
        <v>127</v>
      </c>
      <c r="I681" t="s">
        <v>33</v>
      </c>
      <c r="J681" t="s">
        <v>33</v>
      </c>
    </row>
    <row r="682" spans="2:10" x14ac:dyDescent="0.25">
      <c r="B682" t="s">
        <v>786</v>
      </c>
      <c r="C682">
        <v>5615</v>
      </c>
      <c r="D682">
        <v>197.5</v>
      </c>
      <c r="E682">
        <v>194.1</v>
      </c>
      <c r="F682">
        <v>194.9</v>
      </c>
      <c r="G682">
        <v>195.6</v>
      </c>
      <c r="H682">
        <v>196.7</v>
      </c>
      <c r="I682">
        <v>198.5</v>
      </c>
      <c r="J682">
        <v>1.8</v>
      </c>
    </row>
    <row r="683" spans="2:10" x14ac:dyDescent="0.25">
      <c r="B683" t="s">
        <v>787</v>
      </c>
      <c r="C683">
        <v>56151</v>
      </c>
      <c r="D683">
        <v>84.6</v>
      </c>
      <c r="E683">
        <v>82.4</v>
      </c>
      <c r="F683">
        <v>82.4</v>
      </c>
      <c r="G683">
        <v>82.8</v>
      </c>
      <c r="H683">
        <v>83.3</v>
      </c>
      <c r="I683" t="s">
        <v>33</v>
      </c>
      <c r="J683" t="s">
        <v>33</v>
      </c>
    </row>
    <row r="684" spans="2:10" x14ac:dyDescent="0.25">
      <c r="B684" t="s">
        <v>788</v>
      </c>
      <c r="C684">
        <v>56152</v>
      </c>
      <c r="D684">
        <v>24.6</v>
      </c>
      <c r="E684">
        <v>23.1</v>
      </c>
      <c r="F684">
        <v>23</v>
      </c>
      <c r="G684">
        <v>23.3</v>
      </c>
      <c r="H684">
        <v>23.3</v>
      </c>
      <c r="I684" t="s">
        <v>33</v>
      </c>
      <c r="J684" t="s">
        <v>33</v>
      </c>
    </row>
    <row r="685" spans="2:10" x14ac:dyDescent="0.25">
      <c r="B685" t="s">
        <v>789</v>
      </c>
      <c r="C685">
        <v>56159</v>
      </c>
      <c r="D685">
        <v>88.2</v>
      </c>
      <c r="E685">
        <v>89.2</v>
      </c>
      <c r="F685">
        <v>90.6</v>
      </c>
      <c r="G685">
        <v>89.7</v>
      </c>
      <c r="H685">
        <v>90.3</v>
      </c>
      <c r="I685" t="s">
        <v>33</v>
      </c>
      <c r="J685" t="s">
        <v>33</v>
      </c>
    </row>
    <row r="686" spans="2:10" x14ac:dyDescent="0.25">
      <c r="B686" t="s">
        <v>790</v>
      </c>
      <c r="C686">
        <v>5616</v>
      </c>
      <c r="D686">
        <v>1012.9</v>
      </c>
      <c r="E686">
        <v>1024.0999999999999</v>
      </c>
      <c r="F686">
        <v>1024.2</v>
      </c>
      <c r="G686">
        <v>1022.2</v>
      </c>
      <c r="H686">
        <v>1030.0999999999999</v>
      </c>
      <c r="I686">
        <v>1025.5999999999999</v>
      </c>
      <c r="J686">
        <v>-4.5</v>
      </c>
    </row>
    <row r="687" spans="2:10" x14ac:dyDescent="0.25">
      <c r="B687" t="s">
        <v>791</v>
      </c>
      <c r="C687">
        <v>56161</v>
      </c>
      <c r="D687">
        <v>851.3</v>
      </c>
      <c r="E687">
        <v>866.5</v>
      </c>
      <c r="F687">
        <v>865.4</v>
      </c>
      <c r="G687">
        <v>864.9</v>
      </c>
      <c r="H687">
        <v>872</v>
      </c>
      <c r="I687" t="s">
        <v>33</v>
      </c>
      <c r="J687" t="s">
        <v>33</v>
      </c>
    </row>
    <row r="688" spans="2:10" x14ac:dyDescent="0.25">
      <c r="B688" t="s">
        <v>792</v>
      </c>
      <c r="C688">
        <v>561611</v>
      </c>
      <c r="D688">
        <v>43.4</v>
      </c>
      <c r="E688">
        <v>42.3</v>
      </c>
      <c r="F688">
        <v>42.2</v>
      </c>
      <c r="G688">
        <v>41.5</v>
      </c>
      <c r="H688">
        <v>41.7</v>
      </c>
      <c r="I688" t="s">
        <v>33</v>
      </c>
      <c r="J688" t="s">
        <v>33</v>
      </c>
    </row>
    <row r="689" spans="1:10" x14ac:dyDescent="0.25">
      <c r="B689" t="s">
        <v>793</v>
      </c>
      <c r="C689" t="s">
        <v>794</v>
      </c>
      <c r="D689">
        <v>808.4</v>
      </c>
      <c r="E689">
        <v>824</v>
      </c>
      <c r="F689">
        <v>823</v>
      </c>
      <c r="G689">
        <v>823.4</v>
      </c>
      <c r="H689">
        <v>830.3</v>
      </c>
      <c r="I689" t="s">
        <v>33</v>
      </c>
      <c r="J689" t="s">
        <v>33</v>
      </c>
    </row>
    <row r="690" spans="1:10" x14ac:dyDescent="0.25">
      <c r="B690" t="s">
        <v>795</v>
      </c>
      <c r="C690">
        <v>56162</v>
      </c>
      <c r="D690">
        <v>160.19999999999999</v>
      </c>
      <c r="E690">
        <v>158.30000000000001</v>
      </c>
      <c r="F690">
        <v>159.69999999999999</v>
      </c>
      <c r="G690">
        <v>160</v>
      </c>
      <c r="H690">
        <v>159.30000000000001</v>
      </c>
      <c r="I690" t="s">
        <v>33</v>
      </c>
      <c r="J690" t="s">
        <v>33</v>
      </c>
    </row>
    <row r="691" spans="1:10" x14ac:dyDescent="0.25">
      <c r="B691" t="s">
        <v>796</v>
      </c>
      <c r="C691">
        <v>5617</v>
      </c>
      <c r="D691">
        <v>2266.4</v>
      </c>
      <c r="E691">
        <v>2302.1</v>
      </c>
      <c r="F691">
        <v>2300.5</v>
      </c>
      <c r="G691">
        <v>2302.1</v>
      </c>
      <c r="H691">
        <v>2304.6999999999998</v>
      </c>
      <c r="I691">
        <v>2307.6999999999998</v>
      </c>
      <c r="J691">
        <v>3</v>
      </c>
    </row>
    <row r="692" spans="1:10" x14ac:dyDescent="0.25">
      <c r="B692" t="s">
        <v>797</v>
      </c>
      <c r="C692">
        <v>56171</v>
      </c>
      <c r="D692">
        <v>148.6</v>
      </c>
      <c r="E692">
        <v>152</v>
      </c>
      <c r="F692">
        <v>153.30000000000001</v>
      </c>
      <c r="G692">
        <v>153.80000000000001</v>
      </c>
      <c r="H692">
        <v>154.19999999999999</v>
      </c>
      <c r="I692" t="s">
        <v>33</v>
      </c>
      <c r="J692" t="s">
        <v>33</v>
      </c>
    </row>
    <row r="693" spans="1:10" x14ac:dyDescent="0.25">
      <c r="B693" t="s">
        <v>798</v>
      </c>
      <c r="C693">
        <v>56172</v>
      </c>
      <c r="D693">
        <v>1071.4000000000001</v>
      </c>
      <c r="E693">
        <v>1091.9000000000001</v>
      </c>
      <c r="F693">
        <v>1089.7</v>
      </c>
      <c r="G693">
        <v>1088.4000000000001</v>
      </c>
      <c r="H693">
        <v>1086.0999999999999</v>
      </c>
      <c r="I693" t="s">
        <v>33</v>
      </c>
      <c r="J693" t="s">
        <v>33</v>
      </c>
    </row>
    <row r="694" spans="1:10" x14ac:dyDescent="0.25">
      <c r="B694" t="s">
        <v>799</v>
      </c>
      <c r="C694">
        <v>56173</v>
      </c>
      <c r="D694">
        <v>889.2</v>
      </c>
      <c r="E694">
        <v>909</v>
      </c>
      <c r="F694">
        <v>907.7</v>
      </c>
      <c r="G694">
        <v>910.3</v>
      </c>
      <c r="H694">
        <v>910.7</v>
      </c>
      <c r="I694" t="s">
        <v>33</v>
      </c>
      <c r="J694" t="s">
        <v>33</v>
      </c>
    </row>
    <row r="695" spans="1:10" x14ac:dyDescent="0.25">
      <c r="B695" t="s">
        <v>800</v>
      </c>
      <c r="C695">
        <v>56174</v>
      </c>
      <c r="D695">
        <v>37.200000000000003</v>
      </c>
      <c r="E695">
        <v>39.4</v>
      </c>
      <c r="F695">
        <v>39</v>
      </c>
      <c r="G695">
        <v>38.4</v>
      </c>
      <c r="H695">
        <v>38.4</v>
      </c>
      <c r="I695" t="s">
        <v>33</v>
      </c>
      <c r="J695" t="s">
        <v>33</v>
      </c>
    </row>
    <row r="696" spans="1:10" x14ac:dyDescent="0.25">
      <c r="B696" t="s">
        <v>801</v>
      </c>
      <c r="C696">
        <v>56179</v>
      </c>
      <c r="D696">
        <v>110.8</v>
      </c>
      <c r="E696">
        <v>114.2</v>
      </c>
      <c r="F696">
        <v>111.6</v>
      </c>
      <c r="G696">
        <v>109.8</v>
      </c>
      <c r="H696">
        <v>113.3</v>
      </c>
      <c r="I696" t="s">
        <v>33</v>
      </c>
      <c r="J696" t="s">
        <v>33</v>
      </c>
    </row>
    <row r="697" spans="1:10" x14ac:dyDescent="0.25">
      <c r="B697" t="s">
        <v>802</v>
      </c>
      <c r="C697">
        <v>5619</v>
      </c>
      <c r="D697">
        <v>341.1</v>
      </c>
      <c r="E697">
        <v>345.3</v>
      </c>
      <c r="F697">
        <v>344</v>
      </c>
      <c r="G697">
        <v>343.1</v>
      </c>
      <c r="H697">
        <v>339.7</v>
      </c>
      <c r="I697">
        <v>339.1</v>
      </c>
      <c r="J697">
        <v>-0.6</v>
      </c>
    </row>
    <row r="698" spans="1:10" x14ac:dyDescent="0.25">
      <c r="B698" t="s">
        <v>803</v>
      </c>
      <c r="C698">
        <v>56191</v>
      </c>
      <c r="D698">
        <v>65.5</v>
      </c>
      <c r="E698">
        <v>69</v>
      </c>
      <c r="F698">
        <v>68.5</v>
      </c>
      <c r="G698">
        <v>68.7</v>
      </c>
      <c r="H698">
        <v>68.599999999999994</v>
      </c>
      <c r="I698" t="s">
        <v>33</v>
      </c>
      <c r="J698" t="s">
        <v>33</v>
      </c>
    </row>
    <row r="699" spans="1:10" x14ac:dyDescent="0.25">
      <c r="B699" t="s">
        <v>804</v>
      </c>
      <c r="C699">
        <v>56192</v>
      </c>
      <c r="D699">
        <v>52.5</v>
      </c>
      <c r="E699">
        <v>54.4</v>
      </c>
      <c r="F699">
        <v>54.4</v>
      </c>
      <c r="G699">
        <v>54.4</v>
      </c>
      <c r="H699">
        <v>51.7</v>
      </c>
      <c r="I699" t="s">
        <v>33</v>
      </c>
      <c r="J699" t="s">
        <v>33</v>
      </c>
    </row>
    <row r="700" spans="1:10" x14ac:dyDescent="0.25">
      <c r="B700" t="s">
        <v>805</v>
      </c>
      <c r="C700">
        <v>56199</v>
      </c>
      <c r="D700">
        <v>223</v>
      </c>
      <c r="E700">
        <v>221.8</v>
      </c>
      <c r="F700">
        <v>221.4</v>
      </c>
      <c r="G700">
        <v>220.4</v>
      </c>
      <c r="H700">
        <v>219.1</v>
      </c>
      <c r="I700" t="s">
        <v>33</v>
      </c>
      <c r="J700" t="s">
        <v>33</v>
      </c>
    </row>
    <row r="701" spans="1:10" x14ac:dyDescent="0.25">
      <c r="A701" t="s">
        <v>600</v>
      </c>
      <c r="B701" t="s">
        <v>806</v>
      </c>
      <c r="C701">
        <v>562</v>
      </c>
      <c r="D701">
        <v>505.5</v>
      </c>
      <c r="E701">
        <v>519.20000000000005</v>
      </c>
      <c r="F701">
        <v>520.1</v>
      </c>
      <c r="G701">
        <v>521.6</v>
      </c>
      <c r="H701">
        <v>523.20000000000005</v>
      </c>
      <c r="I701">
        <v>525.5</v>
      </c>
      <c r="J701">
        <v>2.2999999999999998</v>
      </c>
    </row>
    <row r="702" spans="1:10" x14ac:dyDescent="0.25">
      <c r="B702" t="s">
        <v>807</v>
      </c>
      <c r="C702">
        <v>5621</v>
      </c>
      <c r="D702">
        <v>216.2</v>
      </c>
      <c r="E702">
        <v>218.5</v>
      </c>
      <c r="F702">
        <v>219</v>
      </c>
      <c r="G702">
        <v>220.4</v>
      </c>
      <c r="H702">
        <v>222</v>
      </c>
      <c r="I702" t="s">
        <v>33</v>
      </c>
      <c r="J702" t="s">
        <v>33</v>
      </c>
    </row>
    <row r="703" spans="1:10" x14ac:dyDescent="0.25">
      <c r="B703" t="s">
        <v>808</v>
      </c>
      <c r="C703">
        <v>5622</v>
      </c>
      <c r="D703">
        <v>105.5</v>
      </c>
      <c r="E703">
        <v>108.1</v>
      </c>
      <c r="F703">
        <v>108.2</v>
      </c>
      <c r="G703">
        <v>108.2</v>
      </c>
      <c r="H703">
        <v>108.1</v>
      </c>
      <c r="I703" t="s">
        <v>33</v>
      </c>
      <c r="J703" t="s">
        <v>33</v>
      </c>
    </row>
    <row r="704" spans="1:10" x14ac:dyDescent="0.25">
      <c r="B704" t="s">
        <v>809</v>
      </c>
      <c r="C704">
        <v>562211</v>
      </c>
      <c r="D704">
        <v>41.5</v>
      </c>
      <c r="E704">
        <v>41.6</v>
      </c>
      <c r="F704">
        <v>41.2</v>
      </c>
      <c r="G704">
        <v>41.3</v>
      </c>
      <c r="H704">
        <v>41.2</v>
      </c>
      <c r="I704" t="s">
        <v>33</v>
      </c>
      <c r="J704" t="s">
        <v>33</v>
      </c>
    </row>
    <row r="705" spans="1:10" x14ac:dyDescent="0.25">
      <c r="B705" t="s">
        <v>810</v>
      </c>
      <c r="C705" t="s">
        <v>811</v>
      </c>
      <c r="D705">
        <v>64.2</v>
      </c>
      <c r="E705">
        <v>66.8</v>
      </c>
      <c r="F705">
        <v>67</v>
      </c>
      <c r="G705">
        <v>66.7</v>
      </c>
      <c r="H705">
        <v>66.8</v>
      </c>
      <c r="I705" t="s">
        <v>33</v>
      </c>
      <c r="J705" t="s">
        <v>33</v>
      </c>
    </row>
    <row r="706" spans="1:10" x14ac:dyDescent="0.25">
      <c r="B706" t="s">
        <v>812</v>
      </c>
      <c r="C706">
        <v>5629</v>
      </c>
      <c r="D706">
        <v>183.4</v>
      </c>
      <c r="E706">
        <v>192.8</v>
      </c>
      <c r="F706">
        <v>193.5</v>
      </c>
      <c r="G706">
        <v>193.7</v>
      </c>
      <c r="H706">
        <v>193.6</v>
      </c>
      <c r="I706" t="s">
        <v>33</v>
      </c>
      <c r="J706" t="s">
        <v>33</v>
      </c>
    </row>
    <row r="707" spans="1:10" x14ac:dyDescent="0.25">
      <c r="B707" t="s">
        <v>813</v>
      </c>
      <c r="C707">
        <v>56291</v>
      </c>
      <c r="D707">
        <v>99.4</v>
      </c>
      <c r="E707">
        <v>104.3</v>
      </c>
      <c r="F707">
        <v>105</v>
      </c>
      <c r="G707">
        <v>105.8</v>
      </c>
      <c r="H707">
        <v>105.2</v>
      </c>
      <c r="I707" t="s">
        <v>33</v>
      </c>
      <c r="J707" t="s">
        <v>33</v>
      </c>
    </row>
    <row r="708" spans="1:10" x14ac:dyDescent="0.25">
      <c r="B708" t="s">
        <v>814</v>
      </c>
      <c r="C708" t="s">
        <v>815</v>
      </c>
      <c r="D708">
        <v>84.4</v>
      </c>
      <c r="E708">
        <v>88.3</v>
      </c>
      <c r="F708">
        <v>88.4</v>
      </c>
      <c r="G708">
        <v>88</v>
      </c>
      <c r="H708">
        <v>88.7</v>
      </c>
      <c r="I708" t="s">
        <v>33</v>
      </c>
      <c r="J708" t="s">
        <v>33</v>
      </c>
    </row>
    <row r="710" spans="1:10" x14ac:dyDescent="0.25">
      <c r="B710" t="s">
        <v>816</v>
      </c>
      <c r="D710">
        <v>25747</v>
      </c>
      <c r="E710">
        <v>26403</v>
      </c>
      <c r="F710">
        <v>26470</v>
      </c>
      <c r="G710">
        <v>26561</v>
      </c>
      <c r="H710">
        <v>26628</v>
      </c>
      <c r="I710">
        <v>26707</v>
      </c>
      <c r="J710">
        <v>79</v>
      </c>
    </row>
    <row r="711" spans="1:10" x14ac:dyDescent="0.25">
      <c r="A711" t="s">
        <v>817</v>
      </c>
      <c r="B711" t="s">
        <v>818</v>
      </c>
      <c r="C711">
        <v>61</v>
      </c>
      <c r="D711">
        <v>3835</v>
      </c>
      <c r="E711">
        <v>3868.4</v>
      </c>
      <c r="F711">
        <v>3880.8</v>
      </c>
      <c r="G711">
        <v>3889.8</v>
      </c>
      <c r="H711">
        <v>3892.8</v>
      </c>
      <c r="I711">
        <v>3899.7</v>
      </c>
      <c r="J711">
        <v>6.9</v>
      </c>
    </row>
    <row r="712" spans="1:10" x14ac:dyDescent="0.25">
      <c r="B712" t="s">
        <v>819</v>
      </c>
      <c r="C712">
        <v>6111</v>
      </c>
      <c r="D712">
        <v>1157.7</v>
      </c>
      <c r="E712">
        <v>1167.7</v>
      </c>
      <c r="F712">
        <v>1173.2</v>
      </c>
      <c r="G712">
        <v>1179.2</v>
      </c>
      <c r="H712">
        <v>1183.5999999999999</v>
      </c>
      <c r="I712" t="s">
        <v>33</v>
      </c>
      <c r="J712" t="s">
        <v>33</v>
      </c>
    </row>
    <row r="713" spans="1:10" x14ac:dyDescent="0.25">
      <c r="B713" t="s">
        <v>820</v>
      </c>
      <c r="C713" t="s">
        <v>821</v>
      </c>
      <c r="D713">
        <v>1748.5</v>
      </c>
      <c r="E713">
        <v>1761.6</v>
      </c>
      <c r="F713">
        <v>1764.4</v>
      </c>
      <c r="G713">
        <v>1765</v>
      </c>
      <c r="H713">
        <v>1759.9</v>
      </c>
      <c r="I713" t="s">
        <v>33</v>
      </c>
      <c r="J713" t="s">
        <v>33</v>
      </c>
    </row>
    <row r="714" spans="1:10" x14ac:dyDescent="0.25">
      <c r="B714" t="s">
        <v>822</v>
      </c>
      <c r="C714">
        <v>6114</v>
      </c>
      <c r="D714">
        <v>87.7</v>
      </c>
      <c r="E714">
        <v>87.2</v>
      </c>
      <c r="F714">
        <v>87.2</v>
      </c>
      <c r="G714">
        <v>88.4</v>
      </c>
      <c r="H714">
        <v>88.4</v>
      </c>
      <c r="I714" t="s">
        <v>33</v>
      </c>
      <c r="J714" t="s">
        <v>33</v>
      </c>
    </row>
    <row r="715" spans="1:10" x14ac:dyDescent="0.25">
      <c r="B715" t="s">
        <v>823</v>
      </c>
      <c r="C715" t="s">
        <v>824</v>
      </c>
      <c r="D715">
        <v>25.9</v>
      </c>
      <c r="E715">
        <v>22.2</v>
      </c>
      <c r="F715">
        <v>22.4</v>
      </c>
      <c r="G715">
        <v>22.7</v>
      </c>
      <c r="H715">
        <v>22.2</v>
      </c>
      <c r="I715" t="s">
        <v>33</v>
      </c>
      <c r="J715" t="s">
        <v>33</v>
      </c>
    </row>
    <row r="716" spans="1:10" x14ac:dyDescent="0.25">
      <c r="B716" t="s">
        <v>825</v>
      </c>
      <c r="C716">
        <v>61143</v>
      </c>
      <c r="D716">
        <v>61.8</v>
      </c>
      <c r="E716">
        <v>64.7</v>
      </c>
      <c r="F716">
        <v>64.5</v>
      </c>
      <c r="G716">
        <v>65.7</v>
      </c>
      <c r="H716">
        <v>66.5</v>
      </c>
      <c r="I716" t="s">
        <v>33</v>
      </c>
      <c r="J716" t="s">
        <v>33</v>
      </c>
    </row>
    <row r="717" spans="1:10" x14ac:dyDescent="0.25">
      <c r="B717" t="s">
        <v>826</v>
      </c>
      <c r="C717">
        <v>6115</v>
      </c>
      <c r="D717">
        <v>120.7</v>
      </c>
      <c r="E717">
        <v>122.3</v>
      </c>
      <c r="F717">
        <v>123.2</v>
      </c>
      <c r="G717">
        <v>122</v>
      </c>
      <c r="H717">
        <v>124.7</v>
      </c>
      <c r="I717" t="s">
        <v>33</v>
      </c>
      <c r="J717" t="s">
        <v>33</v>
      </c>
    </row>
    <row r="718" spans="1:10" x14ac:dyDescent="0.25">
      <c r="B718" t="s">
        <v>827</v>
      </c>
      <c r="C718">
        <v>6116</v>
      </c>
      <c r="D718">
        <v>530.20000000000005</v>
      </c>
      <c r="E718">
        <v>528.70000000000005</v>
      </c>
      <c r="F718">
        <v>533.70000000000005</v>
      </c>
      <c r="G718">
        <v>541.1</v>
      </c>
      <c r="H718">
        <v>546.4</v>
      </c>
      <c r="I718" t="s">
        <v>33</v>
      </c>
      <c r="J718" t="s">
        <v>33</v>
      </c>
    </row>
    <row r="719" spans="1:10" x14ac:dyDescent="0.25">
      <c r="B719" t="s">
        <v>828</v>
      </c>
      <c r="C719">
        <v>61161</v>
      </c>
      <c r="D719">
        <v>126</v>
      </c>
      <c r="E719">
        <v>126.5</v>
      </c>
      <c r="F719">
        <v>125.1</v>
      </c>
      <c r="G719">
        <v>127.1</v>
      </c>
      <c r="H719">
        <v>126.8</v>
      </c>
      <c r="I719" t="s">
        <v>33</v>
      </c>
      <c r="J719" t="s">
        <v>33</v>
      </c>
    </row>
    <row r="720" spans="1:10" x14ac:dyDescent="0.25">
      <c r="B720" t="s">
        <v>829</v>
      </c>
      <c r="C720">
        <v>61162</v>
      </c>
      <c r="D720">
        <v>175.9</v>
      </c>
      <c r="E720">
        <v>178.3</v>
      </c>
      <c r="F720">
        <v>181.1</v>
      </c>
      <c r="G720">
        <v>180.7</v>
      </c>
      <c r="H720">
        <v>181.1</v>
      </c>
      <c r="I720" t="s">
        <v>33</v>
      </c>
      <c r="J720" t="s">
        <v>33</v>
      </c>
    </row>
    <row r="721" spans="1:10" x14ac:dyDescent="0.25">
      <c r="B721" t="s">
        <v>830</v>
      </c>
      <c r="C721" t="s">
        <v>831</v>
      </c>
      <c r="D721">
        <v>226.6</v>
      </c>
      <c r="E721">
        <v>229.5</v>
      </c>
      <c r="F721">
        <v>231.9</v>
      </c>
      <c r="G721">
        <v>233.2</v>
      </c>
      <c r="H721">
        <v>237.7</v>
      </c>
      <c r="I721" t="s">
        <v>33</v>
      </c>
      <c r="J721" t="s">
        <v>33</v>
      </c>
    </row>
    <row r="722" spans="1:10" x14ac:dyDescent="0.25">
      <c r="B722" t="s">
        <v>832</v>
      </c>
      <c r="C722">
        <v>6117</v>
      </c>
      <c r="D722">
        <v>191.2</v>
      </c>
      <c r="E722">
        <v>190.8</v>
      </c>
      <c r="F722">
        <v>189.4</v>
      </c>
      <c r="G722">
        <v>190.4</v>
      </c>
      <c r="H722">
        <v>191.6</v>
      </c>
      <c r="I722" t="s">
        <v>33</v>
      </c>
      <c r="J722" t="s">
        <v>33</v>
      </c>
    </row>
    <row r="723" spans="1:10" x14ac:dyDescent="0.25">
      <c r="A723" t="s">
        <v>833</v>
      </c>
      <c r="B723" t="s">
        <v>834</v>
      </c>
      <c r="C723">
        <v>62</v>
      </c>
      <c r="D723">
        <v>21912.400000000001</v>
      </c>
      <c r="E723">
        <v>22534.2</v>
      </c>
      <c r="F723">
        <v>22589.5</v>
      </c>
      <c r="G723">
        <v>22670.9</v>
      </c>
      <c r="H723">
        <v>22735.1</v>
      </c>
      <c r="I723">
        <v>22807.4</v>
      </c>
      <c r="J723">
        <v>72.3</v>
      </c>
    </row>
    <row r="724" spans="1:10" x14ac:dyDescent="0.25">
      <c r="B724" t="s">
        <v>835</v>
      </c>
      <c r="C724" t="s">
        <v>836</v>
      </c>
      <c r="D724">
        <v>17241.400000000001</v>
      </c>
      <c r="E724">
        <v>17697.599999999999</v>
      </c>
      <c r="F724">
        <v>17741</v>
      </c>
      <c r="G724">
        <v>17800.2</v>
      </c>
      <c r="H724">
        <v>17867.2</v>
      </c>
      <c r="I724">
        <v>17920.8</v>
      </c>
      <c r="J724">
        <v>53.6</v>
      </c>
    </row>
    <row r="725" spans="1:10" x14ac:dyDescent="0.25">
      <c r="B725" t="s">
        <v>837</v>
      </c>
      <c r="C725">
        <v>621</v>
      </c>
      <c r="D725">
        <v>8604.5</v>
      </c>
      <c r="E725">
        <v>8832.9</v>
      </c>
      <c r="F725">
        <v>8861.6</v>
      </c>
      <c r="G725">
        <v>8893.2000000000007</v>
      </c>
      <c r="H725">
        <v>8937.6</v>
      </c>
      <c r="I725">
        <v>8960</v>
      </c>
      <c r="J725">
        <v>22.4</v>
      </c>
    </row>
    <row r="726" spans="1:10" x14ac:dyDescent="0.25">
      <c r="B726" t="s">
        <v>838</v>
      </c>
      <c r="C726">
        <v>6211</v>
      </c>
      <c r="D726">
        <v>2977.2</v>
      </c>
      <c r="E726">
        <v>3036.6</v>
      </c>
      <c r="F726">
        <v>3041.3</v>
      </c>
      <c r="G726">
        <v>3048.3</v>
      </c>
      <c r="H726">
        <v>3059.6</v>
      </c>
      <c r="I726">
        <v>3061.5</v>
      </c>
      <c r="J726">
        <v>1.9</v>
      </c>
    </row>
    <row r="727" spans="1:10" x14ac:dyDescent="0.25">
      <c r="B727" t="s">
        <v>839</v>
      </c>
      <c r="C727">
        <v>621111</v>
      </c>
      <c r="D727">
        <v>2894.8</v>
      </c>
      <c r="E727">
        <v>2949.1</v>
      </c>
      <c r="F727">
        <v>2953.1</v>
      </c>
      <c r="G727">
        <v>2959</v>
      </c>
      <c r="H727">
        <v>2971.3</v>
      </c>
      <c r="I727" t="s">
        <v>33</v>
      </c>
      <c r="J727" t="s">
        <v>33</v>
      </c>
    </row>
    <row r="728" spans="1:10" x14ac:dyDescent="0.25">
      <c r="B728" t="s">
        <v>840</v>
      </c>
      <c r="C728">
        <v>621112</v>
      </c>
      <c r="D728">
        <v>82.5</v>
      </c>
      <c r="E728">
        <v>87.1</v>
      </c>
      <c r="F728">
        <v>88.2</v>
      </c>
      <c r="G728">
        <v>89.3</v>
      </c>
      <c r="H728">
        <v>89.3</v>
      </c>
      <c r="I728" t="s">
        <v>33</v>
      </c>
      <c r="J728" t="s">
        <v>33</v>
      </c>
    </row>
    <row r="729" spans="1:10" x14ac:dyDescent="0.25">
      <c r="B729" t="s">
        <v>841</v>
      </c>
      <c r="C729">
        <v>6212</v>
      </c>
      <c r="D729">
        <v>1031.0999999999999</v>
      </c>
      <c r="E729">
        <v>1041.8</v>
      </c>
      <c r="F729">
        <v>1043.8</v>
      </c>
      <c r="G729">
        <v>1045.5</v>
      </c>
      <c r="H729">
        <v>1057.3</v>
      </c>
      <c r="I729">
        <v>1052.5999999999999</v>
      </c>
      <c r="J729">
        <v>-4.7</v>
      </c>
    </row>
    <row r="730" spans="1:10" x14ac:dyDescent="0.25">
      <c r="B730" t="s">
        <v>842</v>
      </c>
      <c r="C730">
        <v>6213</v>
      </c>
      <c r="D730">
        <v>1178</v>
      </c>
      <c r="E730">
        <v>1212.2</v>
      </c>
      <c r="F730">
        <v>1218.3</v>
      </c>
      <c r="G730">
        <v>1223.7</v>
      </c>
      <c r="H730">
        <v>1229.5</v>
      </c>
      <c r="I730">
        <v>1239</v>
      </c>
      <c r="J730">
        <v>9.5</v>
      </c>
    </row>
    <row r="731" spans="1:10" x14ac:dyDescent="0.25">
      <c r="B731" t="s">
        <v>843</v>
      </c>
      <c r="C731">
        <v>62131</v>
      </c>
      <c r="D731">
        <v>147.69999999999999</v>
      </c>
      <c r="E731">
        <v>151.6</v>
      </c>
      <c r="F731">
        <v>150.80000000000001</v>
      </c>
      <c r="G731">
        <v>150.1</v>
      </c>
      <c r="H731">
        <v>149.80000000000001</v>
      </c>
      <c r="I731" t="s">
        <v>33</v>
      </c>
      <c r="J731" t="s">
        <v>33</v>
      </c>
    </row>
    <row r="732" spans="1:10" x14ac:dyDescent="0.25">
      <c r="B732" t="s">
        <v>844</v>
      </c>
      <c r="C732">
        <v>62132</v>
      </c>
      <c r="D732">
        <v>153.9</v>
      </c>
      <c r="E732">
        <v>156.19999999999999</v>
      </c>
      <c r="F732">
        <v>158.9</v>
      </c>
      <c r="G732">
        <v>159.5</v>
      </c>
      <c r="H732">
        <v>158.6</v>
      </c>
      <c r="I732" t="s">
        <v>33</v>
      </c>
      <c r="J732" t="s">
        <v>33</v>
      </c>
    </row>
    <row r="733" spans="1:10" x14ac:dyDescent="0.25">
      <c r="B733" t="s">
        <v>845</v>
      </c>
      <c r="C733">
        <v>62133</v>
      </c>
      <c r="D733">
        <v>210.9</v>
      </c>
      <c r="E733">
        <v>234</v>
      </c>
      <c r="F733">
        <v>235.1</v>
      </c>
      <c r="G733">
        <v>238.6</v>
      </c>
      <c r="H733">
        <v>237.7</v>
      </c>
      <c r="I733" t="s">
        <v>33</v>
      </c>
      <c r="J733" t="s">
        <v>33</v>
      </c>
    </row>
    <row r="734" spans="1:10" x14ac:dyDescent="0.25">
      <c r="B734" t="s">
        <v>846</v>
      </c>
      <c r="C734">
        <v>62134</v>
      </c>
      <c r="D734">
        <v>476.2</v>
      </c>
      <c r="E734">
        <v>479.9</v>
      </c>
      <c r="F734">
        <v>482.8</v>
      </c>
      <c r="G734">
        <v>486.1</v>
      </c>
      <c r="H734">
        <v>488.8</v>
      </c>
      <c r="I734" t="s">
        <v>33</v>
      </c>
      <c r="J734" t="s">
        <v>33</v>
      </c>
    </row>
    <row r="735" spans="1:10" x14ac:dyDescent="0.25">
      <c r="B735" t="s">
        <v>847</v>
      </c>
      <c r="C735">
        <v>62139</v>
      </c>
      <c r="D735">
        <v>186.3</v>
      </c>
      <c r="E735">
        <v>189.9</v>
      </c>
      <c r="F735">
        <v>191</v>
      </c>
      <c r="G735">
        <v>190.8</v>
      </c>
      <c r="H735">
        <v>192.1</v>
      </c>
      <c r="I735" t="s">
        <v>33</v>
      </c>
      <c r="J735" t="s">
        <v>33</v>
      </c>
    </row>
    <row r="736" spans="1:10" x14ac:dyDescent="0.25">
      <c r="B736" t="s">
        <v>848</v>
      </c>
      <c r="C736">
        <v>621391</v>
      </c>
      <c r="D736">
        <v>33.4</v>
      </c>
      <c r="E736">
        <v>33.9</v>
      </c>
      <c r="F736">
        <v>33.700000000000003</v>
      </c>
      <c r="G736">
        <v>33.5</v>
      </c>
      <c r="H736">
        <v>33.5</v>
      </c>
      <c r="I736" t="s">
        <v>33</v>
      </c>
      <c r="J736" t="s">
        <v>33</v>
      </c>
    </row>
    <row r="737" spans="2:10" x14ac:dyDescent="0.25">
      <c r="B737" t="s">
        <v>849</v>
      </c>
      <c r="C737">
        <v>621399</v>
      </c>
      <c r="D737">
        <v>153</v>
      </c>
      <c r="E737">
        <v>156.1</v>
      </c>
      <c r="F737">
        <v>157.1</v>
      </c>
      <c r="G737">
        <v>157.6</v>
      </c>
      <c r="H737">
        <v>158.6</v>
      </c>
      <c r="I737" t="s">
        <v>33</v>
      </c>
      <c r="J737" t="s">
        <v>33</v>
      </c>
    </row>
    <row r="738" spans="2:10" x14ac:dyDescent="0.25">
      <c r="B738" t="s">
        <v>850</v>
      </c>
      <c r="C738">
        <v>6214</v>
      </c>
      <c r="D738">
        <v>1074</v>
      </c>
      <c r="E738">
        <v>1091.5999999999999</v>
      </c>
      <c r="F738">
        <v>1093.5999999999999</v>
      </c>
      <c r="G738">
        <v>1096.8</v>
      </c>
      <c r="H738">
        <v>1093.8</v>
      </c>
      <c r="I738">
        <v>1094.4000000000001</v>
      </c>
      <c r="J738">
        <v>0.6</v>
      </c>
    </row>
    <row r="739" spans="2:10" x14ac:dyDescent="0.25">
      <c r="B739" t="s">
        <v>851</v>
      </c>
      <c r="C739">
        <v>62142</v>
      </c>
      <c r="D739">
        <v>300.8</v>
      </c>
      <c r="E739">
        <v>309.89999999999998</v>
      </c>
      <c r="F739">
        <v>309.7</v>
      </c>
      <c r="G739">
        <v>311.8</v>
      </c>
      <c r="H739">
        <v>312.39999999999998</v>
      </c>
      <c r="I739" t="s">
        <v>33</v>
      </c>
      <c r="J739" t="s">
        <v>33</v>
      </c>
    </row>
    <row r="740" spans="2:10" x14ac:dyDescent="0.25">
      <c r="B740" t="s">
        <v>852</v>
      </c>
      <c r="C740" t="s">
        <v>853</v>
      </c>
      <c r="D740">
        <v>772.8</v>
      </c>
      <c r="E740">
        <v>781.9</v>
      </c>
      <c r="F740">
        <v>783.9</v>
      </c>
      <c r="G740">
        <v>784.3</v>
      </c>
      <c r="H740">
        <v>781.3</v>
      </c>
      <c r="I740" t="s">
        <v>33</v>
      </c>
      <c r="J740" t="s">
        <v>33</v>
      </c>
    </row>
    <row r="741" spans="2:10" x14ac:dyDescent="0.25">
      <c r="B741" t="s">
        <v>854</v>
      </c>
      <c r="C741">
        <v>621491</v>
      </c>
      <c r="D741">
        <v>197.9</v>
      </c>
      <c r="E741">
        <v>193.7</v>
      </c>
      <c r="F741">
        <v>194.9</v>
      </c>
      <c r="G741">
        <v>193.5</v>
      </c>
      <c r="H741">
        <v>192.2</v>
      </c>
      <c r="I741" t="s">
        <v>33</v>
      </c>
      <c r="J741" t="s">
        <v>33</v>
      </c>
    </row>
    <row r="742" spans="2:10" x14ac:dyDescent="0.25">
      <c r="B742" t="s">
        <v>855</v>
      </c>
      <c r="C742">
        <v>621492</v>
      </c>
      <c r="D742">
        <v>131.5</v>
      </c>
      <c r="E742">
        <v>131.5</v>
      </c>
      <c r="F742">
        <v>130.80000000000001</v>
      </c>
      <c r="G742">
        <v>131.30000000000001</v>
      </c>
      <c r="H742">
        <v>129.4</v>
      </c>
      <c r="I742" t="s">
        <v>33</v>
      </c>
      <c r="J742" t="s">
        <v>33</v>
      </c>
    </row>
    <row r="743" spans="2:10" x14ac:dyDescent="0.25">
      <c r="B743" t="s">
        <v>856</v>
      </c>
      <c r="C743">
        <v>621493</v>
      </c>
      <c r="D743">
        <v>177.2</v>
      </c>
      <c r="E743">
        <v>179.7</v>
      </c>
      <c r="F743">
        <v>180.3</v>
      </c>
      <c r="G743">
        <v>182.6</v>
      </c>
      <c r="H743">
        <v>181.6</v>
      </c>
      <c r="I743" t="s">
        <v>33</v>
      </c>
      <c r="J743" t="s">
        <v>33</v>
      </c>
    </row>
    <row r="744" spans="2:10" x14ac:dyDescent="0.25">
      <c r="B744" t="s">
        <v>857</v>
      </c>
      <c r="C744" t="s">
        <v>858</v>
      </c>
      <c r="D744">
        <v>265.7</v>
      </c>
      <c r="E744">
        <v>276.60000000000002</v>
      </c>
      <c r="F744">
        <v>277.60000000000002</v>
      </c>
      <c r="G744">
        <v>277.7</v>
      </c>
      <c r="H744">
        <v>278.10000000000002</v>
      </c>
      <c r="I744" t="s">
        <v>33</v>
      </c>
      <c r="J744" t="s">
        <v>33</v>
      </c>
    </row>
    <row r="745" spans="2:10" x14ac:dyDescent="0.25">
      <c r="B745" t="s">
        <v>859</v>
      </c>
      <c r="C745">
        <v>6215</v>
      </c>
      <c r="D745">
        <v>323.60000000000002</v>
      </c>
      <c r="E745">
        <v>317.39999999999998</v>
      </c>
      <c r="F745">
        <v>318</v>
      </c>
      <c r="G745">
        <v>316.5</v>
      </c>
      <c r="H745">
        <v>318.39999999999998</v>
      </c>
      <c r="I745">
        <v>318.2</v>
      </c>
      <c r="J745">
        <v>-0.2</v>
      </c>
    </row>
    <row r="746" spans="2:10" x14ac:dyDescent="0.25">
      <c r="B746" t="s">
        <v>860</v>
      </c>
      <c r="C746">
        <v>621511</v>
      </c>
      <c r="D746">
        <v>234.4</v>
      </c>
      <c r="E746">
        <v>225.7</v>
      </c>
      <c r="F746">
        <v>225</v>
      </c>
      <c r="G746">
        <v>223.6</v>
      </c>
      <c r="H746">
        <v>225</v>
      </c>
      <c r="I746" t="s">
        <v>33</v>
      </c>
      <c r="J746" t="s">
        <v>33</v>
      </c>
    </row>
    <row r="747" spans="2:10" x14ac:dyDescent="0.25">
      <c r="B747" t="s">
        <v>861</v>
      </c>
      <c r="C747">
        <v>621512</v>
      </c>
      <c r="D747">
        <v>89</v>
      </c>
      <c r="E747">
        <v>91.4</v>
      </c>
      <c r="F747">
        <v>92.7</v>
      </c>
      <c r="G747">
        <v>92.5</v>
      </c>
      <c r="H747">
        <v>93.6</v>
      </c>
      <c r="I747" t="s">
        <v>33</v>
      </c>
      <c r="J747" t="s">
        <v>33</v>
      </c>
    </row>
    <row r="748" spans="2:10" x14ac:dyDescent="0.25">
      <c r="B748" t="s">
        <v>862</v>
      </c>
      <c r="C748">
        <v>6216</v>
      </c>
      <c r="D748">
        <v>1667.5</v>
      </c>
      <c r="E748">
        <v>1775.4</v>
      </c>
      <c r="F748">
        <v>1786.1</v>
      </c>
      <c r="G748">
        <v>1801.6</v>
      </c>
      <c r="H748">
        <v>1815.4</v>
      </c>
      <c r="I748">
        <v>1831.4</v>
      </c>
      <c r="J748">
        <v>16</v>
      </c>
    </row>
    <row r="749" spans="2:10" x14ac:dyDescent="0.25">
      <c r="B749" t="s">
        <v>863</v>
      </c>
      <c r="C749">
        <v>6219</v>
      </c>
      <c r="D749">
        <v>353.1</v>
      </c>
      <c r="E749">
        <v>358</v>
      </c>
      <c r="F749">
        <v>360.6</v>
      </c>
      <c r="G749">
        <v>360.8</v>
      </c>
      <c r="H749">
        <v>363.5</v>
      </c>
      <c r="I749">
        <v>363</v>
      </c>
      <c r="J749">
        <v>-0.5</v>
      </c>
    </row>
    <row r="750" spans="2:10" x14ac:dyDescent="0.25">
      <c r="B750" t="s">
        <v>864</v>
      </c>
      <c r="C750">
        <v>62191</v>
      </c>
      <c r="D750">
        <v>167.6</v>
      </c>
      <c r="E750">
        <v>167.9</v>
      </c>
      <c r="F750">
        <v>170.3</v>
      </c>
      <c r="G750">
        <v>170.6</v>
      </c>
      <c r="H750">
        <v>172</v>
      </c>
      <c r="I750" t="s">
        <v>33</v>
      </c>
      <c r="J750" t="s">
        <v>33</v>
      </c>
    </row>
    <row r="751" spans="2:10" x14ac:dyDescent="0.25">
      <c r="B751" t="s">
        <v>865</v>
      </c>
      <c r="C751">
        <v>62199</v>
      </c>
      <c r="D751">
        <v>186.1</v>
      </c>
      <c r="E751">
        <v>190.4</v>
      </c>
      <c r="F751">
        <v>191</v>
      </c>
      <c r="G751">
        <v>190.2</v>
      </c>
      <c r="H751">
        <v>191.3</v>
      </c>
      <c r="I751" t="s">
        <v>33</v>
      </c>
      <c r="J751" t="s">
        <v>33</v>
      </c>
    </row>
    <row r="752" spans="2:10" x14ac:dyDescent="0.25">
      <c r="B752" t="s">
        <v>866</v>
      </c>
      <c r="C752">
        <v>621991</v>
      </c>
      <c r="D752">
        <v>91.3</v>
      </c>
      <c r="E752">
        <v>92.7</v>
      </c>
      <c r="F752">
        <v>92.9</v>
      </c>
      <c r="G752">
        <v>92.8</v>
      </c>
      <c r="H752">
        <v>93</v>
      </c>
      <c r="I752" t="s">
        <v>33</v>
      </c>
      <c r="J752" t="s">
        <v>33</v>
      </c>
    </row>
    <row r="753" spans="2:10" x14ac:dyDescent="0.25">
      <c r="B753" t="s">
        <v>867</v>
      </c>
      <c r="C753">
        <v>621999</v>
      </c>
      <c r="D753">
        <v>95.3</v>
      </c>
      <c r="E753">
        <v>97.1</v>
      </c>
      <c r="F753">
        <v>97.4</v>
      </c>
      <c r="G753">
        <v>97.1</v>
      </c>
      <c r="H753">
        <v>98.9</v>
      </c>
      <c r="I753" t="s">
        <v>33</v>
      </c>
      <c r="J753" t="s">
        <v>33</v>
      </c>
    </row>
    <row r="754" spans="2:10" x14ac:dyDescent="0.25">
      <c r="B754" t="s">
        <v>868</v>
      </c>
      <c r="C754">
        <v>622</v>
      </c>
      <c r="D754">
        <v>5420.2</v>
      </c>
      <c r="E754">
        <v>5574.1</v>
      </c>
      <c r="F754">
        <v>5585.8</v>
      </c>
      <c r="G754">
        <v>5603.1</v>
      </c>
      <c r="H754">
        <v>5614.3</v>
      </c>
      <c r="I754">
        <v>5633.6</v>
      </c>
      <c r="J754">
        <v>19.3</v>
      </c>
    </row>
    <row r="755" spans="2:10" x14ac:dyDescent="0.25">
      <c r="B755" t="s">
        <v>869</v>
      </c>
      <c r="C755">
        <v>6221</v>
      </c>
      <c r="D755">
        <v>4961.6000000000004</v>
      </c>
      <c r="E755">
        <v>5098.3999999999996</v>
      </c>
      <c r="F755">
        <v>5109.8999999999996</v>
      </c>
      <c r="G755">
        <v>5125.3999999999996</v>
      </c>
      <c r="H755">
        <v>5135.8</v>
      </c>
      <c r="I755" t="s">
        <v>33</v>
      </c>
      <c r="J755" t="s">
        <v>33</v>
      </c>
    </row>
    <row r="756" spans="2:10" x14ac:dyDescent="0.25">
      <c r="B756" t="s">
        <v>870</v>
      </c>
      <c r="C756">
        <v>6222</v>
      </c>
      <c r="D756">
        <v>160.30000000000001</v>
      </c>
      <c r="E756">
        <v>168.6</v>
      </c>
      <c r="F756">
        <v>168.8</v>
      </c>
      <c r="G756">
        <v>169.1</v>
      </c>
      <c r="H756">
        <v>169.3</v>
      </c>
      <c r="I756" t="s">
        <v>33</v>
      </c>
      <c r="J756" t="s">
        <v>33</v>
      </c>
    </row>
    <row r="757" spans="2:10" x14ac:dyDescent="0.25">
      <c r="B757" t="s">
        <v>871</v>
      </c>
      <c r="C757">
        <v>6223</v>
      </c>
      <c r="D757">
        <v>299.7</v>
      </c>
      <c r="E757">
        <v>307</v>
      </c>
      <c r="F757">
        <v>308</v>
      </c>
      <c r="G757">
        <v>309.10000000000002</v>
      </c>
      <c r="H757">
        <v>309</v>
      </c>
      <c r="I757" t="s">
        <v>33</v>
      </c>
      <c r="J757" t="s">
        <v>33</v>
      </c>
    </row>
    <row r="758" spans="2:10" x14ac:dyDescent="0.25">
      <c r="B758" t="s">
        <v>872</v>
      </c>
      <c r="C758">
        <v>623</v>
      </c>
      <c r="D758">
        <v>3216.7</v>
      </c>
      <c r="E758">
        <v>3290.6</v>
      </c>
      <c r="F758">
        <v>3293.6</v>
      </c>
      <c r="G758">
        <v>3303.9</v>
      </c>
      <c r="H758">
        <v>3315.3</v>
      </c>
      <c r="I758">
        <v>3327.2</v>
      </c>
      <c r="J758">
        <v>11.9</v>
      </c>
    </row>
    <row r="759" spans="2:10" x14ac:dyDescent="0.25">
      <c r="B759" t="s">
        <v>873</v>
      </c>
      <c r="C759">
        <v>6231</v>
      </c>
      <c r="D759">
        <v>1443.5</v>
      </c>
      <c r="E759">
        <v>1471</v>
      </c>
      <c r="F759">
        <v>1471.1</v>
      </c>
      <c r="G759">
        <v>1476.9</v>
      </c>
      <c r="H759">
        <v>1480.8</v>
      </c>
      <c r="I759">
        <v>1484.7</v>
      </c>
      <c r="J759">
        <v>3.9</v>
      </c>
    </row>
    <row r="760" spans="2:10" x14ac:dyDescent="0.25">
      <c r="B760" t="s">
        <v>874</v>
      </c>
      <c r="C760">
        <v>6232</v>
      </c>
      <c r="D760">
        <v>650.79999999999995</v>
      </c>
      <c r="E760">
        <v>672.1</v>
      </c>
      <c r="F760">
        <v>671.9</v>
      </c>
      <c r="G760">
        <v>672.7</v>
      </c>
      <c r="H760">
        <v>676.1</v>
      </c>
      <c r="I760">
        <v>680</v>
      </c>
      <c r="J760">
        <v>3.9</v>
      </c>
    </row>
    <row r="761" spans="2:10" x14ac:dyDescent="0.25">
      <c r="B761" t="s">
        <v>875</v>
      </c>
      <c r="C761">
        <v>62321</v>
      </c>
      <c r="D761">
        <v>392.6</v>
      </c>
      <c r="E761">
        <v>406.5</v>
      </c>
      <c r="F761">
        <v>406.3</v>
      </c>
      <c r="G761">
        <v>405.6</v>
      </c>
      <c r="H761">
        <v>406.9</v>
      </c>
      <c r="I761" t="s">
        <v>33</v>
      </c>
      <c r="J761" t="s">
        <v>33</v>
      </c>
    </row>
    <row r="762" spans="2:10" x14ac:dyDescent="0.25">
      <c r="B762" t="s">
        <v>876</v>
      </c>
      <c r="C762">
        <v>62322</v>
      </c>
      <c r="D762">
        <v>257.8</v>
      </c>
      <c r="E762">
        <v>265.5</v>
      </c>
      <c r="F762">
        <v>266.10000000000002</v>
      </c>
      <c r="G762">
        <v>267.39999999999998</v>
      </c>
      <c r="H762">
        <v>269.2</v>
      </c>
      <c r="I762" t="s">
        <v>33</v>
      </c>
      <c r="J762" t="s">
        <v>33</v>
      </c>
    </row>
    <row r="763" spans="2:10" x14ac:dyDescent="0.25">
      <c r="B763" t="s">
        <v>877</v>
      </c>
      <c r="C763">
        <v>6233</v>
      </c>
      <c r="D763">
        <v>964.7</v>
      </c>
      <c r="E763">
        <v>981.5</v>
      </c>
      <c r="F763">
        <v>985</v>
      </c>
      <c r="G763">
        <v>987.7</v>
      </c>
      <c r="H763">
        <v>991.8</v>
      </c>
      <c r="I763">
        <v>994.3</v>
      </c>
      <c r="J763">
        <v>2.5</v>
      </c>
    </row>
    <row r="764" spans="2:10" x14ac:dyDescent="0.25">
      <c r="B764" t="s">
        <v>878</v>
      </c>
      <c r="C764">
        <v>623311</v>
      </c>
      <c r="D764">
        <v>478.2</v>
      </c>
      <c r="E764">
        <v>480.5</v>
      </c>
      <c r="F764">
        <v>483.4</v>
      </c>
      <c r="G764">
        <v>485.3</v>
      </c>
      <c r="H764">
        <v>486</v>
      </c>
      <c r="I764" t="s">
        <v>33</v>
      </c>
      <c r="J764" t="s">
        <v>33</v>
      </c>
    </row>
    <row r="765" spans="2:10" x14ac:dyDescent="0.25">
      <c r="B765" t="s">
        <v>879</v>
      </c>
      <c r="C765">
        <v>623312</v>
      </c>
      <c r="D765">
        <v>484.1</v>
      </c>
      <c r="E765">
        <v>499.1</v>
      </c>
      <c r="F765">
        <v>500.4</v>
      </c>
      <c r="G765">
        <v>501.3</v>
      </c>
      <c r="H765">
        <v>501.9</v>
      </c>
      <c r="I765" t="s">
        <v>33</v>
      </c>
      <c r="J765" t="s">
        <v>33</v>
      </c>
    </row>
    <row r="766" spans="2:10" x14ac:dyDescent="0.25">
      <c r="B766" t="s">
        <v>880</v>
      </c>
      <c r="C766">
        <v>6239</v>
      </c>
      <c r="D766">
        <v>157.69999999999999</v>
      </c>
      <c r="E766">
        <v>166.1</v>
      </c>
      <c r="F766">
        <v>165.6</v>
      </c>
      <c r="G766">
        <v>166.6</v>
      </c>
      <c r="H766">
        <v>166.6</v>
      </c>
      <c r="I766">
        <v>168.2</v>
      </c>
      <c r="J766">
        <v>1.6</v>
      </c>
    </row>
    <row r="767" spans="2:10" x14ac:dyDescent="0.25">
      <c r="B767" t="s">
        <v>881</v>
      </c>
      <c r="C767">
        <v>624</v>
      </c>
      <c r="D767">
        <v>4671</v>
      </c>
      <c r="E767">
        <v>4836.6000000000004</v>
      </c>
      <c r="F767">
        <v>4848.5</v>
      </c>
      <c r="G767">
        <v>4870.7</v>
      </c>
      <c r="H767">
        <v>4867.8999999999996</v>
      </c>
      <c r="I767">
        <v>4886.6000000000004</v>
      </c>
      <c r="J767">
        <v>18.7</v>
      </c>
    </row>
    <row r="768" spans="2:10" x14ac:dyDescent="0.25">
      <c r="B768" t="s">
        <v>882</v>
      </c>
      <c r="C768">
        <v>6241</v>
      </c>
      <c r="D768">
        <v>3108.2</v>
      </c>
      <c r="E768">
        <v>3250.4</v>
      </c>
      <c r="F768">
        <v>3269.1</v>
      </c>
      <c r="G768">
        <v>3289.1</v>
      </c>
      <c r="H768">
        <v>3286.7</v>
      </c>
      <c r="I768">
        <v>3303.9</v>
      </c>
      <c r="J768">
        <v>17.2</v>
      </c>
    </row>
    <row r="769" spans="1:10" x14ac:dyDescent="0.25">
      <c r="B769" t="s">
        <v>883</v>
      </c>
      <c r="C769">
        <v>62411</v>
      </c>
      <c r="D769">
        <v>224.5</v>
      </c>
      <c r="E769">
        <v>223.7</v>
      </c>
      <c r="F769">
        <v>225</v>
      </c>
      <c r="G769">
        <v>227.3</v>
      </c>
      <c r="H769">
        <v>229.3</v>
      </c>
      <c r="I769" t="s">
        <v>33</v>
      </c>
      <c r="J769" t="s">
        <v>33</v>
      </c>
    </row>
    <row r="770" spans="1:10" x14ac:dyDescent="0.25">
      <c r="B770" t="s">
        <v>884</v>
      </c>
      <c r="C770">
        <v>62412</v>
      </c>
      <c r="D770">
        <v>2379.1</v>
      </c>
      <c r="E770">
        <v>2510.3000000000002</v>
      </c>
      <c r="F770">
        <v>2528.8000000000002</v>
      </c>
      <c r="G770">
        <v>2543.9</v>
      </c>
      <c r="H770">
        <v>2536.6</v>
      </c>
      <c r="I770" t="s">
        <v>33</v>
      </c>
      <c r="J770" t="s">
        <v>33</v>
      </c>
    </row>
    <row r="771" spans="1:10" x14ac:dyDescent="0.25">
      <c r="B771" t="s">
        <v>885</v>
      </c>
      <c r="C771">
        <v>62419</v>
      </c>
      <c r="D771">
        <v>507.2</v>
      </c>
      <c r="E771">
        <v>515.6</v>
      </c>
      <c r="F771">
        <v>517.20000000000005</v>
      </c>
      <c r="G771">
        <v>517.1</v>
      </c>
      <c r="H771">
        <v>520</v>
      </c>
      <c r="I771" t="s">
        <v>33</v>
      </c>
      <c r="J771" t="s">
        <v>33</v>
      </c>
    </row>
    <row r="772" spans="1:10" x14ac:dyDescent="0.25">
      <c r="B772" t="s">
        <v>886</v>
      </c>
      <c r="C772">
        <v>6242</v>
      </c>
      <c r="D772">
        <v>224.4</v>
      </c>
      <c r="E772">
        <v>233.1</v>
      </c>
      <c r="F772">
        <v>231.8</v>
      </c>
      <c r="G772">
        <v>231.9</v>
      </c>
      <c r="H772">
        <v>232.7</v>
      </c>
      <c r="I772">
        <v>231</v>
      </c>
      <c r="J772">
        <v>-1.7</v>
      </c>
    </row>
    <row r="773" spans="1:10" x14ac:dyDescent="0.25">
      <c r="B773" t="s">
        <v>887</v>
      </c>
      <c r="C773">
        <v>62421</v>
      </c>
      <c r="D773">
        <v>48.4</v>
      </c>
      <c r="E773">
        <v>49.8</v>
      </c>
      <c r="F773">
        <v>49.3</v>
      </c>
      <c r="G773">
        <v>49.4</v>
      </c>
      <c r="H773">
        <v>49.8</v>
      </c>
      <c r="I773" t="s">
        <v>33</v>
      </c>
      <c r="J773" t="s">
        <v>33</v>
      </c>
    </row>
    <row r="774" spans="1:10" x14ac:dyDescent="0.25">
      <c r="B774" t="s">
        <v>888</v>
      </c>
      <c r="C774" t="s">
        <v>889</v>
      </c>
      <c r="D774">
        <v>176.5</v>
      </c>
      <c r="E774">
        <v>183.1</v>
      </c>
      <c r="F774">
        <v>182.4</v>
      </c>
      <c r="G774">
        <v>182.7</v>
      </c>
      <c r="H774">
        <v>183</v>
      </c>
      <c r="I774" t="s">
        <v>33</v>
      </c>
      <c r="J774" t="s">
        <v>33</v>
      </c>
    </row>
    <row r="775" spans="1:10" x14ac:dyDescent="0.25">
      <c r="B775" t="s">
        <v>890</v>
      </c>
      <c r="C775">
        <v>6243</v>
      </c>
      <c r="D775">
        <v>285.7</v>
      </c>
      <c r="E775">
        <v>291.89999999999998</v>
      </c>
      <c r="F775">
        <v>289</v>
      </c>
      <c r="G775">
        <v>289.5</v>
      </c>
      <c r="H775">
        <v>287.2</v>
      </c>
      <c r="I775">
        <v>288.8</v>
      </c>
      <c r="J775">
        <v>1.6</v>
      </c>
    </row>
    <row r="776" spans="1:10" x14ac:dyDescent="0.25">
      <c r="B776" t="s">
        <v>891</v>
      </c>
      <c r="C776">
        <v>6244</v>
      </c>
      <c r="D776">
        <v>1052.5999999999999</v>
      </c>
      <c r="E776">
        <v>1061.3</v>
      </c>
      <c r="F776">
        <v>1058.5999999999999</v>
      </c>
      <c r="G776">
        <v>1060.2</v>
      </c>
      <c r="H776">
        <v>1061.3</v>
      </c>
      <c r="I776">
        <v>1062.9000000000001</v>
      </c>
      <c r="J776">
        <v>1.6</v>
      </c>
    </row>
    <row r="778" spans="1:10" x14ac:dyDescent="0.25">
      <c r="B778" t="s">
        <v>892</v>
      </c>
      <c r="D778">
        <v>16775</v>
      </c>
      <c r="E778">
        <v>16944</v>
      </c>
      <c r="F778">
        <v>16953</v>
      </c>
      <c r="G778">
        <v>17014</v>
      </c>
      <c r="H778">
        <v>17016</v>
      </c>
      <c r="I778">
        <v>17069</v>
      </c>
      <c r="J778">
        <v>53</v>
      </c>
    </row>
    <row r="779" spans="1:10" x14ac:dyDescent="0.25">
      <c r="A779" t="s">
        <v>893</v>
      </c>
      <c r="B779" t="s">
        <v>894</v>
      </c>
      <c r="C779">
        <v>71</v>
      </c>
      <c r="D779">
        <v>2577.8000000000002</v>
      </c>
      <c r="E779">
        <v>2663.5</v>
      </c>
      <c r="F779">
        <v>2665.2</v>
      </c>
      <c r="G779">
        <v>2671.1</v>
      </c>
      <c r="H779">
        <v>2671.8</v>
      </c>
      <c r="I779">
        <v>2690.2</v>
      </c>
      <c r="J779">
        <v>18.399999999999999</v>
      </c>
    </row>
    <row r="780" spans="1:10" x14ac:dyDescent="0.25">
      <c r="B780" t="s">
        <v>895</v>
      </c>
      <c r="C780">
        <v>711</v>
      </c>
      <c r="D780">
        <v>604.29999999999995</v>
      </c>
      <c r="E780">
        <v>634.9</v>
      </c>
      <c r="F780">
        <v>645.9</v>
      </c>
      <c r="G780">
        <v>644.4</v>
      </c>
      <c r="H780">
        <v>643.20000000000005</v>
      </c>
      <c r="I780">
        <v>652.9</v>
      </c>
      <c r="J780">
        <v>9.6999999999999993</v>
      </c>
    </row>
    <row r="781" spans="1:10" x14ac:dyDescent="0.25">
      <c r="B781" t="s">
        <v>896</v>
      </c>
      <c r="C781">
        <v>7111</v>
      </c>
      <c r="D781">
        <v>136.9</v>
      </c>
      <c r="E781">
        <v>137.69999999999999</v>
      </c>
      <c r="F781">
        <v>141.6</v>
      </c>
      <c r="G781">
        <v>140.9</v>
      </c>
      <c r="H781">
        <v>139.5</v>
      </c>
      <c r="I781" t="s">
        <v>33</v>
      </c>
      <c r="J781" t="s">
        <v>33</v>
      </c>
    </row>
    <row r="782" spans="1:10" x14ac:dyDescent="0.25">
      <c r="B782" t="s">
        <v>897</v>
      </c>
      <c r="C782">
        <v>71113</v>
      </c>
      <c r="D782">
        <v>37.1</v>
      </c>
      <c r="E782">
        <v>33.700000000000003</v>
      </c>
      <c r="F782">
        <v>38.299999999999997</v>
      </c>
      <c r="G782">
        <v>38.700000000000003</v>
      </c>
      <c r="H782">
        <v>33.799999999999997</v>
      </c>
      <c r="I782" t="s">
        <v>33</v>
      </c>
      <c r="J782" t="s">
        <v>33</v>
      </c>
    </row>
    <row r="783" spans="1:10" x14ac:dyDescent="0.25">
      <c r="B783" t="s">
        <v>898</v>
      </c>
      <c r="C783" t="s">
        <v>899</v>
      </c>
      <c r="D783">
        <v>99.7</v>
      </c>
      <c r="E783">
        <v>102.2</v>
      </c>
      <c r="F783">
        <v>104.7</v>
      </c>
      <c r="G783">
        <v>104.6</v>
      </c>
      <c r="H783">
        <v>105.4</v>
      </c>
      <c r="I783" t="s">
        <v>33</v>
      </c>
      <c r="J783" t="s">
        <v>33</v>
      </c>
    </row>
    <row r="784" spans="1:10" x14ac:dyDescent="0.25">
      <c r="B784" t="s">
        <v>900</v>
      </c>
      <c r="C784">
        <v>7112</v>
      </c>
      <c r="D784">
        <v>219.9</v>
      </c>
      <c r="E784">
        <v>230.2</v>
      </c>
      <c r="F784">
        <v>233.8</v>
      </c>
      <c r="G784">
        <v>230.2</v>
      </c>
      <c r="H784">
        <v>236.6</v>
      </c>
      <c r="I784" t="s">
        <v>33</v>
      </c>
      <c r="J784" t="s">
        <v>33</v>
      </c>
    </row>
    <row r="785" spans="2:10" x14ac:dyDescent="0.25">
      <c r="B785" t="s">
        <v>901</v>
      </c>
      <c r="C785">
        <v>711211</v>
      </c>
      <c r="D785">
        <v>184.4</v>
      </c>
      <c r="E785">
        <v>176.8</v>
      </c>
      <c r="F785">
        <v>178.5</v>
      </c>
      <c r="G785">
        <v>184</v>
      </c>
      <c r="H785">
        <v>186.7</v>
      </c>
      <c r="I785" t="s">
        <v>33</v>
      </c>
      <c r="J785" t="s">
        <v>33</v>
      </c>
    </row>
    <row r="786" spans="2:10" x14ac:dyDescent="0.25">
      <c r="B786" t="s">
        <v>902</v>
      </c>
      <c r="C786" t="s">
        <v>903</v>
      </c>
      <c r="D786">
        <v>50.8</v>
      </c>
      <c r="E786">
        <v>48.5</v>
      </c>
      <c r="F786">
        <v>48.5</v>
      </c>
      <c r="G786">
        <v>49.5</v>
      </c>
      <c r="H786">
        <v>50.8</v>
      </c>
      <c r="I786" t="s">
        <v>33</v>
      </c>
      <c r="J786" t="s">
        <v>33</v>
      </c>
    </row>
    <row r="787" spans="2:10" x14ac:dyDescent="0.25">
      <c r="B787" t="s">
        <v>904</v>
      </c>
      <c r="C787" t="s">
        <v>905</v>
      </c>
      <c r="D787">
        <v>183.3</v>
      </c>
      <c r="E787">
        <v>200.8</v>
      </c>
      <c r="F787">
        <v>202.8</v>
      </c>
      <c r="G787">
        <v>207.6</v>
      </c>
      <c r="H787">
        <v>200.2</v>
      </c>
      <c r="I787" t="s">
        <v>33</v>
      </c>
      <c r="J787" t="s">
        <v>33</v>
      </c>
    </row>
    <row r="788" spans="2:10" x14ac:dyDescent="0.25">
      <c r="B788" t="s">
        <v>906</v>
      </c>
      <c r="C788">
        <v>7115</v>
      </c>
      <c r="D788">
        <v>63.1</v>
      </c>
      <c r="E788">
        <v>67.2</v>
      </c>
      <c r="F788">
        <v>67.8</v>
      </c>
      <c r="G788">
        <v>65.2</v>
      </c>
      <c r="H788">
        <v>64.599999999999994</v>
      </c>
      <c r="I788" t="s">
        <v>33</v>
      </c>
      <c r="J788" t="s">
        <v>33</v>
      </c>
    </row>
    <row r="789" spans="2:10" x14ac:dyDescent="0.25">
      <c r="B789" t="s">
        <v>907</v>
      </c>
      <c r="C789">
        <v>712</v>
      </c>
      <c r="D789">
        <v>176.1</v>
      </c>
      <c r="E789">
        <v>177.6</v>
      </c>
      <c r="F789">
        <v>177.9</v>
      </c>
      <c r="G789">
        <v>178.1</v>
      </c>
      <c r="H789">
        <v>179.2</v>
      </c>
      <c r="I789">
        <v>180.2</v>
      </c>
      <c r="J789">
        <v>1</v>
      </c>
    </row>
    <row r="790" spans="2:10" x14ac:dyDescent="0.25">
      <c r="B790" t="s">
        <v>908</v>
      </c>
      <c r="C790">
        <v>71211</v>
      </c>
      <c r="D790">
        <v>100.3</v>
      </c>
      <c r="E790">
        <v>100.5</v>
      </c>
      <c r="F790">
        <v>100.5</v>
      </c>
      <c r="G790">
        <v>100.1</v>
      </c>
      <c r="H790">
        <v>100.9</v>
      </c>
      <c r="I790" t="s">
        <v>33</v>
      </c>
      <c r="J790" t="s">
        <v>33</v>
      </c>
    </row>
    <row r="791" spans="2:10" x14ac:dyDescent="0.25">
      <c r="B791" t="s">
        <v>909</v>
      </c>
      <c r="C791" t="s">
        <v>910</v>
      </c>
      <c r="D791">
        <v>75.7</v>
      </c>
      <c r="E791">
        <v>77.5</v>
      </c>
      <c r="F791">
        <v>77.7</v>
      </c>
      <c r="G791">
        <v>77.900000000000006</v>
      </c>
      <c r="H791">
        <v>77.900000000000006</v>
      </c>
      <c r="I791" t="s">
        <v>33</v>
      </c>
      <c r="J791" t="s">
        <v>33</v>
      </c>
    </row>
    <row r="792" spans="2:10" x14ac:dyDescent="0.25">
      <c r="B792" t="s">
        <v>911</v>
      </c>
      <c r="C792">
        <v>713</v>
      </c>
      <c r="D792">
        <v>1797.4</v>
      </c>
      <c r="E792">
        <v>1851</v>
      </c>
      <c r="F792">
        <v>1841.4</v>
      </c>
      <c r="G792">
        <v>1848.6</v>
      </c>
      <c r="H792">
        <v>1849.4</v>
      </c>
      <c r="I792">
        <v>1857.1</v>
      </c>
      <c r="J792">
        <v>7.7</v>
      </c>
    </row>
    <row r="793" spans="2:10" x14ac:dyDescent="0.25">
      <c r="B793" t="s">
        <v>912</v>
      </c>
      <c r="C793">
        <v>7131</v>
      </c>
      <c r="D793">
        <v>221.4</v>
      </c>
      <c r="E793">
        <v>234.3</v>
      </c>
      <c r="F793">
        <v>231.6</v>
      </c>
      <c r="G793">
        <v>230</v>
      </c>
      <c r="H793">
        <v>227.8</v>
      </c>
      <c r="I793" t="s">
        <v>33</v>
      </c>
      <c r="J793" t="s">
        <v>33</v>
      </c>
    </row>
    <row r="794" spans="2:10" x14ac:dyDescent="0.25">
      <c r="B794" t="s">
        <v>913</v>
      </c>
      <c r="C794">
        <v>7132</v>
      </c>
      <c r="D794">
        <v>118.3</v>
      </c>
      <c r="E794">
        <v>122.1</v>
      </c>
      <c r="F794">
        <v>122.3</v>
      </c>
      <c r="G794">
        <v>122.9</v>
      </c>
      <c r="H794">
        <v>123.3</v>
      </c>
      <c r="I794" t="s">
        <v>33</v>
      </c>
      <c r="J794" t="s">
        <v>33</v>
      </c>
    </row>
    <row r="795" spans="2:10" x14ac:dyDescent="0.25">
      <c r="B795" t="s">
        <v>914</v>
      </c>
      <c r="C795">
        <v>71321</v>
      </c>
      <c r="D795">
        <v>66.900000000000006</v>
      </c>
      <c r="E795">
        <v>68.7</v>
      </c>
      <c r="F795">
        <v>68.8</v>
      </c>
      <c r="G795">
        <v>69.2</v>
      </c>
      <c r="H795">
        <v>69.2</v>
      </c>
      <c r="I795" t="s">
        <v>33</v>
      </c>
      <c r="J795" t="s">
        <v>33</v>
      </c>
    </row>
    <row r="796" spans="2:10" x14ac:dyDescent="0.25">
      <c r="B796" t="s">
        <v>915</v>
      </c>
      <c r="C796">
        <v>71329</v>
      </c>
      <c r="D796">
        <v>52.2</v>
      </c>
      <c r="E796">
        <v>53.2</v>
      </c>
      <c r="F796">
        <v>53.4</v>
      </c>
      <c r="G796">
        <v>54.1</v>
      </c>
      <c r="H796">
        <v>54.4</v>
      </c>
      <c r="I796" t="s">
        <v>33</v>
      </c>
      <c r="J796" t="s">
        <v>33</v>
      </c>
    </row>
    <row r="797" spans="2:10" x14ac:dyDescent="0.25">
      <c r="B797" t="s">
        <v>916</v>
      </c>
      <c r="C797">
        <v>7139</v>
      </c>
      <c r="D797">
        <v>1460.5</v>
      </c>
      <c r="E797">
        <v>1488.6</v>
      </c>
      <c r="F797">
        <v>1481.2</v>
      </c>
      <c r="G797">
        <v>1481</v>
      </c>
      <c r="H797">
        <v>1490.9</v>
      </c>
      <c r="I797" t="s">
        <v>33</v>
      </c>
      <c r="J797" t="s">
        <v>33</v>
      </c>
    </row>
    <row r="798" spans="2:10" x14ac:dyDescent="0.25">
      <c r="B798" t="s">
        <v>917</v>
      </c>
      <c r="C798">
        <v>71391</v>
      </c>
      <c r="D798">
        <v>405.8</v>
      </c>
      <c r="E798">
        <v>410</v>
      </c>
      <c r="F798">
        <v>409.1</v>
      </c>
      <c r="G798">
        <v>409.4</v>
      </c>
      <c r="H798">
        <v>410</v>
      </c>
      <c r="I798" t="s">
        <v>33</v>
      </c>
      <c r="J798" t="s">
        <v>33</v>
      </c>
    </row>
    <row r="799" spans="2:10" x14ac:dyDescent="0.25">
      <c r="B799" t="s">
        <v>918</v>
      </c>
      <c r="C799">
        <v>71392</v>
      </c>
      <c r="D799">
        <v>53.1</v>
      </c>
      <c r="E799">
        <v>61.6</v>
      </c>
      <c r="F799">
        <v>63.4</v>
      </c>
      <c r="G799">
        <v>66</v>
      </c>
      <c r="H799">
        <v>67.8</v>
      </c>
      <c r="I799" t="s">
        <v>33</v>
      </c>
      <c r="J799" t="s">
        <v>33</v>
      </c>
    </row>
    <row r="800" spans="2:10" x14ac:dyDescent="0.25">
      <c r="B800" t="s">
        <v>919</v>
      </c>
      <c r="C800">
        <v>71393</v>
      </c>
      <c r="D800">
        <v>38.4</v>
      </c>
      <c r="E800">
        <v>37.4</v>
      </c>
      <c r="F800">
        <v>37.6</v>
      </c>
      <c r="G800">
        <v>37.1</v>
      </c>
      <c r="H800">
        <v>37</v>
      </c>
      <c r="I800" t="s">
        <v>33</v>
      </c>
      <c r="J800" t="s">
        <v>33</v>
      </c>
    </row>
    <row r="801" spans="1:10" x14ac:dyDescent="0.25">
      <c r="B801" t="s">
        <v>920</v>
      </c>
      <c r="C801">
        <v>71394</v>
      </c>
      <c r="D801">
        <v>644.1</v>
      </c>
      <c r="E801">
        <v>654</v>
      </c>
      <c r="F801">
        <v>654.29999999999995</v>
      </c>
      <c r="G801">
        <v>657.4</v>
      </c>
      <c r="H801">
        <v>658</v>
      </c>
      <c r="I801" t="s">
        <v>33</v>
      </c>
      <c r="J801" t="s">
        <v>33</v>
      </c>
    </row>
    <row r="802" spans="1:10" x14ac:dyDescent="0.25">
      <c r="B802" t="s">
        <v>921</v>
      </c>
      <c r="C802">
        <v>71395</v>
      </c>
      <c r="D802">
        <v>70.400000000000006</v>
      </c>
      <c r="E802">
        <v>72.7</v>
      </c>
      <c r="F802">
        <v>71.7</v>
      </c>
      <c r="G802">
        <v>71.599999999999994</v>
      </c>
      <c r="H802">
        <v>72</v>
      </c>
      <c r="I802" t="s">
        <v>33</v>
      </c>
      <c r="J802" t="s">
        <v>33</v>
      </c>
    </row>
    <row r="803" spans="1:10" x14ac:dyDescent="0.25">
      <c r="B803" t="s">
        <v>922</v>
      </c>
      <c r="C803">
        <v>71399</v>
      </c>
      <c r="D803">
        <v>245.4</v>
      </c>
      <c r="E803">
        <v>248.9</v>
      </c>
      <c r="F803">
        <v>247.5</v>
      </c>
      <c r="G803">
        <v>245.1</v>
      </c>
      <c r="H803">
        <v>248.3</v>
      </c>
      <c r="I803" t="s">
        <v>33</v>
      </c>
      <c r="J803" t="s">
        <v>33</v>
      </c>
    </row>
    <row r="804" spans="1:10" x14ac:dyDescent="0.25">
      <c r="A804" t="s">
        <v>923</v>
      </c>
      <c r="B804" t="s">
        <v>924</v>
      </c>
      <c r="C804">
        <v>72</v>
      </c>
      <c r="D804">
        <v>14197.3</v>
      </c>
      <c r="E804">
        <v>14280.3</v>
      </c>
      <c r="F804">
        <v>14287.6</v>
      </c>
      <c r="G804">
        <v>14342.9</v>
      </c>
      <c r="H804">
        <v>14344.1</v>
      </c>
      <c r="I804">
        <v>14378.7</v>
      </c>
      <c r="J804">
        <v>34.6</v>
      </c>
    </row>
    <row r="805" spans="1:10" x14ac:dyDescent="0.25">
      <c r="B805" t="s">
        <v>925</v>
      </c>
      <c r="C805">
        <v>721</v>
      </c>
      <c r="D805">
        <v>1910.6</v>
      </c>
      <c r="E805">
        <v>1917</v>
      </c>
      <c r="F805">
        <v>1922</v>
      </c>
      <c r="G805">
        <v>1929.8</v>
      </c>
      <c r="H805">
        <v>1928</v>
      </c>
      <c r="I805">
        <v>1933.7</v>
      </c>
      <c r="J805">
        <v>5.7</v>
      </c>
    </row>
    <row r="806" spans="1:10" x14ac:dyDescent="0.25">
      <c r="B806" t="s">
        <v>926</v>
      </c>
      <c r="C806">
        <v>7211</v>
      </c>
      <c r="D806">
        <v>1826.8</v>
      </c>
      <c r="E806">
        <v>1840.6</v>
      </c>
      <c r="F806">
        <v>1847.5</v>
      </c>
      <c r="G806">
        <v>1848.1</v>
      </c>
      <c r="H806">
        <v>1845.5</v>
      </c>
      <c r="I806" t="s">
        <v>33</v>
      </c>
      <c r="J806" t="s">
        <v>33</v>
      </c>
    </row>
    <row r="807" spans="1:10" x14ac:dyDescent="0.25">
      <c r="B807" t="s">
        <v>927</v>
      </c>
      <c r="C807">
        <v>72111</v>
      </c>
      <c r="D807">
        <v>1545.9</v>
      </c>
      <c r="E807">
        <v>1558.9</v>
      </c>
      <c r="F807">
        <v>1559.6</v>
      </c>
      <c r="G807">
        <v>1562.4</v>
      </c>
      <c r="H807">
        <v>1560.5</v>
      </c>
      <c r="I807" t="s">
        <v>33</v>
      </c>
      <c r="J807" t="s">
        <v>33</v>
      </c>
    </row>
    <row r="808" spans="1:10" x14ac:dyDescent="0.25">
      <c r="B808" t="s">
        <v>928</v>
      </c>
      <c r="C808">
        <v>72112</v>
      </c>
      <c r="D808">
        <v>240.9</v>
      </c>
      <c r="E808">
        <v>248.2</v>
      </c>
      <c r="F808">
        <v>248.4</v>
      </c>
      <c r="G808">
        <v>246.8</v>
      </c>
      <c r="H808">
        <v>248.7</v>
      </c>
      <c r="I808" t="s">
        <v>33</v>
      </c>
      <c r="J808" t="s">
        <v>33</v>
      </c>
    </row>
    <row r="809" spans="1:10" x14ac:dyDescent="0.25">
      <c r="B809" t="s">
        <v>929</v>
      </c>
      <c r="C809">
        <v>72119</v>
      </c>
      <c r="D809">
        <v>37.299999999999997</v>
      </c>
      <c r="E809">
        <v>35.799999999999997</v>
      </c>
      <c r="F809">
        <v>36</v>
      </c>
      <c r="G809">
        <v>36.5</v>
      </c>
      <c r="H809">
        <v>36.200000000000003</v>
      </c>
      <c r="I809" t="s">
        <v>33</v>
      </c>
      <c r="J809" t="s">
        <v>33</v>
      </c>
    </row>
    <row r="810" spans="1:10" x14ac:dyDescent="0.25">
      <c r="B810" t="s">
        <v>930</v>
      </c>
      <c r="C810">
        <v>721191</v>
      </c>
      <c r="D810">
        <v>13.7</v>
      </c>
      <c r="E810">
        <v>11.6</v>
      </c>
      <c r="F810">
        <v>11.1</v>
      </c>
      <c r="G810">
        <v>11.8</v>
      </c>
      <c r="H810">
        <v>11.5</v>
      </c>
      <c r="I810" t="s">
        <v>33</v>
      </c>
      <c r="J810" t="s">
        <v>33</v>
      </c>
    </row>
    <row r="811" spans="1:10" x14ac:dyDescent="0.25">
      <c r="B811" t="s">
        <v>931</v>
      </c>
      <c r="C811">
        <v>721310199</v>
      </c>
      <c r="D811">
        <v>23.6</v>
      </c>
      <c r="E811">
        <v>24.2</v>
      </c>
      <c r="F811">
        <v>24.9</v>
      </c>
      <c r="G811">
        <v>24.4</v>
      </c>
      <c r="H811">
        <v>24.8</v>
      </c>
      <c r="I811" t="s">
        <v>33</v>
      </c>
      <c r="J811" t="s">
        <v>33</v>
      </c>
    </row>
    <row r="812" spans="1:10" x14ac:dyDescent="0.25">
      <c r="B812" t="s">
        <v>932</v>
      </c>
      <c r="C812">
        <v>7212</v>
      </c>
      <c r="D812">
        <v>91.6</v>
      </c>
      <c r="E812">
        <v>79.099999999999994</v>
      </c>
      <c r="F812">
        <v>81.099999999999994</v>
      </c>
      <c r="G812">
        <v>84.4</v>
      </c>
      <c r="H812">
        <v>82.7</v>
      </c>
      <c r="I812" t="s">
        <v>33</v>
      </c>
      <c r="J812" t="s">
        <v>33</v>
      </c>
    </row>
    <row r="813" spans="1:10" x14ac:dyDescent="0.25">
      <c r="B813" t="s">
        <v>933</v>
      </c>
      <c r="C813">
        <v>722</v>
      </c>
      <c r="D813">
        <v>12286.7</v>
      </c>
      <c r="E813">
        <v>12363.3</v>
      </c>
      <c r="F813">
        <v>12365.6</v>
      </c>
      <c r="G813">
        <v>12413.1</v>
      </c>
      <c r="H813">
        <v>12416.1</v>
      </c>
      <c r="I813">
        <v>12445</v>
      </c>
      <c r="J813">
        <v>28.9</v>
      </c>
    </row>
    <row r="814" spans="1:10" x14ac:dyDescent="0.25">
      <c r="B814" t="s">
        <v>934</v>
      </c>
      <c r="C814">
        <v>7223</v>
      </c>
      <c r="D814">
        <v>770.9</v>
      </c>
      <c r="E814">
        <v>769.3</v>
      </c>
      <c r="F814">
        <v>785.3</v>
      </c>
      <c r="G814">
        <v>793.3</v>
      </c>
      <c r="H814">
        <v>800</v>
      </c>
      <c r="I814" t="s">
        <v>33</v>
      </c>
      <c r="J814" t="s">
        <v>33</v>
      </c>
    </row>
    <row r="815" spans="1:10" x14ac:dyDescent="0.25">
      <c r="B815" t="s">
        <v>935</v>
      </c>
      <c r="C815">
        <v>72231</v>
      </c>
      <c r="D815">
        <v>550.9</v>
      </c>
      <c r="E815">
        <v>528.70000000000005</v>
      </c>
      <c r="F815">
        <v>545.79999999999995</v>
      </c>
      <c r="G815">
        <v>549.29999999999995</v>
      </c>
      <c r="H815">
        <v>556.70000000000005</v>
      </c>
      <c r="I815" t="s">
        <v>33</v>
      </c>
      <c r="J815" t="s">
        <v>33</v>
      </c>
    </row>
    <row r="816" spans="1:10" x14ac:dyDescent="0.25">
      <c r="B816" t="s">
        <v>936</v>
      </c>
      <c r="C816" t="s">
        <v>937</v>
      </c>
      <c r="D816">
        <v>221.8</v>
      </c>
      <c r="E816">
        <v>239.1</v>
      </c>
      <c r="F816">
        <v>241.3</v>
      </c>
      <c r="G816">
        <v>242.6</v>
      </c>
      <c r="H816">
        <v>244.1</v>
      </c>
      <c r="I816" t="s">
        <v>33</v>
      </c>
      <c r="J816" t="s">
        <v>33</v>
      </c>
    </row>
    <row r="817" spans="1:10" x14ac:dyDescent="0.25">
      <c r="B817" t="s">
        <v>938</v>
      </c>
      <c r="C817">
        <v>7224</v>
      </c>
      <c r="D817">
        <v>443.1</v>
      </c>
      <c r="E817">
        <v>452.7</v>
      </c>
      <c r="F817">
        <v>456.7</v>
      </c>
      <c r="G817">
        <v>458.6</v>
      </c>
      <c r="H817">
        <v>460.5</v>
      </c>
      <c r="I817" t="s">
        <v>33</v>
      </c>
      <c r="J817" t="s">
        <v>33</v>
      </c>
    </row>
    <row r="818" spans="1:10" x14ac:dyDescent="0.25">
      <c r="B818" t="s">
        <v>939</v>
      </c>
      <c r="C818">
        <v>7225</v>
      </c>
      <c r="D818">
        <v>11064.3</v>
      </c>
      <c r="E818">
        <v>11126.3</v>
      </c>
      <c r="F818">
        <v>11118.5</v>
      </c>
      <c r="G818">
        <v>11139</v>
      </c>
      <c r="H818">
        <v>11146.8</v>
      </c>
      <c r="I818" t="s">
        <v>33</v>
      </c>
      <c r="J818" t="s">
        <v>33</v>
      </c>
    </row>
    <row r="819" spans="1:10" x14ac:dyDescent="0.25">
      <c r="B819" t="s">
        <v>940</v>
      </c>
      <c r="C819">
        <v>722511</v>
      </c>
      <c r="D819">
        <v>5386.2</v>
      </c>
      <c r="E819">
        <v>5406.2</v>
      </c>
      <c r="F819">
        <v>5402.2</v>
      </c>
      <c r="G819">
        <v>5400.8</v>
      </c>
      <c r="H819">
        <v>5411.3</v>
      </c>
      <c r="I819" t="s">
        <v>33</v>
      </c>
      <c r="J819" t="s">
        <v>33</v>
      </c>
    </row>
    <row r="820" spans="1:10" x14ac:dyDescent="0.25">
      <c r="B820" t="s">
        <v>941</v>
      </c>
      <c r="C820">
        <v>722513</v>
      </c>
      <c r="D820">
        <v>4678.2</v>
      </c>
      <c r="E820">
        <v>4710.1000000000004</v>
      </c>
      <c r="F820">
        <v>4714</v>
      </c>
      <c r="G820">
        <v>4714.6000000000004</v>
      </c>
      <c r="H820">
        <v>4719.5</v>
      </c>
      <c r="I820" t="s">
        <v>33</v>
      </c>
      <c r="J820" t="s">
        <v>33</v>
      </c>
    </row>
    <row r="821" spans="1:10" x14ac:dyDescent="0.25">
      <c r="B821" t="s">
        <v>942</v>
      </c>
      <c r="C821">
        <v>722514</v>
      </c>
      <c r="D821">
        <v>77.8</v>
      </c>
      <c r="E821">
        <v>73.7</v>
      </c>
      <c r="F821">
        <v>74.8</v>
      </c>
      <c r="G821">
        <v>73.099999999999994</v>
      </c>
      <c r="H821">
        <v>74.900000000000006</v>
      </c>
      <c r="I821" t="s">
        <v>33</v>
      </c>
      <c r="J821" t="s">
        <v>33</v>
      </c>
    </row>
    <row r="822" spans="1:10" x14ac:dyDescent="0.25">
      <c r="B822" t="s">
        <v>943</v>
      </c>
      <c r="C822">
        <v>722515</v>
      </c>
      <c r="D822">
        <v>917.6</v>
      </c>
      <c r="E822">
        <v>929.9</v>
      </c>
      <c r="F822">
        <v>935.4</v>
      </c>
      <c r="G822">
        <v>940.4</v>
      </c>
      <c r="H822">
        <v>936.8</v>
      </c>
      <c r="I822" t="s">
        <v>33</v>
      </c>
      <c r="J822" t="s">
        <v>33</v>
      </c>
    </row>
    <row r="824" spans="1:10" x14ac:dyDescent="0.25">
      <c r="B824" t="s">
        <v>944</v>
      </c>
      <c r="C824">
        <v>81</v>
      </c>
      <c r="D824">
        <v>5864</v>
      </c>
      <c r="E824">
        <v>5912</v>
      </c>
      <c r="F824">
        <v>5916</v>
      </c>
      <c r="G824">
        <v>5922</v>
      </c>
      <c r="H824">
        <v>5922</v>
      </c>
      <c r="I824">
        <v>5930</v>
      </c>
      <c r="J824">
        <v>8</v>
      </c>
    </row>
    <row r="825" spans="1:10" x14ac:dyDescent="0.25">
      <c r="B825" t="s">
        <v>945</v>
      </c>
      <c r="C825">
        <v>811</v>
      </c>
      <c r="D825">
        <v>1470.4</v>
      </c>
      <c r="E825">
        <v>1474.6</v>
      </c>
      <c r="F825">
        <v>1474.4</v>
      </c>
      <c r="G825">
        <v>1475.9</v>
      </c>
      <c r="H825">
        <v>1479.3</v>
      </c>
      <c r="I825">
        <v>1481.4</v>
      </c>
      <c r="J825">
        <v>2.1</v>
      </c>
    </row>
    <row r="826" spans="1:10" x14ac:dyDescent="0.25">
      <c r="A826" t="s">
        <v>403</v>
      </c>
      <c r="B826" t="s">
        <v>946</v>
      </c>
      <c r="C826">
        <v>8111</v>
      </c>
      <c r="D826">
        <v>1033.9000000000001</v>
      </c>
      <c r="E826">
        <v>1035.3</v>
      </c>
      <c r="F826">
        <v>1035.7</v>
      </c>
      <c r="G826">
        <v>1038.4000000000001</v>
      </c>
      <c r="H826">
        <v>1040.2</v>
      </c>
      <c r="I826" t="s">
        <v>33</v>
      </c>
      <c r="J826" t="s">
        <v>33</v>
      </c>
    </row>
    <row r="827" spans="1:10" x14ac:dyDescent="0.25">
      <c r="B827" t="s">
        <v>947</v>
      </c>
      <c r="C827">
        <v>81111</v>
      </c>
      <c r="D827">
        <v>438.7</v>
      </c>
      <c r="E827">
        <v>439.5</v>
      </c>
      <c r="F827">
        <v>439.1</v>
      </c>
      <c r="G827">
        <v>439.4</v>
      </c>
      <c r="H827">
        <v>441.5</v>
      </c>
      <c r="I827" t="s">
        <v>33</v>
      </c>
      <c r="J827" t="s">
        <v>33</v>
      </c>
    </row>
    <row r="828" spans="1:10" x14ac:dyDescent="0.25">
      <c r="B828" t="s">
        <v>948</v>
      </c>
      <c r="C828">
        <v>811111</v>
      </c>
      <c r="D828">
        <v>392.4</v>
      </c>
      <c r="E828">
        <v>393.9</v>
      </c>
      <c r="F828">
        <v>393.4</v>
      </c>
      <c r="G828">
        <v>394.8</v>
      </c>
      <c r="H828">
        <v>396.7</v>
      </c>
      <c r="I828" t="s">
        <v>33</v>
      </c>
      <c r="J828" t="s">
        <v>33</v>
      </c>
    </row>
    <row r="829" spans="1:10" x14ac:dyDescent="0.25">
      <c r="B829" t="s">
        <v>949</v>
      </c>
      <c r="C829">
        <v>811114</v>
      </c>
      <c r="D829">
        <v>46.8</v>
      </c>
      <c r="E829">
        <v>44.8</v>
      </c>
      <c r="F829">
        <v>45</v>
      </c>
      <c r="G829">
        <v>44.3</v>
      </c>
      <c r="H829">
        <v>45.1</v>
      </c>
      <c r="I829" t="s">
        <v>33</v>
      </c>
      <c r="J829" t="s">
        <v>33</v>
      </c>
    </row>
    <row r="830" spans="1:10" x14ac:dyDescent="0.25">
      <c r="B830" t="s">
        <v>950</v>
      </c>
      <c r="C830">
        <v>81112</v>
      </c>
      <c r="D830">
        <v>308.3</v>
      </c>
      <c r="E830">
        <v>309.3</v>
      </c>
      <c r="F830">
        <v>307.60000000000002</v>
      </c>
      <c r="G830">
        <v>307.2</v>
      </c>
      <c r="H830">
        <v>307.3</v>
      </c>
      <c r="I830" t="s">
        <v>33</v>
      </c>
      <c r="J830" t="s">
        <v>33</v>
      </c>
    </row>
    <row r="831" spans="1:10" x14ac:dyDescent="0.25">
      <c r="B831" t="s">
        <v>951</v>
      </c>
      <c r="C831">
        <v>811121</v>
      </c>
      <c r="D831">
        <v>269.39999999999998</v>
      </c>
      <c r="E831">
        <v>271.3</v>
      </c>
      <c r="F831">
        <v>269.89999999999998</v>
      </c>
      <c r="G831">
        <v>269.7</v>
      </c>
      <c r="H831">
        <v>270.60000000000002</v>
      </c>
      <c r="I831" t="s">
        <v>33</v>
      </c>
      <c r="J831" t="s">
        <v>33</v>
      </c>
    </row>
    <row r="832" spans="1:10" x14ac:dyDescent="0.25">
      <c r="B832" t="s">
        <v>952</v>
      </c>
      <c r="C832">
        <v>811122</v>
      </c>
      <c r="D832">
        <v>39.299999999999997</v>
      </c>
      <c r="E832">
        <v>37.9</v>
      </c>
      <c r="F832">
        <v>37.5</v>
      </c>
      <c r="G832">
        <v>37.200000000000003</v>
      </c>
      <c r="H832">
        <v>36.9</v>
      </c>
      <c r="I832" t="s">
        <v>33</v>
      </c>
      <c r="J832" t="s">
        <v>33</v>
      </c>
    </row>
    <row r="833" spans="1:10" x14ac:dyDescent="0.25">
      <c r="B833" t="s">
        <v>953</v>
      </c>
      <c r="C833">
        <v>81119</v>
      </c>
      <c r="D833">
        <v>287.10000000000002</v>
      </c>
      <c r="E833">
        <v>287.2</v>
      </c>
      <c r="F833">
        <v>289.39999999999998</v>
      </c>
      <c r="G833">
        <v>291.10000000000002</v>
      </c>
      <c r="H833">
        <v>292</v>
      </c>
      <c r="I833" t="s">
        <v>33</v>
      </c>
      <c r="J833" t="s">
        <v>33</v>
      </c>
    </row>
    <row r="834" spans="1:10" x14ac:dyDescent="0.25">
      <c r="B834" t="s">
        <v>954</v>
      </c>
      <c r="C834">
        <v>811192</v>
      </c>
      <c r="D834">
        <v>185.7</v>
      </c>
      <c r="E834">
        <v>188.6</v>
      </c>
      <c r="F834">
        <v>189.7</v>
      </c>
      <c r="G834">
        <v>191.7</v>
      </c>
      <c r="H834">
        <v>192.4</v>
      </c>
      <c r="I834" t="s">
        <v>33</v>
      </c>
      <c r="J834" t="s">
        <v>33</v>
      </c>
    </row>
    <row r="835" spans="1:10" x14ac:dyDescent="0.25">
      <c r="B835" t="s">
        <v>955</v>
      </c>
      <c r="C835" t="s">
        <v>956</v>
      </c>
      <c r="D835">
        <v>101</v>
      </c>
      <c r="E835">
        <v>98.4</v>
      </c>
      <c r="F835">
        <v>99</v>
      </c>
      <c r="G835">
        <v>99.6</v>
      </c>
      <c r="H835">
        <v>99.5</v>
      </c>
      <c r="I835" t="s">
        <v>33</v>
      </c>
      <c r="J835" t="s">
        <v>33</v>
      </c>
    </row>
    <row r="836" spans="1:10" x14ac:dyDescent="0.25">
      <c r="A836" t="s">
        <v>957</v>
      </c>
      <c r="B836" t="s">
        <v>958</v>
      </c>
      <c r="C836">
        <v>8112</v>
      </c>
      <c r="D836">
        <v>104.8</v>
      </c>
      <c r="E836">
        <v>103.9</v>
      </c>
      <c r="F836">
        <v>103.2</v>
      </c>
      <c r="G836">
        <v>103.5</v>
      </c>
      <c r="H836">
        <v>104</v>
      </c>
      <c r="I836" t="s">
        <v>33</v>
      </c>
      <c r="J836" t="s">
        <v>33</v>
      </c>
    </row>
    <row r="837" spans="1:10" x14ac:dyDescent="0.25">
      <c r="A837" t="s">
        <v>281</v>
      </c>
      <c r="B837" t="s">
        <v>959</v>
      </c>
      <c r="C837">
        <v>8113</v>
      </c>
      <c r="D837">
        <v>246.5</v>
      </c>
      <c r="E837">
        <v>251.5</v>
      </c>
      <c r="F837">
        <v>251.1</v>
      </c>
      <c r="G837">
        <v>251.3</v>
      </c>
      <c r="H837">
        <v>252.4</v>
      </c>
      <c r="I837" t="s">
        <v>33</v>
      </c>
      <c r="J837" t="s">
        <v>33</v>
      </c>
    </row>
    <row r="838" spans="1:10" x14ac:dyDescent="0.25">
      <c r="A838" t="s">
        <v>957</v>
      </c>
      <c r="B838" t="s">
        <v>960</v>
      </c>
      <c r="C838">
        <v>8114</v>
      </c>
      <c r="D838">
        <v>86.5</v>
      </c>
      <c r="E838">
        <v>84.8</v>
      </c>
      <c r="F838">
        <v>84.7</v>
      </c>
      <c r="G838">
        <v>84</v>
      </c>
      <c r="H838">
        <v>83.4</v>
      </c>
      <c r="I838" t="s">
        <v>33</v>
      </c>
      <c r="J838" t="s">
        <v>33</v>
      </c>
    </row>
    <row r="839" spans="1:10" x14ac:dyDescent="0.25">
      <c r="A839" t="s">
        <v>957</v>
      </c>
      <c r="B839" t="s">
        <v>961</v>
      </c>
      <c r="C839">
        <v>812</v>
      </c>
      <c r="D839">
        <v>1549</v>
      </c>
      <c r="E839">
        <v>1562.4</v>
      </c>
      <c r="F839">
        <v>1563.8</v>
      </c>
      <c r="G839">
        <v>1566.7</v>
      </c>
      <c r="H839">
        <v>1564</v>
      </c>
      <c r="I839">
        <v>1568.1</v>
      </c>
      <c r="J839">
        <v>4.0999999999999996</v>
      </c>
    </row>
    <row r="840" spans="1:10" x14ac:dyDescent="0.25">
      <c r="B840" t="s">
        <v>962</v>
      </c>
      <c r="C840">
        <v>8121</v>
      </c>
      <c r="D840">
        <v>735.9</v>
      </c>
      <c r="E840">
        <v>747</v>
      </c>
      <c r="F840">
        <v>747.3</v>
      </c>
      <c r="G840">
        <v>751.1</v>
      </c>
      <c r="H840">
        <v>748.9</v>
      </c>
      <c r="I840" t="s">
        <v>33</v>
      </c>
      <c r="J840" t="s">
        <v>33</v>
      </c>
    </row>
    <row r="841" spans="1:10" x14ac:dyDescent="0.25">
      <c r="B841" t="s">
        <v>963</v>
      </c>
      <c r="C841">
        <v>81211</v>
      </c>
      <c r="D841">
        <v>550.6</v>
      </c>
      <c r="E841">
        <v>551.9</v>
      </c>
      <c r="F841">
        <v>553.9</v>
      </c>
      <c r="G841">
        <v>557.6</v>
      </c>
      <c r="H841">
        <v>559</v>
      </c>
      <c r="I841" t="s">
        <v>33</v>
      </c>
      <c r="J841" t="s">
        <v>33</v>
      </c>
    </row>
    <row r="842" spans="1:10" x14ac:dyDescent="0.25">
      <c r="B842" t="s">
        <v>964</v>
      </c>
      <c r="C842" t="s">
        <v>965</v>
      </c>
      <c r="D842">
        <v>402.5</v>
      </c>
      <c r="E842">
        <v>403.7</v>
      </c>
      <c r="F842">
        <v>403.6</v>
      </c>
      <c r="G842">
        <v>406.1</v>
      </c>
      <c r="H842">
        <v>405.5</v>
      </c>
      <c r="I842" t="s">
        <v>33</v>
      </c>
      <c r="J842" t="s">
        <v>33</v>
      </c>
    </row>
    <row r="843" spans="1:10" x14ac:dyDescent="0.25">
      <c r="B843" t="s">
        <v>966</v>
      </c>
      <c r="C843">
        <v>812113</v>
      </c>
      <c r="D843">
        <v>147.9</v>
      </c>
      <c r="E843">
        <v>148.69999999999999</v>
      </c>
      <c r="F843">
        <v>149.6</v>
      </c>
      <c r="G843">
        <v>149.4</v>
      </c>
      <c r="H843">
        <v>152.6</v>
      </c>
      <c r="I843" t="s">
        <v>33</v>
      </c>
      <c r="J843" t="s">
        <v>33</v>
      </c>
    </row>
    <row r="844" spans="1:10" x14ac:dyDescent="0.25">
      <c r="B844" t="s">
        <v>967</v>
      </c>
      <c r="C844">
        <v>81219</v>
      </c>
      <c r="D844">
        <v>184.9</v>
      </c>
      <c r="E844">
        <v>192.4</v>
      </c>
      <c r="F844">
        <v>192.9</v>
      </c>
      <c r="G844">
        <v>193.5</v>
      </c>
      <c r="H844">
        <v>191.3</v>
      </c>
      <c r="I844" t="s">
        <v>33</v>
      </c>
      <c r="J844" t="s">
        <v>33</v>
      </c>
    </row>
    <row r="845" spans="1:10" x14ac:dyDescent="0.25">
      <c r="B845" t="s">
        <v>968</v>
      </c>
      <c r="C845">
        <v>8122</v>
      </c>
      <c r="D845">
        <v>139</v>
      </c>
      <c r="E845">
        <v>138.80000000000001</v>
      </c>
      <c r="F845">
        <v>138.9</v>
      </c>
      <c r="G845">
        <v>138.1</v>
      </c>
      <c r="H845">
        <v>137.4</v>
      </c>
      <c r="I845" t="s">
        <v>33</v>
      </c>
      <c r="J845" t="s">
        <v>33</v>
      </c>
    </row>
    <row r="846" spans="1:10" x14ac:dyDescent="0.25">
      <c r="B846" t="s">
        <v>969</v>
      </c>
      <c r="C846">
        <v>81221</v>
      </c>
      <c r="D846">
        <v>107.3</v>
      </c>
      <c r="E846">
        <v>107.1</v>
      </c>
      <c r="F846">
        <v>107.4</v>
      </c>
      <c r="G846">
        <v>106.1</v>
      </c>
      <c r="H846">
        <v>104.3</v>
      </c>
      <c r="I846" t="s">
        <v>33</v>
      </c>
      <c r="J846" t="s">
        <v>33</v>
      </c>
    </row>
    <row r="847" spans="1:10" x14ac:dyDescent="0.25">
      <c r="B847" t="s">
        <v>970</v>
      </c>
      <c r="C847">
        <v>81222</v>
      </c>
      <c r="D847">
        <v>31.9</v>
      </c>
      <c r="E847">
        <v>31.5</v>
      </c>
      <c r="F847">
        <v>31.9</v>
      </c>
      <c r="G847">
        <v>32.200000000000003</v>
      </c>
      <c r="H847">
        <v>33</v>
      </c>
      <c r="I847" t="s">
        <v>33</v>
      </c>
      <c r="J847" t="s">
        <v>33</v>
      </c>
    </row>
    <row r="848" spans="1:10" x14ac:dyDescent="0.25">
      <c r="B848" t="s">
        <v>971</v>
      </c>
      <c r="C848">
        <v>8123</v>
      </c>
      <c r="D848">
        <v>259.8</v>
      </c>
      <c r="E848">
        <v>264.10000000000002</v>
      </c>
      <c r="F848">
        <v>261.89999999999998</v>
      </c>
      <c r="G848">
        <v>263.5</v>
      </c>
      <c r="H848">
        <v>260.7</v>
      </c>
      <c r="I848" t="s">
        <v>33</v>
      </c>
      <c r="J848" t="s">
        <v>33</v>
      </c>
    </row>
    <row r="849" spans="1:10" x14ac:dyDescent="0.25">
      <c r="B849" t="s">
        <v>972</v>
      </c>
      <c r="C849">
        <v>81231</v>
      </c>
      <c r="D849">
        <v>39.6</v>
      </c>
      <c r="E849">
        <v>40.6</v>
      </c>
      <c r="F849">
        <v>40</v>
      </c>
      <c r="G849">
        <v>39.6</v>
      </c>
      <c r="H849">
        <v>39.1</v>
      </c>
      <c r="I849" t="s">
        <v>33</v>
      </c>
      <c r="J849" t="s">
        <v>33</v>
      </c>
    </row>
    <row r="850" spans="1:10" x14ac:dyDescent="0.25">
      <c r="B850" t="s">
        <v>973</v>
      </c>
      <c r="C850">
        <v>81232</v>
      </c>
      <c r="D850">
        <v>90.8</v>
      </c>
      <c r="E850">
        <v>91.2</v>
      </c>
      <c r="F850">
        <v>88.7</v>
      </c>
      <c r="G850">
        <v>90.5</v>
      </c>
      <c r="H850">
        <v>88.1</v>
      </c>
      <c r="I850" t="s">
        <v>33</v>
      </c>
      <c r="J850" t="s">
        <v>33</v>
      </c>
    </row>
    <row r="851" spans="1:10" x14ac:dyDescent="0.25">
      <c r="B851" t="s">
        <v>974</v>
      </c>
      <c r="C851">
        <v>81233</v>
      </c>
      <c r="D851">
        <v>129.4</v>
      </c>
      <c r="E851">
        <v>132.30000000000001</v>
      </c>
      <c r="F851">
        <v>132.69999999999999</v>
      </c>
      <c r="G851">
        <v>132.80000000000001</v>
      </c>
      <c r="H851">
        <v>133.69999999999999</v>
      </c>
      <c r="I851" t="s">
        <v>33</v>
      </c>
      <c r="J851" t="s">
        <v>33</v>
      </c>
    </row>
    <row r="852" spans="1:10" x14ac:dyDescent="0.25">
      <c r="B852" t="s">
        <v>975</v>
      </c>
      <c r="C852">
        <v>812331</v>
      </c>
      <c r="D852">
        <v>63.2</v>
      </c>
      <c r="E852">
        <v>65.3</v>
      </c>
      <c r="F852">
        <v>65.7</v>
      </c>
      <c r="G852">
        <v>65.8</v>
      </c>
      <c r="H852">
        <v>66</v>
      </c>
      <c r="I852" t="s">
        <v>33</v>
      </c>
      <c r="J852" t="s">
        <v>33</v>
      </c>
    </row>
    <row r="853" spans="1:10" x14ac:dyDescent="0.25">
      <c r="B853" t="s">
        <v>976</v>
      </c>
      <c r="C853">
        <v>812332</v>
      </c>
      <c r="D853">
        <v>66.3</v>
      </c>
      <c r="E853">
        <v>67.099999999999994</v>
      </c>
      <c r="F853">
        <v>67.2</v>
      </c>
      <c r="G853">
        <v>67.2</v>
      </c>
      <c r="H853">
        <v>67.5</v>
      </c>
      <c r="I853" t="s">
        <v>33</v>
      </c>
      <c r="J853" t="s">
        <v>33</v>
      </c>
    </row>
    <row r="854" spans="1:10" x14ac:dyDescent="0.25">
      <c r="B854" t="s">
        <v>977</v>
      </c>
      <c r="C854">
        <v>8129</v>
      </c>
      <c r="D854">
        <v>413.3</v>
      </c>
      <c r="E854">
        <v>411.8</v>
      </c>
      <c r="F854">
        <v>413</v>
      </c>
      <c r="G854">
        <v>413.7</v>
      </c>
      <c r="H854">
        <v>414.5</v>
      </c>
      <c r="I854" t="s">
        <v>33</v>
      </c>
      <c r="J854" t="s">
        <v>33</v>
      </c>
    </row>
    <row r="855" spans="1:10" x14ac:dyDescent="0.25">
      <c r="B855" t="s">
        <v>978</v>
      </c>
      <c r="C855">
        <v>81291</v>
      </c>
      <c r="D855">
        <v>189.4</v>
      </c>
      <c r="E855">
        <v>188.7</v>
      </c>
      <c r="F855">
        <v>187.5</v>
      </c>
      <c r="G855">
        <v>187.7</v>
      </c>
      <c r="H855">
        <v>186.2</v>
      </c>
      <c r="I855" t="s">
        <v>33</v>
      </c>
      <c r="J855" t="s">
        <v>33</v>
      </c>
    </row>
    <row r="856" spans="1:10" x14ac:dyDescent="0.25">
      <c r="B856" t="s">
        <v>979</v>
      </c>
      <c r="C856">
        <v>81293</v>
      </c>
      <c r="D856">
        <v>127.1</v>
      </c>
      <c r="E856">
        <v>126.2</v>
      </c>
      <c r="F856">
        <v>127.3</v>
      </c>
      <c r="G856">
        <v>127.9</v>
      </c>
      <c r="H856">
        <v>130.5</v>
      </c>
      <c r="I856" t="s">
        <v>33</v>
      </c>
      <c r="J856" t="s">
        <v>33</v>
      </c>
    </row>
    <row r="857" spans="1:10" x14ac:dyDescent="0.25">
      <c r="B857" t="s">
        <v>980</v>
      </c>
      <c r="C857" t="s">
        <v>981</v>
      </c>
      <c r="D857">
        <v>95.5</v>
      </c>
      <c r="E857">
        <v>98</v>
      </c>
      <c r="F857">
        <v>98.8</v>
      </c>
      <c r="G857">
        <v>98.1</v>
      </c>
      <c r="H857">
        <v>98</v>
      </c>
      <c r="I857" t="s">
        <v>33</v>
      </c>
      <c r="J857" t="s">
        <v>33</v>
      </c>
    </row>
    <row r="858" spans="1:10" x14ac:dyDescent="0.25">
      <c r="A858" t="s">
        <v>957</v>
      </c>
      <c r="B858" t="s">
        <v>982</v>
      </c>
      <c r="C858">
        <v>813</v>
      </c>
      <c r="D858">
        <v>2844.7</v>
      </c>
      <c r="E858">
        <v>2874.6</v>
      </c>
      <c r="F858">
        <v>2877.8</v>
      </c>
      <c r="G858">
        <v>2879.4</v>
      </c>
      <c r="H858">
        <v>2878.8</v>
      </c>
      <c r="I858">
        <v>2880.4</v>
      </c>
      <c r="J858">
        <v>1.6</v>
      </c>
    </row>
    <row r="859" spans="1:10" x14ac:dyDescent="0.25">
      <c r="B859" t="s">
        <v>983</v>
      </c>
      <c r="C859">
        <v>8132</v>
      </c>
      <c r="D859">
        <v>197.1</v>
      </c>
      <c r="E859">
        <v>202.8</v>
      </c>
      <c r="F859">
        <v>203.9</v>
      </c>
      <c r="G859">
        <v>203.6</v>
      </c>
      <c r="H859">
        <v>204.1</v>
      </c>
      <c r="I859" t="s">
        <v>33</v>
      </c>
      <c r="J859" t="s">
        <v>33</v>
      </c>
    </row>
    <row r="860" spans="1:10" x14ac:dyDescent="0.25">
      <c r="B860" t="s">
        <v>984</v>
      </c>
      <c r="C860">
        <v>813211</v>
      </c>
      <c r="D860">
        <v>112.2</v>
      </c>
      <c r="E860">
        <v>115</v>
      </c>
      <c r="F860">
        <v>117</v>
      </c>
      <c r="G860">
        <v>116.5</v>
      </c>
      <c r="H860">
        <v>116.4</v>
      </c>
      <c r="I860" t="s">
        <v>33</v>
      </c>
      <c r="J860" t="s">
        <v>33</v>
      </c>
    </row>
    <row r="861" spans="1:10" x14ac:dyDescent="0.25">
      <c r="B861" t="s">
        <v>985</v>
      </c>
      <c r="C861">
        <v>813212</v>
      </c>
      <c r="D861">
        <v>41.5</v>
      </c>
      <c r="E861">
        <v>42.4</v>
      </c>
      <c r="F861">
        <v>41.5</v>
      </c>
      <c r="G861">
        <v>41.6</v>
      </c>
      <c r="H861">
        <v>42.5</v>
      </c>
      <c r="I861" t="s">
        <v>33</v>
      </c>
      <c r="J861" t="s">
        <v>33</v>
      </c>
    </row>
    <row r="862" spans="1:10" x14ac:dyDescent="0.25">
      <c r="B862" t="s">
        <v>986</v>
      </c>
      <c r="C862">
        <v>813219</v>
      </c>
      <c r="D862">
        <v>43</v>
      </c>
      <c r="E862">
        <v>45</v>
      </c>
      <c r="F862">
        <v>45.4</v>
      </c>
      <c r="G862">
        <v>45.5</v>
      </c>
      <c r="H862">
        <v>45.3</v>
      </c>
      <c r="I862" t="s">
        <v>33</v>
      </c>
      <c r="J862" t="s">
        <v>33</v>
      </c>
    </row>
    <row r="863" spans="1:10" x14ac:dyDescent="0.25">
      <c r="B863" t="s">
        <v>987</v>
      </c>
      <c r="C863">
        <v>8133</v>
      </c>
      <c r="D863">
        <v>278.8</v>
      </c>
      <c r="E863">
        <v>287.7</v>
      </c>
      <c r="F863">
        <v>288.3</v>
      </c>
      <c r="G863">
        <v>288</v>
      </c>
      <c r="H863">
        <v>287.5</v>
      </c>
      <c r="I863" t="s">
        <v>33</v>
      </c>
      <c r="J863" t="s">
        <v>33</v>
      </c>
    </row>
    <row r="864" spans="1:10" x14ac:dyDescent="0.25">
      <c r="B864" t="s">
        <v>988</v>
      </c>
      <c r="C864">
        <v>813311</v>
      </c>
      <c r="D864">
        <v>59</v>
      </c>
      <c r="E864">
        <v>58.3</v>
      </c>
      <c r="F864">
        <v>58.9</v>
      </c>
      <c r="G864">
        <v>59</v>
      </c>
      <c r="H864">
        <v>59</v>
      </c>
      <c r="I864" t="s">
        <v>33</v>
      </c>
      <c r="J864" t="s">
        <v>33</v>
      </c>
    </row>
    <row r="865" spans="1:10" x14ac:dyDescent="0.25">
      <c r="B865" t="s">
        <v>989</v>
      </c>
      <c r="C865" t="s">
        <v>990</v>
      </c>
      <c r="D865">
        <v>219.9</v>
      </c>
      <c r="E865">
        <v>229.2</v>
      </c>
      <c r="F865">
        <v>229.4</v>
      </c>
      <c r="G865">
        <v>229</v>
      </c>
      <c r="H865">
        <v>228.9</v>
      </c>
      <c r="I865" t="s">
        <v>33</v>
      </c>
      <c r="J865" t="s">
        <v>33</v>
      </c>
    </row>
    <row r="866" spans="1:10" x14ac:dyDescent="0.25">
      <c r="B866" t="s">
        <v>991</v>
      </c>
      <c r="C866">
        <v>8134</v>
      </c>
      <c r="D866">
        <v>351.9</v>
      </c>
      <c r="E866">
        <v>359.7</v>
      </c>
      <c r="F866">
        <v>361.9</v>
      </c>
      <c r="G866">
        <v>362.7</v>
      </c>
      <c r="H866">
        <v>363.9</v>
      </c>
      <c r="I866" t="s">
        <v>33</v>
      </c>
      <c r="J866" t="s">
        <v>33</v>
      </c>
    </row>
    <row r="867" spans="1:10" x14ac:dyDescent="0.25">
      <c r="B867" t="s">
        <v>992</v>
      </c>
      <c r="C867">
        <v>8139</v>
      </c>
      <c r="D867">
        <v>470.4</v>
      </c>
      <c r="E867">
        <v>476.2</v>
      </c>
      <c r="F867">
        <v>475.4</v>
      </c>
      <c r="G867">
        <v>477.8</v>
      </c>
      <c r="H867">
        <v>475.6</v>
      </c>
      <c r="I867" t="s">
        <v>33</v>
      </c>
      <c r="J867" t="s">
        <v>33</v>
      </c>
    </row>
    <row r="868" spans="1:10" x14ac:dyDescent="0.25">
      <c r="B868" t="s">
        <v>993</v>
      </c>
      <c r="C868">
        <v>81391</v>
      </c>
      <c r="D868">
        <v>118.7</v>
      </c>
      <c r="E868">
        <v>119.8</v>
      </c>
      <c r="F868">
        <v>119.1</v>
      </c>
      <c r="G868">
        <v>118.8</v>
      </c>
      <c r="H868">
        <v>117.4</v>
      </c>
      <c r="I868" t="s">
        <v>33</v>
      </c>
      <c r="J868" t="s">
        <v>33</v>
      </c>
    </row>
    <row r="869" spans="1:10" x14ac:dyDescent="0.25">
      <c r="B869" t="s">
        <v>994</v>
      </c>
      <c r="C869">
        <v>81392</v>
      </c>
      <c r="D869">
        <v>86.9</v>
      </c>
      <c r="E869">
        <v>85.4</v>
      </c>
      <c r="F869">
        <v>85.2</v>
      </c>
      <c r="G869">
        <v>85.7</v>
      </c>
      <c r="H869">
        <v>84.7</v>
      </c>
      <c r="I869" t="s">
        <v>33</v>
      </c>
      <c r="J869" t="s">
        <v>33</v>
      </c>
    </row>
    <row r="870" spans="1:10" x14ac:dyDescent="0.25">
      <c r="B870" t="s">
        <v>995</v>
      </c>
      <c r="C870">
        <v>81393</v>
      </c>
      <c r="D870">
        <v>109.1</v>
      </c>
      <c r="E870">
        <v>105</v>
      </c>
      <c r="F870">
        <v>105.3</v>
      </c>
      <c r="G870">
        <v>106.1</v>
      </c>
      <c r="H870">
        <v>105.1</v>
      </c>
      <c r="I870" t="s">
        <v>33</v>
      </c>
      <c r="J870" t="s">
        <v>33</v>
      </c>
    </row>
    <row r="871" spans="1:10" x14ac:dyDescent="0.25">
      <c r="B871" t="s">
        <v>996</v>
      </c>
      <c r="C871" t="s">
        <v>997</v>
      </c>
      <c r="D871">
        <v>157.19999999999999</v>
      </c>
      <c r="E871">
        <v>165.5</v>
      </c>
      <c r="F871">
        <v>165.6</v>
      </c>
      <c r="G871">
        <v>167.6</v>
      </c>
      <c r="H871">
        <v>168.7</v>
      </c>
      <c r="I871" t="s">
        <v>33</v>
      </c>
      <c r="J871" t="s">
        <v>33</v>
      </c>
    </row>
    <row r="873" spans="1:10" x14ac:dyDescent="0.25">
      <c r="A873" t="s">
        <v>998</v>
      </c>
      <c r="B873" t="s">
        <v>999</v>
      </c>
      <c r="D873">
        <v>23000</v>
      </c>
      <c r="E873">
        <v>23345</v>
      </c>
      <c r="F873">
        <v>23386</v>
      </c>
      <c r="G873">
        <v>23419</v>
      </c>
      <c r="H873">
        <v>23457</v>
      </c>
      <c r="I873">
        <v>23490</v>
      </c>
      <c r="J873">
        <v>33</v>
      </c>
    </row>
    <row r="874" spans="1:10" x14ac:dyDescent="0.25">
      <c r="B874" t="s">
        <v>1000</v>
      </c>
      <c r="D874">
        <v>2952</v>
      </c>
      <c r="E874">
        <v>2996</v>
      </c>
      <c r="F874">
        <v>2997</v>
      </c>
      <c r="G874">
        <v>3001</v>
      </c>
      <c r="H874">
        <v>3003</v>
      </c>
      <c r="I874">
        <v>3001</v>
      </c>
      <c r="J874">
        <v>-2</v>
      </c>
    </row>
    <row r="875" spans="1:10" x14ac:dyDescent="0.25">
      <c r="B875" t="s">
        <v>1001</v>
      </c>
      <c r="D875">
        <v>2350.1999999999998</v>
      </c>
      <c r="E875">
        <v>2389.6</v>
      </c>
      <c r="F875">
        <v>2391.6999999999998</v>
      </c>
      <c r="G875">
        <v>2394.6999999999998</v>
      </c>
      <c r="H875">
        <v>2398</v>
      </c>
      <c r="I875">
        <v>2398.6999999999998</v>
      </c>
      <c r="J875">
        <v>0.7</v>
      </c>
    </row>
    <row r="876" spans="1:10" x14ac:dyDescent="0.25">
      <c r="B876" t="s">
        <v>1002</v>
      </c>
      <c r="D876">
        <v>382.4</v>
      </c>
      <c r="E876">
        <v>386.5</v>
      </c>
      <c r="F876">
        <v>384.9</v>
      </c>
      <c r="G876">
        <v>383.2</v>
      </c>
      <c r="H876">
        <v>380.7</v>
      </c>
      <c r="I876" t="s">
        <v>33</v>
      </c>
      <c r="J876" t="s">
        <v>33</v>
      </c>
    </row>
    <row r="877" spans="1:10" x14ac:dyDescent="0.25">
      <c r="B877" t="s">
        <v>1003</v>
      </c>
      <c r="D877">
        <v>556.29999999999995</v>
      </c>
      <c r="E877">
        <v>559</v>
      </c>
      <c r="F877">
        <v>559</v>
      </c>
      <c r="G877">
        <v>559.70000000000005</v>
      </c>
      <c r="H877">
        <v>561.9</v>
      </c>
      <c r="I877" t="s">
        <v>33</v>
      </c>
      <c r="J877" t="s">
        <v>33</v>
      </c>
    </row>
    <row r="878" spans="1:10" x14ac:dyDescent="0.25">
      <c r="B878" t="s">
        <v>1004</v>
      </c>
      <c r="D878">
        <v>601.70000000000005</v>
      </c>
      <c r="E878">
        <v>606.70000000000005</v>
      </c>
      <c r="F878">
        <v>605.6</v>
      </c>
      <c r="G878">
        <v>606.5</v>
      </c>
      <c r="H878">
        <v>604.9</v>
      </c>
      <c r="I878">
        <v>602.20000000000005</v>
      </c>
      <c r="J878">
        <v>-2.7</v>
      </c>
    </row>
    <row r="879" spans="1:10" x14ac:dyDescent="0.25">
      <c r="B879" t="s">
        <v>1005</v>
      </c>
      <c r="D879">
        <v>1412</v>
      </c>
      <c r="E879">
        <v>1443</v>
      </c>
      <c r="F879">
        <v>1446.9</v>
      </c>
      <c r="G879">
        <v>1451.4</v>
      </c>
      <c r="H879">
        <v>1456.2</v>
      </c>
      <c r="I879" t="s">
        <v>33</v>
      </c>
      <c r="J879" t="s">
        <v>33</v>
      </c>
    </row>
    <row r="880" spans="1:10" x14ac:dyDescent="0.25">
      <c r="B880" t="s">
        <v>1006</v>
      </c>
      <c r="D880">
        <v>5383</v>
      </c>
      <c r="E880">
        <v>5459</v>
      </c>
      <c r="F880">
        <v>5473</v>
      </c>
      <c r="G880">
        <v>5495</v>
      </c>
      <c r="H880">
        <v>5514</v>
      </c>
      <c r="I880">
        <v>5534</v>
      </c>
      <c r="J880">
        <v>20</v>
      </c>
    </row>
    <row r="881" spans="2:10" x14ac:dyDescent="0.25">
      <c r="B881" t="s">
        <v>1007</v>
      </c>
      <c r="D881">
        <v>2624.6</v>
      </c>
      <c r="E881">
        <v>2636.6</v>
      </c>
      <c r="F881">
        <v>2644.7</v>
      </c>
      <c r="G881">
        <v>2659.3</v>
      </c>
      <c r="H881">
        <v>2669.7</v>
      </c>
      <c r="I881">
        <v>2681.3</v>
      </c>
      <c r="J881">
        <v>11.6</v>
      </c>
    </row>
    <row r="882" spans="2:10" x14ac:dyDescent="0.25">
      <c r="B882" t="s">
        <v>1008</v>
      </c>
      <c r="D882">
        <v>2758.5</v>
      </c>
      <c r="E882">
        <v>2821.9</v>
      </c>
      <c r="F882">
        <v>2828.7</v>
      </c>
      <c r="G882">
        <v>2835.6</v>
      </c>
      <c r="H882">
        <v>2843.9</v>
      </c>
      <c r="I882">
        <v>2852.9</v>
      </c>
      <c r="J882">
        <v>9</v>
      </c>
    </row>
    <row r="883" spans="2:10" x14ac:dyDescent="0.25">
      <c r="B883" t="s">
        <v>1009</v>
      </c>
      <c r="D883">
        <v>435.8</v>
      </c>
      <c r="E883">
        <v>454.8</v>
      </c>
      <c r="F883">
        <v>459</v>
      </c>
      <c r="G883">
        <v>462.7</v>
      </c>
      <c r="H883">
        <v>465.7</v>
      </c>
      <c r="I883" t="s">
        <v>33</v>
      </c>
      <c r="J883" t="s">
        <v>33</v>
      </c>
    </row>
    <row r="884" spans="2:10" x14ac:dyDescent="0.25">
      <c r="B884" t="s">
        <v>1010</v>
      </c>
      <c r="D884">
        <v>1844.3</v>
      </c>
      <c r="E884">
        <v>1879.4</v>
      </c>
      <c r="F884">
        <v>1881.1</v>
      </c>
      <c r="G884">
        <v>1886.1</v>
      </c>
      <c r="H884">
        <v>1890.5</v>
      </c>
      <c r="I884" t="s">
        <v>33</v>
      </c>
      <c r="J884" t="s">
        <v>33</v>
      </c>
    </row>
    <row r="885" spans="2:10" x14ac:dyDescent="0.25">
      <c r="B885" t="s">
        <v>1011</v>
      </c>
      <c r="D885">
        <v>478</v>
      </c>
      <c r="E885">
        <v>484.8</v>
      </c>
      <c r="F885">
        <v>485.6</v>
      </c>
      <c r="G885">
        <v>485.8</v>
      </c>
      <c r="H885">
        <v>486.8</v>
      </c>
      <c r="I885" t="s">
        <v>33</v>
      </c>
      <c r="J885" t="s">
        <v>33</v>
      </c>
    </row>
    <row r="886" spans="2:10" x14ac:dyDescent="0.25">
      <c r="B886" t="s">
        <v>1012</v>
      </c>
      <c r="D886">
        <v>14665</v>
      </c>
      <c r="E886">
        <v>14890</v>
      </c>
      <c r="F886">
        <v>14916</v>
      </c>
      <c r="G886">
        <v>14923</v>
      </c>
      <c r="H886">
        <v>14940</v>
      </c>
      <c r="I886">
        <v>14955</v>
      </c>
      <c r="J886">
        <v>15</v>
      </c>
    </row>
    <row r="887" spans="2:10" x14ac:dyDescent="0.25">
      <c r="B887" t="s">
        <v>1013</v>
      </c>
      <c r="D887">
        <v>8017.3</v>
      </c>
      <c r="E887">
        <v>8108.2</v>
      </c>
      <c r="F887">
        <v>8124.6</v>
      </c>
      <c r="G887">
        <v>8121.7</v>
      </c>
      <c r="H887">
        <v>8125.6</v>
      </c>
      <c r="I887">
        <v>8131.1</v>
      </c>
      <c r="J887">
        <v>5.5</v>
      </c>
    </row>
    <row r="888" spans="2:10" x14ac:dyDescent="0.25">
      <c r="B888" t="s">
        <v>1014</v>
      </c>
      <c r="D888">
        <v>6647.4</v>
      </c>
      <c r="E888">
        <v>6781.5</v>
      </c>
      <c r="F888">
        <v>6791.7</v>
      </c>
      <c r="G888">
        <v>6801.4</v>
      </c>
      <c r="H888">
        <v>6814.7</v>
      </c>
      <c r="I888">
        <v>6824.2</v>
      </c>
      <c r="J888">
        <v>9.5</v>
      </c>
    </row>
    <row r="889" spans="2:10" x14ac:dyDescent="0.25">
      <c r="B889" t="s">
        <v>1015</v>
      </c>
      <c r="D889">
        <v>252.9</v>
      </c>
      <c r="E889">
        <v>257.2</v>
      </c>
      <c r="F889">
        <v>258.3</v>
      </c>
      <c r="G889">
        <v>258.60000000000002</v>
      </c>
      <c r="H889">
        <v>259.3</v>
      </c>
      <c r="I889" t="s">
        <v>33</v>
      </c>
      <c r="J889" t="s">
        <v>33</v>
      </c>
    </row>
    <row r="890" spans="2:10" x14ac:dyDescent="0.25">
      <c r="B890" t="s">
        <v>1016</v>
      </c>
      <c r="D890">
        <v>292.3</v>
      </c>
      <c r="E890">
        <v>300.2</v>
      </c>
      <c r="F890">
        <v>300.89999999999998</v>
      </c>
      <c r="G890">
        <v>302</v>
      </c>
      <c r="H890">
        <v>302.7</v>
      </c>
      <c r="I890" t="s">
        <v>33</v>
      </c>
      <c r="J890" t="s">
        <v>33</v>
      </c>
    </row>
    <row r="891" spans="2:10" x14ac:dyDescent="0.25">
      <c r="B891" t="s">
        <v>1017</v>
      </c>
      <c r="D891">
        <v>703.3</v>
      </c>
      <c r="E891">
        <v>723.5</v>
      </c>
      <c r="F891">
        <v>725.9</v>
      </c>
      <c r="G891">
        <v>726.8</v>
      </c>
      <c r="H891">
        <v>728.4</v>
      </c>
      <c r="I891" t="s">
        <v>33</v>
      </c>
      <c r="J891" t="s">
        <v>33</v>
      </c>
    </row>
    <row r="892" spans="2:10" x14ac:dyDescent="0.25">
      <c r="B892" t="s">
        <v>1018</v>
      </c>
      <c r="D892">
        <v>4328.6000000000004</v>
      </c>
      <c r="E892">
        <v>4413.3999999999996</v>
      </c>
      <c r="F892">
        <v>4416.6000000000004</v>
      </c>
      <c r="G892">
        <v>4423.1000000000004</v>
      </c>
      <c r="H892">
        <v>4437.2</v>
      </c>
      <c r="I892" t="s">
        <v>33</v>
      </c>
      <c r="J892" t="s">
        <v>33</v>
      </c>
    </row>
    <row r="893" spans="2:10" x14ac:dyDescent="0.25">
      <c r="B893" t="s">
        <v>1019</v>
      </c>
      <c r="D893">
        <v>1076</v>
      </c>
      <c r="E893">
        <v>1087.5</v>
      </c>
      <c r="F893">
        <v>1085.7</v>
      </c>
      <c r="G893">
        <v>1085.5999999999999</v>
      </c>
      <c r="H893">
        <v>1085.7</v>
      </c>
      <c r="I893" t="s">
        <v>33</v>
      </c>
      <c r="J893" t="s"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/>
  </sheetViews>
  <sheetFormatPr defaultRowHeight="15" x14ac:dyDescent="0.25"/>
  <sheetData>
    <row r="1" spans="1:3" x14ac:dyDescent="0.25">
      <c r="A1" s="2" t="s">
        <v>1020</v>
      </c>
    </row>
    <row r="2" spans="1:3" x14ac:dyDescent="0.25">
      <c r="A2" s="2" t="s">
        <v>1021</v>
      </c>
      <c r="B2" s="2" t="s">
        <v>50</v>
      </c>
      <c r="C2" s="2" t="s">
        <v>1022</v>
      </c>
    </row>
    <row r="3" spans="1:3" x14ac:dyDescent="0.25">
      <c r="A3" t="s">
        <v>1023</v>
      </c>
      <c r="B3" t="s">
        <v>1024</v>
      </c>
      <c r="C3">
        <v>863.9</v>
      </c>
    </row>
    <row r="4" spans="1:3" x14ac:dyDescent="0.25">
      <c r="A4" t="s">
        <v>1025</v>
      </c>
      <c r="B4" t="s">
        <v>1026</v>
      </c>
      <c r="C4">
        <v>442.4</v>
      </c>
    </row>
    <row r="5" spans="1:3" x14ac:dyDescent="0.25">
      <c r="A5" t="s">
        <v>1027</v>
      </c>
      <c r="B5" t="s">
        <v>1028</v>
      </c>
      <c r="C5">
        <v>7</v>
      </c>
    </row>
    <row r="6" spans="1:3" x14ac:dyDescent="0.25">
      <c r="A6" t="s">
        <v>1029</v>
      </c>
      <c r="B6" t="s">
        <v>1030</v>
      </c>
      <c r="C6">
        <v>20.9</v>
      </c>
    </row>
    <row r="9" spans="1:3" x14ac:dyDescent="0.25">
      <c r="A9" s="2" t="s">
        <v>1031</v>
      </c>
      <c r="B9">
        <f>($C$3+$C$4)/($C$3+$C$4+$C$5+$C$6)</f>
        <v>0.97908859241493018</v>
      </c>
    </row>
    <row r="10" spans="1:3" x14ac:dyDescent="0.25">
      <c r="A10" s="2" t="s">
        <v>1032</v>
      </c>
      <c r="B10">
        <f>$C$5/($C$3+$C$4+$C$5+$C$6)</f>
        <v>5.246589716684155E-3</v>
      </c>
    </row>
    <row r="11" spans="1:3" x14ac:dyDescent="0.25">
      <c r="A11" s="2" t="s">
        <v>1033</v>
      </c>
      <c r="B11">
        <f>$C$6/($C$3+$C$4+$C$5+$C$6)</f>
        <v>1.5664817868385549E-2</v>
      </c>
    </row>
    <row r="13" spans="1:3" x14ac:dyDescent="0.25">
      <c r="A13" s="2" t="s">
        <v>1034</v>
      </c>
    </row>
    <row r="14" spans="1:3" x14ac:dyDescent="0.25">
      <c r="A14" t="s">
        <v>1035</v>
      </c>
      <c r="C14">
        <v>156.4</v>
      </c>
    </row>
    <row r="15" spans="1:3" x14ac:dyDescent="0.25">
      <c r="A15" t="s">
        <v>1036</v>
      </c>
      <c r="C15">
        <v>1522.1</v>
      </c>
    </row>
    <row r="16" spans="1:3" x14ac:dyDescent="0.25">
      <c r="A16" t="s">
        <v>1037</v>
      </c>
      <c r="C16">
        <v>472.6</v>
      </c>
    </row>
    <row r="17" spans="1:3" x14ac:dyDescent="0.25">
      <c r="A17" t="s">
        <v>1038</v>
      </c>
      <c r="C17">
        <v>70</v>
      </c>
    </row>
    <row r="18" spans="1:3" x14ac:dyDescent="0.25">
      <c r="A18" t="s">
        <v>1039</v>
      </c>
      <c r="C18">
        <v>564.4</v>
      </c>
    </row>
    <row r="19" spans="1:3" x14ac:dyDescent="0.25">
      <c r="A19" t="s">
        <v>1040</v>
      </c>
      <c r="C19">
        <v>0</v>
      </c>
    </row>
    <row r="20" spans="1:3" x14ac:dyDescent="0.25">
      <c r="A20" t="s">
        <v>1041</v>
      </c>
      <c r="C20">
        <v>1849.1</v>
      </c>
    </row>
    <row r="21" spans="1:3" x14ac:dyDescent="0.25">
      <c r="A21" t="s">
        <v>1042</v>
      </c>
      <c r="C21">
        <v>1096.4000000000001</v>
      </c>
    </row>
    <row r="22" spans="1:3" x14ac:dyDescent="0.25">
      <c r="A22" t="s">
        <v>1043</v>
      </c>
      <c r="C22">
        <v>55.4</v>
      </c>
    </row>
    <row r="23" spans="1:3" x14ac:dyDescent="0.25">
      <c r="A23" s="2" t="s">
        <v>1044</v>
      </c>
      <c r="B23">
        <f>($C$14+$C$15+$C$16)/($C$14+$C$15+$C$16+$C$17+$C$18+$C$19+$C$20+$C$21+$C$22)</f>
        <v>0.37175100235033876</v>
      </c>
    </row>
    <row r="24" spans="1:3" x14ac:dyDescent="0.25">
      <c r="A24" s="2" t="s">
        <v>1045</v>
      </c>
      <c r="B24">
        <f>($C$17)/($C$14+$C$15+$C$16+$C$17+$C$18+$C$19+$C$20+$C$21+$C$22)</f>
        <v>1.2097331674270705E-2</v>
      </c>
    </row>
    <row r="25" spans="1:3" x14ac:dyDescent="0.25">
      <c r="A25" s="2" t="s">
        <v>1046</v>
      </c>
      <c r="B25">
        <f>($C$18)/($C$14+$C$15+$C$16+$C$17+$C$18+$C$19+$C$20+$C$21+$C$22)</f>
        <v>9.753905709940551E-2</v>
      </c>
    </row>
    <row r="26" spans="1:3" x14ac:dyDescent="0.25">
      <c r="A26" s="2" t="s">
        <v>1047</v>
      </c>
      <c r="B26">
        <f>($C$19+$C$20)/($C$14+$C$15+$C$16+$C$17+$C$18+$C$19+$C$20+$C$21+$C$22)</f>
        <v>0.31955965712705653</v>
      </c>
    </row>
    <row r="27" spans="1:3" x14ac:dyDescent="0.25">
      <c r="A27" s="2" t="s">
        <v>1048</v>
      </c>
      <c r="B27">
        <f>($C$21)/($C$14+$C$15+$C$16+$C$17+$C$18+$C$19+$C$20+$C$21+$C$22)</f>
        <v>0.18947877782386288</v>
      </c>
    </row>
    <row r="28" spans="1:3" x14ac:dyDescent="0.25">
      <c r="A28" s="2" t="s">
        <v>1049</v>
      </c>
      <c r="B28">
        <f>($C$22)/($C$14+$C$15+$C$16+$C$17+$C$18+$C$19+$C$20+$C$21+$C$22)</f>
        <v>9.5741739250656717E-3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1050</v>
      </c>
    </row>
    <row r="2" spans="1:12" x14ac:dyDescent="0.25">
      <c r="A2" t="s">
        <v>1051</v>
      </c>
      <c r="B2" t="s">
        <v>1052</v>
      </c>
      <c r="C2" t="s">
        <v>1053</v>
      </c>
      <c r="D2" t="s">
        <v>1054</v>
      </c>
      <c r="E2" t="s">
        <v>1055</v>
      </c>
      <c r="F2" t="s">
        <v>1056</v>
      </c>
      <c r="G2" t="s">
        <v>1057</v>
      </c>
      <c r="H2" t="s">
        <v>1058</v>
      </c>
      <c r="I2" t="s">
        <v>1059</v>
      </c>
      <c r="J2" t="s">
        <v>1060</v>
      </c>
      <c r="K2" t="s">
        <v>1061</v>
      </c>
      <c r="L2" s="6" t="s">
        <v>1062</v>
      </c>
    </row>
    <row r="3" spans="1:12" x14ac:dyDescent="0.25">
      <c r="A3" t="s">
        <v>1063</v>
      </c>
      <c r="B3" t="s">
        <v>1064</v>
      </c>
      <c r="C3" t="s">
        <v>1065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1066</v>
      </c>
      <c r="B4" t="s">
        <v>1067</v>
      </c>
      <c r="C4" t="s">
        <v>1068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1069</v>
      </c>
      <c r="J4" t="s">
        <v>1069</v>
      </c>
      <c r="K4" t="s">
        <v>1069</v>
      </c>
    </row>
    <row r="5" spans="1:12" x14ac:dyDescent="0.25">
      <c r="A5" t="s">
        <v>1070</v>
      </c>
      <c r="B5" t="s">
        <v>1071</v>
      </c>
      <c r="C5" t="s">
        <v>1065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1069</v>
      </c>
      <c r="J5" t="s">
        <v>1069</v>
      </c>
      <c r="K5" t="s">
        <v>1069</v>
      </c>
    </row>
    <row r="6" spans="1:12" x14ac:dyDescent="0.25">
      <c r="A6" t="s">
        <v>1072</v>
      </c>
      <c r="B6" t="s">
        <v>1073</v>
      </c>
      <c r="C6" t="s">
        <v>1065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1074</v>
      </c>
      <c r="B7" t="s">
        <v>1023</v>
      </c>
      <c r="C7" t="s">
        <v>1068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1075</v>
      </c>
    </row>
    <row r="8" spans="1:12" x14ac:dyDescent="0.25">
      <c r="A8" t="s">
        <v>1076</v>
      </c>
      <c r="B8" t="s">
        <v>1025</v>
      </c>
      <c r="C8" t="s">
        <v>1068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1075</v>
      </c>
    </row>
    <row r="9" spans="1:12" x14ac:dyDescent="0.25">
      <c r="A9" t="s">
        <v>1077</v>
      </c>
      <c r="B9" t="s">
        <v>1078</v>
      </c>
      <c r="C9" t="s">
        <v>1065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1069</v>
      </c>
      <c r="J9" t="s">
        <v>1069</v>
      </c>
      <c r="K9" t="s">
        <v>1069</v>
      </c>
    </row>
    <row r="10" spans="1:12" x14ac:dyDescent="0.25">
      <c r="A10" t="s">
        <v>1079</v>
      </c>
      <c r="B10" t="s">
        <v>1027</v>
      </c>
      <c r="C10" t="s">
        <v>1068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65</v>
      </c>
    </row>
    <row r="11" spans="1:12" x14ac:dyDescent="0.25">
      <c r="A11" t="s">
        <v>1080</v>
      </c>
      <c r="B11" t="s">
        <v>1081</v>
      </c>
      <c r="C11" t="s">
        <v>1068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65</v>
      </c>
    </row>
    <row r="12" spans="1:12" x14ac:dyDescent="0.25">
      <c r="A12" t="s">
        <v>1082</v>
      </c>
      <c r="B12" t="s">
        <v>1029</v>
      </c>
      <c r="C12" t="s">
        <v>1068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1083</v>
      </c>
    </row>
    <row r="13" spans="1:12" x14ac:dyDescent="0.25">
      <c r="A13" t="s">
        <v>1084</v>
      </c>
      <c r="B13" t="s">
        <v>1085</v>
      </c>
      <c r="C13" t="s">
        <v>1068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1075</v>
      </c>
    </row>
    <row r="14" spans="1:12" x14ac:dyDescent="0.25">
      <c r="A14" t="s">
        <v>1086</v>
      </c>
      <c r="B14" t="s">
        <v>1087</v>
      </c>
      <c r="C14" t="s">
        <v>1065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1088</v>
      </c>
      <c r="B15" t="s">
        <v>1089</v>
      </c>
      <c r="C15" t="s">
        <v>1068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68</v>
      </c>
    </row>
    <row r="16" spans="1:12" x14ac:dyDescent="0.25">
      <c r="A16" t="s">
        <v>1090</v>
      </c>
      <c r="B16" t="s">
        <v>1091</v>
      </c>
      <c r="C16" t="s">
        <v>1065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1092</v>
      </c>
      <c r="B17" t="s">
        <v>1093</v>
      </c>
      <c r="C17" t="s">
        <v>1068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71</v>
      </c>
    </row>
    <row r="18" spans="1:12" x14ac:dyDescent="0.25">
      <c r="A18" t="s">
        <v>1094</v>
      </c>
      <c r="B18" t="s">
        <v>1095</v>
      </c>
      <c r="C18" t="s">
        <v>1068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75</v>
      </c>
    </row>
    <row r="19" spans="1:12" x14ac:dyDescent="0.25">
      <c r="A19" t="s">
        <v>1096</v>
      </c>
      <c r="B19" t="s">
        <v>1097</v>
      </c>
      <c r="C19" t="s">
        <v>1068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77</v>
      </c>
    </row>
    <row r="20" spans="1:12" x14ac:dyDescent="0.25">
      <c r="A20" t="s">
        <v>1098</v>
      </c>
      <c r="B20" t="s">
        <v>1099</v>
      </c>
      <c r="C20" t="s">
        <v>1068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86</v>
      </c>
    </row>
    <row r="21" spans="1:12" x14ac:dyDescent="0.25">
      <c r="A21" t="s">
        <v>1100</v>
      </c>
      <c r="B21" t="s">
        <v>1101</v>
      </c>
      <c r="C21" t="s">
        <v>1065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1102</v>
      </c>
      <c r="B22" t="s">
        <v>1103</v>
      </c>
      <c r="C22" t="s">
        <v>1065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1104</v>
      </c>
      <c r="B23" t="s">
        <v>1105</v>
      </c>
      <c r="C23" t="s">
        <v>1065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589</v>
      </c>
    </row>
    <row r="24" spans="1:12" x14ac:dyDescent="0.25">
      <c r="A24" t="s">
        <v>1106</v>
      </c>
      <c r="B24" t="s">
        <v>1107</v>
      </c>
      <c r="C24" t="s">
        <v>1065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1069</v>
      </c>
      <c r="J24" t="s">
        <v>1069</v>
      </c>
      <c r="K24" t="s">
        <v>1069</v>
      </c>
    </row>
    <row r="25" spans="1:12" x14ac:dyDescent="0.25">
      <c r="A25" t="s">
        <v>1108</v>
      </c>
      <c r="B25" t="s">
        <v>1109</v>
      </c>
      <c r="C25" t="s">
        <v>1068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1069</v>
      </c>
      <c r="J25" t="s">
        <v>1069</v>
      </c>
      <c r="K25" t="s">
        <v>1069</v>
      </c>
    </row>
    <row r="26" spans="1:12" x14ac:dyDescent="0.25">
      <c r="A26" t="s">
        <v>1110</v>
      </c>
      <c r="B26" t="s">
        <v>1111</v>
      </c>
      <c r="C26" t="s">
        <v>1068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1069</v>
      </c>
      <c r="J26" t="s">
        <v>1069</v>
      </c>
      <c r="K26" t="s">
        <v>1069</v>
      </c>
    </row>
    <row r="27" spans="1:12" x14ac:dyDescent="0.25">
      <c r="A27" t="s">
        <v>1112</v>
      </c>
      <c r="B27" t="s">
        <v>1113</v>
      </c>
      <c r="C27" t="s">
        <v>1068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1069</v>
      </c>
      <c r="J27" t="s">
        <v>1069</v>
      </c>
      <c r="K27" t="s">
        <v>1069</v>
      </c>
    </row>
    <row r="28" spans="1:12" x14ac:dyDescent="0.25">
      <c r="A28" t="s">
        <v>1114</v>
      </c>
      <c r="B28" t="s">
        <v>1115</v>
      </c>
      <c r="C28" t="s">
        <v>1068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1069</v>
      </c>
      <c r="J28" t="s">
        <v>1069</v>
      </c>
      <c r="K28" t="s">
        <v>1069</v>
      </c>
    </row>
    <row r="29" spans="1:12" x14ac:dyDescent="0.25">
      <c r="A29" t="s">
        <v>1116</v>
      </c>
      <c r="B29" t="s">
        <v>1117</v>
      </c>
      <c r="C29" t="s">
        <v>1068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1069</v>
      </c>
      <c r="J29" t="s">
        <v>1069</v>
      </c>
      <c r="K29" t="s">
        <v>1069</v>
      </c>
    </row>
    <row r="30" spans="1:12" x14ac:dyDescent="0.25">
      <c r="A30" t="s">
        <v>1118</v>
      </c>
      <c r="B30" t="s">
        <v>1119</v>
      </c>
      <c r="C30" t="s">
        <v>1068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1069</v>
      </c>
      <c r="J30" t="s">
        <v>1069</v>
      </c>
      <c r="K30" t="s">
        <v>1069</v>
      </c>
    </row>
    <row r="31" spans="1:12" x14ac:dyDescent="0.25">
      <c r="A31" t="s">
        <v>1120</v>
      </c>
      <c r="B31" t="s">
        <v>1121</v>
      </c>
      <c r="C31" t="s">
        <v>1068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1069</v>
      </c>
      <c r="J31" t="s">
        <v>1069</v>
      </c>
      <c r="K31" t="s">
        <v>1069</v>
      </c>
    </row>
    <row r="32" spans="1:12" x14ac:dyDescent="0.25">
      <c r="A32" t="s">
        <v>1122</v>
      </c>
      <c r="B32" t="s">
        <v>1123</v>
      </c>
      <c r="C32" t="s">
        <v>1068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1069</v>
      </c>
      <c r="J32" t="s">
        <v>1069</v>
      </c>
      <c r="K32" t="s">
        <v>1069</v>
      </c>
    </row>
    <row r="33" spans="1:12" x14ac:dyDescent="0.25">
      <c r="A33" t="s">
        <v>1124</v>
      </c>
      <c r="B33" t="s">
        <v>1125</v>
      </c>
      <c r="C33" t="s">
        <v>1068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598</v>
      </c>
    </row>
    <row r="34" spans="1:12" x14ac:dyDescent="0.25">
      <c r="A34" t="s">
        <v>1126</v>
      </c>
      <c r="B34" t="s">
        <v>1127</v>
      </c>
      <c r="C34" t="s">
        <v>1068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600</v>
      </c>
    </row>
    <row r="35" spans="1:12" x14ac:dyDescent="0.25">
      <c r="A35" t="s">
        <v>1128</v>
      </c>
      <c r="B35" t="s">
        <v>1129</v>
      </c>
      <c r="C35" t="s">
        <v>1065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89</v>
      </c>
    </row>
    <row r="36" spans="1:12" x14ac:dyDescent="0.25">
      <c r="A36" t="s">
        <v>1130</v>
      </c>
      <c r="B36" t="s">
        <v>1131</v>
      </c>
      <c r="C36" t="s">
        <v>1065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1069</v>
      </c>
      <c r="J36" t="s">
        <v>1069</v>
      </c>
      <c r="K36" t="s">
        <v>1069</v>
      </c>
    </row>
    <row r="37" spans="1:12" x14ac:dyDescent="0.25">
      <c r="A37" t="s">
        <v>1132</v>
      </c>
      <c r="B37" t="s">
        <v>1133</v>
      </c>
      <c r="C37" t="s">
        <v>1068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1069</v>
      </c>
      <c r="J37" t="s">
        <v>1069</v>
      </c>
      <c r="K37" t="s">
        <v>1069</v>
      </c>
    </row>
    <row r="38" spans="1:12" x14ac:dyDescent="0.25">
      <c r="A38" t="s">
        <v>1134</v>
      </c>
      <c r="B38" t="s">
        <v>1135</v>
      </c>
      <c r="C38" t="s">
        <v>1068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1069</v>
      </c>
      <c r="J38" t="s">
        <v>1069</v>
      </c>
      <c r="K38" t="s">
        <v>1069</v>
      </c>
    </row>
    <row r="39" spans="1:12" x14ac:dyDescent="0.25">
      <c r="A39" t="s">
        <v>1136</v>
      </c>
      <c r="B39" t="s">
        <v>1137</v>
      </c>
      <c r="C39" t="s">
        <v>1065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1069</v>
      </c>
      <c r="J39" t="s">
        <v>1069</v>
      </c>
      <c r="K39" t="s">
        <v>1069</v>
      </c>
    </row>
    <row r="40" spans="1:12" x14ac:dyDescent="0.25">
      <c r="A40" t="s">
        <v>1138</v>
      </c>
      <c r="B40" t="s">
        <v>1139</v>
      </c>
      <c r="C40" t="s">
        <v>1065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1069</v>
      </c>
      <c r="J40" t="s">
        <v>1069</v>
      </c>
      <c r="K40" t="s">
        <v>1069</v>
      </c>
    </row>
    <row r="41" spans="1:12" x14ac:dyDescent="0.25">
      <c r="A41" t="s">
        <v>1140</v>
      </c>
      <c r="B41" t="s">
        <v>1141</v>
      </c>
      <c r="C41" t="s">
        <v>1068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1069</v>
      </c>
      <c r="J41" t="s">
        <v>1069</v>
      </c>
      <c r="K41" t="s">
        <v>1069</v>
      </c>
    </row>
    <row r="42" spans="1:12" x14ac:dyDescent="0.25">
      <c r="A42" t="s">
        <v>1142</v>
      </c>
      <c r="B42" t="s">
        <v>1143</v>
      </c>
      <c r="C42" t="s">
        <v>1068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1069</v>
      </c>
      <c r="J42" t="s">
        <v>1069</v>
      </c>
      <c r="K42" t="s">
        <v>1069</v>
      </c>
    </row>
    <row r="43" spans="1:12" x14ac:dyDescent="0.25">
      <c r="A43" t="s">
        <v>1144</v>
      </c>
      <c r="B43" t="s">
        <v>1145</v>
      </c>
      <c r="C43" t="s">
        <v>1068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1069</v>
      </c>
      <c r="J43" t="s">
        <v>1069</v>
      </c>
      <c r="K43" t="s">
        <v>1069</v>
      </c>
    </row>
    <row r="44" spans="1:12" x14ac:dyDescent="0.25">
      <c r="A44" t="s">
        <v>1146</v>
      </c>
      <c r="B44" t="s">
        <v>1147</v>
      </c>
      <c r="C44" t="s">
        <v>1068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1069</v>
      </c>
      <c r="J44" t="s">
        <v>1069</v>
      </c>
      <c r="K44" t="s">
        <v>1069</v>
      </c>
    </row>
    <row r="45" spans="1:12" x14ac:dyDescent="0.25">
      <c r="A45" t="s">
        <v>1148</v>
      </c>
      <c r="B45" t="s">
        <v>1149</v>
      </c>
      <c r="C45" t="s">
        <v>1065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1069</v>
      </c>
      <c r="J45" t="s">
        <v>1069</v>
      </c>
      <c r="K45" t="s">
        <v>1069</v>
      </c>
    </row>
    <row r="46" spans="1:12" x14ac:dyDescent="0.25">
      <c r="A46" t="s">
        <v>1150</v>
      </c>
      <c r="B46" t="s">
        <v>1151</v>
      </c>
      <c r="C46" t="s">
        <v>1065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1069</v>
      </c>
      <c r="J46" t="s">
        <v>1069</v>
      </c>
      <c r="K46" t="s">
        <v>1069</v>
      </c>
    </row>
    <row r="47" spans="1:12" x14ac:dyDescent="0.25">
      <c r="A47" t="s">
        <v>1152</v>
      </c>
      <c r="B47" t="s">
        <v>1153</v>
      </c>
      <c r="C47" t="s">
        <v>1068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1069</v>
      </c>
      <c r="J47" t="s">
        <v>1069</v>
      </c>
      <c r="K47" t="s">
        <v>1069</v>
      </c>
    </row>
    <row r="48" spans="1:12" x14ac:dyDescent="0.25">
      <c r="A48" t="s">
        <v>1154</v>
      </c>
      <c r="B48" t="s">
        <v>1155</v>
      </c>
      <c r="C48" t="s">
        <v>1068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1069</v>
      </c>
      <c r="J48" t="s">
        <v>1069</v>
      </c>
      <c r="K48" t="s">
        <v>1069</v>
      </c>
    </row>
    <row r="49" spans="1:12" x14ac:dyDescent="0.25">
      <c r="A49" t="s">
        <v>1156</v>
      </c>
      <c r="B49" t="s">
        <v>1157</v>
      </c>
      <c r="C49" t="s">
        <v>1068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1069</v>
      </c>
      <c r="J49" t="s">
        <v>1069</v>
      </c>
      <c r="K49" t="s">
        <v>1069</v>
      </c>
    </row>
    <row r="50" spans="1:12" x14ac:dyDescent="0.25">
      <c r="A50" t="s">
        <v>1158</v>
      </c>
      <c r="B50" t="s">
        <v>1159</v>
      </c>
      <c r="C50" t="s">
        <v>1065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1069</v>
      </c>
      <c r="J50" t="s">
        <v>1069</v>
      </c>
      <c r="K50" t="s">
        <v>1069</v>
      </c>
    </row>
    <row r="51" spans="1:12" x14ac:dyDescent="0.25">
      <c r="A51" t="s">
        <v>1160</v>
      </c>
      <c r="B51" t="s">
        <v>1161</v>
      </c>
      <c r="C51" t="s">
        <v>1068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1069</v>
      </c>
      <c r="J51" t="s">
        <v>1069</v>
      </c>
      <c r="K51" t="s">
        <v>1069</v>
      </c>
    </row>
    <row r="52" spans="1:12" x14ac:dyDescent="0.25">
      <c r="A52" t="s">
        <v>1162</v>
      </c>
      <c r="B52" t="s">
        <v>1163</v>
      </c>
      <c r="C52" t="s">
        <v>1068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1069</v>
      </c>
      <c r="J52" t="s">
        <v>1069</v>
      </c>
      <c r="K52" t="s">
        <v>1069</v>
      </c>
    </row>
    <row r="53" spans="1:12" x14ac:dyDescent="0.25">
      <c r="A53" t="s">
        <v>1164</v>
      </c>
      <c r="B53" t="s">
        <v>1165</v>
      </c>
      <c r="C53" t="s">
        <v>1068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1069</v>
      </c>
      <c r="J53" t="s">
        <v>1069</v>
      </c>
      <c r="K53" t="s">
        <v>1069</v>
      </c>
    </row>
    <row r="54" spans="1:12" x14ac:dyDescent="0.25">
      <c r="A54" t="s">
        <v>1166</v>
      </c>
      <c r="B54" t="s">
        <v>1167</v>
      </c>
      <c r="C54" t="s">
        <v>1065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1069</v>
      </c>
      <c r="J54" t="s">
        <v>1069</v>
      </c>
      <c r="K54" t="s">
        <v>1069</v>
      </c>
    </row>
    <row r="55" spans="1:12" x14ac:dyDescent="0.25">
      <c r="A55" t="s">
        <v>1168</v>
      </c>
      <c r="B55" t="s">
        <v>1169</v>
      </c>
      <c r="C55" t="s">
        <v>1068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1069</v>
      </c>
      <c r="J55" t="s">
        <v>1069</v>
      </c>
      <c r="K55" t="s">
        <v>1069</v>
      </c>
    </row>
    <row r="56" spans="1:12" x14ac:dyDescent="0.25">
      <c r="A56" t="s">
        <v>1170</v>
      </c>
      <c r="B56" t="s">
        <v>1171</v>
      </c>
      <c r="C56" t="s">
        <v>1068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1069</v>
      </c>
      <c r="J56" t="s">
        <v>1069</v>
      </c>
      <c r="K56" t="s">
        <v>1069</v>
      </c>
    </row>
    <row r="57" spans="1:12" x14ac:dyDescent="0.25">
      <c r="A57" t="s">
        <v>1172</v>
      </c>
      <c r="B57" t="s">
        <v>1173</v>
      </c>
      <c r="C57" t="s">
        <v>1068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1069</v>
      </c>
      <c r="J57" t="s">
        <v>1069</v>
      </c>
      <c r="K57" t="s">
        <v>1069</v>
      </c>
    </row>
    <row r="58" spans="1:12" x14ac:dyDescent="0.25">
      <c r="A58" t="s">
        <v>1174</v>
      </c>
      <c r="B58" t="s">
        <v>1175</v>
      </c>
      <c r="C58" t="s">
        <v>1065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1176</v>
      </c>
      <c r="B59" t="s">
        <v>1177</v>
      </c>
      <c r="C59" t="s">
        <v>1065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35</v>
      </c>
    </row>
    <row r="60" spans="1:12" x14ac:dyDescent="0.25">
      <c r="A60" t="s">
        <v>1178</v>
      </c>
      <c r="B60" t="s">
        <v>1179</v>
      </c>
      <c r="C60" t="s">
        <v>1068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1180</v>
      </c>
      <c r="B61" t="s">
        <v>1181</v>
      </c>
      <c r="C61" t="s">
        <v>1068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1182</v>
      </c>
      <c r="B62" t="s">
        <v>1183</v>
      </c>
      <c r="C62" t="s">
        <v>1068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1184</v>
      </c>
      <c r="B63" t="s">
        <v>1185</v>
      </c>
      <c r="C63" t="s">
        <v>1068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1186</v>
      </c>
      <c r="B64" t="s">
        <v>1187</v>
      </c>
      <c r="C64" t="s">
        <v>1068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1188</v>
      </c>
      <c r="B65" t="s">
        <v>1189</v>
      </c>
      <c r="C65" t="s">
        <v>1068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1190</v>
      </c>
      <c r="B66" t="s">
        <v>1191</v>
      </c>
      <c r="C66" t="s">
        <v>1068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1192</v>
      </c>
      <c r="B67" t="s">
        <v>1193</v>
      </c>
      <c r="C67" t="s">
        <v>1068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1194</v>
      </c>
      <c r="B68" t="s">
        <v>1195</v>
      </c>
      <c r="C68" t="s">
        <v>1068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1196</v>
      </c>
      <c r="B69" t="s">
        <v>1197</v>
      </c>
      <c r="C69" t="s">
        <v>1065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35</v>
      </c>
    </row>
    <row r="70" spans="1:12" x14ac:dyDescent="0.25">
      <c r="A70" t="s">
        <v>1198</v>
      </c>
      <c r="B70" t="s">
        <v>1199</v>
      </c>
      <c r="C70" t="s">
        <v>1068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1200</v>
      </c>
      <c r="B71" t="s">
        <v>1201</v>
      </c>
      <c r="C71" t="s">
        <v>1068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1202</v>
      </c>
      <c r="B72" t="s">
        <v>1203</v>
      </c>
      <c r="C72" t="s">
        <v>1068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37</v>
      </c>
    </row>
    <row r="73" spans="1:12" x14ac:dyDescent="0.25">
      <c r="A73" t="s">
        <v>1204</v>
      </c>
      <c r="B73" t="s">
        <v>1205</v>
      </c>
      <c r="C73" t="s">
        <v>1068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37</v>
      </c>
    </row>
    <row r="74" spans="1:12" x14ac:dyDescent="0.25">
      <c r="A74" t="s">
        <v>1206</v>
      </c>
      <c r="B74" t="s">
        <v>1207</v>
      </c>
      <c r="C74" t="s">
        <v>1068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37</v>
      </c>
    </row>
    <row r="75" spans="1:12" x14ac:dyDescent="0.25">
      <c r="A75" t="s">
        <v>1208</v>
      </c>
      <c r="B75" t="s">
        <v>1209</v>
      </c>
      <c r="C75" t="s">
        <v>1068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37</v>
      </c>
    </row>
    <row r="76" spans="1:12" x14ac:dyDescent="0.25">
      <c r="A76" t="s">
        <v>1210</v>
      </c>
      <c r="B76" t="s">
        <v>1211</v>
      </c>
      <c r="C76" t="s">
        <v>1065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137</v>
      </c>
    </row>
    <row r="77" spans="1:12" x14ac:dyDescent="0.25">
      <c r="A77" t="s">
        <v>1212</v>
      </c>
      <c r="B77" t="s">
        <v>1213</v>
      </c>
      <c r="C77" t="s">
        <v>1068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1214</v>
      </c>
      <c r="B78" t="s">
        <v>1215</v>
      </c>
      <c r="C78" t="s">
        <v>1068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1216</v>
      </c>
      <c r="B79" t="s">
        <v>1217</v>
      </c>
      <c r="C79" t="s">
        <v>1068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1218</v>
      </c>
      <c r="B80" t="s">
        <v>1219</v>
      </c>
      <c r="C80" t="s">
        <v>1065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346</v>
      </c>
    </row>
    <row r="81" spans="1:12" x14ac:dyDescent="0.25">
      <c r="A81" t="s">
        <v>1220</v>
      </c>
      <c r="B81" t="s">
        <v>1221</v>
      </c>
      <c r="C81" t="s">
        <v>1068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1222</v>
      </c>
      <c r="B82" t="s">
        <v>1223</v>
      </c>
      <c r="C82" t="s">
        <v>1068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1224</v>
      </c>
      <c r="B83" t="s">
        <v>1225</v>
      </c>
      <c r="C83" t="s">
        <v>1068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346</v>
      </c>
    </row>
    <row r="84" spans="1:12" x14ac:dyDescent="0.25">
      <c r="A84" t="s">
        <v>1226</v>
      </c>
      <c r="B84" t="s">
        <v>1227</v>
      </c>
      <c r="C84" t="s">
        <v>1068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41</v>
      </c>
    </row>
    <row r="85" spans="1:12" x14ac:dyDescent="0.25">
      <c r="A85" t="s">
        <v>1228</v>
      </c>
      <c r="B85" t="s">
        <v>1229</v>
      </c>
      <c r="C85" t="s">
        <v>1065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1230</v>
      </c>
      <c r="B86" t="s">
        <v>1231</v>
      </c>
      <c r="C86" t="s">
        <v>1068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361</v>
      </c>
    </row>
    <row r="87" spans="1:12" x14ac:dyDescent="0.25">
      <c r="A87" t="s">
        <v>1232</v>
      </c>
      <c r="B87" t="s">
        <v>1233</v>
      </c>
      <c r="C87" t="s">
        <v>1068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361</v>
      </c>
    </row>
    <row r="88" spans="1:12" x14ac:dyDescent="0.25">
      <c r="A88" t="s">
        <v>1234</v>
      </c>
      <c r="B88" t="s">
        <v>1235</v>
      </c>
      <c r="C88" t="s">
        <v>1068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369</v>
      </c>
    </row>
    <row r="89" spans="1:12" x14ac:dyDescent="0.25">
      <c r="A89" t="s">
        <v>1236</v>
      </c>
      <c r="B89" t="s">
        <v>1237</v>
      </c>
      <c r="C89" t="s">
        <v>1065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379</v>
      </c>
    </row>
    <row r="90" spans="1:12" x14ac:dyDescent="0.25">
      <c r="A90" t="s">
        <v>1238</v>
      </c>
      <c r="B90" t="s">
        <v>1239</v>
      </c>
      <c r="C90" t="s">
        <v>1068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1240</v>
      </c>
      <c r="B91" t="s">
        <v>1241</v>
      </c>
      <c r="C91" t="s">
        <v>1068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1242</v>
      </c>
      <c r="B92" t="s">
        <v>1243</v>
      </c>
      <c r="C92" t="s">
        <v>1068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149</v>
      </c>
    </row>
    <row r="93" spans="1:12" x14ac:dyDescent="0.25">
      <c r="A93" t="s">
        <v>1244</v>
      </c>
      <c r="B93" t="s">
        <v>1245</v>
      </c>
      <c r="C93" t="s">
        <v>1065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1246</v>
      </c>
      <c r="B94" t="s">
        <v>1247</v>
      </c>
      <c r="C94" t="s">
        <v>1068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43</v>
      </c>
    </row>
    <row r="95" spans="1:12" x14ac:dyDescent="0.25">
      <c r="A95" t="s">
        <v>1248</v>
      </c>
      <c r="B95" t="s">
        <v>1249</v>
      </c>
      <c r="C95" t="s">
        <v>1068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43</v>
      </c>
    </row>
    <row r="96" spans="1:12" x14ac:dyDescent="0.25">
      <c r="A96" t="s">
        <v>1250</v>
      </c>
      <c r="B96" t="s">
        <v>1251</v>
      </c>
      <c r="C96" t="s">
        <v>1068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162</v>
      </c>
    </row>
    <row r="97" spans="1:12" x14ac:dyDescent="0.25">
      <c r="A97" t="s">
        <v>1252</v>
      </c>
      <c r="B97" t="s">
        <v>1253</v>
      </c>
      <c r="C97" t="s">
        <v>1068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162</v>
      </c>
    </row>
    <row r="98" spans="1:12" x14ac:dyDescent="0.25">
      <c r="A98" t="s">
        <v>1254</v>
      </c>
      <c r="B98" t="s">
        <v>1255</v>
      </c>
      <c r="C98" t="s">
        <v>1068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1256</v>
      </c>
      <c r="B99" t="s">
        <v>1257</v>
      </c>
      <c r="C99" t="s">
        <v>1065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168</v>
      </c>
    </row>
    <row r="100" spans="1:12" x14ac:dyDescent="0.25">
      <c r="A100" t="s">
        <v>1258</v>
      </c>
      <c r="B100" t="s">
        <v>1259</v>
      </c>
      <c r="C100" t="s">
        <v>1068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1260</v>
      </c>
      <c r="B101" t="s">
        <v>1261</v>
      </c>
      <c r="C101" t="s">
        <v>1068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1262</v>
      </c>
      <c r="B102" t="s">
        <v>1263</v>
      </c>
      <c r="C102" t="s">
        <v>1065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1264</v>
      </c>
      <c r="B103" t="s">
        <v>1265</v>
      </c>
      <c r="C103" t="s">
        <v>1068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1266</v>
      </c>
      <c r="B104" t="s">
        <v>1267</v>
      </c>
      <c r="C104" t="s">
        <v>1068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1268</v>
      </c>
      <c r="B105" t="s">
        <v>1269</v>
      </c>
      <c r="C105" t="s">
        <v>1068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1270</v>
      </c>
      <c r="B106" t="s">
        <v>1271</v>
      </c>
      <c r="C106" t="s">
        <v>1065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200</v>
      </c>
    </row>
    <row r="107" spans="1:12" x14ac:dyDescent="0.25">
      <c r="A107" t="s">
        <v>1272</v>
      </c>
      <c r="B107" t="s">
        <v>1273</v>
      </c>
      <c r="C107" t="s">
        <v>1068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1274</v>
      </c>
      <c r="B108" t="s">
        <v>1275</v>
      </c>
      <c r="C108" t="s">
        <v>1068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1276</v>
      </c>
      <c r="B109" t="s">
        <v>1277</v>
      </c>
      <c r="C109" t="s">
        <v>1068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1278</v>
      </c>
      <c r="B110" t="s">
        <v>1279</v>
      </c>
      <c r="C110" t="s">
        <v>1068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1280</v>
      </c>
      <c r="B111" t="s">
        <v>1281</v>
      </c>
      <c r="C111" t="s">
        <v>1065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221</v>
      </c>
    </row>
    <row r="112" spans="1:12" x14ac:dyDescent="0.25">
      <c r="A112" t="s">
        <v>1282</v>
      </c>
      <c r="B112" t="s">
        <v>1283</v>
      </c>
      <c r="C112" t="s">
        <v>1068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1284</v>
      </c>
      <c r="B113" t="s">
        <v>1285</v>
      </c>
      <c r="C113" t="s">
        <v>1068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1286</v>
      </c>
      <c r="B114" t="s">
        <v>1287</v>
      </c>
      <c r="C114" t="s">
        <v>1068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1288</v>
      </c>
      <c r="B115" t="s">
        <v>1289</v>
      </c>
      <c r="C115" t="s">
        <v>1068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1290</v>
      </c>
      <c r="B116" t="s">
        <v>1291</v>
      </c>
      <c r="C116" t="s">
        <v>1068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1292</v>
      </c>
      <c r="B117" t="s">
        <v>1293</v>
      </c>
      <c r="C117" t="s">
        <v>1068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1294</v>
      </c>
      <c r="B118" t="s">
        <v>1295</v>
      </c>
      <c r="C118" t="s">
        <v>1065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241</v>
      </c>
    </row>
    <row r="119" spans="1:12" x14ac:dyDescent="0.25">
      <c r="A119" t="s">
        <v>1296</v>
      </c>
      <c r="B119" t="s">
        <v>1297</v>
      </c>
      <c r="C119" t="s">
        <v>1068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1298</v>
      </c>
      <c r="B120" t="s">
        <v>1299</v>
      </c>
      <c r="C120" t="s">
        <v>1068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1300</v>
      </c>
      <c r="B121" t="s">
        <v>1301</v>
      </c>
      <c r="C121" t="s">
        <v>1068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1302</v>
      </c>
      <c r="B122" t="s">
        <v>1303</v>
      </c>
      <c r="C122" t="s">
        <v>1068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1304</v>
      </c>
      <c r="B123" t="s">
        <v>1305</v>
      </c>
      <c r="C123" t="s">
        <v>1065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1306</v>
      </c>
      <c r="B124" t="s">
        <v>1307</v>
      </c>
      <c r="C124" t="s">
        <v>1068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255</v>
      </c>
    </row>
    <row r="125" spans="1:12" x14ac:dyDescent="0.25">
      <c r="A125" t="s">
        <v>1308</v>
      </c>
      <c r="B125" t="s">
        <v>1309</v>
      </c>
      <c r="C125" t="s">
        <v>1068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255</v>
      </c>
    </row>
    <row r="126" spans="1:12" x14ac:dyDescent="0.25">
      <c r="A126" t="s">
        <v>1310</v>
      </c>
      <c r="B126" t="s">
        <v>1311</v>
      </c>
      <c r="C126" t="s">
        <v>1068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255</v>
      </c>
    </row>
    <row r="127" spans="1:12" x14ac:dyDescent="0.25">
      <c r="A127" t="s">
        <v>1312</v>
      </c>
      <c r="B127" t="s">
        <v>1313</v>
      </c>
      <c r="C127" t="s">
        <v>1068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268</v>
      </c>
    </row>
    <row r="128" spans="1:12" x14ac:dyDescent="0.25">
      <c r="A128" t="s">
        <v>1314</v>
      </c>
      <c r="B128" t="s">
        <v>1315</v>
      </c>
      <c r="C128" t="s">
        <v>1068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268</v>
      </c>
    </row>
    <row r="129" spans="1:12" x14ac:dyDescent="0.25">
      <c r="A129" t="s">
        <v>1316</v>
      </c>
      <c r="B129" t="s">
        <v>1317</v>
      </c>
      <c r="C129" t="s">
        <v>1068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275</v>
      </c>
    </row>
    <row r="130" spans="1:12" x14ac:dyDescent="0.25">
      <c r="A130" t="s">
        <v>1318</v>
      </c>
      <c r="B130" t="s">
        <v>1319</v>
      </c>
      <c r="C130" t="s">
        <v>1068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268</v>
      </c>
    </row>
    <row r="131" spans="1:12" x14ac:dyDescent="0.25">
      <c r="A131" t="s">
        <v>1320</v>
      </c>
      <c r="B131" t="s">
        <v>1321</v>
      </c>
      <c r="C131" t="s">
        <v>1065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281</v>
      </c>
    </row>
    <row r="132" spans="1:12" x14ac:dyDescent="0.25">
      <c r="A132" t="s">
        <v>1322</v>
      </c>
      <c r="B132" t="s">
        <v>1323</v>
      </c>
      <c r="C132" t="s">
        <v>1068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1324</v>
      </c>
      <c r="B133" t="s">
        <v>1325</v>
      </c>
      <c r="C133" t="s">
        <v>1068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1326</v>
      </c>
      <c r="B134" t="s">
        <v>1327</v>
      </c>
      <c r="C134" t="s">
        <v>1065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281</v>
      </c>
    </row>
    <row r="135" spans="1:12" x14ac:dyDescent="0.25">
      <c r="A135" t="s">
        <v>1328</v>
      </c>
      <c r="B135" t="s">
        <v>1329</v>
      </c>
      <c r="C135" t="s">
        <v>1068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1330</v>
      </c>
      <c r="B136" t="s">
        <v>1331</v>
      </c>
      <c r="C136" t="s">
        <v>1065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1332</v>
      </c>
      <c r="B137" t="s">
        <v>1333</v>
      </c>
      <c r="C137" t="s">
        <v>1068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1334</v>
      </c>
      <c r="B138" t="s">
        <v>1335</v>
      </c>
      <c r="C138" t="s">
        <v>1065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403</v>
      </c>
    </row>
    <row r="139" spans="1:12" x14ac:dyDescent="0.25">
      <c r="A139" t="s">
        <v>1336</v>
      </c>
      <c r="B139" t="s">
        <v>1337</v>
      </c>
      <c r="C139" t="s">
        <v>1065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1069</v>
      </c>
      <c r="J139" t="s">
        <v>1069</v>
      </c>
      <c r="K139" t="s">
        <v>1069</v>
      </c>
    </row>
    <row r="140" spans="1:12" x14ac:dyDescent="0.25">
      <c r="A140" t="s">
        <v>1338</v>
      </c>
      <c r="B140" t="s">
        <v>1339</v>
      </c>
      <c r="C140" t="s">
        <v>1068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1069</v>
      </c>
      <c r="J140" t="s">
        <v>1069</v>
      </c>
      <c r="K140" t="s">
        <v>1069</v>
      </c>
    </row>
    <row r="141" spans="1:12" x14ac:dyDescent="0.25">
      <c r="A141" t="s">
        <v>1340</v>
      </c>
      <c r="B141" t="s">
        <v>1341</v>
      </c>
      <c r="C141" t="s">
        <v>1068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1069</v>
      </c>
      <c r="J141" t="s">
        <v>1069</v>
      </c>
      <c r="K141" t="s">
        <v>1069</v>
      </c>
    </row>
    <row r="142" spans="1:12" x14ac:dyDescent="0.25">
      <c r="A142" t="s">
        <v>1342</v>
      </c>
      <c r="B142" t="s">
        <v>1343</v>
      </c>
      <c r="C142" t="s">
        <v>1068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1069</v>
      </c>
      <c r="J142" t="s">
        <v>1069</v>
      </c>
      <c r="K142" t="s">
        <v>1069</v>
      </c>
    </row>
    <row r="143" spans="1:12" x14ac:dyDescent="0.25">
      <c r="A143" t="s">
        <v>1344</v>
      </c>
      <c r="B143" t="s">
        <v>1345</v>
      </c>
      <c r="C143" t="s">
        <v>1065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1069</v>
      </c>
      <c r="J143" t="s">
        <v>1069</v>
      </c>
      <c r="K143" t="s">
        <v>1069</v>
      </c>
    </row>
    <row r="144" spans="1:12" x14ac:dyDescent="0.25">
      <c r="A144" t="s">
        <v>1346</v>
      </c>
      <c r="B144" t="s">
        <v>1347</v>
      </c>
      <c r="C144" t="s">
        <v>1068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1069</v>
      </c>
      <c r="J144" t="s">
        <v>1069</v>
      </c>
      <c r="K144" t="s">
        <v>1069</v>
      </c>
    </row>
    <row r="145" spans="1:12" x14ac:dyDescent="0.25">
      <c r="A145" t="s">
        <v>1348</v>
      </c>
      <c r="B145" t="s">
        <v>1349</v>
      </c>
      <c r="C145" t="s">
        <v>1065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1069</v>
      </c>
      <c r="J145" t="s">
        <v>1069</v>
      </c>
      <c r="K145" t="s">
        <v>1069</v>
      </c>
    </row>
    <row r="146" spans="1:12" x14ac:dyDescent="0.25">
      <c r="A146" t="s">
        <v>1350</v>
      </c>
      <c r="B146" t="s">
        <v>1351</v>
      </c>
      <c r="C146" t="s">
        <v>1068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1069</v>
      </c>
      <c r="J146" t="s">
        <v>1069</v>
      </c>
      <c r="K146" t="s">
        <v>1069</v>
      </c>
    </row>
    <row r="147" spans="1:12" x14ac:dyDescent="0.25">
      <c r="A147" t="s">
        <v>1352</v>
      </c>
      <c r="B147" t="s">
        <v>1353</v>
      </c>
      <c r="C147" t="s">
        <v>1068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1069</v>
      </c>
      <c r="J147" t="s">
        <v>1069</v>
      </c>
      <c r="K147" t="s">
        <v>1069</v>
      </c>
    </row>
    <row r="148" spans="1:12" x14ac:dyDescent="0.25">
      <c r="A148" t="s">
        <v>1354</v>
      </c>
      <c r="B148" t="s">
        <v>1355</v>
      </c>
      <c r="C148" t="s">
        <v>1068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1069</v>
      </c>
      <c r="J148" t="s">
        <v>1069</v>
      </c>
      <c r="K148" t="s">
        <v>1069</v>
      </c>
    </row>
    <row r="149" spans="1:12" x14ac:dyDescent="0.25">
      <c r="A149" t="s">
        <v>1356</v>
      </c>
      <c r="B149" t="s">
        <v>1357</v>
      </c>
      <c r="C149" t="s">
        <v>1068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1069</v>
      </c>
      <c r="J149" t="s">
        <v>1069</v>
      </c>
      <c r="K149" t="s">
        <v>1069</v>
      </c>
    </row>
    <row r="150" spans="1:12" x14ac:dyDescent="0.25">
      <c r="A150" t="s">
        <v>1358</v>
      </c>
      <c r="B150" t="s">
        <v>1359</v>
      </c>
      <c r="C150" t="s">
        <v>1068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1069</v>
      </c>
      <c r="J150" t="s">
        <v>1069</v>
      </c>
      <c r="K150" t="s">
        <v>1069</v>
      </c>
    </row>
    <row r="151" spans="1:12" x14ac:dyDescent="0.25">
      <c r="A151" t="s">
        <v>1360</v>
      </c>
      <c r="B151" t="s">
        <v>1361</v>
      </c>
      <c r="C151" t="s">
        <v>1068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1069</v>
      </c>
      <c r="J151" t="s">
        <v>1069</v>
      </c>
      <c r="K151" t="s">
        <v>1069</v>
      </c>
    </row>
    <row r="152" spans="1:12" x14ac:dyDescent="0.25">
      <c r="A152" t="s">
        <v>1362</v>
      </c>
      <c r="B152" t="s">
        <v>1363</v>
      </c>
      <c r="C152" t="s">
        <v>1065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403</v>
      </c>
    </row>
    <row r="153" spans="1:12" x14ac:dyDescent="0.25">
      <c r="A153" t="s">
        <v>1364</v>
      </c>
      <c r="B153" t="s">
        <v>1365</v>
      </c>
      <c r="C153" t="s">
        <v>1065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1366</v>
      </c>
      <c r="B154" t="s">
        <v>1367</v>
      </c>
      <c r="C154" t="s">
        <v>1068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1069</v>
      </c>
      <c r="J154" t="s">
        <v>1069</v>
      </c>
      <c r="K154" t="s">
        <v>1069</v>
      </c>
    </row>
    <row r="155" spans="1:12" x14ac:dyDescent="0.25">
      <c r="A155" t="s">
        <v>1368</v>
      </c>
      <c r="B155" t="s">
        <v>1369</v>
      </c>
      <c r="C155" t="s">
        <v>1068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1069</v>
      </c>
      <c r="J155" t="s">
        <v>1069</v>
      </c>
      <c r="K155" t="s">
        <v>1069</v>
      </c>
    </row>
    <row r="156" spans="1:12" x14ac:dyDescent="0.25">
      <c r="A156" t="s">
        <v>1370</v>
      </c>
      <c r="B156" t="s">
        <v>1371</v>
      </c>
      <c r="C156" t="s">
        <v>1068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1069</v>
      </c>
      <c r="J156" t="s">
        <v>1069</v>
      </c>
      <c r="K156" t="s">
        <v>1069</v>
      </c>
    </row>
    <row r="157" spans="1:12" x14ac:dyDescent="0.25">
      <c r="A157" t="s">
        <v>1372</v>
      </c>
      <c r="B157" t="s">
        <v>1373</v>
      </c>
      <c r="C157" t="s">
        <v>1065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1374</v>
      </c>
      <c r="B158" t="s">
        <v>1375</v>
      </c>
      <c r="C158" t="s">
        <v>1068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1069</v>
      </c>
      <c r="J158" t="s">
        <v>1069</v>
      </c>
      <c r="K158" t="s">
        <v>1069</v>
      </c>
    </row>
    <row r="159" spans="1:12" x14ac:dyDescent="0.25">
      <c r="A159" t="s">
        <v>1376</v>
      </c>
      <c r="B159" t="s">
        <v>1377</v>
      </c>
      <c r="C159" t="s">
        <v>1068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1069</v>
      </c>
      <c r="J159" t="s">
        <v>1069</v>
      </c>
      <c r="K159" t="s">
        <v>1069</v>
      </c>
    </row>
    <row r="160" spans="1:12" x14ac:dyDescent="0.25">
      <c r="A160" t="s">
        <v>1378</v>
      </c>
      <c r="B160" t="s">
        <v>1379</v>
      </c>
      <c r="C160" t="s">
        <v>1068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1380</v>
      </c>
      <c r="B161" t="s">
        <v>1381</v>
      </c>
      <c r="C161" t="s">
        <v>1065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1382</v>
      </c>
      <c r="B162" t="s">
        <v>1383</v>
      </c>
      <c r="C162" t="s">
        <v>1065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1069</v>
      </c>
      <c r="J162" t="s">
        <v>1069</v>
      </c>
      <c r="K162" t="s">
        <v>1069</v>
      </c>
    </row>
    <row r="163" spans="1:11" x14ac:dyDescent="0.25">
      <c r="A163" t="s">
        <v>1384</v>
      </c>
      <c r="B163" t="s">
        <v>1385</v>
      </c>
      <c r="C163" t="s">
        <v>1068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1069</v>
      </c>
      <c r="J163" t="s">
        <v>1069</v>
      </c>
      <c r="K163" t="s">
        <v>1069</v>
      </c>
    </row>
    <row r="164" spans="1:11" x14ac:dyDescent="0.25">
      <c r="A164" t="s">
        <v>1386</v>
      </c>
      <c r="B164" t="s">
        <v>1387</v>
      </c>
      <c r="C164" t="s">
        <v>1068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1069</v>
      </c>
      <c r="J164" t="s">
        <v>1069</v>
      </c>
      <c r="K164" t="s">
        <v>1069</v>
      </c>
    </row>
    <row r="165" spans="1:11" x14ac:dyDescent="0.25">
      <c r="A165" t="s">
        <v>1388</v>
      </c>
      <c r="B165" t="s">
        <v>1389</v>
      </c>
      <c r="C165" t="s">
        <v>1065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1069</v>
      </c>
      <c r="J165" t="s">
        <v>1069</v>
      </c>
      <c r="K165" t="s">
        <v>1069</v>
      </c>
    </row>
    <row r="166" spans="1:11" x14ac:dyDescent="0.25">
      <c r="A166" t="s">
        <v>1390</v>
      </c>
      <c r="B166" t="s">
        <v>1391</v>
      </c>
      <c r="C166" t="s">
        <v>1068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1069</v>
      </c>
      <c r="J166" t="s">
        <v>1069</v>
      </c>
      <c r="K166" t="s">
        <v>1069</v>
      </c>
    </row>
    <row r="167" spans="1:11" x14ac:dyDescent="0.25">
      <c r="A167" t="s">
        <v>1392</v>
      </c>
      <c r="B167" t="s">
        <v>1393</v>
      </c>
      <c r="C167" t="s">
        <v>1068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1069</v>
      </c>
      <c r="J167" t="s">
        <v>1069</v>
      </c>
      <c r="K167" t="s">
        <v>1069</v>
      </c>
    </row>
    <row r="168" spans="1:11" x14ac:dyDescent="0.25">
      <c r="A168" t="s">
        <v>1394</v>
      </c>
      <c r="B168" t="s">
        <v>1395</v>
      </c>
      <c r="C168" t="s">
        <v>1065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1069</v>
      </c>
      <c r="J168" t="s">
        <v>1069</v>
      </c>
      <c r="K168" t="s">
        <v>1069</v>
      </c>
    </row>
    <row r="169" spans="1:11" x14ac:dyDescent="0.25">
      <c r="A169" t="s">
        <v>1396</v>
      </c>
      <c r="B169" t="s">
        <v>1397</v>
      </c>
      <c r="C169" t="s">
        <v>1065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1069</v>
      </c>
      <c r="J169" t="s">
        <v>1069</v>
      </c>
      <c r="K169" t="s">
        <v>1069</v>
      </c>
    </row>
    <row r="170" spans="1:11" x14ac:dyDescent="0.25">
      <c r="A170" t="s">
        <v>1398</v>
      </c>
      <c r="B170" t="s">
        <v>1399</v>
      </c>
      <c r="C170" t="s">
        <v>1068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1069</v>
      </c>
      <c r="J170" t="s">
        <v>1069</v>
      </c>
      <c r="K170" t="s">
        <v>1069</v>
      </c>
    </row>
    <row r="171" spans="1:11" x14ac:dyDescent="0.25">
      <c r="A171" t="s">
        <v>1400</v>
      </c>
      <c r="B171" t="s">
        <v>1401</v>
      </c>
      <c r="C171" t="s">
        <v>1065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1069</v>
      </c>
      <c r="J171" t="s">
        <v>1069</v>
      </c>
      <c r="K171" t="s">
        <v>1069</v>
      </c>
    </row>
    <row r="172" spans="1:11" x14ac:dyDescent="0.25">
      <c r="A172" t="s">
        <v>1402</v>
      </c>
      <c r="B172" t="s">
        <v>1403</v>
      </c>
      <c r="C172" t="s">
        <v>1068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1069</v>
      </c>
      <c r="J172" t="s">
        <v>1069</v>
      </c>
      <c r="K172" t="s">
        <v>1069</v>
      </c>
    </row>
    <row r="173" spans="1:11" x14ac:dyDescent="0.25">
      <c r="A173" t="s">
        <v>1404</v>
      </c>
      <c r="B173" t="s">
        <v>1405</v>
      </c>
      <c r="C173" t="s">
        <v>1068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1069</v>
      </c>
      <c r="J173" t="s">
        <v>1069</v>
      </c>
      <c r="K173" t="s">
        <v>1069</v>
      </c>
    </row>
    <row r="174" spans="1:11" x14ac:dyDescent="0.25">
      <c r="A174" t="s">
        <v>1406</v>
      </c>
      <c r="B174" t="s">
        <v>1407</v>
      </c>
      <c r="C174" t="s">
        <v>1065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1069</v>
      </c>
      <c r="J174" t="s">
        <v>1069</v>
      </c>
      <c r="K174" t="s">
        <v>1069</v>
      </c>
    </row>
    <row r="175" spans="1:11" x14ac:dyDescent="0.25">
      <c r="A175" t="s">
        <v>1408</v>
      </c>
      <c r="B175" t="s">
        <v>1409</v>
      </c>
      <c r="C175" t="s">
        <v>1068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1069</v>
      </c>
      <c r="J175" t="s">
        <v>1069</v>
      </c>
      <c r="K175" t="s">
        <v>1069</v>
      </c>
    </row>
    <row r="176" spans="1:11" x14ac:dyDescent="0.25">
      <c r="A176" t="s">
        <v>1410</v>
      </c>
      <c r="B176" t="s">
        <v>1411</v>
      </c>
      <c r="C176" t="s">
        <v>1068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1069</v>
      </c>
      <c r="J176" t="s">
        <v>1069</v>
      </c>
      <c r="K176" t="s">
        <v>1069</v>
      </c>
    </row>
    <row r="177" spans="1:12" x14ac:dyDescent="0.25">
      <c r="A177" t="s">
        <v>1412</v>
      </c>
      <c r="B177" t="s">
        <v>1413</v>
      </c>
      <c r="C177" t="s">
        <v>1068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1069</v>
      </c>
      <c r="J177" t="s">
        <v>1069</v>
      </c>
      <c r="K177" t="s">
        <v>1069</v>
      </c>
    </row>
    <row r="178" spans="1:12" x14ac:dyDescent="0.25">
      <c r="A178" t="s">
        <v>1414</v>
      </c>
      <c r="B178" t="s">
        <v>1415</v>
      </c>
      <c r="C178" t="s">
        <v>1065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1069</v>
      </c>
      <c r="J178" t="s">
        <v>1069</v>
      </c>
      <c r="K178" t="s">
        <v>1069</v>
      </c>
    </row>
    <row r="179" spans="1:12" x14ac:dyDescent="0.25">
      <c r="A179" t="s">
        <v>1416</v>
      </c>
      <c r="B179" t="s">
        <v>1417</v>
      </c>
      <c r="C179" t="s">
        <v>1068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1069</v>
      </c>
      <c r="J179" t="s">
        <v>1069</v>
      </c>
      <c r="K179" t="s">
        <v>1069</v>
      </c>
    </row>
    <row r="180" spans="1:12" x14ac:dyDescent="0.25">
      <c r="A180" t="s">
        <v>1418</v>
      </c>
      <c r="B180" t="s">
        <v>1419</v>
      </c>
      <c r="C180" t="s">
        <v>1068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1069</v>
      </c>
      <c r="J180" t="s">
        <v>1069</v>
      </c>
      <c r="K180" t="s">
        <v>1069</v>
      </c>
    </row>
    <row r="181" spans="1:12" x14ac:dyDescent="0.25">
      <c r="A181" t="s">
        <v>1420</v>
      </c>
      <c r="B181" t="s">
        <v>1421</v>
      </c>
      <c r="C181" t="s">
        <v>1068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1069</v>
      </c>
      <c r="J181" t="s">
        <v>1069</v>
      </c>
      <c r="K181" t="s">
        <v>1069</v>
      </c>
    </row>
    <row r="182" spans="1:12" x14ac:dyDescent="0.25">
      <c r="A182" t="s">
        <v>1422</v>
      </c>
      <c r="B182" t="s">
        <v>1423</v>
      </c>
      <c r="C182" t="s">
        <v>1068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1069</v>
      </c>
      <c r="J182" t="s">
        <v>1069</v>
      </c>
      <c r="K182" t="s">
        <v>1069</v>
      </c>
    </row>
    <row r="183" spans="1:12" x14ac:dyDescent="0.25">
      <c r="A183" t="s">
        <v>1424</v>
      </c>
      <c r="B183" t="s">
        <v>1425</v>
      </c>
      <c r="C183" t="s">
        <v>1068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1069</v>
      </c>
      <c r="J183" t="s">
        <v>1069</v>
      </c>
      <c r="K183" t="s">
        <v>1069</v>
      </c>
    </row>
    <row r="184" spans="1:12" x14ac:dyDescent="0.25">
      <c r="A184" t="s">
        <v>1426</v>
      </c>
      <c r="B184" t="s">
        <v>1427</v>
      </c>
      <c r="C184" t="s">
        <v>1065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1428</v>
      </c>
      <c r="B185" t="s">
        <v>1039</v>
      </c>
      <c r="C185" t="s">
        <v>1065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1429</v>
      </c>
    </row>
    <row r="186" spans="1:12" x14ac:dyDescent="0.25">
      <c r="A186" t="s">
        <v>1430</v>
      </c>
      <c r="B186" t="s">
        <v>1431</v>
      </c>
      <c r="C186" t="s">
        <v>1068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1069</v>
      </c>
      <c r="J186" t="s">
        <v>1069</v>
      </c>
      <c r="K186" t="s">
        <v>1069</v>
      </c>
    </row>
    <row r="187" spans="1:12" x14ac:dyDescent="0.25">
      <c r="A187" t="s">
        <v>1432</v>
      </c>
      <c r="B187" t="s">
        <v>1433</v>
      </c>
      <c r="C187" t="s">
        <v>1068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1069</v>
      </c>
      <c r="J187" t="s">
        <v>1069</v>
      </c>
      <c r="K187" t="s">
        <v>1069</v>
      </c>
    </row>
    <row r="188" spans="1:12" x14ac:dyDescent="0.25">
      <c r="A188" t="s">
        <v>1434</v>
      </c>
      <c r="B188" t="s">
        <v>1035</v>
      </c>
      <c r="C188" t="s">
        <v>1068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1435</v>
      </c>
    </row>
    <row r="189" spans="1:12" x14ac:dyDescent="0.25">
      <c r="A189" t="s">
        <v>1436</v>
      </c>
      <c r="B189" t="s">
        <v>1038</v>
      </c>
      <c r="C189" t="s">
        <v>1065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1437</v>
      </c>
    </row>
    <row r="190" spans="1:12" x14ac:dyDescent="0.25">
      <c r="A190" t="s">
        <v>1438</v>
      </c>
      <c r="B190" t="s">
        <v>1439</v>
      </c>
      <c r="C190" t="s">
        <v>1068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1069</v>
      </c>
      <c r="J190" t="s">
        <v>1069</v>
      </c>
      <c r="K190" t="s">
        <v>1069</v>
      </c>
    </row>
    <row r="191" spans="1:12" x14ac:dyDescent="0.25">
      <c r="A191" t="s">
        <v>1440</v>
      </c>
      <c r="B191" t="s">
        <v>1441</v>
      </c>
      <c r="C191" t="s">
        <v>1068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1069</v>
      </c>
      <c r="J191" t="s">
        <v>1069</v>
      </c>
      <c r="K191" t="s">
        <v>1069</v>
      </c>
    </row>
    <row r="192" spans="1:12" x14ac:dyDescent="0.25">
      <c r="A192" t="s">
        <v>1442</v>
      </c>
      <c r="B192" t="s">
        <v>1036</v>
      </c>
      <c r="C192" t="s">
        <v>1068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1435</v>
      </c>
    </row>
    <row r="193" spans="1:12" x14ac:dyDescent="0.25">
      <c r="A193" t="s">
        <v>1443</v>
      </c>
      <c r="B193" t="s">
        <v>1037</v>
      </c>
      <c r="C193" t="s">
        <v>1065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1435</v>
      </c>
    </row>
    <row r="194" spans="1:12" x14ac:dyDescent="0.25">
      <c r="A194" t="s">
        <v>1444</v>
      </c>
      <c r="B194" t="s">
        <v>1445</v>
      </c>
      <c r="C194" t="s">
        <v>1068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1069</v>
      </c>
      <c r="J194" t="s">
        <v>1069</v>
      </c>
      <c r="K194" t="s">
        <v>1069</v>
      </c>
    </row>
    <row r="195" spans="1:12" x14ac:dyDescent="0.25">
      <c r="A195" t="s">
        <v>1446</v>
      </c>
      <c r="B195" t="s">
        <v>1447</v>
      </c>
      <c r="C195" t="s">
        <v>1068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1069</v>
      </c>
      <c r="J195" t="s">
        <v>1069</v>
      </c>
      <c r="K195" t="s">
        <v>1069</v>
      </c>
    </row>
    <row r="196" spans="1:12" x14ac:dyDescent="0.25">
      <c r="A196" t="s">
        <v>1448</v>
      </c>
      <c r="B196" t="s">
        <v>1449</v>
      </c>
      <c r="C196" t="s">
        <v>1068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1069</v>
      </c>
      <c r="J196" t="s">
        <v>1069</v>
      </c>
      <c r="K196" t="s">
        <v>1069</v>
      </c>
    </row>
    <row r="197" spans="1:12" x14ac:dyDescent="0.25">
      <c r="A197" t="s">
        <v>1450</v>
      </c>
      <c r="B197" t="s">
        <v>1451</v>
      </c>
      <c r="C197" t="s">
        <v>1068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1069</v>
      </c>
      <c r="J197" t="s">
        <v>1069</v>
      </c>
      <c r="K197" t="s">
        <v>1069</v>
      </c>
    </row>
    <row r="198" spans="1:12" x14ac:dyDescent="0.25">
      <c r="A198" t="s">
        <v>1452</v>
      </c>
      <c r="B198" t="s">
        <v>1453</v>
      </c>
      <c r="C198" t="s">
        <v>1068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1069</v>
      </c>
      <c r="J198" t="s">
        <v>1069</v>
      </c>
      <c r="K198" t="s">
        <v>1069</v>
      </c>
    </row>
    <row r="199" spans="1:12" x14ac:dyDescent="0.25">
      <c r="A199" t="s">
        <v>1454</v>
      </c>
      <c r="B199" t="s">
        <v>1455</v>
      </c>
      <c r="C199" t="s">
        <v>1068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1069</v>
      </c>
      <c r="J199" t="s">
        <v>1069</v>
      </c>
      <c r="K199" t="s">
        <v>1069</v>
      </c>
    </row>
    <row r="200" spans="1:12" x14ac:dyDescent="0.25">
      <c r="A200" t="s">
        <v>1456</v>
      </c>
      <c r="B200" t="s">
        <v>1043</v>
      </c>
      <c r="C200" t="s">
        <v>1065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598</v>
      </c>
    </row>
    <row r="201" spans="1:12" x14ac:dyDescent="0.25">
      <c r="A201" t="s">
        <v>1457</v>
      </c>
      <c r="B201" t="s">
        <v>1458</v>
      </c>
      <c r="C201" t="s">
        <v>1068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1069</v>
      </c>
      <c r="J201" t="s">
        <v>1069</v>
      </c>
      <c r="K201" t="s">
        <v>1069</v>
      </c>
    </row>
    <row r="202" spans="1:12" x14ac:dyDescent="0.25">
      <c r="A202" t="s">
        <v>1459</v>
      </c>
      <c r="B202" t="s">
        <v>1460</v>
      </c>
      <c r="C202" t="s">
        <v>1068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1069</v>
      </c>
      <c r="J202" t="s">
        <v>1069</v>
      </c>
      <c r="K202" t="s">
        <v>1069</v>
      </c>
    </row>
    <row r="203" spans="1:12" x14ac:dyDescent="0.25">
      <c r="A203" t="s">
        <v>1461</v>
      </c>
      <c r="B203" t="s">
        <v>1462</v>
      </c>
      <c r="C203" t="s">
        <v>1068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1069</v>
      </c>
      <c r="J203" t="s">
        <v>1069</v>
      </c>
      <c r="K203" t="s">
        <v>1069</v>
      </c>
    </row>
    <row r="204" spans="1:12" x14ac:dyDescent="0.25">
      <c r="A204" t="s">
        <v>1463</v>
      </c>
      <c r="B204" t="s">
        <v>1464</v>
      </c>
      <c r="C204" t="s">
        <v>1065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1465</v>
      </c>
    </row>
    <row r="205" spans="1:12" x14ac:dyDescent="0.25">
      <c r="A205" t="s">
        <v>1466</v>
      </c>
      <c r="B205" t="s">
        <v>1467</v>
      </c>
      <c r="C205" t="s">
        <v>1065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1069</v>
      </c>
      <c r="J205" t="s">
        <v>1069</v>
      </c>
      <c r="K205" t="s">
        <v>1069</v>
      </c>
    </row>
    <row r="206" spans="1:12" x14ac:dyDescent="0.25">
      <c r="A206" t="s">
        <v>1468</v>
      </c>
      <c r="B206" t="s">
        <v>1469</v>
      </c>
      <c r="C206" t="s">
        <v>1068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1069</v>
      </c>
      <c r="J206" t="s">
        <v>1069</v>
      </c>
      <c r="K206" t="s">
        <v>1069</v>
      </c>
    </row>
    <row r="207" spans="1:12" x14ac:dyDescent="0.25">
      <c r="A207" t="s">
        <v>1470</v>
      </c>
      <c r="B207" t="s">
        <v>1471</v>
      </c>
      <c r="C207" t="s">
        <v>1068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1069</v>
      </c>
      <c r="J207" t="s">
        <v>1069</v>
      </c>
      <c r="K207" t="s">
        <v>1069</v>
      </c>
    </row>
    <row r="208" spans="1:12" x14ac:dyDescent="0.25">
      <c r="A208" t="s">
        <v>1472</v>
      </c>
      <c r="B208" t="s">
        <v>1473</v>
      </c>
      <c r="C208" t="s">
        <v>1068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1069</v>
      </c>
      <c r="J208" t="s">
        <v>1069</v>
      </c>
      <c r="K208" t="s">
        <v>1069</v>
      </c>
    </row>
    <row r="209" spans="1:12" x14ac:dyDescent="0.25">
      <c r="A209" t="s">
        <v>1474</v>
      </c>
      <c r="B209" t="s">
        <v>1475</v>
      </c>
      <c r="C209" t="s">
        <v>1065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1069</v>
      </c>
      <c r="J209" t="s">
        <v>1069</v>
      </c>
      <c r="K209" t="s">
        <v>1069</v>
      </c>
    </row>
    <row r="210" spans="1:12" x14ac:dyDescent="0.25">
      <c r="A210" t="s">
        <v>1476</v>
      </c>
      <c r="B210" t="s">
        <v>1477</v>
      </c>
      <c r="C210" t="s">
        <v>1068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1069</v>
      </c>
      <c r="J210" t="s">
        <v>1069</v>
      </c>
      <c r="K210" t="s">
        <v>1069</v>
      </c>
    </row>
    <row r="211" spans="1:12" x14ac:dyDescent="0.25">
      <c r="A211" t="s">
        <v>1478</v>
      </c>
      <c r="B211" t="s">
        <v>1479</v>
      </c>
      <c r="C211" t="s">
        <v>1068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1069</v>
      </c>
      <c r="J211" t="s">
        <v>1069</v>
      </c>
      <c r="K211" t="s">
        <v>1069</v>
      </c>
    </row>
    <row r="212" spans="1:12" x14ac:dyDescent="0.25">
      <c r="A212" t="s">
        <v>1480</v>
      </c>
      <c r="B212" t="s">
        <v>1481</v>
      </c>
      <c r="C212" t="s">
        <v>1068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1069</v>
      </c>
      <c r="J212" t="s">
        <v>1069</v>
      </c>
      <c r="K212" t="s">
        <v>1069</v>
      </c>
    </row>
    <row r="213" spans="1:12" x14ac:dyDescent="0.25">
      <c r="A213" t="s">
        <v>1482</v>
      </c>
      <c r="B213" t="s">
        <v>1483</v>
      </c>
      <c r="C213" t="s">
        <v>1068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1069</v>
      </c>
      <c r="J213" t="s">
        <v>1069</v>
      </c>
      <c r="K213" t="s">
        <v>1069</v>
      </c>
    </row>
    <row r="214" spans="1:12" x14ac:dyDescent="0.25">
      <c r="A214" t="s">
        <v>1484</v>
      </c>
      <c r="B214" t="s">
        <v>1485</v>
      </c>
      <c r="C214" t="s">
        <v>1068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1069</v>
      </c>
      <c r="J214" t="s">
        <v>1069</v>
      </c>
      <c r="K214" t="s">
        <v>1069</v>
      </c>
    </row>
    <row r="215" spans="1:12" x14ac:dyDescent="0.25">
      <c r="A215" t="s">
        <v>1486</v>
      </c>
      <c r="B215" t="s">
        <v>1487</v>
      </c>
      <c r="C215" t="s">
        <v>1068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1069</v>
      </c>
      <c r="J215" t="s">
        <v>1069</v>
      </c>
      <c r="K215" t="s">
        <v>1069</v>
      </c>
    </row>
    <row r="216" spans="1:12" x14ac:dyDescent="0.25">
      <c r="A216" t="s">
        <v>1488</v>
      </c>
      <c r="B216" t="s">
        <v>1042</v>
      </c>
      <c r="C216" t="s">
        <v>1065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1489</v>
      </c>
    </row>
    <row r="217" spans="1:12" x14ac:dyDescent="0.25">
      <c r="A217" t="s">
        <v>1490</v>
      </c>
      <c r="B217" t="s">
        <v>1491</v>
      </c>
      <c r="C217" t="s">
        <v>1068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1069</v>
      </c>
      <c r="J217" t="s">
        <v>1069</v>
      </c>
      <c r="K217" t="s">
        <v>1069</v>
      </c>
    </row>
    <row r="218" spans="1:12" x14ac:dyDescent="0.25">
      <c r="A218" t="s">
        <v>1492</v>
      </c>
      <c r="B218" t="s">
        <v>1493</v>
      </c>
      <c r="C218" t="s">
        <v>1068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1069</v>
      </c>
      <c r="J218" t="s">
        <v>1069</v>
      </c>
      <c r="K218" t="s">
        <v>1069</v>
      </c>
    </row>
    <row r="219" spans="1:12" x14ac:dyDescent="0.25">
      <c r="A219" t="s">
        <v>1494</v>
      </c>
      <c r="B219" t="s">
        <v>1041</v>
      </c>
      <c r="C219" t="s">
        <v>1068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1465</v>
      </c>
    </row>
    <row r="220" spans="1:12" x14ac:dyDescent="0.25">
      <c r="A220" t="s">
        <v>1495</v>
      </c>
      <c r="B220" t="s">
        <v>1496</v>
      </c>
      <c r="C220" t="s">
        <v>1065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1497</v>
      </c>
      <c r="B221" t="s">
        <v>1498</v>
      </c>
      <c r="C221" t="s">
        <v>1065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603</v>
      </c>
    </row>
    <row r="222" spans="1:12" x14ac:dyDescent="0.25">
      <c r="A222" t="s">
        <v>1499</v>
      </c>
      <c r="B222" t="s">
        <v>1500</v>
      </c>
      <c r="C222" t="s">
        <v>1065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1501</v>
      </c>
      <c r="B223" t="s">
        <v>1502</v>
      </c>
      <c r="C223" t="s">
        <v>1068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1069</v>
      </c>
      <c r="J223" t="s">
        <v>1069</v>
      </c>
      <c r="K223" t="s">
        <v>1069</v>
      </c>
    </row>
    <row r="224" spans="1:12" x14ac:dyDescent="0.25">
      <c r="A224" t="s">
        <v>1503</v>
      </c>
      <c r="B224" t="s">
        <v>1504</v>
      </c>
      <c r="C224" t="s">
        <v>1068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1505</v>
      </c>
      <c r="B225" t="s">
        <v>1506</v>
      </c>
      <c r="C225" t="s">
        <v>1065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1507</v>
      </c>
      <c r="B226" t="s">
        <v>1508</v>
      </c>
      <c r="C226" t="s">
        <v>1068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603</v>
      </c>
    </row>
    <row r="227" spans="1:12" x14ac:dyDescent="0.25">
      <c r="A227" t="s">
        <v>1509</v>
      </c>
      <c r="B227" t="s">
        <v>1510</v>
      </c>
      <c r="C227" t="s">
        <v>1065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603</v>
      </c>
    </row>
    <row r="228" spans="1:12" x14ac:dyDescent="0.25">
      <c r="A228" t="s">
        <v>1511</v>
      </c>
      <c r="B228" t="s">
        <v>1512</v>
      </c>
      <c r="C228" t="s">
        <v>1065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1069</v>
      </c>
      <c r="J228" t="s">
        <v>1069</v>
      </c>
      <c r="K228" t="s">
        <v>1069</v>
      </c>
    </row>
    <row r="229" spans="1:12" x14ac:dyDescent="0.25">
      <c r="A229" t="s">
        <v>1513</v>
      </c>
      <c r="B229" t="s">
        <v>1514</v>
      </c>
      <c r="C229" t="s">
        <v>1068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1069</v>
      </c>
      <c r="J229" t="s">
        <v>1069</v>
      </c>
      <c r="K229" t="s">
        <v>1069</v>
      </c>
    </row>
    <row r="230" spans="1:12" x14ac:dyDescent="0.25">
      <c r="A230" t="s">
        <v>1515</v>
      </c>
      <c r="B230" t="s">
        <v>1516</v>
      </c>
      <c r="C230" t="s">
        <v>1065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1069</v>
      </c>
      <c r="J230" t="s">
        <v>1069</v>
      </c>
      <c r="K230" t="s">
        <v>1069</v>
      </c>
    </row>
    <row r="231" spans="1:12" x14ac:dyDescent="0.25">
      <c r="A231" t="s">
        <v>1517</v>
      </c>
      <c r="B231" t="s">
        <v>1518</v>
      </c>
      <c r="C231" t="s">
        <v>1065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1069</v>
      </c>
      <c r="J231" t="s">
        <v>1069</v>
      </c>
      <c r="K231" t="s">
        <v>1069</v>
      </c>
    </row>
    <row r="232" spans="1:12" x14ac:dyDescent="0.25">
      <c r="A232" t="s">
        <v>1519</v>
      </c>
      <c r="B232" t="s">
        <v>1520</v>
      </c>
      <c r="C232" t="s">
        <v>1068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1069</v>
      </c>
      <c r="J232" t="s">
        <v>1069</v>
      </c>
      <c r="K232" t="s">
        <v>1069</v>
      </c>
    </row>
    <row r="233" spans="1:12" x14ac:dyDescent="0.25">
      <c r="A233" t="s">
        <v>1521</v>
      </c>
      <c r="B233" t="s">
        <v>1522</v>
      </c>
      <c r="C233" t="s">
        <v>1068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1069</v>
      </c>
      <c r="J233" t="s">
        <v>1069</v>
      </c>
      <c r="K233" t="s">
        <v>1069</v>
      </c>
    </row>
    <row r="234" spans="1:12" x14ac:dyDescent="0.25">
      <c r="A234" t="s">
        <v>1523</v>
      </c>
      <c r="B234" t="s">
        <v>1524</v>
      </c>
      <c r="C234" t="s">
        <v>1068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1069</v>
      </c>
      <c r="J234" t="s">
        <v>1069</v>
      </c>
      <c r="K234" t="s">
        <v>1069</v>
      </c>
    </row>
    <row r="235" spans="1:12" x14ac:dyDescent="0.25">
      <c r="A235" t="s">
        <v>1525</v>
      </c>
      <c r="B235" t="s">
        <v>1526</v>
      </c>
      <c r="C235" t="s">
        <v>1068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1069</v>
      </c>
      <c r="J235" t="s">
        <v>1069</v>
      </c>
      <c r="K235" t="s">
        <v>1069</v>
      </c>
    </row>
    <row r="236" spans="1:12" x14ac:dyDescent="0.25">
      <c r="A236" t="s">
        <v>1527</v>
      </c>
      <c r="B236" t="s">
        <v>1528</v>
      </c>
      <c r="C236" t="s">
        <v>1068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620</v>
      </c>
    </row>
    <row r="237" spans="1:12" x14ac:dyDescent="0.25">
      <c r="A237" t="s">
        <v>1529</v>
      </c>
      <c r="B237" t="s">
        <v>1530</v>
      </c>
      <c r="C237" t="s">
        <v>1068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629</v>
      </c>
    </row>
    <row r="238" spans="1:12" x14ac:dyDescent="0.25">
      <c r="A238" t="s">
        <v>1531</v>
      </c>
      <c r="B238" t="s">
        <v>1532</v>
      </c>
      <c r="C238" t="s">
        <v>1065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635</v>
      </c>
    </row>
    <row r="239" spans="1:12" x14ac:dyDescent="0.25">
      <c r="A239" t="s">
        <v>1533</v>
      </c>
      <c r="B239" t="s">
        <v>1534</v>
      </c>
      <c r="C239" t="s">
        <v>1065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1535</v>
      </c>
      <c r="B240" t="s">
        <v>1536</v>
      </c>
      <c r="C240" t="s">
        <v>1068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1069</v>
      </c>
      <c r="J240" t="s">
        <v>1069</v>
      </c>
      <c r="K240" t="s">
        <v>1069</v>
      </c>
    </row>
    <row r="241" spans="1:11" x14ac:dyDescent="0.25">
      <c r="A241" t="s">
        <v>1537</v>
      </c>
      <c r="B241" t="s">
        <v>1538</v>
      </c>
      <c r="C241" t="s">
        <v>1065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1069</v>
      </c>
      <c r="J241" t="s">
        <v>1069</v>
      </c>
      <c r="K241" t="s">
        <v>1069</v>
      </c>
    </row>
    <row r="242" spans="1:11" x14ac:dyDescent="0.25">
      <c r="A242" t="s">
        <v>1539</v>
      </c>
      <c r="B242" t="s">
        <v>1540</v>
      </c>
      <c r="C242" t="s">
        <v>1068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1069</v>
      </c>
      <c r="J242" t="s">
        <v>1069</v>
      </c>
      <c r="K242" t="s">
        <v>1069</v>
      </c>
    </row>
    <row r="243" spans="1:11" x14ac:dyDescent="0.25">
      <c r="A243" t="s">
        <v>1541</v>
      </c>
      <c r="B243" t="s">
        <v>1542</v>
      </c>
      <c r="C243" t="s">
        <v>1065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1069</v>
      </c>
      <c r="J243" t="s">
        <v>1069</v>
      </c>
      <c r="K243" t="s">
        <v>1069</v>
      </c>
    </row>
    <row r="244" spans="1:11" x14ac:dyDescent="0.25">
      <c r="A244" t="s">
        <v>1543</v>
      </c>
      <c r="B244" t="s">
        <v>1544</v>
      </c>
      <c r="C244" t="s">
        <v>1068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1069</v>
      </c>
      <c r="J244" t="s">
        <v>1069</v>
      </c>
      <c r="K244" t="s">
        <v>1069</v>
      </c>
    </row>
    <row r="245" spans="1:11" x14ac:dyDescent="0.25">
      <c r="A245" t="s">
        <v>1545</v>
      </c>
      <c r="B245" t="s">
        <v>1546</v>
      </c>
      <c r="C245" t="s">
        <v>1068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1547</v>
      </c>
      <c r="B246" t="s">
        <v>1548</v>
      </c>
      <c r="C246" t="s">
        <v>1065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1549</v>
      </c>
      <c r="B247" t="s">
        <v>1550</v>
      </c>
      <c r="C247" t="s">
        <v>1065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1551</v>
      </c>
      <c r="B248" t="s">
        <v>1552</v>
      </c>
      <c r="C248" t="s">
        <v>1068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1069</v>
      </c>
      <c r="J248" t="s">
        <v>1069</v>
      </c>
      <c r="K248" t="s">
        <v>1069</v>
      </c>
    </row>
    <row r="249" spans="1:11" x14ac:dyDescent="0.25">
      <c r="A249" t="s">
        <v>1553</v>
      </c>
      <c r="B249" t="s">
        <v>1554</v>
      </c>
      <c r="C249" t="s">
        <v>1068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1069</v>
      </c>
      <c r="J249" t="s">
        <v>1069</v>
      </c>
      <c r="K249" t="s">
        <v>1069</v>
      </c>
    </row>
    <row r="250" spans="1:11" x14ac:dyDescent="0.25">
      <c r="A250" t="s">
        <v>1555</v>
      </c>
      <c r="B250" t="s">
        <v>1556</v>
      </c>
      <c r="C250" t="s">
        <v>1065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1557</v>
      </c>
      <c r="B251" t="s">
        <v>1558</v>
      </c>
      <c r="C251" t="s">
        <v>1068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1069</v>
      </c>
      <c r="J251" t="s">
        <v>1069</v>
      </c>
      <c r="K251" t="s">
        <v>1069</v>
      </c>
    </row>
    <row r="252" spans="1:11" x14ac:dyDescent="0.25">
      <c r="A252" t="s">
        <v>1559</v>
      </c>
      <c r="B252" t="s">
        <v>1560</v>
      </c>
      <c r="C252" t="s">
        <v>1068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1069</v>
      </c>
      <c r="J252" t="s">
        <v>1069</v>
      </c>
      <c r="K252" t="s">
        <v>1069</v>
      </c>
    </row>
    <row r="253" spans="1:11" x14ac:dyDescent="0.25">
      <c r="A253" t="s">
        <v>1561</v>
      </c>
      <c r="B253" t="s">
        <v>1562</v>
      </c>
      <c r="C253" t="s">
        <v>1065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1563</v>
      </c>
      <c r="B254" t="s">
        <v>1564</v>
      </c>
      <c r="C254" t="s">
        <v>1068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1069</v>
      </c>
      <c r="J254" t="s">
        <v>1069</v>
      </c>
      <c r="K254" t="s">
        <v>1069</v>
      </c>
    </row>
    <row r="255" spans="1:11" x14ac:dyDescent="0.25">
      <c r="A255" t="s">
        <v>1565</v>
      </c>
      <c r="B255" t="s">
        <v>1566</v>
      </c>
      <c r="C255" t="s">
        <v>1068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1069</v>
      </c>
      <c r="J255" t="s">
        <v>1069</v>
      </c>
      <c r="K255" t="s">
        <v>1069</v>
      </c>
    </row>
    <row r="256" spans="1:11" x14ac:dyDescent="0.25">
      <c r="A256" t="s">
        <v>1567</v>
      </c>
      <c r="B256" t="s">
        <v>1568</v>
      </c>
      <c r="C256" t="s">
        <v>1065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1569</v>
      </c>
      <c r="B257" t="s">
        <v>1570</v>
      </c>
      <c r="C257" t="s">
        <v>1068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678</v>
      </c>
    </row>
    <row r="258" spans="1:12" x14ac:dyDescent="0.25">
      <c r="A258" t="s">
        <v>1571</v>
      </c>
      <c r="B258" t="s">
        <v>1572</v>
      </c>
      <c r="C258" t="s">
        <v>1065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767</v>
      </c>
    </row>
    <row r="259" spans="1:12" x14ac:dyDescent="0.25">
      <c r="A259" t="s">
        <v>1573</v>
      </c>
      <c r="B259" t="s">
        <v>1574</v>
      </c>
      <c r="C259" t="s">
        <v>1068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1575</v>
      </c>
      <c r="B260" t="s">
        <v>1576</v>
      </c>
      <c r="C260" t="s">
        <v>1068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1577</v>
      </c>
      <c r="B261" t="s">
        <v>1578</v>
      </c>
      <c r="C261" t="s">
        <v>1068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1579</v>
      </c>
      <c r="B262" t="s">
        <v>1580</v>
      </c>
      <c r="C262" t="s">
        <v>1065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1581</v>
      </c>
      <c r="B263" t="s">
        <v>1582</v>
      </c>
      <c r="C263" t="s">
        <v>1065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1583</v>
      </c>
      <c r="B264" t="s">
        <v>1584</v>
      </c>
      <c r="C264" t="s">
        <v>1068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707</v>
      </c>
    </row>
    <row r="265" spans="1:12" x14ac:dyDescent="0.25">
      <c r="A265" t="s">
        <v>1585</v>
      </c>
      <c r="B265" t="s">
        <v>1586</v>
      </c>
      <c r="C265" t="s">
        <v>1068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707</v>
      </c>
    </row>
    <row r="266" spans="1:12" x14ac:dyDescent="0.25">
      <c r="A266" t="s">
        <v>1587</v>
      </c>
      <c r="B266" t="s">
        <v>1588</v>
      </c>
      <c r="C266" t="s">
        <v>1065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707</v>
      </c>
    </row>
    <row r="267" spans="1:12" x14ac:dyDescent="0.25">
      <c r="A267" t="s">
        <v>1589</v>
      </c>
      <c r="B267" t="s">
        <v>1590</v>
      </c>
      <c r="C267" t="s">
        <v>1068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1069</v>
      </c>
      <c r="J267" t="s">
        <v>1069</v>
      </c>
      <c r="K267" t="s">
        <v>1069</v>
      </c>
    </row>
    <row r="268" spans="1:12" x14ac:dyDescent="0.25">
      <c r="A268" t="s">
        <v>1591</v>
      </c>
      <c r="B268" t="s">
        <v>1592</v>
      </c>
      <c r="C268" t="s">
        <v>1068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1069</v>
      </c>
      <c r="J268" t="s">
        <v>1069</v>
      </c>
      <c r="K268" t="s">
        <v>1069</v>
      </c>
    </row>
    <row r="269" spans="1:12" x14ac:dyDescent="0.25">
      <c r="A269" t="s">
        <v>1593</v>
      </c>
      <c r="B269" t="s">
        <v>1594</v>
      </c>
      <c r="C269" t="s">
        <v>1068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707</v>
      </c>
    </row>
    <row r="270" spans="1:12" x14ac:dyDescent="0.25">
      <c r="A270" t="s">
        <v>1595</v>
      </c>
      <c r="B270" t="s">
        <v>1596</v>
      </c>
      <c r="C270" t="s">
        <v>1068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629</v>
      </c>
    </row>
    <row r="271" spans="1:12" x14ac:dyDescent="0.25">
      <c r="A271" t="s">
        <v>1597</v>
      </c>
      <c r="B271" t="s">
        <v>1598</v>
      </c>
      <c r="C271" t="s">
        <v>1068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707</v>
      </c>
    </row>
    <row r="272" spans="1:12" x14ac:dyDescent="0.25">
      <c r="A272" t="s">
        <v>1599</v>
      </c>
      <c r="B272" t="s">
        <v>1600</v>
      </c>
      <c r="C272" t="s">
        <v>1065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707</v>
      </c>
    </row>
    <row r="273" spans="1:12" x14ac:dyDescent="0.25">
      <c r="A273" t="s">
        <v>1601</v>
      </c>
      <c r="B273" t="s">
        <v>1602</v>
      </c>
      <c r="C273" t="s">
        <v>1068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1069</v>
      </c>
      <c r="J273" t="s">
        <v>1069</v>
      </c>
      <c r="K273" t="s">
        <v>1069</v>
      </c>
    </row>
    <row r="274" spans="1:12" x14ac:dyDescent="0.25">
      <c r="A274" t="s">
        <v>1603</v>
      </c>
      <c r="B274" t="s">
        <v>1604</v>
      </c>
      <c r="C274" t="s">
        <v>1068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1069</v>
      </c>
      <c r="J274" t="s">
        <v>1069</v>
      </c>
      <c r="K274" t="s">
        <v>1069</v>
      </c>
    </row>
    <row r="275" spans="1:12" x14ac:dyDescent="0.25">
      <c r="A275" t="s">
        <v>1605</v>
      </c>
      <c r="B275" t="s">
        <v>1606</v>
      </c>
      <c r="C275" t="s">
        <v>1068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707</v>
      </c>
    </row>
    <row r="276" spans="1:12" x14ac:dyDescent="0.25">
      <c r="A276" t="s">
        <v>1607</v>
      </c>
      <c r="B276" t="s">
        <v>1608</v>
      </c>
      <c r="C276" t="s">
        <v>1065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707</v>
      </c>
    </row>
    <row r="277" spans="1:12" x14ac:dyDescent="0.25">
      <c r="A277" t="s">
        <v>1609</v>
      </c>
      <c r="B277" t="s">
        <v>1610</v>
      </c>
      <c r="C277" t="s">
        <v>1068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1611</v>
      </c>
      <c r="B278" t="s">
        <v>1612</v>
      </c>
      <c r="C278" t="s">
        <v>1068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1613</v>
      </c>
      <c r="B279" t="s">
        <v>1614</v>
      </c>
      <c r="C279" t="s">
        <v>1065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707</v>
      </c>
    </row>
    <row r="280" spans="1:12" x14ac:dyDescent="0.25">
      <c r="A280" t="s">
        <v>1615</v>
      </c>
      <c r="B280" t="s">
        <v>1616</v>
      </c>
      <c r="C280" t="s">
        <v>1068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1617</v>
      </c>
      <c r="B281" t="s">
        <v>1618</v>
      </c>
      <c r="C281" t="s">
        <v>1065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1619</v>
      </c>
      <c r="B282" t="s">
        <v>1620</v>
      </c>
      <c r="C282" t="s">
        <v>1065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767</v>
      </c>
    </row>
    <row r="283" spans="1:12" x14ac:dyDescent="0.25">
      <c r="A283" t="s">
        <v>1621</v>
      </c>
      <c r="B283" t="s">
        <v>1622</v>
      </c>
      <c r="C283" t="s">
        <v>1068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1623</v>
      </c>
      <c r="B284" t="s">
        <v>1624</v>
      </c>
      <c r="C284" t="s">
        <v>1068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1625</v>
      </c>
      <c r="B285" t="s">
        <v>1626</v>
      </c>
      <c r="C285" t="s">
        <v>1065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1627</v>
      </c>
      <c r="B286" t="s">
        <v>1628</v>
      </c>
      <c r="C286" t="s">
        <v>1068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1069</v>
      </c>
      <c r="J286" t="s">
        <v>1069</v>
      </c>
      <c r="K286" t="s">
        <v>1069</v>
      </c>
    </row>
    <row r="287" spans="1:12" x14ac:dyDescent="0.25">
      <c r="A287" t="s">
        <v>1629</v>
      </c>
      <c r="B287" t="s">
        <v>1630</v>
      </c>
      <c r="C287" t="s">
        <v>1068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1631</v>
      </c>
      <c r="B288" t="s">
        <v>1632</v>
      </c>
      <c r="C288" t="s">
        <v>1068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1633</v>
      </c>
      <c r="B289" t="s">
        <v>1634</v>
      </c>
      <c r="C289" t="s">
        <v>1065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1635</v>
      </c>
      <c r="B290" t="s">
        <v>1636</v>
      </c>
      <c r="C290" t="s">
        <v>1068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1069</v>
      </c>
      <c r="J290" t="s">
        <v>1069</v>
      </c>
      <c r="K290" t="s">
        <v>1069</v>
      </c>
    </row>
    <row r="291" spans="1:12" x14ac:dyDescent="0.25">
      <c r="A291" t="s">
        <v>1637</v>
      </c>
      <c r="B291" t="s">
        <v>1638</v>
      </c>
      <c r="C291" t="s">
        <v>1068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1069</v>
      </c>
      <c r="J291" t="s">
        <v>1069</v>
      </c>
      <c r="K291" t="s">
        <v>1069</v>
      </c>
    </row>
    <row r="292" spans="1:12" x14ac:dyDescent="0.25">
      <c r="A292" t="s">
        <v>1639</v>
      </c>
      <c r="B292" t="s">
        <v>1640</v>
      </c>
      <c r="C292" t="s">
        <v>1065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1641</v>
      </c>
      <c r="B293" t="s">
        <v>1642</v>
      </c>
      <c r="C293" t="s">
        <v>1068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1069</v>
      </c>
      <c r="J293" t="s">
        <v>1069</v>
      </c>
      <c r="K293" t="s">
        <v>1069</v>
      </c>
    </row>
    <row r="294" spans="1:12" x14ac:dyDescent="0.25">
      <c r="A294" t="s">
        <v>1643</v>
      </c>
      <c r="B294" t="s">
        <v>1644</v>
      </c>
      <c r="C294" t="s">
        <v>1068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1069</v>
      </c>
      <c r="J294" t="s">
        <v>1069</v>
      </c>
      <c r="K294" t="s">
        <v>1069</v>
      </c>
    </row>
    <row r="295" spans="1:12" x14ac:dyDescent="0.25">
      <c r="A295" t="s">
        <v>1645</v>
      </c>
      <c r="B295" t="s">
        <v>1646</v>
      </c>
      <c r="C295" t="s">
        <v>1068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1647</v>
      </c>
      <c r="B296" t="s">
        <v>1648</v>
      </c>
      <c r="C296" t="s">
        <v>1065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600</v>
      </c>
    </row>
    <row r="297" spans="1:12" x14ac:dyDescent="0.25">
      <c r="A297" t="s">
        <v>1649</v>
      </c>
      <c r="B297" t="s">
        <v>1650</v>
      </c>
      <c r="C297" t="s">
        <v>1068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1069</v>
      </c>
      <c r="J297" t="s">
        <v>1069</v>
      </c>
      <c r="K297" t="s">
        <v>1069</v>
      </c>
    </row>
    <row r="298" spans="1:12" x14ac:dyDescent="0.25">
      <c r="A298" t="s">
        <v>1651</v>
      </c>
      <c r="B298" t="s">
        <v>1652</v>
      </c>
      <c r="C298" t="s">
        <v>1068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1069</v>
      </c>
      <c r="J298" t="s">
        <v>1069</v>
      </c>
      <c r="K298" t="s">
        <v>1069</v>
      </c>
    </row>
    <row r="299" spans="1:12" x14ac:dyDescent="0.25">
      <c r="A299" t="s">
        <v>1653</v>
      </c>
      <c r="B299" t="s">
        <v>1654</v>
      </c>
      <c r="C299" t="s">
        <v>1068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1069</v>
      </c>
      <c r="J299" t="s">
        <v>1069</v>
      </c>
      <c r="K299" t="s">
        <v>1069</v>
      </c>
    </row>
    <row r="300" spans="1:12" x14ac:dyDescent="0.25">
      <c r="A300" t="s">
        <v>1655</v>
      </c>
      <c r="B300" t="s">
        <v>1656</v>
      </c>
      <c r="C300" t="s">
        <v>1065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1069</v>
      </c>
      <c r="J300" t="s">
        <v>1069</v>
      </c>
      <c r="K300" t="s">
        <v>1069</v>
      </c>
    </row>
    <row r="301" spans="1:12" x14ac:dyDescent="0.25">
      <c r="A301" t="s">
        <v>1657</v>
      </c>
      <c r="B301" t="s">
        <v>1658</v>
      </c>
      <c r="C301" t="s">
        <v>1065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1069</v>
      </c>
      <c r="J301" t="s">
        <v>1069</v>
      </c>
      <c r="K301" t="s">
        <v>1069</v>
      </c>
    </row>
    <row r="302" spans="1:12" x14ac:dyDescent="0.25">
      <c r="A302" t="s">
        <v>1659</v>
      </c>
      <c r="B302" t="s">
        <v>1660</v>
      </c>
      <c r="C302" t="s">
        <v>1065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817</v>
      </c>
    </row>
    <row r="303" spans="1:12" x14ac:dyDescent="0.25">
      <c r="A303" t="s">
        <v>1661</v>
      </c>
      <c r="B303" t="s">
        <v>1662</v>
      </c>
      <c r="C303" t="s">
        <v>1068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1663</v>
      </c>
      <c r="B304" t="s">
        <v>1664</v>
      </c>
      <c r="C304" t="s">
        <v>1065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1665</v>
      </c>
      <c r="B305" t="s">
        <v>1666</v>
      </c>
      <c r="C305" t="s">
        <v>1068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1069</v>
      </c>
      <c r="J305" t="s">
        <v>1069</v>
      </c>
      <c r="K305" t="s">
        <v>1069</v>
      </c>
    </row>
    <row r="306" spans="1:12" x14ac:dyDescent="0.25">
      <c r="A306" t="s">
        <v>1667</v>
      </c>
      <c r="B306" t="s">
        <v>1668</v>
      </c>
      <c r="C306" t="s">
        <v>1068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1069</v>
      </c>
      <c r="J306" t="s">
        <v>1069</v>
      </c>
      <c r="K306" t="s">
        <v>1069</v>
      </c>
    </row>
    <row r="307" spans="1:12" x14ac:dyDescent="0.25">
      <c r="A307" t="s">
        <v>1669</v>
      </c>
      <c r="B307" t="s">
        <v>1670</v>
      </c>
      <c r="C307" t="s">
        <v>1065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1671</v>
      </c>
      <c r="B308" t="s">
        <v>1672</v>
      </c>
      <c r="C308" t="s">
        <v>1068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1069</v>
      </c>
      <c r="J308" t="s">
        <v>1069</v>
      </c>
      <c r="K308" t="s">
        <v>1069</v>
      </c>
    </row>
    <row r="309" spans="1:12" x14ac:dyDescent="0.25">
      <c r="A309" t="s">
        <v>1673</v>
      </c>
      <c r="B309" t="s">
        <v>1674</v>
      </c>
      <c r="C309" t="s">
        <v>1068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1069</v>
      </c>
      <c r="J309" t="s">
        <v>1069</v>
      </c>
      <c r="K309" t="s">
        <v>1069</v>
      </c>
    </row>
    <row r="310" spans="1:12" x14ac:dyDescent="0.25">
      <c r="A310" t="s">
        <v>1675</v>
      </c>
      <c r="B310" t="s">
        <v>1676</v>
      </c>
      <c r="C310" t="s">
        <v>1068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1069</v>
      </c>
      <c r="J310" t="s">
        <v>1069</v>
      </c>
      <c r="K310" t="s">
        <v>1069</v>
      </c>
    </row>
    <row r="311" spans="1:12" x14ac:dyDescent="0.25">
      <c r="A311" t="s">
        <v>1677</v>
      </c>
      <c r="B311" t="s">
        <v>1678</v>
      </c>
      <c r="C311" t="s">
        <v>1068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1069</v>
      </c>
      <c r="J311" t="s">
        <v>1069</v>
      </c>
      <c r="K311" t="s">
        <v>1069</v>
      </c>
    </row>
    <row r="312" spans="1:12" x14ac:dyDescent="0.25">
      <c r="A312" t="s">
        <v>1679</v>
      </c>
      <c r="B312" t="s">
        <v>1680</v>
      </c>
      <c r="C312" t="s">
        <v>1065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817</v>
      </c>
    </row>
    <row r="313" spans="1:12" x14ac:dyDescent="0.25">
      <c r="A313" t="s">
        <v>1681</v>
      </c>
      <c r="B313" t="s">
        <v>1682</v>
      </c>
      <c r="C313" t="s">
        <v>1068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1069</v>
      </c>
      <c r="J313" t="s">
        <v>1069</v>
      </c>
      <c r="K313" t="s">
        <v>1069</v>
      </c>
    </row>
    <row r="314" spans="1:12" x14ac:dyDescent="0.25">
      <c r="A314" t="s">
        <v>1683</v>
      </c>
      <c r="B314" t="s">
        <v>1684</v>
      </c>
      <c r="C314" t="s">
        <v>1068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1069</v>
      </c>
      <c r="J314" t="s">
        <v>1069</v>
      </c>
      <c r="K314" t="s">
        <v>1069</v>
      </c>
    </row>
    <row r="315" spans="1:12" x14ac:dyDescent="0.25">
      <c r="A315" t="s">
        <v>1685</v>
      </c>
      <c r="B315" t="s">
        <v>1686</v>
      </c>
      <c r="C315" t="s">
        <v>1065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1069</v>
      </c>
      <c r="J315" t="s">
        <v>1069</v>
      </c>
      <c r="K315" t="s">
        <v>1069</v>
      </c>
    </row>
    <row r="316" spans="1:12" x14ac:dyDescent="0.25">
      <c r="A316" t="s">
        <v>1687</v>
      </c>
      <c r="B316" t="s">
        <v>1688</v>
      </c>
      <c r="C316" t="s">
        <v>1068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1069</v>
      </c>
      <c r="J316" t="s">
        <v>1069</v>
      </c>
      <c r="K316" t="s">
        <v>1069</v>
      </c>
    </row>
    <row r="317" spans="1:12" x14ac:dyDescent="0.25">
      <c r="A317" t="s">
        <v>1689</v>
      </c>
      <c r="B317" t="s">
        <v>1690</v>
      </c>
      <c r="C317" t="s">
        <v>1068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1069</v>
      </c>
      <c r="J317" t="s">
        <v>1069</v>
      </c>
      <c r="K317" t="s">
        <v>1069</v>
      </c>
    </row>
    <row r="318" spans="1:12" x14ac:dyDescent="0.25">
      <c r="A318" t="s">
        <v>1691</v>
      </c>
      <c r="B318" t="s">
        <v>1692</v>
      </c>
      <c r="C318" t="s">
        <v>1068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1069</v>
      </c>
      <c r="J318" t="s">
        <v>1069</v>
      </c>
      <c r="K318" t="s">
        <v>1069</v>
      </c>
    </row>
    <row r="319" spans="1:12" x14ac:dyDescent="0.25">
      <c r="A319" t="s">
        <v>1693</v>
      </c>
      <c r="B319" t="s">
        <v>1694</v>
      </c>
      <c r="C319" t="s">
        <v>1068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1069</v>
      </c>
      <c r="J319" t="s">
        <v>1069</v>
      </c>
      <c r="K319" t="s">
        <v>1069</v>
      </c>
    </row>
    <row r="320" spans="1:12" x14ac:dyDescent="0.25">
      <c r="A320" t="s">
        <v>1695</v>
      </c>
      <c r="B320" t="s">
        <v>1696</v>
      </c>
      <c r="C320" t="s">
        <v>1065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1069</v>
      </c>
      <c r="J320" t="s">
        <v>1069</v>
      </c>
      <c r="K320" t="s">
        <v>1069</v>
      </c>
    </row>
    <row r="321" spans="1:12" x14ac:dyDescent="0.25">
      <c r="A321" t="s">
        <v>1697</v>
      </c>
      <c r="B321" t="s">
        <v>1698</v>
      </c>
      <c r="C321" t="s">
        <v>1068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1069</v>
      </c>
      <c r="J321" t="s">
        <v>1069</v>
      </c>
      <c r="K321" t="s">
        <v>1069</v>
      </c>
    </row>
    <row r="322" spans="1:12" x14ac:dyDescent="0.25">
      <c r="A322" t="s">
        <v>1699</v>
      </c>
      <c r="B322" t="s">
        <v>1700</v>
      </c>
      <c r="C322" t="s">
        <v>1068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1069</v>
      </c>
      <c r="J322" t="s">
        <v>1069</v>
      </c>
      <c r="K322" t="s">
        <v>1069</v>
      </c>
    </row>
    <row r="323" spans="1:12" x14ac:dyDescent="0.25">
      <c r="A323" t="s">
        <v>1701</v>
      </c>
      <c r="B323" t="s">
        <v>1702</v>
      </c>
      <c r="C323" t="s">
        <v>1068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1069</v>
      </c>
      <c r="J323" t="s">
        <v>1069</v>
      </c>
      <c r="K323" t="s">
        <v>1069</v>
      </c>
    </row>
    <row r="324" spans="1:12" x14ac:dyDescent="0.25">
      <c r="A324" t="s">
        <v>1703</v>
      </c>
      <c r="B324" t="s">
        <v>1704</v>
      </c>
      <c r="C324" t="s">
        <v>1068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1069</v>
      </c>
      <c r="J324" t="s">
        <v>1069</v>
      </c>
      <c r="K324" t="s">
        <v>1069</v>
      </c>
    </row>
    <row r="325" spans="1:12" x14ac:dyDescent="0.25">
      <c r="A325" t="s">
        <v>1705</v>
      </c>
      <c r="B325" t="s">
        <v>1706</v>
      </c>
      <c r="C325" t="s">
        <v>1068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1069</v>
      </c>
      <c r="J325" t="s">
        <v>1069</v>
      </c>
      <c r="K325" t="s">
        <v>1069</v>
      </c>
    </row>
    <row r="326" spans="1:12" x14ac:dyDescent="0.25">
      <c r="A326" t="s">
        <v>1707</v>
      </c>
      <c r="B326" t="s">
        <v>1708</v>
      </c>
      <c r="C326" t="s">
        <v>1068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1069</v>
      </c>
      <c r="J326" t="s">
        <v>1069</v>
      </c>
      <c r="K326" t="s">
        <v>1069</v>
      </c>
    </row>
    <row r="327" spans="1:12" x14ac:dyDescent="0.25">
      <c r="A327" t="s">
        <v>1709</v>
      </c>
      <c r="B327" t="s">
        <v>1710</v>
      </c>
      <c r="C327" t="s">
        <v>1068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1069</v>
      </c>
      <c r="J327" t="s">
        <v>1069</v>
      </c>
      <c r="K327" t="s">
        <v>1069</v>
      </c>
    </row>
    <row r="328" spans="1:12" x14ac:dyDescent="0.25">
      <c r="A328" t="s">
        <v>1711</v>
      </c>
      <c r="B328" t="s">
        <v>1712</v>
      </c>
      <c r="C328" t="s">
        <v>1065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1069</v>
      </c>
      <c r="J328" t="s">
        <v>1069</v>
      </c>
      <c r="K328" t="s">
        <v>1069</v>
      </c>
    </row>
    <row r="329" spans="1:12" x14ac:dyDescent="0.25">
      <c r="A329" t="s">
        <v>1713</v>
      </c>
      <c r="B329" t="s">
        <v>1714</v>
      </c>
      <c r="C329" t="s">
        <v>1065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833</v>
      </c>
    </row>
    <row r="330" spans="1:12" x14ac:dyDescent="0.25">
      <c r="A330" t="s">
        <v>1715</v>
      </c>
      <c r="B330" t="s">
        <v>1716</v>
      </c>
      <c r="C330" t="s">
        <v>1068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1717</v>
      </c>
      <c r="B331" t="s">
        <v>1718</v>
      </c>
      <c r="C331" t="s">
        <v>1068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1719</v>
      </c>
      <c r="B332" t="s">
        <v>1720</v>
      </c>
      <c r="C332" t="s">
        <v>1065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1721</v>
      </c>
      <c r="B333" t="s">
        <v>1722</v>
      </c>
      <c r="C333" t="s">
        <v>1068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1069</v>
      </c>
      <c r="J333" t="s">
        <v>1069</v>
      </c>
      <c r="K333" t="s">
        <v>1069</v>
      </c>
    </row>
    <row r="334" spans="1:12" x14ac:dyDescent="0.25">
      <c r="A334" t="s">
        <v>1723</v>
      </c>
      <c r="B334" t="s">
        <v>1724</v>
      </c>
      <c r="C334" t="s">
        <v>1068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1069</v>
      </c>
      <c r="J334" t="s">
        <v>1069</v>
      </c>
      <c r="K334" t="s">
        <v>1069</v>
      </c>
    </row>
    <row r="335" spans="1:12" x14ac:dyDescent="0.25">
      <c r="A335" t="s">
        <v>1725</v>
      </c>
      <c r="B335" t="s">
        <v>1726</v>
      </c>
      <c r="C335" t="s">
        <v>1068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1069</v>
      </c>
      <c r="J335" t="s">
        <v>1069</v>
      </c>
      <c r="K335" t="s">
        <v>1069</v>
      </c>
    </row>
    <row r="336" spans="1:12" x14ac:dyDescent="0.25">
      <c r="A336" t="s">
        <v>1727</v>
      </c>
      <c r="B336" t="s">
        <v>1728</v>
      </c>
      <c r="C336" t="s">
        <v>1068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1069</v>
      </c>
      <c r="J336" t="s">
        <v>1069</v>
      </c>
      <c r="K336" t="s">
        <v>1069</v>
      </c>
    </row>
    <row r="337" spans="1:12" x14ac:dyDescent="0.25">
      <c r="A337" t="s">
        <v>1729</v>
      </c>
      <c r="B337" t="s">
        <v>1730</v>
      </c>
      <c r="C337" t="s">
        <v>1068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1069</v>
      </c>
      <c r="J337" t="s">
        <v>1069</v>
      </c>
      <c r="K337" t="s">
        <v>1069</v>
      </c>
    </row>
    <row r="338" spans="1:12" x14ac:dyDescent="0.25">
      <c r="A338" t="s">
        <v>1731</v>
      </c>
      <c r="B338" t="s">
        <v>1732</v>
      </c>
      <c r="C338" t="s">
        <v>1065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1733</v>
      </c>
      <c r="B339" t="s">
        <v>1734</v>
      </c>
      <c r="C339" t="s">
        <v>1068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1069</v>
      </c>
      <c r="J339" t="s">
        <v>1069</v>
      </c>
      <c r="K339" t="s">
        <v>1069</v>
      </c>
    </row>
    <row r="340" spans="1:12" x14ac:dyDescent="0.25">
      <c r="A340" t="s">
        <v>1735</v>
      </c>
      <c r="B340" t="s">
        <v>1736</v>
      </c>
      <c r="C340" t="s">
        <v>1068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1737</v>
      </c>
      <c r="B341" t="s">
        <v>1738</v>
      </c>
      <c r="C341" t="s">
        <v>1068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1739</v>
      </c>
      <c r="B342" t="s">
        <v>1740</v>
      </c>
      <c r="C342" t="s">
        <v>1065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1741</v>
      </c>
      <c r="B343" t="s">
        <v>1742</v>
      </c>
      <c r="C343" t="s">
        <v>1068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1069</v>
      </c>
      <c r="J343" t="s">
        <v>1069</v>
      </c>
      <c r="K343" t="s">
        <v>1069</v>
      </c>
    </row>
    <row r="344" spans="1:12" x14ac:dyDescent="0.25">
      <c r="A344" t="s">
        <v>1743</v>
      </c>
      <c r="B344" t="s">
        <v>1744</v>
      </c>
      <c r="C344" t="s">
        <v>1068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1069</v>
      </c>
      <c r="J344" t="s">
        <v>1069</v>
      </c>
      <c r="K344" t="s">
        <v>1069</v>
      </c>
    </row>
    <row r="345" spans="1:12" x14ac:dyDescent="0.25">
      <c r="A345" t="s">
        <v>1745</v>
      </c>
      <c r="B345" t="s">
        <v>1746</v>
      </c>
      <c r="C345" t="s">
        <v>1065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1069</v>
      </c>
      <c r="J345" t="s">
        <v>1069</v>
      </c>
      <c r="K345" t="s">
        <v>1069</v>
      </c>
    </row>
    <row r="346" spans="1:12" x14ac:dyDescent="0.25">
      <c r="A346" t="s">
        <v>1747</v>
      </c>
      <c r="B346" t="s">
        <v>1748</v>
      </c>
      <c r="C346" t="s">
        <v>1065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833</v>
      </c>
    </row>
    <row r="347" spans="1:12" x14ac:dyDescent="0.25">
      <c r="A347" t="s">
        <v>1749</v>
      </c>
      <c r="B347" t="s">
        <v>1750</v>
      </c>
      <c r="C347" t="s">
        <v>1068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1069</v>
      </c>
      <c r="J347" t="s">
        <v>1069</v>
      </c>
      <c r="K347" t="s">
        <v>1069</v>
      </c>
    </row>
    <row r="348" spans="1:12" x14ac:dyDescent="0.25">
      <c r="A348" t="s">
        <v>1751</v>
      </c>
      <c r="B348" t="s">
        <v>1752</v>
      </c>
      <c r="C348" t="s">
        <v>1068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1069</v>
      </c>
      <c r="J348" t="s">
        <v>1069</v>
      </c>
      <c r="K348" t="s">
        <v>1069</v>
      </c>
    </row>
    <row r="349" spans="1:12" x14ac:dyDescent="0.25">
      <c r="A349" t="s">
        <v>1753</v>
      </c>
      <c r="B349" t="s">
        <v>1754</v>
      </c>
      <c r="C349" t="s">
        <v>1068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1069</v>
      </c>
      <c r="J349" t="s">
        <v>1069</v>
      </c>
      <c r="K349" t="s">
        <v>1069</v>
      </c>
    </row>
    <row r="350" spans="1:12" x14ac:dyDescent="0.25">
      <c r="A350" t="s">
        <v>1755</v>
      </c>
      <c r="B350" t="s">
        <v>1756</v>
      </c>
      <c r="C350" t="s">
        <v>1065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833</v>
      </c>
    </row>
    <row r="351" spans="1:12" x14ac:dyDescent="0.25">
      <c r="A351" t="s">
        <v>1757</v>
      </c>
      <c r="B351" t="s">
        <v>1758</v>
      </c>
      <c r="C351" t="s">
        <v>1068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1069</v>
      </c>
      <c r="J351" t="s">
        <v>1069</v>
      </c>
      <c r="K351" t="s">
        <v>1069</v>
      </c>
    </row>
    <row r="352" spans="1:12" x14ac:dyDescent="0.25">
      <c r="A352" t="s">
        <v>1759</v>
      </c>
      <c r="B352" t="s">
        <v>1760</v>
      </c>
      <c r="C352" t="s">
        <v>1068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1069</v>
      </c>
      <c r="J352" t="s">
        <v>1069</v>
      </c>
      <c r="K352" t="s">
        <v>1069</v>
      </c>
    </row>
    <row r="353" spans="1:12" x14ac:dyDescent="0.25">
      <c r="A353" t="s">
        <v>1761</v>
      </c>
      <c r="B353" t="s">
        <v>1762</v>
      </c>
      <c r="C353" t="s">
        <v>1068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1069</v>
      </c>
      <c r="J353" t="s">
        <v>1069</v>
      </c>
      <c r="K353" t="s">
        <v>1069</v>
      </c>
    </row>
    <row r="354" spans="1:12" x14ac:dyDescent="0.25">
      <c r="A354" t="s">
        <v>1763</v>
      </c>
      <c r="B354" t="s">
        <v>1764</v>
      </c>
      <c r="C354" t="s">
        <v>1068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1069</v>
      </c>
      <c r="J354" t="s">
        <v>1069</v>
      </c>
      <c r="K354" t="s">
        <v>1069</v>
      </c>
    </row>
    <row r="355" spans="1:12" x14ac:dyDescent="0.25">
      <c r="A355" t="s">
        <v>1765</v>
      </c>
      <c r="B355" t="s">
        <v>1766</v>
      </c>
      <c r="C355" t="s">
        <v>1068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1069</v>
      </c>
      <c r="J355" t="s">
        <v>1069</v>
      </c>
      <c r="K355" t="s">
        <v>1069</v>
      </c>
    </row>
    <row r="356" spans="1:12" x14ac:dyDescent="0.25">
      <c r="A356" t="s">
        <v>1767</v>
      </c>
      <c r="B356" t="s">
        <v>1768</v>
      </c>
      <c r="C356" t="s">
        <v>1068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1069</v>
      </c>
      <c r="J356" t="s">
        <v>1069</v>
      </c>
      <c r="K356" t="s">
        <v>1069</v>
      </c>
    </row>
    <row r="357" spans="1:12" x14ac:dyDescent="0.25">
      <c r="A357" t="s">
        <v>1769</v>
      </c>
      <c r="B357" t="s">
        <v>1770</v>
      </c>
      <c r="C357" t="s">
        <v>1065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833</v>
      </c>
    </row>
    <row r="358" spans="1:12" x14ac:dyDescent="0.25">
      <c r="A358" t="s">
        <v>1771</v>
      </c>
      <c r="B358" t="s">
        <v>1772</v>
      </c>
      <c r="C358" t="s">
        <v>1068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1069</v>
      </c>
      <c r="J358" t="s">
        <v>1069</v>
      </c>
      <c r="K358" t="s">
        <v>1069</v>
      </c>
    </row>
    <row r="359" spans="1:12" x14ac:dyDescent="0.25">
      <c r="A359" t="s">
        <v>1773</v>
      </c>
      <c r="B359" t="s">
        <v>1774</v>
      </c>
      <c r="C359" t="s">
        <v>1068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1069</v>
      </c>
      <c r="J359" t="s">
        <v>1069</v>
      </c>
      <c r="K359" t="s">
        <v>1069</v>
      </c>
    </row>
    <row r="360" spans="1:12" x14ac:dyDescent="0.25">
      <c r="A360" t="s">
        <v>1775</v>
      </c>
      <c r="B360" t="s">
        <v>1776</v>
      </c>
      <c r="C360" t="s">
        <v>1065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1069</v>
      </c>
      <c r="J360" t="s">
        <v>1069</v>
      </c>
      <c r="K360" t="s">
        <v>1069</v>
      </c>
    </row>
    <row r="361" spans="1:12" x14ac:dyDescent="0.25">
      <c r="A361" t="s">
        <v>1777</v>
      </c>
      <c r="B361" t="s">
        <v>1778</v>
      </c>
      <c r="C361" t="s">
        <v>1068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1069</v>
      </c>
      <c r="J361" t="s">
        <v>1069</v>
      </c>
      <c r="K361" t="s">
        <v>1069</v>
      </c>
    </row>
    <row r="362" spans="1:12" x14ac:dyDescent="0.25">
      <c r="A362" t="s">
        <v>1779</v>
      </c>
      <c r="B362" t="s">
        <v>1780</v>
      </c>
      <c r="C362" t="s">
        <v>1068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1069</v>
      </c>
      <c r="J362" t="s">
        <v>1069</v>
      </c>
      <c r="K362" t="s">
        <v>1069</v>
      </c>
    </row>
    <row r="363" spans="1:12" x14ac:dyDescent="0.25">
      <c r="A363" t="s">
        <v>1781</v>
      </c>
      <c r="B363" t="s">
        <v>1782</v>
      </c>
      <c r="C363" t="s">
        <v>1068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1069</v>
      </c>
      <c r="J363" t="s">
        <v>1069</v>
      </c>
      <c r="K363" t="s">
        <v>1069</v>
      </c>
    </row>
    <row r="364" spans="1:12" x14ac:dyDescent="0.25">
      <c r="A364" t="s">
        <v>1783</v>
      </c>
      <c r="B364" t="s">
        <v>1784</v>
      </c>
      <c r="C364" t="s">
        <v>1065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833</v>
      </c>
    </row>
    <row r="365" spans="1:12" x14ac:dyDescent="0.25">
      <c r="A365" t="s">
        <v>1785</v>
      </c>
      <c r="B365" t="s">
        <v>1786</v>
      </c>
      <c r="C365" t="s">
        <v>1065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1787</v>
      </c>
      <c r="B366" t="s">
        <v>1788</v>
      </c>
      <c r="C366" t="s">
        <v>1068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1069</v>
      </c>
      <c r="J366" t="s">
        <v>1069</v>
      </c>
      <c r="K366" t="s">
        <v>1069</v>
      </c>
    </row>
    <row r="367" spans="1:12" x14ac:dyDescent="0.25">
      <c r="A367" t="s">
        <v>1789</v>
      </c>
      <c r="B367" t="s">
        <v>1790</v>
      </c>
      <c r="C367" t="s">
        <v>1065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1791</v>
      </c>
      <c r="B368" t="s">
        <v>1792</v>
      </c>
      <c r="C368" t="s">
        <v>1068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1069</v>
      </c>
      <c r="J368" t="s">
        <v>1069</v>
      </c>
      <c r="K368" t="s">
        <v>1069</v>
      </c>
    </row>
    <row r="369" spans="1:12" x14ac:dyDescent="0.25">
      <c r="A369" t="s">
        <v>1793</v>
      </c>
      <c r="B369" t="s">
        <v>1794</v>
      </c>
      <c r="C369" t="s">
        <v>1068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1069</v>
      </c>
      <c r="J369" t="s">
        <v>1069</v>
      </c>
      <c r="K369" t="s">
        <v>1069</v>
      </c>
    </row>
    <row r="370" spans="1:12" x14ac:dyDescent="0.25">
      <c r="A370" t="s">
        <v>1795</v>
      </c>
      <c r="B370" t="s">
        <v>1796</v>
      </c>
      <c r="C370" t="s">
        <v>1068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1797</v>
      </c>
      <c r="B371" t="s">
        <v>1798</v>
      </c>
      <c r="C371" t="s">
        <v>1065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893</v>
      </c>
    </row>
    <row r="372" spans="1:12" x14ac:dyDescent="0.25">
      <c r="A372" t="s">
        <v>1799</v>
      </c>
      <c r="B372" t="s">
        <v>1800</v>
      </c>
      <c r="C372" t="s">
        <v>1065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1801</v>
      </c>
      <c r="B373" t="s">
        <v>1802</v>
      </c>
      <c r="C373" t="s">
        <v>1065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1803</v>
      </c>
      <c r="B374" t="s">
        <v>1804</v>
      </c>
      <c r="C374" t="s">
        <v>1068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1069</v>
      </c>
      <c r="J374" t="s">
        <v>1069</v>
      </c>
      <c r="K374" t="s">
        <v>1069</v>
      </c>
    </row>
    <row r="375" spans="1:12" x14ac:dyDescent="0.25">
      <c r="A375" t="s">
        <v>1805</v>
      </c>
      <c r="B375" t="s">
        <v>1806</v>
      </c>
      <c r="C375" t="s">
        <v>1068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1807</v>
      </c>
      <c r="B376" t="s">
        <v>1808</v>
      </c>
      <c r="C376" t="s">
        <v>1065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1809</v>
      </c>
      <c r="B377" t="s">
        <v>1810</v>
      </c>
      <c r="C377" t="s">
        <v>1068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1069</v>
      </c>
      <c r="J377" t="s">
        <v>1069</v>
      </c>
      <c r="K377" t="s">
        <v>1069</v>
      </c>
    </row>
    <row r="378" spans="1:12" x14ac:dyDescent="0.25">
      <c r="A378" t="s">
        <v>1811</v>
      </c>
      <c r="B378" t="s">
        <v>1812</v>
      </c>
      <c r="C378" t="s">
        <v>1068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1069</v>
      </c>
      <c r="J378" t="s">
        <v>1069</v>
      </c>
      <c r="K378" t="s">
        <v>1069</v>
      </c>
    </row>
    <row r="379" spans="1:12" x14ac:dyDescent="0.25">
      <c r="A379" t="s">
        <v>1813</v>
      </c>
      <c r="B379" t="s">
        <v>1814</v>
      </c>
      <c r="C379" t="s">
        <v>1068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1815</v>
      </c>
      <c r="B380" t="s">
        <v>1816</v>
      </c>
      <c r="C380" t="s">
        <v>1068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1817</v>
      </c>
      <c r="B381" t="s">
        <v>1818</v>
      </c>
      <c r="C381" t="s">
        <v>1065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1819</v>
      </c>
      <c r="B382" t="s">
        <v>1820</v>
      </c>
      <c r="C382" t="s">
        <v>1068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1821</v>
      </c>
      <c r="B383" t="s">
        <v>1822</v>
      </c>
      <c r="C383" t="s">
        <v>1068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1823</v>
      </c>
      <c r="B384" t="s">
        <v>1824</v>
      </c>
      <c r="C384" t="s">
        <v>1065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1825</v>
      </c>
      <c r="B385" t="s">
        <v>1826</v>
      </c>
      <c r="C385" t="s">
        <v>1068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1069</v>
      </c>
      <c r="J385" t="s">
        <v>1069</v>
      </c>
      <c r="K385" t="s">
        <v>1069</v>
      </c>
    </row>
    <row r="386" spans="1:12" x14ac:dyDescent="0.25">
      <c r="A386" t="s">
        <v>1827</v>
      </c>
      <c r="B386" t="s">
        <v>1828</v>
      </c>
      <c r="C386" t="s">
        <v>1065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923</v>
      </c>
    </row>
    <row r="387" spans="1:12" x14ac:dyDescent="0.25">
      <c r="A387" t="s">
        <v>1829</v>
      </c>
      <c r="B387" t="s">
        <v>1830</v>
      </c>
      <c r="C387" t="s">
        <v>1065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1831</v>
      </c>
      <c r="B388" t="s">
        <v>1832</v>
      </c>
      <c r="C388" t="s">
        <v>1065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1069</v>
      </c>
      <c r="J388" t="s">
        <v>1069</v>
      </c>
      <c r="K388" t="s">
        <v>1069</v>
      </c>
    </row>
    <row r="389" spans="1:12" x14ac:dyDescent="0.25">
      <c r="A389" t="s">
        <v>1833</v>
      </c>
      <c r="B389" t="s">
        <v>1834</v>
      </c>
      <c r="C389" t="s">
        <v>1068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1069</v>
      </c>
      <c r="J389" t="s">
        <v>1069</v>
      </c>
      <c r="K389" t="s">
        <v>1069</v>
      </c>
    </row>
    <row r="390" spans="1:12" x14ac:dyDescent="0.25">
      <c r="A390" t="s">
        <v>1835</v>
      </c>
      <c r="B390" t="s">
        <v>1836</v>
      </c>
      <c r="C390" t="s">
        <v>1068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1069</v>
      </c>
      <c r="J390" t="s">
        <v>1069</v>
      </c>
      <c r="K390" t="s">
        <v>1069</v>
      </c>
    </row>
    <row r="391" spans="1:12" x14ac:dyDescent="0.25">
      <c r="A391" t="s">
        <v>1837</v>
      </c>
      <c r="B391" t="s">
        <v>1838</v>
      </c>
      <c r="C391" t="s">
        <v>1068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1069</v>
      </c>
      <c r="J391" t="s">
        <v>1069</v>
      </c>
      <c r="K391" t="s">
        <v>1069</v>
      </c>
    </row>
    <row r="392" spans="1:12" x14ac:dyDescent="0.25">
      <c r="A392" t="s">
        <v>1839</v>
      </c>
      <c r="B392" t="s">
        <v>1840</v>
      </c>
      <c r="C392" t="s">
        <v>1065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1841</v>
      </c>
      <c r="B393" t="s">
        <v>1842</v>
      </c>
      <c r="C393" t="s">
        <v>1068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1843</v>
      </c>
      <c r="B394" t="s">
        <v>1844</v>
      </c>
      <c r="C394" t="s">
        <v>1068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1069</v>
      </c>
      <c r="J394" t="s">
        <v>1069</v>
      </c>
      <c r="K394" t="s">
        <v>1069</v>
      </c>
    </row>
    <row r="395" spans="1:12" x14ac:dyDescent="0.25">
      <c r="A395" t="s">
        <v>1845</v>
      </c>
      <c r="B395" t="s">
        <v>1846</v>
      </c>
      <c r="C395" t="s">
        <v>1068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1069</v>
      </c>
      <c r="J395" t="s">
        <v>1069</v>
      </c>
      <c r="K395" t="s">
        <v>1069</v>
      </c>
    </row>
    <row r="396" spans="1:12" x14ac:dyDescent="0.25">
      <c r="A396" t="s">
        <v>1847</v>
      </c>
      <c r="B396" t="s">
        <v>1848</v>
      </c>
      <c r="C396" t="s">
        <v>1065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1849</v>
      </c>
      <c r="B397" t="s">
        <v>1850</v>
      </c>
      <c r="C397" t="s">
        <v>1065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1851</v>
      </c>
      <c r="B398" t="s">
        <v>1852</v>
      </c>
      <c r="C398" t="s">
        <v>1065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403</v>
      </c>
    </row>
    <row r="399" spans="1:12" x14ac:dyDescent="0.25">
      <c r="A399" t="s">
        <v>1853</v>
      </c>
      <c r="B399" t="s">
        <v>1854</v>
      </c>
      <c r="C399" t="s">
        <v>1068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1069</v>
      </c>
      <c r="J399" t="s">
        <v>1069</v>
      </c>
      <c r="K399" t="s">
        <v>1069</v>
      </c>
    </row>
    <row r="400" spans="1:12" x14ac:dyDescent="0.25">
      <c r="A400" t="s">
        <v>1855</v>
      </c>
      <c r="B400" t="s">
        <v>1856</v>
      </c>
      <c r="C400" t="s">
        <v>1068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1069</v>
      </c>
      <c r="J400" t="s">
        <v>1069</v>
      </c>
      <c r="K400" t="s">
        <v>1069</v>
      </c>
    </row>
    <row r="401" spans="1:12" x14ac:dyDescent="0.25">
      <c r="A401" t="s">
        <v>1857</v>
      </c>
      <c r="B401" t="s">
        <v>1858</v>
      </c>
      <c r="C401" t="s">
        <v>1068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1069</v>
      </c>
      <c r="J401" t="s">
        <v>1069</v>
      </c>
      <c r="K401" t="s">
        <v>1069</v>
      </c>
    </row>
    <row r="402" spans="1:12" x14ac:dyDescent="0.25">
      <c r="A402" t="s">
        <v>1859</v>
      </c>
      <c r="B402" t="s">
        <v>1860</v>
      </c>
      <c r="C402" t="s">
        <v>1068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957</v>
      </c>
    </row>
    <row r="403" spans="1:12" x14ac:dyDescent="0.25">
      <c r="A403" t="s">
        <v>1861</v>
      </c>
      <c r="B403" t="s">
        <v>1862</v>
      </c>
      <c r="C403" t="s">
        <v>1068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281</v>
      </c>
    </row>
    <row r="404" spans="1:12" x14ac:dyDescent="0.25">
      <c r="A404" t="s">
        <v>1863</v>
      </c>
      <c r="B404" t="s">
        <v>1864</v>
      </c>
      <c r="C404" t="s">
        <v>1068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957</v>
      </c>
    </row>
    <row r="405" spans="1:12" x14ac:dyDescent="0.25">
      <c r="A405" t="s">
        <v>1865</v>
      </c>
      <c r="B405" t="s">
        <v>1866</v>
      </c>
      <c r="C405" t="s">
        <v>1065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957</v>
      </c>
    </row>
    <row r="406" spans="1:12" x14ac:dyDescent="0.25">
      <c r="A406" t="s">
        <v>1867</v>
      </c>
      <c r="B406" t="s">
        <v>1868</v>
      </c>
      <c r="C406" t="s">
        <v>1068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1869</v>
      </c>
      <c r="B407" t="s">
        <v>1870</v>
      </c>
      <c r="C407" t="s">
        <v>1068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1871</v>
      </c>
      <c r="B408" t="s">
        <v>1872</v>
      </c>
      <c r="C408" t="s">
        <v>1068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1873</v>
      </c>
      <c r="B409" t="s">
        <v>1874</v>
      </c>
      <c r="C409" t="s">
        <v>1068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1875</v>
      </c>
      <c r="B410" t="s">
        <v>1876</v>
      </c>
      <c r="C410" t="s">
        <v>1065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957</v>
      </c>
    </row>
    <row r="411" spans="1:12" x14ac:dyDescent="0.25">
      <c r="A411" t="s">
        <v>1877</v>
      </c>
      <c r="B411" t="s">
        <v>1878</v>
      </c>
      <c r="C411" t="s">
        <v>1065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1879</v>
      </c>
      <c r="B412" t="s">
        <v>1880</v>
      </c>
      <c r="C412" t="s">
        <v>1068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1069</v>
      </c>
      <c r="J412" t="s">
        <v>1069</v>
      </c>
      <c r="K412" t="s">
        <v>1069</v>
      </c>
    </row>
    <row r="413" spans="1:12" x14ac:dyDescent="0.25">
      <c r="A413" t="s">
        <v>1881</v>
      </c>
      <c r="B413" t="s">
        <v>1882</v>
      </c>
      <c r="C413" t="s">
        <v>1068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1069</v>
      </c>
      <c r="J413" t="s">
        <v>1069</v>
      </c>
      <c r="K413" t="s">
        <v>1069</v>
      </c>
    </row>
    <row r="414" spans="1:12" x14ac:dyDescent="0.25">
      <c r="A414" t="s">
        <v>1883</v>
      </c>
      <c r="B414" t="s">
        <v>1884</v>
      </c>
      <c r="C414" t="s">
        <v>1065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1885</v>
      </c>
      <c r="B415" t="s">
        <v>1886</v>
      </c>
      <c r="C415" t="s">
        <v>1068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1069</v>
      </c>
      <c r="J415" t="s">
        <v>1069</v>
      </c>
      <c r="K415" t="s">
        <v>1069</v>
      </c>
    </row>
    <row r="416" spans="1:12" x14ac:dyDescent="0.25">
      <c r="A416" t="s">
        <v>1887</v>
      </c>
      <c r="B416" t="s">
        <v>1888</v>
      </c>
      <c r="C416" t="s">
        <v>1065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1069</v>
      </c>
      <c r="J416" t="s">
        <v>1069</v>
      </c>
      <c r="K416" t="s">
        <v>1069</v>
      </c>
    </row>
    <row r="417" spans="1:12" x14ac:dyDescent="0.25">
      <c r="A417" t="s">
        <v>1889</v>
      </c>
      <c r="B417" t="s">
        <v>1890</v>
      </c>
      <c r="C417" t="s">
        <v>1068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1069</v>
      </c>
      <c r="J417" t="s">
        <v>1069</v>
      </c>
      <c r="K417" t="s">
        <v>1069</v>
      </c>
    </row>
    <row r="418" spans="1:12" x14ac:dyDescent="0.25">
      <c r="A418" t="s">
        <v>1891</v>
      </c>
      <c r="B418" t="s">
        <v>1892</v>
      </c>
      <c r="C418" t="s">
        <v>1068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27</v>
      </c>
    </row>
    <row r="419" spans="1:12" x14ac:dyDescent="0.25">
      <c r="A419" t="s">
        <v>1893</v>
      </c>
      <c r="B419" t="s">
        <v>1894</v>
      </c>
      <c r="C419" t="s">
        <v>1065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1069</v>
      </c>
      <c r="J419" t="s">
        <v>1069</v>
      </c>
      <c r="K419" t="s">
        <v>1069</v>
      </c>
    </row>
    <row r="420" spans="1:12" x14ac:dyDescent="0.25">
      <c r="A420" t="s">
        <v>1895</v>
      </c>
      <c r="B420" t="s">
        <v>1896</v>
      </c>
      <c r="C420" t="s">
        <v>1065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998</v>
      </c>
    </row>
    <row r="421" spans="1:12" x14ac:dyDescent="0.25">
      <c r="A421" t="s">
        <v>1897</v>
      </c>
      <c r="B421" t="s">
        <v>1898</v>
      </c>
      <c r="C421" t="s">
        <v>1068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1899</v>
      </c>
      <c r="B422" t="s">
        <v>1900</v>
      </c>
      <c r="C422" t="s">
        <v>1068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1901</v>
      </c>
      <c r="B423" t="s">
        <v>1902</v>
      </c>
      <c r="C423" t="s">
        <v>1065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998</v>
      </c>
    </row>
    <row r="424" spans="1:12" x14ac:dyDescent="0.25">
      <c r="A424" t="s">
        <v>1903</v>
      </c>
      <c r="B424" t="s">
        <v>1904</v>
      </c>
      <c r="C424" t="s">
        <v>1068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1069</v>
      </c>
      <c r="J424" t="s">
        <v>1069</v>
      </c>
      <c r="K424" t="s">
        <v>1069</v>
      </c>
    </row>
    <row r="425" spans="1:12" x14ac:dyDescent="0.25">
      <c r="A425" t="s">
        <v>1905</v>
      </c>
      <c r="B425" t="s">
        <v>1906</v>
      </c>
      <c r="C425" t="s">
        <v>1068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1069</v>
      </c>
      <c r="J425" t="s">
        <v>1069</v>
      </c>
      <c r="K425" t="s">
        <v>1069</v>
      </c>
    </row>
    <row r="426" spans="1:12" x14ac:dyDescent="0.25">
      <c r="A426" t="s">
        <v>1907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1908</v>
      </c>
    </row>
    <row r="2" spans="1:35" x14ac:dyDescent="0.25">
      <c r="C2" t="s">
        <v>1909</v>
      </c>
    </row>
    <row r="3" spans="1:35" x14ac:dyDescent="0.25">
      <c r="C3" t="s">
        <v>1910</v>
      </c>
    </row>
    <row r="4" spans="1:35" x14ac:dyDescent="0.25">
      <c r="C4" t="s">
        <v>1911</v>
      </c>
    </row>
    <row r="5" spans="1:35" x14ac:dyDescent="0.25">
      <c r="B5" s="6" t="s">
        <v>1912</v>
      </c>
      <c r="D5" t="s">
        <v>1913</v>
      </c>
      <c r="E5" t="s">
        <v>1914</v>
      </c>
      <c r="F5" t="s">
        <v>1915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1916</v>
      </c>
    </row>
    <row r="6" spans="1:35" x14ac:dyDescent="0.25">
      <c r="A6" t="s">
        <v>1917</v>
      </c>
      <c r="C6" t="s">
        <v>1918</v>
      </c>
      <c r="D6" t="s">
        <v>1919</v>
      </c>
      <c r="E6" t="s">
        <v>1920</v>
      </c>
      <c r="F6" t="s">
        <v>1921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1922</v>
      </c>
      <c r="C7" t="s">
        <v>1923</v>
      </c>
      <c r="D7" t="s">
        <v>1924</v>
      </c>
      <c r="E7" t="s">
        <v>1925</v>
      </c>
      <c r="F7" t="s">
        <v>1926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1927</v>
      </c>
    </row>
    <row r="9" spans="1:35" x14ac:dyDescent="0.25">
      <c r="C9" t="s">
        <v>1928</v>
      </c>
    </row>
    <row r="10" spans="1:35" x14ac:dyDescent="0.25">
      <c r="A10" t="s">
        <v>1929</v>
      </c>
      <c r="B10" t="s">
        <v>1930</v>
      </c>
      <c r="C10" t="s">
        <v>1931</v>
      </c>
      <c r="D10" t="s">
        <v>1932</v>
      </c>
      <c r="E10" t="s">
        <v>1933</v>
      </c>
      <c r="F10" t="s">
        <v>1921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1934</v>
      </c>
      <c r="B11" t="s">
        <v>1935</v>
      </c>
      <c r="C11" t="s">
        <v>1936</v>
      </c>
      <c r="D11" t="s">
        <v>1937</v>
      </c>
      <c r="E11" t="s">
        <v>1938</v>
      </c>
      <c r="F11" t="s">
        <v>1921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1939</v>
      </c>
      <c r="B12" t="s">
        <v>1940</v>
      </c>
      <c r="C12" t="s">
        <v>90</v>
      </c>
      <c r="D12" t="s">
        <v>1941</v>
      </c>
      <c r="E12" t="s">
        <v>1942</v>
      </c>
      <c r="F12" t="s">
        <v>1921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1943</v>
      </c>
    </row>
    <row r="14" spans="1:35" x14ac:dyDescent="0.25">
      <c r="A14" t="s">
        <v>1944</v>
      </c>
      <c r="B14" t="s">
        <v>1945</v>
      </c>
      <c r="C14" t="s">
        <v>1946</v>
      </c>
      <c r="D14" t="s">
        <v>1947</v>
      </c>
      <c r="E14" t="s">
        <v>1948</v>
      </c>
      <c r="F14" t="s">
        <v>1921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1949</v>
      </c>
      <c r="B15" t="s">
        <v>1945</v>
      </c>
      <c r="C15" t="s">
        <v>1950</v>
      </c>
      <c r="D15" t="s">
        <v>1951</v>
      </c>
      <c r="E15" t="s">
        <v>1952</v>
      </c>
      <c r="F15" t="s">
        <v>1921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1953</v>
      </c>
      <c r="B16" t="s">
        <v>1954</v>
      </c>
      <c r="C16" t="s">
        <v>1955</v>
      </c>
      <c r="D16" t="s">
        <v>1956</v>
      </c>
      <c r="E16" t="s">
        <v>1957</v>
      </c>
      <c r="F16" t="s">
        <v>1921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1958</v>
      </c>
      <c r="B17" t="s">
        <v>1959</v>
      </c>
      <c r="C17" t="s">
        <v>1960</v>
      </c>
      <c r="D17" t="s">
        <v>1961</v>
      </c>
      <c r="E17" t="s">
        <v>1962</v>
      </c>
      <c r="F17" t="s">
        <v>1921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1963</v>
      </c>
      <c r="B18" t="s">
        <v>1964</v>
      </c>
      <c r="C18" t="s">
        <v>1965</v>
      </c>
      <c r="D18" t="s">
        <v>1966</v>
      </c>
      <c r="E18" t="s">
        <v>1967</v>
      </c>
      <c r="F18" t="s">
        <v>1921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1968</v>
      </c>
      <c r="B19" t="s">
        <v>1969</v>
      </c>
      <c r="C19" t="s">
        <v>1970</v>
      </c>
      <c r="D19" t="s">
        <v>1971</v>
      </c>
      <c r="E19" t="s">
        <v>1972</v>
      </c>
      <c r="F19" t="s">
        <v>1921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1973</v>
      </c>
      <c r="B20" t="s">
        <v>1969</v>
      </c>
      <c r="C20" t="s">
        <v>1974</v>
      </c>
      <c r="D20" t="s">
        <v>1975</v>
      </c>
      <c r="E20" t="s">
        <v>1976</v>
      </c>
      <c r="F20" t="s">
        <v>1921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1977</v>
      </c>
      <c r="B21" t="s">
        <v>1978</v>
      </c>
      <c r="C21" t="s">
        <v>1979</v>
      </c>
      <c r="D21" t="s">
        <v>1980</v>
      </c>
      <c r="E21" t="s">
        <v>1981</v>
      </c>
      <c r="F21" t="s">
        <v>1921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1982</v>
      </c>
      <c r="C22" t="s">
        <v>1983</v>
      </c>
      <c r="D22" t="s">
        <v>1984</v>
      </c>
      <c r="E22" t="s">
        <v>1985</v>
      </c>
      <c r="F22" t="s">
        <v>1921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1986</v>
      </c>
      <c r="C23" t="s">
        <v>1987</v>
      </c>
      <c r="D23" t="s">
        <v>1988</v>
      </c>
      <c r="E23" t="s">
        <v>1989</v>
      </c>
      <c r="F23" t="s">
        <v>1921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1990</v>
      </c>
      <c r="C24" t="s">
        <v>1991</v>
      </c>
      <c r="D24" t="s">
        <v>1992</v>
      </c>
      <c r="E24" t="s">
        <v>1993</v>
      </c>
      <c r="F24" t="s">
        <v>1921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1994</v>
      </c>
      <c r="C25" t="s">
        <v>1995</v>
      </c>
      <c r="D25" t="s">
        <v>1996</v>
      </c>
      <c r="E25" t="s">
        <v>1997</v>
      </c>
      <c r="F25" t="s">
        <v>1998</v>
      </c>
      <c r="G25" t="s">
        <v>1999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2000</v>
      </c>
      <c r="C26" t="s">
        <v>2001</v>
      </c>
      <c r="D26" t="s">
        <v>2002</v>
      </c>
      <c r="E26" t="s">
        <v>2003</v>
      </c>
      <c r="F26" t="s">
        <v>1921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2004</v>
      </c>
      <c r="C27" t="s">
        <v>2005</v>
      </c>
      <c r="D27" t="s">
        <v>2006</v>
      </c>
      <c r="E27" t="s">
        <v>2007</v>
      </c>
      <c r="F27" t="s">
        <v>1921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2008</v>
      </c>
      <c r="C28" t="s">
        <v>2009</v>
      </c>
      <c r="D28" t="s">
        <v>2010</v>
      </c>
      <c r="E28" t="s">
        <v>2011</v>
      </c>
      <c r="F28" t="s">
        <v>1921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2012</v>
      </c>
      <c r="B29" t="s">
        <v>2013</v>
      </c>
      <c r="C29" t="s">
        <v>2014</v>
      </c>
      <c r="D29" t="s">
        <v>2015</v>
      </c>
      <c r="E29" t="s">
        <v>2016</v>
      </c>
      <c r="F29" t="s">
        <v>1921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2017</v>
      </c>
      <c r="B30" t="s">
        <v>2018</v>
      </c>
      <c r="C30" t="s">
        <v>2019</v>
      </c>
      <c r="D30" t="s">
        <v>2020</v>
      </c>
      <c r="E30" t="s">
        <v>2021</v>
      </c>
      <c r="F30" t="s">
        <v>1921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2022</v>
      </c>
      <c r="B31" t="s">
        <v>2023</v>
      </c>
      <c r="C31" t="s">
        <v>2024</v>
      </c>
      <c r="D31" t="s">
        <v>2025</v>
      </c>
      <c r="E31" t="s">
        <v>2026</v>
      </c>
      <c r="F31" t="s">
        <v>1921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2027</v>
      </c>
      <c r="C32" t="s">
        <v>2028</v>
      </c>
      <c r="D32" t="s">
        <v>2029</v>
      </c>
      <c r="E32" t="s">
        <v>2030</v>
      </c>
      <c r="F32" t="s">
        <v>1921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2031</v>
      </c>
      <c r="B33" t="s">
        <v>2032</v>
      </c>
      <c r="C33" t="s">
        <v>2033</v>
      </c>
      <c r="D33" t="s">
        <v>2034</v>
      </c>
      <c r="E33" t="s">
        <v>2035</v>
      </c>
      <c r="F33" t="s">
        <v>1921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2036</v>
      </c>
      <c r="B34" t="s">
        <v>2037</v>
      </c>
      <c r="C34" t="s">
        <v>2038</v>
      </c>
      <c r="D34" t="s">
        <v>2039</v>
      </c>
      <c r="E34" t="s">
        <v>2040</v>
      </c>
      <c r="F34" t="s">
        <v>1921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2041</v>
      </c>
      <c r="B35" t="s">
        <v>2037</v>
      </c>
      <c r="C35" t="s">
        <v>2042</v>
      </c>
      <c r="D35" t="s">
        <v>2043</v>
      </c>
      <c r="E35" t="s">
        <v>2044</v>
      </c>
      <c r="F35" t="s">
        <v>1921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2045</v>
      </c>
      <c r="C36" t="s">
        <v>2046</v>
      </c>
      <c r="D36" t="s">
        <v>2047</v>
      </c>
      <c r="E36" t="s">
        <v>2048</v>
      </c>
      <c r="F36" t="s">
        <v>1921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2049</v>
      </c>
      <c r="B37" t="s">
        <v>2018</v>
      </c>
      <c r="C37" t="s">
        <v>2050</v>
      </c>
      <c r="D37" t="s">
        <v>2051</v>
      </c>
      <c r="E37" t="s">
        <v>2052</v>
      </c>
      <c r="F37" t="s">
        <v>1921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2053</v>
      </c>
      <c r="B38" t="s">
        <v>2054</v>
      </c>
      <c r="C38" t="s">
        <v>2055</v>
      </c>
      <c r="D38" t="s">
        <v>2056</v>
      </c>
      <c r="E38" t="s">
        <v>2057</v>
      </c>
      <c r="F38" t="s">
        <v>1921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2058</v>
      </c>
      <c r="B39" t="s">
        <v>2054</v>
      </c>
      <c r="C39" t="s">
        <v>2059</v>
      </c>
      <c r="D39" t="s">
        <v>2060</v>
      </c>
      <c r="E39" t="s">
        <v>2061</v>
      </c>
      <c r="F39" t="s">
        <v>1921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2062</v>
      </c>
      <c r="B40" t="s">
        <v>2063</v>
      </c>
      <c r="C40" t="s">
        <v>2064</v>
      </c>
      <c r="D40" t="s">
        <v>2065</v>
      </c>
      <c r="E40" t="s">
        <v>2066</v>
      </c>
      <c r="F40" t="s">
        <v>1921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2067</v>
      </c>
      <c r="B41" t="s">
        <v>2068</v>
      </c>
      <c r="C41" t="s">
        <v>2069</v>
      </c>
      <c r="D41" t="s">
        <v>2070</v>
      </c>
      <c r="E41" t="s">
        <v>2071</v>
      </c>
      <c r="F41" t="s">
        <v>1921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2072</v>
      </c>
      <c r="B42" t="s">
        <v>2073</v>
      </c>
      <c r="C42" t="s">
        <v>2074</v>
      </c>
      <c r="D42" t="s">
        <v>2075</v>
      </c>
      <c r="E42" t="s">
        <v>2076</v>
      </c>
      <c r="F42" t="s">
        <v>1921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2077</v>
      </c>
      <c r="B43" t="s">
        <v>2078</v>
      </c>
      <c r="C43" t="s">
        <v>2079</v>
      </c>
      <c r="D43" t="s">
        <v>2080</v>
      </c>
      <c r="E43" t="s">
        <v>2081</v>
      </c>
      <c r="F43" t="s">
        <v>1921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2082</v>
      </c>
      <c r="B44" t="s">
        <v>2083</v>
      </c>
      <c r="C44" t="s">
        <v>2084</v>
      </c>
      <c r="D44" t="s">
        <v>2085</v>
      </c>
      <c r="E44" t="s">
        <v>2086</v>
      </c>
      <c r="F44" t="s">
        <v>1921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2087</v>
      </c>
      <c r="B45" t="s">
        <v>1964</v>
      </c>
      <c r="C45" t="s">
        <v>2088</v>
      </c>
      <c r="D45" t="s">
        <v>2089</v>
      </c>
      <c r="E45" t="s">
        <v>2090</v>
      </c>
      <c r="F45" t="s">
        <v>1921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2091</v>
      </c>
      <c r="C46" t="s">
        <v>2092</v>
      </c>
      <c r="D46" t="s">
        <v>2093</v>
      </c>
      <c r="E46" t="s">
        <v>2094</v>
      </c>
      <c r="F46" t="s">
        <v>1921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1908</v>
      </c>
    </row>
    <row r="2" spans="1:33" x14ac:dyDescent="0.25">
      <c r="C2" t="s">
        <v>2095</v>
      </c>
    </row>
    <row r="3" spans="1:33" x14ac:dyDescent="0.25">
      <c r="C3" t="s">
        <v>2096</v>
      </c>
    </row>
    <row r="4" spans="1:33" x14ac:dyDescent="0.25">
      <c r="C4" t="s">
        <v>1911</v>
      </c>
    </row>
    <row r="5" spans="1:33" x14ac:dyDescent="0.25">
      <c r="B5" s="6" t="s">
        <v>1912</v>
      </c>
      <c r="D5" t="s">
        <v>1913</v>
      </c>
      <c r="E5" t="s">
        <v>1914</v>
      </c>
      <c r="F5" t="s">
        <v>1915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2097</v>
      </c>
    </row>
    <row r="6" spans="1:33" x14ac:dyDescent="0.25">
      <c r="A6" t="s">
        <v>1917</v>
      </c>
      <c r="C6" t="s">
        <v>1918</v>
      </c>
      <c r="D6" t="s">
        <v>2098</v>
      </c>
      <c r="E6" t="s">
        <v>2099</v>
      </c>
      <c r="F6" t="s">
        <v>1921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1922</v>
      </c>
      <c r="C7" t="s">
        <v>1923</v>
      </c>
      <c r="D7" t="s">
        <v>2100</v>
      </c>
      <c r="E7" t="s">
        <v>2101</v>
      </c>
      <c r="F7" t="s">
        <v>1926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1927</v>
      </c>
    </row>
    <row r="9" spans="1:33" x14ac:dyDescent="0.25">
      <c r="C9" t="s">
        <v>1928</v>
      </c>
    </row>
    <row r="10" spans="1:33" x14ac:dyDescent="0.25">
      <c r="A10" t="s">
        <v>1929</v>
      </c>
      <c r="B10" t="s">
        <v>1930</v>
      </c>
      <c r="C10" t="s">
        <v>1931</v>
      </c>
      <c r="D10" t="s">
        <v>2102</v>
      </c>
      <c r="E10" t="s">
        <v>2103</v>
      </c>
      <c r="F10" t="s">
        <v>1921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1934</v>
      </c>
      <c r="B11" t="s">
        <v>1935</v>
      </c>
      <c r="C11" t="s">
        <v>1936</v>
      </c>
      <c r="D11" t="s">
        <v>2104</v>
      </c>
      <c r="E11" t="s">
        <v>2105</v>
      </c>
      <c r="F11" t="s">
        <v>1921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1939</v>
      </c>
      <c r="B12" t="s">
        <v>1940</v>
      </c>
      <c r="C12" t="s">
        <v>90</v>
      </c>
      <c r="D12" t="s">
        <v>2106</v>
      </c>
      <c r="E12" t="s">
        <v>2107</v>
      </c>
      <c r="F12" t="s">
        <v>1921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1943</v>
      </c>
    </row>
    <row r="14" spans="1:33" x14ac:dyDescent="0.25">
      <c r="A14" t="s">
        <v>1944</v>
      </c>
      <c r="B14" t="s">
        <v>1945</v>
      </c>
      <c r="C14" t="s">
        <v>1946</v>
      </c>
      <c r="D14" t="s">
        <v>2108</v>
      </c>
      <c r="E14" t="s">
        <v>2109</v>
      </c>
      <c r="F14" t="s">
        <v>1921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1949</v>
      </c>
      <c r="B15" t="s">
        <v>1945</v>
      </c>
      <c r="C15" t="s">
        <v>1950</v>
      </c>
      <c r="D15" t="s">
        <v>2110</v>
      </c>
      <c r="E15" t="s">
        <v>2111</v>
      </c>
      <c r="F15" t="s">
        <v>1921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1953</v>
      </c>
      <c r="B16" t="s">
        <v>1954</v>
      </c>
      <c r="C16" t="s">
        <v>1955</v>
      </c>
      <c r="D16" t="s">
        <v>2112</v>
      </c>
      <c r="E16" t="s">
        <v>2113</v>
      </c>
      <c r="F16" t="s">
        <v>1921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1958</v>
      </c>
      <c r="B17" t="s">
        <v>1959</v>
      </c>
      <c r="C17" t="s">
        <v>1960</v>
      </c>
      <c r="D17" t="s">
        <v>2114</v>
      </c>
      <c r="E17" t="s">
        <v>2115</v>
      </c>
      <c r="F17" t="s">
        <v>1921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1963</v>
      </c>
      <c r="B18" t="s">
        <v>1964</v>
      </c>
      <c r="C18" t="s">
        <v>1965</v>
      </c>
      <c r="D18" t="s">
        <v>2116</v>
      </c>
      <c r="E18" t="s">
        <v>2117</v>
      </c>
      <c r="F18" t="s">
        <v>1921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1968</v>
      </c>
      <c r="B19" t="s">
        <v>1969</v>
      </c>
      <c r="C19" t="s">
        <v>1970</v>
      </c>
      <c r="D19" t="s">
        <v>2118</v>
      </c>
      <c r="E19" t="s">
        <v>2119</v>
      </c>
      <c r="F19" t="s">
        <v>1921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1973</v>
      </c>
      <c r="B20" t="s">
        <v>1969</v>
      </c>
      <c r="C20" t="s">
        <v>1974</v>
      </c>
      <c r="D20" t="s">
        <v>2120</v>
      </c>
      <c r="E20" t="s">
        <v>2121</v>
      </c>
      <c r="F20" t="s">
        <v>1921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1977</v>
      </c>
      <c r="B21" t="s">
        <v>1978</v>
      </c>
      <c r="C21" t="s">
        <v>1979</v>
      </c>
      <c r="D21" t="s">
        <v>2122</v>
      </c>
      <c r="E21" t="s">
        <v>2123</v>
      </c>
      <c r="F21" t="s">
        <v>1921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1982</v>
      </c>
      <c r="C22" t="s">
        <v>1983</v>
      </c>
      <c r="D22" t="s">
        <v>2124</v>
      </c>
      <c r="E22" t="s">
        <v>2125</v>
      </c>
      <c r="F22" t="s">
        <v>1921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1986</v>
      </c>
      <c r="C23" t="s">
        <v>1987</v>
      </c>
      <c r="D23" t="s">
        <v>2126</v>
      </c>
      <c r="E23" t="s">
        <v>2127</v>
      </c>
      <c r="F23" t="s">
        <v>1921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1990</v>
      </c>
      <c r="C24" t="s">
        <v>1991</v>
      </c>
      <c r="D24" t="s">
        <v>2128</v>
      </c>
      <c r="E24" t="s">
        <v>2129</v>
      </c>
      <c r="F24" t="s">
        <v>1921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1994</v>
      </c>
      <c r="C25" t="s">
        <v>1995</v>
      </c>
      <c r="D25" t="s">
        <v>1996</v>
      </c>
      <c r="E25" t="s">
        <v>1997</v>
      </c>
      <c r="F25" t="s">
        <v>2130</v>
      </c>
      <c r="G25" t="s">
        <v>2131</v>
      </c>
      <c r="H25" t="s">
        <v>1921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2000</v>
      </c>
      <c r="C26" t="s">
        <v>2001</v>
      </c>
      <c r="D26" t="s">
        <v>2132</v>
      </c>
      <c r="E26" t="s">
        <v>2133</v>
      </c>
      <c r="F26" t="s">
        <v>1921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2004</v>
      </c>
      <c r="C27" t="s">
        <v>2005</v>
      </c>
      <c r="D27" t="s">
        <v>2134</v>
      </c>
      <c r="E27" t="s">
        <v>2135</v>
      </c>
      <c r="F27" t="s">
        <v>1921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2008</v>
      </c>
      <c r="C28" t="s">
        <v>2009</v>
      </c>
      <c r="D28" t="s">
        <v>2136</v>
      </c>
      <c r="E28" t="s">
        <v>2137</v>
      </c>
      <c r="F28" t="s">
        <v>1921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2012</v>
      </c>
      <c r="B29" t="s">
        <v>2013</v>
      </c>
      <c r="C29" t="s">
        <v>2014</v>
      </c>
      <c r="D29" t="s">
        <v>2138</v>
      </c>
      <c r="E29" t="s">
        <v>2139</v>
      </c>
      <c r="F29" t="s">
        <v>1921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2017</v>
      </c>
      <c r="B30" t="s">
        <v>2018</v>
      </c>
      <c r="C30" t="s">
        <v>2019</v>
      </c>
      <c r="D30" t="s">
        <v>2140</v>
      </c>
      <c r="E30" t="s">
        <v>2141</v>
      </c>
      <c r="F30" t="s">
        <v>1921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2022</v>
      </c>
      <c r="B31" t="s">
        <v>2023</v>
      </c>
      <c r="C31" t="s">
        <v>2024</v>
      </c>
      <c r="D31" t="s">
        <v>2142</v>
      </c>
      <c r="E31" t="s">
        <v>2143</v>
      </c>
      <c r="F31" t="s">
        <v>1921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2027</v>
      </c>
      <c r="C32" t="s">
        <v>2028</v>
      </c>
      <c r="D32" t="s">
        <v>2144</v>
      </c>
      <c r="E32" t="s">
        <v>2145</v>
      </c>
      <c r="F32" t="s">
        <v>1921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2031</v>
      </c>
      <c r="B33" t="s">
        <v>2032</v>
      </c>
      <c r="C33" t="s">
        <v>2033</v>
      </c>
      <c r="D33" t="s">
        <v>2146</v>
      </c>
      <c r="E33" t="s">
        <v>2147</v>
      </c>
      <c r="F33" t="s">
        <v>1921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2036</v>
      </c>
      <c r="B34" t="s">
        <v>2037</v>
      </c>
      <c r="C34" t="s">
        <v>2038</v>
      </c>
      <c r="D34" t="s">
        <v>2148</v>
      </c>
      <c r="E34" t="s">
        <v>2149</v>
      </c>
      <c r="F34" t="s">
        <v>1921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2041</v>
      </c>
      <c r="B35" t="s">
        <v>2037</v>
      </c>
      <c r="C35" t="s">
        <v>2042</v>
      </c>
      <c r="D35" t="s">
        <v>2150</v>
      </c>
      <c r="E35" t="s">
        <v>2151</v>
      </c>
      <c r="F35" t="s">
        <v>1921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2045</v>
      </c>
      <c r="C36" t="s">
        <v>2046</v>
      </c>
      <c r="D36" t="s">
        <v>2152</v>
      </c>
      <c r="E36" t="s">
        <v>2153</v>
      </c>
      <c r="F36" t="s">
        <v>1921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2049</v>
      </c>
      <c r="B37" t="s">
        <v>2018</v>
      </c>
      <c r="C37" t="s">
        <v>2050</v>
      </c>
      <c r="D37" t="s">
        <v>2154</v>
      </c>
      <c r="E37" t="s">
        <v>2155</v>
      </c>
      <c r="F37" t="s">
        <v>1921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2053</v>
      </c>
      <c r="B38" t="s">
        <v>2054</v>
      </c>
      <c r="C38" t="s">
        <v>2055</v>
      </c>
      <c r="D38" t="s">
        <v>2156</v>
      </c>
      <c r="E38" t="s">
        <v>2157</v>
      </c>
      <c r="F38" t="s">
        <v>1921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2058</v>
      </c>
      <c r="B39" t="s">
        <v>2054</v>
      </c>
      <c r="C39" t="s">
        <v>2059</v>
      </c>
      <c r="D39" t="s">
        <v>2158</v>
      </c>
      <c r="E39" t="s">
        <v>2159</v>
      </c>
      <c r="F39" t="s">
        <v>1921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2062</v>
      </c>
      <c r="B40" t="s">
        <v>2063</v>
      </c>
      <c r="C40" t="s">
        <v>2064</v>
      </c>
      <c r="D40" t="s">
        <v>2160</v>
      </c>
      <c r="E40" t="s">
        <v>2161</v>
      </c>
      <c r="F40" t="s">
        <v>1921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2067</v>
      </c>
      <c r="B41" t="s">
        <v>2068</v>
      </c>
      <c r="C41" t="s">
        <v>2069</v>
      </c>
      <c r="D41" t="s">
        <v>2162</v>
      </c>
      <c r="E41" t="s">
        <v>2163</v>
      </c>
      <c r="F41" t="s">
        <v>1921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2072</v>
      </c>
      <c r="B42" t="s">
        <v>2073</v>
      </c>
      <c r="C42" t="s">
        <v>2074</v>
      </c>
      <c r="D42" t="s">
        <v>2164</v>
      </c>
      <c r="E42" t="s">
        <v>2165</v>
      </c>
      <c r="F42" t="s">
        <v>1921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2077</v>
      </c>
      <c r="B43" t="s">
        <v>2078</v>
      </c>
      <c r="C43" t="s">
        <v>2079</v>
      </c>
      <c r="D43" t="s">
        <v>2166</v>
      </c>
      <c r="E43" t="s">
        <v>2167</v>
      </c>
      <c r="F43" t="s">
        <v>1921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2082</v>
      </c>
      <c r="B44" t="s">
        <v>2083</v>
      </c>
      <c r="C44" t="s">
        <v>2084</v>
      </c>
      <c r="D44" t="s">
        <v>2168</v>
      </c>
      <c r="E44" t="s">
        <v>2169</v>
      </c>
      <c r="F44" t="s">
        <v>1921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2087</v>
      </c>
      <c r="B45" t="s">
        <v>1964</v>
      </c>
      <c r="C45" t="s">
        <v>2088</v>
      </c>
      <c r="D45" t="s">
        <v>2170</v>
      </c>
      <c r="E45" t="s">
        <v>2171</v>
      </c>
      <c r="F45" t="s">
        <v>1921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2091</v>
      </c>
      <c r="C46" t="s">
        <v>2092</v>
      </c>
      <c r="D46" t="s">
        <v>2172</v>
      </c>
      <c r="E46" t="s">
        <v>2173</v>
      </c>
      <c r="F46" t="s">
        <v>1921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6"/>
  <sheetViews>
    <sheetView workbookViewId="0"/>
  </sheetViews>
  <sheetFormatPr defaultRowHeight="15" x14ac:dyDescent="0.25"/>
  <sheetData>
    <row r="1" spans="1:53" x14ac:dyDescent="0.25">
      <c r="A1" s="2" t="s">
        <v>2174</v>
      </c>
    </row>
    <row r="2" spans="1:53" x14ac:dyDescent="0.25">
      <c r="A2" s="2" t="s">
        <v>2175</v>
      </c>
      <c r="B2">
        <v>0.9150442485566026</v>
      </c>
    </row>
    <row r="3" spans="1:53" x14ac:dyDescent="0.25">
      <c r="A3" s="2" t="s">
        <v>2176</v>
      </c>
      <c r="B3" s="2" t="s">
        <v>1075</v>
      </c>
      <c r="C3" s="2" t="s">
        <v>65</v>
      </c>
      <c r="D3" s="2" t="s">
        <v>1083</v>
      </c>
      <c r="E3" s="2" t="s">
        <v>71</v>
      </c>
      <c r="F3" s="2" t="s">
        <v>68</v>
      </c>
      <c r="G3" s="2" t="s">
        <v>75</v>
      </c>
      <c r="H3" s="2" t="s">
        <v>77</v>
      </c>
      <c r="I3" s="2" t="s">
        <v>86</v>
      </c>
      <c r="J3" s="2" t="s">
        <v>35</v>
      </c>
      <c r="K3" s="2" t="s">
        <v>37</v>
      </c>
      <c r="L3" s="2" t="s">
        <v>137</v>
      </c>
      <c r="M3" s="2" t="s">
        <v>346</v>
      </c>
      <c r="N3" s="2" t="s">
        <v>41</v>
      </c>
      <c r="O3" s="2" t="s">
        <v>361</v>
      </c>
      <c r="P3" s="2" t="s">
        <v>369</v>
      </c>
      <c r="Q3" s="2" t="s">
        <v>379</v>
      </c>
      <c r="R3" s="2" t="s">
        <v>151</v>
      </c>
      <c r="S3" s="2" t="s">
        <v>149</v>
      </c>
      <c r="T3" s="2" t="s">
        <v>43</v>
      </c>
      <c r="U3" s="2" t="s">
        <v>162</v>
      </c>
      <c r="V3" s="2" t="s">
        <v>168</v>
      </c>
      <c r="W3" s="2" t="s">
        <v>221</v>
      </c>
      <c r="X3" s="2" t="s">
        <v>241</v>
      </c>
      <c r="Y3" s="2" t="s">
        <v>200</v>
      </c>
      <c r="Z3" s="2" t="s">
        <v>255</v>
      </c>
      <c r="AA3" s="2" t="s">
        <v>275</v>
      </c>
      <c r="AB3" s="2" t="s">
        <v>268</v>
      </c>
      <c r="AC3" s="2" t="s">
        <v>281</v>
      </c>
      <c r="AD3" s="2" t="s">
        <v>589</v>
      </c>
      <c r="AE3" s="2" t="s">
        <v>598</v>
      </c>
      <c r="AF3" s="2" t="s">
        <v>600</v>
      </c>
      <c r="AG3" s="2" t="s">
        <v>89</v>
      </c>
      <c r="AH3" s="2" t="s">
        <v>403</v>
      </c>
      <c r="AI3" s="2" t="s">
        <v>1435</v>
      </c>
      <c r="AJ3" s="2" t="s">
        <v>1437</v>
      </c>
      <c r="AK3" s="2" t="s">
        <v>1429</v>
      </c>
      <c r="AL3" s="2" t="s">
        <v>1465</v>
      </c>
      <c r="AM3" s="2" t="s">
        <v>1489</v>
      </c>
      <c r="AN3" s="2" t="s">
        <v>923</v>
      </c>
      <c r="AO3" s="2" t="s">
        <v>603</v>
      </c>
      <c r="AP3" s="2" t="s">
        <v>620</v>
      </c>
      <c r="AQ3" s="2" t="s">
        <v>629</v>
      </c>
      <c r="AR3" s="2" t="s">
        <v>635</v>
      </c>
      <c r="AS3" s="2" t="s">
        <v>678</v>
      </c>
      <c r="AT3" s="2" t="s">
        <v>707</v>
      </c>
      <c r="AU3" s="2" t="s">
        <v>767</v>
      </c>
      <c r="AV3" s="2" t="s">
        <v>998</v>
      </c>
      <c r="AW3" s="2" t="s">
        <v>817</v>
      </c>
      <c r="AX3" s="2" t="s">
        <v>833</v>
      </c>
      <c r="AY3" s="2" t="s">
        <v>893</v>
      </c>
      <c r="AZ3" s="2" t="s">
        <v>957</v>
      </c>
      <c r="BA3" s="2" t="s">
        <v>27</v>
      </c>
    </row>
    <row r="4" spans="1:53" x14ac:dyDescent="0.25">
      <c r="A4" t="s">
        <v>2177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1.1194630872483222E-2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1.8630338733431517E-2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2178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2" t="s">
        <v>2179</v>
      </c>
      <c r="B6">
        <f t="shared" ref="B6:AG6" si="0">IF(B5="",B4*$B$2,B5)</f>
        <v>-9.9246442360578349E-2</v>
      </c>
      <c r="C6">
        <f t="shared" si="0"/>
        <v>1.4640707976905643E-2</v>
      </c>
      <c r="D6">
        <f t="shared" si="0"/>
        <v>1.3725663728349038E-2</v>
      </c>
      <c r="E6">
        <f t="shared" si="0"/>
        <v>7.1210619379968615E-2</v>
      </c>
      <c r="F6">
        <f t="shared" si="0"/>
        <v>7.1210619379968615E-2</v>
      </c>
      <c r="G6">
        <f t="shared" si="0"/>
        <v>2.3791150462471669E-2</v>
      </c>
      <c r="H6">
        <f t="shared" si="0"/>
        <v>7.1210619379968615E-2</v>
      </c>
      <c r="I6">
        <f t="shared" si="0"/>
        <v>-4.5752212427830133E-3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2.1961061965358457E-2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1.1895575231235835E-2</v>
      </c>
      <c r="AB6">
        <f t="shared" si="0"/>
        <v>-6.1192822458182292E-2</v>
      </c>
      <c r="AC6">
        <f t="shared" si="0"/>
        <v>-1.632229783085291E-2</v>
      </c>
      <c r="AD6">
        <f t="shared" si="0"/>
        <v>1.8300884971132053E-2</v>
      </c>
      <c r="AE6">
        <f t="shared" si="0"/>
        <v>1.0243582594579954E-2</v>
      </c>
      <c r="AF6">
        <f t="shared" si="0"/>
        <v>1.3632303344046399E-2</v>
      </c>
      <c r="AG6">
        <f t="shared" si="0"/>
        <v>5.9669924007771706E-2</v>
      </c>
      <c r="AH6">
        <f t="shared" ref="AH6:BM6" si="1">IF(AH5="",AH4*$B$2,AH5)</f>
        <v>2.3125975749347036E-2</v>
      </c>
      <c r="AI6">
        <f t="shared" si="1"/>
        <v>1.7047584306687808E-2</v>
      </c>
      <c r="AJ6">
        <f t="shared" si="1"/>
        <v>1.9215929219688656E-2</v>
      </c>
      <c r="AK6">
        <f t="shared" si="1"/>
        <v>2.1046017716801861E-2</v>
      </c>
      <c r="AL6">
        <f t="shared" si="1"/>
        <v>2.3621715279697475E-2</v>
      </c>
      <c r="AM6">
        <f t="shared" si="1"/>
        <v>2.5621238959584871E-2</v>
      </c>
      <c r="AN6">
        <f t="shared" si="1"/>
        <v>2.1046017716801861E-2</v>
      </c>
      <c r="AO6">
        <f t="shared" si="1"/>
        <v>3.3557492195327242E-2</v>
      </c>
      <c r="AP6">
        <f t="shared" si="1"/>
        <v>2.4706194711028272E-2</v>
      </c>
      <c r="AQ6">
        <f t="shared" si="1"/>
        <v>3.1148304544725561E-2</v>
      </c>
      <c r="AR6">
        <f t="shared" si="1"/>
        <v>1.8300884971132053E-2</v>
      </c>
      <c r="AS6">
        <f t="shared" si="1"/>
        <v>1.738584072257545E-2</v>
      </c>
      <c r="AT6">
        <f t="shared" si="1"/>
        <v>2.0399352170318248E-2</v>
      </c>
      <c r="AU6">
        <f t="shared" si="1"/>
        <v>2.1800534482148241E-2</v>
      </c>
      <c r="AV6">
        <f t="shared" si="1"/>
        <v>4.6348945336369303E-3</v>
      </c>
      <c r="AW6">
        <f t="shared" si="1"/>
        <v>4.3243300194279414E-3</v>
      </c>
      <c r="AX6">
        <f t="shared" si="1"/>
        <v>2.5349812721629825E-2</v>
      </c>
      <c r="AY6">
        <f t="shared" si="1"/>
        <v>2.0130973468245258E-2</v>
      </c>
      <c r="AZ6">
        <f t="shared" si="1"/>
        <v>1.9280671087860787E-2</v>
      </c>
      <c r="BA6">
        <f t="shared" si="1"/>
        <v>1.6470796474018848E-2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2180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2185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11.873586</v>
      </c>
      <c r="E9">
        <v>6.0889490000000004</v>
      </c>
      <c r="F9">
        <v>2.2886169999999999</v>
      </c>
      <c r="G9">
        <v>5.1049100000000003</v>
      </c>
      <c r="H9">
        <v>3.9971860000000001</v>
      </c>
      <c r="I9">
        <v>4.571828</v>
      </c>
      <c r="J9">
        <v>-1.0126539999999999</v>
      </c>
      <c r="K9">
        <v>-9.7326280000000001</v>
      </c>
      <c r="L9">
        <v>-9.1577850000000005</v>
      </c>
      <c r="M9">
        <v>-2.953357</v>
      </c>
      <c r="N9">
        <v>-11.436768000000001</v>
      </c>
      <c r="O9">
        <v>7.9695070000000001</v>
      </c>
      <c r="P9">
        <v>-14.931679000000001</v>
      </c>
      <c r="Q9">
        <v>3.3328950000000002</v>
      </c>
      <c r="R9">
        <v>-3.231112</v>
      </c>
      <c r="S9">
        <v>-11.033688</v>
      </c>
      <c r="T9">
        <v>-10.348459</v>
      </c>
      <c r="U9">
        <v>13.894619</v>
      </c>
      <c r="V9">
        <v>7.9406939999999997</v>
      </c>
      <c r="W9">
        <v>17.890128000000001</v>
      </c>
      <c r="X9">
        <v>7.6838319999999998</v>
      </c>
      <c r="Y9">
        <v>0.25294800000000001</v>
      </c>
      <c r="Z9">
        <v>-3.8453430000000002</v>
      </c>
      <c r="AA9" t="s">
        <v>2218</v>
      </c>
      <c r="AB9" t="s">
        <v>2218</v>
      </c>
    </row>
    <row r="10" spans="1:28" x14ac:dyDescent="0.25">
      <c r="A10" t="s">
        <v>2219</v>
      </c>
      <c r="D10">
        <v>-1.5463960000000001</v>
      </c>
      <c r="E10">
        <v>9.363747</v>
      </c>
      <c r="F10">
        <v>15.753045999999999</v>
      </c>
      <c r="G10">
        <v>2.7759909999999999</v>
      </c>
      <c r="H10">
        <v>1.823979</v>
      </c>
      <c r="I10">
        <v>2.875089</v>
      </c>
      <c r="J10">
        <v>12.161994</v>
      </c>
      <c r="K10">
        <v>2.230702</v>
      </c>
      <c r="L10">
        <v>2.5953789999999999</v>
      </c>
      <c r="M10">
        <v>7.5977430000000004</v>
      </c>
      <c r="N10">
        <v>-5.5685739999999999</v>
      </c>
      <c r="O10">
        <v>-3.2347100000000002</v>
      </c>
      <c r="P10">
        <v>-6.8944489999999998</v>
      </c>
      <c r="Q10">
        <v>-6.6616710000000001</v>
      </c>
      <c r="R10">
        <v>1.724534</v>
      </c>
      <c r="S10">
        <v>-4.2475339999999999</v>
      </c>
      <c r="T10">
        <v>-3.1673719999999999</v>
      </c>
      <c r="U10">
        <v>1.4679739999999999</v>
      </c>
      <c r="V10">
        <v>4.7990950000000003</v>
      </c>
      <c r="W10">
        <v>-6.842314</v>
      </c>
      <c r="X10">
        <v>0.98853899999999995</v>
      </c>
      <c r="Y10">
        <v>0.78639700000000001</v>
      </c>
      <c r="Z10">
        <v>4.5961299999999996</v>
      </c>
      <c r="AA10">
        <v>3.3902839999999999</v>
      </c>
      <c r="AB10">
        <v>-0.41230499999999998</v>
      </c>
    </row>
    <row r="11" spans="1:28" x14ac:dyDescent="0.25">
      <c r="A11" t="s">
        <v>2220</v>
      </c>
      <c r="D11" t="s">
        <v>2218</v>
      </c>
      <c r="E11">
        <v>7.5170880000000002</v>
      </c>
      <c r="F11">
        <v>5.9968450000000004</v>
      </c>
      <c r="G11">
        <v>-1.589094</v>
      </c>
      <c r="H11">
        <v>2.7206229999999998</v>
      </c>
      <c r="I11">
        <v>7.4697339999999999</v>
      </c>
      <c r="J11">
        <v>-2.8378060000000001</v>
      </c>
      <c r="K11">
        <v>-1.411397</v>
      </c>
      <c r="L11">
        <v>0.75040799999999996</v>
      </c>
      <c r="M11">
        <v>2.2330610000000002</v>
      </c>
      <c r="N11">
        <v>-2.8101069999999999</v>
      </c>
      <c r="O11">
        <v>0.26045800000000002</v>
      </c>
      <c r="P11">
        <v>0.82672100000000004</v>
      </c>
      <c r="Q11">
        <v>-3.0699420000000002</v>
      </c>
      <c r="R11">
        <v>-5.381659</v>
      </c>
      <c r="S11">
        <v>5.1663389999999998</v>
      </c>
      <c r="T11">
        <v>-2.4903680000000001</v>
      </c>
      <c r="U11">
        <v>-7.7613560000000001</v>
      </c>
      <c r="V11">
        <v>-3.4289109999999998</v>
      </c>
      <c r="W11">
        <v>5.3855870000000001</v>
      </c>
      <c r="X11">
        <v>3.2705250000000001</v>
      </c>
      <c r="Y11">
        <v>1.794065</v>
      </c>
      <c r="Z11">
        <v>-4.6841540000000004</v>
      </c>
      <c r="AA11">
        <v>-7.8975280000000003</v>
      </c>
      <c r="AB11">
        <v>5.4578550000000003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-4.2924829999999998</v>
      </c>
      <c r="R12">
        <v>-4.4654999999999996</v>
      </c>
      <c r="S12">
        <v>4.4723249999999997</v>
      </c>
      <c r="T12">
        <v>-0.86833800000000005</v>
      </c>
      <c r="U12">
        <v>-4.7497129999999999</v>
      </c>
      <c r="V12">
        <v>6.9495339999999999</v>
      </c>
      <c r="W12">
        <v>8.6031340000000007</v>
      </c>
      <c r="X12">
        <v>4.0013189999999996</v>
      </c>
      <c r="Y12">
        <v>4.7990909999999998</v>
      </c>
      <c r="Z12" t="s">
        <v>2218</v>
      </c>
      <c r="AA12" t="s">
        <v>2218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>
        <v>-9.0011670000000006</v>
      </c>
      <c r="U13">
        <v>-3.6904789999999998</v>
      </c>
      <c r="V13">
        <v>-0.72716000000000003</v>
      </c>
      <c r="W13">
        <v>4.0094200000000004</v>
      </c>
      <c r="X13">
        <v>1.9320090000000001</v>
      </c>
      <c r="Y13">
        <v>6.7461630000000001</v>
      </c>
      <c r="Z13">
        <v>-0.93511</v>
      </c>
      <c r="AA13">
        <v>4.8537670000000004</v>
      </c>
      <c r="AB13" t="s">
        <v>2218</v>
      </c>
    </row>
    <row r="14" spans="1:28" x14ac:dyDescent="0.25">
      <c r="A14" t="s">
        <v>2223</v>
      </c>
      <c r="D14">
        <v>0.31367699999999998</v>
      </c>
      <c r="E14">
        <v>6.1940559999999998</v>
      </c>
      <c r="F14">
        <v>-8.3588389999999997</v>
      </c>
      <c r="G14">
        <v>-5.9704579999999998</v>
      </c>
      <c r="H14">
        <v>3.0119319999999998</v>
      </c>
      <c r="I14">
        <v>12.586876999999999</v>
      </c>
      <c r="J14">
        <v>3.945138</v>
      </c>
      <c r="K14">
        <v>0.48736499999999999</v>
      </c>
      <c r="L14">
        <v>6.0251320000000002</v>
      </c>
      <c r="M14">
        <v>8.1180939999999993</v>
      </c>
      <c r="N14">
        <v>-1.3581810000000001</v>
      </c>
      <c r="O14">
        <v>6.7593180000000004</v>
      </c>
      <c r="P14">
        <v>0.28845700000000002</v>
      </c>
      <c r="Q14">
        <v>3.5144700000000002</v>
      </c>
      <c r="R14">
        <v>-5.6052629999999999</v>
      </c>
      <c r="S14">
        <v>-6.3682689999999997</v>
      </c>
      <c r="T14">
        <v>-6.2397539999999996</v>
      </c>
      <c r="U14">
        <v>-1.1877599999999999</v>
      </c>
      <c r="V14">
        <v>-10.984609000000001</v>
      </c>
      <c r="W14">
        <v>-1.5276909999999999</v>
      </c>
      <c r="X14">
        <v>-1.063912</v>
      </c>
      <c r="Y14">
        <v>-4.891502</v>
      </c>
      <c r="Z14">
        <v>0.72562800000000005</v>
      </c>
      <c r="AA14">
        <v>-1.8876839999999999</v>
      </c>
      <c r="AB14">
        <v>-0.78041799999999995</v>
      </c>
    </row>
    <row r="15" spans="1:28" x14ac:dyDescent="0.25">
      <c r="A15" t="s">
        <v>2224</v>
      </c>
      <c r="D15">
        <v>-1.7686919999999999</v>
      </c>
      <c r="E15">
        <v>11.435703</v>
      </c>
      <c r="F15">
        <v>2.5142660000000001</v>
      </c>
      <c r="G15">
        <v>-1.7853730000000001</v>
      </c>
      <c r="H15">
        <v>10.048712</v>
      </c>
      <c r="I15">
        <v>11.009505000000001</v>
      </c>
      <c r="J15">
        <v>0.426375</v>
      </c>
      <c r="K15">
        <v>-3.7635999999999998</v>
      </c>
      <c r="L15">
        <v>5.2030320000000003</v>
      </c>
      <c r="M15">
        <v>8.6760660000000005</v>
      </c>
      <c r="N15">
        <v>-0.82957800000000004</v>
      </c>
      <c r="O15">
        <v>-4.6272149999999996</v>
      </c>
      <c r="P15">
        <v>-12.921944</v>
      </c>
      <c r="Q15">
        <v>-11.920372</v>
      </c>
      <c r="R15">
        <v>-11.5951</v>
      </c>
      <c r="S15">
        <v>11.051004000000001</v>
      </c>
      <c r="T15">
        <v>-4.6667730000000001</v>
      </c>
      <c r="U15">
        <v>-7.2184860000000004</v>
      </c>
      <c r="V15">
        <v>-4.5306350000000002</v>
      </c>
      <c r="W15">
        <v>-8.2345170000000003</v>
      </c>
      <c r="X15">
        <v>0.601688</v>
      </c>
      <c r="Y15">
        <v>0.38310300000000003</v>
      </c>
      <c r="Z15">
        <v>0.770204</v>
      </c>
      <c r="AA15">
        <v>-5.6944330000000001</v>
      </c>
      <c r="AB15">
        <v>-7.306692</v>
      </c>
    </row>
    <row r="16" spans="1:28" x14ac:dyDescent="0.25">
      <c r="A16" t="s">
        <v>2225</v>
      </c>
      <c r="D16" t="s">
        <v>2218</v>
      </c>
      <c r="E16">
        <v>3.4602379999999999</v>
      </c>
      <c r="F16">
        <v>-6.469462</v>
      </c>
      <c r="G16">
        <v>-12.101694999999999</v>
      </c>
      <c r="H16">
        <v>-5.7350490000000001</v>
      </c>
      <c r="I16">
        <v>19.965544000000001</v>
      </c>
      <c r="J16">
        <v>41.775537</v>
      </c>
      <c r="K16">
        <v>10.558097</v>
      </c>
      <c r="L16">
        <v>-3.1798470000000001</v>
      </c>
      <c r="M16">
        <v>-15.828023999999999</v>
      </c>
      <c r="N16">
        <v>9.1716829999999998</v>
      </c>
      <c r="O16">
        <v>17.697576000000002</v>
      </c>
      <c r="P16">
        <v>22.591982999999999</v>
      </c>
      <c r="Q16">
        <v>-10.085884999999999</v>
      </c>
      <c r="R16">
        <v>-3.3424209999999999</v>
      </c>
      <c r="S16">
        <v>-0.18737799999999999</v>
      </c>
      <c r="T16">
        <v>2.1940919999999999</v>
      </c>
      <c r="U16">
        <v>2.5970620000000002</v>
      </c>
      <c r="V16">
        <v>24.511462999999999</v>
      </c>
      <c r="W16">
        <v>1.1010200000000001</v>
      </c>
      <c r="X16">
        <v>5.388496</v>
      </c>
      <c r="Y16">
        <v>16.330131000000002</v>
      </c>
      <c r="Z16">
        <v>-1.376873</v>
      </c>
      <c r="AA16">
        <v>1.137516</v>
      </c>
      <c r="AB16">
        <v>-7.5684449999999996</v>
      </c>
    </row>
    <row r="17" spans="1:28" x14ac:dyDescent="0.25">
      <c r="A17" t="s">
        <v>2226</v>
      </c>
      <c r="D17">
        <v>-0.32062600000000002</v>
      </c>
      <c r="E17">
        <v>7.6830360000000004</v>
      </c>
      <c r="F17">
        <v>1.5602780000000001</v>
      </c>
      <c r="G17">
        <v>2.0366240000000002</v>
      </c>
      <c r="H17">
        <v>3.4732729999999998</v>
      </c>
      <c r="I17">
        <v>0.96777999999999997</v>
      </c>
      <c r="J17">
        <v>7.7681800000000001</v>
      </c>
      <c r="K17">
        <v>4.34748</v>
      </c>
      <c r="L17">
        <v>2.8567399999999998</v>
      </c>
      <c r="M17">
        <v>3.2276389999999999</v>
      </c>
      <c r="N17">
        <v>-2.1441599999999998</v>
      </c>
      <c r="O17">
        <v>-3.3893209999999998</v>
      </c>
      <c r="P17">
        <v>5.5920800000000002</v>
      </c>
      <c r="Q17">
        <v>-5.7726290000000002</v>
      </c>
      <c r="R17">
        <v>-3.8095330000000001</v>
      </c>
      <c r="S17">
        <v>5.9226599999999996</v>
      </c>
      <c r="T17">
        <v>-4.5978029999999999</v>
      </c>
      <c r="U17">
        <v>4.4579550000000001</v>
      </c>
      <c r="V17">
        <v>-4.1709620000000003</v>
      </c>
      <c r="W17">
        <v>3.977176</v>
      </c>
      <c r="X17">
        <v>-0.68282600000000004</v>
      </c>
      <c r="Y17">
        <v>-4.1080350000000001</v>
      </c>
      <c r="Z17">
        <v>8.1582919999999994</v>
      </c>
      <c r="AA17">
        <v>-1.1149100000000001</v>
      </c>
      <c r="AB17">
        <v>-3.7875320000000001</v>
      </c>
    </row>
    <row r="18" spans="1:28" x14ac:dyDescent="0.25">
      <c r="A18" t="s">
        <v>2227</v>
      </c>
      <c r="D18">
        <v>2.9126289999999999</v>
      </c>
      <c r="E18">
        <v>4.4277579999999999</v>
      </c>
      <c r="F18">
        <v>-4.0237980000000002</v>
      </c>
      <c r="G18">
        <v>8.3290170000000003</v>
      </c>
      <c r="H18">
        <v>2.6158779999999999</v>
      </c>
      <c r="I18">
        <v>-1.526661</v>
      </c>
      <c r="J18">
        <v>3.7026509999999999</v>
      </c>
      <c r="K18">
        <v>7.0900259999999999</v>
      </c>
      <c r="L18">
        <v>-7.1788000000000005E-2</v>
      </c>
      <c r="M18">
        <v>1.9551559999999999</v>
      </c>
      <c r="N18">
        <v>-4.826257</v>
      </c>
      <c r="O18">
        <v>-3.3471639999999998</v>
      </c>
      <c r="P18">
        <v>1.0157350000000001</v>
      </c>
      <c r="Q18">
        <v>-3.0400140000000002</v>
      </c>
      <c r="R18">
        <v>-8.6943560000000009</v>
      </c>
      <c r="S18">
        <v>-2.7055600000000002</v>
      </c>
      <c r="T18">
        <v>-3.4194249999999999</v>
      </c>
      <c r="U18">
        <v>4.6392220000000002</v>
      </c>
      <c r="V18">
        <v>3.3347349999999998</v>
      </c>
      <c r="W18">
        <v>-4.3515860000000002</v>
      </c>
      <c r="X18">
        <v>-1.33744</v>
      </c>
      <c r="Y18">
        <v>-2.2387630000000001</v>
      </c>
      <c r="Z18">
        <v>-0.41245399999999999</v>
      </c>
      <c r="AA18">
        <v>0.22335099999999999</v>
      </c>
      <c r="AB18">
        <v>1.633324</v>
      </c>
    </row>
    <row r="19" spans="1:28" x14ac:dyDescent="0.25">
      <c r="A19" t="s">
        <v>2228</v>
      </c>
      <c r="D19">
        <v>5.4195599999999997</v>
      </c>
      <c r="E19">
        <v>4.5051069999999998</v>
      </c>
      <c r="F19">
        <v>1.4373959999999999</v>
      </c>
      <c r="G19">
        <v>3.418507</v>
      </c>
      <c r="H19">
        <v>2.4059490000000001</v>
      </c>
      <c r="I19">
        <v>2.9057059999999999</v>
      </c>
      <c r="J19">
        <v>-5.6198999999999999E-2</v>
      </c>
      <c r="K19">
        <v>5.2507979999999996</v>
      </c>
      <c r="L19">
        <v>0.482348</v>
      </c>
      <c r="M19">
        <v>6.7122380000000001</v>
      </c>
      <c r="N19">
        <v>6.2428999999999998E-2</v>
      </c>
      <c r="O19">
        <v>-10.288199000000001</v>
      </c>
      <c r="P19">
        <v>6.6764650000000003</v>
      </c>
      <c r="Q19">
        <v>4.4770329999999996</v>
      </c>
      <c r="R19">
        <v>8.3639500000000009</v>
      </c>
      <c r="S19">
        <v>0.99157300000000004</v>
      </c>
      <c r="T19">
        <v>-13.619595</v>
      </c>
      <c r="U19">
        <v>12.770581999999999</v>
      </c>
      <c r="V19">
        <v>-3.9004470000000002</v>
      </c>
      <c r="W19">
        <v>1.0643069999999999</v>
      </c>
      <c r="X19">
        <v>5.1747209999999999</v>
      </c>
      <c r="Y19">
        <v>5.3155919999999997</v>
      </c>
      <c r="Z19">
        <v>2.3776730000000001</v>
      </c>
      <c r="AA19">
        <v>-1.853942</v>
      </c>
      <c r="AB19">
        <v>-5.6814530000000003</v>
      </c>
    </row>
    <row r="20" spans="1:28" x14ac:dyDescent="0.25">
      <c r="A20" t="s">
        <v>2229</v>
      </c>
      <c r="D20" t="s">
        <v>2218</v>
      </c>
      <c r="E20">
        <v>1.5872729999999999</v>
      </c>
      <c r="F20">
        <v>3.6861760000000001</v>
      </c>
      <c r="G20">
        <v>3.261943</v>
      </c>
      <c r="H20">
        <v>13.438178000000001</v>
      </c>
      <c r="I20">
        <v>6.0441500000000001</v>
      </c>
      <c r="J20">
        <v>0.26130500000000001</v>
      </c>
      <c r="K20">
        <v>15.145180999999999</v>
      </c>
      <c r="L20">
        <v>11.802811</v>
      </c>
      <c r="M20">
        <v>3.7130350000000001</v>
      </c>
      <c r="N20">
        <v>10.753412000000001</v>
      </c>
      <c r="O20">
        <v>-3.0126379999999999</v>
      </c>
      <c r="P20">
        <v>-2.6199889999999999</v>
      </c>
      <c r="Q20">
        <v>-11.28055</v>
      </c>
      <c r="R20">
        <v>10.877668</v>
      </c>
      <c r="S20">
        <v>-20.273712</v>
      </c>
      <c r="T20">
        <v>5.3562890000000003</v>
      </c>
      <c r="U20">
        <v>4.9498579999999999</v>
      </c>
      <c r="V20">
        <v>1.0040450000000001</v>
      </c>
      <c r="W20">
        <v>-9.2793290000000006</v>
      </c>
      <c r="X20">
        <v>0.56547499999999995</v>
      </c>
      <c r="Y20">
        <v>-3.342473</v>
      </c>
      <c r="Z20">
        <v>2.2311030000000001</v>
      </c>
      <c r="AA20">
        <v>-0.92030100000000004</v>
      </c>
      <c r="AB20">
        <v>-5.2262449999999996</v>
      </c>
    </row>
    <row r="21" spans="1:28" x14ac:dyDescent="0.25">
      <c r="A21" t="s">
        <v>2230</v>
      </c>
      <c r="D21" t="s">
        <v>2218</v>
      </c>
      <c r="E21">
        <v>7.9600429999999998</v>
      </c>
      <c r="F21">
        <v>-1.1138950000000001</v>
      </c>
      <c r="G21">
        <v>-1.243444</v>
      </c>
      <c r="H21">
        <v>6.4707189999999999</v>
      </c>
      <c r="I21">
        <v>7.6536049999999998</v>
      </c>
      <c r="J21">
        <v>0.44059300000000001</v>
      </c>
      <c r="K21">
        <v>2.5446049999999998</v>
      </c>
      <c r="L21">
        <v>-4.936725</v>
      </c>
      <c r="M21">
        <v>7.5965889999999998</v>
      </c>
      <c r="N21">
        <v>-9.6018109999999997</v>
      </c>
      <c r="O21">
        <v>1.106706</v>
      </c>
      <c r="P21">
        <v>14.217207</v>
      </c>
      <c r="Q21">
        <v>-5.853186</v>
      </c>
      <c r="R21">
        <v>15.066383999999999</v>
      </c>
      <c r="S21">
        <v>-6.7423479999999998</v>
      </c>
      <c r="T21">
        <v>1.4296450000000001</v>
      </c>
      <c r="U21">
        <v>-11.129455999999999</v>
      </c>
      <c r="V21">
        <v>5.4650790000000002</v>
      </c>
      <c r="W21">
        <v>-2.363632</v>
      </c>
      <c r="X21">
        <v>6.3391099999999998</v>
      </c>
      <c r="Y21">
        <v>15.855646</v>
      </c>
      <c r="Z21">
        <v>-9.1524889999999992</v>
      </c>
      <c r="AA21">
        <v>-14.297116000000001</v>
      </c>
      <c r="AB21">
        <v>5.0534160000000004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4.8254549999999998</v>
      </c>
      <c r="S22">
        <v>2.598179</v>
      </c>
      <c r="T22">
        <v>-3.5091060000000001</v>
      </c>
      <c r="U22">
        <v>4.1378459999999997</v>
      </c>
      <c r="V22">
        <v>4.2182899999999997</v>
      </c>
      <c r="W22">
        <v>2.354476</v>
      </c>
      <c r="X22">
        <v>-7.5265250000000004</v>
      </c>
      <c r="Y22">
        <v>-1.0298609999999999</v>
      </c>
      <c r="Z22">
        <v>-5.1594639999999998</v>
      </c>
      <c r="AA22">
        <v>5.116339</v>
      </c>
      <c r="AB22">
        <v>-2.0436770000000002</v>
      </c>
    </row>
    <row r="23" spans="1:28" x14ac:dyDescent="0.25">
      <c r="A23" t="s">
        <v>2232</v>
      </c>
      <c r="D23" t="s">
        <v>2218</v>
      </c>
      <c r="E23">
        <v>4.534052</v>
      </c>
      <c r="F23">
        <v>-11.238583999999999</v>
      </c>
      <c r="G23">
        <v>-29.653587000000002</v>
      </c>
      <c r="H23">
        <v>2.929208</v>
      </c>
      <c r="I23">
        <v>6.5918840000000003</v>
      </c>
      <c r="J23">
        <v>-2.5022869999999999</v>
      </c>
      <c r="K23">
        <v>1.3098609999999999</v>
      </c>
      <c r="L23">
        <v>7.5903910000000003</v>
      </c>
      <c r="M23">
        <v>-5.5661769999999997</v>
      </c>
      <c r="N23">
        <v>-8.2925900000000006</v>
      </c>
      <c r="O23">
        <v>-7.1316449999999998</v>
      </c>
      <c r="P23">
        <v>-2.3274599999999999</v>
      </c>
      <c r="Q23">
        <v>-1.4251E-2</v>
      </c>
      <c r="R23">
        <v>4.7391589999999999</v>
      </c>
      <c r="S23">
        <v>38.160963000000002</v>
      </c>
      <c r="T23">
        <v>8.3710789999999999</v>
      </c>
      <c r="U23">
        <v>4.3052979999999996</v>
      </c>
      <c r="V23">
        <v>-7.3183230000000004</v>
      </c>
      <c r="W23">
        <v>12.185413</v>
      </c>
      <c r="X23">
        <v>-6.9863280000000003</v>
      </c>
      <c r="Y23">
        <v>8.6807479999999995</v>
      </c>
      <c r="Z23">
        <v>-7.6479980000000003</v>
      </c>
      <c r="AA23">
        <v>12.576848999999999</v>
      </c>
      <c r="AB23">
        <v>9.0768789999999999</v>
      </c>
    </row>
    <row r="24" spans="1:28" x14ac:dyDescent="0.25">
      <c r="A24" t="s">
        <v>2233</v>
      </c>
      <c r="D24" t="s">
        <v>2218</v>
      </c>
      <c r="E24">
        <v>13.273391999999999</v>
      </c>
      <c r="F24">
        <v>3.5972040000000001</v>
      </c>
      <c r="G24">
        <v>5.8017820000000002</v>
      </c>
      <c r="H24">
        <v>1.1256440000000001</v>
      </c>
      <c r="I24">
        <v>-10.944419</v>
      </c>
      <c r="J24">
        <v>12.780901</v>
      </c>
      <c r="K24">
        <v>4.9336609999999999</v>
      </c>
      <c r="L24">
        <v>-3.1343649999999998</v>
      </c>
      <c r="M24">
        <v>0.87098100000000001</v>
      </c>
      <c r="N24">
        <v>-3.3218719999999999</v>
      </c>
      <c r="O24">
        <v>27.745038000000001</v>
      </c>
      <c r="P24">
        <v>18.400480000000002</v>
      </c>
      <c r="Q24">
        <v>-9.3742009999999993</v>
      </c>
      <c r="R24">
        <v>18.080628999999998</v>
      </c>
      <c r="S24">
        <v>-2.912385</v>
      </c>
      <c r="T24">
        <v>-11.409545</v>
      </c>
      <c r="U24">
        <v>-30.877564</v>
      </c>
      <c r="V24">
        <v>37.797234000000003</v>
      </c>
      <c r="W24">
        <v>5.9034069999999996</v>
      </c>
      <c r="X24">
        <v>0.198014</v>
      </c>
      <c r="Y24">
        <v>-2.6850900000000002</v>
      </c>
      <c r="Z24">
        <v>-0.68001199999999995</v>
      </c>
      <c r="AA24">
        <v>13.219429999999999</v>
      </c>
      <c r="AB24" t="s">
        <v>2218</v>
      </c>
    </row>
    <row r="25" spans="1:28" x14ac:dyDescent="0.25">
      <c r="A25" t="s">
        <v>2234</v>
      </c>
      <c r="D25">
        <v>4.9795030000000002</v>
      </c>
      <c r="E25">
        <v>1.111713</v>
      </c>
      <c r="F25">
        <v>-2.2470859999999999</v>
      </c>
      <c r="G25">
        <v>-0.81602600000000003</v>
      </c>
      <c r="H25">
        <v>-0.99270700000000001</v>
      </c>
      <c r="I25">
        <v>-3.0249950000000001</v>
      </c>
      <c r="J25">
        <v>-3.5763370000000001</v>
      </c>
      <c r="K25">
        <v>0.80042800000000003</v>
      </c>
      <c r="L25">
        <v>-3.2093690000000001</v>
      </c>
      <c r="M25">
        <v>5.3851490000000002</v>
      </c>
      <c r="N25">
        <v>-3.8369330000000001</v>
      </c>
      <c r="O25">
        <v>-10.001097</v>
      </c>
      <c r="P25">
        <v>-2.8130359999999999</v>
      </c>
      <c r="Q25">
        <v>3.5411100000000002</v>
      </c>
      <c r="R25">
        <v>-4.7384849999999998</v>
      </c>
      <c r="S25">
        <v>-5.5758929999999998</v>
      </c>
      <c r="T25">
        <v>-1.7713350000000001</v>
      </c>
      <c r="U25">
        <v>-3.366479</v>
      </c>
      <c r="V25">
        <v>-3.3352599999999999</v>
      </c>
      <c r="W25">
        <v>-4.6947669999999997</v>
      </c>
      <c r="X25">
        <v>-5.7097009999999999</v>
      </c>
      <c r="Y25">
        <v>3.223328</v>
      </c>
      <c r="Z25">
        <v>2.5021529999999998</v>
      </c>
      <c r="AA25">
        <v>-2.7041729999999999</v>
      </c>
      <c r="AB25">
        <v>-1.4728779999999999</v>
      </c>
    </row>
    <row r="26" spans="1:28" x14ac:dyDescent="0.25">
      <c r="A26" t="s">
        <v>2235</v>
      </c>
      <c r="D26">
        <v>2.1662219999999999</v>
      </c>
      <c r="E26">
        <v>6.8456570000000001</v>
      </c>
      <c r="F26">
        <v>2.337818</v>
      </c>
      <c r="G26">
        <v>3.259744</v>
      </c>
      <c r="H26">
        <v>2.4927199999999998</v>
      </c>
      <c r="I26">
        <v>3.2250269999999999</v>
      </c>
      <c r="J26">
        <v>4.2343840000000004</v>
      </c>
      <c r="K26">
        <v>0.67370399999999997</v>
      </c>
      <c r="L26">
        <v>0.90509700000000004</v>
      </c>
      <c r="M26">
        <v>2.8416769999999998</v>
      </c>
      <c r="N26">
        <v>6.684469</v>
      </c>
      <c r="O26">
        <v>5.6293999999999997E-2</v>
      </c>
      <c r="P26">
        <v>-5.5767069999999999</v>
      </c>
      <c r="Q26">
        <v>3.324335</v>
      </c>
      <c r="R26">
        <v>-17.886451000000001</v>
      </c>
      <c r="S26">
        <v>9.3352540000000008</v>
      </c>
      <c r="T26">
        <v>-11.901994</v>
      </c>
      <c r="U26">
        <v>-18.969750000000001</v>
      </c>
      <c r="V26">
        <v>7.5315979999999998</v>
      </c>
      <c r="W26">
        <v>1.2851349999999999</v>
      </c>
      <c r="X26">
        <v>-9.7020730000000004</v>
      </c>
      <c r="Y26">
        <v>2.4875889999999998</v>
      </c>
      <c r="Z26">
        <v>9.6959309999999999</v>
      </c>
      <c r="AA26">
        <v>1.304384</v>
      </c>
      <c r="AB26" t="s">
        <v>2218</v>
      </c>
    </row>
    <row r="27" spans="1:28" x14ac:dyDescent="0.25">
      <c r="A27" t="s">
        <v>2236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1.4910509999999999</v>
      </c>
      <c r="O27">
        <v>-4.7606799999999998</v>
      </c>
      <c r="P27">
        <v>-2.9211299999999998</v>
      </c>
      <c r="Q27">
        <v>-6.046729</v>
      </c>
      <c r="R27">
        <v>-1.934596</v>
      </c>
      <c r="S27">
        <v>18.880966999999998</v>
      </c>
      <c r="T27">
        <v>-1.282203</v>
      </c>
      <c r="U27">
        <v>1.5800810000000001</v>
      </c>
      <c r="V27">
        <v>-10.158042999999999</v>
      </c>
      <c r="W27">
        <v>0.30063699999999999</v>
      </c>
      <c r="X27">
        <v>-3.1398429999999999</v>
      </c>
      <c r="Y27">
        <v>-5.7046219999999996</v>
      </c>
      <c r="Z27">
        <v>4.7600809999999996</v>
      </c>
      <c r="AA27">
        <v>-0.43063000000000001</v>
      </c>
      <c r="AB27" t="s">
        <v>2218</v>
      </c>
    </row>
    <row r="28" spans="1:28" x14ac:dyDescent="0.25">
      <c r="A28" t="s">
        <v>2237</v>
      </c>
      <c r="D28" t="s">
        <v>2218</v>
      </c>
      <c r="E28">
        <v>-1.3276509999999999</v>
      </c>
      <c r="F28">
        <v>1.5336419999999999</v>
      </c>
      <c r="G28">
        <v>5.0606429999999998</v>
      </c>
      <c r="H28">
        <v>0.97846100000000003</v>
      </c>
      <c r="I28">
        <v>-12.549175999999999</v>
      </c>
      <c r="J28">
        <v>-6.023307</v>
      </c>
      <c r="K28">
        <v>12.047141999999999</v>
      </c>
      <c r="L28">
        <v>10.569281999999999</v>
      </c>
      <c r="M28">
        <v>-0.18883</v>
      </c>
      <c r="N28">
        <v>3.9285779999999999</v>
      </c>
      <c r="O28">
        <v>11.190673</v>
      </c>
      <c r="P28">
        <v>2.168787</v>
      </c>
      <c r="Q28">
        <v>-7.4253099999999996</v>
      </c>
      <c r="R28">
        <v>14.875845</v>
      </c>
      <c r="S28">
        <v>3.8113779999999999</v>
      </c>
      <c r="T28">
        <v>-5.9320769999999996</v>
      </c>
      <c r="U28">
        <v>-6.9859679999999997</v>
      </c>
      <c r="V28">
        <v>-7.2996290000000004</v>
      </c>
      <c r="W28">
        <v>-5.6092899999999997</v>
      </c>
      <c r="X28">
        <v>13.669805999999999</v>
      </c>
      <c r="Y28">
        <v>10.746515</v>
      </c>
      <c r="Z28">
        <v>-0.44219000000000003</v>
      </c>
      <c r="AA28">
        <v>-5.1206069999999997</v>
      </c>
      <c r="AB28">
        <v>-0.43349500000000002</v>
      </c>
    </row>
    <row r="29" spans="1:28" x14ac:dyDescent="0.25">
      <c r="A29" t="s">
        <v>2238</v>
      </c>
      <c r="D29" t="s">
        <v>2218</v>
      </c>
      <c r="E29">
        <v>21.824559000000001</v>
      </c>
      <c r="F29">
        <v>-3.6353780000000002</v>
      </c>
      <c r="G29">
        <v>-5.8866050000000003</v>
      </c>
      <c r="H29">
        <v>2.2658209999999999</v>
      </c>
      <c r="I29">
        <v>-6.8199540000000001</v>
      </c>
      <c r="J29">
        <v>15.075972999999999</v>
      </c>
      <c r="K29">
        <v>12.041480999999999</v>
      </c>
      <c r="L29">
        <v>23.350683</v>
      </c>
      <c r="M29">
        <v>5.758286</v>
      </c>
      <c r="N29">
        <v>8.1919199999999996</v>
      </c>
      <c r="O29">
        <v>23.230219999999999</v>
      </c>
      <c r="P29">
        <v>-18.840457000000001</v>
      </c>
      <c r="Q29">
        <v>-1.9657830000000001</v>
      </c>
      <c r="R29">
        <v>9.6613869999999995</v>
      </c>
      <c r="S29">
        <v>12.410469000000001</v>
      </c>
      <c r="T29">
        <v>-3.5386289999999998</v>
      </c>
      <c r="U29">
        <v>-10.74441</v>
      </c>
      <c r="V29">
        <v>-6.3201169999999998</v>
      </c>
      <c r="W29">
        <v>10.422525</v>
      </c>
      <c r="X29">
        <v>-1.038637</v>
      </c>
      <c r="Y29">
        <v>-0.54921799999999998</v>
      </c>
      <c r="Z29">
        <v>-10.911659999999999</v>
      </c>
      <c r="AA29">
        <v>2.3910429999999998</v>
      </c>
      <c r="AB29">
        <v>3.9388109999999998</v>
      </c>
    </row>
    <row r="30" spans="1:28" x14ac:dyDescent="0.25">
      <c r="A30" t="s">
        <v>2239</v>
      </c>
      <c r="D30" t="s">
        <v>2218</v>
      </c>
      <c r="E30">
        <v>1.112422</v>
      </c>
      <c r="F30">
        <v>0.95826900000000004</v>
      </c>
      <c r="G30">
        <v>-1.878657</v>
      </c>
      <c r="H30">
        <v>5.8272969999999997</v>
      </c>
      <c r="I30">
        <v>4.1860869999999997</v>
      </c>
      <c r="J30">
        <v>-0.93101100000000003</v>
      </c>
      <c r="K30">
        <v>-1.997096</v>
      </c>
      <c r="L30">
        <v>5.1493279999999997</v>
      </c>
      <c r="M30">
        <v>3.2088350000000001</v>
      </c>
      <c r="N30">
        <v>2.0030290000000002</v>
      </c>
      <c r="O30">
        <v>-7.7715550000000002</v>
      </c>
      <c r="P30">
        <v>-5.8780890000000001</v>
      </c>
      <c r="Q30">
        <v>-15.099297999999999</v>
      </c>
      <c r="R30">
        <v>-3.773577</v>
      </c>
      <c r="S30">
        <v>-13.481218999999999</v>
      </c>
      <c r="T30">
        <v>8.8091670000000004</v>
      </c>
      <c r="U30">
        <v>-3.9712559999999999</v>
      </c>
      <c r="V30">
        <v>20.997412000000001</v>
      </c>
      <c r="W30">
        <v>1.053736</v>
      </c>
      <c r="X30">
        <v>-6.9732000000000002E-2</v>
      </c>
      <c r="Y30">
        <v>-7.4121860000000002</v>
      </c>
      <c r="Z30">
        <v>0.93500899999999998</v>
      </c>
      <c r="AA30">
        <v>9.70932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6.5307919999999999</v>
      </c>
      <c r="U31">
        <v>-10.985498</v>
      </c>
      <c r="V31">
        <v>-3.5147810000000002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11.961537999999999</v>
      </c>
      <c r="F32">
        <v>-5.0938020000000002</v>
      </c>
      <c r="G32">
        <v>-2.1618040000000001</v>
      </c>
      <c r="H32">
        <v>0.114699</v>
      </c>
      <c r="I32">
        <v>0.11718000000000001</v>
      </c>
      <c r="J32">
        <v>-3.3741469999999998</v>
      </c>
      <c r="K32">
        <v>-0.87376799999999999</v>
      </c>
      <c r="L32">
        <v>1.3422769999999999</v>
      </c>
      <c r="M32">
        <v>6.414377</v>
      </c>
      <c r="N32">
        <v>-3.1179190000000001</v>
      </c>
      <c r="O32">
        <v>2.8797079999999999</v>
      </c>
      <c r="P32">
        <v>-3.3855590000000002</v>
      </c>
      <c r="Q32">
        <v>5.661918</v>
      </c>
      <c r="R32">
        <v>-7.743811</v>
      </c>
      <c r="S32">
        <v>6.4709060000000003</v>
      </c>
      <c r="T32">
        <v>-5.7708649999999997</v>
      </c>
      <c r="U32">
        <v>1.077356</v>
      </c>
      <c r="V32">
        <v>3.6246770000000001</v>
      </c>
      <c r="W32">
        <v>-7.9967170000000003</v>
      </c>
      <c r="X32">
        <v>-8.1269449999999992</v>
      </c>
      <c r="Y32">
        <v>-1.249571</v>
      </c>
      <c r="Z32">
        <v>-4.9288340000000002</v>
      </c>
      <c r="AA32">
        <v>-6.6659199999999998</v>
      </c>
      <c r="AB32">
        <v>-6.1508039999999999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-5.978809</v>
      </c>
      <c r="U33">
        <v>-1.377467</v>
      </c>
      <c r="V33">
        <v>-2.0855160000000001</v>
      </c>
      <c r="W33">
        <v>-10.117839999999999</v>
      </c>
      <c r="X33">
        <v>1.977225</v>
      </c>
      <c r="Y33">
        <v>13.412285000000001</v>
      </c>
      <c r="Z33">
        <v>-9.8614809999999995</v>
      </c>
      <c r="AA33" t="s">
        <v>2218</v>
      </c>
      <c r="AB33" t="s">
        <v>2218</v>
      </c>
    </row>
    <row r="34" spans="1:28" x14ac:dyDescent="0.25">
      <c r="A34" t="s">
        <v>2243</v>
      </c>
      <c r="D34">
        <v>8.7719919999999991</v>
      </c>
      <c r="E34">
        <v>9.0459790000000009</v>
      </c>
      <c r="F34">
        <v>0.49959399999999998</v>
      </c>
      <c r="G34">
        <v>-3.4561030000000001</v>
      </c>
      <c r="H34">
        <v>1.311167</v>
      </c>
      <c r="I34">
        <v>8.9793120000000002</v>
      </c>
      <c r="J34">
        <v>-2.2814480000000001</v>
      </c>
      <c r="K34">
        <v>-1.9371020000000001</v>
      </c>
      <c r="L34">
        <v>-1.583996</v>
      </c>
      <c r="M34">
        <v>0.63601600000000003</v>
      </c>
      <c r="N34">
        <v>-5.9737299999999998</v>
      </c>
      <c r="O34">
        <v>-9.5444279999999999</v>
      </c>
      <c r="P34">
        <v>-15.393924999999999</v>
      </c>
      <c r="Q34">
        <v>-9.4896519999999995</v>
      </c>
      <c r="R34">
        <v>-3.0106549999999999</v>
      </c>
      <c r="S34">
        <v>-6.52989</v>
      </c>
      <c r="T34">
        <v>-6.5331859999999997</v>
      </c>
      <c r="U34">
        <v>-5.8500189999999996</v>
      </c>
      <c r="V34">
        <v>-5.5213489999999998</v>
      </c>
      <c r="W34">
        <v>-2.1207579999999999</v>
      </c>
      <c r="X34">
        <v>9.3583130000000008</v>
      </c>
      <c r="Y34">
        <v>9.287979</v>
      </c>
      <c r="Z34">
        <v>6.8443459999999998</v>
      </c>
      <c r="AA34">
        <v>-2.869437</v>
      </c>
      <c r="AB34" t="s">
        <v>2218</v>
      </c>
    </row>
    <row r="35" spans="1:28" x14ac:dyDescent="0.25">
      <c r="A35" t="s">
        <v>2244</v>
      </c>
      <c r="D35" t="s">
        <v>2218</v>
      </c>
      <c r="E35">
        <v>-1.1551</v>
      </c>
      <c r="F35">
        <v>-0.99932399999999999</v>
      </c>
      <c r="G35">
        <v>-6.0110039999999998</v>
      </c>
      <c r="H35">
        <v>8.225339</v>
      </c>
      <c r="I35">
        <v>2.8531490000000002</v>
      </c>
      <c r="J35">
        <v>12.114806</v>
      </c>
      <c r="K35">
        <v>7.4593999999999994E-2</v>
      </c>
      <c r="L35">
        <v>4.7952190000000003</v>
      </c>
      <c r="M35">
        <v>-3.7108219999999998</v>
      </c>
      <c r="N35">
        <v>-1.0451220000000001</v>
      </c>
      <c r="O35">
        <v>-8.6659550000000003</v>
      </c>
      <c r="P35">
        <v>2.0239419999999999</v>
      </c>
      <c r="Q35">
        <v>-1.1300330000000001</v>
      </c>
      <c r="R35">
        <v>-1.107901</v>
      </c>
      <c r="S35">
        <v>10.232594000000001</v>
      </c>
      <c r="T35">
        <v>4.3681559999999999</v>
      </c>
      <c r="U35">
        <v>-0.117409</v>
      </c>
      <c r="V35">
        <v>-1.3475820000000001</v>
      </c>
      <c r="W35">
        <v>-7.6267569999999996</v>
      </c>
      <c r="X35">
        <v>-0.23660500000000001</v>
      </c>
      <c r="Y35">
        <v>3.5602499999999999</v>
      </c>
      <c r="Z35">
        <v>11.067976</v>
      </c>
      <c r="AA35">
        <v>7.0858270000000001</v>
      </c>
      <c r="AB35">
        <v>-12.157479</v>
      </c>
    </row>
    <row r="36" spans="1:28" x14ac:dyDescent="0.25">
      <c r="A36" t="s">
        <v>2245</v>
      </c>
      <c r="D36" t="s">
        <v>2218</v>
      </c>
      <c r="E36">
        <v>5.6905789999999996</v>
      </c>
      <c r="F36">
        <v>-0.49551899999999999</v>
      </c>
      <c r="G36">
        <v>10.075939</v>
      </c>
      <c r="H36">
        <v>7.0029500000000002</v>
      </c>
      <c r="I36">
        <v>7.3353669999999997</v>
      </c>
      <c r="J36">
        <v>5.5721379999999998</v>
      </c>
      <c r="K36">
        <v>1.9584809999999999</v>
      </c>
      <c r="L36">
        <v>7.2587780000000004</v>
      </c>
      <c r="M36">
        <v>6.4544230000000002</v>
      </c>
      <c r="N36">
        <v>-3.147472</v>
      </c>
      <c r="O36">
        <v>4.277469</v>
      </c>
      <c r="P36">
        <v>3.6805599999999998</v>
      </c>
      <c r="Q36">
        <v>-1.255198</v>
      </c>
      <c r="R36">
        <v>6.9523419999999998</v>
      </c>
      <c r="S36">
        <v>-3.071075</v>
      </c>
      <c r="T36">
        <v>-3.357853</v>
      </c>
      <c r="U36">
        <v>1.572065</v>
      </c>
      <c r="V36">
        <v>-4.2552680000000001</v>
      </c>
      <c r="W36">
        <v>2.7032940000000001</v>
      </c>
      <c r="X36">
        <v>-0.22426099999999999</v>
      </c>
      <c r="Y36">
        <v>-3.3400319999999999</v>
      </c>
      <c r="Z36">
        <v>-5.8288779999999996</v>
      </c>
      <c r="AA36">
        <v>3.6213510000000002</v>
      </c>
      <c r="AB36">
        <v>-3.1903109999999999</v>
      </c>
    </row>
    <row r="37" spans="1:28" x14ac:dyDescent="0.25">
      <c r="A37" t="s">
        <v>2246</v>
      </c>
      <c r="D37" t="s">
        <v>2218</v>
      </c>
      <c r="E37">
        <v>36.993765000000003</v>
      </c>
      <c r="F37">
        <v>-17.039729000000001</v>
      </c>
      <c r="G37">
        <v>-5.934634</v>
      </c>
      <c r="H37">
        <v>31.46442</v>
      </c>
      <c r="I37">
        <v>-9.7180099999999996</v>
      </c>
      <c r="J37">
        <v>-23.455606</v>
      </c>
      <c r="K37">
        <v>33.065576</v>
      </c>
      <c r="L37">
        <v>32.092987000000001</v>
      </c>
      <c r="M37">
        <v>14.711516</v>
      </c>
      <c r="N37">
        <v>-13.883164000000001</v>
      </c>
      <c r="O37">
        <v>34.821140999999997</v>
      </c>
      <c r="P37">
        <v>20.771701</v>
      </c>
      <c r="Q37">
        <v>-4.8676130000000004</v>
      </c>
      <c r="R37">
        <v>-23.784513</v>
      </c>
      <c r="S37">
        <v>-0.30246499999999998</v>
      </c>
      <c r="T37">
        <v>11.064368999999999</v>
      </c>
      <c r="U37">
        <v>0.77067300000000005</v>
      </c>
      <c r="V37">
        <v>-6.1752710000000004</v>
      </c>
      <c r="W37">
        <v>4.8636759999999999</v>
      </c>
      <c r="X37">
        <v>-6.0843489999999996</v>
      </c>
      <c r="Y37">
        <v>-3.3251979999999999</v>
      </c>
      <c r="Z37">
        <v>-2.6670989999999999</v>
      </c>
      <c r="AA37">
        <v>-6.3107759999999997</v>
      </c>
      <c r="AB37">
        <v>3.5140600000000002</v>
      </c>
    </row>
    <row r="38" spans="1:28" x14ac:dyDescent="0.25">
      <c r="A38" t="s">
        <v>2247</v>
      </c>
      <c r="D38" t="s">
        <v>2218</v>
      </c>
      <c r="E38">
        <v>5.0160080000000002</v>
      </c>
      <c r="F38">
        <v>8.8297209999999993</v>
      </c>
      <c r="G38">
        <v>3.2191380000000001</v>
      </c>
      <c r="H38">
        <v>-1.215605</v>
      </c>
      <c r="I38">
        <v>8.0675150000000002</v>
      </c>
      <c r="J38">
        <v>-1.9361269999999999</v>
      </c>
      <c r="K38">
        <v>2.428169</v>
      </c>
      <c r="L38">
        <v>1.5585800000000001</v>
      </c>
      <c r="M38">
        <v>7.7792979999999998</v>
      </c>
      <c r="N38">
        <v>2.6802549999999998</v>
      </c>
      <c r="O38">
        <v>6.4351890000000003</v>
      </c>
      <c r="P38">
        <v>0.63773500000000005</v>
      </c>
      <c r="Q38">
        <v>5.8296000000000001</v>
      </c>
      <c r="R38">
        <v>-7.1095280000000001</v>
      </c>
      <c r="S38">
        <v>3.526052</v>
      </c>
      <c r="T38">
        <v>-1.373022</v>
      </c>
      <c r="U38">
        <v>-1.870571</v>
      </c>
      <c r="V38">
        <v>1.5816749999999999</v>
      </c>
      <c r="W38">
        <v>0.19598699999999999</v>
      </c>
      <c r="X38">
        <v>-4.9734489999999996</v>
      </c>
      <c r="Y38">
        <v>4.9015380000000004</v>
      </c>
      <c r="Z38">
        <v>5.1453199999999999</v>
      </c>
      <c r="AA38">
        <v>2.7145800000000002</v>
      </c>
      <c r="AB38">
        <v>-4.3519209999999999</v>
      </c>
    </row>
    <row r="39" spans="1:28" x14ac:dyDescent="0.25">
      <c r="A39" t="s">
        <v>2248</v>
      </c>
      <c r="D39" t="s">
        <v>2218</v>
      </c>
      <c r="E39">
        <v>2.5374650000000001</v>
      </c>
      <c r="F39">
        <v>0.46057500000000001</v>
      </c>
      <c r="G39">
        <v>0.67188999999999999</v>
      </c>
      <c r="H39">
        <v>2.003927</v>
      </c>
      <c r="I39">
        <v>2.5999219999999998</v>
      </c>
      <c r="J39">
        <v>4.3424699999999996</v>
      </c>
      <c r="K39">
        <v>3.0787209999999998</v>
      </c>
      <c r="L39">
        <v>-0.74139999999999995</v>
      </c>
      <c r="M39">
        <v>-0.168458</v>
      </c>
      <c r="N39">
        <v>0.91095199999999998</v>
      </c>
      <c r="O39">
        <v>-0.185636</v>
      </c>
      <c r="P39">
        <v>1.292281</v>
      </c>
      <c r="Q39">
        <v>7.2962889999999998</v>
      </c>
      <c r="R39">
        <v>-6.2799509999999996</v>
      </c>
      <c r="S39">
        <v>9.9414650000000009</v>
      </c>
      <c r="T39">
        <v>0.42313099999999998</v>
      </c>
      <c r="U39">
        <v>-1.954385</v>
      </c>
      <c r="V39">
        <v>-11.361386</v>
      </c>
      <c r="W39">
        <v>-0.35435699999999998</v>
      </c>
      <c r="X39">
        <v>-3.5132479999999999</v>
      </c>
      <c r="Y39">
        <v>6.7421949999999997</v>
      </c>
      <c r="Z39">
        <v>-2.0841630000000002</v>
      </c>
      <c r="AA39">
        <v>-5.3384070000000001</v>
      </c>
      <c r="AB39">
        <v>7.1948999999999999E-2</v>
      </c>
    </row>
    <row r="40" spans="1:28" x14ac:dyDescent="0.25">
      <c r="A40" t="s">
        <v>2249</v>
      </c>
      <c r="D40">
        <v>6.5338339999999997</v>
      </c>
      <c r="E40">
        <v>-0.78375899999999998</v>
      </c>
      <c r="F40">
        <v>1.660212</v>
      </c>
      <c r="G40">
        <v>-2.2953960000000002</v>
      </c>
      <c r="H40">
        <v>2.840144</v>
      </c>
      <c r="I40">
        <v>3.85486</v>
      </c>
      <c r="J40">
        <v>4.7093150000000001</v>
      </c>
      <c r="K40">
        <v>-4.2608870000000003</v>
      </c>
      <c r="L40">
        <v>-10.421898000000001</v>
      </c>
      <c r="M40">
        <v>9.7690800000000007</v>
      </c>
      <c r="N40">
        <v>2.0626250000000002</v>
      </c>
      <c r="O40">
        <v>-13.932637</v>
      </c>
      <c r="P40">
        <v>7.7435289999999997</v>
      </c>
      <c r="Q40">
        <v>-6.9121899999999998</v>
      </c>
      <c r="R40">
        <v>-3.851432</v>
      </c>
      <c r="S40">
        <v>2.8952629999999999</v>
      </c>
      <c r="T40">
        <v>-3.0088849999999998</v>
      </c>
      <c r="U40">
        <v>7.7570740000000002</v>
      </c>
      <c r="V40">
        <v>-7.2179200000000003</v>
      </c>
      <c r="W40">
        <v>5.9800000000000001E-3</v>
      </c>
      <c r="X40">
        <v>2.9602539999999999</v>
      </c>
      <c r="Y40">
        <v>-2.3131460000000001</v>
      </c>
      <c r="Z40">
        <v>-3.6296219999999999</v>
      </c>
      <c r="AA40">
        <v>-0.49104199999999998</v>
      </c>
      <c r="AB40">
        <v>1.619569</v>
      </c>
    </row>
    <row r="41" spans="1:28" x14ac:dyDescent="0.25">
      <c r="A41" t="s">
        <v>2250</v>
      </c>
      <c r="D41" t="s">
        <v>2218</v>
      </c>
      <c r="E41">
        <v>-5.230728</v>
      </c>
      <c r="F41">
        <v>2.0325989999999998</v>
      </c>
      <c r="G41">
        <v>-3.2738969999999998</v>
      </c>
      <c r="H41">
        <v>0.23022300000000001</v>
      </c>
      <c r="I41">
        <v>0.52093</v>
      </c>
      <c r="J41">
        <v>1.822724</v>
      </c>
      <c r="K41">
        <v>-12.062863999999999</v>
      </c>
      <c r="L41">
        <v>-8.7026199999999996</v>
      </c>
      <c r="M41">
        <v>-7.2249660000000002</v>
      </c>
      <c r="N41">
        <v>4.076028</v>
      </c>
      <c r="O41">
        <v>5.1933939999999996</v>
      </c>
      <c r="P41">
        <v>-0.15621099999999999</v>
      </c>
      <c r="Q41">
        <v>6.9651240000000003</v>
      </c>
      <c r="R41">
        <v>-8.5686859999999996</v>
      </c>
      <c r="S41">
        <v>-4.9962059999999999</v>
      </c>
      <c r="T41">
        <v>-9.6776070000000001</v>
      </c>
      <c r="U41">
        <v>3.626925</v>
      </c>
      <c r="V41">
        <v>0.85437399999999997</v>
      </c>
      <c r="W41">
        <v>-14.866066999999999</v>
      </c>
      <c r="X41">
        <v>-15.680925999999999</v>
      </c>
      <c r="Y41">
        <v>-15.67215</v>
      </c>
      <c r="Z41">
        <v>6.9259089999999999</v>
      </c>
      <c r="AA41">
        <v>8.3759180000000004</v>
      </c>
      <c r="AB41" t="s">
        <v>2218</v>
      </c>
    </row>
    <row r="42" spans="1:28" x14ac:dyDescent="0.25">
      <c r="A42" t="s">
        <v>2251</v>
      </c>
      <c r="D42">
        <v>8.4618079999999996</v>
      </c>
      <c r="E42">
        <v>3.8638780000000001</v>
      </c>
      <c r="F42">
        <v>-1.4778929999999999</v>
      </c>
      <c r="G42">
        <v>3.1638730000000002</v>
      </c>
      <c r="H42">
        <v>7.8345039999999999</v>
      </c>
      <c r="I42">
        <v>1.0105440000000001</v>
      </c>
      <c r="J42">
        <v>-1.975139</v>
      </c>
      <c r="K42">
        <v>3.7181229999999998</v>
      </c>
      <c r="L42">
        <v>2.2256550000000002</v>
      </c>
      <c r="M42">
        <v>1.6267320000000001</v>
      </c>
      <c r="N42">
        <v>-4.0677440000000002</v>
      </c>
      <c r="O42">
        <v>-6.0933780000000004</v>
      </c>
      <c r="P42">
        <v>-3.9448729999999999</v>
      </c>
      <c r="Q42">
        <v>-5.1601150000000002</v>
      </c>
      <c r="R42">
        <v>-4.1085019999999997</v>
      </c>
      <c r="S42">
        <v>-4.369326</v>
      </c>
      <c r="T42">
        <v>-10.762560000000001</v>
      </c>
      <c r="U42">
        <v>-9.8341709999999996</v>
      </c>
      <c r="V42">
        <v>-0.64873800000000004</v>
      </c>
      <c r="W42">
        <v>0.88552799999999998</v>
      </c>
      <c r="X42">
        <v>0.14414199999999999</v>
      </c>
      <c r="Y42">
        <v>5.1926990000000002</v>
      </c>
      <c r="Z42">
        <v>-1.3339099999999999</v>
      </c>
      <c r="AA42">
        <v>-5.6328050000000003</v>
      </c>
      <c r="AB42">
        <v>0.40523900000000002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-6.2337930000000004</v>
      </c>
      <c r="K43">
        <v>3.9686669999999999</v>
      </c>
      <c r="L43">
        <v>-4.2009090000000002</v>
      </c>
      <c r="M43">
        <v>3.4124219999999998</v>
      </c>
      <c r="N43">
        <v>-6.282222</v>
      </c>
      <c r="O43">
        <v>6.1704819999999998</v>
      </c>
      <c r="P43">
        <v>2.8726219999999998</v>
      </c>
      <c r="Q43">
        <v>-5.0044979999999999</v>
      </c>
      <c r="R43">
        <v>10.290607</v>
      </c>
      <c r="S43">
        <v>-3.8477290000000002</v>
      </c>
      <c r="T43">
        <v>0.13017400000000001</v>
      </c>
      <c r="U43">
        <v>0.97658100000000003</v>
      </c>
      <c r="V43">
        <v>-3.1459109999999999</v>
      </c>
      <c r="W43">
        <v>1.7823059999999999</v>
      </c>
      <c r="X43">
        <v>7.7833180000000004</v>
      </c>
      <c r="Y43">
        <v>2.947527</v>
      </c>
      <c r="Z43">
        <v>2.7188789999999998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5.1256630000000003</v>
      </c>
      <c r="F44">
        <v>-0.35805599999999999</v>
      </c>
      <c r="G44">
        <v>2.0729510000000002</v>
      </c>
      <c r="H44">
        <v>2.6778870000000001</v>
      </c>
      <c r="I44">
        <v>1.599316</v>
      </c>
      <c r="J44">
        <v>1.8169299999999999</v>
      </c>
      <c r="K44">
        <v>4.8104529999999999</v>
      </c>
      <c r="L44">
        <v>0.87217100000000003</v>
      </c>
      <c r="M44">
        <v>4.1634640000000003</v>
      </c>
      <c r="N44">
        <v>-1.7550479999999999</v>
      </c>
      <c r="O44">
        <v>-4.444534</v>
      </c>
      <c r="P44">
        <v>1.1905490000000001</v>
      </c>
      <c r="Q44">
        <v>1.9905550000000001</v>
      </c>
      <c r="R44">
        <v>-0.44491799999999998</v>
      </c>
      <c r="S44">
        <v>1.5073399999999999</v>
      </c>
      <c r="T44">
        <v>-5.2782429999999998</v>
      </c>
      <c r="U44">
        <v>3.3009279999999999</v>
      </c>
      <c r="V44">
        <v>-1.799418</v>
      </c>
      <c r="W44">
        <v>-1.833053</v>
      </c>
      <c r="X44">
        <v>-0.76985599999999998</v>
      </c>
      <c r="Y44">
        <v>2.0053839999999998</v>
      </c>
      <c r="Z44">
        <v>-0.15116399999999999</v>
      </c>
      <c r="AA44">
        <v>-2.145689</v>
      </c>
      <c r="AB44">
        <v>-2.4850850000000002</v>
      </c>
    </row>
    <row r="45" spans="1:28" x14ac:dyDescent="0.25">
      <c r="A45" t="s">
        <v>2254</v>
      </c>
      <c r="D45" t="s">
        <v>2218</v>
      </c>
      <c r="E45">
        <v>4.0572670000000004</v>
      </c>
      <c r="F45">
        <v>-0.35502499999999998</v>
      </c>
      <c r="G45">
        <v>2.717568</v>
      </c>
      <c r="H45">
        <v>5.063199</v>
      </c>
      <c r="I45">
        <v>3.5004089999999999</v>
      </c>
      <c r="J45">
        <v>3.2312780000000001</v>
      </c>
      <c r="K45">
        <v>3.795817</v>
      </c>
      <c r="L45">
        <v>2.2201979999999999</v>
      </c>
      <c r="M45">
        <v>2.125712</v>
      </c>
      <c r="N45">
        <v>-1.836652</v>
      </c>
      <c r="O45">
        <v>-4.8424170000000002</v>
      </c>
      <c r="P45">
        <v>1.597302</v>
      </c>
      <c r="Q45">
        <v>0.84468100000000002</v>
      </c>
      <c r="R45">
        <v>-0.56243500000000002</v>
      </c>
      <c r="S45">
        <v>1.7392860000000001</v>
      </c>
      <c r="T45">
        <v>-4.8444539999999998</v>
      </c>
      <c r="U45">
        <v>0.150173</v>
      </c>
      <c r="V45">
        <v>-2.2036730000000002</v>
      </c>
      <c r="W45">
        <v>-2.3915570000000002</v>
      </c>
      <c r="X45">
        <v>1.0436000000000001</v>
      </c>
      <c r="Y45">
        <v>2.760208</v>
      </c>
      <c r="Z45">
        <v>1.166606</v>
      </c>
      <c r="AA45">
        <v>-1.9227129999999999</v>
      </c>
      <c r="AB45">
        <v>-3.7280920000000002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-6.9818439999999997</v>
      </c>
      <c r="K46">
        <v>10.002039999999999</v>
      </c>
      <c r="L46">
        <v>0.65941899999999998</v>
      </c>
      <c r="M46">
        <v>-2.9821819999999999</v>
      </c>
      <c r="N46">
        <v>3.1524890000000001</v>
      </c>
      <c r="O46">
        <v>3.4912010000000002</v>
      </c>
      <c r="P46">
        <v>0.72725200000000001</v>
      </c>
      <c r="Q46">
        <v>-1.321898</v>
      </c>
      <c r="R46">
        <v>-2.1054249999999999</v>
      </c>
      <c r="S46">
        <v>4.0035850000000002</v>
      </c>
      <c r="T46">
        <v>-0.94640199999999997</v>
      </c>
      <c r="U46">
        <v>-1.6559820000000001</v>
      </c>
      <c r="V46">
        <v>-4.961436</v>
      </c>
      <c r="W46">
        <v>13.581931000000001</v>
      </c>
      <c r="X46">
        <v>5.9940850000000001</v>
      </c>
      <c r="Y46">
        <v>8.7764810000000004</v>
      </c>
      <c r="Z46">
        <v>0.79430800000000001</v>
      </c>
      <c r="AA46" t="s">
        <v>2218</v>
      </c>
      <c r="AB46" t="s">
        <v>2218</v>
      </c>
    </row>
    <row r="47" spans="1:28" x14ac:dyDescent="0.25">
      <c r="B47" t="s">
        <v>2257</v>
      </c>
      <c r="D47">
        <v>30.867186</v>
      </c>
      <c r="E47">
        <v>3.4338630000000001</v>
      </c>
      <c r="F47">
        <v>9.1558650000000004</v>
      </c>
      <c r="G47">
        <v>8.9424499999999991</v>
      </c>
      <c r="H47">
        <v>10.288788</v>
      </c>
      <c r="I47">
        <v>-3.370857</v>
      </c>
      <c r="J47">
        <v>-7.0687319999999998</v>
      </c>
      <c r="K47">
        <v>-9.8570270000000004</v>
      </c>
      <c r="L47">
        <v>0.25667499999999999</v>
      </c>
      <c r="M47">
        <v>-2.2999540000000001</v>
      </c>
      <c r="N47">
        <v>16.222261</v>
      </c>
      <c r="O47">
        <v>-4.7959519999999998</v>
      </c>
      <c r="P47">
        <v>11.321653</v>
      </c>
      <c r="Q47">
        <v>-21.028766999999998</v>
      </c>
      <c r="R47">
        <v>10.33822</v>
      </c>
      <c r="S47">
        <v>-29.009999000000001</v>
      </c>
      <c r="T47">
        <v>18.480387</v>
      </c>
      <c r="U47">
        <v>9.0706950000000006</v>
      </c>
      <c r="V47">
        <v>-16.149920999999999</v>
      </c>
      <c r="W47">
        <v>14.761359000000001</v>
      </c>
      <c r="X47">
        <v>20.380863999999999</v>
      </c>
      <c r="Y47">
        <v>-10.161287</v>
      </c>
      <c r="Z47">
        <v>23.553896999999999</v>
      </c>
      <c r="AA47">
        <v>11.606146000000001</v>
      </c>
      <c r="AB47" t="s">
        <v>2218</v>
      </c>
    </row>
    <row r="48" spans="1:28" x14ac:dyDescent="0.25">
      <c r="A48" t="s">
        <v>2258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2259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2260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2.8771520000000002</v>
      </c>
      <c r="E9">
        <v>-0.43718200000000002</v>
      </c>
      <c r="F9">
        <v>6.9254540000000002</v>
      </c>
      <c r="G9">
        <v>3.941735</v>
      </c>
      <c r="H9">
        <v>-5.2714670000000003</v>
      </c>
      <c r="I9">
        <v>6.8293350000000004</v>
      </c>
      <c r="J9">
        <v>2.9882339999999998</v>
      </c>
      <c r="K9">
        <v>4.0839239999999997</v>
      </c>
      <c r="L9">
        <v>1.1452279999999999</v>
      </c>
      <c r="M9">
        <v>1.662998</v>
      </c>
      <c r="N9">
        <v>-0.22101499999999999</v>
      </c>
      <c r="O9">
        <v>-0.56105300000000002</v>
      </c>
      <c r="P9">
        <v>1.894252</v>
      </c>
      <c r="Q9">
        <v>1.181449</v>
      </c>
      <c r="R9">
        <v>2.0002339999999998</v>
      </c>
      <c r="S9">
        <v>1.457994</v>
      </c>
      <c r="T9">
        <v>1.2122759999999999</v>
      </c>
      <c r="U9">
        <v>0.28928700000000002</v>
      </c>
      <c r="V9">
        <v>-2.5836929999999998</v>
      </c>
      <c r="W9">
        <v>-0.981908</v>
      </c>
      <c r="X9">
        <v>0.15959699999999999</v>
      </c>
      <c r="Y9">
        <v>0.57486700000000002</v>
      </c>
      <c r="Z9">
        <v>-4.0875870000000001</v>
      </c>
      <c r="AA9" t="s">
        <v>2218</v>
      </c>
      <c r="AB9" t="s">
        <v>2218</v>
      </c>
    </row>
    <row r="10" spans="1:28" x14ac:dyDescent="0.25">
      <c r="A10" t="s">
        <v>2219</v>
      </c>
      <c r="D10">
        <v>7.7054359999999997</v>
      </c>
      <c r="E10">
        <v>3.4930530000000002</v>
      </c>
      <c r="F10">
        <v>3.2924829999999998</v>
      </c>
      <c r="G10">
        <v>2.5955219999999999</v>
      </c>
      <c r="H10">
        <v>4.1634979999999997</v>
      </c>
      <c r="I10">
        <v>6.6321050000000001</v>
      </c>
      <c r="J10">
        <v>2.626684</v>
      </c>
      <c r="K10">
        <v>1.006394</v>
      </c>
      <c r="L10">
        <v>1.046575</v>
      </c>
      <c r="M10">
        <v>4.4327170000000002</v>
      </c>
      <c r="N10">
        <v>5.3714700000000004</v>
      </c>
      <c r="O10">
        <v>7.8151950000000001</v>
      </c>
      <c r="P10">
        <v>5.2846630000000001</v>
      </c>
      <c r="Q10">
        <v>0.33933799999999997</v>
      </c>
      <c r="R10">
        <v>-11.499369</v>
      </c>
      <c r="S10">
        <v>9.7249440000000007</v>
      </c>
      <c r="T10">
        <v>5.6981020000000004</v>
      </c>
      <c r="U10">
        <v>1.0504819999999999</v>
      </c>
      <c r="V10">
        <v>0.51842299999999997</v>
      </c>
      <c r="W10">
        <v>2.2928790000000001</v>
      </c>
      <c r="X10">
        <v>0.36558099999999999</v>
      </c>
      <c r="Y10">
        <v>4.0533530000000004</v>
      </c>
      <c r="Z10">
        <v>3.436715</v>
      </c>
      <c r="AA10">
        <v>2.2371750000000001</v>
      </c>
      <c r="AB10">
        <v>-0.99440499999999998</v>
      </c>
    </row>
    <row r="11" spans="1:28" x14ac:dyDescent="0.25">
      <c r="A11" t="s">
        <v>2220</v>
      </c>
      <c r="D11" t="s">
        <v>2218</v>
      </c>
      <c r="E11">
        <v>4.5149100000000004</v>
      </c>
      <c r="F11">
        <v>7.8118869999999996</v>
      </c>
      <c r="G11">
        <v>3.135033</v>
      </c>
      <c r="H11">
        <v>2.0082680000000002</v>
      </c>
      <c r="I11">
        <v>4.5629020000000002</v>
      </c>
      <c r="J11">
        <v>-0.32492700000000002</v>
      </c>
      <c r="K11">
        <v>3.9191850000000001</v>
      </c>
      <c r="L11">
        <v>2.9211870000000002</v>
      </c>
      <c r="M11">
        <v>7.1460030000000003</v>
      </c>
      <c r="N11">
        <v>3.5321210000000001</v>
      </c>
      <c r="O11">
        <v>-1.389192</v>
      </c>
      <c r="P11">
        <v>7.0057140000000002</v>
      </c>
      <c r="Q11">
        <v>-3.2596669999999999</v>
      </c>
      <c r="R11">
        <v>-3.8013119999999998</v>
      </c>
      <c r="S11">
        <v>9.6399779999999993</v>
      </c>
      <c r="T11">
        <v>-7.2425000000000003E-2</v>
      </c>
      <c r="U11">
        <v>-0.12742400000000001</v>
      </c>
      <c r="V11">
        <v>3.419362</v>
      </c>
      <c r="W11">
        <v>5.8146420000000001</v>
      </c>
      <c r="X11">
        <v>5.2693440000000002</v>
      </c>
      <c r="Y11">
        <v>-1.68215</v>
      </c>
      <c r="Z11">
        <v>2.1048100000000001</v>
      </c>
      <c r="AA11">
        <v>-1.641767</v>
      </c>
      <c r="AB11">
        <v>-1.4113450000000001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0.75635600000000003</v>
      </c>
      <c r="R12">
        <v>-6.6328760000000004</v>
      </c>
      <c r="S12">
        <v>4.6755469999999999</v>
      </c>
      <c r="T12">
        <v>2.6626759999999998</v>
      </c>
      <c r="U12">
        <v>1.601607</v>
      </c>
      <c r="V12">
        <v>1.4612750000000001</v>
      </c>
      <c r="W12">
        <v>3.6149520000000002</v>
      </c>
      <c r="X12">
        <v>2.494138</v>
      </c>
      <c r="Y12">
        <v>0.49321100000000001</v>
      </c>
      <c r="Z12">
        <v>1.3415790000000001</v>
      </c>
      <c r="AA12">
        <v>3.2953540000000001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>
        <v>0.69981700000000002</v>
      </c>
      <c r="U13">
        <v>0.852607</v>
      </c>
      <c r="V13">
        <v>1.4848539999999999</v>
      </c>
      <c r="W13">
        <v>-1.545053</v>
      </c>
      <c r="X13">
        <v>-6.2231000000000002E-2</v>
      </c>
      <c r="Y13">
        <v>0.58484000000000003</v>
      </c>
      <c r="Z13">
        <v>0.67246099999999998</v>
      </c>
      <c r="AA13">
        <v>6.6543729999999996</v>
      </c>
      <c r="AB13" t="s">
        <v>2218</v>
      </c>
    </row>
    <row r="14" spans="1:28" x14ac:dyDescent="0.25">
      <c r="A14" t="s">
        <v>2223</v>
      </c>
      <c r="D14">
        <v>15.179769</v>
      </c>
      <c r="E14">
        <v>5.9557779999999996</v>
      </c>
      <c r="F14">
        <v>2.772376</v>
      </c>
      <c r="G14">
        <v>2.9790160000000001</v>
      </c>
      <c r="H14">
        <v>11.764993</v>
      </c>
      <c r="I14">
        <v>11.506966</v>
      </c>
      <c r="J14">
        <v>3.7071670000000001</v>
      </c>
      <c r="K14">
        <v>4.1636829999999998</v>
      </c>
      <c r="L14">
        <v>4.896261</v>
      </c>
      <c r="M14">
        <v>7.548584</v>
      </c>
      <c r="N14">
        <v>12.384002000000001</v>
      </c>
      <c r="O14">
        <v>19.629625000000001</v>
      </c>
      <c r="P14">
        <v>3.7485560000000002</v>
      </c>
      <c r="Q14">
        <v>7.644393</v>
      </c>
      <c r="R14">
        <v>-4.6511290000000001</v>
      </c>
      <c r="S14">
        <v>14.854004</v>
      </c>
      <c r="T14">
        <v>6.2737889999999998</v>
      </c>
      <c r="U14">
        <v>-4.1645570000000003</v>
      </c>
      <c r="V14">
        <v>-2.5817839999999999</v>
      </c>
      <c r="W14">
        <v>4.8285150000000003</v>
      </c>
      <c r="X14">
        <v>1.629772</v>
      </c>
      <c r="Y14">
        <v>0.79484299999999997</v>
      </c>
      <c r="Z14">
        <v>9.1349119999999999</v>
      </c>
      <c r="AA14">
        <v>0.453179</v>
      </c>
      <c r="AB14">
        <v>1.134908</v>
      </c>
    </row>
    <row r="15" spans="1:28" x14ac:dyDescent="0.25">
      <c r="A15" t="s">
        <v>2224</v>
      </c>
      <c r="D15">
        <v>2.9970189999999999</v>
      </c>
      <c r="E15">
        <v>-2.4768949999999998</v>
      </c>
      <c r="F15">
        <v>10.248718</v>
      </c>
      <c r="G15">
        <v>2.778432</v>
      </c>
      <c r="H15">
        <v>3.7727729999999999</v>
      </c>
      <c r="I15">
        <v>5.1091240000000004</v>
      </c>
      <c r="J15">
        <v>1.0241629999999999</v>
      </c>
      <c r="K15">
        <v>0.20272200000000001</v>
      </c>
      <c r="L15">
        <v>1.3670690000000001</v>
      </c>
      <c r="M15">
        <v>6.1041400000000001</v>
      </c>
      <c r="N15">
        <v>0.18260399999999999</v>
      </c>
      <c r="O15">
        <v>5.7442029999999997</v>
      </c>
      <c r="P15">
        <v>-1.497398</v>
      </c>
      <c r="Q15">
        <v>-1.0805670000000001</v>
      </c>
      <c r="R15">
        <v>0.98409899999999995</v>
      </c>
      <c r="S15">
        <v>13.897588000000001</v>
      </c>
      <c r="T15">
        <v>6.3118030000000003</v>
      </c>
      <c r="U15">
        <v>6.1091129999999998</v>
      </c>
      <c r="V15">
        <v>4.6686839999999998</v>
      </c>
      <c r="W15">
        <v>0.83242000000000005</v>
      </c>
      <c r="X15">
        <v>-1.7578640000000001</v>
      </c>
      <c r="Y15">
        <v>4.7681259999999996</v>
      </c>
      <c r="Z15">
        <v>1.3926620000000001</v>
      </c>
      <c r="AA15">
        <v>3.5864820000000002</v>
      </c>
      <c r="AB15">
        <v>3.9299620000000002</v>
      </c>
    </row>
    <row r="16" spans="1:28" x14ac:dyDescent="0.25">
      <c r="A16" t="s">
        <v>2225</v>
      </c>
      <c r="D16" t="s">
        <v>2218</v>
      </c>
      <c r="E16">
        <v>5.6218510000000004</v>
      </c>
      <c r="F16">
        <v>33.148203000000002</v>
      </c>
      <c r="G16">
        <v>7.5482800000000001</v>
      </c>
      <c r="H16">
        <v>4.9281949999999997</v>
      </c>
      <c r="I16">
        <v>13.942669</v>
      </c>
      <c r="J16">
        <v>11.913045</v>
      </c>
      <c r="K16">
        <v>10.623074000000001</v>
      </c>
      <c r="L16">
        <v>4.2216889999999996</v>
      </c>
      <c r="M16">
        <v>0.45329900000000001</v>
      </c>
      <c r="N16">
        <v>8.5018159999999998</v>
      </c>
      <c r="O16">
        <v>14.462205000000001</v>
      </c>
      <c r="P16">
        <v>7.7431619999999999</v>
      </c>
      <c r="Q16">
        <v>-6.1536</v>
      </c>
      <c r="R16">
        <v>-8.0454399999999993</v>
      </c>
      <c r="S16">
        <v>26.637252</v>
      </c>
      <c r="T16">
        <v>2.046678</v>
      </c>
      <c r="U16">
        <v>5.5884</v>
      </c>
      <c r="V16">
        <v>1.82867</v>
      </c>
      <c r="W16">
        <v>8.1098920000000003</v>
      </c>
      <c r="X16">
        <v>-3.2606920000000001</v>
      </c>
      <c r="Y16">
        <v>1.378728</v>
      </c>
      <c r="Z16">
        <v>0.60986200000000002</v>
      </c>
      <c r="AA16">
        <v>8.4308320000000005</v>
      </c>
      <c r="AB16">
        <v>6.1357369999999998</v>
      </c>
    </row>
    <row r="17" spans="1:28" x14ac:dyDescent="0.25">
      <c r="A17" t="s">
        <v>2226</v>
      </c>
      <c r="D17">
        <v>2.0992190000000002</v>
      </c>
      <c r="E17">
        <v>2.9627159999999999</v>
      </c>
      <c r="F17">
        <v>6.312201</v>
      </c>
      <c r="G17">
        <v>7.3205900000000002</v>
      </c>
      <c r="H17">
        <v>7.3872499999999999</v>
      </c>
      <c r="I17">
        <v>12.023002</v>
      </c>
      <c r="J17">
        <v>2.732008</v>
      </c>
      <c r="K17">
        <v>5.5311389999999996</v>
      </c>
      <c r="L17">
        <v>5.7986190000000004</v>
      </c>
      <c r="M17">
        <v>7.6712759999999998</v>
      </c>
      <c r="N17">
        <v>3.6146210000000001</v>
      </c>
      <c r="O17">
        <v>10.597878</v>
      </c>
      <c r="P17">
        <v>8.8307450000000003</v>
      </c>
      <c r="Q17">
        <v>-3.9358439999999999</v>
      </c>
      <c r="R17">
        <v>-14.666509</v>
      </c>
      <c r="S17">
        <v>12.793638</v>
      </c>
      <c r="T17">
        <v>-1.058548</v>
      </c>
      <c r="U17">
        <v>-11.247674999999999</v>
      </c>
      <c r="V17">
        <v>4.6544480000000004</v>
      </c>
      <c r="W17">
        <v>1.9834339999999999</v>
      </c>
      <c r="X17">
        <v>1.9340090000000001</v>
      </c>
      <c r="Y17">
        <v>6.4245489999999998</v>
      </c>
      <c r="Z17">
        <v>8.2419849999999997</v>
      </c>
      <c r="AA17">
        <v>-1.9638800000000001</v>
      </c>
      <c r="AB17">
        <v>3.6655899999999999</v>
      </c>
    </row>
    <row r="18" spans="1:28" x14ac:dyDescent="0.25">
      <c r="A18" t="s">
        <v>2227</v>
      </c>
      <c r="D18">
        <v>3.8814259999999998</v>
      </c>
      <c r="E18">
        <v>1.9720800000000001</v>
      </c>
      <c r="F18">
        <v>5.272113</v>
      </c>
      <c r="G18">
        <v>5.3070500000000003</v>
      </c>
      <c r="H18">
        <v>4.2195280000000004</v>
      </c>
      <c r="I18">
        <v>4.6544930000000004</v>
      </c>
      <c r="J18">
        <v>0.54619499999999999</v>
      </c>
      <c r="K18">
        <v>1.630609</v>
      </c>
      <c r="L18">
        <v>4.4428960000000002</v>
      </c>
      <c r="M18">
        <v>5.9170350000000003</v>
      </c>
      <c r="N18">
        <v>3.9002780000000001</v>
      </c>
      <c r="O18">
        <v>4.6100399999999997</v>
      </c>
      <c r="P18">
        <v>3.1130680000000002</v>
      </c>
      <c r="Q18">
        <v>-2.0926450000000001</v>
      </c>
      <c r="R18">
        <v>-0.80625999999999998</v>
      </c>
      <c r="S18">
        <v>7.2686909999999996</v>
      </c>
      <c r="T18">
        <v>4.6930019999999999</v>
      </c>
      <c r="U18">
        <v>0.30863000000000002</v>
      </c>
      <c r="V18">
        <v>1.121108</v>
      </c>
      <c r="W18">
        <v>2.114379</v>
      </c>
      <c r="X18">
        <v>2.7581899999999999</v>
      </c>
      <c r="Y18">
        <v>1.441948</v>
      </c>
      <c r="Z18">
        <v>1.610533</v>
      </c>
      <c r="AA18">
        <v>-3.7192999999999997E-2</v>
      </c>
      <c r="AB18">
        <v>0.82592299999999996</v>
      </c>
    </row>
    <row r="19" spans="1:28" x14ac:dyDescent="0.25">
      <c r="A19" t="s">
        <v>2228</v>
      </c>
      <c r="D19">
        <v>1.8969560000000001</v>
      </c>
      <c r="E19">
        <v>-0.25545400000000001</v>
      </c>
      <c r="F19">
        <v>5.6677559999999998</v>
      </c>
      <c r="G19">
        <v>0.33554299999999998</v>
      </c>
      <c r="H19">
        <v>1.328584</v>
      </c>
      <c r="I19">
        <v>5.952502</v>
      </c>
      <c r="J19">
        <v>1.171387</v>
      </c>
      <c r="K19">
        <v>-0.27341599999999999</v>
      </c>
      <c r="L19">
        <v>3.7495500000000002</v>
      </c>
      <c r="M19">
        <v>5.2614000000000001</v>
      </c>
      <c r="N19">
        <v>3.423305</v>
      </c>
      <c r="O19">
        <v>9.8311799999999998</v>
      </c>
      <c r="P19">
        <v>2.6597149999999998</v>
      </c>
      <c r="Q19">
        <v>-4.514812</v>
      </c>
      <c r="R19">
        <v>-17.304466000000001</v>
      </c>
      <c r="S19">
        <v>21.386322</v>
      </c>
      <c r="T19">
        <v>6.1835209999999998</v>
      </c>
      <c r="U19">
        <v>-3.4822489999999999</v>
      </c>
      <c r="V19">
        <v>-0.38610699999999998</v>
      </c>
      <c r="W19">
        <v>4.3715609999999998</v>
      </c>
      <c r="X19">
        <v>0.58589000000000002</v>
      </c>
      <c r="Y19">
        <v>3.84571</v>
      </c>
      <c r="Z19">
        <v>2.2609520000000001</v>
      </c>
      <c r="AA19">
        <v>-0.231436</v>
      </c>
      <c r="AB19">
        <v>-4.1779580000000003</v>
      </c>
    </row>
    <row r="20" spans="1:28" x14ac:dyDescent="0.25">
      <c r="A20" t="s">
        <v>2229</v>
      </c>
      <c r="D20" t="s">
        <v>2218</v>
      </c>
      <c r="E20">
        <v>-4.6603380000000003</v>
      </c>
      <c r="F20">
        <v>3.8889990000000001</v>
      </c>
      <c r="G20">
        <v>1.1687890000000001</v>
      </c>
      <c r="H20">
        <v>11.016985</v>
      </c>
      <c r="I20">
        <v>4.8482250000000002</v>
      </c>
      <c r="J20">
        <v>5.494402</v>
      </c>
      <c r="K20">
        <v>4.8269359999999999</v>
      </c>
      <c r="L20">
        <v>4.1193580000000001</v>
      </c>
      <c r="M20">
        <v>-2.4847480000000002</v>
      </c>
      <c r="N20">
        <v>-2.1173310000000001</v>
      </c>
      <c r="O20">
        <v>-0.50706600000000002</v>
      </c>
      <c r="P20">
        <v>5.2808099999999998</v>
      </c>
      <c r="Q20">
        <v>-10.015307</v>
      </c>
      <c r="R20">
        <v>-0.53947800000000001</v>
      </c>
      <c r="S20">
        <v>-4.3124380000000002</v>
      </c>
      <c r="T20">
        <v>2.7638370000000001</v>
      </c>
      <c r="U20">
        <v>0.92425400000000002</v>
      </c>
      <c r="V20">
        <v>6.2369060000000003</v>
      </c>
      <c r="W20">
        <v>0.92443399999999998</v>
      </c>
      <c r="X20">
        <v>-4.766769</v>
      </c>
      <c r="Y20">
        <v>6.9853810000000003</v>
      </c>
      <c r="Z20">
        <v>0.19930600000000001</v>
      </c>
      <c r="AA20">
        <v>1.8299160000000001</v>
      </c>
      <c r="AB20">
        <v>-4.2968669999999998</v>
      </c>
    </row>
    <row r="21" spans="1:28" x14ac:dyDescent="0.25">
      <c r="A21" t="s">
        <v>2230</v>
      </c>
      <c r="D21" t="s">
        <v>2218</v>
      </c>
      <c r="E21">
        <v>3.8177120000000002</v>
      </c>
      <c r="F21">
        <v>11.634315000000001</v>
      </c>
      <c r="G21">
        <v>4.8240869999999996</v>
      </c>
      <c r="H21">
        <v>3.7697940000000001</v>
      </c>
      <c r="I21">
        <v>4.3828310000000004</v>
      </c>
      <c r="J21">
        <v>4.1214959999999996</v>
      </c>
      <c r="K21">
        <v>7.4881650000000004</v>
      </c>
      <c r="L21">
        <v>9.7074829999999999</v>
      </c>
      <c r="M21">
        <v>12.9604</v>
      </c>
      <c r="N21">
        <v>7.0863800000000001</v>
      </c>
      <c r="O21">
        <v>7.2724830000000003</v>
      </c>
      <c r="P21">
        <v>7.6660269999999997</v>
      </c>
      <c r="Q21">
        <v>-0.80897399999999997</v>
      </c>
      <c r="R21">
        <v>-9.8550740000000001</v>
      </c>
      <c r="S21">
        <v>13.009081</v>
      </c>
      <c r="T21">
        <v>0.65336000000000005</v>
      </c>
      <c r="U21">
        <v>-3.8160259999999999</v>
      </c>
      <c r="V21">
        <v>0.72032200000000002</v>
      </c>
      <c r="W21">
        <v>5.1899040000000003</v>
      </c>
      <c r="X21">
        <v>9.1658620000000006</v>
      </c>
      <c r="Y21">
        <v>-4.1167389999999999</v>
      </c>
      <c r="Z21">
        <v>1.3011999999999999E-2</v>
      </c>
      <c r="AA21">
        <v>-3.1800769999999998</v>
      </c>
      <c r="AB21">
        <v>4.51973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4.1586340000000002</v>
      </c>
      <c r="S22">
        <v>1.786292</v>
      </c>
      <c r="T22">
        <v>4.6550060000000002</v>
      </c>
      <c r="U22">
        <v>0.297068</v>
      </c>
      <c r="V22">
        <v>3.8885269999999998</v>
      </c>
      <c r="W22">
        <v>0.94925499999999996</v>
      </c>
      <c r="X22">
        <v>4.8263480000000003</v>
      </c>
      <c r="Y22">
        <v>-3.5537269999999999</v>
      </c>
      <c r="Z22">
        <v>1.3445940000000001</v>
      </c>
      <c r="AA22">
        <v>0.92693499999999995</v>
      </c>
      <c r="AB22">
        <v>3.9679389999999999</v>
      </c>
    </row>
    <row r="23" spans="1:28" x14ac:dyDescent="0.25">
      <c r="A23" t="s">
        <v>2232</v>
      </c>
      <c r="D23" t="s">
        <v>2218</v>
      </c>
      <c r="E23">
        <v>5.163144</v>
      </c>
      <c r="F23">
        <v>9.1418160000000004</v>
      </c>
      <c r="G23">
        <v>10.764462999999999</v>
      </c>
      <c r="H23">
        <v>10.839183999999999</v>
      </c>
      <c r="I23">
        <v>12.125246000000001</v>
      </c>
      <c r="J23">
        <v>4.9030339999999999</v>
      </c>
      <c r="K23">
        <v>16.540444999999998</v>
      </c>
      <c r="L23">
        <v>1.8951720000000001</v>
      </c>
      <c r="M23">
        <v>1.4159790000000001</v>
      </c>
      <c r="N23">
        <v>7.9843729999999997</v>
      </c>
      <c r="O23">
        <v>2.2767140000000001</v>
      </c>
      <c r="P23">
        <v>5.6701639999999998</v>
      </c>
      <c r="Q23">
        <v>-5.9460360000000003</v>
      </c>
      <c r="R23">
        <v>4.9991640000000004</v>
      </c>
      <c r="S23">
        <v>23.44115</v>
      </c>
      <c r="T23">
        <v>5.7567469999999998</v>
      </c>
      <c r="U23">
        <v>-6.9586999999999996E-2</v>
      </c>
      <c r="V23">
        <v>-7.9376709999999999</v>
      </c>
      <c r="W23">
        <v>9.2031320000000001</v>
      </c>
      <c r="X23">
        <v>81.716926999999998</v>
      </c>
      <c r="Y23">
        <v>-2.324732</v>
      </c>
      <c r="Z23">
        <v>6.0798949999999996</v>
      </c>
      <c r="AA23">
        <v>11.103363</v>
      </c>
      <c r="AB23">
        <v>1.147543</v>
      </c>
    </row>
    <row r="24" spans="1:28" x14ac:dyDescent="0.25">
      <c r="A24" t="s">
        <v>2233</v>
      </c>
      <c r="D24" t="s">
        <v>2218</v>
      </c>
      <c r="E24">
        <v>6.1114959999999998</v>
      </c>
      <c r="F24">
        <v>7.7341689999999996</v>
      </c>
      <c r="G24">
        <v>7.0428730000000002</v>
      </c>
      <c r="H24">
        <v>6.2807380000000004</v>
      </c>
      <c r="I24">
        <v>11.600256999999999</v>
      </c>
      <c r="J24">
        <v>-2.5385260000000001</v>
      </c>
      <c r="K24">
        <v>-0.87010799999999999</v>
      </c>
      <c r="L24">
        <v>9.2871179999999995</v>
      </c>
      <c r="M24">
        <v>-0.29535400000000001</v>
      </c>
      <c r="N24">
        <v>4.7786999999999997</v>
      </c>
      <c r="O24">
        <v>2.2521659999999999</v>
      </c>
      <c r="P24">
        <v>1.748734</v>
      </c>
      <c r="Q24">
        <v>-5.7733549999999996</v>
      </c>
      <c r="R24">
        <v>-4.6604010000000002</v>
      </c>
      <c r="S24">
        <v>13.791247</v>
      </c>
      <c r="T24">
        <v>-2.1770269999999998</v>
      </c>
      <c r="U24">
        <v>-5.3899999999999998E-4</v>
      </c>
      <c r="V24">
        <v>-2.6581269999999999</v>
      </c>
      <c r="W24">
        <v>5.1917549999999997</v>
      </c>
      <c r="X24">
        <v>-1.754445</v>
      </c>
      <c r="Y24">
        <v>-5.83826</v>
      </c>
      <c r="Z24">
        <v>2.043933</v>
      </c>
      <c r="AA24">
        <v>1.794008</v>
      </c>
      <c r="AB24" t="s">
        <v>2218</v>
      </c>
    </row>
    <row r="25" spans="1:28" x14ac:dyDescent="0.25">
      <c r="A25" t="s">
        <v>2234</v>
      </c>
      <c r="D25">
        <v>5.5181180000000003</v>
      </c>
      <c r="E25">
        <v>0.91293100000000005</v>
      </c>
      <c r="F25">
        <v>1.4661999999999999</v>
      </c>
      <c r="G25">
        <v>-0.47787200000000002</v>
      </c>
      <c r="H25">
        <v>0.98186899999999999</v>
      </c>
      <c r="I25">
        <v>3.642401</v>
      </c>
      <c r="J25">
        <v>-0.249607</v>
      </c>
      <c r="K25">
        <v>-0.56361099999999997</v>
      </c>
      <c r="L25">
        <v>-2.6174430000000002</v>
      </c>
      <c r="M25">
        <v>2.7319749999999998</v>
      </c>
      <c r="N25">
        <v>1.567153</v>
      </c>
      <c r="O25">
        <v>3.5306510000000002</v>
      </c>
      <c r="P25">
        <v>2.5184739999999999</v>
      </c>
      <c r="Q25">
        <v>-2.252459</v>
      </c>
      <c r="R25">
        <v>-14.283585</v>
      </c>
      <c r="S25">
        <v>13.6791</v>
      </c>
      <c r="T25">
        <v>2.3734850000000001</v>
      </c>
      <c r="U25">
        <v>-2.1619760000000001</v>
      </c>
      <c r="V25">
        <v>1.568052</v>
      </c>
      <c r="W25">
        <v>2.1186229999999999</v>
      </c>
      <c r="X25">
        <v>3.4901939999999998</v>
      </c>
      <c r="Y25">
        <v>2.0840999999999998</v>
      </c>
      <c r="Z25">
        <v>2.8212480000000002</v>
      </c>
      <c r="AA25">
        <v>1.2310449999999999</v>
      </c>
      <c r="AB25">
        <v>-0.78071100000000004</v>
      </c>
    </row>
    <row r="26" spans="1:28" x14ac:dyDescent="0.25">
      <c r="A26" t="s">
        <v>2235</v>
      </c>
      <c r="D26">
        <v>7.7903659999999997</v>
      </c>
      <c r="E26">
        <v>5.729171</v>
      </c>
      <c r="F26">
        <v>2.5988519999999999</v>
      </c>
      <c r="G26">
        <v>0.19386600000000001</v>
      </c>
      <c r="H26">
        <v>2.1999979999999999</v>
      </c>
      <c r="I26">
        <v>7.7379040000000003</v>
      </c>
      <c r="J26">
        <v>-2.8259400000000001</v>
      </c>
      <c r="K26">
        <v>3.310746</v>
      </c>
      <c r="L26">
        <v>6.3410900000000003</v>
      </c>
      <c r="M26">
        <v>7.2004799999999998</v>
      </c>
      <c r="N26">
        <v>7.1725649999999996</v>
      </c>
      <c r="O26">
        <v>1.273185</v>
      </c>
      <c r="P26">
        <v>3.4546070000000002</v>
      </c>
      <c r="Q26">
        <v>0.30500100000000002</v>
      </c>
      <c r="R26">
        <v>-13.582815999999999</v>
      </c>
      <c r="S26">
        <v>17.383655999999998</v>
      </c>
      <c r="T26">
        <v>-1.88124</v>
      </c>
      <c r="U26">
        <v>3.9959570000000002</v>
      </c>
      <c r="V26">
        <v>2.1307969999999998</v>
      </c>
      <c r="W26">
        <v>2.9633919999999998</v>
      </c>
      <c r="X26">
        <v>4.867826</v>
      </c>
      <c r="Y26">
        <v>-0.64474100000000001</v>
      </c>
      <c r="Z26">
        <v>3.8216350000000001</v>
      </c>
      <c r="AA26">
        <v>0.39482099999999998</v>
      </c>
      <c r="AB26" t="s">
        <v>2218</v>
      </c>
    </row>
    <row r="27" spans="1:28" x14ac:dyDescent="0.25">
      <c r="A27" t="s">
        <v>2236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6.9214209999999996</v>
      </c>
      <c r="O27">
        <v>9.4052070000000008</v>
      </c>
      <c r="P27">
        <v>8.8164789999999993</v>
      </c>
      <c r="Q27">
        <v>4.554449</v>
      </c>
      <c r="R27">
        <v>0.97574399999999994</v>
      </c>
      <c r="S27">
        <v>7.9970369999999997</v>
      </c>
      <c r="T27">
        <v>3.2672439999999998</v>
      </c>
      <c r="U27">
        <v>1.061326</v>
      </c>
      <c r="V27">
        <v>1.361157</v>
      </c>
      <c r="W27">
        <v>-0.34011999999999998</v>
      </c>
      <c r="X27">
        <v>-1.541685</v>
      </c>
      <c r="Y27">
        <v>2.7653180000000002</v>
      </c>
      <c r="Z27">
        <v>4.1148290000000003</v>
      </c>
      <c r="AA27">
        <v>4.655856</v>
      </c>
      <c r="AB27" t="s">
        <v>2218</v>
      </c>
    </row>
    <row r="28" spans="1:28" x14ac:dyDescent="0.25">
      <c r="A28" t="s">
        <v>2237</v>
      </c>
      <c r="D28" t="s">
        <v>2218</v>
      </c>
      <c r="E28">
        <v>3.1617890000000002</v>
      </c>
      <c r="F28">
        <v>11.685756</v>
      </c>
      <c r="G28">
        <v>5.3299909999999997</v>
      </c>
      <c r="H28">
        <v>-2.3139400000000001</v>
      </c>
      <c r="I28">
        <v>10.538686999999999</v>
      </c>
      <c r="J28">
        <v>2.5267840000000001</v>
      </c>
      <c r="K28">
        <v>7.4879360000000004</v>
      </c>
      <c r="L28">
        <v>0.89987700000000004</v>
      </c>
      <c r="M28">
        <v>9.0879119999999993</v>
      </c>
      <c r="N28">
        <v>6.3472840000000001</v>
      </c>
      <c r="O28">
        <v>6.6714190000000002</v>
      </c>
      <c r="P28">
        <v>1.9596899999999999</v>
      </c>
      <c r="Q28">
        <v>-5.1711650000000002</v>
      </c>
      <c r="R28">
        <v>0.650204</v>
      </c>
      <c r="S28">
        <v>14.955712</v>
      </c>
      <c r="T28">
        <v>2.0230070000000002</v>
      </c>
      <c r="U28">
        <v>-0.67301200000000005</v>
      </c>
      <c r="V28">
        <v>-1.748321</v>
      </c>
      <c r="W28">
        <v>4.741714</v>
      </c>
      <c r="X28">
        <v>2.3060659999999999</v>
      </c>
      <c r="Y28">
        <v>2.2356280000000002</v>
      </c>
      <c r="Z28">
        <v>6.8602670000000003</v>
      </c>
      <c r="AA28">
        <v>1.650901</v>
      </c>
      <c r="AB28">
        <v>1.5516190000000001</v>
      </c>
    </row>
    <row r="29" spans="1:28" x14ac:dyDescent="0.25">
      <c r="A29" t="s">
        <v>2238</v>
      </c>
      <c r="D29" t="s">
        <v>2218</v>
      </c>
      <c r="E29">
        <v>4.0277089999999998</v>
      </c>
      <c r="F29">
        <v>8.4570819999999998</v>
      </c>
      <c r="G29">
        <v>13.879875</v>
      </c>
      <c r="H29">
        <v>-0.87532900000000002</v>
      </c>
      <c r="I29">
        <v>17.399101999999999</v>
      </c>
      <c r="J29">
        <v>19.500439</v>
      </c>
      <c r="K29">
        <v>-2.3822160000000001</v>
      </c>
      <c r="L29">
        <v>11.324268999999999</v>
      </c>
      <c r="M29">
        <v>17.026792</v>
      </c>
      <c r="N29">
        <v>3.999444</v>
      </c>
      <c r="O29">
        <v>13.861746999999999</v>
      </c>
      <c r="P29">
        <v>5.8469230000000003</v>
      </c>
      <c r="Q29">
        <v>2.1019169999999998</v>
      </c>
      <c r="R29">
        <v>-2.0284089999999999</v>
      </c>
      <c r="S29">
        <v>18.425930999999999</v>
      </c>
      <c r="T29">
        <v>8.359496</v>
      </c>
      <c r="U29">
        <v>2.1713140000000002</v>
      </c>
      <c r="V29">
        <v>5.0761310000000002</v>
      </c>
      <c r="W29">
        <v>4.799995</v>
      </c>
      <c r="X29">
        <v>0.91132500000000005</v>
      </c>
      <c r="Y29">
        <v>-0.47596699999999997</v>
      </c>
      <c r="Z29">
        <v>6.4152120000000004</v>
      </c>
      <c r="AA29">
        <v>-0.367898</v>
      </c>
      <c r="AB29">
        <v>2.7416559999999999</v>
      </c>
    </row>
    <row r="30" spans="1:28" x14ac:dyDescent="0.25">
      <c r="A30" t="s">
        <v>2239</v>
      </c>
      <c r="D30" t="s">
        <v>2218</v>
      </c>
      <c r="E30">
        <v>-0.95953100000000002</v>
      </c>
      <c r="F30">
        <v>3.3393989999999998</v>
      </c>
      <c r="G30">
        <v>-6.8645999999999999E-2</v>
      </c>
      <c r="H30">
        <v>6.9096479999999998</v>
      </c>
      <c r="I30">
        <v>5.0803599999999998</v>
      </c>
      <c r="J30">
        <v>-6.144863</v>
      </c>
      <c r="K30">
        <v>6.3285260000000001</v>
      </c>
      <c r="L30">
        <v>7.4694880000000001</v>
      </c>
      <c r="M30">
        <v>-0.73835600000000001</v>
      </c>
      <c r="N30">
        <v>-1.3583510000000001</v>
      </c>
      <c r="O30">
        <v>-11.995574</v>
      </c>
      <c r="P30">
        <v>18.560400000000001</v>
      </c>
      <c r="Q30">
        <v>-23.222078</v>
      </c>
      <c r="R30">
        <v>-18.469311999999999</v>
      </c>
      <c r="S30">
        <v>10.800618999999999</v>
      </c>
      <c r="T30">
        <v>-12.951890000000001</v>
      </c>
      <c r="U30">
        <v>5.7141489999999999</v>
      </c>
      <c r="V30">
        <v>15.105316999999999</v>
      </c>
      <c r="W30">
        <v>-7.79786</v>
      </c>
      <c r="X30">
        <v>13.699719999999999</v>
      </c>
      <c r="Y30">
        <v>16.378264999999999</v>
      </c>
      <c r="Z30">
        <v>-1.7539070000000001</v>
      </c>
      <c r="AA30">
        <v>-2.1864020000000002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0.85936199999999996</v>
      </c>
      <c r="U31">
        <v>2.50305</v>
      </c>
      <c r="V31">
        <v>-2.2611080000000001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3.2533370000000001</v>
      </c>
      <c r="F32">
        <v>1.0915870000000001</v>
      </c>
      <c r="G32">
        <v>4.03287</v>
      </c>
      <c r="H32">
        <v>4.010078</v>
      </c>
      <c r="I32">
        <v>5.0798560000000004</v>
      </c>
      <c r="J32">
        <v>2.7594859999999999</v>
      </c>
      <c r="K32">
        <v>1.8239540000000001</v>
      </c>
      <c r="L32">
        <v>2.3614570000000001</v>
      </c>
      <c r="M32">
        <v>7.3417669999999999</v>
      </c>
      <c r="N32">
        <v>5.175859</v>
      </c>
      <c r="O32">
        <v>3.0169950000000001</v>
      </c>
      <c r="P32">
        <v>5.6960350000000002</v>
      </c>
      <c r="Q32">
        <v>-0.96264799999999995</v>
      </c>
      <c r="R32">
        <v>-7.4369680000000002</v>
      </c>
      <c r="S32">
        <v>7.4768869999999996</v>
      </c>
      <c r="T32">
        <v>5.3218269999999999</v>
      </c>
      <c r="U32">
        <v>0.20800399999999999</v>
      </c>
      <c r="V32">
        <v>0.88091799999999998</v>
      </c>
      <c r="W32">
        <v>3.0541640000000001</v>
      </c>
      <c r="X32">
        <v>0.58178700000000005</v>
      </c>
      <c r="Y32">
        <v>1.6172390000000001</v>
      </c>
      <c r="Z32">
        <v>5.1204850000000004</v>
      </c>
      <c r="AA32">
        <v>2.6629510000000001</v>
      </c>
      <c r="AB32">
        <v>-1.2460469999999999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-1.4173979999999999</v>
      </c>
      <c r="U33">
        <v>4.2133700000000003</v>
      </c>
      <c r="V33">
        <v>-0.61498600000000003</v>
      </c>
      <c r="W33">
        <v>0.122284</v>
      </c>
      <c r="X33">
        <v>0.36668499999999998</v>
      </c>
      <c r="Y33">
        <v>6.0764399999999998</v>
      </c>
      <c r="Z33">
        <v>1.2588429999999999</v>
      </c>
      <c r="AA33">
        <v>3.5022790000000001</v>
      </c>
      <c r="AB33" t="s">
        <v>2218</v>
      </c>
    </row>
    <row r="34" spans="1:28" x14ac:dyDescent="0.25">
      <c r="A34" t="s">
        <v>2243</v>
      </c>
      <c r="D34">
        <v>-2.2735910000000001</v>
      </c>
      <c r="E34">
        <v>2.9057810000000002</v>
      </c>
      <c r="F34">
        <v>0.53354699999999999</v>
      </c>
      <c r="G34">
        <v>-2.7638060000000002</v>
      </c>
      <c r="H34">
        <v>4.3926720000000001</v>
      </c>
      <c r="I34">
        <v>2.6212260000000001</v>
      </c>
      <c r="J34">
        <v>3.3621470000000002</v>
      </c>
      <c r="K34">
        <v>2.046837</v>
      </c>
      <c r="L34">
        <v>9.0729349999999993</v>
      </c>
      <c r="M34">
        <v>9.9656629999999993</v>
      </c>
      <c r="N34">
        <v>3.3860950000000001</v>
      </c>
      <c r="O34">
        <v>-3.0395850000000002</v>
      </c>
      <c r="P34">
        <v>1.9156610000000001</v>
      </c>
      <c r="Q34">
        <v>1.8892070000000001</v>
      </c>
      <c r="R34">
        <v>-3.1013760000000001</v>
      </c>
      <c r="S34">
        <v>6.1931050000000001</v>
      </c>
      <c r="T34">
        <v>2.1948099999999999</v>
      </c>
      <c r="U34">
        <v>1.2182409999999999</v>
      </c>
      <c r="V34">
        <v>2.0451090000000001</v>
      </c>
      <c r="W34">
        <v>3.000597</v>
      </c>
      <c r="X34">
        <v>-1.7271019999999999</v>
      </c>
      <c r="Y34">
        <v>0.13547999999999999</v>
      </c>
      <c r="Z34">
        <v>2.1884769999999998</v>
      </c>
      <c r="AA34">
        <v>-0.49707800000000002</v>
      </c>
      <c r="AB34" t="s">
        <v>2218</v>
      </c>
    </row>
    <row r="35" spans="1:28" x14ac:dyDescent="0.25">
      <c r="A35" t="s">
        <v>2244</v>
      </c>
      <c r="D35" t="s">
        <v>2218</v>
      </c>
      <c r="E35">
        <v>-2.0139260000000001</v>
      </c>
      <c r="F35">
        <v>-1.280349</v>
      </c>
      <c r="G35">
        <v>-0.36721500000000001</v>
      </c>
      <c r="H35">
        <v>8.0910639999999994</v>
      </c>
      <c r="I35">
        <v>4.6435510000000004</v>
      </c>
      <c r="J35">
        <v>1.8049269999999999</v>
      </c>
      <c r="K35">
        <v>12.699261</v>
      </c>
      <c r="L35">
        <v>11.165105000000001</v>
      </c>
      <c r="M35">
        <v>10.201479000000001</v>
      </c>
      <c r="N35">
        <v>1.3091440000000001</v>
      </c>
      <c r="O35">
        <v>11.135069</v>
      </c>
      <c r="P35">
        <v>7.949408</v>
      </c>
      <c r="Q35">
        <v>3.5444360000000001</v>
      </c>
      <c r="R35">
        <v>6.9281519999999999</v>
      </c>
      <c r="S35">
        <v>15.966618</v>
      </c>
      <c r="T35">
        <v>6.5182869999999999</v>
      </c>
      <c r="U35">
        <v>3.7289639999999999</v>
      </c>
      <c r="V35">
        <v>-1.709587</v>
      </c>
      <c r="W35">
        <v>5.6489200000000004</v>
      </c>
      <c r="X35">
        <v>3.880528</v>
      </c>
      <c r="Y35">
        <v>-0.84143699999999999</v>
      </c>
      <c r="Z35">
        <v>-1.985066</v>
      </c>
      <c r="AA35">
        <v>3.8166540000000002</v>
      </c>
      <c r="AB35">
        <v>7.6535659999999996</v>
      </c>
    </row>
    <row r="36" spans="1:28" x14ac:dyDescent="0.25">
      <c r="A36" t="s">
        <v>2245</v>
      </c>
      <c r="D36" t="s">
        <v>2218</v>
      </c>
      <c r="E36">
        <v>9.9082039999999996</v>
      </c>
      <c r="F36">
        <v>5.0059550000000002</v>
      </c>
      <c r="G36">
        <v>1.6259509999999999</v>
      </c>
      <c r="H36">
        <v>1.1995340000000001</v>
      </c>
      <c r="I36">
        <v>3.2328519999999998</v>
      </c>
      <c r="J36">
        <v>2.0702929999999999</v>
      </c>
      <c r="K36">
        <v>2.5923150000000001</v>
      </c>
      <c r="L36">
        <v>3.0075340000000002</v>
      </c>
      <c r="M36">
        <v>4.9875990000000003</v>
      </c>
      <c r="N36">
        <v>3.1203750000000001</v>
      </c>
      <c r="O36">
        <v>2.7132520000000002</v>
      </c>
      <c r="P36">
        <v>4.6008110000000002</v>
      </c>
      <c r="Q36">
        <v>0.51075000000000004</v>
      </c>
      <c r="R36">
        <v>-2.425379</v>
      </c>
      <c r="S36">
        <v>9.9574099999999994</v>
      </c>
      <c r="T36">
        <v>2.56677</v>
      </c>
      <c r="U36">
        <v>0.33693299999999998</v>
      </c>
      <c r="V36">
        <v>2.6534490000000002</v>
      </c>
      <c r="W36">
        <v>0.44351099999999999</v>
      </c>
      <c r="X36">
        <v>-0.301288</v>
      </c>
      <c r="Y36">
        <v>0.32254500000000003</v>
      </c>
      <c r="Z36">
        <v>2.3302700000000001</v>
      </c>
      <c r="AA36">
        <v>-1.635948</v>
      </c>
      <c r="AB36">
        <v>-1.3690070000000001</v>
      </c>
    </row>
    <row r="37" spans="1:28" x14ac:dyDescent="0.25">
      <c r="A37" t="s">
        <v>2246</v>
      </c>
      <c r="D37" t="s">
        <v>2218</v>
      </c>
      <c r="E37">
        <v>-0.24307000000000001</v>
      </c>
      <c r="F37">
        <v>6.6475309999999999</v>
      </c>
      <c r="G37">
        <v>22.11148</v>
      </c>
      <c r="H37">
        <v>4.9170420000000004</v>
      </c>
      <c r="I37">
        <v>16.485758000000001</v>
      </c>
      <c r="J37">
        <v>15.693180999999999</v>
      </c>
      <c r="K37">
        <v>4.9370940000000001</v>
      </c>
      <c r="L37">
        <v>14.118964</v>
      </c>
      <c r="M37">
        <v>22.937835</v>
      </c>
      <c r="N37">
        <v>12.807689999999999</v>
      </c>
      <c r="O37">
        <v>10.089337</v>
      </c>
      <c r="P37">
        <v>8.0372149999999998</v>
      </c>
      <c r="Q37">
        <v>-0.88734599999999997</v>
      </c>
      <c r="R37">
        <v>-4.5419229999999997</v>
      </c>
      <c r="S37">
        <v>34.087682999999998</v>
      </c>
      <c r="T37">
        <v>-0.145735</v>
      </c>
      <c r="U37">
        <v>1.8108010000000001</v>
      </c>
      <c r="V37">
        <v>-1.8280999999999999E-2</v>
      </c>
      <c r="W37">
        <v>17.232306000000001</v>
      </c>
      <c r="X37">
        <v>9.2561929999999997</v>
      </c>
      <c r="Y37">
        <v>-4.341234</v>
      </c>
      <c r="Z37">
        <v>-2.4852470000000002</v>
      </c>
      <c r="AA37">
        <v>14.651058000000001</v>
      </c>
      <c r="AB37">
        <v>-2.4122000000000001E-2</v>
      </c>
    </row>
    <row r="38" spans="1:28" x14ac:dyDescent="0.25">
      <c r="A38" t="s">
        <v>2247</v>
      </c>
      <c r="D38" t="s">
        <v>2218</v>
      </c>
      <c r="E38">
        <v>11.277469999999999</v>
      </c>
      <c r="F38">
        <v>11.706909</v>
      </c>
      <c r="G38">
        <v>3.1249030000000002</v>
      </c>
      <c r="H38">
        <v>3.7167400000000002</v>
      </c>
      <c r="I38">
        <v>9.1120099999999997</v>
      </c>
      <c r="J38">
        <v>5.0454420000000004</v>
      </c>
      <c r="K38">
        <v>7.0167609999999998</v>
      </c>
      <c r="L38">
        <v>8.1566650000000003</v>
      </c>
      <c r="M38">
        <v>6.5222959999999999</v>
      </c>
      <c r="N38">
        <v>5.817577</v>
      </c>
      <c r="O38">
        <v>8.7792259999999995</v>
      </c>
      <c r="P38">
        <v>7.8850379999999998</v>
      </c>
      <c r="Q38">
        <v>1.578624</v>
      </c>
      <c r="R38">
        <v>-6.7053079999999996</v>
      </c>
      <c r="S38">
        <v>12.937383000000001</v>
      </c>
      <c r="T38">
        <v>3.670239</v>
      </c>
      <c r="U38">
        <v>-1.276375</v>
      </c>
      <c r="V38">
        <v>1.403921</v>
      </c>
      <c r="W38">
        <v>4.298813</v>
      </c>
      <c r="X38">
        <v>1.051328</v>
      </c>
      <c r="Y38">
        <v>1.9354910000000001</v>
      </c>
      <c r="Z38">
        <v>4.6826860000000003</v>
      </c>
      <c r="AA38">
        <v>-0.97758699999999998</v>
      </c>
      <c r="AB38">
        <v>0.961565</v>
      </c>
    </row>
    <row r="39" spans="1:28" x14ac:dyDescent="0.25">
      <c r="A39" t="s">
        <v>2248</v>
      </c>
      <c r="D39" t="s">
        <v>2218</v>
      </c>
      <c r="E39">
        <v>-0.82720499999999997</v>
      </c>
      <c r="F39">
        <v>1.2273639999999999</v>
      </c>
      <c r="G39">
        <v>1.360805</v>
      </c>
      <c r="H39">
        <v>1.507957</v>
      </c>
      <c r="I39">
        <v>1.9727680000000001</v>
      </c>
      <c r="J39">
        <v>4.2905860000000002</v>
      </c>
      <c r="K39">
        <v>1.677872</v>
      </c>
      <c r="L39">
        <v>2.1620509999999999</v>
      </c>
      <c r="M39">
        <v>0.68403099999999994</v>
      </c>
      <c r="N39">
        <v>1.89256</v>
      </c>
      <c r="O39">
        <v>4.2107320000000001</v>
      </c>
      <c r="P39">
        <v>3.5050979999999998</v>
      </c>
      <c r="Q39">
        <v>-1.275128</v>
      </c>
      <c r="R39">
        <v>2.0942889999999998</v>
      </c>
      <c r="S39">
        <v>4.4127219999999996</v>
      </c>
      <c r="T39">
        <v>3.3257349999999999</v>
      </c>
      <c r="U39">
        <v>1.789021</v>
      </c>
      <c r="V39">
        <v>4.6465360000000002</v>
      </c>
      <c r="W39">
        <v>3.2086130000000002</v>
      </c>
      <c r="X39">
        <v>2.3756710000000001</v>
      </c>
      <c r="Y39">
        <v>-1.1655549999999999</v>
      </c>
      <c r="Z39">
        <v>1.4604299999999999</v>
      </c>
      <c r="AA39">
        <v>-0.85315099999999999</v>
      </c>
      <c r="AB39">
        <v>-1.138253</v>
      </c>
    </row>
    <row r="40" spans="1:28" x14ac:dyDescent="0.25">
      <c r="A40" t="s">
        <v>2249</v>
      </c>
      <c r="D40">
        <v>6.9314539999999996</v>
      </c>
      <c r="E40">
        <v>3.9916610000000001</v>
      </c>
      <c r="F40">
        <v>8.6681410000000003</v>
      </c>
      <c r="G40">
        <v>6.3850319999999998</v>
      </c>
      <c r="H40">
        <v>8.6199980000000007</v>
      </c>
      <c r="I40">
        <v>9.2308959999999995</v>
      </c>
      <c r="J40">
        <v>-2.5640510000000001</v>
      </c>
      <c r="K40">
        <v>7.4059999999999997</v>
      </c>
      <c r="L40">
        <v>8.4324429999999992</v>
      </c>
      <c r="M40">
        <v>10.454931</v>
      </c>
      <c r="N40">
        <v>4.3187410000000002</v>
      </c>
      <c r="O40">
        <v>8.3534199999999998</v>
      </c>
      <c r="P40">
        <v>1.7355700000000001</v>
      </c>
      <c r="Q40">
        <v>-3.832795</v>
      </c>
      <c r="R40">
        <v>-15.171640999999999</v>
      </c>
      <c r="S40">
        <v>25.691431999999999</v>
      </c>
      <c r="T40">
        <v>3.2829489999999999</v>
      </c>
      <c r="U40">
        <v>-5.6083759999999998</v>
      </c>
      <c r="V40">
        <v>-1.57264</v>
      </c>
      <c r="W40">
        <v>0.59057800000000005</v>
      </c>
      <c r="X40">
        <v>7.4236449999999996</v>
      </c>
      <c r="Y40">
        <v>4.1538079999999997</v>
      </c>
      <c r="Z40">
        <v>0.30199100000000001</v>
      </c>
      <c r="AA40">
        <v>2.3938600000000001</v>
      </c>
      <c r="AB40">
        <v>1.128836</v>
      </c>
    </row>
    <row r="41" spans="1:28" x14ac:dyDescent="0.25">
      <c r="A41" t="s">
        <v>2250</v>
      </c>
      <c r="D41" t="s">
        <v>2218</v>
      </c>
      <c r="E41">
        <v>3.2725330000000001</v>
      </c>
      <c r="F41">
        <v>6.0566930000000001</v>
      </c>
      <c r="G41">
        <v>2.5359940000000001</v>
      </c>
      <c r="H41">
        <v>2.882838</v>
      </c>
      <c r="I41">
        <v>2.2604000000000002</v>
      </c>
      <c r="J41">
        <v>3.7687629999999999</v>
      </c>
      <c r="K41">
        <v>4.6276590000000004</v>
      </c>
      <c r="L41">
        <v>2.5598420000000002</v>
      </c>
      <c r="M41">
        <v>3.1870530000000001</v>
      </c>
      <c r="N41">
        <v>3.1769059999999998</v>
      </c>
      <c r="O41">
        <v>3.7038350000000002</v>
      </c>
      <c r="P41">
        <v>2.0465209999999998</v>
      </c>
      <c r="Q41">
        <v>1.418866</v>
      </c>
      <c r="R41">
        <v>-8.3081329999999998</v>
      </c>
      <c r="S41">
        <v>9.4529169999999993</v>
      </c>
      <c r="T41">
        <v>6.0139290000000001</v>
      </c>
      <c r="U41">
        <v>-0.99998399999999998</v>
      </c>
      <c r="V41">
        <v>1.9357249999999999</v>
      </c>
      <c r="W41">
        <v>3.2286000000000002E-2</v>
      </c>
      <c r="X41">
        <v>1.296116</v>
      </c>
      <c r="Y41">
        <v>5.2086670000000002</v>
      </c>
      <c r="Z41">
        <v>5.7619610000000003</v>
      </c>
      <c r="AA41">
        <v>3.3379629999999998</v>
      </c>
      <c r="AB41" t="s">
        <v>2218</v>
      </c>
    </row>
    <row r="42" spans="1:28" x14ac:dyDescent="0.25">
      <c r="A42" t="s">
        <v>2251</v>
      </c>
      <c r="D42">
        <v>-0.324548</v>
      </c>
      <c r="E42">
        <v>-0.58278399999999997</v>
      </c>
      <c r="F42">
        <v>1.53714</v>
      </c>
      <c r="G42">
        <v>0.84162499999999996</v>
      </c>
      <c r="H42">
        <v>4.252694</v>
      </c>
      <c r="I42">
        <v>5.4684340000000002</v>
      </c>
      <c r="J42">
        <v>3.5228670000000002</v>
      </c>
      <c r="K42">
        <v>2.5182880000000001</v>
      </c>
      <c r="L42">
        <v>5.455203</v>
      </c>
      <c r="M42">
        <v>6.2343960000000003</v>
      </c>
      <c r="N42">
        <v>4.8222990000000001</v>
      </c>
      <c r="O42">
        <v>5.0997769999999996</v>
      </c>
      <c r="P42">
        <v>3.2537069999999999</v>
      </c>
      <c r="Q42">
        <v>-8.7469000000000005E-2</v>
      </c>
      <c r="R42">
        <v>-2.346768</v>
      </c>
      <c r="S42">
        <v>7.0662019999999997</v>
      </c>
      <c r="T42">
        <v>2.813412</v>
      </c>
      <c r="U42">
        <v>-1.920998</v>
      </c>
      <c r="V42">
        <v>-0.39821000000000001</v>
      </c>
      <c r="W42">
        <v>2.2905660000000001</v>
      </c>
      <c r="X42">
        <v>-1.0433319999999999</v>
      </c>
      <c r="Y42">
        <v>0.593225</v>
      </c>
      <c r="Z42">
        <v>0.71196300000000001</v>
      </c>
      <c r="AA42">
        <v>-0.98627100000000001</v>
      </c>
      <c r="AB42">
        <v>-1.6236679999999999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1.8059529999999999</v>
      </c>
      <c r="K43">
        <v>8.1191279999999999</v>
      </c>
      <c r="L43">
        <v>7.5802009999999997</v>
      </c>
      <c r="M43">
        <v>9.7340389999999992</v>
      </c>
      <c r="N43">
        <v>4.3964049999999997</v>
      </c>
      <c r="O43">
        <v>4.8717329999999999</v>
      </c>
      <c r="P43">
        <v>3.8229850000000001</v>
      </c>
      <c r="Q43">
        <v>0.48053600000000002</v>
      </c>
      <c r="R43">
        <v>1.465929</v>
      </c>
      <c r="S43">
        <v>6.4230049999999999</v>
      </c>
      <c r="T43">
        <v>-1.458286</v>
      </c>
      <c r="U43">
        <v>-2.9413100000000001</v>
      </c>
      <c r="V43">
        <v>1.6704369999999999</v>
      </c>
      <c r="W43">
        <v>-0.41737299999999999</v>
      </c>
      <c r="X43">
        <v>-1.025633</v>
      </c>
      <c r="Y43">
        <v>-1.6205909999999999</v>
      </c>
      <c r="Z43">
        <v>2.4328789999999998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0.75500599999999995</v>
      </c>
      <c r="F44">
        <v>4.1448939999999999</v>
      </c>
      <c r="G44">
        <v>1.9486349999999999</v>
      </c>
      <c r="H44">
        <v>2.519749</v>
      </c>
      <c r="I44">
        <v>5.36015</v>
      </c>
      <c r="J44">
        <v>1.5029079999999999</v>
      </c>
      <c r="K44">
        <v>1.015989</v>
      </c>
      <c r="L44">
        <v>2.2206510000000002</v>
      </c>
      <c r="M44">
        <v>4.521744</v>
      </c>
      <c r="N44">
        <v>3.1427800000000001</v>
      </c>
      <c r="O44">
        <v>6.0216289999999999</v>
      </c>
      <c r="P44">
        <v>3.7416239999999998</v>
      </c>
      <c r="Q44">
        <v>-2.9624480000000002</v>
      </c>
      <c r="R44">
        <v>-9.5545919999999995</v>
      </c>
      <c r="S44">
        <v>13.74985</v>
      </c>
      <c r="T44">
        <v>4.5424319999999998</v>
      </c>
      <c r="U44">
        <v>-1.3360920000000001</v>
      </c>
      <c r="V44">
        <v>1.087736</v>
      </c>
      <c r="W44">
        <v>3.6527289999999999</v>
      </c>
      <c r="X44">
        <v>3.9093800000000001</v>
      </c>
      <c r="Y44">
        <v>2.208812</v>
      </c>
      <c r="Z44">
        <v>2.5529999999999999</v>
      </c>
      <c r="AA44">
        <v>0.74924800000000003</v>
      </c>
      <c r="AB44">
        <v>-1.8656619999999999</v>
      </c>
    </row>
    <row r="45" spans="1:28" x14ac:dyDescent="0.25">
      <c r="A45" t="s">
        <v>2254</v>
      </c>
      <c r="D45" t="s">
        <v>2218</v>
      </c>
      <c r="E45">
        <v>0.39308199999999999</v>
      </c>
      <c r="F45">
        <v>3.8740380000000001</v>
      </c>
      <c r="G45">
        <v>2.5634459999999999</v>
      </c>
      <c r="H45">
        <v>4.0397360000000004</v>
      </c>
      <c r="I45">
        <v>6.0169009999999998</v>
      </c>
      <c r="J45">
        <v>1.799445</v>
      </c>
      <c r="K45">
        <v>1.458634</v>
      </c>
      <c r="L45">
        <v>2.8292980000000001</v>
      </c>
      <c r="M45">
        <v>4.9498410000000002</v>
      </c>
      <c r="N45">
        <v>3.1295310000000001</v>
      </c>
      <c r="O45">
        <v>5.6440099999999997</v>
      </c>
      <c r="P45">
        <v>3.0982859999999999</v>
      </c>
      <c r="Q45">
        <v>-2.1354220000000002</v>
      </c>
      <c r="R45">
        <v>-7.7319719999999998</v>
      </c>
      <c r="S45">
        <v>13.797117</v>
      </c>
      <c r="T45">
        <v>4.2871550000000003</v>
      </c>
      <c r="U45">
        <v>-1.6426350000000001</v>
      </c>
      <c r="V45">
        <v>0.59614900000000004</v>
      </c>
      <c r="W45">
        <v>3.0404439999999999</v>
      </c>
      <c r="X45">
        <v>3.2530890000000001</v>
      </c>
      <c r="Y45">
        <v>1.3750560000000001</v>
      </c>
      <c r="Z45">
        <v>1.8881840000000001</v>
      </c>
      <c r="AA45">
        <v>0.74240600000000001</v>
      </c>
      <c r="AB45">
        <v>-0.77878700000000001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2.0112890000000001</v>
      </c>
      <c r="K46">
        <v>-1.4026130000000001</v>
      </c>
      <c r="L46">
        <v>-1.1477980000000001</v>
      </c>
      <c r="M46">
        <v>0.64361000000000002</v>
      </c>
      <c r="N46">
        <v>-5.3315599999999996</v>
      </c>
      <c r="O46">
        <v>1.079232</v>
      </c>
      <c r="P46">
        <v>1.9153260000000001</v>
      </c>
      <c r="Q46">
        <v>0.96647799999999995</v>
      </c>
      <c r="R46">
        <v>-8.0872340000000005</v>
      </c>
      <c r="S46">
        <v>2.939225</v>
      </c>
      <c r="T46">
        <v>0.80329300000000003</v>
      </c>
      <c r="U46">
        <v>-3.8069250000000001</v>
      </c>
      <c r="V46">
        <v>1.5290079999999999</v>
      </c>
      <c r="W46">
        <v>-3.048924</v>
      </c>
      <c r="X46">
        <v>-2.7525469999999999</v>
      </c>
      <c r="Y46">
        <v>0.76201799999999997</v>
      </c>
      <c r="Z46">
        <v>0.96782999999999997</v>
      </c>
      <c r="AA46" t="s">
        <v>2218</v>
      </c>
      <c r="AB46" t="s">
        <v>2218</v>
      </c>
    </row>
    <row r="47" spans="1:28" x14ac:dyDescent="0.25">
      <c r="B47" t="s">
        <v>2257</v>
      </c>
      <c r="D47">
        <v>7.3621100000000004</v>
      </c>
      <c r="E47">
        <v>-0.56302600000000003</v>
      </c>
      <c r="F47">
        <v>7.0624960000000003</v>
      </c>
      <c r="G47">
        <v>-0.60078900000000002</v>
      </c>
      <c r="H47">
        <v>0.60780999999999996</v>
      </c>
      <c r="I47">
        <v>7.9285009999999998</v>
      </c>
      <c r="J47">
        <v>-6.3406339999999997</v>
      </c>
      <c r="K47">
        <v>8.5829629999999995</v>
      </c>
      <c r="L47">
        <v>0.84721199999999997</v>
      </c>
      <c r="M47">
        <v>2.6482009999999998</v>
      </c>
      <c r="N47">
        <v>-0.80389900000000003</v>
      </c>
      <c r="O47">
        <v>3.339334</v>
      </c>
      <c r="P47">
        <v>4.7523000000000003E-2</v>
      </c>
      <c r="Q47">
        <v>4.093534</v>
      </c>
      <c r="R47">
        <v>-3.0736629999999998</v>
      </c>
      <c r="S47">
        <v>16.896221000000001</v>
      </c>
      <c r="T47">
        <v>2.317882</v>
      </c>
      <c r="U47">
        <v>5.1708449999999999</v>
      </c>
      <c r="V47">
        <v>9.8877459999999999</v>
      </c>
      <c r="W47">
        <v>-5.3879849999999996</v>
      </c>
      <c r="X47">
        <v>-17.701619000000001</v>
      </c>
      <c r="Y47">
        <v>14.636362999999999</v>
      </c>
      <c r="Z47">
        <v>1.4451590000000001</v>
      </c>
      <c r="AA47">
        <v>-8.0758430000000008</v>
      </c>
      <c r="AB47" t="s">
        <v>2218</v>
      </c>
    </row>
    <row r="48" spans="1:28" x14ac:dyDescent="0.25">
      <c r="A48" t="s">
        <v>2261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2262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2263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2.9740090000000001</v>
      </c>
      <c r="E9">
        <v>6.4985949999999999</v>
      </c>
      <c r="F9">
        <v>3.196412</v>
      </c>
      <c r="G9">
        <v>5.3893009999999997</v>
      </c>
      <c r="H9">
        <v>-2.0421040000000001</v>
      </c>
      <c r="I9">
        <v>-9.148021</v>
      </c>
      <c r="J9">
        <v>4.458558</v>
      </c>
      <c r="K9">
        <v>14.101563000000001</v>
      </c>
      <c r="L9">
        <v>-2.2557710000000002</v>
      </c>
      <c r="M9">
        <v>-1.2747379999999999</v>
      </c>
      <c r="N9">
        <v>2.4043999999999999</v>
      </c>
      <c r="O9">
        <v>-5.1049999999999998E-2</v>
      </c>
      <c r="P9">
        <v>2.1069059999999999</v>
      </c>
      <c r="Q9">
        <v>2.9108130000000001</v>
      </c>
      <c r="R9">
        <v>-0.83763100000000001</v>
      </c>
      <c r="S9">
        <v>9.9023E-2</v>
      </c>
      <c r="T9">
        <v>16.668638000000001</v>
      </c>
      <c r="U9">
        <v>2.9476070000000001</v>
      </c>
      <c r="V9">
        <v>0.72463200000000005</v>
      </c>
      <c r="W9">
        <v>-3.64791</v>
      </c>
      <c r="X9">
        <v>-6.1490640000000001</v>
      </c>
      <c r="Y9">
        <v>-6.8416579999999998</v>
      </c>
      <c r="Z9">
        <v>0.60114100000000004</v>
      </c>
      <c r="AA9" t="s">
        <v>2218</v>
      </c>
      <c r="AB9" t="s">
        <v>2218</v>
      </c>
    </row>
    <row r="10" spans="1:28" x14ac:dyDescent="0.25">
      <c r="A10" t="s">
        <v>2219</v>
      </c>
      <c r="D10">
        <v>-0.60629599999999995</v>
      </c>
      <c r="E10">
        <v>2.1495549999999999</v>
      </c>
      <c r="F10">
        <v>-2.1754020000000001</v>
      </c>
      <c r="G10">
        <v>3.9886379999999999</v>
      </c>
      <c r="H10">
        <v>1.1826179999999999</v>
      </c>
      <c r="I10">
        <v>1.283334</v>
      </c>
      <c r="J10">
        <v>0.70877699999999999</v>
      </c>
      <c r="K10">
        <v>2.9934249999999998</v>
      </c>
      <c r="L10">
        <v>6.4614890000000003</v>
      </c>
      <c r="M10">
        <v>1.4527680000000001</v>
      </c>
      <c r="N10">
        <v>0.56658799999999998</v>
      </c>
      <c r="O10">
        <v>-2.3321209999999999</v>
      </c>
      <c r="P10">
        <v>-4.6696000000000001E-2</v>
      </c>
      <c r="Q10">
        <v>-4.1062580000000004</v>
      </c>
      <c r="R10">
        <v>-9.0471850000000007</v>
      </c>
      <c r="S10">
        <v>-4.0437409999999998</v>
      </c>
      <c r="T10">
        <v>-2.4893480000000001</v>
      </c>
      <c r="U10">
        <v>-1.582719</v>
      </c>
      <c r="V10">
        <v>-4.3159000000000003E-2</v>
      </c>
      <c r="W10">
        <v>-3.529531</v>
      </c>
      <c r="X10">
        <v>-2.1996370000000001</v>
      </c>
      <c r="Y10">
        <v>-0.82216299999999998</v>
      </c>
      <c r="Z10">
        <v>1.7989219999999999</v>
      </c>
      <c r="AA10">
        <v>1.317015</v>
      </c>
      <c r="AB10">
        <v>-1.2365539999999999</v>
      </c>
    </row>
    <row r="11" spans="1:28" x14ac:dyDescent="0.25">
      <c r="A11" t="s">
        <v>2220</v>
      </c>
      <c r="D11" t="s">
        <v>2218</v>
      </c>
      <c r="E11">
        <v>-0.90101399999999998</v>
      </c>
      <c r="F11">
        <v>4.4617120000000003</v>
      </c>
      <c r="G11">
        <v>-1.9311339999999999</v>
      </c>
      <c r="H11">
        <v>3.3556499999999998</v>
      </c>
      <c r="I11">
        <v>4.6269099999999996</v>
      </c>
      <c r="J11">
        <v>-0.62766999999999995</v>
      </c>
      <c r="K11">
        <v>0.50614000000000003</v>
      </c>
      <c r="L11">
        <v>3.2608959999999998</v>
      </c>
      <c r="M11">
        <v>7.3437650000000003</v>
      </c>
      <c r="N11">
        <v>3.105407</v>
      </c>
      <c r="O11">
        <v>5.2594010000000004</v>
      </c>
      <c r="P11">
        <v>-2.1434410000000002</v>
      </c>
      <c r="Q11">
        <v>-1.502677</v>
      </c>
      <c r="R11">
        <v>-2.0321539999999998</v>
      </c>
      <c r="S11">
        <v>-0.429394</v>
      </c>
      <c r="T11">
        <v>3.917224</v>
      </c>
      <c r="U11">
        <v>0.38818799999999998</v>
      </c>
      <c r="V11">
        <v>-0.14873900000000001</v>
      </c>
      <c r="W11">
        <v>3.7841640000000001</v>
      </c>
      <c r="X11">
        <v>4.2107869999999998</v>
      </c>
      <c r="Y11">
        <v>0.710677</v>
      </c>
      <c r="Z11">
        <v>0.39674500000000001</v>
      </c>
      <c r="AA11">
        <v>2.559774</v>
      </c>
      <c r="AB11">
        <v>2.221692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-5.0397629999999998</v>
      </c>
      <c r="R12">
        <v>-1.0535319999999999</v>
      </c>
      <c r="S12">
        <v>0.99605699999999997</v>
      </c>
      <c r="T12">
        <v>0.68842199999999998</v>
      </c>
      <c r="U12">
        <v>-5.9517E-2</v>
      </c>
      <c r="V12">
        <v>-4.4887699999999997</v>
      </c>
      <c r="W12">
        <v>0.48516700000000001</v>
      </c>
      <c r="X12">
        <v>-0.92837800000000004</v>
      </c>
      <c r="Y12">
        <v>-3.7268940000000002</v>
      </c>
      <c r="Z12">
        <v>3.003809</v>
      </c>
      <c r="AA12">
        <v>-2.146471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>
        <v>-0.91084399999999999</v>
      </c>
      <c r="U13">
        <v>3.5920359999999998</v>
      </c>
      <c r="V13">
        <v>-1.843218</v>
      </c>
      <c r="W13">
        <v>-0.94815799999999995</v>
      </c>
      <c r="X13">
        <v>0.64042200000000005</v>
      </c>
      <c r="Y13">
        <v>0.82398899999999997</v>
      </c>
      <c r="Z13">
        <v>-1.181616</v>
      </c>
      <c r="AA13">
        <v>1.1895119999999999</v>
      </c>
      <c r="AB13" t="s">
        <v>2218</v>
      </c>
    </row>
    <row r="14" spans="1:28" x14ac:dyDescent="0.25">
      <c r="A14" t="s">
        <v>2223</v>
      </c>
      <c r="D14">
        <v>3.5009739999999998</v>
      </c>
      <c r="E14">
        <v>5.0763410000000002</v>
      </c>
      <c r="F14">
        <v>-8.4261180000000007</v>
      </c>
      <c r="G14">
        <v>-2.9452980000000002</v>
      </c>
      <c r="H14">
        <v>-9.2842420000000008</v>
      </c>
      <c r="I14">
        <v>-2.004594</v>
      </c>
      <c r="J14">
        <v>0.99368199999999995</v>
      </c>
      <c r="K14">
        <v>-0.75760899999999998</v>
      </c>
      <c r="L14">
        <v>2.5049730000000001</v>
      </c>
      <c r="M14">
        <v>7.2239120000000003</v>
      </c>
      <c r="N14">
        <v>0.14377799999999999</v>
      </c>
      <c r="O14">
        <v>-0.59109100000000003</v>
      </c>
      <c r="P14">
        <v>5.5655229999999998</v>
      </c>
      <c r="Q14">
        <v>-2.364932</v>
      </c>
      <c r="R14">
        <v>-7.560854</v>
      </c>
      <c r="S14">
        <v>2.2769849999999998</v>
      </c>
      <c r="T14">
        <v>-1.5980030000000001</v>
      </c>
      <c r="U14">
        <v>-1.867084</v>
      </c>
      <c r="V14">
        <v>3.7289099999999999</v>
      </c>
      <c r="W14">
        <v>6.8367290000000001</v>
      </c>
      <c r="X14">
        <v>4.4025679999999996</v>
      </c>
      <c r="Y14">
        <v>-2.0389010000000001</v>
      </c>
      <c r="Z14">
        <v>-2.6648269999999998</v>
      </c>
      <c r="AA14">
        <v>3.2485240000000002</v>
      </c>
      <c r="AB14">
        <v>2.0482369999999999</v>
      </c>
    </row>
    <row r="15" spans="1:28" x14ac:dyDescent="0.25">
      <c r="A15" t="s">
        <v>2224</v>
      </c>
      <c r="D15">
        <v>4.2927989999999996</v>
      </c>
      <c r="E15">
        <v>4.203138</v>
      </c>
      <c r="F15">
        <v>-7.1418670000000004</v>
      </c>
      <c r="G15">
        <v>5.5533159999999997</v>
      </c>
      <c r="H15">
        <v>4.6091949999999997</v>
      </c>
      <c r="I15">
        <v>-0.88508299999999995</v>
      </c>
      <c r="J15">
        <v>-7.7034000000000002</v>
      </c>
      <c r="K15">
        <v>2.3931870000000002</v>
      </c>
      <c r="L15">
        <v>5.021941</v>
      </c>
      <c r="M15">
        <v>1.5706800000000001</v>
      </c>
      <c r="N15">
        <v>-5.4082670000000004</v>
      </c>
      <c r="O15">
        <v>1.1127670000000001</v>
      </c>
      <c r="P15">
        <v>-6.5740020000000001</v>
      </c>
      <c r="Q15">
        <v>3.1634869999999999</v>
      </c>
      <c r="R15">
        <v>1.446747</v>
      </c>
      <c r="S15">
        <v>-3.9922260000000001</v>
      </c>
      <c r="T15">
        <v>3.6781570000000001</v>
      </c>
      <c r="U15">
        <v>3.6302189999999999</v>
      </c>
      <c r="V15">
        <v>3.6220659999999998</v>
      </c>
      <c r="W15">
        <v>0.81087799999999999</v>
      </c>
      <c r="X15">
        <v>7.5488</v>
      </c>
      <c r="Y15">
        <v>5.1582030000000003</v>
      </c>
      <c r="Z15">
        <v>-2.1692610000000001</v>
      </c>
      <c r="AA15">
        <v>5.614128</v>
      </c>
      <c r="AB15">
        <v>-1.843931</v>
      </c>
    </row>
    <row r="16" spans="1:28" x14ac:dyDescent="0.25">
      <c r="A16" t="s">
        <v>2225</v>
      </c>
      <c r="D16" t="s">
        <v>2218</v>
      </c>
      <c r="E16">
        <v>5.2369329999999996</v>
      </c>
      <c r="F16">
        <v>-12.054017999999999</v>
      </c>
      <c r="G16">
        <v>24.847241</v>
      </c>
      <c r="H16">
        <v>-5.0103109999999997</v>
      </c>
      <c r="I16">
        <v>27.027519999999999</v>
      </c>
      <c r="J16">
        <v>2.274756</v>
      </c>
      <c r="K16">
        <v>11.57558</v>
      </c>
      <c r="L16">
        <v>-1.5412140000000001</v>
      </c>
      <c r="M16">
        <v>1.973374</v>
      </c>
      <c r="N16">
        <v>18.705735000000001</v>
      </c>
      <c r="O16">
        <v>-13.638989</v>
      </c>
      <c r="P16">
        <v>-11.974587</v>
      </c>
      <c r="Q16">
        <v>8.6615749999999991</v>
      </c>
      <c r="R16">
        <v>-5.1307929999999997</v>
      </c>
      <c r="S16">
        <v>28.989426000000002</v>
      </c>
      <c r="T16">
        <v>3.445357</v>
      </c>
      <c r="U16">
        <v>5.7477970000000003</v>
      </c>
      <c r="V16">
        <v>-4.2982750000000003</v>
      </c>
      <c r="W16">
        <v>-7.6311619999999998</v>
      </c>
      <c r="X16">
        <v>-7.1737739999999999</v>
      </c>
      <c r="Y16">
        <v>28.585767000000001</v>
      </c>
      <c r="Z16">
        <v>8.234496</v>
      </c>
      <c r="AA16">
        <v>12.166594</v>
      </c>
      <c r="AB16">
        <v>-4.366085</v>
      </c>
    </row>
    <row r="17" spans="1:28" x14ac:dyDescent="0.25">
      <c r="A17" t="s">
        <v>2226</v>
      </c>
      <c r="D17">
        <v>-10.949180999999999</v>
      </c>
      <c r="E17">
        <v>7.0155560000000001</v>
      </c>
      <c r="F17">
        <v>-2.0494940000000001</v>
      </c>
      <c r="G17">
        <v>0.93313500000000005</v>
      </c>
      <c r="H17">
        <v>-7.3478870000000001</v>
      </c>
      <c r="I17">
        <v>-3.1881590000000002</v>
      </c>
      <c r="J17">
        <v>-6.8063760000000002</v>
      </c>
      <c r="K17">
        <v>-6.4148999999999998E-2</v>
      </c>
      <c r="L17">
        <v>4.7989389999999998</v>
      </c>
      <c r="M17">
        <v>2.9954160000000001</v>
      </c>
      <c r="N17">
        <v>-0.44156200000000001</v>
      </c>
      <c r="O17">
        <v>-1.1473949999999999</v>
      </c>
      <c r="P17">
        <v>-2.0633219999999999</v>
      </c>
      <c r="Q17">
        <v>-5.9260260000000002</v>
      </c>
      <c r="R17">
        <v>-1.5510600000000001</v>
      </c>
      <c r="S17">
        <v>10.351763</v>
      </c>
      <c r="T17">
        <v>-0.73717600000000005</v>
      </c>
      <c r="U17">
        <v>-4.463133</v>
      </c>
      <c r="V17">
        <v>-0.60679400000000006</v>
      </c>
      <c r="W17">
        <v>-2.0222989999999998</v>
      </c>
      <c r="X17">
        <v>1.1552450000000001</v>
      </c>
      <c r="Y17">
        <v>0.83618800000000004</v>
      </c>
      <c r="Z17">
        <v>-2.531749</v>
      </c>
      <c r="AA17">
        <v>-2.2031580000000002</v>
      </c>
      <c r="AB17">
        <v>3.2391000000000003E-2</v>
      </c>
    </row>
    <row r="18" spans="1:28" x14ac:dyDescent="0.25">
      <c r="A18" t="s">
        <v>2227</v>
      </c>
      <c r="D18">
        <v>1.4443109999999999</v>
      </c>
      <c r="E18">
        <v>-1.839324</v>
      </c>
      <c r="F18">
        <v>-0.80576800000000004</v>
      </c>
      <c r="G18">
        <v>0.69644200000000001</v>
      </c>
      <c r="H18">
        <v>2.1357590000000002</v>
      </c>
      <c r="I18">
        <v>2.1438869999999999</v>
      </c>
      <c r="J18">
        <v>1.0675429999999999</v>
      </c>
      <c r="K18">
        <v>-2.6856439999999999</v>
      </c>
      <c r="L18">
        <v>-0.84929900000000003</v>
      </c>
      <c r="M18">
        <v>0.191749</v>
      </c>
      <c r="N18">
        <v>-1.330659</v>
      </c>
      <c r="O18">
        <v>-1.9283030000000001</v>
      </c>
      <c r="P18">
        <v>-0.121508</v>
      </c>
      <c r="Q18">
        <v>-4.3194460000000001</v>
      </c>
      <c r="R18">
        <v>-5.7932370000000004</v>
      </c>
      <c r="S18">
        <v>-0.90652100000000002</v>
      </c>
      <c r="T18">
        <v>-1.8891180000000001</v>
      </c>
      <c r="U18">
        <v>-4.7694270000000003</v>
      </c>
      <c r="V18">
        <v>0.96242899999999998</v>
      </c>
      <c r="W18">
        <v>-1.959605</v>
      </c>
      <c r="X18">
        <v>1.9719690000000001</v>
      </c>
      <c r="Y18">
        <v>1.3827480000000001</v>
      </c>
      <c r="Z18">
        <v>3.1471010000000001</v>
      </c>
      <c r="AA18">
        <v>-1.193818</v>
      </c>
      <c r="AB18">
        <v>1.1120110000000001</v>
      </c>
    </row>
    <row r="19" spans="1:28" x14ac:dyDescent="0.25">
      <c r="A19" t="s">
        <v>2228</v>
      </c>
      <c r="D19">
        <v>-5.1749749999999999</v>
      </c>
      <c r="E19">
        <v>-2.3279329999999998</v>
      </c>
      <c r="F19">
        <v>1.49274</v>
      </c>
      <c r="G19">
        <v>-1.6818E-2</v>
      </c>
      <c r="H19">
        <v>0.79239400000000004</v>
      </c>
      <c r="I19">
        <v>0.47900900000000002</v>
      </c>
      <c r="J19">
        <v>0.53922800000000004</v>
      </c>
      <c r="K19">
        <v>1.255212</v>
      </c>
      <c r="L19">
        <v>7.4372999999999995E-2</v>
      </c>
      <c r="M19">
        <v>0.31027300000000002</v>
      </c>
      <c r="N19">
        <v>-0.77748600000000001</v>
      </c>
      <c r="O19">
        <v>0.133963</v>
      </c>
      <c r="P19">
        <v>-2.4440900000000001</v>
      </c>
      <c r="Q19">
        <v>-0.101997</v>
      </c>
      <c r="R19">
        <v>-3.6805189999999999</v>
      </c>
      <c r="S19">
        <v>6.7731969999999997</v>
      </c>
      <c r="T19">
        <v>1.5827279999999999</v>
      </c>
      <c r="U19">
        <v>-2.5859450000000002</v>
      </c>
      <c r="V19">
        <v>-3.0426000000000002</v>
      </c>
      <c r="W19">
        <v>3.4775309999999999</v>
      </c>
      <c r="X19">
        <v>-0.25800699999999999</v>
      </c>
      <c r="Y19">
        <v>0.92991100000000004</v>
      </c>
      <c r="Z19">
        <v>-1.6918519999999999</v>
      </c>
      <c r="AA19">
        <v>1.91286</v>
      </c>
      <c r="AB19">
        <v>2.3481399999999999</v>
      </c>
    </row>
    <row r="20" spans="1:28" x14ac:dyDescent="0.25">
      <c r="A20" t="s">
        <v>2229</v>
      </c>
      <c r="D20" t="s">
        <v>2218</v>
      </c>
      <c r="E20">
        <v>3.8764949999999998</v>
      </c>
      <c r="F20">
        <v>7.9417910000000003</v>
      </c>
      <c r="G20">
        <v>0.185117</v>
      </c>
      <c r="H20">
        <v>10.210143</v>
      </c>
      <c r="I20">
        <v>-5.1471000000000003E-2</v>
      </c>
      <c r="J20">
        <v>4.3384549999999997</v>
      </c>
      <c r="K20">
        <v>-4.1247720000000001</v>
      </c>
      <c r="L20">
        <v>22.613700000000001</v>
      </c>
      <c r="M20">
        <v>9.9150650000000002</v>
      </c>
      <c r="N20">
        <v>-28.161048999999998</v>
      </c>
      <c r="O20">
        <v>50.890081000000002</v>
      </c>
      <c r="P20">
        <v>-21.153179000000002</v>
      </c>
      <c r="Q20">
        <v>-26.381243000000001</v>
      </c>
      <c r="R20">
        <v>5.8417380000000003</v>
      </c>
      <c r="S20">
        <v>6.7226429999999997</v>
      </c>
      <c r="T20">
        <v>-4.3666539999999996</v>
      </c>
      <c r="U20">
        <v>9.9007679999999993</v>
      </c>
      <c r="V20">
        <v>-16.798863999999998</v>
      </c>
      <c r="W20">
        <v>-14.133265</v>
      </c>
      <c r="X20">
        <v>-0.24401300000000001</v>
      </c>
      <c r="Y20">
        <v>22.805495000000001</v>
      </c>
      <c r="Z20">
        <v>-1.1045149999999999</v>
      </c>
      <c r="AA20">
        <v>6.8242310000000002</v>
      </c>
      <c r="AB20">
        <v>14.606757999999999</v>
      </c>
    </row>
    <row r="21" spans="1:28" x14ac:dyDescent="0.25">
      <c r="A21" t="s">
        <v>2230</v>
      </c>
      <c r="D21" t="s">
        <v>2218</v>
      </c>
      <c r="E21">
        <v>-7.9006689999999997</v>
      </c>
      <c r="F21">
        <v>4.9967259999999998</v>
      </c>
      <c r="G21">
        <v>6.7841709999999997</v>
      </c>
      <c r="H21">
        <v>-2.2144279999999998</v>
      </c>
      <c r="I21">
        <v>10.239893</v>
      </c>
      <c r="J21">
        <v>6.7044769999999998</v>
      </c>
      <c r="K21">
        <v>12.15522</v>
      </c>
      <c r="L21">
        <v>-12.741247</v>
      </c>
      <c r="M21">
        <v>-1.9809479999999999</v>
      </c>
      <c r="N21">
        <v>10.405773999999999</v>
      </c>
      <c r="O21">
        <v>-5.1660979999999999</v>
      </c>
      <c r="P21">
        <v>-10.487228999999999</v>
      </c>
      <c r="Q21">
        <v>-8.9709120000000002</v>
      </c>
      <c r="R21">
        <v>6.0310449999999998</v>
      </c>
      <c r="S21">
        <v>-3.0090479999999999</v>
      </c>
      <c r="T21">
        <v>3.8579490000000001</v>
      </c>
      <c r="U21">
        <v>-6.6676659999999996</v>
      </c>
      <c r="V21">
        <v>9.7850099999999998</v>
      </c>
      <c r="W21">
        <v>4.9993910000000001</v>
      </c>
      <c r="X21">
        <v>7.8539149999999998</v>
      </c>
      <c r="Y21">
        <v>-20.572313000000001</v>
      </c>
      <c r="Z21">
        <v>11.614065999999999</v>
      </c>
      <c r="AA21">
        <v>7.9507130000000004</v>
      </c>
      <c r="AB21">
        <v>10.282043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-7.3025739999999999</v>
      </c>
      <c r="S22">
        <v>3.2424379999999999</v>
      </c>
      <c r="T22">
        <v>3.6722649999999999</v>
      </c>
      <c r="U22">
        <v>1.3703289999999999</v>
      </c>
      <c r="V22">
        <v>2.2349960000000002</v>
      </c>
      <c r="W22">
        <v>4.4026719999999999</v>
      </c>
      <c r="X22">
        <v>3.6721889999999999</v>
      </c>
      <c r="Y22">
        <v>12.471401999999999</v>
      </c>
      <c r="Z22">
        <v>-4.8650169999999999</v>
      </c>
      <c r="AA22">
        <v>-1.681843</v>
      </c>
      <c r="AB22">
        <v>-0.77415500000000004</v>
      </c>
    </row>
    <row r="23" spans="1:28" x14ac:dyDescent="0.25">
      <c r="A23" t="s">
        <v>2232</v>
      </c>
      <c r="D23" t="s">
        <v>2218</v>
      </c>
      <c r="E23">
        <v>12.298314</v>
      </c>
      <c r="F23">
        <v>4.3955330000000004</v>
      </c>
      <c r="G23">
        <v>-3.950723</v>
      </c>
      <c r="H23">
        <v>-1.5827260000000001</v>
      </c>
      <c r="I23">
        <v>-7.8913510000000002</v>
      </c>
      <c r="J23">
        <v>-3.4249459999999998</v>
      </c>
      <c r="K23">
        <v>0.49592199999999997</v>
      </c>
      <c r="L23">
        <v>2.9833409999999998</v>
      </c>
      <c r="M23">
        <v>-1.5621499999999999</v>
      </c>
      <c r="N23">
        <v>-3.8881290000000002</v>
      </c>
      <c r="O23">
        <v>-6.1755259999999996</v>
      </c>
      <c r="P23">
        <v>-2.934259</v>
      </c>
      <c r="Q23">
        <v>6.3512760000000004</v>
      </c>
      <c r="R23">
        <v>10.039562</v>
      </c>
      <c r="S23">
        <v>10.146447</v>
      </c>
      <c r="T23">
        <v>-3.0931150000000001</v>
      </c>
      <c r="U23">
        <v>3.9422229999999998</v>
      </c>
      <c r="V23">
        <v>6.442329</v>
      </c>
      <c r="W23">
        <v>-1.99586</v>
      </c>
      <c r="X23">
        <v>-8.2669800000000002</v>
      </c>
      <c r="Y23">
        <v>1.2959259999999999</v>
      </c>
      <c r="Z23">
        <v>4.5313840000000001</v>
      </c>
      <c r="AA23">
        <v>-0.36291600000000002</v>
      </c>
      <c r="AB23">
        <v>3.0678649999999998</v>
      </c>
    </row>
    <row r="24" spans="1:28" x14ac:dyDescent="0.25">
      <c r="A24" t="s">
        <v>2233</v>
      </c>
      <c r="D24" t="s">
        <v>2218</v>
      </c>
      <c r="E24">
        <v>2.1808109999999998</v>
      </c>
      <c r="F24">
        <v>-2.0071659999999998</v>
      </c>
      <c r="G24">
        <v>-5.672231</v>
      </c>
      <c r="H24">
        <v>-2.3221959999999999</v>
      </c>
      <c r="I24">
        <v>1.0533680000000001</v>
      </c>
      <c r="J24">
        <v>1.4564619999999999</v>
      </c>
      <c r="K24">
        <v>4.0108519999999999</v>
      </c>
      <c r="L24">
        <v>-2.9250880000000001</v>
      </c>
      <c r="M24">
        <v>2.5188640000000002</v>
      </c>
      <c r="N24">
        <v>-0.36740299999999998</v>
      </c>
      <c r="O24">
        <v>5.1662189999999999</v>
      </c>
      <c r="P24">
        <v>-5.3975229999999996</v>
      </c>
      <c r="Q24">
        <v>0.38447799999999999</v>
      </c>
      <c r="R24">
        <v>6.4575379999999996</v>
      </c>
      <c r="S24">
        <v>0.98826899999999995</v>
      </c>
      <c r="T24">
        <v>11.222332</v>
      </c>
      <c r="U24">
        <v>3.115157</v>
      </c>
      <c r="V24">
        <v>-1.800214</v>
      </c>
      <c r="W24">
        <v>-1.4858849999999999</v>
      </c>
      <c r="X24">
        <v>-3.0568620000000002</v>
      </c>
      <c r="Y24">
        <v>3.5940210000000001</v>
      </c>
      <c r="Z24">
        <v>1.0315449999999999</v>
      </c>
      <c r="AA24">
        <v>3.4478580000000001</v>
      </c>
      <c r="AB24" t="s">
        <v>2218</v>
      </c>
    </row>
    <row r="25" spans="1:28" x14ac:dyDescent="0.25">
      <c r="A25" t="s">
        <v>2234</v>
      </c>
      <c r="D25">
        <v>2.9547690000000002</v>
      </c>
      <c r="E25">
        <v>2.1908219999999998</v>
      </c>
      <c r="F25">
        <v>-3.6314839999999999</v>
      </c>
      <c r="G25">
        <v>0.30237199999999997</v>
      </c>
      <c r="H25">
        <v>-1.330632</v>
      </c>
      <c r="I25">
        <v>1.578846</v>
      </c>
      <c r="J25">
        <v>-2.0314779999999999</v>
      </c>
      <c r="K25">
        <v>0.58299100000000004</v>
      </c>
      <c r="L25">
        <v>-0.41861300000000001</v>
      </c>
      <c r="M25">
        <v>-0.81270100000000001</v>
      </c>
      <c r="N25">
        <v>-3.0664739999999999</v>
      </c>
      <c r="O25">
        <v>0.454401</v>
      </c>
      <c r="P25">
        <v>-3.248615</v>
      </c>
      <c r="Q25">
        <v>-3.0707450000000001</v>
      </c>
      <c r="R25">
        <v>-7.9546659999999996</v>
      </c>
      <c r="S25">
        <v>-4.0886509999999996</v>
      </c>
      <c r="T25">
        <v>-1.3380939999999999</v>
      </c>
      <c r="U25">
        <v>-4.8715970000000004</v>
      </c>
      <c r="V25">
        <v>0.62526199999999998</v>
      </c>
      <c r="W25">
        <v>-3.8712140000000002</v>
      </c>
      <c r="X25">
        <v>-1.2895300000000001</v>
      </c>
      <c r="Y25">
        <v>0.71158999999999994</v>
      </c>
      <c r="Z25">
        <v>1.7749820000000001</v>
      </c>
      <c r="AA25">
        <v>2.1105109999999998</v>
      </c>
      <c r="AB25">
        <v>1.021649</v>
      </c>
    </row>
    <row r="26" spans="1:28" x14ac:dyDescent="0.25">
      <c r="A26" t="s">
        <v>2235</v>
      </c>
      <c r="D26">
        <v>-2.9435340000000001</v>
      </c>
      <c r="E26">
        <v>3.1236259999999998</v>
      </c>
      <c r="F26">
        <v>-7.5115809999999996</v>
      </c>
      <c r="G26">
        <v>2.5316070000000002</v>
      </c>
      <c r="H26">
        <v>0.34284399999999998</v>
      </c>
      <c r="I26">
        <v>-1.2121379999999999</v>
      </c>
      <c r="J26">
        <v>-0.53581699999999999</v>
      </c>
      <c r="K26">
        <v>-3.564041</v>
      </c>
      <c r="L26">
        <v>-3.5345650000000002</v>
      </c>
      <c r="M26">
        <v>-1.33575</v>
      </c>
      <c r="N26">
        <v>-3.4302519999999999</v>
      </c>
      <c r="O26">
        <v>1.448706</v>
      </c>
      <c r="P26">
        <v>-5.1210089999999999</v>
      </c>
      <c r="Q26">
        <v>-3.7215780000000001</v>
      </c>
      <c r="R26">
        <v>3.0446170000000001</v>
      </c>
      <c r="S26">
        <v>-0.80539899999999998</v>
      </c>
      <c r="T26">
        <v>1.4462809999999999</v>
      </c>
      <c r="U26">
        <v>1.73346</v>
      </c>
      <c r="V26">
        <v>10.085884</v>
      </c>
      <c r="W26">
        <v>2.6298080000000001</v>
      </c>
      <c r="X26">
        <v>1.930123</v>
      </c>
      <c r="Y26">
        <v>2.9606379999999999</v>
      </c>
      <c r="Z26">
        <v>2.9763920000000001</v>
      </c>
      <c r="AA26">
        <v>-2.3494160000000002</v>
      </c>
      <c r="AB26" t="s">
        <v>2218</v>
      </c>
    </row>
    <row r="27" spans="1:28" x14ac:dyDescent="0.25">
      <c r="A27" t="s">
        <v>2236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0.94167000000000001</v>
      </c>
      <c r="O27">
        <v>-0.57656499999999999</v>
      </c>
      <c r="P27">
        <v>0.97556399999999999</v>
      </c>
      <c r="Q27">
        <v>-1.4042399999999999</v>
      </c>
      <c r="R27">
        <v>6.8447690000000003</v>
      </c>
      <c r="S27">
        <v>-5.7953929999999998</v>
      </c>
      <c r="T27">
        <v>-4.9940309999999997</v>
      </c>
      <c r="U27">
        <v>-1.823847</v>
      </c>
      <c r="V27">
        <v>5.3426739999999997</v>
      </c>
      <c r="W27">
        <v>-1.2305619999999999</v>
      </c>
      <c r="X27">
        <v>4.7897939999999997</v>
      </c>
      <c r="Y27">
        <v>8.92014</v>
      </c>
      <c r="Z27">
        <v>-0.45650499999999999</v>
      </c>
      <c r="AA27">
        <v>-6.2271530000000004</v>
      </c>
      <c r="AB27" t="s">
        <v>2218</v>
      </c>
    </row>
    <row r="28" spans="1:28" x14ac:dyDescent="0.25">
      <c r="A28" t="s">
        <v>2237</v>
      </c>
      <c r="D28" t="s">
        <v>2218</v>
      </c>
      <c r="E28">
        <v>5.4345249999999998</v>
      </c>
      <c r="F28">
        <v>5.4088789999999998</v>
      </c>
      <c r="G28">
        <v>14.983223000000001</v>
      </c>
      <c r="H28">
        <v>12.108254000000001</v>
      </c>
      <c r="I28">
        <v>11.806442000000001</v>
      </c>
      <c r="J28">
        <v>-13.567988</v>
      </c>
      <c r="K28">
        <v>27.540762999999998</v>
      </c>
      <c r="L28">
        <v>1.353084</v>
      </c>
      <c r="M28">
        <v>9.0420649999999991</v>
      </c>
      <c r="N28">
        <v>11.626275</v>
      </c>
      <c r="O28">
        <v>-4.9708259999999997</v>
      </c>
      <c r="P28">
        <v>5.6464129999999999</v>
      </c>
      <c r="Q28">
        <v>-2.8240470000000002</v>
      </c>
      <c r="R28">
        <v>-7.1183370000000004</v>
      </c>
      <c r="S28">
        <v>-21.540322</v>
      </c>
      <c r="T28">
        <v>29.904292000000002</v>
      </c>
      <c r="U28">
        <v>8.9872069999999997</v>
      </c>
      <c r="V28">
        <v>-3.4521359999999999</v>
      </c>
      <c r="W28">
        <v>2.5845880000000001</v>
      </c>
      <c r="X28">
        <v>-0.63996699999999995</v>
      </c>
      <c r="Y28">
        <v>-7.4401869999999999</v>
      </c>
      <c r="Z28">
        <v>8.4225220000000007</v>
      </c>
      <c r="AA28">
        <v>7.5300310000000001</v>
      </c>
      <c r="AB28">
        <v>0.51915</v>
      </c>
    </row>
    <row r="29" spans="1:28" x14ac:dyDescent="0.25">
      <c r="A29" t="s">
        <v>2238</v>
      </c>
      <c r="D29" t="s">
        <v>2218</v>
      </c>
      <c r="E29">
        <v>5.0210920000000003</v>
      </c>
      <c r="F29">
        <v>8.2254430000000003</v>
      </c>
      <c r="G29">
        <v>17.779761000000001</v>
      </c>
      <c r="H29">
        <v>-8.4156849999999999</v>
      </c>
      <c r="I29">
        <v>-10.575374999999999</v>
      </c>
      <c r="J29">
        <v>9.1571010000000008</v>
      </c>
      <c r="K29">
        <v>5.9889749999999999</v>
      </c>
      <c r="L29">
        <v>7.5809959999999998</v>
      </c>
      <c r="M29">
        <v>4.4894299999999996</v>
      </c>
      <c r="N29">
        <v>3.6216270000000002</v>
      </c>
      <c r="O29">
        <v>2.6924579999999998</v>
      </c>
      <c r="P29">
        <v>25.086075000000001</v>
      </c>
      <c r="Q29">
        <v>7.705851</v>
      </c>
      <c r="R29">
        <v>-25.874904999999998</v>
      </c>
      <c r="S29">
        <v>23.502483999999999</v>
      </c>
      <c r="T29">
        <v>22.281106999999999</v>
      </c>
      <c r="U29">
        <v>-8.7238050000000005</v>
      </c>
      <c r="V29">
        <v>-1.5594889999999999</v>
      </c>
      <c r="W29">
        <v>13.245018</v>
      </c>
      <c r="X29">
        <v>-5.8295950000000003</v>
      </c>
      <c r="Y29">
        <v>-5.609979</v>
      </c>
      <c r="Z29">
        <v>10.94905</v>
      </c>
      <c r="AA29">
        <v>8.1790210000000005</v>
      </c>
      <c r="AB29">
        <v>5.2213000000000002E-2</v>
      </c>
    </row>
    <row r="30" spans="1:28" x14ac:dyDescent="0.25">
      <c r="A30" t="s">
        <v>2239</v>
      </c>
      <c r="D30" t="s">
        <v>2218</v>
      </c>
      <c r="E30">
        <v>-2.1319689999999998</v>
      </c>
      <c r="F30">
        <v>6.0021469999999999</v>
      </c>
      <c r="G30">
        <v>2.4218639999999998</v>
      </c>
      <c r="H30">
        <v>3.804837</v>
      </c>
      <c r="I30">
        <v>-2.5367519999999999</v>
      </c>
      <c r="J30">
        <v>-5.6400579999999998</v>
      </c>
      <c r="K30">
        <v>0.706287</v>
      </c>
      <c r="L30">
        <v>-1.7425649999999999</v>
      </c>
      <c r="M30">
        <v>1.6984900000000001</v>
      </c>
      <c r="N30">
        <v>-3.873977</v>
      </c>
      <c r="O30">
        <v>2.0428860000000002</v>
      </c>
      <c r="P30">
        <v>14.253489999999999</v>
      </c>
      <c r="Q30">
        <v>-9.0959050000000001</v>
      </c>
      <c r="R30">
        <v>-2.4267590000000001</v>
      </c>
      <c r="S30">
        <v>0.65268899999999996</v>
      </c>
      <c r="T30">
        <v>4.7329840000000001</v>
      </c>
      <c r="U30">
        <v>-9.72424</v>
      </c>
      <c r="V30">
        <v>0.71410899999999999</v>
      </c>
      <c r="W30">
        <v>10.595368000000001</v>
      </c>
      <c r="X30">
        <v>-1.5817410000000001</v>
      </c>
      <c r="Y30">
        <v>0.59689499999999995</v>
      </c>
      <c r="Z30">
        <v>-0.58498499999999998</v>
      </c>
      <c r="AA30">
        <v>7.4168380000000003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2.830562</v>
      </c>
      <c r="U31">
        <v>4.3231020000000004</v>
      </c>
      <c r="V31">
        <v>-2.9796529999999999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-3.3506480000000001</v>
      </c>
      <c r="F32">
        <v>-2.522961</v>
      </c>
      <c r="G32">
        <v>2.2050740000000002</v>
      </c>
      <c r="H32">
        <v>4.5006589999999997</v>
      </c>
      <c r="I32">
        <v>2.9094999999999999E-2</v>
      </c>
      <c r="J32">
        <v>-0.20829700000000001</v>
      </c>
      <c r="K32">
        <v>-1.2104619999999999</v>
      </c>
      <c r="L32">
        <v>-1.9813999999999998E-2</v>
      </c>
      <c r="M32">
        <v>0.251247</v>
      </c>
      <c r="N32">
        <v>4.0470639999999998</v>
      </c>
      <c r="O32">
        <v>2.0356489999999998</v>
      </c>
      <c r="P32">
        <v>3.4170630000000002</v>
      </c>
      <c r="Q32">
        <v>2.2882859999999998</v>
      </c>
      <c r="R32">
        <v>-3.3132130000000002</v>
      </c>
      <c r="S32">
        <v>-7.3131529999999998</v>
      </c>
      <c r="T32">
        <v>1.1885460000000001</v>
      </c>
      <c r="U32">
        <v>-5.6709860000000001</v>
      </c>
      <c r="V32">
        <v>0.418516</v>
      </c>
      <c r="W32">
        <v>6.1366100000000001</v>
      </c>
      <c r="X32">
        <v>7.880179</v>
      </c>
      <c r="Y32">
        <v>7.9097489999999997</v>
      </c>
      <c r="Z32">
        <v>5.1832260000000003</v>
      </c>
      <c r="AA32">
        <v>4.7858809999999998</v>
      </c>
      <c r="AB32">
        <v>1.257098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1.0910599999999999</v>
      </c>
      <c r="U33">
        <v>8.3367020000000007</v>
      </c>
      <c r="V33">
        <v>-2.1204179999999999</v>
      </c>
      <c r="W33">
        <v>-5.1644079999999999</v>
      </c>
      <c r="X33">
        <v>-2.992988</v>
      </c>
      <c r="Y33">
        <v>5.1018739999999996</v>
      </c>
      <c r="Z33">
        <v>0.69459300000000002</v>
      </c>
      <c r="AA33">
        <v>5.576943</v>
      </c>
      <c r="AB33" t="s">
        <v>2218</v>
      </c>
    </row>
    <row r="34" spans="1:28" x14ac:dyDescent="0.25">
      <c r="A34" t="s">
        <v>2243</v>
      </c>
      <c r="D34">
        <v>-0.78476599999999996</v>
      </c>
      <c r="E34">
        <v>-2.2061449999999998</v>
      </c>
      <c r="F34">
        <v>0.39374900000000002</v>
      </c>
      <c r="G34">
        <v>-1.5098830000000001</v>
      </c>
      <c r="H34">
        <v>-3.0074190000000001</v>
      </c>
      <c r="I34">
        <v>1.203981</v>
      </c>
      <c r="J34">
        <v>-2.7357459999999998</v>
      </c>
      <c r="K34">
        <v>-0.48394900000000002</v>
      </c>
      <c r="L34">
        <v>-2.3861059999999998</v>
      </c>
      <c r="M34">
        <v>1.40019</v>
      </c>
      <c r="N34">
        <v>-0.36380099999999999</v>
      </c>
      <c r="O34">
        <v>-0.49684400000000001</v>
      </c>
      <c r="P34">
        <v>0.82502299999999995</v>
      </c>
      <c r="Q34">
        <v>-1.2468319999999999</v>
      </c>
      <c r="R34">
        <v>-3.1926679999999998</v>
      </c>
      <c r="S34">
        <v>-1.001396</v>
      </c>
      <c r="T34">
        <v>-1.063825</v>
      </c>
      <c r="U34">
        <v>1.3175730000000001</v>
      </c>
      <c r="V34">
        <v>-0.78771400000000003</v>
      </c>
      <c r="W34">
        <v>-0.49084100000000003</v>
      </c>
      <c r="X34">
        <v>-0.45786399999999999</v>
      </c>
      <c r="Y34">
        <v>0.98172800000000005</v>
      </c>
      <c r="Z34">
        <v>-0.859931</v>
      </c>
      <c r="AA34">
        <v>-0.10702399999999999</v>
      </c>
      <c r="AB34" t="s">
        <v>2218</v>
      </c>
    </row>
    <row r="35" spans="1:28" x14ac:dyDescent="0.25">
      <c r="A35" t="s">
        <v>2244</v>
      </c>
      <c r="D35" t="s">
        <v>2218</v>
      </c>
      <c r="E35">
        <v>-5.360252</v>
      </c>
      <c r="F35">
        <v>-3.4258259999999998</v>
      </c>
      <c r="G35">
        <v>1.0376920000000001</v>
      </c>
      <c r="H35">
        <v>2.705756</v>
      </c>
      <c r="I35">
        <v>12.767595</v>
      </c>
      <c r="J35">
        <v>-30.037108</v>
      </c>
      <c r="K35">
        <v>4.687195</v>
      </c>
      <c r="L35">
        <v>3.2339560000000001</v>
      </c>
      <c r="M35">
        <v>0.92700300000000002</v>
      </c>
      <c r="N35">
        <v>-6.4305000000000001E-2</v>
      </c>
      <c r="O35">
        <v>-1.8141780000000001</v>
      </c>
      <c r="P35">
        <v>-10.307713</v>
      </c>
      <c r="Q35">
        <v>-11.445093</v>
      </c>
      <c r="R35">
        <v>4.2546780000000002</v>
      </c>
      <c r="S35">
        <v>10.097315999999999</v>
      </c>
      <c r="T35">
        <v>11.125904999999999</v>
      </c>
      <c r="U35">
        <v>-1.1710229999999999</v>
      </c>
      <c r="V35">
        <v>0.528115</v>
      </c>
      <c r="W35">
        <v>9.9520789999999995</v>
      </c>
      <c r="X35">
        <v>4.3676599999999999</v>
      </c>
      <c r="Y35">
        <v>-9.6432359999999999</v>
      </c>
      <c r="Z35">
        <v>6.9967540000000001</v>
      </c>
      <c r="AA35">
        <v>9.5148060000000001</v>
      </c>
      <c r="AB35">
        <v>-1.094258</v>
      </c>
    </row>
    <row r="36" spans="1:28" x14ac:dyDescent="0.25">
      <c r="A36" t="s">
        <v>2245</v>
      </c>
      <c r="D36" t="s">
        <v>2218</v>
      </c>
      <c r="E36">
        <v>-0.336951</v>
      </c>
      <c r="F36">
        <v>0.82197100000000001</v>
      </c>
      <c r="G36">
        <v>-4.3612229999999998</v>
      </c>
      <c r="H36">
        <v>-2.2214420000000001</v>
      </c>
      <c r="I36">
        <v>-3.5106600000000001</v>
      </c>
      <c r="J36">
        <v>4.6170179999999998</v>
      </c>
      <c r="K36">
        <v>-8.6072290000000002</v>
      </c>
      <c r="L36">
        <v>-2.73055</v>
      </c>
      <c r="M36">
        <v>4.3624080000000003</v>
      </c>
      <c r="N36">
        <v>-0.67067900000000003</v>
      </c>
      <c r="O36">
        <v>-0.40341500000000002</v>
      </c>
      <c r="P36">
        <v>0.76993900000000004</v>
      </c>
      <c r="Q36">
        <v>-1.5236590000000001</v>
      </c>
      <c r="R36">
        <v>-2.095507</v>
      </c>
      <c r="S36">
        <v>-2.3904489999999998</v>
      </c>
      <c r="T36">
        <v>3.1191770000000001</v>
      </c>
      <c r="U36">
        <v>6.3590059999999999</v>
      </c>
      <c r="V36">
        <v>4.0356399999999999</v>
      </c>
      <c r="W36">
        <v>-3.703865</v>
      </c>
      <c r="X36">
        <v>-1.2546310000000001</v>
      </c>
      <c r="Y36">
        <v>0.65028799999999998</v>
      </c>
      <c r="Z36">
        <v>0.68972999999999995</v>
      </c>
      <c r="AA36">
        <v>0.83703399999999994</v>
      </c>
      <c r="AB36">
        <v>5.6272799999999998</v>
      </c>
    </row>
    <row r="37" spans="1:28" x14ac:dyDescent="0.25">
      <c r="A37" t="s">
        <v>2246</v>
      </c>
      <c r="D37" t="s">
        <v>2218</v>
      </c>
      <c r="E37">
        <v>33.776480999999997</v>
      </c>
      <c r="F37">
        <v>-0.37490000000000001</v>
      </c>
      <c r="G37">
        <v>10.399611</v>
      </c>
      <c r="H37">
        <v>-17.220938</v>
      </c>
      <c r="I37">
        <v>11.106035</v>
      </c>
      <c r="J37">
        <v>1.7680849999999999</v>
      </c>
      <c r="K37">
        <v>12.351895000000001</v>
      </c>
      <c r="L37">
        <v>-9.2532010000000007</v>
      </c>
      <c r="M37">
        <v>7.0723390000000004</v>
      </c>
      <c r="N37">
        <v>-2.6073</v>
      </c>
      <c r="O37">
        <v>12.881769999999999</v>
      </c>
      <c r="P37">
        <v>5.4201009999999998</v>
      </c>
      <c r="Q37">
        <v>12.658382</v>
      </c>
      <c r="R37">
        <v>-5.2351580000000002</v>
      </c>
      <c r="S37">
        <v>-4.2181350000000002</v>
      </c>
      <c r="T37">
        <v>9.9157440000000001</v>
      </c>
      <c r="U37">
        <v>9.4093029999999995</v>
      </c>
      <c r="V37">
        <v>-12.284716</v>
      </c>
      <c r="W37">
        <v>9.0975070000000002</v>
      </c>
      <c r="X37">
        <v>1.2886470000000001</v>
      </c>
      <c r="Y37">
        <v>-2.1423410000000001</v>
      </c>
      <c r="Z37">
        <v>7.6180599999999998</v>
      </c>
      <c r="AA37">
        <v>-4.4209370000000003</v>
      </c>
      <c r="AB37">
        <v>-3.3248039999999999</v>
      </c>
    </row>
    <row r="38" spans="1:28" x14ac:dyDescent="0.25">
      <c r="A38" t="s">
        <v>2247</v>
      </c>
      <c r="D38" t="s">
        <v>2218</v>
      </c>
      <c r="E38">
        <v>9.7249189999999999</v>
      </c>
      <c r="F38">
        <v>3.3827889999999998</v>
      </c>
      <c r="G38">
        <v>0.478047</v>
      </c>
      <c r="H38">
        <v>6.4833049999999997</v>
      </c>
      <c r="I38">
        <v>-6.2629029999999997</v>
      </c>
      <c r="J38">
        <v>-0.96405200000000002</v>
      </c>
      <c r="K38">
        <v>2.0449060000000001</v>
      </c>
      <c r="L38">
        <v>5.766362</v>
      </c>
      <c r="M38">
        <v>2.159815</v>
      </c>
      <c r="N38">
        <v>-8.7817000000000006E-2</v>
      </c>
      <c r="O38">
        <v>7.5360620000000003</v>
      </c>
      <c r="P38">
        <v>4.5095590000000003</v>
      </c>
      <c r="Q38">
        <v>-6.5296289999999999</v>
      </c>
      <c r="R38">
        <v>-12.968292999999999</v>
      </c>
      <c r="S38">
        <v>-10.001764</v>
      </c>
      <c r="T38">
        <v>2.4614050000000001</v>
      </c>
      <c r="U38">
        <v>-0.29065600000000003</v>
      </c>
      <c r="V38">
        <v>-2.3817309999999998</v>
      </c>
      <c r="W38">
        <v>11.015694</v>
      </c>
      <c r="X38">
        <v>-3.7790020000000002</v>
      </c>
      <c r="Y38">
        <v>-2.5732279999999998</v>
      </c>
      <c r="Z38">
        <v>5.9129959999999997</v>
      </c>
      <c r="AA38">
        <v>1.4209050000000001</v>
      </c>
      <c r="AB38">
        <v>-3.5240450000000001</v>
      </c>
    </row>
    <row r="39" spans="1:28" x14ac:dyDescent="0.25">
      <c r="A39" t="s">
        <v>2248</v>
      </c>
      <c r="D39" t="s">
        <v>2218</v>
      </c>
      <c r="E39">
        <v>-2.2339150000000001</v>
      </c>
      <c r="F39">
        <v>-5.8457650000000001</v>
      </c>
      <c r="G39">
        <v>-3.132914</v>
      </c>
      <c r="H39">
        <v>-4.8817620000000002</v>
      </c>
      <c r="I39">
        <v>-6.1881490000000001</v>
      </c>
      <c r="J39">
        <v>-0.281837</v>
      </c>
      <c r="K39">
        <v>-0.69808300000000001</v>
      </c>
      <c r="L39">
        <v>-1.9892339999999999</v>
      </c>
      <c r="M39">
        <v>-3.844074</v>
      </c>
      <c r="N39">
        <v>-3.4940570000000002</v>
      </c>
      <c r="O39">
        <v>-3.4762599999999999</v>
      </c>
      <c r="P39">
        <v>-4.1863239999999999</v>
      </c>
      <c r="Q39">
        <v>11.760608</v>
      </c>
      <c r="R39">
        <v>18.452133</v>
      </c>
      <c r="S39">
        <v>-3.0079280000000002</v>
      </c>
      <c r="T39">
        <v>1.8561240000000001</v>
      </c>
      <c r="U39">
        <v>8.1844439999999992</v>
      </c>
      <c r="V39">
        <v>1.9903740000000001</v>
      </c>
      <c r="W39">
        <v>1.6916880000000001</v>
      </c>
      <c r="X39">
        <v>-1.2262580000000001</v>
      </c>
      <c r="Y39">
        <v>2.400954</v>
      </c>
      <c r="Z39">
        <v>-1.7857999999999999E-2</v>
      </c>
      <c r="AA39">
        <v>-1.6941520000000001</v>
      </c>
      <c r="AB39">
        <v>-1.659033</v>
      </c>
    </row>
    <row r="40" spans="1:28" x14ac:dyDescent="0.25">
      <c r="A40" t="s">
        <v>2249</v>
      </c>
      <c r="D40">
        <v>1.5133460000000001</v>
      </c>
      <c r="E40">
        <v>5.1778919999999999</v>
      </c>
      <c r="F40">
        <v>0.62068699999999999</v>
      </c>
      <c r="G40">
        <v>-0.146984</v>
      </c>
      <c r="H40">
        <v>-0.714059</v>
      </c>
      <c r="I40">
        <v>-0.76305699999999999</v>
      </c>
      <c r="J40">
        <v>-0.681149</v>
      </c>
      <c r="K40">
        <v>1.1566860000000001</v>
      </c>
      <c r="L40">
        <v>1.4067350000000001</v>
      </c>
      <c r="M40">
        <v>4.8571819999999999</v>
      </c>
      <c r="N40">
        <v>-1.346352</v>
      </c>
      <c r="O40">
        <v>4.1220030000000003</v>
      </c>
      <c r="P40">
        <v>-1.4546460000000001</v>
      </c>
      <c r="Q40">
        <v>-12.531257</v>
      </c>
      <c r="R40">
        <v>1.6538090000000001</v>
      </c>
      <c r="S40">
        <v>-2.6436679999999999</v>
      </c>
      <c r="T40">
        <v>-2.002605</v>
      </c>
      <c r="U40">
        <v>-2.3274409999999999</v>
      </c>
      <c r="V40">
        <v>-4.5077309999999997</v>
      </c>
      <c r="W40">
        <v>0.97686700000000004</v>
      </c>
      <c r="X40">
        <v>3.5931039999999999</v>
      </c>
      <c r="Y40">
        <v>-2.121839</v>
      </c>
      <c r="Z40">
        <v>-0.40975899999999998</v>
      </c>
      <c r="AA40">
        <v>-0.17835999999999999</v>
      </c>
      <c r="AB40">
        <v>0.90396600000000005</v>
      </c>
    </row>
    <row r="41" spans="1:28" x14ac:dyDescent="0.25">
      <c r="A41" t="s">
        <v>2250</v>
      </c>
      <c r="D41" t="s">
        <v>2218</v>
      </c>
      <c r="E41">
        <v>-1.0333559999999999</v>
      </c>
      <c r="F41">
        <v>-4.5070430000000004</v>
      </c>
      <c r="G41">
        <v>3.5681099999999999</v>
      </c>
      <c r="H41">
        <v>0.119989</v>
      </c>
      <c r="I41">
        <v>-0.69937099999999996</v>
      </c>
      <c r="J41">
        <v>-1.2540249999999999</v>
      </c>
      <c r="K41">
        <v>5.9111960000000003</v>
      </c>
      <c r="L41">
        <v>1.8848419999999999</v>
      </c>
      <c r="M41">
        <v>-1.0726500000000001</v>
      </c>
      <c r="N41">
        <v>1.1037140000000001</v>
      </c>
      <c r="O41">
        <v>-4.122941</v>
      </c>
      <c r="P41">
        <v>-4.3984430000000003</v>
      </c>
      <c r="Q41">
        <v>0.64627500000000004</v>
      </c>
      <c r="R41">
        <v>2.3326549999999999</v>
      </c>
      <c r="S41">
        <v>4.3157249999999996</v>
      </c>
      <c r="T41">
        <v>-1.8426039999999999</v>
      </c>
      <c r="U41">
        <v>-0.209781</v>
      </c>
      <c r="V41">
        <v>0.70007900000000001</v>
      </c>
      <c r="W41">
        <v>0.93200000000000005</v>
      </c>
      <c r="X41">
        <v>-1.0488949999999999</v>
      </c>
      <c r="Y41">
        <v>0.95513700000000001</v>
      </c>
      <c r="Z41">
        <v>0.42376399999999997</v>
      </c>
      <c r="AA41">
        <v>1.4667680000000001</v>
      </c>
      <c r="AB41" t="s">
        <v>2218</v>
      </c>
    </row>
    <row r="42" spans="1:28" x14ac:dyDescent="0.25">
      <c r="A42" t="s">
        <v>2251</v>
      </c>
      <c r="D42">
        <v>1.427535</v>
      </c>
      <c r="E42">
        <v>2.7783500000000001</v>
      </c>
      <c r="F42">
        <v>1.591321</v>
      </c>
      <c r="G42">
        <v>-1.0318499999999999</v>
      </c>
      <c r="H42">
        <v>0.339949</v>
      </c>
      <c r="I42">
        <v>-0.14799200000000001</v>
      </c>
      <c r="J42">
        <v>-0.131773</v>
      </c>
      <c r="K42">
        <v>3.8203580000000001</v>
      </c>
      <c r="L42">
        <v>1.7533570000000001</v>
      </c>
      <c r="M42">
        <v>2.2372510000000001</v>
      </c>
      <c r="N42">
        <v>-4.7486769999999998</v>
      </c>
      <c r="O42">
        <v>-0.737784</v>
      </c>
      <c r="P42">
        <v>-0.84438800000000003</v>
      </c>
      <c r="Q42">
        <v>-2.8567209999999998</v>
      </c>
      <c r="R42">
        <v>-9.7647469999999998</v>
      </c>
      <c r="S42">
        <v>14.617552</v>
      </c>
      <c r="T42">
        <v>2.7143600000000001</v>
      </c>
      <c r="U42">
        <v>-6.5393309999999998</v>
      </c>
      <c r="V42">
        <v>1.711427</v>
      </c>
      <c r="W42">
        <v>6.4256149999999996</v>
      </c>
      <c r="X42">
        <v>1.402433</v>
      </c>
      <c r="Y42">
        <v>0.12303799999999999</v>
      </c>
      <c r="Z42">
        <v>2.2017009999999999</v>
      </c>
      <c r="AA42">
        <v>-0.33239000000000002</v>
      </c>
      <c r="AB42">
        <v>2.8399130000000001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-4.2258820000000004</v>
      </c>
      <c r="K43">
        <v>-1.5731790000000001</v>
      </c>
      <c r="L43">
        <v>5.0534999999999997E-2</v>
      </c>
      <c r="M43">
        <v>-2.4925519999999999</v>
      </c>
      <c r="N43">
        <v>-3.4100700000000002</v>
      </c>
      <c r="O43">
        <v>-6.6950589999999996</v>
      </c>
      <c r="P43">
        <v>-3.9642940000000002</v>
      </c>
      <c r="Q43">
        <v>-2.5024130000000002</v>
      </c>
      <c r="R43">
        <v>-2.8856649999999999</v>
      </c>
      <c r="S43">
        <v>1.3764780000000001</v>
      </c>
      <c r="T43">
        <v>-1.1999029999999999</v>
      </c>
      <c r="U43">
        <v>3.6011839999999999</v>
      </c>
      <c r="V43">
        <v>-0.90868899999999997</v>
      </c>
      <c r="W43">
        <v>-4.2642379999999998</v>
      </c>
      <c r="X43">
        <v>2.910644</v>
      </c>
      <c r="Y43">
        <v>-0.58345800000000003</v>
      </c>
      <c r="Z43">
        <v>-2.6492789999999999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-1.26024</v>
      </c>
      <c r="F44">
        <v>-1.2435259999999999</v>
      </c>
      <c r="G44">
        <v>-0.52312499999999995</v>
      </c>
      <c r="H44">
        <v>4.4119999999999999E-2</v>
      </c>
      <c r="I44">
        <v>-0.481012</v>
      </c>
      <c r="J44">
        <v>8.6979000000000001E-2</v>
      </c>
      <c r="K44">
        <v>-0.50428099999999998</v>
      </c>
      <c r="L44">
        <v>0.41515000000000002</v>
      </c>
      <c r="M44">
        <v>0.24133299999999999</v>
      </c>
      <c r="N44">
        <v>-2.2822490000000002</v>
      </c>
      <c r="O44">
        <v>9.6612000000000003E-2</v>
      </c>
      <c r="P44">
        <v>-2.4877910000000001</v>
      </c>
      <c r="Q44">
        <v>0.47017199999999998</v>
      </c>
      <c r="R44">
        <v>-0.189081</v>
      </c>
      <c r="S44">
        <v>-0.21187300000000001</v>
      </c>
      <c r="T44">
        <v>0.658636</v>
      </c>
      <c r="U44">
        <v>-1.1681010000000001</v>
      </c>
      <c r="V44">
        <v>-0.38978499999999999</v>
      </c>
      <c r="W44">
        <v>0.36074299999999998</v>
      </c>
      <c r="X44">
        <v>0.40600199999999997</v>
      </c>
      <c r="Y44">
        <v>1.5617989999999999</v>
      </c>
      <c r="Z44">
        <v>1.1046959999999999</v>
      </c>
      <c r="AA44">
        <v>0.87518899999999999</v>
      </c>
      <c r="AB44">
        <v>0.59411499999999995</v>
      </c>
    </row>
    <row r="45" spans="1:28" x14ac:dyDescent="0.25">
      <c r="A45" t="s">
        <v>2254</v>
      </c>
      <c r="D45" t="s">
        <v>2218</v>
      </c>
      <c r="E45">
        <v>-0.57764199999999999</v>
      </c>
      <c r="F45">
        <v>-1.0595019999999999</v>
      </c>
      <c r="G45">
        <v>-0.21579200000000001</v>
      </c>
      <c r="H45">
        <v>0.61231800000000003</v>
      </c>
      <c r="I45">
        <v>0.82751399999999997</v>
      </c>
      <c r="J45">
        <v>-1.712734</v>
      </c>
      <c r="K45">
        <v>1.057976</v>
      </c>
      <c r="L45">
        <v>1.0109079999999999</v>
      </c>
      <c r="M45">
        <v>1.3288869999999999</v>
      </c>
      <c r="N45">
        <v>-2.7668539999999999</v>
      </c>
      <c r="O45">
        <v>-0.41897899999999999</v>
      </c>
      <c r="P45">
        <v>-3.0207850000000001</v>
      </c>
      <c r="Q45">
        <v>-1.4174599999999999</v>
      </c>
      <c r="R45">
        <v>-2.0954959999999998</v>
      </c>
      <c r="S45">
        <v>1.943668</v>
      </c>
      <c r="T45">
        <v>0.99905299999999997</v>
      </c>
      <c r="U45">
        <v>-2.1369090000000002</v>
      </c>
      <c r="V45">
        <v>0.246341</v>
      </c>
      <c r="W45">
        <v>2.087707</v>
      </c>
      <c r="X45">
        <v>1.248389</v>
      </c>
      <c r="Y45">
        <v>0.56399500000000002</v>
      </c>
      <c r="Z45">
        <v>1.4313180000000001</v>
      </c>
      <c r="AA45">
        <v>1.1281220000000001</v>
      </c>
      <c r="AB45">
        <v>0.809307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-2.0737260000000002</v>
      </c>
      <c r="K46">
        <v>0.35455999999999999</v>
      </c>
      <c r="L46">
        <v>-5.7325340000000002</v>
      </c>
      <c r="M46">
        <v>6.7883310000000003</v>
      </c>
      <c r="N46">
        <v>-6.4634349999999996</v>
      </c>
      <c r="O46">
        <v>-0.804087</v>
      </c>
      <c r="P46">
        <v>3.9539089999999999</v>
      </c>
      <c r="Q46">
        <v>6.9249999999999997E-3</v>
      </c>
      <c r="R46">
        <v>1.154231</v>
      </c>
      <c r="S46">
        <v>4.2405530000000002</v>
      </c>
      <c r="T46">
        <v>4.8428170000000001</v>
      </c>
      <c r="U46">
        <v>-2.5778560000000001</v>
      </c>
      <c r="V46">
        <v>1.7674350000000001</v>
      </c>
      <c r="W46">
        <v>-5.7876940000000001</v>
      </c>
      <c r="X46">
        <v>-3.641292</v>
      </c>
      <c r="Y46">
        <v>-3.2094740000000002</v>
      </c>
      <c r="Z46">
        <v>-5.1955720000000003</v>
      </c>
      <c r="AA46" t="s">
        <v>2218</v>
      </c>
      <c r="AB46" t="s">
        <v>2218</v>
      </c>
    </row>
    <row r="47" spans="1:28" x14ac:dyDescent="0.25">
      <c r="B47" t="s">
        <v>2257</v>
      </c>
      <c r="D47">
        <v>10.241019</v>
      </c>
      <c r="E47">
        <v>-6.6095509999999997</v>
      </c>
      <c r="F47">
        <v>-16.257428999999998</v>
      </c>
      <c r="G47">
        <v>20.542321000000001</v>
      </c>
      <c r="H47">
        <v>-2.804891</v>
      </c>
      <c r="I47">
        <v>-6.5654300000000001</v>
      </c>
      <c r="J47">
        <v>7.3232660000000003</v>
      </c>
      <c r="K47">
        <v>0.48199199999999998</v>
      </c>
      <c r="L47">
        <v>3.915845</v>
      </c>
      <c r="M47">
        <v>8.9501910000000002</v>
      </c>
      <c r="N47">
        <v>-4.0995999999999997</v>
      </c>
      <c r="O47">
        <v>3.258175</v>
      </c>
      <c r="P47">
        <v>1.2928999999999999</v>
      </c>
      <c r="Q47">
        <v>11.555216</v>
      </c>
      <c r="R47">
        <v>17.005065999999999</v>
      </c>
      <c r="S47">
        <v>11.850882</v>
      </c>
      <c r="T47">
        <v>-1.496003</v>
      </c>
      <c r="U47">
        <v>-8.0809949999999997</v>
      </c>
      <c r="V47">
        <v>0.46480500000000002</v>
      </c>
      <c r="W47">
        <v>-15.728070000000001</v>
      </c>
      <c r="X47">
        <v>9.0390230000000003</v>
      </c>
      <c r="Y47">
        <v>2.526192</v>
      </c>
      <c r="Z47">
        <v>-6.0810050000000002</v>
      </c>
      <c r="AA47">
        <v>-2.7169029999999998</v>
      </c>
      <c r="AB47" t="s">
        <v>2218</v>
      </c>
    </row>
    <row r="48" spans="1:28" x14ac:dyDescent="0.25">
      <c r="A48" t="s">
        <v>2264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2265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2266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3.3717009999999998</v>
      </c>
      <c r="E9">
        <v>5.638992</v>
      </c>
      <c r="F9">
        <v>1.9136200000000001</v>
      </c>
      <c r="G9">
        <v>2.9850639999999999</v>
      </c>
      <c r="H9">
        <v>5.5192259999999997</v>
      </c>
      <c r="I9">
        <v>0.352105</v>
      </c>
      <c r="J9">
        <v>1.586721</v>
      </c>
      <c r="K9">
        <v>0.19187000000000001</v>
      </c>
      <c r="L9">
        <v>6.4859220000000004</v>
      </c>
      <c r="M9">
        <v>-0.68389800000000001</v>
      </c>
      <c r="N9">
        <v>3.3535620000000002</v>
      </c>
      <c r="O9">
        <v>1.2410870000000001</v>
      </c>
      <c r="P9">
        <v>1.635964</v>
      </c>
      <c r="Q9">
        <v>-1.3057160000000001</v>
      </c>
      <c r="R9">
        <v>1.8082100000000001</v>
      </c>
      <c r="S9">
        <v>0.61063199999999995</v>
      </c>
      <c r="T9">
        <v>7.0487849999999996</v>
      </c>
      <c r="U9">
        <v>-2.3700999999999999</v>
      </c>
      <c r="V9">
        <v>1.8115410000000001</v>
      </c>
      <c r="W9">
        <v>0.52598500000000004</v>
      </c>
      <c r="X9">
        <v>1.397044</v>
      </c>
      <c r="Y9">
        <v>1.196504</v>
      </c>
      <c r="Z9">
        <v>2.0183469999999999</v>
      </c>
      <c r="AA9" t="s">
        <v>2218</v>
      </c>
      <c r="AB9" t="s">
        <v>2218</v>
      </c>
    </row>
    <row r="10" spans="1:28" x14ac:dyDescent="0.25">
      <c r="A10" t="s">
        <v>2219</v>
      </c>
      <c r="D10">
        <v>3.982246</v>
      </c>
      <c r="E10">
        <v>0.62006300000000003</v>
      </c>
      <c r="F10">
        <v>1.204599</v>
      </c>
      <c r="G10">
        <v>3.7801469999999999</v>
      </c>
      <c r="H10">
        <v>0.54193999999999998</v>
      </c>
      <c r="I10">
        <v>2.7661039999999999</v>
      </c>
      <c r="J10">
        <v>-0.91911399999999999</v>
      </c>
      <c r="K10">
        <v>2.6926169999999998</v>
      </c>
      <c r="L10">
        <v>-0.443081</v>
      </c>
      <c r="M10">
        <v>1.1859120000000001</v>
      </c>
      <c r="N10">
        <v>0.32640200000000003</v>
      </c>
      <c r="O10">
        <v>1.1592640000000001</v>
      </c>
      <c r="P10">
        <v>1.5294110000000001</v>
      </c>
      <c r="Q10">
        <v>-0.53105800000000003</v>
      </c>
      <c r="R10">
        <v>-0.359763</v>
      </c>
      <c r="S10">
        <v>0.88578199999999996</v>
      </c>
      <c r="T10">
        <v>1.070155</v>
      </c>
      <c r="U10">
        <v>-1.60995</v>
      </c>
      <c r="V10">
        <v>-1.7231510000000001</v>
      </c>
      <c r="W10">
        <v>0.59262300000000001</v>
      </c>
      <c r="X10">
        <v>0.25038500000000002</v>
      </c>
      <c r="Y10">
        <v>0.17283899999999999</v>
      </c>
      <c r="Z10">
        <v>-0.18868799999999999</v>
      </c>
      <c r="AA10">
        <v>1.0643739999999999</v>
      </c>
      <c r="AB10">
        <v>1.2860119999999999</v>
      </c>
    </row>
    <row r="11" spans="1:28" x14ac:dyDescent="0.25">
      <c r="A11" t="s">
        <v>2220</v>
      </c>
      <c r="D11" t="s">
        <v>2218</v>
      </c>
      <c r="E11">
        <v>-2.3984519999999998</v>
      </c>
      <c r="F11">
        <v>1.6746780000000001</v>
      </c>
      <c r="G11">
        <v>-2.9861979999999999</v>
      </c>
      <c r="H11">
        <v>1.965668</v>
      </c>
      <c r="I11">
        <v>-0.952017</v>
      </c>
      <c r="J11">
        <v>1.0439940000000001</v>
      </c>
      <c r="K11">
        <v>2.9029950000000002</v>
      </c>
      <c r="L11">
        <v>4.3099610000000004</v>
      </c>
      <c r="M11">
        <v>1.016103</v>
      </c>
      <c r="N11">
        <v>-0.71794899999999995</v>
      </c>
      <c r="O11">
        <v>1.9858720000000001</v>
      </c>
      <c r="P11">
        <v>3.3476249999999999</v>
      </c>
      <c r="Q11">
        <v>0.99480100000000005</v>
      </c>
      <c r="R11">
        <v>-2.3012730000000001</v>
      </c>
      <c r="S11">
        <v>2.2400220000000002</v>
      </c>
      <c r="T11">
        <v>0.92583599999999999</v>
      </c>
      <c r="U11">
        <v>-1.3035479999999999</v>
      </c>
      <c r="V11">
        <v>0.57879800000000003</v>
      </c>
      <c r="W11">
        <v>1.3687020000000001</v>
      </c>
      <c r="X11">
        <v>1.6849529999999999</v>
      </c>
      <c r="Y11">
        <v>0.41509600000000002</v>
      </c>
      <c r="Z11">
        <v>-1.409581</v>
      </c>
      <c r="AA11">
        <v>0.94902200000000003</v>
      </c>
      <c r="AB11">
        <v>-0.35018700000000003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0.52075400000000005</v>
      </c>
      <c r="R12">
        <v>-2.2243740000000001</v>
      </c>
      <c r="S12">
        <v>2.4851299999999998</v>
      </c>
      <c r="T12">
        <v>2.420007</v>
      </c>
      <c r="U12">
        <v>0.18218999999999999</v>
      </c>
      <c r="V12">
        <v>4.2383259999999998</v>
      </c>
      <c r="W12">
        <v>2.41303</v>
      </c>
      <c r="X12">
        <v>-2.392366</v>
      </c>
      <c r="Y12">
        <v>0.90189900000000001</v>
      </c>
      <c r="Z12">
        <v>1.8243039999999999</v>
      </c>
      <c r="AA12">
        <v>5.7968270000000004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>
        <v>7.3362299999999996</v>
      </c>
      <c r="U13">
        <v>7.8153649999999999</v>
      </c>
      <c r="V13">
        <v>7.7377950000000002</v>
      </c>
      <c r="W13">
        <v>2.659815</v>
      </c>
      <c r="X13">
        <v>0.41534799999999999</v>
      </c>
      <c r="Y13">
        <v>-1.294713</v>
      </c>
      <c r="Z13">
        <v>1.586171</v>
      </c>
      <c r="AA13">
        <v>3.6085340000000001</v>
      </c>
      <c r="AB13" t="s">
        <v>2218</v>
      </c>
    </row>
    <row r="14" spans="1:28" x14ac:dyDescent="0.25">
      <c r="A14" t="s">
        <v>2223</v>
      </c>
      <c r="D14">
        <v>9.0929190000000002</v>
      </c>
      <c r="E14">
        <v>6.8012199999999998</v>
      </c>
      <c r="F14">
        <v>1.772967</v>
      </c>
      <c r="G14">
        <v>2.6012620000000002</v>
      </c>
      <c r="H14">
        <v>4.3144989999999996</v>
      </c>
      <c r="I14">
        <v>4.584009</v>
      </c>
      <c r="J14">
        <v>5.5564289999999996</v>
      </c>
      <c r="K14">
        <v>0.208533</v>
      </c>
      <c r="L14">
        <v>7.4564919999999999</v>
      </c>
      <c r="M14">
        <v>5.1736599999999999</v>
      </c>
      <c r="N14">
        <v>3.5694170000000001</v>
      </c>
      <c r="O14">
        <v>5.135389</v>
      </c>
      <c r="P14">
        <v>5.581232</v>
      </c>
      <c r="Q14">
        <v>-4.9284889999999999</v>
      </c>
      <c r="R14">
        <v>-8.7700270000000007</v>
      </c>
      <c r="S14">
        <v>4.2140209999999998</v>
      </c>
      <c r="T14">
        <v>1.0772109999999999</v>
      </c>
      <c r="U14">
        <v>0.42646899999999999</v>
      </c>
      <c r="V14">
        <v>-0.957731</v>
      </c>
      <c r="W14">
        <v>3.671745</v>
      </c>
      <c r="X14">
        <v>6.7552390000000004</v>
      </c>
      <c r="Y14">
        <v>1.4144190000000001</v>
      </c>
      <c r="Z14">
        <v>1.7504900000000001</v>
      </c>
      <c r="AA14">
        <v>3.5755919999999999</v>
      </c>
      <c r="AB14">
        <v>2.1498759999999999</v>
      </c>
    </row>
    <row r="15" spans="1:28" x14ac:dyDescent="0.25">
      <c r="A15" t="s">
        <v>2224</v>
      </c>
      <c r="D15">
        <v>3.5348549999999999</v>
      </c>
      <c r="E15">
        <v>5.1006030000000004</v>
      </c>
      <c r="F15">
        <v>-0.36904599999999999</v>
      </c>
      <c r="G15">
        <v>-1.0582100000000001</v>
      </c>
      <c r="H15">
        <v>5.4642559999999998</v>
      </c>
      <c r="I15">
        <v>6.0959599999999998</v>
      </c>
      <c r="J15">
        <v>0.47603699999999999</v>
      </c>
      <c r="K15">
        <v>-0.299682</v>
      </c>
      <c r="L15">
        <v>1.2813399999999999</v>
      </c>
      <c r="M15">
        <v>0.26923799999999998</v>
      </c>
      <c r="N15">
        <v>1.221867</v>
      </c>
      <c r="O15">
        <v>3.2408619999999999</v>
      </c>
      <c r="P15">
        <v>-1.2921039999999999</v>
      </c>
      <c r="Q15">
        <v>-8.015644</v>
      </c>
      <c r="R15">
        <v>-2.8602539999999999</v>
      </c>
      <c r="S15">
        <v>6.8915509999999998</v>
      </c>
      <c r="T15">
        <v>1.5444500000000001</v>
      </c>
      <c r="U15">
        <v>-0.90326200000000001</v>
      </c>
      <c r="V15">
        <v>2.8199429999999999</v>
      </c>
      <c r="W15">
        <v>0.247248</v>
      </c>
      <c r="X15">
        <v>1.3969510000000001</v>
      </c>
      <c r="Y15">
        <v>0.63286900000000001</v>
      </c>
      <c r="Z15">
        <v>0.33135199999999998</v>
      </c>
      <c r="AA15">
        <v>1.0773569999999999</v>
      </c>
      <c r="AB15">
        <v>2.0222370000000001</v>
      </c>
    </row>
    <row r="16" spans="1:28" x14ac:dyDescent="0.25">
      <c r="A16" t="s">
        <v>2225</v>
      </c>
      <c r="D16" t="s">
        <v>2218</v>
      </c>
      <c r="E16">
        <v>12.063694</v>
      </c>
      <c r="F16">
        <v>12.723076000000001</v>
      </c>
      <c r="G16">
        <v>7.1192440000000001</v>
      </c>
      <c r="H16">
        <v>4.2788190000000004</v>
      </c>
      <c r="I16">
        <v>6.4220769999999998</v>
      </c>
      <c r="J16">
        <v>4.1503319999999997</v>
      </c>
      <c r="K16">
        <v>5.1814809999999998</v>
      </c>
      <c r="L16">
        <v>11.296818999999999</v>
      </c>
      <c r="M16">
        <v>18.938597000000001</v>
      </c>
      <c r="N16">
        <v>-0.83801400000000004</v>
      </c>
      <c r="O16">
        <v>2.7847230000000001</v>
      </c>
      <c r="P16">
        <v>9.6198879999999996</v>
      </c>
      <c r="Q16">
        <v>-14.803815999999999</v>
      </c>
      <c r="R16">
        <v>-11.241892</v>
      </c>
      <c r="S16">
        <v>13.386637</v>
      </c>
      <c r="T16">
        <v>4.3391200000000003</v>
      </c>
      <c r="U16">
        <v>3.0457209999999999</v>
      </c>
      <c r="V16">
        <v>-0.174786</v>
      </c>
      <c r="W16">
        <v>-1.996632</v>
      </c>
      <c r="X16">
        <v>6.9037000000000001E-2</v>
      </c>
      <c r="Y16">
        <v>1.075637</v>
      </c>
      <c r="Z16">
        <v>2.53566</v>
      </c>
      <c r="AA16">
        <v>4.0186149999999996</v>
      </c>
      <c r="AB16">
        <v>5.7767580000000001</v>
      </c>
    </row>
    <row r="17" spans="1:28" x14ac:dyDescent="0.25">
      <c r="A17" t="s">
        <v>2226</v>
      </c>
      <c r="D17">
        <v>4.0687360000000004</v>
      </c>
      <c r="E17">
        <v>0.21900800000000001</v>
      </c>
      <c r="F17">
        <v>0.93356700000000004</v>
      </c>
      <c r="G17">
        <v>3.4024380000000001</v>
      </c>
      <c r="H17">
        <v>0.53199700000000005</v>
      </c>
      <c r="I17">
        <v>2.2395670000000001</v>
      </c>
      <c r="J17">
        <v>4.7851730000000003</v>
      </c>
      <c r="K17">
        <v>-1.7555259999999999</v>
      </c>
      <c r="L17">
        <v>1.201765</v>
      </c>
      <c r="M17">
        <v>4.0720320000000001</v>
      </c>
      <c r="N17">
        <v>1.3285640000000001</v>
      </c>
      <c r="O17">
        <v>-1.9758230000000001</v>
      </c>
      <c r="P17">
        <v>6.2255520000000004</v>
      </c>
      <c r="Q17">
        <v>4.5450179999999998</v>
      </c>
      <c r="R17">
        <v>-9.2943759999999997</v>
      </c>
      <c r="S17">
        <v>5.8287769999999997</v>
      </c>
      <c r="T17">
        <v>3.2583139999999999</v>
      </c>
      <c r="U17">
        <v>0.14496000000000001</v>
      </c>
      <c r="V17">
        <v>-2.766019</v>
      </c>
      <c r="W17">
        <v>-2.0065539999999999</v>
      </c>
      <c r="X17">
        <v>-1.446582</v>
      </c>
      <c r="Y17">
        <v>1.1229450000000001</v>
      </c>
      <c r="Z17">
        <v>3.8488669999999998</v>
      </c>
      <c r="AA17">
        <v>1.7298530000000001</v>
      </c>
      <c r="AB17">
        <v>0.22875699999999999</v>
      </c>
    </row>
    <row r="18" spans="1:28" x14ac:dyDescent="0.25">
      <c r="A18" t="s">
        <v>2227</v>
      </c>
      <c r="D18">
        <v>2.0297019999999999</v>
      </c>
      <c r="E18">
        <v>0.37656400000000001</v>
      </c>
      <c r="F18">
        <v>4.3558539999999999</v>
      </c>
      <c r="G18">
        <v>4.155913</v>
      </c>
      <c r="H18">
        <v>1.8973</v>
      </c>
      <c r="I18">
        <v>1.050308</v>
      </c>
      <c r="J18">
        <v>-1.0874E-2</v>
      </c>
      <c r="K18">
        <v>-0.90990800000000005</v>
      </c>
      <c r="L18">
        <v>-1.0766420000000001</v>
      </c>
      <c r="M18">
        <v>0.80012399999999995</v>
      </c>
      <c r="N18">
        <v>1.0798160000000001</v>
      </c>
      <c r="O18">
        <v>1.778607</v>
      </c>
      <c r="P18">
        <v>1.9437059999999999</v>
      </c>
      <c r="Q18">
        <v>0.75378000000000001</v>
      </c>
      <c r="R18">
        <v>-4.2308950000000003</v>
      </c>
      <c r="S18">
        <v>1.6470180000000001</v>
      </c>
      <c r="T18">
        <v>2.6253160000000002</v>
      </c>
      <c r="U18">
        <v>-0.48275600000000002</v>
      </c>
      <c r="V18">
        <v>0.90913500000000003</v>
      </c>
      <c r="W18">
        <v>0.97321400000000002</v>
      </c>
      <c r="X18">
        <v>1.3727860000000001</v>
      </c>
      <c r="Y18">
        <v>1.7899290000000001</v>
      </c>
      <c r="Z18">
        <v>1.345877</v>
      </c>
      <c r="AA18">
        <v>-0.30041699999999999</v>
      </c>
      <c r="AB18">
        <v>1.154471</v>
      </c>
    </row>
    <row r="19" spans="1:28" x14ac:dyDescent="0.25">
      <c r="A19" t="s">
        <v>2228</v>
      </c>
      <c r="D19">
        <v>1.719787</v>
      </c>
      <c r="E19">
        <v>-0.359597</v>
      </c>
      <c r="F19">
        <v>1.2800199999999999</v>
      </c>
      <c r="G19">
        <v>1.633408</v>
      </c>
      <c r="H19">
        <v>-0.807342</v>
      </c>
      <c r="I19">
        <v>0.95640899999999995</v>
      </c>
      <c r="J19">
        <v>5.0720330000000002</v>
      </c>
      <c r="K19">
        <v>1.723476</v>
      </c>
      <c r="L19">
        <v>3.5177550000000002</v>
      </c>
      <c r="M19">
        <v>1.6655450000000001</v>
      </c>
      <c r="N19">
        <v>2.8911669999999998</v>
      </c>
      <c r="O19">
        <v>7.6614269999999998</v>
      </c>
      <c r="P19">
        <v>0.98239200000000004</v>
      </c>
      <c r="Q19">
        <v>-0.376998</v>
      </c>
      <c r="R19">
        <v>-6.3042189999999998</v>
      </c>
      <c r="S19">
        <v>-2.0302509999999998</v>
      </c>
      <c r="T19">
        <v>2.863575</v>
      </c>
      <c r="U19">
        <v>1.7313860000000001</v>
      </c>
      <c r="V19">
        <v>-1.149016</v>
      </c>
      <c r="W19">
        <v>1.2216940000000001</v>
      </c>
      <c r="X19">
        <v>1.233023</v>
      </c>
      <c r="Y19">
        <v>0.430786</v>
      </c>
      <c r="Z19">
        <v>1.8931910000000001</v>
      </c>
      <c r="AA19">
        <v>0.51173000000000002</v>
      </c>
      <c r="AB19">
        <v>1.819712</v>
      </c>
    </row>
    <row r="20" spans="1:28" x14ac:dyDescent="0.25">
      <c r="A20" t="s">
        <v>2229</v>
      </c>
      <c r="D20" t="s">
        <v>2218</v>
      </c>
      <c r="E20">
        <v>5.8152869999999997</v>
      </c>
      <c r="F20">
        <v>4.5784960000000003</v>
      </c>
      <c r="G20">
        <v>-1.1165700000000001</v>
      </c>
      <c r="H20">
        <v>0.26257900000000001</v>
      </c>
      <c r="I20">
        <v>7.0666929999999999</v>
      </c>
      <c r="J20">
        <v>0.38101699999999999</v>
      </c>
      <c r="K20">
        <v>2.660704</v>
      </c>
      <c r="L20">
        <v>8.2597760000000005</v>
      </c>
      <c r="M20">
        <v>4.9059980000000003</v>
      </c>
      <c r="N20">
        <v>1.4863280000000001</v>
      </c>
      <c r="O20">
        <v>-3.3793440000000001</v>
      </c>
      <c r="P20">
        <v>3.4315470000000001</v>
      </c>
      <c r="Q20">
        <v>3.2437469999999999</v>
      </c>
      <c r="R20">
        <v>-11.365030000000001</v>
      </c>
      <c r="S20">
        <v>-2.451873</v>
      </c>
      <c r="T20">
        <v>-5.7404739999999999</v>
      </c>
      <c r="U20">
        <v>-9.1546889999999994</v>
      </c>
      <c r="V20">
        <v>-0.34511999999999998</v>
      </c>
      <c r="W20">
        <v>1.6365780000000001</v>
      </c>
      <c r="X20">
        <v>-5.050065</v>
      </c>
      <c r="Y20">
        <v>-5.7372339999999999</v>
      </c>
      <c r="Z20">
        <v>2.2033659999999999</v>
      </c>
      <c r="AA20">
        <v>3.077223</v>
      </c>
      <c r="AB20">
        <v>0.21718399999999999</v>
      </c>
    </row>
    <row r="21" spans="1:28" x14ac:dyDescent="0.25">
      <c r="A21" t="s">
        <v>2230</v>
      </c>
      <c r="D21" t="s">
        <v>2218</v>
      </c>
      <c r="E21">
        <v>-5.5452849999999998</v>
      </c>
      <c r="F21">
        <v>4.0845380000000002</v>
      </c>
      <c r="G21">
        <v>5.1785759999999996</v>
      </c>
      <c r="H21">
        <v>-2.1848049999999999</v>
      </c>
      <c r="I21">
        <v>3.6019040000000002</v>
      </c>
      <c r="J21">
        <v>0.912381</v>
      </c>
      <c r="K21">
        <v>7.6487639999999999</v>
      </c>
      <c r="L21">
        <v>3.3419430000000001</v>
      </c>
      <c r="M21">
        <v>1.6773070000000001</v>
      </c>
      <c r="N21">
        <v>5.6571319999999998</v>
      </c>
      <c r="O21">
        <v>6.2512860000000003</v>
      </c>
      <c r="P21">
        <v>-0.88540200000000002</v>
      </c>
      <c r="Q21">
        <v>1.415702</v>
      </c>
      <c r="R21">
        <v>-13.315715000000001</v>
      </c>
      <c r="S21">
        <v>2.6508790000000002</v>
      </c>
      <c r="T21">
        <v>1.160814</v>
      </c>
      <c r="U21">
        <v>1.8569999999999999E-3</v>
      </c>
      <c r="V21">
        <v>4.1671899999999997</v>
      </c>
      <c r="W21">
        <v>2.9198059999999999</v>
      </c>
      <c r="X21">
        <v>0.95075799999999999</v>
      </c>
      <c r="Y21">
        <v>-1.629645</v>
      </c>
      <c r="Z21">
        <v>4.9146080000000003</v>
      </c>
      <c r="AA21">
        <v>10.015188</v>
      </c>
      <c r="AB21">
        <v>4.8727289999999996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2.2179389999999999</v>
      </c>
      <c r="S22">
        <v>-2.512724</v>
      </c>
      <c r="T22">
        <v>2.2082809999999999</v>
      </c>
      <c r="U22">
        <v>0.38775199999999999</v>
      </c>
      <c r="V22">
        <v>3.7215340000000001</v>
      </c>
      <c r="W22">
        <v>3.2125620000000001</v>
      </c>
      <c r="X22">
        <v>5.8987340000000001</v>
      </c>
      <c r="Y22">
        <v>4.829923</v>
      </c>
      <c r="Z22">
        <v>0.93730100000000005</v>
      </c>
      <c r="AA22">
        <v>1.616312</v>
      </c>
      <c r="AB22">
        <v>1.7411540000000001</v>
      </c>
    </row>
    <row r="23" spans="1:28" x14ac:dyDescent="0.25">
      <c r="A23" t="s">
        <v>2232</v>
      </c>
      <c r="D23" t="s">
        <v>2218</v>
      </c>
      <c r="E23">
        <v>-9.2929999999999992E-3</v>
      </c>
      <c r="F23">
        <v>2.6089739999999999</v>
      </c>
      <c r="G23">
        <v>-6.4671479999999999</v>
      </c>
      <c r="H23">
        <v>0.129356</v>
      </c>
      <c r="I23">
        <v>-2.1202700000000001</v>
      </c>
      <c r="J23">
        <v>-4.1485200000000004</v>
      </c>
      <c r="K23">
        <v>-8.1353999999999996E-2</v>
      </c>
      <c r="L23">
        <v>-0.71939900000000001</v>
      </c>
      <c r="M23">
        <v>2.4426E-2</v>
      </c>
      <c r="N23">
        <v>0.216694</v>
      </c>
      <c r="O23">
        <v>2.980629</v>
      </c>
      <c r="P23">
        <v>3.6257199999999998</v>
      </c>
      <c r="Q23">
        <v>-2.8578060000000001</v>
      </c>
      <c r="R23">
        <v>-7.0241350000000002</v>
      </c>
      <c r="S23">
        <v>-6.687576</v>
      </c>
      <c r="T23">
        <v>2.1924700000000001</v>
      </c>
      <c r="U23">
        <v>-0.69072800000000001</v>
      </c>
      <c r="V23">
        <v>-2.6419589999999999</v>
      </c>
      <c r="W23">
        <v>2.951775</v>
      </c>
      <c r="X23">
        <v>5.4651379999999996</v>
      </c>
      <c r="Y23">
        <v>1.6506190000000001</v>
      </c>
      <c r="Z23">
        <v>-1.559566</v>
      </c>
      <c r="AA23">
        <v>3.4749129999999999</v>
      </c>
      <c r="AB23">
        <v>-5.7334000000000003E-2</v>
      </c>
    </row>
    <row r="24" spans="1:28" x14ac:dyDescent="0.25">
      <c r="A24" t="s">
        <v>2233</v>
      </c>
      <c r="D24" t="s">
        <v>2218</v>
      </c>
      <c r="E24">
        <v>-1.546405</v>
      </c>
      <c r="F24">
        <v>1.7351049999999999</v>
      </c>
      <c r="G24">
        <v>-2.3789639999999999</v>
      </c>
      <c r="H24">
        <v>-1.8854249999999999</v>
      </c>
      <c r="I24">
        <v>3.348414</v>
      </c>
      <c r="J24">
        <v>0.39677699999999999</v>
      </c>
      <c r="K24">
        <v>-1.9504710000000001</v>
      </c>
      <c r="L24">
        <v>4.87216</v>
      </c>
      <c r="M24">
        <v>12.625220000000001</v>
      </c>
      <c r="N24">
        <v>1.4233020000000001</v>
      </c>
      <c r="O24">
        <v>3.225114</v>
      </c>
      <c r="P24">
        <v>4.9235749999999996</v>
      </c>
      <c r="Q24">
        <v>2.9028459999999998</v>
      </c>
      <c r="R24">
        <v>3.921389</v>
      </c>
      <c r="S24">
        <v>5.1230760000000002</v>
      </c>
      <c r="T24">
        <v>6.8426179999999999</v>
      </c>
      <c r="U24">
        <v>-1.47048</v>
      </c>
      <c r="V24">
        <v>3.5599590000000001</v>
      </c>
      <c r="W24">
        <v>4.1580550000000001</v>
      </c>
      <c r="X24">
        <v>0.18357100000000001</v>
      </c>
      <c r="Y24">
        <v>1.8207990000000001</v>
      </c>
      <c r="Z24">
        <v>3.9815100000000001</v>
      </c>
      <c r="AA24">
        <v>3.6249579999999999</v>
      </c>
      <c r="AB24" t="s">
        <v>2218</v>
      </c>
    </row>
    <row r="25" spans="1:28" x14ac:dyDescent="0.25">
      <c r="A25" t="s">
        <v>2234</v>
      </c>
      <c r="D25">
        <v>5.9890220000000003</v>
      </c>
      <c r="E25">
        <v>0.53873099999999996</v>
      </c>
      <c r="F25">
        <v>3.1617320000000002</v>
      </c>
      <c r="G25">
        <v>2.7086260000000002</v>
      </c>
      <c r="H25">
        <v>-0.91439700000000002</v>
      </c>
      <c r="I25">
        <v>2.6677749999999998</v>
      </c>
      <c r="J25">
        <v>-0.27817799999999998</v>
      </c>
      <c r="K25">
        <v>-2.6526999999999998</v>
      </c>
      <c r="L25">
        <v>-1.9547129999999999</v>
      </c>
      <c r="M25">
        <v>1.662803</v>
      </c>
      <c r="N25">
        <v>2.2214870000000002</v>
      </c>
      <c r="O25">
        <v>-1.2274400000000001</v>
      </c>
      <c r="P25">
        <v>0.46901900000000002</v>
      </c>
      <c r="Q25">
        <v>-1.2957270000000001</v>
      </c>
      <c r="R25">
        <v>-3.6536930000000001</v>
      </c>
      <c r="S25">
        <v>2.7605520000000001</v>
      </c>
      <c r="T25">
        <v>1.089531</v>
      </c>
      <c r="U25">
        <v>-2.140285</v>
      </c>
      <c r="V25">
        <v>0.17588799999999999</v>
      </c>
      <c r="W25">
        <v>1.565026</v>
      </c>
      <c r="X25">
        <v>0.99373999999999996</v>
      </c>
      <c r="Y25">
        <v>0.226517</v>
      </c>
      <c r="Z25">
        <v>0.14166599999999999</v>
      </c>
      <c r="AA25">
        <v>0.50229699999999999</v>
      </c>
      <c r="AB25">
        <v>-0.540134</v>
      </c>
    </row>
    <row r="26" spans="1:28" x14ac:dyDescent="0.25">
      <c r="A26" t="s">
        <v>2235</v>
      </c>
      <c r="D26">
        <v>2.6575129999999998</v>
      </c>
      <c r="E26">
        <v>-0.40496799999999999</v>
      </c>
      <c r="F26">
        <v>1.32389</v>
      </c>
      <c r="G26">
        <v>-1.947821</v>
      </c>
      <c r="H26">
        <v>0.116909</v>
      </c>
      <c r="I26">
        <v>-0.52936399999999995</v>
      </c>
      <c r="J26">
        <v>2.67171</v>
      </c>
      <c r="K26">
        <v>2.6737190000000002</v>
      </c>
      <c r="L26">
        <v>0.32494400000000001</v>
      </c>
      <c r="M26">
        <v>3.345078</v>
      </c>
      <c r="N26">
        <v>-1.01793</v>
      </c>
      <c r="O26">
        <v>-1.4873730000000001</v>
      </c>
      <c r="P26">
        <v>-1.671055</v>
      </c>
      <c r="Q26">
        <v>-1.874039</v>
      </c>
      <c r="R26">
        <v>-6.9557219999999997</v>
      </c>
      <c r="S26">
        <v>1.5615490000000001</v>
      </c>
      <c r="T26">
        <v>1.3960300000000001</v>
      </c>
      <c r="U26">
        <v>4.4271459999999996</v>
      </c>
      <c r="V26">
        <v>1.1575139999999999</v>
      </c>
      <c r="W26">
        <v>-2.0257309999999999</v>
      </c>
      <c r="X26">
        <v>0.35397600000000001</v>
      </c>
      <c r="Y26">
        <v>-0.455509</v>
      </c>
      <c r="Z26">
        <v>1.868077</v>
      </c>
      <c r="AA26">
        <v>-2.9529559999999999</v>
      </c>
      <c r="AB26" t="s">
        <v>2218</v>
      </c>
    </row>
    <row r="27" spans="1:28" x14ac:dyDescent="0.25">
      <c r="A27" t="s">
        <v>2236</v>
      </c>
      <c r="C27" t="s">
        <v>2267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2.8464369999999999</v>
      </c>
      <c r="O27">
        <v>3.5945779999999998</v>
      </c>
      <c r="P27">
        <v>4.7226869999999996</v>
      </c>
      <c r="Q27">
        <v>2.7817530000000001</v>
      </c>
      <c r="R27">
        <v>0.44608799999999998</v>
      </c>
      <c r="S27">
        <v>9.0001049999999996</v>
      </c>
      <c r="T27">
        <v>2.8884110000000001</v>
      </c>
      <c r="U27">
        <v>1.925905</v>
      </c>
      <c r="V27">
        <v>2.1867540000000001</v>
      </c>
      <c r="W27">
        <v>-2.705495</v>
      </c>
      <c r="X27">
        <v>2.291426</v>
      </c>
      <c r="Y27">
        <v>1.6673530000000001</v>
      </c>
      <c r="Z27">
        <v>1.8377159999999999</v>
      </c>
      <c r="AA27">
        <v>3.989938</v>
      </c>
      <c r="AB27" t="s">
        <v>2218</v>
      </c>
    </row>
    <row r="28" spans="1:28" x14ac:dyDescent="0.25">
      <c r="A28" t="s">
        <v>2237</v>
      </c>
      <c r="D28" t="s">
        <v>2218</v>
      </c>
      <c r="E28">
        <v>6.1195709999999996</v>
      </c>
      <c r="F28">
        <v>3.5653380000000001</v>
      </c>
      <c r="G28">
        <v>10.50211</v>
      </c>
      <c r="H28">
        <v>7.0295740000000002</v>
      </c>
      <c r="I28">
        <v>5.8349710000000004</v>
      </c>
      <c r="J28">
        <v>9.1082280000000004</v>
      </c>
      <c r="K28">
        <v>5.945856</v>
      </c>
      <c r="L28">
        <v>10.934358</v>
      </c>
      <c r="M28">
        <v>5.22044</v>
      </c>
      <c r="N28">
        <v>11.667564</v>
      </c>
      <c r="O28">
        <v>8.9641500000000001</v>
      </c>
      <c r="P28">
        <v>0.30138300000000001</v>
      </c>
      <c r="Q28">
        <v>1.8402000000000002E-2</v>
      </c>
      <c r="R28">
        <v>-5.8063539999999998</v>
      </c>
      <c r="S28">
        <v>-5.7819999999999998E-3</v>
      </c>
      <c r="T28">
        <v>12.276223999999999</v>
      </c>
      <c r="U28">
        <v>4.9421179999999998</v>
      </c>
      <c r="V28">
        <v>0.63031499999999996</v>
      </c>
      <c r="W28">
        <v>3.1561219999999999</v>
      </c>
      <c r="X28">
        <v>1.1128000000000001E-2</v>
      </c>
      <c r="Y28">
        <v>5.0003909999999996</v>
      </c>
      <c r="Z28">
        <v>6.4870890000000001</v>
      </c>
      <c r="AA28">
        <v>1.3989830000000001</v>
      </c>
      <c r="AB28">
        <v>2.1947709999999998</v>
      </c>
    </row>
    <row r="29" spans="1:28" x14ac:dyDescent="0.25">
      <c r="A29" t="s">
        <v>2238</v>
      </c>
      <c r="D29" t="s">
        <v>2218</v>
      </c>
      <c r="E29">
        <v>2.3505750000000001</v>
      </c>
      <c r="F29">
        <v>10.123621999999999</v>
      </c>
      <c r="G29">
        <v>5.4386650000000003</v>
      </c>
      <c r="H29">
        <v>-0.60738700000000001</v>
      </c>
      <c r="I29">
        <v>14.746597</v>
      </c>
      <c r="J29">
        <v>7.1119709999999996</v>
      </c>
      <c r="K29">
        <v>5.5198879999999999</v>
      </c>
      <c r="L29">
        <v>7.0421189999999996</v>
      </c>
      <c r="M29">
        <v>5.2302809999999997</v>
      </c>
      <c r="N29">
        <v>8.0926690000000008</v>
      </c>
      <c r="O29">
        <v>5.2798210000000001</v>
      </c>
      <c r="P29">
        <v>4.5189589999999997</v>
      </c>
      <c r="Q29">
        <v>3.1396730000000002</v>
      </c>
      <c r="R29">
        <v>-10.012331</v>
      </c>
      <c r="S29">
        <v>6.23285</v>
      </c>
      <c r="T29">
        <v>6.1222110000000001</v>
      </c>
      <c r="U29">
        <v>5.9531140000000002</v>
      </c>
      <c r="V29">
        <v>2.006694</v>
      </c>
      <c r="W29">
        <v>-8.5207000000000005E-2</v>
      </c>
      <c r="X29">
        <v>4.0586019999999996</v>
      </c>
      <c r="Y29">
        <v>2.554103</v>
      </c>
      <c r="Z29">
        <v>6.6289020000000001</v>
      </c>
      <c r="AA29">
        <v>4.0563180000000001</v>
      </c>
      <c r="AB29">
        <v>2.8565960000000001</v>
      </c>
    </row>
    <row r="30" spans="1:28" x14ac:dyDescent="0.25">
      <c r="A30" t="s">
        <v>2239</v>
      </c>
      <c r="D30" t="s">
        <v>2218</v>
      </c>
      <c r="E30">
        <v>-2.3525689999999999</v>
      </c>
      <c r="F30">
        <v>5.3085500000000003</v>
      </c>
      <c r="G30">
        <v>4.8930610000000003</v>
      </c>
      <c r="H30">
        <v>-0.73344399999999998</v>
      </c>
      <c r="I30">
        <v>6.1600349999999997</v>
      </c>
      <c r="J30">
        <v>-0.70837700000000003</v>
      </c>
      <c r="K30">
        <v>-3.6392609999999999</v>
      </c>
      <c r="L30">
        <v>-3.4601299999999999</v>
      </c>
      <c r="M30">
        <v>-3.0789689999999998</v>
      </c>
      <c r="N30">
        <v>1.584794</v>
      </c>
      <c r="O30">
        <v>2.0514389999999998</v>
      </c>
      <c r="P30">
        <v>2.415003</v>
      </c>
      <c r="Q30">
        <v>6.1221300000000003</v>
      </c>
      <c r="R30">
        <v>-8.7766009999999994</v>
      </c>
      <c r="S30">
        <v>8.119192</v>
      </c>
      <c r="T30">
        <v>4.2599679999999998</v>
      </c>
      <c r="U30">
        <v>-8.5579839999999994</v>
      </c>
      <c r="V30">
        <v>5.6194420000000003</v>
      </c>
      <c r="W30">
        <v>1.884382</v>
      </c>
      <c r="X30">
        <v>-7.1475030000000004</v>
      </c>
      <c r="Y30">
        <v>4.8586340000000003</v>
      </c>
      <c r="Z30">
        <v>-2.6472389999999999</v>
      </c>
      <c r="AA30">
        <v>-5.9959870000000004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7.1356469999999996</v>
      </c>
      <c r="U31">
        <v>-0.37797500000000001</v>
      </c>
      <c r="V31">
        <v>1.5367710000000001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2.486558</v>
      </c>
      <c r="F32">
        <v>4.5650329999999997</v>
      </c>
      <c r="G32">
        <v>4.5540900000000004</v>
      </c>
      <c r="H32">
        <v>0.72705500000000001</v>
      </c>
      <c r="I32">
        <v>3.9364059999999998</v>
      </c>
      <c r="J32">
        <v>-0.94178600000000001</v>
      </c>
      <c r="K32">
        <v>-2.1009639999999998</v>
      </c>
      <c r="L32">
        <v>1.5913330000000001</v>
      </c>
      <c r="M32">
        <v>5.5426570000000002</v>
      </c>
      <c r="N32">
        <v>3.3068460000000002</v>
      </c>
      <c r="O32">
        <v>2.0034619999999999</v>
      </c>
      <c r="P32">
        <v>1.824003</v>
      </c>
      <c r="Q32">
        <v>-0.39808700000000002</v>
      </c>
      <c r="R32">
        <v>-5.0766330000000002</v>
      </c>
      <c r="S32">
        <v>3.9076209999999998</v>
      </c>
      <c r="T32">
        <v>2.5324119999999999</v>
      </c>
      <c r="U32">
        <v>-0.40861900000000001</v>
      </c>
      <c r="V32">
        <v>2.0229330000000001</v>
      </c>
      <c r="W32">
        <v>2.4089269999999998</v>
      </c>
      <c r="X32">
        <v>0.89792099999999997</v>
      </c>
      <c r="Y32">
        <v>0.57259199999999999</v>
      </c>
      <c r="Z32">
        <v>0.93943699999999997</v>
      </c>
      <c r="AA32">
        <v>0.30083399999999999</v>
      </c>
      <c r="AB32">
        <v>0.743533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4.2190700000000003</v>
      </c>
      <c r="U33">
        <v>1.2993939999999999</v>
      </c>
      <c r="V33">
        <v>4.0130000000000001E-3</v>
      </c>
      <c r="W33">
        <v>4.5663090000000004</v>
      </c>
      <c r="X33">
        <v>3.6079400000000001</v>
      </c>
      <c r="Y33">
        <v>-1.520629</v>
      </c>
      <c r="Z33">
        <v>1.942723</v>
      </c>
      <c r="AA33">
        <v>1.9759260000000001</v>
      </c>
      <c r="AB33" t="s">
        <v>2218</v>
      </c>
    </row>
    <row r="34" spans="1:28" x14ac:dyDescent="0.25">
      <c r="A34" t="s">
        <v>2243</v>
      </c>
      <c r="D34">
        <v>4.1963800000000004</v>
      </c>
      <c r="E34">
        <v>6.4738559999999996</v>
      </c>
      <c r="F34">
        <v>4.2071740000000002</v>
      </c>
      <c r="G34">
        <v>2.5167540000000002</v>
      </c>
      <c r="H34">
        <v>-1.136565</v>
      </c>
      <c r="I34">
        <v>2.50142</v>
      </c>
      <c r="J34">
        <v>1.980143</v>
      </c>
      <c r="K34">
        <v>1.1170659999999999</v>
      </c>
      <c r="L34">
        <v>3.6666319999999999</v>
      </c>
      <c r="M34">
        <v>3.473535</v>
      </c>
      <c r="N34">
        <v>1.6975629999999999</v>
      </c>
      <c r="O34">
        <v>6.3351220000000001</v>
      </c>
      <c r="P34">
        <v>0.75867399999999996</v>
      </c>
      <c r="Q34">
        <v>-3.7537829999999999</v>
      </c>
      <c r="R34">
        <v>-2.3270629999999999</v>
      </c>
      <c r="S34">
        <v>3.7718970000000001</v>
      </c>
      <c r="T34">
        <v>3.0096949999999998</v>
      </c>
      <c r="U34">
        <v>2.1095229999999998</v>
      </c>
      <c r="V34">
        <v>2.2692420000000002</v>
      </c>
      <c r="W34">
        <v>2.2688839999999999</v>
      </c>
      <c r="X34">
        <v>1.5178339999999999</v>
      </c>
      <c r="Y34">
        <v>0.38607900000000001</v>
      </c>
      <c r="Z34">
        <v>0.673037</v>
      </c>
      <c r="AA34">
        <v>1.2433019999999999</v>
      </c>
      <c r="AB34" t="s">
        <v>2218</v>
      </c>
    </row>
    <row r="35" spans="1:28" x14ac:dyDescent="0.25">
      <c r="A35" t="s">
        <v>2244</v>
      </c>
      <c r="D35" t="s">
        <v>2218</v>
      </c>
      <c r="E35">
        <v>3.9437229999999999</v>
      </c>
      <c r="F35">
        <v>1.5191779999999999</v>
      </c>
      <c r="G35">
        <v>0.181669</v>
      </c>
      <c r="H35">
        <v>8.2493099999999995</v>
      </c>
      <c r="I35">
        <v>11.550393</v>
      </c>
      <c r="J35">
        <v>-4.5576040000000004</v>
      </c>
      <c r="K35">
        <v>5.058319</v>
      </c>
      <c r="L35">
        <v>1.9360269999999999</v>
      </c>
      <c r="M35">
        <v>-1.3363240000000001</v>
      </c>
      <c r="N35">
        <v>2.0106419999999998</v>
      </c>
      <c r="O35">
        <v>2.208377</v>
      </c>
      <c r="P35">
        <v>-2.3244359999999999</v>
      </c>
      <c r="Q35">
        <v>-1.8565259999999999</v>
      </c>
      <c r="R35">
        <v>2.178426</v>
      </c>
      <c r="S35">
        <v>5.7133779999999996</v>
      </c>
      <c r="T35">
        <v>1.9665809999999999</v>
      </c>
      <c r="U35">
        <v>3.3783989999999999</v>
      </c>
      <c r="V35">
        <v>1.999752</v>
      </c>
      <c r="W35">
        <v>-2.4479679999999999</v>
      </c>
      <c r="X35">
        <v>8.1184999999999993E-2</v>
      </c>
      <c r="Y35">
        <v>1.4587019999999999</v>
      </c>
      <c r="Z35">
        <v>7.1705629999999996</v>
      </c>
      <c r="AA35">
        <v>4.9594560000000003</v>
      </c>
      <c r="AB35">
        <v>5.9123140000000003</v>
      </c>
    </row>
    <row r="36" spans="1:28" x14ac:dyDescent="0.25">
      <c r="A36" t="s">
        <v>2245</v>
      </c>
      <c r="D36" t="s">
        <v>2218</v>
      </c>
      <c r="E36">
        <v>0.28276499999999999</v>
      </c>
      <c r="F36">
        <v>3.7048679999999998</v>
      </c>
      <c r="G36">
        <v>0.232072</v>
      </c>
      <c r="H36">
        <v>2.862927</v>
      </c>
      <c r="I36">
        <v>5.5667220000000004</v>
      </c>
      <c r="J36">
        <v>-5.4142510000000001</v>
      </c>
      <c r="K36">
        <v>0.57804699999999998</v>
      </c>
      <c r="L36">
        <v>-3.7242799999999998</v>
      </c>
      <c r="M36">
        <v>0.63993999999999995</v>
      </c>
      <c r="N36">
        <v>-0.52656999999999998</v>
      </c>
      <c r="O36">
        <v>0.52635200000000004</v>
      </c>
      <c r="P36">
        <v>2.7752680000000001</v>
      </c>
      <c r="Q36">
        <v>-1.366671</v>
      </c>
      <c r="R36">
        <v>1.478308</v>
      </c>
      <c r="S36">
        <v>3.8386779999999998</v>
      </c>
      <c r="T36">
        <v>0.25799699999999998</v>
      </c>
      <c r="U36">
        <v>3.8386800000000001</v>
      </c>
      <c r="V36">
        <v>4.8671800000000003</v>
      </c>
      <c r="W36">
        <v>-1.8505689999999999</v>
      </c>
      <c r="X36">
        <v>-0.80423999999999995</v>
      </c>
      <c r="Y36">
        <v>-0.61926099999999995</v>
      </c>
      <c r="Z36">
        <v>-0.52829899999999996</v>
      </c>
      <c r="AA36">
        <v>0.73561100000000001</v>
      </c>
      <c r="AB36">
        <v>2.2810640000000002</v>
      </c>
    </row>
    <row r="37" spans="1:28" x14ac:dyDescent="0.25">
      <c r="A37" t="s">
        <v>2246</v>
      </c>
      <c r="D37" t="s">
        <v>2218</v>
      </c>
      <c r="E37">
        <v>9.3923240000000003</v>
      </c>
      <c r="F37">
        <v>12.778494999999999</v>
      </c>
      <c r="G37">
        <v>7.5219860000000001</v>
      </c>
      <c r="H37">
        <v>5.7608709999999999</v>
      </c>
      <c r="I37">
        <v>2.1920289999999998</v>
      </c>
      <c r="J37">
        <v>0.96184499999999995</v>
      </c>
      <c r="K37">
        <v>-7.7962480000000003</v>
      </c>
      <c r="L37">
        <v>4.656326</v>
      </c>
      <c r="M37">
        <v>-0.51449900000000004</v>
      </c>
      <c r="N37">
        <v>10.545902999999999</v>
      </c>
      <c r="O37">
        <v>-5.3918160000000004</v>
      </c>
      <c r="P37">
        <v>4.7975789999999998</v>
      </c>
      <c r="Q37">
        <v>6.7298419999999997</v>
      </c>
      <c r="R37">
        <v>-9.2924969999999991</v>
      </c>
      <c r="S37">
        <v>5.1559749999999998</v>
      </c>
      <c r="T37">
        <v>0.106517</v>
      </c>
      <c r="U37">
        <v>-0.61209199999999997</v>
      </c>
      <c r="V37">
        <v>-4.6844919999999997</v>
      </c>
      <c r="W37">
        <v>2.541655</v>
      </c>
      <c r="X37">
        <v>2.4174349999999998</v>
      </c>
      <c r="Y37">
        <v>-4.8701549999999996</v>
      </c>
      <c r="Z37">
        <v>2.1320570000000001</v>
      </c>
      <c r="AA37">
        <v>5.8927940000000003</v>
      </c>
      <c r="AB37">
        <v>-0.19525600000000001</v>
      </c>
    </row>
    <row r="38" spans="1:28" x14ac:dyDescent="0.25">
      <c r="A38" t="s">
        <v>2247</v>
      </c>
      <c r="D38" t="s">
        <v>2218</v>
      </c>
      <c r="E38">
        <v>-2.911197</v>
      </c>
      <c r="F38">
        <v>11.093680000000001</v>
      </c>
      <c r="G38">
        <v>2.0171489999999999</v>
      </c>
      <c r="H38">
        <v>4.1422309999999998</v>
      </c>
      <c r="I38">
        <v>-1.6138300000000001</v>
      </c>
      <c r="J38">
        <v>7.3775170000000001</v>
      </c>
      <c r="K38">
        <v>4.6179540000000001</v>
      </c>
      <c r="L38">
        <v>2.9241570000000001</v>
      </c>
      <c r="M38">
        <v>2.794791</v>
      </c>
      <c r="N38">
        <v>3.8053949999999999</v>
      </c>
      <c r="O38">
        <v>4.4492099999999999</v>
      </c>
      <c r="P38">
        <v>3.0347719999999998</v>
      </c>
      <c r="Q38">
        <v>-0.36583300000000002</v>
      </c>
      <c r="R38">
        <v>-8.3322529999999997</v>
      </c>
      <c r="S38">
        <v>3.405246</v>
      </c>
      <c r="T38">
        <v>4.6567769999999999</v>
      </c>
      <c r="U38">
        <v>-3.593747</v>
      </c>
      <c r="V38">
        <v>1.5836209999999999</v>
      </c>
      <c r="W38">
        <v>3.637276</v>
      </c>
      <c r="X38">
        <v>3.8087879999999998</v>
      </c>
      <c r="Y38">
        <v>2.9553729999999998</v>
      </c>
      <c r="Z38">
        <v>2.746572</v>
      </c>
      <c r="AA38">
        <v>2.441935</v>
      </c>
      <c r="AB38">
        <v>0.36936200000000002</v>
      </c>
    </row>
    <row r="39" spans="1:28" x14ac:dyDescent="0.25">
      <c r="A39" t="s">
        <v>2248</v>
      </c>
      <c r="D39" t="s">
        <v>2218</v>
      </c>
      <c r="E39">
        <v>-0.42790899999999998</v>
      </c>
      <c r="F39">
        <v>-0.840669</v>
      </c>
      <c r="G39">
        <v>-1.247695</v>
      </c>
      <c r="H39">
        <v>0.35587000000000002</v>
      </c>
      <c r="I39">
        <v>-1.0732950000000001</v>
      </c>
      <c r="J39">
        <v>0.24148600000000001</v>
      </c>
      <c r="K39">
        <v>-1.736523</v>
      </c>
      <c r="L39">
        <v>-2.9970300000000001</v>
      </c>
      <c r="M39">
        <v>-2.4956610000000001</v>
      </c>
      <c r="N39">
        <v>-2.1630929999999999</v>
      </c>
      <c r="O39">
        <v>-1.3633630000000001</v>
      </c>
      <c r="P39">
        <v>-2.069655</v>
      </c>
      <c r="Q39">
        <v>-0.97354799999999997</v>
      </c>
      <c r="R39">
        <v>2.2630080000000001</v>
      </c>
      <c r="S39">
        <v>3.2334390000000002</v>
      </c>
      <c r="T39">
        <v>1.244656</v>
      </c>
      <c r="U39">
        <v>1.9347529999999999</v>
      </c>
      <c r="V39">
        <v>1.3387659999999999</v>
      </c>
      <c r="W39">
        <v>7.3547000000000001E-2</v>
      </c>
      <c r="X39">
        <v>2.0415070000000002</v>
      </c>
      <c r="Y39">
        <v>1.1425019999999999</v>
      </c>
      <c r="Z39">
        <v>0.98043000000000002</v>
      </c>
      <c r="AA39">
        <v>0.98784300000000003</v>
      </c>
      <c r="AB39">
        <v>0.74837299999999995</v>
      </c>
    </row>
    <row r="40" spans="1:28" x14ac:dyDescent="0.25">
      <c r="A40" t="s">
        <v>2249</v>
      </c>
      <c r="D40">
        <v>3.0495839999999999</v>
      </c>
      <c r="E40">
        <v>4.9394200000000001</v>
      </c>
      <c r="F40">
        <v>4.3731590000000002</v>
      </c>
      <c r="G40">
        <v>3.0209000000000001</v>
      </c>
      <c r="H40">
        <v>0.50275800000000004</v>
      </c>
      <c r="I40">
        <v>3.4502540000000002</v>
      </c>
      <c r="J40">
        <v>0.43276500000000001</v>
      </c>
      <c r="K40">
        <v>3.567596</v>
      </c>
      <c r="L40">
        <v>4.8330250000000001</v>
      </c>
      <c r="M40">
        <v>4.8684770000000004</v>
      </c>
      <c r="N40">
        <v>4.0655840000000003</v>
      </c>
      <c r="O40">
        <v>1.2122390000000001</v>
      </c>
      <c r="P40">
        <v>1.673527</v>
      </c>
      <c r="Q40">
        <v>-1.093146</v>
      </c>
      <c r="R40">
        <v>-2.8548800000000001</v>
      </c>
      <c r="S40">
        <v>3.4424220000000001</v>
      </c>
      <c r="T40">
        <v>3.2435489999999998</v>
      </c>
      <c r="U40">
        <v>-0.51605100000000004</v>
      </c>
      <c r="V40">
        <v>3.6762679999999999</v>
      </c>
      <c r="W40">
        <v>3.5596220000000001</v>
      </c>
      <c r="X40">
        <v>2.2794970000000001</v>
      </c>
      <c r="Y40">
        <v>2.175948</v>
      </c>
      <c r="Z40">
        <v>0.44923800000000003</v>
      </c>
      <c r="AA40">
        <v>1.6091230000000001</v>
      </c>
      <c r="AB40">
        <v>0.93288300000000002</v>
      </c>
    </row>
    <row r="41" spans="1:28" x14ac:dyDescent="0.25">
      <c r="A41" t="s">
        <v>2250</v>
      </c>
      <c r="D41" t="s">
        <v>2218</v>
      </c>
      <c r="E41">
        <v>-8.5558999999999996E-2</v>
      </c>
      <c r="F41">
        <v>3.19692</v>
      </c>
      <c r="G41">
        <v>1.8090729999999999</v>
      </c>
      <c r="H41">
        <v>-1.1813180000000001</v>
      </c>
      <c r="I41">
        <v>5.0012879999999997</v>
      </c>
      <c r="J41">
        <v>1.132393</v>
      </c>
      <c r="K41">
        <v>1.36771</v>
      </c>
      <c r="L41">
        <v>1.397356</v>
      </c>
      <c r="M41">
        <v>4.4302659999999996</v>
      </c>
      <c r="N41">
        <v>3.0667930000000001</v>
      </c>
      <c r="O41">
        <v>4.5694410000000003</v>
      </c>
      <c r="P41">
        <v>3.834292</v>
      </c>
      <c r="Q41">
        <v>1.968269</v>
      </c>
      <c r="R41">
        <v>0.60585199999999995</v>
      </c>
      <c r="S41">
        <v>4.4629760000000003</v>
      </c>
      <c r="T41">
        <v>-1.9263459999999999</v>
      </c>
      <c r="U41">
        <v>1.653538</v>
      </c>
      <c r="V41">
        <v>0.63192400000000004</v>
      </c>
      <c r="W41">
        <v>3.3918110000000001</v>
      </c>
      <c r="X41">
        <v>3.7407379999999999</v>
      </c>
      <c r="Y41">
        <v>1.4690479999999999</v>
      </c>
      <c r="Z41">
        <v>-0.983657</v>
      </c>
      <c r="AA41">
        <v>1.1731579999999999</v>
      </c>
      <c r="AB41" t="s">
        <v>2218</v>
      </c>
    </row>
    <row r="42" spans="1:28" x14ac:dyDescent="0.25">
      <c r="A42" t="s">
        <v>2251</v>
      </c>
      <c r="D42">
        <v>3.2873790000000001</v>
      </c>
      <c r="E42">
        <v>1.5074890000000001</v>
      </c>
      <c r="F42">
        <v>1.803839</v>
      </c>
      <c r="G42">
        <v>-4.3212E-2</v>
      </c>
      <c r="H42">
        <v>-0.116295</v>
      </c>
      <c r="I42">
        <v>0.50277499999999997</v>
      </c>
      <c r="J42">
        <v>2.0065819999999999</v>
      </c>
      <c r="K42">
        <v>2.9836429999999998</v>
      </c>
      <c r="L42">
        <v>1.96584</v>
      </c>
      <c r="M42">
        <v>1.785903</v>
      </c>
      <c r="N42">
        <v>0.82748900000000003</v>
      </c>
      <c r="O42">
        <v>3.8570090000000001</v>
      </c>
      <c r="P42">
        <v>2.676272</v>
      </c>
      <c r="Q42">
        <v>-3.8177690000000002</v>
      </c>
      <c r="R42">
        <v>-4.927988</v>
      </c>
      <c r="S42">
        <v>1.4294910000000001</v>
      </c>
      <c r="T42">
        <v>2.1777799999999998</v>
      </c>
      <c r="U42">
        <v>-0.24148500000000001</v>
      </c>
      <c r="V42">
        <v>2.5273089999999998</v>
      </c>
      <c r="W42">
        <v>2.0856249999999998</v>
      </c>
      <c r="X42">
        <v>0.75678900000000004</v>
      </c>
      <c r="Y42">
        <v>0.45273000000000002</v>
      </c>
      <c r="Z42">
        <v>1.7969470000000001</v>
      </c>
      <c r="AA42">
        <v>1.3825000000000001</v>
      </c>
      <c r="AB42">
        <v>2.492918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-3.5473279999999998</v>
      </c>
      <c r="K43">
        <v>0.97101300000000001</v>
      </c>
      <c r="L43">
        <v>1.8899539999999999</v>
      </c>
      <c r="M43">
        <v>3.0016400000000001</v>
      </c>
      <c r="N43">
        <v>0.44337700000000002</v>
      </c>
      <c r="O43">
        <v>1.778098</v>
      </c>
      <c r="P43">
        <v>-0.47913499999999998</v>
      </c>
      <c r="Q43">
        <v>-2.0793650000000001</v>
      </c>
      <c r="R43">
        <v>-4.1075739999999996</v>
      </c>
      <c r="S43">
        <v>4.576581</v>
      </c>
      <c r="T43">
        <v>0.43249599999999999</v>
      </c>
      <c r="U43">
        <v>-0.71777599999999997</v>
      </c>
      <c r="V43">
        <v>1.9484699999999999</v>
      </c>
      <c r="W43">
        <v>0.74808399999999997</v>
      </c>
      <c r="X43">
        <v>2.816154</v>
      </c>
      <c r="Y43">
        <v>-7.2689000000000004E-2</v>
      </c>
      <c r="Z43">
        <v>2.453894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0.20918200000000001</v>
      </c>
      <c r="F44">
        <v>2.4291010000000002</v>
      </c>
      <c r="G44">
        <v>1.8543289999999999</v>
      </c>
      <c r="H44">
        <v>0.38378899999999999</v>
      </c>
      <c r="I44">
        <v>1.746712</v>
      </c>
      <c r="J44">
        <v>1.204061</v>
      </c>
      <c r="K44">
        <v>-0.44885900000000001</v>
      </c>
      <c r="L44">
        <v>0.31840200000000002</v>
      </c>
      <c r="M44">
        <v>1.1455249999999999</v>
      </c>
      <c r="N44">
        <v>1.2285630000000001</v>
      </c>
      <c r="O44">
        <v>1.7642720000000001</v>
      </c>
      <c r="P44">
        <v>0.96510099999999999</v>
      </c>
      <c r="Q44">
        <v>-0.23026199999999999</v>
      </c>
      <c r="R44">
        <v>-3.744386</v>
      </c>
      <c r="S44">
        <v>1.449516</v>
      </c>
      <c r="T44">
        <v>1.931217</v>
      </c>
      <c r="U44">
        <v>8.5523000000000002E-2</v>
      </c>
      <c r="V44">
        <v>0.21467</v>
      </c>
      <c r="W44">
        <v>0.99157799999999996</v>
      </c>
      <c r="X44">
        <v>1.0773470000000001</v>
      </c>
      <c r="Y44">
        <v>0.54524499999999998</v>
      </c>
      <c r="Z44">
        <v>1.022303</v>
      </c>
      <c r="AA44">
        <v>0.653026</v>
      </c>
      <c r="AB44">
        <v>0.55889599999999995</v>
      </c>
    </row>
    <row r="45" spans="1:28" x14ac:dyDescent="0.25">
      <c r="A45" t="s">
        <v>2254</v>
      </c>
      <c r="D45" t="s">
        <v>2218</v>
      </c>
      <c r="E45">
        <v>0.54680499999999999</v>
      </c>
      <c r="F45">
        <v>2.18512</v>
      </c>
      <c r="G45">
        <v>1.6366799999999999</v>
      </c>
      <c r="H45">
        <v>0.82419299999999995</v>
      </c>
      <c r="I45">
        <v>2.1594760000000002</v>
      </c>
      <c r="J45">
        <v>1.1160300000000001</v>
      </c>
      <c r="K45">
        <v>0.60901799999999995</v>
      </c>
      <c r="L45">
        <v>1.0612900000000001</v>
      </c>
      <c r="M45">
        <v>1.4466190000000001</v>
      </c>
      <c r="N45">
        <v>1.229068</v>
      </c>
      <c r="O45">
        <v>1.953657</v>
      </c>
      <c r="P45">
        <v>0.96205099999999999</v>
      </c>
      <c r="Q45">
        <v>-1.169783</v>
      </c>
      <c r="R45">
        <v>-3.9573619999999998</v>
      </c>
      <c r="S45">
        <v>1.8876839999999999</v>
      </c>
      <c r="T45">
        <v>1.993355</v>
      </c>
      <c r="U45">
        <v>0.41151900000000002</v>
      </c>
      <c r="V45">
        <v>0.680141</v>
      </c>
      <c r="W45">
        <v>1.026432</v>
      </c>
      <c r="X45">
        <v>1.094201</v>
      </c>
      <c r="Y45">
        <v>0.63700100000000004</v>
      </c>
      <c r="Z45">
        <v>1.424758</v>
      </c>
      <c r="AA45">
        <v>1.093674</v>
      </c>
      <c r="AB45">
        <v>1.226499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-2.5246840000000002</v>
      </c>
      <c r="K46">
        <v>-4.5768659999999999</v>
      </c>
      <c r="L46">
        <v>-2.8970600000000002</v>
      </c>
      <c r="M46">
        <v>7.1275639999999996</v>
      </c>
      <c r="N46">
        <v>-0.22797300000000001</v>
      </c>
      <c r="O46">
        <v>0.14313400000000001</v>
      </c>
      <c r="P46">
        <v>4.5533720000000004</v>
      </c>
      <c r="Q46">
        <v>5.8902720000000004</v>
      </c>
      <c r="R46">
        <v>-3.276313</v>
      </c>
      <c r="S46">
        <v>8.1264179999999993</v>
      </c>
      <c r="T46">
        <v>0.66121099999999999</v>
      </c>
      <c r="U46">
        <v>-0.47307700000000003</v>
      </c>
      <c r="V46">
        <v>2.5497770000000002</v>
      </c>
      <c r="W46">
        <v>-3.0938379999999999</v>
      </c>
      <c r="X46">
        <v>-4.9492130000000003</v>
      </c>
      <c r="Y46">
        <v>-4.8868790000000004</v>
      </c>
      <c r="Z46">
        <v>-0.54882699999999995</v>
      </c>
      <c r="AA46" t="s">
        <v>2218</v>
      </c>
      <c r="AB46" t="s">
        <v>2218</v>
      </c>
    </row>
    <row r="47" spans="1:28" x14ac:dyDescent="0.25">
      <c r="B47" t="s">
        <v>2257</v>
      </c>
      <c r="D47">
        <v>-7.2604629999999997</v>
      </c>
      <c r="E47">
        <v>-5.8944539999999996</v>
      </c>
      <c r="F47">
        <v>-3.4858150000000001</v>
      </c>
      <c r="G47">
        <v>-4.7238749999999996</v>
      </c>
      <c r="H47">
        <v>-6.084174</v>
      </c>
      <c r="I47">
        <v>0.53109899999999999</v>
      </c>
      <c r="J47">
        <v>-0.94208000000000003</v>
      </c>
      <c r="K47">
        <v>0.21956899999999999</v>
      </c>
      <c r="L47">
        <v>-3.2693509999999999</v>
      </c>
      <c r="M47">
        <v>3.0823360000000002</v>
      </c>
      <c r="N47">
        <v>-0.4385</v>
      </c>
      <c r="O47">
        <v>3.8266040000000001</v>
      </c>
      <c r="P47">
        <v>1.637453</v>
      </c>
      <c r="Q47">
        <v>3.2032690000000001</v>
      </c>
      <c r="R47">
        <v>-6.9055780000000002</v>
      </c>
      <c r="S47">
        <v>5.2871360000000003</v>
      </c>
      <c r="T47">
        <v>8.9768000000000008</v>
      </c>
      <c r="U47">
        <v>-2.6486200000000002</v>
      </c>
      <c r="V47">
        <v>-2.0041869999999999</v>
      </c>
      <c r="W47">
        <v>10.680464000000001</v>
      </c>
      <c r="X47">
        <v>14.409034</v>
      </c>
      <c r="Y47">
        <v>-0.97561900000000001</v>
      </c>
      <c r="Z47">
        <v>-0.62650799999999995</v>
      </c>
      <c r="AA47">
        <v>0.76044</v>
      </c>
      <c r="AB47" t="s">
        <v>2218</v>
      </c>
    </row>
    <row r="48" spans="1:28" x14ac:dyDescent="0.25">
      <c r="A48" t="s">
        <v>2268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2269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2270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-4.9144860000000001</v>
      </c>
      <c r="E9">
        <v>4.5509740000000001</v>
      </c>
      <c r="F9">
        <v>8.6843050000000002</v>
      </c>
      <c r="G9">
        <v>7.1378740000000001</v>
      </c>
      <c r="H9">
        <v>-19.576694</v>
      </c>
      <c r="I9">
        <v>-3.2601520000000002</v>
      </c>
      <c r="J9">
        <v>12.199355000000001</v>
      </c>
      <c r="K9">
        <v>-0.49803500000000001</v>
      </c>
      <c r="L9">
        <v>9.4959240000000005</v>
      </c>
      <c r="M9">
        <v>-0.201039</v>
      </c>
      <c r="N9">
        <v>0.42902800000000002</v>
      </c>
      <c r="O9">
        <v>4.4504200000000003</v>
      </c>
      <c r="P9">
        <v>11.596686999999999</v>
      </c>
      <c r="Q9">
        <v>-5.7324250000000001</v>
      </c>
      <c r="R9">
        <v>4.4946080000000004</v>
      </c>
      <c r="S9">
        <v>4.7199999999999998E-4</v>
      </c>
      <c r="T9">
        <v>-7.9440520000000001</v>
      </c>
      <c r="U9">
        <v>4.48325</v>
      </c>
      <c r="V9">
        <v>7.3296049999999999</v>
      </c>
      <c r="W9">
        <v>-0.582264</v>
      </c>
      <c r="X9">
        <v>9.7164070000000002</v>
      </c>
      <c r="Y9">
        <v>-8.8890239999999991</v>
      </c>
      <c r="Z9">
        <v>1.8887529999999999</v>
      </c>
      <c r="AA9" t="s">
        <v>2218</v>
      </c>
      <c r="AB9" t="s">
        <v>2218</v>
      </c>
    </row>
    <row r="10" spans="1:28" x14ac:dyDescent="0.25">
      <c r="A10" t="s">
        <v>2219</v>
      </c>
      <c r="D10">
        <v>5.7121190000000004</v>
      </c>
      <c r="E10">
        <v>7.873246</v>
      </c>
      <c r="F10">
        <v>-5.0171060000000001</v>
      </c>
      <c r="G10">
        <v>-0.55690700000000004</v>
      </c>
      <c r="H10">
        <v>0.95504900000000004</v>
      </c>
      <c r="I10">
        <v>-8.5966520000000006</v>
      </c>
      <c r="J10">
        <v>9.33521</v>
      </c>
      <c r="K10">
        <v>2.7131699999999999</v>
      </c>
      <c r="L10">
        <v>5.1010479999999996</v>
      </c>
      <c r="M10">
        <v>1.3571329999999999</v>
      </c>
      <c r="N10">
        <v>8.1891420000000004</v>
      </c>
      <c r="O10">
        <v>4.2277399999999998</v>
      </c>
      <c r="P10">
        <v>4.9051999999999998</v>
      </c>
      <c r="Q10">
        <v>-1.2053119999999999</v>
      </c>
      <c r="R10">
        <v>-2.4043269999999999</v>
      </c>
      <c r="S10">
        <v>-4.5322990000000001</v>
      </c>
      <c r="T10">
        <v>2.3802989999999999</v>
      </c>
      <c r="U10">
        <v>-2.8614660000000001</v>
      </c>
      <c r="V10">
        <v>0.33664100000000002</v>
      </c>
      <c r="W10">
        <v>-1.2302059999999999</v>
      </c>
      <c r="X10">
        <v>1.228769</v>
      </c>
      <c r="Y10">
        <v>0.914682</v>
      </c>
      <c r="Z10">
        <v>-0.63113699999999995</v>
      </c>
      <c r="AA10">
        <v>-1.6064320000000001</v>
      </c>
      <c r="AB10">
        <v>-1.0669930000000001</v>
      </c>
    </row>
    <row r="11" spans="1:28" x14ac:dyDescent="0.25">
      <c r="A11" t="s">
        <v>2220</v>
      </c>
      <c r="D11" t="s">
        <v>2218</v>
      </c>
      <c r="E11">
        <v>-4.4308560000000003</v>
      </c>
      <c r="F11">
        <v>1.624716</v>
      </c>
      <c r="G11">
        <v>7.85907</v>
      </c>
      <c r="H11">
        <v>4.6895660000000001</v>
      </c>
      <c r="I11">
        <v>0.64390700000000001</v>
      </c>
      <c r="J11">
        <v>2.482561</v>
      </c>
      <c r="K11">
        <v>10.263578000000001</v>
      </c>
      <c r="L11">
        <v>5.3430030000000004</v>
      </c>
      <c r="M11">
        <v>5.9952360000000002</v>
      </c>
      <c r="N11">
        <v>-4.2895219999999998</v>
      </c>
      <c r="O11">
        <v>0.72008300000000003</v>
      </c>
      <c r="P11">
        <v>3.4177140000000001</v>
      </c>
      <c r="Q11">
        <v>0.81520300000000001</v>
      </c>
      <c r="R11">
        <v>1.9265000000000001</v>
      </c>
      <c r="S11">
        <v>5.0986739999999999</v>
      </c>
      <c r="T11">
        <v>1.84954</v>
      </c>
      <c r="U11">
        <v>6.3021219999999998</v>
      </c>
      <c r="V11">
        <v>2.1483780000000001</v>
      </c>
      <c r="W11">
        <v>2.091224</v>
      </c>
      <c r="X11">
        <v>3.6756500000000001</v>
      </c>
      <c r="Y11">
        <v>2.5171670000000002</v>
      </c>
      <c r="Z11">
        <v>2.3795929999999998</v>
      </c>
      <c r="AA11">
        <v>3.3945439999999998</v>
      </c>
      <c r="AB11">
        <v>-0.58229799999999998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-9.9363000000000007E-2</v>
      </c>
      <c r="R12">
        <v>0.48446299999999998</v>
      </c>
      <c r="S12">
        <v>-0.272596</v>
      </c>
      <c r="T12">
        <v>-0.22331799999999999</v>
      </c>
      <c r="U12">
        <v>1.02504</v>
      </c>
      <c r="V12">
        <v>-1.9771890000000001</v>
      </c>
      <c r="W12">
        <v>2.1467969999999998</v>
      </c>
      <c r="X12">
        <v>1.1949179999999999</v>
      </c>
      <c r="Y12">
        <v>2.1011250000000001</v>
      </c>
      <c r="Z12">
        <v>1.110635</v>
      </c>
      <c r="AA12">
        <v>1.6488860000000001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 t="s">
        <v>2218</v>
      </c>
      <c r="U13" t="s">
        <v>2218</v>
      </c>
      <c r="V13" t="s">
        <v>2218</v>
      </c>
      <c r="W13">
        <v>-2.7275860000000001</v>
      </c>
      <c r="X13">
        <v>16.640432000000001</v>
      </c>
      <c r="Y13">
        <v>8.2758850000000006</v>
      </c>
      <c r="Z13">
        <v>-4.990367</v>
      </c>
      <c r="AA13">
        <v>-2.792459</v>
      </c>
      <c r="AB13" t="s">
        <v>2218</v>
      </c>
    </row>
    <row r="14" spans="1:28" x14ac:dyDescent="0.25">
      <c r="A14" t="s">
        <v>2223</v>
      </c>
      <c r="D14">
        <v>8.9225969999999997</v>
      </c>
      <c r="E14">
        <v>2.7168990000000002</v>
      </c>
      <c r="F14">
        <v>5.5603170000000004</v>
      </c>
      <c r="G14">
        <v>-0.75338799999999995</v>
      </c>
      <c r="H14">
        <v>0.741259</v>
      </c>
      <c r="I14">
        <v>4.4851169999999998</v>
      </c>
      <c r="J14">
        <v>7.5994429999999999</v>
      </c>
      <c r="K14">
        <v>3.445945</v>
      </c>
      <c r="L14">
        <v>9.8743060000000007</v>
      </c>
      <c r="M14">
        <v>0.39902199999999999</v>
      </c>
      <c r="N14">
        <v>7.059704</v>
      </c>
      <c r="O14">
        <v>4.10297</v>
      </c>
      <c r="P14">
        <v>5.6908459999999996</v>
      </c>
      <c r="Q14">
        <v>-4.5068489999999999</v>
      </c>
      <c r="R14">
        <v>-6.1207190000000002</v>
      </c>
      <c r="S14">
        <v>2.5496259999999999</v>
      </c>
      <c r="T14">
        <v>6.2406610000000002</v>
      </c>
      <c r="U14">
        <v>-4.1226209999999996</v>
      </c>
      <c r="V14">
        <v>1.5329889999999999</v>
      </c>
      <c r="W14">
        <v>5.0315450000000004</v>
      </c>
      <c r="X14">
        <v>7.2762529999999996</v>
      </c>
      <c r="Y14">
        <v>-1.6913020000000001</v>
      </c>
      <c r="Z14">
        <v>2.917421</v>
      </c>
      <c r="AA14">
        <v>5.8244629999999997</v>
      </c>
      <c r="AB14">
        <v>2.7130079999999999</v>
      </c>
    </row>
    <row r="15" spans="1:28" x14ac:dyDescent="0.25">
      <c r="A15" t="s">
        <v>2224</v>
      </c>
      <c r="D15">
        <v>-1.9411160000000001</v>
      </c>
      <c r="E15">
        <v>8.2311320000000006</v>
      </c>
      <c r="F15">
        <v>12.055433000000001</v>
      </c>
      <c r="G15">
        <v>3.1927500000000002</v>
      </c>
      <c r="H15">
        <v>4.6506410000000002</v>
      </c>
      <c r="I15">
        <v>5.2927989999999996</v>
      </c>
      <c r="J15">
        <v>2.4889239999999999</v>
      </c>
      <c r="K15">
        <v>8.9584890000000001</v>
      </c>
      <c r="L15">
        <v>14.801410000000001</v>
      </c>
      <c r="M15">
        <v>6.8582960000000002</v>
      </c>
      <c r="N15">
        <v>5.5394730000000001</v>
      </c>
      <c r="O15">
        <v>3.9468420000000002</v>
      </c>
      <c r="P15">
        <v>8.4816660000000006</v>
      </c>
      <c r="Q15">
        <v>11.970815</v>
      </c>
      <c r="R15">
        <v>3.1386240000000001</v>
      </c>
      <c r="S15">
        <v>5.8793189999999997</v>
      </c>
      <c r="T15">
        <v>5.1016789999999999</v>
      </c>
      <c r="U15">
        <v>1.7900320000000001</v>
      </c>
      <c r="V15">
        <v>8.8146129999999996</v>
      </c>
      <c r="W15">
        <v>0.33113199999999998</v>
      </c>
      <c r="X15">
        <v>7.3035350000000001</v>
      </c>
      <c r="Y15">
        <v>7.3693039999999996</v>
      </c>
      <c r="Z15">
        <v>0.85768100000000003</v>
      </c>
      <c r="AA15">
        <v>2.4282970000000001</v>
      </c>
      <c r="AB15">
        <v>0.363234</v>
      </c>
    </row>
    <row r="16" spans="1:28" x14ac:dyDescent="0.25">
      <c r="A16" t="s">
        <v>2225</v>
      </c>
      <c r="D16" t="s">
        <v>2218</v>
      </c>
      <c r="E16">
        <v>-1.1199440000000001</v>
      </c>
      <c r="F16">
        <v>-2.9463400000000002</v>
      </c>
      <c r="G16">
        <v>23.489121999999998</v>
      </c>
      <c r="H16">
        <v>14.384872</v>
      </c>
      <c r="I16">
        <v>-21.554417999999998</v>
      </c>
      <c r="J16">
        <v>10.42501</v>
      </c>
      <c r="K16">
        <v>14.286635</v>
      </c>
      <c r="L16">
        <v>21.796620999999998</v>
      </c>
      <c r="M16">
        <v>-13.28755</v>
      </c>
      <c r="N16">
        <v>-1.551642</v>
      </c>
      <c r="O16">
        <v>16.710439000000001</v>
      </c>
      <c r="P16">
        <v>25.582986999999999</v>
      </c>
      <c r="Q16">
        <v>-4.1178869999999996</v>
      </c>
      <c r="R16">
        <v>-3.0125700000000002</v>
      </c>
      <c r="S16">
        <v>11.641772</v>
      </c>
      <c r="T16">
        <v>-18.093108000000001</v>
      </c>
      <c r="U16">
        <v>2.113575</v>
      </c>
      <c r="V16">
        <v>-1.8179380000000001</v>
      </c>
      <c r="W16">
        <v>-6.1939320000000002</v>
      </c>
      <c r="X16">
        <v>-11.840679</v>
      </c>
      <c r="Y16">
        <v>1.143694</v>
      </c>
      <c r="Z16">
        <v>5.0073730000000003</v>
      </c>
      <c r="AA16">
        <v>14.744325</v>
      </c>
      <c r="AB16">
        <v>13.112273999999999</v>
      </c>
    </row>
    <row r="17" spans="1:28" x14ac:dyDescent="0.25">
      <c r="A17" t="s">
        <v>2226</v>
      </c>
      <c r="D17">
        <v>4.2691400000000002</v>
      </c>
      <c r="E17">
        <v>5.2247349999999999</v>
      </c>
      <c r="F17">
        <v>9.0573440000000005</v>
      </c>
      <c r="G17">
        <v>8.4423320000000004</v>
      </c>
      <c r="H17">
        <v>4.0500889999999998</v>
      </c>
      <c r="I17">
        <v>3.08813</v>
      </c>
      <c r="J17">
        <v>3.71983</v>
      </c>
      <c r="K17">
        <v>1.526993</v>
      </c>
      <c r="L17">
        <v>0.83979599999999999</v>
      </c>
      <c r="M17">
        <v>13.114637</v>
      </c>
      <c r="N17">
        <v>-0.51502499999999996</v>
      </c>
      <c r="O17">
        <v>0.79437500000000005</v>
      </c>
      <c r="P17">
        <v>11.408122000000001</v>
      </c>
      <c r="Q17">
        <v>-0.75830200000000003</v>
      </c>
      <c r="R17">
        <v>1.3685449999999999</v>
      </c>
      <c r="S17">
        <v>4.7811909999999997</v>
      </c>
      <c r="T17">
        <v>4.9285209999999999</v>
      </c>
      <c r="U17">
        <v>4.7084429999999999</v>
      </c>
      <c r="V17">
        <v>0.15182699999999999</v>
      </c>
      <c r="W17">
        <v>4.4946999999999999</v>
      </c>
      <c r="X17">
        <v>1.59992</v>
      </c>
      <c r="Y17">
        <v>2.1437979999999999</v>
      </c>
      <c r="Z17">
        <v>-0.64261199999999996</v>
      </c>
      <c r="AA17">
        <v>-1.244523</v>
      </c>
      <c r="AB17">
        <v>-1.184814</v>
      </c>
    </row>
    <row r="18" spans="1:28" x14ac:dyDescent="0.25">
      <c r="A18" t="s">
        <v>2227</v>
      </c>
      <c r="D18">
        <v>0.56121100000000002</v>
      </c>
      <c r="E18">
        <v>1.3732569999999999</v>
      </c>
      <c r="F18">
        <v>7.5418159999999999</v>
      </c>
      <c r="G18">
        <v>3.0321799999999999</v>
      </c>
      <c r="H18">
        <v>2.0870470000000001</v>
      </c>
      <c r="I18">
        <v>-1.8878349999999999</v>
      </c>
      <c r="J18">
        <v>3.5823909999999999</v>
      </c>
      <c r="K18">
        <v>8.9505409999999994</v>
      </c>
      <c r="L18">
        <v>6.4252820000000002</v>
      </c>
      <c r="M18">
        <v>6.6273390000000001</v>
      </c>
      <c r="N18">
        <v>2.4582139999999999</v>
      </c>
      <c r="O18">
        <v>6.3694680000000004</v>
      </c>
      <c r="P18">
        <v>2.1943169999999999</v>
      </c>
      <c r="Q18">
        <v>0.91663499999999998</v>
      </c>
      <c r="R18">
        <v>-3.616466</v>
      </c>
      <c r="S18">
        <v>4.5816850000000002</v>
      </c>
      <c r="T18">
        <v>4.9927590000000004</v>
      </c>
      <c r="U18">
        <v>2.1953999999999998</v>
      </c>
      <c r="V18">
        <v>-1.1440140000000001</v>
      </c>
      <c r="W18">
        <v>4.1965219999999999</v>
      </c>
      <c r="X18">
        <v>1.9076280000000001</v>
      </c>
      <c r="Y18">
        <v>0.88226199999999999</v>
      </c>
      <c r="Z18">
        <v>3.690607</v>
      </c>
      <c r="AA18">
        <v>1.3715790000000001</v>
      </c>
      <c r="AB18">
        <v>4.5946550000000004</v>
      </c>
    </row>
    <row r="19" spans="1:28" x14ac:dyDescent="0.25">
      <c r="A19" t="s">
        <v>2228</v>
      </c>
      <c r="D19">
        <v>6.4473320000000003</v>
      </c>
      <c r="E19">
        <v>5.9888630000000003</v>
      </c>
      <c r="F19">
        <v>10.174409000000001</v>
      </c>
      <c r="G19">
        <v>10.710221000000001</v>
      </c>
      <c r="H19">
        <v>5.157025</v>
      </c>
      <c r="I19">
        <v>-1.1349769999999999</v>
      </c>
      <c r="J19">
        <v>5.4881599999999997</v>
      </c>
      <c r="K19">
        <v>3.9809549999999998</v>
      </c>
      <c r="L19">
        <v>-6.945684</v>
      </c>
      <c r="M19">
        <v>7.7784820000000003</v>
      </c>
      <c r="N19">
        <v>-2.37663</v>
      </c>
      <c r="O19">
        <v>7.989058</v>
      </c>
      <c r="P19">
        <v>10.705743999999999</v>
      </c>
      <c r="Q19">
        <v>2.5397280000000002</v>
      </c>
      <c r="R19">
        <v>0.30526900000000001</v>
      </c>
      <c r="S19">
        <v>1.739714</v>
      </c>
      <c r="T19">
        <v>10.351976000000001</v>
      </c>
      <c r="U19">
        <v>2.2964479999999998</v>
      </c>
      <c r="V19">
        <v>3.5920709999999998</v>
      </c>
      <c r="W19">
        <v>4.0855880000000004</v>
      </c>
      <c r="X19">
        <v>2.2793380000000001</v>
      </c>
      <c r="Y19">
        <v>0.53029099999999996</v>
      </c>
      <c r="Z19">
        <v>0.99063000000000001</v>
      </c>
      <c r="AA19">
        <v>3.2006E-2</v>
      </c>
      <c r="AB19">
        <v>-0.679755</v>
      </c>
    </row>
    <row r="20" spans="1:28" x14ac:dyDescent="0.25">
      <c r="A20" t="s">
        <v>2229</v>
      </c>
      <c r="D20" t="s">
        <v>2218</v>
      </c>
      <c r="E20">
        <v>2.4118499999999998</v>
      </c>
      <c r="F20">
        <v>13.018409</v>
      </c>
      <c r="G20">
        <v>-0.248947</v>
      </c>
      <c r="H20">
        <v>15.411085</v>
      </c>
      <c r="I20">
        <v>3.9330609999999999</v>
      </c>
      <c r="J20">
        <v>3.766213</v>
      </c>
      <c r="K20">
        <v>-2.360182</v>
      </c>
      <c r="L20">
        <v>5.0089940000000004</v>
      </c>
      <c r="M20">
        <v>4.6416259999999996</v>
      </c>
      <c r="N20">
        <v>6.9843149999999996</v>
      </c>
      <c r="O20">
        <v>12.300148999999999</v>
      </c>
      <c r="P20">
        <v>4.0298020000000001</v>
      </c>
      <c r="Q20">
        <v>-2.0842329999999998</v>
      </c>
      <c r="R20">
        <v>5.560613</v>
      </c>
      <c r="S20">
        <v>-16.068144</v>
      </c>
      <c r="T20">
        <v>-13.949577</v>
      </c>
      <c r="U20">
        <v>-10.335865</v>
      </c>
      <c r="V20">
        <v>3.9128210000000001</v>
      </c>
      <c r="W20">
        <v>-3.960566</v>
      </c>
      <c r="X20">
        <v>-1.9516389999999999</v>
      </c>
      <c r="Y20">
        <v>-4.2562639999999998</v>
      </c>
      <c r="Z20">
        <v>-5.48827</v>
      </c>
      <c r="AA20">
        <v>-7.3752089999999999</v>
      </c>
      <c r="AB20">
        <v>-4.3888020000000001</v>
      </c>
    </row>
    <row r="21" spans="1:28" x14ac:dyDescent="0.25">
      <c r="A21" t="s">
        <v>2230</v>
      </c>
      <c r="D21" t="s">
        <v>2218</v>
      </c>
      <c r="E21">
        <v>20.577919999999999</v>
      </c>
      <c r="F21">
        <v>22.579324</v>
      </c>
      <c r="G21">
        <v>3.7167759999999999</v>
      </c>
      <c r="H21">
        <v>7.8307820000000001</v>
      </c>
      <c r="I21">
        <v>-4.0668829999999998</v>
      </c>
      <c r="J21">
        <v>-3.291569</v>
      </c>
      <c r="K21">
        <v>15.786160000000001</v>
      </c>
      <c r="L21">
        <v>4.9726530000000002</v>
      </c>
      <c r="M21">
        <v>11.958270000000001</v>
      </c>
      <c r="N21">
        <v>1.9703390000000001</v>
      </c>
      <c r="O21">
        <v>-6.2265059999999997</v>
      </c>
      <c r="P21">
        <v>4.1099569999999996</v>
      </c>
      <c r="Q21">
        <v>-0.54762699999999997</v>
      </c>
      <c r="R21">
        <v>4.525906</v>
      </c>
      <c r="S21">
        <v>4.1527760000000002</v>
      </c>
      <c r="T21">
        <v>-1.466097</v>
      </c>
      <c r="U21">
        <v>3.8648220000000002</v>
      </c>
      <c r="V21">
        <v>-4.2385109999999999</v>
      </c>
      <c r="W21">
        <v>-2.758248</v>
      </c>
      <c r="X21">
        <v>-2.7726000000000002</v>
      </c>
      <c r="Y21">
        <v>-0.39272499999999999</v>
      </c>
      <c r="Z21">
        <v>7.1406830000000001</v>
      </c>
      <c r="AA21">
        <v>4.5542910000000001</v>
      </c>
      <c r="AB21">
        <v>1.8973899999999999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3.0440049999999998</v>
      </c>
      <c r="S22">
        <v>-2.2420070000000001</v>
      </c>
      <c r="T22">
        <v>1.8291980000000001</v>
      </c>
      <c r="U22">
        <v>6.4976029999999998</v>
      </c>
      <c r="V22">
        <v>7.316751</v>
      </c>
      <c r="W22">
        <v>6.0995980000000003</v>
      </c>
      <c r="X22">
        <v>6.4145339999999997</v>
      </c>
      <c r="Y22">
        <v>10.224409</v>
      </c>
      <c r="Z22">
        <v>0.69155599999999995</v>
      </c>
      <c r="AA22">
        <v>9.7520229999999994</v>
      </c>
      <c r="AB22">
        <v>5.3770059999999997</v>
      </c>
    </row>
    <row r="23" spans="1:28" x14ac:dyDescent="0.25">
      <c r="A23" t="s">
        <v>2232</v>
      </c>
      <c r="D23" t="s">
        <v>2218</v>
      </c>
      <c r="E23">
        <v>1.5737779999999999</v>
      </c>
      <c r="F23">
        <v>12.686346</v>
      </c>
      <c r="G23">
        <v>10.416055999999999</v>
      </c>
      <c r="H23">
        <v>-1.9294119999999999</v>
      </c>
      <c r="I23">
        <v>-0.513486</v>
      </c>
      <c r="J23">
        <v>1.1704209999999999</v>
      </c>
      <c r="K23">
        <v>7.6192399999999996</v>
      </c>
      <c r="L23">
        <v>-5.701397</v>
      </c>
      <c r="M23">
        <v>19.682258000000001</v>
      </c>
      <c r="N23">
        <v>1.827466</v>
      </c>
      <c r="O23">
        <v>10.778840000000001</v>
      </c>
      <c r="P23">
        <v>17.448243999999999</v>
      </c>
      <c r="Q23">
        <v>6.3056380000000001</v>
      </c>
      <c r="R23">
        <v>0.61424400000000001</v>
      </c>
      <c r="S23">
        <v>24.431149000000001</v>
      </c>
      <c r="T23">
        <v>-0.96071700000000004</v>
      </c>
      <c r="U23">
        <v>-1.9986269999999999</v>
      </c>
      <c r="V23">
        <v>8.1444460000000003</v>
      </c>
      <c r="W23">
        <v>8.942558</v>
      </c>
      <c r="X23">
        <v>10.559645</v>
      </c>
      <c r="Y23">
        <v>5.1933740000000004</v>
      </c>
      <c r="Z23">
        <v>9.1874909999999996</v>
      </c>
      <c r="AA23">
        <v>19.034174</v>
      </c>
      <c r="AB23">
        <v>13.423503999999999</v>
      </c>
    </row>
    <row r="24" spans="1:28" x14ac:dyDescent="0.25">
      <c r="A24" t="s">
        <v>2233</v>
      </c>
      <c r="D24" t="s">
        <v>2218</v>
      </c>
      <c r="E24">
        <v>-0.57871700000000004</v>
      </c>
      <c r="F24">
        <v>-0.65827999999999998</v>
      </c>
      <c r="G24">
        <v>2.4029530000000001</v>
      </c>
      <c r="H24">
        <v>-2.1033930000000001</v>
      </c>
      <c r="I24">
        <v>9.9237699999999993</v>
      </c>
      <c r="J24">
        <v>-8.2798730000000003</v>
      </c>
      <c r="K24">
        <v>7.4900469999999997</v>
      </c>
      <c r="L24">
        <v>0.327123</v>
      </c>
      <c r="M24">
        <v>4.9408719999999997</v>
      </c>
      <c r="N24">
        <v>-3.2727390000000001</v>
      </c>
      <c r="O24">
        <v>-3.1069</v>
      </c>
      <c r="P24">
        <v>10.075519999999999</v>
      </c>
      <c r="Q24">
        <v>9.6416430000000002</v>
      </c>
      <c r="R24">
        <v>0.79699900000000001</v>
      </c>
      <c r="S24">
        <v>-3.1015139999999999</v>
      </c>
      <c r="T24">
        <v>1.5468329999999999</v>
      </c>
      <c r="U24">
        <v>13.015941</v>
      </c>
      <c r="V24">
        <v>10.747165000000001</v>
      </c>
      <c r="W24">
        <v>3.3208709999999999</v>
      </c>
      <c r="X24">
        <v>4.164873</v>
      </c>
      <c r="Y24">
        <v>4.2156399999999996</v>
      </c>
      <c r="Z24">
        <v>2.3313730000000001</v>
      </c>
      <c r="AA24">
        <v>-1.509034</v>
      </c>
      <c r="AB24" t="s">
        <v>2218</v>
      </c>
    </row>
    <row r="25" spans="1:28" x14ac:dyDescent="0.25">
      <c r="A25" t="s">
        <v>2234</v>
      </c>
      <c r="D25">
        <v>2.7284999999999999</v>
      </c>
      <c r="E25">
        <v>7.816179</v>
      </c>
      <c r="F25">
        <v>1.471292</v>
      </c>
      <c r="G25">
        <v>0.37917200000000001</v>
      </c>
      <c r="H25">
        <v>5.5217299999999998</v>
      </c>
      <c r="I25">
        <v>0.94399500000000003</v>
      </c>
      <c r="J25">
        <v>9.6719159999999995</v>
      </c>
      <c r="K25">
        <v>4.2460440000000004</v>
      </c>
      <c r="L25">
        <v>-0.38344</v>
      </c>
      <c r="M25">
        <v>3.152444</v>
      </c>
      <c r="N25">
        <v>1.870868</v>
      </c>
      <c r="O25">
        <v>-1.47428</v>
      </c>
      <c r="P25">
        <v>5.1297249999999996</v>
      </c>
      <c r="Q25">
        <v>2.9542619999999999</v>
      </c>
      <c r="R25">
        <v>-0.69791400000000003</v>
      </c>
      <c r="S25">
        <v>4.0554079999999999</v>
      </c>
      <c r="T25">
        <v>-0.45737100000000003</v>
      </c>
      <c r="U25">
        <v>-3.8887330000000002</v>
      </c>
      <c r="V25">
        <v>0.220806</v>
      </c>
      <c r="W25">
        <v>1.609672</v>
      </c>
      <c r="X25">
        <v>-0.432674</v>
      </c>
      <c r="Y25">
        <v>1.923492</v>
      </c>
      <c r="Z25">
        <v>0.55044099999999996</v>
      </c>
      <c r="AA25">
        <v>-3.8629639999999998</v>
      </c>
      <c r="AB25">
        <v>-0.45841399999999999</v>
      </c>
    </row>
    <row r="26" spans="1:28" x14ac:dyDescent="0.25">
      <c r="A26" t="s">
        <v>2235</v>
      </c>
      <c r="D26">
        <v>12.910225000000001</v>
      </c>
      <c r="E26">
        <v>16.490342999999999</v>
      </c>
      <c r="F26">
        <v>8.218966</v>
      </c>
      <c r="G26">
        <v>10.037844</v>
      </c>
      <c r="H26">
        <v>3.198302</v>
      </c>
      <c r="I26">
        <v>5.8249789999999999</v>
      </c>
      <c r="J26">
        <v>5.9629329999999996</v>
      </c>
      <c r="K26">
        <v>3.8595000000000002</v>
      </c>
      <c r="L26">
        <v>0.97942799999999997</v>
      </c>
      <c r="M26">
        <v>-4.3881819999999996</v>
      </c>
      <c r="N26">
        <v>-5.179913</v>
      </c>
      <c r="O26">
        <v>1.4547829999999999</v>
      </c>
      <c r="P26">
        <v>-3.417621</v>
      </c>
      <c r="Q26">
        <v>5.0038200000000002</v>
      </c>
      <c r="R26">
        <v>-1.548826</v>
      </c>
      <c r="S26">
        <v>0.231514</v>
      </c>
      <c r="T26">
        <v>3.968051</v>
      </c>
      <c r="U26">
        <v>1.7941780000000001</v>
      </c>
      <c r="V26">
        <v>4.5235409999999998</v>
      </c>
      <c r="W26">
        <v>-4.8579439999999998</v>
      </c>
      <c r="X26">
        <v>-0.75817900000000005</v>
      </c>
      <c r="Y26">
        <v>0.53402499999999997</v>
      </c>
      <c r="Z26">
        <v>-1.9385159999999999</v>
      </c>
      <c r="AA26">
        <v>-1.450302</v>
      </c>
      <c r="AB26" t="s">
        <v>2218</v>
      </c>
    </row>
    <row r="27" spans="1:28" x14ac:dyDescent="0.25">
      <c r="A27" t="s">
        <v>2236</v>
      </c>
      <c r="C27" t="s">
        <v>2267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4.2392979999999998</v>
      </c>
      <c r="O27">
        <v>1.9795100000000001</v>
      </c>
      <c r="P27">
        <v>5.4836980000000004</v>
      </c>
      <c r="Q27">
        <v>5.0380900000000004</v>
      </c>
      <c r="R27">
        <v>0.331067</v>
      </c>
      <c r="S27">
        <v>1.7366509999999999</v>
      </c>
      <c r="T27">
        <v>6.0088999999999997E-2</v>
      </c>
      <c r="U27">
        <v>4.0075950000000002</v>
      </c>
      <c r="V27">
        <v>7.4155139999999999</v>
      </c>
      <c r="W27">
        <v>-1.3230710000000001</v>
      </c>
      <c r="X27">
        <v>-6.1744859999999999</v>
      </c>
      <c r="Y27">
        <v>3.9971640000000002</v>
      </c>
      <c r="Z27">
        <v>3.2302599999999999</v>
      </c>
      <c r="AA27">
        <v>-2.6764990000000002</v>
      </c>
      <c r="AB27" t="s">
        <v>2218</v>
      </c>
    </row>
    <row r="28" spans="1:28" x14ac:dyDescent="0.25">
      <c r="A28" t="s">
        <v>2237</v>
      </c>
      <c r="D28" t="s">
        <v>2218</v>
      </c>
      <c r="E28">
        <v>2.7586840000000001</v>
      </c>
      <c r="F28">
        <v>18.305213999999999</v>
      </c>
      <c r="G28">
        <v>4.5672930000000003</v>
      </c>
      <c r="H28">
        <v>8.8466920000000009</v>
      </c>
      <c r="I28">
        <v>62.092561000000003</v>
      </c>
      <c r="J28">
        <v>16.353473999999999</v>
      </c>
      <c r="K28">
        <v>-4.5595939999999997</v>
      </c>
      <c r="L28">
        <v>-5.2880000000000002E-3</v>
      </c>
      <c r="M28">
        <v>0.35960999999999999</v>
      </c>
      <c r="N28">
        <v>34.45129</v>
      </c>
      <c r="O28">
        <v>16.703399999999998</v>
      </c>
      <c r="P28">
        <v>-15.271841999999999</v>
      </c>
      <c r="Q28">
        <v>-0.33347300000000002</v>
      </c>
      <c r="R28">
        <v>-8.3209169999999997</v>
      </c>
      <c r="S28">
        <v>0.33546599999999999</v>
      </c>
      <c r="T28">
        <v>-4.8070599999999999</v>
      </c>
      <c r="U28">
        <v>5.6814109999999998</v>
      </c>
      <c r="V28">
        <v>-5.0156660000000004</v>
      </c>
      <c r="W28">
        <v>-12.881798</v>
      </c>
      <c r="X28">
        <v>-4.6097380000000001</v>
      </c>
      <c r="Y28">
        <v>-1.4917609999999999</v>
      </c>
      <c r="Z28">
        <v>2.6973549999999999</v>
      </c>
      <c r="AA28">
        <v>3.6337109999999999</v>
      </c>
      <c r="AB28">
        <v>0.95311699999999999</v>
      </c>
    </row>
    <row r="29" spans="1:28" x14ac:dyDescent="0.25">
      <c r="A29" t="s">
        <v>2238</v>
      </c>
      <c r="D29" t="s">
        <v>2218</v>
      </c>
      <c r="E29">
        <v>18.681757000000001</v>
      </c>
      <c r="F29">
        <v>4.7707449999999998</v>
      </c>
      <c r="G29">
        <v>0.79169100000000003</v>
      </c>
      <c r="H29">
        <v>8.5825829999999996</v>
      </c>
      <c r="I29">
        <v>-2.608511</v>
      </c>
      <c r="J29">
        <v>5.3641810000000003</v>
      </c>
      <c r="K29">
        <v>22.133371</v>
      </c>
      <c r="L29">
        <v>16.346354000000002</v>
      </c>
      <c r="M29">
        <v>-19.622102999999999</v>
      </c>
      <c r="N29">
        <v>0.18758900000000001</v>
      </c>
      <c r="O29">
        <v>15.944293</v>
      </c>
      <c r="P29">
        <v>-2.2026300000000001</v>
      </c>
      <c r="Q29">
        <v>-7.5202090000000004</v>
      </c>
      <c r="R29">
        <v>6.3118600000000002</v>
      </c>
      <c r="S29">
        <v>5.7228820000000002</v>
      </c>
      <c r="T29">
        <v>-17.677250000000001</v>
      </c>
      <c r="U29">
        <v>-7.4687150000000004</v>
      </c>
      <c r="V29">
        <v>22.105523999999999</v>
      </c>
      <c r="W29">
        <v>6.1299279999999996</v>
      </c>
      <c r="X29">
        <v>-6.1354850000000001</v>
      </c>
      <c r="Y29">
        <v>-7.4722999999999998E-2</v>
      </c>
      <c r="Z29">
        <v>9.7292229999999993</v>
      </c>
      <c r="AA29">
        <v>-3.373059</v>
      </c>
      <c r="AB29">
        <v>-11.227334000000001</v>
      </c>
    </row>
    <row r="30" spans="1:28" x14ac:dyDescent="0.25">
      <c r="A30" t="s">
        <v>2239</v>
      </c>
      <c r="D30" t="s">
        <v>2218</v>
      </c>
      <c r="E30">
        <v>-8.2910389999999996</v>
      </c>
      <c r="F30">
        <v>-6.5526970000000002</v>
      </c>
      <c r="G30">
        <v>10.618980000000001</v>
      </c>
      <c r="H30">
        <v>12.38269</v>
      </c>
      <c r="I30">
        <v>-4.9684290000000004</v>
      </c>
      <c r="J30">
        <v>-4.3846949999999998</v>
      </c>
      <c r="K30">
        <v>4.8609859999999996</v>
      </c>
      <c r="L30">
        <v>8.3647650000000002</v>
      </c>
      <c r="M30">
        <v>-0.205791</v>
      </c>
      <c r="N30">
        <v>-8.8226739999999992</v>
      </c>
      <c r="O30">
        <v>8.6883009999999992</v>
      </c>
      <c r="P30">
        <v>6.5804580000000001</v>
      </c>
      <c r="Q30">
        <v>-2.5261559999999998</v>
      </c>
      <c r="R30">
        <v>6.132339</v>
      </c>
      <c r="S30">
        <v>11.813309</v>
      </c>
      <c r="T30">
        <v>3.0423429999999998</v>
      </c>
      <c r="U30">
        <v>4.253209</v>
      </c>
      <c r="V30">
        <v>-12.771015</v>
      </c>
      <c r="W30">
        <v>3.5533640000000002</v>
      </c>
      <c r="X30">
        <v>17.838069999999998</v>
      </c>
      <c r="Y30">
        <v>11.857312</v>
      </c>
      <c r="Z30">
        <v>-6.1064629999999998</v>
      </c>
      <c r="AA30">
        <v>10.882018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3.8812820000000001</v>
      </c>
      <c r="U31">
        <v>13.758972999999999</v>
      </c>
      <c r="V31">
        <v>-6.1144420000000004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-3.273495</v>
      </c>
      <c r="F32">
        <v>4.5470540000000002</v>
      </c>
      <c r="G32">
        <v>4.9455099999999996</v>
      </c>
      <c r="H32">
        <v>8.5188579999999998</v>
      </c>
      <c r="I32">
        <v>7.585229</v>
      </c>
      <c r="J32">
        <v>3.308468</v>
      </c>
      <c r="K32">
        <v>11.587771999999999</v>
      </c>
      <c r="L32">
        <v>8.8866759999999996</v>
      </c>
      <c r="M32">
        <v>2.3562289999999999</v>
      </c>
      <c r="N32">
        <v>1.3586100000000001</v>
      </c>
      <c r="O32">
        <v>3.4137770000000001</v>
      </c>
      <c r="P32">
        <v>4.2564289999999998</v>
      </c>
      <c r="Q32">
        <v>-0.303645</v>
      </c>
      <c r="R32">
        <v>-1.248346</v>
      </c>
      <c r="S32">
        <v>2.8808419999999999</v>
      </c>
      <c r="T32">
        <v>0.23688500000000001</v>
      </c>
      <c r="U32">
        <v>-0.29195900000000002</v>
      </c>
      <c r="V32">
        <v>3.1589870000000002</v>
      </c>
      <c r="W32">
        <v>1.66073</v>
      </c>
      <c r="X32">
        <v>2.1575350000000002</v>
      </c>
      <c r="Y32">
        <v>2.0145789999999999</v>
      </c>
      <c r="Z32">
        <v>1.571042</v>
      </c>
      <c r="AA32">
        <v>0.12914999999999999</v>
      </c>
      <c r="AB32">
        <v>0.390212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-0.79427099999999995</v>
      </c>
      <c r="U33">
        <v>-1.140269</v>
      </c>
      <c r="V33">
        <v>8.651097</v>
      </c>
      <c r="W33">
        <v>1.6678200000000001</v>
      </c>
      <c r="X33">
        <v>4.4613430000000003</v>
      </c>
      <c r="Y33">
        <v>-1.6212310000000001</v>
      </c>
      <c r="Z33">
        <v>0.93270200000000003</v>
      </c>
      <c r="AA33">
        <v>-3.5212210000000002</v>
      </c>
      <c r="AB33" t="s">
        <v>2218</v>
      </c>
    </row>
    <row r="34" spans="1:28" x14ac:dyDescent="0.25">
      <c r="A34" t="s">
        <v>2243</v>
      </c>
      <c r="D34">
        <v>1.014211</v>
      </c>
      <c r="E34">
        <v>3.8012009999999998</v>
      </c>
      <c r="F34">
        <v>3.8706499999999999</v>
      </c>
      <c r="G34">
        <v>10.056051</v>
      </c>
      <c r="H34">
        <v>10.637829</v>
      </c>
      <c r="I34">
        <v>-3.1916760000000002</v>
      </c>
      <c r="J34">
        <v>2.1479710000000001</v>
      </c>
      <c r="K34">
        <v>3.6667510000000001</v>
      </c>
      <c r="L34">
        <v>14.795785</v>
      </c>
      <c r="M34">
        <v>15.160329000000001</v>
      </c>
      <c r="N34">
        <v>5.9107519999999996</v>
      </c>
      <c r="O34">
        <v>2.9274879999999999</v>
      </c>
      <c r="P34">
        <v>9.2162450000000007</v>
      </c>
      <c r="Q34">
        <v>5.0169519999999999</v>
      </c>
      <c r="R34">
        <v>1.26722</v>
      </c>
      <c r="S34">
        <v>9.9764269999999993</v>
      </c>
      <c r="T34">
        <v>0.54064699999999999</v>
      </c>
      <c r="U34">
        <v>1.8831629999999999</v>
      </c>
      <c r="V34">
        <v>2.1042179999999999</v>
      </c>
      <c r="W34">
        <v>-0.81065900000000002</v>
      </c>
      <c r="X34">
        <v>2.1645180000000002</v>
      </c>
      <c r="Y34">
        <v>2.1536040000000001</v>
      </c>
      <c r="Z34">
        <v>1.7408859999999999</v>
      </c>
      <c r="AA34">
        <v>-0.19367500000000001</v>
      </c>
      <c r="AB34" t="s">
        <v>2218</v>
      </c>
    </row>
    <row r="35" spans="1:28" x14ac:dyDescent="0.25">
      <c r="A35" t="s">
        <v>2244</v>
      </c>
      <c r="D35" t="s">
        <v>2218</v>
      </c>
      <c r="E35">
        <v>4.7606999999999999</v>
      </c>
      <c r="F35">
        <v>4.3949670000000003</v>
      </c>
      <c r="G35">
        <v>9.0113009999999996</v>
      </c>
      <c r="H35">
        <v>9.7161880000000007</v>
      </c>
      <c r="I35">
        <v>16.149578999999999</v>
      </c>
      <c r="J35">
        <v>6.7989730000000002</v>
      </c>
      <c r="K35">
        <v>13.155053000000001</v>
      </c>
      <c r="L35">
        <v>1.139394</v>
      </c>
      <c r="M35">
        <v>7.4511409999999998</v>
      </c>
      <c r="N35">
        <v>-2.1711680000000002</v>
      </c>
      <c r="O35">
        <v>-10.329504</v>
      </c>
      <c r="P35">
        <v>-5.5409430000000004</v>
      </c>
      <c r="Q35">
        <v>5.2699090000000002</v>
      </c>
      <c r="R35">
        <v>-2.3917109999999999</v>
      </c>
      <c r="S35">
        <v>6.6620299999999997</v>
      </c>
      <c r="T35">
        <v>6.3114990000000004</v>
      </c>
      <c r="U35">
        <v>4.1247759999999998</v>
      </c>
      <c r="V35">
        <v>-0.89579799999999998</v>
      </c>
      <c r="W35">
        <v>-1.45038</v>
      </c>
      <c r="X35">
        <v>3.8680279999999998</v>
      </c>
      <c r="Y35">
        <v>15.390402</v>
      </c>
      <c r="Z35">
        <v>3.3815110000000002</v>
      </c>
      <c r="AA35">
        <v>0.670655</v>
      </c>
      <c r="AB35">
        <v>-2.3607429999999998</v>
      </c>
    </row>
    <row r="36" spans="1:28" x14ac:dyDescent="0.25">
      <c r="A36" t="s">
        <v>2245</v>
      </c>
      <c r="D36" t="s">
        <v>2218</v>
      </c>
      <c r="E36">
        <v>-2.5363410000000002</v>
      </c>
      <c r="F36">
        <v>-0.73323199999999999</v>
      </c>
      <c r="G36">
        <v>0.782887</v>
      </c>
      <c r="H36">
        <v>4.9612619999999996</v>
      </c>
      <c r="I36">
        <v>3.3380740000000002</v>
      </c>
      <c r="J36">
        <v>10.233326999999999</v>
      </c>
      <c r="K36">
        <v>2.308379</v>
      </c>
      <c r="L36">
        <v>1.292538</v>
      </c>
      <c r="M36">
        <v>1.6195660000000001</v>
      </c>
      <c r="N36">
        <v>0.311081</v>
      </c>
      <c r="O36">
        <v>2.405478</v>
      </c>
      <c r="P36">
        <v>1.211149</v>
      </c>
      <c r="Q36">
        <v>-1.295858</v>
      </c>
      <c r="R36">
        <v>-2.8149380000000002</v>
      </c>
      <c r="S36">
        <v>-4.9469240000000001</v>
      </c>
      <c r="T36">
        <v>3.8533059999999999</v>
      </c>
      <c r="U36">
        <v>-5.7635610000000002</v>
      </c>
      <c r="V36">
        <v>-3.2560419999999999</v>
      </c>
      <c r="W36">
        <v>-5.6016510000000004</v>
      </c>
      <c r="X36">
        <v>-6.4682060000000003</v>
      </c>
      <c r="Y36">
        <v>-1.227579</v>
      </c>
      <c r="Z36">
        <v>-3.8575710000000001</v>
      </c>
      <c r="AA36">
        <v>-1.768967</v>
      </c>
      <c r="AB36">
        <v>-2.3338739999999998</v>
      </c>
    </row>
    <row r="37" spans="1:28" x14ac:dyDescent="0.25">
      <c r="A37" t="s">
        <v>2246</v>
      </c>
      <c r="D37" t="s">
        <v>2218</v>
      </c>
      <c r="E37">
        <v>31.015523999999999</v>
      </c>
      <c r="F37">
        <v>3.4048090000000002</v>
      </c>
      <c r="G37">
        <v>-9.8009850000000007</v>
      </c>
      <c r="H37">
        <v>12.442036</v>
      </c>
      <c r="I37">
        <v>-19.644600000000001</v>
      </c>
      <c r="J37">
        <v>6.0046030000000004</v>
      </c>
      <c r="K37">
        <v>18.106513</v>
      </c>
      <c r="L37">
        <v>2.4240900000000001</v>
      </c>
      <c r="M37">
        <v>3.3701509999999999</v>
      </c>
      <c r="N37">
        <v>3.2162329999999999</v>
      </c>
      <c r="O37">
        <v>3.0116969999999998</v>
      </c>
      <c r="P37">
        <v>7.6121090000000002</v>
      </c>
      <c r="Q37">
        <v>-4.9289189999999996</v>
      </c>
      <c r="R37">
        <v>4.240621</v>
      </c>
      <c r="S37">
        <v>7.6717550000000001</v>
      </c>
      <c r="T37">
        <v>-9.1905999999999999</v>
      </c>
      <c r="U37">
        <v>18.014942999999999</v>
      </c>
      <c r="V37">
        <v>-9.4719850000000001</v>
      </c>
      <c r="W37">
        <v>-9.8397670000000002</v>
      </c>
      <c r="X37">
        <v>1.085288</v>
      </c>
      <c r="Y37">
        <v>5.1004779999999998</v>
      </c>
      <c r="Z37">
        <v>0.35527599999999998</v>
      </c>
      <c r="AA37">
        <v>-5.472912</v>
      </c>
      <c r="AB37">
        <v>2.1424539999999999</v>
      </c>
    </row>
    <row r="38" spans="1:28" x14ac:dyDescent="0.25">
      <c r="A38" t="s">
        <v>2247</v>
      </c>
      <c r="D38" t="s">
        <v>2218</v>
      </c>
      <c r="E38">
        <v>1.585672</v>
      </c>
      <c r="F38">
        <v>12.147626000000001</v>
      </c>
      <c r="G38">
        <v>11.227141</v>
      </c>
      <c r="H38">
        <v>2.0198390000000002</v>
      </c>
      <c r="I38">
        <v>-1.429271</v>
      </c>
      <c r="J38">
        <v>2.0444390000000001</v>
      </c>
      <c r="K38">
        <v>-6.3100480000000001</v>
      </c>
      <c r="L38">
        <v>8.9950430000000008</v>
      </c>
      <c r="M38">
        <v>8.0478620000000003</v>
      </c>
      <c r="N38">
        <v>6.5464450000000003</v>
      </c>
      <c r="O38">
        <v>2.152606</v>
      </c>
      <c r="P38">
        <v>1.80914</v>
      </c>
      <c r="Q38">
        <v>5.038259</v>
      </c>
      <c r="R38">
        <v>-8.5192920000000001</v>
      </c>
      <c r="S38">
        <v>3.1365349999999999</v>
      </c>
      <c r="T38">
        <v>-0.30771100000000001</v>
      </c>
      <c r="U38">
        <v>-1.932429</v>
      </c>
      <c r="V38">
        <v>-1.0476350000000001</v>
      </c>
      <c r="W38">
        <v>2.08223</v>
      </c>
      <c r="X38">
        <v>-0.81192500000000001</v>
      </c>
      <c r="Y38">
        <v>-4.6100669999999999</v>
      </c>
      <c r="Z38">
        <v>1.066473</v>
      </c>
      <c r="AA38">
        <v>-0.44951600000000003</v>
      </c>
      <c r="AB38">
        <v>-1.444194</v>
      </c>
    </row>
    <row r="39" spans="1:28" x14ac:dyDescent="0.25">
      <c r="A39" t="s">
        <v>2248</v>
      </c>
      <c r="D39" t="s">
        <v>2218</v>
      </c>
      <c r="E39">
        <v>-0.79043799999999997</v>
      </c>
      <c r="F39">
        <v>-0.96969000000000005</v>
      </c>
      <c r="G39">
        <v>-4.3909330000000004</v>
      </c>
      <c r="H39">
        <v>-4.4109119999999997</v>
      </c>
      <c r="I39">
        <v>4.93485</v>
      </c>
      <c r="J39">
        <v>4.7205159999999999</v>
      </c>
      <c r="K39">
        <v>1.4274819999999999</v>
      </c>
      <c r="L39">
        <v>3.7975560000000002</v>
      </c>
      <c r="M39">
        <v>-1.1401859999999999</v>
      </c>
      <c r="N39">
        <v>0.25570999999999999</v>
      </c>
      <c r="O39">
        <v>-3.1191610000000001</v>
      </c>
      <c r="P39">
        <v>4.663659</v>
      </c>
      <c r="Q39">
        <v>-0.76789499999999999</v>
      </c>
      <c r="R39">
        <v>1.5223580000000001</v>
      </c>
      <c r="S39">
        <v>4.8788499999999999</v>
      </c>
      <c r="T39">
        <v>-2.338587</v>
      </c>
      <c r="U39">
        <v>5.6625839999999998</v>
      </c>
      <c r="V39">
        <v>5.0822200000000004</v>
      </c>
      <c r="W39">
        <v>5.7702840000000002</v>
      </c>
      <c r="X39">
        <v>0.7288</v>
      </c>
      <c r="Y39">
        <v>0.108976</v>
      </c>
      <c r="Z39">
        <v>1.7686109999999999</v>
      </c>
      <c r="AA39">
        <v>0.89077499999999998</v>
      </c>
      <c r="AB39">
        <v>-2.0531670000000002</v>
      </c>
    </row>
    <row r="40" spans="1:28" x14ac:dyDescent="0.25">
      <c r="A40" t="s">
        <v>2249</v>
      </c>
      <c r="D40">
        <v>4.083323</v>
      </c>
      <c r="E40">
        <v>9.214E-2</v>
      </c>
      <c r="F40">
        <v>11.972434</v>
      </c>
      <c r="G40">
        <v>0.205707</v>
      </c>
      <c r="H40">
        <v>1.4390970000000001</v>
      </c>
      <c r="I40">
        <v>-3.9051480000000001</v>
      </c>
      <c r="J40">
        <v>-0.30860399999999999</v>
      </c>
      <c r="K40">
        <v>3.6980050000000002</v>
      </c>
      <c r="L40">
        <v>3.3019560000000001</v>
      </c>
      <c r="M40">
        <v>25.026178999999999</v>
      </c>
      <c r="N40">
        <v>6.7423789999999997</v>
      </c>
      <c r="O40">
        <v>9.1515109999999993</v>
      </c>
      <c r="P40">
        <v>1.648134</v>
      </c>
      <c r="Q40">
        <v>3.4418199999999999</v>
      </c>
      <c r="R40">
        <v>7.8804210000000001</v>
      </c>
      <c r="S40">
        <v>18.180610000000001</v>
      </c>
      <c r="T40">
        <v>5.1393009999999997</v>
      </c>
      <c r="U40">
        <v>-1.7059519999999999</v>
      </c>
      <c r="V40">
        <v>3.9849549999999998</v>
      </c>
      <c r="W40">
        <v>6.2558230000000004</v>
      </c>
      <c r="X40">
        <v>8.5898109999999992</v>
      </c>
      <c r="Y40">
        <v>-4.5791880000000003</v>
      </c>
      <c r="Z40">
        <v>0.14280399999999999</v>
      </c>
      <c r="AA40">
        <v>4.9513800000000003</v>
      </c>
      <c r="AB40">
        <v>-0.238457</v>
      </c>
    </row>
    <row r="41" spans="1:28" x14ac:dyDescent="0.25">
      <c r="A41" t="s">
        <v>2250</v>
      </c>
      <c r="D41" t="s">
        <v>2218</v>
      </c>
      <c r="E41">
        <v>-3.6367310000000002</v>
      </c>
      <c r="F41">
        <v>-3.5962900000000002</v>
      </c>
      <c r="G41">
        <v>1.8407439999999999</v>
      </c>
      <c r="H41">
        <v>-3.05355</v>
      </c>
      <c r="I41">
        <v>4.2432610000000004</v>
      </c>
      <c r="J41">
        <v>0.42044599999999999</v>
      </c>
      <c r="K41">
        <v>3.8452109999999999</v>
      </c>
      <c r="L41">
        <v>-1.4922740000000001</v>
      </c>
      <c r="M41">
        <v>3.6350509999999998</v>
      </c>
      <c r="N41">
        <v>2.574551</v>
      </c>
      <c r="O41">
        <v>0.79059500000000005</v>
      </c>
      <c r="P41">
        <v>-0.32345400000000002</v>
      </c>
      <c r="Q41">
        <v>3.6058089999999998</v>
      </c>
      <c r="R41">
        <v>1.1908810000000001</v>
      </c>
      <c r="S41">
        <v>2.2535159999999999</v>
      </c>
      <c r="T41">
        <v>-7.1832070000000003</v>
      </c>
      <c r="U41">
        <v>-2.1334789999999999</v>
      </c>
      <c r="V41">
        <v>-2.5216599999999998</v>
      </c>
      <c r="W41">
        <v>-1.8794979999999999</v>
      </c>
      <c r="X41">
        <v>-0.394424</v>
      </c>
      <c r="Y41">
        <v>1.1458710000000001</v>
      </c>
      <c r="Z41">
        <v>1.587461</v>
      </c>
      <c r="AA41">
        <v>-0.29333900000000002</v>
      </c>
      <c r="AB41" t="s">
        <v>2218</v>
      </c>
    </row>
    <row r="42" spans="1:28" x14ac:dyDescent="0.25">
      <c r="A42" t="s">
        <v>2251</v>
      </c>
      <c r="D42">
        <v>2.1878479999999998</v>
      </c>
      <c r="E42">
        <v>-0.64880800000000005</v>
      </c>
      <c r="F42">
        <v>-1.764175</v>
      </c>
      <c r="G42">
        <v>5.4710260000000002</v>
      </c>
      <c r="H42">
        <v>15.469828</v>
      </c>
      <c r="I42">
        <v>18.104804999999999</v>
      </c>
      <c r="J42">
        <v>6.4034890000000004</v>
      </c>
      <c r="K42">
        <v>3.166833</v>
      </c>
      <c r="L42">
        <v>5.2607730000000004</v>
      </c>
      <c r="M42">
        <v>5.017576</v>
      </c>
      <c r="N42">
        <v>4.0038320000000001</v>
      </c>
      <c r="O42">
        <v>1.355944</v>
      </c>
      <c r="P42">
        <v>4.1001300000000001</v>
      </c>
      <c r="Q42">
        <v>2.611256</v>
      </c>
      <c r="R42">
        <v>-3.9749310000000002</v>
      </c>
      <c r="S42">
        <v>6.0610369999999998</v>
      </c>
      <c r="T42">
        <v>-1.8704559999999999</v>
      </c>
      <c r="U42">
        <v>2.722877</v>
      </c>
      <c r="V42">
        <v>0.48089599999999999</v>
      </c>
      <c r="W42">
        <v>-4.9369350000000001</v>
      </c>
      <c r="X42">
        <v>3.0967579999999999</v>
      </c>
      <c r="Y42">
        <v>4.7706759999999999</v>
      </c>
      <c r="Z42">
        <v>-0.261382</v>
      </c>
      <c r="AA42">
        <v>4.5696890000000003</v>
      </c>
      <c r="AB42">
        <v>0.751336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4.6883419999999996</v>
      </c>
      <c r="K43">
        <v>15.601089</v>
      </c>
      <c r="L43">
        <v>7.1241640000000004</v>
      </c>
      <c r="M43">
        <v>16.419642</v>
      </c>
      <c r="N43">
        <v>9.1077899999999996</v>
      </c>
      <c r="O43">
        <v>0.61284400000000006</v>
      </c>
      <c r="P43">
        <v>8.4634160000000005</v>
      </c>
      <c r="Q43">
        <v>6.1125429999999996</v>
      </c>
      <c r="R43">
        <v>5.6471799999999996</v>
      </c>
      <c r="S43">
        <v>8.1391679999999997</v>
      </c>
      <c r="T43">
        <v>3.1329539999999998</v>
      </c>
      <c r="U43">
        <v>3.6069559999999998</v>
      </c>
      <c r="V43">
        <v>3.3203309999999999</v>
      </c>
      <c r="W43">
        <v>-0.77340799999999998</v>
      </c>
      <c r="X43">
        <v>9.3311989999999998</v>
      </c>
      <c r="Y43">
        <v>6.8449059999999999</v>
      </c>
      <c r="Z43">
        <v>3.0662579999999999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3.3089499999999998</v>
      </c>
      <c r="F44">
        <v>5.8928250000000002</v>
      </c>
      <c r="G44">
        <v>4.6166780000000003</v>
      </c>
      <c r="H44">
        <v>4.0103869999999997</v>
      </c>
      <c r="I44">
        <v>0.203568</v>
      </c>
      <c r="J44">
        <v>5.4395850000000001</v>
      </c>
      <c r="K44">
        <v>5.5714230000000002</v>
      </c>
      <c r="L44">
        <v>0.69128299999999998</v>
      </c>
      <c r="M44">
        <v>5.2207619999999997</v>
      </c>
      <c r="N44">
        <v>0.53559800000000002</v>
      </c>
      <c r="O44">
        <v>4.1829400000000003</v>
      </c>
      <c r="P44">
        <v>6.1582480000000004</v>
      </c>
      <c r="Q44">
        <v>1.227654</v>
      </c>
      <c r="R44">
        <v>-0.39230300000000001</v>
      </c>
      <c r="S44">
        <v>3.3803139999999998</v>
      </c>
      <c r="T44">
        <v>3.2863579999999999</v>
      </c>
      <c r="U44">
        <v>1.2877270000000001</v>
      </c>
      <c r="V44">
        <v>1.784073</v>
      </c>
      <c r="W44">
        <v>3.3365819999999999</v>
      </c>
      <c r="X44">
        <v>1.825456</v>
      </c>
      <c r="Y44">
        <v>1.2520800000000001</v>
      </c>
      <c r="Z44">
        <v>2.0096080000000001</v>
      </c>
      <c r="AA44">
        <v>1.002205</v>
      </c>
      <c r="AB44">
        <v>0.43094199999999999</v>
      </c>
    </row>
    <row r="45" spans="1:28" x14ac:dyDescent="0.25">
      <c r="A45" t="s">
        <v>2254</v>
      </c>
      <c r="D45" t="s">
        <v>2218</v>
      </c>
      <c r="E45">
        <v>2.6595930000000001</v>
      </c>
      <c r="F45">
        <v>4.7357379999999996</v>
      </c>
      <c r="G45">
        <v>5.2278669999999998</v>
      </c>
      <c r="H45">
        <v>6.9557219999999997</v>
      </c>
      <c r="I45">
        <v>4.6381399999999999</v>
      </c>
      <c r="J45">
        <v>5.4681689999999996</v>
      </c>
      <c r="K45">
        <v>4.9924939999999998</v>
      </c>
      <c r="L45">
        <v>1.9283319999999999</v>
      </c>
      <c r="M45">
        <v>6.1462110000000001</v>
      </c>
      <c r="N45">
        <v>1.5917429999999999</v>
      </c>
      <c r="O45">
        <v>2.7839999999999998</v>
      </c>
      <c r="P45">
        <v>5.2532740000000002</v>
      </c>
      <c r="Q45">
        <v>1.8710389999999999</v>
      </c>
      <c r="R45">
        <v>-1.2917959999999999</v>
      </c>
      <c r="S45">
        <v>4.4917509999999998</v>
      </c>
      <c r="T45">
        <v>2.5305369999999998</v>
      </c>
      <c r="U45">
        <v>1.129178</v>
      </c>
      <c r="V45">
        <v>1.634226</v>
      </c>
      <c r="W45">
        <v>1.1644950000000001</v>
      </c>
      <c r="X45">
        <v>2.1903030000000001</v>
      </c>
      <c r="Y45">
        <v>2.1651570000000002</v>
      </c>
      <c r="Z45">
        <v>1.5413509999999999</v>
      </c>
      <c r="AA45">
        <v>1.750586</v>
      </c>
      <c r="AB45">
        <v>0.70303400000000005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7.0544390000000003</v>
      </c>
      <c r="K46">
        <v>0.74084700000000003</v>
      </c>
      <c r="L46">
        <v>-4.9862690000000001</v>
      </c>
      <c r="M46">
        <v>0.70983700000000005</v>
      </c>
      <c r="N46">
        <v>-1.950879</v>
      </c>
      <c r="O46">
        <v>-7.5576369999999997</v>
      </c>
      <c r="P46">
        <v>2.8469229999999999</v>
      </c>
      <c r="Q46">
        <v>4.9514870000000002</v>
      </c>
      <c r="R46">
        <v>0.82371399999999995</v>
      </c>
      <c r="S46">
        <v>2.0405570000000002</v>
      </c>
      <c r="T46">
        <v>-0.57419100000000001</v>
      </c>
      <c r="U46">
        <v>2.3127439999999999</v>
      </c>
      <c r="V46">
        <v>3.192682</v>
      </c>
      <c r="W46">
        <v>-1.8490059999999999</v>
      </c>
      <c r="X46">
        <v>2.4192969999999998</v>
      </c>
      <c r="Y46">
        <v>0.979904</v>
      </c>
      <c r="Z46">
        <v>2.5135360000000002</v>
      </c>
      <c r="AA46" t="s">
        <v>2218</v>
      </c>
      <c r="AB46" t="s">
        <v>2218</v>
      </c>
    </row>
    <row r="47" spans="1:28" x14ac:dyDescent="0.25">
      <c r="B47" t="s">
        <v>2257</v>
      </c>
      <c r="D47">
        <v>3.608921</v>
      </c>
      <c r="E47">
        <v>4.326689</v>
      </c>
      <c r="F47">
        <v>16.059435000000001</v>
      </c>
      <c r="G47">
        <v>-5.4558099999999996</v>
      </c>
      <c r="H47">
        <v>19.611436000000001</v>
      </c>
      <c r="I47">
        <v>-15.837534</v>
      </c>
      <c r="J47">
        <v>52.823076</v>
      </c>
      <c r="K47">
        <v>5.1078599999999996</v>
      </c>
      <c r="L47">
        <v>15.55247</v>
      </c>
      <c r="M47">
        <v>25.656223000000001</v>
      </c>
      <c r="N47">
        <v>-8.4088999999999992</v>
      </c>
      <c r="O47">
        <v>-19.500523000000001</v>
      </c>
      <c r="P47">
        <v>-1.132666</v>
      </c>
      <c r="Q47">
        <v>-11.222204</v>
      </c>
      <c r="R47">
        <v>6.8270520000000001</v>
      </c>
      <c r="S47">
        <v>241.33087</v>
      </c>
      <c r="T47">
        <v>-11.316863</v>
      </c>
      <c r="U47">
        <v>-28.606207999999999</v>
      </c>
      <c r="V47">
        <v>51.877183000000002</v>
      </c>
      <c r="W47">
        <v>10.595578</v>
      </c>
      <c r="X47">
        <v>-9.2528799999999993</v>
      </c>
      <c r="Y47">
        <v>-15.961705</v>
      </c>
      <c r="Z47">
        <v>4.1473750000000003</v>
      </c>
      <c r="AA47">
        <v>13.006186</v>
      </c>
      <c r="AB47" t="s">
        <v>2218</v>
      </c>
    </row>
    <row r="48" spans="1:28" x14ac:dyDescent="0.25">
      <c r="A48" t="s">
        <v>2271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2272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2273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3.6270889999999998</v>
      </c>
      <c r="E9">
        <v>8.1706050000000001</v>
      </c>
      <c r="F9">
        <v>6.8921619999999999</v>
      </c>
      <c r="G9">
        <v>18.138020000000001</v>
      </c>
      <c r="H9">
        <v>-4.1073320000000004</v>
      </c>
      <c r="I9">
        <v>-3.7336079999999998</v>
      </c>
      <c r="J9">
        <v>9.3781619999999997</v>
      </c>
      <c r="K9">
        <v>3.102287</v>
      </c>
      <c r="L9">
        <v>4.9272070000000001</v>
      </c>
      <c r="M9">
        <v>-1.109747</v>
      </c>
      <c r="N9">
        <v>-0.45076699999999997</v>
      </c>
      <c r="O9">
        <v>3.5758749999999999</v>
      </c>
      <c r="P9">
        <v>5.3518990000000004</v>
      </c>
      <c r="Q9">
        <v>3.1650100000000001</v>
      </c>
      <c r="R9">
        <v>2.2408429999999999</v>
      </c>
      <c r="S9">
        <v>-7.2140199999999997</v>
      </c>
      <c r="T9">
        <v>3.8384239999999998</v>
      </c>
      <c r="U9">
        <v>5.1058079999999997</v>
      </c>
      <c r="V9">
        <v>6.5123329999999999</v>
      </c>
      <c r="W9">
        <v>8.1835719999999998</v>
      </c>
      <c r="X9">
        <v>-5.2458520000000002</v>
      </c>
      <c r="Y9">
        <v>2.1139269999999999</v>
      </c>
      <c r="Z9">
        <v>0.43445299999999998</v>
      </c>
      <c r="AA9" t="s">
        <v>2218</v>
      </c>
      <c r="AB9" t="s">
        <v>2218</v>
      </c>
    </row>
    <row r="10" spans="1:28" x14ac:dyDescent="0.25">
      <c r="A10" t="s">
        <v>2219</v>
      </c>
      <c r="D10">
        <v>-4.301933</v>
      </c>
      <c r="E10">
        <v>3.4421200000000001</v>
      </c>
      <c r="F10">
        <v>7.8138430000000003</v>
      </c>
      <c r="G10">
        <v>5.8326979999999997</v>
      </c>
      <c r="H10">
        <v>7.4014620000000004</v>
      </c>
      <c r="I10">
        <v>13.649016</v>
      </c>
      <c r="J10">
        <v>-2.8941750000000002</v>
      </c>
      <c r="K10">
        <v>7.0594849999999996</v>
      </c>
      <c r="L10">
        <v>-3.6725340000000002</v>
      </c>
      <c r="M10">
        <v>10.750636999999999</v>
      </c>
      <c r="N10">
        <v>1.040459</v>
      </c>
      <c r="O10">
        <v>6.8438429999999997</v>
      </c>
      <c r="P10">
        <v>4.6637069999999996</v>
      </c>
      <c r="Q10">
        <v>-1.5342739999999999</v>
      </c>
      <c r="R10">
        <v>6.7735260000000004</v>
      </c>
      <c r="S10">
        <v>1.6944239999999999</v>
      </c>
      <c r="T10">
        <v>2.553728</v>
      </c>
      <c r="U10">
        <v>-1.3771E-2</v>
      </c>
      <c r="V10">
        <v>-0.41561799999999999</v>
      </c>
      <c r="W10">
        <v>-1.7732570000000001</v>
      </c>
      <c r="X10">
        <v>5.0697700000000001</v>
      </c>
      <c r="Y10">
        <v>-0.171684</v>
      </c>
      <c r="Z10">
        <v>5.5470160000000002</v>
      </c>
      <c r="AA10">
        <v>-0.44922000000000001</v>
      </c>
      <c r="AB10">
        <v>3.092095</v>
      </c>
    </row>
    <row r="11" spans="1:28" x14ac:dyDescent="0.25">
      <c r="A11" t="s">
        <v>2220</v>
      </c>
      <c r="D11" t="s">
        <v>2218</v>
      </c>
      <c r="E11">
        <v>3.7005680000000001</v>
      </c>
      <c r="F11">
        <v>6.3890929999999999</v>
      </c>
      <c r="G11">
        <v>2.733209</v>
      </c>
      <c r="H11">
        <v>15.097903000000001</v>
      </c>
      <c r="I11">
        <v>-0.15846499999999999</v>
      </c>
      <c r="J11">
        <v>-1.3244610000000001</v>
      </c>
      <c r="K11">
        <v>6.8395679999999999</v>
      </c>
      <c r="L11">
        <v>-8.4893579999999993</v>
      </c>
      <c r="M11">
        <v>7.2967899999999997</v>
      </c>
      <c r="N11">
        <v>4.4618000000000002</v>
      </c>
      <c r="O11">
        <v>9.6110279999999992</v>
      </c>
      <c r="P11">
        <v>-3.0768520000000001</v>
      </c>
      <c r="Q11">
        <v>-1.885921</v>
      </c>
      <c r="R11">
        <v>-5.2877780000000003</v>
      </c>
      <c r="S11">
        <v>3.1113559999999998</v>
      </c>
      <c r="T11">
        <v>-2.5329069999999998</v>
      </c>
      <c r="U11">
        <v>8.0118790000000004</v>
      </c>
      <c r="V11">
        <v>-1.943225</v>
      </c>
      <c r="W11">
        <v>-3.0236390000000002</v>
      </c>
      <c r="X11">
        <v>-2.2278959999999999</v>
      </c>
      <c r="Y11">
        <v>0.34649600000000003</v>
      </c>
      <c r="Z11">
        <v>4.1322999999999999</v>
      </c>
      <c r="AA11">
        <v>5.7356090000000002</v>
      </c>
      <c r="AB11">
        <v>6.6225449999999997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-6.3393119999999996</v>
      </c>
      <c r="R12">
        <v>2.400299</v>
      </c>
      <c r="S12">
        <v>-0.92754499999999995</v>
      </c>
      <c r="T12">
        <v>1.3859E-2</v>
      </c>
      <c r="U12">
        <v>5.185575</v>
      </c>
      <c r="V12">
        <v>1.775938</v>
      </c>
      <c r="W12">
        <v>1.0429470000000001</v>
      </c>
      <c r="X12">
        <v>5.9446640000000004</v>
      </c>
      <c r="Y12">
        <v>0.75593699999999997</v>
      </c>
      <c r="Z12">
        <v>4.8972759999999997</v>
      </c>
      <c r="AA12">
        <v>-2.6579709999999999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>
        <v>14.849601</v>
      </c>
      <c r="U13">
        <v>-1.2112160000000001</v>
      </c>
      <c r="V13">
        <v>-16.150109</v>
      </c>
      <c r="W13">
        <v>4.3971819999999999</v>
      </c>
      <c r="X13">
        <v>3.0812059999999999</v>
      </c>
      <c r="Y13">
        <v>7.9780179999999996</v>
      </c>
      <c r="Z13">
        <v>5.4012169999999999</v>
      </c>
      <c r="AA13">
        <v>1.7915620000000001</v>
      </c>
      <c r="AB13" t="s">
        <v>2218</v>
      </c>
    </row>
    <row r="14" spans="1:28" x14ac:dyDescent="0.25">
      <c r="A14" t="s">
        <v>2223</v>
      </c>
      <c r="D14">
        <v>-11.328120999999999</v>
      </c>
      <c r="E14">
        <v>5.9917020000000001</v>
      </c>
      <c r="F14">
        <v>-2.1200830000000002</v>
      </c>
      <c r="G14">
        <v>32.081102000000001</v>
      </c>
      <c r="H14">
        <v>-1.9702930000000001</v>
      </c>
      <c r="I14">
        <v>-8.5699660000000009</v>
      </c>
      <c r="J14">
        <v>5.2652679999999998</v>
      </c>
      <c r="K14">
        <v>-28.736644999999999</v>
      </c>
      <c r="L14">
        <v>26.545406</v>
      </c>
      <c r="M14">
        <v>4.1928939999999999</v>
      </c>
      <c r="N14">
        <v>-2.63565</v>
      </c>
      <c r="O14">
        <v>1.5427090000000001</v>
      </c>
      <c r="P14">
        <v>16.737210999999999</v>
      </c>
      <c r="Q14">
        <v>8.6421890000000001</v>
      </c>
      <c r="R14">
        <v>8.883794</v>
      </c>
      <c r="S14">
        <v>3.2472829999999999</v>
      </c>
      <c r="T14">
        <v>1.3113809999999999</v>
      </c>
      <c r="U14">
        <v>-5.5838929999999998</v>
      </c>
      <c r="V14">
        <v>8.1404969999999999</v>
      </c>
      <c r="W14">
        <v>-3.2225769999999998</v>
      </c>
      <c r="X14">
        <v>7.9194950000000004</v>
      </c>
      <c r="Y14">
        <v>5.4392319999999996</v>
      </c>
      <c r="Z14">
        <v>10.470409999999999</v>
      </c>
      <c r="AA14">
        <v>1.5555030000000001</v>
      </c>
      <c r="AB14">
        <v>2.1183550000000002</v>
      </c>
    </row>
    <row r="15" spans="1:28" x14ac:dyDescent="0.25">
      <c r="A15" t="s">
        <v>2224</v>
      </c>
      <c r="D15">
        <v>-6.7289870000000001</v>
      </c>
      <c r="E15">
        <v>-0.74165800000000004</v>
      </c>
      <c r="F15">
        <v>6.2549869999999999</v>
      </c>
      <c r="G15">
        <v>3.6700599999999999</v>
      </c>
      <c r="H15">
        <v>-1.156447</v>
      </c>
      <c r="I15">
        <v>7.9103919999999999</v>
      </c>
      <c r="J15">
        <v>-5.5686349999999996</v>
      </c>
      <c r="K15">
        <v>9.0144339999999996</v>
      </c>
      <c r="L15">
        <v>4.5520329999999998</v>
      </c>
      <c r="M15">
        <v>12.452996000000001</v>
      </c>
      <c r="N15">
        <v>14.044088</v>
      </c>
      <c r="O15">
        <v>6.9461060000000003</v>
      </c>
      <c r="P15">
        <v>3.690175</v>
      </c>
      <c r="Q15">
        <v>7.0700029999999998</v>
      </c>
      <c r="R15">
        <v>-9.0730930000000001</v>
      </c>
      <c r="S15">
        <v>4.2221029999999997</v>
      </c>
      <c r="T15">
        <v>-5.0318480000000001</v>
      </c>
      <c r="U15">
        <v>3.2000899999999999</v>
      </c>
      <c r="V15">
        <v>1.420401</v>
      </c>
      <c r="W15">
        <v>8.5920999999999997E-2</v>
      </c>
      <c r="X15">
        <v>-4.7843879999999999</v>
      </c>
      <c r="Y15">
        <v>2.7739180000000001</v>
      </c>
      <c r="Z15">
        <v>-6.089982</v>
      </c>
      <c r="AA15">
        <v>1.829785</v>
      </c>
      <c r="AB15">
        <v>0.38312400000000002</v>
      </c>
    </row>
    <row r="16" spans="1:28" x14ac:dyDescent="0.25">
      <c r="A16" t="s">
        <v>2225</v>
      </c>
      <c r="D16" t="s">
        <v>2218</v>
      </c>
      <c r="E16">
        <v>49.036816000000002</v>
      </c>
      <c r="F16">
        <v>23.179324999999999</v>
      </c>
      <c r="G16">
        <v>2.637343</v>
      </c>
      <c r="H16">
        <v>50.346437999999999</v>
      </c>
      <c r="I16">
        <v>11.921109</v>
      </c>
      <c r="J16">
        <v>16.416198000000001</v>
      </c>
      <c r="K16">
        <v>3.6460439999999998</v>
      </c>
      <c r="L16">
        <v>20.854120000000002</v>
      </c>
      <c r="M16">
        <v>20.475156999999999</v>
      </c>
      <c r="N16">
        <v>63.519044000000001</v>
      </c>
      <c r="O16">
        <v>-0.79856400000000005</v>
      </c>
      <c r="P16">
        <v>-11.799232999999999</v>
      </c>
      <c r="Q16">
        <v>-7.1023880000000004</v>
      </c>
      <c r="R16">
        <v>-21.445191999999999</v>
      </c>
      <c r="S16">
        <v>2.4000729999999999</v>
      </c>
      <c r="T16">
        <v>-21.012604</v>
      </c>
      <c r="U16">
        <v>-13.944309000000001</v>
      </c>
      <c r="V16">
        <v>-11.394078</v>
      </c>
      <c r="W16">
        <v>26.591743999999998</v>
      </c>
      <c r="X16">
        <v>-3.9015179999999998</v>
      </c>
      <c r="Y16">
        <v>-22.151540000000001</v>
      </c>
      <c r="Z16">
        <v>-4.4596720000000003</v>
      </c>
      <c r="AA16">
        <v>2.1413090000000001</v>
      </c>
      <c r="AB16">
        <v>12.381097</v>
      </c>
    </row>
    <row r="17" spans="1:28" x14ac:dyDescent="0.25">
      <c r="A17" t="s">
        <v>2226</v>
      </c>
      <c r="D17">
        <v>25.443546000000001</v>
      </c>
      <c r="E17">
        <v>9.0516679999999994</v>
      </c>
      <c r="F17">
        <v>6.7096799999999996</v>
      </c>
      <c r="G17">
        <v>8.6938949999999995</v>
      </c>
      <c r="H17">
        <v>7.6260680000000001</v>
      </c>
      <c r="I17">
        <v>-3.5626150000000001</v>
      </c>
      <c r="J17">
        <v>-1.450116</v>
      </c>
      <c r="K17">
        <v>-11.091478</v>
      </c>
      <c r="L17">
        <v>-2.4696889999999998</v>
      </c>
      <c r="M17">
        <v>10.613130999999999</v>
      </c>
      <c r="N17">
        <v>7.3669560000000001</v>
      </c>
      <c r="O17">
        <v>0.81402699999999995</v>
      </c>
      <c r="P17">
        <v>6.0109380000000003</v>
      </c>
      <c r="Q17">
        <v>-3.7389510000000001</v>
      </c>
      <c r="R17">
        <v>-3.5938330000000001</v>
      </c>
      <c r="S17">
        <v>2.4734530000000001</v>
      </c>
      <c r="T17">
        <v>-4.8047750000000002</v>
      </c>
      <c r="U17">
        <v>-1.5004789999999999</v>
      </c>
      <c r="V17">
        <v>-4.7288779999999999</v>
      </c>
      <c r="W17">
        <v>13.669912</v>
      </c>
      <c r="X17">
        <v>-1.7334020000000001</v>
      </c>
      <c r="Y17">
        <v>7.0253449999999997</v>
      </c>
      <c r="Z17">
        <v>6.2701019999999996</v>
      </c>
      <c r="AA17">
        <v>-3.652237</v>
      </c>
      <c r="AB17">
        <v>-5.1890830000000001</v>
      </c>
    </row>
    <row r="18" spans="1:28" x14ac:dyDescent="0.25">
      <c r="A18" t="s">
        <v>2227</v>
      </c>
      <c r="D18">
        <v>-5.466539</v>
      </c>
      <c r="E18">
        <v>2.4510339999999999</v>
      </c>
      <c r="F18">
        <v>-2.3108949999999999</v>
      </c>
      <c r="G18">
        <v>3.9349810000000001</v>
      </c>
      <c r="H18">
        <v>6.3658720000000004</v>
      </c>
      <c r="I18">
        <v>7.9474320000000001</v>
      </c>
      <c r="J18">
        <v>-4.4955920000000003</v>
      </c>
      <c r="K18">
        <v>1.3405100000000001</v>
      </c>
      <c r="L18">
        <v>0.717553</v>
      </c>
      <c r="M18">
        <v>6.4680299999999997</v>
      </c>
      <c r="N18">
        <v>-1.1676660000000001</v>
      </c>
      <c r="O18">
        <v>-2.9016649999999999</v>
      </c>
      <c r="P18">
        <v>4.9216810000000004</v>
      </c>
      <c r="Q18">
        <v>1.8792310000000001</v>
      </c>
      <c r="R18">
        <v>6.4369529999999999</v>
      </c>
      <c r="S18">
        <v>0.121614</v>
      </c>
      <c r="T18">
        <v>5.3558630000000003</v>
      </c>
      <c r="U18">
        <v>1.5393410000000001</v>
      </c>
      <c r="V18">
        <v>-0.12389799999999999</v>
      </c>
      <c r="W18">
        <v>1.1457790000000001</v>
      </c>
      <c r="X18">
        <v>0.19442499999999999</v>
      </c>
      <c r="Y18">
        <v>-0.31001699999999999</v>
      </c>
      <c r="Z18">
        <v>-0.122491</v>
      </c>
      <c r="AA18">
        <v>5.9185970000000001</v>
      </c>
      <c r="AB18">
        <v>1.5078339999999999</v>
      </c>
    </row>
    <row r="19" spans="1:28" x14ac:dyDescent="0.25">
      <c r="A19" t="s">
        <v>2228</v>
      </c>
      <c r="D19">
        <v>-2.6285720000000001</v>
      </c>
      <c r="E19">
        <v>1.398442</v>
      </c>
      <c r="F19">
        <v>1.350114</v>
      </c>
      <c r="G19">
        <v>1.182269</v>
      </c>
      <c r="H19">
        <v>6.4853050000000003</v>
      </c>
      <c r="I19">
        <v>-9.3799460000000003</v>
      </c>
      <c r="J19">
        <v>5.6252019999999998</v>
      </c>
      <c r="K19">
        <v>-6.0941380000000001</v>
      </c>
      <c r="L19">
        <v>-14.194554</v>
      </c>
      <c r="M19">
        <v>-7.0526679999999997</v>
      </c>
      <c r="N19">
        <v>-1.5868910000000001</v>
      </c>
      <c r="O19">
        <v>-1.7425550000000001</v>
      </c>
      <c r="P19">
        <v>3.8071109999999999</v>
      </c>
      <c r="Q19">
        <v>-1.080209</v>
      </c>
      <c r="R19">
        <v>-4.1530370000000003</v>
      </c>
      <c r="S19">
        <v>4.4242889999999999</v>
      </c>
      <c r="T19">
        <v>3.1119439999999998</v>
      </c>
      <c r="U19">
        <v>-1.6791389999999999</v>
      </c>
      <c r="V19">
        <v>6.6346579999999999</v>
      </c>
      <c r="W19">
        <v>-4.405233</v>
      </c>
      <c r="X19">
        <v>-0.38845800000000003</v>
      </c>
      <c r="Y19">
        <v>-1.888498</v>
      </c>
      <c r="Z19">
        <v>6.6954320000000003</v>
      </c>
      <c r="AA19">
        <v>1.649248</v>
      </c>
      <c r="AB19">
        <v>3.4453830000000001</v>
      </c>
    </row>
    <row r="20" spans="1:28" x14ac:dyDescent="0.25">
      <c r="A20" t="s">
        <v>2229</v>
      </c>
      <c r="D20" t="s">
        <v>2218</v>
      </c>
      <c r="E20">
        <v>15.174702999999999</v>
      </c>
      <c r="F20">
        <v>-3.8886349999999998</v>
      </c>
      <c r="G20">
        <v>6.4804060000000003</v>
      </c>
      <c r="H20">
        <v>-6.1626329999999996</v>
      </c>
      <c r="I20">
        <v>3.239071</v>
      </c>
      <c r="J20">
        <v>-6.8248170000000004</v>
      </c>
      <c r="K20">
        <v>-2.6932079999999998</v>
      </c>
      <c r="L20">
        <v>-3.252834</v>
      </c>
      <c r="M20">
        <v>18.252144999999999</v>
      </c>
      <c r="N20">
        <v>-2.10507</v>
      </c>
      <c r="O20">
        <v>0.80078300000000002</v>
      </c>
      <c r="P20">
        <v>9.0591480000000004</v>
      </c>
      <c r="Q20">
        <v>7.9899009999999997</v>
      </c>
      <c r="R20">
        <v>6.4824700000000002</v>
      </c>
      <c r="S20">
        <v>-2.1875179999999999</v>
      </c>
      <c r="T20">
        <v>-12.163534</v>
      </c>
      <c r="U20">
        <v>-2.145546</v>
      </c>
      <c r="V20">
        <v>6.3081230000000001</v>
      </c>
      <c r="W20">
        <v>3.182016</v>
      </c>
      <c r="X20">
        <v>1.8042739999999999</v>
      </c>
      <c r="Y20">
        <v>-2.7152970000000001</v>
      </c>
      <c r="Z20">
        <v>-6.7982110000000002</v>
      </c>
      <c r="AA20">
        <v>-2.9950350000000001</v>
      </c>
      <c r="AB20">
        <v>-3.6019130000000001</v>
      </c>
    </row>
    <row r="21" spans="1:28" x14ac:dyDescent="0.25">
      <c r="A21" t="s">
        <v>2230</v>
      </c>
      <c r="D21" t="s">
        <v>2218</v>
      </c>
      <c r="E21">
        <v>-15.612931</v>
      </c>
      <c r="F21">
        <v>-26.337409999999998</v>
      </c>
      <c r="G21">
        <v>2.4453529999999999</v>
      </c>
      <c r="H21">
        <v>-17.150003000000002</v>
      </c>
      <c r="I21">
        <v>3.4330219999999998</v>
      </c>
      <c r="J21">
        <v>6.5161670000000003</v>
      </c>
      <c r="K21">
        <v>10.871043999999999</v>
      </c>
      <c r="L21">
        <v>8.9499669999999991</v>
      </c>
      <c r="M21">
        <v>-2.5186809999999999</v>
      </c>
      <c r="N21">
        <v>1.8616360000000001</v>
      </c>
      <c r="O21">
        <v>-2.1341869999999998</v>
      </c>
      <c r="P21">
        <v>-5.1753169999999997</v>
      </c>
      <c r="Q21">
        <v>-7.4801289999999998</v>
      </c>
      <c r="R21">
        <v>3.5826199999999999</v>
      </c>
      <c r="S21">
        <v>-2.2046730000000001</v>
      </c>
      <c r="T21">
        <v>-3.375858</v>
      </c>
      <c r="U21">
        <v>-9.0982810000000001</v>
      </c>
      <c r="V21">
        <v>3.996569</v>
      </c>
      <c r="W21">
        <v>-0.70639799999999997</v>
      </c>
      <c r="X21">
        <v>4.1204179999999999</v>
      </c>
      <c r="Y21">
        <v>3.3023769999999999</v>
      </c>
      <c r="Z21">
        <v>4.0269919999999999</v>
      </c>
      <c r="AA21">
        <v>7.4027029999999998</v>
      </c>
      <c r="AB21">
        <v>3.4106480000000001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26.795359000000001</v>
      </c>
      <c r="S22">
        <v>-4.5773099999999998</v>
      </c>
      <c r="T22">
        <v>-2.0826959999999999</v>
      </c>
      <c r="U22">
        <v>-0.33878399999999997</v>
      </c>
      <c r="V22">
        <v>-3.338155</v>
      </c>
      <c r="W22">
        <v>1.268664</v>
      </c>
      <c r="X22">
        <v>-3.5926619999999998</v>
      </c>
      <c r="Y22">
        <v>8.1182130000000008</v>
      </c>
      <c r="Z22">
        <v>7.0078060000000004</v>
      </c>
      <c r="AA22">
        <v>7.1181859999999997</v>
      </c>
      <c r="AB22">
        <v>4.0365460000000004</v>
      </c>
    </row>
    <row r="23" spans="1:28" x14ac:dyDescent="0.25">
      <c r="A23" t="s">
        <v>2232</v>
      </c>
      <c r="D23" t="s">
        <v>2218</v>
      </c>
      <c r="E23">
        <v>4.5319440000000002</v>
      </c>
      <c r="F23">
        <v>14.373116</v>
      </c>
      <c r="G23">
        <v>-17.597825</v>
      </c>
      <c r="H23">
        <v>-3.9385750000000002</v>
      </c>
      <c r="I23">
        <v>9.8996340000000007</v>
      </c>
      <c r="J23">
        <v>6.551901</v>
      </c>
      <c r="K23">
        <v>4.2580489999999998</v>
      </c>
      <c r="L23">
        <v>-5.664396</v>
      </c>
      <c r="M23">
        <v>4.4000409999999999</v>
      </c>
      <c r="N23">
        <v>-0.91515000000000002</v>
      </c>
      <c r="O23">
        <v>8.5689689999999992</v>
      </c>
      <c r="P23">
        <v>-0.53897899999999999</v>
      </c>
      <c r="Q23">
        <v>-4.400156</v>
      </c>
      <c r="R23">
        <v>-6.9611869999999998</v>
      </c>
      <c r="S23">
        <v>25.743936000000001</v>
      </c>
      <c r="T23">
        <v>-5.0248140000000001</v>
      </c>
      <c r="U23">
        <v>-10.996396000000001</v>
      </c>
      <c r="V23">
        <v>-8.1990990000000004</v>
      </c>
      <c r="W23">
        <v>1.9384570000000001</v>
      </c>
      <c r="X23">
        <v>10.685298</v>
      </c>
      <c r="Y23">
        <v>-1.4459759999999999</v>
      </c>
      <c r="Z23">
        <v>6.1093919999999997</v>
      </c>
      <c r="AA23">
        <v>2.6447609999999999</v>
      </c>
      <c r="AB23">
        <v>0.39213500000000001</v>
      </c>
    </row>
    <row r="24" spans="1:28" x14ac:dyDescent="0.25">
      <c r="A24" t="s">
        <v>2233</v>
      </c>
      <c r="D24" t="s">
        <v>2218</v>
      </c>
      <c r="E24">
        <v>12.353574</v>
      </c>
      <c r="F24">
        <v>-4.7064250000000003</v>
      </c>
      <c r="G24">
        <v>6.3345690000000001</v>
      </c>
      <c r="H24">
        <v>5.4189559999999997</v>
      </c>
      <c r="I24">
        <v>9.422917</v>
      </c>
      <c r="J24">
        <v>1.0853930000000001</v>
      </c>
      <c r="K24">
        <v>-0.86780299999999999</v>
      </c>
      <c r="L24">
        <v>0.13945299999999999</v>
      </c>
      <c r="M24">
        <v>-3.2715139999999998</v>
      </c>
      <c r="N24">
        <v>1.1997249999999999</v>
      </c>
      <c r="O24">
        <v>11.676304</v>
      </c>
      <c r="P24">
        <v>-9.2287520000000001</v>
      </c>
      <c r="Q24">
        <v>-7.6466750000000001</v>
      </c>
      <c r="R24">
        <v>-9.6005000000000003</v>
      </c>
      <c r="S24">
        <v>-5.4744419999999998</v>
      </c>
      <c r="T24">
        <v>-0.91339199999999998</v>
      </c>
      <c r="U24">
        <v>1.536878</v>
      </c>
      <c r="V24">
        <v>-4.9377230000000001</v>
      </c>
      <c r="W24">
        <v>-6.2650170000000003</v>
      </c>
      <c r="X24">
        <v>3.3567399999999998</v>
      </c>
      <c r="Y24">
        <v>3.4807640000000002</v>
      </c>
      <c r="Z24">
        <v>1.515158</v>
      </c>
      <c r="AA24">
        <v>3.119297</v>
      </c>
      <c r="AB24" t="s">
        <v>2218</v>
      </c>
    </row>
    <row r="25" spans="1:28" x14ac:dyDescent="0.25">
      <c r="A25" t="s">
        <v>2234</v>
      </c>
      <c r="D25">
        <v>-4.841723</v>
      </c>
      <c r="E25">
        <v>6.5030020000000004</v>
      </c>
      <c r="F25">
        <v>2.599971</v>
      </c>
      <c r="G25">
        <v>-0.90070499999999998</v>
      </c>
      <c r="H25">
        <v>-3.2489180000000002</v>
      </c>
      <c r="I25">
        <v>6.9267640000000004</v>
      </c>
      <c r="J25">
        <v>-2.1735880000000001</v>
      </c>
      <c r="K25">
        <v>-5.8218969999999999</v>
      </c>
      <c r="L25">
        <v>0.63709499999999997</v>
      </c>
      <c r="M25">
        <v>1.6179600000000001</v>
      </c>
      <c r="N25">
        <v>5.9511589999999996</v>
      </c>
      <c r="O25">
        <v>2.5893799999999998</v>
      </c>
      <c r="P25">
        <v>3.3810690000000001</v>
      </c>
      <c r="Q25">
        <v>-1.2471989999999999</v>
      </c>
      <c r="R25">
        <v>0.96895100000000001</v>
      </c>
      <c r="S25">
        <v>6.0087359999999999</v>
      </c>
      <c r="T25">
        <v>4.3041020000000003</v>
      </c>
      <c r="U25">
        <v>1.7004459999999999</v>
      </c>
      <c r="V25">
        <v>-0.93684500000000004</v>
      </c>
      <c r="W25">
        <v>-0.503332</v>
      </c>
      <c r="X25">
        <v>-1.318138</v>
      </c>
      <c r="Y25">
        <v>-0.47463</v>
      </c>
      <c r="Z25">
        <v>1.572119</v>
      </c>
      <c r="AA25">
        <v>7.8740000000000008E-3</v>
      </c>
      <c r="AB25">
        <v>1.551477</v>
      </c>
    </row>
    <row r="26" spans="1:28" x14ac:dyDescent="0.25">
      <c r="A26" t="s">
        <v>2235</v>
      </c>
      <c r="D26">
        <v>-5.7069979999999996</v>
      </c>
      <c r="E26">
        <v>3.7308940000000002</v>
      </c>
      <c r="F26">
        <v>3.8836620000000002</v>
      </c>
      <c r="G26">
        <v>-5.1400810000000003</v>
      </c>
      <c r="H26">
        <v>1.1803680000000001</v>
      </c>
      <c r="I26">
        <v>4.4815269999999998</v>
      </c>
      <c r="J26">
        <v>0.50788</v>
      </c>
      <c r="K26">
        <v>-3.215195</v>
      </c>
      <c r="L26">
        <v>3.8381349999999999</v>
      </c>
      <c r="M26">
        <v>-1.534235</v>
      </c>
      <c r="N26">
        <v>1.698051</v>
      </c>
      <c r="O26">
        <v>1.3260019999999999</v>
      </c>
      <c r="P26">
        <v>3.9276040000000001</v>
      </c>
      <c r="Q26">
        <v>-18.836459000000001</v>
      </c>
      <c r="R26">
        <v>0.21784600000000001</v>
      </c>
      <c r="S26">
        <v>2.2008190000000001</v>
      </c>
      <c r="T26">
        <v>-7.9518000000000005E-2</v>
      </c>
      <c r="U26">
        <v>1.7484519999999999</v>
      </c>
      <c r="V26">
        <v>10.622336000000001</v>
      </c>
      <c r="W26">
        <v>6.7026579999999996</v>
      </c>
      <c r="X26">
        <v>3.6235819999999999</v>
      </c>
      <c r="Y26">
        <v>-6.4380119999999996</v>
      </c>
      <c r="Z26">
        <v>-3.8558000000000002E-2</v>
      </c>
      <c r="AA26">
        <v>2.1591779999999998</v>
      </c>
      <c r="AB26" t="s">
        <v>2218</v>
      </c>
    </row>
    <row r="27" spans="1:28" x14ac:dyDescent="0.25">
      <c r="A27" t="s">
        <v>2236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5.4656739999999999</v>
      </c>
      <c r="O27">
        <v>-1.3868910000000001</v>
      </c>
      <c r="P27">
        <v>9.2676390000000008</v>
      </c>
      <c r="Q27">
        <v>3.940563</v>
      </c>
      <c r="R27">
        <v>13.373340000000001</v>
      </c>
      <c r="S27">
        <v>-2.3172190000000001</v>
      </c>
      <c r="T27">
        <v>-2.1825160000000001</v>
      </c>
      <c r="U27">
        <v>5.6059770000000002</v>
      </c>
      <c r="V27">
        <v>2.1369959999999999</v>
      </c>
      <c r="W27">
        <v>9.4196059999999999</v>
      </c>
      <c r="X27">
        <v>14.680059</v>
      </c>
      <c r="Y27">
        <v>1.3818839999999999</v>
      </c>
      <c r="Z27">
        <v>5.3892769999999999</v>
      </c>
      <c r="AA27">
        <v>-0.166238</v>
      </c>
      <c r="AB27" t="s">
        <v>2218</v>
      </c>
    </row>
    <row r="28" spans="1:28" x14ac:dyDescent="0.25">
      <c r="A28" t="s">
        <v>2237</v>
      </c>
      <c r="D28" t="s">
        <v>2218</v>
      </c>
      <c r="E28">
        <v>13.368349</v>
      </c>
      <c r="F28">
        <v>16.589858</v>
      </c>
      <c r="G28">
        <v>33.044916000000001</v>
      </c>
      <c r="H28">
        <v>-7.8510239999999998</v>
      </c>
      <c r="I28">
        <v>4.2264660000000003</v>
      </c>
      <c r="J28">
        <v>6.0038749999999999</v>
      </c>
      <c r="K28">
        <v>6.475956</v>
      </c>
      <c r="L28">
        <v>-3.1351819999999999</v>
      </c>
      <c r="M28">
        <v>8.0057510000000001</v>
      </c>
      <c r="N28">
        <v>13.049769</v>
      </c>
      <c r="O28">
        <v>33.091658000000002</v>
      </c>
      <c r="P28">
        <v>14.56057</v>
      </c>
      <c r="Q28">
        <v>11.395076</v>
      </c>
      <c r="R28">
        <v>8.5288780000000006</v>
      </c>
      <c r="S28">
        <v>-3.533922</v>
      </c>
      <c r="T28">
        <v>-10.910296000000001</v>
      </c>
      <c r="U28">
        <v>6.9910519999999998</v>
      </c>
      <c r="V28">
        <v>7.169816</v>
      </c>
      <c r="W28">
        <v>14.873347000000001</v>
      </c>
      <c r="X28">
        <v>4.9208239999999996</v>
      </c>
      <c r="Y28">
        <v>-2.9958740000000001</v>
      </c>
      <c r="Z28">
        <v>-17.192095999999999</v>
      </c>
      <c r="AA28">
        <v>1.6013999999999999</v>
      </c>
      <c r="AB28">
        <v>-7.5366770000000001</v>
      </c>
    </row>
    <row r="29" spans="1:28" x14ac:dyDescent="0.25">
      <c r="A29" t="s">
        <v>2238</v>
      </c>
      <c r="D29" t="s">
        <v>2218</v>
      </c>
      <c r="E29">
        <v>-1.4549300000000001</v>
      </c>
      <c r="F29">
        <v>9.2244130000000002</v>
      </c>
      <c r="G29">
        <v>5.5695269999999999</v>
      </c>
      <c r="H29">
        <v>10.403181</v>
      </c>
      <c r="I29">
        <v>6.072616</v>
      </c>
      <c r="J29">
        <v>35.998992000000001</v>
      </c>
      <c r="K29">
        <v>-15.400548000000001</v>
      </c>
      <c r="L29">
        <v>-11.472225</v>
      </c>
      <c r="M29">
        <v>20.288627999999999</v>
      </c>
      <c r="N29">
        <v>-12.719725</v>
      </c>
      <c r="O29">
        <v>15.682088</v>
      </c>
      <c r="P29">
        <v>-20.383423000000001</v>
      </c>
      <c r="Q29">
        <v>14.991126</v>
      </c>
      <c r="R29">
        <v>-14.243117</v>
      </c>
      <c r="S29">
        <v>8.8668180000000003</v>
      </c>
      <c r="T29">
        <v>25.224343999999999</v>
      </c>
      <c r="U29">
        <v>-8.8288329999999995</v>
      </c>
      <c r="V29">
        <v>8.3687880000000003</v>
      </c>
      <c r="W29">
        <v>-6.4870679999999998</v>
      </c>
      <c r="X29">
        <v>2.3681480000000001</v>
      </c>
      <c r="Y29">
        <v>-2.5561729999999998</v>
      </c>
      <c r="Z29">
        <v>-3.6162100000000001</v>
      </c>
      <c r="AA29">
        <v>8.6912529999999997</v>
      </c>
      <c r="AB29">
        <v>-2.006246</v>
      </c>
    </row>
    <row r="30" spans="1:28" x14ac:dyDescent="0.25">
      <c r="A30" t="s">
        <v>2239</v>
      </c>
      <c r="D30" t="s">
        <v>2218</v>
      </c>
      <c r="E30">
        <v>-0.19616</v>
      </c>
      <c r="F30">
        <v>3.600336</v>
      </c>
      <c r="G30">
        <v>-2.852287</v>
      </c>
      <c r="H30">
        <v>3.0881769999999999</v>
      </c>
      <c r="I30">
        <v>-1.389753</v>
      </c>
      <c r="J30">
        <v>-7.0896309999999998</v>
      </c>
      <c r="K30">
        <v>4.4966010000000001</v>
      </c>
      <c r="L30">
        <v>1.0146820000000001</v>
      </c>
      <c r="M30">
        <v>5.4826329999999999</v>
      </c>
      <c r="N30">
        <v>6.3679860000000001</v>
      </c>
      <c r="O30">
        <v>6.3626550000000002</v>
      </c>
      <c r="P30">
        <v>-7.9201999999999995E-2</v>
      </c>
      <c r="Q30">
        <v>-12.083076999999999</v>
      </c>
      <c r="R30">
        <v>-6.4648770000000004</v>
      </c>
      <c r="S30">
        <v>9.2276319999999998</v>
      </c>
      <c r="T30">
        <v>-5.6876709999999999</v>
      </c>
      <c r="U30">
        <v>-4.7224769999999996</v>
      </c>
      <c r="V30">
        <v>1.9135930000000001</v>
      </c>
      <c r="W30">
        <v>0.63110100000000002</v>
      </c>
      <c r="X30">
        <v>7.2498630000000004</v>
      </c>
      <c r="Y30">
        <v>-0.56067599999999995</v>
      </c>
      <c r="Z30">
        <v>-1.8990260000000001</v>
      </c>
      <c r="AA30">
        <v>-4.6426509999999999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11.747142999999999</v>
      </c>
      <c r="U31">
        <v>-16.390661000000001</v>
      </c>
      <c r="V31">
        <v>14.571035999999999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5.2841589999999998</v>
      </c>
      <c r="F32">
        <v>2.1342439999999998</v>
      </c>
      <c r="G32">
        <v>3.4257749999999998</v>
      </c>
      <c r="H32">
        <v>2.1537120000000001</v>
      </c>
      <c r="I32">
        <v>-0.143956</v>
      </c>
      <c r="J32">
        <v>-1.603043</v>
      </c>
      <c r="K32">
        <v>2.1508129999999999</v>
      </c>
      <c r="L32">
        <v>1.907184</v>
      </c>
      <c r="M32">
        <v>6.4264549999999998</v>
      </c>
      <c r="N32">
        <v>1.1856150000000001</v>
      </c>
      <c r="O32">
        <v>2.2565200000000001</v>
      </c>
      <c r="P32">
        <v>6.3969950000000004</v>
      </c>
      <c r="Q32">
        <v>7.358479</v>
      </c>
      <c r="R32">
        <v>1.6649389999999999</v>
      </c>
      <c r="S32">
        <v>4.3603040000000002</v>
      </c>
      <c r="T32">
        <v>1.5508420000000001</v>
      </c>
      <c r="U32">
        <v>-1.1946540000000001</v>
      </c>
      <c r="V32">
        <v>-0.34550700000000001</v>
      </c>
      <c r="W32">
        <v>1.5599989999999999</v>
      </c>
      <c r="X32">
        <v>2.9476420000000001</v>
      </c>
      <c r="Y32">
        <v>2.6968649999999998</v>
      </c>
      <c r="Z32">
        <v>2.8730280000000001</v>
      </c>
      <c r="AA32">
        <v>0.936666</v>
      </c>
      <c r="AB32">
        <v>-1.6608369999999999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-6.1349710000000002</v>
      </c>
      <c r="U33">
        <v>-0.46819100000000002</v>
      </c>
      <c r="V33">
        <v>3.7008939999999999</v>
      </c>
      <c r="W33">
        <v>2.1452420000000001</v>
      </c>
      <c r="X33">
        <v>5.4656510000000003</v>
      </c>
      <c r="Y33">
        <v>-1.528241</v>
      </c>
      <c r="Z33">
        <v>5.0959279999999998</v>
      </c>
      <c r="AA33">
        <v>1.3491010000000001</v>
      </c>
      <c r="AB33" t="s">
        <v>2218</v>
      </c>
    </row>
    <row r="34" spans="1:28" x14ac:dyDescent="0.25">
      <c r="A34" t="s">
        <v>2243</v>
      </c>
      <c r="D34">
        <v>-0.88479300000000005</v>
      </c>
      <c r="E34">
        <v>-10.706709</v>
      </c>
      <c r="F34">
        <v>8.3176450000000006</v>
      </c>
      <c r="G34">
        <v>8.9860389999999999</v>
      </c>
      <c r="H34">
        <v>3.5958429999999999</v>
      </c>
      <c r="I34">
        <v>8.5682790000000004</v>
      </c>
      <c r="J34">
        <v>8.2022390000000005</v>
      </c>
      <c r="K34">
        <v>1.379319</v>
      </c>
      <c r="L34">
        <v>13.411319000000001</v>
      </c>
      <c r="M34">
        <v>8.1868280000000002</v>
      </c>
      <c r="N34">
        <v>12.915319</v>
      </c>
      <c r="O34">
        <v>7.7554299999999996</v>
      </c>
      <c r="P34">
        <v>6.4718720000000003</v>
      </c>
      <c r="Q34">
        <v>-2.236129</v>
      </c>
      <c r="R34">
        <v>-2.1663329999999998</v>
      </c>
      <c r="S34">
        <v>-1.8545780000000001</v>
      </c>
      <c r="T34">
        <v>-1.059312</v>
      </c>
      <c r="U34">
        <v>3.79637</v>
      </c>
      <c r="V34">
        <v>6.2247199999999996</v>
      </c>
      <c r="W34">
        <v>4.405335</v>
      </c>
      <c r="X34">
        <v>8.3733839999999997</v>
      </c>
      <c r="Y34">
        <v>8.0486129999999996</v>
      </c>
      <c r="Z34">
        <v>2.5481120000000002</v>
      </c>
      <c r="AA34">
        <v>1.177948</v>
      </c>
      <c r="AB34" t="s">
        <v>2218</v>
      </c>
    </row>
    <row r="35" spans="1:28" x14ac:dyDescent="0.25">
      <c r="A35" t="s">
        <v>2244</v>
      </c>
      <c r="D35" t="s">
        <v>2218</v>
      </c>
      <c r="E35">
        <v>6.9225580000000004</v>
      </c>
      <c r="F35">
        <v>29.330970000000001</v>
      </c>
      <c r="G35">
        <v>-10.92667</v>
      </c>
      <c r="H35">
        <v>12.683093</v>
      </c>
      <c r="I35">
        <v>17.754712000000001</v>
      </c>
      <c r="J35">
        <v>-0.40481099999999998</v>
      </c>
      <c r="K35">
        <v>-4.5798990000000002</v>
      </c>
      <c r="L35">
        <v>7.8663809999999996</v>
      </c>
      <c r="M35">
        <v>2.56799</v>
      </c>
      <c r="N35">
        <v>6.2854999999999994E-2</v>
      </c>
      <c r="O35">
        <v>-11.320691999999999</v>
      </c>
      <c r="P35">
        <v>20.055406000000001</v>
      </c>
      <c r="Q35">
        <v>6.5272800000000002</v>
      </c>
      <c r="R35">
        <v>-14.05087</v>
      </c>
      <c r="S35">
        <v>2.5135909999999999</v>
      </c>
      <c r="T35">
        <v>3.0731290000000002</v>
      </c>
      <c r="U35">
        <v>-14.944205</v>
      </c>
      <c r="V35">
        <v>17.198043999999999</v>
      </c>
      <c r="W35">
        <v>10.986257999999999</v>
      </c>
      <c r="X35">
        <v>9.4906140000000008</v>
      </c>
      <c r="Y35">
        <v>12.292672</v>
      </c>
      <c r="Z35">
        <v>-4.4982389999999999</v>
      </c>
      <c r="AA35">
        <v>8.7766249999999992</v>
      </c>
      <c r="AB35">
        <v>12.720295</v>
      </c>
    </row>
    <row r="36" spans="1:28" x14ac:dyDescent="0.25">
      <c r="A36" t="s">
        <v>2245</v>
      </c>
      <c r="D36" t="s">
        <v>2218</v>
      </c>
      <c r="E36">
        <v>2.0694119999999998</v>
      </c>
      <c r="F36">
        <v>12.993197</v>
      </c>
      <c r="G36">
        <v>17.014182999999999</v>
      </c>
      <c r="H36">
        <v>12.292889000000001</v>
      </c>
      <c r="I36">
        <v>0.61952300000000005</v>
      </c>
      <c r="J36">
        <v>20.743176999999999</v>
      </c>
      <c r="K36">
        <v>9.4262870000000003</v>
      </c>
      <c r="L36">
        <v>10.610999</v>
      </c>
      <c r="M36">
        <v>10.942500000000001</v>
      </c>
      <c r="N36">
        <v>0.87634599999999996</v>
      </c>
      <c r="O36">
        <v>8.9504260000000002</v>
      </c>
      <c r="P36">
        <v>7.4611489999999998</v>
      </c>
      <c r="Q36">
        <v>5.0902310000000002</v>
      </c>
      <c r="R36">
        <v>-2.9264709999999998</v>
      </c>
      <c r="S36">
        <v>-3.0538989999999999</v>
      </c>
      <c r="T36">
        <v>-0.79439199999999999</v>
      </c>
      <c r="U36">
        <v>-6.4050929999999999</v>
      </c>
      <c r="V36">
        <v>-2.9415809999999998</v>
      </c>
      <c r="W36">
        <v>-6.3991550000000004</v>
      </c>
      <c r="X36">
        <v>-2.3914010000000001</v>
      </c>
      <c r="Y36">
        <v>-1.705587</v>
      </c>
      <c r="Z36">
        <v>1.468969</v>
      </c>
      <c r="AA36">
        <v>0.19700500000000001</v>
      </c>
      <c r="AB36">
        <v>4.2924850000000001</v>
      </c>
    </row>
    <row r="37" spans="1:28" x14ac:dyDescent="0.25">
      <c r="A37" t="s">
        <v>2246</v>
      </c>
      <c r="D37" t="s">
        <v>2218</v>
      </c>
      <c r="E37">
        <v>-43.268295999999999</v>
      </c>
      <c r="F37">
        <v>-8.7137069999999994</v>
      </c>
      <c r="G37">
        <v>-24.16601</v>
      </c>
      <c r="H37">
        <v>-1.150485</v>
      </c>
      <c r="I37">
        <v>-26.340083</v>
      </c>
      <c r="J37">
        <v>-11.968089000000001</v>
      </c>
      <c r="K37">
        <v>65.942873000000006</v>
      </c>
      <c r="L37">
        <v>-10.426551</v>
      </c>
      <c r="M37">
        <v>-3.4540649999999999</v>
      </c>
      <c r="N37">
        <v>6.7835580000000002</v>
      </c>
      <c r="O37">
        <v>-5.773282</v>
      </c>
      <c r="P37">
        <v>-7.5801939999999997</v>
      </c>
      <c r="Q37">
        <v>-10.712445000000001</v>
      </c>
      <c r="R37">
        <v>5.6017489999999999</v>
      </c>
      <c r="S37">
        <v>11.893523</v>
      </c>
      <c r="T37">
        <v>5.246194</v>
      </c>
      <c r="U37">
        <v>-3.4708999999999999</v>
      </c>
      <c r="V37">
        <v>4.132047</v>
      </c>
      <c r="W37">
        <v>8.3498210000000004</v>
      </c>
      <c r="X37">
        <v>-2.4210690000000001</v>
      </c>
      <c r="Y37">
        <v>-1.3990530000000001</v>
      </c>
      <c r="Z37">
        <v>-2.190817</v>
      </c>
      <c r="AA37">
        <v>7.5906380000000002</v>
      </c>
      <c r="AB37">
        <v>2.5696210000000002</v>
      </c>
    </row>
    <row r="38" spans="1:28" x14ac:dyDescent="0.25">
      <c r="A38" t="s">
        <v>2247</v>
      </c>
      <c r="D38" t="s">
        <v>2218</v>
      </c>
      <c r="E38">
        <v>6.1083369999999997</v>
      </c>
      <c r="F38">
        <v>-2.613534</v>
      </c>
      <c r="G38">
        <v>6.762562</v>
      </c>
      <c r="H38">
        <v>11.548904</v>
      </c>
      <c r="I38">
        <v>5.4672999999999999E-2</v>
      </c>
      <c r="J38">
        <v>-1.0333589999999999</v>
      </c>
      <c r="K38">
        <v>5.3847829999999997</v>
      </c>
      <c r="L38">
        <v>10.657175000000001</v>
      </c>
      <c r="M38">
        <v>5.5430380000000001</v>
      </c>
      <c r="N38">
        <v>7.5559789999999998</v>
      </c>
      <c r="O38">
        <v>4.89398</v>
      </c>
      <c r="P38">
        <v>11.856897999999999</v>
      </c>
      <c r="Q38">
        <v>-0.55284900000000003</v>
      </c>
      <c r="R38">
        <v>-0.99007999999999996</v>
      </c>
      <c r="S38">
        <v>0.62119000000000002</v>
      </c>
      <c r="T38">
        <v>-1.329922</v>
      </c>
      <c r="U38">
        <v>-2.19828</v>
      </c>
      <c r="V38">
        <v>0.12292</v>
      </c>
      <c r="W38">
        <v>0.87453599999999998</v>
      </c>
      <c r="X38">
        <v>-0.616483</v>
      </c>
      <c r="Y38">
        <v>5.3175330000000001</v>
      </c>
      <c r="Z38">
        <v>1.020419</v>
      </c>
      <c r="AA38">
        <v>0.34702699999999997</v>
      </c>
      <c r="AB38">
        <v>3.6058889999999999</v>
      </c>
    </row>
    <row r="39" spans="1:28" x14ac:dyDescent="0.25">
      <c r="A39" t="s">
        <v>2248</v>
      </c>
      <c r="D39" t="s">
        <v>2218</v>
      </c>
      <c r="E39">
        <v>5.0626990000000003</v>
      </c>
      <c r="F39">
        <v>4.9131989999999996</v>
      </c>
      <c r="G39">
        <v>7.6351519999999997</v>
      </c>
      <c r="H39">
        <v>5.5205890000000002</v>
      </c>
      <c r="I39">
        <v>7.8281549999999998</v>
      </c>
      <c r="J39">
        <v>9.5442499999999999</v>
      </c>
      <c r="K39">
        <v>4.6192399999999996</v>
      </c>
      <c r="L39">
        <v>3.200831</v>
      </c>
      <c r="M39">
        <v>8.9926960000000005</v>
      </c>
      <c r="N39">
        <v>9.0285189999999993</v>
      </c>
      <c r="O39">
        <v>8.8282229999999995</v>
      </c>
      <c r="P39">
        <v>4.5050739999999996</v>
      </c>
      <c r="Q39">
        <v>3.0371830000000002</v>
      </c>
      <c r="R39">
        <v>-4.7579960000000003</v>
      </c>
      <c r="S39">
        <v>-2.7098179999999998</v>
      </c>
      <c r="T39">
        <v>-1.099342</v>
      </c>
      <c r="U39">
        <v>-4.7918710000000004</v>
      </c>
      <c r="V39">
        <v>-5.2907010000000003</v>
      </c>
      <c r="W39">
        <v>-2.081861</v>
      </c>
      <c r="X39">
        <v>-6.1832929999999999</v>
      </c>
      <c r="Y39">
        <v>-0.31835599999999997</v>
      </c>
      <c r="Z39">
        <v>1.0678000000000001</v>
      </c>
      <c r="AA39">
        <v>6.5697239999999999</v>
      </c>
      <c r="AB39">
        <v>6.7364819999999996</v>
      </c>
    </row>
    <row r="40" spans="1:28" x14ac:dyDescent="0.25">
      <c r="A40" t="s">
        <v>2249</v>
      </c>
      <c r="D40">
        <v>-6.762912</v>
      </c>
      <c r="E40">
        <v>2.7839239999999998</v>
      </c>
      <c r="F40">
        <v>5.7960180000000001</v>
      </c>
      <c r="G40">
        <v>2.1453E-2</v>
      </c>
      <c r="H40">
        <v>3.5062329999999999</v>
      </c>
      <c r="I40">
        <v>6.080317</v>
      </c>
      <c r="J40">
        <v>-2.577439</v>
      </c>
      <c r="K40">
        <v>1.8593200000000001</v>
      </c>
      <c r="L40">
        <v>8.3994180000000007</v>
      </c>
      <c r="M40">
        <v>0.39089200000000002</v>
      </c>
      <c r="N40">
        <v>8.8110590000000002</v>
      </c>
      <c r="O40">
        <v>0.92530599999999996</v>
      </c>
      <c r="P40">
        <v>2.8922140000000001</v>
      </c>
      <c r="Q40">
        <v>-5.2205630000000003</v>
      </c>
      <c r="R40">
        <v>5.0673519999999996</v>
      </c>
      <c r="S40">
        <v>1.3790340000000001</v>
      </c>
      <c r="T40">
        <v>5.7540240000000002</v>
      </c>
      <c r="U40">
        <v>-1.6954089999999999</v>
      </c>
      <c r="V40">
        <v>4.2047369999999997</v>
      </c>
      <c r="W40">
        <v>2.3373400000000002</v>
      </c>
      <c r="X40">
        <v>9.8960380000000008</v>
      </c>
      <c r="Y40">
        <v>6.6813440000000002</v>
      </c>
      <c r="Z40">
        <v>4.2662339999999999</v>
      </c>
      <c r="AA40">
        <v>2.3746260000000001</v>
      </c>
      <c r="AB40">
        <v>0.92974400000000001</v>
      </c>
    </row>
    <row r="41" spans="1:28" x14ac:dyDescent="0.25">
      <c r="A41" t="s">
        <v>2250</v>
      </c>
      <c r="D41" t="s">
        <v>2218</v>
      </c>
      <c r="E41">
        <v>8.2604980000000001</v>
      </c>
      <c r="F41">
        <v>10.972116</v>
      </c>
      <c r="G41">
        <v>5.7904549999999997</v>
      </c>
      <c r="H41">
        <v>5.3390190000000004</v>
      </c>
      <c r="I41">
        <v>10.645220999999999</v>
      </c>
      <c r="J41">
        <v>-13.356882000000001</v>
      </c>
      <c r="K41">
        <v>-6.2552099999999999</v>
      </c>
      <c r="L41">
        <v>7.1048090000000004</v>
      </c>
      <c r="M41">
        <v>6.8031139999999999</v>
      </c>
      <c r="N41">
        <v>9.1420379999999994</v>
      </c>
      <c r="O41">
        <v>4.8799900000000003</v>
      </c>
      <c r="P41">
        <v>3.4993150000000002</v>
      </c>
      <c r="Q41">
        <v>-7.793202</v>
      </c>
      <c r="R41">
        <v>-7.9524410000000003</v>
      </c>
      <c r="S41">
        <v>0.62593900000000002</v>
      </c>
      <c r="T41">
        <v>-2.0334479999999999</v>
      </c>
      <c r="U41">
        <v>2.298692</v>
      </c>
      <c r="V41">
        <v>8.8535400000000006</v>
      </c>
      <c r="W41">
        <v>0.56703199999999998</v>
      </c>
      <c r="X41">
        <v>-0.73731999999999998</v>
      </c>
      <c r="Y41">
        <v>-1.2663489999999999</v>
      </c>
      <c r="Z41">
        <v>3.991428</v>
      </c>
      <c r="AA41">
        <v>2.6235469999999999</v>
      </c>
      <c r="AB41" t="s">
        <v>2218</v>
      </c>
    </row>
    <row r="42" spans="1:28" x14ac:dyDescent="0.25">
      <c r="A42" t="s">
        <v>2251</v>
      </c>
      <c r="D42">
        <v>2.394136</v>
      </c>
      <c r="E42">
        <v>5.9784949999999997</v>
      </c>
      <c r="F42">
        <v>6.5477420000000004</v>
      </c>
      <c r="G42">
        <v>22.257635000000001</v>
      </c>
      <c r="H42">
        <v>-1.9027849999999999</v>
      </c>
      <c r="I42">
        <v>2.9976729999999998</v>
      </c>
      <c r="J42">
        <v>3.0294180000000002</v>
      </c>
      <c r="K42">
        <v>1.8510150000000001</v>
      </c>
      <c r="L42">
        <v>9.4824579999999994</v>
      </c>
      <c r="M42">
        <v>8.2210160000000005</v>
      </c>
      <c r="N42">
        <v>11.416554</v>
      </c>
      <c r="O42">
        <v>6.1949630000000004</v>
      </c>
      <c r="P42">
        <v>4.7192889999999998</v>
      </c>
      <c r="Q42">
        <v>-0.34250000000000003</v>
      </c>
      <c r="R42">
        <v>4.877262</v>
      </c>
      <c r="S42">
        <v>-3.8909669999999998</v>
      </c>
      <c r="T42">
        <v>-2.2804899999999999</v>
      </c>
      <c r="U42">
        <v>2.0264959999999999</v>
      </c>
      <c r="V42">
        <v>1.340314</v>
      </c>
      <c r="W42">
        <v>-0.65385400000000005</v>
      </c>
      <c r="X42">
        <v>-2.6128170000000002</v>
      </c>
      <c r="Y42">
        <v>3.5821640000000001</v>
      </c>
      <c r="Z42">
        <v>0.490923</v>
      </c>
      <c r="AA42">
        <v>-2.770578</v>
      </c>
      <c r="AB42">
        <v>-0.68689999999999996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7.3614439999999997</v>
      </c>
      <c r="K43">
        <v>-1.9599329999999999</v>
      </c>
      <c r="L43">
        <v>-0.81785600000000003</v>
      </c>
      <c r="M43">
        <v>-1.7419230000000001</v>
      </c>
      <c r="N43">
        <v>7.9052559999999996</v>
      </c>
      <c r="O43">
        <v>0.97445000000000004</v>
      </c>
      <c r="P43">
        <v>-3.3767900000000002</v>
      </c>
      <c r="Q43">
        <v>-14.711903</v>
      </c>
      <c r="R43">
        <v>27.376010999999998</v>
      </c>
      <c r="S43">
        <v>2.0912440000000001</v>
      </c>
      <c r="T43">
        <v>-0.46367199999999997</v>
      </c>
      <c r="U43">
        <v>5.5473590000000002</v>
      </c>
      <c r="V43">
        <v>-8.8010120000000001</v>
      </c>
      <c r="W43">
        <v>5.4481679999999999</v>
      </c>
      <c r="X43">
        <v>0.91223900000000002</v>
      </c>
      <c r="Y43">
        <v>-2.2445729999999999</v>
      </c>
      <c r="Z43">
        <v>-2.3673760000000001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3.6441240000000001</v>
      </c>
      <c r="F44">
        <v>2.1743109999999999</v>
      </c>
      <c r="G44">
        <v>2.4892189999999998</v>
      </c>
      <c r="H44">
        <v>4.4641440000000001</v>
      </c>
      <c r="I44">
        <v>0.67763799999999996</v>
      </c>
      <c r="J44">
        <v>1.4461759999999999</v>
      </c>
      <c r="K44">
        <v>-1.142082</v>
      </c>
      <c r="L44">
        <v>-3.8089339999999998</v>
      </c>
      <c r="M44">
        <v>2.3805990000000001</v>
      </c>
      <c r="N44">
        <v>1.68035</v>
      </c>
      <c r="O44">
        <v>2.0518770000000002</v>
      </c>
      <c r="P44">
        <v>3.9212799999999999</v>
      </c>
      <c r="Q44">
        <v>0.53871899999999995</v>
      </c>
      <c r="R44">
        <v>-0.68465799999999999</v>
      </c>
      <c r="S44">
        <v>3.1875610000000001</v>
      </c>
      <c r="T44">
        <v>1.8941969999999999</v>
      </c>
      <c r="U44">
        <v>-0.88577499999999998</v>
      </c>
      <c r="V44">
        <v>0.74933499999999997</v>
      </c>
      <c r="W44">
        <v>-0.95280900000000002</v>
      </c>
      <c r="X44">
        <v>1.8098E-2</v>
      </c>
      <c r="Y44">
        <v>-0.50893900000000003</v>
      </c>
      <c r="Z44">
        <v>2.6585890000000001</v>
      </c>
      <c r="AA44">
        <v>2.2892549999999998</v>
      </c>
      <c r="AB44">
        <v>2.3646639999999999</v>
      </c>
    </row>
    <row r="45" spans="1:28" x14ac:dyDescent="0.25">
      <c r="A45" t="s">
        <v>2254</v>
      </c>
      <c r="D45" t="s">
        <v>2218</v>
      </c>
      <c r="E45">
        <v>3.298794</v>
      </c>
      <c r="F45">
        <v>2.8798219999999999</v>
      </c>
      <c r="G45">
        <v>6.5131709999999998</v>
      </c>
      <c r="H45">
        <v>2.9161809999999999</v>
      </c>
      <c r="I45">
        <v>1.481204</v>
      </c>
      <c r="J45">
        <v>1.69198</v>
      </c>
      <c r="K45">
        <v>-0.34098400000000001</v>
      </c>
      <c r="L45">
        <v>-0.37254799999999999</v>
      </c>
      <c r="M45">
        <v>3.4762140000000001</v>
      </c>
      <c r="N45">
        <v>3.752656</v>
      </c>
      <c r="O45">
        <v>2.2620969999999998</v>
      </c>
      <c r="P45">
        <v>4.0012590000000001</v>
      </c>
      <c r="Q45">
        <v>0.49910199999999999</v>
      </c>
      <c r="R45">
        <v>-0.41324100000000002</v>
      </c>
      <c r="S45">
        <v>1.485185</v>
      </c>
      <c r="T45">
        <v>0.60141100000000003</v>
      </c>
      <c r="U45">
        <v>-0.79946600000000001</v>
      </c>
      <c r="V45">
        <v>1.7078009999999999</v>
      </c>
      <c r="W45">
        <v>-0.46027400000000002</v>
      </c>
      <c r="X45">
        <v>-0.287358</v>
      </c>
      <c r="Y45">
        <v>1.1557379999999999</v>
      </c>
      <c r="Z45">
        <v>1.3605719999999999</v>
      </c>
      <c r="AA45">
        <v>1.3175479999999999</v>
      </c>
      <c r="AB45">
        <v>1.8559030000000001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-0.71026199999999995</v>
      </c>
      <c r="K46">
        <v>0.37222</v>
      </c>
      <c r="L46">
        <v>-6.7182909999999998</v>
      </c>
      <c r="M46">
        <v>5.2702660000000003</v>
      </c>
      <c r="N46">
        <v>4.3254669999999997</v>
      </c>
      <c r="O46">
        <v>6.8425419999999999</v>
      </c>
      <c r="P46">
        <v>10.509415000000001</v>
      </c>
      <c r="Q46">
        <v>15.903617000000001</v>
      </c>
      <c r="R46">
        <v>7.2737470000000002</v>
      </c>
      <c r="S46">
        <v>3.036794</v>
      </c>
      <c r="T46">
        <v>3.0540340000000001</v>
      </c>
      <c r="U46">
        <v>-7.0566000000000004E-2</v>
      </c>
      <c r="V46">
        <v>2.531428</v>
      </c>
      <c r="W46">
        <v>-8.3433630000000001</v>
      </c>
      <c r="X46">
        <v>0.41777700000000001</v>
      </c>
      <c r="Y46">
        <v>-4.180599</v>
      </c>
      <c r="Z46">
        <v>-3.4160999999999997E-2</v>
      </c>
      <c r="AA46" t="s">
        <v>2218</v>
      </c>
      <c r="AB46" t="s">
        <v>2218</v>
      </c>
    </row>
    <row r="47" spans="1:28" x14ac:dyDescent="0.25">
      <c r="B47" t="s">
        <v>2257</v>
      </c>
      <c r="D47">
        <v>2.6708460000000001</v>
      </c>
      <c r="E47">
        <v>9.0527770000000007</v>
      </c>
      <c r="F47">
        <v>-8.8307800000000007</v>
      </c>
      <c r="G47">
        <v>-8.0311179999999993</v>
      </c>
      <c r="H47">
        <v>55.152036000000003</v>
      </c>
      <c r="I47">
        <v>-1.2296039999999999</v>
      </c>
      <c r="J47">
        <v>7.7286900000000003</v>
      </c>
      <c r="K47">
        <v>-3.6756820000000001</v>
      </c>
      <c r="L47">
        <v>-0.39523000000000003</v>
      </c>
      <c r="M47">
        <v>-2.0097100000000001</v>
      </c>
      <c r="N47">
        <v>11.572402</v>
      </c>
      <c r="O47">
        <v>10.085861</v>
      </c>
      <c r="P47">
        <v>-8.0245219999999993</v>
      </c>
      <c r="Q47">
        <v>10.315498</v>
      </c>
      <c r="R47">
        <v>13.441267</v>
      </c>
      <c r="S47">
        <v>7.3755709999999999</v>
      </c>
      <c r="T47">
        <v>4.599488</v>
      </c>
      <c r="U47">
        <v>10.636243</v>
      </c>
      <c r="V47">
        <v>4.1526560000000003</v>
      </c>
      <c r="W47">
        <v>2.8580960000000002</v>
      </c>
      <c r="X47">
        <v>27.487499</v>
      </c>
      <c r="Y47">
        <v>7.2293349999999998</v>
      </c>
      <c r="Z47">
        <v>25.173107000000002</v>
      </c>
      <c r="AA47">
        <v>-14.700138000000001</v>
      </c>
      <c r="AB47" t="s">
        <v>2218</v>
      </c>
    </row>
    <row r="48" spans="1:28" x14ac:dyDescent="0.25">
      <c r="A48" t="s">
        <v>2274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2275</v>
      </c>
    </row>
    <row r="2" spans="1:28" x14ac:dyDescent="0.25">
      <c r="A2" t="s">
        <v>2181</v>
      </c>
    </row>
    <row r="3" spans="1:28" x14ac:dyDescent="0.25">
      <c r="A3" t="s">
        <v>2182</v>
      </c>
      <c r="D3" t="s">
        <v>2183</v>
      </c>
    </row>
    <row r="4" spans="1:28" x14ac:dyDescent="0.25">
      <c r="A4" t="s">
        <v>2184</v>
      </c>
      <c r="D4" t="s">
        <v>2276</v>
      </c>
    </row>
    <row r="5" spans="1:28" x14ac:dyDescent="0.25">
      <c r="A5" t="s">
        <v>2186</v>
      </c>
      <c r="D5" t="s">
        <v>2187</v>
      </c>
      <c r="E5" t="s">
        <v>2188</v>
      </c>
      <c r="F5" t="s">
        <v>2189</v>
      </c>
      <c r="G5" t="s">
        <v>2190</v>
      </c>
      <c r="H5" t="s">
        <v>2191</v>
      </c>
      <c r="I5" t="s">
        <v>2192</v>
      </c>
      <c r="J5" t="s">
        <v>2193</v>
      </c>
      <c r="K5" t="s">
        <v>2194</v>
      </c>
      <c r="L5" t="s">
        <v>2195</v>
      </c>
      <c r="M5" t="s">
        <v>2196</v>
      </c>
      <c r="N5" t="s">
        <v>2197</v>
      </c>
      <c r="O5" t="s">
        <v>2198</v>
      </c>
      <c r="P5" t="s">
        <v>2199</v>
      </c>
      <c r="Q5" t="s">
        <v>2200</v>
      </c>
      <c r="R5" t="s">
        <v>2201</v>
      </c>
      <c r="S5" t="s">
        <v>2202</v>
      </c>
      <c r="T5" t="s">
        <v>2203</v>
      </c>
      <c r="U5" t="s">
        <v>2204</v>
      </c>
      <c r="V5" t="s">
        <v>2205</v>
      </c>
      <c r="W5" t="s">
        <v>2206</v>
      </c>
      <c r="X5" t="s">
        <v>2207</v>
      </c>
      <c r="Y5" t="s">
        <v>2208</v>
      </c>
      <c r="Z5" t="s">
        <v>2209</v>
      </c>
      <c r="AA5" t="s">
        <v>2210</v>
      </c>
      <c r="AB5" t="s">
        <v>2211</v>
      </c>
    </row>
    <row r="6" spans="1:28" x14ac:dyDescent="0.25">
      <c r="A6" t="s">
        <v>2212</v>
      </c>
      <c r="D6" t="s">
        <v>2213</v>
      </c>
    </row>
    <row r="7" spans="1:28" x14ac:dyDescent="0.25">
      <c r="A7" t="s">
        <v>2214</v>
      </c>
      <c r="D7" t="s">
        <v>2215</v>
      </c>
    </row>
    <row r="8" spans="1:28" x14ac:dyDescent="0.25">
      <c r="A8" t="s">
        <v>2216</v>
      </c>
    </row>
    <row r="9" spans="1:28" x14ac:dyDescent="0.25">
      <c r="A9" t="s">
        <v>2217</v>
      </c>
      <c r="D9">
        <v>-0.71958999999999995</v>
      </c>
      <c r="E9">
        <v>-0.606989</v>
      </c>
      <c r="F9">
        <v>2.413869</v>
      </c>
      <c r="G9">
        <v>5.6167999999999996</v>
      </c>
      <c r="H9">
        <v>3.8636200000000001</v>
      </c>
      <c r="I9">
        <v>6.8043250000000004</v>
      </c>
      <c r="J9">
        <v>6.6257739999999998</v>
      </c>
      <c r="K9">
        <v>-3.4420220000000001</v>
      </c>
      <c r="L9">
        <v>2.9773109999999998</v>
      </c>
      <c r="M9">
        <v>-5.9230219999999996</v>
      </c>
      <c r="N9">
        <v>1.487433</v>
      </c>
      <c r="O9">
        <v>1.4202539999999999</v>
      </c>
      <c r="P9">
        <v>2.7096360000000002</v>
      </c>
      <c r="Q9">
        <v>5.4843770000000003</v>
      </c>
      <c r="R9">
        <v>-5.6497039999999998</v>
      </c>
      <c r="S9">
        <v>5.856439</v>
      </c>
      <c r="T9">
        <v>-2.5792619999999999</v>
      </c>
      <c r="U9">
        <v>4.3951339999999997</v>
      </c>
      <c r="V9">
        <v>-1.4581139999999999</v>
      </c>
      <c r="W9">
        <v>-3.6466050000000001</v>
      </c>
      <c r="X9">
        <v>6.9909540000000003</v>
      </c>
      <c r="Y9">
        <v>7.4602329999999997</v>
      </c>
      <c r="Z9">
        <v>0.151061</v>
      </c>
      <c r="AA9" t="s">
        <v>2218</v>
      </c>
      <c r="AB9" t="s">
        <v>2218</v>
      </c>
    </row>
    <row r="10" spans="1:28" x14ac:dyDescent="0.25">
      <c r="A10" t="s">
        <v>2219</v>
      </c>
      <c r="D10">
        <v>9.8160919999999994</v>
      </c>
      <c r="E10">
        <v>-6.9244E-2</v>
      </c>
      <c r="F10">
        <v>-0.69945900000000005</v>
      </c>
      <c r="G10">
        <v>-0.52201699999999995</v>
      </c>
      <c r="H10">
        <v>-1.1504859999999999</v>
      </c>
      <c r="I10">
        <v>-1.0952470000000001</v>
      </c>
      <c r="J10">
        <v>-1.5137750000000001</v>
      </c>
      <c r="K10">
        <v>1.926574</v>
      </c>
      <c r="L10">
        <v>0.32500800000000002</v>
      </c>
      <c r="M10">
        <v>-1.3369359999999999</v>
      </c>
      <c r="N10">
        <v>2.3684159999999999</v>
      </c>
      <c r="O10">
        <v>-0.54153700000000005</v>
      </c>
      <c r="P10">
        <v>0.45391100000000001</v>
      </c>
      <c r="Q10">
        <v>-0.31007499999999999</v>
      </c>
      <c r="R10">
        <v>-3.6249630000000002</v>
      </c>
      <c r="S10">
        <v>-6.7790000000000003E-2</v>
      </c>
      <c r="T10">
        <v>1.0168699999999999</v>
      </c>
      <c r="U10">
        <v>-1.0658270000000001</v>
      </c>
      <c r="V10">
        <v>0.12847600000000001</v>
      </c>
      <c r="W10">
        <v>0.61979700000000004</v>
      </c>
      <c r="X10">
        <v>1.6681140000000001</v>
      </c>
      <c r="Y10">
        <v>0.45515600000000001</v>
      </c>
      <c r="Z10">
        <v>-8.7498999999999993E-2</v>
      </c>
      <c r="AA10">
        <v>-0.167487</v>
      </c>
      <c r="AB10">
        <v>0.25144100000000003</v>
      </c>
    </row>
    <row r="11" spans="1:28" x14ac:dyDescent="0.25">
      <c r="A11" t="s">
        <v>2220</v>
      </c>
      <c r="D11" t="s">
        <v>2218</v>
      </c>
      <c r="E11">
        <v>6.2179999999999996E-3</v>
      </c>
      <c r="F11">
        <v>0.73863599999999996</v>
      </c>
      <c r="G11">
        <v>-1.252651</v>
      </c>
      <c r="H11">
        <v>-0.16259999999999999</v>
      </c>
      <c r="I11">
        <v>-0.61089099999999996</v>
      </c>
      <c r="J11">
        <v>1.8325800000000001</v>
      </c>
      <c r="K11">
        <v>-2.8488540000000002</v>
      </c>
      <c r="L11">
        <v>0.78951899999999997</v>
      </c>
      <c r="M11">
        <v>-0.22196199999999999</v>
      </c>
      <c r="N11">
        <v>4.9541139999999997</v>
      </c>
      <c r="O11">
        <v>0.62691300000000005</v>
      </c>
      <c r="P11">
        <v>1.3703890000000001</v>
      </c>
      <c r="Q11">
        <v>-2.5599270000000001</v>
      </c>
      <c r="R11">
        <v>-1.3989240000000001</v>
      </c>
      <c r="S11">
        <v>-0.60191600000000001</v>
      </c>
      <c r="T11">
        <v>-0.47246500000000002</v>
      </c>
      <c r="U11">
        <v>-3.3617340000000002</v>
      </c>
      <c r="V11">
        <v>2.3037000000000001</v>
      </c>
      <c r="W11">
        <v>2.470418</v>
      </c>
      <c r="X11">
        <v>1.082174</v>
      </c>
      <c r="Y11">
        <v>0.41875099999999998</v>
      </c>
      <c r="Z11">
        <v>2.3461029999999998</v>
      </c>
      <c r="AA11">
        <v>1.0105379999999999</v>
      </c>
      <c r="AB11">
        <v>-1.709587</v>
      </c>
    </row>
    <row r="12" spans="1:28" x14ac:dyDescent="0.25">
      <c r="A12" t="s">
        <v>2221</v>
      </c>
      <c r="D12" t="s">
        <v>2218</v>
      </c>
      <c r="E12" t="s">
        <v>2218</v>
      </c>
      <c r="F12" t="s">
        <v>2218</v>
      </c>
      <c r="G12" t="s">
        <v>2218</v>
      </c>
      <c r="H12" t="s">
        <v>2218</v>
      </c>
      <c r="I12" t="s">
        <v>2218</v>
      </c>
      <c r="J12" t="s">
        <v>2218</v>
      </c>
      <c r="K12" t="s">
        <v>2218</v>
      </c>
      <c r="L12" t="s">
        <v>2218</v>
      </c>
      <c r="M12" t="s">
        <v>2218</v>
      </c>
      <c r="N12" t="s">
        <v>2218</v>
      </c>
      <c r="O12" t="s">
        <v>2218</v>
      </c>
      <c r="P12" t="s">
        <v>2218</v>
      </c>
      <c r="Q12">
        <v>-2.4462649999999999</v>
      </c>
      <c r="R12">
        <v>1.139608</v>
      </c>
      <c r="S12">
        <v>-0.97902500000000003</v>
      </c>
      <c r="T12">
        <v>2.4147419999999999</v>
      </c>
      <c r="U12">
        <v>2.8569849999999999</v>
      </c>
      <c r="V12">
        <v>-0.84983200000000003</v>
      </c>
      <c r="W12">
        <v>2.3475579999999998</v>
      </c>
      <c r="X12">
        <v>8.4366999999999998E-2</v>
      </c>
      <c r="Y12">
        <v>-1.5489599999999999</v>
      </c>
      <c r="Z12">
        <v>0.103884</v>
      </c>
      <c r="AA12">
        <v>-4.3000000000000002E-5</v>
      </c>
      <c r="AB12" t="s">
        <v>2218</v>
      </c>
    </row>
    <row r="13" spans="1:28" x14ac:dyDescent="0.25">
      <c r="A13" t="s">
        <v>2222</v>
      </c>
      <c r="D13" t="s">
        <v>2218</v>
      </c>
      <c r="E13" t="s">
        <v>2218</v>
      </c>
      <c r="F13" t="s">
        <v>2218</v>
      </c>
      <c r="G13" t="s">
        <v>2218</v>
      </c>
      <c r="H13" t="s">
        <v>2218</v>
      </c>
      <c r="I13" t="s">
        <v>2218</v>
      </c>
      <c r="J13" t="s">
        <v>2218</v>
      </c>
      <c r="K13" t="s">
        <v>2218</v>
      </c>
      <c r="L13" t="s">
        <v>2218</v>
      </c>
      <c r="M13" t="s">
        <v>2218</v>
      </c>
      <c r="N13" t="s">
        <v>2218</v>
      </c>
      <c r="O13" t="s">
        <v>2218</v>
      </c>
      <c r="P13" t="s">
        <v>2218</v>
      </c>
      <c r="Q13" t="s">
        <v>2218</v>
      </c>
      <c r="R13" t="s">
        <v>2218</v>
      </c>
      <c r="S13" t="s">
        <v>2218</v>
      </c>
      <c r="T13" t="s">
        <v>2218</v>
      </c>
      <c r="U13" t="s">
        <v>2218</v>
      </c>
      <c r="V13" t="s">
        <v>2218</v>
      </c>
      <c r="W13">
        <v>-7.7814839999999998</v>
      </c>
      <c r="X13">
        <v>3.9241160000000002</v>
      </c>
      <c r="Y13">
        <v>-8.6632470000000001</v>
      </c>
      <c r="Z13">
        <v>-3.5826950000000002</v>
      </c>
      <c r="AA13">
        <v>0.37943700000000002</v>
      </c>
      <c r="AB13" t="s">
        <v>2218</v>
      </c>
    </row>
    <row r="14" spans="1:28" x14ac:dyDescent="0.25">
      <c r="A14" t="s">
        <v>2223</v>
      </c>
      <c r="D14">
        <v>-12.150205</v>
      </c>
      <c r="E14">
        <v>-6.0731219999999997</v>
      </c>
      <c r="F14">
        <v>0.120658</v>
      </c>
      <c r="G14">
        <v>-2.8172820000000001</v>
      </c>
      <c r="H14">
        <v>1.682328</v>
      </c>
      <c r="I14">
        <v>-2.9003540000000001</v>
      </c>
      <c r="J14">
        <v>4.0697530000000004</v>
      </c>
      <c r="K14">
        <v>10.97763</v>
      </c>
      <c r="L14">
        <v>-6.5131030000000001</v>
      </c>
      <c r="M14">
        <v>3.7008730000000001</v>
      </c>
      <c r="N14">
        <v>-0.96710099999999999</v>
      </c>
      <c r="O14">
        <v>-3.6447059999999998</v>
      </c>
      <c r="P14">
        <v>4.6681699999999999</v>
      </c>
      <c r="Q14">
        <v>1.114582</v>
      </c>
      <c r="R14">
        <v>-7.0838789999999996</v>
      </c>
      <c r="S14">
        <v>0.12123</v>
      </c>
      <c r="T14">
        <v>5.5173920000000001</v>
      </c>
      <c r="U14">
        <v>-1.096538</v>
      </c>
      <c r="V14">
        <v>1.062484</v>
      </c>
      <c r="W14">
        <v>-1.019927</v>
      </c>
      <c r="X14">
        <v>4.8285150000000003</v>
      </c>
      <c r="Y14">
        <v>2.3857729999999999</v>
      </c>
      <c r="Z14">
        <v>1.982715</v>
      </c>
      <c r="AA14">
        <v>0.20454900000000001</v>
      </c>
      <c r="AB14">
        <v>4.3434169999999996</v>
      </c>
    </row>
    <row r="15" spans="1:28" x14ac:dyDescent="0.25">
      <c r="A15" t="s">
        <v>2224</v>
      </c>
      <c r="D15">
        <v>-6.4922719999999998</v>
      </c>
      <c r="E15">
        <v>-2.8982000000000001</v>
      </c>
      <c r="F15">
        <v>4.4317859999999998</v>
      </c>
      <c r="G15">
        <v>-6.2457010000000004</v>
      </c>
      <c r="H15">
        <v>-1.849343</v>
      </c>
      <c r="I15">
        <v>-1.349302</v>
      </c>
      <c r="J15">
        <v>-1.451276</v>
      </c>
      <c r="K15">
        <v>-4.9839010000000004</v>
      </c>
      <c r="L15">
        <v>-2.9262800000000002</v>
      </c>
      <c r="M15">
        <v>2.4359479999999998</v>
      </c>
      <c r="N15">
        <v>2.0884130000000001</v>
      </c>
      <c r="O15">
        <v>-1.9501660000000001</v>
      </c>
      <c r="P15">
        <v>-10.194081000000001</v>
      </c>
      <c r="Q15">
        <v>2.1280540000000001</v>
      </c>
      <c r="R15">
        <v>-2.9381200000000001</v>
      </c>
      <c r="S15">
        <v>2.688361</v>
      </c>
      <c r="T15">
        <v>1.060538</v>
      </c>
      <c r="U15">
        <v>-1.484715</v>
      </c>
      <c r="V15">
        <v>2.6372680000000002</v>
      </c>
      <c r="W15">
        <v>-0.23247699999999999</v>
      </c>
      <c r="X15">
        <v>2.0902250000000002</v>
      </c>
      <c r="Y15">
        <v>5.3135440000000003</v>
      </c>
      <c r="Z15">
        <v>1.670283</v>
      </c>
      <c r="AA15">
        <v>0.72684700000000002</v>
      </c>
      <c r="AB15">
        <v>2.2677870000000002</v>
      </c>
    </row>
    <row r="16" spans="1:28" x14ac:dyDescent="0.25">
      <c r="A16" t="s">
        <v>2225</v>
      </c>
      <c r="D16" t="s">
        <v>2218</v>
      </c>
      <c r="E16">
        <v>-4.5937380000000001</v>
      </c>
      <c r="F16">
        <v>-2.658296</v>
      </c>
      <c r="G16">
        <v>-0.36412699999999998</v>
      </c>
      <c r="H16">
        <v>-1.6728799999999999</v>
      </c>
      <c r="I16">
        <v>-14.231623000000001</v>
      </c>
      <c r="J16">
        <v>30.432471</v>
      </c>
      <c r="K16">
        <v>16.775790000000001</v>
      </c>
      <c r="L16">
        <v>-2.0085639999999998</v>
      </c>
      <c r="M16">
        <v>21.749175000000001</v>
      </c>
      <c r="N16">
        <v>-1.2157279999999999</v>
      </c>
      <c r="O16">
        <v>12.030087</v>
      </c>
      <c r="P16">
        <v>1.2770809999999999</v>
      </c>
      <c r="Q16">
        <v>-7.6835550000000001</v>
      </c>
      <c r="R16">
        <v>-8.5154189999999996</v>
      </c>
      <c r="S16">
        <v>-1.3877919999999999</v>
      </c>
      <c r="T16">
        <v>4.8467479999999998</v>
      </c>
      <c r="U16">
        <v>0.43497400000000003</v>
      </c>
      <c r="V16">
        <v>-6.4144540000000001</v>
      </c>
      <c r="W16">
        <v>9.2463739999999994</v>
      </c>
      <c r="X16">
        <v>2.4269560000000001</v>
      </c>
      <c r="Y16">
        <v>-1.2011080000000001</v>
      </c>
      <c r="Z16">
        <v>-3.4099149999999998</v>
      </c>
      <c r="AA16">
        <v>2.3063560000000001</v>
      </c>
      <c r="AB16">
        <v>7.42544</v>
      </c>
    </row>
    <row r="17" spans="1:28" x14ac:dyDescent="0.25">
      <c r="A17" t="s">
        <v>2226</v>
      </c>
      <c r="D17">
        <v>-3.740631</v>
      </c>
      <c r="E17">
        <v>2.471495</v>
      </c>
      <c r="F17">
        <v>1.4045909999999999</v>
      </c>
      <c r="G17">
        <v>-1.5316989999999999</v>
      </c>
      <c r="H17">
        <v>-0.70711199999999996</v>
      </c>
      <c r="I17">
        <v>-6.7351999999999995E-2</v>
      </c>
      <c r="J17">
        <v>1.0449729999999999</v>
      </c>
      <c r="K17">
        <v>-3.2785679999999999</v>
      </c>
      <c r="L17">
        <v>-4.2527670000000004</v>
      </c>
      <c r="M17">
        <v>-0.91609499999999999</v>
      </c>
      <c r="N17">
        <v>-3.8725689999999999</v>
      </c>
      <c r="O17">
        <v>-3.492518</v>
      </c>
      <c r="P17">
        <v>-1.7327090000000001</v>
      </c>
      <c r="Q17">
        <v>-3.631958</v>
      </c>
      <c r="R17">
        <v>-4.8462730000000001</v>
      </c>
      <c r="S17">
        <v>-2.4134329999999999</v>
      </c>
      <c r="T17">
        <v>0.53564000000000001</v>
      </c>
      <c r="U17">
        <v>-0.484958</v>
      </c>
      <c r="V17">
        <v>-0.71543699999999999</v>
      </c>
      <c r="W17">
        <v>-4.0043280000000001</v>
      </c>
      <c r="X17">
        <v>0.28200999999999998</v>
      </c>
      <c r="Y17">
        <v>-1.3802270000000001</v>
      </c>
      <c r="Z17">
        <v>3.237708</v>
      </c>
      <c r="AA17">
        <v>-0.87078900000000004</v>
      </c>
      <c r="AB17">
        <v>0.49510399999999999</v>
      </c>
    </row>
    <row r="18" spans="1:28" x14ac:dyDescent="0.25">
      <c r="A18" t="s">
        <v>2227</v>
      </c>
      <c r="D18">
        <v>3.0633439999999998</v>
      </c>
      <c r="E18">
        <v>1.138428</v>
      </c>
      <c r="F18">
        <v>-3.2634210000000001</v>
      </c>
      <c r="G18">
        <v>-0.83675600000000006</v>
      </c>
      <c r="H18">
        <v>-0.57054000000000005</v>
      </c>
      <c r="I18">
        <v>-2.9844940000000002</v>
      </c>
      <c r="J18">
        <v>-4.2876719999999997</v>
      </c>
      <c r="K18">
        <v>0.34264499999999998</v>
      </c>
      <c r="L18">
        <v>1.6389659999999999</v>
      </c>
      <c r="M18">
        <v>0.69028500000000004</v>
      </c>
      <c r="N18">
        <v>0.94733400000000001</v>
      </c>
      <c r="O18">
        <v>0.94122300000000003</v>
      </c>
      <c r="P18">
        <v>0.407528</v>
      </c>
      <c r="Q18">
        <v>0.68274000000000001</v>
      </c>
      <c r="R18">
        <v>-2.9556969999999998</v>
      </c>
      <c r="S18">
        <v>2.011161</v>
      </c>
      <c r="T18">
        <v>-1.2640979999999999</v>
      </c>
      <c r="U18">
        <v>-0.75406099999999998</v>
      </c>
      <c r="V18">
        <v>-0.59633499999999995</v>
      </c>
      <c r="W18">
        <v>-0.48771300000000001</v>
      </c>
      <c r="X18">
        <v>0.725522</v>
      </c>
      <c r="Y18">
        <v>-0.90794900000000001</v>
      </c>
      <c r="Z18">
        <v>4.6375E-2</v>
      </c>
      <c r="AA18">
        <v>1.1530290000000001</v>
      </c>
      <c r="AB18">
        <v>1.8960680000000001</v>
      </c>
    </row>
    <row r="19" spans="1:28" x14ac:dyDescent="0.25">
      <c r="A19" t="s">
        <v>2228</v>
      </c>
      <c r="D19">
        <v>-1.7369129999999999</v>
      </c>
      <c r="E19">
        <v>-2.614004</v>
      </c>
      <c r="F19">
        <v>-5.0164970000000002</v>
      </c>
      <c r="G19">
        <v>-3.2729170000000001</v>
      </c>
      <c r="H19">
        <v>-4.280227</v>
      </c>
      <c r="I19">
        <v>-2.6748150000000002</v>
      </c>
      <c r="J19">
        <v>-1.6715000000000001E-2</v>
      </c>
      <c r="K19">
        <v>-0.53364900000000004</v>
      </c>
      <c r="L19">
        <v>-1.615821</v>
      </c>
      <c r="M19">
        <v>-4.6931500000000002</v>
      </c>
      <c r="N19">
        <v>-1.331672</v>
      </c>
      <c r="O19">
        <v>-3.2247089999999998</v>
      </c>
      <c r="P19">
        <v>-0.32887499999999997</v>
      </c>
      <c r="Q19">
        <v>-0.83001800000000003</v>
      </c>
      <c r="R19">
        <v>-9.8851030000000009</v>
      </c>
      <c r="S19">
        <v>-0.70722300000000005</v>
      </c>
      <c r="T19">
        <v>-0.82140299999999999</v>
      </c>
      <c r="U19">
        <v>-0.56831100000000001</v>
      </c>
      <c r="V19">
        <v>-0.103364</v>
      </c>
      <c r="W19">
        <v>0.98163599999999995</v>
      </c>
      <c r="X19">
        <v>-0.218083</v>
      </c>
      <c r="Y19">
        <v>-0.69929799999999998</v>
      </c>
      <c r="Z19">
        <v>0.88456900000000005</v>
      </c>
      <c r="AA19">
        <v>0.78365600000000002</v>
      </c>
      <c r="AB19">
        <v>1.077097</v>
      </c>
    </row>
    <row r="20" spans="1:28" x14ac:dyDescent="0.25">
      <c r="A20" t="s">
        <v>2229</v>
      </c>
      <c r="D20" t="s">
        <v>2218</v>
      </c>
      <c r="E20">
        <v>10.953488999999999</v>
      </c>
      <c r="F20">
        <v>3.3646159999999998</v>
      </c>
      <c r="G20">
        <v>-10.064418</v>
      </c>
      <c r="H20">
        <v>0.39164100000000002</v>
      </c>
      <c r="I20">
        <v>-6.3823749999999997</v>
      </c>
      <c r="J20">
        <v>-5.9988720000000004</v>
      </c>
      <c r="K20">
        <v>0.46724500000000002</v>
      </c>
      <c r="L20">
        <v>6.4689719999999999</v>
      </c>
      <c r="M20">
        <v>-3.3213870000000001</v>
      </c>
      <c r="N20">
        <v>-7.5659890000000001</v>
      </c>
      <c r="O20">
        <v>16.996362000000001</v>
      </c>
      <c r="P20">
        <v>3.4877750000000001</v>
      </c>
      <c r="Q20">
        <v>-4.3915040000000003</v>
      </c>
      <c r="R20">
        <v>-6.7151370000000004</v>
      </c>
      <c r="S20">
        <v>-21.271518</v>
      </c>
      <c r="T20">
        <v>-5.9857829999999996</v>
      </c>
      <c r="U20">
        <v>-6.2121729999999999</v>
      </c>
      <c r="V20">
        <v>-10.512430999999999</v>
      </c>
      <c r="W20">
        <v>-7.6714549999999999</v>
      </c>
      <c r="X20">
        <v>1.1498170000000001</v>
      </c>
      <c r="Y20">
        <v>-2.7421509999999998</v>
      </c>
      <c r="Z20">
        <v>0.77523399999999998</v>
      </c>
      <c r="AA20">
        <v>3.4041060000000001</v>
      </c>
      <c r="AB20">
        <v>2.5004719999999998</v>
      </c>
    </row>
    <row r="21" spans="1:28" x14ac:dyDescent="0.25">
      <c r="A21" t="s">
        <v>2230</v>
      </c>
      <c r="D21" t="s">
        <v>2218</v>
      </c>
      <c r="E21">
        <v>17.491150000000001</v>
      </c>
      <c r="F21">
        <v>-14.933887</v>
      </c>
      <c r="G21">
        <v>-5.6981859999999998</v>
      </c>
      <c r="H21">
        <v>-6.4490610000000004</v>
      </c>
      <c r="I21">
        <v>-7.387016</v>
      </c>
      <c r="J21">
        <v>8.9786059999999992</v>
      </c>
      <c r="K21">
        <v>4.7568219999999997</v>
      </c>
      <c r="L21">
        <v>-7.8664839999999998</v>
      </c>
      <c r="M21">
        <v>-7.5023119999999999</v>
      </c>
      <c r="N21">
        <v>2.502348</v>
      </c>
      <c r="O21">
        <v>5.2976479999999997</v>
      </c>
      <c r="P21">
        <v>-5.8197020000000004</v>
      </c>
      <c r="Q21">
        <v>-6.3532979999999997</v>
      </c>
      <c r="R21">
        <v>-12.671388</v>
      </c>
      <c r="S21">
        <v>0.100276</v>
      </c>
      <c r="T21">
        <v>0.48605599999999999</v>
      </c>
      <c r="U21">
        <v>15.416249000000001</v>
      </c>
      <c r="V21">
        <v>-9.1499210000000009</v>
      </c>
      <c r="W21">
        <v>-14.089119</v>
      </c>
      <c r="X21">
        <v>0.37296800000000002</v>
      </c>
      <c r="Y21">
        <v>2.7471559999999999</v>
      </c>
      <c r="Z21">
        <v>5.4096719999999996</v>
      </c>
      <c r="AA21">
        <v>12.658874000000001</v>
      </c>
      <c r="AB21">
        <v>1.718969</v>
      </c>
    </row>
    <row r="22" spans="1:28" x14ac:dyDescent="0.25">
      <c r="A22" t="s">
        <v>2231</v>
      </c>
      <c r="D22" t="s">
        <v>2218</v>
      </c>
      <c r="E22" t="s">
        <v>2218</v>
      </c>
      <c r="F22" t="s">
        <v>2218</v>
      </c>
      <c r="G22" t="s">
        <v>2218</v>
      </c>
      <c r="H22" t="s">
        <v>2218</v>
      </c>
      <c r="I22" t="s">
        <v>2218</v>
      </c>
      <c r="J22" t="s">
        <v>2218</v>
      </c>
      <c r="K22" t="s">
        <v>2218</v>
      </c>
      <c r="L22" t="s">
        <v>2218</v>
      </c>
      <c r="M22" t="s">
        <v>2218</v>
      </c>
      <c r="N22" t="s">
        <v>2218</v>
      </c>
      <c r="O22" t="s">
        <v>2218</v>
      </c>
      <c r="P22" t="s">
        <v>2218</v>
      </c>
      <c r="Q22" t="s">
        <v>2218</v>
      </c>
      <c r="R22">
        <v>0.30228100000000002</v>
      </c>
      <c r="S22">
        <v>1.7634000000000001</v>
      </c>
      <c r="T22">
        <v>-1.232278</v>
      </c>
      <c r="U22">
        <v>-2.6495009999999999</v>
      </c>
      <c r="V22">
        <v>2.2684859999999998</v>
      </c>
      <c r="W22">
        <v>1.342994</v>
      </c>
      <c r="X22">
        <v>4.6352450000000003</v>
      </c>
      <c r="Y22">
        <v>-1.947106</v>
      </c>
      <c r="Z22">
        <v>-3.1352199999999999</v>
      </c>
      <c r="AA22">
        <v>1.6892180000000001</v>
      </c>
      <c r="AB22">
        <v>0.50105200000000005</v>
      </c>
    </row>
    <row r="23" spans="1:28" x14ac:dyDescent="0.25">
      <c r="A23" t="s">
        <v>2232</v>
      </c>
      <c r="D23" t="s">
        <v>2218</v>
      </c>
      <c r="E23">
        <v>-1.3920079999999999</v>
      </c>
      <c r="F23">
        <v>19.339971999999999</v>
      </c>
      <c r="G23">
        <v>-8.003088</v>
      </c>
      <c r="H23">
        <v>-1.069474</v>
      </c>
      <c r="I23">
        <v>3.6899009999999999</v>
      </c>
      <c r="J23">
        <v>7.7006189999999997</v>
      </c>
      <c r="K23">
        <v>0.92430299999999999</v>
      </c>
      <c r="L23">
        <v>-3.7446000000000002</v>
      </c>
      <c r="M23">
        <v>-0.44071399999999999</v>
      </c>
      <c r="N23">
        <v>9.7469819999999991</v>
      </c>
      <c r="O23">
        <v>-16.744847</v>
      </c>
      <c r="P23">
        <v>15.741483000000001</v>
      </c>
      <c r="Q23">
        <v>4.1488569999999996</v>
      </c>
      <c r="R23">
        <v>4.6756019999999996</v>
      </c>
      <c r="S23">
        <v>-1.996551</v>
      </c>
      <c r="T23">
        <v>3.3680490000000001</v>
      </c>
      <c r="U23">
        <v>-8.6104E-2</v>
      </c>
      <c r="V23">
        <v>5.8941109999999997</v>
      </c>
      <c r="W23">
        <v>6.2136300000000002</v>
      </c>
      <c r="X23">
        <v>9.7347699999999993</v>
      </c>
      <c r="Y23">
        <v>1.478715</v>
      </c>
      <c r="Z23">
        <v>6.4659849999999999</v>
      </c>
      <c r="AA23">
        <v>-0.718024</v>
      </c>
      <c r="AB23">
        <v>0.89644299999999999</v>
      </c>
    </row>
    <row r="24" spans="1:28" x14ac:dyDescent="0.25">
      <c r="A24" t="s">
        <v>2233</v>
      </c>
      <c r="D24" t="s">
        <v>2218</v>
      </c>
      <c r="E24">
        <v>-11.149609999999999</v>
      </c>
      <c r="F24">
        <v>-0.30343599999999998</v>
      </c>
      <c r="G24">
        <v>6.8648579999999999</v>
      </c>
      <c r="H24">
        <v>-5.0715570000000003</v>
      </c>
      <c r="I24">
        <v>-5.3912279999999999</v>
      </c>
      <c r="J24">
        <v>-3.546589</v>
      </c>
      <c r="K24">
        <v>-3.5713900000000001</v>
      </c>
      <c r="L24">
        <v>-1.760097</v>
      </c>
      <c r="M24">
        <v>3.9180830000000002</v>
      </c>
      <c r="N24">
        <v>-0.48797400000000002</v>
      </c>
      <c r="O24">
        <v>2.1267990000000001</v>
      </c>
      <c r="P24">
        <v>-2.6725409999999998</v>
      </c>
      <c r="Q24">
        <v>5.3884970000000001</v>
      </c>
      <c r="R24">
        <v>-5.7623220000000002</v>
      </c>
      <c r="S24">
        <v>4.3910840000000002</v>
      </c>
      <c r="T24">
        <v>14.12585</v>
      </c>
      <c r="U24">
        <v>1.742964</v>
      </c>
      <c r="V24">
        <v>3.4833229999999999</v>
      </c>
      <c r="W24">
        <v>-1.8632439999999999</v>
      </c>
      <c r="X24">
        <v>-0.117243</v>
      </c>
      <c r="Y24">
        <v>2.4897469999999999</v>
      </c>
      <c r="Z24">
        <v>1.630782</v>
      </c>
      <c r="AA24">
        <v>5.2089629999999998</v>
      </c>
      <c r="AB24" t="s">
        <v>2218</v>
      </c>
    </row>
    <row r="25" spans="1:28" x14ac:dyDescent="0.25">
      <c r="A25" t="s">
        <v>2234</v>
      </c>
      <c r="D25">
        <v>4.8148220000000004</v>
      </c>
      <c r="E25">
        <v>-4.7452269999999999</v>
      </c>
      <c r="F25">
        <v>-1.5497620000000001</v>
      </c>
      <c r="G25">
        <v>-5.259366</v>
      </c>
      <c r="H25">
        <v>-1.5516840000000001</v>
      </c>
      <c r="I25">
        <v>-0.221224</v>
      </c>
      <c r="J25">
        <v>-0.85243100000000005</v>
      </c>
      <c r="K25">
        <v>-2.0962109999999998</v>
      </c>
      <c r="L25">
        <v>-0.524594</v>
      </c>
      <c r="M25">
        <v>-4.8449530000000003</v>
      </c>
      <c r="N25">
        <v>-4.6051010000000003</v>
      </c>
      <c r="O25">
        <v>0.46612399999999998</v>
      </c>
      <c r="P25">
        <v>-1.668066</v>
      </c>
      <c r="Q25">
        <v>-3.0911140000000001</v>
      </c>
      <c r="R25">
        <v>-3.1522130000000002</v>
      </c>
      <c r="S25">
        <v>-0.21265600000000001</v>
      </c>
      <c r="T25">
        <v>-3.7382089999999999</v>
      </c>
      <c r="U25">
        <v>-5.4858750000000001</v>
      </c>
      <c r="V25">
        <v>0.10140100000000001</v>
      </c>
      <c r="W25">
        <v>-1.3769929999999999</v>
      </c>
      <c r="X25">
        <v>-1.5766009999999999</v>
      </c>
      <c r="Y25">
        <v>-0.723082</v>
      </c>
      <c r="Z25">
        <v>-0.19569</v>
      </c>
      <c r="AA25">
        <v>-3.085477</v>
      </c>
      <c r="AB25">
        <v>-1.269191</v>
      </c>
    </row>
    <row r="26" spans="1:28" x14ac:dyDescent="0.25">
      <c r="A26" t="s">
        <v>2235</v>
      </c>
      <c r="D26">
        <v>0.91886299999999999</v>
      </c>
      <c r="E26">
        <v>6.9187139999999996</v>
      </c>
      <c r="F26">
        <v>3.4041779999999999</v>
      </c>
      <c r="G26">
        <v>3.7225429999999999</v>
      </c>
      <c r="H26">
        <v>-0.99388799999999999</v>
      </c>
      <c r="I26">
        <v>6.5818940000000001</v>
      </c>
      <c r="J26">
        <v>2.9679440000000001</v>
      </c>
      <c r="K26">
        <v>1.4877199999999999</v>
      </c>
      <c r="L26">
        <v>3.2927919999999999</v>
      </c>
      <c r="M26">
        <v>3.3405740000000002</v>
      </c>
      <c r="N26">
        <v>10.004689000000001</v>
      </c>
      <c r="O26">
        <v>3.1484100000000002</v>
      </c>
      <c r="P26">
        <v>6.833844</v>
      </c>
      <c r="Q26">
        <v>4.1813219999999998</v>
      </c>
      <c r="R26">
        <v>0.42554599999999998</v>
      </c>
      <c r="S26">
        <v>2.0034990000000001</v>
      </c>
      <c r="T26">
        <v>1.0453680000000001</v>
      </c>
      <c r="U26">
        <v>8.3829999999999998E-3</v>
      </c>
      <c r="V26">
        <v>-4.795941</v>
      </c>
      <c r="W26">
        <v>-2.2587820000000001</v>
      </c>
      <c r="X26">
        <v>-1.8657269999999999</v>
      </c>
      <c r="Y26">
        <v>0.77048300000000003</v>
      </c>
      <c r="Z26">
        <v>-4.5607179999999996</v>
      </c>
      <c r="AA26">
        <v>-2.8194300000000001</v>
      </c>
      <c r="AB26" t="s">
        <v>2218</v>
      </c>
    </row>
    <row r="27" spans="1:28" x14ac:dyDescent="0.25">
      <c r="A27" t="s">
        <v>2236</v>
      </c>
      <c r="D27" t="s">
        <v>2218</v>
      </c>
      <c r="E27" t="s">
        <v>2218</v>
      </c>
      <c r="F27" t="s">
        <v>2218</v>
      </c>
      <c r="G27" t="s">
        <v>2218</v>
      </c>
      <c r="H27" t="s">
        <v>2218</v>
      </c>
      <c r="I27" t="s">
        <v>2218</v>
      </c>
      <c r="J27" t="s">
        <v>2218</v>
      </c>
      <c r="K27" t="s">
        <v>2218</v>
      </c>
      <c r="L27" t="s">
        <v>2218</v>
      </c>
      <c r="M27" t="s">
        <v>2218</v>
      </c>
      <c r="N27">
        <v>-0.54231399999999996</v>
      </c>
      <c r="O27">
        <v>-2.0530279999999999</v>
      </c>
      <c r="P27">
        <v>-1.969908</v>
      </c>
      <c r="Q27">
        <v>1.236146</v>
      </c>
      <c r="R27">
        <v>-1.6543460000000001</v>
      </c>
      <c r="S27">
        <v>1.1360699999999999</v>
      </c>
      <c r="T27">
        <v>-1.768432</v>
      </c>
      <c r="U27">
        <v>-1.4918940000000001</v>
      </c>
      <c r="V27">
        <v>3.7254670000000001</v>
      </c>
      <c r="W27">
        <v>4.5131500000000004</v>
      </c>
      <c r="X27">
        <v>0.22636100000000001</v>
      </c>
      <c r="Y27">
        <v>-2.1476709999999999</v>
      </c>
      <c r="Z27">
        <v>3.0387080000000002</v>
      </c>
      <c r="AA27">
        <v>4.2366929999999998</v>
      </c>
      <c r="AB27" t="s">
        <v>2218</v>
      </c>
    </row>
    <row r="28" spans="1:28" x14ac:dyDescent="0.25">
      <c r="A28" t="s">
        <v>2237</v>
      </c>
      <c r="D28" t="s">
        <v>2218</v>
      </c>
      <c r="E28">
        <v>-4.1503610000000002</v>
      </c>
      <c r="F28">
        <v>6.5083089999999997</v>
      </c>
      <c r="G28">
        <v>14.089047000000001</v>
      </c>
      <c r="H28">
        <v>20.097061</v>
      </c>
      <c r="I28">
        <v>11.567278999999999</v>
      </c>
      <c r="J28">
        <v>1.798449</v>
      </c>
      <c r="K28">
        <v>8.8721150000000009</v>
      </c>
      <c r="L28">
        <v>3.1734939999999998</v>
      </c>
      <c r="M28">
        <v>-7.8438689999999998</v>
      </c>
      <c r="N28">
        <v>23.085933000000001</v>
      </c>
      <c r="O28">
        <v>4.2681680000000002</v>
      </c>
      <c r="P28">
        <v>-7.5212209999999997</v>
      </c>
      <c r="Q28">
        <v>2.1598489999999999</v>
      </c>
      <c r="R28">
        <v>-13.786384</v>
      </c>
      <c r="S28">
        <v>3.4327220000000001</v>
      </c>
      <c r="T28">
        <v>7.1147549999999997</v>
      </c>
      <c r="U28">
        <v>-12.789486</v>
      </c>
      <c r="V28">
        <v>-8.0973989999999993</v>
      </c>
      <c r="W28">
        <v>-1.619076</v>
      </c>
      <c r="X28">
        <v>2.5193050000000001</v>
      </c>
      <c r="Y28">
        <v>1.347423</v>
      </c>
      <c r="Z28">
        <v>2.3402159999999999</v>
      </c>
      <c r="AA28">
        <v>2.8798509999999999</v>
      </c>
      <c r="AB28">
        <v>8.1930259999999997</v>
      </c>
    </row>
    <row r="29" spans="1:28" x14ac:dyDescent="0.25">
      <c r="A29" t="s">
        <v>2238</v>
      </c>
      <c r="D29" t="s">
        <v>2218</v>
      </c>
      <c r="E29">
        <v>6.5806199999999997</v>
      </c>
      <c r="F29">
        <v>24.305304</v>
      </c>
      <c r="G29">
        <v>0.31628499999999998</v>
      </c>
      <c r="H29">
        <v>10.570850999999999</v>
      </c>
      <c r="I29">
        <v>15.227592</v>
      </c>
      <c r="J29">
        <v>12.693949</v>
      </c>
      <c r="K29">
        <v>-6.1718640000000002</v>
      </c>
      <c r="L29">
        <v>26.611411</v>
      </c>
      <c r="M29">
        <v>22.629586</v>
      </c>
      <c r="N29">
        <v>-2.8650699999999998</v>
      </c>
      <c r="O29">
        <v>8.4023179999999993</v>
      </c>
      <c r="P29">
        <v>13.375241000000001</v>
      </c>
      <c r="Q29">
        <v>-10.548173999999999</v>
      </c>
      <c r="R29">
        <v>-17.722953</v>
      </c>
      <c r="S29">
        <v>-7.3097149999999997</v>
      </c>
      <c r="T29">
        <v>1.2332540000000001</v>
      </c>
      <c r="U29">
        <v>3.5564529999999999</v>
      </c>
      <c r="V29">
        <v>-2.4441000000000001E-2</v>
      </c>
      <c r="W29">
        <v>2.5741540000000001</v>
      </c>
      <c r="X29">
        <v>0.82391999999999999</v>
      </c>
      <c r="Y29">
        <v>-1.2825310000000001</v>
      </c>
      <c r="Z29">
        <v>4.956474</v>
      </c>
      <c r="AA29">
        <v>5.3841760000000001</v>
      </c>
      <c r="AB29">
        <v>4.5875830000000004</v>
      </c>
    </row>
    <row r="30" spans="1:28" x14ac:dyDescent="0.25">
      <c r="A30" t="s">
        <v>2239</v>
      </c>
      <c r="D30" t="s">
        <v>2218</v>
      </c>
      <c r="E30">
        <v>0.94788300000000003</v>
      </c>
      <c r="F30">
        <v>-8.248939</v>
      </c>
      <c r="G30">
        <v>2.5749059999999999</v>
      </c>
      <c r="H30">
        <v>-7.4249510000000001</v>
      </c>
      <c r="I30">
        <v>-1.1619390000000001</v>
      </c>
      <c r="J30">
        <v>-2.6369910000000001</v>
      </c>
      <c r="K30">
        <v>-2.0049589999999999</v>
      </c>
      <c r="L30">
        <v>-2.742029</v>
      </c>
      <c r="M30">
        <v>5.1301949999999996</v>
      </c>
      <c r="N30">
        <v>-4.0770650000000002</v>
      </c>
      <c r="O30">
        <v>1.5655479999999999</v>
      </c>
      <c r="P30">
        <v>-1.050074</v>
      </c>
      <c r="Q30">
        <v>-1.9267019999999999</v>
      </c>
      <c r="R30">
        <v>-5.2344169999999997</v>
      </c>
      <c r="S30">
        <v>-6.1648810000000003</v>
      </c>
      <c r="T30">
        <v>6.6013609999999998</v>
      </c>
      <c r="U30">
        <v>-2.6174110000000002</v>
      </c>
      <c r="V30">
        <v>-1.3800870000000001</v>
      </c>
      <c r="W30">
        <v>3.0158070000000001</v>
      </c>
      <c r="X30">
        <v>1.707409</v>
      </c>
      <c r="Y30">
        <v>-2.9355440000000002</v>
      </c>
      <c r="Z30">
        <v>1.18218</v>
      </c>
      <c r="AA30">
        <v>0.82583399999999996</v>
      </c>
      <c r="AB30" t="s">
        <v>2218</v>
      </c>
    </row>
    <row r="31" spans="1:28" x14ac:dyDescent="0.25">
      <c r="A31" t="s">
        <v>2240</v>
      </c>
      <c r="D31" t="s">
        <v>2218</v>
      </c>
      <c r="E31" t="s">
        <v>2218</v>
      </c>
      <c r="F31" t="s">
        <v>2218</v>
      </c>
      <c r="G31" t="s">
        <v>2218</v>
      </c>
      <c r="H31" t="s">
        <v>2218</v>
      </c>
      <c r="I31" t="s">
        <v>2218</v>
      </c>
      <c r="J31" t="s">
        <v>2218</v>
      </c>
      <c r="K31" t="s">
        <v>2218</v>
      </c>
      <c r="L31" t="s">
        <v>2218</v>
      </c>
      <c r="M31" t="s">
        <v>2218</v>
      </c>
      <c r="N31" t="s">
        <v>2218</v>
      </c>
      <c r="O31" t="s">
        <v>2218</v>
      </c>
      <c r="P31" t="s">
        <v>2218</v>
      </c>
      <c r="Q31" t="s">
        <v>2218</v>
      </c>
      <c r="R31" t="s">
        <v>2218</v>
      </c>
      <c r="S31" t="s">
        <v>2218</v>
      </c>
      <c r="T31">
        <v>0.52978499999999995</v>
      </c>
      <c r="U31">
        <v>1.023263</v>
      </c>
      <c r="V31">
        <v>-2.5431629999999998</v>
      </c>
      <c r="W31" t="s">
        <v>2218</v>
      </c>
      <c r="X31" t="s">
        <v>2218</v>
      </c>
      <c r="Y31" t="s">
        <v>2218</v>
      </c>
      <c r="Z31" t="s">
        <v>2218</v>
      </c>
      <c r="AA31" t="s">
        <v>2218</v>
      </c>
      <c r="AB31" t="s">
        <v>2218</v>
      </c>
    </row>
    <row r="32" spans="1:28" x14ac:dyDescent="0.25">
      <c r="A32" t="s">
        <v>2241</v>
      </c>
      <c r="D32" t="s">
        <v>2218</v>
      </c>
      <c r="E32">
        <v>2.0151089999999998</v>
      </c>
      <c r="F32">
        <v>1.4319930000000001</v>
      </c>
      <c r="G32">
        <v>1.6881390000000001</v>
      </c>
      <c r="H32">
        <v>3.4326669999999999</v>
      </c>
      <c r="I32">
        <v>3.9588909999999999</v>
      </c>
      <c r="J32">
        <v>3.911451</v>
      </c>
      <c r="K32">
        <v>-3.4051429999999998</v>
      </c>
      <c r="L32">
        <v>-0.96163399999999999</v>
      </c>
      <c r="M32">
        <v>0.33770600000000001</v>
      </c>
      <c r="N32">
        <v>0.49327199999999999</v>
      </c>
      <c r="O32">
        <v>0.10525900000000001</v>
      </c>
      <c r="P32">
        <v>-0.46904699999999999</v>
      </c>
      <c r="Q32">
        <v>3.1361569999999999</v>
      </c>
      <c r="R32">
        <v>-1.125559</v>
      </c>
      <c r="S32">
        <v>0.91773300000000002</v>
      </c>
      <c r="T32">
        <v>0.28447699999999998</v>
      </c>
      <c r="U32">
        <v>-0.23017699999999999</v>
      </c>
      <c r="V32">
        <v>-0.95675399999999999</v>
      </c>
      <c r="W32">
        <v>1.131542</v>
      </c>
      <c r="X32">
        <v>0.21546299999999999</v>
      </c>
      <c r="Y32">
        <v>-0.606491</v>
      </c>
      <c r="Z32">
        <v>-1.6615999999999999E-2</v>
      </c>
      <c r="AA32">
        <v>1.263428</v>
      </c>
      <c r="AB32">
        <v>2.2294209999999999</v>
      </c>
    </row>
    <row r="33" spans="1:28" x14ac:dyDescent="0.25">
      <c r="A33" t="s">
        <v>2242</v>
      </c>
      <c r="D33" t="s">
        <v>2218</v>
      </c>
      <c r="E33" t="s">
        <v>2218</v>
      </c>
      <c r="F33" t="s">
        <v>2218</v>
      </c>
      <c r="G33" t="s">
        <v>2218</v>
      </c>
      <c r="H33" t="s">
        <v>2218</v>
      </c>
      <c r="I33" t="s">
        <v>2218</v>
      </c>
      <c r="J33" t="s">
        <v>2218</v>
      </c>
      <c r="K33" t="s">
        <v>2218</v>
      </c>
      <c r="L33" t="s">
        <v>2218</v>
      </c>
      <c r="M33" t="s">
        <v>2218</v>
      </c>
      <c r="N33" t="s">
        <v>2218</v>
      </c>
      <c r="O33" t="s">
        <v>2218</v>
      </c>
      <c r="P33" t="s">
        <v>2218</v>
      </c>
      <c r="Q33" t="s">
        <v>2218</v>
      </c>
      <c r="R33" t="s">
        <v>2218</v>
      </c>
      <c r="S33" t="s">
        <v>2218</v>
      </c>
      <c r="T33">
        <v>-0.18700800000000001</v>
      </c>
      <c r="U33">
        <v>1.347761</v>
      </c>
      <c r="V33">
        <v>-3.1419000000000002E-2</v>
      </c>
      <c r="W33">
        <v>2.8781539999999999</v>
      </c>
      <c r="X33">
        <v>6.6214519999999997</v>
      </c>
      <c r="Y33">
        <v>-4.9497660000000003</v>
      </c>
      <c r="Z33">
        <v>-4.8082200000000004</v>
      </c>
      <c r="AA33">
        <v>-0.624583</v>
      </c>
      <c r="AB33" t="s">
        <v>2218</v>
      </c>
    </row>
    <row r="34" spans="1:28" x14ac:dyDescent="0.25">
      <c r="A34" t="s">
        <v>2243</v>
      </c>
      <c r="D34">
        <v>-1.498448</v>
      </c>
      <c r="E34">
        <v>0.33309499999999997</v>
      </c>
      <c r="F34">
        <v>-1.4847360000000001</v>
      </c>
      <c r="G34">
        <v>-3.6452249999999999</v>
      </c>
      <c r="H34">
        <v>-4.7592020000000002</v>
      </c>
      <c r="I34">
        <v>1.8695170000000001</v>
      </c>
      <c r="J34">
        <v>2.0819209999999999</v>
      </c>
      <c r="K34">
        <v>-2.567993</v>
      </c>
      <c r="L34">
        <v>-0.186643</v>
      </c>
      <c r="M34">
        <v>4.211703</v>
      </c>
      <c r="N34">
        <v>2.9841259999999998</v>
      </c>
      <c r="O34">
        <v>0.51686600000000005</v>
      </c>
      <c r="P34">
        <v>-0.22087200000000001</v>
      </c>
      <c r="Q34">
        <v>-2.9360240000000002</v>
      </c>
      <c r="R34">
        <v>-0.32878299999999999</v>
      </c>
      <c r="S34">
        <v>1.3134410000000001</v>
      </c>
      <c r="T34">
        <v>-0.49421900000000002</v>
      </c>
      <c r="U34">
        <v>3.079494</v>
      </c>
      <c r="V34">
        <v>1.739239</v>
      </c>
      <c r="W34">
        <v>-0.33096799999999998</v>
      </c>
      <c r="X34">
        <v>-2.943432</v>
      </c>
      <c r="Y34">
        <v>-2.3829660000000001</v>
      </c>
      <c r="Z34">
        <v>0.76374600000000004</v>
      </c>
      <c r="AA34">
        <v>-0.51373599999999997</v>
      </c>
      <c r="AB34" t="s">
        <v>2218</v>
      </c>
    </row>
    <row r="35" spans="1:28" x14ac:dyDescent="0.25">
      <c r="A35" t="s">
        <v>2244</v>
      </c>
      <c r="D35" t="s">
        <v>2218</v>
      </c>
      <c r="E35">
        <v>-6.0478249999999996</v>
      </c>
      <c r="F35">
        <v>24.416626999999998</v>
      </c>
      <c r="G35">
        <v>25.630113000000001</v>
      </c>
      <c r="H35">
        <v>4.6176849999999998</v>
      </c>
      <c r="I35">
        <v>26.276869000000001</v>
      </c>
      <c r="J35">
        <v>2.9840270000000002</v>
      </c>
      <c r="K35">
        <v>-4.0285260000000003</v>
      </c>
      <c r="L35">
        <v>3.0508890000000002</v>
      </c>
      <c r="M35">
        <v>-0.403582</v>
      </c>
      <c r="N35">
        <v>-0.59873900000000002</v>
      </c>
      <c r="O35">
        <v>2.940677</v>
      </c>
      <c r="P35">
        <v>-1.982815</v>
      </c>
      <c r="Q35">
        <v>7.2705289999999998</v>
      </c>
      <c r="R35">
        <v>-2.038707</v>
      </c>
      <c r="S35">
        <v>-3.2921710000000002</v>
      </c>
      <c r="T35">
        <v>-0.54757500000000003</v>
      </c>
      <c r="U35">
        <v>2.750877</v>
      </c>
      <c r="V35">
        <v>3.6945709999999998</v>
      </c>
      <c r="W35">
        <v>-2.9564210000000002</v>
      </c>
      <c r="X35">
        <v>11.299137999999999</v>
      </c>
      <c r="Y35">
        <v>-2.299604</v>
      </c>
      <c r="Z35">
        <v>7.9922769999999996</v>
      </c>
      <c r="AA35">
        <v>9.3557620000000004</v>
      </c>
      <c r="AB35">
        <v>6.4787759999999999</v>
      </c>
    </row>
    <row r="36" spans="1:28" x14ac:dyDescent="0.25">
      <c r="A36" t="s">
        <v>2245</v>
      </c>
      <c r="D36" t="s">
        <v>2218</v>
      </c>
      <c r="E36">
        <v>-0.75918200000000002</v>
      </c>
      <c r="F36">
        <v>-2.5241799999999999</v>
      </c>
      <c r="G36">
        <v>-2.2213059999999998</v>
      </c>
      <c r="H36">
        <v>-1.9736640000000001</v>
      </c>
      <c r="I36">
        <v>-2.223017</v>
      </c>
      <c r="J36">
        <v>-2.8102230000000001</v>
      </c>
      <c r="K36">
        <v>-0.950457</v>
      </c>
      <c r="L36">
        <v>-2.1332979999999999</v>
      </c>
      <c r="M36">
        <v>-1.535547</v>
      </c>
      <c r="N36">
        <v>0.16458500000000001</v>
      </c>
      <c r="O36">
        <v>-8.4846000000000005E-2</v>
      </c>
      <c r="P36">
        <v>2.8318129999999999</v>
      </c>
      <c r="Q36">
        <v>-1.3046629999999999</v>
      </c>
      <c r="R36">
        <v>-2.767649</v>
      </c>
      <c r="S36">
        <v>2.6263779999999999</v>
      </c>
      <c r="T36">
        <v>-1.299493</v>
      </c>
      <c r="U36">
        <v>-5.0860000000000002E-2</v>
      </c>
      <c r="V36">
        <v>2.8880949999999999</v>
      </c>
      <c r="W36">
        <v>0.12472</v>
      </c>
      <c r="X36">
        <v>-3.049423</v>
      </c>
      <c r="Y36">
        <v>1.8367789999999999</v>
      </c>
      <c r="Z36">
        <v>-0.55437899999999996</v>
      </c>
      <c r="AA36">
        <v>0.44578499999999999</v>
      </c>
      <c r="AB36">
        <v>0.81517200000000001</v>
      </c>
    </row>
    <row r="37" spans="1:28" x14ac:dyDescent="0.25">
      <c r="A37" t="s">
        <v>2246</v>
      </c>
      <c r="D37" t="s">
        <v>2218</v>
      </c>
      <c r="E37">
        <v>7.5711950000000003</v>
      </c>
      <c r="F37">
        <v>21.141385</v>
      </c>
      <c r="G37">
        <v>-5.5521450000000003</v>
      </c>
      <c r="H37">
        <v>12.310546</v>
      </c>
      <c r="I37">
        <v>-9.760942</v>
      </c>
      <c r="J37">
        <v>-12.415627000000001</v>
      </c>
      <c r="K37">
        <v>15.814895999999999</v>
      </c>
      <c r="L37">
        <v>-3.5660829999999999</v>
      </c>
      <c r="M37">
        <v>-10.322972999999999</v>
      </c>
      <c r="N37">
        <v>0.20629500000000001</v>
      </c>
      <c r="O37">
        <v>29.341632000000001</v>
      </c>
      <c r="P37">
        <v>7.4202870000000001</v>
      </c>
      <c r="Q37">
        <v>7.8027959999999998</v>
      </c>
      <c r="R37">
        <v>-1.957128</v>
      </c>
      <c r="S37">
        <v>6.8498549999999998</v>
      </c>
      <c r="T37">
        <v>-8.6494839999999993</v>
      </c>
      <c r="U37">
        <v>0.60352700000000004</v>
      </c>
      <c r="V37">
        <v>5.8407030000000004</v>
      </c>
      <c r="W37">
        <v>6.2048860000000001</v>
      </c>
      <c r="X37">
        <v>3.7872050000000002</v>
      </c>
      <c r="Y37">
        <v>-0.21366599999999999</v>
      </c>
      <c r="Z37">
        <v>3.574309</v>
      </c>
      <c r="AA37">
        <v>-0.87181699999999995</v>
      </c>
      <c r="AB37">
        <v>-2.5442870000000002</v>
      </c>
    </row>
    <row r="38" spans="1:28" x14ac:dyDescent="0.25">
      <c r="A38" t="s">
        <v>2247</v>
      </c>
      <c r="D38" t="s">
        <v>2218</v>
      </c>
      <c r="E38">
        <v>-2.7919879999999999</v>
      </c>
      <c r="F38">
        <v>2.26735</v>
      </c>
      <c r="G38">
        <v>-3.2201209999999998</v>
      </c>
      <c r="H38">
        <v>0.98373299999999997</v>
      </c>
      <c r="I38">
        <v>-4.2553049999999999</v>
      </c>
      <c r="J38">
        <v>-0.18453700000000001</v>
      </c>
      <c r="K38">
        <v>-18.021272</v>
      </c>
      <c r="L38">
        <v>0.83091499999999996</v>
      </c>
      <c r="M38">
        <v>-2.2474820000000002</v>
      </c>
      <c r="N38">
        <v>4.082865</v>
      </c>
      <c r="O38">
        <v>0.73993299999999995</v>
      </c>
      <c r="P38">
        <v>-2.317504</v>
      </c>
      <c r="Q38">
        <v>3.101769</v>
      </c>
      <c r="R38">
        <v>-5.215185</v>
      </c>
      <c r="S38">
        <v>4.2332229999999997</v>
      </c>
      <c r="T38">
        <v>0.70603899999999997</v>
      </c>
      <c r="U38">
        <v>-1.5643210000000001</v>
      </c>
      <c r="V38">
        <v>0.56341699999999995</v>
      </c>
      <c r="W38">
        <v>5.6864249999999998</v>
      </c>
      <c r="X38">
        <v>2.0109849999999998</v>
      </c>
      <c r="Y38">
        <v>1.129516</v>
      </c>
      <c r="Z38">
        <v>1.8045370000000001</v>
      </c>
      <c r="AA38">
        <v>3.1623450000000002</v>
      </c>
      <c r="AB38">
        <v>0.56969800000000004</v>
      </c>
    </row>
    <row r="39" spans="1:28" x14ac:dyDescent="0.25">
      <c r="A39" t="s">
        <v>2248</v>
      </c>
      <c r="D39" t="s">
        <v>2218</v>
      </c>
      <c r="E39">
        <v>-1.1020220000000001</v>
      </c>
      <c r="F39">
        <v>-4.2434370000000001</v>
      </c>
      <c r="G39">
        <v>-2.0286219999999999</v>
      </c>
      <c r="H39">
        <v>-2.1619700000000002</v>
      </c>
      <c r="I39">
        <v>-0.60372599999999998</v>
      </c>
      <c r="J39">
        <v>-10.412763999999999</v>
      </c>
      <c r="K39">
        <v>-6.8007799999999996</v>
      </c>
      <c r="L39">
        <v>-3.4533580000000001</v>
      </c>
      <c r="M39">
        <v>-5.4819969999999998</v>
      </c>
      <c r="N39">
        <v>-2.0335700000000001</v>
      </c>
      <c r="O39">
        <v>-0.99087599999999998</v>
      </c>
      <c r="P39">
        <v>1.8243640000000001</v>
      </c>
      <c r="Q39">
        <v>-4.6473620000000002</v>
      </c>
      <c r="R39">
        <v>1.244429</v>
      </c>
      <c r="S39">
        <v>8.5420999999999997E-2</v>
      </c>
      <c r="T39">
        <v>4.890752</v>
      </c>
      <c r="U39">
        <v>-1.119812</v>
      </c>
      <c r="V39">
        <v>0.75356400000000001</v>
      </c>
      <c r="W39">
        <v>1.664674</v>
      </c>
      <c r="X39">
        <v>2.0159760000000002</v>
      </c>
      <c r="Y39">
        <v>3.1821429999999999</v>
      </c>
      <c r="Z39">
        <v>1.23797</v>
      </c>
      <c r="AA39">
        <v>1.7500599999999999</v>
      </c>
      <c r="AB39">
        <v>-0.143149</v>
      </c>
    </row>
    <row r="40" spans="1:28" x14ac:dyDescent="0.25">
      <c r="A40" t="s">
        <v>2249</v>
      </c>
      <c r="D40">
        <v>-0.93041399999999996</v>
      </c>
      <c r="E40">
        <v>-1.805728</v>
      </c>
      <c r="F40">
        <v>4.2442719999999996</v>
      </c>
      <c r="G40">
        <v>0.49299300000000001</v>
      </c>
      <c r="H40">
        <v>1.0557209999999999</v>
      </c>
      <c r="I40">
        <v>-0.36742999999999998</v>
      </c>
      <c r="J40">
        <v>-0.36980499999999999</v>
      </c>
      <c r="K40">
        <v>-0.27217799999999998</v>
      </c>
      <c r="L40">
        <v>1.149578</v>
      </c>
      <c r="M40">
        <v>8.0400600000000004</v>
      </c>
      <c r="N40">
        <v>1.641303</v>
      </c>
      <c r="O40">
        <v>6.7894519999999998</v>
      </c>
      <c r="P40">
        <v>-0.86755800000000005</v>
      </c>
      <c r="Q40">
        <v>-4.1995610000000001</v>
      </c>
      <c r="R40">
        <v>-2.0000979999999999</v>
      </c>
      <c r="S40">
        <v>4.5572039999999996</v>
      </c>
      <c r="T40">
        <v>-0.13983499999999999</v>
      </c>
      <c r="U40">
        <v>-1.9752769999999999</v>
      </c>
      <c r="V40">
        <v>3.0663659999999999</v>
      </c>
      <c r="W40">
        <v>2.2093989999999999</v>
      </c>
      <c r="X40">
        <v>1.78948</v>
      </c>
      <c r="Y40">
        <v>1.283358</v>
      </c>
      <c r="Z40">
        <v>-0.98006499999999996</v>
      </c>
      <c r="AA40">
        <v>-1.113226</v>
      </c>
      <c r="AB40">
        <v>-0.99145700000000003</v>
      </c>
    </row>
    <row r="41" spans="1:28" x14ac:dyDescent="0.25">
      <c r="A41" t="s">
        <v>2250</v>
      </c>
      <c r="D41" t="s">
        <v>2218</v>
      </c>
      <c r="E41">
        <v>-2.6790259999999999</v>
      </c>
      <c r="F41">
        <v>-2.770464</v>
      </c>
      <c r="G41">
        <v>-2.2832080000000001</v>
      </c>
      <c r="H41">
        <v>-3.857221</v>
      </c>
      <c r="I41">
        <v>-4.9284530000000002</v>
      </c>
      <c r="J41">
        <v>-1.3276399999999999</v>
      </c>
      <c r="K41">
        <v>-6.7892489999999999</v>
      </c>
      <c r="L41">
        <v>-6.2336489999999998</v>
      </c>
      <c r="M41">
        <v>2.9562499999999998</v>
      </c>
      <c r="N41">
        <v>0.71321900000000005</v>
      </c>
      <c r="O41">
        <v>-0.29491000000000001</v>
      </c>
      <c r="P41">
        <v>0.12809899999999999</v>
      </c>
      <c r="Q41">
        <v>-1.5590299999999999</v>
      </c>
      <c r="R41">
        <v>-0.500475</v>
      </c>
      <c r="S41">
        <v>1.109423</v>
      </c>
      <c r="T41">
        <v>-2.0327000000000002</v>
      </c>
      <c r="U41">
        <v>0.43115599999999998</v>
      </c>
      <c r="V41">
        <v>-7.7429999999999999E-2</v>
      </c>
      <c r="W41">
        <v>2.7397749999999998</v>
      </c>
      <c r="X41">
        <v>0.97347600000000001</v>
      </c>
      <c r="Y41">
        <v>-1.9390449999999999</v>
      </c>
      <c r="Z41">
        <v>-1.0736000000000001E-2</v>
      </c>
      <c r="AA41">
        <v>2.388109</v>
      </c>
      <c r="AB41" t="s">
        <v>2218</v>
      </c>
    </row>
    <row r="42" spans="1:28" x14ac:dyDescent="0.25">
      <c r="A42" t="s">
        <v>2251</v>
      </c>
      <c r="D42">
        <v>1.1818090000000001</v>
      </c>
      <c r="E42">
        <v>1.2832710000000001</v>
      </c>
      <c r="F42">
        <v>1.2347619999999999</v>
      </c>
      <c r="G42">
        <v>4.7101829999999998</v>
      </c>
      <c r="H42">
        <v>2.9321600000000001</v>
      </c>
      <c r="I42">
        <v>1.5865279999999999</v>
      </c>
      <c r="J42">
        <v>3.9884849999999998</v>
      </c>
      <c r="K42">
        <v>-1.9391620000000001</v>
      </c>
      <c r="L42">
        <v>3.523517</v>
      </c>
      <c r="M42">
        <v>1.9215139999999999</v>
      </c>
      <c r="N42">
        <v>4.4699489999999997</v>
      </c>
      <c r="O42">
        <v>3.5210210000000002</v>
      </c>
      <c r="P42">
        <v>5.7133050000000001</v>
      </c>
      <c r="Q42">
        <v>0.15517800000000001</v>
      </c>
      <c r="R42">
        <v>-6.0658570000000003</v>
      </c>
      <c r="S42">
        <v>5.2303699999999997</v>
      </c>
      <c r="T42">
        <v>4.5800879999999999</v>
      </c>
      <c r="U42">
        <v>1.9335739999999999</v>
      </c>
      <c r="V42">
        <v>3.8947579999999999</v>
      </c>
      <c r="W42">
        <v>0.22311500000000001</v>
      </c>
      <c r="X42">
        <v>1.232159</v>
      </c>
      <c r="Y42">
        <v>-0.492197</v>
      </c>
      <c r="Z42">
        <v>4.0887419999999999</v>
      </c>
      <c r="AA42">
        <v>2.2578309999999999</v>
      </c>
      <c r="AB42">
        <v>-0.88053199999999998</v>
      </c>
    </row>
    <row r="43" spans="1:28" x14ac:dyDescent="0.25">
      <c r="A43" t="s">
        <v>2252</v>
      </c>
      <c r="D43" t="s">
        <v>2218</v>
      </c>
      <c r="E43" t="s">
        <v>2218</v>
      </c>
      <c r="F43" t="s">
        <v>2218</v>
      </c>
      <c r="G43" t="s">
        <v>2218</v>
      </c>
      <c r="H43" t="s">
        <v>2218</v>
      </c>
      <c r="I43" t="s">
        <v>2218</v>
      </c>
      <c r="J43">
        <v>1.3167279999999999</v>
      </c>
      <c r="K43">
        <v>0.82258100000000001</v>
      </c>
      <c r="L43">
        <v>1.439057</v>
      </c>
      <c r="M43">
        <v>-0.74612400000000001</v>
      </c>
      <c r="N43">
        <v>1.9860359999999999</v>
      </c>
      <c r="O43">
        <v>-0.82429300000000005</v>
      </c>
      <c r="P43">
        <v>-3.0367479999999998</v>
      </c>
      <c r="Q43">
        <v>6.587466</v>
      </c>
      <c r="R43">
        <v>-5.0300969999999996</v>
      </c>
      <c r="S43">
        <v>1.4584649999999999</v>
      </c>
      <c r="T43">
        <v>-0.64779299999999995</v>
      </c>
      <c r="U43">
        <v>-0.25690000000000002</v>
      </c>
      <c r="V43">
        <v>1.5633699999999999</v>
      </c>
      <c r="W43">
        <v>3.1411099999999998</v>
      </c>
      <c r="X43">
        <v>1.769299</v>
      </c>
      <c r="Y43">
        <v>-2.6388159999999998</v>
      </c>
      <c r="Z43">
        <v>0.99375899999999995</v>
      </c>
      <c r="AA43" t="s">
        <v>2218</v>
      </c>
      <c r="AB43" t="s">
        <v>2218</v>
      </c>
    </row>
    <row r="44" spans="1:28" x14ac:dyDescent="0.25">
      <c r="A44" t="s">
        <v>2253</v>
      </c>
      <c r="D44" t="s">
        <v>2218</v>
      </c>
      <c r="E44">
        <v>-1.157877</v>
      </c>
      <c r="F44">
        <v>-2.6614960000000001</v>
      </c>
      <c r="G44">
        <v>-2.3836059999999999</v>
      </c>
      <c r="H44">
        <v>-1.3206789999999999</v>
      </c>
      <c r="I44">
        <v>-1.1344590000000001</v>
      </c>
      <c r="J44">
        <v>-1.6796169999999999</v>
      </c>
      <c r="K44">
        <v>-1.5866739999999999</v>
      </c>
      <c r="L44">
        <v>-0.60678399999999999</v>
      </c>
      <c r="M44">
        <v>-2.6799590000000002</v>
      </c>
      <c r="N44">
        <v>-1.0976859999999999</v>
      </c>
      <c r="O44">
        <v>-0.907246</v>
      </c>
      <c r="P44">
        <v>6.8416000000000005E-2</v>
      </c>
      <c r="Q44">
        <v>-1.147221</v>
      </c>
      <c r="R44">
        <v>-4.5279470000000002</v>
      </c>
      <c r="S44">
        <v>0.167577</v>
      </c>
      <c r="T44">
        <v>-0.34937699999999999</v>
      </c>
      <c r="U44">
        <v>-1.4545049999999999</v>
      </c>
      <c r="V44">
        <v>5.7682999999999998E-2</v>
      </c>
      <c r="W44">
        <v>0.31753100000000001</v>
      </c>
      <c r="X44">
        <v>0.17918500000000001</v>
      </c>
      <c r="Y44">
        <v>-0.23266800000000001</v>
      </c>
      <c r="Z44">
        <v>0.729908</v>
      </c>
      <c r="AA44">
        <v>0.48105999999999999</v>
      </c>
      <c r="AB44">
        <v>0.330847</v>
      </c>
    </row>
    <row r="45" spans="1:28" x14ac:dyDescent="0.25">
      <c r="A45" t="s">
        <v>2254</v>
      </c>
      <c r="D45" t="s">
        <v>2218</v>
      </c>
      <c r="E45">
        <v>-0.47911700000000002</v>
      </c>
      <c r="F45">
        <v>-1.5584720000000001</v>
      </c>
      <c r="G45">
        <v>-0.55748799999999998</v>
      </c>
      <c r="H45">
        <v>-0.35017700000000002</v>
      </c>
      <c r="I45">
        <v>-0.158416</v>
      </c>
      <c r="J45">
        <v>-0.30643700000000001</v>
      </c>
      <c r="K45">
        <v>-1.6788609999999999</v>
      </c>
      <c r="L45">
        <v>0.144678</v>
      </c>
      <c r="M45">
        <v>-1.7572890000000001</v>
      </c>
      <c r="N45">
        <v>0.139871</v>
      </c>
      <c r="O45">
        <v>0.15495300000000001</v>
      </c>
      <c r="P45">
        <v>0.83862099999999995</v>
      </c>
      <c r="Q45">
        <v>-0.87413799999999997</v>
      </c>
      <c r="R45">
        <v>-4.9750829999999997</v>
      </c>
      <c r="S45">
        <v>0.94658500000000001</v>
      </c>
      <c r="T45">
        <v>0.55194900000000002</v>
      </c>
      <c r="U45">
        <v>-0.59429699999999996</v>
      </c>
      <c r="V45">
        <v>0.84264799999999995</v>
      </c>
      <c r="W45">
        <v>-4.9942E-2</v>
      </c>
      <c r="X45">
        <v>0.762741</v>
      </c>
      <c r="Y45">
        <v>-0.241422</v>
      </c>
      <c r="Z45">
        <v>1.634242</v>
      </c>
      <c r="AA45">
        <v>1.1725939999999999</v>
      </c>
      <c r="AB45">
        <v>0.34225800000000001</v>
      </c>
    </row>
    <row r="46" spans="1:28" x14ac:dyDescent="0.25">
      <c r="A46" t="s">
        <v>2255</v>
      </c>
      <c r="B46" t="s">
        <v>2256</v>
      </c>
      <c r="D46" t="s">
        <v>2218</v>
      </c>
      <c r="E46" t="s">
        <v>2218</v>
      </c>
      <c r="F46" t="s">
        <v>2218</v>
      </c>
      <c r="G46" t="s">
        <v>2218</v>
      </c>
      <c r="H46" t="s">
        <v>2218</v>
      </c>
      <c r="I46" t="s">
        <v>2218</v>
      </c>
      <c r="J46">
        <v>-3.2576260000000001</v>
      </c>
      <c r="K46">
        <v>1.728405</v>
      </c>
      <c r="L46">
        <v>-3.7552189999999999</v>
      </c>
      <c r="M46">
        <v>-4.2084109999999999</v>
      </c>
      <c r="N46">
        <v>3.0371649999999999</v>
      </c>
      <c r="O46">
        <v>-3.5022489999999999</v>
      </c>
      <c r="P46">
        <v>2.6104020000000001</v>
      </c>
      <c r="Q46">
        <v>1.4167590000000001</v>
      </c>
      <c r="R46">
        <v>0.317301</v>
      </c>
      <c r="S46">
        <v>66.601125999999994</v>
      </c>
      <c r="T46">
        <v>-1.3554079999999999</v>
      </c>
      <c r="U46">
        <v>2.120549</v>
      </c>
      <c r="V46">
        <v>-0.70854700000000004</v>
      </c>
      <c r="W46">
        <v>-1.7113830000000001</v>
      </c>
      <c r="X46">
        <v>-3.7670650000000001</v>
      </c>
      <c r="Y46">
        <v>0.70521999999999996</v>
      </c>
      <c r="Z46">
        <v>-1.9161570000000001</v>
      </c>
      <c r="AA46" t="s">
        <v>2218</v>
      </c>
      <c r="AB46" t="s">
        <v>2218</v>
      </c>
    </row>
    <row r="47" spans="1:28" x14ac:dyDescent="0.25">
      <c r="B47" t="s">
        <v>2257</v>
      </c>
      <c r="D47">
        <v>10.380354000000001</v>
      </c>
      <c r="E47">
        <v>4.6536010000000001</v>
      </c>
      <c r="F47">
        <v>-22.957084999999999</v>
      </c>
      <c r="G47">
        <v>-6.265879</v>
      </c>
      <c r="H47">
        <v>6.601172</v>
      </c>
      <c r="I47">
        <v>14.889143000000001</v>
      </c>
      <c r="J47">
        <v>-45.465946000000002</v>
      </c>
      <c r="K47">
        <v>8.8011300000000006</v>
      </c>
      <c r="L47">
        <v>8.9224899999999998</v>
      </c>
      <c r="M47">
        <v>13.882789000000001</v>
      </c>
      <c r="N47">
        <v>0.26300800000000002</v>
      </c>
      <c r="O47">
        <v>17.501512000000002</v>
      </c>
      <c r="P47">
        <v>9.3405039999999993</v>
      </c>
      <c r="Q47">
        <v>4.953843</v>
      </c>
      <c r="R47">
        <v>10.778034</v>
      </c>
      <c r="S47">
        <v>-1.3182959999999999</v>
      </c>
      <c r="T47">
        <v>9.4550680000000007</v>
      </c>
      <c r="U47">
        <v>-8.9602649999999997</v>
      </c>
      <c r="V47">
        <v>7.3085380000000004</v>
      </c>
      <c r="W47">
        <v>-8.4931280000000005</v>
      </c>
      <c r="X47">
        <v>13.967247</v>
      </c>
      <c r="Y47">
        <v>10.072654</v>
      </c>
      <c r="Z47">
        <v>-2.5485540000000002</v>
      </c>
      <c r="AA47">
        <v>1.711827</v>
      </c>
      <c r="AB47" t="s">
        <v>2218</v>
      </c>
    </row>
    <row r="48" spans="1:28" x14ac:dyDescent="0.25">
      <c r="A48" t="s">
        <v>2277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A6"/>
  <sheetViews>
    <sheetView workbookViewId="0"/>
  </sheetViews>
  <sheetFormatPr defaultRowHeight="15" x14ac:dyDescent="0.25"/>
  <cols>
    <col min="1" max="1" width="24" customWidth="1"/>
  </cols>
  <sheetData>
    <row r="1" spans="1:53" x14ac:dyDescent="0.25">
      <c r="A1" s="2" t="s">
        <v>2278</v>
      </c>
    </row>
    <row r="2" spans="1:53" x14ac:dyDescent="0.25">
      <c r="B2" s="2" t="s">
        <v>1075</v>
      </c>
      <c r="C2" s="2" t="s">
        <v>65</v>
      </c>
      <c r="D2" s="2" t="s">
        <v>1083</v>
      </c>
      <c r="E2" s="2" t="s">
        <v>71</v>
      </c>
      <c r="F2" s="2" t="s">
        <v>68</v>
      </c>
      <c r="G2" s="2" t="s">
        <v>75</v>
      </c>
      <c r="H2" s="2" t="s">
        <v>77</v>
      </c>
      <c r="I2" s="2" t="s">
        <v>86</v>
      </c>
      <c r="J2" s="2" t="s">
        <v>35</v>
      </c>
      <c r="K2" s="2" t="s">
        <v>37</v>
      </c>
      <c r="L2" s="2" t="s">
        <v>137</v>
      </c>
      <c r="M2" s="2" t="s">
        <v>346</v>
      </c>
      <c r="N2" s="2" t="s">
        <v>41</v>
      </c>
      <c r="O2" s="2" t="s">
        <v>361</v>
      </c>
      <c r="P2" s="2" t="s">
        <v>369</v>
      </c>
      <c r="Q2" s="2" t="s">
        <v>379</v>
      </c>
      <c r="R2" s="2" t="s">
        <v>151</v>
      </c>
      <c r="S2" s="2" t="s">
        <v>149</v>
      </c>
      <c r="T2" s="2" t="s">
        <v>43</v>
      </c>
      <c r="U2" s="2" t="s">
        <v>162</v>
      </c>
      <c r="V2" s="2" t="s">
        <v>168</v>
      </c>
      <c r="W2" s="2" t="s">
        <v>221</v>
      </c>
      <c r="X2" s="2" t="s">
        <v>241</v>
      </c>
      <c r="Y2" s="2" t="s">
        <v>200</v>
      </c>
      <c r="Z2" s="2" t="s">
        <v>255</v>
      </c>
      <c r="AA2" s="2" t="s">
        <v>275</v>
      </c>
      <c r="AB2" s="2" t="s">
        <v>268</v>
      </c>
      <c r="AC2" s="2" t="s">
        <v>281</v>
      </c>
      <c r="AD2" s="2" t="s">
        <v>589</v>
      </c>
      <c r="AE2" s="2" t="s">
        <v>598</v>
      </c>
      <c r="AF2" s="2" t="s">
        <v>600</v>
      </c>
      <c r="AG2" s="2" t="s">
        <v>89</v>
      </c>
      <c r="AH2" s="2" t="s">
        <v>403</v>
      </c>
      <c r="AI2" s="2" t="s">
        <v>1435</v>
      </c>
      <c r="AJ2" s="2" t="s">
        <v>1437</v>
      </c>
      <c r="AK2" s="2" t="s">
        <v>1429</v>
      </c>
      <c r="AL2" s="2" t="s">
        <v>1465</v>
      </c>
      <c r="AM2" s="2" t="s">
        <v>1489</v>
      </c>
      <c r="AN2" s="2" t="s">
        <v>923</v>
      </c>
      <c r="AO2" s="2" t="s">
        <v>603</v>
      </c>
      <c r="AP2" s="2" t="s">
        <v>620</v>
      </c>
      <c r="AQ2" s="2" t="s">
        <v>629</v>
      </c>
      <c r="AR2" s="2" t="s">
        <v>635</v>
      </c>
      <c r="AS2" s="2" t="s">
        <v>678</v>
      </c>
      <c r="AT2" s="2" t="s">
        <v>707</v>
      </c>
      <c r="AU2" s="2" t="s">
        <v>767</v>
      </c>
      <c r="AV2" s="2" t="s">
        <v>998</v>
      </c>
      <c r="AW2" s="2" t="s">
        <v>817</v>
      </c>
      <c r="AX2" s="2" t="s">
        <v>833</v>
      </c>
      <c r="AY2" s="2" t="s">
        <v>893</v>
      </c>
      <c r="AZ2" s="2" t="s">
        <v>957</v>
      </c>
      <c r="BA2" s="2" t="s">
        <v>27</v>
      </c>
    </row>
    <row r="3" spans="1:53" x14ac:dyDescent="0.25">
      <c r="A3" t="s">
        <v>2279</v>
      </c>
      <c r="B3">
        <f>'g2025 derivation'!B6</f>
        <v>-9.9246442360578349E-2</v>
      </c>
      <c r="C3">
        <f>'g2025 derivation'!C6</f>
        <v>1.4640707976905643E-2</v>
      </c>
      <c r="D3">
        <f>'g2025 derivation'!D6</f>
        <v>1.3725663728349038E-2</v>
      </c>
      <c r="E3">
        <f>'g2025 derivation'!E6</f>
        <v>7.1210619379968615E-2</v>
      </c>
      <c r="F3">
        <f>'g2025 derivation'!F6</f>
        <v>7.1210619379968615E-2</v>
      </c>
      <c r="G3">
        <f>'g2025 derivation'!G6</f>
        <v>2.3791150462471669E-2</v>
      </c>
      <c r="H3">
        <f>'g2025 derivation'!H6</f>
        <v>7.1210619379968615E-2</v>
      </c>
      <c r="I3">
        <f>'g2025 derivation'!I6</f>
        <v>-4.5752212427830133E-3</v>
      </c>
      <c r="J3">
        <f>'g2025 derivation'!J6</f>
        <v>-5.7729872669432442E-2</v>
      </c>
      <c r="K3">
        <f>'g2025 derivation'!K6</f>
        <v>-0.11327023120960888</v>
      </c>
      <c r="L3">
        <f>'g2025 derivation'!L6</f>
        <v>0.20646756047733122</v>
      </c>
      <c r="M3">
        <f>'g2025 derivation'!M6</f>
        <v>-5.0057662323048653E-2</v>
      </c>
      <c r="N3">
        <f>'g2025 derivation'!N6</f>
        <v>9.2796417486756702E-4</v>
      </c>
      <c r="O3">
        <f>'g2025 derivation'!O6</f>
        <v>7.1677561450444349E-2</v>
      </c>
      <c r="P3">
        <f>'g2025 derivation'!P6</f>
        <v>2.1961061965358457E-2</v>
      </c>
      <c r="Q3">
        <f>'g2025 derivation'!Q6</f>
        <v>1.7724214122440893E-2</v>
      </c>
      <c r="R3">
        <f>'g2025 derivation'!R6</f>
        <v>-6.2233199213274646E-3</v>
      </c>
      <c r="S3">
        <f>'g2025 derivation'!S6</f>
        <v>3.3677125558882557E-3</v>
      </c>
      <c r="T3">
        <f>'g2025 derivation'!T6</f>
        <v>-1.4318822532873773E-2</v>
      </c>
      <c r="U3">
        <f>'g2025 derivation'!U6</f>
        <v>2.7423101302979209E-4</v>
      </c>
      <c r="V3">
        <f>'g2025 derivation'!V6</f>
        <v>2.583505185322945E-2</v>
      </c>
      <c r="W3">
        <f>'g2025 derivation'!W6</f>
        <v>-6.5496145174722312E-2</v>
      </c>
      <c r="X3">
        <f>'g2025 derivation'!X6</f>
        <v>9.5838154987310364E-3</v>
      </c>
      <c r="Y3">
        <f>'g2025 derivation'!Y6</f>
        <v>2.4336435643808989E-2</v>
      </c>
      <c r="Z3">
        <f>'g2025 derivation'!Z6</f>
        <v>-6.1192822458182292E-2</v>
      </c>
      <c r="AA3">
        <f>'g2025 derivation'!AA6</f>
        <v>1.1895575231235835E-2</v>
      </c>
      <c r="AB3">
        <f>'g2025 derivation'!AB6</f>
        <v>-6.1192822458182292E-2</v>
      </c>
      <c r="AC3">
        <f>'g2025 derivation'!AC6</f>
        <v>-1.632229783085291E-2</v>
      </c>
      <c r="AD3">
        <f>'g2025 derivation'!AD6</f>
        <v>1.8300884971132053E-2</v>
      </c>
      <c r="AE3">
        <f>'g2025 derivation'!AE6</f>
        <v>1.0243582594579954E-2</v>
      </c>
      <c r="AF3">
        <f>'g2025 derivation'!AF6</f>
        <v>1.3632303344046399E-2</v>
      </c>
      <c r="AG3">
        <f>'g2025 derivation'!AG6</f>
        <v>5.9669924007771706E-2</v>
      </c>
      <c r="AH3">
        <f>'g2025 derivation'!AH6</f>
        <v>2.3125975749347036E-2</v>
      </c>
      <c r="AI3">
        <f>'g2025 derivation'!AI6</f>
        <v>1.7047584306687808E-2</v>
      </c>
      <c r="AJ3">
        <f>'g2025 derivation'!AJ6</f>
        <v>1.9215929219688656E-2</v>
      </c>
      <c r="AK3">
        <f>'g2025 derivation'!AK6</f>
        <v>2.1046017716801861E-2</v>
      </c>
      <c r="AL3">
        <f>'g2025 derivation'!AL6</f>
        <v>2.3621715279697475E-2</v>
      </c>
      <c r="AM3">
        <f>'g2025 derivation'!AM6</f>
        <v>2.5621238959584871E-2</v>
      </c>
      <c r="AN3">
        <f>'g2025 derivation'!AN6</f>
        <v>2.1046017716801861E-2</v>
      </c>
      <c r="AO3">
        <f>'g2025 derivation'!AO6</f>
        <v>3.3557492195327242E-2</v>
      </c>
      <c r="AP3">
        <f>'g2025 derivation'!AP6</f>
        <v>2.4706194711028272E-2</v>
      </c>
      <c r="AQ3">
        <f>'g2025 derivation'!AQ6</f>
        <v>3.1148304544725561E-2</v>
      </c>
      <c r="AR3">
        <f>'g2025 derivation'!AR6</f>
        <v>1.8300884971132053E-2</v>
      </c>
      <c r="AS3">
        <f>'g2025 derivation'!AS6</f>
        <v>1.738584072257545E-2</v>
      </c>
      <c r="AT3">
        <f>'g2025 derivation'!AT6</f>
        <v>2.0399352170318248E-2</v>
      </c>
      <c r="AU3">
        <f>'g2025 derivation'!AU6</f>
        <v>2.1800534482148241E-2</v>
      </c>
      <c r="AV3">
        <f>'g2025 derivation'!AV6</f>
        <v>4.6348945336369303E-3</v>
      </c>
      <c r="AW3">
        <f>'g2025 derivation'!AW6</f>
        <v>4.3243300194279414E-3</v>
      </c>
      <c r="AX3">
        <f>'g2025 derivation'!AX6</f>
        <v>2.5349812721629825E-2</v>
      </c>
      <c r="AY3">
        <f>'g2025 derivation'!AY6</f>
        <v>2.0130973468245258E-2</v>
      </c>
      <c r="AZ3">
        <f>'g2025 derivation'!AZ6</f>
        <v>1.9280671087860787E-2</v>
      </c>
      <c r="BA3">
        <f>'g2025 derivation'!BA6</f>
        <v>1.6470796474018848E-2</v>
      </c>
    </row>
    <row r="4" spans="1:53" x14ac:dyDescent="0.25">
      <c r="A4" t="s">
        <v>2280</v>
      </c>
      <c r="B4">
        <f>AVERAGE('OECD Manufacturing'!$D$43:$AB$43)/100</f>
        <v>2.6670610000000004E-2</v>
      </c>
      <c r="C4">
        <f>AVERAGE('OECD Manufacturing'!$D$43:$AB$43)/100</f>
        <v>2.6670610000000004E-2</v>
      </c>
      <c r="D4">
        <f>AVERAGE('OECD Manufacturing'!$D$43:$AB$43)/100</f>
        <v>2.6670610000000004E-2</v>
      </c>
      <c r="E4">
        <f>AVERAGE('OECD Mining &amp; Utilities'!$D$43:$AB$43)/100</f>
        <v>8.4344252941176458E-3</v>
      </c>
      <c r="F4">
        <f>AVERAGE('OECD Mining &amp; Utilities'!$D$43:$AB$43)/100</f>
        <v>8.4344252941176458E-3</v>
      </c>
      <c r="G4">
        <f>AVERAGE('OECD Mining &amp; Utilities'!$D$43:$AB$43)/100</f>
        <v>8.4344252941176458E-3</v>
      </c>
      <c r="H4">
        <f>AVERAGE('OECD Mining &amp; Utilities'!$D$43:$AB$43)/100</f>
        <v>8.4344252941176458E-3</v>
      </c>
      <c r="I4">
        <f>AVERAGE('OECD Mining &amp; Utilities'!$D$43:$AB$43)/100</f>
        <v>8.4344252941176458E-3</v>
      </c>
      <c r="J4">
        <f>AVERAGE('OECD Manufacturing'!$D$43:$AB$43)/100</f>
        <v>2.6670610000000004E-2</v>
      </c>
      <c r="K4">
        <f>AVERAGE('OECD Manufacturing'!$D$43:$AB$43)/100</f>
        <v>2.6670610000000004E-2</v>
      </c>
      <c r="L4">
        <f>AVERAGE('OECD Manufacturing'!$D$43:$AB$43)/100</f>
        <v>2.6670610000000004E-2</v>
      </c>
      <c r="M4">
        <f>AVERAGE('OECD Manufacturing'!$D$43:$AB$43)/100</f>
        <v>2.6670610000000004E-2</v>
      </c>
      <c r="N4">
        <f>AVERAGE('OECD Manufacturing'!$D$43:$AB$43)/100</f>
        <v>2.6670610000000004E-2</v>
      </c>
      <c r="O4">
        <f>AVERAGE('OECD Manufacturing'!$D$43:$AB$43)/100</f>
        <v>2.6670610000000004E-2</v>
      </c>
      <c r="P4">
        <f>AVERAGE('OECD Manufacturing'!$D$43:$AB$43)/100</f>
        <v>2.6670610000000004E-2</v>
      </c>
      <c r="Q4">
        <f>AVERAGE('OECD Manufacturing'!$D$43:$AB$43)/100</f>
        <v>2.6670610000000004E-2</v>
      </c>
      <c r="R4">
        <f>AVERAGE('OECD Manufacturing'!$D$43:$AB$43)/100</f>
        <v>2.6670610000000004E-2</v>
      </c>
      <c r="S4">
        <f>AVERAGE('OECD Manufacturing'!$D$43:$AB$43)/100</f>
        <v>2.6670610000000004E-2</v>
      </c>
      <c r="T4">
        <f>AVERAGE('OECD Manufacturing'!$D$43:$AB$43)/100</f>
        <v>2.6670610000000004E-2</v>
      </c>
      <c r="U4">
        <f>AVERAGE('OECD Manufacturing'!$D$43:$AB$43)/100</f>
        <v>2.6670610000000004E-2</v>
      </c>
      <c r="V4">
        <f>AVERAGE('OECD Manufacturing'!$D$43:$AB$43)/100</f>
        <v>2.6670610000000004E-2</v>
      </c>
      <c r="W4">
        <f>AVERAGE('OECD Manufacturing'!$D$43:$AB$43)/100</f>
        <v>2.6670610000000004E-2</v>
      </c>
      <c r="X4">
        <f>AVERAGE('OECD Manufacturing'!$D$43:$AB$43)/100</f>
        <v>2.6670610000000004E-2</v>
      </c>
      <c r="Y4">
        <f>AVERAGE('OECD Manufacturing'!$D$43:$AB$43)/100</f>
        <v>2.6670610000000004E-2</v>
      </c>
      <c r="Z4">
        <f>AVERAGE('OECD Manufacturing'!$D$43:$AB$43)/100</f>
        <v>2.6670610000000004E-2</v>
      </c>
      <c r="AA4">
        <f>AVERAGE('OECD Manufacturing'!$D$43:$AB$43)/100</f>
        <v>2.6670610000000004E-2</v>
      </c>
      <c r="AB4">
        <f>AVERAGE('OECD Manufacturing'!$D$43:$AB$43)/100</f>
        <v>2.6670610000000004E-2</v>
      </c>
      <c r="AC4">
        <f>AVERAGE('OECD Manufacturing'!$D$43:$AB$43)/100</f>
        <v>2.6670610000000004E-2</v>
      </c>
      <c r="AD4">
        <f>AVERAGE('OECD Mining &amp; Utilities'!$D$43:$AB$43)/100</f>
        <v>8.4344252941176458E-3</v>
      </c>
      <c r="AE4">
        <f>AVERAGE('OECD Mining &amp; Utilities'!$D$43:$AB$43)/100</f>
        <v>8.4344252941176458E-3</v>
      </c>
      <c r="AF4">
        <f>AVERAGE('OECD Mining &amp; Utilities'!$D$43:$AB$43)/100</f>
        <v>8.4344252941176458E-3</v>
      </c>
      <c r="AG4">
        <f>AVERAGE('OECD Construction'!$D$43:$AB$43)/100</f>
        <v>-1.7303435294117642E-2</v>
      </c>
      <c r="AH4">
        <f>AVERAGE('OECD Transport Retail Food'!$D$43:$AB$43)/100</f>
        <v>5.9152317647058828E-3</v>
      </c>
      <c r="AI4">
        <f>AVERAGE('OECD Transport Retail Food'!$D$43:$AB$43)/100</f>
        <v>5.9152317647058828E-3</v>
      </c>
      <c r="AJ4">
        <f>AVERAGE('OECD Transport Retail Food'!$D$43:$AB$43)/100</f>
        <v>5.9152317647058828E-3</v>
      </c>
      <c r="AK4">
        <f>AVERAGE('OECD Transport Retail Food'!$D$43:$AB$43)/100</f>
        <v>5.9152317647058828E-3</v>
      </c>
      <c r="AL4">
        <f>AVERAGE('OECD Transport Retail Food'!$D$43:$AB$43)/100</f>
        <v>5.9152317647058828E-3</v>
      </c>
      <c r="AM4">
        <f>AVERAGE('OECD Transport Retail Food'!$D$43:$AB$43)/100</f>
        <v>5.9152317647058828E-3</v>
      </c>
      <c r="AN4">
        <f>AVERAGE('OECD Transport Retail Food'!$D$43:$AB$43)/100</f>
        <v>5.9152317647058828E-3</v>
      </c>
      <c r="AO4">
        <f>AVERAGE('OECD Info Comms'!$D$43:$AB$43)/100</f>
        <v>6.4967867058823514E-2</v>
      </c>
      <c r="AP4">
        <f>AVERAGE('OECD Info Comms'!$D$43:$AB$43)/100</f>
        <v>6.4967867058823514E-2</v>
      </c>
      <c r="AQ4">
        <f>AVERAGE('OECD Info Comms'!$D$43:$AB$43)/100</f>
        <v>6.4967867058823514E-2</v>
      </c>
      <c r="AR4">
        <f>AVERAGE('OECD Finance Insurance'!$D$43:$AB$43)/100</f>
        <v>1.2430078235294118E-2</v>
      </c>
      <c r="AS4">
        <f>AVERAGE('OECD Finance Insurance'!$D$43:$AB$43)/100</f>
        <v>1.2430078235294118E-2</v>
      </c>
      <c r="AT4">
        <f>AVERAGE('OECD Finance Insurance'!$D$43:$AB$43)/100</f>
        <v>1.2430078235294118E-2</v>
      </c>
      <c r="AU4">
        <f>AVERAGE('OECD Finance Insurance'!$D$43:$AB$43)/100</f>
        <v>1.2430078235294118E-2</v>
      </c>
      <c r="AV4">
        <f>AVERAGE('OECD Prof Tech Admin'!$D$43:$AB$43)/100</f>
        <v>4.6453529411764703E-3</v>
      </c>
      <c r="AW4">
        <f>AVERAGE('OECD Prof Tech Admin'!$D$43:$AB$43)/100</f>
        <v>4.6453529411764703E-3</v>
      </c>
      <c r="AX4">
        <f>AVERAGE('OECD Prof Tech Admin'!$D$43:$AB$43)/100</f>
        <v>4.6453529411764703E-3</v>
      </c>
      <c r="AY4">
        <f>AVERAGE('OECD Prof Tech Admin'!$D$43:$AB$43)/100</f>
        <v>4.6453529411764703E-3</v>
      </c>
      <c r="AZ4">
        <f>AVERAGE('OECD Prof Tech Admin'!$D$43:$AB$43)/100</f>
        <v>4.6453529411764703E-3</v>
      </c>
      <c r="BA4">
        <v>0</v>
      </c>
    </row>
    <row r="5" spans="1:53" x14ac:dyDescent="0.25">
      <c r="A5" s="2" t="s">
        <v>2281</v>
      </c>
      <c r="B5">
        <f>(SUMIF('BLS Employment'!$A:$A,B$2,'BLS Employment'!$G:$G)*1000+'BLS Employment'!$B$5*'BLS 2.11 ag excerpt'!$B$9)*(1+B$3)/(1+B$4)</f>
        <v>1936202.4194602901</v>
      </c>
      <c r="C5">
        <f>(SUMIF('BLS Employment'!$A:$A,C$2,'BLS Employment'!$G:$G)*1000+'BLS Employment'!$B$5*'BLS 2.11 ag excerpt'!$B$10)*(1+C$3)/(1+C$4)</f>
        <v>49439.641156269106</v>
      </c>
      <c r="D5">
        <f>(SUMIF('BLS Employment'!$A:$A,D$2,'BLS Employment'!$G:$G)*1000+'BLS Employment'!$B$5*'BLS 2.11 ag excerpt'!$B$11)*(1+D$3)/(1+D$4)</f>
        <v>34863.306417130363</v>
      </c>
      <c r="E5">
        <f>(SUMIF('BLS Employment'!$A:$A,E$2,'BLS Employment'!$G:$G)*1000)*(1+E$3)/(1+E$4)</f>
        <v>45889.249312088687</v>
      </c>
      <c r="F5">
        <f>(SUMIF('BLS Employment'!$A:$A,F$2,'BLS Employment'!$G:$G)*1000)*(1+F$3)/(1+F$4)</f>
        <v>127045.23652143074</v>
      </c>
      <c r="G5">
        <f>(SUMIF('BLS Employment'!$A:$A,G$2,'BLS Employment'!$G:$G)*1000)*(1+G$3)/(1+G$4)</f>
        <v>44263.953154063485</v>
      </c>
      <c r="H5">
        <f>(SUMIF('BLS Employment'!$A:$A,H$2,'BLS Employment'!$G:$G)*1000)*(1+H$3)/(1+H$4)</f>
        <v>108668.29177376558</v>
      </c>
      <c r="I5">
        <f>(SUMIF('BLS Employment'!$A:$A,I$2,'BLS Employment'!$G:$G)*1000)*(1+I$3)/(1+I$4)</f>
        <v>285863.91806687118</v>
      </c>
      <c r="J5">
        <f>(SUMIF('BLS Employment'!$A:$A,J$2,'BLS Employment'!$G:$G)*1000)*(1+J$3)/(1+J$4)</f>
        <v>1933028.8571728971</v>
      </c>
      <c r="K5">
        <f>(SUMIF('BLS Employment'!$A:$A,K$2,'BLS Employment'!$G:$G)*1000)*(1+K$3)/(1+K$4)</f>
        <v>234861.84305395238</v>
      </c>
      <c r="L5">
        <f>(SUMIF('BLS Employment'!$A:$A,L$2,'BLS Employment'!$G:$G)*1000)*(1+L$3)/(1+L$4)</f>
        <v>486032.20755820035</v>
      </c>
      <c r="M5">
        <f>(SUMIF('BLS Employment'!$A:$A,M$2,'BLS Employment'!$G:$G)*1000)*(1+M$3)/(1+M$4)</f>
        <v>656290.43390485446</v>
      </c>
      <c r="N5">
        <f>(SUMIF('BLS Employment'!$A:$A,N$2,'BLS Employment'!$G:$G)*1000)*(1+N$3)/(1+N$4)</f>
        <v>85992.189497537416</v>
      </c>
      <c r="O5">
        <f>(SUMIF('BLS Employment'!$A:$A,O$2,'BLS Employment'!$G:$G)*1000)*(1+O$3)/(1+O$4)</f>
        <v>581626.40619486279</v>
      </c>
      <c r="P5">
        <f>(SUMIF('BLS Employment'!$A:$A,P$2,'BLS Employment'!$G:$G)*1000)*(1+P$3)/(1+P$4)</f>
        <v>341824.75397723145</v>
      </c>
      <c r="Q5">
        <f>(SUMIF('BLS Employment'!$A:$A,Q$2,'BLS Employment'!$G:$G)*1000)*(1+Q$3)/(1+Q$4)</f>
        <v>714320.69989480951</v>
      </c>
      <c r="R5">
        <f>(SUMIF('BLS Employment'!$A:$A,R$2,'BLS Employment'!$G:$G)*1000)*(1+R$3)/(1+R$4)</f>
        <v>75113.741080116219</v>
      </c>
      <c r="S5">
        <f>(SUMIF('BLS Employment'!$A:$A,S$2,'BLS Employment'!$G:$G)*1000)*(1+S$3)/(1+S$4)</f>
        <v>339319.41404206003</v>
      </c>
      <c r="T5">
        <f>(SUMIF('BLS Employment'!$A:$A,T$2,'BLS Employment'!$G:$G)*1000)*(1+T$3)/(1+T$4)</f>
        <v>204012.36673090677</v>
      </c>
      <c r="U5">
        <f>(SUMIF('BLS Employment'!$A:$A,U$2,'BLS Employment'!$G:$G)*1000)*(1+U$3)/(1+U$4)</f>
        <v>172936.35784978082</v>
      </c>
      <c r="V5">
        <f>(SUMIF('BLS Employment'!$A:$A,V$2,'BLS Employment'!$G:$G)*1000)*(1+V$3)/(1+V$4)</f>
        <v>1458312.1826968323</v>
      </c>
      <c r="W5">
        <f>(SUMIF('BLS Employment'!$A:$A,W$2,'BLS Employment'!$G:$G)*1000)*(1+W$3)/(1+W$4)</f>
        <v>998246.53360524459</v>
      </c>
      <c r="X5">
        <f>(SUMIF('BLS Employment'!$A:$A,X$2,'BLS Employment'!$G:$G)*1000)*(1+X$3)/(1+X$4)</f>
        <v>395702.889904182</v>
      </c>
      <c r="Y5">
        <f>(SUMIF('BLS Employment'!$A:$A,Y$2,'BLS Employment'!$G:$G)*1000)*(1+Y$3)/(1+Y$4)</f>
        <v>1129426.3553027897</v>
      </c>
      <c r="Z5">
        <f>(SUMIF('BLS Employment'!$A:$A,Z$2,'BLS Employment'!$G:$G)*1000)*(1+Z$3)/(1+Z$4)</f>
        <v>971570.25478520442</v>
      </c>
      <c r="AA5">
        <f>(SUMIF('BLS Employment'!$A:$A,AA$2,'BLS Employment'!$G:$G)*1000)*(1+AA$3)/(1+AA$4)</f>
        <v>149516.85308550758</v>
      </c>
      <c r="AB5">
        <f>(SUMIF('BLS Employment'!$A:$A,AB$2,'BLS Employment'!$G:$G)*1000)*(1+AB$3)/(1+AB$4)</f>
        <v>569683.07645287749</v>
      </c>
      <c r="AC5">
        <f>(SUMIF('BLS Employment'!$A:$A,AC$2,'BLS Employment'!$G:$G)*1000)*(1+AC$3)/(1+AC$4)</f>
        <v>1158563.4826567525</v>
      </c>
      <c r="AD5">
        <f>(SUMIF('BLS Employment'!$A:$A,AD$2,'BLS Employment'!$G:$G)*1000)*(1+AD$3)/(1+AD$4)</f>
        <v>418151.52863663895</v>
      </c>
      <c r="AE5">
        <f>(SUMIF('BLS Employment'!$A:$A,AE$2,'BLS Employment'!$G:$G)*1000+'BLS Employment'!$G$468*1000*'BLS 2.11 ag excerpt'!$B$28)*(1+AE$3)/(1+AE$4)</f>
        <v>178876.04347744229</v>
      </c>
      <c r="AF5">
        <f>(SUMIF('BLS Employment'!$A:$A,AF$2,'BLS Employment'!$G:$G)*1000)*(1+AF$3)/(1+AF$4)</f>
        <v>588819.44963923679</v>
      </c>
      <c r="AG5">
        <f>(SUMIF('BLS Employment'!$A:$A,AG$2,'BLS Employment'!$G:$G)*1000)*(1+AG$3)/(1+AG$4)</f>
        <v>8951206.6645121723</v>
      </c>
      <c r="AH5">
        <f>(SUMIF('BLS Employment'!$A:$A,AH$2,'BLS Employment'!$G:$G)*1000)*(1+AH$3)/(1+AH$4)</f>
        <v>23268414.880402893</v>
      </c>
      <c r="AI5">
        <f>(SUMIF('BLS Employment'!$A:$A,AI$2,'BLS Employment'!$G:$G)*1000+'BLS Employment'!$G$468*1000*'BLS 2.11 ag excerpt'!$B$23)*(1+AI$3)/(1+AI$4)</f>
        <v>2491158.9056344042</v>
      </c>
      <c r="AJ5">
        <f>(SUMIF('BLS Employment'!$A:$A,AJ$2,'BLS Employment'!$G:$G)*1000+'BLS Employment'!$G$468*1000*'BLS 2.11 ag excerpt'!$B$24)*(1+AJ$3)/(1+AJ$4)</f>
        <v>81238.856332786279</v>
      </c>
      <c r="AK5">
        <f>(SUMIF('BLS Employment'!$A:$A,AK$2,'BLS Employment'!$G:$G)*1000+'BLS Employment'!$G$468*1000*'BLS 2.11 ag excerpt'!$B$25)*(1+AK$3)/(1+AK$4)</f>
        <v>656193.43206983234</v>
      </c>
      <c r="AL5">
        <f>(SUMIF('BLS Employment'!$A:$A,AL$2,'BLS Employment'!$G:$G)*1000+'BLS Employment'!$G$468*1000*'BLS 2.11 ag excerpt'!$B$26)*(1+AL$3)/(1+AL$4)</f>
        <v>2155258.9009622345</v>
      </c>
      <c r="AM5">
        <f>(SUMIF('BLS Employment'!$A:$A,AM$2,'BLS Employment'!$G:$G)*1000+'BLS Employment'!$G$468*1000*'BLS 2.11 ag excerpt'!$B$27)*(1+AM$3)/(1+AM$4)</f>
        <v>1280429.262839037</v>
      </c>
      <c r="AN5">
        <f>(SUMIF('BLS Employment'!$A:$A,AN$2,'BLS Employment'!$G:$G)*1000)*(1+AN$3)/(1+AN$4)</f>
        <v>14558643.178927306</v>
      </c>
      <c r="AO5">
        <f>(SUMIF('BLS Employment'!$A:$A,AO$2,'BLS Employment'!$G:$G)*1000)*(1+AO$3)/(1+AO$4)</f>
        <v>1652965.479201494</v>
      </c>
      <c r="AP5">
        <f>(SUMIF('BLS Employment'!$A:$A,AP$2,'BLS Employment'!$G:$G)*1000)*(1+AP$3)/(1+AP$4)</f>
        <v>596175.69494975568</v>
      </c>
      <c r="AQ5">
        <f>(SUMIF('BLS Employment'!$A:$A,AQ$2,'BLS Employment'!$G:$G)*1000)*(1+AQ$3)/(1+AQ$4)</f>
        <v>3116388.7997611635</v>
      </c>
      <c r="AR5">
        <f>(SUMIF('BLS Employment'!$A:$A,AR$2,'BLS Employment'!$G:$G)*1000)*(1+AR$3)/(1+AR$4)</f>
        <v>6790750.6925858743</v>
      </c>
      <c r="AS5">
        <f>(SUMIF('BLS Employment'!$A:$A,AS$2,'BLS Employment'!$G:$G)*1000)*(1+AS$3)/(1+AS$4)</f>
        <v>2518065.6862015352</v>
      </c>
      <c r="AT5">
        <f>(SUMIF('BLS Employment'!$A:$A,AT$2,'BLS Employment'!$G:$G)*1000)*(1+AT$3)/(1+AT$4)</f>
        <v>11132746.257251587</v>
      </c>
      <c r="AU5">
        <f>(SUMIF('BLS Employment'!$A:$A,AU$2,'BLS Employment'!$G:$G)*1000)*(1+AU$3)/(1+AU$4)</f>
        <v>8915661.3731739074</v>
      </c>
      <c r="AV5">
        <f>(SUMIF('BLS Employment'!$A:$A,AV$2,'BLS Employment'!$G:$G)*1000)*(1+AV$3)/(1+AV$4)</f>
        <v>23418756.207058091</v>
      </c>
      <c r="AW5">
        <f>(SUMIF('BLS Employment'!$A:$A,AW$2,'BLS Employment'!$G:$G)*1000)*(1+AW$3)/(1+AW$4)</f>
        <v>3888557.0589388963</v>
      </c>
      <c r="AX5">
        <f>(SUMIF('BLS Employment'!$A:$A,AX$2,'BLS Employment'!$G:$G)*1000)*(1+AX$3)/(1+AX$4)</f>
        <v>23138118.343132239</v>
      </c>
      <c r="AY5">
        <f>(SUMIF('BLS Employment'!$A:$A,AY$2,'BLS Employment'!$G:$G)*1000)*(1+AY$3)/(1+AY$4)</f>
        <v>2712272.3807498422</v>
      </c>
      <c r="AZ5">
        <f>(SUMIF('BLS Employment'!$A:$A,AZ$2,'BLS Employment'!$G:$G)*1000)*(1+AZ$3)/(1+AZ$4)</f>
        <v>4701100.6458407883</v>
      </c>
      <c r="BA5">
        <f>(SUMIF('BLS Employment'!$A:$A,BA$2,'BLS Employment'!$G:$G)*1000+'BLS Employment'!$B$9)*(1+BA$3)/(1+BA$4)</f>
        <v>618272.42783850792</v>
      </c>
    </row>
    <row r="6" spans="1:53" x14ac:dyDescent="0.25">
      <c r="A6" s="2" t="s">
        <v>2282</v>
      </c>
      <c r="B6" t="s">
        <v>24</v>
      </c>
      <c r="C6" t="s">
        <v>24</v>
      </c>
      <c r="D6" t="s">
        <v>24</v>
      </c>
      <c r="E6" t="s">
        <v>71</v>
      </c>
      <c r="F6" t="s">
        <v>68</v>
      </c>
      <c r="G6" t="s">
        <v>2283</v>
      </c>
      <c r="H6" t="s">
        <v>2283</v>
      </c>
      <c r="I6" t="s">
        <v>86</v>
      </c>
      <c r="J6" t="s">
        <v>35</v>
      </c>
      <c r="K6" t="s">
        <v>37</v>
      </c>
      <c r="L6" t="s">
        <v>137</v>
      </c>
      <c r="M6" t="s">
        <v>346</v>
      </c>
      <c r="N6" t="s">
        <v>41</v>
      </c>
      <c r="O6" t="s">
        <v>361</v>
      </c>
      <c r="P6" t="s">
        <v>369</v>
      </c>
      <c r="Q6" t="s">
        <v>379</v>
      </c>
      <c r="R6" t="s">
        <v>151</v>
      </c>
      <c r="S6" t="s">
        <v>149</v>
      </c>
      <c r="T6" t="s">
        <v>43</v>
      </c>
      <c r="U6" t="s">
        <v>162</v>
      </c>
      <c r="V6" t="s">
        <v>168</v>
      </c>
      <c r="W6" t="s">
        <v>221</v>
      </c>
      <c r="X6" t="s">
        <v>241</v>
      </c>
      <c r="Y6" t="s">
        <v>200</v>
      </c>
      <c r="Z6" t="s">
        <v>255</v>
      </c>
      <c r="AA6" t="s">
        <v>2284</v>
      </c>
      <c r="AB6" t="s">
        <v>2284</v>
      </c>
      <c r="AC6" t="s">
        <v>281</v>
      </c>
      <c r="AD6" t="s">
        <v>589</v>
      </c>
      <c r="AE6" t="s">
        <v>598</v>
      </c>
      <c r="AF6" t="s">
        <v>600</v>
      </c>
      <c r="AG6" t="s">
        <v>89</v>
      </c>
      <c r="AH6" t="s">
        <v>403</v>
      </c>
      <c r="AI6" t="s">
        <v>2285</v>
      </c>
      <c r="AJ6" t="s">
        <v>2285</v>
      </c>
      <c r="AK6" t="s">
        <v>2285</v>
      </c>
      <c r="AL6" t="s">
        <v>2285</v>
      </c>
      <c r="AM6" t="s">
        <v>2285</v>
      </c>
      <c r="AN6" t="s">
        <v>923</v>
      </c>
      <c r="AO6" t="s">
        <v>603</v>
      </c>
      <c r="AP6" t="s">
        <v>620</v>
      </c>
      <c r="AQ6" t="s">
        <v>629</v>
      </c>
      <c r="AR6" t="s">
        <v>635</v>
      </c>
      <c r="AS6" t="s">
        <v>678</v>
      </c>
      <c r="AT6" t="s">
        <v>2286</v>
      </c>
      <c r="AU6" t="s">
        <v>2286</v>
      </c>
      <c r="AV6" t="s">
        <v>998</v>
      </c>
      <c r="AW6" t="s">
        <v>817</v>
      </c>
      <c r="AX6" t="s">
        <v>833</v>
      </c>
      <c r="AY6" t="s">
        <v>2287</v>
      </c>
      <c r="AZ6" t="s">
        <v>2287</v>
      </c>
      <c r="BA6" t="s">
        <v>27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5"/>
  <sheetViews>
    <sheetView workbookViewId="0"/>
  </sheetViews>
  <sheetFormatPr defaultRowHeight="15" x14ac:dyDescent="0.25"/>
  <cols>
    <col min="1" max="1" width="70" customWidth="1"/>
  </cols>
  <sheetData>
    <row r="1" spans="1:3" x14ac:dyDescent="0.25">
      <c r="A1" s="2" t="s">
        <v>2288</v>
      </c>
    </row>
    <row r="3" spans="1:3" x14ac:dyDescent="0.25">
      <c r="A3" t="s">
        <v>2289</v>
      </c>
    </row>
    <row r="4" spans="1:3" x14ac:dyDescent="0.25">
      <c r="B4">
        <f>'BLS 2.11 ag excerpt'!B9+'BLS 2.11 ag excerpt'!B10+'BLS 2.11 ag excerpt'!B11</f>
        <v>0.99999999999999989</v>
      </c>
      <c r="C4" s="2" t="str">
        <f>IF(ABS(B4-1)&lt;0.000000001,"PASS","FAIL")</f>
        <v>PASS</v>
      </c>
    </row>
    <row r="6" spans="1:3" x14ac:dyDescent="0.25">
      <c r="A6" t="s">
        <v>2290</v>
      </c>
    </row>
    <row r="7" spans="1:3" x14ac:dyDescent="0.25">
      <c r="B7">
        <f>SUM(BEbIC!B2:AQ2)</f>
        <v>163116839.06542617</v>
      </c>
    </row>
    <row r="9" spans="1:3" x14ac:dyDescent="0.25">
      <c r="A9" t="s">
        <v>2291</v>
      </c>
    </row>
    <row r="10" spans="1:3" x14ac:dyDescent="0.25">
      <c r="B10">
        <f>SUM(BEbIC!B2:AQ2)-SUM('2025 projection'!B5:BA5)</f>
        <v>0</v>
      </c>
      <c r="C10" s="2" t="str">
        <f>IF(ABS(B10)&lt;1,"PASS","FAIL")</f>
        <v>PASS</v>
      </c>
    </row>
    <row r="12" spans="1:3" x14ac:dyDescent="0.25">
      <c r="A12" t="s">
        <v>2292</v>
      </c>
    </row>
    <row r="13" spans="1:3" x14ac:dyDescent="0.25">
      <c r="A13" t="s">
        <v>2293</v>
      </c>
      <c r="B13">
        <f>SUMIF('BLS Employment'!$A:$A,"ISIC*",'BLS Employment'!$G:$G)*1000+'BLS Employment'!$G$468*1000+'BLS Employment'!$B$5+'BLS Employment'!$B$9</f>
        <v>161887554</v>
      </c>
    </row>
    <row r="14" spans="1:3" x14ac:dyDescent="0.25">
      <c r="A14" t="s">
        <v>2294</v>
      </c>
      <c r="B14">
        <f>'BLS Employment'!$G$42*1000+'BLS Employment'!$B$5+'BLS Employment'!$B$9</f>
        <v>161887254</v>
      </c>
    </row>
    <row r="15" spans="1:3" x14ac:dyDescent="0.25">
      <c r="A15" t="s">
        <v>2295</v>
      </c>
      <c r="B15">
        <f>B13/B14-1</f>
        <v>1.8531415697520259E-6</v>
      </c>
      <c r="C15" s="2" t="str">
        <f>IF(ABS(B15)&lt;0.005,"PASS","INSPECT")</f>
        <v>PASS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3864"/>
  </sheetPr>
  <dimension ref="A1:AQ2"/>
  <sheetViews>
    <sheetView workbookViewId="0"/>
  </sheetViews>
  <sheetFormatPr defaultRowHeight="15" x14ac:dyDescent="0.25"/>
  <sheetData>
    <row r="1" spans="1:43" x14ac:dyDescent="0.25">
      <c r="A1" t="s">
        <v>2296</v>
      </c>
      <c r="B1" s="2" t="s">
        <v>24</v>
      </c>
      <c r="C1" s="2" t="s">
        <v>71</v>
      </c>
      <c r="D1" s="2" t="s">
        <v>68</v>
      </c>
      <c r="E1" s="2" t="s">
        <v>2283</v>
      </c>
      <c r="F1" s="2" t="s">
        <v>86</v>
      </c>
      <c r="G1" s="2" t="s">
        <v>35</v>
      </c>
      <c r="H1" s="2" t="s">
        <v>37</v>
      </c>
      <c r="I1" s="2" t="s">
        <v>137</v>
      </c>
      <c r="J1" s="2" t="s">
        <v>346</v>
      </c>
      <c r="K1" s="2" t="s">
        <v>41</v>
      </c>
      <c r="L1" s="2" t="s">
        <v>361</v>
      </c>
      <c r="M1" s="2" t="s">
        <v>369</v>
      </c>
      <c r="N1" s="2" t="s">
        <v>379</v>
      </c>
      <c r="O1" s="2" t="s">
        <v>151</v>
      </c>
      <c r="P1" s="2" t="s">
        <v>149</v>
      </c>
      <c r="Q1" s="2" t="s">
        <v>43</v>
      </c>
      <c r="R1" s="2" t="s">
        <v>162</v>
      </c>
      <c r="S1" s="2" t="s">
        <v>168</v>
      </c>
      <c r="T1" s="2" t="s">
        <v>221</v>
      </c>
      <c r="U1" s="2" t="s">
        <v>241</v>
      </c>
      <c r="V1" s="2" t="s">
        <v>200</v>
      </c>
      <c r="W1" s="2" t="s">
        <v>255</v>
      </c>
      <c r="X1" s="2" t="s">
        <v>2284</v>
      </c>
      <c r="Y1" s="2" t="s">
        <v>281</v>
      </c>
      <c r="Z1" s="2" t="s">
        <v>589</v>
      </c>
      <c r="AA1" s="2" t="s">
        <v>598</v>
      </c>
      <c r="AB1" s="2" t="s">
        <v>600</v>
      </c>
      <c r="AC1" s="2" t="s">
        <v>89</v>
      </c>
      <c r="AD1" s="2" t="s">
        <v>403</v>
      </c>
      <c r="AE1" s="2" t="s">
        <v>2285</v>
      </c>
      <c r="AF1" s="2" t="s">
        <v>923</v>
      </c>
      <c r="AG1" s="2" t="s">
        <v>603</v>
      </c>
      <c r="AH1" s="2" t="s">
        <v>620</v>
      </c>
      <c r="AI1" s="2" t="s">
        <v>629</v>
      </c>
      <c r="AJ1" s="2" t="s">
        <v>635</v>
      </c>
      <c r="AK1" s="2" t="s">
        <v>678</v>
      </c>
      <c r="AL1" s="2" t="s">
        <v>2286</v>
      </c>
      <c r="AM1" s="2" t="s">
        <v>998</v>
      </c>
      <c r="AN1" s="2" t="s">
        <v>817</v>
      </c>
      <c r="AO1" s="2" t="s">
        <v>833</v>
      </c>
      <c r="AP1" s="2" t="s">
        <v>2287</v>
      </c>
      <c r="AQ1" s="2" t="s">
        <v>27</v>
      </c>
    </row>
    <row r="2" spans="1:43" x14ac:dyDescent="0.25">
      <c r="A2" t="s">
        <v>2297</v>
      </c>
      <c r="B2">
        <f>SUMIFS('2025 projection'!$B$5:$BA$5,'2025 projection'!$B$6:$BA$6,B$1)</f>
        <v>2020505.3670336895</v>
      </c>
      <c r="C2">
        <f>SUMIFS('2025 projection'!$B$5:$BA$5,'2025 projection'!$B$6:$BA$6,C$1)</f>
        <v>45889.249312088687</v>
      </c>
      <c r="D2">
        <f>SUMIFS('2025 projection'!$B$5:$BA$5,'2025 projection'!$B$6:$BA$6,D$1)</f>
        <v>127045.23652143074</v>
      </c>
      <c r="E2">
        <f>SUMIFS('2025 projection'!$B$5:$BA$5,'2025 projection'!$B$6:$BA$6,E$1)</f>
        <v>152932.24492782907</v>
      </c>
      <c r="F2">
        <f>SUMIFS('2025 projection'!$B$5:$BA$5,'2025 projection'!$B$6:$BA$6,F$1)</f>
        <v>285863.91806687118</v>
      </c>
      <c r="G2">
        <f>SUMIFS('2025 projection'!$B$5:$BA$5,'2025 projection'!$B$6:$BA$6,G$1)</f>
        <v>1933028.8571728971</v>
      </c>
      <c r="H2">
        <f>SUMIFS('2025 projection'!$B$5:$BA$5,'2025 projection'!$B$6:$BA$6,H$1)</f>
        <v>234861.84305395238</v>
      </c>
      <c r="I2">
        <f>SUMIFS('2025 projection'!$B$5:$BA$5,'2025 projection'!$B$6:$BA$6,I$1)</f>
        <v>486032.20755820035</v>
      </c>
      <c r="J2">
        <f>SUMIFS('2025 projection'!$B$5:$BA$5,'2025 projection'!$B$6:$BA$6,J$1)</f>
        <v>656290.43390485446</v>
      </c>
      <c r="K2">
        <f>SUMIFS('2025 projection'!$B$5:$BA$5,'2025 projection'!$B$6:$BA$6,K$1)</f>
        <v>85992.189497537416</v>
      </c>
      <c r="L2">
        <f>SUMIFS('2025 projection'!$B$5:$BA$5,'2025 projection'!$B$6:$BA$6,L$1)</f>
        <v>581626.40619486279</v>
      </c>
      <c r="M2">
        <f>SUMIFS('2025 projection'!$B$5:$BA$5,'2025 projection'!$B$6:$BA$6,M$1)</f>
        <v>341824.75397723145</v>
      </c>
      <c r="N2">
        <f>SUMIFS('2025 projection'!$B$5:$BA$5,'2025 projection'!$B$6:$BA$6,N$1)</f>
        <v>714320.69989480951</v>
      </c>
      <c r="O2">
        <f>SUMIFS('2025 projection'!$B$5:$BA$5,'2025 projection'!$B$6:$BA$6,O$1)</f>
        <v>75113.741080116219</v>
      </c>
      <c r="P2">
        <f>SUMIFS('2025 projection'!$B$5:$BA$5,'2025 projection'!$B$6:$BA$6,P$1)</f>
        <v>339319.41404206003</v>
      </c>
      <c r="Q2">
        <f>SUMIFS('2025 projection'!$B$5:$BA$5,'2025 projection'!$B$6:$BA$6,Q$1)</f>
        <v>204012.36673090677</v>
      </c>
      <c r="R2">
        <f>SUMIFS('2025 projection'!$B$5:$BA$5,'2025 projection'!$B$6:$BA$6,R$1)</f>
        <v>172936.35784978082</v>
      </c>
      <c r="S2">
        <f>SUMIFS('2025 projection'!$B$5:$BA$5,'2025 projection'!$B$6:$BA$6,S$1)</f>
        <v>1458312.1826968323</v>
      </c>
      <c r="T2">
        <f>SUMIFS('2025 projection'!$B$5:$BA$5,'2025 projection'!$B$6:$BA$6,T$1)</f>
        <v>998246.53360524459</v>
      </c>
      <c r="U2">
        <f>SUMIFS('2025 projection'!$B$5:$BA$5,'2025 projection'!$B$6:$BA$6,U$1)</f>
        <v>395702.889904182</v>
      </c>
      <c r="V2">
        <f>SUMIFS('2025 projection'!$B$5:$BA$5,'2025 projection'!$B$6:$BA$6,V$1)</f>
        <v>1129426.3553027897</v>
      </c>
      <c r="W2">
        <f>SUMIFS('2025 projection'!$B$5:$BA$5,'2025 projection'!$B$6:$BA$6,W$1)</f>
        <v>971570.25478520442</v>
      </c>
      <c r="X2">
        <f>SUMIFS('2025 projection'!$B$5:$BA$5,'2025 projection'!$B$6:$BA$6,X$1)</f>
        <v>719199.92953838501</v>
      </c>
      <c r="Y2">
        <f>SUMIFS('2025 projection'!$B$5:$BA$5,'2025 projection'!$B$6:$BA$6,Y$1)</f>
        <v>1158563.4826567525</v>
      </c>
      <c r="Z2">
        <f>SUMIFS('2025 projection'!$B$5:$BA$5,'2025 projection'!$B$6:$BA$6,Z$1)</f>
        <v>418151.52863663895</v>
      </c>
      <c r="AA2">
        <f>SUMIFS('2025 projection'!$B$5:$BA$5,'2025 projection'!$B$6:$BA$6,AA$1)</f>
        <v>178876.04347744229</v>
      </c>
      <c r="AB2">
        <f>SUMIFS('2025 projection'!$B$5:$BA$5,'2025 projection'!$B$6:$BA$6,AB$1)</f>
        <v>588819.44963923679</v>
      </c>
      <c r="AC2">
        <f>SUMIFS('2025 projection'!$B$5:$BA$5,'2025 projection'!$B$6:$BA$6,AC$1)</f>
        <v>8951206.6645121723</v>
      </c>
      <c r="AD2">
        <f>SUMIFS('2025 projection'!$B$5:$BA$5,'2025 projection'!$B$6:$BA$6,AD$1)</f>
        <v>23268414.880402893</v>
      </c>
      <c r="AE2">
        <f>SUMIFS('2025 projection'!$B$5:$BA$5,'2025 projection'!$B$6:$BA$6,AE$1)</f>
        <v>6664279.3578382945</v>
      </c>
      <c r="AF2">
        <f>SUMIFS('2025 projection'!$B$5:$BA$5,'2025 projection'!$B$6:$BA$6,AF$1)</f>
        <v>14558643.178927306</v>
      </c>
      <c r="AG2">
        <f>SUMIFS('2025 projection'!$B$5:$BA$5,'2025 projection'!$B$6:$BA$6,AG$1)</f>
        <v>1652965.479201494</v>
      </c>
      <c r="AH2">
        <f>SUMIFS('2025 projection'!$B$5:$BA$5,'2025 projection'!$B$6:$BA$6,AH$1)</f>
        <v>596175.69494975568</v>
      </c>
      <c r="AI2">
        <f>SUMIFS('2025 projection'!$B$5:$BA$5,'2025 projection'!$B$6:$BA$6,AI$1)</f>
        <v>3116388.7997611635</v>
      </c>
      <c r="AJ2">
        <f>SUMIFS('2025 projection'!$B$5:$BA$5,'2025 projection'!$B$6:$BA$6,AJ$1)</f>
        <v>6790750.6925858743</v>
      </c>
      <c r="AK2">
        <f>SUMIFS('2025 projection'!$B$5:$BA$5,'2025 projection'!$B$6:$BA$6,AK$1)</f>
        <v>2518065.6862015352</v>
      </c>
      <c r="AL2">
        <f>SUMIFS('2025 projection'!$B$5:$BA$5,'2025 projection'!$B$6:$BA$6,AL$1)</f>
        <v>20048407.630425494</v>
      </c>
      <c r="AM2">
        <f>SUMIFS('2025 projection'!$B$5:$BA$5,'2025 projection'!$B$6:$BA$6,AM$1)</f>
        <v>23418756.207058091</v>
      </c>
      <c r="AN2">
        <f>SUMIFS('2025 projection'!$B$5:$BA$5,'2025 projection'!$B$6:$BA$6,AN$1)</f>
        <v>3888557.0589388963</v>
      </c>
      <c r="AO2">
        <f>SUMIFS('2025 projection'!$B$5:$BA$5,'2025 projection'!$B$6:$BA$6,AO$1)</f>
        <v>23138118.343132239</v>
      </c>
      <c r="AP2">
        <f>SUMIFS('2025 projection'!$B$5:$BA$5,'2025 projection'!$B$6:$BA$6,AP$1)</f>
        <v>7413373.0265906304</v>
      </c>
      <c r="AQ2">
        <f>SUMIFS('2025 projection'!$B$5:$BA$5,'2025 projection'!$B$6:$BA$6,AQ$1)</f>
        <v>618272.42783850792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BLS Employment</vt:lpstr>
      <vt:lpstr>BLS 2.11 ag excerpt</vt:lpstr>
      <vt:lpstr>BLS Table 2.11</vt:lpstr>
      <vt:lpstr>AEO25 Table 23</vt:lpstr>
      <vt:lpstr>AEO 2026 Table 23 </vt:lpstr>
      <vt:lpstr>g2025 derivation</vt:lpstr>
      <vt:lpstr>OECD Mining &amp; Utilities</vt:lpstr>
      <vt:lpstr>OECD Manufacturing</vt:lpstr>
      <vt:lpstr>OECD Construction</vt:lpstr>
      <vt:lpstr>OECD Transport Retail Food</vt:lpstr>
      <vt:lpstr>OECD Info Comms</vt:lpstr>
      <vt:lpstr>OECD Finance Insurance</vt:lpstr>
      <vt:lpstr>OECD Prof Tech Admin</vt:lpstr>
      <vt:lpstr>2025 projection</vt:lpstr>
      <vt:lpstr>Checks</vt:lpstr>
      <vt:lpstr>BEbIC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2026-07-21T19:30:25Z</dcterms:created>
  <dcterms:modified xsi:type="dcterms:W3CDTF">2026-07-21T20:44:05Z</dcterms:modified>
</cp:coreProperties>
</file>