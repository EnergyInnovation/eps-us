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BLS Employment" sheetId="2" state="visible" r:id="rId2"/>
    <sheet xmlns:r="http://schemas.openxmlformats.org/officeDocument/2006/relationships" name="BLS 2.11 ag excerpt" sheetId="3" state="visible" r:id="rId3"/>
    <sheet xmlns:r="http://schemas.openxmlformats.org/officeDocument/2006/relationships" name="BLS Table 2.11" sheetId="4" state="visible" r:id="rId4"/>
    <sheet xmlns:r="http://schemas.openxmlformats.org/officeDocument/2006/relationships" name="AEO25 Table 23" sheetId="5" state="visible" r:id="rId5"/>
    <sheet xmlns:r="http://schemas.openxmlformats.org/officeDocument/2006/relationships" name="AEO 2026 Table 23 " sheetId="6" state="visible" r:id="rId6"/>
    <sheet xmlns:r="http://schemas.openxmlformats.org/officeDocument/2006/relationships" name="g2025 derivation" sheetId="7" state="visible" r:id="rId7"/>
    <sheet xmlns:r="http://schemas.openxmlformats.org/officeDocument/2006/relationships" name="OECD Mining &amp; Utilities" sheetId="8" state="visible" r:id="rId8"/>
    <sheet xmlns:r="http://schemas.openxmlformats.org/officeDocument/2006/relationships" name="OECD Manufacturing" sheetId="9" state="visible" r:id="rId9"/>
    <sheet xmlns:r="http://schemas.openxmlformats.org/officeDocument/2006/relationships" name="OECD Construction" sheetId="10" state="visible" r:id="rId10"/>
    <sheet xmlns:r="http://schemas.openxmlformats.org/officeDocument/2006/relationships" name="OECD Transport Retail Food" sheetId="11" state="visible" r:id="rId11"/>
    <sheet xmlns:r="http://schemas.openxmlformats.org/officeDocument/2006/relationships" name="OECD Info Comms" sheetId="12" state="visible" r:id="rId12"/>
    <sheet xmlns:r="http://schemas.openxmlformats.org/officeDocument/2006/relationships" name="OECD Finance Insurance" sheetId="13" state="visible" r:id="rId13"/>
    <sheet xmlns:r="http://schemas.openxmlformats.org/officeDocument/2006/relationships" name="OECD Prof Tech Admin" sheetId="14" state="visible" r:id="rId14"/>
    <sheet xmlns:r="http://schemas.openxmlformats.org/officeDocument/2006/relationships" name="2025 projection" sheetId="15" state="visible" r:id="rId15"/>
    <sheet xmlns:r="http://schemas.openxmlformats.org/officeDocument/2006/relationships" name="Checks" sheetId="16" state="visible" r:id="rId16"/>
    <sheet xmlns:r="http://schemas.openxmlformats.org/officeDocument/2006/relationships" name="BEbIC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s.gov/ces/data/employment-and-earnings/2024/table1a_2024" TargetMode="External" Id="rId1"/><Relationship Type="http://schemas.openxmlformats.org/officeDocument/2006/relationships/hyperlink" Target="https://www.bls.gov/cps/cpsaat15.htm" TargetMode="External" Id="rId2"/><Relationship Type="http://schemas.openxmlformats.org/officeDocument/2006/relationships/hyperlink" Target="https://sda.usa.ipums.org/sdaweb/analysis/?dataset=all_usa_sample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BEbIC BAU Employment by ISIC Code</t>
        </is>
      </c>
    </row>
    <row r="3">
      <c r="A3" s="1" t="inlineStr">
        <is>
          <t>Sources:</t>
        </is>
      </c>
      <c r="B3" s="2" t="inlineStr">
        <is>
          <t>Nonfarm employment by industry (2024)</t>
        </is>
      </c>
    </row>
    <row r="4">
      <c r="B4" s="3" t="inlineStr">
        <is>
          <t>U.S. Bureau of Labor Statistics</t>
        </is>
      </c>
    </row>
    <row r="5">
      <c r="B5" s="3" t="inlineStr">
        <is>
          <t>Current Employment Statistics, Table B-1a</t>
        </is>
      </c>
    </row>
    <row r="6">
      <c r="B6" s="3" t="n">
        <v>2024</v>
      </c>
    </row>
    <row r="7">
      <c r="B7" s="4" t="inlineStr">
        <is>
          <t>https://www.bls.gov/ces/data/employment-and-earnings/2024/table1a_2024</t>
        </is>
      </c>
    </row>
    <row r="8">
      <c r="B8" s="3" t="inlineStr">
        <is>
          <t>Tab 'BLS Employment', pasted verbatim from the stock workbook including its hand-split blocks (CES categories straddling ISIC boundaries, split by gross output). Column A holds the editable ISIC assignment; rows under the six split parents are re-labeled to their 52-code children by NAICS (column C). NAICS 5415 computer systems design is assigned to ISIC 62T63 (consistent deviation).</t>
        </is>
      </c>
    </row>
    <row r="10">
      <c r="B10" s="2" t="inlineStr">
        <is>
          <t>Farm-sector employment (incl. self-employed)</t>
        </is>
      </c>
    </row>
    <row r="11">
      <c r="B11" s="3" t="inlineStr">
        <is>
          <t>U.S. Bureau of Labor Statistics</t>
        </is>
      </c>
    </row>
    <row r="12">
      <c r="B12" s="3" t="inlineStr">
        <is>
          <t>CPS, Table cpsaat15 (cell B5 of the BLS Employment tab)</t>
        </is>
      </c>
    </row>
    <row r="13">
      <c r="B13" s="3" t="n">
        <v>2024</v>
      </c>
    </row>
    <row r="14">
      <c r="B14" s="4" t="inlineStr">
        <is>
          <t>https://www.bls.gov/cps/cpsaat15.htm</t>
        </is>
      </c>
    </row>
    <row r="15">
      <c r="B15" s="3" t="inlineStr">
        <is>
          <t>Added to agriculture and split ISIC 01/02/03 by BLS Table 2.11 matrix shares of farming (111+112) / forestry (1131-2) / fishing (114000) — tab 'BLS 2.11 ag excerpt'. CES rows already cover logging and agricultural support.</t>
        </is>
      </c>
    </row>
    <row r="17">
      <c r="B17" s="2" t="inlineStr">
        <is>
          <t>Private household employment</t>
        </is>
      </c>
    </row>
    <row r="18">
      <c r="B18" s="3" t="inlineStr">
        <is>
          <t>IPUMS SDA (2024 ACS)</t>
        </is>
      </c>
    </row>
    <row r="19">
      <c r="B19" s="3" t="inlineStr">
        <is>
          <t>empstat x ind crosstab (cell B9 of the BLS Employment tab)</t>
        </is>
      </c>
    </row>
    <row r="20">
      <c r="B20" s="3" t="n">
        <v>2024</v>
      </c>
    </row>
    <row r="21">
      <c r="B21" s="4" t="inlineStr">
        <is>
          <t>https://sda.usa.ipums.org/sdaweb/analysis/?dataset=all_usa_samples</t>
        </is>
      </c>
    </row>
    <row r="22">
      <c r="B22" s="3" t="inlineStr">
        <is>
          <t>Added to ISIC 97T98.</t>
        </is>
      </c>
    </row>
    <row r="25">
      <c r="A25" s="1" t="inlineStr">
        <is>
          <t>Notes:</t>
        </is>
      </c>
    </row>
    <row r="26">
      <c r="A26" s="1" t="inlineStr">
        <is>
          <t>Export</t>
        </is>
      </c>
      <c r="B26" s="3" t="inlineStr">
        <is>
          <t>BEbIC.csv = tab BEbIC values; canonical 52-code column order (positional Vensim read).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  <hyperlink xmlns:r="http://schemas.openxmlformats.org/officeDocument/2006/relationships" ref="B2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89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sheetData>
    <row r="2">
      <c r="A2" t="inlineStr">
        <is>
          <t>Other data</t>
        </is>
      </c>
    </row>
    <row r="4">
      <c r="B4" t="inlineStr">
        <is>
          <t>ISIC 01T03</t>
        </is>
      </c>
      <c r="C4" t="inlineStr">
        <is>
          <t>agriculture and related activities</t>
        </is>
      </c>
    </row>
    <row r="5">
      <c r="B5" t="n">
        <v>2254000</v>
      </c>
    </row>
    <row r="6">
      <c r="B6" t="inlineStr">
        <is>
          <t>https://www.bls.gov/cps/cpsaat15.htm</t>
        </is>
      </c>
      <c r="C6" t="inlineStr">
        <is>
          <t>accessed 1/8/26</t>
        </is>
      </c>
    </row>
    <row r="8">
      <c r="B8" t="inlineStr">
        <is>
          <t>ISIC 97T98</t>
        </is>
      </c>
      <c r="C8" t="inlineStr">
        <is>
          <t>private households</t>
        </is>
      </c>
    </row>
    <row r="9">
      <c r="B9" t="n">
        <v>608254</v>
      </c>
    </row>
    <row r="10">
      <c r="B10" t="inlineStr">
        <is>
          <t>https://sda.usa.ipums.org/sdaweb/analysis/?dataset=all_usa_samples</t>
        </is>
      </c>
    </row>
    <row r="13">
      <c r="A13" t="inlineStr">
        <is>
          <t>Data split to assign to proper EPS ISIC Categories</t>
        </is>
      </c>
    </row>
    <row r="14">
      <c r="A14" t="inlineStr">
        <is>
          <t>uses gross output data from io-model/BObIC</t>
        </is>
      </c>
    </row>
    <row r="16">
      <c r="B16" t="inlineStr">
        <is>
          <t>Other miscellaneous nondurable goods manufacturing(1)</t>
        </is>
      </c>
      <c r="C16" t="inlineStr">
        <is>
          <t>3122,60</t>
        </is>
      </c>
      <c r="D16" t="n">
        <v>36.2</v>
      </c>
      <c r="E16" t="n">
        <v>35.2</v>
      </c>
      <c r="F16" t="n">
        <v>35.4</v>
      </c>
      <c r="G16" t="n">
        <v>35</v>
      </c>
      <c r="H16" t="n">
        <v>35.6</v>
      </c>
      <c r="I16" t="inlineStr">
        <is>
          <t>-</t>
        </is>
      </c>
      <c r="J16" t="inlineStr">
        <is>
          <t>-</t>
        </is>
      </c>
    </row>
    <row r="18">
      <c r="A18" t="n">
        <v>312200</v>
      </c>
      <c r="B18" t="inlineStr">
        <is>
          <t>Tobacco manufacturing</t>
        </is>
      </c>
      <c r="C18" t="n">
        <v>69178</v>
      </c>
      <c r="D18" t="inlineStr">
        <is>
          <t>ISIC 10T12</t>
        </is>
      </c>
      <c r="F18" t="n">
        <v>0.8735147420923038</v>
      </c>
      <c r="G18" t="inlineStr">
        <is>
          <t>ISIC 10T12</t>
        </is>
      </c>
    </row>
    <row r="19">
      <c r="A19" t="n">
        <v>316000</v>
      </c>
      <c r="B19" t="inlineStr">
        <is>
          <t>Leather and allied product manufacturing</t>
        </is>
      </c>
      <c r="C19" t="n">
        <v>10017</v>
      </c>
      <c r="D19" t="inlineStr">
        <is>
          <t>ISIC 13T15</t>
        </is>
      </c>
      <c r="F19" t="n">
        <v>0.1264852579076962</v>
      </c>
      <c r="G19" t="inlineStr">
        <is>
          <t>ISIC 13T15</t>
        </is>
      </c>
    </row>
    <row r="21">
      <c r="A21" t="inlineStr">
        <is>
          <t>ISIC 10T12</t>
        </is>
      </c>
      <c r="D21" t="n">
        <v>31.6212336637414</v>
      </c>
      <c r="E21" t="n">
        <v>30.7477189216491</v>
      </c>
      <c r="F21" t="n">
        <v>30.92242187006756</v>
      </c>
      <c r="G21" t="n">
        <v>30.57301597323064</v>
      </c>
      <c r="H21" t="n">
        <v>31.09712481848602</v>
      </c>
    </row>
    <row r="22">
      <c r="A22" t="inlineStr">
        <is>
          <t>ISIC 13T15</t>
        </is>
      </c>
      <c r="D22" t="n">
        <v>4.578766336258602</v>
      </c>
      <c r="E22" t="n">
        <v>4.452281078350906</v>
      </c>
      <c r="F22" t="n">
        <v>4.477578129932445</v>
      </c>
      <c r="G22" t="n">
        <v>4.426984026769366</v>
      </c>
      <c r="H22" t="n">
        <v>4.502875181513985</v>
      </c>
    </row>
    <row r="24">
      <c r="B24" t="inlineStr">
        <is>
          <t>Asphalt paving, roofing, saturated materials, and other petroleum and coal products manufacturing(1)</t>
        </is>
      </c>
      <c r="C24" t="inlineStr">
        <is>
          <t>32412,9</t>
        </is>
      </c>
      <c r="D24" t="n">
        <v>46.8</v>
      </c>
      <c r="E24" t="n">
        <v>45.9</v>
      </c>
      <c r="F24" t="n">
        <v>46.1</v>
      </c>
      <c r="G24" t="n">
        <v>45.8</v>
      </c>
      <c r="H24" t="n">
        <v>45.8</v>
      </c>
      <c r="I24" t="inlineStr">
        <is>
          <t>-</t>
        </is>
      </c>
      <c r="J24" t="inlineStr">
        <is>
          <t>-</t>
        </is>
      </c>
    </row>
    <row r="26">
      <c r="A26" t="n">
        <v>324121</v>
      </c>
      <c r="B26" t="inlineStr">
        <is>
          <t>Asphalt paving mixture and block manufacturing</t>
        </is>
      </c>
      <c r="C26" t="n">
        <v>18352</v>
      </c>
      <c r="D26" t="inlineStr">
        <is>
          <t>ISIC 19</t>
        </is>
      </c>
      <c r="F26" t="n">
        <v>0.5765022636850048</v>
      </c>
      <c r="G26" t="inlineStr">
        <is>
          <t>ISIC 19</t>
        </is>
      </c>
    </row>
    <row r="27">
      <c r="A27" t="n">
        <v>324122</v>
      </c>
      <c r="B27" t="inlineStr">
        <is>
          <t>Asphalt shingle and coating materials manufacturing</t>
        </is>
      </c>
      <c r="C27" t="n">
        <v>15265</v>
      </c>
      <c r="D27" t="inlineStr">
        <is>
          <t>ISIC 19</t>
        </is>
      </c>
      <c r="F27" t="n">
        <v>0.4234977363149952</v>
      </c>
      <c r="G27" t="inlineStr">
        <is>
          <t>ISIC 241</t>
        </is>
      </c>
    </row>
    <row r="28">
      <c r="A28" t="n">
        <v>324190</v>
      </c>
      <c r="B28" t="inlineStr">
        <is>
          <t>Other petroleum and coal products manufacturing</t>
        </is>
      </c>
      <c r="C28" t="n">
        <v>24695</v>
      </c>
      <c r="D28" t="inlineStr">
        <is>
          <t>ISIC 241</t>
        </is>
      </c>
    </row>
    <row r="30">
      <c r="A30" t="inlineStr">
        <is>
          <t>ISIC 19</t>
        </is>
      </c>
      <c r="D30" t="n">
        <v>26.98030594045822</v>
      </c>
      <c r="E30" t="n">
        <v>26.46145390314172</v>
      </c>
      <c r="F30" t="n">
        <v>26.57675435587872</v>
      </c>
      <c r="G30" t="n">
        <v>26.40380367677322</v>
      </c>
      <c r="H30" t="n">
        <v>26.40380367677322</v>
      </c>
    </row>
    <row r="31">
      <c r="A31" t="inlineStr">
        <is>
          <t>ISIC 241</t>
        </is>
      </c>
      <c r="D31" t="n">
        <v>19.81969405954177</v>
      </c>
      <c r="E31" t="n">
        <v>19.43854609685828</v>
      </c>
      <c r="F31" t="n">
        <v>19.52324564412128</v>
      </c>
      <c r="G31" t="n">
        <v>19.39619632322678</v>
      </c>
      <c r="H31" t="n">
        <v>19.39619632322678</v>
      </c>
    </row>
    <row r="34">
      <c r="A34" t="inlineStr">
        <is>
          <t>All data from BLS</t>
        </is>
      </c>
    </row>
    <row r="36">
      <c r="B36" t="inlineStr">
        <is>
          <t>ESTABLISHMENT DATA</t>
        </is>
      </c>
      <c r="C36" t="inlineStr">
        <is>
          <t>https://www.bls.gov/ces/data/employment-and-earnings/2024/table1a_202411.htm</t>
        </is>
      </c>
    </row>
    <row r="37">
      <c r="B37" t="inlineStr">
        <is>
          <t>Table B-1a. Employees on nonfarm payrolls by industry sector and selected industry detail, seasonally adjusted</t>
        </is>
      </c>
    </row>
    <row r="38">
      <c r="B38" t="inlineStr">
        <is>
          <t>[In thousands]</t>
        </is>
      </c>
    </row>
    <row r="39">
      <c r="B39" t="inlineStr">
        <is>
          <t>Industry</t>
        </is>
      </c>
      <c r="C39" t="inlineStr">
        <is>
          <t>2022 NAICS code</t>
        </is>
      </c>
      <c r="D39" t="inlineStr">
        <is>
          <t>Seasonally adjusted</t>
        </is>
      </c>
      <c r="J39" t="inlineStr">
        <is>
          <t>Change from:</t>
        </is>
      </c>
    </row>
    <row r="40">
      <c r="D40" t="inlineStr">
        <is>
          <t>Nov.</t>
        </is>
      </c>
      <c r="E40" t="inlineStr">
        <is>
          <t>July</t>
        </is>
      </c>
      <c r="F40" t="inlineStr">
        <is>
          <t>Aug.</t>
        </is>
      </c>
      <c r="G40" t="inlineStr">
        <is>
          <t>Sept.</t>
        </is>
      </c>
      <c r="H40" t="inlineStr">
        <is>
          <t>Oct.</t>
        </is>
      </c>
      <c r="I40" t="inlineStr">
        <is>
          <t>Nov.</t>
        </is>
      </c>
      <c r="J40" t="inlineStr">
        <is>
          <t>Oct. 2024 - Nov. 2024(p)</t>
        </is>
      </c>
    </row>
    <row r="41">
      <c r="D41" t="n">
        <v>2023</v>
      </c>
      <c r="E41" t="n">
        <v>2024</v>
      </c>
      <c r="F41" t="n">
        <v>2024</v>
      </c>
      <c r="G41" t="n">
        <v>2024</v>
      </c>
      <c r="H41" t="inlineStr">
        <is>
          <t>2024(p)</t>
        </is>
      </c>
      <c r="I41" t="inlineStr">
        <is>
          <t>2024(p)</t>
        </is>
      </c>
    </row>
    <row r="42">
      <c r="B42" t="inlineStr">
        <is>
          <t>Total nonfarm</t>
        </is>
      </c>
      <c r="D42" t="n">
        <v>157014</v>
      </c>
      <c r="E42" t="n">
        <v>158692</v>
      </c>
      <c r="F42" t="n">
        <v>158770</v>
      </c>
      <c r="G42" t="n">
        <v>159025</v>
      </c>
      <c r="H42" t="n">
        <v>159061</v>
      </c>
      <c r="I42" t="n">
        <v>159288</v>
      </c>
      <c r="J42" t="n">
        <v>227</v>
      </c>
    </row>
    <row r="44">
      <c r="B44" t="inlineStr">
        <is>
          <t>Total private</t>
        </is>
      </c>
      <c r="D44" t="n">
        <v>134014</v>
      </c>
      <c r="E44" t="n">
        <v>135347</v>
      </c>
      <c r="F44" t="n">
        <v>135384</v>
      </c>
      <c r="G44" t="n">
        <v>135606</v>
      </c>
      <c r="H44" t="n">
        <v>135604</v>
      </c>
      <c r="I44" t="n">
        <v>135798</v>
      </c>
      <c r="J44" t="n">
        <v>194</v>
      </c>
    </row>
    <row r="46">
      <c r="B46" t="inlineStr">
        <is>
          <t>Goods-producing</t>
        </is>
      </c>
      <c r="D46" t="n">
        <v>21690</v>
      </c>
      <c r="E46" t="n">
        <v>21833</v>
      </c>
      <c r="F46" t="n">
        <v>21835</v>
      </c>
      <c r="G46" t="n">
        <v>21850</v>
      </c>
      <c r="H46" t="n">
        <v>21806</v>
      </c>
      <c r="I46" t="n">
        <v>21840</v>
      </c>
      <c r="J46" t="n">
        <v>34</v>
      </c>
    </row>
    <row r="48">
      <c r="B48" t="inlineStr">
        <is>
          <t>Mining and logging</t>
        </is>
      </c>
      <c r="D48" t="n">
        <v>640</v>
      </c>
      <c r="E48" t="n">
        <v>635</v>
      </c>
      <c r="F48" t="n">
        <v>635</v>
      </c>
      <c r="G48" t="n">
        <v>636</v>
      </c>
      <c r="H48" t="n">
        <v>638</v>
      </c>
      <c r="I48" t="n">
        <v>640</v>
      </c>
      <c r="J48" t="n">
        <v>2</v>
      </c>
    </row>
    <row r="49">
      <c r="A49" t="inlineStr">
        <is>
          <t>ISIC 02</t>
        </is>
      </c>
      <c r="B49" t="inlineStr">
        <is>
          <t>Logging</t>
        </is>
      </c>
      <c r="C49" t="n">
        <v>1133</v>
      </c>
      <c r="D49" t="n">
        <v>43.4</v>
      </c>
      <c r="E49" t="n">
        <v>38.5</v>
      </c>
      <c r="F49" t="n">
        <v>38</v>
      </c>
      <c r="G49" t="n">
        <v>38.2</v>
      </c>
      <c r="H49" t="n">
        <v>38.2</v>
      </c>
      <c r="I49" t="n">
        <v>38.2</v>
      </c>
      <c r="J49" t="n">
        <v>0</v>
      </c>
    </row>
    <row r="50">
      <c r="B50" t="inlineStr">
        <is>
          <t>Mining, quarrying, and oil and gas extraction</t>
        </is>
      </c>
      <c r="C50" t="n">
        <v>21</v>
      </c>
      <c r="D50" t="n">
        <v>596.2</v>
      </c>
      <c r="E50" t="n">
        <v>596.7</v>
      </c>
      <c r="F50" t="n">
        <v>596.7</v>
      </c>
      <c r="G50" t="n">
        <v>598.2</v>
      </c>
      <c r="H50" t="n">
        <v>599.3</v>
      </c>
      <c r="I50" t="n">
        <v>601.5</v>
      </c>
      <c r="J50" t="n">
        <v>2.2</v>
      </c>
    </row>
    <row r="51">
      <c r="A51" t="inlineStr">
        <is>
          <t>ISIC 06</t>
        </is>
      </c>
      <c r="B51" t="inlineStr">
        <is>
          <t>Oil and gas extraction</t>
        </is>
      </c>
      <c r="C51" t="n">
        <v>211</v>
      </c>
      <c r="D51" t="n">
        <v>117.4</v>
      </c>
      <c r="E51" t="n">
        <v>120</v>
      </c>
      <c r="F51" t="n">
        <v>119</v>
      </c>
      <c r="G51" t="n">
        <v>119.6</v>
      </c>
      <c r="H51" t="n">
        <v>119.6</v>
      </c>
      <c r="I51" t="n">
        <v>119.7</v>
      </c>
      <c r="J51" t="n">
        <v>0.1</v>
      </c>
    </row>
    <row r="52">
      <c r="B52" t="inlineStr">
        <is>
          <t>Mining (except oil and gas)</t>
        </is>
      </c>
      <c r="C52" t="n">
        <v>212</v>
      </c>
      <c r="D52" t="n">
        <v>187.1</v>
      </c>
      <c r="E52" t="n">
        <v>188.8</v>
      </c>
      <c r="F52" t="n">
        <v>188.6</v>
      </c>
      <c r="G52" t="n">
        <v>189</v>
      </c>
      <c r="H52" t="n">
        <v>189.3</v>
      </c>
      <c r="I52" t="n">
        <v>190</v>
      </c>
      <c r="J52" t="n">
        <v>0.7</v>
      </c>
    </row>
    <row r="53">
      <c r="A53" t="inlineStr">
        <is>
          <t>ISIC 05</t>
        </is>
      </c>
      <c r="B53" t="inlineStr">
        <is>
          <t>Coal mining</t>
        </is>
      </c>
      <c r="C53" t="n">
        <v>2121</v>
      </c>
      <c r="D53" t="n">
        <v>42.7</v>
      </c>
      <c r="E53" t="n">
        <v>43.6</v>
      </c>
      <c r="F53" t="n">
        <v>43.2</v>
      </c>
      <c r="G53" t="n">
        <v>43.2</v>
      </c>
      <c r="H53" t="n">
        <v>42.8</v>
      </c>
      <c r="I53" t="n">
        <v>43.4</v>
      </c>
      <c r="J53" t="n">
        <v>0.6</v>
      </c>
    </row>
    <row r="54">
      <c r="B54" t="inlineStr">
        <is>
          <t>Surface coal mining(1)</t>
        </is>
      </c>
      <c r="C54" t="n">
        <v>212114</v>
      </c>
      <c r="D54" t="n">
        <v>19.6</v>
      </c>
      <c r="E54" t="n">
        <v>19.7</v>
      </c>
      <c r="F54" t="n">
        <v>19.2</v>
      </c>
      <c r="G54" t="n">
        <v>19.1</v>
      </c>
      <c r="H54" t="n">
        <v>18.6</v>
      </c>
      <c r="I54" t="inlineStr">
        <is>
          <t>-</t>
        </is>
      </c>
      <c r="J54" t="inlineStr">
        <is>
          <t>-</t>
        </is>
      </c>
    </row>
    <row r="55">
      <c r="B55" t="inlineStr">
        <is>
          <t>Underground coal mining(1)</t>
        </is>
      </c>
      <c r="C55" t="n">
        <v>212115</v>
      </c>
      <c r="D55" t="n">
        <v>23</v>
      </c>
      <c r="E55" t="n">
        <v>23.9</v>
      </c>
      <c r="F55" t="n">
        <v>23.9</v>
      </c>
      <c r="G55" t="n">
        <v>24</v>
      </c>
      <c r="H55" t="n">
        <v>24.2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ISIC 07</t>
        </is>
      </c>
      <c r="B56" t="inlineStr">
        <is>
          <t>Metal ore mining</t>
        </is>
      </c>
      <c r="C56" t="n">
        <v>2122</v>
      </c>
      <c r="D56" t="n">
        <v>43.7</v>
      </c>
      <c r="E56" t="n">
        <v>43.5</v>
      </c>
      <c r="F56" t="n">
        <v>43.6</v>
      </c>
      <c r="G56" t="n">
        <v>43.6</v>
      </c>
      <c r="H56" t="n">
        <v>43.6</v>
      </c>
      <c r="I56" t="n">
        <v>43.7</v>
      </c>
      <c r="J56" t="n">
        <v>0.1</v>
      </c>
    </row>
    <row r="57">
      <c r="A57" t="inlineStr">
        <is>
          <t>ISIC 08</t>
        </is>
      </c>
      <c r="B57" t="inlineStr">
        <is>
          <t>Nonmetallic mineral mining and quarrying</t>
        </is>
      </c>
      <c r="C57" t="n">
        <v>2123</v>
      </c>
      <c r="D57" t="n">
        <v>100.7</v>
      </c>
      <c r="E57" t="n">
        <v>101.7</v>
      </c>
      <c r="F57" t="n">
        <v>101.8</v>
      </c>
      <c r="G57" t="n">
        <v>102.3</v>
      </c>
      <c r="H57" t="n">
        <v>102.9</v>
      </c>
      <c r="I57" t="n">
        <v>102.9</v>
      </c>
      <c r="J57" t="n">
        <v>0</v>
      </c>
    </row>
    <row r="58">
      <c r="B58" t="inlineStr">
        <is>
          <t>Stone mining and quarrying(1)</t>
        </is>
      </c>
      <c r="C58" t="n">
        <v>21231</v>
      </c>
      <c r="D58" t="n">
        <v>44.5</v>
      </c>
      <c r="E58" t="n">
        <v>45.4</v>
      </c>
      <c r="F58" t="n">
        <v>45.6</v>
      </c>
      <c r="G58" t="n">
        <v>45.5</v>
      </c>
      <c r="H58" t="n">
        <v>45.6</v>
      </c>
      <c r="I58" t="inlineStr">
        <is>
          <t>-</t>
        </is>
      </c>
      <c r="J58" t="inlineStr">
        <is>
          <t>-</t>
        </is>
      </c>
    </row>
    <row r="59">
      <c r="B59" t="inlineStr">
        <is>
          <t>Crushed and broken limestone mining and quarrying(1)</t>
        </is>
      </c>
      <c r="C59" t="n">
        <v>212312</v>
      </c>
      <c r="D59" t="n">
        <v>23</v>
      </c>
      <c r="E59" t="n">
        <v>23.6</v>
      </c>
      <c r="F59" t="n">
        <v>23.5</v>
      </c>
      <c r="G59" t="n">
        <v>23.5</v>
      </c>
      <c r="H59" t="n">
        <v>23.5</v>
      </c>
      <c r="I59" t="inlineStr">
        <is>
          <t>-</t>
        </is>
      </c>
      <c r="J59" t="inlineStr">
        <is>
          <t>-</t>
        </is>
      </c>
    </row>
    <row r="60">
      <c r="B60" t="inlineStr">
        <is>
          <t>Dimension stone, crushed and broken granite, and other crushed and broken stone mining and quarrying(1)</t>
        </is>
      </c>
      <c r="C60" t="inlineStr">
        <is>
          <t>212311,3,9</t>
        </is>
      </c>
      <c r="D60" t="n">
        <v>21.3</v>
      </c>
      <c r="E60" t="n">
        <v>21.9</v>
      </c>
      <c r="F60" t="n">
        <v>22.1</v>
      </c>
      <c r="G60" t="n">
        <v>21.9</v>
      </c>
      <c r="H60" t="n">
        <v>22</v>
      </c>
      <c r="I60" t="inlineStr">
        <is>
          <t>-</t>
        </is>
      </c>
      <c r="J60" t="inlineStr">
        <is>
          <t>-</t>
        </is>
      </c>
    </row>
    <row r="61">
      <c r="B61" t="inlineStr">
        <is>
          <t>Sand, gravel, clay, and ceramic and refractory minerals mining and quarrying(1)</t>
        </is>
      </c>
      <c r="C61" t="n">
        <v>21232</v>
      </c>
      <c r="D61" t="n">
        <v>44.2</v>
      </c>
      <c r="E61" t="n">
        <v>44</v>
      </c>
      <c r="F61" t="n">
        <v>43.4</v>
      </c>
      <c r="G61" t="n">
        <v>44.4</v>
      </c>
      <c r="H61" t="n">
        <v>44.3</v>
      </c>
      <c r="I61" t="inlineStr">
        <is>
          <t>-</t>
        </is>
      </c>
      <c r="J61" t="inlineStr">
        <is>
          <t>-</t>
        </is>
      </c>
    </row>
    <row r="62">
      <c r="B62" t="inlineStr">
        <is>
          <t>Construction sand and gravel mining(1)</t>
        </is>
      </c>
      <c r="C62" t="n">
        <v>212321</v>
      </c>
      <c r="D62" t="n">
        <v>30</v>
      </c>
      <c r="E62" t="n">
        <v>29.1</v>
      </c>
      <c r="F62" t="n">
        <v>28.5</v>
      </c>
      <c r="G62" t="n">
        <v>29.2</v>
      </c>
      <c r="H62" t="n">
        <v>29.4</v>
      </c>
      <c r="I62" t="inlineStr">
        <is>
          <t>-</t>
        </is>
      </c>
      <c r="J62" t="inlineStr">
        <is>
          <t>-</t>
        </is>
      </c>
    </row>
    <row r="63">
      <c r="B63" t="inlineStr">
        <is>
          <t>Other nonmetallic mineral mining and quarrying(1)</t>
        </is>
      </c>
      <c r="C63" t="n">
        <v>21239</v>
      </c>
      <c r="D63" t="n">
        <v>12.2</v>
      </c>
      <c r="E63" t="n">
        <v>12.4</v>
      </c>
      <c r="F63" t="n">
        <v>12.7</v>
      </c>
      <c r="G63" t="n">
        <v>12.6</v>
      </c>
      <c r="H63" t="n">
        <v>13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ISIC 09</t>
        </is>
      </c>
      <c r="B64" t="inlineStr">
        <is>
          <t>Support activities for mining</t>
        </is>
      </c>
      <c r="C64" t="n">
        <v>213</v>
      </c>
      <c r="D64" t="n">
        <v>291.7</v>
      </c>
      <c r="E64" t="n">
        <v>287.9</v>
      </c>
      <c r="F64" t="n">
        <v>289.1</v>
      </c>
      <c r="G64" t="n">
        <v>289.6</v>
      </c>
      <c r="H64" t="n">
        <v>290.4</v>
      </c>
      <c r="I64" t="n">
        <v>291.8</v>
      </c>
      <c r="J64" t="n">
        <v>1.4</v>
      </c>
    </row>
    <row r="65">
      <c r="B65" t="inlineStr">
        <is>
          <t>Support activities for oil and gas operations(1)</t>
        </is>
      </c>
      <c r="C65" t="n">
        <v>213112</v>
      </c>
      <c r="D65" t="n">
        <v>228.4</v>
      </c>
      <c r="E65" t="n">
        <v>226.7</v>
      </c>
      <c r="F65" t="n">
        <v>227.3</v>
      </c>
      <c r="G65" t="n">
        <v>227.6</v>
      </c>
      <c r="H65" t="n">
        <v>228.8</v>
      </c>
      <c r="I65" t="inlineStr">
        <is>
          <t>-</t>
        </is>
      </c>
      <c r="J65" t="inlineStr">
        <is>
          <t>-</t>
        </is>
      </c>
    </row>
    <row r="67">
      <c r="A67" t="inlineStr">
        <is>
          <t>ISIC 41T43</t>
        </is>
      </c>
      <c r="B67" t="inlineStr">
        <is>
          <t>Construction</t>
        </is>
      </c>
      <c r="C67" t="n">
        <v>23</v>
      </c>
      <c r="D67" t="n">
        <v>8102</v>
      </c>
      <c r="E67" t="n">
        <v>8247</v>
      </c>
      <c r="F67" t="n">
        <v>8275</v>
      </c>
      <c r="G67" t="n">
        <v>8301</v>
      </c>
      <c r="H67" t="n">
        <v>8303</v>
      </c>
      <c r="I67" t="n">
        <v>8313</v>
      </c>
      <c r="J67" t="n">
        <v>10</v>
      </c>
    </row>
    <row r="68">
      <c r="B68" t="inlineStr">
        <is>
          <t>Construction of buildings</t>
        </is>
      </c>
      <c r="C68" t="n">
        <v>236</v>
      </c>
      <c r="D68" t="n">
        <v>1829.8</v>
      </c>
      <c r="E68" t="n">
        <v>1876.2</v>
      </c>
      <c r="F68" t="n">
        <v>1882.7</v>
      </c>
      <c r="G68" t="n">
        <v>1884.1</v>
      </c>
      <c r="H68" t="n">
        <v>1883.8</v>
      </c>
      <c r="I68" t="n">
        <v>1883.5</v>
      </c>
      <c r="J68" t="n">
        <v>-0.3</v>
      </c>
    </row>
    <row r="69">
      <c r="B69" t="inlineStr">
        <is>
          <t>Residential building construction</t>
        </is>
      </c>
      <c r="C69" t="n">
        <v>2361</v>
      </c>
      <c r="D69" t="n">
        <v>931.4</v>
      </c>
      <c r="E69" t="n">
        <v>945.9</v>
      </c>
      <c r="F69" t="n">
        <v>951.6</v>
      </c>
      <c r="G69" t="n">
        <v>955.4</v>
      </c>
      <c r="H69" t="n">
        <v>956.2</v>
      </c>
      <c r="I69" t="n">
        <v>957.6</v>
      </c>
      <c r="J69" t="n">
        <v>1.4</v>
      </c>
    </row>
    <row r="70">
      <c r="B70" t="inlineStr">
        <is>
          <t>New single-family housing construction (except for-sale builders)</t>
        </is>
      </c>
      <c r="C70" t="n">
        <v>236115</v>
      </c>
      <c r="D70" t="n">
        <v>378.2</v>
      </c>
      <c r="E70" t="n">
        <v>386.7</v>
      </c>
      <c r="F70" t="n">
        <v>387.5</v>
      </c>
      <c r="G70" t="n">
        <v>388</v>
      </c>
      <c r="H70" t="n">
        <v>389</v>
      </c>
      <c r="I70" t="inlineStr">
        <is>
          <t>-</t>
        </is>
      </c>
      <c r="J70" t="inlineStr">
        <is>
          <t>-</t>
        </is>
      </c>
    </row>
    <row r="71">
      <c r="B71" t="inlineStr">
        <is>
          <t>New multifamily housing construction (except for-sale builders)</t>
        </is>
      </c>
      <c r="C71" t="n">
        <v>236116</v>
      </c>
      <c r="D71" t="n">
        <v>48.5</v>
      </c>
      <c r="E71" t="n">
        <v>47.5</v>
      </c>
      <c r="F71" t="n">
        <v>47.1</v>
      </c>
      <c r="G71" t="n">
        <v>47.9</v>
      </c>
      <c r="H71" t="n">
        <v>48.1</v>
      </c>
      <c r="I71" t="inlineStr">
        <is>
          <t>-</t>
        </is>
      </c>
      <c r="J71" t="inlineStr">
        <is>
          <t>-</t>
        </is>
      </c>
    </row>
    <row r="72">
      <c r="B72" t="inlineStr">
        <is>
          <t>New housing for-sale builders</t>
        </is>
      </c>
      <c r="C72" t="n">
        <v>236117</v>
      </c>
      <c r="D72" t="n">
        <v>53.8</v>
      </c>
      <c r="E72" t="n">
        <v>54.3</v>
      </c>
      <c r="F72" t="n">
        <v>54.8</v>
      </c>
      <c r="G72" t="n">
        <v>55</v>
      </c>
      <c r="H72" t="n">
        <v>55.5</v>
      </c>
      <c r="I72" t="inlineStr">
        <is>
          <t>-</t>
        </is>
      </c>
      <c r="J72" t="inlineStr">
        <is>
          <t>-</t>
        </is>
      </c>
    </row>
    <row r="73">
      <c r="B73" t="inlineStr">
        <is>
          <t>Residential remodelers</t>
        </is>
      </c>
      <c r="C73" t="n">
        <v>236118</v>
      </c>
      <c r="D73" t="n">
        <v>450.9</v>
      </c>
      <c r="E73" t="n">
        <v>457.4</v>
      </c>
      <c r="F73" t="n">
        <v>462.2</v>
      </c>
      <c r="G73" t="n">
        <v>464.4</v>
      </c>
      <c r="H73" t="n">
        <v>463.7</v>
      </c>
      <c r="I73" t="inlineStr">
        <is>
          <t>-</t>
        </is>
      </c>
      <c r="J73" t="inlineStr">
        <is>
          <t>-</t>
        </is>
      </c>
    </row>
    <row r="74">
      <c r="B74" t="inlineStr">
        <is>
          <t>Nonresidential building construction</t>
        </is>
      </c>
      <c r="C74" t="n">
        <v>2362</v>
      </c>
      <c r="D74" t="n">
        <v>898.4</v>
      </c>
      <c r="E74" t="n">
        <v>930.3</v>
      </c>
      <c r="F74" t="n">
        <v>931.1</v>
      </c>
      <c r="G74" t="n">
        <v>928.7</v>
      </c>
      <c r="H74" t="n">
        <v>927.6</v>
      </c>
      <c r="I74" t="n">
        <v>925.9</v>
      </c>
      <c r="J74" t="n">
        <v>-1.7</v>
      </c>
    </row>
    <row r="75">
      <c r="B75" t="inlineStr">
        <is>
          <t>Industrial building construction</t>
        </is>
      </c>
      <c r="C75" t="n">
        <v>23621</v>
      </c>
      <c r="D75" t="n">
        <v>159.4</v>
      </c>
      <c r="E75" t="n">
        <v>166.4</v>
      </c>
      <c r="F75" t="n">
        <v>167.2</v>
      </c>
      <c r="G75" t="n">
        <v>169.4</v>
      </c>
      <c r="H75" t="n">
        <v>170.8</v>
      </c>
      <c r="I75" t="inlineStr">
        <is>
          <t>-</t>
        </is>
      </c>
      <c r="J75" t="inlineStr">
        <is>
          <t>-</t>
        </is>
      </c>
    </row>
    <row r="76">
      <c r="B76" t="inlineStr">
        <is>
          <t>Commercial and institutional building construction</t>
        </is>
      </c>
      <c r="C76" t="n">
        <v>23622</v>
      </c>
      <c r="D76" t="n">
        <v>738.9</v>
      </c>
      <c r="E76" t="n">
        <v>763.9</v>
      </c>
      <c r="F76" t="n">
        <v>763.8</v>
      </c>
      <c r="G76" t="n">
        <v>759.3</v>
      </c>
      <c r="H76" t="n">
        <v>756.8</v>
      </c>
      <c r="I76" t="inlineStr">
        <is>
          <t>-</t>
        </is>
      </c>
      <c r="J76" t="inlineStr">
        <is>
          <t>-</t>
        </is>
      </c>
    </row>
    <row r="77">
      <c r="B77" t="inlineStr">
        <is>
          <t>Heavy and civil engineering construction</t>
        </is>
      </c>
      <c r="C77" t="n">
        <v>237</v>
      </c>
      <c r="D77" t="n">
        <v>1131.5</v>
      </c>
      <c r="E77" t="n">
        <v>1141.3</v>
      </c>
      <c r="F77" t="n">
        <v>1152.5</v>
      </c>
      <c r="G77" t="n">
        <v>1160.8</v>
      </c>
      <c r="H77" t="n">
        <v>1159.8</v>
      </c>
      <c r="I77" t="n">
        <v>1161.3</v>
      </c>
      <c r="J77" t="n">
        <v>1.5</v>
      </c>
    </row>
    <row r="78">
      <c r="B78" t="inlineStr">
        <is>
          <t>Utility system construction(1)</t>
        </is>
      </c>
      <c r="C78" t="n">
        <v>2371</v>
      </c>
      <c r="D78" t="n">
        <v>582.4</v>
      </c>
      <c r="E78" t="n">
        <v>583.7</v>
      </c>
      <c r="F78" t="n">
        <v>593.4</v>
      </c>
      <c r="G78" t="n">
        <v>596.6</v>
      </c>
      <c r="H78" t="n">
        <v>596.9</v>
      </c>
      <c r="I78" t="inlineStr">
        <is>
          <t>-</t>
        </is>
      </c>
      <c r="J78" t="inlineStr">
        <is>
          <t>-</t>
        </is>
      </c>
    </row>
    <row r="79">
      <c r="B79" t="inlineStr">
        <is>
          <t>Water and sewer line and related structures construction(1)</t>
        </is>
      </c>
      <c r="C79" t="n">
        <v>23711</v>
      </c>
      <c r="D79" t="n">
        <v>204.3</v>
      </c>
      <c r="E79" t="n">
        <v>206.1</v>
      </c>
      <c r="F79" t="n">
        <v>206.5</v>
      </c>
      <c r="G79" t="n">
        <v>208.1</v>
      </c>
      <c r="H79" t="n">
        <v>208.5</v>
      </c>
      <c r="I79" t="inlineStr">
        <is>
          <t>-</t>
        </is>
      </c>
      <c r="J79" t="inlineStr">
        <is>
          <t>-</t>
        </is>
      </c>
    </row>
    <row r="80">
      <c r="B80" t="inlineStr">
        <is>
          <t>Oil and gas pipeline and related structures construction(1)</t>
        </is>
      </c>
      <c r="C80" t="n">
        <v>23712</v>
      </c>
      <c r="D80" t="n">
        <v>139.9</v>
      </c>
      <c r="E80" t="n">
        <v>141.4</v>
      </c>
      <c r="F80" t="n">
        <v>146.6</v>
      </c>
      <c r="G80" t="n">
        <v>147.8</v>
      </c>
      <c r="H80" t="n">
        <v>149.3</v>
      </c>
      <c r="I80" t="inlineStr">
        <is>
          <t>-</t>
        </is>
      </c>
      <c r="J80" t="inlineStr">
        <is>
          <t>-</t>
        </is>
      </c>
    </row>
    <row r="81">
      <c r="B81" t="inlineStr">
        <is>
          <t>Power and communication line and related structures construction(1)</t>
        </is>
      </c>
      <c r="C81" t="n">
        <v>23713</v>
      </c>
      <c r="D81" t="n">
        <v>238.4</v>
      </c>
      <c r="E81" t="n">
        <v>238.3</v>
      </c>
      <c r="F81" t="n">
        <v>241.4</v>
      </c>
      <c r="G81" t="n">
        <v>240.2</v>
      </c>
      <c r="H81" t="n">
        <v>239.1</v>
      </c>
      <c r="I81" t="inlineStr">
        <is>
          <t>-</t>
        </is>
      </c>
      <c r="J81" t="inlineStr">
        <is>
          <t>-</t>
        </is>
      </c>
    </row>
    <row r="82">
      <c r="B82" t="inlineStr">
        <is>
          <t>Land subdivision(1)</t>
        </is>
      </c>
      <c r="C82" t="n">
        <v>2372</v>
      </c>
      <c r="D82" t="n">
        <v>40</v>
      </c>
      <c r="E82" t="n">
        <v>40.8</v>
      </c>
      <c r="F82" t="n">
        <v>40.5</v>
      </c>
      <c r="G82" t="n">
        <v>40.3</v>
      </c>
      <c r="H82" t="n">
        <v>40.1</v>
      </c>
      <c r="I82" t="inlineStr">
        <is>
          <t>-</t>
        </is>
      </c>
      <c r="J82" t="inlineStr">
        <is>
          <t>-</t>
        </is>
      </c>
    </row>
    <row r="83">
      <c r="B83" t="inlineStr">
        <is>
          <t>Highway, street, and bridge construction(1)</t>
        </is>
      </c>
      <c r="C83" t="n">
        <v>2373</v>
      </c>
      <c r="D83" t="n">
        <v>379.8</v>
      </c>
      <c r="E83" t="n">
        <v>382.5</v>
      </c>
      <c r="F83" t="n">
        <v>384.2</v>
      </c>
      <c r="G83" t="n">
        <v>385.9</v>
      </c>
      <c r="H83" t="n">
        <v>386.2</v>
      </c>
      <c r="I83" t="inlineStr">
        <is>
          <t>-</t>
        </is>
      </c>
      <c r="J83" t="inlineStr">
        <is>
          <t>-</t>
        </is>
      </c>
    </row>
    <row r="84">
      <c r="B84" t="inlineStr">
        <is>
          <t>Other heavy and civil engineering construction(1)</t>
        </is>
      </c>
      <c r="C84" t="n">
        <v>2379</v>
      </c>
      <c r="D84" t="n">
        <v>131.4</v>
      </c>
      <c r="E84" t="n">
        <v>134.2</v>
      </c>
      <c r="F84" t="n">
        <v>134.2</v>
      </c>
      <c r="G84" t="n">
        <v>134.9</v>
      </c>
      <c r="H84" t="n">
        <v>135.2</v>
      </c>
      <c r="I84" t="inlineStr">
        <is>
          <t>-</t>
        </is>
      </c>
      <c r="J84" t="inlineStr">
        <is>
          <t>-</t>
        </is>
      </c>
    </row>
    <row r="85">
      <c r="B85" t="inlineStr">
        <is>
          <t>Specialty trade contractors</t>
        </is>
      </c>
      <c r="C85" t="n">
        <v>238</v>
      </c>
      <c r="D85" t="n">
        <v>5140.3</v>
      </c>
      <c r="E85" t="n">
        <v>5229.7</v>
      </c>
      <c r="F85" t="n">
        <v>5239.3</v>
      </c>
      <c r="G85" t="n">
        <v>5256.2</v>
      </c>
      <c r="H85" t="n">
        <v>5259.4</v>
      </c>
      <c r="I85" t="n">
        <v>5268.1</v>
      </c>
      <c r="J85" t="n">
        <v>8.699999999999999</v>
      </c>
    </row>
    <row r="86">
      <c r="B86" t="inlineStr">
        <is>
          <t>Residential specialty trade contractors</t>
        </is>
      </c>
      <c r="C86" t="inlineStr">
        <is>
          <t>part 238</t>
        </is>
      </c>
      <c r="D86" t="n">
        <v>2390</v>
      </c>
      <c r="E86" t="n">
        <v>2416.6</v>
      </c>
      <c r="F86" t="n">
        <v>2414.3</v>
      </c>
      <c r="G86" t="n">
        <v>2421.5</v>
      </c>
      <c r="H86" t="n">
        <v>2414.5</v>
      </c>
      <c r="I86" t="n">
        <v>2416.2</v>
      </c>
      <c r="J86" t="n">
        <v>1.7</v>
      </c>
    </row>
    <row r="87">
      <c r="B87" t="inlineStr">
        <is>
          <t>Nonresidential specialty trade contractors</t>
        </is>
      </c>
      <c r="C87" t="inlineStr">
        <is>
          <t>part 238</t>
        </is>
      </c>
      <c r="D87" t="n">
        <v>2750.3</v>
      </c>
      <c r="E87" t="n">
        <v>2813.1</v>
      </c>
      <c r="F87" t="n">
        <v>2825</v>
      </c>
      <c r="G87" t="n">
        <v>2834.7</v>
      </c>
      <c r="H87" t="n">
        <v>2844.9</v>
      </c>
      <c r="I87" t="n">
        <v>2851.9</v>
      </c>
      <c r="J87" t="n">
        <v>7</v>
      </c>
    </row>
    <row r="88">
      <c r="B88" t="inlineStr">
        <is>
          <t>Foundation, structure, and building exterior contractors(1)</t>
        </is>
      </c>
      <c r="C88" t="n">
        <v>2381</v>
      </c>
      <c r="D88" t="n">
        <v>1003.5</v>
      </c>
      <c r="E88" t="n">
        <v>998.3</v>
      </c>
      <c r="F88" t="n">
        <v>999.3</v>
      </c>
      <c r="G88" t="n">
        <v>1002.4</v>
      </c>
      <c r="H88" t="n">
        <v>999.8</v>
      </c>
      <c r="I88" t="inlineStr">
        <is>
          <t>-</t>
        </is>
      </c>
      <c r="J88" t="inlineStr">
        <is>
          <t>-</t>
        </is>
      </c>
    </row>
    <row r="89">
      <c r="B89" t="inlineStr">
        <is>
          <t>Poured concrete foundation and structure contractors</t>
        </is>
      </c>
      <c r="C89" t="n">
        <v>23811</v>
      </c>
      <c r="D89" t="n">
        <v>253.1</v>
      </c>
      <c r="E89" t="n">
        <v>249.8</v>
      </c>
      <c r="F89" t="n">
        <v>250.3</v>
      </c>
      <c r="G89" t="n">
        <v>251</v>
      </c>
      <c r="H89" t="n">
        <v>249.3</v>
      </c>
      <c r="I89" t="inlineStr">
        <is>
          <t>-</t>
        </is>
      </c>
      <c r="J89" t="inlineStr">
        <is>
          <t>-</t>
        </is>
      </c>
    </row>
    <row r="90">
      <c r="B90" t="inlineStr">
        <is>
          <t>Structural steel and precast concrete contractors</t>
        </is>
      </c>
      <c r="C90" t="n">
        <v>23812</v>
      </c>
      <c r="D90" t="n">
        <v>83.5</v>
      </c>
      <c r="E90" t="n">
        <v>84</v>
      </c>
      <c r="F90" t="n">
        <v>83.40000000000001</v>
      </c>
      <c r="G90" t="n">
        <v>82.90000000000001</v>
      </c>
      <c r="H90" t="n">
        <v>81.90000000000001</v>
      </c>
      <c r="I90" t="inlineStr">
        <is>
          <t>-</t>
        </is>
      </c>
      <c r="J90" t="inlineStr">
        <is>
          <t>-</t>
        </is>
      </c>
    </row>
    <row r="91">
      <c r="B91" t="inlineStr">
        <is>
          <t>Framing contractors</t>
        </is>
      </c>
      <c r="C91" t="n">
        <v>23813</v>
      </c>
      <c r="D91" t="n">
        <v>85.8</v>
      </c>
      <c r="E91" t="n">
        <v>81.09999999999999</v>
      </c>
      <c r="F91" t="n">
        <v>82.40000000000001</v>
      </c>
      <c r="G91" t="n">
        <v>80.90000000000001</v>
      </c>
      <c r="H91" t="n">
        <v>81.3</v>
      </c>
      <c r="I91" t="inlineStr">
        <is>
          <t>-</t>
        </is>
      </c>
      <c r="J91" t="inlineStr">
        <is>
          <t>-</t>
        </is>
      </c>
    </row>
    <row r="92">
      <c r="B92" t="inlineStr">
        <is>
          <t>Masonry contractors</t>
        </is>
      </c>
      <c r="C92" t="n">
        <v>23814</v>
      </c>
      <c r="D92" t="n">
        <v>146.6</v>
      </c>
      <c r="E92" t="n">
        <v>151.7</v>
      </c>
      <c r="F92" t="n">
        <v>150.4</v>
      </c>
      <c r="G92" t="n">
        <v>151.2</v>
      </c>
      <c r="H92" t="n">
        <v>152.5</v>
      </c>
      <c r="I92" t="inlineStr">
        <is>
          <t>-</t>
        </is>
      </c>
      <c r="J92" t="inlineStr">
        <is>
          <t>-</t>
        </is>
      </c>
    </row>
    <row r="93">
      <c r="B93" t="inlineStr">
        <is>
          <t>Glass and glazing contractors</t>
        </is>
      </c>
      <c r="C93" t="n">
        <v>23815</v>
      </c>
      <c r="D93" t="n">
        <v>75.90000000000001</v>
      </c>
      <c r="E93" t="n">
        <v>72.5</v>
      </c>
      <c r="F93" t="n">
        <v>72.8</v>
      </c>
      <c r="G93" t="n">
        <v>74.2</v>
      </c>
      <c r="H93" t="n">
        <v>74</v>
      </c>
      <c r="I93" t="inlineStr">
        <is>
          <t>-</t>
        </is>
      </c>
      <c r="J93" t="inlineStr">
        <is>
          <t>-</t>
        </is>
      </c>
    </row>
    <row r="94">
      <c r="B94" t="inlineStr">
        <is>
          <t>Roofing contractors</t>
        </is>
      </c>
      <c r="C94" t="n">
        <v>23816</v>
      </c>
      <c r="D94" t="n">
        <v>250.5</v>
      </c>
      <c r="E94" t="n">
        <v>256.1</v>
      </c>
      <c r="F94" t="n">
        <v>255</v>
      </c>
      <c r="G94" t="n">
        <v>258.1</v>
      </c>
      <c r="H94" t="n">
        <v>255.9</v>
      </c>
      <c r="I94" t="inlineStr">
        <is>
          <t>-</t>
        </is>
      </c>
      <c r="J94" t="inlineStr">
        <is>
          <t>-</t>
        </is>
      </c>
    </row>
    <row r="95">
      <c r="B95" t="inlineStr">
        <is>
          <t>Siding contractors</t>
        </is>
      </c>
      <c r="C95" t="n">
        <v>23817</v>
      </c>
      <c r="D95" t="n">
        <v>42.4</v>
      </c>
      <c r="E95" t="n">
        <v>41.5</v>
      </c>
      <c r="F95" t="n">
        <v>41</v>
      </c>
      <c r="G95" t="n">
        <v>41.2</v>
      </c>
      <c r="H95" t="n">
        <v>41</v>
      </c>
      <c r="I95" t="inlineStr">
        <is>
          <t>-</t>
        </is>
      </c>
      <c r="J95" t="inlineStr">
        <is>
          <t>-</t>
        </is>
      </c>
    </row>
    <row r="96">
      <c r="B96" t="inlineStr">
        <is>
          <t>Other foundation, structure, and building exterior contractors</t>
        </is>
      </c>
      <c r="C96" t="n">
        <v>23819</v>
      </c>
      <c r="D96" t="n">
        <v>63.7</v>
      </c>
      <c r="E96" t="n">
        <v>62.5</v>
      </c>
      <c r="F96" t="n">
        <v>63.6</v>
      </c>
      <c r="G96" t="n">
        <v>64</v>
      </c>
      <c r="H96" t="n">
        <v>64.59999999999999</v>
      </c>
      <c r="I96" t="inlineStr">
        <is>
          <t>-</t>
        </is>
      </c>
      <c r="J96" t="inlineStr">
        <is>
          <t>-</t>
        </is>
      </c>
    </row>
    <row r="97">
      <c r="B97" t="inlineStr">
        <is>
          <t>Building equipment contractors(1)</t>
        </is>
      </c>
      <c r="C97" t="n">
        <v>2382</v>
      </c>
      <c r="D97" t="n">
        <v>2519.2</v>
      </c>
      <c r="E97" t="n">
        <v>2583.7</v>
      </c>
      <c r="F97" t="n">
        <v>2588.1</v>
      </c>
      <c r="G97" t="n">
        <v>2590.5</v>
      </c>
      <c r="H97" t="n">
        <v>2593.3</v>
      </c>
      <c r="I97" t="inlineStr">
        <is>
          <t>-</t>
        </is>
      </c>
      <c r="J97" t="inlineStr">
        <is>
          <t>-</t>
        </is>
      </c>
    </row>
    <row r="98">
      <c r="B98" t="inlineStr">
        <is>
          <t>Electrical contractors and other wiring installation contractors</t>
        </is>
      </c>
      <c r="C98" t="n">
        <v>23821</v>
      </c>
      <c r="D98" t="n">
        <v>1088.1</v>
      </c>
      <c r="E98" t="n">
        <v>1112.1</v>
      </c>
      <c r="F98" t="n">
        <v>1111.5</v>
      </c>
      <c r="G98" t="n">
        <v>1112.4</v>
      </c>
      <c r="H98" t="n">
        <v>1115.6</v>
      </c>
      <c r="I98" t="inlineStr">
        <is>
          <t>-</t>
        </is>
      </c>
      <c r="J98" t="inlineStr">
        <is>
          <t>-</t>
        </is>
      </c>
    </row>
    <row r="99">
      <c r="B99" t="inlineStr">
        <is>
          <t>Plumbing, heating, and air-conditioning contractors</t>
        </is>
      </c>
      <c r="C99" t="n">
        <v>23822</v>
      </c>
      <c r="D99" t="n">
        <v>1276</v>
      </c>
      <c r="E99" t="n">
        <v>1308.7</v>
      </c>
      <c r="F99" t="n">
        <v>1315.1</v>
      </c>
      <c r="G99" t="n">
        <v>1315.4</v>
      </c>
      <c r="H99" t="n">
        <v>1316</v>
      </c>
      <c r="I99" t="inlineStr">
        <is>
          <t>-</t>
        </is>
      </c>
      <c r="J99" t="inlineStr">
        <is>
          <t>-</t>
        </is>
      </c>
    </row>
    <row r="100">
      <c r="B100" t="inlineStr">
        <is>
          <t>Other building equipment contractors</t>
        </is>
      </c>
      <c r="C100" t="n">
        <v>23829</v>
      </c>
      <c r="D100" t="n">
        <v>154.8</v>
      </c>
      <c r="E100" t="n">
        <v>161.3</v>
      </c>
      <c r="F100" t="n">
        <v>161.2</v>
      </c>
      <c r="G100" t="n">
        <v>161.9</v>
      </c>
      <c r="H100" t="n">
        <v>161.5</v>
      </c>
      <c r="I100" t="inlineStr">
        <is>
          <t>-</t>
        </is>
      </c>
      <c r="J100" t="inlineStr">
        <is>
          <t>-</t>
        </is>
      </c>
    </row>
    <row r="101">
      <c r="B101" t="inlineStr">
        <is>
          <t>Building finishing contractors(1)</t>
        </is>
      </c>
      <c r="C101" t="n">
        <v>2383</v>
      </c>
      <c r="D101" t="n">
        <v>831.5</v>
      </c>
      <c r="E101" t="n">
        <v>836.4</v>
      </c>
      <c r="F101" t="n">
        <v>838.5</v>
      </c>
      <c r="G101" t="n">
        <v>841.9</v>
      </c>
      <c r="H101" t="n">
        <v>841.4</v>
      </c>
      <c r="I101" t="inlineStr">
        <is>
          <t>-</t>
        </is>
      </c>
      <c r="J101" t="inlineStr">
        <is>
          <t>-</t>
        </is>
      </c>
    </row>
    <row r="102">
      <c r="B102" t="inlineStr">
        <is>
          <t>Drywall and insulation contractors</t>
        </is>
      </c>
      <c r="C102" t="n">
        <v>23831</v>
      </c>
      <c r="D102" t="n">
        <v>248.7</v>
      </c>
      <c r="E102" t="n">
        <v>242.9</v>
      </c>
      <c r="F102" t="n">
        <v>243.3</v>
      </c>
      <c r="G102" t="n">
        <v>243.8</v>
      </c>
      <c r="H102" t="n">
        <v>244</v>
      </c>
      <c r="I102" t="inlineStr">
        <is>
          <t>-</t>
        </is>
      </c>
      <c r="J102" t="inlineStr">
        <is>
          <t>-</t>
        </is>
      </c>
    </row>
    <row r="103">
      <c r="B103" t="inlineStr">
        <is>
          <t>Painting and wall covering contractors</t>
        </is>
      </c>
      <c r="C103" t="n">
        <v>23832</v>
      </c>
      <c r="D103" t="n">
        <v>206.8</v>
      </c>
      <c r="E103" t="n">
        <v>209</v>
      </c>
      <c r="F103" t="n">
        <v>210.4</v>
      </c>
      <c r="G103" t="n">
        <v>210.5</v>
      </c>
      <c r="H103" t="n">
        <v>210.7</v>
      </c>
      <c r="I103" t="inlineStr">
        <is>
          <t>-</t>
        </is>
      </c>
      <c r="J103" t="inlineStr">
        <is>
          <t>-</t>
        </is>
      </c>
    </row>
    <row r="104">
      <c r="B104" t="inlineStr">
        <is>
          <t>Flooring contractors</t>
        </is>
      </c>
      <c r="C104" t="n">
        <v>23833</v>
      </c>
      <c r="D104" t="n">
        <v>77.2</v>
      </c>
      <c r="E104" t="n">
        <v>78.8</v>
      </c>
      <c r="F104" t="n">
        <v>78.3</v>
      </c>
      <c r="G104" t="n">
        <v>78.59999999999999</v>
      </c>
      <c r="H104" t="n">
        <v>78.7</v>
      </c>
      <c r="I104" t="inlineStr">
        <is>
          <t>-</t>
        </is>
      </c>
      <c r="J104" t="inlineStr">
        <is>
          <t>-</t>
        </is>
      </c>
    </row>
    <row r="105">
      <c r="B105" t="inlineStr">
        <is>
          <t>Tile and terrazzo contractors</t>
        </is>
      </c>
      <c r="C105" t="n">
        <v>23834</v>
      </c>
      <c r="D105" t="n">
        <v>53.5</v>
      </c>
      <c r="E105" t="n">
        <v>49.8</v>
      </c>
      <c r="F105" t="n">
        <v>49.6</v>
      </c>
      <c r="G105" t="n">
        <v>50</v>
      </c>
      <c r="H105" t="n">
        <v>49.8</v>
      </c>
      <c r="I105" t="inlineStr">
        <is>
          <t>-</t>
        </is>
      </c>
      <c r="J105" t="inlineStr">
        <is>
          <t>-</t>
        </is>
      </c>
    </row>
    <row r="106">
      <c r="B106" t="inlineStr">
        <is>
          <t>Finish carpentry contractors</t>
        </is>
      </c>
      <c r="C106" t="n">
        <v>23835</v>
      </c>
      <c r="D106" t="n">
        <v>158.4</v>
      </c>
      <c r="E106" t="n">
        <v>166.3</v>
      </c>
      <c r="F106" t="n">
        <v>166.6</v>
      </c>
      <c r="G106" t="n">
        <v>167.2</v>
      </c>
      <c r="H106" t="n">
        <v>167.6</v>
      </c>
      <c r="I106" t="inlineStr">
        <is>
          <t>-</t>
        </is>
      </c>
      <c r="J106" t="inlineStr">
        <is>
          <t>-</t>
        </is>
      </c>
    </row>
    <row r="107">
      <c r="B107" t="inlineStr">
        <is>
          <t>Other building finishing contractors</t>
        </is>
      </c>
      <c r="C107" t="n">
        <v>23839</v>
      </c>
      <c r="D107" t="n">
        <v>84.5</v>
      </c>
      <c r="E107" t="n">
        <v>88.09999999999999</v>
      </c>
      <c r="F107" t="n">
        <v>88.5</v>
      </c>
      <c r="G107" t="n">
        <v>90.7</v>
      </c>
      <c r="H107" t="n">
        <v>89.7</v>
      </c>
      <c r="I107" t="inlineStr">
        <is>
          <t>-</t>
        </is>
      </c>
      <c r="J107" t="inlineStr">
        <is>
          <t>-</t>
        </is>
      </c>
    </row>
    <row r="108">
      <c r="B108" t="inlineStr">
        <is>
          <t>Other specialty trade contractors(1)</t>
        </is>
      </c>
      <c r="C108" t="n">
        <v>2389</v>
      </c>
      <c r="D108" t="n">
        <v>790.2</v>
      </c>
      <c r="E108" t="n">
        <v>811.2</v>
      </c>
      <c r="F108" t="n">
        <v>817.9</v>
      </c>
      <c r="G108" t="n">
        <v>823</v>
      </c>
      <c r="H108" t="n">
        <v>824.9</v>
      </c>
      <c r="I108" t="inlineStr">
        <is>
          <t>-</t>
        </is>
      </c>
      <c r="J108" t="inlineStr">
        <is>
          <t>-</t>
        </is>
      </c>
    </row>
    <row r="109">
      <c r="B109" t="inlineStr">
        <is>
          <t>Site preparation contractors</t>
        </is>
      </c>
      <c r="C109" t="n">
        <v>23891</v>
      </c>
      <c r="D109" t="n">
        <v>402.7</v>
      </c>
      <c r="E109" t="n">
        <v>407.5</v>
      </c>
      <c r="F109" t="n">
        <v>407.3</v>
      </c>
      <c r="G109" t="n">
        <v>412.3</v>
      </c>
      <c r="H109" t="n">
        <v>414.2</v>
      </c>
      <c r="I109" t="inlineStr">
        <is>
          <t>-</t>
        </is>
      </c>
      <c r="J109" t="inlineStr">
        <is>
          <t>-</t>
        </is>
      </c>
    </row>
    <row r="110">
      <c r="B110" t="inlineStr">
        <is>
          <t>All other specialty trade contractors</t>
        </is>
      </c>
      <c r="C110" t="n">
        <v>23899</v>
      </c>
      <c r="D110" t="n">
        <v>388.1</v>
      </c>
      <c r="E110" t="n">
        <v>406.2</v>
      </c>
      <c r="F110" t="n">
        <v>408.5</v>
      </c>
      <c r="G110" t="n">
        <v>409.9</v>
      </c>
      <c r="H110" t="n">
        <v>411.2</v>
      </c>
      <c r="I110" t="inlineStr">
        <is>
          <t>-</t>
        </is>
      </c>
      <c r="J110" t="inlineStr">
        <is>
          <t>-</t>
        </is>
      </c>
    </row>
    <row r="112">
      <c r="B112" t="inlineStr">
        <is>
          <t>Manufacturing</t>
        </is>
      </c>
      <c r="D112" t="n">
        <v>12948</v>
      </c>
      <c r="E112" t="n">
        <v>12951</v>
      </c>
      <c r="F112" t="n">
        <v>12925</v>
      </c>
      <c r="G112" t="n">
        <v>12913</v>
      </c>
      <c r="H112" t="n">
        <v>12865</v>
      </c>
      <c r="I112" t="n">
        <v>12887</v>
      </c>
      <c r="J112" t="n">
        <v>22</v>
      </c>
    </row>
    <row r="114">
      <c r="B114" t="inlineStr">
        <is>
          <t>Durable goods</t>
        </is>
      </c>
      <c r="D114" t="n">
        <v>8129</v>
      </c>
      <c r="E114" t="n">
        <v>8130</v>
      </c>
      <c r="F114" t="n">
        <v>8100</v>
      </c>
      <c r="G114" t="n">
        <v>8096</v>
      </c>
      <c r="H114" t="n">
        <v>8052</v>
      </c>
      <c r="I114" t="n">
        <v>8078</v>
      </c>
      <c r="J114" t="n">
        <v>26</v>
      </c>
    </row>
    <row r="115">
      <c r="A115" t="inlineStr">
        <is>
          <t>ISIC 16</t>
        </is>
      </c>
      <c r="B115" t="inlineStr">
        <is>
          <t>Wood product manufacturing</t>
        </is>
      </c>
      <c r="C115" t="n">
        <v>321</v>
      </c>
      <c r="D115" t="n">
        <v>415.1</v>
      </c>
      <c r="E115" t="n">
        <v>416.3</v>
      </c>
      <c r="F115" t="n">
        <v>414.6</v>
      </c>
      <c r="G115" t="n">
        <v>413.6</v>
      </c>
      <c r="H115" t="n">
        <v>412.8</v>
      </c>
      <c r="I115" t="n">
        <v>412.5</v>
      </c>
      <c r="J115" t="n">
        <v>-0.3</v>
      </c>
    </row>
    <row r="116">
      <c r="B116" t="inlineStr">
        <is>
          <t>Sawmills and wood preservation(1)</t>
        </is>
      </c>
      <c r="C116" t="n">
        <v>3211</v>
      </c>
      <c r="D116" t="n">
        <v>89.90000000000001</v>
      </c>
      <c r="E116" t="n">
        <v>88.7</v>
      </c>
      <c r="F116" t="n">
        <v>88</v>
      </c>
      <c r="G116" t="n">
        <v>87.5</v>
      </c>
      <c r="H116" t="n">
        <v>87.5</v>
      </c>
      <c r="I116" t="inlineStr">
        <is>
          <t>-</t>
        </is>
      </c>
      <c r="J116" t="inlineStr">
        <is>
          <t>-</t>
        </is>
      </c>
    </row>
    <row r="117">
      <c r="B117" t="inlineStr">
        <is>
          <t>Veneer, plywood, and engineered wood product manufacturing(1)</t>
        </is>
      </c>
      <c r="C117" t="n">
        <v>3212</v>
      </c>
      <c r="D117" t="n">
        <v>83</v>
      </c>
      <c r="E117" t="n">
        <v>82.3</v>
      </c>
      <c r="F117" t="n">
        <v>82</v>
      </c>
      <c r="G117" t="n">
        <v>81.90000000000001</v>
      </c>
      <c r="H117" t="n">
        <v>81</v>
      </c>
      <c r="I117" t="inlineStr">
        <is>
          <t>-</t>
        </is>
      </c>
      <c r="J117" t="inlineStr">
        <is>
          <t>-</t>
        </is>
      </c>
    </row>
    <row r="118">
      <c r="B118" t="inlineStr">
        <is>
          <t>Other wood product manufacturing(1)</t>
        </is>
      </c>
      <c r="C118" t="n">
        <v>3219</v>
      </c>
      <c r="D118" t="n">
        <v>242.1</v>
      </c>
      <c r="E118" t="n">
        <v>245.7</v>
      </c>
      <c r="F118" t="n">
        <v>245</v>
      </c>
      <c r="G118" t="n">
        <v>244</v>
      </c>
      <c r="H118" t="n">
        <v>244</v>
      </c>
      <c r="I118" t="inlineStr">
        <is>
          <t>-</t>
        </is>
      </c>
      <c r="J118" t="inlineStr">
        <is>
          <t>-</t>
        </is>
      </c>
    </row>
    <row r="119">
      <c r="B119" t="inlineStr">
        <is>
          <t>Millwork(1)</t>
        </is>
      </c>
      <c r="C119" t="n">
        <v>32191</v>
      </c>
      <c r="D119" t="n">
        <v>102</v>
      </c>
      <c r="E119" t="n">
        <v>102.2</v>
      </c>
      <c r="F119" t="n">
        <v>102.2</v>
      </c>
      <c r="G119" t="n">
        <v>101.4</v>
      </c>
      <c r="H119" t="n">
        <v>101.9</v>
      </c>
      <c r="I119" t="inlineStr">
        <is>
          <t>-</t>
        </is>
      </c>
      <c r="J119" t="inlineStr">
        <is>
          <t>-</t>
        </is>
      </c>
    </row>
    <row r="120">
      <c r="B120" t="inlineStr">
        <is>
          <t>Wood window and door manufacturing(1)</t>
        </is>
      </c>
      <c r="C120" t="n">
        <v>321911</v>
      </c>
      <c r="D120" t="n">
        <v>56.9</v>
      </c>
      <c r="E120" t="n">
        <v>56.4</v>
      </c>
      <c r="F120" t="n">
        <v>56.6</v>
      </c>
      <c r="G120" t="n">
        <v>56.6</v>
      </c>
      <c r="H120" t="n">
        <v>56.5</v>
      </c>
      <c r="I120" t="inlineStr">
        <is>
          <t>-</t>
        </is>
      </c>
      <c r="J120" t="inlineStr">
        <is>
          <t>-</t>
        </is>
      </c>
    </row>
    <row r="121">
      <c r="B121" t="inlineStr">
        <is>
          <t>Cut stock, resawing lumber, planing, and other millwork (including flooring)(1)</t>
        </is>
      </c>
      <c r="C121" t="inlineStr">
        <is>
          <t>321912,8</t>
        </is>
      </c>
      <c r="D121" t="n">
        <v>45.1</v>
      </c>
      <c r="E121" t="n">
        <v>45.9</v>
      </c>
      <c r="F121" t="n">
        <v>45.6</v>
      </c>
      <c r="G121" t="n">
        <v>44.8</v>
      </c>
      <c r="H121" t="n">
        <v>45.4</v>
      </c>
      <c r="I121" t="inlineStr">
        <is>
          <t>-</t>
        </is>
      </c>
      <c r="J121" t="inlineStr">
        <is>
          <t>-</t>
        </is>
      </c>
    </row>
    <row r="122">
      <c r="B122" t="inlineStr">
        <is>
          <t>Wood container and pallet manufacturing(1)</t>
        </is>
      </c>
      <c r="C122" t="n">
        <v>32192</v>
      </c>
      <c r="D122" t="n">
        <v>64.5</v>
      </c>
      <c r="E122" t="n">
        <v>65.7</v>
      </c>
      <c r="F122" t="n">
        <v>65.5</v>
      </c>
      <c r="G122" t="n">
        <v>64.5</v>
      </c>
      <c r="H122" t="n">
        <v>64.7</v>
      </c>
      <c r="I122" t="inlineStr">
        <is>
          <t>-</t>
        </is>
      </c>
      <c r="J122" t="inlineStr">
        <is>
          <t>-</t>
        </is>
      </c>
    </row>
    <row r="123">
      <c r="B123" t="inlineStr">
        <is>
          <t>All other wood product manufacturing(1)</t>
        </is>
      </c>
      <c r="C123" t="n">
        <v>32199</v>
      </c>
      <c r="D123" t="n">
        <v>75.7</v>
      </c>
      <c r="E123" t="n">
        <v>77.7</v>
      </c>
      <c r="F123" t="n">
        <v>77</v>
      </c>
      <c r="G123" t="n">
        <v>77.3</v>
      </c>
      <c r="H123" t="n">
        <v>77.2</v>
      </c>
      <c r="I123" t="inlineStr">
        <is>
          <t>-</t>
        </is>
      </c>
      <c r="J123" t="inlineStr">
        <is>
          <t>-</t>
        </is>
      </c>
    </row>
    <row r="124">
      <c r="B124" t="inlineStr">
        <is>
          <t>Nonmetallic mineral product manufacturing</t>
        </is>
      </c>
      <c r="C124" t="n">
        <v>327</v>
      </c>
      <c r="D124" t="n">
        <v>422.5</v>
      </c>
      <c r="E124" t="n">
        <v>423.3</v>
      </c>
      <c r="F124" t="n">
        <v>423</v>
      </c>
      <c r="G124" t="n">
        <v>424.8</v>
      </c>
      <c r="H124" t="n">
        <v>428.2</v>
      </c>
      <c r="I124" t="n">
        <v>426.7</v>
      </c>
      <c r="J124" t="n">
        <v>-1.5</v>
      </c>
    </row>
    <row r="125">
      <c r="A125" t="inlineStr">
        <is>
          <t>ISIC 239</t>
        </is>
      </c>
      <c r="B125" t="inlineStr">
        <is>
          <t>Clay product and refractory manufacturing(1)</t>
        </is>
      </c>
      <c r="C125" t="n">
        <v>3271</v>
      </c>
      <c r="D125" t="n">
        <v>35.5</v>
      </c>
      <c r="E125" t="n">
        <v>35.6</v>
      </c>
      <c r="F125" t="n">
        <v>35.6</v>
      </c>
      <c r="G125" t="n">
        <v>35.5</v>
      </c>
      <c r="H125" t="n">
        <v>35.5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ISIC 231</t>
        </is>
      </c>
      <c r="B126" t="inlineStr">
        <is>
          <t>Glass and glass product manufacturing(1)</t>
        </is>
      </c>
      <c r="C126" t="n">
        <v>3272</v>
      </c>
      <c r="D126" t="n">
        <v>81.7</v>
      </c>
      <c r="E126" t="n">
        <v>78.90000000000001</v>
      </c>
      <c r="F126" t="n">
        <v>77.40000000000001</v>
      </c>
      <c r="G126" t="n">
        <v>77.59999999999999</v>
      </c>
      <c r="H126" t="n">
        <v>78.2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ISIC 239</t>
        </is>
      </c>
      <c r="B127" t="inlineStr">
        <is>
          <t>Cement and concrete product manufacturing(1)</t>
        </is>
      </c>
      <c r="C127" t="n">
        <v>3273</v>
      </c>
      <c r="D127" t="n">
        <v>206.9</v>
      </c>
      <c r="E127" t="n">
        <v>207.1</v>
      </c>
      <c r="F127" t="n">
        <v>206.7</v>
      </c>
      <c r="G127" t="n">
        <v>208.2</v>
      </c>
      <c r="H127" t="n">
        <v>209.5</v>
      </c>
      <c r="I127" t="inlineStr">
        <is>
          <t>-</t>
        </is>
      </c>
      <c r="J127" t="inlineStr">
        <is>
          <t>-</t>
        </is>
      </c>
    </row>
    <row r="128">
      <c r="B128" t="inlineStr">
        <is>
          <t>Ready-mix concrete manufacturing(1)</t>
        </is>
      </c>
      <c r="C128" t="n">
        <v>32732</v>
      </c>
      <c r="D128" t="n">
        <v>106.1</v>
      </c>
      <c r="E128" t="n">
        <v>107.4</v>
      </c>
      <c r="F128" t="n">
        <v>106.8</v>
      </c>
      <c r="G128" t="n">
        <v>107.1</v>
      </c>
      <c r="H128" t="n">
        <v>107.5</v>
      </c>
      <c r="I128" t="inlineStr">
        <is>
          <t>-</t>
        </is>
      </c>
      <c r="J128" t="inlineStr">
        <is>
          <t>-</t>
        </is>
      </c>
    </row>
    <row r="129">
      <c r="B129" t="inlineStr">
        <is>
          <t>Cement and concrete pipe, brick, block, and other concrete product manufacturing(1)</t>
        </is>
      </c>
      <c r="C129" t="inlineStr">
        <is>
          <t>32731,3,9</t>
        </is>
      </c>
      <c r="D129" t="n">
        <v>100.9</v>
      </c>
      <c r="E129" t="n">
        <v>99.7</v>
      </c>
      <c r="F129" t="n">
        <v>100.1</v>
      </c>
      <c r="G129" t="n">
        <v>101.3</v>
      </c>
      <c r="H129" t="n">
        <v>102.1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ISIC 239</t>
        </is>
      </c>
      <c r="B130" t="inlineStr">
        <is>
          <t>Lime, gypsum, and other nonmetallic mineral product manufacturing(1)</t>
        </is>
      </c>
      <c r="C130" t="inlineStr">
        <is>
          <t>3274,9</t>
        </is>
      </c>
      <c r="D130" t="n">
        <v>97.90000000000001</v>
      </c>
      <c r="E130" t="n">
        <v>101.7</v>
      </c>
      <c r="F130" t="n">
        <v>103.2</v>
      </c>
      <c r="G130" t="n">
        <v>103.5</v>
      </c>
      <c r="H130" t="n">
        <v>105.1</v>
      </c>
      <c r="I130" t="inlineStr">
        <is>
          <t>-</t>
        </is>
      </c>
      <c r="J130" t="inlineStr">
        <is>
          <t>-</t>
        </is>
      </c>
    </row>
    <row r="131">
      <c r="B131" t="inlineStr">
        <is>
          <t>Primary metal manufacturing</t>
        </is>
      </c>
      <c r="C131" t="n">
        <v>331</v>
      </c>
      <c r="D131" t="n">
        <v>372.1</v>
      </c>
      <c r="E131" t="n">
        <v>372.6</v>
      </c>
      <c r="F131" t="n">
        <v>372.3</v>
      </c>
      <c r="G131" t="n">
        <v>371.4</v>
      </c>
      <c r="H131" t="n">
        <v>371</v>
      </c>
      <c r="I131" t="n">
        <v>371.3</v>
      </c>
      <c r="J131" t="n">
        <v>0.3</v>
      </c>
    </row>
    <row r="132">
      <c r="A132" t="inlineStr">
        <is>
          <t>ISIC 241</t>
        </is>
      </c>
      <c r="B132" t="inlineStr">
        <is>
          <t>Iron and steel mills and ferroalloy manufacturing(1)</t>
        </is>
      </c>
      <c r="C132" t="n">
        <v>3311</v>
      </c>
      <c r="D132" t="n">
        <v>80.40000000000001</v>
      </c>
      <c r="E132" t="n">
        <v>80</v>
      </c>
      <c r="F132" t="n">
        <v>80.09999999999999</v>
      </c>
      <c r="G132" t="n">
        <v>78.90000000000001</v>
      </c>
      <c r="H132" t="n">
        <v>79.59999999999999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ISIC 241</t>
        </is>
      </c>
      <c r="B133" t="inlineStr">
        <is>
          <t>Steel product manufacturing from purchased steel(1)</t>
        </is>
      </c>
      <c r="C133" t="n">
        <v>3312</v>
      </c>
      <c r="D133" t="n">
        <v>60.7</v>
      </c>
      <c r="E133" t="n">
        <v>60.3</v>
      </c>
      <c r="F133" t="n">
        <v>59.5</v>
      </c>
      <c r="G133" t="n">
        <v>59.6</v>
      </c>
      <c r="H133" t="n">
        <v>59.7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ISIC 242</t>
        </is>
      </c>
      <c r="B134" t="inlineStr">
        <is>
          <t>Alumina, aluminum, and other nonferrous metal production and processing(1)</t>
        </is>
      </c>
      <c r="C134" t="inlineStr">
        <is>
          <t>3313,4</t>
        </is>
      </c>
      <c r="D134" t="n">
        <v>124.8</v>
      </c>
      <c r="E134" t="n">
        <v>124.3</v>
      </c>
      <c r="F134" t="n">
        <v>124.5</v>
      </c>
      <c r="G134" t="n">
        <v>123.9</v>
      </c>
      <c r="H134" t="n">
        <v>123.2</v>
      </c>
      <c r="I134" t="inlineStr">
        <is>
          <t>-</t>
        </is>
      </c>
      <c r="J134" t="inlineStr">
        <is>
          <t>-</t>
        </is>
      </c>
    </row>
    <row r="135">
      <c r="B135" t="inlineStr">
        <is>
          <t>Foundries(1)</t>
        </is>
      </c>
      <c r="C135" t="n">
        <v>3315</v>
      </c>
      <c r="D135" t="n">
        <v>106.1</v>
      </c>
      <c r="E135" t="n">
        <v>108.2</v>
      </c>
      <c r="F135" t="n">
        <v>108</v>
      </c>
      <c r="G135" t="n">
        <v>108</v>
      </c>
      <c r="H135" t="n">
        <v>108.8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ISIC 241</t>
        </is>
      </c>
      <c r="B136" t="inlineStr">
        <is>
          <t>Ferrous metal foundries(1)</t>
        </is>
      </c>
      <c r="C136" t="n">
        <v>33151</v>
      </c>
      <c r="D136" t="n">
        <v>54.1</v>
      </c>
      <c r="E136" t="n">
        <v>55.5</v>
      </c>
      <c r="F136" t="n">
        <v>55.1</v>
      </c>
      <c r="G136" t="n">
        <v>54.6</v>
      </c>
      <c r="H136" t="n">
        <v>54.5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ISIC 242</t>
        </is>
      </c>
      <c r="B137" t="inlineStr">
        <is>
          <t>Nonferrous metal foundries(1)</t>
        </is>
      </c>
      <c r="C137" t="n">
        <v>33152</v>
      </c>
      <c r="D137" t="n">
        <v>51.6</v>
      </c>
      <c r="E137" t="n">
        <v>53.2</v>
      </c>
      <c r="F137" t="n">
        <v>53.3</v>
      </c>
      <c r="G137" t="n">
        <v>53.6</v>
      </c>
      <c r="H137" t="n">
        <v>54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ISIC 25</t>
        </is>
      </c>
      <c r="B138" t="inlineStr">
        <is>
          <t>Fabricated metal product manufacturing</t>
        </is>
      </c>
      <c r="C138" t="n">
        <v>332</v>
      </c>
      <c r="D138" t="n">
        <v>1460</v>
      </c>
      <c r="E138" t="n">
        <v>1461.5</v>
      </c>
      <c r="F138" t="n">
        <v>1458.5</v>
      </c>
      <c r="G138" t="n">
        <v>1459.5</v>
      </c>
      <c r="H138" t="n">
        <v>1456.3</v>
      </c>
      <c r="I138" t="n">
        <v>1456.4</v>
      </c>
      <c r="J138" t="n">
        <v>0.1</v>
      </c>
    </row>
    <row r="139">
      <c r="B139" t="inlineStr">
        <is>
          <t>Forging and stamping(1)</t>
        </is>
      </c>
      <c r="C139" t="n">
        <v>3321</v>
      </c>
      <c r="D139" t="n">
        <v>89.59999999999999</v>
      </c>
      <c r="E139" t="n">
        <v>88.8</v>
      </c>
      <c r="F139" t="n">
        <v>89.7</v>
      </c>
      <c r="G139" t="n">
        <v>90.3</v>
      </c>
      <c r="H139" t="n">
        <v>89.5</v>
      </c>
      <c r="I139" t="inlineStr">
        <is>
          <t>-</t>
        </is>
      </c>
      <c r="J139" t="inlineStr">
        <is>
          <t>-</t>
        </is>
      </c>
    </row>
    <row r="140">
      <c r="B140" t="inlineStr">
        <is>
          <t>Architectural and structural metals manufacturing(1)</t>
        </is>
      </c>
      <c r="C140" t="n">
        <v>3323</v>
      </c>
      <c r="D140" t="n">
        <v>421.5</v>
      </c>
      <c r="E140" t="n">
        <v>427</v>
      </c>
      <c r="F140" t="n">
        <v>426.5</v>
      </c>
      <c r="G140" t="n">
        <v>426.3</v>
      </c>
      <c r="H140" t="n">
        <v>425.3</v>
      </c>
      <c r="I140" t="inlineStr">
        <is>
          <t>-</t>
        </is>
      </c>
      <c r="J140" t="inlineStr">
        <is>
          <t>-</t>
        </is>
      </c>
    </row>
    <row r="141">
      <c r="B141" t="inlineStr">
        <is>
          <t>Plate work and fabricated structural product manufacturing(1)</t>
        </is>
      </c>
      <c r="C141" t="n">
        <v>33231</v>
      </c>
      <c r="D141" t="n">
        <v>189.6</v>
      </c>
      <c r="E141" t="n">
        <v>194.5</v>
      </c>
      <c r="F141" t="n">
        <v>194.2</v>
      </c>
      <c r="G141" t="n">
        <v>194.2</v>
      </c>
      <c r="H141" t="n">
        <v>195</v>
      </c>
      <c r="I141" t="inlineStr">
        <is>
          <t>-</t>
        </is>
      </c>
      <c r="J141" t="inlineStr">
        <is>
          <t>-</t>
        </is>
      </c>
    </row>
    <row r="142">
      <c r="B142" t="inlineStr">
        <is>
          <t>Fabricated structural metal manufacturing(1)</t>
        </is>
      </c>
      <c r="C142" t="n">
        <v>332312</v>
      </c>
      <c r="D142" t="n">
        <v>102.5</v>
      </c>
      <c r="E142" t="n">
        <v>104.4</v>
      </c>
      <c r="F142" t="n">
        <v>104</v>
      </c>
      <c r="G142" t="n">
        <v>103.6</v>
      </c>
      <c r="H142" t="n">
        <v>104.6</v>
      </c>
      <c r="I142" t="inlineStr">
        <is>
          <t>-</t>
        </is>
      </c>
      <c r="J142" t="inlineStr">
        <is>
          <t>-</t>
        </is>
      </c>
    </row>
    <row r="143">
      <c r="B143" t="inlineStr">
        <is>
          <t>Plate work and prefabricated metal building and component manufacturing(1)</t>
        </is>
      </c>
      <c r="C143" t="inlineStr">
        <is>
          <t>332311,3</t>
        </is>
      </c>
      <c r="D143" t="n">
        <v>86.7</v>
      </c>
      <c r="E143" t="n">
        <v>90.09999999999999</v>
      </c>
      <c r="F143" t="n">
        <v>90.2</v>
      </c>
      <c r="G143" t="n">
        <v>90.3</v>
      </c>
      <c r="H143" t="n">
        <v>90.5</v>
      </c>
      <c r="I143" t="inlineStr">
        <is>
          <t>-</t>
        </is>
      </c>
      <c r="J143" t="inlineStr">
        <is>
          <t>-</t>
        </is>
      </c>
    </row>
    <row r="144">
      <c r="B144" t="inlineStr">
        <is>
          <t>Ornamental and architectural metal products manufacturing(1)</t>
        </is>
      </c>
      <c r="C144" t="n">
        <v>33232</v>
      </c>
      <c r="D144" t="n">
        <v>232.2</v>
      </c>
      <c r="E144" t="n">
        <v>233.3</v>
      </c>
      <c r="F144" t="n">
        <v>232.9</v>
      </c>
      <c r="G144" t="n">
        <v>232.4</v>
      </c>
      <c r="H144" t="n">
        <v>230.9</v>
      </c>
      <c r="I144" t="inlineStr">
        <is>
          <t>-</t>
        </is>
      </c>
      <c r="J144" t="inlineStr">
        <is>
          <t>-</t>
        </is>
      </c>
    </row>
    <row r="145">
      <c r="B145" t="inlineStr">
        <is>
          <t>Metal window and door manufacturing(1)</t>
        </is>
      </c>
      <c r="C145" t="n">
        <v>332321</v>
      </c>
      <c r="D145" t="n">
        <v>68.40000000000001</v>
      </c>
      <c r="E145" t="n">
        <v>69.8</v>
      </c>
      <c r="F145" t="n">
        <v>69.2</v>
      </c>
      <c r="G145" t="n">
        <v>69.09999999999999</v>
      </c>
      <c r="H145" t="n">
        <v>68.7</v>
      </c>
      <c r="I145" t="inlineStr">
        <is>
          <t>-</t>
        </is>
      </c>
      <c r="J145" t="inlineStr">
        <is>
          <t>-</t>
        </is>
      </c>
    </row>
    <row r="146">
      <c r="B146" t="inlineStr">
        <is>
          <t>Sheet metal work manufacturing(1)</t>
        </is>
      </c>
      <c r="C146" t="n">
        <v>332322</v>
      </c>
      <c r="D146" t="n">
        <v>118.1</v>
      </c>
      <c r="E146" t="n">
        <v>118.9</v>
      </c>
      <c r="F146" t="n">
        <v>119.7</v>
      </c>
      <c r="G146" t="n">
        <v>119.5</v>
      </c>
      <c r="H146" t="n">
        <v>119</v>
      </c>
      <c r="I146" t="inlineStr">
        <is>
          <t>-</t>
        </is>
      </c>
      <c r="J146" t="inlineStr">
        <is>
          <t>-</t>
        </is>
      </c>
    </row>
    <row r="147">
      <c r="B147" t="inlineStr">
        <is>
          <t>Ornamental and architectural metal work manufacturing(1)</t>
        </is>
      </c>
      <c r="C147" t="n">
        <v>332323</v>
      </c>
      <c r="D147" t="n">
        <v>45.3</v>
      </c>
      <c r="E147" t="n">
        <v>44.7</v>
      </c>
      <c r="F147" t="n">
        <v>44</v>
      </c>
      <c r="G147" t="n">
        <v>43.9</v>
      </c>
      <c r="H147" t="n">
        <v>43.1</v>
      </c>
      <c r="I147" t="inlineStr">
        <is>
          <t>-</t>
        </is>
      </c>
      <c r="J147" t="inlineStr">
        <is>
          <t>-</t>
        </is>
      </c>
    </row>
    <row r="148">
      <c r="B148" t="inlineStr">
        <is>
          <t>Boiler, tank, and shipping container manufacturing(1)</t>
        </is>
      </c>
      <c r="C148" t="n">
        <v>3324</v>
      </c>
      <c r="D148" t="n">
        <v>95.40000000000001</v>
      </c>
      <c r="E148" t="n">
        <v>98.59999999999999</v>
      </c>
      <c r="F148" t="n">
        <v>98.59999999999999</v>
      </c>
      <c r="G148" t="n">
        <v>98.59999999999999</v>
      </c>
      <c r="H148" t="n">
        <v>98</v>
      </c>
      <c r="I148" t="inlineStr">
        <is>
          <t>-</t>
        </is>
      </c>
      <c r="J148" t="inlineStr">
        <is>
          <t>-</t>
        </is>
      </c>
    </row>
    <row r="149">
      <c r="B149" t="inlineStr">
        <is>
          <t>Hardware, spring, and wire product manufacturing(1)</t>
        </is>
      </c>
      <c r="C149" t="inlineStr">
        <is>
          <t>3325,6</t>
        </is>
      </c>
      <c r="D149" t="n">
        <v>64.90000000000001</v>
      </c>
      <c r="E149" t="n">
        <v>64.3</v>
      </c>
      <c r="F149" t="n">
        <v>64</v>
      </c>
      <c r="G149" t="n">
        <v>63.9</v>
      </c>
      <c r="H149" t="n">
        <v>63.5</v>
      </c>
      <c r="I149" t="inlineStr">
        <is>
          <t>-</t>
        </is>
      </c>
      <c r="J149" t="inlineStr">
        <is>
          <t>-</t>
        </is>
      </c>
    </row>
    <row r="150">
      <c r="B150" t="inlineStr">
        <is>
          <t>Machine shops; turned product; and screw, nut, and bolt manufacturing(1)</t>
        </is>
      </c>
      <c r="C150" t="n">
        <v>3327</v>
      </c>
      <c r="D150" t="n">
        <v>342.3</v>
      </c>
      <c r="E150" t="n">
        <v>333.5</v>
      </c>
      <c r="F150" t="n">
        <v>331.8</v>
      </c>
      <c r="G150" t="n">
        <v>331.3</v>
      </c>
      <c r="H150" t="n">
        <v>331.7</v>
      </c>
      <c r="I150" t="inlineStr">
        <is>
          <t>-</t>
        </is>
      </c>
      <c r="J150" t="inlineStr">
        <is>
          <t>-</t>
        </is>
      </c>
    </row>
    <row r="151">
      <c r="B151" t="inlineStr">
        <is>
          <t>Machine shops(1)</t>
        </is>
      </c>
      <c r="C151" t="n">
        <v>33271</v>
      </c>
      <c r="D151" t="n">
        <v>266.5</v>
      </c>
      <c r="E151" t="n">
        <v>260</v>
      </c>
      <c r="F151" t="n">
        <v>258.6</v>
      </c>
      <c r="G151" t="n">
        <v>257.8</v>
      </c>
      <c r="H151" t="n">
        <v>258.3</v>
      </c>
      <c r="I151" t="inlineStr">
        <is>
          <t>-</t>
        </is>
      </c>
      <c r="J151" t="inlineStr">
        <is>
          <t>-</t>
        </is>
      </c>
    </row>
    <row r="152">
      <c r="B152" t="inlineStr">
        <is>
          <t>Turned product and screw, nut, and bolt manufacturing(1)</t>
        </is>
      </c>
      <c r="C152" t="n">
        <v>33272</v>
      </c>
      <c r="D152" t="n">
        <v>75.7</v>
      </c>
      <c r="E152" t="n">
        <v>73.5</v>
      </c>
      <c r="F152" t="n">
        <v>73.59999999999999</v>
      </c>
      <c r="G152" t="n">
        <v>73.40000000000001</v>
      </c>
      <c r="H152" t="n">
        <v>73.3</v>
      </c>
      <c r="I152" t="inlineStr">
        <is>
          <t>-</t>
        </is>
      </c>
      <c r="J152" t="inlineStr">
        <is>
          <t>-</t>
        </is>
      </c>
    </row>
    <row r="153">
      <c r="B153" t="inlineStr">
        <is>
          <t>Coating, engraving, heat treating, and allied activities(1)</t>
        </is>
      </c>
      <c r="C153" t="n">
        <v>3328</v>
      </c>
      <c r="D153" t="n">
        <v>129.6</v>
      </c>
      <c r="E153" t="n">
        <v>130.4</v>
      </c>
      <c r="F153" t="n">
        <v>129.8</v>
      </c>
      <c r="G153" t="n">
        <v>129.8</v>
      </c>
      <c r="H153" t="n">
        <v>128.9</v>
      </c>
      <c r="I153" t="inlineStr">
        <is>
          <t>-</t>
        </is>
      </c>
      <c r="J153" t="inlineStr">
        <is>
          <t>-</t>
        </is>
      </c>
    </row>
    <row r="154">
      <c r="B154" t="inlineStr">
        <is>
          <t>Metal heat treating, coating, engraving (except jewelry and silverware), and allied services to manufacturers(1)</t>
        </is>
      </c>
      <c r="C154" t="inlineStr">
        <is>
          <t>332811,2</t>
        </is>
      </c>
      <c r="D154" t="n">
        <v>77.3</v>
      </c>
      <c r="E154" t="n">
        <v>76.2</v>
      </c>
      <c r="F154" t="n">
        <v>76.3</v>
      </c>
      <c r="G154" t="n">
        <v>76.7</v>
      </c>
      <c r="H154" t="n">
        <v>76.2</v>
      </c>
      <c r="I154" t="inlineStr">
        <is>
          <t>-</t>
        </is>
      </c>
      <c r="J154" t="inlineStr">
        <is>
          <t>-</t>
        </is>
      </c>
    </row>
    <row r="155">
      <c r="B155" t="inlineStr">
        <is>
          <t>Electroplating, plating, polishing, anodizing, and coloring(1)</t>
        </is>
      </c>
      <c r="C155" t="n">
        <v>332813</v>
      </c>
      <c r="D155" t="n">
        <v>52.3</v>
      </c>
      <c r="E155" t="n">
        <v>53.7</v>
      </c>
      <c r="F155" t="n">
        <v>53.3</v>
      </c>
      <c r="G155" t="n">
        <v>53.2</v>
      </c>
      <c r="H155" t="n">
        <v>52.9</v>
      </c>
      <c r="I155" t="inlineStr">
        <is>
          <t>-</t>
        </is>
      </c>
      <c r="J155" t="inlineStr">
        <is>
          <t>-</t>
        </is>
      </c>
    </row>
    <row r="156">
      <c r="B156" t="inlineStr">
        <is>
          <t>Cutlery, handtool, and other fabricated metal product manufacturing(1)</t>
        </is>
      </c>
      <c r="C156" t="n">
        <v>3329</v>
      </c>
      <c r="D156" t="n">
        <v>316</v>
      </c>
      <c r="E156" t="n">
        <v>318.3</v>
      </c>
      <c r="F156" t="n">
        <v>317.5</v>
      </c>
      <c r="G156" t="n">
        <v>319</v>
      </c>
      <c r="H156" t="n">
        <v>318.9</v>
      </c>
      <c r="I156" t="inlineStr">
        <is>
          <t>-</t>
        </is>
      </c>
      <c r="J156" t="inlineStr">
        <is>
          <t>-</t>
        </is>
      </c>
    </row>
    <row r="157">
      <c r="B157" t="inlineStr">
        <is>
          <t>Metal valve manufacturing(1)</t>
        </is>
      </c>
      <c r="C157" t="n">
        <v>33291</v>
      </c>
      <c r="D157" t="n">
        <v>89.8</v>
      </c>
      <c r="E157" t="n">
        <v>90.90000000000001</v>
      </c>
      <c r="F157" t="n">
        <v>91.40000000000001</v>
      </c>
      <c r="G157" t="n">
        <v>91.3</v>
      </c>
      <c r="H157" t="n">
        <v>91.59999999999999</v>
      </c>
      <c r="I157" t="inlineStr">
        <is>
          <t>-</t>
        </is>
      </c>
      <c r="J157" t="inlineStr">
        <is>
          <t>-</t>
        </is>
      </c>
    </row>
    <row r="158">
      <c r="B158" t="inlineStr">
        <is>
          <t>Fluid power valve and hose fitting manufacturing(1)</t>
        </is>
      </c>
      <c r="C158" t="n">
        <v>332912</v>
      </c>
      <c r="D158" t="n">
        <v>38.5</v>
      </c>
      <c r="E158" t="n">
        <v>37.9</v>
      </c>
      <c r="F158" t="n">
        <v>38</v>
      </c>
      <c r="G158" t="n">
        <v>38.1</v>
      </c>
      <c r="H158" t="n">
        <v>38</v>
      </c>
      <c r="I158" t="inlineStr">
        <is>
          <t>-</t>
        </is>
      </c>
      <c r="J158" t="inlineStr">
        <is>
          <t>-</t>
        </is>
      </c>
    </row>
    <row r="159">
      <c r="B159" t="inlineStr">
        <is>
          <t>Industrial valve, plumbing fixture fitting and trim, and other metal valve and pipe fitting manufacturing(1)</t>
        </is>
      </c>
      <c r="C159" t="inlineStr">
        <is>
          <t>332911,3,9</t>
        </is>
      </c>
      <c r="D159" t="n">
        <v>51.3</v>
      </c>
      <c r="E159" t="n">
        <v>53.2</v>
      </c>
      <c r="F159" t="n">
        <v>53.5</v>
      </c>
      <c r="G159" t="n">
        <v>53</v>
      </c>
      <c r="H159" t="n">
        <v>53.5</v>
      </c>
      <c r="I159" t="inlineStr">
        <is>
          <t>-</t>
        </is>
      </c>
      <c r="J159" t="inlineStr">
        <is>
          <t>-</t>
        </is>
      </c>
    </row>
    <row r="160">
      <c r="B160" t="inlineStr">
        <is>
          <t>Cutlery, handtool, and all other fabricated metal product manufacturing(1)</t>
        </is>
      </c>
      <c r="C160" t="n">
        <v>33299</v>
      </c>
      <c r="D160" t="n">
        <v>226</v>
      </c>
      <c r="E160" t="n">
        <v>227.7</v>
      </c>
      <c r="F160" t="n">
        <v>225.6</v>
      </c>
      <c r="G160" t="n">
        <v>227.6</v>
      </c>
      <c r="H160" t="n">
        <v>227.5</v>
      </c>
      <c r="I160" t="inlineStr">
        <is>
          <t>-</t>
        </is>
      </c>
      <c r="J160" t="inlineStr">
        <is>
          <t>-</t>
        </is>
      </c>
    </row>
    <row r="161">
      <c r="B161" t="inlineStr">
        <is>
          <t>Small arms, ammunition, and other ordnance and ordnance accessories manufacturing(1)</t>
        </is>
      </c>
      <c r="C161" t="inlineStr">
        <is>
          <t>332992,3,4</t>
        </is>
      </c>
      <c r="D161" t="n">
        <v>54</v>
      </c>
      <c r="E161" t="n">
        <v>55</v>
      </c>
      <c r="F161" t="n">
        <v>54</v>
      </c>
      <c r="G161" t="n">
        <v>53.9</v>
      </c>
      <c r="H161" t="n">
        <v>54.7</v>
      </c>
      <c r="I161" t="inlineStr">
        <is>
          <t>-</t>
        </is>
      </c>
      <c r="J161" t="inlineStr">
        <is>
          <t>-</t>
        </is>
      </c>
    </row>
    <row r="162">
      <c r="B162" t="inlineStr">
        <is>
          <t>Cutlery, handtool, ball and roller bearing, fabricated pipe, pipe fitting, and all other fabricated metal product manufacturing(1)</t>
        </is>
      </c>
      <c r="C162" t="inlineStr">
        <is>
          <t>332200;991,9</t>
        </is>
      </c>
      <c r="D162" t="n">
        <v>172.2</v>
      </c>
      <c r="E162" t="n">
        <v>172.4</v>
      </c>
      <c r="F162" t="n">
        <v>171.4</v>
      </c>
      <c r="G162" t="n">
        <v>173.6</v>
      </c>
      <c r="H162" t="n">
        <v>172.9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ISIC 28</t>
        </is>
      </c>
      <c r="B163" t="inlineStr">
        <is>
          <t>Machinery manufacturing</t>
        </is>
      </c>
      <c r="C163" t="n">
        <v>333</v>
      </c>
      <c r="D163" t="n">
        <v>1138</v>
      </c>
      <c r="E163" t="n">
        <v>1131.1</v>
      </c>
      <c r="F163" t="n">
        <v>1129.4</v>
      </c>
      <c r="G163" t="n">
        <v>1132</v>
      </c>
      <c r="H163" t="n">
        <v>1132</v>
      </c>
      <c r="I163" t="n">
        <v>1134.7</v>
      </c>
      <c r="J163" t="n">
        <v>2.7</v>
      </c>
    </row>
    <row r="164">
      <c r="B164" t="inlineStr">
        <is>
          <t>Agriculture, construction, and mining machinery manufacturing(1)</t>
        </is>
      </c>
      <c r="C164" t="n">
        <v>3331</v>
      </c>
      <c r="D164" t="n">
        <v>222</v>
      </c>
      <c r="E164" t="n">
        <v>219.9</v>
      </c>
      <c r="F164" t="n">
        <v>217</v>
      </c>
      <c r="G164" t="n">
        <v>217.1</v>
      </c>
      <c r="H164" t="n">
        <v>217.2</v>
      </c>
      <c r="I164" t="inlineStr">
        <is>
          <t>-</t>
        </is>
      </c>
      <c r="J164" t="inlineStr">
        <is>
          <t>-</t>
        </is>
      </c>
    </row>
    <row r="165">
      <c r="B165" t="inlineStr">
        <is>
          <t>Agricultural implement manufacturing(1)</t>
        </is>
      </c>
      <c r="C165" t="n">
        <v>33311</v>
      </c>
      <c r="D165" t="n">
        <v>86.90000000000001</v>
      </c>
      <c r="E165" t="n">
        <v>85.59999999999999</v>
      </c>
      <c r="F165" t="n">
        <v>85.09999999999999</v>
      </c>
      <c r="G165" t="n">
        <v>84.40000000000001</v>
      </c>
      <c r="H165" t="n">
        <v>84</v>
      </c>
      <c r="I165" t="inlineStr">
        <is>
          <t>-</t>
        </is>
      </c>
      <c r="J165" t="inlineStr">
        <is>
          <t>-</t>
        </is>
      </c>
    </row>
    <row r="166">
      <c r="B166" t="inlineStr">
        <is>
          <t>Construction machinery manufacturing(1)</t>
        </is>
      </c>
      <c r="C166" t="n">
        <v>33312</v>
      </c>
      <c r="D166" t="n">
        <v>75.09999999999999</v>
      </c>
      <c r="E166" t="n">
        <v>76.2</v>
      </c>
      <c r="F166" t="n">
        <v>75.40000000000001</v>
      </c>
      <c r="G166" t="n">
        <v>75</v>
      </c>
      <c r="H166" t="n">
        <v>74.3</v>
      </c>
      <c r="I166" t="inlineStr">
        <is>
          <t>-</t>
        </is>
      </c>
      <c r="J166" t="inlineStr">
        <is>
          <t>-</t>
        </is>
      </c>
    </row>
    <row r="167">
      <c r="B167" t="inlineStr">
        <is>
          <t>Mining and oil and gas field machinery manufacturing(1)</t>
        </is>
      </c>
      <c r="C167" t="n">
        <v>33313</v>
      </c>
      <c r="D167" t="n">
        <v>59.9</v>
      </c>
      <c r="E167" t="n">
        <v>58.1</v>
      </c>
      <c r="F167" t="n">
        <v>57.7</v>
      </c>
      <c r="G167" t="n">
        <v>58.1</v>
      </c>
      <c r="H167" t="n">
        <v>59.2</v>
      </c>
      <c r="I167" t="inlineStr">
        <is>
          <t>-</t>
        </is>
      </c>
      <c r="J167" t="inlineStr">
        <is>
          <t>-</t>
        </is>
      </c>
    </row>
    <row r="168">
      <c r="B168" t="inlineStr">
        <is>
          <t>Industrial machinery manufacturing(1)</t>
        </is>
      </c>
      <c r="C168" t="n">
        <v>3332</v>
      </c>
      <c r="D168" t="n">
        <v>132.6</v>
      </c>
      <c r="E168" t="n">
        <v>133.3</v>
      </c>
      <c r="F168" t="n">
        <v>133.2</v>
      </c>
      <c r="G168" t="n">
        <v>133</v>
      </c>
      <c r="H168" t="n">
        <v>133.4</v>
      </c>
      <c r="I168" t="inlineStr">
        <is>
          <t>-</t>
        </is>
      </c>
      <c r="J168" t="inlineStr">
        <is>
          <t>-</t>
        </is>
      </c>
    </row>
    <row r="169">
      <c r="B169" t="inlineStr">
        <is>
          <t>All other industrial machinery manufacturing(1)</t>
        </is>
      </c>
      <c r="C169" t="n">
        <v>333248</v>
      </c>
      <c r="D169" t="n">
        <v>70.3</v>
      </c>
      <c r="E169" t="n">
        <v>70.90000000000001</v>
      </c>
      <c r="F169" t="n">
        <v>70.8</v>
      </c>
      <c r="G169" t="n">
        <v>70.90000000000001</v>
      </c>
      <c r="H169" t="n">
        <v>70.90000000000001</v>
      </c>
      <c r="I169" t="inlineStr">
        <is>
          <t>-</t>
        </is>
      </c>
      <c r="J169" t="inlineStr">
        <is>
          <t>-</t>
        </is>
      </c>
    </row>
    <row r="170">
      <c r="B170" t="inlineStr">
        <is>
          <t>Commercial and service industry machinery manufacturing(1)</t>
        </is>
      </c>
      <c r="C170" t="n">
        <v>3333</v>
      </c>
      <c r="D170" t="n">
        <v>91.90000000000001</v>
      </c>
      <c r="E170" t="n">
        <v>91.3</v>
      </c>
      <c r="F170" t="n">
        <v>91.59999999999999</v>
      </c>
      <c r="G170" t="n">
        <v>92.09999999999999</v>
      </c>
      <c r="H170" t="n">
        <v>92.2</v>
      </c>
      <c r="I170" t="inlineStr">
        <is>
          <t>-</t>
        </is>
      </c>
      <c r="J170" t="inlineStr">
        <is>
          <t>-</t>
        </is>
      </c>
    </row>
    <row r="171">
      <c r="B171" t="inlineStr">
        <is>
          <t>Ventilation, heating, air-conditioning, and commercial refrigeration equipment manufacturing(1)</t>
        </is>
      </c>
      <c r="C171" t="n">
        <v>3334</v>
      </c>
      <c r="D171" t="n">
        <v>152.9</v>
      </c>
      <c r="E171" t="n">
        <v>154</v>
      </c>
      <c r="F171" t="n">
        <v>154.8</v>
      </c>
      <c r="G171" t="n">
        <v>155.6</v>
      </c>
      <c r="H171" t="n">
        <v>156.6</v>
      </c>
      <c r="I171" t="inlineStr">
        <is>
          <t>-</t>
        </is>
      </c>
      <c r="J171" t="inlineStr">
        <is>
          <t>-</t>
        </is>
      </c>
    </row>
    <row r="172">
      <c r="B172" t="inlineStr">
        <is>
          <t>Air-conditioning and warm air heating equipment and commercial and industrial refrigeration equipment manufacturing(1)</t>
        </is>
      </c>
      <c r="C172" t="n">
        <v>333415</v>
      </c>
      <c r="D172" t="n">
        <v>101.2</v>
      </c>
      <c r="E172" t="n">
        <v>99.8</v>
      </c>
      <c r="F172" t="n">
        <v>100.4</v>
      </c>
      <c r="G172" t="n">
        <v>101.2</v>
      </c>
      <c r="H172" t="n">
        <v>101.6</v>
      </c>
      <c r="I172" t="inlineStr">
        <is>
          <t>-</t>
        </is>
      </c>
      <c r="J172" t="inlineStr">
        <is>
          <t>-</t>
        </is>
      </c>
    </row>
    <row r="173">
      <c r="B173" t="inlineStr">
        <is>
          <t>Metalworking machinery manufacturing(1)</t>
        </is>
      </c>
      <c r="C173" t="n">
        <v>3335</v>
      </c>
      <c r="D173" t="n">
        <v>161</v>
      </c>
      <c r="E173" t="n">
        <v>158.4</v>
      </c>
      <c r="F173" t="n">
        <v>158.3</v>
      </c>
      <c r="G173" t="n">
        <v>158.3</v>
      </c>
      <c r="H173" t="n">
        <v>157.5</v>
      </c>
      <c r="I173" t="inlineStr">
        <is>
          <t>-</t>
        </is>
      </c>
      <c r="J173" t="inlineStr">
        <is>
          <t>-</t>
        </is>
      </c>
    </row>
    <row r="174">
      <c r="B174" t="inlineStr">
        <is>
          <t>Special die and tool, die set, jig, and fixture manufacturing(1)</t>
        </is>
      </c>
      <c r="C174" t="n">
        <v>333514</v>
      </c>
      <c r="D174" t="n">
        <v>53.3</v>
      </c>
      <c r="E174" t="n">
        <v>52.2</v>
      </c>
      <c r="F174" t="n">
        <v>52.1</v>
      </c>
      <c r="G174" t="n">
        <v>52.2</v>
      </c>
      <c r="H174" t="n">
        <v>51.9</v>
      </c>
      <c r="I174" t="inlineStr">
        <is>
          <t>-</t>
        </is>
      </c>
      <c r="J174" t="inlineStr">
        <is>
          <t>-</t>
        </is>
      </c>
    </row>
    <row r="175">
      <c r="B175" t="inlineStr">
        <is>
          <t>Machine tool manufacturing(1)</t>
        </is>
      </c>
      <c r="C175" t="n">
        <v>333517</v>
      </c>
      <c r="D175" t="n">
        <v>42.5</v>
      </c>
      <c r="E175" t="n">
        <v>41.7</v>
      </c>
      <c r="F175" t="n">
        <v>41.7</v>
      </c>
      <c r="G175" t="n">
        <v>41.9</v>
      </c>
      <c r="H175" t="n">
        <v>41.8</v>
      </c>
      <c r="I175" t="inlineStr">
        <is>
          <t>-</t>
        </is>
      </c>
      <c r="J175" t="inlineStr">
        <is>
          <t>-</t>
        </is>
      </c>
    </row>
    <row r="176">
      <c r="B176" t="inlineStr">
        <is>
          <t>Industrial mold, cutting tool and machine tool accessory, rolling mill, and other metalworking machinery manufacturing(1)</t>
        </is>
      </c>
      <c r="C176" t="inlineStr">
        <is>
          <t>333511,5,9</t>
        </is>
      </c>
      <c r="D176" t="n">
        <v>65.3</v>
      </c>
      <c r="E176" t="n">
        <v>64.5</v>
      </c>
      <c r="F176" t="n">
        <v>64.40000000000001</v>
      </c>
      <c r="G176" t="n">
        <v>64.3</v>
      </c>
      <c r="H176" t="n">
        <v>63.9</v>
      </c>
      <c r="I176" t="inlineStr">
        <is>
          <t>-</t>
        </is>
      </c>
      <c r="J176" t="inlineStr">
        <is>
          <t>-</t>
        </is>
      </c>
    </row>
    <row r="177">
      <c r="B177" t="inlineStr">
        <is>
          <t>Engine, turbine, and power transmission equipment manufacturing(1)</t>
        </is>
      </c>
      <c r="C177" t="n">
        <v>3336</v>
      </c>
      <c r="D177" t="n">
        <v>91.40000000000001</v>
      </c>
      <c r="E177" t="n">
        <v>92.7</v>
      </c>
      <c r="F177" t="n">
        <v>91.7</v>
      </c>
      <c r="G177" t="n">
        <v>92.59999999999999</v>
      </c>
      <c r="H177" t="n">
        <v>93.40000000000001</v>
      </c>
      <c r="I177" t="inlineStr">
        <is>
          <t>-</t>
        </is>
      </c>
      <c r="J177" t="inlineStr">
        <is>
          <t>-</t>
        </is>
      </c>
    </row>
    <row r="178">
      <c r="B178" t="inlineStr">
        <is>
          <t>Other general purpose machinery manufacturing(1)</t>
        </is>
      </c>
      <c r="C178" t="n">
        <v>3339</v>
      </c>
      <c r="D178" t="n">
        <v>286.1</v>
      </c>
      <c r="E178" t="n">
        <v>281.8</v>
      </c>
      <c r="F178" t="n">
        <v>281.6</v>
      </c>
      <c r="G178" t="n">
        <v>281.6</v>
      </c>
      <c r="H178" t="n">
        <v>280.9</v>
      </c>
      <c r="I178" t="inlineStr">
        <is>
          <t>-</t>
        </is>
      </c>
      <c r="J178" t="inlineStr">
        <is>
          <t>-</t>
        </is>
      </c>
    </row>
    <row r="179">
      <c r="B179" t="inlineStr">
        <is>
          <t>Pump and compressor manufacturing(1)</t>
        </is>
      </c>
      <c r="C179" t="n">
        <v>33391</v>
      </c>
      <c r="D179" t="n">
        <v>48.1</v>
      </c>
      <c r="E179" t="n">
        <v>48.2</v>
      </c>
      <c r="F179" t="n">
        <v>48.1</v>
      </c>
      <c r="G179" t="n">
        <v>48.7</v>
      </c>
      <c r="H179" t="n">
        <v>48.7</v>
      </c>
      <c r="I179" t="inlineStr">
        <is>
          <t>-</t>
        </is>
      </c>
      <c r="J179" t="inlineStr">
        <is>
          <t>-</t>
        </is>
      </c>
    </row>
    <row r="180">
      <c r="B180" t="inlineStr">
        <is>
          <t>Material handling equipment manufacturing(1)</t>
        </is>
      </c>
      <c r="C180" t="n">
        <v>33392</v>
      </c>
      <c r="D180" t="n">
        <v>95.2</v>
      </c>
      <c r="E180" t="n">
        <v>95</v>
      </c>
      <c r="F180" t="n">
        <v>95.09999999999999</v>
      </c>
      <c r="G180" t="n">
        <v>94.90000000000001</v>
      </c>
      <c r="H180" t="n">
        <v>95.09999999999999</v>
      </c>
      <c r="I180" t="inlineStr">
        <is>
          <t>-</t>
        </is>
      </c>
      <c r="J180" t="inlineStr">
        <is>
          <t>-</t>
        </is>
      </c>
    </row>
    <row r="181">
      <c r="B181" t="inlineStr">
        <is>
          <t>All other general purpose machinery manufacturing(1)</t>
        </is>
      </c>
      <c r="C181" t="n">
        <v>33399</v>
      </c>
      <c r="D181" t="n">
        <v>143</v>
      </c>
      <c r="E181" t="n">
        <v>138.4</v>
      </c>
      <c r="F181" t="n">
        <v>138.3</v>
      </c>
      <c r="G181" t="n">
        <v>137.8</v>
      </c>
      <c r="H181" t="n">
        <v>136.9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ISIC 26</t>
        </is>
      </c>
      <c r="B182" t="inlineStr">
        <is>
          <t>Computer and electronic product manufacturing</t>
        </is>
      </c>
      <c r="C182" t="n">
        <v>334</v>
      </c>
      <c r="D182" t="n">
        <v>1106.5</v>
      </c>
      <c r="E182" t="n">
        <v>1099.5</v>
      </c>
      <c r="F182" t="n">
        <v>1097.2</v>
      </c>
      <c r="G182" t="n">
        <v>1096.7</v>
      </c>
      <c r="H182" t="n">
        <v>1093.2</v>
      </c>
      <c r="I182" t="n">
        <v>1089.2</v>
      </c>
      <c r="J182" t="n">
        <v>-4</v>
      </c>
    </row>
    <row r="183">
      <c r="B183" t="inlineStr">
        <is>
          <t>Computer and peripheral equipment manufacturing</t>
        </is>
      </c>
      <c r="C183" t="n">
        <v>3341</v>
      </c>
      <c r="D183" t="n">
        <v>162.2</v>
      </c>
      <c r="E183" t="n">
        <v>160</v>
      </c>
      <c r="F183" t="n">
        <v>159.7</v>
      </c>
      <c r="G183" t="n">
        <v>159.9</v>
      </c>
      <c r="H183" t="n">
        <v>159.5</v>
      </c>
      <c r="I183" t="n">
        <v>159.6</v>
      </c>
      <c r="J183" t="n">
        <v>0.1</v>
      </c>
    </row>
    <row r="184">
      <c r="B184" t="inlineStr">
        <is>
          <t>Communications equipment manufacturing</t>
        </is>
      </c>
      <c r="C184" t="n">
        <v>3342</v>
      </c>
      <c r="D184" t="n">
        <v>87</v>
      </c>
      <c r="E184" t="n">
        <v>84.8</v>
      </c>
      <c r="F184" t="n">
        <v>84.8</v>
      </c>
      <c r="G184" t="n">
        <v>84.40000000000001</v>
      </c>
      <c r="H184" t="n">
        <v>84.40000000000001</v>
      </c>
      <c r="I184" t="n">
        <v>85.09999999999999</v>
      </c>
      <c r="J184" t="n">
        <v>0.7</v>
      </c>
    </row>
    <row r="185">
      <c r="B185" t="inlineStr">
        <is>
          <t>Radio and television broadcasting and wireless communications equipment manufacturing(1)</t>
        </is>
      </c>
      <c r="C185" t="n">
        <v>33422</v>
      </c>
      <c r="D185" t="n">
        <v>53.6</v>
      </c>
      <c r="E185" t="n">
        <v>51.1</v>
      </c>
      <c r="F185" t="n">
        <v>51</v>
      </c>
      <c r="G185" t="n">
        <v>50.8</v>
      </c>
      <c r="H185" t="n">
        <v>50.7</v>
      </c>
      <c r="I185" t="inlineStr">
        <is>
          <t>-</t>
        </is>
      </c>
      <c r="J185" t="inlineStr">
        <is>
          <t>-</t>
        </is>
      </c>
    </row>
    <row r="186">
      <c r="B186" t="inlineStr">
        <is>
          <t>Semiconductor and other electronic component manufacturing</t>
        </is>
      </c>
      <c r="C186" t="n">
        <v>3344</v>
      </c>
      <c r="D186" t="n">
        <v>392.1</v>
      </c>
      <c r="E186" t="n">
        <v>391.5</v>
      </c>
      <c r="F186" t="n">
        <v>391</v>
      </c>
      <c r="G186" t="n">
        <v>390</v>
      </c>
      <c r="H186" t="n">
        <v>387.6</v>
      </c>
      <c r="I186" t="n">
        <v>384.1</v>
      </c>
      <c r="J186" t="n">
        <v>-3.5</v>
      </c>
    </row>
    <row r="187">
      <c r="B187" t="inlineStr">
        <is>
          <t>Bare printed circuit board manufacturing(1)</t>
        </is>
      </c>
      <c r="C187" t="n">
        <v>334412</v>
      </c>
      <c r="D187" t="n">
        <v>26.9</v>
      </c>
      <c r="E187" t="n">
        <v>27.3</v>
      </c>
      <c r="F187" t="n">
        <v>27.2</v>
      </c>
      <c r="G187" t="n">
        <v>27.2</v>
      </c>
      <c r="H187" t="n">
        <v>27</v>
      </c>
      <c r="I187" t="inlineStr">
        <is>
          <t>-</t>
        </is>
      </c>
      <c r="J187" t="inlineStr">
        <is>
          <t>-</t>
        </is>
      </c>
    </row>
    <row r="188">
      <c r="B188" t="inlineStr">
        <is>
          <t>Semiconductor and related device manufacturing(1)</t>
        </is>
      </c>
      <c r="C188" t="n">
        <v>334413</v>
      </c>
      <c r="D188" t="n">
        <v>199.9</v>
      </c>
      <c r="E188" t="n">
        <v>197.8</v>
      </c>
      <c r="F188" t="n">
        <v>196.4</v>
      </c>
      <c r="G188" t="n">
        <v>196.7</v>
      </c>
      <c r="H188" t="n">
        <v>194.2</v>
      </c>
      <c r="I188" t="inlineStr">
        <is>
          <t>-</t>
        </is>
      </c>
      <c r="J188" t="inlineStr">
        <is>
          <t>-</t>
        </is>
      </c>
    </row>
    <row r="189">
      <c r="B189" t="inlineStr">
        <is>
          <t>Printed electronic circuit assembly manufacturing(1)</t>
        </is>
      </c>
      <c r="C189" t="n">
        <v>334418</v>
      </c>
      <c r="D189" t="n">
        <v>61.4</v>
      </c>
      <c r="E189" t="n">
        <v>62</v>
      </c>
      <c r="F189" t="n">
        <v>61.9</v>
      </c>
      <c r="G189" t="n">
        <v>61.3</v>
      </c>
      <c r="H189" t="n">
        <v>61.4</v>
      </c>
      <c r="I189" t="inlineStr">
        <is>
          <t>-</t>
        </is>
      </c>
      <c r="J189" t="inlineStr">
        <is>
          <t>-</t>
        </is>
      </c>
    </row>
    <row r="190">
      <c r="B190" t="inlineStr">
        <is>
          <t>Capacitor, resistor, coil, transformer, other inductor, electronic connector, and other electronic component manufacturing(1)</t>
        </is>
      </c>
      <c r="C190" t="inlineStr">
        <is>
          <t>334416,7,9</t>
        </is>
      </c>
      <c r="D190" t="n">
        <v>103.3</v>
      </c>
      <c r="E190" t="n">
        <v>104.7</v>
      </c>
      <c r="F190" t="n">
        <v>105.5</v>
      </c>
      <c r="G190" t="n">
        <v>104.9</v>
      </c>
      <c r="H190" t="n">
        <v>104.8</v>
      </c>
      <c r="I190" t="inlineStr">
        <is>
          <t>-</t>
        </is>
      </c>
      <c r="J190" t="inlineStr">
        <is>
          <t>-</t>
        </is>
      </c>
    </row>
    <row r="191">
      <c r="B191" t="inlineStr">
        <is>
          <t>Navigational, measuring, electromedical, and control instruments manufacturing</t>
        </is>
      </c>
      <c r="C191" t="n">
        <v>3345</v>
      </c>
      <c r="D191" t="n">
        <v>434.6</v>
      </c>
      <c r="E191" t="n">
        <v>432.5</v>
      </c>
      <c r="F191" t="n">
        <v>430.7</v>
      </c>
      <c r="G191" t="n">
        <v>431.4</v>
      </c>
      <c r="H191" t="n">
        <v>430.9</v>
      </c>
      <c r="I191" t="n">
        <v>429.1</v>
      </c>
      <c r="J191" t="n">
        <v>-1.8</v>
      </c>
    </row>
    <row r="192">
      <c r="B192" t="inlineStr">
        <is>
          <t>Electromedical and electrotherapeutic apparatus manufacturing(1)</t>
        </is>
      </c>
      <c r="C192" t="n">
        <v>334510</v>
      </c>
      <c r="D192" t="n">
        <v>75.7</v>
      </c>
      <c r="E192" t="n">
        <v>75.3</v>
      </c>
      <c r="F192" t="n">
        <v>74.8</v>
      </c>
      <c r="G192" t="n">
        <v>74.90000000000001</v>
      </c>
      <c r="H192" t="n">
        <v>74.40000000000001</v>
      </c>
      <c r="I192" t="inlineStr">
        <is>
          <t>-</t>
        </is>
      </c>
      <c r="J192" t="inlineStr">
        <is>
          <t>-</t>
        </is>
      </c>
    </row>
    <row r="193">
      <c r="B193" t="inlineStr">
        <is>
          <t>Search, detection, navigation, guidance, aeronautical, and nautical system and instrument manufacturing(1)</t>
        </is>
      </c>
      <c r="C193" t="n">
        <v>334511</v>
      </c>
      <c r="D193" t="n">
        <v>136.3</v>
      </c>
      <c r="E193" t="n">
        <v>134</v>
      </c>
      <c r="F193" t="n">
        <v>132.3</v>
      </c>
      <c r="G193" t="n">
        <v>132.3</v>
      </c>
      <c r="H193" t="n">
        <v>132.2</v>
      </c>
      <c r="I193" t="inlineStr">
        <is>
          <t>-</t>
        </is>
      </c>
      <c r="J193" t="inlineStr">
        <is>
          <t>-</t>
        </is>
      </c>
    </row>
    <row r="194">
      <c r="B194" t="inlineStr">
        <is>
          <t>Instruments and related products manufacturing for measuring, displaying, and controlling industrial process variables(1)</t>
        </is>
      </c>
      <c r="C194" t="n">
        <v>334513</v>
      </c>
      <c r="D194" t="n">
        <v>57.2</v>
      </c>
      <c r="E194" t="n">
        <v>58.5</v>
      </c>
      <c r="F194" t="n">
        <v>58.6</v>
      </c>
      <c r="G194" t="n">
        <v>58</v>
      </c>
      <c r="H194" t="n">
        <v>57.9</v>
      </c>
      <c r="I194" t="inlineStr">
        <is>
          <t>-</t>
        </is>
      </c>
      <c r="J194" t="inlineStr">
        <is>
          <t>-</t>
        </is>
      </c>
    </row>
    <row r="195">
      <c r="B195" t="inlineStr">
        <is>
          <t>Instrument manufacturing for measuring and testing electricity and electrical signals(1)</t>
        </is>
      </c>
      <c r="C195" t="n">
        <v>334515</v>
      </c>
      <c r="D195" t="n">
        <v>38</v>
      </c>
      <c r="E195" t="n">
        <v>37.1</v>
      </c>
      <c r="F195" t="n">
        <v>36.9</v>
      </c>
      <c r="G195" t="n">
        <v>36.9</v>
      </c>
      <c r="H195" t="n">
        <v>37</v>
      </c>
      <c r="I195" t="inlineStr">
        <is>
          <t>-</t>
        </is>
      </c>
      <c r="J195" t="inlineStr">
        <is>
          <t>-</t>
        </is>
      </c>
    </row>
    <row r="196">
      <c r="B196" t="inlineStr">
        <is>
          <t>Miscellaneous electronic instruments manufacturing(1)</t>
        </is>
      </c>
      <c r="C196" t="inlineStr">
        <is>
          <t>334512,4,6-9</t>
        </is>
      </c>
      <c r="D196" t="n">
        <v>127.5</v>
      </c>
      <c r="E196" t="n">
        <v>128.1</v>
      </c>
      <c r="F196" t="n">
        <v>128.2</v>
      </c>
      <c r="G196" t="n">
        <v>129</v>
      </c>
      <c r="H196" t="n">
        <v>128.9</v>
      </c>
      <c r="I196" t="inlineStr">
        <is>
          <t>-</t>
        </is>
      </c>
      <c r="J196" t="inlineStr">
        <is>
          <t>-</t>
        </is>
      </c>
    </row>
    <row r="197">
      <c r="B197" t="inlineStr">
        <is>
          <t>Manufacturing and reproducing magnetic and optical media and audio and video equipment manufacturing</t>
        </is>
      </c>
      <c r="C197" t="inlineStr">
        <is>
          <t>3343,6</t>
        </is>
      </c>
      <c r="D197" t="n">
        <v>30.6</v>
      </c>
      <c r="E197" t="n">
        <v>30.8</v>
      </c>
      <c r="F197" t="n">
        <v>30.9</v>
      </c>
      <c r="G197" t="n">
        <v>30.9</v>
      </c>
      <c r="H197" t="n">
        <v>30.7</v>
      </c>
      <c r="I197" t="n">
        <v>31.4</v>
      </c>
      <c r="J197" t="n">
        <v>0.7</v>
      </c>
    </row>
    <row r="198">
      <c r="A198" t="inlineStr">
        <is>
          <t>ISIC 27</t>
        </is>
      </c>
      <c r="B198" t="inlineStr">
        <is>
          <t>Electrical equipment, appliance, and component manufacturing</t>
        </is>
      </c>
      <c r="C198" t="n">
        <v>335</v>
      </c>
      <c r="D198" t="n">
        <v>415.1</v>
      </c>
      <c r="E198" t="n">
        <v>405.2</v>
      </c>
      <c r="F198" t="n">
        <v>403.5</v>
      </c>
      <c r="G198" t="n">
        <v>402.4</v>
      </c>
      <c r="H198" t="n">
        <v>403.4</v>
      </c>
      <c r="I198" t="n">
        <v>400.8</v>
      </c>
      <c r="J198" t="n">
        <v>-2.6</v>
      </c>
    </row>
    <row r="199">
      <c r="B199" t="inlineStr">
        <is>
          <t>Electric lighting equipment manufacturing(1)</t>
        </is>
      </c>
      <c r="C199" t="n">
        <v>3351</v>
      </c>
      <c r="D199" t="n">
        <v>36.9</v>
      </c>
      <c r="E199" t="n">
        <v>35.4</v>
      </c>
      <c r="F199" t="n">
        <v>34.5</v>
      </c>
      <c r="G199" t="n">
        <v>34.3</v>
      </c>
      <c r="H199" t="n">
        <v>34.3</v>
      </c>
      <c r="I199" t="inlineStr">
        <is>
          <t>-</t>
        </is>
      </c>
      <c r="J199" t="inlineStr">
        <is>
          <t>-</t>
        </is>
      </c>
    </row>
    <row r="200">
      <c r="B200" t="inlineStr">
        <is>
          <t>Household appliance manufacturing(1)</t>
        </is>
      </c>
      <c r="C200" t="n">
        <v>3352</v>
      </c>
      <c r="D200" t="n">
        <v>66.09999999999999</v>
      </c>
      <c r="E200" t="n">
        <v>61.1</v>
      </c>
      <c r="F200" t="n">
        <v>61.8</v>
      </c>
      <c r="G200" t="n">
        <v>61.4</v>
      </c>
      <c r="H200" t="n">
        <v>61.3</v>
      </c>
      <c r="I200" t="inlineStr">
        <is>
          <t>-</t>
        </is>
      </c>
      <c r="J200" t="inlineStr">
        <is>
          <t>-</t>
        </is>
      </c>
    </row>
    <row r="201">
      <c r="B201" t="inlineStr">
        <is>
          <t>Electrical equipment manufacturing(1)</t>
        </is>
      </c>
      <c r="C201" t="n">
        <v>3353</v>
      </c>
      <c r="D201" t="n">
        <v>147.4</v>
      </c>
      <c r="E201" t="n">
        <v>147.9</v>
      </c>
      <c r="F201" t="n">
        <v>147.2</v>
      </c>
      <c r="G201" t="n">
        <v>147.2</v>
      </c>
      <c r="H201" t="n">
        <v>147.7</v>
      </c>
      <c r="I201" t="inlineStr">
        <is>
          <t>-</t>
        </is>
      </c>
      <c r="J201" t="inlineStr">
        <is>
          <t>-</t>
        </is>
      </c>
    </row>
    <row r="202">
      <c r="B202" t="inlineStr">
        <is>
          <t>Power, distribution, and specialty transformer manufacturing(1)</t>
        </is>
      </c>
      <c r="C202" t="n">
        <v>335311</v>
      </c>
      <c r="D202" t="n">
        <v>30.6</v>
      </c>
      <c r="E202" t="n">
        <v>33</v>
      </c>
      <c r="F202" t="n">
        <v>32.4</v>
      </c>
      <c r="G202" t="n">
        <v>32.3</v>
      </c>
      <c r="H202" t="n">
        <v>32.3</v>
      </c>
      <c r="I202" t="inlineStr">
        <is>
          <t>-</t>
        </is>
      </c>
      <c r="J202" t="inlineStr">
        <is>
          <t>-</t>
        </is>
      </c>
    </row>
    <row r="203">
      <c r="B203" t="inlineStr">
        <is>
          <t>Motor, generator, switchgear and switchboard apparatus, and relay and industrial control manufacturing(1)</t>
        </is>
      </c>
      <c r="C203" t="inlineStr">
        <is>
          <t>335312,3,4</t>
        </is>
      </c>
      <c r="D203" t="n">
        <v>116.6</v>
      </c>
      <c r="E203" t="n">
        <v>115.3</v>
      </c>
      <c r="F203" t="n">
        <v>114.7</v>
      </c>
      <c r="G203" t="n">
        <v>114.8</v>
      </c>
      <c r="H203" t="n">
        <v>115.2</v>
      </c>
      <c r="I203" t="inlineStr">
        <is>
          <t>-</t>
        </is>
      </c>
      <c r="J203" t="inlineStr">
        <is>
          <t>-</t>
        </is>
      </c>
    </row>
    <row r="204">
      <c r="B204" t="inlineStr">
        <is>
          <t>Other electrical equipment and component manufacturing(1)</t>
        </is>
      </c>
      <c r="C204" t="n">
        <v>3359</v>
      </c>
      <c r="D204" t="n">
        <v>164.3</v>
      </c>
      <c r="E204" t="n">
        <v>160.7</v>
      </c>
      <c r="F204" t="n">
        <v>160.5</v>
      </c>
      <c r="G204" t="n">
        <v>160</v>
      </c>
      <c r="H204" t="n">
        <v>160</v>
      </c>
      <c r="I204" t="inlineStr">
        <is>
          <t>-</t>
        </is>
      </c>
      <c r="J204" t="inlineStr">
        <is>
          <t>-</t>
        </is>
      </c>
    </row>
    <row r="205">
      <c r="B205" t="inlineStr">
        <is>
          <t>Battery manufacturing(1)</t>
        </is>
      </c>
      <c r="C205" t="n">
        <v>33591</v>
      </c>
      <c r="D205" t="n">
        <v>50.2</v>
      </c>
      <c r="E205" t="n">
        <v>50.1</v>
      </c>
      <c r="F205" t="n">
        <v>50</v>
      </c>
      <c r="G205" t="n">
        <v>50</v>
      </c>
      <c r="H205" t="n">
        <v>50.3</v>
      </c>
      <c r="I205" t="inlineStr">
        <is>
          <t>-</t>
        </is>
      </c>
      <c r="J205" t="inlineStr">
        <is>
          <t>-</t>
        </is>
      </c>
    </row>
    <row r="206">
      <c r="B206" t="inlineStr">
        <is>
          <t>Wiring device manufacturing(1)</t>
        </is>
      </c>
      <c r="C206" t="n">
        <v>33593</v>
      </c>
      <c r="D206" t="n">
        <v>39.3</v>
      </c>
      <c r="E206" t="n">
        <v>39.7</v>
      </c>
      <c r="F206" t="n">
        <v>39.8</v>
      </c>
      <c r="G206" t="n">
        <v>39.9</v>
      </c>
      <c r="H206" t="n">
        <v>40.4</v>
      </c>
      <c r="I206" t="inlineStr">
        <is>
          <t>-</t>
        </is>
      </c>
      <c r="J206" t="inlineStr">
        <is>
          <t>-</t>
        </is>
      </c>
    </row>
    <row r="207">
      <c r="B207" t="inlineStr">
        <is>
          <t>Communication and energy wire and cable and all other electrical equipment and component manufacturing(1)</t>
        </is>
      </c>
      <c r="C207" t="inlineStr">
        <is>
          <t>33592,9</t>
        </is>
      </c>
      <c r="D207" t="n">
        <v>74.59999999999999</v>
      </c>
      <c r="E207" t="n">
        <v>71.2</v>
      </c>
      <c r="F207" t="n">
        <v>70.59999999999999</v>
      </c>
      <c r="G207" t="n">
        <v>69.7</v>
      </c>
      <c r="H207" t="n">
        <v>69.40000000000001</v>
      </c>
      <c r="I207" t="inlineStr">
        <is>
          <t>-</t>
        </is>
      </c>
      <c r="J207" t="inlineStr">
        <is>
          <t>-</t>
        </is>
      </c>
    </row>
    <row r="208">
      <c r="B208" t="inlineStr">
        <is>
          <t>Transportation equipment manufacturing</t>
        </is>
      </c>
      <c r="C208" t="n">
        <v>336</v>
      </c>
      <c r="D208" t="n">
        <v>1822.1</v>
      </c>
      <c r="E208" t="n">
        <v>1860.8</v>
      </c>
      <c r="F208" t="n">
        <v>1842.6</v>
      </c>
      <c r="G208" t="n">
        <v>1838.1</v>
      </c>
      <c r="H208" t="n">
        <v>1796.6</v>
      </c>
      <c r="I208" t="n">
        <v>1828.6</v>
      </c>
      <c r="J208" t="n">
        <v>32</v>
      </c>
    </row>
    <row r="209">
      <c r="A209" t="inlineStr">
        <is>
          <t>ISIC 29</t>
        </is>
      </c>
      <c r="B209" t="inlineStr">
        <is>
          <t>Motor vehicles and parts(1)(2)</t>
        </is>
      </c>
      <c r="C209" t="inlineStr">
        <is>
          <t>3361,2,3</t>
        </is>
      </c>
      <c r="D209" t="n">
        <v>1058.5</v>
      </c>
      <c r="E209" t="n">
        <v>1082.5</v>
      </c>
      <c r="F209" t="n">
        <v>1067</v>
      </c>
      <c r="G209" t="n">
        <v>1062.5</v>
      </c>
      <c r="H209" t="n">
        <v>1059.5</v>
      </c>
      <c r="I209" t="n">
        <v>1059.1</v>
      </c>
      <c r="J209" t="n">
        <v>-0.4</v>
      </c>
    </row>
    <row r="210">
      <c r="B210" t="inlineStr">
        <is>
          <t>Motor vehicle manufacturing(1)</t>
        </is>
      </c>
      <c r="C210" t="n">
        <v>3361</v>
      </c>
      <c r="D210" t="n">
        <v>300.7</v>
      </c>
      <c r="E210" t="n">
        <v>317</v>
      </c>
      <c r="F210" t="n">
        <v>313.7</v>
      </c>
      <c r="G210" t="n">
        <v>311.8</v>
      </c>
      <c r="H210" t="n">
        <v>312</v>
      </c>
      <c r="I210" t="inlineStr">
        <is>
          <t>-</t>
        </is>
      </c>
      <c r="J210" t="inlineStr">
        <is>
          <t>-</t>
        </is>
      </c>
    </row>
    <row r="211">
      <c r="B211" t="inlineStr">
        <is>
          <t>Motor vehicle body and trailer manufacturing(1)</t>
        </is>
      </c>
      <c r="C211" t="n">
        <v>3362</v>
      </c>
      <c r="D211" t="n">
        <v>176</v>
      </c>
      <c r="E211" t="n">
        <v>175.4</v>
      </c>
      <c r="F211" t="n">
        <v>175.9</v>
      </c>
      <c r="G211" t="n">
        <v>176</v>
      </c>
      <c r="H211" t="n">
        <v>175.5</v>
      </c>
      <c r="I211" t="inlineStr">
        <is>
          <t>-</t>
        </is>
      </c>
      <c r="J211" t="inlineStr">
        <is>
          <t>-</t>
        </is>
      </c>
    </row>
    <row r="212">
      <c r="B212" t="inlineStr">
        <is>
          <t>Motor vehicle parts manufacturing(1)</t>
        </is>
      </c>
      <c r="C212" t="n">
        <v>3363</v>
      </c>
      <c r="D212" t="n">
        <v>582.7</v>
      </c>
      <c r="E212" t="n">
        <v>585.8</v>
      </c>
      <c r="F212" t="n">
        <v>580.5</v>
      </c>
      <c r="G212" t="n">
        <v>577.6</v>
      </c>
      <c r="H212" t="n">
        <v>574.4</v>
      </c>
      <c r="I212" t="inlineStr">
        <is>
          <t>-</t>
        </is>
      </c>
      <c r="J212" t="inlineStr">
        <is>
          <t>-</t>
        </is>
      </c>
    </row>
    <row r="213">
      <c r="B213" t="inlineStr">
        <is>
          <t>Motor vehicle gasoline engine and engine parts manufacturing(1)</t>
        </is>
      </c>
      <c r="C213" t="n">
        <v>33631</v>
      </c>
      <c r="D213" t="n">
        <v>58.6</v>
      </c>
      <c r="E213" t="n">
        <v>57.8</v>
      </c>
      <c r="F213" t="n">
        <v>58.2</v>
      </c>
      <c r="G213" t="n">
        <v>58.4</v>
      </c>
      <c r="H213" t="n">
        <v>57.6</v>
      </c>
      <c r="I213" t="inlineStr">
        <is>
          <t>-</t>
        </is>
      </c>
      <c r="J213" t="inlineStr">
        <is>
          <t>-</t>
        </is>
      </c>
    </row>
    <row r="214">
      <c r="B214" t="inlineStr">
        <is>
          <t>Motor vehicle electrical and electronic equipment manufacturing(1)</t>
        </is>
      </c>
      <c r="C214" t="n">
        <v>33632</v>
      </c>
      <c r="D214" t="n">
        <v>62.7</v>
      </c>
      <c r="E214" t="n">
        <v>60.9</v>
      </c>
      <c r="F214" t="n">
        <v>60.7</v>
      </c>
      <c r="G214" t="n">
        <v>60.5</v>
      </c>
      <c r="H214" t="n">
        <v>60</v>
      </c>
      <c r="I214" t="inlineStr">
        <is>
          <t>-</t>
        </is>
      </c>
      <c r="J214" t="inlineStr">
        <is>
          <t>-</t>
        </is>
      </c>
    </row>
    <row r="215">
      <c r="B215" t="inlineStr">
        <is>
          <t>Motor vehicle steering and suspension components, except spring, manufacturing(1)</t>
        </is>
      </c>
      <c r="C215" t="n">
        <v>33633</v>
      </c>
      <c r="D215" t="n">
        <v>34.4</v>
      </c>
      <c r="E215" t="n">
        <v>34.7</v>
      </c>
      <c r="F215" t="n">
        <v>34</v>
      </c>
      <c r="G215" t="n">
        <v>33.4</v>
      </c>
      <c r="H215" t="n">
        <v>33.3</v>
      </c>
      <c r="I215" t="inlineStr">
        <is>
          <t>-</t>
        </is>
      </c>
      <c r="J215" t="inlineStr">
        <is>
          <t>-</t>
        </is>
      </c>
    </row>
    <row r="216">
      <c r="B216" t="inlineStr">
        <is>
          <t>Motor vehicle transmission and power train parts manufacturing(1)</t>
        </is>
      </c>
      <c r="C216" t="n">
        <v>33635</v>
      </c>
      <c r="D216" t="n">
        <v>86.09999999999999</v>
      </c>
      <c r="E216" t="n">
        <v>87.59999999999999</v>
      </c>
      <c r="F216" t="n">
        <v>85.59999999999999</v>
      </c>
      <c r="G216" t="n">
        <v>86</v>
      </c>
      <c r="H216" t="n">
        <v>85.40000000000001</v>
      </c>
      <c r="I216" t="inlineStr">
        <is>
          <t>-</t>
        </is>
      </c>
      <c r="J216" t="inlineStr">
        <is>
          <t>-</t>
        </is>
      </c>
    </row>
    <row r="217">
      <c r="B217" t="inlineStr">
        <is>
          <t>Motor vehicle metal stamping(1)</t>
        </is>
      </c>
      <c r="C217" t="n">
        <v>33637</v>
      </c>
      <c r="D217" t="n">
        <v>85.7</v>
      </c>
      <c r="E217" t="n">
        <v>84.5</v>
      </c>
      <c r="F217" t="n">
        <v>84.59999999999999</v>
      </c>
      <c r="G217" t="n">
        <v>84.5</v>
      </c>
      <c r="H217" t="n">
        <v>85.2</v>
      </c>
      <c r="I217" t="inlineStr">
        <is>
          <t>-</t>
        </is>
      </c>
      <c r="J217" t="inlineStr">
        <is>
          <t>-</t>
        </is>
      </c>
    </row>
    <row r="218">
      <c r="B218" t="inlineStr">
        <is>
          <t>Motor vehicle brake system, seating, interior trim, and other motor vehicle parts manufacturing(1)</t>
        </is>
      </c>
      <c r="C218" t="inlineStr">
        <is>
          <t>33634,6,9</t>
        </is>
      </c>
      <c r="D218" t="n">
        <v>257.1</v>
      </c>
      <c r="E218" t="n">
        <v>257.9</v>
      </c>
      <c r="F218" t="n">
        <v>256.9</v>
      </c>
      <c r="G218" t="n">
        <v>255.9</v>
      </c>
      <c r="H218" t="n">
        <v>253.6</v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ISIC 302T309</t>
        </is>
      </c>
      <c r="B219" t="inlineStr">
        <is>
          <t>Aerospace product and parts manufacturing(1)</t>
        </is>
      </c>
      <c r="C219" t="n">
        <v>3364</v>
      </c>
      <c r="D219" t="n">
        <v>546.9</v>
      </c>
      <c r="E219" t="n">
        <v>555.3</v>
      </c>
      <c r="F219" t="n">
        <v>554.6</v>
      </c>
      <c r="G219" t="n">
        <v>555.2</v>
      </c>
      <c r="H219" t="n">
        <v>519.3</v>
      </c>
      <c r="I219" t="inlineStr">
        <is>
          <t>-</t>
        </is>
      </c>
      <c r="J219" t="inlineStr">
        <is>
          <t>-</t>
        </is>
      </c>
    </row>
    <row r="220">
      <c r="B220" t="inlineStr">
        <is>
          <t>Aircraft manufacturing(1)</t>
        </is>
      </c>
      <c r="C220" t="n">
        <v>336411</v>
      </c>
      <c r="D220" t="n">
        <v>248.3</v>
      </c>
      <c r="E220" t="n">
        <v>253.1</v>
      </c>
      <c r="F220" t="n">
        <v>253.7</v>
      </c>
      <c r="G220" t="n">
        <v>252.7</v>
      </c>
      <c r="H220" t="n">
        <v>216.9</v>
      </c>
      <c r="I220" t="inlineStr">
        <is>
          <t>-</t>
        </is>
      </c>
      <c r="J220" t="inlineStr">
        <is>
          <t>-</t>
        </is>
      </c>
    </row>
    <row r="221">
      <c r="B221" t="inlineStr">
        <is>
          <t>Aircraft engine and engine parts manufacturing(1)</t>
        </is>
      </c>
      <c r="C221" t="n">
        <v>336412</v>
      </c>
      <c r="D221" t="n">
        <v>86</v>
      </c>
      <c r="E221" t="n">
        <v>89.8</v>
      </c>
      <c r="F221" t="n">
        <v>89.7</v>
      </c>
      <c r="G221" t="n">
        <v>90.2</v>
      </c>
      <c r="H221" t="n">
        <v>90.59999999999999</v>
      </c>
      <c r="I221" t="inlineStr">
        <is>
          <t>-</t>
        </is>
      </c>
      <c r="J221" t="inlineStr">
        <is>
          <t>-</t>
        </is>
      </c>
    </row>
    <row r="222">
      <c r="B222" t="inlineStr">
        <is>
          <t>Other aircraft parts and auxiliary equipment manufacturing(1)</t>
        </is>
      </c>
      <c r="C222" t="n">
        <v>336413</v>
      </c>
      <c r="D222" t="n">
        <v>102.6</v>
      </c>
      <c r="E222" t="n">
        <v>104.2</v>
      </c>
      <c r="F222" t="n">
        <v>103.8</v>
      </c>
      <c r="G222" t="n">
        <v>104.4</v>
      </c>
      <c r="H222" t="n">
        <v>103.9</v>
      </c>
      <c r="I222" t="inlineStr">
        <is>
          <t>-</t>
        </is>
      </c>
      <c r="J222" t="inlineStr">
        <is>
          <t>-</t>
        </is>
      </c>
    </row>
    <row r="223">
      <c r="B223" t="inlineStr">
        <is>
          <t>Guided missile; space vehicle; and guided missile and space vehicle propulsion unit, parts, and auxiliary equipment manufacturing(1)</t>
        </is>
      </c>
      <c r="C223" t="inlineStr">
        <is>
          <t>336414,5,9</t>
        </is>
      </c>
      <c r="D223" t="n">
        <v>110</v>
      </c>
      <c r="E223" t="n">
        <v>108.5</v>
      </c>
      <c r="F223" t="n">
        <v>107.5</v>
      </c>
      <c r="G223" t="n">
        <v>107.7</v>
      </c>
      <c r="H223" t="n">
        <v>107.5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ISIC 301</t>
        </is>
      </c>
      <c r="B224" t="inlineStr">
        <is>
          <t>Ship and boat building(1)</t>
        </is>
      </c>
      <c r="C224" t="n">
        <v>3366</v>
      </c>
      <c r="D224" t="n">
        <v>155.2</v>
      </c>
      <c r="E224" t="n">
        <v>153</v>
      </c>
      <c r="F224" t="n">
        <v>151</v>
      </c>
      <c r="G224" t="n">
        <v>151.7</v>
      </c>
      <c r="H224" t="n">
        <v>151.2</v>
      </c>
      <c r="I224" t="inlineStr">
        <is>
          <t>-</t>
        </is>
      </c>
      <c r="J224" t="inlineStr">
        <is>
          <t>-</t>
        </is>
      </c>
    </row>
    <row r="225">
      <c r="B225" t="inlineStr">
        <is>
          <t>Ship building and repairing(1)</t>
        </is>
      </c>
      <c r="C225" t="n">
        <v>336611</v>
      </c>
      <c r="D225" t="n">
        <v>107.9</v>
      </c>
      <c r="E225" t="n">
        <v>110.7</v>
      </c>
      <c r="F225" t="n">
        <v>109</v>
      </c>
      <c r="G225" t="n">
        <v>109.5</v>
      </c>
      <c r="H225" t="n">
        <v>109.2</v>
      </c>
      <c r="I225" t="inlineStr">
        <is>
          <t>-</t>
        </is>
      </c>
      <c r="J225" t="inlineStr">
        <is>
          <t>-</t>
        </is>
      </c>
    </row>
    <row r="226">
      <c r="B226" t="inlineStr">
        <is>
          <t>Boat building(1)</t>
        </is>
      </c>
      <c r="C226" t="n">
        <v>336612</v>
      </c>
      <c r="D226" t="n">
        <v>47.3</v>
      </c>
      <c r="E226" t="n">
        <v>42.4</v>
      </c>
      <c r="F226" t="n">
        <v>42</v>
      </c>
      <c r="G226" t="n">
        <v>42.3</v>
      </c>
      <c r="H226" t="n">
        <v>42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ISIC 302T309</t>
        </is>
      </c>
      <c r="B227" t="inlineStr">
        <is>
          <t>Railroad rolling stock and other transportation equipment manufacturing(1)</t>
        </is>
      </c>
      <c r="C227" t="inlineStr">
        <is>
          <t>3365,9</t>
        </is>
      </c>
      <c r="D227" t="n">
        <v>63.4</v>
      </c>
      <c r="E227" t="n">
        <v>67.90000000000001</v>
      </c>
      <c r="F227" t="n">
        <v>68.2</v>
      </c>
      <c r="G227" t="n">
        <v>67.8</v>
      </c>
      <c r="H227" t="n">
        <v>67.90000000000001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ISIC 31T33</t>
        </is>
      </c>
      <c r="B228" t="inlineStr">
        <is>
          <t>Furniture and related product manufacturing</t>
        </is>
      </c>
      <c r="C228" t="n">
        <v>337</v>
      </c>
      <c r="D228" t="n">
        <v>352</v>
      </c>
      <c r="E228" t="n">
        <v>341.3</v>
      </c>
      <c r="F228" t="n">
        <v>340.5</v>
      </c>
      <c r="G228" t="n">
        <v>339.9</v>
      </c>
      <c r="H228" t="n">
        <v>339.6</v>
      </c>
      <c r="I228" t="n">
        <v>338.6</v>
      </c>
      <c r="J228" t="n">
        <v>-1</v>
      </c>
    </row>
    <row r="229">
      <c r="B229" t="inlineStr">
        <is>
          <t>Household and institutional furniture and kitchen cabinet manufacturing(1)</t>
        </is>
      </c>
      <c r="C229" t="n">
        <v>3371</v>
      </c>
      <c r="D229" t="n">
        <v>224</v>
      </c>
      <c r="E229" t="n">
        <v>219.3</v>
      </c>
      <c r="F229" t="n">
        <v>218.4</v>
      </c>
      <c r="G229" t="n">
        <v>217.8</v>
      </c>
      <c r="H229" t="n">
        <v>217.9</v>
      </c>
      <c r="I229" t="inlineStr">
        <is>
          <t>-</t>
        </is>
      </c>
      <c r="J229" t="inlineStr">
        <is>
          <t>-</t>
        </is>
      </c>
    </row>
    <row r="230">
      <c r="B230" t="inlineStr">
        <is>
          <t>Wood kitchen cabinet and countertop manufacturing(1)</t>
        </is>
      </c>
      <c r="C230" t="n">
        <v>33711</v>
      </c>
      <c r="D230" t="n">
        <v>118.2</v>
      </c>
      <c r="E230" t="n">
        <v>116.7</v>
      </c>
      <c r="F230" t="n">
        <v>116.5</v>
      </c>
      <c r="G230" t="n">
        <v>116.4</v>
      </c>
      <c r="H230" t="n">
        <v>116.6</v>
      </c>
      <c r="I230" t="inlineStr">
        <is>
          <t>-</t>
        </is>
      </c>
      <c r="J230" t="inlineStr">
        <is>
          <t>-</t>
        </is>
      </c>
    </row>
    <row r="231">
      <c r="B231" t="inlineStr">
        <is>
          <t>Household and institutional furniture manufacturing(1)</t>
        </is>
      </c>
      <c r="C231" t="n">
        <v>33712</v>
      </c>
      <c r="D231" t="n">
        <v>106.1</v>
      </c>
      <c r="E231" t="n">
        <v>102.3</v>
      </c>
      <c r="F231" t="n">
        <v>102</v>
      </c>
      <c r="G231" t="n">
        <v>101.3</v>
      </c>
      <c r="H231" t="n">
        <v>101.6</v>
      </c>
      <c r="I231" t="inlineStr">
        <is>
          <t>-</t>
        </is>
      </c>
      <c r="J231" t="inlineStr">
        <is>
          <t>-</t>
        </is>
      </c>
    </row>
    <row r="232">
      <c r="B232" t="inlineStr">
        <is>
          <t>Upholstered household furniture manufacturing(1)</t>
        </is>
      </c>
      <c r="C232" t="n">
        <v>337121</v>
      </c>
      <c r="D232" t="n">
        <v>46.9</v>
      </c>
      <c r="E232" t="n">
        <v>45.2</v>
      </c>
      <c r="F232" t="n">
        <v>44.7</v>
      </c>
      <c r="G232" t="n">
        <v>44.6</v>
      </c>
      <c r="H232" t="n">
        <v>44.7</v>
      </c>
      <c r="I232" t="inlineStr">
        <is>
          <t>-</t>
        </is>
      </c>
      <c r="J232" t="inlineStr">
        <is>
          <t>-</t>
        </is>
      </c>
    </row>
    <row r="233">
      <c r="B233" t="inlineStr">
        <is>
          <t>Nonupholstered household furniture and institutional furniture manufacturing(1)</t>
        </is>
      </c>
      <c r="C233" t="inlineStr">
        <is>
          <t>337122,6,7</t>
        </is>
      </c>
      <c r="D233" t="n">
        <v>59</v>
      </c>
      <c r="E233" t="n">
        <v>57.4</v>
      </c>
      <c r="F233" t="n">
        <v>56.9</v>
      </c>
      <c r="G233" t="n">
        <v>56.6</v>
      </c>
      <c r="H233" t="n">
        <v>56.8</v>
      </c>
      <c r="I233" t="inlineStr">
        <is>
          <t>-</t>
        </is>
      </c>
      <c r="J233" t="inlineStr">
        <is>
          <t>-</t>
        </is>
      </c>
    </row>
    <row r="234">
      <c r="B234" t="inlineStr">
        <is>
          <t>Office furniture (including fixtures) and other furniture related product manufacturing(1)</t>
        </is>
      </c>
      <c r="C234" t="n">
        <v>3372</v>
      </c>
      <c r="D234" t="n">
        <v>127</v>
      </c>
      <c r="E234" t="n">
        <v>121.8</v>
      </c>
      <c r="F234" t="n">
        <v>122.3</v>
      </c>
      <c r="G234" t="n">
        <v>121.1</v>
      </c>
      <c r="H234" t="n">
        <v>121</v>
      </c>
      <c r="I234" t="inlineStr">
        <is>
          <t>-</t>
        </is>
      </c>
      <c r="J234" t="inlineStr">
        <is>
          <t>-</t>
        </is>
      </c>
    </row>
    <row r="235">
      <c r="B235" t="inlineStr">
        <is>
          <t>Office furniture and custom architectural woodwork and millwork manufacturing(1)</t>
        </is>
      </c>
      <c r="C235" t="inlineStr">
        <is>
          <t>337211,2,4</t>
        </is>
      </c>
      <c r="D235" t="n">
        <v>60.5</v>
      </c>
      <c r="E235" t="n">
        <v>59.8</v>
      </c>
      <c r="F235" t="n">
        <v>59.9</v>
      </c>
      <c r="G235" t="n">
        <v>59.9</v>
      </c>
      <c r="H235" t="n">
        <v>60</v>
      </c>
      <c r="I235" t="inlineStr">
        <is>
          <t>-</t>
        </is>
      </c>
      <c r="J235" t="inlineStr">
        <is>
          <t>-</t>
        </is>
      </c>
    </row>
    <row r="236">
      <c r="B236" t="inlineStr">
        <is>
          <t>Showcase, partition, shelving, locker, and other furniture related product manufacturing(1)</t>
        </is>
      </c>
      <c r="C236" t="n">
        <v>337215</v>
      </c>
      <c r="D236" t="n">
        <v>66.3</v>
      </c>
      <c r="E236" t="n">
        <v>61.9</v>
      </c>
      <c r="F236" t="n">
        <v>62.6</v>
      </c>
      <c r="G236" t="n">
        <v>61.1</v>
      </c>
      <c r="H236" t="n">
        <v>61.1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ISIC 31T33</t>
        </is>
      </c>
      <c r="B237" t="inlineStr">
        <is>
          <t>Miscellaneous manufacturing</t>
        </is>
      </c>
      <c r="C237" t="n">
        <v>339</v>
      </c>
      <c r="D237" t="n">
        <v>625.5</v>
      </c>
      <c r="E237" t="n">
        <v>618.5</v>
      </c>
      <c r="F237" t="n">
        <v>618.4</v>
      </c>
      <c r="G237" t="n">
        <v>618</v>
      </c>
      <c r="H237" t="n">
        <v>618.8</v>
      </c>
      <c r="I237" t="n">
        <v>619.1</v>
      </c>
      <c r="J237" t="n">
        <v>0.3</v>
      </c>
    </row>
    <row r="238">
      <c r="B238" t="inlineStr">
        <is>
          <t>Medical equipment and supplies manufacturing(1)</t>
        </is>
      </c>
      <c r="C238" t="n">
        <v>3391</v>
      </c>
      <c r="D238" t="n">
        <v>332.6</v>
      </c>
      <c r="E238" t="n">
        <v>329.3</v>
      </c>
      <c r="F238" t="n">
        <v>329.3</v>
      </c>
      <c r="G238" t="n">
        <v>329.6</v>
      </c>
      <c r="H238" t="n">
        <v>330.4</v>
      </c>
      <c r="I238" t="inlineStr">
        <is>
          <t>-</t>
        </is>
      </c>
      <c r="J238" t="inlineStr">
        <is>
          <t>-</t>
        </is>
      </c>
    </row>
    <row r="239">
      <c r="B239" t="inlineStr">
        <is>
          <t>Surgical and medical instrument manufacturing(1)</t>
        </is>
      </c>
      <c r="C239" t="n">
        <v>339112</v>
      </c>
      <c r="D239" t="n">
        <v>142</v>
      </c>
      <c r="E239" t="n">
        <v>142.9</v>
      </c>
      <c r="F239" t="n">
        <v>142.7</v>
      </c>
      <c r="G239" t="n">
        <v>143.5</v>
      </c>
      <c r="H239" t="n">
        <v>143.9</v>
      </c>
      <c r="I239" t="inlineStr">
        <is>
          <t>-</t>
        </is>
      </c>
      <c r="J239" t="inlineStr">
        <is>
          <t>-</t>
        </is>
      </c>
    </row>
    <row r="240">
      <c r="B240" t="inlineStr">
        <is>
          <t>Surgical appliance and supplies manufacturing(1)</t>
        </is>
      </c>
      <c r="C240" t="n">
        <v>339113</v>
      </c>
      <c r="D240" t="n">
        <v>105.4</v>
      </c>
      <c r="E240" t="n">
        <v>104.6</v>
      </c>
      <c r="F240" t="n">
        <v>104.4</v>
      </c>
      <c r="G240" t="n">
        <v>104.5</v>
      </c>
      <c r="H240" t="n">
        <v>104.5</v>
      </c>
      <c r="I240" t="inlineStr">
        <is>
          <t>-</t>
        </is>
      </c>
      <c r="J240" t="inlineStr">
        <is>
          <t>-</t>
        </is>
      </c>
    </row>
    <row r="241">
      <c r="B241" t="inlineStr">
        <is>
          <t>Dental laboratories(1)</t>
        </is>
      </c>
      <c r="C241" t="n">
        <v>339116</v>
      </c>
      <c r="D241" t="n">
        <v>44.9</v>
      </c>
      <c r="E241" t="n">
        <v>42.5</v>
      </c>
      <c r="F241" t="n">
        <v>42.3</v>
      </c>
      <c r="G241" t="n">
        <v>41.9</v>
      </c>
      <c r="H241" t="n">
        <v>41.7</v>
      </c>
      <c r="I241" t="inlineStr">
        <is>
          <t>-</t>
        </is>
      </c>
      <c r="J241" t="inlineStr">
        <is>
          <t>-</t>
        </is>
      </c>
    </row>
    <row r="242">
      <c r="B242" t="inlineStr">
        <is>
          <t>Other miscellaneous manufacturing(1)</t>
        </is>
      </c>
      <c r="C242" t="n">
        <v>3399</v>
      </c>
      <c r="D242" t="n">
        <v>292.8</v>
      </c>
      <c r="E242" t="n">
        <v>289.7</v>
      </c>
      <c r="F242" t="n">
        <v>289.4</v>
      </c>
      <c r="G242" t="n">
        <v>288.6</v>
      </c>
      <c r="H242" t="n">
        <v>288.6</v>
      </c>
      <c r="I242" t="inlineStr">
        <is>
          <t>-</t>
        </is>
      </c>
      <c r="J242" t="inlineStr">
        <is>
          <t>-</t>
        </is>
      </c>
    </row>
    <row r="243">
      <c r="B243" t="inlineStr">
        <is>
          <t>Jewelry, silverware, and sporting and athletic goods manufacturing(1)</t>
        </is>
      </c>
      <c r="C243" t="inlineStr">
        <is>
          <t>33991,2</t>
        </is>
      </c>
      <c r="D243" t="n">
        <v>68.59999999999999</v>
      </c>
      <c r="E243" t="n">
        <v>65.09999999999999</v>
      </c>
      <c r="F243" t="n">
        <v>65.59999999999999</v>
      </c>
      <c r="G243" t="n">
        <v>65.2</v>
      </c>
      <c r="H243" t="n">
        <v>65.5</v>
      </c>
      <c r="I243" t="inlineStr">
        <is>
          <t>-</t>
        </is>
      </c>
      <c r="J243" t="inlineStr">
        <is>
          <t>-</t>
        </is>
      </c>
    </row>
    <row r="244">
      <c r="B244" t="inlineStr">
        <is>
          <t>Sign manufacturing(1)</t>
        </is>
      </c>
      <c r="C244" t="n">
        <v>33995</v>
      </c>
      <c r="D244" t="n">
        <v>74.5</v>
      </c>
      <c r="E244" t="n">
        <v>75.7</v>
      </c>
      <c r="F244" t="n">
        <v>75.8</v>
      </c>
      <c r="G244" t="n">
        <v>76.3</v>
      </c>
      <c r="H244" t="n">
        <v>76.2</v>
      </c>
      <c r="I244" t="inlineStr">
        <is>
          <t>-</t>
        </is>
      </c>
      <c r="J244" t="inlineStr">
        <is>
          <t>-</t>
        </is>
      </c>
    </row>
    <row r="245">
      <c r="B245" t="inlineStr">
        <is>
          <t>Doll, toy, game, office supplies (except paper), and all other miscellaneous manufacturing(1)</t>
        </is>
      </c>
      <c r="C245" t="inlineStr">
        <is>
          <t>33993,4,9</t>
        </is>
      </c>
      <c r="D245" t="n">
        <v>149.5</v>
      </c>
      <c r="E245" t="n">
        <v>148.7</v>
      </c>
      <c r="F245" t="n">
        <v>148</v>
      </c>
      <c r="G245" t="n">
        <v>147.2</v>
      </c>
      <c r="H245" t="n">
        <v>147.5</v>
      </c>
      <c r="I245" t="inlineStr">
        <is>
          <t>-</t>
        </is>
      </c>
      <c r="J245" t="inlineStr">
        <is>
          <t>-</t>
        </is>
      </c>
    </row>
    <row r="247">
      <c r="B247" t="inlineStr">
        <is>
          <t>Nondurable goods</t>
        </is>
      </c>
      <c r="D247" t="n">
        <v>4819</v>
      </c>
      <c r="E247" t="n">
        <v>4821</v>
      </c>
      <c r="F247" t="n">
        <v>4825</v>
      </c>
      <c r="G247" t="n">
        <v>4817</v>
      </c>
      <c r="H247" t="n">
        <v>4813</v>
      </c>
      <c r="I247" t="n">
        <v>4809</v>
      </c>
      <c r="J247" t="n">
        <v>-4</v>
      </c>
    </row>
    <row r="248">
      <c r="A248" t="inlineStr">
        <is>
          <t>ISIC 10T12</t>
        </is>
      </c>
      <c r="B248" t="inlineStr">
        <is>
          <t>Food manufacturing</t>
        </is>
      </c>
      <c r="C248" t="n">
        <v>311</v>
      </c>
      <c r="D248" t="n">
        <v>1729.3</v>
      </c>
      <c r="E248" t="n">
        <v>1739.8</v>
      </c>
      <c r="F248" t="n">
        <v>1745.3</v>
      </c>
      <c r="G248" t="n">
        <v>1744.1</v>
      </c>
      <c r="H248" t="n">
        <v>1742.8</v>
      </c>
      <c r="I248" t="n">
        <v>1741.8</v>
      </c>
      <c r="J248" t="n">
        <v>-1</v>
      </c>
    </row>
    <row r="249">
      <c r="B249" t="inlineStr">
        <is>
          <t>Animal food manufacturing(1)</t>
        </is>
      </c>
      <c r="C249" t="n">
        <v>3111</v>
      </c>
      <c r="D249" t="n">
        <v>73.5</v>
      </c>
      <c r="E249" t="n">
        <v>75.2</v>
      </c>
      <c r="F249" t="n">
        <v>74.8</v>
      </c>
      <c r="G249" t="n">
        <v>75.59999999999999</v>
      </c>
      <c r="H249" t="n">
        <v>75.5</v>
      </c>
      <c r="I249" t="inlineStr">
        <is>
          <t>-</t>
        </is>
      </c>
      <c r="J249" t="inlineStr">
        <is>
          <t>-</t>
        </is>
      </c>
    </row>
    <row r="250">
      <c r="B250" t="inlineStr">
        <is>
          <t>Grain and oilseed milling(1)</t>
        </is>
      </c>
      <c r="C250" t="n">
        <v>3112</v>
      </c>
      <c r="D250" t="n">
        <v>63.7</v>
      </c>
      <c r="E250" t="n">
        <v>64.3</v>
      </c>
      <c r="F250" t="n">
        <v>64.8</v>
      </c>
      <c r="G250" t="n">
        <v>64.8</v>
      </c>
      <c r="H250" t="n">
        <v>65.09999999999999</v>
      </c>
      <c r="I250" t="inlineStr">
        <is>
          <t>-</t>
        </is>
      </c>
      <c r="J250" t="inlineStr">
        <is>
          <t>-</t>
        </is>
      </c>
    </row>
    <row r="251">
      <c r="B251" t="inlineStr">
        <is>
          <t>Flour milling, malt, starch, and vegetable fats and oils manufacturing(1)</t>
        </is>
      </c>
      <c r="C251" t="inlineStr">
        <is>
          <t>31121,2</t>
        </is>
      </c>
      <c r="D251" t="n">
        <v>51.1</v>
      </c>
      <c r="E251" t="n">
        <v>51.4</v>
      </c>
      <c r="F251" t="n">
        <v>52</v>
      </c>
      <c r="G251" t="n">
        <v>51.8</v>
      </c>
      <c r="H251" t="n">
        <v>52.3</v>
      </c>
      <c r="I251" t="inlineStr">
        <is>
          <t>-</t>
        </is>
      </c>
      <c r="J251" t="inlineStr">
        <is>
          <t>-</t>
        </is>
      </c>
    </row>
    <row r="252">
      <c r="B252" t="inlineStr">
        <is>
          <t>Breakfast cereal manufacturing(1)</t>
        </is>
      </c>
      <c r="C252" t="n">
        <v>31123</v>
      </c>
      <c r="D252" t="n">
        <v>12.7</v>
      </c>
      <c r="E252" t="n">
        <v>12.9</v>
      </c>
      <c r="F252" t="n">
        <v>12.9</v>
      </c>
      <c r="G252" t="n">
        <v>13</v>
      </c>
      <c r="H252" t="n">
        <v>13</v>
      </c>
      <c r="I252" t="inlineStr">
        <is>
          <t>-</t>
        </is>
      </c>
      <c r="J252" t="inlineStr">
        <is>
          <t>-</t>
        </is>
      </c>
    </row>
    <row r="253">
      <c r="B253" t="inlineStr">
        <is>
          <t>Sugar and confectionery product manufacturing(1)</t>
        </is>
      </c>
      <c r="C253" t="n">
        <v>3113</v>
      </c>
      <c r="D253" t="n">
        <v>81</v>
      </c>
      <c r="E253" t="n">
        <v>80.7</v>
      </c>
      <c r="F253" t="n">
        <v>81.5</v>
      </c>
      <c r="G253" t="n">
        <v>79.7</v>
      </c>
      <c r="H253" t="n">
        <v>79.2</v>
      </c>
      <c r="I253" t="inlineStr">
        <is>
          <t>-</t>
        </is>
      </c>
      <c r="J253" t="inlineStr">
        <is>
          <t>-</t>
        </is>
      </c>
    </row>
    <row r="254">
      <c r="B254" t="inlineStr">
        <is>
          <t>Chocolate and confectionery manufacturing(1)</t>
        </is>
      </c>
      <c r="C254" t="n">
        <v>31135</v>
      </c>
      <c r="D254" t="n">
        <v>40.3</v>
      </c>
      <c r="E254" t="n">
        <v>41.8</v>
      </c>
      <c r="F254" t="n">
        <v>41.5</v>
      </c>
      <c r="G254" t="n">
        <v>41</v>
      </c>
      <c r="H254" t="n">
        <v>40.9</v>
      </c>
      <c r="I254" t="inlineStr">
        <is>
          <t>-</t>
        </is>
      </c>
      <c r="J254" t="inlineStr">
        <is>
          <t>-</t>
        </is>
      </c>
    </row>
    <row r="255">
      <c r="B255" t="inlineStr">
        <is>
          <t>Fruit and vegetable preserving and specialty food manufacturing(1)</t>
        </is>
      </c>
      <c r="C255" t="n">
        <v>3114</v>
      </c>
      <c r="D255" t="n">
        <v>167.7</v>
      </c>
      <c r="E255" t="n">
        <v>167.6</v>
      </c>
      <c r="F255" t="n">
        <v>167.5</v>
      </c>
      <c r="G255" t="n">
        <v>166.5</v>
      </c>
      <c r="H255" t="n">
        <v>165.6</v>
      </c>
      <c r="I255" t="inlineStr">
        <is>
          <t>-</t>
        </is>
      </c>
      <c r="J255" t="inlineStr">
        <is>
          <t>-</t>
        </is>
      </c>
    </row>
    <row r="256">
      <c r="B256" t="inlineStr">
        <is>
          <t>Frozen food manufacturing(1)</t>
        </is>
      </c>
      <c r="C256" t="n">
        <v>31141</v>
      </c>
      <c r="D256" t="n">
        <v>91</v>
      </c>
      <c r="E256" t="n">
        <v>94</v>
      </c>
      <c r="F256" t="n">
        <v>95.40000000000001</v>
      </c>
      <c r="G256" t="n">
        <v>94.09999999999999</v>
      </c>
      <c r="H256" t="n">
        <v>93.3</v>
      </c>
      <c r="I256" t="inlineStr">
        <is>
          <t>-</t>
        </is>
      </c>
      <c r="J256" t="inlineStr">
        <is>
          <t>-</t>
        </is>
      </c>
    </row>
    <row r="257">
      <c r="B257" t="inlineStr">
        <is>
          <t>Frozen fruit, juice, and vegetable manufacturing(1)</t>
        </is>
      </c>
      <c r="C257" t="n">
        <v>311411</v>
      </c>
      <c r="D257" t="n">
        <v>30.5</v>
      </c>
      <c r="E257" t="n">
        <v>32.8</v>
      </c>
      <c r="F257" t="n">
        <v>33.7</v>
      </c>
      <c r="G257" t="n">
        <v>32.4</v>
      </c>
      <c r="H257" t="n">
        <v>31.8</v>
      </c>
      <c r="I257" t="inlineStr">
        <is>
          <t>-</t>
        </is>
      </c>
      <c r="J257" t="inlineStr">
        <is>
          <t>-</t>
        </is>
      </c>
    </row>
    <row r="258">
      <c r="B258" t="inlineStr">
        <is>
          <t>Frozen specialty food manufacturing(1)</t>
        </is>
      </c>
      <c r="C258" t="n">
        <v>311412</v>
      </c>
      <c r="D258" t="n">
        <v>60.5</v>
      </c>
      <c r="E258" t="n">
        <v>60.4</v>
      </c>
      <c r="F258" t="n">
        <v>61</v>
      </c>
      <c r="G258" t="n">
        <v>60.9</v>
      </c>
      <c r="H258" t="n">
        <v>61.2</v>
      </c>
      <c r="I258" t="inlineStr">
        <is>
          <t>-</t>
        </is>
      </c>
      <c r="J258" t="inlineStr">
        <is>
          <t>-</t>
        </is>
      </c>
    </row>
    <row r="259">
      <c r="B259" t="inlineStr">
        <is>
          <t>Fruit and vegetable canning, pickling, and drying(1)</t>
        </is>
      </c>
      <c r="C259" t="n">
        <v>31142</v>
      </c>
      <c r="D259" t="n">
        <v>77.59999999999999</v>
      </c>
      <c r="E259" t="n">
        <v>75.2</v>
      </c>
      <c r="F259" t="n">
        <v>72.7</v>
      </c>
      <c r="G259" t="n">
        <v>72.59999999999999</v>
      </c>
      <c r="H259" t="n">
        <v>72.8</v>
      </c>
      <c r="I259" t="inlineStr">
        <is>
          <t>-</t>
        </is>
      </c>
      <c r="J259" t="inlineStr">
        <is>
          <t>-</t>
        </is>
      </c>
    </row>
    <row r="260">
      <c r="B260" t="inlineStr">
        <is>
          <t>Dairy product manufacturing(1)</t>
        </is>
      </c>
      <c r="C260" t="n">
        <v>3115</v>
      </c>
      <c r="D260" t="n">
        <v>167</v>
      </c>
      <c r="E260" t="n">
        <v>168.9</v>
      </c>
      <c r="F260" t="n">
        <v>168.7</v>
      </c>
      <c r="G260" t="n">
        <v>168.5</v>
      </c>
      <c r="H260" t="n">
        <v>168</v>
      </c>
      <c r="I260" t="inlineStr">
        <is>
          <t>-</t>
        </is>
      </c>
      <c r="J260" t="inlineStr">
        <is>
          <t>-</t>
        </is>
      </c>
    </row>
    <row r="261">
      <c r="B261" t="inlineStr">
        <is>
          <t>Fluid milk manufacturing(1)</t>
        </is>
      </c>
      <c r="C261" t="n">
        <v>311511</v>
      </c>
      <c r="D261" t="n">
        <v>56.1</v>
      </c>
      <c r="E261" t="n">
        <v>56.2</v>
      </c>
      <c r="F261" t="n">
        <v>55.9</v>
      </c>
      <c r="G261" t="n">
        <v>56</v>
      </c>
      <c r="H261" t="n">
        <v>55.8</v>
      </c>
      <c r="I261" t="inlineStr">
        <is>
          <t>-</t>
        </is>
      </c>
      <c r="J261" t="inlineStr">
        <is>
          <t>-</t>
        </is>
      </c>
    </row>
    <row r="262">
      <c r="B262" t="inlineStr">
        <is>
          <t>Animal slaughtering and processing(1)</t>
        </is>
      </c>
      <c r="C262" t="n">
        <v>3116</v>
      </c>
      <c r="D262" t="n">
        <v>547.1</v>
      </c>
      <c r="E262" t="n">
        <v>551.5</v>
      </c>
      <c r="F262" t="n">
        <v>554.5</v>
      </c>
      <c r="G262" t="n">
        <v>554.6</v>
      </c>
      <c r="H262" t="n">
        <v>555.2</v>
      </c>
      <c r="I262" t="inlineStr">
        <is>
          <t>-</t>
        </is>
      </c>
      <c r="J262" t="inlineStr">
        <is>
          <t>-</t>
        </is>
      </c>
    </row>
    <row r="263">
      <c r="B263" t="inlineStr">
        <is>
          <t>Animal, except poultry, slaughtering(1)</t>
        </is>
      </c>
      <c r="C263" t="n">
        <v>311611</v>
      </c>
      <c r="D263" t="n">
        <v>148.1</v>
      </c>
      <c r="E263" t="n">
        <v>147.9</v>
      </c>
      <c r="F263" t="n">
        <v>148.1</v>
      </c>
      <c r="G263" t="n">
        <v>147.9</v>
      </c>
      <c r="H263" t="n">
        <v>147.6</v>
      </c>
      <c r="I263" t="inlineStr">
        <is>
          <t>-</t>
        </is>
      </c>
      <c r="J263" t="inlineStr">
        <is>
          <t>-</t>
        </is>
      </c>
    </row>
    <row r="264">
      <c r="B264" t="inlineStr">
        <is>
          <t>Meat processed from carcasses, rendering, and meat byproduct processing(1)</t>
        </is>
      </c>
      <c r="C264" t="inlineStr">
        <is>
          <t>311612,3</t>
        </is>
      </c>
      <c r="D264" t="n">
        <v>158.2</v>
      </c>
      <c r="E264" t="n">
        <v>162.4</v>
      </c>
      <c r="F264" t="n">
        <v>162.3</v>
      </c>
      <c r="G264" t="n">
        <v>161.9</v>
      </c>
      <c r="H264" t="n">
        <v>161.6</v>
      </c>
      <c r="I264" t="inlineStr">
        <is>
          <t>-</t>
        </is>
      </c>
      <c r="J264" t="inlineStr">
        <is>
          <t>-</t>
        </is>
      </c>
    </row>
    <row r="265">
      <c r="B265" t="inlineStr">
        <is>
          <t>Poultry processing(1)</t>
        </is>
      </c>
      <c r="C265" t="n">
        <v>311615</v>
      </c>
      <c r="D265" t="n">
        <v>240.3</v>
      </c>
      <c r="E265" t="n">
        <v>242</v>
      </c>
      <c r="F265" t="n">
        <v>243.9</v>
      </c>
      <c r="G265" t="n">
        <v>244.4</v>
      </c>
      <c r="H265" t="n">
        <v>245.5</v>
      </c>
      <c r="I265" t="inlineStr">
        <is>
          <t>-</t>
        </is>
      </c>
      <c r="J265" t="inlineStr">
        <is>
          <t>-</t>
        </is>
      </c>
    </row>
    <row r="266">
      <c r="B266" t="inlineStr">
        <is>
          <t>Seafood product preparation and packaging(1)</t>
        </is>
      </c>
      <c r="C266" t="n">
        <v>3117</v>
      </c>
      <c r="D266" t="n">
        <v>25.5</v>
      </c>
      <c r="E266" t="n">
        <v>23.4</v>
      </c>
      <c r="F266" t="n">
        <v>24</v>
      </c>
      <c r="G266" t="n">
        <v>24.2</v>
      </c>
      <c r="H266" t="n">
        <v>24.5</v>
      </c>
      <c r="I266" t="inlineStr">
        <is>
          <t>-</t>
        </is>
      </c>
      <c r="J266" t="inlineStr">
        <is>
          <t>-</t>
        </is>
      </c>
    </row>
    <row r="267">
      <c r="B267" t="inlineStr">
        <is>
          <t>Bakeries and tortilla manufacturing(1)</t>
        </is>
      </c>
      <c r="C267" t="n">
        <v>3118</v>
      </c>
      <c r="D267" t="n">
        <v>340.2</v>
      </c>
      <c r="E267" t="n">
        <v>351.4</v>
      </c>
      <c r="F267" t="n">
        <v>353.2</v>
      </c>
      <c r="G267" t="n">
        <v>354.4</v>
      </c>
      <c r="H267" t="n">
        <v>354.7</v>
      </c>
      <c r="I267" t="inlineStr">
        <is>
          <t>-</t>
        </is>
      </c>
      <c r="J267" t="inlineStr">
        <is>
          <t>-</t>
        </is>
      </c>
    </row>
    <row r="268">
      <c r="B268" t="inlineStr">
        <is>
          <t>Bread and bakery product manufacturing(1)</t>
        </is>
      </c>
      <c r="C268" t="n">
        <v>31181</v>
      </c>
      <c r="D268" t="n">
        <v>257.5</v>
      </c>
      <c r="E268" t="n">
        <v>268.9</v>
      </c>
      <c r="F268" t="n">
        <v>270.3</v>
      </c>
      <c r="G268" t="n">
        <v>271.5</v>
      </c>
      <c r="H268" t="n">
        <v>272.3</v>
      </c>
      <c r="I268" t="inlineStr">
        <is>
          <t>-</t>
        </is>
      </c>
      <c r="J268" t="inlineStr">
        <is>
          <t>-</t>
        </is>
      </c>
    </row>
    <row r="269">
      <c r="B269" t="inlineStr">
        <is>
          <t>Retail bakeries(1)</t>
        </is>
      </c>
      <c r="C269" t="n">
        <v>311811</v>
      </c>
      <c r="D269" t="n">
        <v>99.59999999999999</v>
      </c>
      <c r="E269" t="n">
        <v>104.8</v>
      </c>
      <c r="F269" t="n">
        <v>106.1</v>
      </c>
      <c r="G269" t="n">
        <v>107.4</v>
      </c>
      <c r="H269" t="n">
        <v>108</v>
      </c>
      <c r="I269" t="inlineStr">
        <is>
          <t>-</t>
        </is>
      </c>
      <c r="J269" t="inlineStr">
        <is>
          <t>-</t>
        </is>
      </c>
    </row>
    <row r="270">
      <c r="B270" t="inlineStr">
        <is>
          <t>Commercial bakeries and frozen cakes, pies, and other pastries manufacturing(1)</t>
        </is>
      </c>
      <c r="C270" t="inlineStr">
        <is>
          <t>311812,3</t>
        </is>
      </c>
      <c r="D270" t="n">
        <v>158.2</v>
      </c>
      <c r="E270" t="n">
        <v>163.7</v>
      </c>
      <c r="F270" t="n">
        <v>164.2</v>
      </c>
      <c r="G270" t="n">
        <v>164.6</v>
      </c>
      <c r="H270" t="n">
        <v>164.7</v>
      </c>
      <c r="I270" t="inlineStr">
        <is>
          <t>-</t>
        </is>
      </c>
      <c r="J270" t="inlineStr">
        <is>
          <t>-</t>
        </is>
      </c>
    </row>
    <row r="271">
      <c r="B271" t="inlineStr">
        <is>
          <t>Cookie, cracker, pasta, and tortilla manufacturing(1)</t>
        </is>
      </c>
      <c r="C271" t="inlineStr">
        <is>
          <t>31182,3</t>
        </is>
      </c>
      <c r="D271" t="n">
        <v>82.09999999999999</v>
      </c>
      <c r="E271" t="n">
        <v>83</v>
      </c>
      <c r="F271" t="n">
        <v>82.7</v>
      </c>
      <c r="G271" t="n">
        <v>82.7</v>
      </c>
      <c r="H271" t="n">
        <v>81.8</v>
      </c>
      <c r="I271" t="inlineStr">
        <is>
          <t>-</t>
        </is>
      </c>
      <c r="J271" t="inlineStr">
        <is>
          <t>-</t>
        </is>
      </c>
    </row>
    <row r="272">
      <c r="B272" t="inlineStr">
        <is>
          <t>Other food manufacturing(1)</t>
        </is>
      </c>
      <c r="C272" t="n">
        <v>3119</v>
      </c>
      <c r="D272" t="n">
        <v>261.9</v>
      </c>
      <c r="E272" t="n">
        <v>255.1</v>
      </c>
      <c r="F272" t="n">
        <v>255.2</v>
      </c>
      <c r="G272" t="n">
        <v>255.6</v>
      </c>
      <c r="H272" t="n">
        <v>255.1</v>
      </c>
      <c r="I272" t="inlineStr">
        <is>
          <t>-</t>
        </is>
      </c>
      <c r="J272" t="inlineStr">
        <is>
          <t>-</t>
        </is>
      </c>
    </row>
    <row r="273">
      <c r="B273" t="inlineStr">
        <is>
          <t>Snack food manufacturing(1)</t>
        </is>
      </c>
      <c r="C273" t="n">
        <v>31191</v>
      </c>
      <c r="D273" t="n">
        <v>65.5</v>
      </c>
      <c r="E273" t="n">
        <v>64.2</v>
      </c>
      <c r="F273" t="n">
        <v>64.5</v>
      </c>
      <c r="G273" t="n">
        <v>64.59999999999999</v>
      </c>
      <c r="H273" t="n">
        <v>64.7</v>
      </c>
      <c r="I273" t="inlineStr">
        <is>
          <t>-</t>
        </is>
      </c>
      <c r="J273" t="inlineStr">
        <is>
          <t>-</t>
        </is>
      </c>
    </row>
    <row r="274">
      <c r="B274" t="inlineStr">
        <is>
          <t>Coffee, tea, flavoring syrup and concentrate, seasoning, dressing, and other food manufacturing(1)</t>
        </is>
      </c>
      <c r="C274" t="inlineStr">
        <is>
          <t>31192,3,4,9</t>
        </is>
      </c>
      <c r="D274" t="n">
        <v>196.7</v>
      </c>
      <c r="E274" t="n">
        <v>191</v>
      </c>
      <c r="F274" t="n">
        <v>190.8</v>
      </c>
      <c r="G274" t="n">
        <v>191</v>
      </c>
      <c r="H274" t="n">
        <v>190.4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ISIC 13T15</t>
        </is>
      </c>
      <c r="B275" t="inlineStr">
        <is>
          <t>Textile mills</t>
        </is>
      </c>
      <c r="C275" t="n">
        <v>313</v>
      </c>
      <c r="D275" t="n">
        <v>90</v>
      </c>
      <c r="E275" t="n">
        <v>89.7</v>
      </c>
      <c r="F275" t="n">
        <v>89</v>
      </c>
      <c r="G275" t="n">
        <v>89.3</v>
      </c>
      <c r="H275" t="n">
        <v>89.09999999999999</v>
      </c>
      <c r="I275" t="n">
        <v>89.2</v>
      </c>
      <c r="J275" t="n">
        <v>0.1</v>
      </c>
    </row>
    <row r="276">
      <c r="B276" t="inlineStr">
        <is>
          <t>Fabric mills(1)</t>
        </is>
      </c>
      <c r="C276" t="n">
        <v>3132</v>
      </c>
      <c r="D276" t="n">
        <v>42.5</v>
      </c>
      <c r="E276" t="n">
        <v>41.3</v>
      </c>
      <c r="F276" t="n">
        <v>41.1</v>
      </c>
      <c r="G276" t="n">
        <v>41.1</v>
      </c>
      <c r="H276" t="n">
        <v>41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ISIC 13T15</t>
        </is>
      </c>
      <c r="B277" t="inlineStr">
        <is>
          <t>Textile product mills</t>
        </is>
      </c>
      <c r="C277" t="n">
        <v>314</v>
      </c>
      <c r="D277" t="n">
        <v>96.09999999999999</v>
      </c>
      <c r="E277" t="n">
        <v>95</v>
      </c>
      <c r="F277" t="n">
        <v>93.5</v>
      </c>
      <c r="G277" t="n">
        <v>94.5</v>
      </c>
      <c r="H277" t="n">
        <v>95.40000000000001</v>
      </c>
      <c r="I277" t="n">
        <v>95.40000000000001</v>
      </c>
      <c r="J277" t="n">
        <v>0</v>
      </c>
    </row>
    <row r="278">
      <c r="B278" t="inlineStr">
        <is>
          <t>Textile furnishings mills(1)</t>
        </is>
      </c>
      <c r="C278" t="n">
        <v>3141</v>
      </c>
      <c r="D278" t="n">
        <v>39.2</v>
      </c>
      <c r="E278" t="n">
        <v>37.9</v>
      </c>
      <c r="F278" t="n">
        <v>37.1</v>
      </c>
      <c r="G278" t="n">
        <v>37.1</v>
      </c>
      <c r="H278" t="n">
        <v>37.2</v>
      </c>
      <c r="I278" t="inlineStr">
        <is>
          <t>-</t>
        </is>
      </c>
      <c r="J278" t="inlineStr">
        <is>
          <t>-</t>
        </is>
      </c>
    </row>
    <row r="279">
      <c r="B279" t="inlineStr">
        <is>
          <t>Other textile product mills(1)</t>
        </is>
      </c>
      <c r="C279" t="n">
        <v>3149</v>
      </c>
      <c r="D279" t="n">
        <v>57</v>
      </c>
      <c r="E279" t="n">
        <v>57</v>
      </c>
      <c r="F279" t="n">
        <v>56.2</v>
      </c>
      <c r="G279" t="n">
        <v>57.4</v>
      </c>
      <c r="H279" t="n">
        <v>58</v>
      </c>
      <c r="I279" t="inlineStr">
        <is>
          <t>-</t>
        </is>
      </c>
      <c r="J279" t="inlineStr">
        <is>
          <t>-</t>
        </is>
      </c>
    </row>
    <row r="280">
      <c r="B280" t="inlineStr">
        <is>
          <t>Textile bag and canvas mills(1)</t>
        </is>
      </c>
      <c r="C280" t="n">
        <v>31491</v>
      </c>
      <c r="D280" t="n">
        <v>21.5</v>
      </c>
      <c r="E280" t="n">
        <v>20.5</v>
      </c>
      <c r="F280" t="n">
        <v>20.5</v>
      </c>
      <c r="G280" t="n">
        <v>21.1</v>
      </c>
      <c r="H280" t="n">
        <v>21.7</v>
      </c>
      <c r="I280" t="inlineStr">
        <is>
          <t>-</t>
        </is>
      </c>
      <c r="J280" t="inlineStr">
        <is>
          <t>-</t>
        </is>
      </c>
    </row>
    <row r="281">
      <c r="B281" t="inlineStr">
        <is>
          <t>All other textile product mills(1)</t>
        </is>
      </c>
      <c r="C281" t="n">
        <v>31499</v>
      </c>
      <c r="D281" t="n">
        <v>35.4</v>
      </c>
      <c r="E281" t="n">
        <v>36.2</v>
      </c>
      <c r="F281" t="n">
        <v>35.7</v>
      </c>
      <c r="G281" t="n">
        <v>36.4</v>
      </c>
      <c r="H281" t="n">
        <v>36.2</v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ISIC 13T15</t>
        </is>
      </c>
      <c r="B282" t="inlineStr">
        <is>
          <t>Apparel manufacturing</t>
        </is>
      </c>
      <c r="C282" t="n">
        <v>315</v>
      </c>
      <c r="D282" t="n">
        <v>88.59999999999999</v>
      </c>
      <c r="E282" t="n">
        <v>84</v>
      </c>
      <c r="F282" t="n">
        <v>84.09999999999999</v>
      </c>
      <c r="G282" t="n">
        <v>83.7</v>
      </c>
      <c r="H282" t="n">
        <v>83.3</v>
      </c>
      <c r="I282" t="n">
        <v>83.3</v>
      </c>
      <c r="J282" t="n">
        <v>0</v>
      </c>
    </row>
    <row r="283">
      <c r="B283" t="inlineStr">
        <is>
          <t>Cut and sew apparel manufacturing (except contractors)(1)</t>
        </is>
      </c>
      <c r="C283" t="n">
        <v>31525</v>
      </c>
      <c r="D283" t="n">
        <v>48.2</v>
      </c>
      <c r="E283" t="n">
        <v>45</v>
      </c>
      <c r="F283" t="n">
        <v>44.9</v>
      </c>
      <c r="G283" t="n">
        <v>44.8</v>
      </c>
      <c r="H283" t="n">
        <v>44.6</v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ISIC 17T18</t>
        </is>
      </c>
      <c r="B284" t="inlineStr">
        <is>
          <t>Paper manufacturing</t>
        </is>
      </c>
      <c r="C284" t="n">
        <v>322</v>
      </c>
      <c r="D284" t="n">
        <v>353.1</v>
      </c>
      <c r="E284" t="n">
        <v>350.1</v>
      </c>
      <c r="F284" t="n">
        <v>349.7</v>
      </c>
      <c r="G284" t="n">
        <v>349.3</v>
      </c>
      <c r="H284" t="n">
        <v>349.9</v>
      </c>
      <c r="I284" t="n">
        <v>349.1</v>
      </c>
      <c r="J284" t="n">
        <v>-0.8</v>
      </c>
    </row>
    <row r="285">
      <c r="B285" t="inlineStr">
        <is>
          <t>Pulp, paper, and paperboard mills(1)</t>
        </is>
      </c>
      <c r="C285" t="n">
        <v>3221</v>
      </c>
      <c r="D285" t="n">
        <v>86.40000000000001</v>
      </c>
      <c r="E285" t="n">
        <v>84.5</v>
      </c>
      <c r="F285" t="n">
        <v>84.59999999999999</v>
      </c>
      <c r="G285" t="n">
        <v>84</v>
      </c>
      <c r="H285" t="n">
        <v>84.40000000000001</v>
      </c>
      <c r="I285" t="inlineStr">
        <is>
          <t>-</t>
        </is>
      </c>
      <c r="J285" t="inlineStr">
        <is>
          <t>-</t>
        </is>
      </c>
    </row>
    <row r="286">
      <c r="B286" t="inlineStr">
        <is>
          <t>Converted paper product manufacturing(1)</t>
        </is>
      </c>
      <c r="C286" t="n">
        <v>3222</v>
      </c>
      <c r="D286" t="n">
        <v>266.6</v>
      </c>
      <c r="E286" t="n">
        <v>265.4</v>
      </c>
      <c r="F286" t="n">
        <v>265.1</v>
      </c>
      <c r="G286" t="n">
        <v>265.1</v>
      </c>
      <c r="H286" t="n">
        <v>265.4</v>
      </c>
      <c r="I286" t="inlineStr">
        <is>
          <t>-</t>
        </is>
      </c>
      <c r="J286" t="inlineStr">
        <is>
          <t>-</t>
        </is>
      </c>
    </row>
    <row r="287">
      <c r="B287" t="inlineStr">
        <is>
          <t>Paperboard container manufacturing(1)</t>
        </is>
      </c>
      <c r="C287" t="n">
        <v>32221</v>
      </c>
      <c r="D287" t="n">
        <v>154.5</v>
      </c>
      <c r="E287" t="n">
        <v>155.4</v>
      </c>
      <c r="F287" t="n">
        <v>155.5</v>
      </c>
      <c r="G287" t="n">
        <v>155.6</v>
      </c>
      <c r="H287" t="n">
        <v>156.2</v>
      </c>
      <c r="I287" t="inlineStr">
        <is>
          <t>-</t>
        </is>
      </c>
      <c r="J287" t="inlineStr">
        <is>
          <t>-</t>
        </is>
      </c>
    </row>
    <row r="288">
      <c r="B288" t="inlineStr">
        <is>
          <t>Paper bag and coated and treated paper manufacturing(1)</t>
        </is>
      </c>
      <c r="C288" t="n">
        <v>32222</v>
      </c>
      <c r="D288" t="n">
        <v>53.5</v>
      </c>
      <c r="E288" t="n">
        <v>53</v>
      </c>
      <c r="F288" t="n">
        <v>53.1</v>
      </c>
      <c r="G288" t="n">
        <v>53.5</v>
      </c>
      <c r="H288" t="n">
        <v>53.4</v>
      </c>
      <c r="I288" t="inlineStr">
        <is>
          <t>-</t>
        </is>
      </c>
      <c r="J288" t="inlineStr">
        <is>
          <t>-</t>
        </is>
      </c>
    </row>
    <row r="289">
      <c r="B289" t="inlineStr">
        <is>
          <t>Stationery and other converted paper products(1)</t>
        </is>
      </c>
      <c r="C289" t="inlineStr">
        <is>
          <t>32223,9</t>
        </is>
      </c>
      <c r="D289" t="n">
        <v>59</v>
      </c>
      <c r="E289" t="n">
        <v>56.9</v>
      </c>
      <c r="F289" t="n">
        <v>56.2</v>
      </c>
      <c r="G289" t="n">
        <v>56.2</v>
      </c>
      <c r="H289" t="n">
        <v>56</v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ISIC 17T18</t>
        </is>
      </c>
      <c r="B290" t="inlineStr">
        <is>
          <t>Printing and related support activities</t>
        </is>
      </c>
      <c r="C290" t="n">
        <v>323</v>
      </c>
      <c r="D290" t="n">
        <v>364.5</v>
      </c>
      <c r="E290" t="n">
        <v>360.4</v>
      </c>
      <c r="F290" t="n">
        <v>360.6</v>
      </c>
      <c r="G290" t="n">
        <v>360</v>
      </c>
      <c r="H290" t="n">
        <v>359.7</v>
      </c>
      <c r="I290" t="n">
        <v>358.9</v>
      </c>
      <c r="J290" t="n">
        <v>-0.8</v>
      </c>
    </row>
    <row r="291">
      <c r="B291" t="inlineStr">
        <is>
          <t>Commercial and book printing (except screen)(1)</t>
        </is>
      </c>
      <c r="C291" t="inlineStr">
        <is>
          <t>323111,7</t>
        </is>
      </c>
      <c r="D291" t="n">
        <v>271.1</v>
      </c>
      <c r="E291" t="n">
        <v>269.7</v>
      </c>
      <c r="F291" t="n">
        <v>270.5</v>
      </c>
      <c r="G291" t="n">
        <v>270.7</v>
      </c>
      <c r="H291" t="n">
        <v>270.5</v>
      </c>
      <c r="I291" t="inlineStr">
        <is>
          <t>-</t>
        </is>
      </c>
      <c r="J291" t="inlineStr">
        <is>
          <t>-</t>
        </is>
      </c>
    </row>
    <row r="292">
      <c r="B292" t="inlineStr">
        <is>
          <t>Petroleum and coal products manufacturing</t>
        </is>
      </c>
      <c r="C292" t="n">
        <v>324</v>
      </c>
      <c r="D292" t="n">
        <v>109</v>
      </c>
      <c r="E292" t="n">
        <v>108.1</v>
      </c>
      <c r="F292" t="n">
        <v>107.8</v>
      </c>
      <c r="G292" t="n">
        <v>107.7</v>
      </c>
      <c r="H292" t="n">
        <v>107.3</v>
      </c>
      <c r="I292" t="n">
        <v>107</v>
      </c>
      <c r="J292" t="n">
        <v>-0.3</v>
      </c>
    </row>
    <row r="293">
      <c r="A293" t="inlineStr">
        <is>
          <t>ISIC 19</t>
        </is>
      </c>
      <c r="B293" t="inlineStr">
        <is>
          <t>Petroleum refineries(1)</t>
        </is>
      </c>
      <c r="C293" t="n">
        <v>32411</v>
      </c>
      <c r="D293" t="n">
        <v>62.2</v>
      </c>
      <c r="E293" t="n">
        <v>62.6</v>
      </c>
      <c r="F293" t="n">
        <v>61.8</v>
      </c>
      <c r="G293" t="n">
        <v>61.8</v>
      </c>
      <c r="H293" t="n">
        <v>61.5</v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See above</t>
        </is>
      </c>
      <c r="B294" t="inlineStr">
        <is>
          <t>Asphalt paving, roofing, saturated materials, and other petroleum and coal products manufacturing(1)</t>
        </is>
      </c>
      <c r="C294" t="inlineStr">
        <is>
          <t>32412,9</t>
        </is>
      </c>
      <c r="D294" t="n">
        <v>46.8</v>
      </c>
      <c r="E294" t="n">
        <v>45.9</v>
      </c>
      <c r="F294" t="n">
        <v>46.1</v>
      </c>
      <c r="G294" t="n">
        <v>45.8</v>
      </c>
      <c r="H294" t="n">
        <v>45.8</v>
      </c>
      <c r="I294" t="inlineStr">
        <is>
          <t>-</t>
        </is>
      </c>
      <c r="J294" t="inlineStr">
        <is>
          <t>-</t>
        </is>
      </c>
    </row>
    <row r="295">
      <c r="B295" t="inlineStr">
        <is>
          <t>Chemical manufacturing</t>
        </is>
      </c>
      <c r="C295" t="n">
        <v>325</v>
      </c>
      <c r="D295" t="n">
        <v>897.2</v>
      </c>
      <c r="E295" t="n">
        <v>902.3</v>
      </c>
      <c r="F295" t="n">
        <v>902.8</v>
      </c>
      <c r="G295" t="n">
        <v>901.9</v>
      </c>
      <c r="H295" t="n">
        <v>901.8</v>
      </c>
      <c r="I295" t="n">
        <v>902.5</v>
      </c>
      <c r="J295" t="n">
        <v>0.7</v>
      </c>
    </row>
    <row r="296">
      <c r="A296" t="inlineStr">
        <is>
          <t>ISIC 20</t>
        </is>
      </c>
      <c r="B296" t="inlineStr">
        <is>
          <t>Basic chemical manufacturing(1)</t>
        </is>
      </c>
      <c r="C296" t="n">
        <v>3251</v>
      </c>
      <c r="D296" t="n">
        <v>156.4</v>
      </c>
      <c r="E296" t="n">
        <v>159.4</v>
      </c>
      <c r="F296" t="n">
        <v>159.1</v>
      </c>
      <c r="G296" t="n">
        <v>159.4</v>
      </c>
      <c r="H296" t="n">
        <v>159.2</v>
      </c>
      <c r="I296" t="inlineStr">
        <is>
          <t>-</t>
        </is>
      </c>
      <c r="J296" t="inlineStr">
        <is>
          <t>-</t>
        </is>
      </c>
    </row>
    <row r="297">
      <c r="B297" t="inlineStr">
        <is>
          <t>Petrochemical, industrial gas, synthetic dye, pigment, and other basic inorganic chemical manufacturing(1)</t>
        </is>
      </c>
      <c r="C297" t="inlineStr">
        <is>
          <t>32511,2,3,8</t>
        </is>
      </c>
      <c r="D297" t="n">
        <v>98.90000000000001</v>
      </c>
      <c r="E297" t="n">
        <v>98.8</v>
      </c>
      <c r="F297" t="n">
        <v>98.8</v>
      </c>
      <c r="G297" t="n">
        <v>98.7</v>
      </c>
      <c r="H297" t="n">
        <v>98.8</v>
      </c>
      <c r="I297" t="inlineStr">
        <is>
          <t>-</t>
        </is>
      </c>
      <c r="J297" t="inlineStr">
        <is>
          <t>-</t>
        </is>
      </c>
    </row>
    <row r="298">
      <c r="B298" t="inlineStr">
        <is>
          <t>Other basic organic chemical manufacturing(1)</t>
        </is>
      </c>
      <c r="C298" t="n">
        <v>32519</v>
      </c>
      <c r="D298" t="n">
        <v>57.5</v>
      </c>
      <c r="E298" t="n">
        <v>60.2</v>
      </c>
      <c r="F298" t="n">
        <v>60.1</v>
      </c>
      <c r="G298" t="n">
        <v>60.5</v>
      </c>
      <c r="H298" t="n">
        <v>60.5</v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ISIC 20</t>
        </is>
      </c>
      <c r="B299" t="inlineStr">
        <is>
          <t>Resin, synthetic rubber, and artificial and synthetic fibers and filaments manufacturing(1)</t>
        </is>
      </c>
      <c r="C299" t="n">
        <v>3252</v>
      </c>
      <c r="D299" t="n">
        <v>96.90000000000001</v>
      </c>
      <c r="E299" t="n">
        <v>94.8</v>
      </c>
      <c r="F299" t="n">
        <v>95.59999999999999</v>
      </c>
      <c r="G299" t="n">
        <v>95.40000000000001</v>
      </c>
      <c r="H299" t="n">
        <v>95.5</v>
      </c>
      <c r="I299" t="inlineStr">
        <is>
          <t>-</t>
        </is>
      </c>
      <c r="J299" t="inlineStr">
        <is>
          <t>-</t>
        </is>
      </c>
    </row>
    <row r="300">
      <c r="B300" t="inlineStr">
        <is>
          <t>Plastics material and resin manufacturing(1)</t>
        </is>
      </c>
      <c r="C300" t="n">
        <v>325211</v>
      </c>
      <c r="D300" t="n">
        <v>62.2</v>
      </c>
      <c r="E300" t="n">
        <v>61.1</v>
      </c>
      <c r="F300" t="n">
        <v>61.5</v>
      </c>
      <c r="G300" t="n">
        <v>61.4</v>
      </c>
      <c r="H300" t="n">
        <v>61.6</v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ISIC 20</t>
        </is>
      </c>
      <c r="B301" t="inlineStr">
        <is>
          <t>Pesticide, fertilizer, and other agricultural chemical manufacturing(1)</t>
        </is>
      </c>
      <c r="C301" t="n">
        <v>3253</v>
      </c>
      <c r="D301" t="n">
        <v>38</v>
      </c>
      <c r="E301" t="n">
        <v>40.3</v>
      </c>
      <c r="F301" t="n">
        <v>40.6</v>
      </c>
      <c r="G301" t="n">
        <v>40.6</v>
      </c>
      <c r="H301" t="n">
        <v>40.6</v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ISIC 21</t>
        </is>
      </c>
      <c r="B302" t="inlineStr">
        <is>
          <t>Pharmaceutical and medicine manufacturing(1)</t>
        </is>
      </c>
      <c r="C302" t="n">
        <v>3254</v>
      </c>
      <c r="D302" t="n">
        <v>343.5</v>
      </c>
      <c r="E302" t="n">
        <v>345</v>
      </c>
      <c r="F302" t="n">
        <v>344</v>
      </c>
      <c r="G302" t="n">
        <v>343.4</v>
      </c>
      <c r="H302" t="n">
        <v>343.9</v>
      </c>
      <c r="I302" t="inlineStr">
        <is>
          <t>-</t>
        </is>
      </c>
      <c r="J302" t="inlineStr">
        <is>
          <t>-</t>
        </is>
      </c>
    </row>
    <row r="303">
      <c r="B303" t="inlineStr">
        <is>
          <t>Pharmaceutical preparation manufacturing(1)</t>
        </is>
      </c>
      <c r="C303" t="n">
        <v>325412</v>
      </c>
      <c r="D303" t="n">
        <v>227</v>
      </c>
      <c r="E303" t="n">
        <v>230.8</v>
      </c>
      <c r="F303" t="n">
        <v>229.4</v>
      </c>
      <c r="G303" t="n">
        <v>229.2</v>
      </c>
      <c r="H303" t="n">
        <v>229.7</v>
      </c>
      <c r="I303" t="inlineStr">
        <is>
          <t>-</t>
        </is>
      </c>
      <c r="J303" t="inlineStr">
        <is>
          <t>-</t>
        </is>
      </c>
    </row>
    <row r="304">
      <c r="B304" t="inlineStr">
        <is>
          <t>Medicinal, botanical, in-vitro diagnostic substance, and biological product manufacturing(1)</t>
        </is>
      </c>
      <c r="C304" t="inlineStr">
        <is>
          <t>325411,3,4</t>
        </is>
      </c>
      <c r="D304" t="n">
        <v>116.8</v>
      </c>
      <c r="E304" t="n">
        <v>114.3</v>
      </c>
      <c r="F304" t="n">
        <v>114.3</v>
      </c>
      <c r="G304" t="n">
        <v>114.1</v>
      </c>
      <c r="H304" t="n">
        <v>114.2</v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ISIC 20</t>
        </is>
      </c>
      <c r="B305" t="inlineStr">
        <is>
          <t>Paint, coating, and adhesive manufacturing(1)</t>
        </is>
      </c>
      <c r="C305" t="n">
        <v>3255</v>
      </c>
      <c r="D305" t="n">
        <v>62.8</v>
      </c>
      <c r="E305" t="n">
        <v>62</v>
      </c>
      <c r="F305" t="n">
        <v>62.4</v>
      </c>
      <c r="G305" t="n">
        <v>62.1</v>
      </c>
      <c r="H305" t="n">
        <v>62.2</v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ISIC 20</t>
        </is>
      </c>
      <c r="B306" t="inlineStr">
        <is>
          <t>Soap, cleaning compound, and toilet preparation manufacturing(1)</t>
        </is>
      </c>
      <c r="C306" t="n">
        <v>3256</v>
      </c>
      <c r="D306" t="n">
        <v>116.2</v>
      </c>
      <c r="E306" t="n">
        <v>119.1</v>
      </c>
      <c r="F306" t="n">
        <v>118.7</v>
      </c>
      <c r="G306" t="n">
        <v>118.7</v>
      </c>
      <c r="H306" t="n">
        <v>118.7</v>
      </c>
      <c r="I306" t="inlineStr">
        <is>
          <t>-</t>
        </is>
      </c>
      <c r="J306" t="inlineStr">
        <is>
          <t>-</t>
        </is>
      </c>
    </row>
    <row r="307">
      <c r="B307" t="inlineStr">
        <is>
          <t>Soap and cleaning compound manufacturing(1)</t>
        </is>
      </c>
      <c r="C307" t="n">
        <v>32561</v>
      </c>
      <c r="D307" t="n">
        <v>58.1</v>
      </c>
      <c r="E307" t="n">
        <v>60.5</v>
      </c>
      <c r="F307" t="n">
        <v>60</v>
      </c>
      <c r="G307" t="n">
        <v>60.2</v>
      </c>
      <c r="H307" t="n">
        <v>60.6</v>
      </c>
      <c r="I307" t="inlineStr">
        <is>
          <t>-</t>
        </is>
      </c>
      <c r="J307" t="inlineStr">
        <is>
          <t>-</t>
        </is>
      </c>
    </row>
    <row r="308">
      <c r="B308" t="inlineStr">
        <is>
          <t>Toilet preparation manufacturing(1)</t>
        </is>
      </c>
      <c r="C308" t="n">
        <v>32562</v>
      </c>
      <c r="D308" t="n">
        <v>58</v>
      </c>
      <c r="E308" t="n">
        <v>58.5</v>
      </c>
      <c r="F308" t="n">
        <v>58.5</v>
      </c>
      <c r="G308" t="n">
        <v>58.3</v>
      </c>
      <c r="H308" t="n">
        <v>57.8</v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ISIC 20</t>
        </is>
      </c>
      <c r="B309" t="inlineStr">
        <is>
          <t>Other chemical product and preparation manufacturing(1)</t>
        </is>
      </c>
      <c r="C309" t="n">
        <v>3259</v>
      </c>
      <c r="D309" t="n">
        <v>81.59999999999999</v>
      </c>
      <c r="E309" t="n">
        <v>82.40000000000001</v>
      </c>
      <c r="F309" t="n">
        <v>81.5</v>
      </c>
      <c r="G309" t="n">
        <v>81</v>
      </c>
      <c r="H309" t="n">
        <v>80.8</v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ISIC 22</t>
        </is>
      </c>
      <c r="B310" t="inlineStr">
        <is>
          <t>Plastics and rubber products manufacturing</t>
        </is>
      </c>
      <c r="C310" t="n">
        <v>326</v>
      </c>
      <c r="D310" t="n">
        <v>729.7</v>
      </c>
      <c r="E310" t="n">
        <v>723.3</v>
      </c>
      <c r="F310" t="n">
        <v>722.4</v>
      </c>
      <c r="G310" t="n">
        <v>720.6</v>
      </c>
      <c r="H310" t="n">
        <v>718.2</v>
      </c>
      <c r="I310" t="n">
        <v>717</v>
      </c>
      <c r="J310" t="n">
        <v>-1.2</v>
      </c>
    </row>
    <row r="311">
      <c r="B311" t="inlineStr">
        <is>
          <t>Plastics product manufacturing(1)</t>
        </is>
      </c>
      <c r="C311" t="n">
        <v>3261</v>
      </c>
      <c r="D311" t="n">
        <v>596.6</v>
      </c>
      <c r="E311" t="n">
        <v>591.6</v>
      </c>
      <c r="F311" t="n">
        <v>590.9</v>
      </c>
      <c r="G311" t="n">
        <v>590</v>
      </c>
      <c r="H311" t="n">
        <v>587.7</v>
      </c>
      <c r="I311" t="inlineStr">
        <is>
          <t>-</t>
        </is>
      </c>
      <c r="J311" t="inlineStr">
        <is>
          <t>-</t>
        </is>
      </c>
    </row>
    <row r="312">
      <c r="B312" t="inlineStr">
        <is>
          <t>Plastics packaging materials and unlaminated film and sheet manufacturing(1)</t>
        </is>
      </c>
      <c r="C312" t="n">
        <v>32611</v>
      </c>
      <c r="D312" t="n">
        <v>96.7</v>
      </c>
      <c r="E312" t="n">
        <v>98.09999999999999</v>
      </c>
      <c r="F312" t="n">
        <v>98.40000000000001</v>
      </c>
      <c r="G312" t="n">
        <v>98.8</v>
      </c>
      <c r="H312" t="n">
        <v>99.09999999999999</v>
      </c>
      <c r="I312" t="inlineStr">
        <is>
          <t>-</t>
        </is>
      </c>
      <c r="J312" t="inlineStr">
        <is>
          <t>-</t>
        </is>
      </c>
    </row>
    <row r="313">
      <c r="B313" t="inlineStr">
        <is>
          <t>Plastics pipe, pipe fitting, and unlaminated profile shape manufacturing(1)</t>
        </is>
      </c>
      <c r="C313" t="n">
        <v>32612</v>
      </c>
      <c r="D313" t="n">
        <v>54.7</v>
      </c>
      <c r="E313" t="n">
        <v>54.5</v>
      </c>
      <c r="F313" t="n">
        <v>53.5</v>
      </c>
      <c r="G313" t="n">
        <v>53.1</v>
      </c>
      <c r="H313" t="n">
        <v>53.1</v>
      </c>
      <c r="I313" t="inlineStr">
        <is>
          <t>-</t>
        </is>
      </c>
      <c r="J313" t="inlineStr">
        <is>
          <t>-</t>
        </is>
      </c>
    </row>
    <row r="314">
      <c r="B314" t="inlineStr">
        <is>
          <t>Polystyrene, urethane, and other foam product manufacturing(1)</t>
        </is>
      </c>
      <c r="C314" t="inlineStr">
        <is>
          <t>32614,5</t>
        </is>
      </c>
      <c r="D314" t="n">
        <v>64.7</v>
      </c>
      <c r="E314" t="n">
        <v>65</v>
      </c>
      <c r="F314" t="n">
        <v>65</v>
      </c>
      <c r="G314" t="n">
        <v>65</v>
      </c>
      <c r="H314" t="n">
        <v>64.40000000000001</v>
      </c>
      <c r="I314" t="inlineStr">
        <is>
          <t>-</t>
        </is>
      </c>
      <c r="J314" t="inlineStr">
        <is>
          <t>-</t>
        </is>
      </c>
    </row>
    <row r="315">
      <c r="B315" t="inlineStr">
        <is>
          <t>Laminated plastics plate, sheet (except packaging), shape, and plastics bottle manufacturing(1)</t>
        </is>
      </c>
      <c r="C315" t="inlineStr">
        <is>
          <t>32613,6</t>
        </is>
      </c>
      <c r="D315" t="n">
        <v>54.9</v>
      </c>
      <c r="E315" t="n">
        <v>54.6</v>
      </c>
      <c r="F315" t="n">
        <v>54.8</v>
      </c>
      <c r="G315" t="n">
        <v>54.6</v>
      </c>
      <c r="H315" t="n">
        <v>54.6</v>
      </c>
      <c r="I315" t="inlineStr">
        <is>
          <t>-</t>
        </is>
      </c>
      <c r="J315" t="inlineStr">
        <is>
          <t>-</t>
        </is>
      </c>
    </row>
    <row r="316">
      <c r="B316" t="inlineStr">
        <is>
          <t>Other plastics product manufacturing(1)</t>
        </is>
      </c>
      <c r="C316" t="n">
        <v>32619</v>
      </c>
      <c r="D316" t="n">
        <v>325.1</v>
      </c>
      <c r="E316" t="n">
        <v>320.3</v>
      </c>
      <c r="F316" t="n">
        <v>318.9</v>
      </c>
      <c r="G316" t="n">
        <v>317.7</v>
      </c>
      <c r="H316" t="n">
        <v>316.3</v>
      </c>
      <c r="I316" t="inlineStr">
        <is>
          <t>-</t>
        </is>
      </c>
      <c r="J316" t="inlineStr">
        <is>
          <t>-</t>
        </is>
      </c>
    </row>
    <row r="317">
      <c r="B317" t="inlineStr">
        <is>
          <t>Rubber product manufacturing(1)</t>
        </is>
      </c>
      <c r="C317" t="n">
        <v>3262</v>
      </c>
      <c r="D317" t="n">
        <v>132.7</v>
      </c>
      <c r="E317" t="n">
        <v>131.5</v>
      </c>
      <c r="F317" t="n">
        <v>131.1</v>
      </c>
      <c r="G317" t="n">
        <v>130.7</v>
      </c>
      <c r="H317" t="n">
        <v>130.5</v>
      </c>
      <c r="I317" t="inlineStr">
        <is>
          <t>-</t>
        </is>
      </c>
      <c r="J317" t="inlineStr">
        <is>
          <t>-</t>
        </is>
      </c>
    </row>
    <row r="318">
      <c r="B318" t="inlineStr">
        <is>
          <t>Tire manufacturing(1)</t>
        </is>
      </c>
      <c r="C318" t="n">
        <v>32621</v>
      </c>
      <c r="D318" t="n">
        <v>57.7</v>
      </c>
      <c r="E318" t="n">
        <v>56.6</v>
      </c>
      <c r="F318" t="n">
        <v>56.4</v>
      </c>
      <c r="G318" t="n">
        <v>56.2</v>
      </c>
      <c r="H318" t="n">
        <v>55.9</v>
      </c>
      <c r="I318" t="inlineStr">
        <is>
          <t>-</t>
        </is>
      </c>
      <c r="J318" t="inlineStr">
        <is>
          <t>-</t>
        </is>
      </c>
    </row>
    <row r="319">
      <c r="B319" t="inlineStr">
        <is>
          <t>Rubber and plastics hoses, belting, and other rubber product manufacturing(1)</t>
        </is>
      </c>
      <c r="C319" t="inlineStr">
        <is>
          <t>32622,9</t>
        </is>
      </c>
      <c r="D319" t="n">
        <v>75.09999999999999</v>
      </c>
      <c r="E319" t="n">
        <v>75.09999999999999</v>
      </c>
      <c r="F319" t="n">
        <v>74.7</v>
      </c>
      <c r="G319" t="n">
        <v>74.5</v>
      </c>
      <c r="H319" t="n">
        <v>74.40000000000001</v>
      </c>
      <c r="I319" t="inlineStr">
        <is>
          <t>-</t>
        </is>
      </c>
      <c r="J319" t="inlineStr">
        <is>
          <t>-</t>
        </is>
      </c>
    </row>
    <row r="320">
      <c r="B320" t="inlineStr">
        <is>
          <t>Beverage, tobacco, and leather and allied product manufacturing</t>
        </is>
      </c>
      <c r="C320" t="inlineStr">
        <is>
          <t>312,6</t>
        </is>
      </c>
      <c r="D320" t="n">
        <v>361.4</v>
      </c>
      <c r="E320" t="n">
        <v>368.5</v>
      </c>
      <c r="F320" t="n">
        <v>369.3</v>
      </c>
      <c r="G320" t="n">
        <v>366.3</v>
      </c>
      <c r="H320" t="n">
        <v>365.6</v>
      </c>
      <c r="I320" t="n">
        <v>364.9</v>
      </c>
      <c r="J320" t="n">
        <v>-0.7</v>
      </c>
    </row>
    <row r="321">
      <c r="A321" t="inlineStr">
        <is>
          <t>ISIC 10T12</t>
        </is>
      </c>
      <c r="B321" t="inlineStr">
        <is>
          <t>Beverage manufacturing(1)</t>
        </is>
      </c>
      <c r="C321" t="n">
        <v>3121</v>
      </c>
      <c r="D321" t="n">
        <v>325.4</v>
      </c>
      <c r="E321" t="n">
        <v>333.5</v>
      </c>
      <c r="F321" t="n">
        <v>334.1</v>
      </c>
      <c r="G321" t="n">
        <v>331.5</v>
      </c>
      <c r="H321" t="n">
        <v>330.2</v>
      </c>
      <c r="I321" t="inlineStr">
        <is>
          <t>-</t>
        </is>
      </c>
      <c r="J321" t="inlineStr">
        <is>
          <t>-</t>
        </is>
      </c>
    </row>
    <row r="322">
      <c r="B322" t="inlineStr">
        <is>
          <t>Soft drinks and ice(1)</t>
        </is>
      </c>
      <c r="C322" t="n">
        <v>31211</v>
      </c>
      <c r="D322" t="n">
        <v>110.7</v>
      </c>
      <c r="E322" t="n">
        <v>112.9</v>
      </c>
      <c r="F322" t="n">
        <v>111.5</v>
      </c>
      <c r="G322" t="n">
        <v>109.1</v>
      </c>
      <c r="H322" t="n">
        <v>108.9</v>
      </c>
      <c r="I322" t="inlineStr">
        <is>
          <t>-</t>
        </is>
      </c>
      <c r="J322" t="inlineStr">
        <is>
          <t>-</t>
        </is>
      </c>
    </row>
    <row r="323">
      <c r="B323" t="inlineStr">
        <is>
          <t>Soft drinks(1)</t>
        </is>
      </c>
      <c r="C323" t="n">
        <v>312111</v>
      </c>
      <c r="D323" t="n">
        <v>81.40000000000001</v>
      </c>
      <c r="E323" t="n">
        <v>81.5</v>
      </c>
      <c r="F323" t="n">
        <v>80.90000000000001</v>
      </c>
      <c r="G323" t="n">
        <v>81</v>
      </c>
      <c r="H323" t="n">
        <v>81.40000000000001</v>
      </c>
      <c r="I323" t="inlineStr">
        <is>
          <t>-</t>
        </is>
      </c>
      <c r="J323" t="inlineStr">
        <is>
          <t>-</t>
        </is>
      </c>
    </row>
    <row r="324">
      <c r="B324" t="inlineStr">
        <is>
          <t>Breweries, wineries, and distilleries(1)</t>
        </is>
      </c>
      <c r="C324" t="inlineStr">
        <is>
          <t>31212,3,4</t>
        </is>
      </c>
      <c r="D324" t="n">
        <v>215.1</v>
      </c>
      <c r="E324" t="n">
        <v>220.7</v>
      </c>
      <c r="F324" t="n">
        <v>222.3</v>
      </c>
      <c r="G324" t="n">
        <v>222.1</v>
      </c>
      <c r="H324" t="n">
        <v>220.6</v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See above</t>
        </is>
      </c>
      <c r="B325" t="inlineStr">
        <is>
          <t>Other miscellaneous nondurable goods manufacturing(1)</t>
        </is>
      </c>
      <c r="C325" t="inlineStr">
        <is>
          <t>3122,60</t>
        </is>
      </c>
      <c r="D325" t="n">
        <v>36.2</v>
      </c>
      <c r="E325" t="n">
        <v>35.2</v>
      </c>
      <c r="F325" t="n">
        <v>35.4</v>
      </c>
      <c r="G325" t="n">
        <v>35</v>
      </c>
      <c r="H325" t="n">
        <v>35.6</v>
      </c>
      <c r="I325" t="inlineStr">
        <is>
          <t>-</t>
        </is>
      </c>
      <c r="J325" t="inlineStr">
        <is>
          <t>-</t>
        </is>
      </c>
    </row>
    <row r="327">
      <c r="B327" t="inlineStr">
        <is>
          <t>Service-providing</t>
        </is>
      </c>
      <c r="D327" t="n">
        <v>135324</v>
      </c>
      <c r="E327" t="n">
        <v>136859</v>
      </c>
      <c r="F327" t="n">
        <v>136935</v>
      </c>
      <c r="G327" t="n">
        <v>137175</v>
      </c>
      <c r="H327" t="n">
        <v>137255</v>
      </c>
      <c r="I327" t="n">
        <v>137448</v>
      </c>
      <c r="J327" t="n">
        <v>193</v>
      </c>
    </row>
    <row r="329">
      <c r="B329" t="inlineStr">
        <is>
          <t>Private service-providing</t>
        </is>
      </c>
      <c r="D329" t="n">
        <v>112324</v>
      </c>
      <c r="E329" t="n">
        <v>113514</v>
      </c>
      <c r="F329" t="n">
        <v>113549</v>
      </c>
      <c r="G329" t="n">
        <v>113756</v>
      </c>
      <c r="H329" t="n">
        <v>113798</v>
      </c>
      <c r="I329" t="n">
        <v>113958</v>
      </c>
      <c r="J329" t="n">
        <v>160</v>
      </c>
    </row>
    <row r="331">
      <c r="B331" t="inlineStr">
        <is>
          <t>Trade, transportation, and utilities</t>
        </is>
      </c>
      <c r="D331" t="n">
        <v>28843</v>
      </c>
      <c r="E331" t="n">
        <v>29036</v>
      </c>
      <c r="F331" t="n">
        <v>29039</v>
      </c>
      <c r="G331" t="n">
        <v>29059</v>
      </c>
      <c r="H331" t="n">
        <v>29055</v>
      </c>
      <c r="I331" t="n">
        <v>29032</v>
      </c>
      <c r="J331" t="n">
        <v>-23</v>
      </c>
    </row>
    <row r="333">
      <c r="A333" t="inlineStr">
        <is>
          <t>ISIC 45T47</t>
        </is>
      </c>
      <c r="B333" t="inlineStr">
        <is>
          <t>Wholesale trade</t>
        </is>
      </c>
      <c r="C333" t="n">
        <v>42</v>
      </c>
      <c r="D333" t="n">
        <v>6152.1</v>
      </c>
      <c r="E333" t="n">
        <v>6175.2</v>
      </c>
      <c r="F333" t="n">
        <v>6182.1</v>
      </c>
      <c r="G333" t="n">
        <v>6184.5</v>
      </c>
      <c r="H333" t="n">
        <v>6188.6</v>
      </c>
      <c r="I333" t="n">
        <v>6190.2</v>
      </c>
      <c r="J333" t="n">
        <v>1.6</v>
      </c>
    </row>
    <row r="334">
      <c r="B334" t="inlineStr">
        <is>
          <t>Merchant wholesalers, durable goods</t>
        </is>
      </c>
      <c r="C334" t="n">
        <v>423</v>
      </c>
      <c r="D334" t="n">
        <v>3420.5</v>
      </c>
      <c r="E334" t="n">
        <v>3444.8</v>
      </c>
      <c r="F334" t="n">
        <v>3449.7</v>
      </c>
      <c r="G334" t="n">
        <v>3450.4</v>
      </c>
      <c r="H334" t="n">
        <v>3455.1</v>
      </c>
      <c r="I334" t="n">
        <v>3453.1</v>
      </c>
      <c r="J334" t="n">
        <v>-2</v>
      </c>
    </row>
    <row r="335">
      <c r="B335" t="inlineStr">
        <is>
          <t>Motor vehicle and motor vehicle parts and supplies merchant wholesalers(1)</t>
        </is>
      </c>
      <c r="C335" t="n">
        <v>4231</v>
      </c>
      <c r="D335" t="n">
        <v>384.7</v>
      </c>
      <c r="E335" t="n">
        <v>383.6</v>
      </c>
      <c r="F335" t="n">
        <v>383.7</v>
      </c>
      <c r="G335" t="n">
        <v>383.2</v>
      </c>
      <c r="H335" t="n">
        <v>382.7</v>
      </c>
      <c r="I335" t="inlineStr">
        <is>
          <t>-</t>
        </is>
      </c>
      <c r="J335" t="inlineStr">
        <is>
          <t>-</t>
        </is>
      </c>
    </row>
    <row r="336">
      <c r="B336" t="inlineStr">
        <is>
          <t>Automobile and other motor vehicle merchant wholesalers(1)</t>
        </is>
      </c>
      <c r="C336" t="n">
        <v>42311</v>
      </c>
      <c r="D336" t="n">
        <v>141.1</v>
      </c>
      <c r="E336" t="n">
        <v>140.9</v>
      </c>
      <c r="F336" t="n">
        <v>141</v>
      </c>
      <c r="G336" t="n">
        <v>140.1</v>
      </c>
      <c r="H336" t="n">
        <v>140.4</v>
      </c>
      <c r="I336" t="inlineStr">
        <is>
          <t>-</t>
        </is>
      </c>
      <c r="J336" t="inlineStr">
        <is>
          <t>-</t>
        </is>
      </c>
    </row>
    <row r="337">
      <c r="B337" t="inlineStr">
        <is>
          <t>Motor vehicle supplies and new parts merchant wholesalers(1)</t>
        </is>
      </c>
      <c r="C337" t="n">
        <v>42312</v>
      </c>
      <c r="D337" t="n">
        <v>185.2</v>
      </c>
      <c r="E337" t="n">
        <v>184.3</v>
      </c>
      <c r="F337" t="n">
        <v>183.5</v>
      </c>
      <c r="G337" t="n">
        <v>184.6</v>
      </c>
      <c r="H337" t="n">
        <v>183.8</v>
      </c>
      <c r="I337" t="inlineStr">
        <is>
          <t>-</t>
        </is>
      </c>
      <c r="J337" t="inlineStr">
        <is>
          <t>-</t>
        </is>
      </c>
    </row>
    <row r="338">
      <c r="B338" t="inlineStr">
        <is>
          <t>Furniture and home furnishing merchant wholesalers(1)</t>
        </is>
      </c>
      <c r="C338" t="n">
        <v>4232</v>
      </c>
      <c r="D338" t="n">
        <v>110.6</v>
      </c>
      <c r="E338" t="n">
        <v>108.5</v>
      </c>
      <c r="F338" t="n">
        <v>108.4</v>
      </c>
      <c r="G338" t="n">
        <v>108.5</v>
      </c>
      <c r="H338" t="n">
        <v>108.6</v>
      </c>
      <c r="I338" t="inlineStr">
        <is>
          <t>-</t>
        </is>
      </c>
      <c r="J338" t="inlineStr">
        <is>
          <t>-</t>
        </is>
      </c>
    </row>
    <row r="339">
      <c r="B339" t="inlineStr">
        <is>
          <t>Furniture merchant wholesalers(1)</t>
        </is>
      </c>
      <c r="C339" t="n">
        <v>42321</v>
      </c>
      <c r="D339" t="n">
        <v>51.1</v>
      </c>
      <c r="E339" t="n">
        <v>50.6</v>
      </c>
      <c r="F339" t="n">
        <v>50.7</v>
      </c>
      <c r="G339" t="n">
        <v>50.8</v>
      </c>
      <c r="H339" t="n">
        <v>51</v>
      </c>
      <c r="I339" t="inlineStr">
        <is>
          <t>-</t>
        </is>
      </c>
      <c r="J339" t="inlineStr">
        <is>
          <t>-</t>
        </is>
      </c>
    </row>
    <row r="340">
      <c r="B340" t="inlineStr">
        <is>
          <t>Home furnishing merchant wholesalers(1)</t>
        </is>
      </c>
      <c r="C340" t="n">
        <v>42322</v>
      </c>
      <c r="D340" t="n">
        <v>59.7</v>
      </c>
      <c r="E340" t="n">
        <v>58</v>
      </c>
      <c r="F340" t="n">
        <v>57.7</v>
      </c>
      <c r="G340" t="n">
        <v>57.8</v>
      </c>
      <c r="H340" t="n">
        <v>57.8</v>
      </c>
      <c r="I340" t="inlineStr">
        <is>
          <t>-</t>
        </is>
      </c>
      <c r="J340" t="inlineStr">
        <is>
          <t>-</t>
        </is>
      </c>
    </row>
    <row r="341">
      <c r="B341" t="inlineStr">
        <is>
          <t>Lumber and other construction materials merchant wholesalers(1)</t>
        </is>
      </c>
      <c r="C341" t="n">
        <v>4233</v>
      </c>
      <c r="D341" t="n">
        <v>266.6</v>
      </c>
      <c r="E341" t="n">
        <v>274.9</v>
      </c>
      <c r="F341" t="n">
        <v>275.7</v>
      </c>
      <c r="G341" t="n">
        <v>274.2</v>
      </c>
      <c r="H341" t="n">
        <v>273.7</v>
      </c>
      <c r="I341" t="inlineStr">
        <is>
          <t>-</t>
        </is>
      </c>
      <c r="J341" t="inlineStr">
        <is>
          <t>-</t>
        </is>
      </c>
    </row>
    <row r="342">
      <c r="B342" t="inlineStr">
        <is>
          <t>Lumber, plywood, millwork, and wood panel merchant wholesalers(1)</t>
        </is>
      </c>
      <c r="C342" t="n">
        <v>42331</v>
      </c>
      <c r="D342" t="n">
        <v>118.5</v>
      </c>
      <c r="E342" t="n">
        <v>121.1</v>
      </c>
      <c r="F342" t="n">
        <v>121.7</v>
      </c>
      <c r="G342" t="n">
        <v>121.3</v>
      </c>
      <c r="H342" t="n">
        <v>120.3</v>
      </c>
      <c r="I342" t="inlineStr">
        <is>
          <t>-</t>
        </is>
      </c>
      <c r="J342" t="inlineStr">
        <is>
          <t>-</t>
        </is>
      </c>
    </row>
    <row r="343">
      <c r="B343" t="inlineStr">
        <is>
          <t>Brick, stone, and related construction material merchant wholesalers(1)</t>
        </is>
      </c>
      <c r="C343" t="n">
        <v>42332</v>
      </c>
      <c r="D343" t="n">
        <v>67.90000000000001</v>
      </c>
      <c r="E343" t="n">
        <v>70.8</v>
      </c>
      <c r="F343" t="n">
        <v>70.7</v>
      </c>
      <c r="G343" t="n">
        <v>70.3</v>
      </c>
      <c r="H343" t="n">
        <v>70.5</v>
      </c>
      <c r="I343" t="inlineStr">
        <is>
          <t>-</t>
        </is>
      </c>
      <c r="J343" t="inlineStr">
        <is>
          <t>-</t>
        </is>
      </c>
    </row>
    <row r="344">
      <c r="B344" t="inlineStr">
        <is>
          <t>Roofing, siding, insulation, and other construction material merchant wholesalers(1)</t>
        </is>
      </c>
      <c r="C344" t="inlineStr">
        <is>
          <t>42333,9</t>
        </is>
      </c>
      <c r="D344" t="n">
        <v>80.3</v>
      </c>
      <c r="E344" t="n">
        <v>83.8</v>
      </c>
      <c r="F344" t="n">
        <v>84</v>
      </c>
      <c r="G344" t="n">
        <v>82.90000000000001</v>
      </c>
      <c r="H344" t="n">
        <v>83.5</v>
      </c>
      <c r="I344" t="inlineStr">
        <is>
          <t>-</t>
        </is>
      </c>
      <c r="J344" t="inlineStr">
        <is>
          <t>-</t>
        </is>
      </c>
    </row>
    <row r="345">
      <c r="B345" t="inlineStr">
        <is>
          <t>Professional and commercial equipment and supplies merchant wholesalers(1)</t>
        </is>
      </c>
      <c r="C345" t="n">
        <v>4234</v>
      </c>
      <c r="D345" t="n">
        <v>753.3</v>
      </c>
      <c r="E345" t="n">
        <v>759</v>
      </c>
      <c r="F345" t="n">
        <v>759</v>
      </c>
      <c r="G345" t="n">
        <v>763.2</v>
      </c>
      <c r="H345" t="n">
        <v>764</v>
      </c>
      <c r="I345" t="inlineStr">
        <is>
          <t>-</t>
        </is>
      </c>
      <c r="J345" t="inlineStr">
        <is>
          <t>-</t>
        </is>
      </c>
    </row>
    <row r="346">
      <c r="B346" t="inlineStr">
        <is>
          <t>Office equipment merchant wholesalers(1)</t>
        </is>
      </c>
      <c r="C346" t="n">
        <v>42342</v>
      </c>
      <c r="D346" t="n">
        <v>69.5</v>
      </c>
      <c r="E346" t="n">
        <v>68.8</v>
      </c>
      <c r="F346" t="n">
        <v>68.5</v>
      </c>
      <c r="G346" t="n">
        <v>68.5</v>
      </c>
      <c r="H346" t="n">
        <v>67.59999999999999</v>
      </c>
      <c r="I346" t="inlineStr">
        <is>
          <t>-</t>
        </is>
      </c>
      <c r="J346" t="inlineStr">
        <is>
          <t>-</t>
        </is>
      </c>
    </row>
    <row r="347">
      <c r="B347" t="inlineStr">
        <is>
          <t>Computer and computer peripheral equipment and software merchant wholesalers(1)</t>
        </is>
      </c>
      <c r="C347" t="n">
        <v>42343</v>
      </c>
      <c r="D347" t="n">
        <v>235.4</v>
      </c>
      <c r="E347" t="n">
        <v>238.2</v>
      </c>
      <c r="F347" t="n">
        <v>239.1</v>
      </c>
      <c r="G347" t="n">
        <v>240.6</v>
      </c>
      <c r="H347" t="n">
        <v>242.1</v>
      </c>
      <c r="I347" t="inlineStr">
        <is>
          <t>-</t>
        </is>
      </c>
      <c r="J347" t="inlineStr">
        <is>
          <t>-</t>
        </is>
      </c>
    </row>
    <row r="348">
      <c r="B348" t="inlineStr">
        <is>
          <t>Medical, dental, and hospital equipment and supplies merchant wholesalers(1)</t>
        </is>
      </c>
      <c r="C348" t="n">
        <v>42345</v>
      </c>
      <c r="D348" t="n">
        <v>314.3</v>
      </c>
      <c r="E348" t="n">
        <v>318.1</v>
      </c>
      <c r="F348" t="n">
        <v>319.1</v>
      </c>
      <c r="G348" t="n">
        <v>320.2</v>
      </c>
      <c r="H348" t="n">
        <v>320.5</v>
      </c>
      <c r="I348" t="inlineStr">
        <is>
          <t>-</t>
        </is>
      </c>
      <c r="J348" t="inlineStr">
        <is>
          <t>-</t>
        </is>
      </c>
    </row>
    <row r="349">
      <c r="B349" t="inlineStr">
        <is>
          <t>Ophthalmic goods and photographic, commercial, and professional equipment and supplies merchant wholesalers(1)</t>
        </is>
      </c>
      <c r="C349" t="inlineStr">
        <is>
          <t>42341,4,6,9</t>
        </is>
      </c>
      <c r="D349" t="n">
        <v>133.9</v>
      </c>
      <c r="E349" t="n">
        <v>134.1</v>
      </c>
      <c r="F349" t="n">
        <v>132.8</v>
      </c>
      <c r="G349" t="n">
        <v>133.8</v>
      </c>
      <c r="H349" t="n">
        <v>133.1</v>
      </c>
      <c r="I349" t="inlineStr">
        <is>
          <t>-</t>
        </is>
      </c>
      <c r="J349" t="inlineStr">
        <is>
          <t>-</t>
        </is>
      </c>
    </row>
    <row r="350">
      <c r="B350" t="inlineStr">
        <is>
          <t>Metal and mineral (except petroleum) merchant wholesalers(1)</t>
        </is>
      </c>
      <c r="C350" t="n">
        <v>4235</v>
      </c>
      <c r="D350" t="n">
        <v>135.3</v>
      </c>
      <c r="E350" t="n">
        <v>137.7</v>
      </c>
      <c r="F350" t="n">
        <v>139.1</v>
      </c>
      <c r="G350" t="n">
        <v>138.4</v>
      </c>
      <c r="H350" t="n">
        <v>140.3</v>
      </c>
      <c r="I350" t="inlineStr">
        <is>
          <t>-</t>
        </is>
      </c>
      <c r="J350" t="inlineStr">
        <is>
          <t>-</t>
        </is>
      </c>
    </row>
    <row r="351">
      <c r="B351" t="inlineStr">
        <is>
          <t>Household appliances and electrical and electronic goods merchant wholesalers(1)</t>
        </is>
      </c>
      <c r="C351" t="n">
        <v>4236</v>
      </c>
      <c r="D351" t="n">
        <v>377.6</v>
      </c>
      <c r="E351" t="n">
        <v>372.5</v>
      </c>
      <c r="F351" t="n">
        <v>372.3</v>
      </c>
      <c r="G351" t="n">
        <v>372</v>
      </c>
      <c r="H351" t="n">
        <v>372.2</v>
      </c>
      <c r="I351" t="inlineStr">
        <is>
          <t>-</t>
        </is>
      </c>
      <c r="J351" t="inlineStr">
        <is>
          <t>-</t>
        </is>
      </c>
    </row>
    <row r="352">
      <c r="B352" t="inlineStr">
        <is>
          <t>Electrical apparatus and equipment, wiring supplies, and related equipment merchant wholesalers(1)</t>
        </is>
      </c>
      <c r="C352" t="n">
        <v>42361</v>
      </c>
      <c r="D352" t="n">
        <v>196.8</v>
      </c>
      <c r="E352" t="n">
        <v>195.1</v>
      </c>
      <c r="F352" t="n">
        <v>194.3</v>
      </c>
      <c r="G352" t="n">
        <v>193.6</v>
      </c>
      <c r="H352" t="n">
        <v>193.5</v>
      </c>
      <c r="I352" t="inlineStr">
        <is>
          <t>-</t>
        </is>
      </c>
      <c r="J352" t="inlineStr">
        <is>
          <t>-</t>
        </is>
      </c>
    </row>
    <row r="353">
      <c r="B353" t="inlineStr">
        <is>
          <t>Household appliances, electric housewares, consumer electronics, and other electronic parts and equipment merchant wholesalers(1)</t>
        </is>
      </c>
      <c r="C353" t="inlineStr">
        <is>
          <t>42362,9</t>
        </is>
      </c>
      <c r="D353" t="n">
        <v>181.1</v>
      </c>
      <c r="E353" t="n">
        <v>177.7</v>
      </c>
      <c r="F353" t="n">
        <v>178.1</v>
      </c>
      <c r="G353" t="n">
        <v>178.2</v>
      </c>
      <c r="H353" t="n">
        <v>178.9</v>
      </c>
      <c r="I353" t="inlineStr">
        <is>
          <t>-</t>
        </is>
      </c>
      <c r="J353" t="inlineStr">
        <is>
          <t>-</t>
        </is>
      </c>
    </row>
    <row r="354">
      <c r="B354" t="inlineStr">
        <is>
          <t>Hardware, and plumbing and heating equipment and supplies merchant wholesalers(1)</t>
        </is>
      </c>
      <c r="C354" t="n">
        <v>4237</v>
      </c>
      <c r="D354" t="n">
        <v>310.8</v>
      </c>
      <c r="E354" t="n">
        <v>313.4</v>
      </c>
      <c r="F354" t="n">
        <v>313.2</v>
      </c>
      <c r="G354" t="n">
        <v>315.2</v>
      </c>
      <c r="H354" t="n">
        <v>316.8</v>
      </c>
      <c r="I354" t="inlineStr">
        <is>
          <t>-</t>
        </is>
      </c>
      <c r="J354" t="inlineStr">
        <is>
          <t>-</t>
        </is>
      </c>
    </row>
    <row r="355">
      <c r="B355" t="inlineStr">
        <is>
          <t>Hardware merchant wholesalers(1)</t>
        </is>
      </c>
      <c r="C355" t="n">
        <v>42371</v>
      </c>
      <c r="D355" t="n">
        <v>90.09999999999999</v>
      </c>
      <c r="E355" t="n">
        <v>88.7</v>
      </c>
      <c r="F355" t="n">
        <v>88.7</v>
      </c>
      <c r="G355" t="n">
        <v>88.7</v>
      </c>
      <c r="H355" t="n">
        <v>90.09999999999999</v>
      </c>
      <c r="I355" t="inlineStr">
        <is>
          <t>-</t>
        </is>
      </c>
      <c r="J355" t="inlineStr">
        <is>
          <t>-</t>
        </is>
      </c>
    </row>
    <row r="356">
      <c r="B356" t="inlineStr">
        <is>
          <t>Plumbing, heating, and hydronics equipment and supplies merchant wholesalers(1)</t>
        </is>
      </c>
      <c r="C356" t="n">
        <v>42372</v>
      </c>
      <c r="D356" t="n">
        <v>119.7</v>
      </c>
      <c r="E356" t="n">
        <v>122</v>
      </c>
      <c r="F356" t="n">
        <v>121.4</v>
      </c>
      <c r="G356" t="n">
        <v>122.6</v>
      </c>
      <c r="H356" t="n">
        <v>123</v>
      </c>
      <c r="I356" t="inlineStr">
        <is>
          <t>-</t>
        </is>
      </c>
      <c r="J356" t="inlineStr">
        <is>
          <t>-</t>
        </is>
      </c>
    </row>
    <row r="357">
      <c r="B357" t="inlineStr">
        <is>
          <t>Warm air heating, air-conditioning, and refrigeration equipment and supplies merchant wholesalers(1)</t>
        </is>
      </c>
      <c r="C357" t="inlineStr">
        <is>
          <t>42373,4</t>
        </is>
      </c>
      <c r="D357" t="n">
        <v>100.5</v>
      </c>
      <c r="E357" t="n">
        <v>103.4</v>
      </c>
      <c r="F357" t="n">
        <v>103.3</v>
      </c>
      <c r="G357" t="n">
        <v>103.8</v>
      </c>
      <c r="H357" t="n">
        <v>104.2</v>
      </c>
      <c r="I357" t="inlineStr">
        <is>
          <t>-</t>
        </is>
      </c>
      <c r="J357" t="inlineStr">
        <is>
          <t>-</t>
        </is>
      </c>
    </row>
    <row r="358">
      <c r="B358" t="inlineStr">
        <is>
          <t>Machinery, equipment, and supplies merchant wholesalers(1)</t>
        </is>
      </c>
      <c r="C358" t="n">
        <v>4238</v>
      </c>
      <c r="D358" t="n">
        <v>762.1</v>
      </c>
      <c r="E358" t="n">
        <v>766.4</v>
      </c>
      <c r="F358" t="n">
        <v>767.1</v>
      </c>
      <c r="G358" t="n">
        <v>766.1</v>
      </c>
      <c r="H358" t="n">
        <v>765.7</v>
      </c>
      <c r="I358" t="inlineStr">
        <is>
          <t>-</t>
        </is>
      </c>
      <c r="J358" t="inlineStr">
        <is>
          <t>-</t>
        </is>
      </c>
    </row>
    <row r="359">
      <c r="B359" t="inlineStr">
        <is>
          <t>Construction and mining (except oil well) machinery and equipment merchant wholesalers(1)</t>
        </is>
      </c>
      <c r="C359" t="n">
        <v>42381</v>
      </c>
      <c r="D359" t="n">
        <v>105.7</v>
      </c>
      <c r="E359" t="n">
        <v>109.2</v>
      </c>
      <c r="F359" t="n">
        <v>109.2</v>
      </c>
      <c r="G359" t="n">
        <v>109.9</v>
      </c>
      <c r="H359" t="n">
        <v>110.2</v>
      </c>
      <c r="I359" t="inlineStr">
        <is>
          <t>-</t>
        </is>
      </c>
      <c r="J359" t="inlineStr">
        <is>
          <t>-</t>
        </is>
      </c>
    </row>
    <row r="360">
      <c r="B360" t="inlineStr">
        <is>
          <t>Farm and garden machinery and equipment merchant wholesalers(1)</t>
        </is>
      </c>
      <c r="C360" t="n">
        <v>42382</v>
      </c>
      <c r="D360" t="n">
        <v>116.4</v>
      </c>
      <c r="E360" t="n">
        <v>115.3</v>
      </c>
      <c r="F360" t="n">
        <v>114.7</v>
      </c>
      <c r="G360" t="n">
        <v>113.6</v>
      </c>
      <c r="H360" t="n">
        <v>113.1</v>
      </c>
      <c r="I360" t="inlineStr">
        <is>
          <t>-</t>
        </is>
      </c>
      <c r="J360" t="inlineStr">
        <is>
          <t>-</t>
        </is>
      </c>
    </row>
    <row r="361">
      <c r="B361" t="inlineStr">
        <is>
          <t>Industrial machinery and equipment merchant wholesalers(1)</t>
        </is>
      </c>
      <c r="C361" t="n">
        <v>42383</v>
      </c>
      <c r="D361" t="n">
        <v>343.3</v>
      </c>
      <c r="E361" t="n">
        <v>342.7</v>
      </c>
      <c r="F361" t="n">
        <v>343.6</v>
      </c>
      <c r="G361" t="n">
        <v>343.1</v>
      </c>
      <c r="H361" t="n">
        <v>343</v>
      </c>
      <c r="I361" t="inlineStr">
        <is>
          <t>-</t>
        </is>
      </c>
      <c r="J361" t="inlineStr">
        <is>
          <t>-</t>
        </is>
      </c>
    </row>
    <row r="362">
      <c r="B362" t="inlineStr">
        <is>
          <t>Industrial supplies merchant wholesalers(1)</t>
        </is>
      </c>
      <c r="C362" t="n">
        <v>42384</v>
      </c>
      <c r="D362" t="n">
        <v>104.4</v>
      </c>
      <c r="E362" t="n">
        <v>105.5</v>
      </c>
      <c r="F362" t="n">
        <v>105.7</v>
      </c>
      <c r="G362" t="n">
        <v>105.6</v>
      </c>
      <c r="H362" t="n">
        <v>105</v>
      </c>
      <c r="I362" t="inlineStr">
        <is>
          <t>-</t>
        </is>
      </c>
      <c r="J362" t="inlineStr">
        <is>
          <t>-</t>
        </is>
      </c>
    </row>
    <row r="363">
      <c r="B363" t="inlineStr">
        <is>
          <t>Service establishment equipment and supplies merchant wholesalers(1)</t>
        </is>
      </c>
      <c r="C363" t="n">
        <v>42385</v>
      </c>
      <c r="D363" t="n">
        <v>54.8</v>
      </c>
      <c r="E363" t="n">
        <v>55.2</v>
      </c>
      <c r="F363" t="n">
        <v>55.3</v>
      </c>
      <c r="G363" t="n">
        <v>55.1</v>
      </c>
      <c r="H363" t="n">
        <v>55.3</v>
      </c>
      <c r="I363" t="inlineStr">
        <is>
          <t>-</t>
        </is>
      </c>
      <c r="J363" t="inlineStr">
        <is>
          <t>-</t>
        </is>
      </c>
    </row>
    <row r="364">
      <c r="B364" t="inlineStr">
        <is>
          <t>Transportation equipment and supplies (except motor vehicle) merchant wholesalers(1)</t>
        </is>
      </c>
      <c r="C364" t="n">
        <v>42386</v>
      </c>
      <c r="D364" t="n">
        <v>37.2</v>
      </c>
      <c r="E364" t="n">
        <v>38.9</v>
      </c>
      <c r="F364" t="n">
        <v>38.7</v>
      </c>
      <c r="G364" t="n">
        <v>38.2</v>
      </c>
      <c r="H364" t="n">
        <v>38.8</v>
      </c>
      <c r="I364" t="inlineStr">
        <is>
          <t>-</t>
        </is>
      </c>
      <c r="J364" t="inlineStr">
        <is>
          <t>-</t>
        </is>
      </c>
    </row>
    <row r="365">
      <c r="B365" t="inlineStr">
        <is>
          <t>Miscellaneous durable goods merchant wholesalers(1)</t>
        </is>
      </c>
      <c r="C365" t="n">
        <v>4239</v>
      </c>
      <c r="D365" t="n">
        <v>320.6</v>
      </c>
      <c r="E365" t="n">
        <v>326.4</v>
      </c>
      <c r="F365" t="n">
        <v>329.4</v>
      </c>
      <c r="G365" t="n">
        <v>330.2</v>
      </c>
      <c r="H365" t="n">
        <v>333</v>
      </c>
      <c r="I365" t="inlineStr">
        <is>
          <t>-</t>
        </is>
      </c>
      <c r="J365" t="inlineStr">
        <is>
          <t>-</t>
        </is>
      </c>
    </row>
    <row r="366">
      <c r="B366" t="inlineStr">
        <is>
          <t>Sporting and recreational goods and supplies merchant wholesalers(1)</t>
        </is>
      </c>
      <c r="C366" t="n">
        <v>42391</v>
      </c>
      <c r="D366" t="n">
        <v>67.09999999999999</v>
      </c>
      <c r="E366" t="n">
        <v>68.2</v>
      </c>
      <c r="F366" t="n">
        <v>68.8</v>
      </c>
      <c r="G366" t="n">
        <v>69.40000000000001</v>
      </c>
      <c r="H366" t="n">
        <v>69.7</v>
      </c>
      <c r="I366" t="inlineStr">
        <is>
          <t>-</t>
        </is>
      </c>
      <c r="J366" t="inlineStr">
        <is>
          <t>-</t>
        </is>
      </c>
    </row>
    <row r="367">
      <c r="B367" t="inlineStr">
        <is>
          <t>Recyclable material merchant wholesalers(1)</t>
        </is>
      </c>
      <c r="C367" t="n">
        <v>42393</v>
      </c>
      <c r="D367" t="n">
        <v>99.8</v>
      </c>
      <c r="E367" t="n">
        <v>99.2</v>
      </c>
      <c r="F367" t="n">
        <v>100.5</v>
      </c>
      <c r="G367" t="n">
        <v>100.4</v>
      </c>
      <c r="H367" t="n">
        <v>101</v>
      </c>
      <c r="I367" t="inlineStr">
        <is>
          <t>-</t>
        </is>
      </c>
      <c r="J367" t="inlineStr">
        <is>
          <t>-</t>
        </is>
      </c>
    </row>
    <row r="368">
      <c r="B368" t="inlineStr">
        <is>
          <t>Jewelry, watch, precious stone, and precious metal merchant wholesalers(1)</t>
        </is>
      </c>
      <c r="C368" t="n">
        <v>42394</v>
      </c>
      <c r="D368" t="n">
        <v>34.4</v>
      </c>
      <c r="E368" t="n">
        <v>32.5</v>
      </c>
      <c r="F368" t="n">
        <v>32.1</v>
      </c>
      <c r="G368" t="n">
        <v>31.6</v>
      </c>
      <c r="H368" t="n">
        <v>31.8</v>
      </c>
      <c r="I368" t="inlineStr">
        <is>
          <t>-</t>
        </is>
      </c>
      <c r="J368" t="inlineStr">
        <is>
          <t>-</t>
        </is>
      </c>
    </row>
    <row r="369">
      <c r="B369" t="inlineStr">
        <is>
          <t>Toy and hobby goods and supplies and other miscellaneous durable goods merchant wholesalers(1)</t>
        </is>
      </c>
      <c r="C369" t="inlineStr">
        <is>
          <t>42392,9</t>
        </is>
      </c>
      <c r="D369" t="n">
        <v>119.5</v>
      </c>
      <c r="E369" t="n">
        <v>127.2</v>
      </c>
      <c r="F369" t="n">
        <v>128.5</v>
      </c>
      <c r="G369" t="n">
        <v>128.9</v>
      </c>
      <c r="H369" t="n">
        <v>130.1</v>
      </c>
      <c r="I369" t="inlineStr">
        <is>
          <t>-</t>
        </is>
      </c>
      <c r="J369" t="inlineStr">
        <is>
          <t>-</t>
        </is>
      </c>
    </row>
    <row r="370">
      <c r="B370" t="inlineStr">
        <is>
          <t>Merchant wholesalers, nondurable goods</t>
        </is>
      </c>
      <c r="C370" t="n">
        <v>424</v>
      </c>
      <c r="D370" t="n">
        <v>2215.8</v>
      </c>
      <c r="E370" t="n">
        <v>2217.2</v>
      </c>
      <c r="F370" t="n">
        <v>2219.1</v>
      </c>
      <c r="G370" t="n">
        <v>2220.1</v>
      </c>
      <c r="H370" t="n">
        <v>2219.8</v>
      </c>
      <c r="I370" t="n">
        <v>2223.5</v>
      </c>
      <c r="J370" t="n">
        <v>3.7</v>
      </c>
    </row>
    <row r="371">
      <c r="B371" t="inlineStr">
        <is>
          <t>Paper and paper product merchant wholesalers(1)</t>
        </is>
      </c>
      <c r="C371" t="n">
        <v>4241</v>
      </c>
      <c r="D371" t="n">
        <v>112.8</v>
      </c>
      <c r="E371" t="n">
        <v>109.8</v>
      </c>
      <c r="F371" t="n">
        <v>109.8</v>
      </c>
      <c r="G371" t="n">
        <v>108.9</v>
      </c>
      <c r="H371" t="n">
        <v>109.3</v>
      </c>
      <c r="I371" t="inlineStr">
        <is>
          <t>-</t>
        </is>
      </c>
      <c r="J371" t="inlineStr">
        <is>
          <t>-</t>
        </is>
      </c>
    </row>
    <row r="372">
      <c r="B372" t="inlineStr">
        <is>
          <t>Printing and writing paper, stationery, and office supplies merchant wholesalers(1)</t>
        </is>
      </c>
      <c r="C372" t="inlineStr">
        <is>
          <t>42411,2</t>
        </is>
      </c>
      <c r="D372" t="n">
        <v>49.8</v>
      </c>
      <c r="E372" t="n">
        <v>47.6</v>
      </c>
      <c r="F372" t="n">
        <v>47.8</v>
      </c>
      <c r="G372" t="n">
        <v>46.5</v>
      </c>
      <c r="H372" t="n">
        <v>45.9</v>
      </c>
      <c r="I372" t="inlineStr">
        <is>
          <t>-</t>
        </is>
      </c>
      <c r="J372" t="inlineStr">
        <is>
          <t>-</t>
        </is>
      </c>
    </row>
    <row r="373">
      <c r="B373" t="inlineStr">
        <is>
          <t>Industrial and personal service paper merchant wholesalers(1)</t>
        </is>
      </c>
      <c r="C373" t="n">
        <v>42413</v>
      </c>
      <c r="D373" t="n">
        <v>62.9</v>
      </c>
      <c r="E373" t="n">
        <v>62.2</v>
      </c>
      <c r="F373" t="n">
        <v>62.1</v>
      </c>
      <c r="G373" t="n">
        <v>62.5</v>
      </c>
      <c r="H373" t="n">
        <v>63.3</v>
      </c>
      <c r="I373" t="inlineStr">
        <is>
          <t>-</t>
        </is>
      </c>
      <c r="J373" t="inlineStr">
        <is>
          <t>-</t>
        </is>
      </c>
    </row>
    <row r="374">
      <c r="B374" t="inlineStr">
        <is>
          <t>Drugs and druggists' sundries merchant wholesalers(1)</t>
        </is>
      </c>
      <c r="C374" t="n">
        <v>4242</v>
      </c>
      <c r="D374" t="n">
        <v>259.4</v>
      </c>
      <c r="E374" t="n">
        <v>254.7</v>
      </c>
      <c r="F374" t="n">
        <v>254.5</v>
      </c>
      <c r="G374" t="n">
        <v>254.2</v>
      </c>
      <c r="H374" t="n">
        <v>252.3</v>
      </c>
      <c r="I374" t="inlineStr">
        <is>
          <t>-</t>
        </is>
      </c>
      <c r="J374" t="inlineStr">
        <is>
          <t>-</t>
        </is>
      </c>
    </row>
    <row r="375">
      <c r="B375" t="inlineStr">
        <is>
          <t>Apparel, piece goods, and notions merchant wholesalers(1)</t>
        </is>
      </c>
      <c r="C375" t="n">
        <v>4243</v>
      </c>
      <c r="D375" t="n">
        <v>149</v>
      </c>
      <c r="E375" t="n">
        <v>145.4</v>
      </c>
      <c r="F375" t="n">
        <v>146</v>
      </c>
      <c r="G375" t="n">
        <v>145.5</v>
      </c>
      <c r="H375" t="n">
        <v>145</v>
      </c>
      <c r="I375" t="inlineStr">
        <is>
          <t>-</t>
        </is>
      </c>
      <c r="J375" t="inlineStr">
        <is>
          <t>-</t>
        </is>
      </c>
    </row>
    <row r="376">
      <c r="B376" t="inlineStr">
        <is>
          <t>Clothing and clothing accessories merchant wholesalers(1)</t>
        </is>
      </c>
      <c r="C376" t="n">
        <v>42435</v>
      </c>
      <c r="D376" t="n">
        <v>98.7</v>
      </c>
      <c r="E376" t="n">
        <v>97.90000000000001</v>
      </c>
      <c r="F376" t="n">
        <v>98.2</v>
      </c>
      <c r="G376" t="n">
        <v>98.09999999999999</v>
      </c>
      <c r="H376" t="n">
        <v>97.8</v>
      </c>
      <c r="I376" t="inlineStr">
        <is>
          <t>-</t>
        </is>
      </c>
      <c r="J376" t="inlineStr">
        <is>
          <t>-</t>
        </is>
      </c>
    </row>
    <row r="377">
      <c r="B377" t="inlineStr">
        <is>
          <t>Grocery and related product merchant wholesalers(1)</t>
        </is>
      </c>
      <c r="C377" t="n">
        <v>4244</v>
      </c>
      <c r="D377" t="n">
        <v>823.1</v>
      </c>
      <c r="E377" t="n">
        <v>833.4</v>
      </c>
      <c r="F377" t="n">
        <v>835.1</v>
      </c>
      <c r="G377" t="n">
        <v>836.1</v>
      </c>
      <c r="H377" t="n">
        <v>838.3</v>
      </c>
      <c r="I377" t="inlineStr">
        <is>
          <t>-</t>
        </is>
      </c>
      <c r="J377" t="inlineStr">
        <is>
          <t>-</t>
        </is>
      </c>
    </row>
    <row r="378">
      <c r="B378" t="inlineStr">
        <is>
          <t>General line grocery merchant wholesalers(1)</t>
        </is>
      </c>
      <c r="C378" t="n">
        <v>42441</v>
      </c>
      <c r="D378" t="n">
        <v>260.6</v>
      </c>
      <c r="E378" t="n">
        <v>259.5</v>
      </c>
      <c r="F378" t="n">
        <v>260.2</v>
      </c>
      <c r="G378" t="n">
        <v>260.4</v>
      </c>
      <c r="H378" t="n">
        <v>261.8</v>
      </c>
      <c r="I378" t="inlineStr">
        <is>
          <t>-</t>
        </is>
      </c>
      <c r="J378" t="inlineStr">
        <is>
          <t>-</t>
        </is>
      </c>
    </row>
    <row r="379">
      <c r="B379" t="inlineStr">
        <is>
          <t>Fresh fruit and vegetable merchant wholesalers(1)</t>
        </is>
      </c>
      <c r="C379" t="n">
        <v>42448</v>
      </c>
      <c r="D379" t="n">
        <v>96.8</v>
      </c>
      <c r="E379" t="n">
        <v>96.90000000000001</v>
      </c>
      <c r="F379" t="n">
        <v>97.5</v>
      </c>
      <c r="G379" t="n">
        <v>98.09999999999999</v>
      </c>
      <c r="H379" t="n">
        <v>98.40000000000001</v>
      </c>
      <c r="I379" t="inlineStr">
        <is>
          <t>-</t>
        </is>
      </c>
      <c r="J379" t="inlineStr">
        <is>
          <t>-</t>
        </is>
      </c>
    </row>
    <row r="380">
      <c r="B380" t="inlineStr">
        <is>
          <t>Farm product raw material merchant wholesalers(1)</t>
        </is>
      </c>
      <c r="C380" t="n">
        <v>4245</v>
      </c>
      <c r="D380" t="n">
        <v>71.09999999999999</v>
      </c>
      <c r="E380" t="n">
        <v>73.40000000000001</v>
      </c>
      <c r="F380" t="n">
        <v>74</v>
      </c>
      <c r="G380" t="n">
        <v>73.7</v>
      </c>
      <c r="H380" t="n">
        <v>74.3</v>
      </c>
      <c r="I380" t="inlineStr">
        <is>
          <t>-</t>
        </is>
      </c>
      <c r="J380" t="inlineStr">
        <is>
          <t>-</t>
        </is>
      </c>
    </row>
    <row r="381">
      <c r="B381" t="inlineStr">
        <is>
          <t>Grain and field bean merchant wholesalers(1)</t>
        </is>
      </c>
      <c r="C381" t="n">
        <v>42451</v>
      </c>
      <c r="D381" t="n">
        <v>38.7</v>
      </c>
      <c r="E381" t="n">
        <v>39.5</v>
      </c>
      <c r="F381" t="n">
        <v>39.7</v>
      </c>
      <c r="G381" t="n">
        <v>39.6</v>
      </c>
      <c r="H381" t="n">
        <v>39.2</v>
      </c>
      <c r="I381" t="inlineStr">
        <is>
          <t>-</t>
        </is>
      </c>
      <c r="J381" t="inlineStr">
        <is>
          <t>-</t>
        </is>
      </c>
    </row>
    <row r="382">
      <c r="B382" t="inlineStr">
        <is>
          <t>Chemical and allied products merchant wholesalers(1)</t>
        </is>
      </c>
      <c r="C382" t="n">
        <v>4246</v>
      </c>
      <c r="D382" t="n">
        <v>151.4</v>
      </c>
      <c r="E382" t="n">
        <v>154.7</v>
      </c>
      <c r="F382" t="n">
        <v>153.9</v>
      </c>
      <c r="G382" t="n">
        <v>154.4</v>
      </c>
      <c r="H382" t="n">
        <v>155.1</v>
      </c>
      <c r="I382" t="inlineStr">
        <is>
          <t>-</t>
        </is>
      </c>
      <c r="J382" t="inlineStr">
        <is>
          <t>-</t>
        </is>
      </c>
    </row>
    <row r="383">
      <c r="B383" t="inlineStr">
        <is>
          <t>Petroleum and petroleum products merchant wholesalers(1)</t>
        </is>
      </c>
      <c r="C383" t="n">
        <v>4247</v>
      </c>
      <c r="D383" t="n">
        <v>101.1</v>
      </c>
      <c r="E383" t="n">
        <v>101.5</v>
      </c>
      <c r="F383" t="n">
        <v>102.6</v>
      </c>
      <c r="G383" t="n">
        <v>102.7</v>
      </c>
      <c r="H383" t="n">
        <v>101.6</v>
      </c>
      <c r="I383" t="inlineStr">
        <is>
          <t>-</t>
        </is>
      </c>
      <c r="J383" t="inlineStr">
        <is>
          <t>-</t>
        </is>
      </c>
    </row>
    <row r="384">
      <c r="B384" t="inlineStr">
        <is>
          <t>Beer, wine, and distilled alcoholic beverage merchant wholesalers(1)</t>
        </is>
      </c>
      <c r="C384" t="n">
        <v>4248</v>
      </c>
      <c r="D384" t="n">
        <v>217.4</v>
      </c>
      <c r="E384" t="n">
        <v>217.4</v>
      </c>
      <c r="F384" t="n">
        <v>217.7</v>
      </c>
      <c r="G384" t="n">
        <v>218.4</v>
      </c>
      <c r="H384" t="n">
        <v>217.7</v>
      </c>
      <c r="I384" t="inlineStr">
        <is>
          <t>-</t>
        </is>
      </c>
      <c r="J384" t="inlineStr">
        <is>
          <t>-</t>
        </is>
      </c>
    </row>
    <row r="385">
      <c r="B385" t="inlineStr">
        <is>
          <t>Beer and ale merchant wholesalers(1)</t>
        </is>
      </c>
      <c r="C385" t="n">
        <v>42481</v>
      </c>
      <c r="D385" t="n">
        <v>118.3</v>
      </c>
      <c r="E385" t="n">
        <v>118</v>
      </c>
      <c r="F385" t="n">
        <v>117.9</v>
      </c>
      <c r="G385" t="n">
        <v>118.4</v>
      </c>
      <c r="H385" t="n">
        <v>118.3</v>
      </c>
      <c r="I385" t="inlineStr">
        <is>
          <t>-</t>
        </is>
      </c>
      <c r="J385" t="inlineStr">
        <is>
          <t>-</t>
        </is>
      </c>
    </row>
    <row r="386">
      <c r="B386" t="inlineStr">
        <is>
          <t>Wine and distilled alcoholic beverage merchant wholesalers(1)</t>
        </is>
      </c>
      <c r="C386" t="n">
        <v>42482</v>
      </c>
      <c r="D386" t="n">
        <v>98.90000000000001</v>
      </c>
      <c r="E386" t="n">
        <v>99.40000000000001</v>
      </c>
      <c r="F386" t="n">
        <v>99.8</v>
      </c>
      <c r="G386" t="n">
        <v>99.90000000000001</v>
      </c>
      <c r="H386" t="n">
        <v>99.40000000000001</v>
      </c>
      <c r="I386" t="inlineStr">
        <is>
          <t>-</t>
        </is>
      </c>
      <c r="J386" t="inlineStr">
        <is>
          <t>-</t>
        </is>
      </c>
    </row>
    <row r="387">
      <c r="B387" t="inlineStr">
        <is>
          <t>Miscellaneous nondurable goods merchant wholesalers(1)</t>
        </is>
      </c>
      <c r="C387" t="n">
        <v>4249</v>
      </c>
      <c r="D387" t="n">
        <v>328.7</v>
      </c>
      <c r="E387" t="n">
        <v>327.8</v>
      </c>
      <c r="F387" t="n">
        <v>327.4</v>
      </c>
      <c r="G387" t="n">
        <v>326.6</v>
      </c>
      <c r="H387" t="n">
        <v>326</v>
      </c>
      <c r="I387" t="inlineStr">
        <is>
          <t>-</t>
        </is>
      </c>
      <c r="J387" t="inlineStr">
        <is>
          <t>-</t>
        </is>
      </c>
    </row>
    <row r="388">
      <c r="B388" t="inlineStr">
        <is>
          <t>Farm supplies merchant wholesalers(1)</t>
        </is>
      </c>
      <c r="C388" t="n">
        <v>42491</v>
      </c>
      <c r="D388" t="n">
        <v>121.4</v>
      </c>
      <c r="E388" t="n">
        <v>121.3</v>
      </c>
      <c r="F388" t="n">
        <v>120.8</v>
      </c>
      <c r="G388" t="n">
        <v>120.7</v>
      </c>
      <c r="H388" t="n">
        <v>120.4</v>
      </c>
      <c r="I388" t="inlineStr">
        <is>
          <t>-</t>
        </is>
      </c>
      <c r="J388" t="inlineStr">
        <is>
          <t>-</t>
        </is>
      </c>
    </row>
    <row r="389">
      <c r="B389" t="inlineStr">
        <is>
          <t>Flower, nursery stock, and florists' supplies merchant wholesalers(1)</t>
        </is>
      </c>
      <c r="C389" t="n">
        <v>42493</v>
      </c>
      <c r="D389" t="n">
        <v>49.3</v>
      </c>
      <c r="E389" t="n">
        <v>52.1</v>
      </c>
      <c r="F389" t="n">
        <v>52.7</v>
      </c>
      <c r="G389" t="n">
        <v>53.2</v>
      </c>
      <c r="H389" t="n">
        <v>53.1</v>
      </c>
      <c r="I389" t="inlineStr">
        <is>
          <t>-</t>
        </is>
      </c>
      <c r="J389" t="inlineStr">
        <is>
          <t>-</t>
        </is>
      </c>
    </row>
    <row r="390">
      <c r="B390" t="inlineStr">
        <is>
          <t>All other nondurable goods merchant wholesalers(1)</t>
        </is>
      </c>
      <c r="C390" t="inlineStr">
        <is>
          <t>42492,4,5,9</t>
        </is>
      </c>
      <c r="D390" t="n">
        <v>158.3</v>
      </c>
      <c r="E390" t="n">
        <v>154.6</v>
      </c>
      <c r="F390" t="n">
        <v>154</v>
      </c>
      <c r="G390" t="n">
        <v>153.1</v>
      </c>
      <c r="H390" t="n">
        <v>152.6</v>
      </c>
      <c r="I390" t="inlineStr">
        <is>
          <t>-</t>
        </is>
      </c>
      <c r="J390" t="inlineStr">
        <is>
          <t>-</t>
        </is>
      </c>
    </row>
    <row r="391">
      <c r="B391" t="inlineStr">
        <is>
          <t>Wholesale trade agents and brokers</t>
        </is>
      </c>
      <c r="C391" t="n">
        <v>425</v>
      </c>
      <c r="D391" t="n">
        <v>515.8</v>
      </c>
      <c r="E391" t="n">
        <v>513.2</v>
      </c>
      <c r="F391" t="n">
        <v>513.3</v>
      </c>
      <c r="G391" t="n">
        <v>514</v>
      </c>
      <c r="H391" t="n">
        <v>513.7</v>
      </c>
      <c r="I391" t="n">
        <v>513.6</v>
      </c>
      <c r="J391" t="n">
        <v>-0.1</v>
      </c>
    </row>
    <row r="393">
      <c r="A393" t="inlineStr">
        <is>
          <t>ISIC 45T47</t>
        </is>
      </c>
      <c r="B393" t="inlineStr">
        <is>
          <t>Retail trade</t>
        </is>
      </c>
      <c r="D393" t="n">
        <v>15570.4</v>
      </c>
      <c r="E393" t="n">
        <v>15661.3</v>
      </c>
      <c r="F393" t="n">
        <v>15646.8</v>
      </c>
      <c r="G393" t="n">
        <v>15654.1</v>
      </c>
      <c r="H393" t="n">
        <v>15650.4</v>
      </c>
      <c r="I393" t="n">
        <v>15622.4</v>
      </c>
      <c r="J393" t="n">
        <v>-28</v>
      </c>
    </row>
    <row r="394">
      <c r="B394" t="inlineStr">
        <is>
          <t>Motor vehicle and parts dealers</t>
        </is>
      </c>
      <c r="C394" t="n">
        <v>441</v>
      </c>
      <c r="D394" t="n">
        <v>2066</v>
      </c>
      <c r="E394" t="n">
        <v>2073.7</v>
      </c>
      <c r="F394" t="n">
        <v>2073.4</v>
      </c>
      <c r="G394" t="n">
        <v>2075.7</v>
      </c>
      <c r="H394" t="n">
        <v>2078.2</v>
      </c>
      <c r="I394" t="n">
        <v>2080.8</v>
      </c>
      <c r="J394" t="n">
        <v>2.6</v>
      </c>
    </row>
    <row r="395">
      <c r="B395" t="inlineStr">
        <is>
          <t>Automobile dealers</t>
        </is>
      </c>
      <c r="C395" t="n">
        <v>4411</v>
      </c>
      <c r="D395" t="n">
        <v>1291.3</v>
      </c>
      <c r="E395" t="n">
        <v>1304.2</v>
      </c>
      <c r="F395" t="n">
        <v>1302.7</v>
      </c>
      <c r="G395" t="n">
        <v>1304.7</v>
      </c>
      <c r="H395" t="n">
        <v>1306.8</v>
      </c>
      <c r="I395" t="n">
        <v>1307.7</v>
      </c>
      <c r="J395" t="n">
        <v>0.9</v>
      </c>
    </row>
    <row r="396">
      <c r="B396" t="inlineStr">
        <is>
          <t>New car dealers(1)</t>
        </is>
      </c>
      <c r="C396" t="n">
        <v>44111</v>
      </c>
      <c r="D396" t="n">
        <v>1114.9</v>
      </c>
      <c r="E396" t="n">
        <v>1130.5</v>
      </c>
      <c r="F396" t="n">
        <v>1132.1</v>
      </c>
      <c r="G396" t="n">
        <v>1132.7</v>
      </c>
      <c r="H396" t="n">
        <v>1134.6</v>
      </c>
      <c r="I396" t="inlineStr">
        <is>
          <t>-</t>
        </is>
      </c>
      <c r="J396" t="inlineStr">
        <is>
          <t>-</t>
        </is>
      </c>
    </row>
    <row r="397">
      <c r="B397" t="inlineStr">
        <is>
          <t>Used car dealers(1)</t>
        </is>
      </c>
      <c r="C397" t="n">
        <v>44112</v>
      </c>
      <c r="D397" t="n">
        <v>176.2</v>
      </c>
      <c r="E397" t="n">
        <v>173.6</v>
      </c>
      <c r="F397" t="n">
        <v>170.5</v>
      </c>
      <c r="G397" t="n">
        <v>171.3</v>
      </c>
      <c r="H397" t="n">
        <v>172</v>
      </c>
      <c r="I397" t="inlineStr">
        <is>
          <t>-</t>
        </is>
      </c>
      <c r="J397" t="inlineStr">
        <is>
          <t>-</t>
        </is>
      </c>
    </row>
    <row r="398">
      <c r="B398" t="inlineStr">
        <is>
          <t>Other motor vehicle dealers</t>
        </is>
      </c>
      <c r="C398" t="n">
        <v>4412</v>
      </c>
      <c r="D398" t="n">
        <v>174.9</v>
      </c>
      <c r="E398" t="n">
        <v>167.5</v>
      </c>
      <c r="F398" t="n">
        <v>166.1</v>
      </c>
      <c r="G398" t="n">
        <v>166.3</v>
      </c>
      <c r="H398" t="n">
        <v>166</v>
      </c>
      <c r="I398" t="n">
        <v>167.8</v>
      </c>
      <c r="J398" t="n">
        <v>1.8</v>
      </c>
    </row>
    <row r="399">
      <c r="B399" t="inlineStr">
        <is>
          <t>Recreational vehicle dealers(1)</t>
        </is>
      </c>
      <c r="C399" t="n">
        <v>44121</v>
      </c>
      <c r="D399" t="n">
        <v>53.7</v>
      </c>
      <c r="E399" t="n">
        <v>52.4</v>
      </c>
      <c r="F399" t="n">
        <v>52.5</v>
      </c>
      <c r="G399" t="n">
        <v>52.8</v>
      </c>
      <c r="H399" t="n">
        <v>52.9</v>
      </c>
      <c r="I399" t="inlineStr">
        <is>
          <t>-</t>
        </is>
      </c>
      <c r="J399" t="inlineStr">
        <is>
          <t>-</t>
        </is>
      </c>
    </row>
    <row r="400">
      <c r="B400" t="inlineStr">
        <is>
          <t>Motorcycle, boat, and other motor vehicle dealers(1)</t>
        </is>
      </c>
      <c r="C400" t="n">
        <v>44122</v>
      </c>
      <c r="D400" t="n">
        <v>121.7</v>
      </c>
      <c r="E400" t="n">
        <v>115</v>
      </c>
      <c r="F400" t="n">
        <v>113.6</v>
      </c>
      <c r="G400" t="n">
        <v>113.4</v>
      </c>
      <c r="H400" t="n">
        <v>112.8</v>
      </c>
      <c r="I400" t="inlineStr">
        <is>
          <t>-</t>
        </is>
      </c>
      <c r="J400" t="inlineStr">
        <is>
          <t>-</t>
        </is>
      </c>
    </row>
    <row r="401">
      <c r="B401" t="inlineStr">
        <is>
          <t>Automotive parts, accessories, and tire retailers</t>
        </is>
      </c>
      <c r="C401" t="n">
        <v>4413</v>
      </c>
      <c r="D401" t="n">
        <v>599.8</v>
      </c>
      <c r="E401" t="n">
        <v>602</v>
      </c>
      <c r="F401" t="n">
        <v>604.5</v>
      </c>
      <c r="G401" t="n">
        <v>604.8</v>
      </c>
      <c r="H401" t="n">
        <v>605.5</v>
      </c>
      <c r="I401" t="n">
        <v>605.3</v>
      </c>
      <c r="J401" t="n">
        <v>-0.2</v>
      </c>
    </row>
    <row r="402">
      <c r="B402" t="inlineStr">
        <is>
          <t>Automotive parts and accessories retailers(1)</t>
        </is>
      </c>
      <c r="C402" t="n">
        <v>44133</v>
      </c>
      <c r="D402" t="n">
        <v>402.5</v>
      </c>
      <c r="E402" t="n">
        <v>405.8</v>
      </c>
      <c r="F402" t="n">
        <v>407.5</v>
      </c>
      <c r="G402" t="n">
        <v>407.2</v>
      </c>
      <c r="H402" t="n">
        <v>407.2</v>
      </c>
      <c r="I402" t="inlineStr">
        <is>
          <t>-</t>
        </is>
      </c>
      <c r="J402" t="inlineStr">
        <is>
          <t>-</t>
        </is>
      </c>
    </row>
    <row r="403">
      <c r="B403" t="inlineStr">
        <is>
          <t>Tire dealers(1)</t>
        </is>
      </c>
      <c r="C403" t="n">
        <v>44134</v>
      </c>
      <c r="D403" t="n">
        <v>197.8</v>
      </c>
      <c r="E403" t="n">
        <v>196.9</v>
      </c>
      <c r="F403" t="n">
        <v>197.2</v>
      </c>
      <c r="G403" t="n">
        <v>197.5</v>
      </c>
      <c r="H403" t="n">
        <v>197.9</v>
      </c>
      <c r="I403" t="inlineStr">
        <is>
          <t>-</t>
        </is>
      </c>
      <c r="J403" t="inlineStr">
        <is>
          <t>-</t>
        </is>
      </c>
    </row>
    <row r="404">
      <c r="B404" t="inlineStr">
        <is>
          <t>Building material and garden equipment and supplies dealers</t>
        </is>
      </c>
      <c r="C404" t="n">
        <v>444</v>
      </c>
      <c r="D404" t="n">
        <v>1398.9</v>
      </c>
      <c r="E404" t="n">
        <v>1376.2</v>
      </c>
      <c r="F404" t="n">
        <v>1374.9</v>
      </c>
      <c r="G404" t="n">
        <v>1373.1</v>
      </c>
      <c r="H404" t="n">
        <v>1372</v>
      </c>
      <c r="I404" t="n">
        <v>1368.1</v>
      </c>
      <c r="J404" t="n">
        <v>-3.9</v>
      </c>
    </row>
    <row r="405">
      <c r="B405" t="inlineStr">
        <is>
          <t>Building material and supplies dealers(1)</t>
        </is>
      </c>
      <c r="C405" t="n">
        <v>4441</v>
      </c>
      <c r="D405" t="n">
        <v>1210.1</v>
      </c>
      <c r="E405" t="n">
        <v>1188.2</v>
      </c>
      <c r="F405" t="n">
        <v>1188.7</v>
      </c>
      <c r="G405" t="n">
        <v>1186.8</v>
      </c>
      <c r="H405" t="n">
        <v>1186.7</v>
      </c>
      <c r="I405" t="inlineStr">
        <is>
          <t>-</t>
        </is>
      </c>
      <c r="J405" t="inlineStr">
        <is>
          <t>-</t>
        </is>
      </c>
    </row>
    <row r="406">
      <c r="B406" t="inlineStr">
        <is>
          <t>Hardware retailers(1)</t>
        </is>
      </c>
      <c r="C406" t="n">
        <v>44414</v>
      </c>
      <c r="D406" t="n">
        <v>178</v>
      </c>
      <c r="E406" t="n">
        <v>179.7</v>
      </c>
      <c r="F406" t="n">
        <v>179.7</v>
      </c>
      <c r="G406" t="n">
        <v>178.9</v>
      </c>
      <c r="H406" t="n">
        <v>178.7</v>
      </c>
      <c r="I406" t="inlineStr">
        <is>
          <t>-</t>
        </is>
      </c>
      <c r="J406" t="inlineStr">
        <is>
          <t>-</t>
        </is>
      </c>
    </row>
    <row r="407">
      <c r="B407" t="inlineStr">
        <is>
          <t>Home centers, paint, wallpaper, and other building material dealers(1)</t>
        </is>
      </c>
      <c r="C407" t="inlineStr">
        <is>
          <t>44411,2,8</t>
        </is>
      </c>
      <c r="D407" t="n">
        <v>1033.5</v>
      </c>
      <c r="E407" t="n">
        <v>1007</v>
      </c>
      <c r="F407" t="n">
        <v>1008.6</v>
      </c>
      <c r="G407" t="n">
        <v>1005.7</v>
      </c>
      <c r="H407" t="n">
        <v>1007</v>
      </c>
      <c r="I407" t="inlineStr">
        <is>
          <t>-</t>
        </is>
      </c>
      <c r="J407" t="inlineStr">
        <is>
          <t>-</t>
        </is>
      </c>
    </row>
    <row r="408">
      <c r="B408" t="inlineStr">
        <is>
          <t>Lawn and garden equipment and supplies retailers(1)</t>
        </is>
      </c>
      <c r="C408" t="n">
        <v>4442</v>
      </c>
      <c r="D408" t="n">
        <v>190.9</v>
      </c>
      <c r="E408" t="n">
        <v>186</v>
      </c>
      <c r="F408" t="n">
        <v>185.8</v>
      </c>
      <c r="G408" t="n">
        <v>187.1</v>
      </c>
      <c r="H408" t="n">
        <v>187</v>
      </c>
      <c r="I408" t="inlineStr">
        <is>
          <t>-</t>
        </is>
      </c>
      <c r="J408" t="inlineStr">
        <is>
          <t>-</t>
        </is>
      </c>
    </row>
    <row r="409">
      <c r="B409" t="inlineStr">
        <is>
          <t>Outdoor power equipment retailers(1)</t>
        </is>
      </c>
      <c r="C409" t="n">
        <v>44423</v>
      </c>
      <c r="D409" t="n">
        <v>33.1</v>
      </c>
      <c r="E409" t="n">
        <v>31.3</v>
      </c>
      <c r="F409" t="n">
        <v>31.6</v>
      </c>
      <c r="G409" t="n">
        <v>32</v>
      </c>
      <c r="H409" t="n">
        <v>31.9</v>
      </c>
      <c r="I409" t="inlineStr">
        <is>
          <t>-</t>
        </is>
      </c>
      <c r="J409" t="inlineStr">
        <is>
          <t>-</t>
        </is>
      </c>
    </row>
    <row r="410">
      <c r="B410" t="inlineStr">
        <is>
          <t>Nursery, garden center, and farm supply retailers(1)</t>
        </is>
      </c>
      <c r="C410" t="n">
        <v>44424</v>
      </c>
      <c r="D410" t="n">
        <v>158</v>
      </c>
      <c r="E410" t="n">
        <v>154.7</v>
      </c>
      <c r="F410" t="n">
        <v>154.3</v>
      </c>
      <c r="G410" t="n">
        <v>155.1</v>
      </c>
      <c r="H410" t="n">
        <v>155.1</v>
      </c>
      <c r="I410" t="inlineStr">
        <is>
          <t>-</t>
        </is>
      </c>
      <c r="J410" t="inlineStr">
        <is>
          <t>-</t>
        </is>
      </c>
    </row>
    <row r="411">
      <c r="B411" t="inlineStr">
        <is>
          <t>Food and beverage retailers</t>
        </is>
      </c>
      <c r="C411" t="n">
        <v>445</v>
      </c>
      <c r="D411" t="n">
        <v>3247.5</v>
      </c>
      <c r="E411" t="n">
        <v>3258.2</v>
      </c>
      <c r="F411" t="n">
        <v>3260</v>
      </c>
      <c r="G411" t="n">
        <v>3263.3</v>
      </c>
      <c r="H411" t="n">
        <v>3271.4</v>
      </c>
      <c r="I411" t="n">
        <v>3268.5</v>
      </c>
      <c r="J411" t="n">
        <v>-2.9</v>
      </c>
    </row>
    <row r="412">
      <c r="B412" t="inlineStr">
        <is>
          <t>Grocery and convenience retailers(1)</t>
        </is>
      </c>
      <c r="C412" t="n">
        <v>4451</v>
      </c>
      <c r="D412" t="n">
        <v>2833.5</v>
      </c>
      <c r="E412" t="n">
        <v>2852.2</v>
      </c>
      <c r="F412" t="n">
        <v>2856.4</v>
      </c>
      <c r="G412" t="n">
        <v>2861</v>
      </c>
      <c r="H412" t="n">
        <v>2868</v>
      </c>
      <c r="I412" t="inlineStr">
        <is>
          <t>-</t>
        </is>
      </c>
      <c r="J412" t="inlineStr">
        <is>
          <t>-</t>
        </is>
      </c>
    </row>
    <row r="413">
      <c r="B413" t="inlineStr">
        <is>
          <t>Supermarkets and other grocery retailers (except convenience retailers)(1)</t>
        </is>
      </c>
      <c r="C413" t="n">
        <v>44511</v>
      </c>
      <c r="D413" t="n">
        <v>2616.9</v>
      </c>
      <c r="E413" t="n">
        <v>2635.6</v>
      </c>
      <c r="F413" t="n">
        <v>2638.9</v>
      </c>
      <c r="G413" t="n">
        <v>2643.8</v>
      </c>
      <c r="H413" t="n">
        <v>2650.2</v>
      </c>
      <c r="I413" t="inlineStr">
        <is>
          <t>-</t>
        </is>
      </c>
      <c r="J413" t="inlineStr">
        <is>
          <t>-</t>
        </is>
      </c>
    </row>
    <row r="414">
      <c r="B414" t="inlineStr">
        <is>
          <t>Convenience retailers and vending machine operators(1)</t>
        </is>
      </c>
      <c r="C414" t="n">
        <v>44513</v>
      </c>
      <c r="D414" t="n">
        <v>215.3</v>
      </c>
      <c r="E414" t="n">
        <v>216.3</v>
      </c>
      <c r="F414" t="n">
        <v>216.9</v>
      </c>
      <c r="G414" t="n">
        <v>216.7</v>
      </c>
      <c r="H414" t="n">
        <v>217</v>
      </c>
      <c r="I414" t="inlineStr">
        <is>
          <t>-</t>
        </is>
      </c>
      <c r="J414" t="inlineStr">
        <is>
          <t>-</t>
        </is>
      </c>
    </row>
    <row r="415">
      <c r="B415" t="inlineStr">
        <is>
          <t>Convenience retailers(1)</t>
        </is>
      </c>
      <c r="C415" t="n">
        <v>445131</v>
      </c>
      <c r="D415" t="n">
        <v>176.9</v>
      </c>
      <c r="E415" t="n">
        <v>178.2</v>
      </c>
      <c r="F415" t="n">
        <v>179.1</v>
      </c>
      <c r="G415" t="n">
        <v>178.5</v>
      </c>
      <c r="H415" t="n">
        <v>179.3</v>
      </c>
      <c r="I415" t="inlineStr">
        <is>
          <t>-</t>
        </is>
      </c>
      <c r="J415" t="inlineStr">
        <is>
          <t>-</t>
        </is>
      </c>
    </row>
    <row r="416">
      <c r="B416" t="inlineStr">
        <is>
          <t>Vending machine operators(1)</t>
        </is>
      </c>
      <c r="C416" t="n">
        <v>445132</v>
      </c>
      <c r="D416" t="n">
        <v>38.7</v>
      </c>
      <c r="E416" t="n">
        <v>37.6</v>
      </c>
      <c r="F416" t="n">
        <v>37.4</v>
      </c>
      <c r="G416" t="n">
        <v>37.6</v>
      </c>
      <c r="H416" t="n">
        <v>38.1</v>
      </c>
      <c r="I416" t="inlineStr">
        <is>
          <t>-</t>
        </is>
      </c>
      <c r="J416" t="inlineStr">
        <is>
          <t>-</t>
        </is>
      </c>
    </row>
    <row r="417">
      <c r="B417" t="inlineStr">
        <is>
          <t>Specialty food retailers(1)</t>
        </is>
      </c>
      <c r="C417" t="n">
        <v>4452</v>
      </c>
      <c r="D417" t="n">
        <v>233.3</v>
      </c>
      <c r="E417" t="n">
        <v>227.6</v>
      </c>
      <c r="F417" t="n">
        <v>226.7</v>
      </c>
      <c r="G417" t="n">
        <v>226.6</v>
      </c>
      <c r="H417" t="n">
        <v>226.8</v>
      </c>
      <c r="I417" t="inlineStr">
        <is>
          <t>-</t>
        </is>
      </c>
      <c r="J417" t="inlineStr">
        <is>
          <t>-</t>
        </is>
      </c>
    </row>
    <row r="418">
      <c r="B418" t="inlineStr">
        <is>
          <t>Fruit and vegetable retailers(1)</t>
        </is>
      </c>
      <c r="C418" t="n">
        <v>44523</v>
      </c>
      <c r="D418" t="n">
        <v>39.1</v>
      </c>
      <c r="E418" t="n">
        <v>38.9</v>
      </c>
      <c r="F418" t="n">
        <v>37.7</v>
      </c>
      <c r="G418" t="n">
        <v>38.2</v>
      </c>
      <c r="H418" t="n">
        <v>37.4</v>
      </c>
      <c r="I418" t="inlineStr">
        <is>
          <t>-</t>
        </is>
      </c>
      <c r="J418" t="inlineStr">
        <is>
          <t>-</t>
        </is>
      </c>
    </row>
    <row r="419">
      <c r="B419" t="inlineStr">
        <is>
          <t>Meat, fish, and seafood retailers(1)</t>
        </is>
      </c>
      <c r="C419" t="inlineStr">
        <is>
          <t>44524,5</t>
        </is>
      </c>
      <c r="D419" t="n">
        <v>75.09999999999999</v>
      </c>
      <c r="E419" t="n">
        <v>71.40000000000001</v>
      </c>
      <c r="F419" t="n">
        <v>71.09999999999999</v>
      </c>
      <c r="G419" t="n">
        <v>70.3</v>
      </c>
      <c r="H419" t="n">
        <v>71.09999999999999</v>
      </c>
      <c r="I419" t="inlineStr">
        <is>
          <t>-</t>
        </is>
      </c>
      <c r="J419" t="inlineStr">
        <is>
          <t>-</t>
        </is>
      </c>
    </row>
    <row r="420">
      <c r="B420" t="inlineStr">
        <is>
          <t>Other specialty food retailers(1)</t>
        </is>
      </c>
      <c r="C420" t="n">
        <v>44529</v>
      </c>
      <c r="D420" t="n">
        <v>120.3</v>
      </c>
      <c r="E420" t="n">
        <v>117.3</v>
      </c>
      <c r="F420" t="n">
        <v>117.1</v>
      </c>
      <c r="G420" t="n">
        <v>117.4</v>
      </c>
      <c r="H420" t="n">
        <v>119.6</v>
      </c>
      <c r="I420" t="inlineStr">
        <is>
          <t>-</t>
        </is>
      </c>
      <c r="J420" t="inlineStr">
        <is>
          <t>-</t>
        </is>
      </c>
    </row>
    <row r="421">
      <c r="B421" t="inlineStr">
        <is>
          <t>Beer, wine, and liquor retailers(1)</t>
        </is>
      </c>
      <c r="C421" t="n">
        <v>4453</v>
      </c>
      <c r="D421" t="n">
        <v>181.1</v>
      </c>
      <c r="E421" t="n">
        <v>177.3</v>
      </c>
      <c r="F421" t="n">
        <v>177.3</v>
      </c>
      <c r="G421" t="n">
        <v>176.8</v>
      </c>
      <c r="H421" t="n">
        <v>177.5</v>
      </c>
      <c r="I421" t="inlineStr">
        <is>
          <t>-</t>
        </is>
      </c>
      <c r="J421" t="inlineStr">
        <is>
          <t>-</t>
        </is>
      </c>
    </row>
    <row r="422">
      <c r="B422" t="inlineStr">
        <is>
          <t>Furniture, home furnishings, electronics, and appliance retailers</t>
        </is>
      </c>
      <c r="C422" t="n">
        <v>449</v>
      </c>
      <c r="D422" t="n">
        <v>832</v>
      </c>
      <c r="E422" t="n">
        <v>816.9</v>
      </c>
      <c r="F422" t="n">
        <v>817.5</v>
      </c>
      <c r="G422" t="n">
        <v>823.5</v>
      </c>
      <c r="H422" t="n">
        <v>823.4</v>
      </c>
      <c r="I422" t="n">
        <v>825.6</v>
      </c>
      <c r="J422" t="n">
        <v>2.2</v>
      </c>
    </row>
    <row r="423">
      <c r="B423" t="inlineStr">
        <is>
          <t>Furniture and home furnishings retailers</t>
        </is>
      </c>
      <c r="C423" t="n">
        <v>4491</v>
      </c>
      <c r="D423" t="n">
        <v>428.6</v>
      </c>
      <c r="E423" t="n">
        <v>419.7</v>
      </c>
      <c r="F423" t="n">
        <v>420.6</v>
      </c>
      <c r="G423" t="n">
        <v>421.4</v>
      </c>
      <c r="H423" t="n">
        <v>419.8</v>
      </c>
      <c r="I423" t="n">
        <v>418.4</v>
      </c>
      <c r="J423" t="n">
        <v>-1.4</v>
      </c>
    </row>
    <row r="424">
      <c r="B424" t="inlineStr">
        <is>
          <t>Furniture retailers(1)</t>
        </is>
      </c>
      <c r="C424" t="n">
        <v>44911</v>
      </c>
      <c r="D424" t="n">
        <v>208.6</v>
      </c>
      <c r="E424" t="n">
        <v>199.1</v>
      </c>
      <c r="F424" t="n">
        <v>198.9</v>
      </c>
      <c r="G424" t="n">
        <v>197.9</v>
      </c>
      <c r="H424" t="n">
        <v>196.8</v>
      </c>
      <c r="I424" t="inlineStr">
        <is>
          <t>-</t>
        </is>
      </c>
      <c r="J424" t="inlineStr">
        <is>
          <t>-</t>
        </is>
      </c>
    </row>
    <row r="425">
      <c r="B425" t="inlineStr">
        <is>
          <t>Home furnishings retailers(1)</t>
        </is>
      </c>
      <c r="C425" t="n">
        <v>44912</v>
      </c>
      <c r="D425" t="n">
        <v>219.1</v>
      </c>
      <c r="E425" t="n">
        <v>219.9</v>
      </c>
      <c r="F425" t="n">
        <v>221.4</v>
      </c>
      <c r="G425" t="n">
        <v>223.2</v>
      </c>
      <c r="H425" t="n">
        <v>222.7</v>
      </c>
      <c r="I425" t="inlineStr">
        <is>
          <t>-</t>
        </is>
      </c>
      <c r="J425" t="inlineStr">
        <is>
          <t>-</t>
        </is>
      </c>
    </row>
    <row r="426">
      <c r="B426" t="inlineStr">
        <is>
          <t>Floor covering retailers(1)</t>
        </is>
      </c>
      <c r="C426" t="n">
        <v>449121</v>
      </c>
      <c r="D426" t="n">
        <v>70.59999999999999</v>
      </c>
      <c r="E426" t="n">
        <v>72.2</v>
      </c>
      <c r="F426" t="n">
        <v>72.8</v>
      </c>
      <c r="G426" t="n">
        <v>72.90000000000001</v>
      </c>
      <c r="H426" t="n">
        <v>72.59999999999999</v>
      </c>
      <c r="I426" t="inlineStr">
        <is>
          <t>-</t>
        </is>
      </c>
      <c r="J426" t="inlineStr">
        <is>
          <t>-</t>
        </is>
      </c>
    </row>
    <row r="427">
      <c r="B427" t="inlineStr">
        <is>
          <t>Window treatment and all other home furnishings retailers(1)</t>
        </is>
      </c>
      <c r="C427" t="inlineStr">
        <is>
          <t>449122,9</t>
        </is>
      </c>
      <c r="D427" t="n">
        <v>147.8</v>
      </c>
      <c r="E427" t="n">
        <v>148.4</v>
      </c>
      <c r="F427" t="n">
        <v>149.6</v>
      </c>
      <c r="G427" t="n">
        <v>151.3</v>
      </c>
      <c r="H427" t="n">
        <v>150.6</v>
      </c>
      <c r="I427" t="inlineStr">
        <is>
          <t>-</t>
        </is>
      </c>
      <c r="J427" t="inlineStr">
        <is>
          <t>-</t>
        </is>
      </c>
    </row>
    <row r="428">
      <c r="B428" t="inlineStr">
        <is>
          <t>Electronics and appliance retailers</t>
        </is>
      </c>
      <c r="C428" t="n">
        <v>4492</v>
      </c>
      <c r="D428" t="n">
        <v>403.5</v>
      </c>
      <c r="E428" t="n">
        <v>397.2</v>
      </c>
      <c r="F428" t="n">
        <v>396.9</v>
      </c>
      <c r="G428" t="n">
        <v>402.1</v>
      </c>
      <c r="H428" t="n">
        <v>403.6</v>
      </c>
      <c r="I428" t="n">
        <v>407.2</v>
      </c>
      <c r="J428" t="n">
        <v>3.6</v>
      </c>
    </row>
    <row r="429">
      <c r="B429" t="inlineStr">
        <is>
          <t>General merchandise retailers</t>
        </is>
      </c>
      <c r="C429" t="n">
        <v>455</v>
      </c>
      <c r="D429" t="n">
        <v>3193</v>
      </c>
      <c r="E429" t="n">
        <v>3289.8</v>
      </c>
      <c r="F429" t="n">
        <v>3286.6</v>
      </c>
      <c r="G429" t="n">
        <v>3286.9</v>
      </c>
      <c r="H429" t="n">
        <v>3283.1</v>
      </c>
      <c r="I429" t="n">
        <v>3268.1</v>
      </c>
      <c r="J429" t="n">
        <v>-15</v>
      </c>
    </row>
    <row r="430">
      <c r="B430" t="inlineStr">
        <is>
          <t>Department stores</t>
        </is>
      </c>
      <c r="C430" t="n">
        <v>4551</v>
      </c>
      <c r="D430" t="n">
        <v>937.7</v>
      </c>
      <c r="E430" t="n">
        <v>972.5</v>
      </c>
      <c r="F430" t="n">
        <v>968.6</v>
      </c>
      <c r="G430" t="n">
        <v>968.8</v>
      </c>
      <c r="H430" t="n">
        <v>967.3</v>
      </c>
      <c r="I430" t="n">
        <v>957</v>
      </c>
      <c r="J430" t="n">
        <v>-10.3</v>
      </c>
    </row>
    <row r="431">
      <c r="B431" t="inlineStr">
        <is>
          <t>Warehouse clubs, supercenters, and other general merchandise retailers</t>
        </is>
      </c>
      <c r="C431" t="n">
        <v>4552</v>
      </c>
      <c r="D431" t="n">
        <v>2255.3</v>
      </c>
      <c r="E431" t="n">
        <v>2317.3</v>
      </c>
      <c r="F431" t="n">
        <v>2318</v>
      </c>
      <c r="G431" t="n">
        <v>2318</v>
      </c>
      <c r="H431" t="n">
        <v>2315.9</v>
      </c>
      <c r="I431" t="n">
        <v>2311.1</v>
      </c>
      <c r="J431" t="n">
        <v>-4.8</v>
      </c>
    </row>
    <row r="432">
      <c r="B432" t="inlineStr">
        <is>
          <t>Warehouse clubs and supercenters(1)</t>
        </is>
      </c>
      <c r="C432" t="n">
        <v>455211</v>
      </c>
      <c r="D432" t="n">
        <v>1631.8</v>
      </c>
      <c r="E432" t="n">
        <v>1675.6</v>
      </c>
      <c r="F432" t="n">
        <v>1673.4</v>
      </c>
      <c r="G432" t="n">
        <v>1669.7</v>
      </c>
      <c r="H432" t="n">
        <v>1660.9</v>
      </c>
      <c r="I432" t="inlineStr">
        <is>
          <t>-</t>
        </is>
      </c>
      <c r="J432" t="inlineStr">
        <is>
          <t>-</t>
        </is>
      </c>
    </row>
    <row r="433">
      <c r="B433" t="inlineStr">
        <is>
          <t>All other general merchandise retailers(1)</t>
        </is>
      </c>
      <c r="C433" t="n">
        <v>455219</v>
      </c>
      <c r="D433" t="n">
        <v>624.8</v>
      </c>
      <c r="E433" t="n">
        <v>643.5</v>
      </c>
      <c r="F433" t="n">
        <v>648.2</v>
      </c>
      <c r="G433" t="n">
        <v>646.4</v>
      </c>
      <c r="H433" t="n">
        <v>656.5</v>
      </c>
      <c r="I433" t="inlineStr">
        <is>
          <t>-</t>
        </is>
      </c>
      <c r="J433" t="inlineStr">
        <is>
          <t>-</t>
        </is>
      </c>
    </row>
    <row r="434">
      <c r="B434" t="inlineStr">
        <is>
          <t>Health and personal care retailers</t>
        </is>
      </c>
      <c r="C434" t="n">
        <v>456</v>
      </c>
      <c r="D434" t="n">
        <v>1093.6</v>
      </c>
      <c r="E434" t="n">
        <v>1093.1</v>
      </c>
      <c r="F434" t="n">
        <v>1086.8</v>
      </c>
      <c r="G434" t="n">
        <v>1090.6</v>
      </c>
      <c r="H434" t="n">
        <v>1092.6</v>
      </c>
      <c r="I434" t="n">
        <v>1089.3</v>
      </c>
      <c r="J434" t="n">
        <v>-3.3</v>
      </c>
    </row>
    <row r="435">
      <c r="B435" t="inlineStr">
        <is>
          <t>Pharmacies and drug retailers(1)</t>
        </is>
      </c>
      <c r="C435" t="n">
        <v>45611</v>
      </c>
      <c r="D435" t="n">
        <v>720.3</v>
      </c>
      <c r="E435" t="n">
        <v>710.4</v>
      </c>
      <c r="F435" t="n">
        <v>705.2</v>
      </c>
      <c r="G435" t="n">
        <v>708.7</v>
      </c>
      <c r="H435" t="n">
        <v>708.8</v>
      </c>
      <c r="I435" t="inlineStr">
        <is>
          <t>-</t>
        </is>
      </c>
      <c r="J435" t="inlineStr">
        <is>
          <t>-</t>
        </is>
      </c>
    </row>
    <row r="436">
      <c r="B436" t="inlineStr">
        <is>
          <t>Cosmetics, beauty supplies, and perfume retailers(1)</t>
        </is>
      </c>
      <c r="C436" t="n">
        <v>45612</v>
      </c>
      <c r="D436" t="n">
        <v>179.4</v>
      </c>
      <c r="E436" t="n">
        <v>186.5</v>
      </c>
      <c r="F436" t="n">
        <v>186.7</v>
      </c>
      <c r="G436" t="n">
        <v>187.5</v>
      </c>
      <c r="H436" t="n">
        <v>187.7</v>
      </c>
      <c r="I436" t="inlineStr">
        <is>
          <t>-</t>
        </is>
      </c>
      <c r="J436" t="inlineStr">
        <is>
          <t>-</t>
        </is>
      </c>
    </row>
    <row r="437">
      <c r="B437" t="inlineStr">
        <is>
          <t>Optical goods retailers(1)</t>
        </is>
      </c>
      <c r="C437" t="n">
        <v>45613</v>
      </c>
      <c r="D437" t="n">
        <v>71.5</v>
      </c>
      <c r="E437" t="n">
        <v>72.09999999999999</v>
      </c>
      <c r="F437" t="n">
        <v>71.90000000000001</v>
      </c>
      <c r="G437" t="n">
        <v>70.40000000000001</v>
      </c>
      <c r="H437" t="n">
        <v>71.5</v>
      </c>
      <c r="I437" t="inlineStr">
        <is>
          <t>-</t>
        </is>
      </c>
      <c r="J437" t="inlineStr">
        <is>
          <t>-</t>
        </is>
      </c>
    </row>
    <row r="438">
      <c r="B438" t="inlineStr">
        <is>
          <t>Other health and personal care retailers(1)</t>
        </is>
      </c>
      <c r="C438" t="n">
        <v>45619</v>
      </c>
      <c r="D438" t="n">
        <v>120.7</v>
      </c>
      <c r="E438" t="n">
        <v>123.8</v>
      </c>
      <c r="F438" t="n">
        <v>124.3</v>
      </c>
      <c r="G438" t="n">
        <v>125.6</v>
      </c>
      <c r="H438" t="n">
        <v>124.9</v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Food (health) supplement retailers(1)</t>
        </is>
      </c>
      <c r="C439" t="n">
        <v>456191</v>
      </c>
      <c r="D439" t="n">
        <v>48.4</v>
      </c>
      <c r="E439" t="n">
        <v>49.7</v>
      </c>
      <c r="F439" t="n">
        <v>49.7</v>
      </c>
      <c r="G439" t="n">
        <v>51.3</v>
      </c>
      <c r="H439" t="n">
        <v>50.5</v>
      </c>
      <c r="I439" t="inlineStr">
        <is>
          <t>-</t>
        </is>
      </c>
      <c r="J439" t="inlineStr">
        <is>
          <t>-</t>
        </is>
      </c>
    </row>
    <row r="440">
      <c r="B440" t="inlineStr">
        <is>
          <t>All other health and personal care retailers(1)</t>
        </is>
      </c>
      <c r="C440" t="n">
        <v>456199</v>
      </c>
      <c r="D440" t="n">
        <v>72.8</v>
      </c>
      <c r="E440" t="n">
        <v>74</v>
      </c>
      <c r="F440" t="n">
        <v>74.3</v>
      </c>
      <c r="G440" t="n">
        <v>74.09999999999999</v>
      </c>
      <c r="H440" t="n">
        <v>74</v>
      </c>
      <c r="I440" t="inlineStr">
        <is>
          <t>-</t>
        </is>
      </c>
      <c r="J440" t="inlineStr">
        <is>
          <t>-</t>
        </is>
      </c>
    </row>
    <row r="441">
      <c r="B441" t="inlineStr">
        <is>
          <t>Gasoline stations and fuel dealers</t>
        </is>
      </c>
      <c r="C441" t="n">
        <v>457</v>
      </c>
      <c r="D441" t="n">
        <v>1066.9</v>
      </c>
      <c r="E441" t="n">
        <v>1080</v>
      </c>
      <c r="F441" t="n">
        <v>1079.6</v>
      </c>
      <c r="G441" t="n">
        <v>1080.1</v>
      </c>
      <c r="H441" t="n">
        <v>1079.5</v>
      </c>
      <c r="I441" t="n">
        <v>1080.7</v>
      </c>
      <c r="J441" t="n">
        <v>1.2</v>
      </c>
    </row>
    <row r="442">
      <c r="B442" t="inlineStr">
        <is>
          <t>Gasoline stations(1)</t>
        </is>
      </c>
      <c r="C442" t="n">
        <v>4571</v>
      </c>
      <c r="D442" t="n">
        <v>995.7</v>
      </c>
      <c r="E442" t="n">
        <v>1006.9</v>
      </c>
      <c r="F442" t="n">
        <v>1006.3</v>
      </c>
      <c r="G442" t="n">
        <v>1007.7</v>
      </c>
      <c r="H442" t="n">
        <v>1007.5</v>
      </c>
      <c r="I442" t="inlineStr">
        <is>
          <t>-</t>
        </is>
      </c>
      <c r="J442" t="inlineStr">
        <is>
          <t>-</t>
        </is>
      </c>
    </row>
    <row r="443">
      <c r="B443" t="inlineStr">
        <is>
          <t>Gasoline stations with convenience stores(1)</t>
        </is>
      </c>
      <c r="C443" t="n">
        <v>45711</v>
      </c>
      <c r="D443" t="n">
        <v>898.8</v>
      </c>
      <c r="E443" t="n">
        <v>911.1</v>
      </c>
      <c r="F443" t="n">
        <v>911.1</v>
      </c>
      <c r="G443" t="n">
        <v>913.7</v>
      </c>
      <c r="H443" t="n">
        <v>913.4</v>
      </c>
      <c r="I443" t="inlineStr">
        <is>
          <t>-</t>
        </is>
      </c>
      <c r="J443" t="inlineStr">
        <is>
          <t>-</t>
        </is>
      </c>
    </row>
    <row r="444">
      <c r="B444" t="inlineStr">
        <is>
          <t>Other gasoline stations(1)</t>
        </is>
      </c>
      <c r="C444" t="n">
        <v>45712</v>
      </c>
      <c r="D444" t="n">
        <v>96.5</v>
      </c>
      <c r="E444" t="n">
        <v>95.8</v>
      </c>
      <c r="F444" t="n">
        <v>95.5</v>
      </c>
      <c r="G444" t="n">
        <v>95.09999999999999</v>
      </c>
      <c r="H444" t="n">
        <v>94.59999999999999</v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Fuel dealers(1)</t>
        </is>
      </c>
      <c r="C445" t="n">
        <v>4572</v>
      </c>
      <c r="D445" t="n">
        <v>70.59999999999999</v>
      </c>
      <c r="E445" t="n">
        <v>72.90000000000001</v>
      </c>
      <c r="F445" t="n">
        <v>73.09999999999999</v>
      </c>
      <c r="G445" t="n">
        <v>72.2</v>
      </c>
      <c r="H445" t="n">
        <v>71.40000000000001</v>
      </c>
      <c r="I445" t="inlineStr">
        <is>
          <t>-</t>
        </is>
      </c>
      <c r="J445" t="inlineStr">
        <is>
          <t>-</t>
        </is>
      </c>
    </row>
    <row r="446">
      <c r="B446" t="inlineStr">
        <is>
          <t>Clothing, clothing accessories, shoe, and jewelry retailers</t>
        </is>
      </c>
      <c r="C446" t="n">
        <v>458</v>
      </c>
      <c r="D446" t="n">
        <v>1132.7</v>
      </c>
      <c r="E446" t="n">
        <v>1134.5</v>
      </c>
      <c r="F446" t="n">
        <v>1128.7</v>
      </c>
      <c r="G446" t="n">
        <v>1126.4</v>
      </c>
      <c r="H446" t="n">
        <v>1117.2</v>
      </c>
      <c r="I446" t="n">
        <v>1114</v>
      </c>
      <c r="J446" t="n">
        <v>-3.2</v>
      </c>
    </row>
    <row r="447">
      <c r="B447" t="inlineStr">
        <is>
          <t>Clothing and clothing accessories retailers(1)</t>
        </is>
      </c>
      <c r="C447" t="n">
        <v>4581</v>
      </c>
      <c r="D447" t="n">
        <v>840.9</v>
      </c>
      <c r="E447" t="n">
        <v>840.6</v>
      </c>
      <c r="F447" t="n">
        <v>837.1</v>
      </c>
      <c r="G447" t="n">
        <v>835.5</v>
      </c>
      <c r="H447" t="n">
        <v>829.3</v>
      </c>
      <c r="I447" t="inlineStr">
        <is>
          <t>-</t>
        </is>
      </c>
      <c r="J447" t="inlineStr">
        <is>
          <t>-</t>
        </is>
      </c>
    </row>
    <row r="448">
      <c r="B448" t="inlineStr">
        <is>
          <t>Shoe retailers(1)</t>
        </is>
      </c>
      <c r="C448" t="n">
        <v>4582</v>
      </c>
      <c r="D448" t="n">
        <v>170.1</v>
      </c>
      <c r="E448" t="n">
        <v>167.6</v>
      </c>
      <c r="F448" t="n">
        <v>167.5</v>
      </c>
      <c r="G448" t="n">
        <v>166.4</v>
      </c>
      <c r="H448" t="n">
        <v>165.5</v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Jewelry, luggage, and leather goods retailers(1)</t>
        </is>
      </c>
      <c r="C449" t="n">
        <v>4583</v>
      </c>
      <c r="D449" t="n">
        <v>124.8</v>
      </c>
      <c r="E449" t="n">
        <v>125.7</v>
      </c>
      <c r="F449" t="n">
        <v>123.6</v>
      </c>
      <c r="G449" t="n">
        <v>124.9</v>
      </c>
      <c r="H449" t="n">
        <v>123.8</v>
      </c>
      <c r="I449" t="inlineStr">
        <is>
          <t>-</t>
        </is>
      </c>
      <c r="J449" t="inlineStr">
        <is>
          <t>-</t>
        </is>
      </c>
    </row>
    <row r="450">
      <c r="B450" t="inlineStr">
        <is>
          <t>Sporting goods, hobby, musical instrument, book, and miscellaneous retailers</t>
        </is>
      </c>
      <c r="C450" t="n">
        <v>459</v>
      </c>
      <c r="D450" t="n">
        <v>1539.8</v>
      </c>
      <c r="E450" t="n">
        <v>1538.9</v>
      </c>
      <c r="F450" t="n">
        <v>1539.3</v>
      </c>
      <c r="G450" t="n">
        <v>1534.5</v>
      </c>
      <c r="H450" t="n">
        <v>1533</v>
      </c>
      <c r="I450" t="n">
        <v>1527.3</v>
      </c>
      <c r="J450" t="n">
        <v>-5.7</v>
      </c>
    </row>
    <row r="451">
      <c r="B451" t="inlineStr">
        <is>
          <t>Sporting goods, hobby, and musical instrument retailers(1)</t>
        </is>
      </c>
      <c r="C451" t="n">
        <v>4591</v>
      </c>
      <c r="D451" t="n">
        <v>502</v>
      </c>
      <c r="E451" t="n">
        <v>488.1</v>
      </c>
      <c r="F451" t="n">
        <v>484.2</v>
      </c>
      <c r="G451" t="n">
        <v>481.2</v>
      </c>
      <c r="H451" t="n">
        <v>479.1</v>
      </c>
      <c r="I451" t="inlineStr">
        <is>
          <t>-</t>
        </is>
      </c>
      <c r="J451" t="inlineStr">
        <is>
          <t>-</t>
        </is>
      </c>
    </row>
    <row r="452">
      <c r="B452" t="inlineStr">
        <is>
          <t>Sporting goods retailers(1)</t>
        </is>
      </c>
      <c r="C452" t="n">
        <v>45911</v>
      </c>
      <c r="D452" t="n">
        <v>304.1</v>
      </c>
      <c r="E452" t="n">
        <v>297.5</v>
      </c>
      <c r="F452" t="n">
        <v>295.5</v>
      </c>
      <c r="G452" t="n">
        <v>293.8</v>
      </c>
      <c r="H452" t="n">
        <v>292.2</v>
      </c>
      <c r="I452" t="inlineStr">
        <is>
          <t>-</t>
        </is>
      </c>
      <c r="J452" t="inlineStr">
        <is>
          <t>-</t>
        </is>
      </c>
    </row>
    <row r="453">
      <c r="B453" t="inlineStr">
        <is>
          <t>Hobby, toy, and game retailers(1)</t>
        </is>
      </c>
      <c r="C453" t="n">
        <v>45912</v>
      </c>
      <c r="D453" t="n">
        <v>131.5</v>
      </c>
      <c r="E453" t="n">
        <v>127.6</v>
      </c>
      <c r="F453" t="n">
        <v>125.1</v>
      </c>
      <c r="G453" t="n">
        <v>125.4</v>
      </c>
      <c r="H453" t="n">
        <v>124.2</v>
      </c>
      <c r="I453" t="inlineStr">
        <is>
          <t>-</t>
        </is>
      </c>
      <c r="J453" t="inlineStr">
        <is>
          <t>-</t>
        </is>
      </c>
    </row>
    <row r="454">
      <c r="B454" t="inlineStr">
        <is>
          <t>Sewing, needlework, and piece goods retailers(1)</t>
        </is>
      </c>
      <c r="C454" t="n">
        <v>45913</v>
      </c>
      <c r="D454" t="n">
        <v>30.4</v>
      </c>
      <c r="E454" t="n">
        <v>30.3</v>
      </c>
      <c r="F454" t="n">
        <v>29.6</v>
      </c>
      <c r="G454" t="n">
        <v>29.4</v>
      </c>
      <c r="H454" t="n">
        <v>29.1</v>
      </c>
      <c r="I454" t="inlineStr">
        <is>
          <t>-</t>
        </is>
      </c>
      <c r="J454" t="inlineStr">
        <is>
          <t>-</t>
        </is>
      </c>
    </row>
    <row r="455">
      <c r="B455" t="inlineStr">
        <is>
          <t>Musical instrument and supplies retailers(1)</t>
        </is>
      </c>
      <c r="C455" t="n">
        <v>45914</v>
      </c>
      <c r="D455" t="n">
        <v>33.3</v>
      </c>
      <c r="E455" t="n">
        <v>33.7</v>
      </c>
      <c r="F455" t="n">
        <v>32.9</v>
      </c>
      <c r="G455" t="n">
        <v>33.2</v>
      </c>
      <c r="H455" t="n">
        <v>33.7</v>
      </c>
      <c r="I455" t="inlineStr">
        <is>
          <t>-</t>
        </is>
      </c>
      <c r="J455" t="inlineStr">
        <is>
          <t>-</t>
        </is>
      </c>
    </row>
    <row r="456">
      <c r="B456" t="inlineStr">
        <is>
          <t>Book retailers and news dealers(1)</t>
        </is>
      </c>
      <c r="C456" t="n">
        <v>4592</v>
      </c>
      <c r="D456" t="n">
        <v>72.59999999999999</v>
      </c>
      <c r="E456" t="n">
        <v>73.5</v>
      </c>
      <c r="F456" t="n">
        <v>72.5</v>
      </c>
      <c r="G456" t="n">
        <v>73.2</v>
      </c>
      <c r="H456" t="n">
        <v>72.5</v>
      </c>
      <c r="I456" t="inlineStr">
        <is>
          <t>-</t>
        </is>
      </c>
      <c r="J456" t="inlineStr">
        <is>
          <t>-</t>
        </is>
      </c>
    </row>
    <row r="457">
      <c r="B457" t="inlineStr">
        <is>
          <t>Florists(1)</t>
        </is>
      </c>
      <c r="C457" t="n">
        <v>4593</v>
      </c>
      <c r="D457" t="n">
        <v>63.9</v>
      </c>
      <c r="E457" t="n">
        <v>60.5</v>
      </c>
      <c r="F457" t="n">
        <v>61.9</v>
      </c>
      <c r="G457" t="n">
        <v>61.6</v>
      </c>
      <c r="H457" t="n">
        <v>62.9</v>
      </c>
      <c r="I457" t="inlineStr">
        <is>
          <t>-</t>
        </is>
      </c>
      <c r="J457" t="inlineStr">
        <is>
          <t>-</t>
        </is>
      </c>
    </row>
    <row r="458">
      <c r="B458" t="inlineStr">
        <is>
          <t>Office supplies, stationery, and gift retailers(1)</t>
        </is>
      </c>
      <c r="C458" t="n">
        <v>4594</v>
      </c>
      <c r="D458" t="n">
        <v>204.4</v>
      </c>
      <c r="E458" t="n">
        <v>208.8</v>
      </c>
      <c r="F458" t="n">
        <v>208.4</v>
      </c>
      <c r="G458" t="n">
        <v>207.1</v>
      </c>
      <c r="H458" t="n">
        <v>206</v>
      </c>
      <c r="I458" t="inlineStr">
        <is>
          <t>-</t>
        </is>
      </c>
      <c r="J458" t="inlineStr">
        <is>
          <t>-</t>
        </is>
      </c>
    </row>
    <row r="459">
      <c r="B459" t="inlineStr">
        <is>
          <t>Office supplies and stationery retailers(1)</t>
        </is>
      </c>
      <c r="C459" t="n">
        <v>45941</v>
      </c>
      <c r="D459" t="n">
        <v>66.09999999999999</v>
      </c>
      <c r="E459" t="n">
        <v>66.7</v>
      </c>
      <c r="F459" t="n">
        <v>66.2</v>
      </c>
      <c r="G459" t="n">
        <v>66</v>
      </c>
      <c r="H459" t="n">
        <v>65.90000000000001</v>
      </c>
      <c r="I459" t="inlineStr">
        <is>
          <t>-</t>
        </is>
      </c>
      <c r="J459" t="inlineStr">
        <is>
          <t>-</t>
        </is>
      </c>
    </row>
    <row r="460">
      <c r="B460" t="inlineStr">
        <is>
          <t>Gift, novelty, and souvenir retailers(1)</t>
        </is>
      </c>
      <c r="C460" t="n">
        <v>45942</v>
      </c>
      <c r="D460" t="n">
        <v>138.2</v>
      </c>
      <c r="E460" t="n">
        <v>142.6</v>
      </c>
      <c r="F460" t="n">
        <v>141.1</v>
      </c>
      <c r="G460" t="n">
        <v>140.3</v>
      </c>
      <c r="H460" t="n">
        <v>140.1</v>
      </c>
      <c r="I460" t="inlineStr">
        <is>
          <t>-</t>
        </is>
      </c>
      <c r="J460" t="inlineStr">
        <is>
          <t>-</t>
        </is>
      </c>
    </row>
    <row r="461">
      <c r="B461" t="inlineStr">
        <is>
          <t>Used merchandise retailers(1)</t>
        </is>
      </c>
      <c r="C461" t="n">
        <v>4595</v>
      </c>
      <c r="D461" t="n">
        <v>209.3</v>
      </c>
      <c r="E461" t="n">
        <v>213</v>
      </c>
      <c r="F461" t="n">
        <v>212.1</v>
      </c>
      <c r="G461" t="n">
        <v>213</v>
      </c>
      <c r="H461" t="n">
        <v>213.1</v>
      </c>
      <c r="I461" t="inlineStr">
        <is>
          <t>-</t>
        </is>
      </c>
      <c r="J461" t="inlineStr">
        <is>
          <t>-</t>
        </is>
      </c>
    </row>
    <row r="462">
      <c r="B462" t="inlineStr">
        <is>
          <t>Other miscellaneous retailers(1)</t>
        </is>
      </c>
      <c r="C462" t="n">
        <v>4599</v>
      </c>
      <c r="D462" t="n">
        <v>485.2</v>
      </c>
      <c r="E462" t="n">
        <v>496.5</v>
      </c>
      <c r="F462" t="n">
        <v>499.4</v>
      </c>
      <c r="G462" t="n">
        <v>500.4</v>
      </c>
      <c r="H462" t="n">
        <v>500.4</v>
      </c>
      <c r="I462" t="inlineStr">
        <is>
          <t>-</t>
        </is>
      </c>
      <c r="J462" t="inlineStr">
        <is>
          <t>-</t>
        </is>
      </c>
    </row>
    <row r="463">
      <c r="B463" t="inlineStr">
        <is>
          <t>Pet and pet supplies retailers(1)</t>
        </is>
      </c>
      <c r="C463" t="n">
        <v>45991</v>
      </c>
      <c r="D463" t="n">
        <v>135.6</v>
      </c>
      <c r="E463" t="n">
        <v>139.5</v>
      </c>
      <c r="F463" t="n">
        <v>139.4</v>
      </c>
      <c r="G463" t="n">
        <v>140.2</v>
      </c>
      <c r="H463" t="n">
        <v>137.8</v>
      </c>
      <c r="I463" t="inlineStr">
        <is>
          <t>-</t>
        </is>
      </c>
      <c r="J463" t="inlineStr">
        <is>
          <t>-</t>
        </is>
      </c>
    </row>
    <row r="464">
      <c r="B464" t="inlineStr">
        <is>
          <t>Art dealers(1)</t>
        </is>
      </c>
      <c r="C464" t="n">
        <v>45992</v>
      </c>
      <c r="D464" t="n">
        <v>17.5</v>
      </c>
      <c r="E464" t="n">
        <v>17.8</v>
      </c>
      <c r="F464" t="n">
        <v>17.5</v>
      </c>
      <c r="G464" t="n">
        <v>15.9</v>
      </c>
      <c r="H464" t="n">
        <v>16.2</v>
      </c>
      <c r="I464" t="inlineStr">
        <is>
          <t>-</t>
        </is>
      </c>
      <c r="J464" t="inlineStr">
        <is>
          <t>-</t>
        </is>
      </c>
    </row>
    <row r="465">
      <c r="B465" t="inlineStr">
        <is>
          <t>Manufactured (mobile) home dealers and all other miscellaneous retailers(1)</t>
        </is>
      </c>
      <c r="C465" t="inlineStr">
        <is>
          <t>45993,9</t>
        </is>
      </c>
      <c r="D465" t="n">
        <v>332.1</v>
      </c>
      <c r="E465" t="n">
        <v>338.9</v>
      </c>
      <c r="F465" t="n">
        <v>342.9</v>
      </c>
      <c r="G465" t="n">
        <v>344.2</v>
      </c>
      <c r="H465" t="n">
        <v>347.3</v>
      </c>
      <c r="I465" t="inlineStr">
        <is>
          <t>-</t>
        </is>
      </c>
      <c r="J465" t="inlineStr">
        <is>
          <t>-</t>
        </is>
      </c>
    </row>
    <row r="466">
      <c r="B466" t="inlineStr">
        <is>
          <t>Tobacco, electronic cigarette, and other smoking supplies retailers(1)</t>
        </is>
      </c>
      <c r="C466" t="n">
        <v>459991</v>
      </c>
      <c r="D466" t="n">
        <v>131.4</v>
      </c>
      <c r="E466" t="n">
        <v>130.6</v>
      </c>
      <c r="F466" t="n">
        <v>132.1</v>
      </c>
      <c r="G466" t="n">
        <v>132.2</v>
      </c>
      <c r="H466" t="n">
        <v>133</v>
      </c>
      <c r="I466" t="inlineStr">
        <is>
          <t>-</t>
        </is>
      </c>
      <c r="J466" t="inlineStr">
        <is>
          <t>-</t>
        </is>
      </c>
    </row>
    <row r="468">
      <c r="B468" t="inlineStr">
        <is>
          <t>Transportation and warehousing</t>
        </is>
      </c>
      <c r="D468" t="n">
        <v>6538.9</v>
      </c>
      <c r="E468" t="n">
        <v>6609.3</v>
      </c>
      <c r="F468" t="n">
        <v>6620</v>
      </c>
      <c r="G468" t="n">
        <v>6627.8</v>
      </c>
      <c r="H468" t="n">
        <v>6623.8</v>
      </c>
      <c r="I468" t="n">
        <v>6627.2</v>
      </c>
      <c r="J468" t="n">
        <v>3.4</v>
      </c>
    </row>
    <row r="469">
      <c r="B469" t="inlineStr">
        <is>
          <t>Air transportation</t>
        </is>
      </c>
      <c r="C469" t="n">
        <v>481</v>
      </c>
      <c r="D469" t="n">
        <v>566</v>
      </c>
      <c r="E469" t="n">
        <v>575.2</v>
      </c>
      <c r="F469" t="n">
        <v>576.9</v>
      </c>
      <c r="G469" t="n">
        <v>575.6</v>
      </c>
      <c r="H469" t="n">
        <v>574.4</v>
      </c>
      <c r="I469" t="n">
        <v>574.8</v>
      </c>
      <c r="J469" t="n">
        <v>0.4</v>
      </c>
    </row>
    <row r="470">
      <c r="B470" t="inlineStr">
        <is>
          <t>Scheduled air transportation(1)</t>
        </is>
      </c>
      <c r="C470" t="n">
        <v>4811</v>
      </c>
      <c r="D470" t="n">
        <v>507</v>
      </c>
      <c r="E470" t="n">
        <v>511.7</v>
      </c>
      <c r="F470" t="n">
        <v>512.7</v>
      </c>
      <c r="G470" t="n">
        <v>512.5</v>
      </c>
      <c r="H470" t="n">
        <v>511.8</v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Nonscheduled air transportation(1)</t>
        </is>
      </c>
      <c r="C471" t="n">
        <v>4812</v>
      </c>
      <c r="D471" t="n">
        <v>59</v>
      </c>
      <c r="E471" t="n">
        <v>63.2</v>
      </c>
      <c r="F471" t="n">
        <v>63.6</v>
      </c>
      <c r="G471" t="n">
        <v>63.4</v>
      </c>
      <c r="H471" t="n">
        <v>62.9</v>
      </c>
      <c r="I471" t="inlineStr">
        <is>
          <t>-</t>
        </is>
      </c>
      <c r="J471" t="inlineStr">
        <is>
          <t>-</t>
        </is>
      </c>
    </row>
    <row r="472">
      <c r="B472" t="inlineStr">
        <is>
          <t>Rail transportation</t>
        </is>
      </c>
      <c r="C472" t="n">
        <v>482</v>
      </c>
      <c r="D472" t="n">
        <v>152.8</v>
      </c>
      <c r="E472" t="n">
        <v>150.9</v>
      </c>
      <c r="F472" t="n">
        <v>150.5</v>
      </c>
      <c r="G472" t="n">
        <v>149.8</v>
      </c>
      <c r="H472" t="n">
        <v>150</v>
      </c>
      <c r="I472" t="n">
        <v>150</v>
      </c>
      <c r="J472" t="n">
        <v>0</v>
      </c>
    </row>
    <row r="473">
      <c r="B473" t="inlineStr">
        <is>
          <t>Water transportation</t>
        </is>
      </c>
      <c r="C473" t="n">
        <v>483</v>
      </c>
      <c r="D473" t="n">
        <v>71</v>
      </c>
      <c r="E473" t="n">
        <v>75.3</v>
      </c>
      <c r="F473" t="n">
        <v>74.5</v>
      </c>
      <c r="G473" t="n">
        <v>74.2</v>
      </c>
      <c r="H473" t="n">
        <v>74</v>
      </c>
      <c r="I473" t="n">
        <v>73.59999999999999</v>
      </c>
      <c r="J473" t="n">
        <v>-0.4</v>
      </c>
    </row>
    <row r="474">
      <c r="B474" t="inlineStr">
        <is>
          <t>Truck transportation</t>
        </is>
      </c>
      <c r="C474" t="n">
        <v>484</v>
      </c>
      <c r="D474" t="n">
        <v>1550.1</v>
      </c>
      <c r="E474" t="n">
        <v>1545</v>
      </c>
      <c r="F474" t="n">
        <v>1546.4</v>
      </c>
      <c r="G474" t="n">
        <v>1546.6</v>
      </c>
      <c r="H474" t="n">
        <v>1545.8</v>
      </c>
      <c r="I474" t="n">
        <v>1548.7</v>
      </c>
      <c r="J474" t="n">
        <v>2.9</v>
      </c>
    </row>
    <row r="475">
      <c r="B475" t="inlineStr">
        <is>
          <t>General freight trucking(1)</t>
        </is>
      </c>
      <c r="C475" t="n">
        <v>4841</v>
      </c>
      <c r="D475" t="n">
        <v>1089.4</v>
      </c>
      <c r="E475" t="n">
        <v>1081</v>
      </c>
      <c r="F475" t="n">
        <v>1079.3</v>
      </c>
      <c r="G475" t="n">
        <v>1080.3</v>
      </c>
      <c r="H475" t="n">
        <v>1078.8</v>
      </c>
      <c r="I475" t="inlineStr">
        <is>
          <t>-</t>
        </is>
      </c>
      <c r="J475" t="inlineStr">
        <is>
          <t>-</t>
        </is>
      </c>
    </row>
    <row r="476">
      <c r="B476" t="inlineStr">
        <is>
          <t>General freight trucking, local(1)</t>
        </is>
      </c>
      <c r="C476" t="n">
        <v>48411</v>
      </c>
      <c r="D476" t="n">
        <v>302.7</v>
      </c>
      <c r="E476" t="n">
        <v>300.6</v>
      </c>
      <c r="F476" t="n">
        <v>300.6</v>
      </c>
      <c r="G476" t="n">
        <v>301.1</v>
      </c>
      <c r="H476" t="n">
        <v>301</v>
      </c>
      <c r="I476" t="inlineStr">
        <is>
          <t>-</t>
        </is>
      </c>
      <c r="J476" t="inlineStr">
        <is>
          <t>-</t>
        </is>
      </c>
    </row>
    <row r="477">
      <c r="B477" t="inlineStr">
        <is>
          <t>General freight trucking, long-distance(1)</t>
        </is>
      </c>
      <c r="C477" t="n">
        <v>48412</v>
      </c>
      <c r="D477" t="n">
        <v>788.9</v>
      </c>
      <c r="E477" t="n">
        <v>781</v>
      </c>
      <c r="F477" t="n">
        <v>779.7</v>
      </c>
      <c r="G477" t="n">
        <v>780.8</v>
      </c>
      <c r="H477" t="n">
        <v>779</v>
      </c>
      <c r="I477" t="inlineStr">
        <is>
          <t>-</t>
        </is>
      </c>
      <c r="J477" t="inlineStr">
        <is>
          <t>-</t>
        </is>
      </c>
    </row>
    <row r="478">
      <c r="B478" t="inlineStr">
        <is>
          <t>General freight trucking, long-distance, truckload(1)</t>
        </is>
      </c>
      <c r="C478" t="n">
        <v>484121</v>
      </c>
      <c r="D478" t="n">
        <v>545.5</v>
      </c>
      <c r="E478" t="n">
        <v>542.5</v>
      </c>
      <c r="F478" t="n">
        <v>542.1</v>
      </c>
      <c r="G478" t="n">
        <v>543.3</v>
      </c>
      <c r="H478" t="n">
        <v>541.5</v>
      </c>
      <c r="I478" t="inlineStr">
        <is>
          <t>-</t>
        </is>
      </c>
      <c r="J478" t="inlineStr">
        <is>
          <t>-</t>
        </is>
      </c>
    </row>
    <row r="479">
      <c r="B479" t="inlineStr">
        <is>
          <t>General freight trucking, long-distance, less than truckload(1)</t>
        </is>
      </c>
      <c r="C479" t="n">
        <v>484122</v>
      </c>
      <c r="D479" t="n">
        <v>241.4</v>
      </c>
      <c r="E479" t="n">
        <v>239.9</v>
      </c>
      <c r="F479" t="n">
        <v>238.8</v>
      </c>
      <c r="G479" t="n">
        <v>237.7</v>
      </c>
      <c r="H479" t="n">
        <v>237.3</v>
      </c>
      <c r="I479" t="inlineStr">
        <is>
          <t>-</t>
        </is>
      </c>
      <c r="J479" t="inlineStr">
        <is>
          <t>-</t>
        </is>
      </c>
    </row>
    <row r="480">
      <c r="B480" t="inlineStr">
        <is>
          <t>Specialized freight trucking(1)</t>
        </is>
      </c>
      <c r="C480" t="n">
        <v>4842</v>
      </c>
      <c r="D480" t="n">
        <v>462.8</v>
      </c>
      <c r="E480" t="n">
        <v>463.1</v>
      </c>
      <c r="F480" t="n">
        <v>466.1</v>
      </c>
      <c r="G480" t="n">
        <v>465.6</v>
      </c>
      <c r="H480" t="n">
        <v>468.1</v>
      </c>
      <c r="I480" t="inlineStr">
        <is>
          <t>-</t>
        </is>
      </c>
      <c r="J480" t="inlineStr">
        <is>
          <t>-</t>
        </is>
      </c>
    </row>
    <row r="481">
      <c r="B481" t="inlineStr">
        <is>
          <t>Used household and office goods moving(1)</t>
        </is>
      </c>
      <c r="C481" t="n">
        <v>48421</v>
      </c>
      <c r="D481" t="n">
        <v>99.09999999999999</v>
      </c>
      <c r="E481" t="n">
        <v>98.7</v>
      </c>
      <c r="F481" t="n">
        <v>98.2</v>
      </c>
      <c r="G481" t="n">
        <v>98.40000000000001</v>
      </c>
      <c r="H481" t="n">
        <v>99.90000000000001</v>
      </c>
      <c r="I481" t="inlineStr">
        <is>
          <t>-</t>
        </is>
      </c>
      <c r="J481" t="inlineStr">
        <is>
          <t>-</t>
        </is>
      </c>
    </row>
    <row r="482">
      <c r="B482" t="inlineStr">
        <is>
          <t>Specialized freight (except used goods) trucking, local(1)</t>
        </is>
      </c>
      <c r="C482" t="n">
        <v>48422</v>
      </c>
      <c r="D482" t="n">
        <v>233.9</v>
      </c>
      <c r="E482" t="n">
        <v>232.3</v>
      </c>
      <c r="F482" t="n">
        <v>233.4</v>
      </c>
      <c r="G482" t="n">
        <v>233.1</v>
      </c>
      <c r="H482" t="n">
        <v>233.8</v>
      </c>
      <c r="I482" t="inlineStr">
        <is>
          <t>-</t>
        </is>
      </c>
      <c r="J482" t="inlineStr">
        <is>
          <t>-</t>
        </is>
      </c>
    </row>
    <row r="483">
      <c r="B483" t="inlineStr">
        <is>
          <t>Specialized freight (except used goods) trucking, long-distance(1)</t>
        </is>
      </c>
      <c r="C483" t="n">
        <v>48423</v>
      </c>
      <c r="D483" t="n">
        <v>130.9</v>
      </c>
      <c r="E483" t="n">
        <v>132.3</v>
      </c>
      <c r="F483" t="n">
        <v>134.4</v>
      </c>
      <c r="G483" t="n">
        <v>134.6</v>
      </c>
      <c r="H483" t="n">
        <v>134.7</v>
      </c>
      <c r="I483" t="inlineStr">
        <is>
          <t>-</t>
        </is>
      </c>
      <c r="J483" t="inlineStr">
        <is>
          <t>-</t>
        </is>
      </c>
    </row>
    <row r="484">
      <c r="B484" t="inlineStr">
        <is>
          <t>Transit and ground passenger transportation</t>
        </is>
      </c>
      <c r="C484" t="n">
        <v>485</v>
      </c>
      <c r="D484" t="n">
        <v>430.3</v>
      </c>
      <c r="E484" t="n">
        <v>435.4</v>
      </c>
      <c r="F484" t="n">
        <v>440</v>
      </c>
      <c r="G484" t="n">
        <v>450.9</v>
      </c>
      <c r="H484" t="n">
        <v>452.9</v>
      </c>
      <c r="I484" t="n">
        <v>454.7</v>
      </c>
      <c r="J484" t="n">
        <v>1.8</v>
      </c>
    </row>
    <row r="485">
      <c r="B485" t="inlineStr">
        <is>
          <t>Taxi and limousine service(1)</t>
        </is>
      </c>
      <c r="C485" t="n">
        <v>4853</v>
      </c>
      <c r="D485" t="n">
        <v>58.4</v>
      </c>
      <c r="E485" t="n">
        <v>58.6</v>
      </c>
      <c r="F485" t="n">
        <v>58.1</v>
      </c>
      <c r="G485" t="n">
        <v>57.7</v>
      </c>
      <c r="H485" t="n">
        <v>58.1</v>
      </c>
      <c r="I485" t="inlineStr">
        <is>
          <t>-</t>
        </is>
      </c>
      <c r="J485" t="inlineStr">
        <is>
          <t>-</t>
        </is>
      </c>
    </row>
    <row r="486">
      <c r="B486" t="inlineStr">
        <is>
          <t>School and employee bus transportation(1)</t>
        </is>
      </c>
      <c r="C486" t="n">
        <v>4854</v>
      </c>
      <c r="D486" t="n">
        <v>186.6</v>
      </c>
      <c r="E486" t="n">
        <v>191.3</v>
      </c>
      <c r="F486" t="n">
        <v>197.1</v>
      </c>
      <c r="G486" t="n">
        <v>205.1</v>
      </c>
      <c r="H486" t="n">
        <v>209.1</v>
      </c>
      <c r="I486" t="inlineStr">
        <is>
          <t>-</t>
        </is>
      </c>
      <c r="J486" t="inlineStr">
        <is>
          <t>-</t>
        </is>
      </c>
    </row>
    <row r="487">
      <c r="B487" t="inlineStr">
        <is>
          <t>Urban transit systems and interurban, rural, and charter bus transportation(1)</t>
        </is>
      </c>
      <c r="C487" t="inlineStr">
        <is>
          <t>4851,2,5</t>
        </is>
      </c>
      <c r="D487" t="n">
        <v>82</v>
      </c>
      <c r="E487" t="n">
        <v>81.8</v>
      </c>
      <c r="F487" t="n">
        <v>81.40000000000001</v>
      </c>
      <c r="G487" t="n">
        <v>81</v>
      </c>
      <c r="H487" t="n">
        <v>80.3</v>
      </c>
      <c r="I487" t="inlineStr">
        <is>
          <t>-</t>
        </is>
      </c>
      <c r="J487" t="inlineStr">
        <is>
          <t>-</t>
        </is>
      </c>
    </row>
    <row r="488">
      <c r="B488" t="inlineStr">
        <is>
          <t>Other transit and ground passenger transportation(1)</t>
        </is>
      </c>
      <c r="C488" t="n">
        <v>4859</v>
      </c>
      <c r="D488" t="n">
        <v>103.8</v>
      </c>
      <c r="E488" t="n">
        <v>104.3</v>
      </c>
      <c r="F488" t="n">
        <v>105</v>
      </c>
      <c r="G488" t="n">
        <v>105.9</v>
      </c>
      <c r="H488" t="n">
        <v>106.9</v>
      </c>
      <c r="I488" t="inlineStr">
        <is>
          <t>-</t>
        </is>
      </c>
      <c r="J488" t="inlineStr">
        <is>
          <t>-</t>
        </is>
      </c>
    </row>
    <row r="489">
      <c r="B489" t="inlineStr">
        <is>
          <t>Pipeline transportation</t>
        </is>
      </c>
      <c r="C489" t="n">
        <v>486</v>
      </c>
      <c r="D489" t="n">
        <v>52.1</v>
      </c>
      <c r="E489" t="n">
        <v>54.9</v>
      </c>
      <c r="F489" t="n">
        <v>54.3</v>
      </c>
      <c r="G489" t="n">
        <v>54.5</v>
      </c>
      <c r="H489" t="n">
        <v>54.4</v>
      </c>
      <c r="I489" t="n">
        <v>54.6</v>
      </c>
      <c r="J489" t="n">
        <v>0.2</v>
      </c>
    </row>
    <row r="490">
      <c r="B490" t="inlineStr">
        <is>
          <t>Scenic and sightseeing transportation</t>
        </is>
      </c>
      <c r="C490" t="n">
        <v>487</v>
      </c>
      <c r="D490" t="n">
        <v>31</v>
      </c>
      <c r="E490" t="n">
        <v>35.5</v>
      </c>
      <c r="F490" t="n">
        <v>35.4</v>
      </c>
      <c r="G490" t="n">
        <v>33.6</v>
      </c>
      <c r="H490" t="n">
        <v>33.6</v>
      </c>
      <c r="I490" t="n">
        <v>32.7</v>
      </c>
      <c r="J490" t="n">
        <v>-0.9</v>
      </c>
    </row>
    <row r="491">
      <c r="B491" t="inlineStr">
        <is>
          <t>Support activities for transportation</t>
        </is>
      </c>
      <c r="C491" t="n">
        <v>488</v>
      </c>
      <c r="D491" t="n">
        <v>826.9</v>
      </c>
      <c r="E491" t="n">
        <v>854.4</v>
      </c>
      <c r="F491" t="n">
        <v>855.9</v>
      </c>
      <c r="G491" t="n">
        <v>856.5</v>
      </c>
      <c r="H491" t="n">
        <v>859.3</v>
      </c>
      <c r="I491" t="n">
        <v>862.3</v>
      </c>
      <c r="J491" t="n">
        <v>3</v>
      </c>
    </row>
    <row r="492">
      <c r="B492" t="inlineStr">
        <is>
          <t>Support activities for air transportation(1)</t>
        </is>
      </c>
      <c r="C492" t="n">
        <v>4881</v>
      </c>
      <c r="D492" t="n">
        <v>258.2</v>
      </c>
      <c r="E492" t="n">
        <v>278.4</v>
      </c>
      <c r="F492" t="n">
        <v>278.2</v>
      </c>
      <c r="G492" t="n">
        <v>278.5</v>
      </c>
      <c r="H492" t="n">
        <v>279.4</v>
      </c>
      <c r="I492" t="inlineStr">
        <is>
          <t>-</t>
        </is>
      </c>
      <c r="J492" t="inlineStr">
        <is>
          <t>-</t>
        </is>
      </c>
    </row>
    <row r="493">
      <c r="B493" t="inlineStr">
        <is>
          <t>Support activities for water transportation(1)</t>
        </is>
      </c>
      <c r="C493" t="n">
        <v>4883</v>
      </c>
      <c r="D493" t="n">
        <v>95.09999999999999</v>
      </c>
      <c r="E493" t="n">
        <v>97.40000000000001</v>
      </c>
      <c r="F493" t="n">
        <v>98</v>
      </c>
      <c r="G493" t="n">
        <v>98.40000000000001</v>
      </c>
      <c r="H493" t="n">
        <v>99.7</v>
      </c>
      <c r="I493" t="inlineStr">
        <is>
          <t>-</t>
        </is>
      </c>
      <c r="J493" t="inlineStr">
        <is>
          <t>-</t>
        </is>
      </c>
    </row>
    <row r="494">
      <c r="B494" t="inlineStr">
        <is>
          <t>Marine cargo handling(1)</t>
        </is>
      </c>
      <c r="C494" t="n">
        <v>48832</v>
      </c>
      <c r="D494" t="n">
        <v>62.7</v>
      </c>
      <c r="E494" t="n">
        <v>63.8</v>
      </c>
      <c r="F494" t="n">
        <v>64.40000000000001</v>
      </c>
      <c r="G494" t="n">
        <v>64.5</v>
      </c>
      <c r="H494" t="n">
        <v>65.2</v>
      </c>
      <c r="I494" t="inlineStr">
        <is>
          <t>-</t>
        </is>
      </c>
      <c r="J494" t="inlineStr">
        <is>
          <t>-</t>
        </is>
      </c>
    </row>
    <row r="495">
      <c r="B495" t="inlineStr">
        <is>
          <t>Support activities for road transportation(1)</t>
        </is>
      </c>
      <c r="C495" t="n">
        <v>4884</v>
      </c>
      <c r="D495" t="n">
        <v>118.1</v>
      </c>
      <c r="E495" t="n">
        <v>118.5</v>
      </c>
      <c r="F495" t="n">
        <v>117.9</v>
      </c>
      <c r="G495" t="n">
        <v>118.9</v>
      </c>
      <c r="H495" t="n">
        <v>119.1</v>
      </c>
      <c r="I495" t="inlineStr">
        <is>
          <t>-</t>
        </is>
      </c>
      <c r="J495" t="inlineStr">
        <is>
          <t>-</t>
        </is>
      </c>
    </row>
    <row r="496">
      <c r="B496" t="inlineStr">
        <is>
          <t>Freight transportation arrangement(1)</t>
        </is>
      </c>
      <c r="C496" t="n">
        <v>4885</v>
      </c>
      <c r="D496" t="n">
        <v>267.6</v>
      </c>
      <c r="E496" t="n">
        <v>271.6</v>
      </c>
      <c r="F496" t="n">
        <v>270.4</v>
      </c>
      <c r="G496" t="n">
        <v>269.8</v>
      </c>
      <c r="H496" t="n">
        <v>269.1</v>
      </c>
      <c r="I496" t="inlineStr">
        <is>
          <t>-</t>
        </is>
      </c>
      <c r="J496" t="inlineStr">
        <is>
          <t>-</t>
        </is>
      </c>
    </row>
    <row r="497">
      <c r="B497" t="inlineStr">
        <is>
          <t>Other support activities for transportation, including rail(1)</t>
        </is>
      </c>
      <c r="C497" t="inlineStr">
        <is>
          <t>4882,9</t>
        </is>
      </c>
      <c r="D497" t="n">
        <v>86.2</v>
      </c>
      <c r="E497" t="n">
        <v>88.90000000000001</v>
      </c>
      <c r="F497" t="n">
        <v>91.59999999999999</v>
      </c>
      <c r="G497" t="n">
        <v>90.09999999999999</v>
      </c>
      <c r="H497" t="n">
        <v>90.3</v>
      </c>
      <c r="I497" t="inlineStr">
        <is>
          <t>-</t>
        </is>
      </c>
      <c r="J497" t="inlineStr">
        <is>
          <t>-</t>
        </is>
      </c>
    </row>
    <row r="498">
      <c r="B498" t="inlineStr">
        <is>
          <t>Couriers and messengers</t>
        </is>
      </c>
      <c r="C498" t="n">
        <v>492</v>
      </c>
      <c r="D498" t="n">
        <v>1086.4</v>
      </c>
      <c r="E498" t="n">
        <v>1099.9</v>
      </c>
      <c r="F498" t="n">
        <v>1104.2</v>
      </c>
      <c r="G498" t="n">
        <v>1108.1</v>
      </c>
      <c r="H498" t="n">
        <v>1105.8</v>
      </c>
      <c r="I498" t="n">
        <v>1103.6</v>
      </c>
      <c r="J498" t="n">
        <v>-2.2</v>
      </c>
    </row>
    <row r="499">
      <c r="B499" t="inlineStr">
        <is>
          <t>Couriers and express delivery services(1)</t>
        </is>
      </c>
      <c r="C499" t="n">
        <v>4921</v>
      </c>
      <c r="D499" t="n">
        <v>896.1</v>
      </c>
      <c r="E499" t="n">
        <v>905.8</v>
      </c>
      <c r="F499" t="n">
        <v>910.1</v>
      </c>
      <c r="G499" t="n">
        <v>914</v>
      </c>
      <c r="H499" t="n">
        <v>913.3</v>
      </c>
      <c r="I499" t="inlineStr">
        <is>
          <t>-</t>
        </is>
      </c>
      <c r="J499" t="inlineStr">
        <is>
          <t>-</t>
        </is>
      </c>
    </row>
    <row r="500">
      <c r="B500" t="inlineStr">
        <is>
          <t>Local messengers and delivery and private postal service(1)</t>
        </is>
      </c>
      <c r="C500" t="n">
        <v>49111221</v>
      </c>
      <c r="D500" t="n">
        <v>195</v>
      </c>
      <c r="E500" t="n">
        <v>195</v>
      </c>
      <c r="F500" t="n">
        <v>197.2</v>
      </c>
      <c r="G500" t="n">
        <v>199.5</v>
      </c>
      <c r="H500" t="n">
        <v>198</v>
      </c>
      <c r="I500" t="inlineStr">
        <is>
          <t>-</t>
        </is>
      </c>
      <c r="J500" t="inlineStr">
        <is>
          <t>-</t>
        </is>
      </c>
    </row>
    <row r="501">
      <c r="B501" t="inlineStr">
        <is>
          <t>Warehousing and storage</t>
        </is>
      </c>
      <c r="C501" t="n">
        <v>493</v>
      </c>
      <c r="D501" t="n">
        <v>1772.3</v>
      </c>
      <c r="E501" t="n">
        <v>1782.8</v>
      </c>
      <c r="F501" t="n">
        <v>1781.9</v>
      </c>
      <c r="G501" t="n">
        <v>1778</v>
      </c>
      <c r="H501" t="n">
        <v>1773.6</v>
      </c>
      <c r="I501" t="n">
        <v>1772.2</v>
      </c>
      <c r="J501" t="n">
        <v>-1.4</v>
      </c>
    </row>
    <row r="502">
      <c r="B502" t="inlineStr">
        <is>
          <t>General warehousing and storage(1)</t>
        </is>
      </c>
      <c r="C502" t="n">
        <v>49311</v>
      </c>
      <c r="D502" t="n">
        <v>1634.8</v>
      </c>
      <c r="E502" t="n">
        <v>1648.2</v>
      </c>
      <c r="F502" t="n">
        <v>1645.9</v>
      </c>
      <c r="G502" t="n">
        <v>1644</v>
      </c>
      <c r="H502" t="n">
        <v>1639.2</v>
      </c>
      <c r="I502" t="inlineStr">
        <is>
          <t>-</t>
        </is>
      </c>
      <c r="J502" t="inlineStr">
        <is>
          <t>-</t>
        </is>
      </c>
    </row>
    <row r="503">
      <c r="B503" t="inlineStr">
        <is>
          <t>Refrigerated warehousing and storage(1)</t>
        </is>
      </c>
      <c r="C503" t="n">
        <v>49312</v>
      </c>
      <c r="D503" t="n">
        <v>74.3</v>
      </c>
      <c r="E503" t="n">
        <v>72.5</v>
      </c>
      <c r="F503" t="n">
        <v>72.59999999999999</v>
      </c>
      <c r="G503" t="n">
        <v>71.7</v>
      </c>
      <c r="H503" t="n">
        <v>71.59999999999999</v>
      </c>
      <c r="I503" t="inlineStr">
        <is>
          <t>-</t>
        </is>
      </c>
      <c r="J503" t="inlineStr">
        <is>
          <t>-</t>
        </is>
      </c>
    </row>
    <row r="504">
      <c r="B504" t="inlineStr">
        <is>
          <t>Other warehousing and storage, including farm product(1)</t>
        </is>
      </c>
      <c r="C504" t="inlineStr">
        <is>
          <t>49313,9</t>
        </is>
      </c>
      <c r="D504" t="n">
        <v>62</v>
      </c>
      <c r="E504" t="n">
        <v>62</v>
      </c>
      <c r="F504" t="n">
        <v>61.8</v>
      </c>
      <c r="G504" t="n">
        <v>61.8</v>
      </c>
      <c r="H504" t="n">
        <v>62</v>
      </c>
      <c r="I504" t="inlineStr">
        <is>
          <t>-</t>
        </is>
      </c>
      <c r="J504" t="inlineStr">
        <is>
          <t>-</t>
        </is>
      </c>
    </row>
    <row r="506">
      <c r="B506" t="inlineStr">
        <is>
          <t>Utilities</t>
        </is>
      </c>
      <c r="C506" t="n">
        <v>22</v>
      </c>
      <c r="D506" t="n">
        <v>581.4</v>
      </c>
      <c r="E506" t="n">
        <v>590.5</v>
      </c>
      <c r="F506" t="n">
        <v>590.4</v>
      </c>
      <c r="G506" t="n">
        <v>593</v>
      </c>
      <c r="H506" t="n">
        <v>592</v>
      </c>
      <c r="I506" t="n">
        <v>591.9</v>
      </c>
      <c r="J506" t="n">
        <v>-0.1</v>
      </c>
    </row>
    <row r="507">
      <c r="A507" t="inlineStr">
        <is>
          <t>ISIC 351</t>
        </is>
      </c>
      <c r="B507" t="inlineStr">
        <is>
          <t>Electric power generation, transmission and distribution(1)</t>
        </is>
      </c>
      <c r="C507" t="n">
        <v>2211</v>
      </c>
      <c r="D507" t="n">
        <v>406.5</v>
      </c>
      <c r="E507" t="n">
        <v>413.3</v>
      </c>
      <c r="F507" t="n">
        <v>413.2</v>
      </c>
      <c r="G507" t="n">
        <v>414.1</v>
      </c>
      <c r="H507" t="n">
        <v>415.2</v>
      </c>
      <c r="I507" t="inlineStr">
        <is>
          <t>-</t>
        </is>
      </c>
      <c r="J507" t="inlineStr">
        <is>
          <t>-</t>
        </is>
      </c>
    </row>
    <row r="508">
      <c r="B508" t="inlineStr">
        <is>
          <t>Electric power generation(1)</t>
        </is>
      </c>
      <c r="C508" t="n">
        <v>22111</v>
      </c>
      <c r="D508" t="n">
        <v>154</v>
      </c>
      <c r="E508" t="n">
        <v>158.9</v>
      </c>
      <c r="F508" t="n">
        <v>158.4</v>
      </c>
      <c r="G508" t="n">
        <v>159.1</v>
      </c>
      <c r="H508" t="n">
        <v>159.3</v>
      </c>
      <c r="I508" t="inlineStr">
        <is>
          <t>-</t>
        </is>
      </c>
      <c r="J508" t="inlineStr">
        <is>
          <t>-</t>
        </is>
      </c>
    </row>
    <row r="509">
      <c r="B509" t="inlineStr">
        <is>
          <t>Fossil fuel electric power generation(1)</t>
        </is>
      </c>
      <c r="C509" t="n">
        <v>221112</v>
      </c>
      <c r="D509" t="n">
        <v>77.7</v>
      </c>
      <c r="E509" t="n">
        <v>79</v>
      </c>
      <c r="F509" t="n">
        <v>78.40000000000001</v>
      </c>
      <c r="G509" t="n">
        <v>78.40000000000001</v>
      </c>
      <c r="H509" t="n">
        <v>78.40000000000001</v>
      </c>
      <c r="I509" t="inlineStr">
        <is>
          <t>-</t>
        </is>
      </c>
      <c r="J509" t="inlineStr">
        <is>
          <t>-</t>
        </is>
      </c>
    </row>
    <row r="510">
      <c r="B510" t="inlineStr">
        <is>
          <t>Hydroelectric and nuclear, solar, wind, geothermal, biomass, and other electric power generation(1)</t>
        </is>
      </c>
      <c r="C510" t="inlineStr">
        <is>
          <t>221111,3-8</t>
        </is>
      </c>
      <c r="D510" t="n">
        <v>76.40000000000001</v>
      </c>
      <c r="E510" t="n">
        <v>79.90000000000001</v>
      </c>
      <c r="F510" t="n">
        <v>80.09999999999999</v>
      </c>
      <c r="G510" t="n">
        <v>80.7</v>
      </c>
      <c r="H510" t="n">
        <v>81.09999999999999</v>
      </c>
      <c r="I510" t="inlineStr">
        <is>
          <t>-</t>
        </is>
      </c>
      <c r="J510" t="inlineStr">
        <is>
          <t>-</t>
        </is>
      </c>
    </row>
    <row r="511">
      <c r="B511" t="inlineStr">
        <is>
          <t>Electric power transmission, control, and distribution(1)</t>
        </is>
      </c>
      <c r="C511" t="n">
        <v>22112</v>
      </c>
      <c r="D511" t="n">
        <v>252.6</v>
      </c>
      <c r="E511" t="n">
        <v>254</v>
      </c>
      <c r="F511" t="n">
        <v>253.5</v>
      </c>
      <c r="G511" t="n">
        <v>254.2</v>
      </c>
      <c r="H511" t="n">
        <v>254.1</v>
      </c>
      <c r="I511" t="inlineStr">
        <is>
          <t>-</t>
        </is>
      </c>
      <c r="J511" t="inlineStr">
        <is>
          <t>-</t>
        </is>
      </c>
    </row>
    <row r="512">
      <c r="B512" t="inlineStr">
        <is>
          <t>Electric bulk power transmission and control(1)</t>
        </is>
      </c>
      <c r="C512" t="n">
        <v>221121</v>
      </c>
      <c r="D512" t="n">
        <v>27.2</v>
      </c>
      <c r="E512" t="n">
        <v>27.6</v>
      </c>
      <c r="F512" t="n">
        <v>27.6</v>
      </c>
      <c r="G512" t="n">
        <v>27.7</v>
      </c>
      <c r="H512" t="n">
        <v>27.7</v>
      </c>
      <c r="I512" t="inlineStr">
        <is>
          <t>-</t>
        </is>
      </c>
      <c r="J512" t="inlineStr">
        <is>
          <t>-</t>
        </is>
      </c>
    </row>
    <row r="513">
      <c r="B513" t="inlineStr">
        <is>
          <t>Electric power distribution(1)</t>
        </is>
      </c>
      <c r="C513" t="n">
        <v>221122</v>
      </c>
      <c r="D513" t="n">
        <v>225.5</v>
      </c>
      <c r="E513" t="n">
        <v>226.4</v>
      </c>
      <c r="F513" t="n">
        <v>225.8</v>
      </c>
      <c r="G513" t="n">
        <v>226.5</v>
      </c>
      <c r="H513" t="n">
        <v>226.5</v>
      </c>
      <c r="I513" t="inlineStr">
        <is>
          <t>-</t>
        </is>
      </c>
      <c r="J513" t="inlineStr">
        <is>
          <t>-</t>
        </is>
      </c>
    </row>
    <row r="514">
      <c r="A514" t="inlineStr">
        <is>
          <t>ISIC 352T353</t>
        </is>
      </c>
      <c r="B514" t="inlineStr">
        <is>
          <t>Natural gas distribution(1)</t>
        </is>
      </c>
      <c r="C514" t="n">
        <v>2212</v>
      </c>
      <c r="D514" t="n">
        <v>114.6</v>
      </c>
      <c r="E514" t="n">
        <v>114.4</v>
      </c>
      <c r="F514" t="n">
        <v>114.7</v>
      </c>
      <c r="G514" t="n">
        <v>115.1</v>
      </c>
      <c r="H514" t="n">
        <v>115.3</v>
      </c>
      <c r="I514" t="inlineStr">
        <is>
          <t>-</t>
        </is>
      </c>
      <c r="J514" t="inlineStr">
        <is>
          <t>-</t>
        </is>
      </c>
    </row>
    <row r="515">
      <c r="A515" t="inlineStr">
        <is>
          <t>ISIC 36T39</t>
        </is>
      </c>
      <c r="B515" t="inlineStr">
        <is>
          <t>Water, sewage, and other systems(1)</t>
        </is>
      </c>
      <c r="C515" t="n">
        <v>2213</v>
      </c>
      <c r="D515" t="n">
        <v>59.9</v>
      </c>
      <c r="E515" t="n">
        <v>63.1</v>
      </c>
      <c r="F515" t="n">
        <v>63.6</v>
      </c>
      <c r="G515" t="n">
        <v>64.2</v>
      </c>
      <c r="H515" t="n">
        <v>63.1</v>
      </c>
      <c r="I515" t="inlineStr">
        <is>
          <t>-</t>
        </is>
      </c>
      <c r="J515" t="inlineStr">
        <is>
          <t>-</t>
        </is>
      </c>
    </row>
    <row r="517">
      <c r="B517" t="inlineStr">
        <is>
          <t>Information</t>
        </is>
      </c>
      <c r="C517" t="n">
        <v>51</v>
      </c>
      <c r="D517" t="n">
        <v>2999</v>
      </c>
      <c r="E517" t="n">
        <v>2999</v>
      </c>
      <c r="F517" t="n">
        <v>2991</v>
      </c>
      <c r="G517" t="n">
        <v>2992</v>
      </c>
      <c r="H517" t="n">
        <v>2986</v>
      </c>
      <c r="I517" t="n">
        <v>2986</v>
      </c>
      <c r="J517" t="n">
        <v>0</v>
      </c>
    </row>
    <row r="518">
      <c r="A518" t="inlineStr">
        <is>
          <t>ISIC 58T60</t>
        </is>
      </c>
      <c r="B518" t="inlineStr">
        <is>
          <t>Motion picture and sound recording industries</t>
        </is>
      </c>
      <c r="C518" t="n">
        <v>512</v>
      </c>
      <c r="D518" t="n">
        <v>420.4</v>
      </c>
      <c r="E518" t="n">
        <v>447.3</v>
      </c>
      <c r="F518" t="n">
        <v>447.5</v>
      </c>
      <c r="G518" t="n">
        <v>445</v>
      </c>
      <c r="H518" t="n">
        <v>443</v>
      </c>
      <c r="I518" t="n">
        <v>444.9</v>
      </c>
      <c r="J518" t="n">
        <v>1.9</v>
      </c>
    </row>
    <row r="519">
      <c r="B519" t="inlineStr">
        <is>
          <t>Motion picture and video production(1)</t>
        </is>
      </c>
      <c r="C519" t="n">
        <v>51211</v>
      </c>
      <c r="D519" t="n">
        <v>245.8</v>
      </c>
      <c r="E519" t="n">
        <v>276.1</v>
      </c>
      <c r="F519" t="n">
        <v>270.9</v>
      </c>
      <c r="G519" t="n">
        <v>267.8</v>
      </c>
      <c r="H519" t="n">
        <v>266.5</v>
      </c>
      <c r="I519" t="inlineStr">
        <is>
          <t>-</t>
        </is>
      </c>
      <c r="J519" t="inlineStr">
        <is>
          <t>-</t>
        </is>
      </c>
    </row>
    <row r="520">
      <c r="B520" t="inlineStr">
        <is>
          <t>Motion picture and video exhibition(1)</t>
        </is>
      </c>
      <c r="C520" t="n">
        <v>51213</v>
      </c>
      <c r="D520" t="n">
        <v>122.8</v>
      </c>
      <c r="E520" t="n">
        <v>116.8</v>
      </c>
      <c r="F520" t="n">
        <v>119.6</v>
      </c>
      <c r="G520" t="n">
        <v>119.6</v>
      </c>
      <c r="H520" t="n">
        <v>119.3</v>
      </c>
      <c r="I520" t="inlineStr">
        <is>
          <t>-</t>
        </is>
      </c>
      <c r="J520" t="inlineStr">
        <is>
          <t>-</t>
        </is>
      </c>
    </row>
    <row r="521">
      <c r="A521" t="inlineStr">
        <is>
          <t>ISIC 58T60</t>
        </is>
      </c>
      <c r="B521" t="inlineStr">
        <is>
          <t>Publishing industries</t>
        </is>
      </c>
      <c r="C521" t="n">
        <v>513</v>
      </c>
      <c r="D521" t="n">
        <v>933</v>
      </c>
      <c r="E521" t="n">
        <v>921.3</v>
      </c>
      <c r="F521" t="n">
        <v>918.4</v>
      </c>
      <c r="G521" t="n">
        <v>921.2</v>
      </c>
      <c r="H521" t="n">
        <v>924.6</v>
      </c>
      <c r="I521" t="n">
        <v>921.6</v>
      </c>
      <c r="J521" t="n">
        <v>-3</v>
      </c>
    </row>
    <row r="522">
      <c r="B522" t="inlineStr">
        <is>
          <t>Newspaper, periodical, book, and directory publishers(1)</t>
        </is>
      </c>
      <c r="C522" t="n">
        <v>5131</v>
      </c>
      <c r="D522" t="n">
        <v>284.2</v>
      </c>
      <c r="E522" t="n">
        <v>271.2</v>
      </c>
      <c r="F522" t="n">
        <v>270.8</v>
      </c>
      <c r="G522" t="n">
        <v>269</v>
      </c>
      <c r="H522" t="n">
        <v>267.7</v>
      </c>
      <c r="I522" t="inlineStr">
        <is>
          <t>-</t>
        </is>
      </c>
      <c r="J522" t="inlineStr">
        <is>
          <t>-</t>
        </is>
      </c>
    </row>
    <row r="523">
      <c r="B523" t="inlineStr">
        <is>
          <t>Newspaper publishers(1)</t>
        </is>
      </c>
      <c r="C523" t="n">
        <v>51311</v>
      </c>
      <c r="D523" t="n">
        <v>91.2</v>
      </c>
      <c r="E523" t="n">
        <v>86.40000000000001</v>
      </c>
      <c r="F523" t="n">
        <v>85.5</v>
      </c>
      <c r="G523" t="n">
        <v>84.09999999999999</v>
      </c>
      <c r="H523" t="n">
        <v>83.90000000000001</v>
      </c>
      <c r="I523" t="inlineStr">
        <is>
          <t>-</t>
        </is>
      </c>
      <c r="J523" t="inlineStr">
        <is>
          <t>-</t>
        </is>
      </c>
    </row>
    <row r="524">
      <c r="B524" t="inlineStr">
        <is>
          <t>Periodical publishers(1)</t>
        </is>
      </c>
      <c r="C524" t="n">
        <v>51312</v>
      </c>
      <c r="D524" t="n">
        <v>69</v>
      </c>
      <c r="E524" t="n">
        <v>65.8</v>
      </c>
      <c r="F524" t="n">
        <v>65.40000000000001</v>
      </c>
      <c r="G524" t="n">
        <v>64.90000000000001</v>
      </c>
      <c r="H524" t="n">
        <v>64.59999999999999</v>
      </c>
      <c r="I524" t="inlineStr">
        <is>
          <t>-</t>
        </is>
      </c>
      <c r="J524" t="inlineStr">
        <is>
          <t>-</t>
        </is>
      </c>
    </row>
    <row r="525">
      <c r="B525" t="inlineStr">
        <is>
          <t>Book publishers(1)</t>
        </is>
      </c>
      <c r="C525" t="n">
        <v>51313</v>
      </c>
      <c r="D525" t="n">
        <v>55.1</v>
      </c>
      <c r="E525" t="n">
        <v>56.9</v>
      </c>
      <c r="F525" t="n">
        <v>56.7</v>
      </c>
      <c r="G525" t="n">
        <v>56.6</v>
      </c>
      <c r="H525" t="n">
        <v>56.4</v>
      </c>
      <c r="I525" t="inlineStr">
        <is>
          <t>-</t>
        </is>
      </c>
      <c r="J525" t="inlineStr">
        <is>
          <t>-</t>
        </is>
      </c>
    </row>
    <row r="526">
      <c r="B526" t="inlineStr">
        <is>
          <t>Directory, mailing list, and other publishers(1)</t>
        </is>
      </c>
      <c r="C526" t="inlineStr">
        <is>
          <t>51314,9</t>
        </is>
      </c>
      <c r="D526" t="n">
        <v>68.5</v>
      </c>
      <c r="E526" t="n">
        <v>62.9</v>
      </c>
      <c r="F526" t="n">
        <v>62.9</v>
      </c>
      <c r="G526" t="n">
        <v>62.6</v>
      </c>
      <c r="H526" t="n">
        <v>62.2</v>
      </c>
      <c r="I526" t="inlineStr">
        <is>
          <t>-</t>
        </is>
      </c>
      <c r="J526" t="inlineStr">
        <is>
          <t>-</t>
        </is>
      </c>
    </row>
    <row r="527">
      <c r="B527" t="inlineStr">
        <is>
          <t>Software publishers(1)</t>
        </is>
      </c>
      <c r="C527" t="n">
        <v>5132</v>
      </c>
      <c r="D527" t="n">
        <v>649.8</v>
      </c>
      <c r="E527" t="n">
        <v>653.8</v>
      </c>
      <c r="F527" t="n">
        <v>652.2</v>
      </c>
      <c r="G527" t="n">
        <v>655.6</v>
      </c>
      <c r="H527" t="n">
        <v>658.2</v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ISIC 58T60</t>
        </is>
      </c>
      <c r="B528" t="inlineStr">
        <is>
          <t>Broadcasting and content providers</t>
        </is>
      </c>
      <c r="C528" t="n">
        <v>516</v>
      </c>
      <c r="D528" t="n">
        <v>342.3</v>
      </c>
      <c r="E528" t="n">
        <v>338.6</v>
      </c>
      <c r="F528" t="n">
        <v>336.6</v>
      </c>
      <c r="G528" t="n">
        <v>337</v>
      </c>
      <c r="H528" t="n">
        <v>335.6</v>
      </c>
      <c r="I528" t="n">
        <v>334.1</v>
      </c>
      <c r="J528" t="n">
        <v>-1.5</v>
      </c>
    </row>
    <row r="529">
      <c r="B529" t="inlineStr">
        <is>
          <t>Radio and television broadcasting stations(1)</t>
        </is>
      </c>
      <c r="C529" t="n">
        <v>5161</v>
      </c>
      <c r="D529" t="n">
        <v>119.4</v>
      </c>
      <c r="E529" t="n">
        <v>119.9</v>
      </c>
      <c r="F529" t="n">
        <v>119</v>
      </c>
      <c r="G529" t="n">
        <v>118.8</v>
      </c>
      <c r="H529" t="n">
        <v>117.7</v>
      </c>
      <c r="I529" t="inlineStr">
        <is>
          <t>-</t>
        </is>
      </c>
      <c r="J529" t="inlineStr">
        <is>
          <t>-</t>
        </is>
      </c>
    </row>
    <row r="530">
      <c r="B530" t="inlineStr">
        <is>
          <t>Radio broadcasting stations(1)</t>
        </is>
      </c>
      <c r="C530" t="n">
        <v>51611</v>
      </c>
      <c r="D530" t="n">
        <v>52.3</v>
      </c>
      <c r="E530" t="n">
        <v>52.1</v>
      </c>
      <c r="F530" t="n">
        <v>51.4</v>
      </c>
      <c r="G530" t="n">
        <v>52.3</v>
      </c>
      <c r="H530" t="n">
        <v>51.1</v>
      </c>
      <c r="I530" t="inlineStr">
        <is>
          <t>-</t>
        </is>
      </c>
      <c r="J530" t="inlineStr">
        <is>
          <t>-</t>
        </is>
      </c>
    </row>
    <row r="531">
      <c r="B531" t="inlineStr">
        <is>
          <t>Television broadcasting stations(1)</t>
        </is>
      </c>
      <c r="C531" t="n">
        <v>51612</v>
      </c>
      <c r="D531" t="n">
        <v>67.3</v>
      </c>
      <c r="E531" t="n">
        <v>67.8</v>
      </c>
      <c r="F531" t="n">
        <v>67.3</v>
      </c>
      <c r="G531" t="n">
        <v>67.09999999999999</v>
      </c>
      <c r="H531" t="n">
        <v>66.59999999999999</v>
      </c>
      <c r="I531" t="inlineStr">
        <is>
          <t>-</t>
        </is>
      </c>
      <c r="J531" t="inlineStr">
        <is>
          <t>-</t>
        </is>
      </c>
    </row>
    <row r="532">
      <c r="B532" t="inlineStr">
        <is>
          <t>Media streaming distribution services, social networks, and other media networks and content providers(1)</t>
        </is>
      </c>
      <c r="C532" t="n">
        <v>5162</v>
      </c>
      <c r="D532" t="n">
        <v>222.8</v>
      </c>
      <c r="E532" t="n">
        <v>218.7</v>
      </c>
      <c r="F532" t="n">
        <v>217.5</v>
      </c>
      <c r="G532" t="n">
        <v>218</v>
      </c>
      <c r="H532" t="n">
        <v>218</v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ISIC 61</t>
        </is>
      </c>
      <c r="B533" t="inlineStr">
        <is>
          <t>Telecommunications</t>
        </is>
      </c>
      <c r="C533" t="n">
        <v>517</v>
      </c>
      <c r="D533" t="n">
        <v>635</v>
      </c>
      <c r="E533" t="n">
        <v>621.9</v>
      </c>
      <c r="F533" t="n">
        <v>619.7</v>
      </c>
      <c r="G533" t="n">
        <v>619.6</v>
      </c>
      <c r="H533" t="n">
        <v>613.3</v>
      </c>
      <c r="I533" t="n">
        <v>614.5</v>
      </c>
      <c r="J533" t="n">
        <v>1.2</v>
      </c>
    </row>
    <row r="534">
      <c r="B534" t="inlineStr">
        <is>
          <t>Wired and wireless telecommunications (except satellite)(1)</t>
        </is>
      </c>
      <c r="C534" t="n">
        <v>5171</v>
      </c>
      <c r="D534" t="n">
        <v>580</v>
      </c>
      <c r="E534" t="n">
        <v>567.1</v>
      </c>
      <c r="F534" t="n">
        <v>565</v>
      </c>
      <c r="G534" t="n">
        <v>564.6</v>
      </c>
      <c r="H534" t="n">
        <v>558.2</v>
      </c>
      <c r="I534" t="inlineStr">
        <is>
          <t>-</t>
        </is>
      </c>
      <c r="J534" t="inlineStr">
        <is>
          <t>-</t>
        </is>
      </c>
    </row>
    <row r="535">
      <c r="B535" t="inlineStr">
        <is>
          <t>Wired and wireless telecommunications carriers (except satellite)(1)</t>
        </is>
      </c>
      <c r="C535" t="n">
        <v>51711</v>
      </c>
      <c r="D535" t="n">
        <v>541.5</v>
      </c>
      <c r="E535" t="n">
        <v>530</v>
      </c>
      <c r="F535" t="n">
        <v>527.2</v>
      </c>
      <c r="G535" t="n">
        <v>527.3</v>
      </c>
      <c r="H535" t="n">
        <v>520.4</v>
      </c>
      <c r="I535" t="inlineStr">
        <is>
          <t>-</t>
        </is>
      </c>
      <c r="J535" t="inlineStr">
        <is>
          <t>-</t>
        </is>
      </c>
    </row>
    <row r="536">
      <c r="B536" t="inlineStr">
        <is>
          <t>Wired telecommunications carriers(1)</t>
        </is>
      </c>
      <c r="C536" t="n">
        <v>517111</v>
      </c>
      <c r="D536" t="n">
        <v>457.9</v>
      </c>
      <c r="E536" t="n">
        <v>448</v>
      </c>
      <c r="F536" t="n">
        <v>445.1</v>
      </c>
      <c r="G536" t="n">
        <v>444.6</v>
      </c>
      <c r="H536" t="n">
        <v>438.4</v>
      </c>
      <c r="I536" t="inlineStr">
        <is>
          <t>-</t>
        </is>
      </c>
      <c r="J536" t="inlineStr">
        <is>
          <t>-</t>
        </is>
      </c>
    </row>
    <row r="537">
      <c r="B537" t="inlineStr">
        <is>
          <t>Wireless telecommunications carriers (except satellite)(1)</t>
        </is>
      </c>
      <c r="C537" t="n">
        <v>517112</v>
      </c>
      <c r="D537" t="n">
        <v>83.5</v>
      </c>
      <c r="E537" t="n">
        <v>82.09999999999999</v>
      </c>
      <c r="F537" t="n">
        <v>81.90000000000001</v>
      </c>
      <c r="G537" t="n">
        <v>82.2</v>
      </c>
      <c r="H537" t="n">
        <v>82.09999999999999</v>
      </c>
      <c r="I537" t="inlineStr">
        <is>
          <t>-</t>
        </is>
      </c>
      <c r="J537" t="inlineStr">
        <is>
          <t>-</t>
        </is>
      </c>
    </row>
    <row r="538">
      <c r="B538" t="inlineStr">
        <is>
          <t>Telecommunications resellers(1)</t>
        </is>
      </c>
      <c r="C538" t="n">
        <v>51712</v>
      </c>
      <c r="D538" t="n">
        <v>38.8</v>
      </c>
      <c r="E538" t="n">
        <v>37.3</v>
      </c>
      <c r="F538" t="n">
        <v>37.5</v>
      </c>
      <c r="G538" t="n">
        <v>37.3</v>
      </c>
      <c r="H538" t="n">
        <v>37.5</v>
      </c>
      <c r="I538" t="inlineStr">
        <is>
          <t>-</t>
        </is>
      </c>
      <c r="J538" t="inlineStr">
        <is>
          <t>-</t>
        </is>
      </c>
    </row>
    <row r="539">
      <c r="B539" t="inlineStr">
        <is>
          <t>All other telecommunications(1)</t>
        </is>
      </c>
      <c r="C539" t="inlineStr">
        <is>
          <t>5174,8</t>
        </is>
      </c>
      <c r="D539" t="n">
        <v>54.8</v>
      </c>
      <c r="E539" t="n">
        <v>55</v>
      </c>
      <c r="F539" t="n">
        <v>55.2</v>
      </c>
      <c r="G539" t="n">
        <v>55.2</v>
      </c>
      <c r="H539" t="n">
        <v>55.2</v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ISIC 62T63</t>
        </is>
      </c>
      <c r="B540" t="inlineStr">
        <is>
          <t>Computing infrastructure providers, data processing, web hosting, and related services</t>
        </is>
      </c>
      <c r="C540" t="n">
        <v>518</v>
      </c>
      <c r="D540" t="n">
        <v>490.7</v>
      </c>
      <c r="E540" t="n">
        <v>494.9</v>
      </c>
      <c r="F540" t="n">
        <v>493.9</v>
      </c>
      <c r="G540" t="n">
        <v>493.1</v>
      </c>
      <c r="H540" t="n">
        <v>492.1</v>
      </c>
      <c r="I540" t="n">
        <v>493.2</v>
      </c>
      <c r="J540" t="n">
        <v>1.1</v>
      </c>
    </row>
    <row r="541">
      <c r="A541" t="inlineStr">
        <is>
          <t>ISIC 62T63</t>
        </is>
      </c>
      <c r="B541" t="inlineStr">
        <is>
          <t>Web search portals, libraries, archives, and other information services</t>
        </is>
      </c>
      <c r="C541" t="n">
        <v>519</v>
      </c>
      <c r="D541" t="n">
        <v>177.4</v>
      </c>
      <c r="E541" t="n">
        <v>174.6</v>
      </c>
      <c r="F541" t="n">
        <v>175.2</v>
      </c>
      <c r="G541" t="n">
        <v>175.8</v>
      </c>
      <c r="H541" t="n">
        <v>177</v>
      </c>
      <c r="I541" t="n">
        <v>178</v>
      </c>
      <c r="J541" t="n">
        <v>1</v>
      </c>
    </row>
    <row r="542">
      <c r="B542" t="inlineStr">
        <is>
          <t>Libraries and archives(1)</t>
        </is>
      </c>
      <c r="C542" t="n">
        <v>51921</v>
      </c>
      <c r="D542" t="n">
        <v>28.1</v>
      </c>
      <c r="E542" t="n">
        <v>27.4</v>
      </c>
      <c r="F542" t="n">
        <v>27.6</v>
      </c>
      <c r="G542" t="n">
        <v>27.9</v>
      </c>
      <c r="H542" t="n">
        <v>28.3</v>
      </c>
      <c r="I542" t="inlineStr">
        <is>
          <t>-</t>
        </is>
      </c>
      <c r="J542" t="inlineStr">
        <is>
          <t>-</t>
        </is>
      </c>
    </row>
    <row r="543">
      <c r="B543" t="inlineStr">
        <is>
          <t>Web search portals and all other information services(1)</t>
        </is>
      </c>
      <c r="C543" t="n">
        <v>51929</v>
      </c>
      <c r="D543" t="n">
        <v>150.3</v>
      </c>
      <c r="E543" t="n">
        <v>147.5</v>
      </c>
      <c r="F543" t="n">
        <v>147.6</v>
      </c>
      <c r="G543" t="n">
        <v>148.2</v>
      </c>
      <c r="H543" t="n">
        <v>149.1</v>
      </c>
      <c r="I543" t="inlineStr">
        <is>
          <t>-</t>
        </is>
      </c>
      <c r="J543" t="inlineStr">
        <is>
          <t>-</t>
        </is>
      </c>
    </row>
    <row r="545">
      <c r="B545" t="inlineStr">
        <is>
          <t>Financial activities(3)</t>
        </is>
      </c>
      <c r="D545" t="n">
        <v>9227</v>
      </c>
      <c r="E545" t="n">
        <v>9244</v>
      </c>
      <c r="F545" t="n">
        <v>9251</v>
      </c>
      <c r="G545" t="n">
        <v>9257</v>
      </c>
      <c r="H545" t="n">
        <v>9263</v>
      </c>
      <c r="I545" t="n">
        <v>9280</v>
      </c>
      <c r="J545" t="n">
        <v>17</v>
      </c>
    </row>
    <row r="546">
      <c r="A546" t="inlineStr">
        <is>
          <t>ISIC 64T66</t>
        </is>
      </c>
      <c r="B546" t="inlineStr">
        <is>
          <t>Finance and insurance</t>
        </is>
      </c>
      <c r="C546" t="n">
        <v>52</v>
      </c>
      <c r="D546" t="n">
        <v>6736.6</v>
      </c>
      <c r="E546" t="n">
        <v>6747.8</v>
      </c>
      <c r="F546" t="n">
        <v>6747.9</v>
      </c>
      <c r="G546" t="n">
        <v>6751.6</v>
      </c>
      <c r="H546" t="n">
        <v>6751.9</v>
      </c>
      <c r="I546" t="n">
        <v>6765.1</v>
      </c>
      <c r="J546" t="n">
        <v>13.2</v>
      </c>
    </row>
    <row r="547">
      <c r="B547" t="inlineStr">
        <is>
          <t>Monetary authorities-central bank</t>
        </is>
      </c>
      <c r="C547" t="n">
        <v>521</v>
      </c>
      <c r="D547" t="n">
        <v>22.6</v>
      </c>
      <c r="E547" t="n">
        <v>22.7</v>
      </c>
      <c r="F547" t="n">
        <v>23</v>
      </c>
      <c r="G547" t="n">
        <v>23.2</v>
      </c>
      <c r="H547" t="n">
        <v>23.2</v>
      </c>
      <c r="I547" t="n">
        <v>23.4</v>
      </c>
      <c r="J547" t="n">
        <v>0.2</v>
      </c>
    </row>
    <row r="548">
      <c r="B548" t="inlineStr">
        <is>
          <t>Credit intermediation and related activities</t>
        </is>
      </c>
      <c r="C548" t="n">
        <v>522</v>
      </c>
      <c r="D548" t="n">
        <v>2607.2</v>
      </c>
      <c r="E548" t="n">
        <v>2578.9</v>
      </c>
      <c r="F548" t="n">
        <v>2577.5</v>
      </c>
      <c r="G548" t="n">
        <v>2577.5</v>
      </c>
      <c r="H548" t="n">
        <v>2575.5</v>
      </c>
      <c r="I548" t="n">
        <v>2582.3</v>
      </c>
      <c r="J548" t="n">
        <v>6.8</v>
      </c>
    </row>
    <row r="549">
      <c r="B549" t="inlineStr">
        <is>
          <t>Depository credit intermediation</t>
        </is>
      </c>
      <c r="C549" t="n">
        <v>5221</v>
      </c>
      <c r="D549" t="n">
        <v>1787.6</v>
      </c>
      <c r="E549" t="n">
        <v>1770.7</v>
      </c>
      <c r="F549" t="n">
        <v>1770.9</v>
      </c>
      <c r="G549" t="n">
        <v>1773.1</v>
      </c>
      <c r="H549" t="n">
        <v>1774.1</v>
      </c>
      <c r="I549" t="n">
        <v>1773.9</v>
      </c>
      <c r="J549" t="n">
        <v>-0.2</v>
      </c>
    </row>
    <row r="550">
      <c r="B550" t="inlineStr">
        <is>
          <t>Commercial banking(1)</t>
        </is>
      </c>
      <c r="C550" t="n">
        <v>52211</v>
      </c>
      <c r="D550" t="n">
        <v>1380.1</v>
      </c>
      <c r="E550" t="n">
        <v>1360.6</v>
      </c>
      <c r="F550" t="n">
        <v>1359.5</v>
      </c>
      <c r="G550" t="n">
        <v>1360.8</v>
      </c>
      <c r="H550" t="n">
        <v>1361.2</v>
      </c>
      <c r="I550" t="n">
        <v>1361</v>
      </c>
      <c r="J550" t="n">
        <v>-0.2</v>
      </c>
    </row>
    <row r="551">
      <c r="B551" t="inlineStr">
        <is>
          <t>Credit unions(1)</t>
        </is>
      </c>
      <c r="C551" t="n">
        <v>52213</v>
      </c>
      <c r="D551" t="n">
        <v>309.7</v>
      </c>
      <c r="E551" t="n">
        <v>312.5</v>
      </c>
      <c r="F551" t="n">
        <v>313.3</v>
      </c>
      <c r="G551" t="n">
        <v>314.4</v>
      </c>
      <c r="H551" t="n">
        <v>315.3</v>
      </c>
      <c r="I551" t="inlineStr">
        <is>
          <t>-</t>
        </is>
      </c>
      <c r="J551" t="inlineStr">
        <is>
          <t>-</t>
        </is>
      </c>
    </row>
    <row r="552">
      <c r="B552" t="inlineStr">
        <is>
          <t>Savings institutions and other depository credit intermediation(1)</t>
        </is>
      </c>
      <c r="C552" t="n">
        <v>52218</v>
      </c>
      <c r="D552" t="n">
        <v>98.59999999999999</v>
      </c>
      <c r="E552" t="n">
        <v>98</v>
      </c>
      <c r="F552" t="n">
        <v>98.09999999999999</v>
      </c>
      <c r="G552" t="n">
        <v>97.59999999999999</v>
      </c>
      <c r="H552" t="n">
        <v>97.5</v>
      </c>
      <c r="I552" t="inlineStr">
        <is>
          <t>-</t>
        </is>
      </c>
      <c r="J552" t="inlineStr">
        <is>
          <t>-</t>
        </is>
      </c>
    </row>
    <row r="553">
      <c r="B553" t="inlineStr">
        <is>
          <t>Nondepository credit intermediation</t>
        </is>
      </c>
      <c r="C553" t="n">
        <v>5222</v>
      </c>
      <c r="D553" t="n">
        <v>531.9</v>
      </c>
      <c r="E553" t="n">
        <v>527.4</v>
      </c>
      <c r="F553" t="n">
        <v>525.6</v>
      </c>
      <c r="G553" t="n">
        <v>525.8</v>
      </c>
      <c r="H553" t="n">
        <v>524.7</v>
      </c>
      <c r="I553" t="n">
        <v>529.6</v>
      </c>
      <c r="J553" t="n">
        <v>4.9</v>
      </c>
    </row>
    <row r="554">
      <c r="B554" t="inlineStr">
        <is>
          <t>Credit card issuing(1)</t>
        </is>
      </c>
      <c r="C554" t="n">
        <v>52221</v>
      </c>
      <c r="D554" t="n">
        <v>69.3</v>
      </c>
      <c r="E554" t="n">
        <v>70.90000000000001</v>
      </c>
      <c r="F554" t="n">
        <v>70.2</v>
      </c>
      <c r="G554" t="n">
        <v>70</v>
      </c>
      <c r="H554" t="n">
        <v>67.90000000000001</v>
      </c>
      <c r="I554" t="inlineStr">
        <is>
          <t>-</t>
        </is>
      </c>
      <c r="J554" t="inlineStr">
        <is>
          <t>-</t>
        </is>
      </c>
    </row>
    <row r="555">
      <c r="B555" t="inlineStr">
        <is>
          <t>Sales financing(1)</t>
        </is>
      </c>
      <c r="C555" t="n">
        <v>52222</v>
      </c>
      <c r="D555" t="n">
        <v>87.40000000000001</v>
      </c>
      <c r="E555" t="n">
        <v>86.59999999999999</v>
      </c>
      <c r="F555" t="n">
        <v>86.2</v>
      </c>
      <c r="G555" t="n">
        <v>85.7</v>
      </c>
      <c r="H555" t="n">
        <v>85.59999999999999</v>
      </c>
      <c r="I555" t="inlineStr">
        <is>
          <t>-</t>
        </is>
      </c>
      <c r="J555" t="inlineStr">
        <is>
          <t>-</t>
        </is>
      </c>
    </row>
    <row r="556">
      <c r="B556" t="inlineStr">
        <is>
          <t>Other nondepository credit intermediation(1)</t>
        </is>
      </c>
      <c r="C556" t="n">
        <v>52229</v>
      </c>
      <c r="D556" t="n">
        <v>373.5</v>
      </c>
      <c r="E556" t="n">
        <v>370.4</v>
      </c>
      <c r="F556" t="n">
        <v>369</v>
      </c>
      <c r="G556" t="n">
        <v>369.7</v>
      </c>
      <c r="H556" t="n">
        <v>370.3</v>
      </c>
      <c r="I556" t="inlineStr">
        <is>
          <t>-</t>
        </is>
      </c>
      <c r="J556" t="inlineStr">
        <is>
          <t>-</t>
        </is>
      </c>
    </row>
    <row r="557">
      <c r="B557" t="inlineStr">
        <is>
          <t>Consumer lending(1)</t>
        </is>
      </c>
      <c r="C557" t="n">
        <v>522291</v>
      </c>
      <c r="D557" t="n">
        <v>91.3</v>
      </c>
      <c r="E557" t="n">
        <v>94.3</v>
      </c>
      <c r="F557" t="n">
        <v>92.90000000000001</v>
      </c>
      <c r="G557" t="n">
        <v>91.7</v>
      </c>
      <c r="H557" t="n">
        <v>91.09999999999999</v>
      </c>
      <c r="I557" t="inlineStr">
        <is>
          <t>-</t>
        </is>
      </c>
      <c r="J557" t="inlineStr">
        <is>
          <t>-</t>
        </is>
      </c>
    </row>
    <row r="558">
      <c r="B558" t="inlineStr">
        <is>
          <t>Real estate credit(1)</t>
        </is>
      </c>
      <c r="C558" t="n">
        <v>522292</v>
      </c>
      <c r="D558" t="n">
        <v>189.5</v>
      </c>
      <c r="E558" t="n">
        <v>183.9</v>
      </c>
      <c r="F558" t="n">
        <v>183.4</v>
      </c>
      <c r="G558" t="n">
        <v>185.7</v>
      </c>
      <c r="H558" t="n">
        <v>186.7</v>
      </c>
      <c r="I558" t="inlineStr">
        <is>
          <t>-</t>
        </is>
      </c>
      <c r="J558" t="inlineStr">
        <is>
          <t>-</t>
        </is>
      </c>
    </row>
    <row r="559">
      <c r="B559" t="inlineStr">
        <is>
          <t>International, secondary market, and all other nondepository credit intermediation(1)</t>
        </is>
      </c>
      <c r="C559" t="n">
        <v>522299</v>
      </c>
      <c r="D559" t="n">
        <v>92.40000000000001</v>
      </c>
      <c r="E559" t="n">
        <v>92.59999999999999</v>
      </c>
      <c r="F559" t="n">
        <v>92.3</v>
      </c>
      <c r="G559" t="n">
        <v>92.09999999999999</v>
      </c>
      <c r="H559" t="n">
        <v>92</v>
      </c>
      <c r="I559" t="inlineStr">
        <is>
          <t>-</t>
        </is>
      </c>
      <c r="J559" t="inlineStr">
        <is>
          <t>-</t>
        </is>
      </c>
    </row>
    <row r="560">
      <c r="B560" t="inlineStr">
        <is>
          <t>Activities related to credit intermediation</t>
        </is>
      </c>
      <c r="C560" t="n">
        <v>5223</v>
      </c>
      <c r="D560" t="n">
        <v>287.7</v>
      </c>
      <c r="E560" t="n">
        <v>280.9</v>
      </c>
      <c r="F560" t="n">
        <v>281.1</v>
      </c>
      <c r="G560" t="n">
        <v>278.6</v>
      </c>
      <c r="H560" t="n">
        <v>276.8</v>
      </c>
      <c r="I560" t="n">
        <v>278.8</v>
      </c>
      <c r="J560" t="n">
        <v>2</v>
      </c>
    </row>
    <row r="561">
      <c r="B561" t="inlineStr">
        <is>
          <t>Mortgage and nonmortgage loan brokers(1)</t>
        </is>
      </c>
      <c r="C561" t="n">
        <v>52231</v>
      </c>
      <c r="D561" t="n">
        <v>87.2</v>
      </c>
      <c r="E561" t="n">
        <v>86.90000000000001</v>
      </c>
      <c r="F561" t="n">
        <v>87.8</v>
      </c>
      <c r="G561" t="n">
        <v>86.59999999999999</v>
      </c>
      <c r="H561" t="n">
        <v>86.7</v>
      </c>
      <c r="I561" t="inlineStr">
        <is>
          <t>-</t>
        </is>
      </c>
      <c r="J561" t="inlineStr">
        <is>
          <t>-</t>
        </is>
      </c>
    </row>
    <row r="562">
      <c r="B562" t="inlineStr">
        <is>
          <t>Financial transactions processing, reserve, and clearinghouse activities(1)</t>
        </is>
      </c>
      <c r="C562" t="n">
        <v>52232</v>
      </c>
      <c r="D562" t="n">
        <v>132.8</v>
      </c>
      <c r="E562" t="n">
        <v>130.9</v>
      </c>
      <c r="F562" t="n">
        <v>131</v>
      </c>
      <c r="G562" t="n">
        <v>130.5</v>
      </c>
      <c r="H562" t="n">
        <v>128.7</v>
      </c>
      <c r="I562" t="inlineStr">
        <is>
          <t>-</t>
        </is>
      </c>
      <c r="J562" t="inlineStr">
        <is>
          <t>-</t>
        </is>
      </c>
    </row>
    <row r="563">
      <c r="B563" t="inlineStr">
        <is>
          <t>Other activities related to credit intermediation(1)</t>
        </is>
      </c>
      <c r="C563" t="n">
        <v>52239</v>
      </c>
      <c r="D563" t="n">
        <v>67.5</v>
      </c>
      <c r="E563" t="n">
        <v>62.9</v>
      </c>
      <c r="F563" t="n">
        <v>62.1</v>
      </c>
      <c r="G563" t="n">
        <v>61.2</v>
      </c>
      <c r="H563" t="n">
        <v>61.2</v>
      </c>
      <c r="I563" t="inlineStr">
        <is>
          <t>-</t>
        </is>
      </c>
      <c r="J563" t="inlineStr">
        <is>
          <t>-</t>
        </is>
      </c>
    </row>
    <row r="564">
      <c r="B564" t="inlineStr">
        <is>
          <t>Securities, commodity contracts, funds, trusts, and other financial vehicles, investments, and related activities</t>
        </is>
      </c>
      <c r="C564" t="inlineStr">
        <is>
          <t>523,5</t>
        </is>
      </c>
      <c r="D564" t="n">
        <v>1113.4</v>
      </c>
      <c r="E564" t="n">
        <v>1120.2</v>
      </c>
      <c r="F564" t="n">
        <v>1119.8</v>
      </c>
      <c r="G564" t="n">
        <v>1123.2</v>
      </c>
      <c r="H564" t="n">
        <v>1123.9</v>
      </c>
      <c r="I564" t="n">
        <v>1125</v>
      </c>
      <c r="J564" t="n">
        <v>1.1</v>
      </c>
    </row>
    <row r="565">
      <c r="B565" t="inlineStr">
        <is>
          <t>Securities and commodity contracts brokerage, intermediation, and exchanges(1)</t>
        </is>
      </c>
      <c r="C565" t="inlineStr">
        <is>
          <t>5231,2</t>
        </is>
      </c>
      <c r="D565" t="n">
        <v>485.3</v>
      </c>
      <c r="E565" t="n">
        <v>477.8</v>
      </c>
      <c r="F565" t="n">
        <v>476.3</v>
      </c>
      <c r="G565" t="n">
        <v>477.5</v>
      </c>
      <c r="H565" t="n">
        <v>477.7</v>
      </c>
      <c r="I565" t="inlineStr">
        <is>
          <t>-</t>
        </is>
      </c>
      <c r="J565" t="inlineStr">
        <is>
          <t>-</t>
        </is>
      </c>
    </row>
    <row r="566">
      <c r="B566" t="inlineStr">
        <is>
          <t>Investment banking and securities intermediation(1)</t>
        </is>
      </c>
      <c r="C566" t="n">
        <v>52315</v>
      </c>
      <c r="D566" t="n">
        <v>452.4</v>
      </c>
      <c r="E566" t="n">
        <v>446.4</v>
      </c>
      <c r="F566" t="n">
        <v>445.4</v>
      </c>
      <c r="G566" t="n">
        <v>446.6</v>
      </c>
      <c r="H566" t="n">
        <v>446</v>
      </c>
      <c r="I566" t="inlineStr">
        <is>
          <t>-</t>
        </is>
      </c>
      <c r="J566" t="inlineStr">
        <is>
          <t>-</t>
        </is>
      </c>
    </row>
    <row r="567">
      <c r="B567" t="inlineStr">
        <is>
          <t>Funds, trusts, and other financial vehicles and investment activities(1)</t>
        </is>
      </c>
      <c r="C567" t="inlineStr">
        <is>
          <t>5239,50</t>
        </is>
      </c>
      <c r="D567" t="n">
        <v>628.3</v>
      </c>
      <c r="E567" t="n">
        <v>642</v>
      </c>
      <c r="F567" t="n">
        <v>643.8</v>
      </c>
      <c r="G567" t="n">
        <v>645.8</v>
      </c>
      <c r="H567" t="n">
        <v>646.6</v>
      </c>
      <c r="I567" t="inlineStr">
        <is>
          <t>-</t>
        </is>
      </c>
      <c r="J567" t="inlineStr">
        <is>
          <t>-</t>
        </is>
      </c>
    </row>
    <row r="568">
      <c r="B568" t="inlineStr">
        <is>
          <t>Miscellaneous intermediation(1)</t>
        </is>
      </c>
      <c r="C568" t="n">
        <v>52391</v>
      </c>
      <c r="D568" t="n">
        <v>35.4</v>
      </c>
      <c r="E568" t="n">
        <v>36.1</v>
      </c>
      <c r="F568" t="n">
        <v>35.7</v>
      </c>
      <c r="G568" t="n">
        <v>36.5</v>
      </c>
      <c r="H568" t="n">
        <v>36.3</v>
      </c>
      <c r="I568" t="inlineStr">
        <is>
          <t>-</t>
        </is>
      </c>
      <c r="J568" t="inlineStr">
        <is>
          <t>-</t>
        </is>
      </c>
    </row>
    <row r="569">
      <c r="B569" t="inlineStr">
        <is>
          <t>Portfolio management and investment advice(1)</t>
        </is>
      </c>
      <c r="C569" t="n">
        <v>52394</v>
      </c>
      <c r="D569" t="n">
        <v>503.2</v>
      </c>
      <c r="E569" t="n">
        <v>513.2</v>
      </c>
      <c r="F569" t="n">
        <v>514.3</v>
      </c>
      <c r="G569" t="n">
        <v>516.2</v>
      </c>
      <c r="H569" t="n">
        <v>516.3</v>
      </c>
      <c r="I569" t="inlineStr">
        <is>
          <t>-</t>
        </is>
      </c>
      <c r="J569" t="inlineStr">
        <is>
          <t>-</t>
        </is>
      </c>
    </row>
    <row r="570">
      <c r="B570" t="inlineStr">
        <is>
          <t>All other financial investment activities(1)</t>
        </is>
      </c>
      <c r="C570" t="n">
        <v>52399500</v>
      </c>
      <c r="D570" t="n">
        <v>89.40000000000001</v>
      </c>
      <c r="E570" t="n">
        <v>92.8</v>
      </c>
      <c r="F570" t="n">
        <v>93.5</v>
      </c>
      <c r="G570" t="n">
        <v>93</v>
      </c>
      <c r="H570" t="n">
        <v>93.90000000000001</v>
      </c>
      <c r="I570" t="inlineStr">
        <is>
          <t>-</t>
        </is>
      </c>
      <c r="J570" t="inlineStr">
        <is>
          <t>-</t>
        </is>
      </c>
    </row>
    <row r="571">
      <c r="B571" t="inlineStr">
        <is>
          <t>Insurance carriers and related activities</t>
        </is>
      </c>
      <c r="C571" t="n">
        <v>524</v>
      </c>
      <c r="D571" t="n">
        <v>2993.4</v>
      </c>
      <c r="E571" t="n">
        <v>3026</v>
      </c>
      <c r="F571" t="n">
        <v>3027.6</v>
      </c>
      <c r="G571" t="n">
        <v>3027.7</v>
      </c>
      <c r="H571" t="n">
        <v>3029.3</v>
      </c>
      <c r="I571" t="n">
        <v>3034.4</v>
      </c>
      <c r="J571" t="n">
        <v>5.1</v>
      </c>
    </row>
    <row r="572">
      <c r="B572" t="inlineStr">
        <is>
          <t>Insurance carriers(1)</t>
        </is>
      </c>
      <c r="C572" t="n">
        <v>5241</v>
      </c>
      <c r="D572" t="n">
        <v>1623.8</v>
      </c>
      <c r="E572" t="n">
        <v>1633.5</v>
      </c>
      <c r="F572" t="n">
        <v>1631</v>
      </c>
      <c r="G572" t="n">
        <v>1631.8</v>
      </c>
      <c r="H572" t="n">
        <v>1629.9</v>
      </c>
      <c r="I572" t="inlineStr">
        <is>
          <t>-</t>
        </is>
      </c>
      <c r="J572" t="inlineStr">
        <is>
          <t>-</t>
        </is>
      </c>
    </row>
    <row r="573">
      <c r="B573" t="inlineStr">
        <is>
          <t>Direct life, health, and medical insurance carriers(1)</t>
        </is>
      </c>
      <c r="C573" t="n">
        <v>52411</v>
      </c>
      <c r="D573" t="n">
        <v>913.6</v>
      </c>
      <c r="E573" t="n">
        <v>921</v>
      </c>
      <c r="F573" t="n">
        <v>917.6</v>
      </c>
      <c r="G573" t="n">
        <v>917.7</v>
      </c>
      <c r="H573" t="n">
        <v>916.7</v>
      </c>
      <c r="I573" t="inlineStr">
        <is>
          <t>-</t>
        </is>
      </c>
      <c r="J573" t="inlineStr">
        <is>
          <t>-</t>
        </is>
      </c>
    </row>
    <row r="574">
      <c r="B574" t="inlineStr">
        <is>
          <t>Direct insurance (except life, health, and medical) carriers(1)</t>
        </is>
      </c>
      <c r="C574" t="n">
        <v>52412</v>
      </c>
      <c r="D574" t="n">
        <v>679.7</v>
      </c>
      <c r="E574" t="n">
        <v>681.5</v>
      </c>
      <c r="F574" t="n">
        <v>681.9</v>
      </c>
      <c r="G574" t="n">
        <v>682.4</v>
      </c>
      <c r="H574" t="n">
        <v>682.6</v>
      </c>
      <c r="I574" t="inlineStr">
        <is>
          <t>-</t>
        </is>
      </c>
      <c r="J574" t="inlineStr">
        <is>
          <t>-</t>
        </is>
      </c>
    </row>
    <row r="575">
      <c r="B575" t="inlineStr">
        <is>
          <t>Direct property and casualty insurance carriers(1)</t>
        </is>
      </c>
      <c r="C575" t="n">
        <v>524126</v>
      </c>
      <c r="D575" t="n">
        <v>591.1</v>
      </c>
      <c r="E575" t="n">
        <v>592.6</v>
      </c>
      <c r="F575" t="n">
        <v>592.6</v>
      </c>
      <c r="G575" t="n">
        <v>592.6</v>
      </c>
      <c r="H575" t="n">
        <v>592.5</v>
      </c>
      <c r="I575" t="inlineStr">
        <is>
          <t>-</t>
        </is>
      </c>
      <c r="J575" t="inlineStr">
        <is>
          <t>-</t>
        </is>
      </c>
    </row>
    <row r="576">
      <c r="B576" t="inlineStr">
        <is>
          <t>Direct title insurance and other direct insurance (except life, health, and medical) carriers(1)</t>
        </is>
      </c>
      <c r="C576" t="inlineStr">
        <is>
          <t>524127,8</t>
        </is>
      </c>
      <c r="D576" t="n">
        <v>88.3</v>
      </c>
      <c r="E576" t="n">
        <v>89.2</v>
      </c>
      <c r="F576" t="n">
        <v>90</v>
      </c>
      <c r="G576" t="n">
        <v>89.90000000000001</v>
      </c>
      <c r="H576" t="n">
        <v>90</v>
      </c>
      <c r="I576" t="inlineStr">
        <is>
          <t>-</t>
        </is>
      </c>
      <c r="J576" t="inlineStr">
        <is>
          <t>-</t>
        </is>
      </c>
    </row>
    <row r="577">
      <c r="B577" t="inlineStr">
        <is>
          <t>Reinsurance carriers(1)</t>
        </is>
      </c>
      <c r="C577" t="n">
        <v>52413</v>
      </c>
      <c r="D577" t="n">
        <v>31.2</v>
      </c>
      <c r="E577" t="n">
        <v>31.6</v>
      </c>
      <c r="F577" t="n">
        <v>31.7</v>
      </c>
      <c r="G577" t="n">
        <v>31.7</v>
      </c>
      <c r="H577" t="n">
        <v>31.7</v>
      </c>
      <c r="I577" t="inlineStr">
        <is>
          <t>-</t>
        </is>
      </c>
      <c r="J577" t="inlineStr">
        <is>
          <t>-</t>
        </is>
      </c>
    </row>
    <row r="578">
      <c r="B578" t="inlineStr">
        <is>
          <t>Agencies, brokerages, and other insurance related activities(1)</t>
        </is>
      </c>
      <c r="C578" t="n">
        <v>5242</v>
      </c>
      <c r="D578" t="n">
        <v>1369.2</v>
      </c>
      <c r="E578" t="n">
        <v>1391.8</v>
      </c>
      <c r="F578" t="n">
        <v>1395.1</v>
      </c>
      <c r="G578" t="n">
        <v>1396.3</v>
      </c>
      <c r="H578" t="n">
        <v>1398.9</v>
      </c>
      <c r="I578" t="inlineStr">
        <is>
          <t>-</t>
        </is>
      </c>
      <c r="J578" t="inlineStr">
        <is>
          <t>-</t>
        </is>
      </c>
    </row>
    <row r="579">
      <c r="B579" t="inlineStr">
        <is>
          <t>Insurance agencies and brokerages(1)</t>
        </is>
      </c>
      <c r="C579" t="n">
        <v>52421</v>
      </c>
      <c r="D579" t="n">
        <v>975</v>
      </c>
      <c r="E579" t="n">
        <v>997.6</v>
      </c>
      <c r="F579" t="n">
        <v>1000.2</v>
      </c>
      <c r="G579" t="n">
        <v>1000.6</v>
      </c>
      <c r="H579" t="n">
        <v>1003</v>
      </c>
      <c r="I579" t="inlineStr">
        <is>
          <t>-</t>
        </is>
      </c>
      <c r="J579" t="inlineStr">
        <is>
          <t>-</t>
        </is>
      </c>
    </row>
    <row r="580">
      <c r="B580" t="inlineStr">
        <is>
          <t>Other insurance related activities(1)</t>
        </is>
      </c>
      <c r="C580" t="n">
        <v>52429</v>
      </c>
      <c r="D580" t="n">
        <v>395.3</v>
      </c>
      <c r="E580" t="n">
        <v>394</v>
      </c>
      <c r="F580" t="n">
        <v>396.3</v>
      </c>
      <c r="G580" t="n">
        <v>395.3</v>
      </c>
      <c r="H580" t="n">
        <v>396.5</v>
      </c>
      <c r="I580" t="inlineStr">
        <is>
          <t>-</t>
        </is>
      </c>
      <c r="J580" t="inlineStr">
        <is>
          <t>-</t>
        </is>
      </c>
    </row>
    <row r="581">
      <c r="B581" t="inlineStr">
        <is>
          <t>Claims adjusting(1)</t>
        </is>
      </c>
      <c r="C581" t="n">
        <v>524291</v>
      </c>
      <c r="D581" t="n">
        <v>66.5</v>
      </c>
      <c r="E581" t="n">
        <v>66.5</v>
      </c>
      <c r="F581" t="n">
        <v>66</v>
      </c>
      <c r="G581" t="n">
        <v>64.09999999999999</v>
      </c>
      <c r="H581" t="n">
        <v>66.40000000000001</v>
      </c>
      <c r="I581" t="inlineStr">
        <is>
          <t>-</t>
        </is>
      </c>
      <c r="J581" t="inlineStr">
        <is>
          <t>-</t>
        </is>
      </c>
    </row>
    <row r="582">
      <c r="B582" t="inlineStr">
        <is>
          <t>Pharmacy benefit management and other third party administration of insurance and pension funds(1)</t>
        </is>
      </c>
      <c r="C582" t="n">
        <v>524292</v>
      </c>
      <c r="D582" t="n">
        <v>222</v>
      </c>
      <c r="E582" t="n">
        <v>223.1</v>
      </c>
      <c r="F582" t="n">
        <v>224.7</v>
      </c>
      <c r="G582" t="n">
        <v>224.8</v>
      </c>
      <c r="H582" t="n">
        <v>224.8</v>
      </c>
      <c r="I582" t="inlineStr">
        <is>
          <t>-</t>
        </is>
      </c>
      <c r="J582" t="inlineStr">
        <is>
          <t>-</t>
        </is>
      </c>
    </row>
    <row r="583">
      <c r="B583" t="inlineStr">
        <is>
          <t>All other insurance related activities(1)</t>
        </is>
      </c>
      <c r="C583" t="n">
        <v>524298</v>
      </c>
      <c r="D583" t="n">
        <v>106.3</v>
      </c>
      <c r="E583" t="n">
        <v>105.4</v>
      </c>
      <c r="F583" t="n">
        <v>105.8</v>
      </c>
      <c r="G583" t="n">
        <v>105.6</v>
      </c>
      <c r="H583" t="n">
        <v>105.2</v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ISIC 68</t>
        </is>
      </c>
      <c r="B584" t="inlineStr">
        <is>
          <t>Real estate and rental and leasing</t>
        </is>
      </c>
      <c r="C584" t="n">
        <v>53</v>
      </c>
      <c r="D584" t="n">
        <v>2490.7</v>
      </c>
      <c r="E584" t="n">
        <v>2496.1</v>
      </c>
      <c r="F584" t="n">
        <v>2502.7</v>
      </c>
      <c r="G584" t="n">
        <v>2505.8</v>
      </c>
      <c r="H584" t="n">
        <v>2511.5</v>
      </c>
      <c r="I584" t="n">
        <v>2515.2</v>
      </c>
      <c r="J584" t="n">
        <v>3.7</v>
      </c>
    </row>
    <row r="585">
      <c r="B585" t="inlineStr">
        <is>
          <t>Real estate</t>
        </is>
      </c>
      <c r="C585" t="n">
        <v>531</v>
      </c>
      <c r="D585" t="n">
        <v>1868.9</v>
      </c>
      <c r="E585" t="n">
        <v>1889</v>
      </c>
      <c r="F585" t="n">
        <v>1890.2</v>
      </c>
      <c r="G585" t="n">
        <v>1891.8</v>
      </c>
      <c r="H585" t="n">
        <v>1892.8</v>
      </c>
      <c r="I585" t="n">
        <v>1894</v>
      </c>
      <c r="J585" t="n">
        <v>1.2</v>
      </c>
    </row>
    <row r="586">
      <c r="B586" t="inlineStr">
        <is>
          <t>Lessors of real estate(1)</t>
        </is>
      </c>
      <c r="C586" t="n">
        <v>5311</v>
      </c>
      <c r="D586" t="n">
        <v>629.8</v>
      </c>
      <c r="E586" t="n">
        <v>639.3</v>
      </c>
      <c r="F586" t="n">
        <v>639.5</v>
      </c>
      <c r="G586" t="n">
        <v>638.5</v>
      </c>
      <c r="H586" t="n">
        <v>638.7</v>
      </c>
      <c r="I586" t="inlineStr">
        <is>
          <t>-</t>
        </is>
      </c>
      <c r="J586" t="inlineStr">
        <is>
          <t>-</t>
        </is>
      </c>
    </row>
    <row r="587">
      <c r="B587" t="inlineStr">
        <is>
          <t>Lessors of residential buildings and dwellings(1)</t>
        </is>
      </c>
      <c r="C587" t="n">
        <v>53111</v>
      </c>
      <c r="D587" t="n">
        <v>371.3</v>
      </c>
      <c r="E587" t="n">
        <v>376.9</v>
      </c>
      <c r="F587" t="n">
        <v>377.3</v>
      </c>
      <c r="G587" t="n">
        <v>377.3</v>
      </c>
      <c r="H587" t="n">
        <v>378.2</v>
      </c>
      <c r="I587" t="inlineStr">
        <is>
          <t>-</t>
        </is>
      </c>
      <c r="J587" t="inlineStr">
        <is>
          <t>-</t>
        </is>
      </c>
    </row>
    <row r="588">
      <c r="B588" t="inlineStr">
        <is>
          <t>Lessors of nonresidential buildings (except miniwarehouses)(1)</t>
        </is>
      </c>
      <c r="C588" t="n">
        <v>53112</v>
      </c>
      <c r="D588" t="n">
        <v>155.9</v>
      </c>
      <c r="E588" t="n">
        <v>158.3</v>
      </c>
      <c r="F588" t="n">
        <v>157.9</v>
      </c>
      <c r="G588" t="n">
        <v>157.7</v>
      </c>
      <c r="H588" t="n">
        <v>158</v>
      </c>
      <c r="I588" t="inlineStr">
        <is>
          <t>-</t>
        </is>
      </c>
      <c r="J588" t="inlineStr">
        <is>
          <t>-</t>
        </is>
      </c>
    </row>
    <row r="589">
      <c r="B589" t="inlineStr">
        <is>
          <t>Lessors of miniwarehouses and self-storage units(1)</t>
        </is>
      </c>
      <c r="C589" t="n">
        <v>53113</v>
      </c>
      <c r="D589" t="n">
        <v>60.2</v>
      </c>
      <c r="E589" t="n">
        <v>61</v>
      </c>
      <c r="F589" t="n">
        <v>61.4</v>
      </c>
      <c r="G589" t="n">
        <v>61.2</v>
      </c>
      <c r="H589" t="n">
        <v>61.2</v>
      </c>
      <c r="I589" t="inlineStr">
        <is>
          <t>-</t>
        </is>
      </c>
      <c r="J589" t="inlineStr">
        <is>
          <t>-</t>
        </is>
      </c>
    </row>
    <row r="590">
      <c r="B590" t="inlineStr">
        <is>
          <t>Lessors of other real estate property(1)</t>
        </is>
      </c>
      <c r="C590" t="n">
        <v>53119</v>
      </c>
      <c r="D590" t="n">
        <v>43.1</v>
      </c>
      <c r="E590" t="n">
        <v>43.5</v>
      </c>
      <c r="F590" t="n">
        <v>42.9</v>
      </c>
      <c r="G590" t="n">
        <v>42</v>
      </c>
      <c r="H590" t="n">
        <v>41.4</v>
      </c>
      <c r="I590" t="inlineStr">
        <is>
          <t>-</t>
        </is>
      </c>
      <c r="J590" t="inlineStr">
        <is>
          <t>-</t>
        </is>
      </c>
    </row>
    <row r="591">
      <c r="B591" t="inlineStr">
        <is>
          <t>Offices of real estate agents and brokers(1)</t>
        </is>
      </c>
      <c r="C591" t="n">
        <v>5312</v>
      </c>
      <c r="D591" t="n">
        <v>408.7</v>
      </c>
      <c r="E591" t="n">
        <v>398.3</v>
      </c>
      <c r="F591" t="n">
        <v>397.8</v>
      </c>
      <c r="G591" t="n">
        <v>398.4</v>
      </c>
      <c r="H591" t="n">
        <v>399.8</v>
      </c>
      <c r="I591" t="inlineStr">
        <is>
          <t>-</t>
        </is>
      </c>
      <c r="J591" t="inlineStr">
        <is>
          <t>-</t>
        </is>
      </c>
    </row>
    <row r="592">
      <c r="B592" t="inlineStr">
        <is>
          <t>Activities related to real estate(1)</t>
        </is>
      </c>
      <c r="C592" t="n">
        <v>5313</v>
      </c>
      <c r="D592" t="n">
        <v>831.9</v>
      </c>
      <c r="E592" t="n">
        <v>850.5</v>
      </c>
      <c r="F592" t="n">
        <v>851.8</v>
      </c>
      <c r="G592" t="n">
        <v>853.7</v>
      </c>
      <c r="H592" t="n">
        <v>855</v>
      </c>
      <c r="I592" t="inlineStr">
        <is>
          <t>-</t>
        </is>
      </c>
      <c r="J592" t="inlineStr">
        <is>
          <t>-</t>
        </is>
      </c>
    </row>
    <row r="593">
      <c r="B593" t="inlineStr">
        <is>
          <t>Real estate property managers(1)</t>
        </is>
      </c>
      <c r="C593" t="n">
        <v>53131</v>
      </c>
      <c r="D593" t="n">
        <v>708.6</v>
      </c>
      <c r="E593" t="n">
        <v>728.7</v>
      </c>
      <c r="F593" t="n">
        <v>729.8</v>
      </c>
      <c r="G593" t="n">
        <v>731.1</v>
      </c>
      <c r="H593" t="n">
        <v>732.5</v>
      </c>
      <c r="I593" t="inlineStr">
        <is>
          <t>-</t>
        </is>
      </c>
      <c r="J593" t="inlineStr">
        <is>
          <t>-</t>
        </is>
      </c>
    </row>
    <row r="594">
      <c r="B594" t="inlineStr">
        <is>
          <t>Residential property managers(1)</t>
        </is>
      </c>
      <c r="C594" t="n">
        <v>531311</v>
      </c>
      <c r="D594" t="n">
        <v>536.8</v>
      </c>
      <c r="E594" t="n">
        <v>556.5</v>
      </c>
      <c r="F594" t="n">
        <v>556.7</v>
      </c>
      <c r="G594" t="n">
        <v>557.8</v>
      </c>
      <c r="H594" t="n">
        <v>558.5</v>
      </c>
      <c r="I594" t="inlineStr">
        <is>
          <t>-</t>
        </is>
      </c>
      <c r="J594" t="inlineStr">
        <is>
          <t>-</t>
        </is>
      </c>
    </row>
    <row r="595">
      <c r="B595" t="inlineStr">
        <is>
          <t>Nonresidential property managers(1)</t>
        </is>
      </c>
      <c r="C595" t="n">
        <v>531312</v>
      </c>
      <c r="D595" t="n">
        <v>172.1</v>
      </c>
      <c r="E595" t="n">
        <v>172</v>
      </c>
      <c r="F595" t="n">
        <v>173</v>
      </c>
      <c r="G595" t="n">
        <v>173.2</v>
      </c>
      <c r="H595" t="n">
        <v>174</v>
      </c>
      <c r="I595" t="inlineStr">
        <is>
          <t>-</t>
        </is>
      </c>
      <c r="J595" t="inlineStr">
        <is>
          <t>-</t>
        </is>
      </c>
    </row>
    <row r="596">
      <c r="B596" t="inlineStr">
        <is>
          <t>Offices of real estate appraisers(1)</t>
        </is>
      </c>
      <c r="C596" t="n">
        <v>53132</v>
      </c>
      <c r="D596" t="n">
        <v>30.2</v>
      </c>
      <c r="E596" t="n">
        <v>28.9</v>
      </c>
      <c r="F596" t="n">
        <v>29.1</v>
      </c>
      <c r="G596" t="n">
        <v>28.9</v>
      </c>
      <c r="H596" t="n">
        <v>29.1</v>
      </c>
      <c r="I596" t="inlineStr">
        <is>
          <t>-</t>
        </is>
      </c>
      <c r="J596" t="inlineStr">
        <is>
          <t>-</t>
        </is>
      </c>
    </row>
    <row r="597">
      <c r="B597" t="inlineStr">
        <is>
          <t>Other activities related to real estate(1)</t>
        </is>
      </c>
      <c r="C597" t="n">
        <v>53139</v>
      </c>
      <c r="D597" t="n">
        <v>93</v>
      </c>
      <c r="E597" t="n">
        <v>92.8</v>
      </c>
      <c r="F597" t="n">
        <v>92.90000000000001</v>
      </c>
      <c r="G597" t="n">
        <v>94.09999999999999</v>
      </c>
      <c r="H597" t="n">
        <v>93.5</v>
      </c>
      <c r="I597" t="inlineStr">
        <is>
          <t>-</t>
        </is>
      </c>
      <c r="J597" t="inlineStr">
        <is>
          <t>-</t>
        </is>
      </c>
    </row>
    <row r="598">
      <c r="B598" t="inlineStr">
        <is>
          <t>Rental and leasing services</t>
        </is>
      </c>
      <c r="C598" t="n">
        <v>532</v>
      </c>
      <c r="D598" t="n">
        <v>598.6</v>
      </c>
      <c r="E598" t="n">
        <v>583.5</v>
      </c>
      <c r="F598" t="n">
        <v>588.8</v>
      </c>
      <c r="G598" t="n">
        <v>590.1</v>
      </c>
      <c r="H598" t="n">
        <v>594.8</v>
      </c>
      <c r="I598" t="n">
        <v>597.3</v>
      </c>
      <c r="J598" t="n">
        <v>2.5</v>
      </c>
    </row>
    <row r="599">
      <c r="B599" t="inlineStr">
        <is>
          <t>Automotive equipment rental and leasing(1)</t>
        </is>
      </c>
      <c r="C599" t="n">
        <v>5321</v>
      </c>
      <c r="D599" t="n">
        <v>236.4</v>
      </c>
      <c r="E599" t="n">
        <v>232.3</v>
      </c>
      <c r="F599" t="n">
        <v>233.4</v>
      </c>
      <c r="G599" t="n">
        <v>233.8</v>
      </c>
      <c r="H599" t="n">
        <v>234.8</v>
      </c>
      <c r="I599" t="inlineStr">
        <is>
          <t>-</t>
        </is>
      </c>
      <c r="J599" t="inlineStr">
        <is>
          <t>-</t>
        </is>
      </c>
    </row>
    <row r="600">
      <c r="B600" t="inlineStr">
        <is>
          <t>Passenger car rental and leasing(1)</t>
        </is>
      </c>
      <c r="C600" t="n">
        <v>53211</v>
      </c>
      <c r="D600" t="n">
        <v>136.1</v>
      </c>
      <c r="E600" t="n">
        <v>130.6</v>
      </c>
      <c r="F600" t="n">
        <v>132.2</v>
      </c>
      <c r="G600" t="n">
        <v>132.1</v>
      </c>
      <c r="H600" t="n">
        <v>134.4</v>
      </c>
      <c r="I600" t="inlineStr">
        <is>
          <t>-</t>
        </is>
      </c>
      <c r="J600" t="inlineStr">
        <is>
          <t>-</t>
        </is>
      </c>
    </row>
    <row r="601">
      <c r="B601" t="inlineStr">
        <is>
          <t>Truck, utility trailer, and recreational vehicle (RV) rental and leasing(1)</t>
        </is>
      </c>
      <c r="C601" t="n">
        <v>53212</v>
      </c>
      <c r="D601" t="n">
        <v>99.90000000000001</v>
      </c>
      <c r="E601" t="n">
        <v>101.1</v>
      </c>
      <c r="F601" t="n">
        <v>101.1</v>
      </c>
      <c r="G601" t="n">
        <v>101.5</v>
      </c>
      <c r="H601" t="n">
        <v>101</v>
      </c>
      <c r="I601" t="inlineStr">
        <is>
          <t>-</t>
        </is>
      </c>
      <c r="J601" t="inlineStr">
        <is>
          <t>-</t>
        </is>
      </c>
    </row>
    <row r="602">
      <c r="B602" t="inlineStr">
        <is>
          <t>Consumer goods rental(1)</t>
        </is>
      </c>
      <c r="C602" t="n">
        <v>5322</v>
      </c>
      <c r="D602" t="n">
        <v>132.9</v>
      </c>
      <c r="E602" t="n">
        <v>123.6</v>
      </c>
      <c r="F602" t="n">
        <v>124.9</v>
      </c>
      <c r="G602" t="n">
        <v>126.7</v>
      </c>
      <c r="H602" t="n">
        <v>127.9</v>
      </c>
      <c r="I602" t="inlineStr">
        <is>
          <t>-</t>
        </is>
      </c>
      <c r="J602" t="inlineStr">
        <is>
          <t>-</t>
        </is>
      </c>
    </row>
    <row r="603">
      <c r="B603" t="inlineStr">
        <is>
          <t>Home health equipment rental(1)</t>
        </is>
      </c>
      <c r="C603" t="n">
        <v>532283</v>
      </c>
      <c r="D603" t="n">
        <v>33.6</v>
      </c>
      <c r="E603" t="n">
        <v>32.7</v>
      </c>
      <c r="F603" t="n">
        <v>33</v>
      </c>
      <c r="G603" t="n">
        <v>32.6</v>
      </c>
      <c r="H603" t="n">
        <v>32.8</v>
      </c>
      <c r="I603" t="inlineStr">
        <is>
          <t>-</t>
        </is>
      </c>
      <c r="J603" t="inlineStr">
        <is>
          <t>-</t>
        </is>
      </c>
    </row>
    <row r="604">
      <c r="B604" t="inlineStr">
        <is>
          <t>General rental centers(1)</t>
        </is>
      </c>
      <c r="C604" t="n">
        <v>5323</v>
      </c>
      <c r="D604" t="n">
        <v>33.7</v>
      </c>
      <c r="E604" t="n">
        <v>31.4</v>
      </c>
      <c r="F604" t="n">
        <v>32.4</v>
      </c>
      <c r="G604" t="n">
        <v>32.4</v>
      </c>
      <c r="H604" t="n">
        <v>32.6</v>
      </c>
      <c r="I604" t="inlineStr">
        <is>
          <t>-</t>
        </is>
      </c>
      <c r="J604" t="inlineStr">
        <is>
          <t>-</t>
        </is>
      </c>
    </row>
    <row r="605">
      <c r="B605" t="inlineStr">
        <is>
          <t>Commercial and industrial machinery and equipment rental and leasing(1)</t>
        </is>
      </c>
      <c r="C605" t="n">
        <v>5324</v>
      </c>
      <c r="D605" t="n">
        <v>195.2</v>
      </c>
      <c r="E605" t="n">
        <v>198.6</v>
      </c>
      <c r="F605" t="n">
        <v>197.7</v>
      </c>
      <c r="G605" t="n">
        <v>198.2</v>
      </c>
      <c r="H605" t="n">
        <v>198.5</v>
      </c>
      <c r="I605" t="inlineStr">
        <is>
          <t>-</t>
        </is>
      </c>
      <c r="J605" t="inlineStr">
        <is>
          <t>-</t>
        </is>
      </c>
    </row>
    <row r="606">
      <c r="B606" t="inlineStr">
        <is>
          <t>Construction, transportation, mining, and forestry machinery and equipment rental and leasing(1)</t>
        </is>
      </c>
      <c r="C606" t="n">
        <v>53241</v>
      </c>
      <c r="D606" t="n">
        <v>101.4</v>
      </c>
      <c r="E606" t="n">
        <v>104.9</v>
      </c>
      <c r="F606" t="n">
        <v>105</v>
      </c>
      <c r="G606" t="n">
        <v>105.2</v>
      </c>
      <c r="H606" t="n">
        <v>106.2</v>
      </c>
      <c r="I606" t="inlineStr">
        <is>
          <t>-</t>
        </is>
      </c>
      <c r="J606" t="inlineStr">
        <is>
          <t>-</t>
        </is>
      </c>
    </row>
    <row r="607">
      <c r="B607" t="inlineStr">
        <is>
          <t>Office, commercial, and industrial machinery and equipment rental and leasing(1)</t>
        </is>
      </c>
      <c r="C607" t="inlineStr">
        <is>
          <t>53242,9</t>
        </is>
      </c>
      <c r="D607" t="n">
        <v>94.40000000000001</v>
      </c>
      <c r="E607" t="n">
        <v>93.8</v>
      </c>
      <c r="F607" t="n">
        <v>92.3</v>
      </c>
      <c r="G607" t="n">
        <v>92.40000000000001</v>
      </c>
      <c r="H607" t="n">
        <v>92.40000000000001</v>
      </c>
      <c r="I607" t="inlineStr">
        <is>
          <t>-</t>
        </is>
      </c>
      <c r="J607" t="inlineStr">
        <is>
          <t>-</t>
        </is>
      </c>
    </row>
    <row r="608">
      <c r="B608" t="inlineStr">
        <is>
          <t>Lessors of nonfinancial intangible assets (except copyrighted works)</t>
        </is>
      </c>
      <c r="C608" t="n">
        <v>533</v>
      </c>
      <c r="D608" t="n">
        <v>23.2</v>
      </c>
      <c r="E608" t="n">
        <v>23.6</v>
      </c>
      <c r="F608" t="n">
        <v>23.7</v>
      </c>
      <c r="G608" t="n">
        <v>23.9</v>
      </c>
      <c r="H608" t="n">
        <v>23.9</v>
      </c>
      <c r="I608" t="n">
        <v>23.9</v>
      </c>
      <c r="J608" t="n">
        <v>0</v>
      </c>
    </row>
    <row r="610">
      <c r="B610" t="inlineStr">
        <is>
          <t>Professional and business services</t>
        </is>
      </c>
      <c r="D610" t="n">
        <v>22869</v>
      </c>
      <c r="E610" t="n">
        <v>22976</v>
      </c>
      <c r="F610" t="n">
        <v>22929</v>
      </c>
      <c r="G610" t="n">
        <v>22951</v>
      </c>
      <c r="H610" t="n">
        <v>22928</v>
      </c>
      <c r="I610" t="n">
        <v>22954</v>
      </c>
      <c r="J610" t="n">
        <v>26</v>
      </c>
    </row>
    <row r="611">
      <c r="B611" t="inlineStr">
        <is>
          <t>Professional, scientific, and technical services</t>
        </is>
      </c>
      <c r="C611" t="n">
        <v>54</v>
      </c>
      <c r="D611" t="n">
        <v>10907.2</v>
      </c>
      <c r="E611" t="n">
        <v>11029.6</v>
      </c>
      <c r="F611" t="n">
        <v>11022.4</v>
      </c>
      <c r="G611" t="n">
        <v>11032.1</v>
      </c>
      <c r="H611" t="n">
        <v>11034.8</v>
      </c>
      <c r="I611" t="n">
        <v>11050.7</v>
      </c>
      <c r="J611" t="n">
        <v>15.9</v>
      </c>
    </row>
    <row r="612">
      <c r="A612" t="inlineStr">
        <is>
          <t>ISIC 69T75</t>
        </is>
      </c>
      <c r="B612" t="inlineStr">
        <is>
          <t>Legal services</t>
        </is>
      </c>
      <c r="C612" t="n">
        <v>5411</v>
      </c>
      <c r="D612" t="n">
        <v>1188.1</v>
      </c>
      <c r="E612" t="n">
        <v>1182.6</v>
      </c>
      <c r="F612" t="n">
        <v>1180.8</v>
      </c>
      <c r="G612" t="n">
        <v>1181.8</v>
      </c>
      <c r="H612" t="n">
        <v>1183.5</v>
      </c>
      <c r="I612" t="n">
        <v>1184.3</v>
      </c>
      <c r="J612" t="n">
        <v>0.8</v>
      </c>
    </row>
    <row r="613">
      <c r="B613" t="inlineStr">
        <is>
          <t>Offices of lawyers(1)</t>
        </is>
      </c>
      <c r="C613" t="n">
        <v>54111</v>
      </c>
      <c r="D613" t="n">
        <v>1093.9</v>
      </c>
      <c r="E613" t="n">
        <v>1086.7</v>
      </c>
      <c r="F613" t="n">
        <v>1086.2</v>
      </c>
      <c r="G613" t="n">
        <v>1087.7</v>
      </c>
      <c r="H613" t="n">
        <v>1088.3</v>
      </c>
      <c r="I613" t="inlineStr">
        <is>
          <t>-</t>
        </is>
      </c>
      <c r="J613" t="inlineStr">
        <is>
          <t>-</t>
        </is>
      </c>
    </row>
    <row r="614">
      <c r="B614" t="inlineStr">
        <is>
          <t>Other legal services(1)</t>
        </is>
      </c>
      <c r="C614" t="n">
        <v>54119</v>
      </c>
      <c r="D614" t="n">
        <v>94.90000000000001</v>
      </c>
      <c r="E614" t="n">
        <v>94.90000000000001</v>
      </c>
      <c r="F614" t="n">
        <v>95.40000000000001</v>
      </c>
      <c r="G614" t="n">
        <v>95.2</v>
      </c>
      <c r="H614" t="n">
        <v>95</v>
      </c>
      <c r="I614" t="inlineStr">
        <is>
          <t>-</t>
        </is>
      </c>
      <c r="J614" t="inlineStr">
        <is>
          <t>-</t>
        </is>
      </c>
    </row>
    <row r="615">
      <c r="A615" t="inlineStr">
        <is>
          <t>ISIC 69T75</t>
        </is>
      </c>
      <c r="B615" t="inlineStr">
        <is>
          <t>Accounting, tax preparation, bookkeeping, and payroll services</t>
        </is>
      </c>
      <c r="C615" t="n">
        <v>5412</v>
      </c>
      <c r="D615" t="n">
        <v>1151</v>
      </c>
      <c r="E615" t="n">
        <v>1173.3</v>
      </c>
      <c r="F615" t="n">
        <v>1173.5</v>
      </c>
      <c r="G615" t="n">
        <v>1173.1</v>
      </c>
      <c r="H615" t="n">
        <v>1171.4</v>
      </c>
      <c r="I615" t="n">
        <v>1170.6</v>
      </c>
      <c r="J615" t="n">
        <v>-0.8</v>
      </c>
    </row>
    <row r="616">
      <c r="B616" t="inlineStr">
        <is>
          <t>Offices of certified public accountants(1)</t>
        </is>
      </c>
      <c r="C616" t="n">
        <v>541211</v>
      </c>
      <c r="D616" t="n">
        <v>551.6</v>
      </c>
      <c r="E616" t="n">
        <v>558.9</v>
      </c>
      <c r="F616" t="n">
        <v>555.5</v>
      </c>
      <c r="G616" t="n">
        <v>557.7</v>
      </c>
      <c r="H616" t="n">
        <v>555.8</v>
      </c>
      <c r="I616" t="inlineStr">
        <is>
          <t>-</t>
        </is>
      </c>
      <c r="J616" t="inlineStr">
        <is>
          <t>-</t>
        </is>
      </c>
    </row>
    <row r="617">
      <c r="B617" t="inlineStr">
        <is>
          <t>Tax preparation services(1)</t>
        </is>
      </c>
      <c r="C617" t="n">
        <v>541213</v>
      </c>
      <c r="D617" t="n">
        <v>99.90000000000001</v>
      </c>
      <c r="E617" t="n">
        <v>99.59999999999999</v>
      </c>
      <c r="F617" t="n">
        <v>99.59999999999999</v>
      </c>
      <c r="G617" t="n">
        <v>98.90000000000001</v>
      </c>
      <c r="H617" t="n">
        <v>99.2</v>
      </c>
      <c r="I617" t="inlineStr">
        <is>
          <t>-</t>
        </is>
      </c>
      <c r="J617" t="inlineStr">
        <is>
          <t>-</t>
        </is>
      </c>
    </row>
    <row r="618">
      <c r="B618" t="inlineStr">
        <is>
          <t>Payroll services(1)</t>
        </is>
      </c>
      <c r="C618" t="n">
        <v>541214</v>
      </c>
      <c r="D618" t="n">
        <v>214.6</v>
      </c>
      <c r="E618" t="n">
        <v>232.8</v>
      </c>
      <c r="F618" t="n">
        <v>236</v>
      </c>
      <c r="G618" t="n">
        <v>235.6</v>
      </c>
      <c r="H618" t="n">
        <v>235.6</v>
      </c>
      <c r="I618" t="inlineStr">
        <is>
          <t>-</t>
        </is>
      </c>
      <c r="J618" t="inlineStr">
        <is>
          <t>-</t>
        </is>
      </c>
    </row>
    <row r="619">
      <c r="B619" t="inlineStr">
        <is>
          <t>Other accounting services(1)</t>
        </is>
      </c>
      <c r="C619" t="n">
        <v>541219</v>
      </c>
      <c r="D619" t="n">
        <v>285</v>
      </c>
      <c r="E619" t="n">
        <v>279.7</v>
      </c>
      <c r="F619" t="n">
        <v>280.2</v>
      </c>
      <c r="G619" t="n">
        <v>281.8</v>
      </c>
      <c r="H619" t="n">
        <v>279.9</v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ISIC 69T75</t>
        </is>
      </c>
      <c r="B620" t="inlineStr">
        <is>
          <t>Architectural, engineering, and related services</t>
        </is>
      </c>
      <c r="C620" t="n">
        <v>5413</v>
      </c>
      <c r="D620" t="n">
        <v>1673.4</v>
      </c>
      <c r="E620" t="n">
        <v>1707.8</v>
      </c>
      <c r="F620" t="n">
        <v>1706.9</v>
      </c>
      <c r="G620" t="n">
        <v>1705.5</v>
      </c>
      <c r="H620" t="n">
        <v>1706.9</v>
      </c>
      <c r="I620" t="n">
        <v>1717.3</v>
      </c>
      <c r="J620" t="n">
        <v>10.4</v>
      </c>
    </row>
    <row r="621">
      <c r="B621" t="inlineStr">
        <is>
          <t>Architectural services(1)</t>
        </is>
      </c>
      <c r="C621" t="n">
        <v>54131</v>
      </c>
      <c r="D621" t="n">
        <v>206.1</v>
      </c>
      <c r="E621" t="n">
        <v>204.9</v>
      </c>
      <c r="F621" t="n">
        <v>203.5</v>
      </c>
      <c r="G621" t="n">
        <v>203.1</v>
      </c>
      <c r="H621" t="n">
        <v>203</v>
      </c>
      <c r="I621" t="inlineStr">
        <is>
          <t>-</t>
        </is>
      </c>
      <c r="J621" t="inlineStr">
        <is>
          <t>-</t>
        </is>
      </c>
    </row>
    <row r="622">
      <c r="B622" t="inlineStr">
        <is>
          <t>Landscape architectural services(1)</t>
        </is>
      </c>
      <c r="C622" t="n">
        <v>54132</v>
      </c>
      <c r="D622" t="n">
        <v>31.6</v>
      </c>
      <c r="E622" t="n">
        <v>31.4</v>
      </c>
      <c r="F622" t="n">
        <v>31.2</v>
      </c>
      <c r="G622" t="n">
        <v>30.8</v>
      </c>
      <c r="H622" t="n">
        <v>30.6</v>
      </c>
      <c r="I622" t="inlineStr">
        <is>
          <t>-</t>
        </is>
      </c>
      <c r="J622" t="inlineStr">
        <is>
          <t>-</t>
        </is>
      </c>
    </row>
    <row r="623">
      <c r="B623" t="inlineStr">
        <is>
          <t>Engineering and drafting services(1)</t>
        </is>
      </c>
      <c r="C623" t="inlineStr">
        <is>
          <t>54133,4</t>
        </is>
      </c>
      <c r="D623" t="n">
        <v>1158.6</v>
      </c>
      <c r="E623" t="n">
        <v>1193.3</v>
      </c>
      <c r="F623" t="n">
        <v>1195.2</v>
      </c>
      <c r="G623" t="n">
        <v>1195.2</v>
      </c>
      <c r="H623" t="n">
        <v>1197.7</v>
      </c>
      <c r="I623" t="inlineStr">
        <is>
          <t>-</t>
        </is>
      </c>
      <c r="J623" t="inlineStr">
        <is>
          <t>-</t>
        </is>
      </c>
    </row>
    <row r="624">
      <c r="B624" t="inlineStr">
        <is>
          <t>Building inspection, surveying, and mapping services(1)</t>
        </is>
      </c>
      <c r="C624" t="inlineStr">
        <is>
          <t>54135,6,7</t>
        </is>
      </c>
      <c r="D624" t="n">
        <v>96.5</v>
      </c>
      <c r="E624" t="n">
        <v>94.09999999999999</v>
      </c>
      <c r="F624" t="n">
        <v>94.40000000000001</v>
      </c>
      <c r="G624" t="n">
        <v>94.3</v>
      </c>
      <c r="H624" t="n">
        <v>95.3</v>
      </c>
      <c r="I624" t="inlineStr">
        <is>
          <t>-</t>
        </is>
      </c>
      <c r="J624" t="inlineStr">
        <is>
          <t>-</t>
        </is>
      </c>
    </row>
    <row r="625">
      <c r="B625" t="inlineStr">
        <is>
          <t>Testing laboratories and services(1)</t>
        </is>
      </c>
      <c r="C625" t="n">
        <v>54138</v>
      </c>
      <c r="D625" t="n">
        <v>180.2</v>
      </c>
      <c r="E625" t="n">
        <v>184.3</v>
      </c>
      <c r="F625" t="n">
        <v>182.6</v>
      </c>
      <c r="G625" t="n">
        <v>182.3</v>
      </c>
      <c r="H625" t="n">
        <v>181.4</v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ISIC 69T75</t>
        </is>
      </c>
      <c r="B626" t="inlineStr">
        <is>
          <t>Specialized design services</t>
        </is>
      </c>
      <c r="C626" t="n">
        <v>5414</v>
      </c>
      <c r="D626" t="n">
        <v>154.2</v>
      </c>
      <c r="E626" t="n">
        <v>152.3</v>
      </c>
      <c r="F626" t="n">
        <v>152.9</v>
      </c>
      <c r="G626" t="n">
        <v>152.9</v>
      </c>
      <c r="H626" t="n">
        <v>154.7</v>
      </c>
      <c r="I626" t="n">
        <v>155.6</v>
      </c>
      <c r="J626" t="n">
        <v>0.9</v>
      </c>
    </row>
    <row r="627">
      <c r="B627" t="inlineStr">
        <is>
          <t>Interior design services(1)</t>
        </is>
      </c>
      <c r="C627" t="n">
        <v>54141</v>
      </c>
      <c r="D627" t="n">
        <v>53.7</v>
      </c>
      <c r="E627" t="n">
        <v>54.8</v>
      </c>
      <c r="F627" t="n">
        <v>55</v>
      </c>
      <c r="G627" t="n">
        <v>55.4</v>
      </c>
      <c r="H627" t="n">
        <v>56.3</v>
      </c>
      <c r="I627" t="inlineStr">
        <is>
          <t>-</t>
        </is>
      </c>
      <c r="J627" t="inlineStr">
        <is>
          <t>-</t>
        </is>
      </c>
    </row>
    <row r="628">
      <c r="B628" t="inlineStr">
        <is>
          <t>Graphic design services(1)</t>
        </is>
      </c>
      <c r="C628" t="n">
        <v>54143</v>
      </c>
      <c r="D628" t="n">
        <v>59.2</v>
      </c>
      <c r="E628" t="n">
        <v>57.1</v>
      </c>
      <c r="F628" t="n">
        <v>58.1</v>
      </c>
      <c r="G628" t="n">
        <v>58</v>
      </c>
      <c r="H628" t="n">
        <v>58.8</v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ISIC 62T63</t>
        </is>
      </c>
      <c r="B629" t="inlineStr">
        <is>
          <t>Computer systems design and related services</t>
        </is>
      </c>
      <c r="C629" t="n">
        <v>5415</v>
      </c>
      <c r="D629" t="n">
        <v>2517.7</v>
      </c>
      <c r="E629" t="n">
        <v>2548.6</v>
      </c>
      <c r="F629" t="n">
        <v>2546.7</v>
      </c>
      <c r="G629" t="n">
        <v>2549.7</v>
      </c>
      <c r="H629" t="n">
        <v>2548.3</v>
      </c>
      <c r="I629" t="n">
        <v>2549.5</v>
      </c>
      <c r="J629" t="n">
        <v>1.2</v>
      </c>
    </row>
    <row r="630">
      <c r="B630" t="inlineStr">
        <is>
          <t>Custom computer programming services(1)</t>
        </is>
      </c>
      <c r="C630" t="n">
        <v>541511</v>
      </c>
      <c r="D630" t="n">
        <v>1139.6</v>
      </c>
      <c r="E630" t="n">
        <v>1159.1</v>
      </c>
      <c r="F630" t="n">
        <v>1163.1</v>
      </c>
      <c r="G630" t="n">
        <v>1166.1</v>
      </c>
      <c r="H630" t="n">
        <v>1166.1</v>
      </c>
      <c r="I630" t="inlineStr">
        <is>
          <t>-</t>
        </is>
      </c>
      <c r="J630" t="inlineStr">
        <is>
          <t>-</t>
        </is>
      </c>
    </row>
    <row r="631">
      <c r="B631" t="inlineStr">
        <is>
          <t>Computer systems design services(1)</t>
        </is>
      </c>
      <c r="C631" t="n">
        <v>541512</v>
      </c>
      <c r="D631" t="n">
        <v>1166.9</v>
      </c>
      <c r="E631" t="n">
        <v>1171.9</v>
      </c>
      <c r="F631" t="n">
        <v>1169.4</v>
      </c>
      <c r="G631" t="n">
        <v>1167.4</v>
      </c>
      <c r="H631" t="n">
        <v>1165.5</v>
      </c>
      <c r="I631" t="inlineStr">
        <is>
          <t>-</t>
        </is>
      </c>
      <c r="J631" t="inlineStr">
        <is>
          <t>-</t>
        </is>
      </c>
    </row>
    <row r="632">
      <c r="B632" t="inlineStr">
        <is>
          <t>Computer facilities management services(1)</t>
        </is>
      </c>
      <c r="C632" t="n">
        <v>541513</v>
      </c>
      <c r="D632" t="n">
        <v>78</v>
      </c>
      <c r="E632" t="n">
        <v>80.40000000000001</v>
      </c>
      <c r="F632" t="n">
        <v>79.2</v>
      </c>
      <c r="G632" t="n">
        <v>79.40000000000001</v>
      </c>
      <c r="H632" t="n">
        <v>79.2</v>
      </c>
      <c r="I632" t="inlineStr">
        <is>
          <t>-</t>
        </is>
      </c>
      <c r="J632" t="inlineStr">
        <is>
          <t>-</t>
        </is>
      </c>
    </row>
    <row r="633">
      <c r="B633" t="inlineStr">
        <is>
          <t>Other computer related services(1)</t>
        </is>
      </c>
      <c r="C633" t="n">
        <v>541519</v>
      </c>
      <c r="D633" t="n">
        <v>131.8</v>
      </c>
      <c r="E633" t="n">
        <v>134.4</v>
      </c>
      <c r="F633" t="n">
        <v>134.6</v>
      </c>
      <c r="G633" t="n">
        <v>135.6</v>
      </c>
      <c r="H633" t="n">
        <v>135.9</v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ISIC 69T75</t>
        </is>
      </c>
      <c r="B634" t="inlineStr">
        <is>
          <t>Management, scientific, and technical consulting services</t>
        </is>
      </c>
      <c r="C634" t="n">
        <v>5416</v>
      </c>
      <c r="D634" t="n">
        <v>1886.2</v>
      </c>
      <c r="E634" t="n">
        <v>1903.8</v>
      </c>
      <c r="F634" t="n">
        <v>1902.6</v>
      </c>
      <c r="G634" t="n">
        <v>1903.8</v>
      </c>
      <c r="H634" t="n">
        <v>1905.6</v>
      </c>
      <c r="I634" t="n">
        <v>1908</v>
      </c>
      <c r="J634" t="n">
        <v>2.4</v>
      </c>
    </row>
    <row r="635">
      <c r="B635" t="inlineStr">
        <is>
          <t>Management consulting services(1)</t>
        </is>
      </c>
      <c r="C635" t="n">
        <v>54161</v>
      </c>
      <c r="D635" t="n">
        <v>1566</v>
      </c>
      <c r="E635" t="n">
        <v>1573.9</v>
      </c>
      <c r="F635" t="n">
        <v>1572.4</v>
      </c>
      <c r="G635" t="n">
        <v>1574.1</v>
      </c>
      <c r="H635" t="n">
        <v>1574.3</v>
      </c>
      <c r="I635" t="inlineStr">
        <is>
          <t>-</t>
        </is>
      </c>
      <c r="J635" t="inlineStr">
        <is>
          <t>-</t>
        </is>
      </c>
    </row>
    <row r="636">
      <c r="B636" t="inlineStr">
        <is>
          <t>Administrative management and general management consulting services(1)</t>
        </is>
      </c>
      <c r="C636" t="n">
        <v>541611</v>
      </c>
      <c r="D636" t="n">
        <v>854.7</v>
      </c>
      <c r="E636" t="n">
        <v>860.5</v>
      </c>
      <c r="F636" t="n">
        <v>860.6</v>
      </c>
      <c r="G636" t="n">
        <v>861.8</v>
      </c>
      <c r="H636" t="n">
        <v>861.4</v>
      </c>
      <c r="I636" t="inlineStr">
        <is>
          <t>-</t>
        </is>
      </c>
      <c r="J636" t="inlineStr">
        <is>
          <t>-</t>
        </is>
      </c>
    </row>
    <row r="637">
      <c r="B637" t="inlineStr">
        <is>
          <t>Human resources consulting services(1)</t>
        </is>
      </c>
      <c r="C637" t="n">
        <v>541612</v>
      </c>
      <c r="D637" t="n">
        <v>94.7</v>
      </c>
      <c r="E637" t="n">
        <v>96.59999999999999</v>
      </c>
      <c r="F637" t="n">
        <v>95.5</v>
      </c>
      <c r="G637" t="n">
        <v>94.3</v>
      </c>
      <c r="H637" t="n">
        <v>95.59999999999999</v>
      </c>
      <c r="I637" t="inlineStr">
        <is>
          <t>-</t>
        </is>
      </c>
      <c r="J637" t="inlineStr">
        <is>
          <t>-</t>
        </is>
      </c>
    </row>
    <row r="638">
      <c r="B638" t="inlineStr">
        <is>
          <t>Marketing consulting services(1)</t>
        </is>
      </c>
      <c r="C638" t="n">
        <v>541613</v>
      </c>
      <c r="D638" t="n">
        <v>328.1</v>
      </c>
      <c r="E638" t="n">
        <v>321.5</v>
      </c>
      <c r="F638" t="n">
        <v>320.3</v>
      </c>
      <c r="G638" t="n">
        <v>321.6</v>
      </c>
      <c r="H638" t="n">
        <v>322.7</v>
      </c>
      <c r="I638" t="inlineStr">
        <is>
          <t>-</t>
        </is>
      </c>
      <c r="J638" t="inlineStr">
        <is>
          <t>-</t>
        </is>
      </c>
    </row>
    <row r="639">
      <c r="B639" t="inlineStr">
        <is>
          <t>Process, physical distribution, and logistics consulting services(1)</t>
        </is>
      </c>
      <c r="C639" t="n">
        <v>541614</v>
      </c>
      <c r="D639" t="n">
        <v>166.2</v>
      </c>
      <c r="E639" t="n">
        <v>169</v>
      </c>
      <c r="F639" t="n">
        <v>169.1</v>
      </c>
      <c r="G639" t="n">
        <v>169.3</v>
      </c>
      <c r="H639" t="n">
        <v>169.8</v>
      </c>
      <c r="I639" t="inlineStr">
        <is>
          <t>-</t>
        </is>
      </c>
      <c r="J639" t="inlineStr">
        <is>
          <t>-</t>
        </is>
      </c>
    </row>
    <row r="640">
      <c r="B640" t="inlineStr">
        <is>
          <t>Other management consulting services(1)</t>
        </is>
      </c>
      <c r="C640" t="n">
        <v>541618</v>
      </c>
      <c r="D640" t="n">
        <v>123.3</v>
      </c>
      <c r="E640" t="n">
        <v>126.7</v>
      </c>
      <c r="F640" t="n">
        <v>126.2</v>
      </c>
      <c r="G640" t="n">
        <v>126.3</v>
      </c>
      <c r="H640" t="n">
        <v>126.7</v>
      </c>
      <c r="I640" t="inlineStr">
        <is>
          <t>-</t>
        </is>
      </c>
      <c r="J640" t="inlineStr">
        <is>
          <t>-</t>
        </is>
      </c>
    </row>
    <row r="641">
      <c r="B641" t="inlineStr">
        <is>
          <t>Environmental consulting services(1)</t>
        </is>
      </c>
      <c r="C641" t="n">
        <v>54162</v>
      </c>
      <c r="D641" t="n">
        <v>100.6</v>
      </c>
      <c r="E641" t="n">
        <v>107.8</v>
      </c>
      <c r="F641" t="n">
        <v>107.6</v>
      </c>
      <c r="G641" t="n">
        <v>107.7</v>
      </c>
      <c r="H641" t="n">
        <v>107.4</v>
      </c>
      <c r="I641" t="inlineStr">
        <is>
          <t>-</t>
        </is>
      </c>
      <c r="J641" t="inlineStr">
        <is>
          <t>-</t>
        </is>
      </c>
    </row>
    <row r="642">
      <c r="B642" t="inlineStr">
        <is>
          <t>Other scientific and technical consulting services(1)</t>
        </is>
      </c>
      <c r="C642" t="n">
        <v>54169</v>
      </c>
      <c r="D642" t="n">
        <v>218.5</v>
      </c>
      <c r="E642" t="n">
        <v>221.9</v>
      </c>
      <c r="F642" t="n">
        <v>220.8</v>
      </c>
      <c r="G642" t="n">
        <v>221</v>
      </c>
      <c r="H642" t="n">
        <v>221.6</v>
      </c>
      <c r="I642" t="inlineStr">
        <is>
          <t>-</t>
        </is>
      </c>
      <c r="J642" t="inlineStr">
        <is>
          <t>-</t>
        </is>
      </c>
    </row>
    <row r="643">
      <c r="A643" t="inlineStr">
        <is>
          <t>ISIC 69T75</t>
        </is>
      </c>
      <c r="B643" t="inlineStr">
        <is>
          <t>Scientific research and development services</t>
        </is>
      </c>
      <c r="C643" t="n">
        <v>5417</v>
      </c>
      <c r="D643" t="n">
        <v>948.5</v>
      </c>
      <c r="E643" t="n">
        <v>955.8</v>
      </c>
      <c r="F643" t="n">
        <v>955.2</v>
      </c>
      <c r="G643" t="n">
        <v>959.2</v>
      </c>
      <c r="H643" t="n">
        <v>960.9</v>
      </c>
      <c r="I643" t="n">
        <v>961.9</v>
      </c>
      <c r="J643" t="n">
        <v>1</v>
      </c>
    </row>
    <row r="644">
      <c r="B644" t="inlineStr">
        <is>
          <t>Research and development in the physical, engineering, and life sciences(1)</t>
        </is>
      </c>
      <c r="C644" t="n">
        <v>54171</v>
      </c>
      <c r="D644" t="n">
        <v>879.4</v>
      </c>
      <c r="E644" t="n">
        <v>886</v>
      </c>
      <c r="F644" t="n">
        <v>884.4</v>
      </c>
      <c r="G644" t="n">
        <v>889.4</v>
      </c>
      <c r="H644" t="n">
        <v>891.8</v>
      </c>
      <c r="I644" t="inlineStr">
        <is>
          <t>-</t>
        </is>
      </c>
      <c r="J644" t="inlineStr">
        <is>
          <t>-</t>
        </is>
      </c>
    </row>
    <row r="645">
      <c r="B645" t="inlineStr">
        <is>
          <t>Research and development in nanotechnology(1)</t>
        </is>
      </c>
      <c r="C645" t="n">
        <v>541713</v>
      </c>
      <c r="D645" t="n">
        <v>29.6</v>
      </c>
      <c r="E645" t="n">
        <v>29.4</v>
      </c>
      <c r="F645" t="n">
        <v>29.1</v>
      </c>
      <c r="G645" t="n">
        <v>29.1</v>
      </c>
      <c r="H645" t="n">
        <v>29.6</v>
      </c>
      <c r="I645" t="inlineStr">
        <is>
          <t>-</t>
        </is>
      </c>
      <c r="J645" t="inlineStr">
        <is>
          <t>-</t>
        </is>
      </c>
    </row>
    <row r="646">
      <c r="B646" t="inlineStr">
        <is>
          <t>Research and development in biotechnology, except nanobiotechnology(1)</t>
        </is>
      </c>
      <c r="C646" t="n">
        <v>541714</v>
      </c>
      <c r="D646" t="n">
        <v>292.5</v>
      </c>
      <c r="E646" t="n">
        <v>299.2</v>
      </c>
      <c r="F646" t="n">
        <v>298.7</v>
      </c>
      <c r="G646" t="n">
        <v>301.4</v>
      </c>
      <c r="H646" t="n">
        <v>303</v>
      </c>
      <c r="I646" t="inlineStr">
        <is>
          <t>-</t>
        </is>
      </c>
      <c r="J646" t="inlineStr">
        <is>
          <t>-</t>
        </is>
      </c>
    </row>
    <row r="647">
      <c r="B647" t="inlineStr">
        <is>
          <t>Research and development in the physical, engineering, and life sciences, except nanotechnology and biotechnology(1)</t>
        </is>
      </c>
      <c r="C647" t="n">
        <v>541715</v>
      </c>
      <c r="D647" t="n">
        <v>557.1</v>
      </c>
      <c r="E647" t="n">
        <v>557.4</v>
      </c>
      <c r="F647" t="n">
        <v>557.1</v>
      </c>
      <c r="G647" t="n">
        <v>559</v>
      </c>
      <c r="H647" t="n">
        <v>559.8</v>
      </c>
      <c r="I647" t="inlineStr">
        <is>
          <t>-</t>
        </is>
      </c>
      <c r="J647" t="inlineStr">
        <is>
          <t>-</t>
        </is>
      </c>
    </row>
    <row r="648">
      <c r="B648" t="inlineStr">
        <is>
          <t>Research and development in the social sciences and humanities(1)</t>
        </is>
      </c>
      <c r="C648" t="n">
        <v>54172</v>
      </c>
      <c r="D648" t="n">
        <v>69.2</v>
      </c>
      <c r="E648" t="n">
        <v>69.7</v>
      </c>
      <c r="F648" t="n">
        <v>70.3</v>
      </c>
      <c r="G648" t="n">
        <v>70</v>
      </c>
      <c r="H648" t="n">
        <v>70.09999999999999</v>
      </c>
      <c r="I648" t="inlineStr">
        <is>
          <t>-</t>
        </is>
      </c>
      <c r="J648" t="inlineStr">
        <is>
          <t>-</t>
        </is>
      </c>
    </row>
    <row r="649">
      <c r="A649" t="inlineStr">
        <is>
          <t>ISIC 69T75</t>
        </is>
      </c>
      <c r="B649" t="inlineStr">
        <is>
          <t>Advertising, public relations, and related services</t>
        </is>
      </c>
      <c r="C649" t="n">
        <v>5418</v>
      </c>
      <c r="D649" t="n">
        <v>514.8</v>
      </c>
      <c r="E649" t="n">
        <v>522.6</v>
      </c>
      <c r="F649" t="n">
        <v>521</v>
      </c>
      <c r="G649" t="n">
        <v>522.7</v>
      </c>
      <c r="H649" t="n">
        <v>523.2</v>
      </c>
      <c r="I649" t="n">
        <v>522.9</v>
      </c>
      <c r="J649" t="n">
        <v>-0.3</v>
      </c>
    </row>
    <row r="650">
      <c r="B650" t="inlineStr">
        <is>
          <t>Advertising agencies(1)</t>
        </is>
      </c>
      <c r="C650" t="n">
        <v>54181</v>
      </c>
      <c r="D650" t="n">
        <v>234.7</v>
      </c>
      <c r="E650" t="n">
        <v>237.6</v>
      </c>
      <c r="F650" t="n">
        <v>236.9</v>
      </c>
      <c r="G650" t="n">
        <v>236.5</v>
      </c>
      <c r="H650" t="n">
        <v>237.2</v>
      </c>
      <c r="I650" t="inlineStr">
        <is>
          <t>-</t>
        </is>
      </c>
      <c r="J650" t="inlineStr">
        <is>
          <t>-</t>
        </is>
      </c>
    </row>
    <row r="651">
      <c r="B651" t="inlineStr">
        <is>
          <t>Public relations agencies(1)</t>
        </is>
      </c>
      <c r="C651" t="n">
        <v>54182</v>
      </c>
      <c r="D651" t="n">
        <v>66</v>
      </c>
      <c r="E651" t="n">
        <v>70.5</v>
      </c>
      <c r="F651" t="n">
        <v>70.90000000000001</v>
      </c>
      <c r="G651" t="n">
        <v>70.90000000000001</v>
      </c>
      <c r="H651" t="n">
        <v>71.3</v>
      </c>
      <c r="I651" t="inlineStr">
        <is>
          <t>-</t>
        </is>
      </c>
      <c r="J651" t="inlineStr">
        <is>
          <t>-</t>
        </is>
      </c>
    </row>
    <row r="652">
      <c r="B652" t="inlineStr">
        <is>
          <t>Media buying agencies and media representatives(1)</t>
        </is>
      </c>
      <c r="C652" t="inlineStr">
        <is>
          <t>54183,4</t>
        </is>
      </c>
      <c r="D652" t="n">
        <v>38</v>
      </c>
      <c r="E652" t="n">
        <v>38.7</v>
      </c>
      <c r="F652" t="n">
        <v>38.2</v>
      </c>
      <c r="G652" t="n">
        <v>38</v>
      </c>
      <c r="H652" t="n">
        <v>38.2</v>
      </c>
      <c r="I652" t="inlineStr">
        <is>
          <t>-</t>
        </is>
      </c>
      <c r="J652" t="inlineStr">
        <is>
          <t>-</t>
        </is>
      </c>
    </row>
    <row r="653">
      <c r="B653" t="inlineStr">
        <is>
          <t>Indoor and outdoor display advertising(1)</t>
        </is>
      </c>
      <c r="C653" t="n">
        <v>54185</v>
      </c>
      <c r="D653" t="n">
        <v>30.6</v>
      </c>
      <c r="E653" t="n">
        <v>30.6</v>
      </c>
      <c r="F653" t="n">
        <v>30.6</v>
      </c>
      <c r="G653" t="n">
        <v>30.7</v>
      </c>
      <c r="H653" t="n">
        <v>31</v>
      </c>
      <c r="I653" t="inlineStr">
        <is>
          <t>-</t>
        </is>
      </c>
      <c r="J653" t="inlineStr">
        <is>
          <t>-</t>
        </is>
      </c>
    </row>
    <row r="654">
      <c r="B654" t="inlineStr">
        <is>
          <t>Direct mail advertising(1)</t>
        </is>
      </c>
      <c r="C654" t="n">
        <v>54186</v>
      </c>
      <c r="D654" t="n">
        <v>32.5</v>
      </c>
      <c r="E654" t="n">
        <v>30.3</v>
      </c>
      <c r="F654" t="n">
        <v>29.8</v>
      </c>
      <c r="G654" t="n">
        <v>29.4</v>
      </c>
      <c r="H654" t="n">
        <v>28.3</v>
      </c>
      <c r="I654" t="inlineStr">
        <is>
          <t>-</t>
        </is>
      </c>
      <c r="J654" t="inlineStr">
        <is>
          <t>-</t>
        </is>
      </c>
    </row>
    <row r="655">
      <c r="B655" t="inlineStr">
        <is>
          <t>Advertising material distribution and other services related to advertising(1)</t>
        </is>
      </c>
      <c r="C655" t="inlineStr">
        <is>
          <t>54187,9</t>
        </is>
      </c>
      <c r="D655" t="n">
        <v>111.9</v>
      </c>
      <c r="E655" t="n">
        <v>114.9</v>
      </c>
      <c r="F655" t="n">
        <v>115.1</v>
      </c>
      <c r="G655" t="n">
        <v>117.3</v>
      </c>
      <c r="H655" t="n">
        <v>117.3</v>
      </c>
      <c r="I655" t="inlineStr">
        <is>
          <t>-</t>
        </is>
      </c>
      <c r="J655" t="inlineStr">
        <is>
          <t>-</t>
        </is>
      </c>
    </row>
    <row r="656">
      <c r="A656" t="inlineStr">
        <is>
          <t>ISIC 69T75</t>
        </is>
      </c>
      <c r="B656" t="inlineStr">
        <is>
          <t>Other professional, scientific, and technical services</t>
        </is>
      </c>
      <c r="C656" t="n">
        <v>5419</v>
      </c>
      <c r="D656" t="n">
        <v>873.4</v>
      </c>
      <c r="E656" t="n">
        <v>882.9</v>
      </c>
      <c r="F656" t="n">
        <v>882.8</v>
      </c>
      <c r="G656" t="n">
        <v>883.5</v>
      </c>
      <c r="H656" t="n">
        <v>880.2</v>
      </c>
      <c r="I656" t="n">
        <v>880.6</v>
      </c>
      <c r="J656" t="n">
        <v>0.4</v>
      </c>
    </row>
    <row r="657">
      <c r="B657" t="inlineStr">
        <is>
          <t>Marketing research and public opinion polling(1)</t>
        </is>
      </c>
      <c r="C657" t="n">
        <v>54191</v>
      </c>
      <c r="D657" t="n">
        <v>72.2</v>
      </c>
      <c r="E657" t="n">
        <v>70.3</v>
      </c>
      <c r="F657" t="n">
        <v>69.8</v>
      </c>
      <c r="G657" t="n">
        <v>70.40000000000001</v>
      </c>
      <c r="H657" t="n">
        <v>68.8</v>
      </c>
      <c r="I657" t="inlineStr">
        <is>
          <t>-</t>
        </is>
      </c>
      <c r="J657" t="inlineStr">
        <is>
          <t>-</t>
        </is>
      </c>
    </row>
    <row r="658">
      <c r="B658" t="inlineStr">
        <is>
          <t>Photographic services(1)</t>
        </is>
      </c>
      <c r="C658" t="n">
        <v>54192</v>
      </c>
      <c r="D658" t="n">
        <v>47.6</v>
      </c>
      <c r="E658" t="n">
        <v>44.8</v>
      </c>
      <c r="F658" t="n">
        <v>43.7</v>
      </c>
      <c r="G658" t="n">
        <v>44.7</v>
      </c>
      <c r="H658" t="n">
        <v>44.9</v>
      </c>
      <c r="I658" t="inlineStr">
        <is>
          <t>-</t>
        </is>
      </c>
      <c r="J658" t="inlineStr">
        <is>
          <t>-</t>
        </is>
      </c>
    </row>
    <row r="659">
      <c r="B659" t="inlineStr">
        <is>
          <t>Veterinary services(1)</t>
        </is>
      </c>
      <c r="C659" t="n">
        <v>54194</v>
      </c>
      <c r="D659" t="n">
        <v>466.7</v>
      </c>
      <c r="E659" t="n">
        <v>464.6</v>
      </c>
      <c r="F659" t="n">
        <v>464.1</v>
      </c>
      <c r="G659" t="n">
        <v>465.7</v>
      </c>
      <c r="H659" t="n">
        <v>462.6</v>
      </c>
      <c r="I659" t="inlineStr">
        <is>
          <t>-</t>
        </is>
      </c>
      <c r="J659" t="inlineStr">
        <is>
          <t>-</t>
        </is>
      </c>
    </row>
    <row r="660">
      <c r="B660" t="inlineStr">
        <is>
          <t>Translation, interpretation, and all other professional, scientific, and technical services(1)</t>
        </is>
      </c>
      <c r="C660" t="inlineStr">
        <is>
          <t>54193,9</t>
        </is>
      </c>
      <c r="D660" t="n">
        <v>288.3</v>
      </c>
      <c r="E660" t="n">
        <v>301.7</v>
      </c>
      <c r="F660" t="n">
        <v>302.8</v>
      </c>
      <c r="G660" t="n">
        <v>303</v>
      </c>
      <c r="H660" t="n">
        <v>303.9</v>
      </c>
      <c r="I660" t="inlineStr">
        <is>
          <t>-</t>
        </is>
      </c>
      <c r="J660" t="inlineStr">
        <is>
          <t>-</t>
        </is>
      </c>
    </row>
    <row r="661">
      <c r="A661" t="inlineStr">
        <is>
          <t>ISIC 69T75</t>
        </is>
      </c>
      <c r="B661" t="inlineStr">
        <is>
          <t>Management of companies and enterprises</t>
        </is>
      </c>
      <c r="C661" t="n">
        <v>55</v>
      </c>
      <c r="D661" t="n">
        <v>2556.2</v>
      </c>
      <c r="E661" t="n">
        <v>2567.4</v>
      </c>
      <c r="F661" t="n">
        <v>2559.5</v>
      </c>
      <c r="G661" t="n">
        <v>2563.3</v>
      </c>
      <c r="H661" t="n">
        <v>2565.7</v>
      </c>
      <c r="I661" t="n">
        <v>2564.8</v>
      </c>
      <c r="J661" t="n">
        <v>-0.9</v>
      </c>
    </row>
    <row r="662">
      <c r="B662" t="inlineStr">
        <is>
          <t>Offices of bank and other holding companies(1)</t>
        </is>
      </c>
      <c r="C662" t="inlineStr">
        <is>
          <t>551111,2</t>
        </is>
      </c>
      <c r="D662" t="n">
        <v>101.3</v>
      </c>
      <c r="E662" t="n">
        <v>106</v>
      </c>
      <c r="F662" t="n">
        <v>106.4</v>
      </c>
      <c r="G662" t="n">
        <v>106.7</v>
      </c>
      <c r="H662" t="n">
        <v>106.9</v>
      </c>
      <c r="I662" t="inlineStr">
        <is>
          <t>-</t>
        </is>
      </c>
      <c r="J662" t="inlineStr">
        <is>
          <t>-</t>
        </is>
      </c>
    </row>
    <row r="663">
      <c r="B663" t="inlineStr">
        <is>
          <t>Corporate, subsidiary, and regional managing offices(1)</t>
        </is>
      </c>
      <c r="C663" t="n">
        <v>551114</v>
      </c>
      <c r="D663" t="n">
        <v>2455.7</v>
      </c>
      <c r="E663" t="n">
        <v>2457.8</v>
      </c>
      <c r="F663" t="n">
        <v>2451.2</v>
      </c>
      <c r="G663" t="n">
        <v>2456.5</v>
      </c>
      <c r="H663" t="n">
        <v>2459.9</v>
      </c>
      <c r="I663" t="inlineStr">
        <is>
          <t>-</t>
        </is>
      </c>
      <c r="J663" t="inlineStr">
        <is>
          <t>-</t>
        </is>
      </c>
    </row>
    <row r="664">
      <c r="B664" t="inlineStr">
        <is>
          <t>Administrative and support and waste management and remediation services</t>
        </is>
      </c>
      <c r="C664" t="n">
        <v>56</v>
      </c>
      <c r="D664" t="n">
        <v>9405.5</v>
      </c>
      <c r="E664" t="n">
        <v>9379.299999999999</v>
      </c>
      <c r="F664" t="n">
        <v>9346.799999999999</v>
      </c>
      <c r="G664" t="n">
        <v>9355.5</v>
      </c>
      <c r="H664" t="n">
        <v>9327.6</v>
      </c>
      <c r="I664" t="n">
        <v>9338.799999999999</v>
      </c>
      <c r="J664" t="n">
        <v>11.2</v>
      </c>
    </row>
    <row r="665">
      <c r="A665" t="inlineStr">
        <is>
          <t>ISIC 77T82</t>
        </is>
      </c>
      <c r="B665" t="inlineStr">
        <is>
          <t>Administrative and support services</t>
        </is>
      </c>
      <c r="C665" t="n">
        <v>561</v>
      </c>
      <c r="D665" t="n">
        <v>8900</v>
      </c>
      <c r="E665" t="n">
        <v>8860.1</v>
      </c>
      <c r="F665" t="n">
        <v>8826.700000000001</v>
      </c>
      <c r="G665" t="n">
        <v>8833.9</v>
      </c>
      <c r="H665" t="n">
        <v>8804.4</v>
      </c>
      <c r="I665" t="n">
        <v>8813.299999999999</v>
      </c>
      <c r="J665" t="n">
        <v>8.9</v>
      </c>
    </row>
    <row r="666">
      <c r="B666" t="inlineStr">
        <is>
          <t>Office administrative services</t>
        </is>
      </c>
      <c r="C666" t="n">
        <v>5611</v>
      </c>
      <c r="D666" t="n">
        <v>632.9</v>
      </c>
      <c r="E666" t="n">
        <v>632.4</v>
      </c>
      <c r="F666" t="n">
        <v>630.5</v>
      </c>
      <c r="G666" t="n">
        <v>631.8</v>
      </c>
      <c r="H666" t="n">
        <v>632.1</v>
      </c>
      <c r="I666" t="n">
        <v>633.2</v>
      </c>
      <c r="J666" t="n">
        <v>1.1</v>
      </c>
    </row>
    <row r="667">
      <c r="B667" t="inlineStr">
        <is>
          <t>Facilities support services</t>
        </is>
      </c>
      <c r="C667" t="n">
        <v>5612</v>
      </c>
      <c r="D667" t="n">
        <v>172.4</v>
      </c>
      <c r="E667" t="n">
        <v>183</v>
      </c>
      <c r="F667" t="n">
        <v>183.4</v>
      </c>
      <c r="G667" t="n">
        <v>184.4</v>
      </c>
      <c r="H667" t="n">
        <v>184.2</v>
      </c>
      <c r="I667" t="n">
        <v>185.7</v>
      </c>
      <c r="J667" t="n">
        <v>1.5</v>
      </c>
    </row>
    <row r="668">
      <c r="B668" t="inlineStr">
        <is>
          <t>Employment services</t>
        </is>
      </c>
      <c r="C668" t="n">
        <v>5613</v>
      </c>
      <c r="D668" t="n">
        <v>3553.2</v>
      </c>
      <c r="E668" t="n">
        <v>3479.8</v>
      </c>
      <c r="F668" t="n">
        <v>3454.5</v>
      </c>
      <c r="G668" t="n">
        <v>3463.1</v>
      </c>
      <c r="H668" t="n">
        <v>3429.7</v>
      </c>
      <c r="I668" t="n">
        <v>3436.5</v>
      </c>
      <c r="J668" t="n">
        <v>6.8</v>
      </c>
    </row>
    <row r="669">
      <c r="B669" t="inlineStr">
        <is>
          <t>Employment placement agencies and executive search services(1)</t>
        </is>
      </c>
      <c r="C669" t="n">
        <v>56131</v>
      </c>
      <c r="D669" t="n">
        <v>309.5</v>
      </c>
      <c r="E669" t="n">
        <v>328.3</v>
      </c>
      <c r="F669" t="n">
        <v>328</v>
      </c>
      <c r="G669" t="n">
        <v>328.7</v>
      </c>
      <c r="H669" t="n">
        <v>326.1</v>
      </c>
      <c r="I669" t="inlineStr">
        <is>
          <t>-</t>
        </is>
      </c>
      <c r="J669" t="inlineStr">
        <is>
          <t>-</t>
        </is>
      </c>
    </row>
    <row r="670">
      <c r="B670" t="inlineStr">
        <is>
          <t>Employment placement agencies(1)</t>
        </is>
      </c>
      <c r="C670" t="n">
        <v>561311</v>
      </c>
      <c r="D670" t="n">
        <v>264.3</v>
      </c>
      <c r="E670" t="n">
        <v>282.1</v>
      </c>
      <c r="F670" t="n">
        <v>280.9</v>
      </c>
      <c r="G670" t="n">
        <v>281.5</v>
      </c>
      <c r="H670" t="n">
        <v>280.5</v>
      </c>
      <c r="I670" t="inlineStr">
        <is>
          <t>-</t>
        </is>
      </c>
      <c r="J670" t="inlineStr">
        <is>
          <t>-</t>
        </is>
      </c>
    </row>
    <row r="671">
      <c r="B671" t="inlineStr">
        <is>
          <t>Executive search services(1)</t>
        </is>
      </c>
      <c r="C671" t="n">
        <v>561312</v>
      </c>
      <c r="D671" t="n">
        <v>43.8</v>
      </c>
      <c r="E671" t="n">
        <v>45.1</v>
      </c>
      <c r="F671" t="n">
        <v>45.7</v>
      </c>
      <c r="G671" t="n">
        <v>45.9</v>
      </c>
      <c r="H671" t="n">
        <v>45.6</v>
      </c>
      <c r="I671" t="inlineStr">
        <is>
          <t>-</t>
        </is>
      </c>
      <c r="J671" t="inlineStr">
        <is>
          <t>-</t>
        </is>
      </c>
    </row>
    <row r="672">
      <c r="B672" t="inlineStr">
        <is>
          <t>Temporary help services(1)</t>
        </is>
      </c>
      <c r="C672" t="n">
        <v>56132</v>
      </c>
      <c r="D672" t="n">
        <v>2785.8</v>
      </c>
      <c r="E672" t="n">
        <v>2696.5</v>
      </c>
      <c r="F672" t="n">
        <v>2673.2</v>
      </c>
      <c r="G672" t="n">
        <v>2678</v>
      </c>
      <c r="H672" t="n">
        <v>2644.7</v>
      </c>
      <c r="I672" t="n">
        <v>2646.3</v>
      </c>
      <c r="J672" t="n">
        <v>1.6</v>
      </c>
    </row>
    <row r="673">
      <c r="B673" t="inlineStr">
        <is>
          <t>Professional employer organizations(1)</t>
        </is>
      </c>
      <c r="C673" t="n">
        <v>56133</v>
      </c>
      <c r="D673" t="n">
        <v>456.5</v>
      </c>
      <c r="E673" t="n">
        <v>454.6</v>
      </c>
      <c r="F673" t="n">
        <v>453.7</v>
      </c>
      <c r="G673" t="n">
        <v>454.7</v>
      </c>
      <c r="H673" t="n">
        <v>451.8</v>
      </c>
      <c r="I673" t="inlineStr">
        <is>
          <t>-</t>
        </is>
      </c>
      <c r="J673" t="inlineStr">
        <is>
          <t>-</t>
        </is>
      </c>
    </row>
    <row r="674">
      <c r="B674" t="inlineStr">
        <is>
          <t>Business support services</t>
        </is>
      </c>
      <c r="C674" t="n">
        <v>5614</v>
      </c>
      <c r="D674" t="n">
        <v>723.6</v>
      </c>
      <c r="E674" t="n">
        <v>699.3</v>
      </c>
      <c r="F674" t="n">
        <v>694.7</v>
      </c>
      <c r="G674" t="n">
        <v>691.6</v>
      </c>
      <c r="H674" t="n">
        <v>687.3</v>
      </c>
      <c r="I674" t="n">
        <v>687.1</v>
      </c>
      <c r="J674" t="n">
        <v>-0.2</v>
      </c>
    </row>
    <row r="675">
      <c r="B675" t="inlineStr">
        <is>
          <t>Document preparation services(1)</t>
        </is>
      </c>
      <c r="C675" t="n">
        <v>56141</v>
      </c>
      <c r="D675" t="n">
        <v>37.9</v>
      </c>
      <c r="E675" t="n">
        <v>35.9</v>
      </c>
      <c r="F675" t="n">
        <v>35.3</v>
      </c>
      <c r="G675" t="n">
        <v>35.3</v>
      </c>
      <c r="H675" t="n">
        <v>35</v>
      </c>
      <c r="I675" t="inlineStr">
        <is>
          <t>-</t>
        </is>
      </c>
      <c r="J675" t="inlineStr">
        <is>
          <t>-</t>
        </is>
      </c>
    </row>
    <row r="676">
      <c r="B676" t="inlineStr">
        <is>
          <t>Telephone call centers(1)</t>
        </is>
      </c>
      <c r="C676" t="n">
        <v>56142</v>
      </c>
      <c r="D676" t="n">
        <v>383.6</v>
      </c>
      <c r="E676" t="n">
        <v>367.7</v>
      </c>
      <c r="F676" t="n">
        <v>363.9</v>
      </c>
      <c r="G676" t="n">
        <v>364.4</v>
      </c>
      <c r="H676" t="n">
        <v>362.6</v>
      </c>
      <c r="I676" t="inlineStr">
        <is>
          <t>-</t>
        </is>
      </c>
      <c r="J676" t="inlineStr">
        <is>
          <t>-</t>
        </is>
      </c>
    </row>
    <row r="677">
      <c r="B677" t="inlineStr">
        <is>
          <t>Telephone answering services(1)</t>
        </is>
      </c>
      <c r="C677" t="n">
        <v>561421</v>
      </c>
      <c r="D677" t="n">
        <v>35.6</v>
      </c>
      <c r="E677" t="n">
        <v>35</v>
      </c>
      <c r="F677" t="n">
        <v>35.5</v>
      </c>
      <c r="G677" t="n">
        <v>35.1</v>
      </c>
      <c r="H677" t="n">
        <v>35.8</v>
      </c>
      <c r="I677" t="inlineStr">
        <is>
          <t>-</t>
        </is>
      </c>
      <c r="J677" t="inlineStr">
        <is>
          <t>-</t>
        </is>
      </c>
    </row>
    <row r="678">
      <c r="B678" t="inlineStr">
        <is>
          <t>Telemarketing bureaus and other contact centers(1)</t>
        </is>
      </c>
      <c r="C678" t="n">
        <v>561422</v>
      </c>
      <c r="D678" t="n">
        <v>347.7</v>
      </c>
      <c r="E678" t="n">
        <v>332.9</v>
      </c>
      <c r="F678" t="n">
        <v>328.8</v>
      </c>
      <c r="G678" t="n">
        <v>329.4</v>
      </c>
      <c r="H678" t="n">
        <v>326.6</v>
      </c>
      <c r="I678" t="inlineStr">
        <is>
          <t>-</t>
        </is>
      </c>
      <c r="J678" t="inlineStr">
        <is>
          <t>-</t>
        </is>
      </c>
    </row>
    <row r="679">
      <c r="B679" t="inlineStr">
        <is>
          <t>Business service centers(1)</t>
        </is>
      </c>
      <c r="C679" t="n">
        <v>56143</v>
      </c>
      <c r="D679" t="n">
        <v>81.8</v>
      </c>
      <c r="E679" t="n">
        <v>80.90000000000001</v>
      </c>
      <c r="F679" t="n">
        <v>82.09999999999999</v>
      </c>
      <c r="G679" t="n">
        <v>81.3</v>
      </c>
      <c r="H679" t="n">
        <v>80.40000000000001</v>
      </c>
      <c r="I679" t="inlineStr">
        <is>
          <t>-</t>
        </is>
      </c>
      <c r="J679" t="inlineStr">
        <is>
          <t>-</t>
        </is>
      </c>
    </row>
    <row r="680">
      <c r="B680" t="inlineStr">
        <is>
          <t>Collection agencies(1)</t>
        </is>
      </c>
      <c r="C680" t="n">
        <v>56144</v>
      </c>
      <c r="D680" t="n">
        <v>90.7</v>
      </c>
      <c r="E680" t="n">
        <v>85.40000000000001</v>
      </c>
      <c r="F680" t="n">
        <v>85.2</v>
      </c>
      <c r="G680" t="n">
        <v>85</v>
      </c>
      <c r="H680" t="n">
        <v>83.09999999999999</v>
      </c>
      <c r="I680" t="inlineStr">
        <is>
          <t>-</t>
        </is>
      </c>
      <c r="J680" t="inlineStr">
        <is>
          <t>-</t>
        </is>
      </c>
    </row>
    <row r="681">
      <c r="B681" t="inlineStr">
        <is>
          <t>Credit bureaus and other business support services(1)</t>
        </is>
      </c>
      <c r="C681" t="inlineStr">
        <is>
          <t>56145,9</t>
        </is>
      </c>
      <c r="D681" t="n">
        <v>128.9</v>
      </c>
      <c r="E681" t="n">
        <v>128.7</v>
      </c>
      <c r="F681" t="n">
        <v>129</v>
      </c>
      <c r="G681" t="n">
        <v>126.8</v>
      </c>
      <c r="H681" t="n">
        <v>127</v>
      </c>
      <c r="I681" t="inlineStr">
        <is>
          <t>-</t>
        </is>
      </c>
      <c r="J681" t="inlineStr">
        <is>
          <t>-</t>
        </is>
      </c>
    </row>
    <row r="682">
      <c r="B682" t="inlineStr">
        <is>
          <t>Travel arrangement and reservation services</t>
        </is>
      </c>
      <c r="C682" t="n">
        <v>5615</v>
      </c>
      <c r="D682" t="n">
        <v>197.5</v>
      </c>
      <c r="E682" t="n">
        <v>194.1</v>
      </c>
      <c r="F682" t="n">
        <v>194.9</v>
      </c>
      <c r="G682" t="n">
        <v>195.6</v>
      </c>
      <c r="H682" t="n">
        <v>196.7</v>
      </c>
      <c r="I682" t="n">
        <v>198.5</v>
      </c>
      <c r="J682" t="n">
        <v>1.8</v>
      </c>
    </row>
    <row r="683">
      <c r="B683" t="inlineStr">
        <is>
          <t>Travel agencies(1)</t>
        </is>
      </c>
      <c r="C683" t="n">
        <v>56151</v>
      </c>
      <c r="D683" t="n">
        <v>84.59999999999999</v>
      </c>
      <c r="E683" t="n">
        <v>82.40000000000001</v>
      </c>
      <c r="F683" t="n">
        <v>82.40000000000001</v>
      </c>
      <c r="G683" t="n">
        <v>82.8</v>
      </c>
      <c r="H683" t="n">
        <v>83.3</v>
      </c>
      <c r="I683" t="inlineStr">
        <is>
          <t>-</t>
        </is>
      </c>
      <c r="J683" t="inlineStr">
        <is>
          <t>-</t>
        </is>
      </c>
    </row>
    <row r="684">
      <c r="B684" t="inlineStr">
        <is>
          <t>Tour operators(1)</t>
        </is>
      </c>
      <c r="C684" t="n">
        <v>56152</v>
      </c>
      <c r="D684" t="n">
        <v>24.6</v>
      </c>
      <c r="E684" t="n">
        <v>23.1</v>
      </c>
      <c r="F684" t="n">
        <v>23</v>
      </c>
      <c r="G684" t="n">
        <v>23.3</v>
      </c>
      <c r="H684" t="n">
        <v>23.3</v>
      </c>
      <c r="I684" t="inlineStr">
        <is>
          <t>-</t>
        </is>
      </c>
      <c r="J684" t="inlineStr">
        <is>
          <t>-</t>
        </is>
      </c>
    </row>
    <row r="685">
      <c r="B685" t="inlineStr">
        <is>
          <t>Other travel arrangement and reservation services(1)</t>
        </is>
      </c>
      <c r="C685" t="n">
        <v>56159</v>
      </c>
      <c r="D685" t="n">
        <v>88.2</v>
      </c>
      <c r="E685" t="n">
        <v>89.2</v>
      </c>
      <c r="F685" t="n">
        <v>90.59999999999999</v>
      </c>
      <c r="G685" t="n">
        <v>89.7</v>
      </c>
      <c r="H685" t="n">
        <v>90.3</v>
      </c>
      <c r="I685" t="inlineStr">
        <is>
          <t>-</t>
        </is>
      </c>
      <c r="J685" t="inlineStr">
        <is>
          <t>-</t>
        </is>
      </c>
    </row>
    <row r="686">
      <c r="B686" t="inlineStr">
        <is>
          <t>Investigation and security services</t>
        </is>
      </c>
      <c r="C686" t="n">
        <v>5616</v>
      </c>
      <c r="D686" t="n">
        <v>1012.9</v>
      </c>
      <c r="E686" t="n">
        <v>1024.1</v>
      </c>
      <c r="F686" t="n">
        <v>1024.2</v>
      </c>
      <c r="G686" t="n">
        <v>1022.2</v>
      </c>
      <c r="H686" t="n">
        <v>1030.1</v>
      </c>
      <c r="I686" t="n">
        <v>1025.6</v>
      </c>
      <c r="J686" t="n">
        <v>-4.5</v>
      </c>
    </row>
    <row r="687">
      <c r="B687" t="inlineStr">
        <is>
          <t>Investigation, guard, and armored car services(1)</t>
        </is>
      </c>
      <c r="C687" t="n">
        <v>56161</v>
      </c>
      <c r="D687" t="n">
        <v>851.3</v>
      </c>
      <c r="E687" t="n">
        <v>866.5</v>
      </c>
      <c r="F687" t="n">
        <v>865.4</v>
      </c>
      <c r="G687" t="n">
        <v>864.9</v>
      </c>
      <c r="H687" t="n">
        <v>872</v>
      </c>
      <c r="I687" t="inlineStr">
        <is>
          <t>-</t>
        </is>
      </c>
      <c r="J687" t="inlineStr">
        <is>
          <t>-</t>
        </is>
      </c>
    </row>
    <row r="688">
      <c r="B688" t="inlineStr">
        <is>
          <t>Investigation and personal background check services(1)</t>
        </is>
      </c>
      <c r="C688" t="n">
        <v>561611</v>
      </c>
      <c r="D688" t="n">
        <v>43.4</v>
      </c>
      <c r="E688" t="n">
        <v>42.3</v>
      </c>
      <c r="F688" t="n">
        <v>42.2</v>
      </c>
      <c r="G688" t="n">
        <v>41.5</v>
      </c>
      <c r="H688" t="n">
        <v>41.7</v>
      </c>
      <c r="I688" t="inlineStr">
        <is>
          <t>-</t>
        </is>
      </c>
      <c r="J688" t="inlineStr">
        <is>
          <t>-</t>
        </is>
      </c>
    </row>
    <row r="689">
      <c r="B689" t="inlineStr">
        <is>
          <t>Security guards, patrol services, and armored car services(1)</t>
        </is>
      </c>
      <c r="C689" t="inlineStr">
        <is>
          <t>561612,3</t>
        </is>
      </c>
      <c r="D689" t="n">
        <v>808.4</v>
      </c>
      <c r="E689" t="n">
        <v>824</v>
      </c>
      <c r="F689" t="n">
        <v>823</v>
      </c>
      <c r="G689" t="n">
        <v>823.4</v>
      </c>
      <c r="H689" t="n">
        <v>830.3</v>
      </c>
      <c r="I689" t="inlineStr">
        <is>
          <t>-</t>
        </is>
      </c>
      <c r="J689" t="inlineStr">
        <is>
          <t>-</t>
        </is>
      </c>
    </row>
    <row r="690">
      <c r="B690" t="inlineStr">
        <is>
          <t>Security systems services(1)</t>
        </is>
      </c>
      <c r="C690" t="n">
        <v>56162</v>
      </c>
      <c r="D690" t="n">
        <v>160.2</v>
      </c>
      <c r="E690" t="n">
        <v>158.3</v>
      </c>
      <c r="F690" t="n">
        <v>159.7</v>
      </c>
      <c r="G690" t="n">
        <v>160</v>
      </c>
      <c r="H690" t="n">
        <v>159.3</v>
      </c>
      <c r="I690" t="inlineStr">
        <is>
          <t>-</t>
        </is>
      </c>
      <c r="J690" t="inlineStr">
        <is>
          <t>-</t>
        </is>
      </c>
    </row>
    <row r="691">
      <c r="B691" t="inlineStr">
        <is>
          <t>Services to buildings and dwellings</t>
        </is>
      </c>
      <c r="C691" t="n">
        <v>5617</v>
      </c>
      <c r="D691" t="n">
        <v>2266.4</v>
      </c>
      <c r="E691" t="n">
        <v>2302.1</v>
      </c>
      <c r="F691" t="n">
        <v>2300.5</v>
      </c>
      <c r="G691" t="n">
        <v>2302.1</v>
      </c>
      <c r="H691" t="n">
        <v>2304.7</v>
      </c>
      <c r="I691" t="n">
        <v>2307.7</v>
      </c>
      <c r="J691" t="n">
        <v>3</v>
      </c>
    </row>
    <row r="692">
      <c r="B692" t="inlineStr">
        <is>
          <t>Exterminating and pest control services(1)</t>
        </is>
      </c>
      <c r="C692" t="n">
        <v>56171</v>
      </c>
      <c r="D692" t="n">
        <v>148.6</v>
      </c>
      <c r="E692" t="n">
        <v>152</v>
      </c>
      <c r="F692" t="n">
        <v>153.3</v>
      </c>
      <c r="G692" t="n">
        <v>153.8</v>
      </c>
      <c r="H692" t="n">
        <v>154.2</v>
      </c>
      <c r="I692" t="inlineStr">
        <is>
          <t>-</t>
        </is>
      </c>
      <c r="J692" t="inlineStr">
        <is>
          <t>-</t>
        </is>
      </c>
    </row>
    <row r="693">
      <c r="B693" t="inlineStr">
        <is>
          <t>Janitorial services(1)</t>
        </is>
      </c>
      <c r="C693" t="n">
        <v>56172</v>
      </c>
      <c r="D693" t="n">
        <v>1071.4</v>
      </c>
      <c r="E693" t="n">
        <v>1091.9</v>
      </c>
      <c r="F693" t="n">
        <v>1089.7</v>
      </c>
      <c r="G693" t="n">
        <v>1088.4</v>
      </c>
      <c r="H693" t="n">
        <v>1086.1</v>
      </c>
      <c r="I693" t="inlineStr">
        <is>
          <t>-</t>
        </is>
      </c>
      <c r="J693" t="inlineStr">
        <is>
          <t>-</t>
        </is>
      </c>
    </row>
    <row r="694">
      <c r="B694" t="inlineStr">
        <is>
          <t>Landscaping services(1)</t>
        </is>
      </c>
      <c r="C694" t="n">
        <v>56173</v>
      </c>
      <c r="D694" t="n">
        <v>889.2</v>
      </c>
      <c r="E694" t="n">
        <v>909</v>
      </c>
      <c r="F694" t="n">
        <v>907.7</v>
      </c>
      <c r="G694" t="n">
        <v>910.3</v>
      </c>
      <c r="H694" t="n">
        <v>910.7</v>
      </c>
      <c r="I694" t="inlineStr">
        <is>
          <t>-</t>
        </is>
      </c>
      <c r="J694" t="inlineStr">
        <is>
          <t>-</t>
        </is>
      </c>
    </row>
    <row r="695">
      <c r="B695" t="inlineStr">
        <is>
          <t>Carpet and upholstery cleaning services(1)</t>
        </is>
      </c>
      <c r="C695" t="n">
        <v>56174</v>
      </c>
      <c r="D695" t="n">
        <v>37.2</v>
      </c>
      <c r="E695" t="n">
        <v>39.4</v>
      </c>
      <c r="F695" t="n">
        <v>39</v>
      </c>
      <c r="G695" t="n">
        <v>38.4</v>
      </c>
      <c r="H695" t="n">
        <v>38.4</v>
      </c>
      <c r="I695" t="inlineStr">
        <is>
          <t>-</t>
        </is>
      </c>
      <c r="J695" t="inlineStr">
        <is>
          <t>-</t>
        </is>
      </c>
    </row>
    <row r="696">
      <c r="B696" t="inlineStr">
        <is>
          <t>Other services to buildings and dwellings(1)</t>
        </is>
      </c>
      <c r="C696" t="n">
        <v>56179</v>
      </c>
      <c r="D696" t="n">
        <v>110.8</v>
      </c>
      <c r="E696" t="n">
        <v>114.2</v>
      </c>
      <c r="F696" t="n">
        <v>111.6</v>
      </c>
      <c r="G696" t="n">
        <v>109.8</v>
      </c>
      <c r="H696" t="n">
        <v>113.3</v>
      </c>
      <c r="I696" t="inlineStr">
        <is>
          <t>-</t>
        </is>
      </c>
      <c r="J696" t="inlineStr">
        <is>
          <t>-</t>
        </is>
      </c>
    </row>
    <row r="697">
      <c r="B697" t="inlineStr">
        <is>
          <t>Other support services</t>
        </is>
      </c>
      <c r="C697" t="n">
        <v>5619</v>
      </c>
      <c r="D697" t="n">
        <v>341.1</v>
      </c>
      <c r="E697" t="n">
        <v>345.3</v>
      </c>
      <c r="F697" t="n">
        <v>344</v>
      </c>
      <c r="G697" t="n">
        <v>343.1</v>
      </c>
      <c r="H697" t="n">
        <v>339.7</v>
      </c>
      <c r="I697" t="n">
        <v>339.1</v>
      </c>
      <c r="J697" t="n">
        <v>-0.6</v>
      </c>
    </row>
    <row r="698">
      <c r="B698" t="inlineStr">
        <is>
          <t>Packaging and labeling services(1)</t>
        </is>
      </c>
      <c r="C698" t="n">
        <v>56191</v>
      </c>
      <c r="D698" t="n">
        <v>65.5</v>
      </c>
      <c r="E698" t="n">
        <v>69</v>
      </c>
      <c r="F698" t="n">
        <v>68.5</v>
      </c>
      <c r="G698" t="n">
        <v>68.7</v>
      </c>
      <c r="H698" t="n">
        <v>68.59999999999999</v>
      </c>
      <c r="I698" t="inlineStr">
        <is>
          <t>-</t>
        </is>
      </c>
      <c r="J698" t="inlineStr">
        <is>
          <t>-</t>
        </is>
      </c>
    </row>
    <row r="699">
      <c r="B699" t="inlineStr">
        <is>
          <t>Convention and trade show organizers(1)</t>
        </is>
      </c>
      <c r="C699" t="n">
        <v>56192</v>
      </c>
      <c r="D699" t="n">
        <v>52.5</v>
      </c>
      <c r="E699" t="n">
        <v>54.4</v>
      </c>
      <c r="F699" t="n">
        <v>54.4</v>
      </c>
      <c r="G699" t="n">
        <v>54.4</v>
      </c>
      <c r="H699" t="n">
        <v>51.7</v>
      </c>
      <c r="I699" t="inlineStr">
        <is>
          <t>-</t>
        </is>
      </c>
      <c r="J699" t="inlineStr">
        <is>
          <t>-</t>
        </is>
      </c>
    </row>
    <row r="700">
      <c r="B700" t="inlineStr">
        <is>
          <t>All other support services(1)</t>
        </is>
      </c>
      <c r="C700" t="n">
        <v>56199</v>
      </c>
      <c r="D700" t="n">
        <v>223</v>
      </c>
      <c r="E700" t="n">
        <v>221.8</v>
      </c>
      <c r="F700" t="n">
        <v>221.4</v>
      </c>
      <c r="G700" t="n">
        <v>220.4</v>
      </c>
      <c r="H700" t="n">
        <v>219.1</v>
      </c>
      <c r="I700" t="inlineStr">
        <is>
          <t>-</t>
        </is>
      </c>
      <c r="J700" t="inlineStr">
        <is>
          <t>-</t>
        </is>
      </c>
    </row>
    <row r="701">
      <c r="A701" t="inlineStr">
        <is>
          <t>ISIC 36T39</t>
        </is>
      </c>
      <c r="B701" t="inlineStr">
        <is>
          <t>Waste management and remediation services</t>
        </is>
      </c>
      <c r="C701" t="n">
        <v>562</v>
      </c>
      <c r="D701" t="n">
        <v>505.5</v>
      </c>
      <c r="E701" t="n">
        <v>519.2</v>
      </c>
      <c r="F701" t="n">
        <v>520.1</v>
      </c>
      <c r="G701" t="n">
        <v>521.6</v>
      </c>
      <c r="H701" t="n">
        <v>523.2</v>
      </c>
      <c r="I701" t="n">
        <v>525.5</v>
      </c>
      <c r="J701" t="n">
        <v>2.3</v>
      </c>
    </row>
    <row r="702">
      <c r="B702" t="inlineStr">
        <is>
          <t>Waste collection(1)</t>
        </is>
      </c>
      <c r="C702" t="n">
        <v>5621</v>
      </c>
      <c r="D702" t="n">
        <v>216.2</v>
      </c>
      <c r="E702" t="n">
        <v>218.5</v>
      </c>
      <c r="F702" t="n">
        <v>219</v>
      </c>
      <c r="G702" t="n">
        <v>220.4</v>
      </c>
      <c r="H702" t="n">
        <v>222</v>
      </c>
      <c r="I702" t="inlineStr">
        <is>
          <t>-</t>
        </is>
      </c>
      <c r="J702" t="inlineStr">
        <is>
          <t>-</t>
        </is>
      </c>
    </row>
    <row r="703">
      <c r="B703" t="inlineStr">
        <is>
          <t>Waste treatment and disposal(1)</t>
        </is>
      </c>
      <c r="C703" t="n">
        <v>5622</v>
      </c>
      <c r="D703" t="n">
        <v>105.5</v>
      </c>
      <c r="E703" t="n">
        <v>108.1</v>
      </c>
      <c r="F703" t="n">
        <v>108.2</v>
      </c>
      <c r="G703" t="n">
        <v>108.2</v>
      </c>
      <c r="H703" t="n">
        <v>108.1</v>
      </c>
      <c r="I703" t="inlineStr">
        <is>
          <t>-</t>
        </is>
      </c>
      <c r="J703" t="inlineStr">
        <is>
          <t>-</t>
        </is>
      </c>
    </row>
    <row r="704">
      <c r="B704" t="inlineStr">
        <is>
          <t>Hazardous waste treatment and disposal(1)</t>
        </is>
      </c>
      <c r="C704" t="n">
        <v>562211</v>
      </c>
      <c r="D704" t="n">
        <v>41.5</v>
      </c>
      <c r="E704" t="n">
        <v>41.6</v>
      </c>
      <c r="F704" t="n">
        <v>41.2</v>
      </c>
      <c r="G704" t="n">
        <v>41.3</v>
      </c>
      <c r="H704" t="n">
        <v>41.2</v>
      </c>
      <c r="I704" t="inlineStr">
        <is>
          <t>-</t>
        </is>
      </c>
      <c r="J704" t="inlineStr">
        <is>
          <t>-</t>
        </is>
      </c>
    </row>
    <row r="705">
      <c r="B705" t="inlineStr">
        <is>
          <t>Solid waste landfill, combustors, and incinerators and other nonhazardous waste treatment and disposal(1)</t>
        </is>
      </c>
      <c r="C705" t="inlineStr">
        <is>
          <t>562212,3,9</t>
        </is>
      </c>
      <c r="D705" t="n">
        <v>64.2</v>
      </c>
      <c r="E705" t="n">
        <v>66.8</v>
      </c>
      <c r="F705" t="n">
        <v>67</v>
      </c>
      <c r="G705" t="n">
        <v>66.7</v>
      </c>
      <c r="H705" t="n">
        <v>66.8</v>
      </c>
      <c r="I705" t="inlineStr">
        <is>
          <t>-</t>
        </is>
      </c>
      <c r="J705" t="inlineStr">
        <is>
          <t>-</t>
        </is>
      </c>
    </row>
    <row r="706">
      <c r="B706" t="inlineStr">
        <is>
          <t>Remediation and other waste management services(1)</t>
        </is>
      </c>
      <c r="C706" t="n">
        <v>5629</v>
      </c>
      <c r="D706" t="n">
        <v>183.4</v>
      </c>
      <c r="E706" t="n">
        <v>192.8</v>
      </c>
      <c r="F706" t="n">
        <v>193.5</v>
      </c>
      <c r="G706" t="n">
        <v>193.7</v>
      </c>
      <c r="H706" t="n">
        <v>193.6</v>
      </c>
      <c r="I706" t="inlineStr">
        <is>
          <t>-</t>
        </is>
      </c>
      <c r="J706" t="inlineStr">
        <is>
          <t>-</t>
        </is>
      </c>
    </row>
    <row r="707">
      <c r="B707" t="inlineStr">
        <is>
          <t>Remediation services(1)</t>
        </is>
      </c>
      <c r="C707" t="n">
        <v>56291</v>
      </c>
      <c r="D707" t="n">
        <v>99.40000000000001</v>
      </c>
      <c r="E707" t="n">
        <v>104.3</v>
      </c>
      <c r="F707" t="n">
        <v>105</v>
      </c>
      <c r="G707" t="n">
        <v>105.8</v>
      </c>
      <c r="H707" t="n">
        <v>105.2</v>
      </c>
      <c r="I707" t="inlineStr">
        <is>
          <t>-</t>
        </is>
      </c>
      <c r="J707" t="inlineStr">
        <is>
          <t>-</t>
        </is>
      </c>
    </row>
    <row r="708">
      <c r="B708" t="inlineStr">
        <is>
          <t>Materials recovery facilities and other waste management services(1)</t>
        </is>
      </c>
      <c r="C708" t="inlineStr">
        <is>
          <t>56292,9</t>
        </is>
      </c>
      <c r="D708" t="n">
        <v>84.40000000000001</v>
      </c>
      <c r="E708" t="n">
        <v>88.3</v>
      </c>
      <c r="F708" t="n">
        <v>88.40000000000001</v>
      </c>
      <c r="G708" t="n">
        <v>88</v>
      </c>
      <c r="H708" t="n">
        <v>88.7</v>
      </c>
      <c r="I708" t="inlineStr">
        <is>
          <t>-</t>
        </is>
      </c>
      <c r="J708" t="inlineStr">
        <is>
          <t>-</t>
        </is>
      </c>
    </row>
    <row r="710">
      <c r="B710" t="inlineStr">
        <is>
          <t>Private education and health services</t>
        </is>
      </c>
      <c r="D710" t="n">
        <v>25747</v>
      </c>
      <c r="E710" t="n">
        <v>26403</v>
      </c>
      <c r="F710" t="n">
        <v>26470</v>
      </c>
      <c r="G710" t="n">
        <v>26561</v>
      </c>
      <c r="H710" t="n">
        <v>26628</v>
      </c>
      <c r="I710" t="n">
        <v>26707</v>
      </c>
      <c r="J710" t="n">
        <v>79</v>
      </c>
    </row>
    <row r="711">
      <c r="A711" t="inlineStr">
        <is>
          <t>ISIC 85</t>
        </is>
      </c>
      <c r="B711" t="inlineStr">
        <is>
          <t>Private educational services</t>
        </is>
      </c>
      <c r="C711" t="n">
        <v>61</v>
      </c>
      <c r="D711" t="n">
        <v>3835</v>
      </c>
      <c r="E711" t="n">
        <v>3868.4</v>
      </c>
      <c r="F711" t="n">
        <v>3880.8</v>
      </c>
      <c r="G711" t="n">
        <v>3889.8</v>
      </c>
      <c r="H711" t="n">
        <v>3892.8</v>
      </c>
      <c r="I711" t="n">
        <v>3899.7</v>
      </c>
      <c r="J711" t="n">
        <v>6.9</v>
      </c>
    </row>
    <row r="712">
      <c r="B712" t="inlineStr">
        <is>
          <t>Private elementary and secondary schools(1)</t>
        </is>
      </c>
      <c r="C712" t="n">
        <v>6111</v>
      </c>
      <c r="D712" t="n">
        <v>1157.7</v>
      </c>
      <c r="E712" t="n">
        <v>1167.7</v>
      </c>
      <c r="F712" t="n">
        <v>1173.2</v>
      </c>
      <c r="G712" t="n">
        <v>1179.2</v>
      </c>
      <c r="H712" t="n">
        <v>1183.6</v>
      </c>
      <c r="I712" t="inlineStr">
        <is>
          <t>-</t>
        </is>
      </c>
      <c r="J712" t="inlineStr">
        <is>
          <t>-</t>
        </is>
      </c>
    </row>
    <row r="713">
      <c r="B713" t="inlineStr">
        <is>
          <t>Private junior colleges, colleges, universities, and professional schools(1)</t>
        </is>
      </c>
      <c r="C713" t="inlineStr">
        <is>
          <t>6112,3</t>
        </is>
      </c>
      <c r="D713" t="n">
        <v>1748.5</v>
      </c>
      <c r="E713" t="n">
        <v>1761.6</v>
      </c>
      <c r="F713" t="n">
        <v>1764.4</v>
      </c>
      <c r="G713" t="n">
        <v>1765</v>
      </c>
      <c r="H713" t="n">
        <v>1759.9</v>
      </c>
      <c r="I713" t="inlineStr">
        <is>
          <t>-</t>
        </is>
      </c>
      <c r="J713" t="inlineStr">
        <is>
          <t>-</t>
        </is>
      </c>
    </row>
    <row r="714">
      <c r="B714" t="inlineStr">
        <is>
          <t>Private business schools and computer and management training(1)</t>
        </is>
      </c>
      <c r="C714" t="n">
        <v>6114</v>
      </c>
      <c r="D714" t="n">
        <v>87.7</v>
      </c>
      <c r="E714" t="n">
        <v>87.2</v>
      </c>
      <c r="F714" t="n">
        <v>87.2</v>
      </c>
      <c r="G714" t="n">
        <v>88.40000000000001</v>
      </c>
      <c r="H714" t="n">
        <v>88.40000000000001</v>
      </c>
      <c r="I714" t="inlineStr">
        <is>
          <t>-</t>
        </is>
      </c>
      <c r="J714" t="inlineStr">
        <is>
          <t>-</t>
        </is>
      </c>
    </row>
    <row r="715">
      <c r="B715" t="inlineStr">
        <is>
          <t>Private business and secretarial schools and private computer training(1)</t>
        </is>
      </c>
      <c r="C715" t="inlineStr">
        <is>
          <t>61141,2</t>
        </is>
      </c>
      <c r="D715" t="n">
        <v>25.9</v>
      </c>
      <c r="E715" t="n">
        <v>22.2</v>
      </c>
      <c r="F715" t="n">
        <v>22.4</v>
      </c>
      <c r="G715" t="n">
        <v>22.7</v>
      </c>
      <c r="H715" t="n">
        <v>22.2</v>
      </c>
      <c r="I715" t="inlineStr">
        <is>
          <t>-</t>
        </is>
      </c>
      <c r="J715" t="inlineStr">
        <is>
          <t>-</t>
        </is>
      </c>
    </row>
    <row r="716">
      <c r="B716" t="inlineStr">
        <is>
          <t>Private professional and management development training(1)</t>
        </is>
      </c>
      <c r="C716" t="n">
        <v>61143</v>
      </c>
      <c r="D716" t="n">
        <v>61.8</v>
      </c>
      <c r="E716" t="n">
        <v>64.7</v>
      </c>
      <c r="F716" t="n">
        <v>64.5</v>
      </c>
      <c r="G716" t="n">
        <v>65.7</v>
      </c>
      <c r="H716" t="n">
        <v>66.5</v>
      </c>
      <c r="I716" t="inlineStr">
        <is>
          <t>-</t>
        </is>
      </c>
      <c r="J716" t="inlineStr">
        <is>
          <t>-</t>
        </is>
      </c>
    </row>
    <row r="717">
      <c r="B717" t="inlineStr">
        <is>
          <t>Private technical and trade schools(1)</t>
        </is>
      </c>
      <c r="C717" t="n">
        <v>6115</v>
      </c>
      <c r="D717" t="n">
        <v>120.7</v>
      </c>
      <c r="E717" t="n">
        <v>122.3</v>
      </c>
      <c r="F717" t="n">
        <v>123.2</v>
      </c>
      <c r="G717" t="n">
        <v>122</v>
      </c>
      <c r="H717" t="n">
        <v>124.7</v>
      </c>
      <c r="I717" t="inlineStr">
        <is>
          <t>-</t>
        </is>
      </c>
      <c r="J717" t="inlineStr">
        <is>
          <t>-</t>
        </is>
      </c>
    </row>
    <row r="718">
      <c r="B718" t="inlineStr">
        <is>
          <t>Other private schools and instruction(1)</t>
        </is>
      </c>
      <c r="C718" t="n">
        <v>6116</v>
      </c>
      <c r="D718" t="n">
        <v>530.2</v>
      </c>
      <c r="E718" t="n">
        <v>528.7</v>
      </c>
      <c r="F718" t="n">
        <v>533.7</v>
      </c>
      <c r="G718" t="n">
        <v>541.1</v>
      </c>
      <c r="H718" t="n">
        <v>546.4</v>
      </c>
      <c r="I718" t="inlineStr">
        <is>
          <t>-</t>
        </is>
      </c>
      <c r="J718" t="inlineStr">
        <is>
          <t>-</t>
        </is>
      </c>
    </row>
    <row r="719">
      <c r="B719" t="inlineStr">
        <is>
          <t>Private fine arts schools(1)</t>
        </is>
      </c>
      <c r="C719" t="n">
        <v>61161</v>
      </c>
      <c r="D719" t="n">
        <v>126</v>
      </c>
      <c r="E719" t="n">
        <v>126.5</v>
      </c>
      <c r="F719" t="n">
        <v>125.1</v>
      </c>
      <c r="G719" t="n">
        <v>127.1</v>
      </c>
      <c r="H719" t="n">
        <v>126.8</v>
      </c>
      <c r="I719" t="inlineStr">
        <is>
          <t>-</t>
        </is>
      </c>
      <c r="J719" t="inlineStr">
        <is>
          <t>-</t>
        </is>
      </c>
    </row>
    <row r="720">
      <c r="B720" t="inlineStr">
        <is>
          <t>Private sports and recreation instruction(1)</t>
        </is>
      </c>
      <c r="C720" t="n">
        <v>61162</v>
      </c>
      <c r="D720" t="n">
        <v>175.9</v>
      </c>
      <c r="E720" t="n">
        <v>178.3</v>
      </c>
      <c r="F720" t="n">
        <v>181.1</v>
      </c>
      <c r="G720" t="n">
        <v>180.7</v>
      </c>
      <c r="H720" t="n">
        <v>181.1</v>
      </c>
      <c r="I720" t="inlineStr">
        <is>
          <t>-</t>
        </is>
      </c>
      <c r="J720" t="inlineStr">
        <is>
          <t>-</t>
        </is>
      </c>
    </row>
    <row r="721">
      <c r="B721" t="inlineStr">
        <is>
          <t>Private language schools and all other private schools and instruction(1)</t>
        </is>
      </c>
      <c r="C721" t="inlineStr">
        <is>
          <t>61163,9</t>
        </is>
      </c>
      <c r="D721" t="n">
        <v>226.6</v>
      </c>
      <c r="E721" t="n">
        <v>229.5</v>
      </c>
      <c r="F721" t="n">
        <v>231.9</v>
      </c>
      <c r="G721" t="n">
        <v>233.2</v>
      </c>
      <c r="H721" t="n">
        <v>237.7</v>
      </c>
      <c r="I721" t="inlineStr">
        <is>
          <t>-</t>
        </is>
      </c>
      <c r="J721" t="inlineStr">
        <is>
          <t>-</t>
        </is>
      </c>
    </row>
    <row r="722">
      <c r="B722" t="inlineStr">
        <is>
          <t>Private educational support services(1)</t>
        </is>
      </c>
      <c r="C722" t="n">
        <v>6117</v>
      </c>
      <c r="D722" t="n">
        <v>191.2</v>
      </c>
      <c r="E722" t="n">
        <v>190.8</v>
      </c>
      <c r="F722" t="n">
        <v>189.4</v>
      </c>
      <c r="G722" t="n">
        <v>190.4</v>
      </c>
      <c r="H722" t="n">
        <v>191.6</v>
      </c>
      <c r="I722" t="inlineStr">
        <is>
          <t>-</t>
        </is>
      </c>
      <c r="J722" t="inlineStr">
        <is>
          <t>-</t>
        </is>
      </c>
    </row>
    <row r="723">
      <c r="A723" t="inlineStr">
        <is>
          <t>ISIC 86T88</t>
        </is>
      </c>
      <c r="B723" t="inlineStr">
        <is>
          <t>Health care and social assistance</t>
        </is>
      </c>
      <c r="C723" t="n">
        <v>62</v>
      </c>
      <c r="D723" t="n">
        <v>21912.4</v>
      </c>
      <c r="E723" t="n">
        <v>22534.2</v>
      </c>
      <c r="F723" t="n">
        <v>22589.5</v>
      </c>
      <c r="G723" t="n">
        <v>22670.9</v>
      </c>
      <c r="H723" t="n">
        <v>22735.1</v>
      </c>
      <c r="I723" t="n">
        <v>22807.4</v>
      </c>
      <c r="J723" t="n">
        <v>72.3</v>
      </c>
    </row>
    <row r="724">
      <c r="B724" t="inlineStr">
        <is>
          <t>Health care(4)</t>
        </is>
      </c>
      <c r="C724" t="inlineStr">
        <is>
          <t>621,2,3</t>
        </is>
      </c>
      <c r="D724" t="n">
        <v>17241.4</v>
      </c>
      <c r="E724" t="n">
        <v>17697.6</v>
      </c>
      <c r="F724" t="n">
        <v>17741</v>
      </c>
      <c r="G724" t="n">
        <v>17800.2</v>
      </c>
      <c r="H724" t="n">
        <v>17867.2</v>
      </c>
      <c r="I724" t="n">
        <v>17920.8</v>
      </c>
      <c r="J724" t="n">
        <v>53.6</v>
      </c>
    </row>
    <row r="725">
      <c r="B725" t="inlineStr">
        <is>
          <t>Ambulatory health care services</t>
        </is>
      </c>
      <c r="C725" t="n">
        <v>621</v>
      </c>
      <c r="D725" t="n">
        <v>8604.5</v>
      </c>
      <c r="E725" t="n">
        <v>8832.9</v>
      </c>
      <c r="F725" t="n">
        <v>8861.6</v>
      </c>
      <c r="G725" t="n">
        <v>8893.200000000001</v>
      </c>
      <c r="H725" t="n">
        <v>8937.6</v>
      </c>
      <c r="I725" t="n">
        <v>8960</v>
      </c>
      <c r="J725" t="n">
        <v>22.4</v>
      </c>
    </row>
    <row r="726">
      <c r="B726" t="inlineStr">
        <is>
          <t>Offices of physicians</t>
        </is>
      </c>
      <c r="C726" t="n">
        <v>6211</v>
      </c>
      <c r="D726" t="n">
        <v>2977.2</v>
      </c>
      <c r="E726" t="n">
        <v>3036.6</v>
      </c>
      <c r="F726" t="n">
        <v>3041.3</v>
      </c>
      <c r="G726" t="n">
        <v>3048.3</v>
      </c>
      <c r="H726" t="n">
        <v>3059.6</v>
      </c>
      <c r="I726" t="n">
        <v>3061.5</v>
      </c>
      <c r="J726" t="n">
        <v>1.9</v>
      </c>
    </row>
    <row r="727">
      <c r="B727" t="inlineStr">
        <is>
          <t>Offices of physicians (except mental health specialists)(1)</t>
        </is>
      </c>
      <c r="C727" t="n">
        <v>621111</v>
      </c>
      <c r="D727" t="n">
        <v>2894.8</v>
      </c>
      <c r="E727" t="n">
        <v>2949.1</v>
      </c>
      <c r="F727" t="n">
        <v>2953.1</v>
      </c>
      <c r="G727" t="n">
        <v>2959</v>
      </c>
      <c r="H727" t="n">
        <v>2971.3</v>
      </c>
      <c r="I727" t="inlineStr">
        <is>
          <t>-</t>
        </is>
      </c>
      <c r="J727" t="inlineStr">
        <is>
          <t>-</t>
        </is>
      </c>
    </row>
    <row r="728">
      <c r="B728" t="inlineStr">
        <is>
          <t>Offices of physicians, mental health specialists(1)</t>
        </is>
      </c>
      <c r="C728" t="n">
        <v>621112</v>
      </c>
      <c r="D728" t="n">
        <v>82.5</v>
      </c>
      <c r="E728" t="n">
        <v>87.09999999999999</v>
      </c>
      <c r="F728" t="n">
        <v>88.2</v>
      </c>
      <c r="G728" t="n">
        <v>89.3</v>
      </c>
      <c r="H728" t="n">
        <v>89.3</v>
      </c>
      <c r="I728" t="inlineStr">
        <is>
          <t>-</t>
        </is>
      </c>
      <c r="J728" t="inlineStr">
        <is>
          <t>-</t>
        </is>
      </c>
    </row>
    <row r="729">
      <c r="B729" t="inlineStr">
        <is>
          <t>Offices of dentists</t>
        </is>
      </c>
      <c r="C729" t="n">
        <v>6212</v>
      </c>
      <c r="D729" t="n">
        <v>1031.1</v>
      </c>
      <c r="E729" t="n">
        <v>1041.8</v>
      </c>
      <c r="F729" t="n">
        <v>1043.8</v>
      </c>
      <c r="G729" t="n">
        <v>1045.5</v>
      </c>
      <c r="H729" t="n">
        <v>1057.3</v>
      </c>
      <c r="I729" t="n">
        <v>1052.6</v>
      </c>
      <c r="J729" t="n">
        <v>-4.7</v>
      </c>
    </row>
    <row r="730">
      <c r="B730" t="inlineStr">
        <is>
          <t>Offices of other health practitioners</t>
        </is>
      </c>
      <c r="C730" t="n">
        <v>6213</v>
      </c>
      <c r="D730" t="n">
        <v>1178</v>
      </c>
      <c r="E730" t="n">
        <v>1212.2</v>
      </c>
      <c r="F730" t="n">
        <v>1218.3</v>
      </c>
      <c r="G730" t="n">
        <v>1223.7</v>
      </c>
      <c r="H730" t="n">
        <v>1229.5</v>
      </c>
      <c r="I730" t="n">
        <v>1239</v>
      </c>
      <c r="J730" t="n">
        <v>9.5</v>
      </c>
    </row>
    <row r="731">
      <c r="B731" t="inlineStr">
        <is>
          <t>Offices of chiropractors(1)</t>
        </is>
      </c>
      <c r="C731" t="n">
        <v>62131</v>
      </c>
      <c r="D731" t="n">
        <v>147.7</v>
      </c>
      <c r="E731" t="n">
        <v>151.6</v>
      </c>
      <c r="F731" t="n">
        <v>150.8</v>
      </c>
      <c r="G731" t="n">
        <v>150.1</v>
      </c>
      <c r="H731" t="n">
        <v>149.8</v>
      </c>
      <c r="I731" t="inlineStr">
        <is>
          <t>-</t>
        </is>
      </c>
      <c r="J731" t="inlineStr">
        <is>
          <t>-</t>
        </is>
      </c>
    </row>
    <row r="732">
      <c r="B732" t="inlineStr">
        <is>
          <t>Offices of optometrists(1)</t>
        </is>
      </c>
      <c r="C732" t="n">
        <v>62132</v>
      </c>
      <c r="D732" t="n">
        <v>153.9</v>
      </c>
      <c r="E732" t="n">
        <v>156.2</v>
      </c>
      <c r="F732" t="n">
        <v>158.9</v>
      </c>
      <c r="G732" t="n">
        <v>159.5</v>
      </c>
      <c r="H732" t="n">
        <v>158.6</v>
      </c>
      <c r="I732" t="inlineStr">
        <is>
          <t>-</t>
        </is>
      </c>
      <c r="J732" t="inlineStr">
        <is>
          <t>-</t>
        </is>
      </c>
    </row>
    <row r="733">
      <c r="B733" t="inlineStr">
        <is>
          <t>Offices of mental health practitioners (except physicians)(1)</t>
        </is>
      </c>
      <c r="C733" t="n">
        <v>62133</v>
      </c>
      <c r="D733" t="n">
        <v>210.9</v>
      </c>
      <c r="E733" t="n">
        <v>234</v>
      </c>
      <c r="F733" t="n">
        <v>235.1</v>
      </c>
      <c r="G733" t="n">
        <v>238.6</v>
      </c>
      <c r="H733" t="n">
        <v>237.7</v>
      </c>
      <c r="I733" t="inlineStr">
        <is>
          <t>-</t>
        </is>
      </c>
      <c r="J733" t="inlineStr">
        <is>
          <t>-</t>
        </is>
      </c>
    </row>
    <row r="734">
      <c r="B734" t="inlineStr">
        <is>
          <t>Offices of physical, occupational and speech therapists, and audiologists(1)</t>
        </is>
      </c>
      <c r="C734" t="n">
        <v>62134</v>
      </c>
      <c r="D734" t="n">
        <v>476.2</v>
      </c>
      <c r="E734" t="n">
        <v>479.9</v>
      </c>
      <c r="F734" t="n">
        <v>482.8</v>
      </c>
      <c r="G734" t="n">
        <v>486.1</v>
      </c>
      <c r="H734" t="n">
        <v>488.8</v>
      </c>
      <c r="I734" t="inlineStr">
        <is>
          <t>-</t>
        </is>
      </c>
      <c r="J734" t="inlineStr">
        <is>
          <t>-</t>
        </is>
      </c>
    </row>
    <row r="735">
      <c r="B735" t="inlineStr">
        <is>
          <t>Offices of all other health practitioners(1)</t>
        </is>
      </c>
      <c r="C735" t="n">
        <v>62139</v>
      </c>
      <c r="D735" t="n">
        <v>186.3</v>
      </c>
      <c r="E735" t="n">
        <v>189.9</v>
      </c>
      <c r="F735" t="n">
        <v>191</v>
      </c>
      <c r="G735" t="n">
        <v>190.8</v>
      </c>
      <c r="H735" t="n">
        <v>192.1</v>
      </c>
      <c r="I735" t="inlineStr">
        <is>
          <t>-</t>
        </is>
      </c>
      <c r="J735" t="inlineStr">
        <is>
          <t>-</t>
        </is>
      </c>
    </row>
    <row r="736">
      <c r="B736" t="inlineStr">
        <is>
          <t>Offices of podiatrists(1)</t>
        </is>
      </c>
      <c r="C736" t="n">
        <v>621391</v>
      </c>
      <c r="D736" t="n">
        <v>33.4</v>
      </c>
      <c r="E736" t="n">
        <v>33.9</v>
      </c>
      <c r="F736" t="n">
        <v>33.7</v>
      </c>
      <c r="G736" t="n">
        <v>33.5</v>
      </c>
      <c r="H736" t="n">
        <v>33.5</v>
      </c>
      <c r="I736" t="inlineStr">
        <is>
          <t>-</t>
        </is>
      </c>
      <c r="J736" t="inlineStr">
        <is>
          <t>-</t>
        </is>
      </c>
    </row>
    <row r="737">
      <c r="B737" t="inlineStr">
        <is>
          <t>Offices of all other miscellaneous health practitioners(1)</t>
        </is>
      </c>
      <c r="C737" t="n">
        <v>621399</v>
      </c>
      <c r="D737" t="n">
        <v>153</v>
      </c>
      <c r="E737" t="n">
        <v>156.1</v>
      </c>
      <c r="F737" t="n">
        <v>157.1</v>
      </c>
      <c r="G737" t="n">
        <v>157.6</v>
      </c>
      <c r="H737" t="n">
        <v>158.6</v>
      </c>
      <c r="I737" t="inlineStr">
        <is>
          <t>-</t>
        </is>
      </c>
      <c r="J737" t="inlineStr">
        <is>
          <t>-</t>
        </is>
      </c>
    </row>
    <row r="738">
      <c r="B738" t="inlineStr">
        <is>
          <t>Outpatient care centers</t>
        </is>
      </c>
      <c r="C738" t="n">
        <v>6214</v>
      </c>
      <c r="D738" t="n">
        <v>1074</v>
      </c>
      <c r="E738" t="n">
        <v>1091.6</v>
      </c>
      <c r="F738" t="n">
        <v>1093.6</v>
      </c>
      <c r="G738" t="n">
        <v>1096.8</v>
      </c>
      <c r="H738" t="n">
        <v>1093.8</v>
      </c>
      <c r="I738" t="n">
        <v>1094.4</v>
      </c>
      <c r="J738" t="n">
        <v>0.6</v>
      </c>
    </row>
    <row r="739">
      <c r="B739" t="inlineStr">
        <is>
          <t>Outpatient mental health and substance abuse centers(1)</t>
        </is>
      </c>
      <c r="C739" t="n">
        <v>62142</v>
      </c>
      <c r="D739" t="n">
        <v>300.8</v>
      </c>
      <c r="E739" t="n">
        <v>309.9</v>
      </c>
      <c r="F739" t="n">
        <v>309.7</v>
      </c>
      <c r="G739" t="n">
        <v>311.8</v>
      </c>
      <c r="H739" t="n">
        <v>312.4</v>
      </c>
      <c r="I739" t="inlineStr">
        <is>
          <t>-</t>
        </is>
      </c>
      <c r="J739" t="inlineStr">
        <is>
          <t>-</t>
        </is>
      </c>
    </row>
    <row r="740">
      <c r="B740" t="inlineStr">
        <is>
          <t>Other outpatient care centers(1)</t>
        </is>
      </c>
      <c r="C740" t="inlineStr">
        <is>
          <t>62141,9</t>
        </is>
      </c>
      <c r="D740" t="n">
        <v>772.8</v>
      </c>
      <c r="E740" t="n">
        <v>781.9</v>
      </c>
      <c r="F740" t="n">
        <v>783.9</v>
      </c>
      <c r="G740" t="n">
        <v>784.3</v>
      </c>
      <c r="H740" t="n">
        <v>781.3</v>
      </c>
      <c r="I740" t="inlineStr">
        <is>
          <t>-</t>
        </is>
      </c>
      <c r="J740" t="inlineStr">
        <is>
          <t>-</t>
        </is>
      </c>
    </row>
    <row r="741">
      <c r="B741" t="inlineStr">
        <is>
          <t>HMO medical centers(1)</t>
        </is>
      </c>
      <c r="C741" t="n">
        <v>621491</v>
      </c>
      <c r="D741" t="n">
        <v>197.9</v>
      </c>
      <c r="E741" t="n">
        <v>193.7</v>
      </c>
      <c r="F741" t="n">
        <v>194.9</v>
      </c>
      <c r="G741" t="n">
        <v>193.5</v>
      </c>
      <c r="H741" t="n">
        <v>192.2</v>
      </c>
      <c r="I741" t="inlineStr">
        <is>
          <t>-</t>
        </is>
      </c>
      <c r="J741" t="inlineStr">
        <is>
          <t>-</t>
        </is>
      </c>
    </row>
    <row r="742">
      <c r="B742" t="inlineStr">
        <is>
          <t>Kidney dialysis centers(1)</t>
        </is>
      </c>
      <c r="C742" t="n">
        <v>621492</v>
      </c>
      <c r="D742" t="n">
        <v>131.5</v>
      </c>
      <c r="E742" t="n">
        <v>131.5</v>
      </c>
      <c r="F742" t="n">
        <v>130.8</v>
      </c>
      <c r="G742" t="n">
        <v>131.3</v>
      </c>
      <c r="H742" t="n">
        <v>129.4</v>
      </c>
      <c r="I742" t="inlineStr">
        <is>
          <t>-</t>
        </is>
      </c>
      <c r="J742" t="inlineStr">
        <is>
          <t>-</t>
        </is>
      </c>
    </row>
    <row r="743">
      <c r="B743" t="inlineStr">
        <is>
          <t>Freestanding ambulatory surgical and emergency centers(1)</t>
        </is>
      </c>
      <c r="C743" t="n">
        <v>621493</v>
      </c>
      <c r="D743" t="n">
        <v>177.2</v>
      </c>
      <c r="E743" t="n">
        <v>179.7</v>
      </c>
      <c r="F743" t="n">
        <v>180.3</v>
      </c>
      <c r="G743" t="n">
        <v>182.6</v>
      </c>
      <c r="H743" t="n">
        <v>181.6</v>
      </c>
      <c r="I743" t="inlineStr">
        <is>
          <t>-</t>
        </is>
      </c>
      <c r="J743" t="inlineStr">
        <is>
          <t>-</t>
        </is>
      </c>
    </row>
    <row r="744">
      <c r="B744" t="inlineStr">
        <is>
          <t>Family planning and all other outpatient care centers(1)</t>
        </is>
      </c>
      <c r="C744" t="inlineStr">
        <is>
          <t>621410,98</t>
        </is>
      </c>
      <c r="D744" t="n">
        <v>265.7</v>
      </c>
      <c r="E744" t="n">
        <v>276.6</v>
      </c>
      <c r="F744" t="n">
        <v>277.6</v>
      </c>
      <c r="G744" t="n">
        <v>277.7</v>
      </c>
      <c r="H744" t="n">
        <v>278.1</v>
      </c>
      <c r="I744" t="inlineStr">
        <is>
          <t>-</t>
        </is>
      </c>
      <c r="J744" t="inlineStr">
        <is>
          <t>-</t>
        </is>
      </c>
    </row>
    <row r="745">
      <c r="B745" t="inlineStr">
        <is>
          <t>Medical and diagnostic laboratories</t>
        </is>
      </c>
      <c r="C745" t="n">
        <v>6215</v>
      </c>
      <c r="D745" t="n">
        <v>323.6</v>
      </c>
      <c r="E745" t="n">
        <v>317.4</v>
      </c>
      <c r="F745" t="n">
        <v>318</v>
      </c>
      <c r="G745" t="n">
        <v>316.5</v>
      </c>
      <c r="H745" t="n">
        <v>318.4</v>
      </c>
      <c r="I745" t="n">
        <v>318.2</v>
      </c>
      <c r="J745" t="n">
        <v>-0.2</v>
      </c>
    </row>
    <row r="746">
      <c r="B746" t="inlineStr">
        <is>
          <t>Medical laboratories(1)</t>
        </is>
      </c>
      <c r="C746" t="n">
        <v>621511</v>
      </c>
      <c r="D746" t="n">
        <v>234.4</v>
      </c>
      <c r="E746" t="n">
        <v>225.7</v>
      </c>
      <c r="F746" t="n">
        <v>225</v>
      </c>
      <c r="G746" t="n">
        <v>223.6</v>
      </c>
      <c r="H746" t="n">
        <v>225</v>
      </c>
      <c r="I746" t="inlineStr">
        <is>
          <t>-</t>
        </is>
      </c>
      <c r="J746" t="inlineStr">
        <is>
          <t>-</t>
        </is>
      </c>
    </row>
    <row r="747">
      <c r="B747" t="inlineStr">
        <is>
          <t>Diagnostic imaging centers(1)</t>
        </is>
      </c>
      <c r="C747" t="n">
        <v>621512</v>
      </c>
      <c r="D747" t="n">
        <v>89</v>
      </c>
      <c r="E747" t="n">
        <v>91.40000000000001</v>
      </c>
      <c r="F747" t="n">
        <v>92.7</v>
      </c>
      <c r="G747" t="n">
        <v>92.5</v>
      </c>
      <c r="H747" t="n">
        <v>93.59999999999999</v>
      </c>
      <c r="I747" t="inlineStr">
        <is>
          <t>-</t>
        </is>
      </c>
      <c r="J747" t="inlineStr">
        <is>
          <t>-</t>
        </is>
      </c>
    </row>
    <row r="748">
      <c r="B748" t="inlineStr">
        <is>
          <t>Home health care services</t>
        </is>
      </c>
      <c r="C748" t="n">
        <v>6216</v>
      </c>
      <c r="D748" t="n">
        <v>1667.5</v>
      </c>
      <c r="E748" t="n">
        <v>1775.4</v>
      </c>
      <c r="F748" t="n">
        <v>1786.1</v>
      </c>
      <c r="G748" t="n">
        <v>1801.6</v>
      </c>
      <c r="H748" t="n">
        <v>1815.4</v>
      </c>
      <c r="I748" t="n">
        <v>1831.4</v>
      </c>
      <c r="J748" t="n">
        <v>16</v>
      </c>
    </row>
    <row r="749">
      <c r="B749" t="inlineStr">
        <is>
          <t>Other ambulatory health care services</t>
        </is>
      </c>
      <c r="C749" t="n">
        <v>6219</v>
      </c>
      <c r="D749" t="n">
        <v>353.1</v>
      </c>
      <c r="E749" t="n">
        <v>358</v>
      </c>
      <c r="F749" t="n">
        <v>360.6</v>
      </c>
      <c r="G749" t="n">
        <v>360.8</v>
      </c>
      <c r="H749" t="n">
        <v>363.5</v>
      </c>
      <c r="I749" t="n">
        <v>363</v>
      </c>
      <c r="J749" t="n">
        <v>-0.5</v>
      </c>
    </row>
    <row r="750">
      <c r="B750" t="inlineStr">
        <is>
          <t>Ambulance services(1)</t>
        </is>
      </c>
      <c r="C750" t="n">
        <v>62191</v>
      </c>
      <c r="D750" t="n">
        <v>167.6</v>
      </c>
      <c r="E750" t="n">
        <v>167.9</v>
      </c>
      <c r="F750" t="n">
        <v>170.3</v>
      </c>
      <c r="G750" t="n">
        <v>170.6</v>
      </c>
      <c r="H750" t="n">
        <v>172</v>
      </c>
      <c r="I750" t="inlineStr">
        <is>
          <t>-</t>
        </is>
      </c>
      <c r="J750" t="inlineStr">
        <is>
          <t>-</t>
        </is>
      </c>
    </row>
    <row r="751">
      <c r="B751" t="inlineStr">
        <is>
          <t>All other ambulatory health care services(1)</t>
        </is>
      </c>
      <c r="C751" t="n">
        <v>62199</v>
      </c>
      <c r="D751" t="n">
        <v>186.1</v>
      </c>
      <c r="E751" t="n">
        <v>190.4</v>
      </c>
      <c r="F751" t="n">
        <v>191</v>
      </c>
      <c r="G751" t="n">
        <v>190.2</v>
      </c>
      <c r="H751" t="n">
        <v>191.3</v>
      </c>
      <c r="I751" t="inlineStr">
        <is>
          <t>-</t>
        </is>
      </c>
      <c r="J751" t="inlineStr">
        <is>
          <t>-</t>
        </is>
      </c>
    </row>
    <row r="752">
      <c r="B752" t="inlineStr">
        <is>
          <t>Blood and organ banks(1)</t>
        </is>
      </c>
      <c r="C752" t="n">
        <v>621991</v>
      </c>
      <c r="D752" t="n">
        <v>91.3</v>
      </c>
      <c r="E752" t="n">
        <v>92.7</v>
      </c>
      <c r="F752" t="n">
        <v>92.90000000000001</v>
      </c>
      <c r="G752" t="n">
        <v>92.8</v>
      </c>
      <c r="H752" t="n">
        <v>93</v>
      </c>
      <c r="I752" t="inlineStr">
        <is>
          <t>-</t>
        </is>
      </c>
      <c r="J752" t="inlineStr">
        <is>
          <t>-</t>
        </is>
      </c>
    </row>
    <row r="753">
      <c r="B753" t="inlineStr">
        <is>
          <t>All other miscellaneous ambulatory health care services(1)</t>
        </is>
      </c>
      <c r="C753" t="n">
        <v>621999</v>
      </c>
      <c r="D753" t="n">
        <v>95.3</v>
      </c>
      <c r="E753" t="n">
        <v>97.09999999999999</v>
      </c>
      <c r="F753" t="n">
        <v>97.40000000000001</v>
      </c>
      <c r="G753" t="n">
        <v>97.09999999999999</v>
      </c>
      <c r="H753" t="n">
        <v>98.90000000000001</v>
      </c>
      <c r="I753" t="inlineStr">
        <is>
          <t>-</t>
        </is>
      </c>
      <c r="J753" t="inlineStr">
        <is>
          <t>-</t>
        </is>
      </c>
    </row>
    <row r="754">
      <c r="B754" t="inlineStr">
        <is>
          <t>Hospitals</t>
        </is>
      </c>
      <c r="C754" t="n">
        <v>622</v>
      </c>
      <c r="D754" t="n">
        <v>5420.2</v>
      </c>
      <c r="E754" t="n">
        <v>5574.1</v>
      </c>
      <c r="F754" t="n">
        <v>5585.8</v>
      </c>
      <c r="G754" t="n">
        <v>5603.1</v>
      </c>
      <c r="H754" t="n">
        <v>5614.3</v>
      </c>
      <c r="I754" t="n">
        <v>5633.6</v>
      </c>
      <c r="J754" t="n">
        <v>19.3</v>
      </c>
    </row>
    <row r="755">
      <c r="B755" t="inlineStr">
        <is>
          <t>General medical and surgical hospitals(1)</t>
        </is>
      </c>
      <c r="C755" t="n">
        <v>6221</v>
      </c>
      <c r="D755" t="n">
        <v>4961.6</v>
      </c>
      <c r="E755" t="n">
        <v>5098.4</v>
      </c>
      <c r="F755" t="n">
        <v>5109.9</v>
      </c>
      <c r="G755" t="n">
        <v>5125.4</v>
      </c>
      <c r="H755" t="n">
        <v>5135.8</v>
      </c>
      <c r="I755" t="inlineStr">
        <is>
          <t>-</t>
        </is>
      </c>
      <c r="J755" t="inlineStr">
        <is>
          <t>-</t>
        </is>
      </c>
    </row>
    <row r="756">
      <c r="B756" t="inlineStr">
        <is>
          <t>Psychiatric and substance abuse hospitals(1)</t>
        </is>
      </c>
      <c r="C756" t="n">
        <v>6222</v>
      </c>
      <c r="D756" t="n">
        <v>160.3</v>
      </c>
      <c r="E756" t="n">
        <v>168.6</v>
      </c>
      <c r="F756" t="n">
        <v>168.8</v>
      </c>
      <c r="G756" t="n">
        <v>169.1</v>
      </c>
      <c r="H756" t="n">
        <v>169.3</v>
      </c>
      <c r="I756" t="inlineStr">
        <is>
          <t>-</t>
        </is>
      </c>
      <c r="J756" t="inlineStr">
        <is>
          <t>-</t>
        </is>
      </c>
    </row>
    <row r="757">
      <c r="B757" t="inlineStr">
        <is>
          <t>Specialty, except psychiatric and substance abuse, hospitals(1)</t>
        </is>
      </c>
      <c r="C757" t="n">
        <v>6223</v>
      </c>
      <c r="D757" t="n">
        <v>299.7</v>
      </c>
      <c r="E757" t="n">
        <v>307</v>
      </c>
      <c r="F757" t="n">
        <v>308</v>
      </c>
      <c r="G757" t="n">
        <v>309.1</v>
      </c>
      <c r="H757" t="n">
        <v>309</v>
      </c>
      <c r="I757" t="inlineStr">
        <is>
          <t>-</t>
        </is>
      </c>
      <c r="J757" t="inlineStr">
        <is>
          <t>-</t>
        </is>
      </c>
    </row>
    <row r="758">
      <c r="B758" t="inlineStr">
        <is>
          <t>Nursing and residential care facilities</t>
        </is>
      </c>
      <c r="C758" t="n">
        <v>623</v>
      </c>
      <c r="D758" t="n">
        <v>3216.7</v>
      </c>
      <c r="E758" t="n">
        <v>3290.6</v>
      </c>
      <c r="F758" t="n">
        <v>3293.6</v>
      </c>
      <c r="G758" t="n">
        <v>3303.9</v>
      </c>
      <c r="H758" t="n">
        <v>3315.3</v>
      </c>
      <c r="I758" t="n">
        <v>3327.2</v>
      </c>
      <c r="J758" t="n">
        <v>11.9</v>
      </c>
    </row>
    <row r="759">
      <c r="B759" t="inlineStr">
        <is>
          <t>Skilled nursing care facilities</t>
        </is>
      </c>
      <c r="C759" t="n">
        <v>6231</v>
      </c>
      <c r="D759" t="n">
        <v>1443.5</v>
      </c>
      <c r="E759" t="n">
        <v>1471</v>
      </c>
      <c r="F759" t="n">
        <v>1471.1</v>
      </c>
      <c r="G759" t="n">
        <v>1476.9</v>
      </c>
      <c r="H759" t="n">
        <v>1480.8</v>
      </c>
      <c r="I759" t="n">
        <v>1484.7</v>
      </c>
      <c r="J759" t="n">
        <v>3.9</v>
      </c>
    </row>
    <row r="760">
      <c r="B760" t="inlineStr">
        <is>
          <t>Residential intellectual and developmental disability, mental health, and substance abuse facilities</t>
        </is>
      </c>
      <c r="C760" t="n">
        <v>6232</v>
      </c>
      <c r="D760" t="n">
        <v>650.8</v>
      </c>
      <c r="E760" t="n">
        <v>672.1</v>
      </c>
      <c r="F760" t="n">
        <v>671.9</v>
      </c>
      <c r="G760" t="n">
        <v>672.7</v>
      </c>
      <c r="H760" t="n">
        <v>676.1</v>
      </c>
      <c r="I760" t="n">
        <v>680</v>
      </c>
      <c r="J760" t="n">
        <v>3.9</v>
      </c>
    </row>
    <row r="761">
      <c r="B761" t="inlineStr">
        <is>
          <t>Residential intellectual and developmental disability facilities(1)</t>
        </is>
      </c>
      <c r="C761" t="n">
        <v>62321</v>
      </c>
      <c r="D761" t="n">
        <v>392.6</v>
      </c>
      <c r="E761" t="n">
        <v>406.5</v>
      </c>
      <c r="F761" t="n">
        <v>406.3</v>
      </c>
      <c r="G761" t="n">
        <v>405.6</v>
      </c>
      <c r="H761" t="n">
        <v>406.9</v>
      </c>
      <c r="I761" t="inlineStr">
        <is>
          <t>-</t>
        </is>
      </c>
      <c r="J761" t="inlineStr">
        <is>
          <t>-</t>
        </is>
      </c>
    </row>
    <row r="762">
      <c r="B762" t="inlineStr">
        <is>
          <t>Residential mental health and substance abuse facilities(1)</t>
        </is>
      </c>
      <c r="C762" t="n">
        <v>62322</v>
      </c>
      <c r="D762" t="n">
        <v>257.8</v>
      </c>
      <c r="E762" t="n">
        <v>265.5</v>
      </c>
      <c r="F762" t="n">
        <v>266.1</v>
      </c>
      <c r="G762" t="n">
        <v>267.4</v>
      </c>
      <c r="H762" t="n">
        <v>269.2</v>
      </c>
      <c r="I762" t="inlineStr">
        <is>
          <t>-</t>
        </is>
      </c>
      <c r="J762" t="inlineStr">
        <is>
          <t>-</t>
        </is>
      </c>
    </row>
    <row r="763">
      <c r="B763" t="inlineStr">
        <is>
          <t>Continuing care retirement communities and assisted living facilities for the elderly</t>
        </is>
      </c>
      <c r="C763" t="n">
        <v>6233</v>
      </c>
      <c r="D763" t="n">
        <v>964.7</v>
      </c>
      <c r="E763" t="n">
        <v>981.5</v>
      </c>
      <c r="F763" t="n">
        <v>985</v>
      </c>
      <c r="G763" t="n">
        <v>987.7</v>
      </c>
      <c r="H763" t="n">
        <v>991.8</v>
      </c>
      <c r="I763" t="n">
        <v>994.3</v>
      </c>
      <c r="J763" t="n">
        <v>2.5</v>
      </c>
    </row>
    <row r="764">
      <c r="B764" t="inlineStr">
        <is>
          <t>Continuing care retirement communities(1)</t>
        </is>
      </c>
      <c r="C764" t="n">
        <v>623311</v>
      </c>
      <c r="D764" t="n">
        <v>478.2</v>
      </c>
      <c r="E764" t="n">
        <v>480.5</v>
      </c>
      <c r="F764" t="n">
        <v>483.4</v>
      </c>
      <c r="G764" t="n">
        <v>485.3</v>
      </c>
      <c r="H764" t="n">
        <v>486</v>
      </c>
      <c r="I764" t="inlineStr">
        <is>
          <t>-</t>
        </is>
      </c>
      <c r="J764" t="inlineStr">
        <is>
          <t>-</t>
        </is>
      </c>
    </row>
    <row r="765">
      <c r="B765" t="inlineStr">
        <is>
          <t>Assisted living facilities for the elderly(1)</t>
        </is>
      </c>
      <c r="C765" t="n">
        <v>623312</v>
      </c>
      <c r="D765" t="n">
        <v>484.1</v>
      </c>
      <c r="E765" t="n">
        <v>499.1</v>
      </c>
      <c r="F765" t="n">
        <v>500.4</v>
      </c>
      <c r="G765" t="n">
        <v>501.3</v>
      </c>
      <c r="H765" t="n">
        <v>501.9</v>
      </c>
      <c r="I765" t="inlineStr">
        <is>
          <t>-</t>
        </is>
      </c>
      <c r="J765" t="inlineStr">
        <is>
          <t>-</t>
        </is>
      </c>
    </row>
    <row r="766">
      <c r="B766" t="inlineStr">
        <is>
          <t>Other residential care facilities</t>
        </is>
      </c>
      <c r="C766" t="n">
        <v>6239</v>
      </c>
      <c r="D766" t="n">
        <v>157.7</v>
      </c>
      <c r="E766" t="n">
        <v>166.1</v>
      </c>
      <c r="F766" t="n">
        <v>165.6</v>
      </c>
      <c r="G766" t="n">
        <v>166.6</v>
      </c>
      <c r="H766" t="n">
        <v>166.6</v>
      </c>
      <c r="I766" t="n">
        <v>168.2</v>
      </c>
      <c r="J766" t="n">
        <v>1.6</v>
      </c>
    </row>
    <row r="767">
      <c r="B767" t="inlineStr">
        <is>
          <t>Social assistance</t>
        </is>
      </c>
      <c r="C767" t="n">
        <v>624</v>
      </c>
      <c r="D767" t="n">
        <v>4671</v>
      </c>
      <c r="E767" t="n">
        <v>4836.6</v>
      </c>
      <c r="F767" t="n">
        <v>4848.5</v>
      </c>
      <c r="G767" t="n">
        <v>4870.7</v>
      </c>
      <c r="H767" t="n">
        <v>4867.9</v>
      </c>
      <c r="I767" t="n">
        <v>4886.6</v>
      </c>
      <c r="J767" t="n">
        <v>18.7</v>
      </c>
    </row>
    <row r="768">
      <c r="B768" t="inlineStr">
        <is>
          <t>Individual and family services</t>
        </is>
      </c>
      <c r="C768" t="n">
        <v>6241</v>
      </c>
      <c r="D768" t="n">
        <v>3108.2</v>
      </c>
      <c r="E768" t="n">
        <v>3250.4</v>
      </c>
      <c r="F768" t="n">
        <v>3269.1</v>
      </c>
      <c r="G768" t="n">
        <v>3289.1</v>
      </c>
      <c r="H768" t="n">
        <v>3286.7</v>
      </c>
      <c r="I768" t="n">
        <v>3303.9</v>
      </c>
      <c r="J768" t="n">
        <v>17.2</v>
      </c>
    </row>
    <row r="769">
      <c r="B769" t="inlineStr">
        <is>
          <t>Child and youth services(1)</t>
        </is>
      </c>
      <c r="C769" t="n">
        <v>62411</v>
      </c>
      <c r="D769" t="n">
        <v>224.5</v>
      </c>
      <c r="E769" t="n">
        <v>223.7</v>
      </c>
      <c r="F769" t="n">
        <v>225</v>
      </c>
      <c r="G769" t="n">
        <v>227.3</v>
      </c>
      <c r="H769" t="n">
        <v>229.3</v>
      </c>
      <c r="I769" t="inlineStr">
        <is>
          <t>-</t>
        </is>
      </c>
      <c r="J769" t="inlineStr">
        <is>
          <t>-</t>
        </is>
      </c>
    </row>
    <row r="770">
      <c r="B770" t="inlineStr">
        <is>
          <t>Services for the elderly and persons with disabilities(1)</t>
        </is>
      </c>
      <c r="C770" t="n">
        <v>62412</v>
      </c>
      <c r="D770" t="n">
        <v>2379.1</v>
      </c>
      <c r="E770" t="n">
        <v>2510.3</v>
      </c>
      <c r="F770" t="n">
        <v>2528.8</v>
      </c>
      <c r="G770" t="n">
        <v>2543.9</v>
      </c>
      <c r="H770" t="n">
        <v>2536.6</v>
      </c>
      <c r="I770" t="inlineStr">
        <is>
          <t>-</t>
        </is>
      </c>
      <c r="J770" t="inlineStr">
        <is>
          <t>-</t>
        </is>
      </c>
    </row>
    <row r="771">
      <c r="B771" t="inlineStr">
        <is>
          <t>Other individual and family services(1)</t>
        </is>
      </c>
      <c r="C771" t="n">
        <v>62419</v>
      </c>
      <c r="D771" t="n">
        <v>507.2</v>
      </c>
      <c r="E771" t="n">
        <v>515.6</v>
      </c>
      <c r="F771" t="n">
        <v>517.2</v>
      </c>
      <c r="G771" t="n">
        <v>517.1</v>
      </c>
      <c r="H771" t="n">
        <v>520</v>
      </c>
      <c r="I771" t="inlineStr">
        <is>
          <t>-</t>
        </is>
      </c>
      <c r="J771" t="inlineStr">
        <is>
          <t>-</t>
        </is>
      </c>
    </row>
    <row r="772">
      <c r="B772" t="inlineStr">
        <is>
          <t>Community food and housing, and emergency and other relief services</t>
        </is>
      </c>
      <c r="C772" t="n">
        <v>6242</v>
      </c>
      <c r="D772" t="n">
        <v>224.4</v>
      </c>
      <c r="E772" t="n">
        <v>233.1</v>
      </c>
      <c r="F772" t="n">
        <v>231.8</v>
      </c>
      <c r="G772" t="n">
        <v>231.9</v>
      </c>
      <c r="H772" t="n">
        <v>232.7</v>
      </c>
      <c r="I772" t="n">
        <v>231</v>
      </c>
      <c r="J772" t="n">
        <v>-1.7</v>
      </c>
    </row>
    <row r="773">
      <c r="B773" t="inlineStr">
        <is>
          <t>Community food services(1)</t>
        </is>
      </c>
      <c r="C773" t="n">
        <v>62421</v>
      </c>
      <c r="D773" t="n">
        <v>48.4</v>
      </c>
      <c r="E773" t="n">
        <v>49.8</v>
      </c>
      <c r="F773" t="n">
        <v>49.3</v>
      </c>
      <c r="G773" t="n">
        <v>49.4</v>
      </c>
      <c r="H773" t="n">
        <v>49.8</v>
      </c>
      <c r="I773" t="inlineStr">
        <is>
          <t>-</t>
        </is>
      </c>
      <c r="J773" t="inlineStr">
        <is>
          <t>-</t>
        </is>
      </c>
    </row>
    <row r="774">
      <c r="B774" t="inlineStr">
        <is>
          <t>Community housing, emergency, and relief services(1)</t>
        </is>
      </c>
      <c r="C774" t="inlineStr">
        <is>
          <t>62422,3</t>
        </is>
      </c>
      <c r="D774" t="n">
        <v>176.5</v>
      </c>
      <c r="E774" t="n">
        <v>183.1</v>
      </c>
      <c r="F774" t="n">
        <v>182.4</v>
      </c>
      <c r="G774" t="n">
        <v>182.7</v>
      </c>
      <c r="H774" t="n">
        <v>183</v>
      </c>
      <c r="I774" t="inlineStr">
        <is>
          <t>-</t>
        </is>
      </c>
      <c r="J774" t="inlineStr">
        <is>
          <t>-</t>
        </is>
      </c>
    </row>
    <row r="775">
      <c r="B775" t="inlineStr">
        <is>
          <t>Vocational rehabilitation services</t>
        </is>
      </c>
      <c r="C775" t="n">
        <v>6243</v>
      </c>
      <c r="D775" t="n">
        <v>285.7</v>
      </c>
      <c r="E775" t="n">
        <v>291.9</v>
      </c>
      <c r="F775" t="n">
        <v>289</v>
      </c>
      <c r="G775" t="n">
        <v>289.5</v>
      </c>
      <c r="H775" t="n">
        <v>287.2</v>
      </c>
      <c r="I775" t="n">
        <v>288.8</v>
      </c>
      <c r="J775" t="n">
        <v>1.6</v>
      </c>
    </row>
    <row r="776">
      <c r="B776" t="inlineStr">
        <is>
          <t>Child care services</t>
        </is>
      </c>
      <c r="C776" t="n">
        <v>6244</v>
      </c>
      <c r="D776" t="n">
        <v>1052.6</v>
      </c>
      <c r="E776" t="n">
        <v>1061.3</v>
      </c>
      <c r="F776" t="n">
        <v>1058.6</v>
      </c>
      <c r="G776" t="n">
        <v>1060.2</v>
      </c>
      <c r="H776" t="n">
        <v>1061.3</v>
      </c>
      <c r="I776" t="n">
        <v>1062.9</v>
      </c>
      <c r="J776" t="n">
        <v>1.6</v>
      </c>
    </row>
    <row r="778">
      <c r="B778" t="inlineStr">
        <is>
          <t>Leisure and hospitality</t>
        </is>
      </c>
      <c r="D778" t="n">
        <v>16775</v>
      </c>
      <c r="E778" t="n">
        <v>16944</v>
      </c>
      <c r="F778" t="n">
        <v>16953</v>
      </c>
      <c r="G778" t="n">
        <v>17014</v>
      </c>
      <c r="H778" t="n">
        <v>17016</v>
      </c>
      <c r="I778" t="n">
        <v>17069</v>
      </c>
      <c r="J778" t="n">
        <v>53</v>
      </c>
    </row>
    <row r="779">
      <c r="A779" t="inlineStr">
        <is>
          <t>ISIC 90T93</t>
        </is>
      </c>
      <c r="B779" t="inlineStr">
        <is>
          <t>Arts, entertainment, and recreation</t>
        </is>
      </c>
      <c r="C779" t="n">
        <v>71</v>
      </c>
      <c r="D779" t="n">
        <v>2577.8</v>
      </c>
      <c r="E779" t="n">
        <v>2663.5</v>
      </c>
      <c r="F779" t="n">
        <v>2665.2</v>
      </c>
      <c r="G779" t="n">
        <v>2671.1</v>
      </c>
      <c r="H779" t="n">
        <v>2671.8</v>
      </c>
      <c r="I779" t="n">
        <v>2690.2</v>
      </c>
      <c r="J779" t="n">
        <v>18.4</v>
      </c>
    </row>
    <row r="780">
      <c r="B780" t="inlineStr">
        <is>
          <t>Performing arts, spectator sports, and related industries</t>
        </is>
      </c>
      <c r="C780" t="n">
        <v>711</v>
      </c>
      <c r="D780" t="n">
        <v>604.3</v>
      </c>
      <c r="E780" t="n">
        <v>634.9</v>
      </c>
      <c r="F780" t="n">
        <v>645.9</v>
      </c>
      <c r="G780" t="n">
        <v>644.4</v>
      </c>
      <c r="H780" t="n">
        <v>643.2</v>
      </c>
      <c r="I780" t="n">
        <v>652.9</v>
      </c>
      <c r="J780" t="n">
        <v>9.699999999999999</v>
      </c>
    </row>
    <row r="781">
      <c r="B781" t="inlineStr">
        <is>
          <t>Performing arts companies(1)</t>
        </is>
      </c>
      <c r="C781" t="n">
        <v>7111</v>
      </c>
      <c r="D781" t="n">
        <v>136.9</v>
      </c>
      <c r="E781" t="n">
        <v>137.7</v>
      </c>
      <c r="F781" t="n">
        <v>141.6</v>
      </c>
      <c r="G781" t="n">
        <v>140.9</v>
      </c>
      <c r="H781" t="n">
        <v>139.5</v>
      </c>
      <c r="I781" t="inlineStr">
        <is>
          <t>-</t>
        </is>
      </c>
      <c r="J781" t="inlineStr">
        <is>
          <t>-</t>
        </is>
      </c>
    </row>
    <row r="782">
      <c r="B782" t="inlineStr">
        <is>
          <t>Musical groups and artists(1)</t>
        </is>
      </c>
      <c r="C782" t="n">
        <v>71113</v>
      </c>
      <c r="D782" t="n">
        <v>37.1</v>
      </c>
      <c r="E782" t="n">
        <v>33.7</v>
      </c>
      <c r="F782" t="n">
        <v>38.3</v>
      </c>
      <c r="G782" t="n">
        <v>38.7</v>
      </c>
      <c r="H782" t="n">
        <v>33.8</v>
      </c>
      <c r="I782" t="inlineStr">
        <is>
          <t>-</t>
        </is>
      </c>
      <c r="J782" t="inlineStr">
        <is>
          <t>-</t>
        </is>
      </c>
    </row>
    <row r="783">
      <c r="B783" t="inlineStr">
        <is>
          <t>Theater, dance, and other performing arts companies and dinner theaters(1)</t>
        </is>
      </c>
      <c r="C783" t="inlineStr">
        <is>
          <t>71111,2,9</t>
        </is>
      </c>
      <c r="D783" t="n">
        <v>99.7</v>
      </c>
      <c r="E783" t="n">
        <v>102.2</v>
      </c>
      <c r="F783" t="n">
        <v>104.7</v>
      </c>
      <c r="G783" t="n">
        <v>104.6</v>
      </c>
      <c r="H783" t="n">
        <v>105.4</v>
      </c>
      <c r="I783" t="inlineStr">
        <is>
          <t>-</t>
        </is>
      </c>
      <c r="J783" t="inlineStr">
        <is>
          <t>-</t>
        </is>
      </c>
    </row>
    <row r="784">
      <c r="B784" t="inlineStr">
        <is>
          <t>Spectator sports(1)</t>
        </is>
      </c>
      <c r="C784" t="n">
        <v>7112</v>
      </c>
      <c r="D784" t="n">
        <v>219.9</v>
      </c>
      <c r="E784" t="n">
        <v>230.2</v>
      </c>
      <c r="F784" t="n">
        <v>233.8</v>
      </c>
      <c r="G784" t="n">
        <v>230.2</v>
      </c>
      <c r="H784" t="n">
        <v>236.6</v>
      </c>
      <c r="I784" t="inlineStr">
        <is>
          <t>-</t>
        </is>
      </c>
      <c r="J784" t="inlineStr">
        <is>
          <t>-</t>
        </is>
      </c>
    </row>
    <row r="785">
      <c r="B785" t="inlineStr">
        <is>
          <t>Sports teams and clubs(1)</t>
        </is>
      </c>
      <c r="C785" t="n">
        <v>711211</v>
      </c>
      <c r="D785" t="n">
        <v>184.4</v>
      </c>
      <c r="E785" t="n">
        <v>176.8</v>
      </c>
      <c r="F785" t="n">
        <v>178.5</v>
      </c>
      <c r="G785" t="n">
        <v>184</v>
      </c>
      <c r="H785" t="n">
        <v>186.7</v>
      </c>
      <c r="I785" t="inlineStr">
        <is>
          <t>-</t>
        </is>
      </c>
      <c r="J785" t="inlineStr">
        <is>
          <t>-</t>
        </is>
      </c>
    </row>
    <row r="786">
      <c r="B786" t="inlineStr">
        <is>
          <t>Racetracks and other spectator sports(1)</t>
        </is>
      </c>
      <c r="C786" t="inlineStr">
        <is>
          <t>711212,9</t>
        </is>
      </c>
      <c r="D786" t="n">
        <v>50.8</v>
      </c>
      <c r="E786" t="n">
        <v>48.5</v>
      </c>
      <c r="F786" t="n">
        <v>48.5</v>
      </c>
      <c r="G786" t="n">
        <v>49.5</v>
      </c>
      <c r="H786" t="n">
        <v>50.8</v>
      </c>
      <c r="I786" t="inlineStr">
        <is>
          <t>-</t>
        </is>
      </c>
      <c r="J786" t="inlineStr">
        <is>
          <t>-</t>
        </is>
      </c>
    </row>
    <row r="787">
      <c r="B787" t="inlineStr">
        <is>
          <t>Arts and sports promoters and agents and managers for public figures(1)</t>
        </is>
      </c>
      <c r="C787" t="inlineStr">
        <is>
          <t>7113,4</t>
        </is>
      </c>
      <c r="D787" t="n">
        <v>183.3</v>
      </c>
      <c r="E787" t="n">
        <v>200.8</v>
      </c>
      <c r="F787" t="n">
        <v>202.8</v>
      </c>
      <c r="G787" t="n">
        <v>207.6</v>
      </c>
      <c r="H787" t="n">
        <v>200.2</v>
      </c>
      <c r="I787" t="inlineStr">
        <is>
          <t>-</t>
        </is>
      </c>
      <c r="J787" t="inlineStr">
        <is>
          <t>-</t>
        </is>
      </c>
    </row>
    <row r="788">
      <c r="B788" t="inlineStr">
        <is>
          <t>Independent artists, writers, and performers(1)</t>
        </is>
      </c>
      <c r="C788" t="n">
        <v>7115</v>
      </c>
      <c r="D788" t="n">
        <v>63.1</v>
      </c>
      <c r="E788" t="n">
        <v>67.2</v>
      </c>
      <c r="F788" t="n">
        <v>67.8</v>
      </c>
      <c r="G788" t="n">
        <v>65.2</v>
      </c>
      <c r="H788" t="n">
        <v>64.59999999999999</v>
      </c>
      <c r="I788" t="inlineStr">
        <is>
          <t>-</t>
        </is>
      </c>
      <c r="J788" t="inlineStr">
        <is>
          <t>-</t>
        </is>
      </c>
    </row>
    <row r="789">
      <c r="B789" t="inlineStr">
        <is>
          <t>Museums, historical sites, and similar institutions</t>
        </is>
      </c>
      <c r="C789" t="n">
        <v>712</v>
      </c>
      <c r="D789" t="n">
        <v>176.1</v>
      </c>
      <c r="E789" t="n">
        <v>177.6</v>
      </c>
      <c r="F789" t="n">
        <v>177.9</v>
      </c>
      <c r="G789" t="n">
        <v>178.1</v>
      </c>
      <c r="H789" t="n">
        <v>179.2</v>
      </c>
      <c r="I789" t="n">
        <v>180.2</v>
      </c>
      <c r="J789" t="n">
        <v>1</v>
      </c>
    </row>
    <row r="790">
      <c r="B790" t="inlineStr">
        <is>
          <t>Museums(1)</t>
        </is>
      </c>
      <c r="C790" t="n">
        <v>71211</v>
      </c>
      <c r="D790" t="n">
        <v>100.3</v>
      </c>
      <c r="E790" t="n">
        <v>100.5</v>
      </c>
      <c r="F790" t="n">
        <v>100.5</v>
      </c>
      <c r="G790" t="n">
        <v>100.1</v>
      </c>
      <c r="H790" t="n">
        <v>100.9</v>
      </c>
      <c r="I790" t="inlineStr">
        <is>
          <t>-</t>
        </is>
      </c>
      <c r="J790" t="inlineStr">
        <is>
          <t>-</t>
        </is>
      </c>
    </row>
    <row r="791">
      <c r="B791" t="inlineStr">
        <is>
          <t>Historical sites, zoos, botanical gardens, nature parks, and other similar institutions(1)</t>
        </is>
      </c>
      <c r="C791" t="inlineStr">
        <is>
          <t>71212,3,9</t>
        </is>
      </c>
      <c r="D791" t="n">
        <v>75.7</v>
      </c>
      <c r="E791" t="n">
        <v>77.5</v>
      </c>
      <c r="F791" t="n">
        <v>77.7</v>
      </c>
      <c r="G791" t="n">
        <v>77.90000000000001</v>
      </c>
      <c r="H791" t="n">
        <v>77.90000000000001</v>
      </c>
      <c r="I791" t="inlineStr">
        <is>
          <t>-</t>
        </is>
      </c>
      <c r="J791" t="inlineStr">
        <is>
          <t>-</t>
        </is>
      </c>
    </row>
    <row r="792">
      <c r="B792" t="inlineStr">
        <is>
          <t>Amusement, gambling, and recreation industries</t>
        </is>
      </c>
      <c r="C792" t="n">
        <v>713</v>
      </c>
      <c r="D792" t="n">
        <v>1797.4</v>
      </c>
      <c r="E792" t="n">
        <v>1851</v>
      </c>
      <c r="F792" t="n">
        <v>1841.4</v>
      </c>
      <c r="G792" t="n">
        <v>1848.6</v>
      </c>
      <c r="H792" t="n">
        <v>1849.4</v>
      </c>
      <c r="I792" t="n">
        <v>1857.1</v>
      </c>
      <c r="J792" t="n">
        <v>7.7</v>
      </c>
    </row>
    <row r="793">
      <c r="B793" t="inlineStr">
        <is>
          <t>Amusement parks and arcades(1)</t>
        </is>
      </c>
      <c r="C793" t="n">
        <v>7131</v>
      </c>
      <c r="D793" t="n">
        <v>221.4</v>
      </c>
      <c r="E793" t="n">
        <v>234.3</v>
      </c>
      <c r="F793" t="n">
        <v>231.6</v>
      </c>
      <c r="G793" t="n">
        <v>230</v>
      </c>
      <c r="H793" t="n">
        <v>227.8</v>
      </c>
      <c r="I793" t="inlineStr">
        <is>
          <t>-</t>
        </is>
      </c>
      <c r="J793" t="inlineStr">
        <is>
          <t>-</t>
        </is>
      </c>
    </row>
    <row r="794">
      <c r="B794" t="inlineStr">
        <is>
          <t>Gambling industries(1)</t>
        </is>
      </c>
      <c r="C794" t="n">
        <v>7132</v>
      </c>
      <c r="D794" t="n">
        <v>118.3</v>
      </c>
      <c r="E794" t="n">
        <v>122.1</v>
      </c>
      <c r="F794" t="n">
        <v>122.3</v>
      </c>
      <c r="G794" t="n">
        <v>122.9</v>
      </c>
      <c r="H794" t="n">
        <v>123.3</v>
      </c>
      <c r="I794" t="inlineStr">
        <is>
          <t>-</t>
        </is>
      </c>
      <c r="J794" t="inlineStr">
        <is>
          <t>-</t>
        </is>
      </c>
    </row>
    <row r="795">
      <c r="B795" t="inlineStr">
        <is>
          <t>Casinos, except casino hotels(1)</t>
        </is>
      </c>
      <c r="C795" t="n">
        <v>71321</v>
      </c>
      <c r="D795" t="n">
        <v>66.90000000000001</v>
      </c>
      <c r="E795" t="n">
        <v>68.7</v>
      </c>
      <c r="F795" t="n">
        <v>68.8</v>
      </c>
      <c r="G795" t="n">
        <v>69.2</v>
      </c>
      <c r="H795" t="n">
        <v>69.2</v>
      </c>
      <c r="I795" t="inlineStr">
        <is>
          <t>-</t>
        </is>
      </c>
      <c r="J795" t="inlineStr">
        <is>
          <t>-</t>
        </is>
      </c>
    </row>
    <row r="796">
      <c r="B796" t="inlineStr">
        <is>
          <t>Other gambling industries(1)</t>
        </is>
      </c>
      <c r="C796" t="n">
        <v>71329</v>
      </c>
      <c r="D796" t="n">
        <v>52.2</v>
      </c>
      <c r="E796" t="n">
        <v>53.2</v>
      </c>
      <c r="F796" t="n">
        <v>53.4</v>
      </c>
      <c r="G796" t="n">
        <v>54.1</v>
      </c>
      <c r="H796" t="n">
        <v>54.4</v>
      </c>
      <c r="I796" t="inlineStr">
        <is>
          <t>-</t>
        </is>
      </c>
      <c r="J796" t="inlineStr">
        <is>
          <t>-</t>
        </is>
      </c>
    </row>
    <row r="797">
      <c r="B797" t="inlineStr">
        <is>
          <t>Other amusement and recreation industries(1)</t>
        </is>
      </c>
      <c r="C797" t="n">
        <v>7139</v>
      </c>
      <c r="D797" t="n">
        <v>1460.5</v>
      </c>
      <c r="E797" t="n">
        <v>1488.6</v>
      </c>
      <c r="F797" t="n">
        <v>1481.2</v>
      </c>
      <c r="G797" t="n">
        <v>1481</v>
      </c>
      <c r="H797" t="n">
        <v>1490.9</v>
      </c>
      <c r="I797" t="inlineStr">
        <is>
          <t>-</t>
        </is>
      </c>
      <c r="J797" t="inlineStr">
        <is>
          <t>-</t>
        </is>
      </c>
    </row>
    <row r="798">
      <c r="B798" t="inlineStr">
        <is>
          <t>Golf courses and country clubs(1)</t>
        </is>
      </c>
      <c r="C798" t="n">
        <v>71391</v>
      </c>
      <c r="D798" t="n">
        <v>405.8</v>
      </c>
      <c r="E798" t="n">
        <v>410</v>
      </c>
      <c r="F798" t="n">
        <v>409.1</v>
      </c>
      <c r="G798" t="n">
        <v>409.4</v>
      </c>
      <c r="H798" t="n">
        <v>410</v>
      </c>
      <c r="I798" t="inlineStr">
        <is>
          <t>-</t>
        </is>
      </c>
      <c r="J798" t="inlineStr">
        <is>
          <t>-</t>
        </is>
      </c>
    </row>
    <row r="799">
      <c r="B799" t="inlineStr">
        <is>
          <t>Skiing facilities(1)</t>
        </is>
      </c>
      <c r="C799" t="n">
        <v>71392</v>
      </c>
      <c r="D799" t="n">
        <v>53.1</v>
      </c>
      <c r="E799" t="n">
        <v>61.6</v>
      </c>
      <c r="F799" t="n">
        <v>63.4</v>
      </c>
      <c r="G799" t="n">
        <v>66</v>
      </c>
      <c r="H799" t="n">
        <v>67.8</v>
      </c>
      <c r="I799" t="inlineStr">
        <is>
          <t>-</t>
        </is>
      </c>
      <c r="J799" t="inlineStr">
        <is>
          <t>-</t>
        </is>
      </c>
    </row>
    <row r="800">
      <c r="B800" t="inlineStr">
        <is>
          <t>Marinas(1)</t>
        </is>
      </c>
      <c r="C800" t="n">
        <v>71393</v>
      </c>
      <c r="D800" t="n">
        <v>38.4</v>
      </c>
      <c r="E800" t="n">
        <v>37.4</v>
      </c>
      <c r="F800" t="n">
        <v>37.6</v>
      </c>
      <c r="G800" t="n">
        <v>37.1</v>
      </c>
      <c r="H800" t="n">
        <v>37</v>
      </c>
      <c r="I800" t="inlineStr">
        <is>
          <t>-</t>
        </is>
      </c>
      <c r="J800" t="inlineStr">
        <is>
          <t>-</t>
        </is>
      </c>
    </row>
    <row r="801">
      <c r="B801" t="inlineStr">
        <is>
          <t>Fitness and recreational sports centers(1)</t>
        </is>
      </c>
      <c r="C801" t="n">
        <v>71394</v>
      </c>
      <c r="D801" t="n">
        <v>644.1</v>
      </c>
      <c r="E801" t="n">
        <v>654</v>
      </c>
      <c r="F801" t="n">
        <v>654.3</v>
      </c>
      <c r="G801" t="n">
        <v>657.4</v>
      </c>
      <c r="H801" t="n">
        <v>658</v>
      </c>
      <c r="I801" t="inlineStr">
        <is>
          <t>-</t>
        </is>
      </c>
      <c r="J801" t="inlineStr">
        <is>
          <t>-</t>
        </is>
      </c>
    </row>
    <row r="802">
      <c r="B802" t="inlineStr">
        <is>
          <t>Bowling centers(1)</t>
        </is>
      </c>
      <c r="C802" t="n">
        <v>71395</v>
      </c>
      <c r="D802" t="n">
        <v>70.40000000000001</v>
      </c>
      <c r="E802" t="n">
        <v>72.7</v>
      </c>
      <c r="F802" t="n">
        <v>71.7</v>
      </c>
      <c r="G802" t="n">
        <v>71.59999999999999</v>
      </c>
      <c r="H802" t="n">
        <v>72</v>
      </c>
      <c r="I802" t="inlineStr">
        <is>
          <t>-</t>
        </is>
      </c>
      <c r="J802" t="inlineStr">
        <is>
          <t>-</t>
        </is>
      </c>
    </row>
    <row r="803">
      <c r="B803" t="inlineStr">
        <is>
          <t>All other amusement and recreation industries(1)</t>
        </is>
      </c>
      <c r="C803" t="n">
        <v>71399</v>
      </c>
      <c r="D803" t="n">
        <v>245.4</v>
      </c>
      <c r="E803" t="n">
        <v>248.9</v>
      </c>
      <c r="F803" t="n">
        <v>247.5</v>
      </c>
      <c r="G803" t="n">
        <v>245.1</v>
      </c>
      <c r="H803" t="n">
        <v>248.3</v>
      </c>
      <c r="I803" t="inlineStr">
        <is>
          <t>-</t>
        </is>
      </c>
      <c r="J803" t="inlineStr">
        <is>
          <t>-</t>
        </is>
      </c>
    </row>
    <row r="804">
      <c r="A804" t="inlineStr">
        <is>
          <t>ISIC 55T56</t>
        </is>
      </c>
      <c r="B804" t="inlineStr">
        <is>
          <t>Accommodation and food services</t>
        </is>
      </c>
      <c r="C804" t="n">
        <v>72</v>
      </c>
      <c r="D804" t="n">
        <v>14197.3</v>
      </c>
      <c r="E804" t="n">
        <v>14280.3</v>
      </c>
      <c r="F804" t="n">
        <v>14287.6</v>
      </c>
      <c r="G804" t="n">
        <v>14342.9</v>
      </c>
      <c r="H804" t="n">
        <v>14344.1</v>
      </c>
      <c r="I804" t="n">
        <v>14378.7</v>
      </c>
      <c r="J804" t="n">
        <v>34.6</v>
      </c>
    </row>
    <row r="805">
      <c r="B805" t="inlineStr">
        <is>
          <t>Accommodation</t>
        </is>
      </c>
      <c r="C805" t="n">
        <v>721</v>
      </c>
      <c r="D805" t="n">
        <v>1910.6</v>
      </c>
      <c r="E805" t="n">
        <v>1917</v>
      </c>
      <c r="F805" t="n">
        <v>1922</v>
      </c>
      <c r="G805" t="n">
        <v>1929.8</v>
      </c>
      <c r="H805" t="n">
        <v>1928</v>
      </c>
      <c r="I805" t="n">
        <v>1933.7</v>
      </c>
      <c r="J805" t="n">
        <v>5.7</v>
      </c>
    </row>
    <row r="806">
      <c r="B806" t="inlineStr">
        <is>
          <t>Traveler accommodation(1)</t>
        </is>
      </c>
      <c r="C806" t="n">
        <v>7211</v>
      </c>
      <c r="D806" t="n">
        <v>1826.8</v>
      </c>
      <c r="E806" t="n">
        <v>1840.6</v>
      </c>
      <c r="F806" t="n">
        <v>1847.5</v>
      </c>
      <c r="G806" t="n">
        <v>1848.1</v>
      </c>
      <c r="H806" t="n">
        <v>1845.5</v>
      </c>
      <c r="I806" t="inlineStr">
        <is>
          <t>-</t>
        </is>
      </c>
      <c r="J806" t="inlineStr">
        <is>
          <t>-</t>
        </is>
      </c>
    </row>
    <row r="807">
      <c r="B807" t="inlineStr">
        <is>
          <t>Hotels (except casino hotels) and motels(1)</t>
        </is>
      </c>
      <c r="C807" t="n">
        <v>72111</v>
      </c>
      <c r="D807" t="n">
        <v>1545.9</v>
      </c>
      <c r="E807" t="n">
        <v>1558.9</v>
      </c>
      <c r="F807" t="n">
        <v>1559.6</v>
      </c>
      <c r="G807" t="n">
        <v>1562.4</v>
      </c>
      <c r="H807" t="n">
        <v>1560.5</v>
      </c>
      <c r="I807" t="inlineStr">
        <is>
          <t>-</t>
        </is>
      </c>
      <c r="J807" t="inlineStr">
        <is>
          <t>-</t>
        </is>
      </c>
    </row>
    <row r="808">
      <c r="B808" t="inlineStr">
        <is>
          <t>Casino hotels(1)</t>
        </is>
      </c>
      <c r="C808" t="n">
        <v>72112</v>
      </c>
      <c r="D808" t="n">
        <v>240.9</v>
      </c>
      <c r="E808" t="n">
        <v>248.2</v>
      </c>
      <c r="F808" t="n">
        <v>248.4</v>
      </c>
      <c r="G808" t="n">
        <v>246.8</v>
      </c>
      <c r="H808" t="n">
        <v>248.7</v>
      </c>
      <c r="I808" t="inlineStr">
        <is>
          <t>-</t>
        </is>
      </c>
      <c r="J808" t="inlineStr">
        <is>
          <t>-</t>
        </is>
      </c>
    </row>
    <row r="809">
      <c r="B809" t="inlineStr">
        <is>
          <t>Other traveler accommodation(1)</t>
        </is>
      </c>
      <c r="C809" t="n">
        <v>72119</v>
      </c>
      <c r="D809" t="n">
        <v>37.3</v>
      </c>
      <c r="E809" t="n">
        <v>35.8</v>
      </c>
      <c r="F809" t="n">
        <v>36</v>
      </c>
      <c r="G809" t="n">
        <v>36.5</v>
      </c>
      <c r="H809" t="n">
        <v>36.2</v>
      </c>
      <c r="I809" t="inlineStr">
        <is>
          <t>-</t>
        </is>
      </c>
      <c r="J809" t="inlineStr">
        <is>
          <t>-</t>
        </is>
      </c>
    </row>
    <row r="810">
      <c r="B810" t="inlineStr">
        <is>
          <t>Bed-and-breakfast inns(1)</t>
        </is>
      </c>
      <c r="C810" t="n">
        <v>721191</v>
      </c>
      <c r="D810" t="n">
        <v>13.7</v>
      </c>
      <c r="E810" t="n">
        <v>11.6</v>
      </c>
      <c r="F810" t="n">
        <v>11.1</v>
      </c>
      <c r="G810" t="n">
        <v>11.8</v>
      </c>
      <c r="H810" t="n">
        <v>11.5</v>
      </c>
      <c r="I810" t="inlineStr">
        <is>
          <t>-</t>
        </is>
      </c>
      <c r="J810" t="inlineStr">
        <is>
          <t>-</t>
        </is>
      </c>
    </row>
    <row r="811">
      <c r="B811" t="inlineStr">
        <is>
          <t>All other traveler accommodation and rooming and boarding houses, dormitories, and workers' camps(1)</t>
        </is>
      </c>
      <c r="C811" t="n">
        <v>721310199</v>
      </c>
      <c r="D811" t="n">
        <v>23.6</v>
      </c>
      <c r="E811" t="n">
        <v>24.2</v>
      </c>
      <c r="F811" t="n">
        <v>24.9</v>
      </c>
      <c r="G811" t="n">
        <v>24.4</v>
      </c>
      <c r="H811" t="n">
        <v>24.8</v>
      </c>
      <c r="I811" t="inlineStr">
        <is>
          <t>-</t>
        </is>
      </c>
      <c r="J811" t="inlineStr">
        <is>
          <t>-</t>
        </is>
      </c>
    </row>
    <row r="812">
      <c r="B812" t="inlineStr">
        <is>
          <t>Recreational vehicle (RV) parks and recreational camps(1)</t>
        </is>
      </c>
      <c r="C812" t="n">
        <v>7212</v>
      </c>
      <c r="D812" t="n">
        <v>91.59999999999999</v>
      </c>
      <c r="E812" t="n">
        <v>79.09999999999999</v>
      </c>
      <c r="F812" t="n">
        <v>81.09999999999999</v>
      </c>
      <c r="G812" t="n">
        <v>84.40000000000001</v>
      </c>
      <c r="H812" t="n">
        <v>82.7</v>
      </c>
      <c r="I812" t="inlineStr">
        <is>
          <t>-</t>
        </is>
      </c>
      <c r="J812" t="inlineStr">
        <is>
          <t>-</t>
        </is>
      </c>
    </row>
    <row r="813">
      <c r="B813" t="inlineStr">
        <is>
          <t>Food services and drinking places</t>
        </is>
      </c>
      <c r="C813" t="n">
        <v>722</v>
      </c>
      <c r="D813" t="n">
        <v>12286.7</v>
      </c>
      <c r="E813" t="n">
        <v>12363.3</v>
      </c>
      <c r="F813" t="n">
        <v>12365.6</v>
      </c>
      <c r="G813" t="n">
        <v>12413.1</v>
      </c>
      <c r="H813" t="n">
        <v>12416.1</v>
      </c>
      <c r="I813" t="n">
        <v>12445</v>
      </c>
      <c r="J813" t="n">
        <v>28.9</v>
      </c>
    </row>
    <row r="814">
      <c r="B814" t="inlineStr">
        <is>
          <t>Special food services(1)</t>
        </is>
      </c>
      <c r="C814" t="n">
        <v>7223</v>
      </c>
      <c r="D814" t="n">
        <v>770.9</v>
      </c>
      <c r="E814" t="n">
        <v>769.3</v>
      </c>
      <c r="F814" t="n">
        <v>785.3</v>
      </c>
      <c r="G814" t="n">
        <v>793.3</v>
      </c>
      <c r="H814" t="n">
        <v>800</v>
      </c>
      <c r="I814" t="inlineStr">
        <is>
          <t>-</t>
        </is>
      </c>
      <c r="J814" t="inlineStr">
        <is>
          <t>-</t>
        </is>
      </c>
    </row>
    <row r="815">
      <c r="B815" t="inlineStr">
        <is>
          <t>Food service contractors(1)</t>
        </is>
      </c>
      <c r="C815" t="n">
        <v>72231</v>
      </c>
      <c r="D815" t="n">
        <v>550.9</v>
      </c>
      <c r="E815" t="n">
        <v>528.7</v>
      </c>
      <c r="F815" t="n">
        <v>545.8</v>
      </c>
      <c r="G815" t="n">
        <v>549.3</v>
      </c>
      <c r="H815" t="n">
        <v>556.7</v>
      </c>
      <c r="I815" t="inlineStr">
        <is>
          <t>-</t>
        </is>
      </c>
      <c r="J815" t="inlineStr">
        <is>
          <t>-</t>
        </is>
      </c>
    </row>
    <row r="816">
      <c r="B816" t="inlineStr">
        <is>
          <t>Caterers and mobile food services(1)</t>
        </is>
      </c>
      <c r="C816" t="inlineStr">
        <is>
          <t>72232,3</t>
        </is>
      </c>
      <c r="D816" t="n">
        <v>221.8</v>
      </c>
      <c r="E816" t="n">
        <v>239.1</v>
      </c>
      <c r="F816" t="n">
        <v>241.3</v>
      </c>
      <c r="G816" t="n">
        <v>242.6</v>
      </c>
      <c r="H816" t="n">
        <v>244.1</v>
      </c>
      <c r="I816" t="inlineStr">
        <is>
          <t>-</t>
        </is>
      </c>
      <c r="J816" t="inlineStr">
        <is>
          <t>-</t>
        </is>
      </c>
    </row>
    <row r="817">
      <c r="B817" t="inlineStr">
        <is>
          <t>Drinking places, alcoholic beverages(1)</t>
        </is>
      </c>
      <c r="C817" t="n">
        <v>7224</v>
      </c>
      <c r="D817" t="n">
        <v>443.1</v>
      </c>
      <c r="E817" t="n">
        <v>452.7</v>
      </c>
      <c r="F817" t="n">
        <v>456.7</v>
      </c>
      <c r="G817" t="n">
        <v>458.6</v>
      </c>
      <c r="H817" t="n">
        <v>460.5</v>
      </c>
      <c r="I817" t="inlineStr">
        <is>
          <t>-</t>
        </is>
      </c>
      <c r="J817" t="inlineStr">
        <is>
          <t>-</t>
        </is>
      </c>
    </row>
    <row r="818">
      <c r="B818" t="inlineStr">
        <is>
          <t>Restaurants and other eating places(1)</t>
        </is>
      </c>
      <c r="C818" t="n">
        <v>7225</v>
      </c>
      <c r="D818" t="n">
        <v>11064.3</v>
      </c>
      <c r="E818" t="n">
        <v>11126.3</v>
      </c>
      <c r="F818" t="n">
        <v>11118.5</v>
      </c>
      <c r="G818" t="n">
        <v>11139</v>
      </c>
      <c r="H818" t="n">
        <v>11146.8</v>
      </c>
      <c r="I818" t="inlineStr">
        <is>
          <t>-</t>
        </is>
      </c>
      <c r="J818" t="inlineStr">
        <is>
          <t>-</t>
        </is>
      </c>
    </row>
    <row r="819">
      <c r="B819" t="inlineStr">
        <is>
          <t>Full-service restaurants(1)</t>
        </is>
      </c>
      <c r="C819" t="n">
        <v>722511</v>
      </c>
      <c r="D819" t="n">
        <v>5386.2</v>
      </c>
      <c r="E819" t="n">
        <v>5406.2</v>
      </c>
      <c r="F819" t="n">
        <v>5402.2</v>
      </c>
      <c r="G819" t="n">
        <v>5400.8</v>
      </c>
      <c r="H819" t="n">
        <v>5411.3</v>
      </c>
      <c r="I819" t="inlineStr">
        <is>
          <t>-</t>
        </is>
      </c>
      <c r="J819" t="inlineStr">
        <is>
          <t>-</t>
        </is>
      </c>
    </row>
    <row r="820">
      <c r="B820" t="inlineStr">
        <is>
          <t>Limited-service restaurants(1)</t>
        </is>
      </c>
      <c r="C820" t="n">
        <v>722513</v>
      </c>
      <c r="D820" t="n">
        <v>4678.2</v>
      </c>
      <c r="E820" t="n">
        <v>4710.1</v>
      </c>
      <c r="F820" t="n">
        <v>4714</v>
      </c>
      <c r="G820" t="n">
        <v>4714.6</v>
      </c>
      <c r="H820" t="n">
        <v>4719.5</v>
      </c>
      <c r="I820" t="inlineStr">
        <is>
          <t>-</t>
        </is>
      </c>
      <c r="J820" t="inlineStr">
        <is>
          <t>-</t>
        </is>
      </c>
    </row>
    <row r="821">
      <c r="B821" t="inlineStr">
        <is>
          <t>Cafeterias, grill buffets, and buffets(1)</t>
        </is>
      </c>
      <c r="C821" t="n">
        <v>722514</v>
      </c>
      <c r="D821" t="n">
        <v>77.8</v>
      </c>
      <c r="E821" t="n">
        <v>73.7</v>
      </c>
      <c r="F821" t="n">
        <v>74.8</v>
      </c>
      <c r="G821" t="n">
        <v>73.09999999999999</v>
      </c>
      <c r="H821" t="n">
        <v>74.90000000000001</v>
      </c>
      <c r="I821" t="inlineStr">
        <is>
          <t>-</t>
        </is>
      </c>
      <c r="J821" t="inlineStr">
        <is>
          <t>-</t>
        </is>
      </c>
    </row>
    <row r="822">
      <c r="B822" t="inlineStr">
        <is>
          <t>Snack and nonalcoholic beverage bars(1)</t>
        </is>
      </c>
      <c r="C822" t="n">
        <v>722515</v>
      </c>
      <c r="D822" t="n">
        <v>917.6</v>
      </c>
      <c r="E822" t="n">
        <v>929.9</v>
      </c>
      <c r="F822" t="n">
        <v>935.4</v>
      </c>
      <c r="G822" t="n">
        <v>940.4</v>
      </c>
      <c r="H822" t="n">
        <v>936.8</v>
      </c>
      <c r="I822" t="inlineStr">
        <is>
          <t>-</t>
        </is>
      </c>
      <c r="J822" t="inlineStr">
        <is>
          <t>-</t>
        </is>
      </c>
    </row>
    <row r="824">
      <c r="B824" t="inlineStr">
        <is>
          <t>Other services</t>
        </is>
      </c>
      <c r="C824" t="n">
        <v>81</v>
      </c>
      <c r="D824" t="n">
        <v>5864</v>
      </c>
      <c r="E824" t="n">
        <v>5912</v>
      </c>
      <c r="F824" t="n">
        <v>5916</v>
      </c>
      <c r="G824" t="n">
        <v>5922</v>
      </c>
      <c r="H824" t="n">
        <v>5922</v>
      </c>
      <c r="I824" t="n">
        <v>5930</v>
      </c>
      <c r="J824" t="n">
        <v>8</v>
      </c>
    </row>
    <row r="825">
      <c r="B825" t="inlineStr">
        <is>
          <t>Repair and maintenance</t>
        </is>
      </c>
      <c r="C825" t="n">
        <v>811</v>
      </c>
      <c r="D825" t="n">
        <v>1470.4</v>
      </c>
      <c r="E825" t="n">
        <v>1474.6</v>
      </c>
      <c r="F825" t="n">
        <v>1474.4</v>
      </c>
      <c r="G825" t="n">
        <v>1475.9</v>
      </c>
      <c r="H825" t="n">
        <v>1479.3</v>
      </c>
      <c r="I825" t="n">
        <v>1481.4</v>
      </c>
      <c r="J825" t="n">
        <v>2.1</v>
      </c>
    </row>
    <row r="826">
      <c r="A826" t="inlineStr">
        <is>
          <t>ISIC 45T47</t>
        </is>
      </c>
      <c r="B826" t="inlineStr">
        <is>
          <t>Automotive repair and maintenance(1)</t>
        </is>
      </c>
      <c r="C826" t="n">
        <v>8111</v>
      </c>
      <c r="D826" t="n">
        <v>1033.9</v>
      </c>
      <c r="E826" t="n">
        <v>1035.3</v>
      </c>
      <c r="F826" t="n">
        <v>1035.7</v>
      </c>
      <c r="G826" t="n">
        <v>1038.4</v>
      </c>
      <c r="H826" t="n">
        <v>1040.2</v>
      </c>
      <c r="I826" t="inlineStr">
        <is>
          <t>-</t>
        </is>
      </c>
      <c r="J826" t="inlineStr">
        <is>
          <t>-</t>
        </is>
      </c>
    </row>
    <row r="827">
      <c r="B827" t="inlineStr">
        <is>
          <t>Automotive mechanical and electrical repair and maintenance(1)</t>
        </is>
      </c>
      <c r="C827" t="n">
        <v>81111</v>
      </c>
      <c r="D827" t="n">
        <v>438.7</v>
      </c>
      <c r="E827" t="n">
        <v>439.5</v>
      </c>
      <c r="F827" t="n">
        <v>439.1</v>
      </c>
      <c r="G827" t="n">
        <v>439.4</v>
      </c>
      <c r="H827" t="n">
        <v>441.5</v>
      </c>
      <c r="I827" t="inlineStr">
        <is>
          <t>-</t>
        </is>
      </c>
      <c r="J827" t="inlineStr">
        <is>
          <t>-</t>
        </is>
      </c>
    </row>
    <row r="828">
      <c r="B828" t="inlineStr">
        <is>
          <t>General automotive repair(1)</t>
        </is>
      </c>
      <c r="C828" t="n">
        <v>811111</v>
      </c>
      <c r="D828" t="n">
        <v>392.4</v>
      </c>
      <c r="E828" t="n">
        <v>393.9</v>
      </c>
      <c r="F828" t="n">
        <v>393.4</v>
      </c>
      <c r="G828" t="n">
        <v>394.8</v>
      </c>
      <c r="H828" t="n">
        <v>396.7</v>
      </c>
      <c r="I828" t="inlineStr">
        <is>
          <t>-</t>
        </is>
      </c>
      <c r="J828" t="inlineStr">
        <is>
          <t>-</t>
        </is>
      </c>
    </row>
    <row r="829">
      <c r="B829" t="inlineStr">
        <is>
          <t>Specialized automotive repair(1)</t>
        </is>
      </c>
      <c r="C829" t="n">
        <v>811114</v>
      </c>
      <c r="D829" t="n">
        <v>46.8</v>
      </c>
      <c r="E829" t="n">
        <v>44.8</v>
      </c>
      <c r="F829" t="n">
        <v>45</v>
      </c>
      <c r="G829" t="n">
        <v>44.3</v>
      </c>
      <c r="H829" t="n">
        <v>45.1</v>
      </c>
      <c r="I829" t="inlineStr">
        <is>
          <t>-</t>
        </is>
      </c>
      <c r="J829" t="inlineStr">
        <is>
          <t>-</t>
        </is>
      </c>
    </row>
    <row r="830">
      <c r="B830" t="inlineStr">
        <is>
          <t>Automotive body, paint, interior, and glass repair(1)</t>
        </is>
      </c>
      <c r="C830" t="n">
        <v>81112</v>
      </c>
      <c r="D830" t="n">
        <v>308.3</v>
      </c>
      <c r="E830" t="n">
        <v>309.3</v>
      </c>
      <c r="F830" t="n">
        <v>307.6</v>
      </c>
      <c r="G830" t="n">
        <v>307.2</v>
      </c>
      <c r="H830" t="n">
        <v>307.3</v>
      </c>
      <c r="I830" t="inlineStr">
        <is>
          <t>-</t>
        </is>
      </c>
      <c r="J830" t="inlineStr">
        <is>
          <t>-</t>
        </is>
      </c>
    </row>
    <row r="831">
      <c r="B831" t="inlineStr">
        <is>
          <t>Automotive body, paint, and interior repair and maintenance(1)</t>
        </is>
      </c>
      <c r="C831" t="n">
        <v>811121</v>
      </c>
      <c r="D831" t="n">
        <v>269.4</v>
      </c>
      <c r="E831" t="n">
        <v>271.3</v>
      </c>
      <c r="F831" t="n">
        <v>269.9</v>
      </c>
      <c r="G831" t="n">
        <v>269.7</v>
      </c>
      <c r="H831" t="n">
        <v>270.6</v>
      </c>
      <c r="I831" t="inlineStr">
        <is>
          <t>-</t>
        </is>
      </c>
      <c r="J831" t="inlineStr">
        <is>
          <t>-</t>
        </is>
      </c>
    </row>
    <row r="832">
      <c r="B832" t="inlineStr">
        <is>
          <t>Automotive glass replacement shops(1)</t>
        </is>
      </c>
      <c r="C832" t="n">
        <v>811122</v>
      </c>
      <c r="D832" t="n">
        <v>39.3</v>
      </c>
      <c r="E832" t="n">
        <v>37.9</v>
      </c>
      <c r="F832" t="n">
        <v>37.5</v>
      </c>
      <c r="G832" t="n">
        <v>37.2</v>
      </c>
      <c r="H832" t="n">
        <v>36.9</v>
      </c>
      <c r="I832" t="inlineStr">
        <is>
          <t>-</t>
        </is>
      </c>
      <c r="J832" t="inlineStr">
        <is>
          <t>-</t>
        </is>
      </c>
    </row>
    <row r="833">
      <c r="B833" t="inlineStr">
        <is>
          <t>Other automotive repair and maintenance(1)</t>
        </is>
      </c>
      <c r="C833" t="n">
        <v>81119</v>
      </c>
      <c r="D833" t="n">
        <v>287.1</v>
      </c>
      <c r="E833" t="n">
        <v>287.2</v>
      </c>
      <c r="F833" t="n">
        <v>289.4</v>
      </c>
      <c r="G833" t="n">
        <v>291.1</v>
      </c>
      <c r="H833" t="n">
        <v>292</v>
      </c>
      <c r="I833" t="inlineStr">
        <is>
          <t>-</t>
        </is>
      </c>
      <c r="J833" t="inlineStr">
        <is>
          <t>-</t>
        </is>
      </c>
    </row>
    <row r="834">
      <c r="B834" t="inlineStr">
        <is>
          <t>Car washes(1)</t>
        </is>
      </c>
      <c r="C834" t="n">
        <v>811192</v>
      </c>
      <c r="D834" t="n">
        <v>185.7</v>
      </c>
      <c r="E834" t="n">
        <v>188.6</v>
      </c>
      <c r="F834" t="n">
        <v>189.7</v>
      </c>
      <c r="G834" t="n">
        <v>191.7</v>
      </c>
      <c r="H834" t="n">
        <v>192.4</v>
      </c>
      <c r="I834" t="inlineStr">
        <is>
          <t>-</t>
        </is>
      </c>
      <c r="J834" t="inlineStr">
        <is>
          <t>-</t>
        </is>
      </c>
    </row>
    <row r="835">
      <c r="B835" t="inlineStr">
        <is>
          <t>Automotive oil change and lubrication shops and all other automotive repair and maintenance(1)</t>
        </is>
      </c>
      <c r="C835" t="inlineStr">
        <is>
          <t>811191,8</t>
        </is>
      </c>
      <c r="D835" t="n">
        <v>101</v>
      </c>
      <c r="E835" t="n">
        <v>98.40000000000001</v>
      </c>
      <c r="F835" t="n">
        <v>99</v>
      </c>
      <c r="G835" t="n">
        <v>99.59999999999999</v>
      </c>
      <c r="H835" t="n">
        <v>99.5</v>
      </c>
      <c r="I835" t="inlineStr">
        <is>
          <t>-</t>
        </is>
      </c>
      <c r="J835" t="inlineStr">
        <is>
          <t>-</t>
        </is>
      </c>
    </row>
    <row r="836">
      <c r="A836" t="inlineStr">
        <is>
          <t>ISIC 94T96</t>
        </is>
      </c>
      <c r="B836" t="inlineStr">
        <is>
          <t>Electronic and precision equipment repair and maintenance(1)</t>
        </is>
      </c>
      <c r="C836" t="n">
        <v>8112</v>
      </c>
      <c r="D836" t="n">
        <v>104.8</v>
      </c>
      <c r="E836" t="n">
        <v>103.9</v>
      </c>
      <c r="F836" t="n">
        <v>103.2</v>
      </c>
      <c r="G836" t="n">
        <v>103.5</v>
      </c>
      <c r="H836" t="n">
        <v>104</v>
      </c>
      <c r="I836" t="inlineStr">
        <is>
          <t>-</t>
        </is>
      </c>
      <c r="J836" t="inlineStr">
        <is>
          <t>-</t>
        </is>
      </c>
    </row>
    <row r="837">
      <c r="A837" t="inlineStr">
        <is>
          <t>ISIC 31T33</t>
        </is>
      </c>
      <c r="B837" t="inlineStr">
        <is>
          <t>Commercial and industrial machinery and equipment (except automotive and electronic) repair and maintenance(1)</t>
        </is>
      </c>
      <c r="C837" t="n">
        <v>8113</v>
      </c>
      <c r="D837" t="n">
        <v>246.5</v>
      </c>
      <c r="E837" t="n">
        <v>251.5</v>
      </c>
      <c r="F837" t="n">
        <v>251.1</v>
      </c>
      <c r="G837" t="n">
        <v>251.3</v>
      </c>
      <c r="H837" t="n">
        <v>252.4</v>
      </c>
      <c r="I837" t="inlineStr">
        <is>
          <t>-</t>
        </is>
      </c>
      <c r="J837" t="inlineStr">
        <is>
          <t>-</t>
        </is>
      </c>
    </row>
    <row r="838">
      <c r="A838" t="inlineStr">
        <is>
          <t>ISIC 94T96</t>
        </is>
      </c>
      <c r="B838" t="inlineStr">
        <is>
          <t>Personal and household goods repair and maintenance(1)</t>
        </is>
      </c>
      <c r="C838" t="n">
        <v>8114</v>
      </c>
      <c r="D838" t="n">
        <v>86.5</v>
      </c>
      <c r="E838" t="n">
        <v>84.8</v>
      </c>
      <c r="F838" t="n">
        <v>84.7</v>
      </c>
      <c r="G838" t="n">
        <v>84</v>
      </c>
      <c r="H838" t="n">
        <v>83.40000000000001</v>
      </c>
      <c r="I838" t="inlineStr">
        <is>
          <t>-</t>
        </is>
      </c>
      <c r="J838" t="inlineStr">
        <is>
          <t>-</t>
        </is>
      </c>
    </row>
    <row r="839">
      <c r="A839" t="inlineStr">
        <is>
          <t>ISIC 94T96</t>
        </is>
      </c>
      <c r="B839" t="inlineStr">
        <is>
          <t>Personal and laundry services</t>
        </is>
      </c>
      <c r="C839" t="n">
        <v>812</v>
      </c>
      <c r="D839" t="n">
        <v>1549</v>
      </c>
      <c r="E839" t="n">
        <v>1562.4</v>
      </c>
      <c r="F839" t="n">
        <v>1563.8</v>
      </c>
      <c r="G839" t="n">
        <v>1566.7</v>
      </c>
      <c r="H839" t="n">
        <v>1564</v>
      </c>
      <c r="I839" t="n">
        <v>1568.1</v>
      </c>
      <c r="J839" t="n">
        <v>4.1</v>
      </c>
    </row>
    <row r="840">
      <c r="B840" t="inlineStr">
        <is>
          <t>Personal care services(1)</t>
        </is>
      </c>
      <c r="C840" t="n">
        <v>8121</v>
      </c>
      <c r="D840" t="n">
        <v>735.9</v>
      </c>
      <c r="E840" t="n">
        <v>747</v>
      </c>
      <c r="F840" t="n">
        <v>747.3</v>
      </c>
      <c r="G840" t="n">
        <v>751.1</v>
      </c>
      <c r="H840" t="n">
        <v>748.9</v>
      </c>
      <c r="I840" t="inlineStr">
        <is>
          <t>-</t>
        </is>
      </c>
      <c r="J840" t="inlineStr">
        <is>
          <t>-</t>
        </is>
      </c>
    </row>
    <row r="841">
      <c r="B841" t="inlineStr">
        <is>
          <t>Hair, nail, and skin care services(1)</t>
        </is>
      </c>
      <c r="C841" t="n">
        <v>81211</v>
      </c>
      <c r="D841" t="n">
        <v>550.6</v>
      </c>
      <c r="E841" t="n">
        <v>551.9</v>
      </c>
      <c r="F841" t="n">
        <v>553.9</v>
      </c>
      <c r="G841" t="n">
        <v>557.6</v>
      </c>
      <c r="H841" t="n">
        <v>559</v>
      </c>
      <c r="I841" t="inlineStr">
        <is>
          <t>-</t>
        </is>
      </c>
      <c r="J841" t="inlineStr">
        <is>
          <t>-</t>
        </is>
      </c>
    </row>
    <row r="842">
      <c r="B842" t="inlineStr">
        <is>
          <t>Barber shops and beauty salons(1)</t>
        </is>
      </c>
      <c r="C842" t="inlineStr">
        <is>
          <t>812111,2</t>
        </is>
      </c>
      <c r="D842" t="n">
        <v>402.5</v>
      </c>
      <c r="E842" t="n">
        <v>403.7</v>
      </c>
      <c r="F842" t="n">
        <v>403.6</v>
      </c>
      <c r="G842" t="n">
        <v>406.1</v>
      </c>
      <c r="H842" t="n">
        <v>405.5</v>
      </c>
      <c r="I842" t="inlineStr">
        <is>
          <t>-</t>
        </is>
      </c>
      <c r="J842" t="inlineStr">
        <is>
          <t>-</t>
        </is>
      </c>
    </row>
    <row r="843">
      <c r="B843" t="inlineStr">
        <is>
          <t>Nail salons(1)</t>
        </is>
      </c>
      <c r="C843" t="n">
        <v>812113</v>
      </c>
      <c r="D843" t="n">
        <v>147.9</v>
      </c>
      <c r="E843" t="n">
        <v>148.7</v>
      </c>
      <c r="F843" t="n">
        <v>149.6</v>
      </c>
      <c r="G843" t="n">
        <v>149.4</v>
      </c>
      <c r="H843" t="n">
        <v>152.6</v>
      </c>
      <c r="I843" t="inlineStr">
        <is>
          <t>-</t>
        </is>
      </c>
      <c r="J843" t="inlineStr">
        <is>
          <t>-</t>
        </is>
      </c>
    </row>
    <row r="844">
      <c r="B844" t="inlineStr">
        <is>
          <t>Other personal care services(1)</t>
        </is>
      </c>
      <c r="C844" t="n">
        <v>81219</v>
      </c>
      <c r="D844" t="n">
        <v>184.9</v>
      </c>
      <c r="E844" t="n">
        <v>192.4</v>
      </c>
      <c r="F844" t="n">
        <v>192.9</v>
      </c>
      <c r="G844" t="n">
        <v>193.5</v>
      </c>
      <c r="H844" t="n">
        <v>191.3</v>
      </c>
      <c r="I844" t="inlineStr">
        <is>
          <t>-</t>
        </is>
      </c>
      <c r="J844" t="inlineStr">
        <is>
          <t>-</t>
        </is>
      </c>
    </row>
    <row r="845">
      <c r="B845" t="inlineStr">
        <is>
          <t>Death care services(1)</t>
        </is>
      </c>
      <c r="C845" t="n">
        <v>8122</v>
      </c>
      <c r="D845" t="n">
        <v>139</v>
      </c>
      <c r="E845" t="n">
        <v>138.8</v>
      </c>
      <c r="F845" t="n">
        <v>138.9</v>
      </c>
      <c r="G845" t="n">
        <v>138.1</v>
      </c>
      <c r="H845" t="n">
        <v>137.4</v>
      </c>
      <c r="I845" t="inlineStr">
        <is>
          <t>-</t>
        </is>
      </c>
      <c r="J845" t="inlineStr">
        <is>
          <t>-</t>
        </is>
      </c>
    </row>
    <row r="846">
      <c r="B846" t="inlineStr">
        <is>
          <t>Funeral homes and funeral services(1)</t>
        </is>
      </c>
      <c r="C846" t="n">
        <v>81221</v>
      </c>
      <c r="D846" t="n">
        <v>107.3</v>
      </c>
      <c r="E846" t="n">
        <v>107.1</v>
      </c>
      <c r="F846" t="n">
        <v>107.4</v>
      </c>
      <c r="G846" t="n">
        <v>106.1</v>
      </c>
      <c r="H846" t="n">
        <v>104.3</v>
      </c>
      <c r="I846" t="inlineStr">
        <is>
          <t>-</t>
        </is>
      </c>
      <c r="J846" t="inlineStr">
        <is>
          <t>-</t>
        </is>
      </c>
    </row>
    <row r="847">
      <c r="B847" t="inlineStr">
        <is>
          <t>Cemeteries and crematories(1)</t>
        </is>
      </c>
      <c r="C847" t="n">
        <v>81222</v>
      </c>
      <c r="D847" t="n">
        <v>31.9</v>
      </c>
      <c r="E847" t="n">
        <v>31.5</v>
      </c>
      <c r="F847" t="n">
        <v>31.9</v>
      </c>
      <c r="G847" t="n">
        <v>32.2</v>
      </c>
      <c r="H847" t="n">
        <v>33</v>
      </c>
      <c r="I847" t="inlineStr">
        <is>
          <t>-</t>
        </is>
      </c>
      <c r="J847" t="inlineStr">
        <is>
          <t>-</t>
        </is>
      </c>
    </row>
    <row r="848">
      <c r="B848" t="inlineStr">
        <is>
          <t>Drycleaning and laundry services(1)</t>
        </is>
      </c>
      <c r="C848" t="n">
        <v>8123</v>
      </c>
      <c r="D848" t="n">
        <v>259.8</v>
      </c>
      <c r="E848" t="n">
        <v>264.1</v>
      </c>
      <c r="F848" t="n">
        <v>261.9</v>
      </c>
      <c r="G848" t="n">
        <v>263.5</v>
      </c>
      <c r="H848" t="n">
        <v>260.7</v>
      </c>
      <c r="I848" t="inlineStr">
        <is>
          <t>-</t>
        </is>
      </c>
      <c r="J848" t="inlineStr">
        <is>
          <t>-</t>
        </is>
      </c>
    </row>
    <row r="849">
      <c r="B849" t="inlineStr">
        <is>
          <t>Coin-operated laundries and drycleaners(1)</t>
        </is>
      </c>
      <c r="C849" t="n">
        <v>81231</v>
      </c>
      <c r="D849" t="n">
        <v>39.6</v>
      </c>
      <c r="E849" t="n">
        <v>40.6</v>
      </c>
      <c r="F849" t="n">
        <v>40</v>
      </c>
      <c r="G849" t="n">
        <v>39.6</v>
      </c>
      <c r="H849" t="n">
        <v>39.1</v>
      </c>
      <c r="I849" t="inlineStr">
        <is>
          <t>-</t>
        </is>
      </c>
      <c r="J849" t="inlineStr">
        <is>
          <t>-</t>
        </is>
      </c>
    </row>
    <row r="850">
      <c r="B850" t="inlineStr">
        <is>
          <t>Drycleaning and laundry services, except coin-operated(1)</t>
        </is>
      </c>
      <c r="C850" t="n">
        <v>81232</v>
      </c>
      <c r="D850" t="n">
        <v>90.8</v>
      </c>
      <c r="E850" t="n">
        <v>91.2</v>
      </c>
      <c r="F850" t="n">
        <v>88.7</v>
      </c>
      <c r="G850" t="n">
        <v>90.5</v>
      </c>
      <c r="H850" t="n">
        <v>88.09999999999999</v>
      </c>
      <c r="I850" t="inlineStr">
        <is>
          <t>-</t>
        </is>
      </c>
      <c r="J850" t="inlineStr">
        <is>
          <t>-</t>
        </is>
      </c>
    </row>
    <row r="851">
      <c r="B851" t="inlineStr">
        <is>
          <t>Linen and uniform supply(1)</t>
        </is>
      </c>
      <c r="C851" t="n">
        <v>81233</v>
      </c>
      <c r="D851" t="n">
        <v>129.4</v>
      </c>
      <c r="E851" t="n">
        <v>132.3</v>
      </c>
      <c r="F851" t="n">
        <v>132.7</v>
      </c>
      <c r="G851" t="n">
        <v>132.8</v>
      </c>
      <c r="H851" t="n">
        <v>133.7</v>
      </c>
      <c r="I851" t="inlineStr">
        <is>
          <t>-</t>
        </is>
      </c>
      <c r="J851" t="inlineStr">
        <is>
          <t>-</t>
        </is>
      </c>
    </row>
    <row r="852">
      <c r="B852" t="inlineStr">
        <is>
          <t>Linen supply(1)</t>
        </is>
      </c>
      <c r="C852" t="n">
        <v>812331</v>
      </c>
      <c r="D852" t="n">
        <v>63.2</v>
      </c>
      <c r="E852" t="n">
        <v>65.3</v>
      </c>
      <c r="F852" t="n">
        <v>65.7</v>
      </c>
      <c r="G852" t="n">
        <v>65.8</v>
      </c>
      <c r="H852" t="n">
        <v>66</v>
      </c>
      <c r="I852" t="inlineStr">
        <is>
          <t>-</t>
        </is>
      </c>
      <c r="J852" t="inlineStr">
        <is>
          <t>-</t>
        </is>
      </c>
    </row>
    <row r="853">
      <c r="B853" t="inlineStr">
        <is>
          <t>Industrial launderers(1)</t>
        </is>
      </c>
      <c r="C853" t="n">
        <v>812332</v>
      </c>
      <c r="D853" t="n">
        <v>66.3</v>
      </c>
      <c r="E853" t="n">
        <v>67.09999999999999</v>
      </c>
      <c r="F853" t="n">
        <v>67.2</v>
      </c>
      <c r="G853" t="n">
        <v>67.2</v>
      </c>
      <c r="H853" t="n">
        <v>67.5</v>
      </c>
      <c r="I853" t="inlineStr">
        <is>
          <t>-</t>
        </is>
      </c>
      <c r="J853" t="inlineStr">
        <is>
          <t>-</t>
        </is>
      </c>
    </row>
    <row r="854">
      <c r="B854" t="inlineStr">
        <is>
          <t>Other personal services(1)</t>
        </is>
      </c>
      <c r="C854" t="n">
        <v>8129</v>
      </c>
      <c r="D854" t="n">
        <v>413.3</v>
      </c>
      <c r="E854" t="n">
        <v>411.8</v>
      </c>
      <c r="F854" t="n">
        <v>413</v>
      </c>
      <c r="G854" t="n">
        <v>413.7</v>
      </c>
      <c r="H854" t="n">
        <v>414.5</v>
      </c>
      <c r="I854" t="inlineStr">
        <is>
          <t>-</t>
        </is>
      </c>
      <c r="J854" t="inlineStr">
        <is>
          <t>-</t>
        </is>
      </c>
    </row>
    <row r="855">
      <c r="B855" t="inlineStr">
        <is>
          <t>Pet care (except veterinary) services(1)</t>
        </is>
      </c>
      <c r="C855" t="n">
        <v>81291</v>
      </c>
      <c r="D855" t="n">
        <v>189.4</v>
      </c>
      <c r="E855" t="n">
        <v>188.7</v>
      </c>
      <c r="F855" t="n">
        <v>187.5</v>
      </c>
      <c r="G855" t="n">
        <v>187.7</v>
      </c>
      <c r="H855" t="n">
        <v>186.2</v>
      </c>
      <c r="I855" t="inlineStr">
        <is>
          <t>-</t>
        </is>
      </c>
      <c r="J855" t="inlineStr">
        <is>
          <t>-</t>
        </is>
      </c>
    </row>
    <row r="856">
      <c r="B856" t="inlineStr">
        <is>
          <t>Parking lots and garages(1)</t>
        </is>
      </c>
      <c r="C856" t="n">
        <v>81293</v>
      </c>
      <c r="D856" t="n">
        <v>127.1</v>
      </c>
      <c r="E856" t="n">
        <v>126.2</v>
      </c>
      <c r="F856" t="n">
        <v>127.3</v>
      </c>
      <c r="G856" t="n">
        <v>127.9</v>
      </c>
      <c r="H856" t="n">
        <v>130.5</v>
      </c>
      <c r="I856" t="inlineStr">
        <is>
          <t>-</t>
        </is>
      </c>
      <c r="J856" t="inlineStr">
        <is>
          <t>-</t>
        </is>
      </c>
    </row>
    <row r="857">
      <c r="B857" t="inlineStr">
        <is>
          <t>Photofinishing and all other personal services(1)</t>
        </is>
      </c>
      <c r="C857" t="inlineStr">
        <is>
          <t>81292,9</t>
        </is>
      </c>
      <c r="D857" t="n">
        <v>95.5</v>
      </c>
      <c r="E857" t="n">
        <v>98</v>
      </c>
      <c r="F857" t="n">
        <v>98.8</v>
      </c>
      <c r="G857" t="n">
        <v>98.09999999999999</v>
      </c>
      <c r="H857" t="n">
        <v>98</v>
      </c>
      <c r="I857" t="inlineStr">
        <is>
          <t>-</t>
        </is>
      </c>
      <c r="J857" t="inlineStr">
        <is>
          <t>-</t>
        </is>
      </c>
    </row>
    <row r="858">
      <c r="A858" t="inlineStr">
        <is>
          <t>ISIC 94T96</t>
        </is>
      </c>
      <c r="B858" t="inlineStr">
        <is>
          <t>Religious, grantmaking, civic, professional, and similar organizations</t>
        </is>
      </c>
      <c r="C858" t="n">
        <v>813</v>
      </c>
      <c r="D858" t="n">
        <v>2844.7</v>
      </c>
      <c r="E858" t="n">
        <v>2874.6</v>
      </c>
      <c r="F858" t="n">
        <v>2877.8</v>
      </c>
      <c r="G858" t="n">
        <v>2879.4</v>
      </c>
      <c r="H858" t="n">
        <v>2878.8</v>
      </c>
      <c r="I858" t="n">
        <v>2880.4</v>
      </c>
      <c r="J858" t="n">
        <v>1.6</v>
      </c>
    </row>
    <row r="859">
      <c r="B859" t="inlineStr">
        <is>
          <t>Grantmaking and giving services(1)</t>
        </is>
      </c>
      <c r="C859" t="n">
        <v>8132</v>
      </c>
      <c r="D859" t="n">
        <v>197.1</v>
      </c>
      <c r="E859" t="n">
        <v>202.8</v>
      </c>
      <c r="F859" t="n">
        <v>203.9</v>
      </c>
      <c r="G859" t="n">
        <v>203.6</v>
      </c>
      <c r="H859" t="n">
        <v>204.1</v>
      </c>
      <c r="I859" t="inlineStr">
        <is>
          <t>-</t>
        </is>
      </c>
      <c r="J859" t="inlineStr">
        <is>
          <t>-</t>
        </is>
      </c>
    </row>
    <row r="860">
      <c r="B860" t="inlineStr">
        <is>
          <t>Grantmaking foundations(1)</t>
        </is>
      </c>
      <c r="C860" t="n">
        <v>813211</v>
      </c>
      <c r="D860" t="n">
        <v>112.2</v>
      </c>
      <c r="E860" t="n">
        <v>115</v>
      </c>
      <c r="F860" t="n">
        <v>117</v>
      </c>
      <c r="G860" t="n">
        <v>116.5</v>
      </c>
      <c r="H860" t="n">
        <v>116.4</v>
      </c>
      <c r="I860" t="inlineStr">
        <is>
          <t>-</t>
        </is>
      </c>
      <c r="J860" t="inlineStr">
        <is>
          <t>-</t>
        </is>
      </c>
    </row>
    <row r="861">
      <c r="B861" t="inlineStr">
        <is>
          <t>Voluntary health organizations(1)</t>
        </is>
      </c>
      <c r="C861" t="n">
        <v>813212</v>
      </c>
      <c r="D861" t="n">
        <v>41.5</v>
      </c>
      <c r="E861" t="n">
        <v>42.4</v>
      </c>
      <c r="F861" t="n">
        <v>41.5</v>
      </c>
      <c r="G861" t="n">
        <v>41.6</v>
      </c>
      <c r="H861" t="n">
        <v>42.5</v>
      </c>
      <c r="I861" t="inlineStr">
        <is>
          <t>-</t>
        </is>
      </c>
      <c r="J861" t="inlineStr">
        <is>
          <t>-</t>
        </is>
      </c>
    </row>
    <row r="862">
      <c r="B862" t="inlineStr">
        <is>
          <t>Other grantmaking and giving services(1)</t>
        </is>
      </c>
      <c r="C862" t="n">
        <v>813219</v>
      </c>
      <c r="D862" t="n">
        <v>43</v>
      </c>
      <c r="E862" t="n">
        <v>45</v>
      </c>
      <c r="F862" t="n">
        <v>45.4</v>
      </c>
      <c r="G862" t="n">
        <v>45.5</v>
      </c>
      <c r="H862" t="n">
        <v>45.3</v>
      </c>
      <c r="I862" t="inlineStr">
        <is>
          <t>-</t>
        </is>
      </c>
      <c r="J862" t="inlineStr">
        <is>
          <t>-</t>
        </is>
      </c>
    </row>
    <row r="863">
      <c r="B863" t="inlineStr">
        <is>
          <t>Social advocacy organizations(1)</t>
        </is>
      </c>
      <c r="C863" t="n">
        <v>8133</v>
      </c>
      <c r="D863" t="n">
        <v>278.8</v>
      </c>
      <c r="E863" t="n">
        <v>287.7</v>
      </c>
      <c r="F863" t="n">
        <v>288.3</v>
      </c>
      <c r="G863" t="n">
        <v>288</v>
      </c>
      <c r="H863" t="n">
        <v>287.5</v>
      </c>
      <c r="I863" t="inlineStr">
        <is>
          <t>-</t>
        </is>
      </c>
      <c r="J863" t="inlineStr">
        <is>
          <t>-</t>
        </is>
      </c>
    </row>
    <row r="864">
      <c r="B864" t="inlineStr">
        <is>
          <t>Human rights organizations(1)</t>
        </is>
      </c>
      <c r="C864" t="n">
        <v>813311</v>
      </c>
      <c r="D864" t="n">
        <v>59</v>
      </c>
      <c r="E864" t="n">
        <v>58.3</v>
      </c>
      <c r="F864" t="n">
        <v>58.9</v>
      </c>
      <c r="G864" t="n">
        <v>59</v>
      </c>
      <c r="H864" t="n">
        <v>59</v>
      </c>
      <c r="I864" t="inlineStr">
        <is>
          <t>-</t>
        </is>
      </c>
      <c r="J864" t="inlineStr">
        <is>
          <t>-</t>
        </is>
      </c>
    </row>
    <row r="865">
      <c r="B865" t="inlineStr">
        <is>
          <t>Environment, conservation, wildlife, and other social advocacy organizations(1)</t>
        </is>
      </c>
      <c r="C865" t="inlineStr">
        <is>
          <t>813312,9</t>
        </is>
      </c>
      <c r="D865" t="n">
        <v>219.9</v>
      </c>
      <c r="E865" t="n">
        <v>229.2</v>
      </c>
      <c r="F865" t="n">
        <v>229.4</v>
      </c>
      <c r="G865" t="n">
        <v>229</v>
      </c>
      <c r="H865" t="n">
        <v>228.9</v>
      </c>
      <c r="I865" t="inlineStr">
        <is>
          <t>-</t>
        </is>
      </c>
      <c r="J865" t="inlineStr">
        <is>
          <t>-</t>
        </is>
      </c>
    </row>
    <row r="866">
      <c r="B866" t="inlineStr">
        <is>
          <t>Civic and social organizations(1)</t>
        </is>
      </c>
      <c r="C866" t="n">
        <v>8134</v>
      </c>
      <c r="D866" t="n">
        <v>351.9</v>
      </c>
      <c r="E866" t="n">
        <v>359.7</v>
      </c>
      <c r="F866" t="n">
        <v>361.9</v>
      </c>
      <c r="G866" t="n">
        <v>362.7</v>
      </c>
      <c r="H866" t="n">
        <v>363.9</v>
      </c>
      <c r="I866" t="inlineStr">
        <is>
          <t>-</t>
        </is>
      </c>
      <c r="J866" t="inlineStr">
        <is>
          <t>-</t>
        </is>
      </c>
    </row>
    <row r="867">
      <c r="B867" t="inlineStr">
        <is>
          <t>Business, professional, labor, political, and similar organizations(1)</t>
        </is>
      </c>
      <c r="C867" t="n">
        <v>8139</v>
      </c>
      <c r="D867" t="n">
        <v>470.4</v>
      </c>
      <c r="E867" t="n">
        <v>476.2</v>
      </c>
      <c r="F867" t="n">
        <v>475.4</v>
      </c>
      <c r="G867" t="n">
        <v>477.8</v>
      </c>
      <c r="H867" t="n">
        <v>475.6</v>
      </c>
      <c r="I867" t="inlineStr">
        <is>
          <t>-</t>
        </is>
      </c>
      <c r="J867" t="inlineStr">
        <is>
          <t>-</t>
        </is>
      </c>
    </row>
    <row r="868">
      <c r="B868" t="inlineStr">
        <is>
          <t>Business associations(1)</t>
        </is>
      </c>
      <c r="C868" t="n">
        <v>81391</v>
      </c>
      <c r="D868" t="n">
        <v>118.7</v>
      </c>
      <c r="E868" t="n">
        <v>119.8</v>
      </c>
      <c r="F868" t="n">
        <v>119.1</v>
      </c>
      <c r="G868" t="n">
        <v>118.8</v>
      </c>
      <c r="H868" t="n">
        <v>117.4</v>
      </c>
      <c r="I868" t="inlineStr">
        <is>
          <t>-</t>
        </is>
      </c>
      <c r="J868" t="inlineStr">
        <is>
          <t>-</t>
        </is>
      </c>
    </row>
    <row r="869">
      <c r="B869" t="inlineStr">
        <is>
          <t>Professional organizations(1)</t>
        </is>
      </c>
      <c r="C869" t="n">
        <v>81392</v>
      </c>
      <c r="D869" t="n">
        <v>86.90000000000001</v>
      </c>
      <c r="E869" t="n">
        <v>85.40000000000001</v>
      </c>
      <c r="F869" t="n">
        <v>85.2</v>
      </c>
      <c r="G869" t="n">
        <v>85.7</v>
      </c>
      <c r="H869" t="n">
        <v>84.7</v>
      </c>
      <c r="I869" t="inlineStr">
        <is>
          <t>-</t>
        </is>
      </c>
      <c r="J869" t="inlineStr">
        <is>
          <t>-</t>
        </is>
      </c>
    </row>
    <row r="870">
      <c r="B870" t="inlineStr">
        <is>
          <t>Labor unions and similar labor organizations(1)</t>
        </is>
      </c>
      <c r="C870" t="n">
        <v>81393</v>
      </c>
      <c r="D870" t="n">
        <v>109.1</v>
      </c>
      <c r="E870" t="n">
        <v>105</v>
      </c>
      <c r="F870" t="n">
        <v>105.3</v>
      </c>
      <c r="G870" t="n">
        <v>106.1</v>
      </c>
      <c r="H870" t="n">
        <v>105.1</v>
      </c>
      <c r="I870" t="inlineStr">
        <is>
          <t>-</t>
        </is>
      </c>
      <c r="J870" t="inlineStr">
        <is>
          <t>-</t>
        </is>
      </c>
    </row>
    <row r="871">
      <c r="B871" t="inlineStr">
        <is>
          <t>Political and other similar organizations (except business, professional, and labor organizations)(1)</t>
        </is>
      </c>
      <c r="C871" t="inlineStr">
        <is>
          <t>81394,9</t>
        </is>
      </c>
      <c r="D871" t="n">
        <v>157.2</v>
      </c>
      <c r="E871" t="n">
        <v>165.5</v>
      </c>
      <c r="F871" t="n">
        <v>165.6</v>
      </c>
      <c r="G871" t="n">
        <v>167.6</v>
      </c>
      <c r="H871" t="n">
        <v>168.7</v>
      </c>
      <c r="I871" t="inlineStr">
        <is>
          <t>-</t>
        </is>
      </c>
      <c r="J871" t="inlineStr">
        <is>
          <t>-</t>
        </is>
      </c>
    </row>
    <row r="873">
      <c r="A873" t="inlineStr">
        <is>
          <t>ISIC 84</t>
        </is>
      </c>
      <c r="B873" t="inlineStr">
        <is>
          <t>Government</t>
        </is>
      </c>
      <c r="D873" t="n">
        <v>23000</v>
      </c>
      <c r="E873" t="n">
        <v>23345</v>
      </c>
      <c r="F873" t="n">
        <v>23386</v>
      </c>
      <c r="G873" t="n">
        <v>23419</v>
      </c>
      <c r="H873" t="n">
        <v>23457</v>
      </c>
      <c r="I873" t="n">
        <v>23490</v>
      </c>
      <c r="J873" t="n">
        <v>33</v>
      </c>
    </row>
    <row r="874">
      <c r="B874" t="inlineStr">
        <is>
          <t>Federal</t>
        </is>
      </c>
      <c r="D874" t="n">
        <v>2952</v>
      </c>
      <c r="E874" t="n">
        <v>2996</v>
      </c>
      <c r="F874" t="n">
        <v>2997</v>
      </c>
      <c r="G874" t="n">
        <v>3001</v>
      </c>
      <c r="H874" t="n">
        <v>3003</v>
      </c>
      <c r="I874" t="n">
        <v>3001</v>
      </c>
      <c r="J874" t="n">
        <v>-2</v>
      </c>
    </row>
    <row r="875">
      <c r="B875" t="inlineStr">
        <is>
          <t>Federal, except U.S. Postal Service</t>
        </is>
      </c>
      <c r="D875" t="n">
        <v>2350.2</v>
      </c>
      <c r="E875" t="n">
        <v>2389.6</v>
      </c>
      <c r="F875" t="n">
        <v>2391.7</v>
      </c>
      <c r="G875" t="n">
        <v>2394.7</v>
      </c>
      <c r="H875" t="n">
        <v>2398</v>
      </c>
      <c r="I875" t="n">
        <v>2398.7</v>
      </c>
      <c r="J875" t="n">
        <v>0.7</v>
      </c>
    </row>
    <row r="876">
      <c r="B876" t="inlineStr">
        <is>
          <t>Federal hospitals(1)</t>
        </is>
      </c>
      <c r="D876" t="n">
        <v>382.4</v>
      </c>
      <c r="E876" t="n">
        <v>386.5</v>
      </c>
      <c r="F876" t="n">
        <v>384.9</v>
      </c>
      <c r="G876" t="n">
        <v>383.2</v>
      </c>
      <c r="H876" t="n">
        <v>380.7</v>
      </c>
      <c r="I876" t="inlineStr">
        <is>
          <t>-</t>
        </is>
      </c>
      <c r="J876" t="inlineStr">
        <is>
          <t>-</t>
        </is>
      </c>
    </row>
    <row r="877">
      <c r="B877" t="inlineStr">
        <is>
          <t>Department of Defense(1)</t>
        </is>
      </c>
      <c r="D877" t="n">
        <v>556.3</v>
      </c>
      <c r="E877" t="n">
        <v>559</v>
      </c>
      <c r="F877" t="n">
        <v>559</v>
      </c>
      <c r="G877" t="n">
        <v>559.7</v>
      </c>
      <c r="H877" t="n">
        <v>561.9</v>
      </c>
      <c r="I877" t="inlineStr">
        <is>
          <t>-</t>
        </is>
      </c>
      <c r="J877" t="inlineStr">
        <is>
          <t>-</t>
        </is>
      </c>
    </row>
    <row r="878">
      <c r="B878" t="inlineStr">
        <is>
          <t>U.S. Postal Service(5)</t>
        </is>
      </c>
      <c r="D878" t="n">
        <v>601.7</v>
      </c>
      <c r="E878" t="n">
        <v>606.7</v>
      </c>
      <c r="F878" t="n">
        <v>605.6</v>
      </c>
      <c r="G878" t="n">
        <v>606.5</v>
      </c>
      <c r="H878" t="n">
        <v>604.9</v>
      </c>
      <c r="I878" t="n">
        <v>602.2</v>
      </c>
      <c r="J878" t="n">
        <v>-2.7</v>
      </c>
    </row>
    <row r="879">
      <c r="B879" t="inlineStr">
        <is>
          <t>Other Federal government(1)</t>
        </is>
      </c>
      <c r="D879" t="n">
        <v>1412</v>
      </c>
      <c r="E879" t="n">
        <v>1443</v>
      </c>
      <c r="F879" t="n">
        <v>1446.9</v>
      </c>
      <c r="G879" t="n">
        <v>1451.4</v>
      </c>
      <c r="H879" t="n">
        <v>1456.2</v>
      </c>
      <c r="I879" t="inlineStr">
        <is>
          <t>-</t>
        </is>
      </c>
      <c r="J879" t="inlineStr">
        <is>
          <t>-</t>
        </is>
      </c>
    </row>
    <row r="880">
      <c r="B880" t="inlineStr">
        <is>
          <t>State government</t>
        </is>
      </c>
      <c r="D880" t="n">
        <v>5383</v>
      </c>
      <c r="E880" t="n">
        <v>5459</v>
      </c>
      <c r="F880" t="n">
        <v>5473</v>
      </c>
      <c r="G880" t="n">
        <v>5495</v>
      </c>
      <c r="H880" t="n">
        <v>5514</v>
      </c>
      <c r="I880" t="n">
        <v>5534</v>
      </c>
      <c r="J880" t="n">
        <v>20</v>
      </c>
    </row>
    <row r="881">
      <c r="B881" t="inlineStr">
        <is>
          <t>State government education</t>
        </is>
      </c>
      <c r="D881" t="n">
        <v>2624.6</v>
      </c>
      <c r="E881" t="n">
        <v>2636.6</v>
      </c>
      <c r="F881" t="n">
        <v>2644.7</v>
      </c>
      <c r="G881" t="n">
        <v>2659.3</v>
      </c>
      <c r="H881" t="n">
        <v>2669.7</v>
      </c>
      <c r="I881" t="n">
        <v>2681.3</v>
      </c>
      <c r="J881" t="n">
        <v>11.6</v>
      </c>
    </row>
    <row r="882">
      <c r="B882" t="inlineStr">
        <is>
          <t>State government, excluding education</t>
        </is>
      </c>
      <c r="D882" t="n">
        <v>2758.5</v>
      </c>
      <c r="E882" t="n">
        <v>2821.9</v>
      </c>
      <c r="F882" t="n">
        <v>2828.7</v>
      </c>
      <c r="G882" t="n">
        <v>2835.6</v>
      </c>
      <c r="H882" t="n">
        <v>2843.9</v>
      </c>
      <c r="I882" t="n">
        <v>2852.9</v>
      </c>
      <c r="J882" t="n">
        <v>9</v>
      </c>
    </row>
    <row r="883">
      <c r="B883" t="inlineStr">
        <is>
          <t>State hospitals(1)</t>
        </is>
      </c>
      <c r="D883" t="n">
        <v>435.8</v>
      </c>
      <c r="E883" t="n">
        <v>454.8</v>
      </c>
      <c r="F883" t="n">
        <v>459</v>
      </c>
      <c r="G883" t="n">
        <v>462.7</v>
      </c>
      <c r="H883" t="n">
        <v>465.7</v>
      </c>
      <c r="I883" t="inlineStr">
        <is>
          <t>-</t>
        </is>
      </c>
      <c r="J883" t="inlineStr">
        <is>
          <t>-</t>
        </is>
      </c>
    </row>
    <row r="884">
      <c r="B884" t="inlineStr">
        <is>
          <t>State government general administration(1)</t>
        </is>
      </c>
      <c r="D884" t="n">
        <v>1844.3</v>
      </c>
      <c r="E884" t="n">
        <v>1879.4</v>
      </c>
      <c r="F884" t="n">
        <v>1881.1</v>
      </c>
      <c r="G884" t="n">
        <v>1886.1</v>
      </c>
      <c r="H884" t="n">
        <v>1890.5</v>
      </c>
      <c r="I884" t="inlineStr">
        <is>
          <t>-</t>
        </is>
      </c>
      <c r="J884" t="inlineStr">
        <is>
          <t>-</t>
        </is>
      </c>
    </row>
    <row r="885">
      <c r="B885" t="inlineStr">
        <is>
          <t>Other State government(1)</t>
        </is>
      </c>
      <c r="D885" t="n">
        <v>478</v>
      </c>
      <c r="E885" t="n">
        <v>484.8</v>
      </c>
      <c r="F885" t="n">
        <v>485.6</v>
      </c>
      <c r="G885" t="n">
        <v>485.8</v>
      </c>
      <c r="H885" t="n">
        <v>486.8</v>
      </c>
      <c r="I885" t="inlineStr">
        <is>
          <t>-</t>
        </is>
      </c>
      <c r="J885" t="inlineStr">
        <is>
          <t>-</t>
        </is>
      </c>
    </row>
    <row r="886">
      <c r="B886" t="inlineStr">
        <is>
          <t>Local government</t>
        </is>
      </c>
      <c r="D886" t="n">
        <v>14665</v>
      </c>
      <c r="E886" t="n">
        <v>14890</v>
      </c>
      <c r="F886" t="n">
        <v>14916</v>
      </c>
      <c r="G886" t="n">
        <v>14923</v>
      </c>
      <c r="H886" t="n">
        <v>14940</v>
      </c>
      <c r="I886" t="n">
        <v>14955</v>
      </c>
      <c r="J886" t="n">
        <v>15</v>
      </c>
    </row>
    <row r="887">
      <c r="B887" t="inlineStr">
        <is>
          <t>Local government education</t>
        </is>
      </c>
      <c r="D887" t="n">
        <v>8017.3</v>
      </c>
      <c r="E887" t="n">
        <v>8108.2</v>
      </c>
      <c r="F887" t="n">
        <v>8124.6</v>
      </c>
      <c r="G887" t="n">
        <v>8121.7</v>
      </c>
      <c r="H887" t="n">
        <v>8125.6</v>
      </c>
      <c r="I887" t="n">
        <v>8131.1</v>
      </c>
      <c r="J887" t="n">
        <v>5.5</v>
      </c>
    </row>
    <row r="888">
      <c r="B888" t="inlineStr">
        <is>
          <t>Local government, excluding education</t>
        </is>
      </c>
      <c r="D888" t="n">
        <v>6647.4</v>
      </c>
      <c r="E888" t="n">
        <v>6781.5</v>
      </c>
      <c r="F888" t="n">
        <v>6791.7</v>
      </c>
      <c r="G888" t="n">
        <v>6801.4</v>
      </c>
      <c r="H888" t="n">
        <v>6814.7</v>
      </c>
      <c r="I888" t="n">
        <v>6824.2</v>
      </c>
      <c r="J888" t="n">
        <v>9.5</v>
      </c>
    </row>
    <row r="889">
      <c r="B889" t="inlineStr">
        <is>
          <t>Local government utilities(1)</t>
        </is>
      </c>
      <c r="D889" t="n">
        <v>252.9</v>
      </c>
      <c r="E889" t="n">
        <v>257.2</v>
      </c>
      <c r="F889" t="n">
        <v>258.3</v>
      </c>
      <c r="G889" t="n">
        <v>258.6</v>
      </c>
      <c r="H889" t="n">
        <v>259.3</v>
      </c>
      <c r="I889" t="inlineStr">
        <is>
          <t>-</t>
        </is>
      </c>
      <c r="J889" t="inlineStr">
        <is>
          <t>-</t>
        </is>
      </c>
    </row>
    <row r="890">
      <c r="B890" t="inlineStr">
        <is>
          <t>Local government transportation(1)</t>
        </is>
      </c>
      <c r="D890" t="n">
        <v>292.3</v>
      </c>
      <c r="E890" t="n">
        <v>300.2</v>
      </c>
      <c r="F890" t="n">
        <v>300.9</v>
      </c>
      <c r="G890" t="n">
        <v>302</v>
      </c>
      <c r="H890" t="n">
        <v>302.7</v>
      </c>
      <c r="I890" t="inlineStr">
        <is>
          <t>-</t>
        </is>
      </c>
      <c r="J890" t="inlineStr">
        <is>
          <t>-</t>
        </is>
      </c>
    </row>
    <row r="891">
      <c r="B891" t="inlineStr">
        <is>
          <t>Local hospitals(1)</t>
        </is>
      </c>
      <c r="D891" t="n">
        <v>703.3</v>
      </c>
      <c r="E891" t="n">
        <v>723.5</v>
      </c>
      <c r="F891" t="n">
        <v>725.9</v>
      </c>
      <c r="G891" t="n">
        <v>726.8</v>
      </c>
      <c r="H891" t="n">
        <v>728.4</v>
      </c>
      <c r="I891" t="inlineStr">
        <is>
          <t>-</t>
        </is>
      </c>
      <c r="J891" t="inlineStr">
        <is>
          <t>-</t>
        </is>
      </c>
    </row>
    <row r="892">
      <c r="B892" t="inlineStr">
        <is>
          <t>Local government general administration(1)</t>
        </is>
      </c>
      <c r="D892" t="n">
        <v>4328.6</v>
      </c>
      <c r="E892" t="n">
        <v>4413.4</v>
      </c>
      <c r="F892" t="n">
        <v>4416.6</v>
      </c>
      <c r="G892" t="n">
        <v>4423.1</v>
      </c>
      <c r="H892" t="n">
        <v>4437.2</v>
      </c>
      <c r="I892" t="inlineStr">
        <is>
          <t>-</t>
        </is>
      </c>
      <c r="J892" t="inlineStr">
        <is>
          <t>-</t>
        </is>
      </c>
    </row>
    <row r="893">
      <c r="B893" t="inlineStr">
        <is>
          <t>Other local government(1)</t>
        </is>
      </c>
      <c r="D893" t="n">
        <v>1076</v>
      </c>
      <c r="E893" t="n">
        <v>1087.5</v>
      </c>
      <c r="F893" t="n">
        <v>1085.7</v>
      </c>
      <c r="G893" t="n">
        <v>1085.6</v>
      </c>
      <c r="H893" t="n">
        <v>1085.7</v>
      </c>
      <c r="I893" t="inlineStr">
        <is>
          <t>-</t>
        </is>
      </c>
      <c r="J89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BLS Employment Projections Table 2.11 (2024 matrix) — agriculture-block employment, for splitting the CPS farm-sector total across ISIC 01/02/03 (CES rows already cover logging &amp; ag support)</t>
        </is>
      </c>
    </row>
    <row r="2">
      <c r="A2" s="1" t="inlineStr">
        <is>
          <t>Matrix code</t>
        </is>
      </c>
      <c r="B2" s="1" t="inlineStr">
        <is>
          <t>Industry</t>
        </is>
      </c>
      <c r="C2" s="1" t="inlineStr">
        <is>
          <t>Employment 2024 (000s)</t>
        </is>
      </c>
    </row>
    <row r="3">
      <c r="A3" t="inlineStr">
        <is>
          <t>111000</t>
        </is>
      </c>
      <c r="B3" t="inlineStr">
        <is>
          <t>Crop production</t>
        </is>
      </c>
      <c r="C3" t="n">
        <v>863.9</v>
      </c>
    </row>
    <row r="4">
      <c r="A4" t="inlineStr">
        <is>
          <t>112000</t>
        </is>
      </c>
      <c r="B4" t="inlineStr">
        <is>
          <t>Animal production and aquaculture</t>
        </is>
      </c>
      <c r="C4" t="n">
        <v>442.4</v>
      </c>
    </row>
    <row r="5">
      <c r="A5" t="inlineStr">
        <is>
          <t>1131-2</t>
        </is>
      </c>
      <c r="B5" t="inlineStr">
        <is>
          <t>Forestry</t>
        </is>
      </c>
      <c r="C5" t="n">
        <v>7</v>
      </c>
    </row>
    <row r="6">
      <c r="A6" t="inlineStr">
        <is>
          <t>114000</t>
        </is>
      </c>
      <c r="B6" t="inlineStr">
        <is>
          <t>Fishing, hunting and trapping</t>
        </is>
      </c>
      <c r="C6" t="n">
        <v>20.9</v>
      </c>
    </row>
    <row r="9">
      <c r="A9" s="1" t="inlineStr">
        <is>
          <t>Share to ISIC 01 (farming)</t>
        </is>
      </c>
      <c r="B9">
        <f>($C$3+$C$4)/($C$3+$C$4+$C$5+$C$6)</f>
        <v/>
      </c>
    </row>
    <row r="10">
      <c r="A10" s="1" t="inlineStr">
        <is>
          <t>Share to ISIC 02 (forestry)</t>
        </is>
      </c>
      <c r="B10">
        <f>$C$5/($C$3+$C$4+$C$5+$C$6)</f>
        <v/>
      </c>
    </row>
    <row r="11">
      <c r="A11" s="1" t="inlineStr">
        <is>
          <t>Share to ISIC 03 (fishing)</t>
        </is>
      </c>
      <c r="B11">
        <f>$C$6/($C$3+$C$4+$C$5+$C$6)</f>
        <v/>
      </c>
    </row>
    <row r="13">
      <c r="A13" s="1" t="inlineStr">
        <is>
          <t>Transport modes (for splitting the CES 'Transportation and warehousing' supersector row)</t>
        </is>
      </c>
    </row>
    <row r="14">
      <c r="A14" t="inlineStr">
        <is>
          <t>482000</t>
        </is>
      </c>
      <c r="C14" t="n">
        <v>156.4</v>
      </c>
    </row>
    <row r="15">
      <c r="A15" t="inlineStr">
        <is>
          <t>484000</t>
        </is>
      </c>
      <c r="C15" t="n">
        <v>1522.1</v>
      </c>
    </row>
    <row r="16">
      <c r="A16" t="inlineStr">
        <is>
          <t>485000</t>
        </is>
      </c>
      <c r="C16" t="n">
        <v>472.6</v>
      </c>
    </row>
    <row r="17">
      <c r="A17" t="inlineStr">
        <is>
          <t>483000</t>
        </is>
      </c>
      <c r="C17" t="n">
        <v>70</v>
      </c>
    </row>
    <row r="18">
      <c r="A18" t="inlineStr">
        <is>
          <t>481000</t>
        </is>
      </c>
      <c r="C18" t="n">
        <v>564.4</v>
      </c>
    </row>
    <row r="19">
      <c r="A19" t="inlineStr">
        <is>
          <t>48A000</t>
        </is>
      </c>
      <c r="C19" t="n">
        <v>0</v>
      </c>
    </row>
    <row r="20">
      <c r="A20" t="inlineStr">
        <is>
          <t>493000</t>
        </is>
      </c>
      <c r="C20" t="n">
        <v>1849.1</v>
      </c>
    </row>
    <row r="21">
      <c r="A21" t="inlineStr">
        <is>
          <t>492000</t>
        </is>
      </c>
      <c r="C21" t="n">
        <v>1096.4</v>
      </c>
    </row>
    <row r="22">
      <c r="A22" t="inlineStr">
        <is>
          <t>486000</t>
        </is>
      </c>
      <c r="C22" t="n">
        <v>55.4</v>
      </c>
    </row>
    <row r="23">
      <c r="A23" s="1" t="inlineStr">
        <is>
          <t>Share to ISIC 49</t>
        </is>
      </c>
      <c r="B23">
        <f>($C$14+$C$15+$C$16)/($C$14+$C$15+$C$16+$C$17+$C$18+$C$19+$C$20+$C$21+$C$22)</f>
        <v/>
      </c>
    </row>
    <row r="24">
      <c r="A24" s="1" t="inlineStr">
        <is>
          <t>Share to ISIC 50</t>
        </is>
      </c>
      <c r="B24">
        <f>($C$17)/($C$14+$C$15+$C$16+$C$17+$C$18+$C$19+$C$20+$C$21+$C$22)</f>
        <v/>
      </c>
    </row>
    <row r="25">
      <c r="A25" s="1" t="inlineStr">
        <is>
          <t>Share to ISIC 51</t>
        </is>
      </c>
      <c r="B25">
        <f>($C$18)/($C$14+$C$15+$C$16+$C$17+$C$18+$C$19+$C$20+$C$21+$C$22)</f>
        <v/>
      </c>
    </row>
    <row r="26">
      <c r="A26" s="1" t="inlineStr">
        <is>
          <t>Share to ISIC 52</t>
        </is>
      </c>
      <c r="B26">
        <f>($C$19+$C$20)/($C$14+$C$15+$C$16+$C$17+$C$18+$C$19+$C$20+$C$21+$C$22)</f>
        <v/>
      </c>
    </row>
    <row r="27">
      <c r="A27" s="1" t="inlineStr">
        <is>
          <t>Share to ISIC 53</t>
        </is>
      </c>
      <c r="B27">
        <f>($C$21)/($C$14+$C$15+$C$16+$C$17+$C$18+$C$19+$C$20+$C$21+$C$22)</f>
        <v/>
      </c>
    </row>
    <row r="28">
      <c r="A28" s="1" t="inlineStr">
        <is>
          <t>Share to ISIC 352T353</t>
        </is>
      </c>
      <c r="B28">
        <f>($C$22)/($C$14+$C$15+$C$16+$C$17+$C$18+$C$19+$C$20+$C$21+$C$22)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 2.11 Employment and output by industry (Employment in thousands; Output in billion of chained 2017 dollars)</t>
        </is>
      </c>
    </row>
    <row r="2">
      <c r="A2" t="inlineStr">
        <is>
          <t>2024 National Employment Matrix title</t>
        </is>
      </c>
      <c r="B2" t="inlineStr">
        <is>
          <t>2024 National Employment Matrix code</t>
        </is>
      </c>
      <c r="C2" t="inlineStr">
        <is>
          <t>Industry type</t>
        </is>
      </c>
      <c r="D2" t="inlineStr">
        <is>
          <t>Employment, 2024</t>
        </is>
      </c>
      <c r="E2" t="inlineStr">
        <is>
          <t>Employment, 2034</t>
        </is>
      </c>
      <c r="F2" t="inlineStr">
        <is>
          <t xml:space="preserve">Employment change, numeric, 2024–34 </t>
        </is>
      </c>
      <c r="G2" t="inlineStr">
        <is>
          <t xml:space="preserve">Employment change, percent, 2024–34 </t>
        </is>
      </c>
      <c r="H2" t="inlineStr">
        <is>
          <t xml:space="preserve">Compound annual rate of change, employment, 2024–34 </t>
        </is>
      </c>
      <c r="I2" t="inlineStr">
        <is>
          <t>Output, 2024</t>
        </is>
      </c>
      <c r="J2" t="inlineStr">
        <is>
          <t>Output, 2034</t>
        </is>
      </c>
      <c r="K2" t="inlineStr">
        <is>
          <t xml:space="preserve">Compound annual rate of change, output, 2024–34 </t>
        </is>
      </c>
      <c r="L2" s="5" t="inlineStr">
        <is>
          <t>Assigned ISIC Code (editable)</t>
        </is>
      </c>
    </row>
    <row r="3">
      <c r="A3" t="inlineStr">
        <is>
          <t>Total, all industries</t>
        </is>
      </c>
      <c r="B3" t="inlineStr">
        <is>
          <t>TE1000</t>
        </is>
      </c>
      <c r="C3" t="inlineStr">
        <is>
          <t>Summary</t>
        </is>
      </c>
      <c r="D3" t="n">
        <v>169956.1</v>
      </c>
      <c r="E3" t="n">
        <v>175167.9</v>
      </c>
      <c r="F3" t="n">
        <v>5211.8</v>
      </c>
      <c r="G3" t="n">
        <v>3.1</v>
      </c>
      <c r="H3" t="n">
        <v>0.3</v>
      </c>
      <c r="I3" t="n">
        <v>40174.8</v>
      </c>
      <c r="J3" t="n">
        <v>48622.4</v>
      </c>
      <c r="K3" t="n">
        <v>1.9</v>
      </c>
    </row>
    <row r="4">
      <c r="A4" t="inlineStr">
        <is>
          <t xml:space="preserve">  Self-employed workers</t>
        </is>
      </c>
      <c r="B4" t="inlineStr">
        <is>
          <t>TE1100</t>
        </is>
      </c>
      <c r="C4" t="inlineStr">
        <is>
          <t>Line item</t>
        </is>
      </c>
      <c r="D4" t="n">
        <v>9906.4</v>
      </c>
      <c r="E4" t="n">
        <v>10122.8</v>
      </c>
      <c r="F4" t="n">
        <v>216.4</v>
      </c>
      <c r="G4" t="n">
        <v>2.2</v>
      </c>
      <c r="H4" t="n">
        <v>0.2</v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</row>
    <row r="5">
      <c r="A5" t="inlineStr">
        <is>
          <t xml:space="preserve">  Total wage and salary employment</t>
        </is>
      </c>
      <c r="B5" t="inlineStr">
        <is>
          <t>TE1200</t>
        </is>
      </c>
      <c r="C5" t="inlineStr">
        <is>
          <t>Summary</t>
        </is>
      </c>
      <c r="D5" t="n">
        <v>160049.7</v>
      </c>
      <c r="E5" t="n">
        <v>165045.1</v>
      </c>
      <c r="F5" t="n">
        <v>4995.4</v>
      </c>
      <c r="G5" t="n">
        <v>3.1</v>
      </c>
      <c r="H5" t="n">
        <v>0.3</v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</row>
    <row r="6">
      <c r="A6" t="inlineStr">
        <is>
          <t xml:space="preserve">    Agriculture, forestry, fishing, and hunting</t>
        </is>
      </c>
      <c r="B6" t="inlineStr">
        <is>
          <t>110000</t>
        </is>
      </c>
      <c r="C6" t="inlineStr">
        <is>
          <t>Summary</t>
        </is>
      </c>
      <c r="D6" t="n">
        <v>1480.7</v>
      </c>
      <c r="E6" t="n">
        <v>1482.1</v>
      </c>
      <c r="F6" t="n">
        <v>1.4</v>
      </c>
      <c r="G6" t="n">
        <v>0.1</v>
      </c>
      <c r="H6" t="n">
        <v>0</v>
      </c>
      <c r="I6" t="n">
        <v>447.9</v>
      </c>
      <c r="J6" t="n">
        <v>538.8</v>
      </c>
      <c r="K6" t="n">
        <v>1.9</v>
      </c>
    </row>
    <row r="7">
      <c r="A7" t="inlineStr">
        <is>
          <t xml:space="preserve">      Crop production</t>
        </is>
      </c>
      <c r="B7" t="inlineStr">
        <is>
          <t>111000</t>
        </is>
      </c>
      <c r="C7" t="inlineStr">
        <is>
          <t>Line item</t>
        </is>
      </c>
      <c r="D7" t="n">
        <v>863.9</v>
      </c>
      <c r="E7" t="n">
        <v>881.2</v>
      </c>
      <c r="F7" t="n">
        <v>17.3</v>
      </c>
      <c r="G7" t="n">
        <v>2</v>
      </c>
      <c r="H7" t="n">
        <v>0.2</v>
      </c>
      <c r="I7" t="n">
        <v>175.8</v>
      </c>
      <c r="J7" t="n">
        <v>201.8</v>
      </c>
      <c r="K7" t="n">
        <v>1.4</v>
      </c>
      <c r="L7" t="inlineStr">
        <is>
          <t>ISIC 01</t>
        </is>
      </c>
    </row>
    <row r="8">
      <c r="A8" t="inlineStr">
        <is>
          <t xml:space="preserve">      Animal production and aquaculture</t>
        </is>
      </c>
      <c r="B8" t="inlineStr">
        <is>
          <t>112000</t>
        </is>
      </c>
      <c r="C8" t="inlineStr">
        <is>
          <t>Line item</t>
        </is>
      </c>
      <c r="D8" t="n">
        <v>442.4</v>
      </c>
      <c r="E8" t="n">
        <v>427.6</v>
      </c>
      <c r="F8" t="n">
        <v>-14.8</v>
      </c>
      <c r="G8" t="n">
        <v>-3.3</v>
      </c>
      <c r="H8" t="n">
        <v>-0.3</v>
      </c>
      <c r="I8" t="n">
        <v>220</v>
      </c>
      <c r="J8" t="n">
        <v>277.6</v>
      </c>
      <c r="K8" t="n">
        <v>2.4</v>
      </c>
      <c r="L8" t="inlineStr">
        <is>
          <t>ISIC 01</t>
        </is>
      </c>
    </row>
    <row r="9">
      <c r="A9" t="inlineStr">
        <is>
          <t xml:space="preserve">      Forestry and logging</t>
        </is>
      </c>
      <c r="B9" t="inlineStr">
        <is>
          <t>113000</t>
        </is>
      </c>
      <c r="C9" t="inlineStr">
        <is>
          <t>Summary</t>
        </is>
      </c>
      <c r="D9" t="n">
        <v>47.2</v>
      </c>
      <c r="E9" t="n">
        <v>45.1</v>
      </c>
      <c r="F9" t="n">
        <v>-2.1</v>
      </c>
      <c r="G9" t="n">
        <v>-4.4</v>
      </c>
      <c r="H9" t="n">
        <v>-0.5</v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 xml:space="preserve">        Forestry</t>
        </is>
      </c>
      <c r="B10" t="inlineStr">
        <is>
          <t>1131-2</t>
        </is>
      </c>
      <c r="C10" t="inlineStr">
        <is>
          <t>Line item</t>
        </is>
      </c>
      <c r="D10" t="n">
        <v>7</v>
      </c>
      <c r="E10" t="n">
        <v>6.9</v>
      </c>
      <c r="F10" t="n">
        <v>-0.1</v>
      </c>
      <c r="G10" t="n">
        <v>-2</v>
      </c>
      <c r="H10" t="n">
        <v>-0.1</v>
      </c>
      <c r="I10" t="n">
        <v>3.9</v>
      </c>
      <c r="J10" t="n">
        <v>4.6</v>
      </c>
      <c r="K10" t="n">
        <v>1.6</v>
      </c>
      <c r="L10" t="inlineStr">
        <is>
          <t>ISIC 02</t>
        </is>
      </c>
    </row>
    <row r="11">
      <c r="A11" t="inlineStr">
        <is>
          <t xml:space="preserve">        Logging</t>
        </is>
      </c>
      <c r="B11" t="inlineStr">
        <is>
          <t>113300</t>
        </is>
      </c>
      <c r="C11" t="inlineStr">
        <is>
          <t>Line item</t>
        </is>
      </c>
      <c r="D11" t="n">
        <v>40.2</v>
      </c>
      <c r="E11" t="n">
        <v>38.2</v>
      </c>
      <c r="F11" t="n">
        <v>-2</v>
      </c>
      <c r="G11" t="n">
        <v>-4.9</v>
      </c>
      <c r="H11" t="n">
        <v>-0.5</v>
      </c>
      <c r="I11" t="n">
        <v>18.9</v>
      </c>
      <c r="J11" t="n">
        <v>22.1</v>
      </c>
      <c r="K11" t="n">
        <v>1.6</v>
      </c>
      <c r="L11" t="inlineStr">
        <is>
          <t>ISIC 02</t>
        </is>
      </c>
    </row>
    <row r="12">
      <c r="A12" t="inlineStr">
        <is>
          <t xml:space="preserve">      Fishing, hunting and trapping</t>
        </is>
      </c>
      <c r="B12" t="inlineStr">
        <is>
          <t>114000</t>
        </is>
      </c>
      <c r="C12" t="inlineStr">
        <is>
          <t>Line item</t>
        </is>
      </c>
      <c r="D12" t="n">
        <v>20.9</v>
      </c>
      <c r="E12" t="n">
        <v>20.8</v>
      </c>
      <c r="F12" t="n">
        <v>-0.1</v>
      </c>
      <c r="G12" t="n">
        <v>-0.3</v>
      </c>
      <c r="H12" t="n">
        <v>0</v>
      </c>
      <c r="I12" t="n">
        <v>7.4</v>
      </c>
      <c r="J12" t="n">
        <v>8.6</v>
      </c>
      <c r="K12" t="n">
        <v>1.5</v>
      </c>
      <c r="L12" t="inlineStr">
        <is>
          <t>ISIC 03</t>
        </is>
      </c>
    </row>
    <row r="13">
      <c r="A13" t="inlineStr">
        <is>
          <t xml:space="preserve">      Support activities for agriculture and forestry</t>
        </is>
      </c>
      <c r="B13" t="inlineStr">
        <is>
          <t>115000</t>
        </is>
      </c>
      <c r="C13" t="inlineStr">
        <is>
          <t>Line item</t>
        </is>
      </c>
      <c r="D13" t="n">
        <v>106.2</v>
      </c>
      <c r="E13" t="n">
        <v>107.3</v>
      </c>
      <c r="F13" t="n">
        <v>1.1</v>
      </c>
      <c r="G13" t="n">
        <v>1</v>
      </c>
      <c r="H13" t="n">
        <v>0.1</v>
      </c>
      <c r="I13" t="n">
        <v>23.6</v>
      </c>
      <c r="J13" t="n">
        <v>27.6</v>
      </c>
      <c r="K13" t="n">
        <v>1.6</v>
      </c>
      <c r="L13" t="inlineStr">
        <is>
          <t>ISIC 01</t>
        </is>
      </c>
    </row>
    <row r="14">
      <c r="A14" t="inlineStr">
        <is>
          <t xml:space="preserve">    Mining, quarrying, and oil and gas extraction</t>
        </is>
      </c>
      <c r="B14" t="inlineStr">
        <is>
          <t>210000</t>
        </is>
      </c>
      <c r="C14" t="inlineStr">
        <is>
          <t>Summary</t>
        </is>
      </c>
      <c r="D14" t="n">
        <v>586.1</v>
      </c>
      <c r="E14" t="n">
        <v>576.8</v>
      </c>
      <c r="F14" t="n">
        <v>-9.300000000000001</v>
      </c>
      <c r="G14" t="n">
        <v>-1.6</v>
      </c>
      <c r="H14" t="n">
        <v>-0.2</v>
      </c>
      <c r="I14" t="n">
        <v>564.6</v>
      </c>
      <c r="J14" t="n">
        <v>634.5</v>
      </c>
      <c r="K14" t="n">
        <v>1.2</v>
      </c>
    </row>
    <row r="15">
      <c r="A15" t="inlineStr">
        <is>
          <t xml:space="preserve">      Oil and gas extraction</t>
        </is>
      </c>
      <c r="B15" t="inlineStr">
        <is>
          <t>211000</t>
        </is>
      </c>
      <c r="C15" t="inlineStr">
        <is>
          <t>Line item</t>
        </is>
      </c>
      <c r="D15" t="n">
        <v>122.5</v>
      </c>
      <c r="E15" t="n">
        <v>115.7</v>
      </c>
      <c r="F15" t="n">
        <v>-6.8</v>
      </c>
      <c r="G15" t="n">
        <v>-5.5</v>
      </c>
      <c r="H15" t="n">
        <v>-0.6</v>
      </c>
      <c r="I15" t="n">
        <v>383.8</v>
      </c>
      <c r="J15" t="n">
        <v>450.7</v>
      </c>
      <c r="K15" t="n">
        <v>1.6</v>
      </c>
      <c r="L15" t="inlineStr">
        <is>
          <t>ISIC 06</t>
        </is>
      </c>
    </row>
    <row r="16">
      <c r="A16" t="inlineStr">
        <is>
          <t xml:space="preserve">      Mining (except oil and gas)</t>
        </is>
      </c>
      <c r="B16" t="inlineStr">
        <is>
          <t>212000</t>
        </is>
      </c>
      <c r="C16" t="inlineStr">
        <is>
          <t>Summary</t>
        </is>
      </c>
      <c r="D16" t="n">
        <v>191.7</v>
      </c>
      <c r="E16" t="n">
        <v>182.6</v>
      </c>
      <c r="F16" t="n">
        <v>-9.1</v>
      </c>
      <c r="G16" t="n">
        <v>-4.7</v>
      </c>
      <c r="H16" t="n">
        <v>-0.5</v>
      </c>
      <c r="I16" t="n">
        <v>92.8</v>
      </c>
      <c r="J16" t="n">
        <v>99.90000000000001</v>
      </c>
      <c r="K16" t="n">
        <v>0.7</v>
      </c>
    </row>
    <row r="17">
      <c r="A17" t="inlineStr">
        <is>
          <t xml:space="preserve">        Coal mining</t>
        </is>
      </c>
      <c r="B17" t="inlineStr">
        <is>
          <t>212100</t>
        </is>
      </c>
      <c r="C17" t="inlineStr">
        <is>
          <t>Line item</t>
        </is>
      </c>
      <c r="D17" t="n">
        <v>42.5</v>
      </c>
      <c r="E17" t="n">
        <v>23.2</v>
      </c>
      <c r="F17" t="n">
        <v>-19.3</v>
      </c>
      <c r="G17" t="n">
        <v>-45.3</v>
      </c>
      <c r="H17" t="n">
        <v>-5.9</v>
      </c>
      <c r="I17" t="n">
        <v>29.8</v>
      </c>
      <c r="J17" t="n">
        <v>24.6</v>
      </c>
      <c r="K17" t="n">
        <v>-1.9</v>
      </c>
      <c r="L17" t="inlineStr">
        <is>
          <t>ISIC 05</t>
        </is>
      </c>
    </row>
    <row r="18">
      <c r="A18" t="inlineStr">
        <is>
          <t xml:space="preserve">        Metal ore mining</t>
        </is>
      </c>
      <c r="B18" t="inlineStr">
        <is>
          <t>212200</t>
        </is>
      </c>
      <c r="C18" t="inlineStr">
        <is>
          <t>Line item</t>
        </is>
      </c>
      <c r="D18" t="n">
        <v>44.9</v>
      </c>
      <c r="E18" t="n">
        <v>48.4</v>
      </c>
      <c r="F18" t="n">
        <v>3.5</v>
      </c>
      <c r="G18" t="n">
        <v>7.9</v>
      </c>
      <c r="H18" t="n">
        <v>0.8</v>
      </c>
      <c r="I18" t="n">
        <v>26</v>
      </c>
      <c r="J18" t="n">
        <v>33.5</v>
      </c>
      <c r="K18" t="n">
        <v>2.6</v>
      </c>
      <c r="L18" t="inlineStr">
        <is>
          <t>ISIC 07</t>
        </is>
      </c>
    </row>
    <row r="19">
      <c r="A19" t="inlineStr">
        <is>
          <t xml:space="preserve">        Nonmetallic mineral mining and quarrying</t>
        </is>
      </c>
      <c r="B19" t="inlineStr">
        <is>
          <t>212300</t>
        </is>
      </c>
      <c r="C19" t="inlineStr">
        <is>
          <t>Line item</t>
        </is>
      </c>
      <c r="D19" t="n">
        <v>104.3</v>
      </c>
      <c r="E19" t="n">
        <v>111</v>
      </c>
      <c r="F19" t="n">
        <v>6.7</v>
      </c>
      <c r="G19" t="n">
        <v>6.4</v>
      </c>
      <c r="H19" t="n">
        <v>0.6</v>
      </c>
      <c r="I19" t="n">
        <v>36.9</v>
      </c>
      <c r="J19" t="n">
        <v>41.5</v>
      </c>
      <c r="K19" t="n">
        <v>1.2</v>
      </c>
      <c r="L19" t="inlineStr">
        <is>
          <t>ISIC 08</t>
        </is>
      </c>
    </row>
    <row r="20">
      <c r="A20" t="inlineStr">
        <is>
          <t xml:space="preserve">      Support activities for mining</t>
        </is>
      </c>
      <c r="B20" t="inlineStr">
        <is>
          <t>213000</t>
        </is>
      </c>
      <c r="C20" t="inlineStr">
        <is>
          <t>Line item</t>
        </is>
      </c>
      <c r="D20" t="n">
        <v>271.9</v>
      </c>
      <c r="E20" t="n">
        <v>278.4</v>
      </c>
      <c r="F20" t="n">
        <v>6.5</v>
      </c>
      <c r="G20" t="n">
        <v>2.4</v>
      </c>
      <c r="H20" t="n">
        <v>0.2</v>
      </c>
      <c r="I20" t="n">
        <v>95.59999999999999</v>
      </c>
      <c r="J20" t="n">
        <v>90.59999999999999</v>
      </c>
      <c r="K20" t="n">
        <v>-0.5</v>
      </c>
      <c r="L20" t="inlineStr">
        <is>
          <t>ISIC 09</t>
        </is>
      </c>
    </row>
    <row r="21">
      <c r="A21" t="inlineStr">
        <is>
          <t xml:space="preserve">    Utilities</t>
        </is>
      </c>
      <c r="B21" t="inlineStr">
        <is>
          <t>220000</t>
        </is>
      </c>
      <c r="C21" t="inlineStr">
        <is>
          <t>Summary</t>
        </is>
      </c>
      <c r="D21" t="n">
        <v>591.3</v>
      </c>
      <c r="E21" t="n">
        <v>620</v>
      </c>
      <c r="F21" t="n">
        <v>28.7</v>
      </c>
      <c r="G21" t="n">
        <v>4.9</v>
      </c>
      <c r="H21" t="n">
        <v>0.5</v>
      </c>
      <c r="I21" t="n">
        <v>507.1</v>
      </c>
      <c r="J21" t="n">
        <v>602.2</v>
      </c>
      <c r="K21" t="n">
        <v>1.7</v>
      </c>
    </row>
    <row r="22">
      <c r="A22" t="inlineStr">
        <is>
          <t xml:space="preserve">      Utilities</t>
        </is>
      </c>
      <c r="B22" t="inlineStr">
        <is>
          <t>221000</t>
        </is>
      </c>
      <c r="C22" t="inlineStr">
        <is>
          <t>Summary</t>
        </is>
      </c>
      <c r="D22" t="n">
        <v>591.3</v>
      </c>
      <c r="E22" t="n">
        <v>620</v>
      </c>
      <c r="F22" t="n">
        <v>28.7</v>
      </c>
      <c r="G22" t="n">
        <v>4.9</v>
      </c>
      <c r="H22" t="n">
        <v>0.5</v>
      </c>
      <c r="I22" t="n">
        <v>507.1</v>
      </c>
      <c r="J22" t="n">
        <v>602.2</v>
      </c>
      <c r="K22" t="n">
        <v>1.7</v>
      </c>
    </row>
    <row r="23">
      <c r="A23" t="inlineStr">
        <is>
          <t xml:space="preserve">        Electric power generation, transmission and distribution</t>
        </is>
      </c>
      <c r="B23" t="inlineStr">
        <is>
          <t>221100</t>
        </is>
      </c>
      <c r="C23" t="inlineStr">
        <is>
          <t>Summary</t>
        </is>
      </c>
      <c r="D23" t="n">
        <v>413.1</v>
      </c>
      <c r="E23" t="n">
        <v>445.6</v>
      </c>
      <c r="F23" t="n">
        <v>32.5</v>
      </c>
      <c r="G23" t="n">
        <v>7.9</v>
      </c>
      <c r="H23" t="n">
        <v>0.8</v>
      </c>
      <c r="I23" t="n">
        <v>411.4</v>
      </c>
      <c r="J23" t="n">
        <v>501.2</v>
      </c>
      <c r="K23" t="n">
        <v>2</v>
      </c>
      <c r="L23" t="inlineStr">
        <is>
          <t>ISIC 351</t>
        </is>
      </c>
    </row>
    <row r="24">
      <c r="A24" t="inlineStr">
        <is>
          <t xml:space="preserve">          Electric power generation</t>
        </is>
      </c>
      <c r="B24" t="inlineStr">
        <is>
          <t>221110</t>
        </is>
      </c>
      <c r="C24" t="inlineStr">
        <is>
          <t>Summary</t>
        </is>
      </c>
      <c r="D24" t="n">
        <v>157.3</v>
      </c>
      <c r="E24" t="n">
        <v>169.2</v>
      </c>
      <c r="F24" t="n">
        <v>11.9</v>
      </c>
      <c r="G24" t="n">
        <v>7.6</v>
      </c>
      <c r="H24" t="n">
        <v>0.7</v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</row>
    <row r="25">
      <c r="A25" t="inlineStr">
        <is>
          <t xml:space="preserve">            Hydroelectric power generation</t>
        </is>
      </c>
      <c r="B25" t="inlineStr">
        <is>
          <t>221111</t>
        </is>
      </c>
      <c r="C25" t="inlineStr">
        <is>
          <t>Line item</t>
        </is>
      </c>
      <c r="D25" t="n">
        <v>8.199999999999999</v>
      </c>
      <c r="E25" t="n">
        <v>8.199999999999999</v>
      </c>
      <c r="F25" t="n">
        <v>0</v>
      </c>
      <c r="G25" t="n">
        <v>0.4</v>
      </c>
      <c r="H25" t="n">
        <v>0</v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</row>
    <row r="26">
      <c r="A26" t="inlineStr">
        <is>
          <t xml:space="preserve">            Fossil fuel electric power generation</t>
        </is>
      </c>
      <c r="B26" t="inlineStr">
        <is>
          <t>221112</t>
        </is>
      </c>
      <c r="C26" t="inlineStr">
        <is>
          <t>Line item</t>
        </is>
      </c>
      <c r="D26" t="n">
        <v>74.5</v>
      </c>
      <c r="E26" t="n">
        <v>51.5</v>
      </c>
      <c r="F26" t="n">
        <v>-23</v>
      </c>
      <c r="G26" t="n">
        <v>-30.9</v>
      </c>
      <c r="H26" t="n">
        <v>-3.6</v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</row>
    <row r="27">
      <c r="A27" t="inlineStr">
        <is>
          <t xml:space="preserve">            Nuclear electric power generation</t>
        </is>
      </c>
      <c r="B27" t="inlineStr">
        <is>
          <t>221113</t>
        </is>
      </c>
      <c r="C27" t="inlineStr">
        <is>
          <t>Line item</t>
        </is>
      </c>
      <c r="D27" t="n">
        <v>38.2</v>
      </c>
      <c r="E27" t="n">
        <v>31.5</v>
      </c>
      <c r="F27" t="n">
        <v>-6.7</v>
      </c>
      <c r="G27" t="n">
        <v>-17.6</v>
      </c>
      <c r="H27" t="n">
        <v>-1.9</v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</row>
    <row r="28">
      <c r="A28" t="inlineStr">
        <is>
          <t xml:space="preserve">            Solar electric power generation</t>
        </is>
      </c>
      <c r="B28" t="inlineStr">
        <is>
          <t>221114</t>
        </is>
      </c>
      <c r="C28" t="inlineStr">
        <is>
          <t>Line item</t>
        </is>
      </c>
      <c r="D28" t="n">
        <v>16.9</v>
      </c>
      <c r="E28" t="n">
        <v>47.2</v>
      </c>
      <c r="F28" t="n">
        <v>30.4</v>
      </c>
      <c r="G28" t="n">
        <v>180.2</v>
      </c>
      <c r="H28" t="n">
        <v>10.8</v>
      </c>
      <c r="I28" t="inlineStr">
        <is>
          <t>—</t>
        </is>
      </c>
      <c r="J28" t="inlineStr">
        <is>
          <t>—</t>
        </is>
      </c>
      <c r="K28" t="inlineStr">
        <is>
          <t>—</t>
        </is>
      </c>
    </row>
    <row r="29">
      <c r="A29" t="inlineStr">
        <is>
          <t xml:space="preserve">            Wind electric power generation</t>
        </is>
      </c>
      <c r="B29" t="inlineStr">
        <is>
          <t>221115</t>
        </is>
      </c>
      <c r="C29" t="inlineStr">
        <is>
          <t>Line item</t>
        </is>
      </c>
      <c r="D29" t="n">
        <v>11.2</v>
      </c>
      <c r="E29" t="n">
        <v>20.4</v>
      </c>
      <c r="F29" t="n">
        <v>9.199999999999999</v>
      </c>
      <c r="G29" t="n">
        <v>81.40000000000001</v>
      </c>
      <c r="H29" t="n">
        <v>6.2</v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</row>
    <row r="30">
      <c r="A30" t="inlineStr">
        <is>
          <t xml:space="preserve">            Geothermal electric power generation</t>
        </is>
      </c>
      <c r="B30" t="inlineStr">
        <is>
          <t>221116</t>
        </is>
      </c>
      <c r="C30" t="inlineStr">
        <is>
          <t>Line item</t>
        </is>
      </c>
      <c r="D30" t="n">
        <v>1.2</v>
      </c>
      <c r="E30" t="n">
        <v>1.6</v>
      </c>
      <c r="F30" t="n">
        <v>0.5</v>
      </c>
      <c r="G30" t="n">
        <v>41.4</v>
      </c>
      <c r="H30" t="n">
        <v>2.9</v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</row>
    <row r="31">
      <c r="A31" t="inlineStr">
        <is>
          <t xml:space="preserve">            Biomass electric power generation</t>
        </is>
      </c>
      <c r="B31" t="inlineStr">
        <is>
          <t>221117</t>
        </is>
      </c>
      <c r="C31" t="inlineStr">
        <is>
          <t>Line item</t>
        </is>
      </c>
      <c r="D31" t="n">
        <v>2.4</v>
      </c>
      <c r="E31" t="n">
        <v>2.5</v>
      </c>
      <c r="F31" t="n">
        <v>0</v>
      </c>
      <c r="G31" t="n">
        <v>1.9</v>
      </c>
      <c r="H31" t="n">
        <v>0.4</v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</row>
    <row r="32">
      <c r="A32" t="inlineStr">
        <is>
          <t xml:space="preserve">            Other electric power generation</t>
        </is>
      </c>
      <c r="B32" t="inlineStr">
        <is>
          <t>221118</t>
        </is>
      </c>
      <c r="C32" t="inlineStr">
        <is>
          <t>Line item</t>
        </is>
      </c>
      <c r="D32" t="n">
        <v>4.7</v>
      </c>
      <c r="E32" t="n">
        <v>6.2</v>
      </c>
      <c r="F32" t="n">
        <v>1.5</v>
      </c>
      <c r="G32" t="n">
        <v>32.9</v>
      </c>
      <c r="H32" t="n">
        <v>2.8</v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</row>
    <row r="33">
      <c r="A33" t="inlineStr">
        <is>
          <t xml:space="preserve">        Natural gas distribution</t>
        </is>
      </c>
      <c r="B33" t="inlineStr">
        <is>
          <t>221200</t>
        </is>
      </c>
      <c r="C33" t="inlineStr">
        <is>
          <t>Line item</t>
        </is>
      </c>
      <c r="D33" t="n">
        <v>116.1</v>
      </c>
      <c r="E33" t="n">
        <v>112.4</v>
      </c>
      <c r="F33" t="n">
        <v>-3.7</v>
      </c>
      <c r="G33" t="n">
        <v>-3.2</v>
      </c>
      <c r="H33" t="n">
        <v>-0.3</v>
      </c>
      <c r="I33" t="n">
        <v>80.40000000000001</v>
      </c>
      <c r="J33" t="n">
        <v>86.5</v>
      </c>
      <c r="K33" t="n">
        <v>0.7</v>
      </c>
      <c r="L33" t="inlineStr">
        <is>
          <t>ISIC 352T353</t>
        </is>
      </c>
    </row>
    <row r="34">
      <c r="A34" t="inlineStr">
        <is>
          <t xml:space="preserve">        Water, sewage and other systems</t>
        </is>
      </c>
      <c r="B34" t="inlineStr">
        <is>
          <t>221300</t>
        </is>
      </c>
      <c r="C34" t="inlineStr">
        <is>
          <t>Line item</t>
        </is>
      </c>
      <c r="D34" t="n">
        <v>62.1</v>
      </c>
      <c r="E34" t="n">
        <v>62</v>
      </c>
      <c r="F34" t="n">
        <v>-0.1</v>
      </c>
      <c r="G34" t="n">
        <v>-0.1</v>
      </c>
      <c r="H34" t="n">
        <v>0</v>
      </c>
      <c r="I34" t="n">
        <v>15.6</v>
      </c>
      <c r="J34" t="n">
        <v>16.3</v>
      </c>
      <c r="K34" t="n">
        <v>0.5</v>
      </c>
      <c r="L34" t="inlineStr">
        <is>
          <t>ISIC 36T39</t>
        </is>
      </c>
    </row>
    <row r="35">
      <c r="A35" t="inlineStr">
        <is>
          <t xml:space="preserve">    Construction</t>
        </is>
      </c>
      <c r="B35" t="inlineStr">
        <is>
          <t>230000</t>
        </is>
      </c>
      <c r="C35" t="inlineStr">
        <is>
          <t>Summary</t>
        </is>
      </c>
      <c r="D35" t="n">
        <v>8211.700000000001</v>
      </c>
      <c r="E35" t="n">
        <v>8572.200000000001</v>
      </c>
      <c r="F35" t="n">
        <v>360.5</v>
      </c>
      <c r="G35" t="n">
        <v>4.4</v>
      </c>
      <c r="H35" t="n">
        <v>0.4</v>
      </c>
      <c r="I35" t="n">
        <v>1720.9</v>
      </c>
      <c r="J35" t="n">
        <v>1874.7</v>
      </c>
      <c r="K35" t="n">
        <v>0.9</v>
      </c>
      <c r="L35" t="inlineStr">
        <is>
          <t>ISIC 41T43</t>
        </is>
      </c>
    </row>
    <row r="36">
      <c r="A36" t="inlineStr">
        <is>
          <t xml:space="preserve">      Construction of buildings</t>
        </is>
      </c>
      <c r="B36" t="inlineStr">
        <is>
          <t>236000</t>
        </is>
      </c>
      <c r="C36" t="inlineStr">
        <is>
          <t>Summary</t>
        </is>
      </c>
      <c r="D36" t="n">
        <v>1853.6</v>
      </c>
      <c r="E36" t="n">
        <v>1938.2</v>
      </c>
      <c r="F36" t="n">
        <v>84.59999999999999</v>
      </c>
      <c r="G36" t="n">
        <v>4.6</v>
      </c>
      <c r="H36" t="n">
        <v>0.4</v>
      </c>
      <c r="I36" t="inlineStr">
        <is>
          <t>—</t>
        </is>
      </c>
      <c r="J36" t="inlineStr">
        <is>
          <t>—</t>
        </is>
      </c>
      <c r="K36" t="inlineStr">
        <is>
          <t>—</t>
        </is>
      </c>
    </row>
    <row r="37">
      <c r="A37" t="inlineStr">
        <is>
          <t xml:space="preserve">        Residential building construction</t>
        </is>
      </c>
      <c r="B37" t="inlineStr">
        <is>
          <t>236100</t>
        </is>
      </c>
      <c r="C37" t="inlineStr">
        <is>
          <t>Line item</t>
        </is>
      </c>
      <c r="D37" t="n">
        <v>943.1</v>
      </c>
      <c r="E37" t="n">
        <v>982.4</v>
      </c>
      <c r="F37" t="n">
        <v>39.3</v>
      </c>
      <c r="G37" t="n">
        <v>4.2</v>
      </c>
      <c r="H37" t="n">
        <v>0.4</v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</row>
    <row r="38">
      <c r="A38" t="inlineStr">
        <is>
          <t xml:space="preserve">        Nonresidential building construction</t>
        </is>
      </c>
      <c r="B38" t="inlineStr">
        <is>
          <t>236200</t>
        </is>
      </c>
      <c r="C38" t="inlineStr">
        <is>
          <t>Line item</t>
        </is>
      </c>
      <c r="D38" t="n">
        <v>910.5</v>
      </c>
      <c r="E38" t="n">
        <v>955.8</v>
      </c>
      <c r="F38" t="n">
        <v>45.3</v>
      </c>
      <c r="G38" t="n">
        <v>5</v>
      </c>
      <c r="H38" t="n">
        <v>0.5</v>
      </c>
      <c r="I38" t="inlineStr">
        <is>
          <t>—</t>
        </is>
      </c>
      <c r="J38" t="inlineStr">
        <is>
          <t>—</t>
        </is>
      </c>
      <c r="K38" t="inlineStr">
        <is>
          <t>—</t>
        </is>
      </c>
    </row>
    <row r="39">
      <c r="A39" t="inlineStr">
        <is>
          <t xml:space="preserve">      Heavy and civil engineering construction</t>
        </is>
      </c>
      <c r="B39" t="inlineStr">
        <is>
          <t>237000</t>
        </is>
      </c>
      <c r="C39" t="inlineStr">
        <is>
          <t>Summary</t>
        </is>
      </c>
      <c r="D39" t="n">
        <v>1154.4</v>
      </c>
      <c r="E39" t="n">
        <v>1206.1</v>
      </c>
      <c r="F39" t="n">
        <v>51.7</v>
      </c>
      <c r="G39" t="n">
        <v>4.5</v>
      </c>
      <c r="H39" t="n">
        <v>0.4</v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</row>
    <row r="40">
      <c r="A40" t="inlineStr">
        <is>
          <t xml:space="preserve">        Utility system construction</t>
        </is>
      </c>
      <c r="B40" t="inlineStr">
        <is>
          <t>237100</t>
        </is>
      </c>
      <c r="C40" t="inlineStr">
        <is>
          <t>Summary</t>
        </is>
      </c>
      <c r="D40" t="n">
        <v>602.8</v>
      </c>
      <c r="E40" t="n">
        <v>634.3</v>
      </c>
      <c r="F40" t="n">
        <v>31.5</v>
      </c>
      <c r="G40" t="n">
        <v>5.2</v>
      </c>
      <c r="H40" t="n">
        <v>0.5</v>
      </c>
      <c r="I40" t="inlineStr">
        <is>
          <t>—</t>
        </is>
      </c>
      <c r="J40" t="inlineStr">
        <is>
          <t>—</t>
        </is>
      </c>
      <c r="K40" t="inlineStr">
        <is>
          <t>—</t>
        </is>
      </c>
    </row>
    <row r="41">
      <c r="A41" t="inlineStr">
        <is>
          <t xml:space="preserve">          Power and communication line and related structures construction</t>
        </is>
      </c>
      <c r="B41" t="inlineStr">
        <is>
          <t>237130</t>
        </is>
      </c>
      <c r="C41" t="inlineStr">
        <is>
          <t>Line item</t>
        </is>
      </c>
      <c r="D41" t="n">
        <v>238.4</v>
      </c>
      <c r="E41" t="n">
        <v>257.2</v>
      </c>
      <c r="F41" t="n">
        <v>18.8</v>
      </c>
      <c r="G41" t="n">
        <v>7.9</v>
      </c>
      <c r="H41" t="n">
        <v>0.8</v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</row>
    <row r="42">
      <c r="A42" t="inlineStr">
        <is>
          <t xml:space="preserve">        Land subdivision</t>
        </is>
      </c>
      <c r="B42" t="inlineStr">
        <is>
          <t>237200</t>
        </is>
      </c>
      <c r="C42" t="inlineStr">
        <is>
          <t>Line item</t>
        </is>
      </c>
      <c r="D42" t="n">
        <v>37.1</v>
      </c>
      <c r="E42" t="n">
        <v>37.7</v>
      </c>
      <c r="F42" t="n">
        <v>0.6</v>
      </c>
      <c r="G42" t="n">
        <v>1.7</v>
      </c>
      <c r="H42" t="n">
        <v>0.2</v>
      </c>
      <c r="I42" t="inlineStr">
        <is>
          <t>—</t>
        </is>
      </c>
      <c r="J42" t="inlineStr">
        <is>
          <t>—</t>
        </is>
      </c>
      <c r="K42" t="inlineStr">
        <is>
          <t>—</t>
        </is>
      </c>
    </row>
    <row r="43">
      <c r="A43" t="inlineStr">
        <is>
          <t xml:space="preserve">        Highway, street, and bridge construction</t>
        </is>
      </c>
      <c r="B43" t="inlineStr">
        <is>
          <t>237300</t>
        </is>
      </c>
      <c r="C43" t="inlineStr">
        <is>
          <t>Line item</t>
        </is>
      </c>
      <c r="D43" t="n">
        <v>377.9</v>
      </c>
      <c r="E43" t="n">
        <v>390.9</v>
      </c>
      <c r="F43" t="n">
        <v>13</v>
      </c>
      <c r="G43" t="n">
        <v>3.4</v>
      </c>
      <c r="H43" t="n">
        <v>0.3</v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</row>
    <row r="44">
      <c r="A44" t="inlineStr">
        <is>
          <t xml:space="preserve">        Other heavy and civil engineering construction</t>
        </is>
      </c>
      <c r="B44" t="inlineStr">
        <is>
          <t>237900</t>
        </is>
      </c>
      <c r="C44" t="inlineStr">
        <is>
          <t>Line item</t>
        </is>
      </c>
      <c r="D44" t="n">
        <v>136.6</v>
      </c>
      <c r="E44" t="n">
        <v>143.2</v>
      </c>
      <c r="F44" t="n">
        <v>6.6</v>
      </c>
      <c r="G44" t="n">
        <v>4.8</v>
      </c>
      <c r="H44" t="n">
        <v>0.5</v>
      </c>
      <c r="I44" t="inlineStr">
        <is>
          <t>—</t>
        </is>
      </c>
      <c r="J44" t="inlineStr">
        <is>
          <t>—</t>
        </is>
      </c>
      <c r="K44" t="inlineStr">
        <is>
          <t>—</t>
        </is>
      </c>
    </row>
    <row r="45">
      <c r="A45" t="inlineStr">
        <is>
          <t xml:space="preserve">      Specialty trade contractors</t>
        </is>
      </c>
      <c r="B45" t="inlineStr">
        <is>
          <t>238000</t>
        </is>
      </c>
      <c r="C45" t="inlineStr">
        <is>
          <t>Summary</t>
        </is>
      </c>
      <c r="D45" t="n">
        <v>5203.7</v>
      </c>
      <c r="E45" t="n">
        <v>5427.9</v>
      </c>
      <c r="F45" t="n">
        <v>224.2</v>
      </c>
      <c r="G45" t="n">
        <v>4.3</v>
      </c>
      <c r="H45" t="n">
        <v>0.4</v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</row>
    <row r="46">
      <c r="A46" t="inlineStr">
        <is>
          <t xml:space="preserve">        Foundation, structure, and building exterior contractors</t>
        </is>
      </c>
      <c r="B46" t="inlineStr">
        <is>
          <t>238100</t>
        </is>
      </c>
      <c r="C46" t="inlineStr">
        <is>
          <t>Summary</t>
        </is>
      </c>
      <c r="D46" t="n">
        <v>992.5</v>
      </c>
      <c r="E46" t="n">
        <v>1032.1</v>
      </c>
      <c r="F46" t="n">
        <v>39.6</v>
      </c>
      <c r="G46" t="n">
        <v>4</v>
      </c>
      <c r="H46" t="n">
        <v>0.4</v>
      </c>
      <c r="I46" t="inlineStr">
        <is>
          <t>—</t>
        </is>
      </c>
      <c r="J46" t="inlineStr">
        <is>
          <t>—</t>
        </is>
      </c>
      <c r="K46" t="inlineStr">
        <is>
          <t>—</t>
        </is>
      </c>
    </row>
    <row r="47">
      <c r="A47" t="inlineStr">
        <is>
          <t xml:space="preserve">          Poured concrete foundation and structure contractors</t>
        </is>
      </c>
      <c r="B47" t="inlineStr">
        <is>
          <t>238110</t>
        </is>
      </c>
      <c r="C47" t="inlineStr">
        <is>
          <t>Line item</t>
        </is>
      </c>
      <c r="D47" t="n">
        <v>258.2</v>
      </c>
      <c r="E47" t="n">
        <v>273.5</v>
      </c>
      <c r="F47" t="n">
        <v>15.3</v>
      </c>
      <c r="G47" t="n">
        <v>5.9</v>
      </c>
      <c r="H47" t="n">
        <v>0.6</v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</row>
    <row r="48">
      <c r="A48" t="inlineStr">
        <is>
          <t xml:space="preserve">          Masonry contractors</t>
        </is>
      </c>
      <c r="B48" t="inlineStr">
        <is>
          <t>238140</t>
        </is>
      </c>
      <c r="C48" t="inlineStr">
        <is>
          <t>Line item</t>
        </is>
      </c>
      <c r="D48" t="n">
        <v>146.1</v>
      </c>
      <c r="E48" t="n">
        <v>150</v>
      </c>
      <c r="F48" t="n">
        <v>3.9</v>
      </c>
      <c r="G48" t="n">
        <v>2.7</v>
      </c>
      <c r="H48" t="n">
        <v>0.3</v>
      </c>
      <c r="I48" t="inlineStr">
        <is>
          <t>—</t>
        </is>
      </c>
      <c r="J48" t="inlineStr">
        <is>
          <t>—</t>
        </is>
      </c>
      <c r="K48" t="inlineStr">
        <is>
          <t>—</t>
        </is>
      </c>
    </row>
    <row r="49">
      <c r="A49" t="inlineStr">
        <is>
          <t xml:space="preserve">          Roofing contractors</t>
        </is>
      </c>
      <c r="B49" t="inlineStr">
        <is>
          <t>238160</t>
        </is>
      </c>
      <c r="C49" t="inlineStr">
        <is>
          <t>Line item</t>
        </is>
      </c>
      <c r="D49" t="n">
        <v>249.8</v>
      </c>
      <c r="E49" t="n">
        <v>261.5</v>
      </c>
      <c r="F49" t="n">
        <v>11.7</v>
      </c>
      <c r="G49" t="n">
        <v>4.7</v>
      </c>
      <c r="H49" t="n">
        <v>0.5</v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</row>
    <row r="50">
      <c r="A50" t="inlineStr">
        <is>
          <t xml:space="preserve">        Building equipment contractors</t>
        </is>
      </c>
      <c r="B50" t="inlineStr">
        <is>
          <t>238200</t>
        </is>
      </c>
      <c r="C50" t="inlineStr">
        <is>
          <t>Summary</t>
        </is>
      </c>
      <c r="D50" t="n">
        <v>2556.3</v>
      </c>
      <c r="E50" t="n">
        <v>2688.2</v>
      </c>
      <c r="F50" t="n">
        <v>131.9</v>
      </c>
      <c r="G50" t="n">
        <v>5.2</v>
      </c>
      <c r="H50" t="n">
        <v>0.5</v>
      </c>
      <c r="I50" t="inlineStr">
        <is>
          <t>—</t>
        </is>
      </c>
      <c r="J50" t="inlineStr">
        <is>
          <t>—</t>
        </is>
      </c>
      <c r="K50" t="inlineStr">
        <is>
          <t>—</t>
        </is>
      </c>
    </row>
    <row r="51">
      <c r="A51" t="inlineStr">
        <is>
          <t xml:space="preserve">          Electrical contractors and other wiring installation contractors</t>
        </is>
      </c>
      <c r="B51" t="inlineStr">
        <is>
          <t>238210</t>
        </is>
      </c>
      <c r="C51" t="inlineStr">
        <is>
          <t>Line item</t>
        </is>
      </c>
      <c r="D51" t="n">
        <v>1095.2</v>
      </c>
      <c r="E51" t="n">
        <v>1156.4</v>
      </c>
      <c r="F51" t="n">
        <v>61.2</v>
      </c>
      <c r="G51" t="n">
        <v>5.6</v>
      </c>
      <c r="H51" t="n">
        <v>0.5</v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</row>
    <row r="52">
      <c r="A52" t="inlineStr">
        <is>
          <t xml:space="preserve">          Plumbing, heating, and air-conditioning contractors</t>
        </is>
      </c>
      <c r="B52" t="inlineStr">
        <is>
          <t>238220</t>
        </is>
      </c>
      <c r="C52" t="inlineStr">
        <is>
          <t>Line item</t>
        </is>
      </c>
      <c r="D52" t="n">
        <v>1298.3</v>
      </c>
      <c r="E52" t="n">
        <v>1361.3</v>
      </c>
      <c r="F52" t="n">
        <v>63</v>
      </c>
      <c r="G52" t="n">
        <v>4.8</v>
      </c>
      <c r="H52" t="n">
        <v>0.5</v>
      </c>
      <c r="I52" t="inlineStr">
        <is>
          <t>—</t>
        </is>
      </c>
      <c r="J52" t="inlineStr">
        <is>
          <t>—</t>
        </is>
      </c>
      <c r="K52" t="inlineStr">
        <is>
          <t>—</t>
        </is>
      </c>
    </row>
    <row r="53">
      <c r="A53" t="inlineStr">
        <is>
          <t xml:space="preserve">          Other building equipment contractors</t>
        </is>
      </c>
      <c r="B53" t="inlineStr">
        <is>
          <t>238290</t>
        </is>
      </c>
      <c r="C53" t="inlineStr">
        <is>
          <t>Line item</t>
        </is>
      </c>
      <c r="D53" t="n">
        <v>162.8</v>
      </c>
      <c r="E53" t="n">
        <v>170.6</v>
      </c>
      <c r="F53" t="n">
        <v>7.8</v>
      </c>
      <c r="G53" t="n">
        <v>4.8</v>
      </c>
      <c r="H53" t="n">
        <v>0.5</v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</row>
    <row r="54">
      <c r="A54" t="inlineStr">
        <is>
          <t xml:space="preserve">        Building finishing contractors</t>
        </is>
      </c>
      <c r="B54" t="inlineStr">
        <is>
          <t>238300</t>
        </is>
      </c>
      <c r="C54" t="inlineStr">
        <is>
          <t>Summary</t>
        </is>
      </c>
      <c r="D54" t="n">
        <v>849.3</v>
      </c>
      <c r="E54" t="n">
        <v>858.9</v>
      </c>
      <c r="F54" t="n">
        <v>9.6</v>
      </c>
      <c r="G54" t="n">
        <v>1.1</v>
      </c>
      <c r="H54" t="n">
        <v>0.1</v>
      </c>
      <c r="I54" t="inlineStr">
        <is>
          <t>—</t>
        </is>
      </c>
      <c r="J54" t="inlineStr">
        <is>
          <t>—</t>
        </is>
      </c>
      <c r="K54" t="inlineStr">
        <is>
          <t>—</t>
        </is>
      </c>
    </row>
    <row r="55">
      <c r="A55" t="inlineStr">
        <is>
          <t xml:space="preserve">          Drywall and insulation contractors</t>
        </is>
      </c>
      <c r="B55" t="inlineStr">
        <is>
          <t>238310</t>
        </is>
      </c>
      <c r="C55" t="inlineStr">
        <is>
          <t>Line item</t>
        </is>
      </c>
      <c r="D55" t="n">
        <v>247.5</v>
      </c>
      <c r="E55" t="n">
        <v>253.7</v>
      </c>
      <c r="F55" t="n">
        <v>6.2</v>
      </c>
      <c r="G55" t="n">
        <v>2.5</v>
      </c>
      <c r="H55" t="n">
        <v>0.2</v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</row>
    <row r="56">
      <c r="A56" t="inlineStr">
        <is>
          <t xml:space="preserve">          Painting and wall covering contractors</t>
        </is>
      </c>
      <c r="B56" t="inlineStr">
        <is>
          <t>238320</t>
        </is>
      </c>
      <c r="C56" t="inlineStr">
        <is>
          <t>Line item</t>
        </is>
      </c>
      <c r="D56" t="n">
        <v>210.3</v>
      </c>
      <c r="E56" t="n">
        <v>211.7</v>
      </c>
      <c r="F56" t="n">
        <v>1.4</v>
      </c>
      <c r="G56" t="n">
        <v>0.7</v>
      </c>
      <c r="H56" t="n">
        <v>0.1</v>
      </c>
      <c r="I56" t="inlineStr">
        <is>
          <t>—</t>
        </is>
      </c>
      <c r="J56" t="inlineStr">
        <is>
          <t>—</t>
        </is>
      </c>
      <c r="K56" t="inlineStr">
        <is>
          <t>—</t>
        </is>
      </c>
    </row>
    <row r="57">
      <c r="A57" t="inlineStr">
        <is>
          <t xml:space="preserve">        Other specialty trade contractors</t>
        </is>
      </c>
      <c r="B57" t="inlineStr">
        <is>
          <t>238900</t>
        </is>
      </c>
      <c r="C57" t="inlineStr">
        <is>
          <t>Line item</t>
        </is>
      </c>
      <c r="D57" t="n">
        <v>805.6</v>
      </c>
      <c r="E57" t="n">
        <v>848.6</v>
      </c>
      <c r="F57" t="n">
        <v>43</v>
      </c>
      <c r="G57" t="n">
        <v>5.3</v>
      </c>
      <c r="H57" t="n">
        <v>0.5</v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</row>
    <row r="58">
      <c r="A58" t="inlineStr">
        <is>
          <t xml:space="preserve">    Manufacturing</t>
        </is>
      </c>
      <c r="B58" t="inlineStr">
        <is>
          <t>31-330</t>
        </is>
      </c>
      <c r="C58" t="inlineStr">
        <is>
          <t>Summary</t>
        </is>
      </c>
      <c r="D58" t="n">
        <v>12817.2</v>
      </c>
      <c r="E58" t="n">
        <v>12816.8</v>
      </c>
      <c r="F58" t="n">
        <v>-0.4</v>
      </c>
      <c r="G58" t="n">
        <v>0</v>
      </c>
      <c r="H58" t="n">
        <v>0</v>
      </c>
      <c r="I58" t="n">
        <v>5696.8</v>
      </c>
      <c r="J58" t="n">
        <v>6486.2</v>
      </c>
      <c r="K58" t="n">
        <v>1.3</v>
      </c>
    </row>
    <row r="59">
      <c r="A59" t="inlineStr">
        <is>
          <t xml:space="preserve">      Food manufacturing</t>
        </is>
      </c>
      <c r="B59" t="inlineStr">
        <is>
          <t>311000</t>
        </is>
      </c>
      <c r="C59" t="inlineStr">
        <is>
          <t>Summary</t>
        </is>
      </c>
      <c r="D59" t="n">
        <v>1767.6</v>
      </c>
      <c r="E59" t="n">
        <v>1860.1</v>
      </c>
      <c r="F59" t="n">
        <v>92.5</v>
      </c>
      <c r="G59" t="n">
        <v>5.2</v>
      </c>
      <c r="H59" t="n">
        <v>0.5</v>
      </c>
      <c r="I59" t="n">
        <v>757.1</v>
      </c>
      <c r="J59" t="n">
        <v>910.3</v>
      </c>
      <c r="K59" t="n">
        <v>1.9</v>
      </c>
      <c r="L59" t="inlineStr">
        <is>
          <t>ISIC 10T12</t>
        </is>
      </c>
    </row>
    <row r="60">
      <c r="A60" t="inlineStr">
        <is>
          <t xml:space="preserve">        Animal food manufacturing</t>
        </is>
      </c>
      <c r="B60" t="inlineStr">
        <is>
          <t>311100</t>
        </is>
      </c>
      <c r="C60" t="inlineStr">
        <is>
          <t>Line item</t>
        </is>
      </c>
      <c r="D60" t="n">
        <v>75.40000000000001</v>
      </c>
      <c r="E60" t="n">
        <v>80.59999999999999</v>
      </c>
      <c r="F60" t="n">
        <v>5.2</v>
      </c>
      <c r="G60" t="n">
        <v>6.9</v>
      </c>
      <c r="H60" t="n">
        <v>0.7</v>
      </c>
      <c r="I60" t="n">
        <v>50.8</v>
      </c>
      <c r="J60" t="n">
        <v>60.7</v>
      </c>
      <c r="K60" t="n">
        <v>1.8</v>
      </c>
    </row>
    <row r="61">
      <c r="A61" t="inlineStr">
        <is>
          <t xml:space="preserve">        Grain and oilseed milling</t>
        </is>
      </c>
      <c r="B61" t="inlineStr">
        <is>
          <t>311200</t>
        </is>
      </c>
      <c r="C61" t="inlineStr">
        <is>
          <t>Line item</t>
        </is>
      </c>
      <c r="D61" t="n">
        <v>67.40000000000001</v>
      </c>
      <c r="E61" t="n">
        <v>67.7</v>
      </c>
      <c r="F61" t="n">
        <v>0.3</v>
      </c>
      <c r="G61" t="n">
        <v>0.5</v>
      </c>
      <c r="H61" t="n">
        <v>0</v>
      </c>
      <c r="I61" t="n">
        <v>81.2</v>
      </c>
      <c r="J61" t="n">
        <v>93.90000000000001</v>
      </c>
      <c r="K61" t="n">
        <v>1.5</v>
      </c>
    </row>
    <row r="62">
      <c r="A62" t="inlineStr">
        <is>
          <t xml:space="preserve">        Sugar and confectionery product manufacturing</t>
        </is>
      </c>
      <c r="B62" t="inlineStr">
        <is>
          <t>311300</t>
        </is>
      </c>
      <c r="C62" t="inlineStr">
        <is>
          <t>Line item</t>
        </is>
      </c>
      <c r="D62" t="n">
        <v>82.2</v>
      </c>
      <c r="E62" t="n">
        <v>84.2</v>
      </c>
      <c r="F62" t="n">
        <v>2</v>
      </c>
      <c r="G62" t="n">
        <v>2.4</v>
      </c>
      <c r="H62" t="n">
        <v>0.2</v>
      </c>
      <c r="I62" t="n">
        <v>32.6</v>
      </c>
      <c r="J62" t="n">
        <v>35.8</v>
      </c>
      <c r="K62" t="n">
        <v>0.9</v>
      </c>
    </row>
    <row r="63">
      <c r="A63" t="inlineStr">
        <is>
          <t xml:space="preserve">        Fruit and vegetable preserving and specialty food manufacturing</t>
        </is>
      </c>
      <c r="B63" t="inlineStr">
        <is>
          <t>311400</t>
        </is>
      </c>
      <c r="C63" t="inlineStr">
        <is>
          <t>Line item</t>
        </is>
      </c>
      <c r="D63" t="n">
        <v>173.8</v>
      </c>
      <c r="E63" t="n">
        <v>172.6</v>
      </c>
      <c r="F63" t="n">
        <v>-1.2</v>
      </c>
      <c r="G63" t="n">
        <v>-0.7</v>
      </c>
      <c r="H63" t="n">
        <v>-0.1</v>
      </c>
      <c r="I63" t="n">
        <v>57.1</v>
      </c>
      <c r="J63" t="n">
        <v>65.90000000000001</v>
      </c>
      <c r="K63" t="n">
        <v>1.4</v>
      </c>
    </row>
    <row r="64">
      <c r="A64" t="inlineStr">
        <is>
          <t xml:space="preserve">        Dairy product manufacturing</t>
        </is>
      </c>
      <c r="B64" t="inlineStr">
        <is>
          <t>311500</t>
        </is>
      </c>
      <c r="C64" t="inlineStr">
        <is>
          <t>Line item</t>
        </is>
      </c>
      <c r="D64" t="n">
        <v>168</v>
      </c>
      <c r="E64" t="n">
        <v>178.8</v>
      </c>
      <c r="F64" t="n">
        <v>10.8</v>
      </c>
      <c r="G64" t="n">
        <v>6.4</v>
      </c>
      <c r="H64" t="n">
        <v>0.6</v>
      </c>
      <c r="I64" t="n">
        <v>130.4</v>
      </c>
      <c r="J64" t="n">
        <v>171.1</v>
      </c>
      <c r="K64" t="n">
        <v>2.8</v>
      </c>
    </row>
    <row r="65">
      <c r="A65" t="inlineStr">
        <is>
          <t xml:space="preserve">        Animal slaughtering and processing</t>
        </is>
      </c>
      <c r="B65" t="inlineStr">
        <is>
          <t>311600</t>
        </is>
      </c>
      <c r="C65" t="inlineStr">
        <is>
          <t>Line item</t>
        </is>
      </c>
      <c r="D65" t="n">
        <v>556.4</v>
      </c>
      <c r="E65" t="n">
        <v>591.8</v>
      </c>
      <c r="F65" t="n">
        <v>35.4</v>
      </c>
      <c r="G65" t="n">
        <v>6.4</v>
      </c>
      <c r="H65" t="n">
        <v>0.6</v>
      </c>
      <c r="I65" t="n">
        <v>221.4</v>
      </c>
      <c r="J65" t="n">
        <v>265.1</v>
      </c>
      <c r="K65" t="n">
        <v>1.8</v>
      </c>
    </row>
    <row r="66">
      <c r="A66" t="inlineStr">
        <is>
          <t xml:space="preserve">        Seafood product preparation and packaging</t>
        </is>
      </c>
      <c r="B66" t="inlineStr">
        <is>
          <t>311700</t>
        </is>
      </c>
      <c r="C66" t="inlineStr">
        <is>
          <t>Line item</t>
        </is>
      </c>
      <c r="D66" t="n">
        <v>31.5</v>
      </c>
      <c r="E66" t="n">
        <v>30.7</v>
      </c>
      <c r="F66" t="n">
        <v>-0.8</v>
      </c>
      <c r="G66" t="n">
        <v>-2.5</v>
      </c>
      <c r="H66" t="n">
        <v>-0.3</v>
      </c>
      <c r="I66" t="n">
        <v>12.2</v>
      </c>
      <c r="J66" t="n">
        <v>14</v>
      </c>
      <c r="K66" t="n">
        <v>1.3</v>
      </c>
    </row>
    <row r="67">
      <c r="A67" t="inlineStr">
        <is>
          <t xml:space="preserve">        Bakeries and tortilla manufacturing</t>
        </is>
      </c>
      <c r="B67" t="inlineStr">
        <is>
          <t>311800</t>
        </is>
      </c>
      <c r="C67" t="inlineStr">
        <is>
          <t>Line item</t>
        </is>
      </c>
      <c r="D67" t="n">
        <v>350.4</v>
      </c>
      <c r="E67" t="n">
        <v>369.2</v>
      </c>
      <c r="F67" t="n">
        <v>18.8</v>
      </c>
      <c r="G67" t="n">
        <v>5.4</v>
      </c>
      <c r="H67" t="n">
        <v>0.5</v>
      </c>
      <c r="I67" t="n">
        <v>62.1</v>
      </c>
      <c r="J67" t="n">
        <v>74.40000000000001</v>
      </c>
      <c r="K67" t="n">
        <v>1.8</v>
      </c>
    </row>
    <row r="68">
      <c r="A68" t="inlineStr">
        <is>
          <t xml:space="preserve">        Other food manufacturing</t>
        </is>
      </c>
      <c r="B68" t="inlineStr">
        <is>
          <t>311900</t>
        </is>
      </c>
      <c r="C68" t="inlineStr">
        <is>
          <t>Line item</t>
        </is>
      </c>
      <c r="D68" t="n">
        <v>262.5</v>
      </c>
      <c r="E68" t="n">
        <v>284.4</v>
      </c>
      <c r="F68" t="n">
        <v>21.9</v>
      </c>
      <c r="G68" t="n">
        <v>8.4</v>
      </c>
      <c r="H68" t="n">
        <v>0.8</v>
      </c>
      <c r="I68" t="n">
        <v>109</v>
      </c>
      <c r="J68" t="n">
        <v>131</v>
      </c>
      <c r="K68" t="n">
        <v>1.9</v>
      </c>
    </row>
    <row r="69">
      <c r="A69" t="inlineStr">
        <is>
          <t xml:space="preserve">      Beverage and tobacco product manufacturing</t>
        </is>
      </c>
      <c r="B69" t="inlineStr">
        <is>
          <t>312000</t>
        </is>
      </c>
      <c r="C69" t="inlineStr">
        <is>
          <t>Summary</t>
        </is>
      </c>
      <c r="D69" t="n">
        <v>343.4</v>
      </c>
      <c r="E69" t="n">
        <v>379.7</v>
      </c>
      <c r="F69" t="n">
        <v>36.3</v>
      </c>
      <c r="G69" t="n">
        <v>10.6</v>
      </c>
      <c r="H69" t="n">
        <v>1</v>
      </c>
      <c r="I69" t="n">
        <v>181.9</v>
      </c>
      <c r="J69" t="n">
        <v>203</v>
      </c>
      <c r="K69" t="n">
        <v>1.1</v>
      </c>
      <c r="L69" t="inlineStr">
        <is>
          <t>ISIC 10T12</t>
        </is>
      </c>
    </row>
    <row r="70">
      <c r="A70" t="inlineStr">
        <is>
          <t xml:space="preserve">        Beverage manufacturing</t>
        </is>
      </c>
      <c r="B70" t="inlineStr">
        <is>
          <t>312100</t>
        </is>
      </c>
      <c r="C70" t="inlineStr">
        <is>
          <t>Line item</t>
        </is>
      </c>
      <c r="D70" t="n">
        <v>333</v>
      </c>
      <c r="E70" t="n">
        <v>370.8</v>
      </c>
      <c r="F70" t="n">
        <v>37.8</v>
      </c>
      <c r="G70" t="n">
        <v>11.4</v>
      </c>
      <c r="H70" t="n">
        <v>1.1</v>
      </c>
      <c r="I70" t="n">
        <v>115.7</v>
      </c>
      <c r="J70" t="n">
        <v>150.5</v>
      </c>
      <c r="K70" t="n">
        <v>2.7</v>
      </c>
    </row>
    <row r="71">
      <c r="A71" t="inlineStr">
        <is>
          <t xml:space="preserve">        Tobacco manufacturing</t>
        </is>
      </c>
      <c r="B71" t="inlineStr">
        <is>
          <t>312200</t>
        </is>
      </c>
      <c r="C71" t="inlineStr">
        <is>
          <t>Line item</t>
        </is>
      </c>
      <c r="D71" t="n">
        <v>10.4</v>
      </c>
      <c r="E71" t="n">
        <v>8.800000000000001</v>
      </c>
      <c r="F71" t="n">
        <v>-1.6</v>
      </c>
      <c r="G71" t="n">
        <v>-15</v>
      </c>
      <c r="H71" t="n">
        <v>-1.7</v>
      </c>
      <c r="I71" t="n">
        <v>65.2</v>
      </c>
      <c r="J71" t="n">
        <v>54.6</v>
      </c>
      <c r="K71" t="n">
        <v>-1.8</v>
      </c>
    </row>
    <row r="72">
      <c r="A72" t="inlineStr">
        <is>
          <t xml:space="preserve">      Textile mills</t>
        </is>
      </c>
      <c r="B72" t="inlineStr">
        <is>
          <t>313000</t>
        </is>
      </c>
      <c r="C72" t="inlineStr">
        <is>
          <t>Line item</t>
        </is>
      </c>
      <c r="D72" t="n">
        <v>86.59999999999999</v>
      </c>
      <c r="E72" t="n">
        <v>78.3</v>
      </c>
      <c r="F72" t="n">
        <v>-8.300000000000001</v>
      </c>
      <c r="G72" t="n">
        <v>-9.5</v>
      </c>
      <c r="H72" t="n">
        <v>-1</v>
      </c>
      <c r="I72" t="n">
        <v>19.4</v>
      </c>
      <c r="J72" t="n">
        <v>20</v>
      </c>
      <c r="K72" t="n">
        <v>0.3</v>
      </c>
      <c r="L72" t="inlineStr">
        <is>
          <t>ISIC 13T15</t>
        </is>
      </c>
    </row>
    <row r="73">
      <c r="A73" t="inlineStr">
        <is>
          <t xml:space="preserve">      Textile product mills</t>
        </is>
      </c>
      <c r="B73" t="inlineStr">
        <is>
          <t>314000</t>
        </is>
      </c>
      <c r="C73" t="inlineStr">
        <is>
          <t>Line item</t>
        </is>
      </c>
      <c r="D73" t="n">
        <v>99.5</v>
      </c>
      <c r="E73" t="n">
        <v>89</v>
      </c>
      <c r="F73" t="n">
        <v>-10.5</v>
      </c>
      <c r="G73" t="n">
        <v>-10.5</v>
      </c>
      <c r="H73" t="n">
        <v>-1.1</v>
      </c>
      <c r="I73" t="n">
        <v>21</v>
      </c>
      <c r="J73" t="n">
        <v>21.9</v>
      </c>
      <c r="K73" t="n">
        <v>0.4</v>
      </c>
      <c r="L73" t="inlineStr">
        <is>
          <t>ISIC 13T15</t>
        </is>
      </c>
    </row>
    <row r="74">
      <c r="A74" t="inlineStr">
        <is>
          <t xml:space="preserve">      Apparel manufacturing</t>
        </is>
      </c>
      <c r="B74" t="inlineStr">
        <is>
          <t>315000</t>
        </is>
      </c>
      <c r="C74" t="inlineStr">
        <is>
          <t>Line item</t>
        </is>
      </c>
      <c r="D74" t="n">
        <v>84.5</v>
      </c>
      <c r="E74" t="n">
        <v>58.8</v>
      </c>
      <c r="F74" t="n">
        <v>-25.7</v>
      </c>
      <c r="G74" t="n">
        <v>-30.4</v>
      </c>
      <c r="H74" t="n">
        <v>-3.6</v>
      </c>
      <c r="I74" t="n">
        <v>12.3</v>
      </c>
      <c r="J74" t="n">
        <v>10.1</v>
      </c>
      <c r="K74" t="n">
        <v>-1.9</v>
      </c>
      <c r="L74" t="inlineStr">
        <is>
          <t>ISIC 13T15</t>
        </is>
      </c>
    </row>
    <row r="75">
      <c r="A75" t="inlineStr">
        <is>
          <t xml:space="preserve">      Leather and allied product manufacturing</t>
        </is>
      </c>
      <c r="B75" t="inlineStr">
        <is>
          <t>316000</t>
        </is>
      </c>
      <c r="C75" t="inlineStr">
        <is>
          <t>Line item</t>
        </is>
      </c>
      <c r="D75" t="n">
        <v>25.1</v>
      </c>
      <c r="E75" t="n">
        <v>23.8</v>
      </c>
      <c r="F75" t="n">
        <v>-1.3</v>
      </c>
      <c r="G75" t="n">
        <v>-5.2</v>
      </c>
      <c r="H75" t="n">
        <v>-0.5</v>
      </c>
      <c r="I75" t="n">
        <v>11.9</v>
      </c>
      <c r="J75" t="n">
        <v>14.2</v>
      </c>
      <c r="K75" t="n">
        <v>1.8</v>
      </c>
      <c r="L75" t="inlineStr">
        <is>
          <t>ISIC 13T15</t>
        </is>
      </c>
    </row>
    <row r="76">
      <c r="A76" t="inlineStr">
        <is>
          <t xml:space="preserve">      Wood product manufacturing</t>
        </is>
      </c>
      <c r="B76" t="inlineStr">
        <is>
          <t>321000</t>
        </is>
      </c>
      <c r="C76" t="inlineStr">
        <is>
          <t>Summary</t>
        </is>
      </c>
      <c r="D76" t="n">
        <v>417</v>
      </c>
      <c r="E76" t="n">
        <v>417.6</v>
      </c>
      <c r="F76" t="n">
        <v>0.6</v>
      </c>
      <c r="G76" t="n">
        <v>0.1</v>
      </c>
      <c r="H76" t="n">
        <v>0</v>
      </c>
      <c r="I76" t="n">
        <v>126.5</v>
      </c>
      <c r="J76" t="n">
        <v>150.1</v>
      </c>
      <c r="K76" t="n">
        <v>1.7</v>
      </c>
      <c r="L76" t="inlineStr">
        <is>
          <t>ISIC 16</t>
        </is>
      </c>
    </row>
    <row r="77">
      <c r="A77" t="inlineStr">
        <is>
          <t xml:space="preserve">        Sawmills and wood preservation</t>
        </is>
      </c>
      <c r="B77" t="inlineStr">
        <is>
          <t>321100</t>
        </is>
      </c>
      <c r="C77" t="inlineStr">
        <is>
          <t>Line item</t>
        </is>
      </c>
      <c r="D77" t="n">
        <v>90.59999999999999</v>
      </c>
      <c r="E77" t="n">
        <v>89.2</v>
      </c>
      <c r="F77" t="n">
        <v>-1.4</v>
      </c>
      <c r="G77" t="n">
        <v>-1.6</v>
      </c>
      <c r="H77" t="n">
        <v>-0.2</v>
      </c>
      <c r="I77" t="n">
        <v>47.2</v>
      </c>
      <c r="J77" t="n">
        <v>56.4</v>
      </c>
      <c r="K77" t="n">
        <v>1.8</v>
      </c>
    </row>
    <row r="78">
      <c r="A78" t="inlineStr">
        <is>
          <t xml:space="preserve">        Veneer, plywood, and engineered wood product manufacturing</t>
        </is>
      </c>
      <c r="B78" t="inlineStr">
        <is>
          <t>321200</t>
        </is>
      </c>
      <c r="C78" t="inlineStr">
        <is>
          <t>Line item</t>
        </is>
      </c>
      <c r="D78" t="n">
        <v>82.2</v>
      </c>
      <c r="E78" t="n">
        <v>81.3</v>
      </c>
      <c r="F78" t="n">
        <v>-0.9</v>
      </c>
      <c r="G78" t="n">
        <v>-1.1</v>
      </c>
      <c r="H78" t="n">
        <v>-0.1</v>
      </c>
      <c r="I78" t="n">
        <v>24.3</v>
      </c>
      <c r="J78" t="n">
        <v>28.6</v>
      </c>
      <c r="K78" t="n">
        <v>1.7</v>
      </c>
    </row>
    <row r="79">
      <c r="A79" t="inlineStr">
        <is>
          <t xml:space="preserve">        Other wood product manufacturing</t>
        </is>
      </c>
      <c r="B79" t="inlineStr">
        <is>
          <t>321900</t>
        </is>
      </c>
      <c r="C79" t="inlineStr">
        <is>
          <t>Line item</t>
        </is>
      </c>
      <c r="D79" t="n">
        <v>244.2</v>
      </c>
      <c r="E79" t="n">
        <v>247.1</v>
      </c>
      <c r="F79" t="n">
        <v>2.9</v>
      </c>
      <c r="G79" t="n">
        <v>1.2</v>
      </c>
      <c r="H79" t="n">
        <v>0.1</v>
      </c>
      <c r="I79" t="n">
        <v>56.8</v>
      </c>
      <c r="J79" t="n">
        <v>67.3</v>
      </c>
      <c r="K79" t="n">
        <v>1.7</v>
      </c>
    </row>
    <row r="80">
      <c r="A80" t="inlineStr">
        <is>
          <t xml:space="preserve">      Paper manufacturing</t>
        </is>
      </c>
      <c r="B80" t="inlineStr">
        <is>
          <t>322000</t>
        </is>
      </c>
      <c r="C80" t="inlineStr">
        <is>
          <t>Summary</t>
        </is>
      </c>
      <c r="D80" t="n">
        <v>354.6</v>
      </c>
      <c r="E80" t="n">
        <v>328.9</v>
      </c>
      <c r="F80" t="n">
        <v>-25.7</v>
      </c>
      <c r="G80" t="n">
        <v>-7.3</v>
      </c>
      <c r="H80" t="n">
        <v>-0.7</v>
      </c>
      <c r="I80" t="n">
        <v>163</v>
      </c>
      <c r="J80" t="n">
        <v>180.2</v>
      </c>
      <c r="K80" t="n">
        <v>1</v>
      </c>
      <c r="L80" t="inlineStr">
        <is>
          <t>ISIC 17T18</t>
        </is>
      </c>
    </row>
    <row r="81">
      <c r="A81" t="inlineStr">
        <is>
          <t xml:space="preserve">        Pulp, paper, and paperboard mills</t>
        </is>
      </c>
      <c r="B81" t="inlineStr">
        <is>
          <t>322100</t>
        </is>
      </c>
      <c r="C81" t="inlineStr">
        <is>
          <t>Line item</t>
        </is>
      </c>
      <c r="D81" t="n">
        <v>84.7</v>
      </c>
      <c r="E81" t="n">
        <v>73.59999999999999</v>
      </c>
      <c r="F81" t="n">
        <v>-11.1</v>
      </c>
      <c r="G81" t="n">
        <v>-13.1</v>
      </c>
      <c r="H81" t="n">
        <v>-1.4</v>
      </c>
      <c r="I81" t="n">
        <v>63.9</v>
      </c>
      <c r="J81" t="n">
        <v>63.1</v>
      </c>
      <c r="K81" t="n">
        <v>-0.1</v>
      </c>
    </row>
    <row r="82">
      <c r="A82" t="inlineStr">
        <is>
          <t xml:space="preserve">        Converted paper product manufacturing</t>
        </is>
      </c>
      <c r="B82" t="inlineStr">
        <is>
          <t>322200</t>
        </is>
      </c>
      <c r="C82" t="inlineStr">
        <is>
          <t>Line item</t>
        </is>
      </c>
      <c r="D82" t="n">
        <v>269.9</v>
      </c>
      <c r="E82" t="n">
        <v>255.3</v>
      </c>
      <c r="F82" t="n">
        <v>-14.6</v>
      </c>
      <c r="G82" t="n">
        <v>-5.4</v>
      </c>
      <c r="H82" t="n">
        <v>-0.6</v>
      </c>
      <c r="I82" t="n">
        <v>99</v>
      </c>
      <c r="J82" t="n">
        <v>116.9</v>
      </c>
      <c r="K82" t="n">
        <v>1.7</v>
      </c>
    </row>
    <row r="83">
      <c r="A83" t="inlineStr">
        <is>
          <t xml:space="preserve">      Printing and related support activities</t>
        </is>
      </c>
      <c r="B83" t="inlineStr">
        <is>
          <t>323000</t>
        </is>
      </c>
      <c r="C83" t="inlineStr">
        <is>
          <t>Line item</t>
        </is>
      </c>
      <c r="D83" t="n">
        <v>357.2</v>
      </c>
      <c r="E83" t="n">
        <v>301.9</v>
      </c>
      <c r="F83" t="n">
        <v>-55.3</v>
      </c>
      <c r="G83" t="n">
        <v>-15.5</v>
      </c>
      <c r="H83" t="n">
        <v>-1.7</v>
      </c>
      <c r="I83" t="n">
        <v>67</v>
      </c>
      <c r="J83" t="n">
        <v>71.09999999999999</v>
      </c>
      <c r="K83" t="n">
        <v>0.6</v>
      </c>
      <c r="L83" t="inlineStr">
        <is>
          <t>ISIC 17T18</t>
        </is>
      </c>
    </row>
    <row r="84">
      <c r="A84" t="inlineStr">
        <is>
          <t xml:space="preserve">      Petroleum and coal products manufacturing</t>
        </is>
      </c>
      <c r="B84" t="inlineStr">
        <is>
          <t>324000</t>
        </is>
      </c>
      <c r="C84" t="inlineStr">
        <is>
          <t>Line item</t>
        </is>
      </c>
      <c r="D84" t="n">
        <v>109.4</v>
      </c>
      <c r="E84" t="n">
        <v>106.2</v>
      </c>
      <c r="F84" t="n">
        <v>-3.2</v>
      </c>
      <c r="G84" t="n">
        <v>-3</v>
      </c>
      <c r="H84" t="n">
        <v>-0.3</v>
      </c>
      <c r="I84" t="n">
        <v>483.5</v>
      </c>
      <c r="J84" t="n">
        <v>535</v>
      </c>
      <c r="K84" t="n">
        <v>1</v>
      </c>
      <c r="L84" t="inlineStr">
        <is>
          <t>ISIC 19</t>
        </is>
      </c>
    </row>
    <row r="85">
      <c r="A85" t="inlineStr">
        <is>
          <t xml:space="preserve">      Chemical manufacturing</t>
        </is>
      </c>
      <c r="B85" t="inlineStr">
        <is>
          <t>325000</t>
        </is>
      </c>
      <c r="C85" t="inlineStr">
        <is>
          <t>Summary</t>
        </is>
      </c>
      <c r="D85" t="n">
        <v>897.9</v>
      </c>
      <c r="E85" t="n">
        <v>928.9</v>
      </c>
      <c r="F85" t="n">
        <v>31</v>
      </c>
      <c r="G85" t="n">
        <v>3.5</v>
      </c>
      <c r="H85" t="n">
        <v>0.3</v>
      </c>
      <c r="I85" t="n">
        <v>849.6</v>
      </c>
      <c r="J85" t="n">
        <v>1004</v>
      </c>
      <c r="K85" t="n">
        <v>1.7</v>
      </c>
    </row>
    <row r="86">
      <c r="A86" t="inlineStr">
        <is>
          <t xml:space="preserve">        Chemical manufacturing (3251,2,3,9)</t>
        </is>
      </c>
      <c r="B86" t="inlineStr">
        <is>
          <t>3250A1</t>
        </is>
      </c>
      <c r="C86" t="inlineStr">
        <is>
          <t>Line item</t>
        </is>
      </c>
      <c r="D86" t="n">
        <v>368.7</v>
      </c>
      <c r="E86" t="n">
        <v>376.7</v>
      </c>
      <c r="F86" t="n">
        <v>8</v>
      </c>
      <c r="G86" t="n">
        <v>2.2</v>
      </c>
      <c r="H86" t="n">
        <v>0.2</v>
      </c>
      <c r="I86" t="n">
        <v>390.8</v>
      </c>
      <c r="J86" t="n">
        <v>431.5</v>
      </c>
      <c r="K86" t="n">
        <v>1</v>
      </c>
      <c r="L86" t="inlineStr">
        <is>
          <t>ISIC 20</t>
        </is>
      </c>
    </row>
    <row r="87">
      <c r="A87" t="inlineStr">
        <is>
          <t xml:space="preserve">        Chemical manufacturing (3255,6)</t>
        </is>
      </c>
      <c r="B87" t="inlineStr">
        <is>
          <t>3250A2</t>
        </is>
      </c>
      <c r="C87" t="inlineStr">
        <is>
          <t>Line item</t>
        </is>
      </c>
      <c r="D87" t="n">
        <v>178.7</v>
      </c>
      <c r="E87" t="n">
        <v>182.7</v>
      </c>
      <c r="F87" t="n">
        <v>4</v>
      </c>
      <c r="G87" t="n">
        <v>2.3</v>
      </c>
      <c r="H87" t="n">
        <v>0.2</v>
      </c>
      <c r="I87" t="n">
        <v>114.5</v>
      </c>
      <c r="J87" t="n">
        <v>139.5</v>
      </c>
      <c r="K87" t="n">
        <v>2</v>
      </c>
      <c r="L87" t="inlineStr">
        <is>
          <t>ISIC 20</t>
        </is>
      </c>
    </row>
    <row r="88">
      <c r="A88" t="inlineStr">
        <is>
          <t xml:space="preserve">        Pharmaceutical and medicine manufacturing</t>
        </is>
      </c>
      <c r="B88" t="inlineStr">
        <is>
          <t>325400</t>
        </is>
      </c>
      <c r="C88" t="inlineStr">
        <is>
          <t>Line item</t>
        </is>
      </c>
      <c r="D88" t="n">
        <v>350.5</v>
      </c>
      <c r="E88" t="n">
        <v>369.5</v>
      </c>
      <c r="F88" t="n">
        <v>19</v>
      </c>
      <c r="G88" t="n">
        <v>5.4</v>
      </c>
      <c r="H88" t="n">
        <v>0.5</v>
      </c>
      <c r="I88" t="n">
        <v>346.7</v>
      </c>
      <c r="J88" t="n">
        <v>438.5</v>
      </c>
      <c r="K88" t="n">
        <v>2.4</v>
      </c>
      <c r="L88" t="inlineStr">
        <is>
          <t>ISIC 21</t>
        </is>
      </c>
    </row>
    <row r="89">
      <c r="A89" t="inlineStr">
        <is>
          <t xml:space="preserve">      Plastics and rubber products manufacturing</t>
        </is>
      </c>
      <c r="B89" t="inlineStr">
        <is>
          <t>326000</t>
        </is>
      </c>
      <c r="C89" t="inlineStr">
        <is>
          <t>Summary</t>
        </is>
      </c>
      <c r="D89" t="n">
        <v>725.1</v>
      </c>
      <c r="E89" t="n">
        <v>753.4</v>
      </c>
      <c r="F89" t="n">
        <v>28.3</v>
      </c>
      <c r="G89" t="n">
        <v>3.9</v>
      </c>
      <c r="H89" t="n">
        <v>0.4</v>
      </c>
      <c r="I89" t="n">
        <v>229.7</v>
      </c>
      <c r="J89" t="n">
        <v>252.1</v>
      </c>
      <c r="K89" t="n">
        <v>0.9</v>
      </c>
      <c r="L89" t="inlineStr">
        <is>
          <t>ISIC 22</t>
        </is>
      </c>
    </row>
    <row r="90">
      <c r="A90" t="inlineStr">
        <is>
          <t xml:space="preserve">        Plastics product manufacturing</t>
        </is>
      </c>
      <c r="B90" t="inlineStr">
        <is>
          <t>326100</t>
        </is>
      </c>
      <c r="C90" t="inlineStr">
        <is>
          <t>Line item</t>
        </is>
      </c>
      <c r="D90" t="n">
        <v>592.5</v>
      </c>
      <c r="E90" t="n">
        <v>618.8</v>
      </c>
      <c r="F90" t="n">
        <v>26.3</v>
      </c>
      <c r="G90" t="n">
        <v>4.4</v>
      </c>
      <c r="H90" t="n">
        <v>0.4</v>
      </c>
      <c r="I90" t="n">
        <v>190.7</v>
      </c>
      <c r="J90" t="n">
        <v>212.4</v>
      </c>
      <c r="K90" t="n">
        <v>1.1</v>
      </c>
    </row>
    <row r="91">
      <c r="A91" t="inlineStr">
        <is>
          <t xml:space="preserve">        Rubber product manufacturing</t>
        </is>
      </c>
      <c r="B91" t="inlineStr">
        <is>
          <t>326200</t>
        </is>
      </c>
      <c r="C91" t="inlineStr">
        <is>
          <t>Line item</t>
        </is>
      </c>
      <c r="D91" t="n">
        <v>132.6</v>
      </c>
      <c r="E91" t="n">
        <v>134.6</v>
      </c>
      <c r="F91" t="n">
        <v>2</v>
      </c>
      <c r="G91" t="n">
        <v>1.5</v>
      </c>
      <c r="H91" t="n">
        <v>0.1</v>
      </c>
      <c r="I91" t="n">
        <v>39.1</v>
      </c>
      <c r="J91" t="n">
        <v>39.7</v>
      </c>
      <c r="K91" t="n">
        <v>0.2</v>
      </c>
    </row>
    <row r="92">
      <c r="A92" t="inlineStr">
        <is>
          <t xml:space="preserve">      Nonmetallic mineral product manufacturing</t>
        </is>
      </c>
      <c r="B92" t="inlineStr">
        <is>
          <t>327000</t>
        </is>
      </c>
      <c r="C92" t="inlineStr">
        <is>
          <t>Line item</t>
        </is>
      </c>
      <c r="D92" t="n">
        <v>422.3</v>
      </c>
      <c r="E92" t="n">
        <v>429</v>
      </c>
      <c r="F92" t="n">
        <v>6.7</v>
      </c>
      <c r="G92" t="n">
        <v>1.6</v>
      </c>
      <c r="H92" t="n">
        <v>0.2</v>
      </c>
      <c r="I92" t="n">
        <v>113.5</v>
      </c>
      <c r="J92" t="n">
        <v>132.3</v>
      </c>
      <c r="K92" t="n">
        <v>1.5</v>
      </c>
      <c r="L92" t="inlineStr">
        <is>
          <t>ISIC 239</t>
        </is>
      </c>
    </row>
    <row r="93">
      <c r="A93" t="inlineStr">
        <is>
          <t xml:space="preserve">      Primary metal manufacturing</t>
        </is>
      </c>
      <c r="B93" t="inlineStr">
        <is>
          <t>331000</t>
        </is>
      </c>
      <c r="C93" t="inlineStr">
        <is>
          <t>Summary</t>
        </is>
      </c>
      <c r="D93" t="n">
        <v>373.2</v>
      </c>
      <c r="E93" t="n">
        <v>360.2</v>
      </c>
      <c r="F93" t="n">
        <v>-13</v>
      </c>
      <c r="G93" t="n">
        <v>-3.5</v>
      </c>
      <c r="H93" t="n">
        <v>-0.4</v>
      </c>
      <c r="I93" t="n">
        <v>246.6</v>
      </c>
      <c r="J93" t="n">
        <v>287.3</v>
      </c>
      <c r="K93" t="n">
        <v>1.5</v>
      </c>
    </row>
    <row r="94">
      <c r="A94" t="inlineStr">
        <is>
          <t xml:space="preserve">        Iron and steel mills and ferroalloy manufacturing</t>
        </is>
      </c>
      <c r="B94" t="inlineStr">
        <is>
          <t>331100</t>
        </is>
      </c>
      <c r="C94" t="inlineStr">
        <is>
          <t>Line item</t>
        </is>
      </c>
      <c r="D94" t="n">
        <v>85.59999999999999</v>
      </c>
      <c r="E94" t="n">
        <v>86.90000000000001</v>
      </c>
      <c r="F94" t="n">
        <v>1.3</v>
      </c>
      <c r="G94" t="n">
        <v>1.5</v>
      </c>
      <c r="H94" t="n">
        <v>0.2</v>
      </c>
      <c r="I94" t="n">
        <v>103.9</v>
      </c>
      <c r="J94" t="n">
        <v>124.3</v>
      </c>
      <c r="K94" t="n">
        <v>1.8</v>
      </c>
      <c r="L94" t="inlineStr">
        <is>
          <t>ISIC 241</t>
        </is>
      </c>
    </row>
    <row r="95">
      <c r="A95" t="inlineStr">
        <is>
          <t xml:space="preserve">        Steel product manufacturing from purchased steel</t>
        </is>
      </c>
      <c r="B95" t="inlineStr">
        <is>
          <t>331200</t>
        </is>
      </c>
      <c r="C95" t="inlineStr">
        <is>
          <t>Line item</t>
        </is>
      </c>
      <c r="D95" t="n">
        <v>59.8</v>
      </c>
      <c r="E95" t="n">
        <v>60.9</v>
      </c>
      <c r="F95" t="n">
        <v>1.1</v>
      </c>
      <c r="G95" t="n">
        <v>1.9</v>
      </c>
      <c r="H95" t="n">
        <v>0.2</v>
      </c>
      <c r="I95" t="n">
        <v>25.6</v>
      </c>
      <c r="J95" t="n">
        <v>30.9</v>
      </c>
      <c r="K95" t="n">
        <v>1.9</v>
      </c>
      <c r="L95" t="inlineStr">
        <is>
          <t>ISIC 241</t>
        </is>
      </c>
    </row>
    <row r="96">
      <c r="A96" t="inlineStr">
        <is>
          <t xml:space="preserve">        Alumina and aluminum production and processing</t>
        </is>
      </c>
      <c r="B96" t="inlineStr">
        <is>
          <t>331300</t>
        </is>
      </c>
      <c r="C96" t="inlineStr">
        <is>
          <t>Line item</t>
        </is>
      </c>
      <c r="D96" t="n">
        <v>59.3</v>
      </c>
      <c r="E96" t="n">
        <v>58.4</v>
      </c>
      <c r="F96" t="n">
        <v>-0.9</v>
      </c>
      <c r="G96" t="n">
        <v>-1.5</v>
      </c>
      <c r="H96" t="n">
        <v>-0.2</v>
      </c>
      <c r="I96" t="n">
        <v>38.1</v>
      </c>
      <c r="J96" t="n">
        <v>39.9</v>
      </c>
      <c r="K96" t="n">
        <v>0.5</v>
      </c>
      <c r="L96" t="inlineStr">
        <is>
          <t>ISIC 242</t>
        </is>
      </c>
    </row>
    <row r="97">
      <c r="A97" t="inlineStr">
        <is>
          <t xml:space="preserve">        Nonferrous metal (except aluminum) production and processing</t>
        </is>
      </c>
      <c r="B97" t="inlineStr">
        <is>
          <t>331400</t>
        </is>
      </c>
      <c r="C97" t="inlineStr">
        <is>
          <t>Line item</t>
        </is>
      </c>
      <c r="D97" t="n">
        <v>62.5</v>
      </c>
      <c r="E97" t="n">
        <v>63.6</v>
      </c>
      <c r="F97" t="n">
        <v>1.1</v>
      </c>
      <c r="G97" t="n">
        <v>1.8</v>
      </c>
      <c r="H97" t="n">
        <v>0.2</v>
      </c>
      <c r="I97" t="n">
        <v>50.3</v>
      </c>
      <c r="J97" t="n">
        <v>64.09999999999999</v>
      </c>
      <c r="K97" t="n">
        <v>2.4</v>
      </c>
      <c r="L97" t="inlineStr">
        <is>
          <t>ISIC 242</t>
        </is>
      </c>
    </row>
    <row r="98">
      <c r="A98" t="inlineStr">
        <is>
          <t xml:space="preserve">        Foundries</t>
        </is>
      </c>
      <c r="B98" t="inlineStr">
        <is>
          <t>331500</t>
        </is>
      </c>
      <c r="C98" t="inlineStr">
        <is>
          <t>Line item</t>
        </is>
      </c>
      <c r="D98" t="n">
        <v>106</v>
      </c>
      <c r="E98" t="n">
        <v>90.40000000000001</v>
      </c>
      <c r="F98" t="n">
        <v>-15.6</v>
      </c>
      <c r="G98" t="n">
        <v>-14.7</v>
      </c>
      <c r="H98" t="n">
        <v>-1.6</v>
      </c>
      <c r="I98" t="n">
        <v>26.9</v>
      </c>
      <c r="J98" t="n">
        <v>24.8</v>
      </c>
      <c r="K98" t="n">
        <v>-0.8</v>
      </c>
    </row>
    <row r="99">
      <c r="A99" t="inlineStr">
        <is>
          <t xml:space="preserve">      Fabricated metal product manufacturing</t>
        </is>
      </c>
      <c r="B99" t="inlineStr">
        <is>
          <t>332000</t>
        </is>
      </c>
      <c r="C99" t="inlineStr">
        <is>
          <t>Summary</t>
        </is>
      </c>
      <c r="D99" t="n">
        <v>1442.1</v>
      </c>
      <c r="E99" t="n">
        <v>1385.3</v>
      </c>
      <c r="F99" t="n">
        <v>-56.8</v>
      </c>
      <c r="G99" t="n">
        <v>-3.9</v>
      </c>
      <c r="H99" t="n">
        <v>-0.4</v>
      </c>
      <c r="I99" t="n">
        <v>303.5</v>
      </c>
      <c r="J99" t="n">
        <v>329.5</v>
      </c>
      <c r="K99" t="n">
        <v>0.8</v>
      </c>
      <c r="L99" t="inlineStr">
        <is>
          <t>ISIC 25</t>
        </is>
      </c>
    </row>
    <row r="100">
      <c r="A100" t="inlineStr">
        <is>
          <t xml:space="preserve">        Fabricated metal product manufacturing (3321,2,5,6,9)</t>
        </is>
      </c>
      <c r="B100" t="inlineStr">
        <is>
          <t>3320A1</t>
        </is>
      </c>
      <c r="C100" t="inlineStr">
        <is>
          <t>Line item</t>
        </is>
      </c>
      <c r="D100" t="n">
        <v>467.8</v>
      </c>
      <c r="E100" t="n">
        <v>423.2</v>
      </c>
      <c r="F100" t="n">
        <v>-44.6</v>
      </c>
      <c r="G100" t="n">
        <v>-9.5</v>
      </c>
      <c r="H100" t="n">
        <v>-1</v>
      </c>
      <c r="I100" t="n">
        <v>123.8</v>
      </c>
      <c r="J100" t="n">
        <v>129.6</v>
      </c>
      <c r="K100" t="n">
        <v>0.5</v>
      </c>
    </row>
    <row r="101">
      <c r="A101" t="inlineStr">
        <is>
          <t xml:space="preserve">        Fabricated metal product manufacturing (3323,4)</t>
        </is>
      </c>
      <c r="B101" t="inlineStr">
        <is>
          <t>3320A2</t>
        </is>
      </c>
      <c r="C101" t="inlineStr">
        <is>
          <t>Line item</t>
        </is>
      </c>
      <c r="D101" t="n">
        <v>511.5</v>
      </c>
      <c r="E101" t="n">
        <v>526.3</v>
      </c>
      <c r="F101" t="n">
        <v>14.8</v>
      </c>
      <c r="G101" t="n">
        <v>2.9</v>
      </c>
      <c r="H101" t="n">
        <v>0.3</v>
      </c>
      <c r="I101" t="n">
        <v>97.40000000000001</v>
      </c>
      <c r="J101" t="n">
        <v>109.1</v>
      </c>
      <c r="K101" t="n">
        <v>1.1</v>
      </c>
    </row>
    <row r="102">
      <c r="A102" t="inlineStr">
        <is>
          <t xml:space="preserve">        Machine shops; turned product; and screw, nut, and bolt manufacturing</t>
        </is>
      </c>
      <c r="B102" t="inlineStr">
        <is>
          <t>332700</t>
        </is>
      </c>
      <c r="C102" t="inlineStr">
        <is>
          <t>Summary</t>
        </is>
      </c>
      <c r="D102" t="n">
        <v>333.2</v>
      </c>
      <c r="E102" t="n">
        <v>319.8</v>
      </c>
      <c r="F102" t="n">
        <v>-13.4</v>
      </c>
      <c r="G102" t="n">
        <v>-4</v>
      </c>
      <c r="H102" t="n">
        <v>-0.4</v>
      </c>
      <c r="I102" t="n">
        <v>59.1</v>
      </c>
      <c r="J102" t="n">
        <v>65.90000000000001</v>
      </c>
      <c r="K102" t="n">
        <v>1.1</v>
      </c>
    </row>
    <row r="103">
      <c r="A103" t="inlineStr">
        <is>
          <t xml:space="preserve">          Machine shops</t>
        </is>
      </c>
      <c r="B103" t="inlineStr">
        <is>
          <t>332710</t>
        </is>
      </c>
      <c r="C103" t="inlineStr">
        <is>
          <t>Line item</t>
        </is>
      </c>
      <c r="D103" t="n">
        <v>259</v>
      </c>
      <c r="E103" t="n">
        <v>260.1</v>
      </c>
      <c r="F103" t="n">
        <v>1.1</v>
      </c>
      <c r="G103" t="n">
        <v>0.4</v>
      </c>
      <c r="H103" t="n">
        <v>0</v>
      </c>
      <c r="I103" t="n">
        <v>37.1</v>
      </c>
      <c r="J103" t="n">
        <v>41.3</v>
      </c>
      <c r="K103" t="n">
        <v>1.1</v>
      </c>
    </row>
    <row r="104">
      <c r="A104" t="inlineStr">
        <is>
          <t xml:space="preserve">          Turned product and screw, nut, and bolt manufacturing</t>
        </is>
      </c>
      <c r="B104" t="inlineStr">
        <is>
          <t>332720</t>
        </is>
      </c>
      <c r="C104" t="inlineStr">
        <is>
          <t>Line item</t>
        </is>
      </c>
      <c r="D104" t="n">
        <v>74.2</v>
      </c>
      <c r="E104" t="n">
        <v>59.8</v>
      </c>
      <c r="F104" t="n">
        <v>-14.4</v>
      </c>
      <c r="G104" t="n">
        <v>-19.5</v>
      </c>
      <c r="H104" t="n">
        <v>-2.1</v>
      </c>
      <c r="I104" t="n">
        <v>22.2</v>
      </c>
      <c r="J104" t="n">
        <v>24.7</v>
      </c>
      <c r="K104" t="n">
        <v>1.1</v>
      </c>
    </row>
    <row r="105">
      <c r="A105" t="inlineStr">
        <is>
          <t xml:space="preserve">        Coating, engraving, heat treating, and allied activities</t>
        </is>
      </c>
      <c r="B105" t="inlineStr">
        <is>
          <t>332800</t>
        </is>
      </c>
      <c r="C105" t="inlineStr">
        <is>
          <t>Line item</t>
        </is>
      </c>
      <c r="D105" t="n">
        <v>129.6</v>
      </c>
      <c r="E105" t="n">
        <v>115.9</v>
      </c>
      <c r="F105" t="n">
        <v>-13.7</v>
      </c>
      <c r="G105" t="n">
        <v>-10.6</v>
      </c>
      <c r="H105" t="n">
        <v>-1.1</v>
      </c>
      <c r="I105" t="n">
        <v>25.1</v>
      </c>
      <c r="J105" t="n">
        <v>26.1</v>
      </c>
      <c r="K105" t="n">
        <v>0.4</v>
      </c>
    </row>
    <row r="106">
      <c r="A106" t="inlineStr">
        <is>
          <t xml:space="preserve">      Machinery manufacturing</t>
        </is>
      </c>
      <c r="B106" t="inlineStr">
        <is>
          <t>333000</t>
        </is>
      </c>
      <c r="C106" t="inlineStr">
        <is>
          <t>Summary</t>
        </is>
      </c>
      <c r="D106" t="n">
        <v>1118.8</v>
      </c>
      <c r="E106" t="n">
        <v>1108.2</v>
      </c>
      <c r="F106" t="n">
        <v>-10.6</v>
      </c>
      <c r="G106" t="n">
        <v>-0.9</v>
      </c>
      <c r="H106" t="n">
        <v>-0.1</v>
      </c>
      <c r="I106" t="n">
        <v>330.1</v>
      </c>
      <c r="J106" t="n">
        <v>366.9</v>
      </c>
      <c r="K106" t="n">
        <v>1.1</v>
      </c>
      <c r="L106" t="inlineStr">
        <is>
          <t>ISIC 28</t>
        </is>
      </c>
    </row>
    <row r="107">
      <c r="A107" t="inlineStr">
        <is>
          <t xml:space="preserve">        Machinery manufacturing (3331,2,4,9)</t>
        </is>
      </c>
      <c r="B107" t="inlineStr">
        <is>
          <t>3330A1</t>
        </is>
      </c>
      <c r="C107" t="inlineStr">
        <is>
          <t>Line item</t>
        </is>
      </c>
      <c r="D107" t="n">
        <v>780.2</v>
      </c>
      <c r="E107" t="n">
        <v>782.8</v>
      </c>
      <c r="F107" t="n">
        <v>2.6</v>
      </c>
      <c r="G107" t="n">
        <v>0.3</v>
      </c>
      <c r="H107" t="n">
        <v>0</v>
      </c>
      <c r="I107" t="n">
        <v>241.2</v>
      </c>
      <c r="J107" t="n">
        <v>266.8</v>
      </c>
      <c r="K107" t="n">
        <v>1</v>
      </c>
    </row>
    <row r="108">
      <c r="A108" t="inlineStr">
        <is>
          <t xml:space="preserve">        Commercial and service industry machinery manufacturing</t>
        </is>
      </c>
      <c r="B108" t="inlineStr">
        <is>
          <t>333300</t>
        </is>
      </c>
      <c r="C108" t="inlineStr">
        <is>
          <t>Line item</t>
        </is>
      </c>
      <c r="D108" t="n">
        <v>88.7</v>
      </c>
      <c r="E108" t="n">
        <v>89.59999999999999</v>
      </c>
      <c r="F108" t="n">
        <v>0.9</v>
      </c>
      <c r="G108" t="n">
        <v>1</v>
      </c>
      <c r="H108" t="n">
        <v>0.1</v>
      </c>
      <c r="I108" t="n">
        <v>23.5</v>
      </c>
      <c r="J108" t="n">
        <v>26.4</v>
      </c>
      <c r="K108" t="n">
        <v>1.2</v>
      </c>
    </row>
    <row r="109">
      <c r="A109" t="inlineStr">
        <is>
          <t xml:space="preserve">        Metalworking machinery manufacturing</t>
        </is>
      </c>
      <c r="B109" t="inlineStr">
        <is>
          <t>333500</t>
        </is>
      </c>
      <c r="C109" t="inlineStr">
        <is>
          <t>Line item</t>
        </is>
      </c>
      <c r="D109" t="n">
        <v>157.1</v>
      </c>
      <c r="E109" t="n">
        <v>147.4</v>
      </c>
      <c r="F109" t="n">
        <v>-9.699999999999999</v>
      </c>
      <c r="G109" t="n">
        <v>-6.2</v>
      </c>
      <c r="H109" t="n">
        <v>-0.6</v>
      </c>
      <c r="I109" t="n">
        <v>27.3</v>
      </c>
      <c r="J109" t="n">
        <v>30.6</v>
      </c>
      <c r="K109" t="n">
        <v>1.1</v>
      </c>
    </row>
    <row r="110">
      <c r="A110" t="inlineStr">
        <is>
          <t xml:space="preserve">        Engine, turbine, and power transmission equipment manufacturing</t>
        </is>
      </c>
      <c r="B110" t="inlineStr">
        <is>
          <t>333600</t>
        </is>
      </c>
      <c r="C110" t="inlineStr">
        <is>
          <t>Line item</t>
        </is>
      </c>
      <c r="D110" t="n">
        <v>92.8</v>
      </c>
      <c r="E110" t="n">
        <v>88.40000000000001</v>
      </c>
      <c r="F110" t="n">
        <v>-4.4</v>
      </c>
      <c r="G110" t="n">
        <v>-4.8</v>
      </c>
      <c r="H110" t="n">
        <v>-0.5</v>
      </c>
      <c r="I110" t="n">
        <v>38</v>
      </c>
      <c r="J110" t="n">
        <v>43.1</v>
      </c>
      <c r="K110" t="n">
        <v>1.3</v>
      </c>
    </row>
    <row r="111">
      <c r="A111" t="inlineStr">
        <is>
          <t xml:space="preserve">      Computer and electronic product manufacturing</t>
        </is>
      </c>
      <c r="B111" t="inlineStr">
        <is>
          <t>334000</t>
        </is>
      </c>
      <c r="C111" t="inlineStr">
        <is>
          <t>Summary</t>
        </is>
      </c>
      <c r="D111" t="n">
        <v>1027.7</v>
      </c>
      <c r="E111" t="n">
        <v>1077.3</v>
      </c>
      <c r="F111" t="n">
        <v>49.6</v>
      </c>
      <c r="G111" t="n">
        <v>4.8</v>
      </c>
      <c r="H111" t="n">
        <v>0.5</v>
      </c>
      <c r="I111" t="n">
        <v>391.5</v>
      </c>
      <c r="J111" t="n">
        <v>488.4</v>
      </c>
      <c r="K111" t="n">
        <v>2.2</v>
      </c>
      <c r="L111" t="inlineStr">
        <is>
          <t>ISIC 26</t>
        </is>
      </c>
    </row>
    <row r="112">
      <c r="A112" t="inlineStr">
        <is>
          <t xml:space="preserve">        Computer and peripheral equipment manufacturing</t>
        </is>
      </c>
      <c r="B112" t="inlineStr">
        <is>
          <t>334100</t>
        </is>
      </c>
      <c r="C112" t="inlineStr">
        <is>
          <t>Line item</t>
        </is>
      </c>
      <c r="D112" t="n">
        <v>110.3</v>
      </c>
      <c r="E112" t="n">
        <v>111.8</v>
      </c>
      <c r="F112" t="n">
        <v>1.5</v>
      </c>
      <c r="G112" t="n">
        <v>1.4</v>
      </c>
      <c r="H112" t="n">
        <v>0.1</v>
      </c>
      <c r="I112" t="n">
        <v>43.5</v>
      </c>
      <c r="J112" t="n">
        <v>51</v>
      </c>
      <c r="K112" t="n">
        <v>1.6</v>
      </c>
    </row>
    <row r="113">
      <c r="A113" t="inlineStr">
        <is>
          <t xml:space="preserve">        Communications equipment manufacturing</t>
        </is>
      </c>
      <c r="B113" t="inlineStr">
        <is>
          <t>334200</t>
        </is>
      </c>
      <c r="C113" t="inlineStr">
        <is>
          <t>Line item</t>
        </is>
      </c>
      <c r="D113" t="n">
        <v>83</v>
      </c>
      <c r="E113" t="n">
        <v>77.5</v>
      </c>
      <c r="F113" t="n">
        <v>-5.5</v>
      </c>
      <c r="G113" t="n">
        <v>-6.6</v>
      </c>
      <c r="H113" t="n">
        <v>-0.7</v>
      </c>
      <c r="I113" t="n">
        <v>54.5</v>
      </c>
      <c r="J113" t="n">
        <v>66.5</v>
      </c>
      <c r="K113" t="n">
        <v>2</v>
      </c>
    </row>
    <row r="114">
      <c r="A114" t="inlineStr">
        <is>
          <t xml:space="preserve">        Audio and video equipment manufacturing</t>
        </is>
      </c>
      <c r="B114" t="inlineStr">
        <is>
          <t>334300</t>
        </is>
      </c>
      <c r="C114" t="inlineStr">
        <is>
          <t>Line item</t>
        </is>
      </c>
      <c r="D114" t="n">
        <v>19.1</v>
      </c>
      <c r="E114" t="n">
        <v>18.4</v>
      </c>
      <c r="F114" t="n">
        <v>-0.7</v>
      </c>
      <c r="G114" t="n">
        <v>-3.6</v>
      </c>
      <c r="H114" t="n">
        <v>-0.4</v>
      </c>
      <c r="I114" t="n">
        <v>4.2</v>
      </c>
      <c r="J114" t="n">
        <v>5.1</v>
      </c>
      <c r="K114" t="n">
        <v>2</v>
      </c>
    </row>
    <row r="115">
      <c r="A115" t="inlineStr">
        <is>
          <t xml:space="preserve">        Semiconductor and other electronic component manufacturing</t>
        </is>
      </c>
      <c r="B115" t="inlineStr">
        <is>
          <t>334400</t>
        </is>
      </c>
      <c r="C115" t="inlineStr">
        <is>
          <t>Line item</t>
        </is>
      </c>
      <c r="D115" t="n">
        <v>392.3</v>
      </c>
      <c r="E115" t="n">
        <v>436.8</v>
      </c>
      <c r="F115" t="n">
        <v>44.5</v>
      </c>
      <c r="G115" t="n">
        <v>11.4</v>
      </c>
      <c r="H115" t="n">
        <v>1.1</v>
      </c>
      <c r="I115" t="n">
        <v>140.2</v>
      </c>
      <c r="J115" t="n">
        <v>183</v>
      </c>
      <c r="K115" t="n">
        <v>2.7</v>
      </c>
    </row>
    <row r="116">
      <c r="A116" t="inlineStr">
        <is>
          <t xml:space="preserve">        Navigational, measuring, electromedical, and control instruments manufacturing</t>
        </is>
      </c>
      <c r="B116" t="inlineStr">
        <is>
          <t>334500</t>
        </is>
      </c>
      <c r="C116" t="inlineStr">
        <is>
          <t>Line item</t>
        </is>
      </c>
      <c r="D116" t="n">
        <v>412.5</v>
      </c>
      <c r="E116" t="n">
        <v>426.5</v>
      </c>
      <c r="F116" t="n">
        <v>14</v>
      </c>
      <c r="G116" t="n">
        <v>3.4</v>
      </c>
      <c r="H116" t="n">
        <v>0.3</v>
      </c>
      <c r="I116" t="n">
        <v>149.7</v>
      </c>
      <c r="J116" t="n">
        <v>184.7</v>
      </c>
      <c r="K116" t="n">
        <v>2.1</v>
      </c>
    </row>
    <row r="117">
      <c r="A117" t="inlineStr">
        <is>
          <t xml:space="preserve">        Manufacturing and reproducing magnetic and optical media</t>
        </is>
      </c>
      <c r="B117" t="inlineStr">
        <is>
          <t>334600</t>
        </is>
      </c>
      <c r="C117" t="inlineStr">
        <is>
          <t>Line item</t>
        </is>
      </c>
      <c r="D117" t="n">
        <v>10.5</v>
      </c>
      <c r="E117" t="n">
        <v>6.2</v>
      </c>
      <c r="F117" t="n">
        <v>-4.3</v>
      </c>
      <c r="G117" t="n">
        <v>-41.3</v>
      </c>
      <c r="H117" t="n">
        <v>-5.1</v>
      </c>
      <c r="I117" t="n">
        <v>1.7</v>
      </c>
      <c r="J117" t="n">
        <v>1.4</v>
      </c>
      <c r="K117" t="n">
        <v>-1.9</v>
      </c>
    </row>
    <row r="118">
      <c r="A118" t="inlineStr">
        <is>
          <t xml:space="preserve">      Electrical equipment, appliance, and component manufacturing</t>
        </is>
      </c>
      <c r="B118" t="inlineStr">
        <is>
          <t>335000</t>
        </is>
      </c>
      <c r="C118" t="inlineStr">
        <is>
          <t>Summary</t>
        </is>
      </c>
      <c r="D118" t="n">
        <v>413.3</v>
      </c>
      <c r="E118" t="n">
        <v>459.7</v>
      </c>
      <c r="F118" t="n">
        <v>46.4</v>
      </c>
      <c r="G118" t="n">
        <v>11.2</v>
      </c>
      <c r="H118" t="n">
        <v>1.1</v>
      </c>
      <c r="I118" t="n">
        <v>121.1</v>
      </c>
      <c r="J118" t="n">
        <v>143.8</v>
      </c>
      <c r="K118" t="n">
        <v>1.7</v>
      </c>
      <c r="L118" t="inlineStr">
        <is>
          <t>ISIC 27</t>
        </is>
      </c>
    </row>
    <row r="119">
      <c r="A119" t="inlineStr">
        <is>
          <t xml:space="preserve">        Electric lighting equipment manufacturing</t>
        </is>
      </c>
      <c r="B119" t="inlineStr">
        <is>
          <t>335100</t>
        </is>
      </c>
      <c r="C119" t="inlineStr">
        <is>
          <t>Line item</t>
        </is>
      </c>
      <c r="D119" t="n">
        <v>34.5</v>
      </c>
      <c r="E119" t="n">
        <v>30.2</v>
      </c>
      <c r="F119" t="n">
        <v>-4.3</v>
      </c>
      <c r="G119" t="n">
        <v>-12.3</v>
      </c>
      <c r="H119" t="n">
        <v>-1.3</v>
      </c>
      <c r="I119" t="n">
        <v>12.1</v>
      </c>
      <c r="J119" t="n">
        <v>10.6</v>
      </c>
      <c r="K119" t="n">
        <v>-1.3</v>
      </c>
    </row>
    <row r="120">
      <c r="A120" t="inlineStr">
        <is>
          <t xml:space="preserve">        Household appliance manufacturing</t>
        </is>
      </c>
      <c r="B120" t="inlineStr">
        <is>
          <t>335200</t>
        </is>
      </c>
      <c r="C120" t="inlineStr">
        <is>
          <t>Line item</t>
        </is>
      </c>
      <c r="D120" t="n">
        <v>60.1</v>
      </c>
      <c r="E120" t="n">
        <v>55.6</v>
      </c>
      <c r="F120" t="n">
        <v>-4.5</v>
      </c>
      <c r="G120" t="n">
        <v>-7.5</v>
      </c>
      <c r="H120" t="n">
        <v>-0.8</v>
      </c>
      <c r="I120" t="n">
        <v>21.9</v>
      </c>
      <c r="J120" t="n">
        <v>24.1</v>
      </c>
      <c r="K120" t="n">
        <v>1</v>
      </c>
    </row>
    <row r="121">
      <c r="A121" t="inlineStr">
        <is>
          <t xml:space="preserve">        Electrical equipment manufacturing</t>
        </is>
      </c>
      <c r="B121" t="inlineStr">
        <is>
          <t>335300</t>
        </is>
      </c>
      <c r="C121" t="inlineStr">
        <is>
          <t>Line item</t>
        </is>
      </c>
      <c r="D121" t="n">
        <v>153</v>
      </c>
      <c r="E121" t="n">
        <v>159.8</v>
      </c>
      <c r="F121" t="n">
        <v>6.8</v>
      </c>
      <c r="G121" t="n">
        <v>4.4</v>
      </c>
      <c r="H121" t="n">
        <v>0.4</v>
      </c>
      <c r="I121" t="n">
        <v>38.5</v>
      </c>
      <c r="J121" t="n">
        <v>44.6</v>
      </c>
      <c r="K121" t="n">
        <v>1.5</v>
      </c>
    </row>
    <row r="122">
      <c r="A122" t="inlineStr">
        <is>
          <t xml:space="preserve">        Other electrical equipment and component manufacturing</t>
        </is>
      </c>
      <c r="B122" t="inlineStr">
        <is>
          <t>335900</t>
        </is>
      </c>
      <c r="C122" t="inlineStr">
        <is>
          <t>Line item</t>
        </is>
      </c>
      <c r="D122" t="n">
        <v>165.7</v>
      </c>
      <c r="E122" t="n">
        <v>214.1</v>
      </c>
      <c r="F122" t="n">
        <v>48.4</v>
      </c>
      <c r="G122" t="n">
        <v>29.2</v>
      </c>
      <c r="H122" t="n">
        <v>2.6</v>
      </c>
      <c r="I122" t="n">
        <v>48.5</v>
      </c>
      <c r="J122" t="n">
        <v>64</v>
      </c>
      <c r="K122" t="n">
        <v>2.8</v>
      </c>
    </row>
    <row r="123">
      <c r="A123" t="inlineStr">
        <is>
          <t xml:space="preserve">      Transportation equipment manufacturing</t>
        </is>
      </c>
      <c r="B123" t="inlineStr">
        <is>
          <t>336000</t>
        </is>
      </c>
      <c r="C123" t="inlineStr">
        <is>
          <t>Summary</t>
        </is>
      </c>
      <c r="D123" t="n">
        <v>1793.2</v>
      </c>
      <c r="E123" t="n">
        <v>1718</v>
      </c>
      <c r="F123" t="n">
        <v>-75.2</v>
      </c>
      <c r="G123" t="n">
        <v>-4.2</v>
      </c>
      <c r="H123" t="n">
        <v>-0.4</v>
      </c>
      <c r="I123" t="n">
        <v>1054.5</v>
      </c>
      <c r="J123" t="n">
        <v>1122</v>
      </c>
      <c r="K123" t="n">
        <v>0.6</v>
      </c>
    </row>
    <row r="124">
      <c r="A124" t="inlineStr">
        <is>
          <t xml:space="preserve">        Motor vehicle manufacturing</t>
        </is>
      </c>
      <c r="B124" t="inlineStr">
        <is>
          <t>336100</t>
        </is>
      </c>
      <c r="C124" t="inlineStr">
        <is>
          <t>Line item</t>
        </is>
      </c>
      <c r="D124" t="n">
        <v>302</v>
      </c>
      <c r="E124" t="n">
        <v>318.2</v>
      </c>
      <c r="F124" t="n">
        <v>16.2</v>
      </c>
      <c r="G124" t="n">
        <v>5.4</v>
      </c>
      <c r="H124" t="n">
        <v>0.5</v>
      </c>
      <c r="I124" t="n">
        <v>396.7</v>
      </c>
      <c r="J124" t="n">
        <v>437.5</v>
      </c>
      <c r="K124" t="n">
        <v>1</v>
      </c>
      <c r="L124" t="inlineStr">
        <is>
          <t>ISIC 29</t>
        </is>
      </c>
    </row>
    <row r="125">
      <c r="A125" t="inlineStr">
        <is>
          <t xml:space="preserve">        Motor vehicle body and trailer manufacturing</t>
        </is>
      </c>
      <c r="B125" t="inlineStr">
        <is>
          <t>336200</t>
        </is>
      </c>
      <c r="C125" t="inlineStr">
        <is>
          <t>Line item</t>
        </is>
      </c>
      <c r="D125" t="n">
        <v>163.5</v>
      </c>
      <c r="E125" t="n">
        <v>169</v>
      </c>
      <c r="F125" t="n">
        <v>5.5</v>
      </c>
      <c r="G125" t="n">
        <v>3.4</v>
      </c>
      <c r="H125" t="n">
        <v>0.3</v>
      </c>
      <c r="I125" t="n">
        <v>55</v>
      </c>
      <c r="J125" t="n">
        <v>69.59999999999999</v>
      </c>
      <c r="K125" t="n">
        <v>2.4</v>
      </c>
      <c r="L125" t="inlineStr">
        <is>
          <t>ISIC 29</t>
        </is>
      </c>
    </row>
    <row r="126">
      <c r="A126" t="inlineStr">
        <is>
          <t xml:space="preserve">        Motor vehicle parts manufacturing</t>
        </is>
      </c>
      <c r="B126" t="inlineStr">
        <is>
          <t>336300</t>
        </is>
      </c>
      <c r="C126" t="inlineStr">
        <is>
          <t>Line item</t>
        </is>
      </c>
      <c r="D126" t="n">
        <v>553.3</v>
      </c>
      <c r="E126" t="n">
        <v>429.3</v>
      </c>
      <c r="F126" t="n">
        <v>-124</v>
      </c>
      <c r="G126" t="n">
        <v>-22.4</v>
      </c>
      <c r="H126" t="n">
        <v>-2.5</v>
      </c>
      <c r="I126" t="n">
        <v>250.8</v>
      </c>
      <c r="J126" t="n">
        <v>180.2</v>
      </c>
      <c r="K126" t="n">
        <v>-3.3</v>
      </c>
      <c r="L126" t="inlineStr">
        <is>
          <t>ISIC 29</t>
        </is>
      </c>
    </row>
    <row r="127">
      <c r="A127" t="inlineStr">
        <is>
          <t xml:space="preserve">        Aerospace product and parts manufacturing</t>
        </is>
      </c>
      <c r="B127" t="inlineStr">
        <is>
          <t>336400</t>
        </is>
      </c>
      <c r="C127" t="inlineStr">
        <is>
          <t>Line item</t>
        </is>
      </c>
      <c r="D127" t="n">
        <v>559.1</v>
      </c>
      <c r="E127" t="n">
        <v>589.2</v>
      </c>
      <c r="F127" t="n">
        <v>30.1</v>
      </c>
      <c r="G127" t="n">
        <v>5.4</v>
      </c>
      <c r="H127" t="n">
        <v>0.5</v>
      </c>
      <c r="I127" t="n">
        <v>281.6</v>
      </c>
      <c r="J127" t="n">
        <v>343.5</v>
      </c>
      <c r="K127" t="n">
        <v>2</v>
      </c>
      <c r="L127" t="inlineStr">
        <is>
          <t>ISIC 302T309</t>
        </is>
      </c>
    </row>
    <row r="128">
      <c r="A128" t="inlineStr">
        <is>
          <t xml:space="preserve">        Railroad rolling stock manufacturing</t>
        </is>
      </c>
      <c r="B128" t="inlineStr">
        <is>
          <t>336500</t>
        </is>
      </c>
      <c r="C128" t="inlineStr">
        <is>
          <t>Line item</t>
        </is>
      </c>
      <c r="D128" t="n">
        <v>23.4</v>
      </c>
      <c r="E128" t="n">
        <v>20.7</v>
      </c>
      <c r="F128" t="n">
        <v>-2.7</v>
      </c>
      <c r="G128" t="n">
        <v>-11.5</v>
      </c>
      <c r="H128" t="n">
        <v>-1.2</v>
      </c>
      <c r="I128" t="n">
        <v>10</v>
      </c>
      <c r="J128" t="n">
        <v>10.6</v>
      </c>
      <c r="K128" t="n">
        <v>0.6</v>
      </c>
      <c r="L128" t="inlineStr">
        <is>
          <t>ISIC 302T309</t>
        </is>
      </c>
    </row>
    <row r="129">
      <c r="A129" t="inlineStr">
        <is>
          <t xml:space="preserve">        Ship and boat building</t>
        </is>
      </c>
      <c r="B129" t="inlineStr">
        <is>
          <t>336600</t>
        </is>
      </c>
      <c r="C129" t="inlineStr">
        <is>
          <t>Line item</t>
        </is>
      </c>
      <c r="D129" t="n">
        <v>150.5</v>
      </c>
      <c r="E129" t="n">
        <v>154.1</v>
      </c>
      <c r="F129" t="n">
        <v>3.6</v>
      </c>
      <c r="G129" t="n">
        <v>2.4</v>
      </c>
      <c r="H129" t="n">
        <v>0.2</v>
      </c>
      <c r="I129" t="n">
        <v>40</v>
      </c>
      <c r="J129" t="n">
        <v>45.3</v>
      </c>
      <c r="K129" t="n">
        <v>1.3</v>
      </c>
      <c r="L129" t="inlineStr">
        <is>
          <t>ISIC 301</t>
        </is>
      </c>
    </row>
    <row r="130">
      <c r="A130" t="inlineStr">
        <is>
          <t xml:space="preserve">        Other transportation equipment manufacturing</t>
        </is>
      </c>
      <c r="B130" t="inlineStr">
        <is>
          <t>336900</t>
        </is>
      </c>
      <c r="C130" t="inlineStr">
        <is>
          <t>Line item</t>
        </is>
      </c>
      <c r="D130" t="n">
        <v>41.4</v>
      </c>
      <c r="E130" t="n">
        <v>37.5</v>
      </c>
      <c r="F130" t="n">
        <v>-3.9</v>
      </c>
      <c r="G130" t="n">
        <v>-9.4</v>
      </c>
      <c r="H130" t="n">
        <v>-1</v>
      </c>
      <c r="I130" t="n">
        <v>23.9</v>
      </c>
      <c r="J130" t="n">
        <v>30.9</v>
      </c>
      <c r="K130" t="n">
        <v>2.6</v>
      </c>
      <c r="L130" t="inlineStr">
        <is>
          <t>ISIC 302T309</t>
        </is>
      </c>
    </row>
    <row r="131">
      <c r="A131" t="inlineStr">
        <is>
          <t xml:space="preserve">      Furniture and related product manufacturing</t>
        </is>
      </c>
      <c r="B131" t="inlineStr">
        <is>
          <t>337000</t>
        </is>
      </c>
      <c r="C131" t="inlineStr">
        <is>
          <t>Summary</t>
        </is>
      </c>
      <c r="D131" t="n">
        <v>343.3</v>
      </c>
      <c r="E131" t="n">
        <v>325.4</v>
      </c>
      <c r="F131" t="n">
        <v>-17.9</v>
      </c>
      <c r="G131" t="n">
        <v>-5.2</v>
      </c>
      <c r="H131" t="n">
        <v>-0.5</v>
      </c>
      <c r="I131" t="n">
        <v>61.7</v>
      </c>
      <c r="J131" t="n">
        <v>68.40000000000001</v>
      </c>
      <c r="K131" t="n">
        <v>1</v>
      </c>
      <c r="L131" t="inlineStr">
        <is>
          <t>ISIC 31T33</t>
        </is>
      </c>
    </row>
    <row r="132">
      <c r="A132" t="inlineStr">
        <is>
          <t xml:space="preserve">        Furniture and related product manufacturing (3371,2)</t>
        </is>
      </c>
      <c r="B132" t="inlineStr">
        <is>
          <t>3370A1</t>
        </is>
      </c>
      <c r="C132" t="inlineStr">
        <is>
          <t>Line item</t>
        </is>
      </c>
      <c r="D132" t="n">
        <v>315.2</v>
      </c>
      <c r="E132" t="n">
        <v>297.7</v>
      </c>
      <c r="F132" t="n">
        <v>-17.5</v>
      </c>
      <c r="G132" t="n">
        <v>-5.6</v>
      </c>
      <c r="H132" t="n">
        <v>-0.6</v>
      </c>
      <c r="I132" t="n">
        <v>54</v>
      </c>
      <c r="J132" t="n">
        <v>59.4</v>
      </c>
      <c r="K132" t="n">
        <v>1</v>
      </c>
    </row>
    <row r="133">
      <c r="A133" t="inlineStr">
        <is>
          <t xml:space="preserve">        Other furniture related product manufacturing</t>
        </is>
      </c>
      <c r="B133" t="inlineStr">
        <is>
          <t>337900</t>
        </is>
      </c>
      <c r="C133" t="inlineStr">
        <is>
          <t>Line item</t>
        </is>
      </c>
      <c r="D133" t="n">
        <v>28.1</v>
      </c>
      <c r="E133" t="n">
        <v>27.7</v>
      </c>
      <c r="F133" t="n">
        <v>-0.4</v>
      </c>
      <c r="G133" t="n">
        <v>-1.3</v>
      </c>
      <c r="H133" t="n">
        <v>-0.1</v>
      </c>
      <c r="I133" t="n">
        <v>7.8</v>
      </c>
      <c r="J133" t="n">
        <v>9</v>
      </c>
      <c r="K133" t="n">
        <v>1.5</v>
      </c>
    </row>
    <row r="134">
      <c r="A134" t="inlineStr">
        <is>
          <t xml:space="preserve">      Miscellaneous manufacturing</t>
        </is>
      </c>
      <c r="B134" t="inlineStr">
        <is>
          <t>339000</t>
        </is>
      </c>
      <c r="C134" t="inlineStr">
        <is>
          <t>Summary</t>
        </is>
      </c>
      <c r="D134" t="n">
        <v>615.4</v>
      </c>
      <c r="E134" t="n">
        <v>626.9</v>
      </c>
      <c r="F134" t="n">
        <v>11.5</v>
      </c>
      <c r="G134" t="n">
        <v>1.9</v>
      </c>
      <c r="H134" t="n">
        <v>0.2</v>
      </c>
      <c r="I134" t="n">
        <v>162.6</v>
      </c>
      <c r="J134" t="n">
        <v>192.9</v>
      </c>
      <c r="K134" t="n">
        <v>1.7</v>
      </c>
      <c r="L134" t="inlineStr">
        <is>
          <t>ISIC 31T33</t>
        </is>
      </c>
    </row>
    <row r="135">
      <c r="A135" t="inlineStr">
        <is>
          <t xml:space="preserve">        Medical equipment and supplies manufacturing</t>
        </is>
      </c>
      <c r="B135" t="inlineStr">
        <is>
          <t>339100</t>
        </is>
      </c>
      <c r="C135" t="inlineStr">
        <is>
          <t>Line item</t>
        </is>
      </c>
      <c r="D135" t="n">
        <v>329.7</v>
      </c>
      <c r="E135" t="n">
        <v>345.5</v>
      </c>
      <c r="F135" t="n">
        <v>15.8</v>
      </c>
      <c r="G135" t="n">
        <v>4.8</v>
      </c>
      <c r="H135" t="n">
        <v>0.5</v>
      </c>
      <c r="I135" t="n">
        <v>101.1</v>
      </c>
      <c r="J135" t="n">
        <v>129.9</v>
      </c>
      <c r="K135" t="n">
        <v>2.5</v>
      </c>
    </row>
    <row r="136">
      <c r="A136" t="inlineStr">
        <is>
          <t xml:space="preserve">        Other miscellaneous manufacturing</t>
        </is>
      </c>
      <c r="B136" t="inlineStr">
        <is>
          <t>339900</t>
        </is>
      </c>
      <c r="C136" t="inlineStr">
        <is>
          <t>Summary</t>
        </is>
      </c>
      <c r="D136" t="n">
        <v>285.7</v>
      </c>
      <c r="E136" t="n">
        <v>281.5</v>
      </c>
      <c r="F136" t="n">
        <v>-4.2</v>
      </c>
      <c r="G136" t="n">
        <v>-1.5</v>
      </c>
      <c r="H136" t="n">
        <v>-0.1</v>
      </c>
      <c r="I136" t="n">
        <v>61.8</v>
      </c>
      <c r="J136" t="n">
        <v>64.09999999999999</v>
      </c>
      <c r="K136" t="n">
        <v>0.4</v>
      </c>
    </row>
    <row r="137">
      <c r="A137" t="inlineStr">
        <is>
          <t xml:space="preserve">          Jewelry and silverware manufacturing</t>
        </is>
      </c>
      <c r="B137" t="inlineStr">
        <is>
          <t>339910</t>
        </is>
      </c>
      <c r="C137" t="inlineStr">
        <is>
          <t>Line item</t>
        </is>
      </c>
      <c r="D137" t="n">
        <v>21</v>
      </c>
      <c r="E137" t="n">
        <v>15.7</v>
      </c>
      <c r="F137" t="n">
        <v>-5.3</v>
      </c>
      <c r="G137" t="n">
        <v>-25.3</v>
      </c>
      <c r="H137" t="n">
        <v>-2.9</v>
      </c>
      <c r="I137" t="n">
        <v>7.3</v>
      </c>
      <c r="J137" t="n">
        <v>7.7</v>
      </c>
      <c r="K137" t="n">
        <v>0.6</v>
      </c>
    </row>
    <row r="138">
      <c r="A138" t="inlineStr">
        <is>
          <t xml:space="preserve">    Wholesale trade</t>
        </is>
      </c>
      <c r="B138" t="inlineStr">
        <is>
          <t>420000</t>
        </is>
      </c>
      <c r="C138" t="inlineStr">
        <is>
          <t>Summary</t>
        </is>
      </c>
      <c r="D138" t="n">
        <v>6145.4</v>
      </c>
      <c r="E138" t="n">
        <v>6354</v>
      </c>
      <c r="F138" t="n">
        <v>208.6</v>
      </c>
      <c r="G138" t="n">
        <v>3.4</v>
      </c>
      <c r="H138" t="n">
        <v>0.3</v>
      </c>
      <c r="I138" t="n">
        <v>2177.5</v>
      </c>
      <c r="J138" t="n">
        <v>2833.4</v>
      </c>
      <c r="K138" t="n">
        <v>2.7</v>
      </c>
      <c r="L138" t="inlineStr">
        <is>
          <t>ISIC 45T47</t>
        </is>
      </c>
    </row>
    <row r="139">
      <c r="A139" t="inlineStr">
        <is>
          <t xml:space="preserve">      Merchant wholesalers, durable goods</t>
        </is>
      </c>
      <c r="B139" t="inlineStr">
        <is>
          <t>423000</t>
        </is>
      </c>
      <c r="C139" t="inlineStr">
        <is>
          <t>Summary</t>
        </is>
      </c>
      <c r="D139" t="n">
        <v>3439.6</v>
      </c>
      <c r="E139" t="n">
        <v>3583</v>
      </c>
      <c r="F139" t="n">
        <v>143.4</v>
      </c>
      <c r="G139" t="n">
        <v>4.2</v>
      </c>
      <c r="H139" t="n">
        <v>0.4</v>
      </c>
      <c r="I139" t="inlineStr">
        <is>
          <t>—</t>
        </is>
      </c>
      <c r="J139" t="inlineStr">
        <is>
          <t>—</t>
        </is>
      </c>
      <c r="K139" t="inlineStr">
        <is>
          <t>—</t>
        </is>
      </c>
    </row>
    <row r="140">
      <c r="A140" t="inlineStr">
        <is>
          <t xml:space="preserve">        Merchant wholesalers, durable goods (4232,3,5,6,7,9)</t>
        </is>
      </c>
      <c r="B140" t="inlineStr">
        <is>
          <t>4230A1</t>
        </is>
      </c>
      <c r="C140" t="inlineStr">
        <is>
          <t>Line item</t>
        </is>
      </c>
      <c r="D140" t="n">
        <v>1529.3</v>
      </c>
      <c r="E140" t="n">
        <v>1581.5</v>
      </c>
      <c r="F140" t="n">
        <v>52.2</v>
      </c>
      <c r="G140" t="n">
        <v>3.4</v>
      </c>
      <c r="H140" t="n">
        <v>0.3</v>
      </c>
      <c r="I140" t="inlineStr">
        <is>
          <t>—</t>
        </is>
      </c>
      <c r="J140" t="inlineStr">
        <is>
          <t>—</t>
        </is>
      </c>
      <c r="K140" t="inlineStr">
        <is>
          <t>—</t>
        </is>
      </c>
    </row>
    <row r="141">
      <c r="A141" t="inlineStr">
        <is>
          <t xml:space="preserve">        Motor vehicle and motor vehicle parts and supplies merchant wholesalers</t>
        </is>
      </c>
      <c r="B141" t="inlineStr">
        <is>
          <t>423100</t>
        </is>
      </c>
      <c r="C141" t="inlineStr">
        <is>
          <t>Line item</t>
        </is>
      </c>
      <c r="D141" t="n">
        <v>381.1</v>
      </c>
      <c r="E141" t="n">
        <v>398.4</v>
      </c>
      <c r="F141" t="n">
        <v>17.3</v>
      </c>
      <c r="G141" t="n">
        <v>4.5</v>
      </c>
      <c r="H141" t="n">
        <v>0.4</v>
      </c>
      <c r="I141" t="inlineStr">
        <is>
          <t>—</t>
        </is>
      </c>
      <c r="J141" t="inlineStr">
        <is>
          <t>—</t>
        </is>
      </c>
      <c r="K141" t="inlineStr">
        <is>
          <t>—</t>
        </is>
      </c>
    </row>
    <row r="142">
      <c r="A142" t="inlineStr">
        <is>
          <t xml:space="preserve">        Professional and commercial equipment and supplies merchant wholesalers</t>
        </is>
      </c>
      <c r="B142" t="inlineStr">
        <is>
          <t>423400</t>
        </is>
      </c>
      <c r="C142" t="inlineStr">
        <is>
          <t>Line item</t>
        </is>
      </c>
      <c r="D142" t="n">
        <v>751.7</v>
      </c>
      <c r="E142" t="n">
        <v>794.3</v>
      </c>
      <c r="F142" t="n">
        <v>42.6</v>
      </c>
      <c r="G142" t="n">
        <v>5.7</v>
      </c>
      <c r="H142" t="n">
        <v>0.6</v>
      </c>
      <c r="I142" t="inlineStr">
        <is>
          <t>—</t>
        </is>
      </c>
      <c r="J142" t="inlineStr">
        <is>
          <t>—</t>
        </is>
      </c>
      <c r="K142" t="inlineStr">
        <is>
          <t>—</t>
        </is>
      </c>
    </row>
    <row r="143">
      <c r="A143" t="inlineStr">
        <is>
          <t xml:space="preserve">        Machinery, equipment, and supplies merchant wholesalers</t>
        </is>
      </c>
      <c r="B143" t="inlineStr">
        <is>
          <t>423800</t>
        </is>
      </c>
      <c r="C143" t="inlineStr">
        <is>
          <t>Summary</t>
        </is>
      </c>
      <c r="D143" t="n">
        <v>777.5</v>
      </c>
      <c r="E143" t="n">
        <v>808.9</v>
      </c>
      <c r="F143" t="n">
        <v>31.4</v>
      </c>
      <c r="G143" t="n">
        <v>4</v>
      </c>
      <c r="H143" t="n">
        <v>0.4</v>
      </c>
      <c r="I143" t="inlineStr">
        <is>
          <t>—</t>
        </is>
      </c>
      <c r="J143" t="inlineStr">
        <is>
          <t>—</t>
        </is>
      </c>
      <c r="K143" t="inlineStr">
        <is>
          <t>—</t>
        </is>
      </c>
    </row>
    <row r="144">
      <c r="A144" t="inlineStr">
        <is>
          <t xml:space="preserve">          Farm and garden machinery and equipment merchant wholesalers</t>
        </is>
      </c>
      <c r="B144" t="inlineStr">
        <is>
          <t>423820</t>
        </is>
      </c>
      <c r="C144" t="inlineStr">
        <is>
          <t>Line item</t>
        </is>
      </c>
      <c r="D144" t="n">
        <v>116.7</v>
      </c>
      <c r="E144" t="n">
        <v>116.3</v>
      </c>
      <c r="F144" t="n">
        <v>-0.4</v>
      </c>
      <c r="G144" t="n">
        <v>-0.4</v>
      </c>
      <c r="H144" t="n">
        <v>0</v>
      </c>
      <c r="I144" t="inlineStr">
        <is>
          <t>—</t>
        </is>
      </c>
      <c r="J144" t="inlineStr">
        <is>
          <t>—</t>
        </is>
      </c>
      <c r="K144" t="inlineStr">
        <is>
          <t>—</t>
        </is>
      </c>
    </row>
    <row r="145">
      <c r="A145" t="inlineStr">
        <is>
          <t xml:space="preserve">      Merchant wholesalers, nondurable goods</t>
        </is>
      </c>
      <c r="B145" t="inlineStr">
        <is>
          <t>424000</t>
        </is>
      </c>
      <c r="C145" t="inlineStr">
        <is>
          <t>Summary</t>
        </is>
      </c>
      <c r="D145" t="n">
        <v>2212.9</v>
      </c>
      <c r="E145" t="n">
        <v>2271.6</v>
      </c>
      <c r="F145" t="n">
        <v>58.7</v>
      </c>
      <c r="G145" t="n">
        <v>2.7</v>
      </c>
      <c r="H145" t="n">
        <v>0.3</v>
      </c>
      <c r="I145" t="inlineStr">
        <is>
          <t>—</t>
        </is>
      </c>
      <c r="J145" t="inlineStr">
        <is>
          <t>—</t>
        </is>
      </c>
      <c r="K145" t="inlineStr">
        <is>
          <t>—</t>
        </is>
      </c>
    </row>
    <row r="146">
      <c r="A146" t="inlineStr">
        <is>
          <t xml:space="preserve">        Merchant wholesalers, nondurable goods (4244,8)</t>
        </is>
      </c>
      <c r="B146" t="inlineStr">
        <is>
          <t>4240A1</t>
        </is>
      </c>
      <c r="C146" t="inlineStr">
        <is>
          <t>Line item</t>
        </is>
      </c>
      <c r="D146" t="n">
        <v>1048.3</v>
      </c>
      <c r="E146" t="n">
        <v>1087.2</v>
      </c>
      <c r="F146" t="n">
        <v>38.9</v>
      </c>
      <c r="G146" t="n">
        <v>3.7</v>
      </c>
      <c r="H146" t="n">
        <v>0.4</v>
      </c>
      <c r="I146" t="inlineStr">
        <is>
          <t>—</t>
        </is>
      </c>
      <c r="J146" t="inlineStr">
        <is>
          <t>—</t>
        </is>
      </c>
      <c r="K146" t="inlineStr">
        <is>
          <t>—</t>
        </is>
      </c>
    </row>
    <row r="147">
      <c r="A147" t="inlineStr">
        <is>
          <t xml:space="preserve">        Merchant wholesalers, nondurable goods (4242,6)</t>
        </is>
      </c>
      <c r="B147" t="inlineStr">
        <is>
          <t>4240A2</t>
        </is>
      </c>
      <c r="C147" t="inlineStr">
        <is>
          <t>Line item</t>
        </is>
      </c>
      <c r="D147" t="n">
        <v>409.3</v>
      </c>
      <c r="E147" t="n">
        <v>423.8</v>
      </c>
      <c r="F147" t="n">
        <v>14.5</v>
      </c>
      <c r="G147" t="n">
        <v>3.5</v>
      </c>
      <c r="H147" t="n">
        <v>0.3</v>
      </c>
      <c r="I147" t="inlineStr">
        <is>
          <t>—</t>
        </is>
      </c>
      <c r="J147" t="inlineStr">
        <is>
          <t>—</t>
        </is>
      </c>
      <c r="K147" t="inlineStr">
        <is>
          <t>—</t>
        </is>
      </c>
    </row>
    <row r="148">
      <c r="A148" t="inlineStr">
        <is>
          <t xml:space="preserve">        Merchant wholesalers, nondurable goods (4241,7,9)</t>
        </is>
      </c>
      <c r="B148" t="inlineStr">
        <is>
          <t>4240A3</t>
        </is>
      </c>
      <c r="C148" t="inlineStr">
        <is>
          <t>Line item</t>
        </is>
      </c>
      <c r="D148" t="n">
        <v>540</v>
      </c>
      <c r="E148" t="n">
        <v>546.4</v>
      </c>
      <c r="F148" t="n">
        <v>6.4</v>
      </c>
      <c r="G148" t="n">
        <v>1.2</v>
      </c>
      <c r="H148" t="n">
        <v>0.1</v>
      </c>
      <c r="I148" t="inlineStr">
        <is>
          <t>—</t>
        </is>
      </c>
      <c r="J148" t="inlineStr">
        <is>
          <t>—</t>
        </is>
      </c>
      <c r="K148" t="inlineStr">
        <is>
          <t>—</t>
        </is>
      </c>
    </row>
    <row r="149">
      <c r="A149" t="inlineStr">
        <is>
          <t xml:space="preserve">        Apparel, piece goods, and notions merchant wholesalers</t>
        </is>
      </c>
      <c r="B149" t="inlineStr">
        <is>
          <t>424300</t>
        </is>
      </c>
      <c r="C149" t="inlineStr">
        <is>
          <t>Line item</t>
        </is>
      </c>
      <c r="D149" t="n">
        <v>141.5</v>
      </c>
      <c r="E149" t="n">
        <v>139.8</v>
      </c>
      <c r="F149" t="n">
        <v>-1.7</v>
      </c>
      <c r="G149" t="n">
        <v>-1.2</v>
      </c>
      <c r="H149" t="n">
        <v>-0.1</v>
      </c>
      <c r="I149" t="inlineStr">
        <is>
          <t>—</t>
        </is>
      </c>
      <c r="J149" t="inlineStr">
        <is>
          <t>—</t>
        </is>
      </c>
      <c r="K149" t="inlineStr">
        <is>
          <t>—</t>
        </is>
      </c>
    </row>
    <row r="150">
      <c r="A150" t="inlineStr">
        <is>
          <t xml:space="preserve">        Farm product raw material merchant wholesalers</t>
        </is>
      </c>
      <c r="B150" t="inlineStr">
        <is>
          <t>424500</t>
        </is>
      </c>
      <c r="C150" t="inlineStr">
        <is>
          <t>Line item</t>
        </is>
      </c>
      <c r="D150" t="n">
        <v>73.8</v>
      </c>
      <c r="E150" t="n">
        <v>74.3</v>
      </c>
      <c r="F150" t="n">
        <v>0.5</v>
      </c>
      <c r="G150" t="n">
        <v>0.7</v>
      </c>
      <c r="H150" t="n">
        <v>0.1</v>
      </c>
      <c r="I150" t="inlineStr">
        <is>
          <t>—</t>
        </is>
      </c>
      <c r="J150" t="inlineStr">
        <is>
          <t>—</t>
        </is>
      </c>
      <c r="K150" t="inlineStr">
        <is>
          <t>—</t>
        </is>
      </c>
    </row>
    <row r="151">
      <c r="A151" t="inlineStr">
        <is>
          <t xml:space="preserve">      Wholesale trade agents and brokers</t>
        </is>
      </c>
      <c r="B151" t="inlineStr">
        <is>
          <t>425000</t>
        </is>
      </c>
      <c r="C151" t="inlineStr">
        <is>
          <t>Line item</t>
        </is>
      </c>
      <c r="D151" t="n">
        <v>492.9</v>
      </c>
      <c r="E151" t="n">
        <v>499.4</v>
      </c>
      <c r="F151" t="n">
        <v>6.5</v>
      </c>
      <c r="G151" t="n">
        <v>1.3</v>
      </c>
      <c r="H151" t="n">
        <v>0.1</v>
      </c>
      <c r="I151" t="inlineStr">
        <is>
          <t>—</t>
        </is>
      </c>
      <c r="J151" t="inlineStr">
        <is>
          <t>—</t>
        </is>
      </c>
      <c r="K151" t="inlineStr">
        <is>
          <t>—</t>
        </is>
      </c>
    </row>
    <row r="152">
      <c r="A152" t="inlineStr">
        <is>
          <t xml:space="preserve">    Retail trade</t>
        </is>
      </c>
      <c r="B152" t="inlineStr">
        <is>
          <t>44-450</t>
        </is>
      </c>
      <c r="C152" t="inlineStr">
        <is>
          <t>Summary</t>
        </is>
      </c>
      <c r="D152" t="n">
        <v>15532</v>
      </c>
      <c r="E152" t="n">
        <v>15350.1</v>
      </c>
      <c r="F152" t="n">
        <v>-181.9</v>
      </c>
      <c r="G152" t="n">
        <v>-1.2</v>
      </c>
      <c r="H152" t="n">
        <v>-0.1</v>
      </c>
      <c r="I152" t="n">
        <v>2210.7</v>
      </c>
      <c r="J152" t="n">
        <v>2795.2</v>
      </c>
      <c r="K152" t="n">
        <v>2.4</v>
      </c>
      <c r="L152" t="inlineStr">
        <is>
          <t>ISIC 45T47</t>
        </is>
      </c>
    </row>
    <row r="153">
      <c r="A153" t="inlineStr">
        <is>
          <t xml:space="preserve">      Motor vehicle and parts dealers</t>
        </is>
      </c>
      <c r="B153" t="inlineStr">
        <is>
          <t>441000</t>
        </is>
      </c>
      <c r="C153" t="inlineStr">
        <is>
          <t>Summary</t>
        </is>
      </c>
      <c r="D153" t="n">
        <v>2050.4</v>
      </c>
      <c r="E153" t="n">
        <v>2111.6</v>
      </c>
      <c r="F153" t="n">
        <v>61.2</v>
      </c>
      <c r="G153" t="n">
        <v>3</v>
      </c>
      <c r="H153" t="n">
        <v>0.3</v>
      </c>
      <c r="I153" t="n">
        <v>380.8</v>
      </c>
      <c r="J153" t="n">
        <v>504.8</v>
      </c>
      <c r="K153" t="n">
        <v>2.9</v>
      </c>
    </row>
    <row r="154">
      <c r="A154" t="inlineStr">
        <is>
          <t xml:space="preserve">        Automobile dealers</t>
        </is>
      </c>
      <c r="B154" t="inlineStr">
        <is>
          <t>441100</t>
        </is>
      </c>
      <c r="C154" t="inlineStr">
        <is>
          <t>Line item</t>
        </is>
      </c>
      <c r="D154" t="n">
        <v>1287.3</v>
      </c>
      <c r="E154" t="n">
        <v>1322.5</v>
      </c>
      <c r="F154" t="n">
        <v>35.2</v>
      </c>
      <c r="G154" t="n">
        <v>2.7</v>
      </c>
      <c r="H154" t="n">
        <v>0.3</v>
      </c>
      <c r="I154" t="inlineStr">
        <is>
          <t>—</t>
        </is>
      </c>
      <c r="J154" t="inlineStr">
        <is>
          <t>—</t>
        </is>
      </c>
      <c r="K154" t="inlineStr">
        <is>
          <t>—</t>
        </is>
      </c>
    </row>
    <row r="155">
      <c r="A155" t="inlineStr">
        <is>
          <t xml:space="preserve">        Other motor vehicle dealers</t>
        </is>
      </c>
      <c r="B155" t="inlineStr">
        <is>
          <t>441200</t>
        </is>
      </c>
      <c r="C155" t="inlineStr">
        <is>
          <t>Line item</t>
        </is>
      </c>
      <c r="D155" t="n">
        <v>169</v>
      </c>
      <c r="E155" t="n">
        <v>177.4</v>
      </c>
      <c r="F155" t="n">
        <v>8.4</v>
      </c>
      <c r="G155" t="n">
        <v>5</v>
      </c>
      <c r="H155" t="n">
        <v>0.5</v>
      </c>
      <c r="I155" t="inlineStr">
        <is>
          <t>—</t>
        </is>
      </c>
      <c r="J155" t="inlineStr">
        <is>
          <t>—</t>
        </is>
      </c>
      <c r="K155" t="inlineStr">
        <is>
          <t>—</t>
        </is>
      </c>
    </row>
    <row r="156">
      <c r="A156" t="inlineStr">
        <is>
          <t xml:space="preserve">        Automotive parts, accessories, and tire retailers</t>
        </is>
      </c>
      <c r="B156" t="inlineStr">
        <is>
          <t>441300</t>
        </is>
      </c>
      <c r="C156" t="inlineStr">
        <is>
          <t>Line item</t>
        </is>
      </c>
      <c r="D156" t="n">
        <v>594.1</v>
      </c>
      <c r="E156" t="n">
        <v>611.7</v>
      </c>
      <c r="F156" t="n">
        <v>17.6</v>
      </c>
      <c r="G156" t="n">
        <v>3</v>
      </c>
      <c r="H156" t="n">
        <v>0.3</v>
      </c>
      <c r="I156" t="inlineStr">
        <is>
          <t>—</t>
        </is>
      </c>
      <c r="J156" t="inlineStr">
        <is>
          <t>—</t>
        </is>
      </c>
      <c r="K156" t="inlineStr">
        <is>
          <t>—</t>
        </is>
      </c>
    </row>
    <row r="157">
      <c r="A157" t="inlineStr">
        <is>
          <t xml:space="preserve">      Food and beverage retailers</t>
        </is>
      </c>
      <c r="B157" t="inlineStr">
        <is>
          <t>445000</t>
        </is>
      </c>
      <c r="C157" t="inlineStr">
        <is>
          <t>Summary</t>
        </is>
      </c>
      <c r="D157" t="n">
        <v>3224.5</v>
      </c>
      <c r="E157" t="n">
        <v>3189.7</v>
      </c>
      <c r="F157" t="n">
        <v>-34.8</v>
      </c>
      <c r="G157" t="n">
        <v>-1.1</v>
      </c>
      <c r="H157" t="n">
        <v>-0.1</v>
      </c>
      <c r="I157" t="n">
        <v>265.5</v>
      </c>
      <c r="J157" t="n">
        <v>286.4</v>
      </c>
      <c r="K157" t="n">
        <v>0.8</v>
      </c>
    </row>
    <row r="158">
      <c r="A158" t="inlineStr">
        <is>
          <t xml:space="preserve">        Grocery and specialty food retailers</t>
        </is>
      </c>
      <c r="B158" t="inlineStr">
        <is>
          <t>4450A1</t>
        </is>
      </c>
      <c r="C158" t="inlineStr">
        <is>
          <t>Line item</t>
        </is>
      </c>
      <c r="D158" t="n">
        <v>3052.4</v>
      </c>
      <c r="E158" t="n">
        <v>3021.6</v>
      </c>
      <c r="F158" t="n">
        <v>-30.8</v>
      </c>
      <c r="G158" t="n">
        <v>-1</v>
      </c>
      <c r="H158" t="n">
        <v>-0.1</v>
      </c>
      <c r="I158" t="inlineStr">
        <is>
          <t>—</t>
        </is>
      </c>
      <c r="J158" t="inlineStr">
        <is>
          <t>—</t>
        </is>
      </c>
      <c r="K158" t="inlineStr">
        <is>
          <t>—</t>
        </is>
      </c>
    </row>
    <row r="159">
      <c r="A159" t="inlineStr">
        <is>
          <t xml:space="preserve">        Beer, wine, and liquor retailers</t>
        </is>
      </c>
      <c r="B159" t="inlineStr">
        <is>
          <t>445300</t>
        </is>
      </c>
      <c r="C159" t="inlineStr">
        <is>
          <t>Line item</t>
        </is>
      </c>
      <c r="D159" t="n">
        <v>172.1</v>
      </c>
      <c r="E159" t="n">
        <v>168.1</v>
      </c>
      <c r="F159" t="n">
        <v>-4</v>
      </c>
      <c r="G159" t="n">
        <v>-2.3</v>
      </c>
      <c r="H159" t="n">
        <v>-0.2</v>
      </c>
      <c r="I159" t="inlineStr">
        <is>
          <t>—</t>
        </is>
      </c>
      <c r="J159" t="inlineStr">
        <is>
          <t>—</t>
        </is>
      </c>
      <c r="K159" t="inlineStr">
        <is>
          <t>—</t>
        </is>
      </c>
    </row>
    <row r="160">
      <c r="A160" t="inlineStr">
        <is>
          <t xml:space="preserve">      General merchandise retailers</t>
        </is>
      </c>
      <c r="B160" t="inlineStr">
        <is>
          <t>455000</t>
        </is>
      </c>
      <c r="C160" t="inlineStr">
        <is>
          <t>Line item</t>
        </is>
      </c>
      <c r="D160" t="n">
        <v>3265.5</v>
      </c>
      <c r="E160" t="n">
        <v>3341</v>
      </c>
      <c r="F160" t="n">
        <v>75.5</v>
      </c>
      <c r="G160" t="n">
        <v>2.3</v>
      </c>
      <c r="H160" t="n">
        <v>0.2</v>
      </c>
      <c r="I160" t="n">
        <v>252</v>
      </c>
      <c r="J160" t="n">
        <v>285</v>
      </c>
      <c r="K160" t="n">
        <v>1.2</v>
      </c>
    </row>
    <row r="161">
      <c r="A161" t="inlineStr">
        <is>
          <t xml:space="preserve">      All other retail trade (444, 449, 456-9)</t>
        </is>
      </c>
      <c r="B161" t="inlineStr">
        <is>
          <t>4445R0</t>
        </is>
      </c>
      <c r="C161" t="inlineStr">
        <is>
          <t>Summary</t>
        </is>
      </c>
      <c r="D161" t="n">
        <v>6991.6</v>
      </c>
      <c r="E161" t="n">
        <v>6707.7</v>
      </c>
      <c r="F161" t="n">
        <v>-283.9</v>
      </c>
      <c r="G161" t="n">
        <v>-4.1</v>
      </c>
      <c r="H161" t="n">
        <v>-0.4</v>
      </c>
      <c r="I161" t="n">
        <v>1317</v>
      </c>
      <c r="J161" t="n">
        <v>1732.5</v>
      </c>
      <c r="K161" t="n">
        <v>2.8</v>
      </c>
    </row>
    <row r="162">
      <c r="A162" t="inlineStr">
        <is>
          <t xml:space="preserve">        Building material and garden equipment and supplies dealers</t>
        </is>
      </c>
      <c r="B162" t="inlineStr">
        <is>
          <t>444000</t>
        </is>
      </c>
      <c r="C162" t="inlineStr">
        <is>
          <t>Summary</t>
        </is>
      </c>
      <c r="D162" t="n">
        <v>1398.9</v>
      </c>
      <c r="E162" t="n">
        <v>1427.4</v>
      </c>
      <c r="F162" t="n">
        <v>28.5</v>
      </c>
      <c r="G162" t="n">
        <v>2</v>
      </c>
      <c r="H162" t="n">
        <v>0.2</v>
      </c>
      <c r="I162" t="inlineStr">
        <is>
          <t>—</t>
        </is>
      </c>
      <c r="J162" t="inlineStr">
        <is>
          <t>—</t>
        </is>
      </c>
      <c r="K162" t="inlineStr">
        <is>
          <t>—</t>
        </is>
      </c>
    </row>
    <row r="163">
      <c r="A163" t="inlineStr">
        <is>
          <t xml:space="preserve">          Building material and supplies dealers</t>
        </is>
      </c>
      <c r="B163" t="inlineStr">
        <is>
          <t>444100</t>
        </is>
      </c>
      <c r="C163" t="inlineStr">
        <is>
          <t>Line item</t>
        </is>
      </c>
      <c r="D163" t="n">
        <v>1212.1</v>
      </c>
      <c r="E163" t="n">
        <v>1236.2</v>
      </c>
      <c r="F163" t="n">
        <v>24.1</v>
      </c>
      <c r="G163" t="n">
        <v>2</v>
      </c>
      <c r="H163" t="n">
        <v>0.2</v>
      </c>
      <c r="I163" t="inlineStr">
        <is>
          <t>—</t>
        </is>
      </c>
      <c r="J163" t="inlineStr">
        <is>
          <t>—</t>
        </is>
      </c>
      <c r="K163" t="inlineStr">
        <is>
          <t>—</t>
        </is>
      </c>
    </row>
    <row r="164">
      <c r="A164" t="inlineStr">
        <is>
          <t xml:space="preserve">          Lawn and garden equipment and supplies retailers</t>
        </is>
      </c>
      <c r="B164" t="inlineStr">
        <is>
          <t>444200</t>
        </is>
      </c>
      <c r="C164" t="inlineStr">
        <is>
          <t>Line item</t>
        </is>
      </c>
      <c r="D164" t="n">
        <v>186.8</v>
      </c>
      <c r="E164" t="n">
        <v>191.2</v>
      </c>
      <c r="F164" t="n">
        <v>4.4</v>
      </c>
      <c r="G164" t="n">
        <v>2.3</v>
      </c>
      <c r="H164" t="n">
        <v>0.2</v>
      </c>
      <c r="I164" t="inlineStr">
        <is>
          <t>—</t>
        </is>
      </c>
      <c r="J164" t="inlineStr">
        <is>
          <t>—</t>
        </is>
      </c>
      <c r="K164" t="inlineStr">
        <is>
          <t>—</t>
        </is>
      </c>
    </row>
    <row r="165">
      <c r="A165" t="inlineStr">
        <is>
          <t xml:space="preserve">        Furniture, home furnishings, electronics, and appliance retailers</t>
        </is>
      </c>
      <c r="B165" t="inlineStr">
        <is>
          <t>449000</t>
        </is>
      </c>
      <c r="C165" t="inlineStr">
        <is>
          <t>Summary</t>
        </is>
      </c>
      <c r="D165" t="n">
        <v>806.1</v>
      </c>
      <c r="E165" t="n">
        <v>771.4</v>
      </c>
      <c r="F165" t="n">
        <v>-34.7</v>
      </c>
      <c r="G165" t="n">
        <v>-4.3</v>
      </c>
      <c r="H165" t="n">
        <v>-0.4</v>
      </c>
      <c r="I165" t="inlineStr">
        <is>
          <t>—</t>
        </is>
      </c>
      <c r="J165" t="inlineStr">
        <is>
          <t>—</t>
        </is>
      </c>
      <c r="K165" t="inlineStr">
        <is>
          <t>—</t>
        </is>
      </c>
    </row>
    <row r="166">
      <c r="A166" t="inlineStr">
        <is>
          <t xml:space="preserve">          Furniture and home furnishings retailers</t>
        </is>
      </c>
      <c r="B166" t="inlineStr">
        <is>
          <t>449100</t>
        </is>
      </c>
      <c r="C166" t="inlineStr">
        <is>
          <t>Line item</t>
        </is>
      </c>
      <c r="D166" t="n">
        <v>409.1</v>
      </c>
      <c r="E166" t="n">
        <v>389</v>
      </c>
      <c r="F166" t="n">
        <v>-20.1</v>
      </c>
      <c r="G166" t="n">
        <v>-4.9</v>
      </c>
      <c r="H166" t="n">
        <v>-0.5</v>
      </c>
      <c r="I166" t="inlineStr">
        <is>
          <t>—</t>
        </is>
      </c>
      <c r="J166" t="inlineStr">
        <is>
          <t>—</t>
        </is>
      </c>
      <c r="K166" t="inlineStr">
        <is>
          <t>—</t>
        </is>
      </c>
    </row>
    <row r="167">
      <c r="A167" t="inlineStr">
        <is>
          <t xml:space="preserve">          Electronics and appliance retailers</t>
        </is>
      </c>
      <c r="B167" t="inlineStr">
        <is>
          <t>449200</t>
        </is>
      </c>
      <c r="C167" t="inlineStr">
        <is>
          <t>Line item</t>
        </is>
      </c>
      <c r="D167" t="n">
        <v>397</v>
      </c>
      <c r="E167" t="n">
        <v>382.3</v>
      </c>
      <c r="F167" t="n">
        <v>-14.7</v>
      </c>
      <c r="G167" t="n">
        <v>-3.7</v>
      </c>
      <c r="H167" t="n">
        <v>-0.4</v>
      </c>
      <c r="I167" t="inlineStr">
        <is>
          <t>—</t>
        </is>
      </c>
      <c r="J167" t="inlineStr">
        <is>
          <t>—</t>
        </is>
      </c>
      <c r="K167" t="inlineStr">
        <is>
          <t>—</t>
        </is>
      </c>
    </row>
    <row r="168">
      <c r="A168" t="inlineStr">
        <is>
          <t xml:space="preserve">        Health and personal care retailers</t>
        </is>
      </c>
      <c r="B168" t="inlineStr">
        <is>
          <t>456000</t>
        </is>
      </c>
      <c r="C168" t="inlineStr">
        <is>
          <t>Summary</t>
        </is>
      </c>
      <c r="D168" t="n">
        <v>1088.9</v>
      </c>
      <c r="E168" t="n">
        <v>1097.4</v>
      </c>
      <c r="F168" t="n">
        <v>8.5</v>
      </c>
      <c r="G168" t="n">
        <v>0.8</v>
      </c>
      <c r="H168" t="n">
        <v>0.1</v>
      </c>
      <c r="I168" t="inlineStr">
        <is>
          <t>—</t>
        </is>
      </c>
      <c r="J168" t="inlineStr">
        <is>
          <t>—</t>
        </is>
      </c>
      <c r="K168" t="inlineStr">
        <is>
          <t>—</t>
        </is>
      </c>
    </row>
    <row r="169">
      <c r="A169" t="inlineStr">
        <is>
          <t xml:space="preserve">          Health and personal care retailers</t>
        </is>
      </c>
      <c r="B169" t="inlineStr">
        <is>
          <t>456100</t>
        </is>
      </c>
      <c r="C169" t="inlineStr">
        <is>
          <t>Summary</t>
        </is>
      </c>
      <c r="D169" t="n">
        <v>1088.9</v>
      </c>
      <c r="E169" t="n">
        <v>1097.4</v>
      </c>
      <c r="F169" t="n">
        <v>8.5</v>
      </c>
      <c r="G169" t="n">
        <v>0.8</v>
      </c>
      <c r="H169" t="n">
        <v>0.1</v>
      </c>
      <c r="I169" t="inlineStr">
        <is>
          <t>—</t>
        </is>
      </c>
      <c r="J169" t="inlineStr">
        <is>
          <t>—</t>
        </is>
      </c>
      <c r="K169" t="inlineStr">
        <is>
          <t>—</t>
        </is>
      </c>
    </row>
    <row r="170">
      <c r="A170" t="inlineStr">
        <is>
          <t xml:space="preserve">            Pharmacies and drug retailers</t>
        </is>
      </c>
      <c r="B170" t="inlineStr">
        <is>
          <t>456110</t>
        </is>
      </c>
      <c r="C170" t="inlineStr">
        <is>
          <t>Line item</t>
        </is>
      </c>
      <c r="D170" t="n">
        <v>709.8</v>
      </c>
      <c r="E170" t="n">
        <v>698.3</v>
      </c>
      <c r="F170" t="n">
        <v>-11.5</v>
      </c>
      <c r="G170" t="n">
        <v>-1.6</v>
      </c>
      <c r="H170" t="n">
        <v>-0.2</v>
      </c>
      <c r="I170" t="inlineStr">
        <is>
          <t>—</t>
        </is>
      </c>
      <c r="J170" t="inlineStr">
        <is>
          <t>—</t>
        </is>
      </c>
      <c r="K170" t="inlineStr">
        <is>
          <t>—</t>
        </is>
      </c>
    </row>
    <row r="171">
      <c r="A171" t="inlineStr">
        <is>
          <t xml:space="preserve">        Gasoline stations and fuel dealers</t>
        </is>
      </c>
      <c r="B171" t="inlineStr">
        <is>
          <t>457000</t>
        </is>
      </c>
      <c r="C171" t="inlineStr">
        <is>
          <t>Summary</t>
        </is>
      </c>
      <c r="D171" t="n">
        <v>1053.7</v>
      </c>
      <c r="E171" t="n">
        <v>908.9</v>
      </c>
      <c r="F171" t="n">
        <v>-144.8</v>
      </c>
      <c r="G171" t="n">
        <v>-13.7</v>
      </c>
      <c r="H171" t="n">
        <v>-1.5</v>
      </c>
      <c r="I171" t="inlineStr">
        <is>
          <t>—</t>
        </is>
      </c>
      <c r="J171" t="inlineStr">
        <is>
          <t>—</t>
        </is>
      </c>
      <c r="K171" t="inlineStr">
        <is>
          <t>—</t>
        </is>
      </c>
    </row>
    <row r="172">
      <c r="A172" t="inlineStr">
        <is>
          <t xml:space="preserve">          Gasoline stations</t>
        </is>
      </c>
      <c r="B172" t="inlineStr">
        <is>
          <t>457100</t>
        </is>
      </c>
      <c r="C172" t="inlineStr">
        <is>
          <t>Line item</t>
        </is>
      </c>
      <c r="D172" t="n">
        <v>983.4</v>
      </c>
      <c r="E172" t="n">
        <v>845.2</v>
      </c>
      <c r="F172" t="n">
        <v>-138.2</v>
      </c>
      <c r="G172" t="n">
        <v>-14.1</v>
      </c>
      <c r="H172" t="n">
        <v>-1.5</v>
      </c>
      <c r="I172" t="inlineStr">
        <is>
          <t>—</t>
        </is>
      </c>
      <c r="J172" t="inlineStr">
        <is>
          <t>—</t>
        </is>
      </c>
      <c r="K172" t="inlineStr">
        <is>
          <t>—</t>
        </is>
      </c>
    </row>
    <row r="173">
      <c r="A173" t="inlineStr">
        <is>
          <t xml:space="preserve">          Fuel dealers</t>
        </is>
      </c>
      <c r="B173" t="inlineStr">
        <is>
          <t>457200</t>
        </is>
      </c>
      <c r="C173" t="inlineStr">
        <is>
          <t>Line item</t>
        </is>
      </c>
      <c r="D173" t="n">
        <v>70.3</v>
      </c>
      <c r="E173" t="n">
        <v>63.7</v>
      </c>
      <c r="F173" t="n">
        <v>-6.6</v>
      </c>
      <c r="G173" t="n">
        <v>-9.4</v>
      </c>
      <c r="H173" t="n">
        <v>-1</v>
      </c>
      <c r="I173" t="inlineStr">
        <is>
          <t>—</t>
        </is>
      </c>
      <c r="J173" t="inlineStr">
        <is>
          <t>—</t>
        </is>
      </c>
      <c r="K173" t="inlineStr">
        <is>
          <t>—</t>
        </is>
      </c>
    </row>
    <row r="174">
      <c r="A174" t="inlineStr">
        <is>
          <t xml:space="preserve">        Clothing, clothing accessories, shoe, and jewelry retailers</t>
        </is>
      </c>
      <c r="B174" t="inlineStr">
        <is>
          <t>458000</t>
        </is>
      </c>
      <c r="C174" t="inlineStr">
        <is>
          <t>Summary</t>
        </is>
      </c>
      <c r="D174" t="n">
        <v>1136.2</v>
      </c>
      <c r="E174" t="n">
        <v>1104.8</v>
      </c>
      <c r="F174" t="n">
        <v>-31.4</v>
      </c>
      <c r="G174" t="n">
        <v>-2.8</v>
      </c>
      <c r="H174" t="n">
        <v>-0.3</v>
      </c>
      <c r="I174" t="inlineStr">
        <is>
          <t>—</t>
        </is>
      </c>
      <c r="J174" t="inlineStr">
        <is>
          <t>—</t>
        </is>
      </c>
      <c r="K174" t="inlineStr">
        <is>
          <t>—</t>
        </is>
      </c>
    </row>
    <row r="175">
      <c r="A175" t="inlineStr">
        <is>
          <t xml:space="preserve">          Clothing and clothing accessories retailers</t>
        </is>
      </c>
      <c r="B175" t="inlineStr">
        <is>
          <t>458100</t>
        </is>
      </c>
      <c r="C175" t="inlineStr">
        <is>
          <t>Line item</t>
        </is>
      </c>
      <c r="D175" t="n">
        <v>841.3</v>
      </c>
      <c r="E175" t="n">
        <v>824.4</v>
      </c>
      <c r="F175" t="n">
        <v>-16.9</v>
      </c>
      <c r="G175" t="n">
        <v>-2</v>
      </c>
      <c r="H175" t="n">
        <v>-0.2</v>
      </c>
      <c r="I175" t="inlineStr">
        <is>
          <t>—</t>
        </is>
      </c>
      <c r="J175" t="inlineStr">
        <is>
          <t>—</t>
        </is>
      </c>
      <c r="K175" t="inlineStr">
        <is>
          <t>—</t>
        </is>
      </c>
    </row>
    <row r="176">
      <c r="A176" t="inlineStr">
        <is>
          <t xml:space="preserve">          Shoe retailers</t>
        </is>
      </c>
      <c r="B176" t="inlineStr">
        <is>
          <t>458200</t>
        </is>
      </c>
      <c r="C176" t="inlineStr">
        <is>
          <t>Line item</t>
        </is>
      </c>
      <c r="D176" t="n">
        <v>169.9</v>
      </c>
      <c r="E176" t="n">
        <v>163</v>
      </c>
      <c r="F176" t="n">
        <v>-6.9</v>
      </c>
      <c r="G176" t="n">
        <v>-4.1</v>
      </c>
      <c r="H176" t="n">
        <v>-0.4</v>
      </c>
      <c r="I176" t="inlineStr">
        <is>
          <t>—</t>
        </is>
      </c>
      <c r="J176" t="inlineStr">
        <is>
          <t>—</t>
        </is>
      </c>
      <c r="K176" t="inlineStr">
        <is>
          <t>—</t>
        </is>
      </c>
    </row>
    <row r="177">
      <c r="A177" t="inlineStr">
        <is>
          <t xml:space="preserve">          Jewelry, luggage, and leather goods retailers</t>
        </is>
      </c>
      <c r="B177" t="inlineStr">
        <is>
          <t>458300</t>
        </is>
      </c>
      <c r="C177" t="inlineStr">
        <is>
          <t>Line item</t>
        </is>
      </c>
      <c r="D177" t="n">
        <v>125</v>
      </c>
      <c r="E177" t="n">
        <v>117.4</v>
      </c>
      <c r="F177" t="n">
        <v>-7.6</v>
      </c>
      <c r="G177" t="n">
        <v>-6.1</v>
      </c>
      <c r="H177" t="n">
        <v>-0.6</v>
      </c>
      <c r="I177" t="inlineStr">
        <is>
          <t>—</t>
        </is>
      </c>
      <c r="J177" t="inlineStr">
        <is>
          <t>—</t>
        </is>
      </c>
      <c r="K177" t="inlineStr">
        <is>
          <t>—</t>
        </is>
      </c>
    </row>
    <row r="178">
      <c r="A178" t="inlineStr">
        <is>
          <t xml:space="preserve">        Sporting goods, hobby, musical instrument, book, and miscellaneous retailers</t>
        </is>
      </c>
      <c r="B178" t="inlineStr">
        <is>
          <t>459000</t>
        </is>
      </c>
      <c r="C178" t="inlineStr">
        <is>
          <t>Summary</t>
        </is>
      </c>
      <c r="D178" t="n">
        <v>1507.8</v>
      </c>
      <c r="E178" t="n">
        <v>1397.9</v>
      </c>
      <c r="F178" t="n">
        <v>-109.9</v>
      </c>
      <c r="G178" t="n">
        <v>-7.3</v>
      </c>
      <c r="H178" t="n">
        <v>-0.8</v>
      </c>
      <c r="I178" t="inlineStr">
        <is>
          <t>—</t>
        </is>
      </c>
      <c r="J178" t="inlineStr">
        <is>
          <t>—</t>
        </is>
      </c>
      <c r="K178" t="inlineStr">
        <is>
          <t>—</t>
        </is>
      </c>
    </row>
    <row r="179">
      <c r="A179" t="inlineStr">
        <is>
          <t xml:space="preserve">          Sporting goods retailers</t>
        </is>
      </c>
      <c r="B179" t="inlineStr">
        <is>
          <t>459110</t>
        </is>
      </c>
      <c r="C179" t="inlineStr">
        <is>
          <t>Line item</t>
        </is>
      </c>
      <c r="D179" t="n">
        <v>299.2</v>
      </c>
      <c r="E179" t="n">
        <v>281.7</v>
      </c>
      <c r="F179" t="n">
        <v>-17.5</v>
      </c>
      <c r="G179" t="n">
        <v>-5.8</v>
      </c>
      <c r="H179" t="n">
        <v>-0.6</v>
      </c>
      <c r="I179" t="inlineStr">
        <is>
          <t>—</t>
        </is>
      </c>
      <c r="J179" t="inlineStr">
        <is>
          <t>—</t>
        </is>
      </c>
      <c r="K179" t="inlineStr">
        <is>
          <t>—</t>
        </is>
      </c>
    </row>
    <row r="180">
      <c r="A180" t="inlineStr">
        <is>
          <t xml:space="preserve">          Book retailers and news dealers</t>
        </is>
      </c>
      <c r="B180" t="inlineStr">
        <is>
          <t>459200</t>
        </is>
      </c>
      <c r="C180" t="inlineStr">
        <is>
          <t>Line item</t>
        </is>
      </c>
      <c r="D180" t="n">
        <v>65.8</v>
      </c>
      <c r="E180" t="n">
        <v>57</v>
      </c>
      <c r="F180" t="n">
        <v>-8.800000000000001</v>
      </c>
      <c r="G180" t="n">
        <v>-13.4</v>
      </c>
      <c r="H180" t="n">
        <v>-1.4</v>
      </c>
      <c r="I180" t="inlineStr">
        <is>
          <t>—</t>
        </is>
      </c>
      <c r="J180" t="inlineStr">
        <is>
          <t>—</t>
        </is>
      </c>
      <c r="K180" t="inlineStr">
        <is>
          <t>—</t>
        </is>
      </c>
    </row>
    <row r="181">
      <c r="A181" t="inlineStr">
        <is>
          <t xml:space="preserve">          Florists</t>
        </is>
      </c>
      <c r="B181" t="inlineStr">
        <is>
          <t>459300</t>
        </is>
      </c>
      <c r="C181" t="inlineStr">
        <is>
          <t>Line item</t>
        </is>
      </c>
      <c r="D181" t="n">
        <v>59</v>
      </c>
      <c r="E181" t="n">
        <v>53.7</v>
      </c>
      <c r="F181" t="n">
        <v>-5.3</v>
      </c>
      <c r="G181" t="n">
        <v>-9</v>
      </c>
      <c r="H181" t="n">
        <v>-0.9</v>
      </c>
      <c r="I181" t="inlineStr">
        <is>
          <t>—</t>
        </is>
      </c>
      <c r="J181" t="inlineStr">
        <is>
          <t>—</t>
        </is>
      </c>
      <c r="K181" t="inlineStr">
        <is>
          <t>—</t>
        </is>
      </c>
    </row>
    <row r="182">
      <c r="A182" t="inlineStr">
        <is>
          <t xml:space="preserve">          Miscellaneous store retailers (4594 and 4595 only)</t>
        </is>
      </c>
      <c r="B182" t="inlineStr">
        <is>
          <t>4590A1</t>
        </is>
      </c>
      <c r="C182" t="inlineStr">
        <is>
          <t>Line item</t>
        </is>
      </c>
      <c r="D182" t="n">
        <v>406.4</v>
      </c>
      <c r="E182" t="n">
        <v>366.9</v>
      </c>
      <c r="F182" t="n">
        <v>-39.5</v>
      </c>
      <c r="G182" t="n">
        <v>-9.699999999999999</v>
      </c>
      <c r="H182" t="n">
        <v>-1</v>
      </c>
      <c r="I182" t="inlineStr">
        <is>
          <t>—</t>
        </is>
      </c>
      <c r="J182" t="inlineStr">
        <is>
          <t>—</t>
        </is>
      </c>
      <c r="K182" t="inlineStr">
        <is>
          <t>—</t>
        </is>
      </c>
    </row>
    <row r="183">
      <c r="A183" t="inlineStr">
        <is>
          <t xml:space="preserve">          Other miscellaneous retailers</t>
        </is>
      </c>
      <c r="B183" t="inlineStr">
        <is>
          <t>459900</t>
        </is>
      </c>
      <c r="C183" t="inlineStr">
        <is>
          <t>Line item</t>
        </is>
      </c>
      <c r="D183" t="n">
        <v>487.7</v>
      </c>
      <c r="E183" t="n">
        <v>474.2</v>
      </c>
      <c r="F183" t="n">
        <v>-13.5</v>
      </c>
      <c r="G183" t="n">
        <v>-2.8</v>
      </c>
      <c r="H183" t="n">
        <v>-0.3</v>
      </c>
      <c r="I183" t="inlineStr">
        <is>
          <t>—</t>
        </is>
      </c>
      <c r="J183" t="inlineStr">
        <is>
          <t>—</t>
        </is>
      </c>
      <c r="K183" t="inlineStr">
        <is>
          <t>—</t>
        </is>
      </c>
    </row>
    <row r="184">
      <c r="A184" t="inlineStr">
        <is>
          <t xml:space="preserve">    Transportation and warehousing</t>
        </is>
      </c>
      <c r="B184" t="inlineStr">
        <is>
          <t>48-490</t>
        </is>
      </c>
      <c r="C184" t="inlineStr">
        <is>
          <t>Summary</t>
        </is>
      </c>
      <c r="D184" t="n">
        <v>6654.5</v>
      </c>
      <c r="E184" t="n">
        <v>6853.3</v>
      </c>
      <c r="F184" t="n">
        <v>198.8</v>
      </c>
      <c r="G184" t="n">
        <v>3</v>
      </c>
      <c r="H184" t="n">
        <v>0.3</v>
      </c>
      <c r="I184" t="n">
        <v>1382</v>
      </c>
      <c r="J184" t="n">
        <v>1720.3</v>
      </c>
      <c r="K184" t="n">
        <v>2.2</v>
      </c>
    </row>
    <row r="185">
      <c r="A185" t="inlineStr">
        <is>
          <t xml:space="preserve">      Air transportation</t>
        </is>
      </c>
      <c r="B185" t="inlineStr">
        <is>
          <t>481000</t>
        </is>
      </c>
      <c r="C185" t="inlineStr">
        <is>
          <t>Summary</t>
        </is>
      </c>
      <c r="D185" t="n">
        <v>564.4</v>
      </c>
      <c r="E185" t="n">
        <v>589.9</v>
      </c>
      <c r="F185" t="n">
        <v>25.5</v>
      </c>
      <c r="G185" t="n">
        <v>4.5</v>
      </c>
      <c r="H185" t="n">
        <v>0.4</v>
      </c>
      <c r="I185" t="n">
        <v>281.6</v>
      </c>
      <c r="J185" t="n">
        <v>353.6</v>
      </c>
      <c r="K185" t="n">
        <v>2.3</v>
      </c>
      <c r="L185" t="inlineStr">
        <is>
          <t>ISIC 51</t>
        </is>
      </c>
    </row>
    <row r="186">
      <c r="A186" t="inlineStr">
        <is>
          <t xml:space="preserve">        Scheduled air transportation</t>
        </is>
      </c>
      <c r="B186" t="inlineStr">
        <is>
          <t>481100</t>
        </is>
      </c>
      <c r="C186" t="inlineStr">
        <is>
          <t>Line item</t>
        </is>
      </c>
      <c r="D186" t="n">
        <v>504.5</v>
      </c>
      <c r="E186" t="n">
        <v>526.4</v>
      </c>
      <c r="F186" t="n">
        <v>21.9</v>
      </c>
      <c r="G186" t="n">
        <v>4.3</v>
      </c>
      <c r="H186" t="n">
        <v>0.4</v>
      </c>
      <c r="I186" t="inlineStr">
        <is>
          <t>—</t>
        </is>
      </c>
      <c r="J186" t="inlineStr">
        <is>
          <t>—</t>
        </is>
      </c>
      <c r="K186" t="inlineStr">
        <is>
          <t>—</t>
        </is>
      </c>
    </row>
    <row r="187">
      <c r="A187" t="inlineStr">
        <is>
          <t xml:space="preserve">        Nonscheduled air transportation</t>
        </is>
      </c>
      <c r="B187" t="inlineStr">
        <is>
          <t>481200</t>
        </is>
      </c>
      <c r="C187" t="inlineStr">
        <is>
          <t>Line item</t>
        </is>
      </c>
      <c r="D187" t="n">
        <v>59.9</v>
      </c>
      <c r="E187" t="n">
        <v>63.4</v>
      </c>
      <c r="F187" t="n">
        <v>3.5</v>
      </c>
      <c r="G187" t="n">
        <v>5.9</v>
      </c>
      <c r="H187" t="n">
        <v>0.6</v>
      </c>
      <c r="I187" t="inlineStr">
        <is>
          <t>—</t>
        </is>
      </c>
      <c r="J187" t="inlineStr">
        <is>
          <t>—</t>
        </is>
      </c>
      <c r="K187" t="inlineStr">
        <is>
          <t>—</t>
        </is>
      </c>
    </row>
    <row r="188">
      <c r="A188" t="inlineStr">
        <is>
          <t xml:space="preserve">      Rail transportation</t>
        </is>
      </c>
      <c r="B188" t="inlineStr">
        <is>
          <t>482000</t>
        </is>
      </c>
      <c r="C188" t="inlineStr">
        <is>
          <t>Line item</t>
        </is>
      </c>
      <c r="D188" t="n">
        <v>156.4</v>
      </c>
      <c r="E188" t="n">
        <v>157.1</v>
      </c>
      <c r="F188" t="n">
        <v>0.7</v>
      </c>
      <c r="G188" t="n">
        <v>0.4</v>
      </c>
      <c r="H188" t="n">
        <v>0</v>
      </c>
      <c r="I188" t="n">
        <v>71.5</v>
      </c>
      <c r="J188" t="n">
        <v>81.2</v>
      </c>
      <c r="K188" t="n">
        <v>1.3</v>
      </c>
      <c r="L188" t="inlineStr">
        <is>
          <t>ISIC 49</t>
        </is>
      </c>
    </row>
    <row r="189">
      <c r="A189" t="inlineStr">
        <is>
          <t xml:space="preserve">      Water transportation</t>
        </is>
      </c>
      <c r="B189" t="inlineStr">
        <is>
          <t>483000</t>
        </is>
      </c>
      <c r="C189" t="inlineStr">
        <is>
          <t>Summary</t>
        </is>
      </c>
      <c r="D189" t="n">
        <v>70</v>
      </c>
      <c r="E189" t="n">
        <v>71.40000000000001</v>
      </c>
      <c r="F189" t="n">
        <v>1.4</v>
      </c>
      <c r="G189" t="n">
        <v>2</v>
      </c>
      <c r="H189" t="n">
        <v>0.2</v>
      </c>
      <c r="I189" t="n">
        <v>55.6</v>
      </c>
      <c r="J189" t="n">
        <v>68.5</v>
      </c>
      <c r="K189" t="n">
        <v>2.1</v>
      </c>
      <c r="L189" t="inlineStr">
        <is>
          <t>ISIC 50</t>
        </is>
      </c>
    </row>
    <row r="190">
      <c r="A190" t="inlineStr">
        <is>
          <t xml:space="preserve">        Deep sea, coastal, and great lakes water transportation</t>
        </is>
      </c>
      <c r="B190" t="inlineStr">
        <is>
          <t>483100</t>
        </is>
      </c>
      <c r="C190" t="inlineStr">
        <is>
          <t>Line item</t>
        </is>
      </c>
      <c r="D190" t="n">
        <v>41.5</v>
      </c>
      <c r="E190" t="n">
        <v>42.3</v>
      </c>
      <c r="F190" t="n">
        <v>0.8</v>
      </c>
      <c r="G190" t="n">
        <v>2</v>
      </c>
      <c r="H190" t="n">
        <v>0.2</v>
      </c>
      <c r="I190" t="inlineStr">
        <is>
          <t>—</t>
        </is>
      </c>
      <c r="J190" t="inlineStr">
        <is>
          <t>—</t>
        </is>
      </c>
      <c r="K190" t="inlineStr">
        <is>
          <t>—</t>
        </is>
      </c>
    </row>
    <row r="191">
      <c r="A191" t="inlineStr">
        <is>
          <t xml:space="preserve">        Inland water transportation</t>
        </is>
      </c>
      <c r="B191" t="inlineStr">
        <is>
          <t>483200</t>
        </is>
      </c>
      <c r="C191" t="inlineStr">
        <is>
          <t>Line item</t>
        </is>
      </c>
      <c r="D191" t="n">
        <v>28.5</v>
      </c>
      <c r="E191" t="n">
        <v>29</v>
      </c>
      <c r="F191" t="n">
        <v>0.5</v>
      </c>
      <c r="G191" t="n">
        <v>1.9</v>
      </c>
      <c r="H191" t="n">
        <v>0.2</v>
      </c>
      <c r="I191" t="inlineStr">
        <is>
          <t>—</t>
        </is>
      </c>
      <c r="J191" t="inlineStr">
        <is>
          <t>—</t>
        </is>
      </c>
      <c r="K191" t="inlineStr">
        <is>
          <t>—</t>
        </is>
      </c>
    </row>
    <row r="192">
      <c r="A192" t="inlineStr">
        <is>
          <t xml:space="preserve">      Truck transportation</t>
        </is>
      </c>
      <c r="B192" t="inlineStr">
        <is>
          <t>484000</t>
        </is>
      </c>
      <c r="C192" t="inlineStr">
        <is>
          <t>Line item</t>
        </is>
      </c>
      <c r="D192" t="n">
        <v>1522.1</v>
      </c>
      <c r="E192" t="n">
        <v>1543.1</v>
      </c>
      <c r="F192" t="n">
        <v>21</v>
      </c>
      <c r="G192" t="n">
        <v>1.4</v>
      </c>
      <c r="H192" t="n">
        <v>0.1</v>
      </c>
      <c r="I192" t="n">
        <v>391.5</v>
      </c>
      <c r="J192" t="n">
        <v>487.1</v>
      </c>
      <c r="K192" t="n">
        <v>2.2</v>
      </c>
      <c r="L192" t="inlineStr">
        <is>
          <t>ISIC 49</t>
        </is>
      </c>
    </row>
    <row r="193">
      <c r="A193" t="inlineStr">
        <is>
          <t xml:space="preserve">      Transit and ground passenger transportation</t>
        </is>
      </c>
      <c r="B193" t="inlineStr">
        <is>
          <t>485000</t>
        </is>
      </c>
      <c r="C193" t="inlineStr">
        <is>
          <t>Summary</t>
        </is>
      </c>
      <c r="D193" t="n">
        <v>472.6</v>
      </c>
      <c r="E193" t="n">
        <v>488.6</v>
      </c>
      <c r="F193" t="n">
        <v>16</v>
      </c>
      <c r="G193" t="n">
        <v>3.4</v>
      </c>
      <c r="H193" t="n">
        <v>0.3</v>
      </c>
      <c r="I193" t="n">
        <v>157.8</v>
      </c>
      <c r="J193" t="n">
        <v>178.6</v>
      </c>
      <c r="K193" t="n">
        <v>1.2</v>
      </c>
      <c r="L193" t="inlineStr">
        <is>
          <t>ISIC 49</t>
        </is>
      </c>
    </row>
    <row r="194">
      <c r="A194" t="inlineStr">
        <is>
          <t xml:space="preserve">        Urban transit systems</t>
        </is>
      </c>
      <c r="B194" t="inlineStr">
        <is>
          <t>485100</t>
        </is>
      </c>
      <c r="C194" t="inlineStr">
        <is>
          <t>Line item</t>
        </is>
      </c>
      <c r="D194" t="n">
        <v>48</v>
      </c>
      <c r="E194" t="n">
        <v>49.8</v>
      </c>
      <c r="F194" t="n">
        <v>1.9</v>
      </c>
      <c r="G194" t="n">
        <v>3.9</v>
      </c>
      <c r="H194" t="n">
        <v>0.4</v>
      </c>
      <c r="I194" t="inlineStr">
        <is>
          <t>—</t>
        </is>
      </c>
      <c r="J194" t="inlineStr">
        <is>
          <t>—</t>
        </is>
      </c>
      <c r="K194" t="inlineStr">
        <is>
          <t>—</t>
        </is>
      </c>
    </row>
    <row r="195">
      <c r="A195" t="inlineStr">
        <is>
          <t xml:space="preserve">        Interurban and rural bus transportation</t>
        </is>
      </c>
      <c r="B195" t="inlineStr">
        <is>
          <t>485200</t>
        </is>
      </c>
      <c r="C195" t="inlineStr">
        <is>
          <t>Line item</t>
        </is>
      </c>
      <c r="D195" t="n">
        <v>16.2</v>
      </c>
      <c r="E195" t="n">
        <v>16.6</v>
      </c>
      <c r="F195" t="n">
        <v>0.5</v>
      </c>
      <c r="G195" t="n">
        <v>2.8</v>
      </c>
      <c r="H195" t="n">
        <v>0.2</v>
      </c>
      <c r="I195" t="inlineStr">
        <is>
          <t>—</t>
        </is>
      </c>
      <c r="J195" t="inlineStr">
        <is>
          <t>—</t>
        </is>
      </c>
      <c r="K195" t="inlineStr">
        <is>
          <t>—</t>
        </is>
      </c>
    </row>
    <row r="196">
      <c r="A196" t="inlineStr">
        <is>
          <t xml:space="preserve">        Taxi and limousine service</t>
        </is>
      </c>
      <c r="B196" t="inlineStr">
        <is>
          <t>485300</t>
        </is>
      </c>
      <c r="C196" t="inlineStr">
        <is>
          <t>Line item</t>
        </is>
      </c>
      <c r="D196" t="n">
        <v>71.2</v>
      </c>
      <c r="E196" t="n">
        <v>67.90000000000001</v>
      </c>
      <c r="F196" t="n">
        <v>-3.3</v>
      </c>
      <c r="G196" t="n">
        <v>-4.6</v>
      </c>
      <c r="H196" t="n">
        <v>-0.5</v>
      </c>
      <c r="I196" t="inlineStr">
        <is>
          <t>—</t>
        </is>
      </c>
      <c r="J196" t="inlineStr">
        <is>
          <t>—</t>
        </is>
      </c>
      <c r="K196" t="inlineStr">
        <is>
          <t>—</t>
        </is>
      </c>
    </row>
    <row r="197">
      <c r="A197" t="inlineStr">
        <is>
          <t xml:space="preserve">        School and employee bus transportation</t>
        </is>
      </c>
      <c r="B197" t="inlineStr">
        <is>
          <t>485400</t>
        </is>
      </c>
      <c r="C197" t="inlineStr">
        <is>
          <t>Line item</t>
        </is>
      </c>
      <c r="D197" t="n">
        <v>203</v>
      </c>
      <c r="E197" t="n">
        <v>208.4</v>
      </c>
      <c r="F197" t="n">
        <v>5.4</v>
      </c>
      <c r="G197" t="n">
        <v>2.7</v>
      </c>
      <c r="H197" t="n">
        <v>0.3</v>
      </c>
      <c r="I197" t="inlineStr">
        <is>
          <t>—</t>
        </is>
      </c>
      <c r="J197" t="inlineStr">
        <is>
          <t>—</t>
        </is>
      </c>
      <c r="K197" t="inlineStr">
        <is>
          <t>—</t>
        </is>
      </c>
    </row>
    <row r="198">
      <c r="A198" t="inlineStr">
        <is>
          <t xml:space="preserve">        Charter bus industry</t>
        </is>
      </c>
      <c r="B198" t="inlineStr">
        <is>
          <t>485500</t>
        </is>
      </c>
      <c r="C198" t="inlineStr">
        <is>
          <t>Line item</t>
        </is>
      </c>
      <c r="D198" t="n">
        <v>24.1</v>
      </c>
      <c r="E198" t="n">
        <v>24.9</v>
      </c>
      <c r="F198" t="n">
        <v>0.9</v>
      </c>
      <c r="G198" t="n">
        <v>3.5</v>
      </c>
      <c r="H198" t="n">
        <v>0.3</v>
      </c>
      <c r="I198" t="inlineStr">
        <is>
          <t>—</t>
        </is>
      </c>
      <c r="J198" t="inlineStr">
        <is>
          <t>—</t>
        </is>
      </c>
      <c r="K198" t="inlineStr">
        <is>
          <t>—</t>
        </is>
      </c>
    </row>
    <row r="199">
      <c r="A199" t="inlineStr">
        <is>
          <t xml:space="preserve">        Other transit and ground passenger transportation</t>
        </is>
      </c>
      <c r="B199" t="inlineStr">
        <is>
          <t>485900</t>
        </is>
      </c>
      <c r="C199" t="inlineStr">
        <is>
          <t>Line item</t>
        </is>
      </c>
      <c r="D199" t="n">
        <v>110.2</v>
      </c>
      <c r="E199" t="n">
        <v>120.9</v>
      </c>
      <c r="F199" t="n">
        <v>10.7</v>
      </c>
      <c r="G199" t="n">
        <v>9.699999999999999</v>
      </c>
      <c r="H199" t="n">
        <v>0.9</v>
      </c>
      <c r="I199" t="inlineStr">
        <is>
          <t>—</t>
        </is>
      </c>
      <c r="J199" t="inlineStr">
        <is>
          <t>—</t>
        </is>
      </c>
      <c r="K199" t="inlineStr">
        <is>
          <t>—</t>
        </is>
      </c>
    </row>
    <row r="200">
      <c r="A200" t="inlineStr">
        <is>
          <t xml:space="preserve">      Pipeline transportation</t>
        </is>
      </c>
      <c r="B200" t="inlineStr">
        <is>
          <t>486000</t>
        </is>
      </c>
      <c r="C200" t="inlineStr">
        <is>
          <t>Summary</t>
        </is>
      </c>
      <c r="D200" t="n">
        <v>55.4</v>
      </c>
      <c r="E200" t="n">
        <v>57.9</v>
      </c>
      <c r="F200" t="n">
        <v>2.5</v>
      </c>
      <c r="G200" t="n">
        <v>4.4</v>
      </c>
      <c r="H200" t="n">
        <v>0.4</v>
      </c>
      <c r="I200" t="n">
        <v>52.8</v>
      </c>
      <c r="J200" t="n">
        <v>62.5</v>
      </c>
      <c r="K200" t="n">
        <v>1.7</v>
      </c>
      <c r="L200" t="inlineStr">
        <is>
          <t>ISIC 352T353</t>
        </is>
      </c>
    </row>
    <row r="201">
      <c r="A201" t="inlineStr">
        <is>
          <t xml:space="preserve">        Pipeline transportation of crude oil</t>
        </is>
      </c>
      <c r="B201" t="inlineStr">
        <is>
          <t>486100</t>
        </is>
      </c>
      <c r="C201" t="inlineStr">
        <is>
          <t>Line item</t>
        </is>
      </c>
      <c r="D201" t="n">
        <v>12.6</v>
      </c>
      <c r="E201" t="n">
        <v>13</v>
      </c>
      <c r="F201" t="n">
        <v>0.4</v>
      </c>
      <c r="G201" t="n">
        <v>3.2</v>
      </c>
      <c r="H201" t="n">
        <v>0.3</v>
      </c>
      <c r="I201" t="inlineStr">
        <is>
          <t>—</t>
        </is>
      </c>
      <c r="J201" t="inlineStr">
        <is>
          <t>—</t>
        </is>
      </c>
      <c r="K201" t="inlineStr">
        <is>
          <t>—</t>
        </is>
      </c>
    </row>
    <row r="202">
      <c r="A202" t="inlineStr">
        <is>
          <t xml:space="preserve">        Pipeline transportation of natural gas</t>
        </is>
      </c>
      <c r="B202" t="inlineStr">
        <is>
          <t>486200</t>
        </is>
      </c>
      <c r="C202" t="inlineStr">
        <is>
          <t>Line item</t>
        </is>
      </c>
      <c r="D202" t="n">
        <v>35.2</v>
      </c>
      <c r="E202" t="n">
        <v>37.1</v>
      </c>
      <c r="F202" t="n">
        <v>1.9</v>
      </c>
      <c r="G202" t="n">
        <v>5.5</v>
      </c>
      <c r="H202" t="n">
        <v>0.5</v>
      </c>
      <c r="I202" t="inlineStr">
        <is>
          <t>—</t>
        </is>
      </c>
      <c r="J202" t="inlineStr">
        <is>
          <t>—</t>
        </is>
      </c>
      <c r="K202" t="inlineStr">
        <is>
          <t>—</t>
        </is>
      </c>
    </row>
    <row r="203">
      <c r="A203" t="inlineStr">
        <is>
          <t xml:space="preserve">        Other pipeline transportation</t>
        </is>
      </c>
      <c r="B203" t="inlineStr">
        <is>
          <t>486900</t>
        </is>
      </c>
      <c r="C203" t="inlineStr">
        <is>
          <t>Line item</t>
        </is>
      </c>
      <c r="D203" t="n">
        <v>7.6</v>
      </c>
      <c r="E203" t="n">
        <v>7.8</v>
      </c>
      <c r="F203" t="n">
        <v>0.1</v>
      </c>
      <c r="G203" t="n">
        <v>1.5</v>
      </c>
      <c r="H203" t="n">
        <v>0.3</v>
      </c>
      <c r="I203" t="inlineStr">
        <is>
          <t>—</t>
        </is>
      </c>
      <c r="J203" t="inlineStr">
        <is>
          <t>—</t>
        </is>
      </c>
      <c r="K203" t="inlineStr">
        <is>
          <t>—</t>
        </is>
      </c>
    </row>
    <row r="204">
      <c r="A204" t="inlineStr">
        <is>
          <t xml:space="preserve">      Scenic and sightseeing transportation and support activities for transportation</t>
        </is>
      </c>
      <c r="B204" t="inlineStr">
        <is>
          <t>487-80</t>
        </is>
      </c>
      <c r="C204" t="inlineStr">
        <is>
          <t>Summary</t>
        </is>
      </c>
      <c r="D204" t="n">
        <v>868.1</v>
      </c>
      <c r="E204" t="n">
        <v>914.9</v>
      </c>
      <c r="F204" t="n">
        <v>46.8</v>
      </c>
      <c r="G204" t="n">
        <v>5.4</v>
      </c>
      <c r="H204" t="n">
        <v>0.5</v>
      </c>
      <c r="I204" t="n">
        <v>165.5</v>
      </c>
      <c r="J204" t="n">
        <v>218.6</v>
      </c>
      <c r="K204" t="n">
        <v>2.8</v>
      </c>
      <c r="L204" t="inlineStr">
        <is>
          <t>ISIC 52</t>
        </is>
      </c>
    </row>
    <row r="205">
      <c r="A205" t="inlineStr">
        <is>
          <t xml:space="preserve">        Scenic and sightseeing transportation</t>
        </is>
      </c>
      <c r="B205" t="inlineStr">
        <is>
          <t>487000</t>
        </is>
      </c>
      <c r="C205" t="inlineStr">
        <is>
          <t>Summary</t>
        </is>
      </c>
      <c r="D205" t="n">
        <v>31.1</v>
      </c>
      <c r="E205" t="n">
        <v>31.6</v>
      </c>
      <c r="F205" t="n">
        <v>0.5</v>
      </c>
      <c r="G205" t="n">
        <v>1.5</v>
      </c>
      <c r="H205" t="n">
        <v>0.2</v>
      </c>
      <c r="I205" t="inlineStr">
        <is>
          <t>—</t>
        </is>
      </c>
      <c r="J205" t="inlineStr">
        <is>
          <t>—</t>
        </is>
      </c>
      <c r="K205" t="inlineStr">
        <is>
          <t>—</t>
        </is>
      </c>
    </row>
    <row r="206">
      <c r="A206" t="inlineStr">
        <is>
          <t xml:space="preserve">          Scenic and sightseeing transportation, land</t>
        </is>
      </c>
      <c r="B206" t="inlineStr">
        <is>
          <t>487100</t>
        </is>
      </c>
      <c r="C206" t="inlineStr">
        <is>
          <t>Line item</t>
        </is>
      </c>
      <c r="D206" t="n">
        <v>10.8</v>
      </c>
      <c r="E206" t="n">
        <v>11</v>
      </c>
      <c r="F206" t="n">
        <v>0.2</v>
      </c>
      <c r="G206" t="n">
        <v>2</v>
      </c>
      <c r="H206" t="n">
        <v>0.2</v>
      </c>
      <c r="I206" t="inlineStr">
        <is>
          <t>—</t>
        </is>
      </c>
      <c r="J206" t="inlineStr">
        <is>
          <t>—</t>
        </is>
      </c>
      <c r="K206" t="inlineStr">
        <is>
          <t>—</t>
        </is>
      </c>
    </row>
    <row r="207">
      <c r="A207" t="inlineStr">
        <is>
          <t xml:space="preserve">          Scenic and sightseeing transportation, water</t>
        </is>
      </c>
      <c r="B207" t="inlineStr">
        <is>
          <t>487200</t>
        </is>
      </c>
      <c r="C207" t="inlineStr">
        <is>
          <t>Line item</t>
        </is>
      </c>
      <c r="D207" t="n">
        <v>17.6</v>
      </c>
      <c r="E207" t="n">
        <v>17.7</v>
      </c>
      <c r="F207" t="n">
        <v>0.2</v>
      </c>
      <c r="G207" t="n">
        <v>0.9</v>
      </c>
      <c r="H207" t="n">
        <v>0.1</v>
      </c>
      <c r="I207" t="inlineStr">
        <is>
          <t>—</t>
        </is>
      </c>
      <c r="J207" t="inlineStr">
        <is>
          <t>—</t>
        </is>
      </c>
      <c r="K207" t="inlineStr">
        <is>
          <t>—</t>
        </is>
      </c>
    </row>
    <row r="208">
      <c r="A208" t="inlineStr">
        <is>
          <t xml:space="preserve">          Scenic and sightseeing transportation, other</t>
        </is>
      </c>
      <c r="B208" t="inlineStr">
        <is>
          <t>487900</t>
        </is>
      </c>
      <c r="C208" t="inlineStr">
        <is>
          <t>Line item</t>
        </is>
      </c>
      <c r="D208" t="n">
        <v>2.8</v>
      </c>
      <c r="E208" t="n">
        <v>2.8</v>
      </c>
      <c r="F208" t="n">
        <v>0.1</v>
      </c>
      <c r="G208" t="n">
        <v>2.8</v>
      </c>
      <c r="H208" t="n">
        <v>0</v>
      </c>
      <c r="I208" t="inlineStr">
        <is>
          <t>—</t>
        </is>
      </c>
      <c r="J208" t="inlineStr">
        <is>
          <t>—</t>
        </is>
      </c>
      <c r="K208" t="inlineStr">
        <is>
          <t>—</t>
        </is>
      </c>
    </row>
    <row r="209">
      <c r="A209" t="inlineStr">
        <is>
          <t xml:space="preserve">        Support activities for transportation</t>
        </is>
      </c>
      <c r="B209" t="inlineStr">
        <is>
          <t>488000</t>
        </is>
      </c>
      <c r="C209" t="inlineStr">
        <is>
          <t>Summary</t>
        </is>
      </c>
      <c r="D209" t="n">
        <v>837</v>
      </c>
      <c r="E209" t="n">
        <v>883.3</v>
      </c>
      <c r="F209" t="n">
        <v>46.3</v>
      </c>
      <c r="G209" t="n">
        <v>5.5</v>
      </c>
      <c r="H209" t="n">
        <v>0.5</v>
      </c>
      <c r="I209" t="inlineStr">
        <is>
          <t>—</t>
        </is>
      </c>
      <c r="J209" t="inlineStr">
        <is>
          <t>—</t>
        </is>
      </c>
      <c r="K209" t="inlineStr">
        <is>
          <t>—</t>
        </is>
      </c>
    </row>
    <row r="210">
      <c r="A210" t="inlineStr">
        <is>
          <t xml:space="preserve">          Support activities for air transportation</t>
        </is>
      </c>
      <c r="B210" t="inlineStr">
        <is>
          <t>488100</t>
        </is>
      </c>
      <c r="C210" t="inlineStr">
        <is>
          <t>Line item</t>
        </is>
      </c>
      <c r="D210" t="n">
        <v>272.3</v>
      </c>
      <c r="E210" t="n">
        <v>283.6</v>
      </c>
      <c r="F210" t="n">
        <v>11.3</v>
      </c>
      <c r="G210" t="n">
        <v>4.2</v>
      </c>
      <c r="H210" t="n">
        <v>0.4</v>
      </c>
      <c r="I210" t="inlineStr">
        <is>
          <t>—</t>
        </is>
      </c>
      <c r="J210" t="inlineStr">
        <is>
          <t>—</t>
        </is>
      </c>
      <c r="K210" t="inlineStr">
        <is>
          <t>—</t>
        </is>
      </c>
    </row>
    <row r="211">
      <c r="A211" t="inlineStr">
        <is>
          <t xml:space="preserve">          Support activities for rail transportation</t>
        </is>
      </c>
      <c r="B211" t="inlineStr">
        <is>
          <t>488200</t>
        </is>
      </c>
      <c r="C211" t="inlineStr">
        <is>
          <t>Line item</t>
        </is>
      </c>
      <c r="D211" t="n">
        <v>43.6</v>
      </c>
      <c r="E211" t="n">
        <v>43.9</v>
      </c>
      <c r="F211" t="n">
        <v>0.3</v>
      </c>
      <c r="G211" t="n">
        <v>0.7</v>
      </c>
      <c r="H211" t="n">
        <v>0.1</v>
      </c>
      <c r="I211" t="inlineStr">
        <is>
          <t>—</t>
        </is>
      </c>
      <c r="J211" t="inlineStr">
        <is>
          <t>—</t>
        </is>
      </c>
      <c r="K211" t="inlineStr">
        <is>
          <t>—</t>
        </is>
      </c>
    </row>
    <row r="212">
      <c r="A212" t="inlineStr">
        <is>
          <t xml:space="preserve">          Support activities for water transportation</t>
        </is>
      </c>
      <c r="B212" t="inlineStr">
        <is>
          <t>488300</t>
        </is>
      </c>
      <c r="C212" t="inlineStr">
        <is>
          <t>Line item</t>
        </is>
      </c>
      <c r="D212" t="n">
        <v>97.59999999999999</v>
      </c>
      <c r="E212" t="n">
        <v>99.7</v>
      </c>
      <c r="F212" t="n">
        <v>2.1</v>
      </c>
      <c r="G212" t="n">
        <v>2.2</v>
      </c>
      <c r="H212" t="n">
        <v>0.2</v>
      </c>
      <c r="I212" t="inlineStr">
        <is>
          <t>—</t>
        </is>
      </c>
      <c r="J212" t="inlineStr">
        <is>
          <t>—</t>
        </is>
      </c>
      <c r="K212" t="inlineStr">
        <is>
          <t>—</t>
        </is>
      </c>
    </row>
    <row r="213">
      <c r="A213" t="inlineStr">
        <is>
          <t xml:space="preserve">          Support activities for road transportation</t>
        </is>
      </c>
      <c r="B213" t="inlineStr">
        <is>
          <t>488400</t>
        </is>
      </c>
      <c r="C213" t="inlineStr">
        <is>
          <t>Line item</t>
        </is>
      </c>
      <c r="D213" t="n">
        <v>114.7</v>
      </c>
      <c r="E213" t="n">
        <v>118.9</v>
      </c>
      <c r="F213" t="n">
        <v>4.2</v>
      </c>
      <c r="G213" t="n">
        <v>3.7</v>
      </c>
      <c r="H213" t="n">
        <v>0.4</v>
      </c>
      <c r="I213" t="inlineStr">
        <is>
          <t>—</t>
        </is>
      </c>
      <c r="J213" t="inlineStr">
        <is>
          <t>—</t>
        </is>
      </c>
      <c r="K213" t="inlineStr">
        <is>
          <t>—</t>
        </is>
      </c>
    </row>
    <row r="214">
      <c r="A214" t="inlineStr">
        <is>
          <t xml:space="preserve">          Freight transportation arrangement</t>
        </is>
      </c>
      <c r="B214" t="inlineStr">
        <is>
          <t>488500</t>
        </is>
      </c>
      <c r="C214" t="inlineStr">
        <is>
          <t>Line item</t>
        </is>
      </c>
      <c r="D214" t="n">
        <v>266.1</v>
      </c>
      <c r="E214" t="n">
        <v>292.8</v>
      </c>
      <c r="F214" t="n">
        <v>26.7</v>
      </c>
      <c r="G214" t="n">
        <v>10</v>
      </c>
      <c r="H214" t="n">
        <v>1</v>
      </c>
      <c r="I214" t="inlineStr">
        <is>
          <t>—</t>
        </is>
      </c>
      <c r="J214" t="inlineStr">
        <is>
          <t>—</t>
        </is>
      </c>
      <c r="K214" t="inlineStr">
        <is>
          <t>—</t>
        </is>
      </c>
    </row>
    <row r="215">
      <c r="A215" t="inlineStr">
        <is>
          <t xml:space="preserve">          Other support activities for transportation</t>
        </is>
      </c>
      <c r="B215" t="inlineStr">
        <is>
          <t>488900</t>
        </is>
      </c>
      <c r="C215" t="inlineStr">
        <is>
          <t>Line item</t>
        </is>
      </c>
      <c r="D215" t="n">
        <v>42.7</v>
      </c>
      <c r="E215" t="n">
        <v>44.4</v>
      </c>
      <c r="F215" t="n">
        <v>1.7</v>
      </c>
      <c r="G215" t="n">
        <v>3.9</v>
      </c>
      <c r="H215" t="n">
        <v>0.4</v>
      </c>
      <c r="I215" t="inlineStr">
        <is>
          <t>—</t>
        </is>
      </c>
      <c r="J215" t="inlineStr">
        <is>
          <t>—</t>
        </is>
      </c>
      <c r="K215" t="inlineStr">
        <is>
          <t>—</t>
        </is>
      </c>
    </row>
    <row r="216">
      <c r="A216" t="inlineStr">
        <is>
          <t xml:space="preserve">      Couriers and messengers</t>
        </is>
      </c>
      <c r="B216" t="inlineStr">
        <is>
          <t>492000</t>
        </is>
      </c>
      <c r="C216" t="inlineStr">
        <is>
          <t>Summary</t>
        </is>
      </c>
      <c r="D216" t="n">
        <v>1096.4</v>
      </c>
      <c r="E216" t="n">
        <v>1155.4</v>
      </c>
      <c r="F216" t="n">
        <v>59</v>
      </c>
      <c r="G216" t="n">
        <v>5.4</v>
      </c>
      <c r="H216" t="n">
        <v>0.5</v>
      </c>
      <c r="I216" t="n">
        <v>96.40000000000001</v>
      </c>
      <c r="J216" t="n">
        <v>126.7</v>
      </c>
      <c r="K216" t="n">
        <v>2.8</v>
      </c>
      <c r="L216" t="inlineStr">
        <is>
          <t>ISIC 53</t>
        </is>
      </c>
    </row>
    <row r="217">
      <c r="A217" t="inlineStr">
        <is>
          <t xml:space="preserve">        Couriers and express delivery services</t>
        </is>
      </c>
      <c r="B217" t="inlineStr">
        <is>
          <t>492100</t>
        </is>
      </c>
      <c r="C217" t="inlineStr">
        <is>
          <t>Line item</t>
        </is>
      </c>
      <c r="D217" t="n">
        <v>909.8</v>
      </c>
      <c r="E217" t="n">
        <v>953.2</v>
      </c>
      <c r="F217" t="n">
        <v>43.4</v>
      </c>
      <c r="G217" t="n">
        <v>4.8</v>
      </c>
      <c r="H217" t="n">
        <v>0.5</v>
      </c>
      <c r="I217" t="inlineStr">
        <is>
          <t>—</t>
        </is>
      </c>
      <c r="J217" t="inlineStr">
        <is>
          <t>—</t>
        </is>
      </c>
      <c r="K217" t="inlineStr">
        <is>
          <t>—</t>
        </is>
      </c>
    </row>
    <row r="218">
      <c r="A218" t="inlineStr">
        <is>
          <t xml:space="preserve">        Local messengers and local delivery</t>
        </is>
      </c>
      <c r="B218" t="inlineStr">
        <is>
          <t>492200</t>
        </is>
      </c>
      <c r="C218" t="inlineStr">
        <is>
          <t>Line item</t>
        </is>
      </c>
      <c r="D218" t="n">
        <v>186.6</v>
      </c>
      <c r="E218" t="n">
        <v>202.2</v>
      </c>
      <c r="F218" t="n">
        <v>15.6</v>
      </c>
      <c r="G218" t="n">
        <v>8.4</v>
      </c>
      <c r="H218" t="n">
        <v>0.8</v>
      </c>
      <c r="I218" t="inlineStr">
        <is>
          <t>—</t>
        </is>
      </c>
      <c r="J218" t="inlineStr">
        <is>
          <t>—</t>
        </is>
      </c>
      <c r="K218" t="inlineStr">
        <is>
          <t>—</t>
        </is>
      </c>
    </row>
    <row r="219">
      <c r="A219" t="inlineStr">
        <is>
          <t xml:space="preserve">      Warehousing and storage</t>
        </is>
      </c>
      <c r="B219" t="inlineStr">
        <is>
          <t>493000</t>
        </is>
      </c>
      <c r="C219" t="inlineStr">
        <is>
          <t>Line item</t>
        </is>
      </c>
      <c r="D219" t="n">
        <v>1849.1</v>
      </c>
      <c r="E219" t="n">
        <v>1875.1</v>
      </c>
      <c r="F219" t="n">
        <v>26</v>
      </c>
      <c r="G219" t="n">
        <v>1.4</v>
      </c>
      <c r="H219" t="n">
        <v>0.1</v>
      </c>
      <c r="I219" t="n">
        <v>134.7</v>
      </c>
      <c r="J219" t="n">
        <v>169.7</v>
      </c>
      <c r="K219" t="n">
        <v>2.3</v>
      </c>
      <c r="L219" t="inlineStr">
        <is>
          <t>ISIC 52</t>
        </is>
      </c>
    </row>
    <row r="220">
      <c r="A220" t="inlineStr">
        <is>
          <t xml:space="preserve">    Information</t>
        </is>
      </c>
      <c r="B220" t="inlineStr">
        <is>
          <t>510000</t>
        </is>
      </c>
      <c r="C220" t="inlineStr">
        <is>
          <t>Summary</t>
        </is>
      </c>
      <c r="D220" t="n">
        <v>2942.8</v>
      </c>
      <c r="E220" t="n">
        <v>3135.1</v>
      </c>
      <c r="F220" t="n">
        <v>192.3</v>
      </c>
      <c r="G220" t="n">
        <v>6.5</v>
      </c>
      <c r="H220" t="n">
        <v>0.6</v>
      </c>
      <c r="I220" t="n">
        <v>2565.5</v>
      </c>
      <c r="J220" t="n">
        <v>3565.6</v>
      </c>
      <c r="K220" t="n">
        <v>3.3</v>
      </c>
    </row>
    <row r="221">
      <c r="A221" t="inlineStr">
        <is>
          <t xml:space="preserve">      Motion picture and sound recording industries</t>
        </is>
      </c>
      <c r="B221" t="inlineStr">
        <is>
          <t>512000</t>
        </is>
      </c>
      <c r="C221" t="inlineStr">
        <is>
          <t>Summary</t>
        </is>
      </c>
      <c r="D221" t="n">
        <v>400.7</v>
      </c>
      <c r="E221" t="n">
        <v>421.9</v>
      </c>
      <c r="F221" t="n">
        <v>21.2</v>
      </c>
      <c r="G221" t="n">
        <v>5.3</v>
      </c>
      <c r="H221" t="n">
        <v>0.5</v>
      </c>
      <c r="I221" t="n">
        <v>190</v>
      </c>
      <c r="J221" t="n">
        <v>249.7</v>
      </c>
      <c r="K221" t="n">
        <v>2.8</v>
      </c>
      <c r="L221" t="inlineStr">
        <is>
          <t>ISIC 58T60</t>
        </is>
      </c>
    </row>
    <row r="222">
      <c r="A222" t="inlineStr">
        <is>
          <t xml:space="preserve">        Motion picture and video industries</t>
        </is>
      </c>
      <c r="B222" t="inlineStr">
        <is>
          <t>512100</t>
        </is>
      </c>
      <c r="C222" t="inlineStr">
        <is>
          <t>Summary</t>
        </is>
      </c>
      <c r="D222" t="n">
        <v>378.1</v>
      </c>
      <c r="E222" t="n">
        <v>398.5</v>
      </c>
      <c r="F222" t="n">
        <v>20.4</v>
      </c>
      <c r="G222" t="n">
        <v>5.4</v>
      </c>
      <c r="H222" t="n">
        <v>0.5</v>
      </c>
      <c r="I222" t="n">
        <v>159.1</v>
      </c>
      <c r="J222" t="n">
        <v>205.8</v>
      </c>
      <c r="K222" t="n">
        <v>2.6</v>
      </c>
    </row>
    <row r="223">
      <c r="A223" t="inlineStr">
        <is>
          <t xml:space="preserve">          Motion picture and video exhibition</t>
        </is>
      </c>
      <c r="B223" t="inlineStr">
        <is>
          <t>512130</t>
        </is>
      </c>
      <c r="C223" t="inlineStr">
        <is>
          <t>Line item</t>
        </is>
      </c>
      <c r="D223" t="n">
        <v>118.5</v>
      </c>
      <c r="E223" t="n">
        <v>120.3</v>
      </c>
      <c r="F223" t="n">
        <v>1.8</v>
      </c>
      <c r="G223" t="n">
        <v>1.6</v>
      </c>
      <c r="H223" t="n">
        <v>0.2</v>
      </c>
      <c r="I223" t="inlineStr">
        <is>
          <t>—</t>
        </is>
      </c>
      <c r="J223" t="inlineStr">
        <is>
          <t>—</t>
        </is>
      </c>
      <c r="K223" t="inlineStr">
        <is>
          <t>—</t>
        </is>
      </c>
    </row>
    <row r="224">
      <c r="A224" t="inlineStr">
        <is>
          <t xml:space="preserve">        Sound recording industries</t>
        </is>
      </c>
      <c r="B224" t="inlineStr">
        <is>
          <t>512200</t>
        </is>
      </c>
      <c r="C224" t="inlineStr">
        <is>
          <t>Line item</t>
        </is>
      </c>
      <c r="D224" t="n">
        <v>22.6</v>
      </c>
      <c r="E224" t="n">
        <v>23.4</v>
      </c>
      <c r="F224" t="n">
        <v>0.8</v>
      </c>
      <c r="G224" t="n">
        <v>3.4</v>
      </c>
      <c r="H224" t="n">
        <v>0.3</v>
      </c>
      <c r="I224" t="n">
        <v>31.4</v>
      </c>
      <c r="J224" t="n">
        <v>45.1</v>
      </c>
      <c r="K224" t="n">
        <v>3.7</v>
      </c>
    </row>
    <row r="225">
      <c r="A225" t="inlineStr">
        <is>
          <t xml:space="preserve">      Publishing, broadcasting, and content providers</t>
        </is>
      </c>
      <c r="B225" t="inlineStr">
        <is>
          <t>513-90</t>
        </is>
      </c>
      <c r="C225" t="inlineStr">
        <is>
          <t>Summary</t>
        </is>
      </c>
      <c r="D225" t="n">
        <v>2542.1</v>
      </c>
      <c r="E225" t="n">
        <v>2713.3</v>
      </c>
      <c r="F225" t="n">
        <v>171.2</v>
      </c>
      <c r="G225" t="n">
        <v>6.7</v>
      </c>
      <c r="H225" t="n">
        <v>0.7</v>
      </c>
      <c r="I225" t="n">
        <v>2375.8</v>
      </c>
      <c r="J225" t="n">
        <v>3317.5</v>
      </c>
      <c r="K225" t="n">
        <v>3.4</v>
      </c>
    </row>
    <row r="226">
      <c r="A226" t="inlineStr">
        <is>
          <t xml:space="preserve">        Software publishers</t>
        </is>
      </c>
      <c r="B226" t="inlineStr">
        <is>
          <t>513200</t>
        </is>
      </c>
      <c r="C226" t="inlineStr">
        <is>
          <t>Line item</t>
        </is>
      </c>
      <c r="D226" t="n">
        <v>645.7</v>
      </c>
      <c r="E226" t="n">
        <v>770.3</v>
      </c>
      <c r="F226" t="n">
        <v>124.6</v>
      </c>
      <c r="G226" t="n">
        <v>19.3</v>
      </c>
      <c r="H226" t="n">
        <v>1.8</v>
      </c>
      <c r="I226" t="n">
        <v>552.2</v>
      </c>
      <c r="J226" t="n">
        <v>896.1</v>
      </c>
      <c r="K226" t="n">
        <v>5</v>
      </c>
      <c r="L226" t="inlineStr">
        <is>
          <t>ISIC 58T60</t>
        </is>
      </c>
    </row>
    <row r="227">
      <c r="A227" t="inlineStr">
        <is>
          <t xml:space="preserve">        Miscellaneous information services (5131, 516, 519)</t>
        </is>
      </c>
      <c r="B227" t="inlineStr">
        <is>
          <t>5136A9</t>
        </is>
      </c>
      <c r="C227" t="inlineStr">
        <is>
          <t>Summary</t>
        </is>
      </c>
      <c r="D227" t="n">
        <v>792.5</v>
      </c>
      <c r="E227" t="n">
        <v>794.2</v>
      </c>
      <c r="F227" t="n">
        <v>1.7</v>
      </c>
      <c r="G227" t="n">
        <v>0.2</v>
      </c>
      <c r="H227" t="n">
        <v>0</v>
      </c>
      <c r="I227" t="n">
        <v>771.6</v>
      </c>
      <c r="J227" t="n">
        <v>1010.7</v>
      </c>
      <c r="K227" t="n">
        <v>2.7</v>
      </c>
      <c r="L227" t="inlineStr">
        <is>
          <t>ISIC 58T60</t>
        </is>
      </c>
    </row>
    <row r="228">
      <c r="A228" t="inlineStr">
        <is>
          <t xml:space="preserve">          Newspaper, Periodical, Book, and Directory Publishers</t>
        </is>
      </c>
      <c r="B228" t="inlineStr">
        <is>
          <t>513100</t>
        </is>
      </c>
      <c r="C228" t="inlineStr">
        <is>
          <t>Summary</t>
        </is>
      </c>
      <c r="D228" t="n">
        <v>268.5</v>
      </c>
      <c r="E228" t="n">
        <v>244.6</v>
      </c>
      <c r="F228" t="n">
        <v>-23.9</v>
      </c>
      <c r="G228" t="n">
        <v>-8.9</v>
      </c>
      <c r="H228" t="n">
        <v>-0.9</v>
      </c>
      <c r="I228" t="inlineStr">
        <is>
          <t>—</t>
        </is>
      </c>
      <c r="J228" t="inlineStr">
        <is>
          <t>—</t>
        </is>
      </c>
      <c r="K228" t="inlineStr">
        <is>
          <t>—</t>
        </is>
      </c>
    </row>
    <row r="229">
      <c r="A229" t="inlineStr">
        <is>
          <t xml:space="preserve">            Newspaper publishers</t>
        </is>
      </c>
      <c r="B229" t="inlineStr">
        <is>
          <t>513110</t>
        </is>
      </c>
      <c r="C229" t="inlineStr">
        <is>
          <t>Line item</t>
        </is>
      </c>
      <c r="D229" t="n">
        <v>89.40000000000001</v>
      </c>
      <c r="E229" t="n">
        <v>71.5</v>
      </c>
      <c r="F229" t="n">
        <v>-17.9</v>
      </c>
      <c r="G229" t="n">
        <v>-20</v>
      </c>
      <c r="H229" t="n">
        <v>-2.2</v>
      </c>
      <c r="I229" t="inlineStr">
        <is>
          <t>—</t>
        </is>
      </c>
      <c r="J229" t="inlineStr">
        <is>
          <t>—</t>
        </is>
      </c>
      <c r="K229" t="inlineStr">
        <is>
          <t>—</t>
        </is>
      </c>
    </row>
    <row r="230">
      <c r="A230" t="inlineStr">
        <is>
          <t xml:space="preserve">          Broadcasting and Content Providers</t>
        </is>
      </c>
      <c r="B230" t="inlineStr">
        <is>
          <t>516000</t>
        </is>
      </c>
      <c r="C230" t="inlineStr">
        <is>
          <t>Summary</t>
        </is>
      </c>
      <c r="D230" t="n">
        <v>340.2</v>
      </c>
      <c r="E230" t="n">
        <v>343.1</v>
      </c>
      <c r="F230" t="n">
        <v>2.9</v>
      </c>
      <c r="G230" t="n">
        <v>0.9</v>
      </c>
      <c r="H230" t="n">
        <v>0.1</v>
      </c>
      <c r="I230" t="inlineStr">
        <is>
          <t>—</t>
        </is>
      </c>
      <c r="J230" t="inlineStr">
        <is>
          <t>—</t>
        </is>
      </c>
      <c r="K230" t="inlineStr">
        <is>
          <t>—</t>
        </is>
      </c>
    </row>
    <row r="231">
      <c r="A231" t="inlineStr">
        <is>
          <t xml:space="preserve">            Radio and Television Broadcasting Stations</t>
        </is>
      </c>
      <c r="B231" t="inlineStr">
        <is>
          <t>516100</t>
        </is>
      </c>
      <c r="C231" t="inlineStr">
        <is>
          <t>Summary</t>
        </is>
      </c>
      <c r="D231" t="n">
        <v>118.1</v>
      </c>
      <c r="E231" t="n">
        <v>111.2</v>
      </c>
      <c r="F231" t="n">
        <v>-6.9</v>
      </c>
      <c r="G231" t="n">
        <v>-5.9</v>
      </c>
      <c r="H231" t="n">
        <v>-0.6</v>
      </c>
      <c r="I231" t="inlineStr">
        <is>
          <t>—</t>
        </is>
      </c>
      <c r="J231" t="inlineStr">
        <is>
          <t>—</t>
        </is>
      </c>
      <c r="K231" t="inlineStr">
        <is>
          <t>—</t>
        </is>
      </c>
    </row>
    <row r="232">
      <c r="A232" t="inlineStr">
        <is>
          <t xml:space="preserve">              Radio broadcasting stations</t>
        </is>
      </c>
      <c r="B232" t="inlineStr">
        <is>
          <t>516110</t>
        </is>
      </c>
      <c r="C232" t="inlineStr">
        <is>
          <t>Line item</t>
        </is>
      </c>
      <c r="D232" t="n">
        <v>51.2</v>
      </c>
      <c r="E232" t="n">
        <v>48</v>
      </c>
      <c r="F232" t="n">
        <v>-3.2</v>
      </c>
      <c r="G232" t="n">
        <v>-6.2</v>
      </c>
      <c r="H232" t="n">
        <v>-0.6</v>
      </c>
      <c r="I232" t="inlineStr">
        <is>
          <t>—</t>
        </is>
      </c>
      <c r="J232" t="inlineStr">
        <is>
          <t>—</t>
        </is>
      </c>
      <c r="K232" t="inlineStr">
        <is>
          <t>—</t>
        </is>
      </c>
    </row>
    <row r="233">
      <c r="A233" t="inlineStr">
        <is>
          <t xml:space="preserve">              Television broadcasting stations</t>
        </is>
      </c>
      <c r="B233" t="inlineStr">
        <is>
          <t>516120</t>
        </is>
      </c>
      <c r="C233" t="inlineStr">
        <is>
          <t>Line item</t>
        </is>
      </c>
      <c r="D233" t="n">
        <v>66.90000000000001</v>
      </c>
      <c r="E233" t="n">
        <v>63.1</v>
      </c>
      <c r="F233" t="n">
        <v>-3.8</v>
      </c>
      <c r="G233" t="n">
        <v>-5.6</v>
      </c>
      <c r="H233" t="n">
        <v>-0.6</v>
      </c>
      <c r="I233" t="inlineStr">
        <is>
          <t>—</t>
        </is>
      </c>
      <c r="J233" t="inlineStr">
        <is>
          <t>—</t>
        </is>
      </c>
      <c r="K233" t="inlineStr">
        <is>
          <t>—</t>
        </is>
      </c>
    </row>
    <row r="234">
      <c r="A234" t="inlineStr">
        <is>
          <t xml:space="preserve">            Media streaming distribution services, social networks, and other media networks and content providers</t>
        </is>
      </c>
      <c r="B234" t="inlineStr">
        <is>
          <t>516210</t>
        </is>
      </c>
      <c r="C234" t="inlineStr">
        <is>
          <t>Line item</t>
        </is>
      </c>
      <c r="D234" t="n">
        <v>222.1</v>
      </c>
      <c r="E234" t="n">
        <v>231.9</v>
      </c>
      <c r="F234" t="n">
        <v>9.800000000000001</v>
      </c>
      <c r="G234" t="n">
        <v>4.4</v>
      </c>
      <c r="H234" t="n">
        <v>0.4</v>
      </c>
      <c r="I234" t="inlineStr">
        <is>
          <t>—</t>
        </is>
      </c>
      <c r="J234" t="inlineStr">
        <is>
          <t>—</t>
        </is>
      </c>
      <c r="K234" t="inlineStr">
        <is>
          <t>—</t>
        </is>
      </c>
    </row>
    <row r="235">
      <c r="A235" t="inlineStr">
        <is>
          <t xml:space="preserve">          Web search portals, libraries, archives, and other information services</t>
        </is>
      </c>
      <c r="B235" t="inlineStr">
        <is>
          <t>519000</t>
        </is>
      </c>
      <c r="C235" t="inlineStr">
        <is>
          <t>Line item</t>
        </is>
      </c>
      <c r="D235" t="n">
        <v>183.8</v>
      </c>
      <c r="E235" t="n">
        <v>206.5</v>
      </c>
      <c r="F235" t="n">
        <v>22.7</v>
      </c>
      <c r="G235" t="n">
        <v>12.3</v>
      </c>
      <c r="H235" t="n">
        <v>1.2</v>
      </c>
      <c r="I235" t="inlineStr">
        <is>
          <t>—</t>
        </is>
      </c>
      <c r="J235" t="inlineStr">
        <is>
          <t>—</t>
        </is>
      </c>
      <c r="K235" t="inlineStr">
        <is>
          <t>—</t>
        </is>
      </c>
    </row>
    <row r="236">
      <c r="A236" t="inlineStr">
        <is>
          <t xml:space="preserve">        Telecommunications</t>
        </is>
      </c>
      <c r="B236" t="inlineStr">
        <is>
          <t>517000</t>
        </is>
      </c>
      <c r="C236" t="inlineStr">
        <is>
          <t>Line item</t>
        </is>
      </c>
      <c r="D236" t="n">
        <v>621.3</v>
      </c>
      <c r="E236" t="n">
        <v>568.3</v>
      </c>
      <c r="F236" t="n">
        <v>-53</v>
      </c>
      <c r="G236" t="n">
        <v>-8.5</v>
      </c>
      <c r="H236" t="n">
        <v>-0.9</v>
      </c>
      <c r="I236" t="n">
        <v>674.3</v>
      </c>
      <c r="J236" t="n">
        <v>876.8</v>
      </c>
      <c r="K236" t="n">
        <v>2.7</v>
      </c>
      <c r="L236" t="inlineStr">
        <is>
          <t>ISIC 61</t>
        </is>
      </c>
    </row>
    <row r="237">
      <c r="A237" t="inlineStr">
        <is>
          <t xml:space="preserve">        Computing infrastructure providers, data processing, web hosting, and related services</t>
        </is>
      </c>
      <c r="B237" t="inlineStr">
        <is>
          <t>518000</t>
        </is>
      </c>
      <c r="C237" t="inlineStr">
        <is>
          <t>Line item</t>
        </is>
      </c>
      <c r="D237" t="n">
        <v>482.6</v>
      </c>
      <c r="E237" t="n">
        <v>580.5</v>
      </c>
      <c r="F237" t="n">
        <v>97.90000000000001</v>
      </c>
      <c r="G237" t="n">
        <v>20.3</v>
      </c>
      <c r="H237" t="n">
        <v>1.9</v>
      </c>
      <c r="I237" t="n">
        <v>387.3</v>
      </c>
      <c r="J237" t="n">
        <v>564.8</v>
      </c>
      <c r="K237" t="n">
        <v>3.8</v>
      </c>
      <c r="L237" t="inlineStr">
        <is>
          <t>ISIC 62T63</t>
        </is>
      </c>
    </row>
    <row r="238">
      <c r="A238" t="inlineStr">
        <is>
          <t xml:space="preserve">    Finance and insurance</t>
        </is>
      </c>
      <c r="B238" t="inlineStr">
        <is>
          <t>520000</t>
        </is>
      </c>
      <c r="C238" t="inlineStr">
        <is>
          <t>Summary</t>
        </is>
      </c>
      <c r="D238" t="n">
        <v>6702.8</v>
      </c>
      <c r="E238" t="n">
        <v>6929.2</v>
      </c>
      <c r="F238" t="n">
        <v>226.4</v>
      </c>
      <c r="G238" t="n">
        <v>3.4</v>
      </c>
      <c r="H238" t="n">
        <v>0.3</v>
      </c>
      <c r="I238" t="n">
        <v>3139.5</v>
      </c>
      <c r="J238" t="n">
        <v>3825.4</v>
      </c>
      <c r="K238" t="n">
        <v>2</v>
      </c>
      <c r="L238" t="inlineStr">
        <is>
          <t>ISIC 64T66</t>
        </is>
      </c>
    </row>
    <row r="239">
      <c r="A239" t="inlineStr">
        <is>
          <t xml:space="preserve">      Monetary authorities - central bank, and credit intermediation and related activities</t>
        </is>
      </c>
      <c r="B239" t="inlineStr">
        <is>
          <t>521-20</t>
        </is>
      </c>
      <c r="C239" t="inlineStr">
        <is>
          <t>Summary</t>
        </is>
      </c>
      <c r="D239" t="n">
        <v>2586.3</v>
      </c>
      <c r="E239" t="n">
        <v>2634.9</v>
      </c>
      <c r="F239" t="n">
        <v>48.6</v>
      </c>
      <c r="G239" t="n">
        <v>1.9</v>
      </c>
      <c r="H239" t="n">
        <v>0.2</v>
      </c>
      <c r="I239" t="n">
        <v>1015</v>
      </c>
      <c r="J239" t="n">
        <v>1264.9</v>
      </c>
      <c r="K239" t="n">
        <v>2.2</v>
      </c>
    </row>
    <row r="240">
      <c r="A240" t="inlineStr">
        <is>
          <t xml:space="preserve">        Monetary authorities-central bank</t>
        </is>
      </c>
      <c r="B240" t="inlineStr">
        <is>
          <t>521000</t>
        </is>
      </c>
      <c r="C240" t="inlineStr">
        <is>
          <t>Line item</t>
        </is>
      </c>
      <c r="D240" t="n">
        <v>20.8</v>
      </c>
      <c r="E240" t="n">
        <v>21.3</v>
      </c>
      <c r="F240" t="n">
        <v>0.5</v>
      </c>
      <c r="G240" t="n">
        <v>2.6</v>
      </c>
      <c r="H240" t="n">
        <v>0.2</v>
      </c>
      <c r="I240" t="inlineStr">
        <is>
          <t>—</t>
        </is>
      </c>
      <c r="J240" t="inlineStr">
        <is>
          <t>—</t>
        </is>
      </c>
      <c r="K240" t="inlineStr">
        <is>
          <t>—</t>
        </is>
      </c>
    </row>
    <row r="241">
      <c r="A241" t="inlineStr">
        <is>
          <t xml:space="preserve">        Credit intermediation and related activities</t>
        </is>
      </c>
      <c r="B241" t="inlineStr">
        <is>
          <t>522000</t>
        </is>
      </c>
      <c r="C241" t="inlineStr">
        <is>
          <t>Summary</t>
        </is>
      </c>
      <c r="D241" t="n">
        <v>2565.5</v>
      </c>
      <c r="E241" t="n">
        <v>2613.6</v>
      </c>
      <c r="F241" t="n">
        <v>48.1</v>
      </c>
      <c r="G241" t="n">
        <v>1.9</v>
      </c>
      <c r="H241" t="n">
        <v>0.2</v>
      </c>
      <c r="I241" t="inlineStr">
        <is>
          <t>—</t>
        </is>
      </c>
      <c r="J241" t="inlineStr">
        <is>
          <t>—</t>
        </is>
      </c>
      <c r="K241" t="inlineStr">
        <is>
          <t>—</t>
        </is>
      </c>
    </row>
    <row r="242">
      <c r="A242" t="inlineStr">
        <is>
          <t xml:space="preserve">          Credit intermediation and related activities (5221,3)</t>
        </is>
      </c>
      <c r="B242" t="inlineStr">
        <is>
          <t>5220A1</t>
        </is>
      </c>
      <c r="C242" t="inlineStr">
        <is>
          <t>Line item</t>
        </is>
      </c>
      <c r="D242" t="n">
        <v>2059.3</v>
      </c>
      <c r="E242" t="n">
        <v>2110</v>
      </c>
      <c r="F242" t="n">
        <v>50.7</v>
      </c>
      <c r="G242" t="n">
        <v>2.5</v>
      </c>
      <c r="H242" t="n">
        <v>0.2</v>
      </c>
      <c r="I242" t="inlineStr">
        <is>
          <t>—</t>
        </is>
      </c>
      <c r="J242" t="inlineStr">
        <is>
          <t>—</t>
        </is>
      </c>
      <c r="K242" t="inlineStr">
        <is>
          <t>—</t>
        </is>
      </c>
    </row>
    <row r="243">
      <c r="A243" t="inlineStr">
        <is>
          <t xml:space="preserve">          Nondepository credit intermediation</t>
        </is>
      </c>
      <c r="B243" t="inlineStr">
        <is>
          <t>522200</t>
        </is>
      </c>
      <c r="C243" t="inlineStr">
        <is>
          <t>Summary</t>
        </is>
      </c>
      <c r="D243" t="n">
        <v>506.2</v>
      </c>
      <c r="E243" t="n">
        <v>503.5</v>
      </c>
      <c r="F243" t="n">
        <v>-2.7</v>
      </c>
      <c r="G243" t="n">
        <v>-0.5</v>
      </c>
      <c r="H243" t="n">
        <v>-0.1</v>
      </c>
      <c r="I243" t="inlineStr">
        <is>
          <t>—</t>
        </is>
      </c>
      <c r="J243" t="inlineStr">
        <is>
          <t>—</t>
        </is>
      </c>
      <c r="K243" t="inlineStr">
        <is>
          <t>—</t>
        </is>
      </c>
    </row>
    <row r="244">
      <c r="A244" t="inlineStr">
        <is>
          <t xml:space="preserve">            Other nondepository credit intermediation</t>
        </is>
      </c>
      <c r="B244" t="inlineStr">
        <is>
          <t>522290</t>
        </is>
      </c>
      <c r="C244" t="inlineStr">
        <is>
          <t>Line item</t>
        </is>
      </c>
      <c r="D244" t="n">
        <v>358.4</v>
      </c>
      <c r="E244" t="n">
        <v>355.7</v>
      </c>
      <c r="F244" t="n">
        <v>-2.7</v>
      </c>
      <c r="G244" t="n">
        <v>-0.7</v>
      </c>
      <c r="H244" t="n">
        <v>-0.1</v>
      </c>
      <c r="I244" t="inlineStr">
        <is>
          <t>—</t>
        </is>
      </c>
      <c r="J244" t="inlineStr">
        <is>
          <t>—</t>
        </is>
      </c>
      <c r="K244" t="inlineStr">
        <is>
          <t>—</t>
        </is>
      </c>
    </row>
    <row r="245">
      <c r="A245" t="inlineStr">
        <is>
          <t xml:space="preserve">      Securities, commodity contracts, and other financial investments and related activities</t>
        </is>
      </c>
      <c r="B245" t="inlineStr">
        <is>
          <t>523000</t>
        </is>
      </c>
      <c r="C245" t="inlineStr">
        <is>
          <t>Line item</t>
        </is>
      </c>
      <c r="D245" t="n">
        <v>1084.9</v>
      </c>
      <c r="E245" t="n">
        <v>1150.3</v>
      </c>
      <c r="F245" t="n">
        <v>65.40000000000001</v>
      </c>
      <c r="G245" t="n">
        <v>6</v>
      </c>
      <c r="H245" t="n">
        <v>0.6</v>
      </c>
      <c r="I245" t="n">
        <v>721.7</v>
      </c>
      <c r="J245" t="n">
        <v>892.4</v>
      </c>
      <c r="K245" t="n">
        <v>2.1</v>
      </c>
    </row>
    <row r="246">
      <c r="A246" t="inlineStr">
        <is>
          <t xml:space="preserve">      Insurance carriers and related activities</t>
        </is>
      </c>
      <c r="B246" t="inlineStr">
        <is>
          <t>524000</t>
        </is>
      </c>
      <c r="C246" t="inlineStr">
        <is>
          <t>Summary</t>
        </is>
      </c>
      <c r="D246" t="n">
        <v>3000.5</v>
      </c>
      <c r="E246" t="n">
        <v>3110.9</v>
      </c>
      <c r="F246" t="n">
        <v>110.4</v>
      </c>
      <c r="G246" t="n">
        <v>3.7</v>
      </c>
      <c r="H246" t="n">
        <v>0.4</v>
      </c>
      <c r="I246" t="n">
        <v>1253</v>
      </c>
      <c r="J246" t="n">
        <v>1511.3</v>
      </c>
      <c r="K246" t="n">
        <v>1.9</v>
      </c>
    </row>
    <row r="247">
      <c r="A247" t="inlineStr">
        <is>
          <t xml:space="preserve">        Insurance carriers</t>
        </is>
      </c>
      <c r="B247" t="inlineStr">
        <is>
          <t>524100</t>
        </is>
      </c>
      <c r="C247" t="inlineStr">
        <is>
          <t>Summary</t>
        </is>
      </c>
      <c r="D247" t="n">
        <v>1614</v>
      </c>
      <c r="E247" t="n">
        <v>1660.8</v>
      </c>
      <c r="F247" t="n">
        <v>46.8</v>
      </c>
      <c r="G247" t="n">
        <v>2.9</v>
      </c>
      <c r="H247" t="n">
        <v>0.3</v>
      </c>
      <c r="I247" t="n">
        <v>724</v>
      </c>
      <c r="J247" t="n">
        <v>870</v>
      </c>
      <c r="K247" t="n">
        <v>1.9</v>
      </c>
    </row>
    <row r="248">
      <c r="A248" t="inlineStr">
        <is>
          <t xml:space="preserve">          Direct health and medical insurance carriers</t>
        </is>
      </c>
      <c r="B248" t="inlineStr">
        <is>
          <t>524114</t>
        </is>
      </c>
      <c r="C248" t="inlineStr">
        <is>
          <t>Line item</t>
        </is>
      </c>
      <c r="D248" t="n">
        <v>611.1</v>
      </c>
      <c r="E248" t="n">
        <v>639.4</v>
      </c>
      <c r="F248" t="n">
        <v>28.3</v>
      </c>
      <c r="G248" t="n">
        <v>4.6</v>
      </c>
      <c r="H248" t="n">
        <v>0.5</v>
      </c>
      <c r="I248" t="inlineStr">
        <is>
          <t>—</t>
        </is>
      </c>
      <c r="J248" t="inlineStr">
        <is>
          <t>—</t>
        </is>
      </c>
      <c r="K248" t="inlineStr">
        <is>
          <t>—</t>
        </is>
      </c>
    </row>
    <row r="249">
      <c r="A249" t="inlineStr">
        <is>
          <t xml:space="preserve">          Direct insurance (except life, health, and medical) carriers</t>
        </is>
      </c>
      <c r="B249" t="inlineStr">
        <is>
          <t>524120</t>
        </is>
      </c>
      <c r="C249" t="inlineStr">
        <is>
          <t>Line item</t>
        </is>
      </c>
      <c r="D249" t="n">
        <v>678.5</v>
      </c>
      <c r="E249" t="n">
        <v>695.9</v>
      </c>
      <c r="F249" t="n">
        <v>17.4</v>
      </c>
      <c r="G249" t="n">
        <v>2.6</v>
      </c>
      <c r="H249" t="n">
        <v>0.3</v>
      </c>
      <c r="I249" t="inlineStr">
        <is>
          <t>—</t>
        </is>
      </c>
      <c r="J249" t="inlineStr">
        <is>
          <t>—</t>
        </is>
      </c>
      <c r="K249" t="inlineStr">
        <is>
          <t>—</t>
        </is>
      </c>
    </row>
    <row r="250">
      <c r="A250" t="inlineStr">
        <is>
          <t xml:space="preserve">        Agencies, brokerages, and other insurance related activities</t>
        </is>
      </c>
      <c r="B250" t="inlineStr">
        <is>
          <t>524200</t>
        </is>
      </c>
      <c r="C250" t="inlineStr">
        <is>
          <t>Summary</t>
        </is>
      </c>
      <c r="D250" t="n">
        <v>1386.5</v>
      </c>
      <c r="E250" t="n">
        <v>1450.1</v>
      </c>
      <c r="F250" t="n">
        <v>63.6</v>
      </c>
      <c r="G250" t="n">
        <v>4.6</v>
      </c>
      <c r="H250" t="n">
        <v>0.4</v>
      </c>
      <c r="I250" t="n">
        <v>535.2</v>
      </c>
      <c r="J250" t="n">
        <v>649.3</v>
      </c>
      <c r="K250" t="n">
        <v>2</v>
      </c>
    </row>
    <row r="251">
      <c r="A251" t="inlineStr">
        <is>
          <t xml:space="preserve">          Insurance agencies and brokerages</t>
        </is>
      </c>
      <c r="B251" t="inlineStr">
        <is>
          <t>524210</t>
        </is>
      </c>
      <c r="C251" t="inlineStr">
        <is>
          <t>Line item</t>
        </is>
      </c>
      <c r="D251" t="n">
        <v>1003.9</v>
      </c>
      <c r="E251" t="n">
        <v>1051.3</v>
      </c>
      <c r="F251" t="n">
        <v>47.4</v>
      </c>
      <c r="G251" t="n">
        <v>4.7</v>
      </c>
      <c r="H251" t="n">
        <v>0.5</v>
      </c>
      <c r="I251" t="inlineStr">
        <is>
          <t>—</t>
        </is>
      </c>
      <c r="J251" t="inlineStr">
        <is>
          <t>—</t>
        </is>
      </c>
      <c r="K251" t="inlineStr">
        <is>
          <t>—</t>
        </is>
      </c>
    </row>
    <row r="252">
      <c r="A252" t="inlineStr">
        <is>
          <t xml:space="preserve">          Other insurance related activities</t>
        </is>
      </c>
      <c r="B252" t="inlineStr">
        <is>
          <t>524290</t>
        </is>
      </c>
      <c r="C252" t="inlineStr">
        <is>
          <t>Line item</t>
        </is>
      </c>
      <c r="D252" t="n">
        <v>382.6</v>
      </c>
      <c r="E252" t="n">
        <v>398.8</v>
      </c>
      <c r="F252" t="n">
        <v>16.2</v>
      </c>
      <c r="G252" t="n">
        <v>4.2</v>
      </c>
      <c r="H252" t="n">
        <v>0.4</v>
      </c>
      <c r="I252" t="inlineStr">
        <is>
          <t>—</t>
        </is>
      </c>
      <c r="J252" t="inlineStr">
        <is>
          <t>—</t>
        </is>
      </c>
      <c r="K252" t="inlineStr">
        <is>
          <t>—</t>
        </is>
      </c>
    </row>
    <row r="253">
      <c r="A253" t="inlineStr">
        <is>
          <t xml:space="preserve">      Funds, trusts, and other financial vehicles</t>
        </is>
      </c>
      <c r="B253" t="inlineStr">
        <is>
          <t>525000</t>
        </is>
      </c>
      <c r="C253" t="inlineStr">
        <is>
          <t>Summary</t>
        </is>
      </c>
      <c r="D253" t="n">
        <v>31.1</v>
      </c>
      <c r="E253" t="n">
        <v>33.1</v>
      </c>
      <c r="F253" t="n">
        <v>2</v>
      </c>
      <c r="G253" t="n">
        <v>6.4</v>
      </c>
      <c r="H253" t="n">
        <v>0.6</v>
      </c>
      <c r="I253" t="n">
        <v>159.2</v>
      </c>
      <c r="J253" t="n">
        <v>165.8</v>
      </c>
      <c r="K253" t="n">
        <v>0.4</v>
      </c>
    </row>
    <row r="254">
      <c r="A254" t="inlineStr">
        <is>
          <t xml:space="preserve">        Insurance and employee benefit funds</t>
        </is>
      </c>
      <c r="B254" t="inlineStr">
        <is>
          <t>525100</t>
        </is>
      </c>
      <c r="C254" t="inlineStr">
        <is>
          <t>Line item</t>
        </is>
      </c>
      <c r="D254" t="n">
        <v>12.3</v>
      </c>
      <c r="E254" t="n">
        <v>12.9</v>
      </c>
      <c r="F254" t="n">
        <v>0.6</v>
      </c>
      <c r="G254" t="n">
        <v>4.6</v>
      </c>
      <c r="H254" t="n">
        <v>0.5</v>
      </c>
      <c r="I254" t="inlineStr">
        <is>
          <t>—</t>
        </is>
      </c>
      <c r="J254" t="inlineStr">
        <is>
          <t>—</t>
        </is>
      </c>
      <c r="K254" t="inlineStr">
        <is>
          <t>—</t>
        </is>
      </c>
    </row>
    <row r="255">
      <c r="A255" t="inlineStr">
        <is>
          <t xml:space="preserve">        Other investment pools and funds</t>
        </is>
      </c>
      <c r="B255" t="inlineStr">
        <is>
          <t>525900</t>
        </is>
      </c>
      <c r="C255" t="inlineStr">
        <is>
          <t>Line item</t>
        </is>
      </c>
      <c r="D255" t="n">
        <v>18.9</v>
      </c>
      <c r="E255" t="n">
        <v>20.3</v>
      </c>
      <c r="F255" t="n">
        <v>1.4</v>
      </c>
      <c r="G255" t="n">
        <v>7.5</v>
      </c>
      <c r="H255" t="n">
        <v>0.7</v>
      </c>
      <c r="I255" t="inlineStr">
        <is>
          <t>—</t>
        </is>
      </c>
      <c r="J255" t="inlineStr">
        <is>
          <t>—</t>
        </is>
      </c>
      <c r="K255" t="inlineStr">
        <is>
          <t>—</t>
        </is>
      </c>
    </row>
    <row r="256">
      <c r="A256" t="inlineStr">
        <is>
          <t xml:space="preserve">    Real estate and rental and leasing</t>
        </is>
      </c>
      <c r="B256" t="inlineStr">
        <is>
          <t>530000</t>
        </is>
      </c>
      <c r="C256" t="inlineStr">
        <is>
          <t>Summary</t>
        </is>
      </c>
      <c r="D256" t="n">
        <v>2465.8</v>
      </c>
      <c r="E256" t="n">
        <v>2547.6</v>
      </c>
      <c r="F256" t="n">
        <v>81.8</v>
      </c>
      <c r="G256" t="n">
        <v>3.3</v>
      </c>
      <c r="H256" t="n">
        <v>0.3</v>
      </c>
      <c r="I256" t="n">
        <v>2818.5</v>
      </c>
      <c r="J256" t="n">
        <v>3433.3</v>
      </c>
      <c r="K256" t="n">
        <v>2</v>
      </c>
    </row>
    <row r="257">
      <c r="A257" t="inlineStr">
        <is>
          <t xml:space="preserve">      Real estate</t>
        </is>
      </c>
      <c r="B257" t="inlineStr">
        <is>
          <t>531000</t>
        </is>
      </c>
      <c r="C257" t="inlineStr">
        <is>
          <t>Line item</t>
        </is>
      </c>
      <c r="D257" t="n">
        <v>1865.8</v>
      </c>
      <c r="E257" t="n">
        <v>1938.4</v>
      </c>
      <c r="F257" t="n">
        <v>72.59999999999999</v>
      </c>
      <c r="G257" t="n">
        <v>3.9</v>
      </c>
      <c r="H257" t="n">
        <v>0.4</v>
      </c>
      <c r="I257" t="n">
        <v>2258.7</v>
      </c>
      <c r="J257" t="n">
        <v>2721</v>
      </c>
      <c r="K257" t="n">
        <v>1.9</v>
      </c>
      <c r="L257" t="inlineStr">
        <is>
          <t>ISIC 68</t>
        </is>
      </c>
    </row>
    <row r="258">
      <c r="A258" t="inlineStr">
        <is>
          <t xml:space="preserve">      Rental and leasing services</t>
        </is>
      </c>
      <c r="B258" t="inlineStr">
        <is>
          <t>532000</t>
        </is>
      </c>
      <c r="C258" t="inlineStr">
        <is>
          <t>Summary</t>
        </is>
      </c>
      <c r="D258" t="n">
        <v>577.4</v>
      </c>
      <c r="E258" t="n">
        <v>588.3</v>
      </c>
      <c r="F258" t="n">
        <v>10.9</v>
      </c>
      <c r="G258" t="n">
        <v>1.9</v>
      </c>
      <c r="H258" t="n">
        <v>0.2</v>
      </c>
      <c r="I258" t="n">
        <v>237.4</v>
      </c>
      <c r="J258" t="n">
        <v>298.9</v>
      </c>
      <c r="K258" t="n">
        <v>2.3</v>
      </c>
      <c r="L258" t="inlineStr">
        <is>
          <t>ISIC 77T82</t>
        </is>
      </c>
    </row>
    <row r="259">
      <c r="A259" t="inlineStr">
        <is>
          <t xml:space="preserve">        Rental and leasing services (5322,3,4)</t>
        </is>
      </c>
      <c r="B259" t="inlineStr">
        <is>
          <t>5320A1</t>
        </is>
      </c>
      <c r="C259" t="inlineStr">
        <is>
          <t>Line item</t>
        </is>
      </c>
      <c r="D259" t="n">
        <v>362.3</v>
      </c>
      <c r="E259" t="n">
        <v>365.9</v>
      </c>
      <c r="F259" t="n">
        <v>3.6</v>
      </c>
      <c r="G259" t="n">
        <v>1</v>
      </c>
      <c r="H259" t="n">
        <v>0.1</v>
      </c>
      <c r="I259" t="n">
        <v>157.4</v>
      </c>
      <c r="J259" t="n">
        <v>192.8</v>
      </c>
      <c r="K259" t="n">
        <v>2.1</v>
      </c>
    </row>
    <row r="260">
      <c r="A260" t="inlineStr">
        <is>
          <t xml:space="preserve">        Automotive equipment rental and leasing</t>
        </is>
      </c>
      <c r="B260" t="inlineStr">
        <is>
          <t>532100</t>
        </is>
      </c>
      <c r="C260" t="inlineStr">
        <is>
          <t>Line item</t>
        </is>
      </c>
      <c r="D260" t="n">
        <v>215.1</v>
      </c>
      <c r="E260" t="n">
        <v>222.4</v>
      </c>
      <c r="F260" t="n">
        <v>7.3</v>
      </c>
      <c r="G260" t="n">
        <v>3.4</v>
      </c>
      <c r="H260" t="n">
        <v>0.3</v>
      </c>
      <c r="I260" t="n">
        <v>79.8</v>
      </c>
      <c r="J260" t="n">
        <v>105.3</v>
      </c>
      <c r="K260" t="n">
        <v>2.8</v>
      </c>
    </row>
    <row r="261">
      <c r="A261" t="inlineStr">
        <is>
          <t xml:space="preserve">      Lessors of nonfinancial intangible assets (except copyrighted works)</t>
        </is>
      </c>
      <c r="B261" t="inlineStr">
        <is>
          <t>533000</t>
        </is>
      </c>
      <c r="C261" t="inlineStr">
        <is>
          <t>Line item</t>
        </is>
      </c>
      <c r="D261" t="n">
        <v>22.6</v>
      </c>
      <c r="E261" t="n">
        <v>20.9</v>
      </c>
      <c r="F261" t="n">
        <v>-1.7</v>
      </c>
      <c r="G261" t="n">
        <v>-7.5</v>
      </c>
      <c r="H261" t="n">
        <v>-0.8</v>
      </c>
      <c r="I261" t="n">
        <v>323</v>
      </c>
      <c r="J261" t="n">
        <v>414.1</v>
      </c>
      <c r="K261" t="n">
        <v>2.5</v>
      </c>
    </row>
    <row r="262">
      <c r="A262" t="inlineStr">
        <is>
          <t xml:space="preserve">    Professional, scientific, and technical services</t>
        </is>
      </c>
      <c r="B262" t="inlineStr">
        <is>
          <t>540000</t>
        </is>
      </c>
      <c r="C262" t="inlineStr">
        <is>
          <t>Summary</t>
        </is>
      </c>
      <c r="D262" t="n">
        <v>10825.8</v>
      </c>
      <c r="E262" t="n">
        <v>11638.3</v>
      </c>
      <c r="F262" t="n">
        <v>812.5</v>
      </c>
      <c r="G262" t="n">
        <v>7.5</v>
      </c>
      <c r="H262" t="n">
        <v>0.7</v>
      </c>
      <c r="I262" t="n">
        <v>3093.9</v>
      </c>
      <c r="J262" t="n">
        <v>3880.7</v>
      </c>
      <c r="K262" t="n">
        <v>2.3</v>
      </c>
    </row>
    <row r="263">
      <c r="A263" t="inlineStr">
        <is>
          <t xml:space="preserve">      Professional, scientific, and technical services</t>
        </is>
      </c>
      <c r="B263" t="inlineStr">
        <is>
          <t>541000</t>
        </is>
      </c>
      <c r="C263" t="inlineStr">
        <is>
          <t>Summary</t>
        </is>
      </c>
      <c r="D263" t="n">
        <v>10825.8</v>
      </c>
      <c r="E263" t="n">
        <v>11638.3</v>
      </c>
      <c r="F263" t="n">
        <v>812.5</v>
      </c>
      <c r="G263" t="n">
        <v>7.5</v>
      </c>
      <c r="H263" t="n">
        <v>0.7</v>
      </c>
      <c r="I263" t="n">
        <v>3093.9</v>
      </c>
      <c r="J263" t="n">
        <v>3880.7</v>
      </c>
      <c r="K263" t="n">
        <v>2.3</v>
      </c>
    </row>
    <row r="264">
      <c r="A264" t="inlineStr">
        <is>
          <t xml:space="preserve">        Legal services</t>
        </is>
      </c>
      <c r="B264" t="inlineStr">
        <is>
          <t>541100</t>
        </is>
      </c>
      <c r="C264" t="inlineStr">
        <is>
          <t>Line item</t>
        </is>
      </c>
      <c r="D264" t="n">
        <v>1192.7</v>
      </c>
      <c r="E264" t="n">
        <v>1207.1</v>
      </c>
      <c r="F264" t="n">
        <v>14.4</v>
      </c>
      <c r="G264" t="n">
        <v>1.2</v>
      </c>
      <c r="H264" t="n">
        <v>0.1</v>
      </c>
      <c r="I264" t="n">
        <v>348.5</v>
      </c>
      <c r="J264" t="n">
        <v>408.9</v>
      </c>
      <c r="K264" t="n">
        <v>1.6</v>
      </c>
      <c r="L264" t="inlineStr">
        <is>
          <t>ISIC 69T75</t>
        </is>
      </c>
    </row>
    <row r="265">
      <c r="A265" t="inlineStr">
        <is>
          <t xml:space="preserve">        Accounting, tax preparation, bookkeeping, and payroll services</t>
        </is>
      </c>
      <c r="B265" t="inlineStr">
        <is>
          <t>541200</t>
        </is>
      </c>
      <c r="C265" t="inlineStr">
        <is>
          <t>Line item</t>
        </is>
      </c>
      <c r="D265" t="n">
        <v>1153.5</v>
      </c>
      <c r="E265" t="n">
        <v>1181.2</v>
      </c>
      <c r="F265" t="n">
        <v>27.7</v>
      </c>
      <c r="G265" t="n">
        <v>2.4</v>
      </c>
      <c r="H265" t="n">
        <v>0.2</v>
      </c>
      <c r="I265" t="n">
        <v>210</v>
      </c>
      <c r="J265" t="n">
        <v>258.6</v>
      </c>
      <c r="K265" t="n">
        <v>2.1</v>
      </c>
      <c r="L265" t="inlineStr">
        <is>
          <t>ISIC 69T75</t>
        </is>
      </c>
    </row>
    <row r="266">
      <c r="A266" t="inlineStr">
        <is>
          <t xml:space="preserve">        Architectural, engineering, and related services</t>
        </is>
      </c>
      <c r="B266" t="inlineStr">
        <is>
          <t>541300</t>
        </is>
      </c>
      <c r="C266" t="inlineStr">
        <is>
          <t>Summary</t>
        </is>
      </c>
      <c r="D266" t="n">
        <v>1703.6</v>
      </c>
      <c r="E266" t="n">
        <v>1770.7</v>
      </c>
      <c r="F266" t="n">
        <v>67.09999999999999</v>
      </c>
      <c r="G266" t="n">
        <v>3.9</v>
      </c>
      <c r="H266" t="n">
        <v>0.4</v>
      </c>
      <c r="I266" t="n">
        <v>407.3</v>
      </c>
      <c r="J266" t="n">
        <v>480.1</v>
      </c>
      <c r="K266" t="n">
        <v>1.7</v>
      </c>
      <c r="L266" t="inlineStr">
        <is>
          <t>ISIC 69T75</t>
        </is>
      </c>
    </row>
    <row r="267">
      <c r="A267" t="inlineStr">
        <is>
          <t xml:space="preserve">          Engineering services</t>
        </is>
      </c>
      <c r="B267" t="inlineStr">
        <is>
          <t>541330</t>
        </is>
      </c>
      <c r="C267" t="inlineStr">
        <is>
          <t>Line item</t>
        </is>
      </c>
      <c r="D267" t="n">
        <v>1179.6</v>
      </c>
      <c r="E267" t="n">
        <v>1228.9</v>
      </c>
      <c r="F267" t="n">
        <v>49.3</v>
      </c>
      <c r="G267" t="n">
        <v>4.2</v>
      </c>
      <c r="H267" t="n">
        <v>0.4</v>
      </c>
      <c r="I267" t="inlineStr">
        <is>
          <t>—</t>
        </is>
      </c>
      <c r="J267" t="inlineStr">
        <is>
          <t>—</t>
        </is>
      </c>
      <c r="K267" t="inlineStr">
        <is>
          <t>—</t>
        </is>
      </c>
    </row>
    <row r="268">
      <c r="A268" t="inlineStr">
        <is>
          <t xml:space="preserve">          Testing laboratories and services</t>
        </is>
      </c>
      <c r="B268" t="inlineStr">
        <is>
          <t>541380</t>
        </is>
      </c>
      <c r="C268" t="inlineStr">
        <is>
          <t>Line item</t>
        </is>
      </c>
      <c r="D268" t="n">
        <v>179.5</v>
      </c>
      <c r="E268" t="n">
        <v>186.5</v>
      </c>
      <c r="F268" t="n">
        <v>7</v>
      </c>
      <c r="G268" t="n">
        <v>3.9</v>
      </c>
      <c r="H268" t="n">
        <v>0.4</v>
      </c>
      <c r="I268" t="inlineStr">
        <is>
          <t>—</t>
        </is>
      </c>
      <c r="J268" t="inlineStr">
        <is>
          <t>—</t>
        </is>
      </c>
      <c r="K268" t="inlineStr">
        <is>
          <t>—</t>
        </is>
      </c>
    </row>
    <row r="269">
      <c r="A269" t="inlineStr">
        <is>
          <t xml:space="preserve">        Specialized design services</t>
        </is>
      </c>
      <c r="B269" t="inlineStr">
        <is>
          <t>541400</t>
        </is>
      </c>
      <c r="C269" t="inlineStr">
        <is>
          <t>Line item</t>
        </is>
      </c>
      <c r="D269" t="n">
        <v>151.1</v>
      </c>
      <c r="E269" t="n">
        <v>156.9</v>
      </c>
      <c r="F269" t="n">
        <v>5.8</v>
      </c>
      <c r="G269" t="n">
        <v>3.8</v>
      </c>
      <c r="H269" t="n">
        <v>0.4</v>
      </c>
      <c r="I269" t="n">
        <v>57.5</v>
      </c>
      <c r="J269" t="n">
        <v>70.3</v>
      </c>
      <c r="K269" t="n">
        <v>2</v>
      </c>
      <c r="L269" t="inlineStr">
        <is>
          <t>ISIC 69T75</t>
        </is>
      </c>
    </row>
    <row r="270">
      <c r="A270" t="inlineStr">
        <is>
          <t xml:space="preserve">        Computer systems design and related services</t>
        </is>
      </c>
      <c r="B270" t="inlineStr">
        <is>
          <t>541500</t>
        </is>
      </c>
      <c r="C270" t="inlineStr">
        <is>
          <t>Line item</t>
        </is>
      </c>
      <c r="D270" t="n">
        <v>2444.8</v>
      </c>
      <c r="E270" t="n">
        <v>2831.6</v>
      </c>
      <c r="F270" t="n">
        <v>386.8</v>
      </c>
      <c r="G270" t="n">
        <v>15.8</v>
      </c>
      <c r="H270" t="n">
        <v>1.5</v>
      </c>
      <c r="I270" t="n">
        <v>799</v>
      </c>
      <c r="J270" t="n">
        <v>1096.2</v>
      </c>
      <c r="K270" t="n">
        <v>3.2</v>
      </c>
      <c r="L270" t="inlineStr">
        <is>
          <t>ISIC 62T63</t>
        </is>
      </c>
    </row>
    <row r="271">
      <c r="A271" t="inlineStr">
        <is>
          <t xml:space="preserve">        Management, scientific, and technical consulting services</t>
        </is>
      </c>
      <c r="B271" t="inlineStr">
        <is>
          <t>541600</t>
        </is>
      </c>
      <c r="C271" t="inlineStr">
        <is>
          <t>Line item</t>
        </is>
      </c>
      <c r="D271" t="n">
        <v>1864.7</v>
      </c>
      <c r="E271" t="n">
        <v>2039.3</v>
      </c>
      <c r="F271" t="n">
        <v>174.6</v>
      </c>
      <c r="G271" t="n">
        <v>9.4</v>
      </c>
      <c r="H271" t="n">
        <v>0.9</v>
      </c>
      <c r="I271" t="n">
        <v>493.3</v>
      </c>
      <c r="J271" t="n">
        <v>639.7</v>
      </c>
      <c r="K271" t="n">
        <v>2.6</v>
      </c>
      <c r="L271" t="inlineStr">
        <is>
          <t>ISIC 69T75</t>
        </is>
      </c>
    </row>
    <row r="272">
      <c r="A272" t="inlineStr">
        <is>
          <t xml:space="preserve">        Scientific research and development services</t>
        </is>
      </c>
      <c r="B272" t="inlineStr">
        <is>
          <t>541700</t>
        </is>
      </c>
      <c r="C272" t="inlineStr">
        <is>
          <t>Summary</t>
        </is>
      </c>
      <c r="D272" t="n">
        <v>936.7</v>
      </c>
      <c r="E272" t="n">
        <v>1015.1</v>
      </c>
      <c r="F272" t="n">
        <v>78.40000000000001</v>
      </c>
      <c r="G272" t="n">
        <v>8.4</v>
      </c>
      <c r="H272" t="n">
        <v>0.8</v>
      </c>
      <c r="I272" t="n">
        <v>408.6</v>
      </c>
      <c r="J272" t="n">
        <v>499</v>
      </c>
      <c r="K272" t="n">
        <v>2</v>
      </c>
      <c r="L272" t="inlineStr">
        <is>
          <t>ISIC 69T75</t>
        </is>
      </c>
    </row>
    <row r="273">
      <c r="A273" t="inlineStr">
        <is>
          <t xml:space="preserve">          Research and development in the physical, engineering, and life sciences</t>
        </is>
      </c>
      <c r="B273" t="inlineStr">
        <is>
          <t>541710</t>
        </is>
      </c>
      <c r="C273" t="inlineStr">
        <is>
          <t>Line item</t>
        </is>
      </c>
      <c r="D273" t="n">
        <v>866.7</v>
      </c>
      <c r="E273" t="n">
        <v>942.5</v>
      </c>
      <c r="F273" t="n">
        <v>75.8</v>
      </c>
      <c r="G273" t="n">
        <v>8.699999999999999</v>
      </c>
      <c r="H273" t="n">
        <v>0.8</v>
      </c>
      <c r="I273" t="inlineStr">
        <is>
          <t>—</t>
        </is>
      </c>
      <c r="J273" t="inlineStr">
        <is>
          <t>—</t>
        </is>
      </c>
      <c r="K273" t="inlineStr">
        <is>
          <t>—</t>
        </is>
      </c>
    </row>
    <row r="274">
      <c r="A274" t="inlineStr">
        <is>
          <t xml:space="preserve">          Research and development in the social sciences and humanities</t>
        </is>
      </c>
      <c r="B274" t="inlineStr">
        <is>
          <t>541720</t>
        </is>
      </c>
      <c r="C274" t="inlineStr">
        <is>
          <t>Line item</t>
        </is>
      </c>
      <c r="D274" t="n">
        <v>70</v>
      </c>
      <c r="E274" t="n">
        <v>72.59999999999999</v>
      </c>
      <c r="F274" t="n">
        <v>2.6</v>
      </c>
      <c r="G274" t="n">
        <v>3.7</v>
      </c>
      <c r="H274" t="n">
        <v>0.4</v>
      </c>
      <c r="I274" t="inlineStr">
        <is>
          <t>—</t>
        </is>
      </c>
      <c r="J274" t="inlineStr">
        <is>
          <t>—</t>
        </is>
      </c>
      <c r="K274" t="inlineStr">
        <is>
          <t>—</t>
        </is>
      </c>
    </row>
    <row r="275">
      <c r="A275" t="inlineStr">
        <is>
          <t xml:space="preserve">        Advertising, public relations, and related services</t>
        </is>
      </c>
      <c r="B275" t="inlineStr">
        <is>
          <t>541800</t>
        </is>
      </c>
      <c r="C275" t="inlineStr">
        <is>
          <t>Line item</t>
        </is>
      </c>
      <c r="D275" t="n">
        <v>497.7</v>
      </c>
      <c r="E275" t="n">
        <v>509.6</v>
      </c>
      <c r="F275" t="n">
        <v>11.9</v>
      </c>
      <c r="G275" t="n">
        <v>2.4</v>
      </c>
      <c r="H275" t="n">
        <v>0.2</v>
      </c>
      <c r="I275" t="n">
        <v>197.3</v>
      </c>
      <c r="J275" t="n">
        <v>257.3</v>
      </c>
      <c r="K275" t="n">
        <v>2.7</v>
      </c>
      <c r="L275" t="inlineStr">
        <is>
          <t>ISIC 69T75</t>
        </is>
      </c>
    </row>
    <row r="276">
      <c r="A276" t="inlineStr">
        <is>
          <t xml:space="preserve">        Other professional, scientific, and technical services</t>
        </is>
      </c>
      <c r="B276" t="inlineStr">
        <is>
          <t>541900</t>
        </is>
      </c>
      <c r="C276" t="inlineStr">
        <is>
          <t>Summary</t>
        </is>
      </c>
      <c r="D276" t="n">
        <v>881</v>
      </c>
      <c r="E276" t="n">
        <v>926.8</v>
      </c>
      <c r="F276" t="n">
        <v>45.8</v>
      </c>
      <c r="G276" t="n">
        <v>5.2</v>
      </c>
      <c r="H276" t="n">
        <v>0.5</v>
      </c>
      <c r="I276" t="n">
        <v>200.2</v>
      </c>
      <c r="J276" t="n">
        <v>253.7</v>
      </c>
      <c r="K276" t="n">
        <v>2.4</v>
      </c>
      <c r="L276" t="inlineStr">
        <is>
          <t>ISIC 69T75</t>
        </is>
      </c>
    </row>
    <row r="277">
      <c r="A277" t="inlineStr">
        <is>
          <t xml:space="preserve">          Photographic services</t>
        </is>
      </c>
      <c r="B277" t="inlineStr">
        <is>
          <t>541920</t>
        </is>
      </c>
      <c r="C277" t="inlineStr">
        <is>
          <t>Line item</t>
        </is>
      </c>
      <c r="D277" t="n">
        <v>49</v>
      </c>
      <c r="E277" t="n">
        <v>44.8</v>
      </c>
      <c r="F277" t="n">
        <v>-4.2</v>
      </c>
      <c r="G277" t="n">
        <v>-8.5</v>
      </c>
      <c r="H277" t="n">
        <v>-0.9</v>
      </c>
      <c r="I277" t="n">
        <v>16.9</v>
      </c>
      <c r="J277" t="n">
        <v>21.4</v>
      </c>
      <c r="K277" t="n">
        <v>2.4</v>
      </c>
    </row>
    <row r="278">
      <c r="A278" t="inlineStr">
        <is>
          <t xml:space="preserve">          Veterinary services</t>
        </is>
      </c>
      <c r="B278" t="inlineStr">
        <is>
          <t>541940</t>
        </is>
      </c>
      <c r="C278" t="inlineStr">
        <is>
          <t>Line item</t>
        </is>
      </c>
      <c r="D278" t="n">
        <v>467</v>
      </c>
      <c r="E278" t="n">
        <v>504.1</v>
      </c>
      <c r="F278" t="n">
        <v>37.1</v>
      </c>
      <c r="G278" t="n">
        <v>7.9</v>
      </c>
      <c r="H278" t="n">
        <v>0.8</v>
      </c>
      <c r="I278" t="n">
        <v>54.9</v>
      </c>
      <c r="J278" t="n">
        <v>72.09999999999999</v>
      </c>
      <c r="K278" t="n">
        <v>2.8</v>
      </c>
    </row>
    <row r="279">
      <c r="A279" t="inlineStr">
        <is>
          <t xml:space="preserve">    Management of companies and enterprises</t>
        </is>
      </c>
      <c r="B279" t="inlineStr">
        <is>
          <t>550000</t>
        </is>
      </c>
      <c r="C279" t="inlineStr">
        <is>
          <t>Summary</t>
        </is>
      </c>
      <c r="D279" t="n">
        <v>2617.1</v>
      </c>
      <c r="E279" t="n">
        <v>2732</v>
      </c>
      <c r="F279" t="n">
        <v>114.9</v>
      </c>
      <c r="G279" t="n">
        <v>4.4</v>
      </c>
      <c r="H279" t="n">
        <v>0.4</v>
      </c>
      <c r="I279" t="n">
        <v>793.6</v>
      </c>
      <c r="J279" t="n">
        <v>1012.1</v>
      </c>
      <c r="K279" t="n">
        <v>2.5</v>
      </c>
      <c r="L279" t="inlineStr">
        <is>
          <t>ISIC 69T75</t>
        </is>
      </c>
    </row>
    <row r="280">
      <c r="A280" t="inlineStr">
        <is>
          <t xml:space="preserve">      Management of companies and enterprises</t>
        </is>
      </c>
      <c r="B280" t="inlineStr">
        <is>
          <t>551000</t>
        </is>
      </c>
      <c r="C280" t="inlineStr">
        <is>
          <t>Line item</t>
        </is>
      </c>
      <c r="D280" t="n">
        <v>2617.1</v>
      </c>
      <c r="E280" t="n">
        <v>2732</v>
      </c>
      <c r="F280" t="n">
        <v>114.9</v>
      </c>
      <c r="G280" t="n">
        <v>4.4</v>
      </c>
      <c r="H280" t="n">
        <v>0.4</v>
      </c>
      <c r="I280" t="n">
        <v>793.6</v>
      </c>
      <c r="J280" t="n">
        <v>1012.1</v>
      </c>
      <c r="K280" t="n">
        <v>2.5</v>
      </c>
    </row>
    <row r="281">
      <c r="A281" t="inlineStr">
        <is>
          <t xml:space="preserve">    Administrative and support and waste management and remediation services</t>
        </is>
      </c>
      <c r="B281" t="inlineStr">
        <is>
          <t>560000</t>
        </is>
      </c>
      <c r="C281" t="inlineStr">
        <is>
          <t>Summary</t>
        </is>
      </c>
      <c r="D281" t="n">
        <v>9177.799999999999</v>
      </c>
      <c r="E281" t="n">
        <v>9279.5</v>
      </c>
      <c r="F281" t="n">
        <v>101.7</v>
      </c>
      <c r="G281" t="n">
        <v>1.1</v>
      </c>
      <c r="H281" t="n">
        <v>0.1</v>
      </c>
      <c r="I281" t="n">
        <v>1238.1</v>
      </c>
      <c r="J281" t="n">
        <v>1548.7</v>
      </c>
      <c r="K281" t="n">
        <v>2.3</v>
      </c>
    </row>
    <row r="282">
      <c r="A282" t="inlineStr">
        <is>
          <t xml:space="preserve">      Administrative and support services</t>
        </is>
      </c>
      <c r="B282" t="inlineStr">
        <is>
          <t>561000</t>
        </is>
      </c>
      <c r="C282" t="inlineStr">
        <is>
          <t>Summary</t>
        </is>
      </c>
      <c r="D282" t="n">
        <v>8666.299999999999</v>
      </c>
      <c r="E282" t="n">
        <v>8738</v>
      </c>
      <c r="F282" t="n">
        <v>71.7</v>
      </c>
      <c r="G282" t="n">
        <v>0.8</v>
      </c>
      <c r="H282" t="n">
        <v>0.1</v>
      </c>
      <c r="I282" t="n">
        <v>1112.7</v>
      </c>
      <c r="J282" t="n">
        <v>1404.9</v>
      </c>
      <c r="K282" t="n">
        <v>2.4</v>
      </c>
      <c r="L282" t="inlineStr">
        <is>
          <t>ISIC 77T82</t>
        </is>
      </c>
    </row>
    <row r="283">
      <c r="A283" t="inlineStr">
        <is>
          <t xml:space="preserve">        Office administrative services</t>
        </is>
      </c>
      <c r="B283" t="inlineStr">
        <is>
          <t>561100</t>
        </is>
      </c>
      <c r="C283" t="inlineStr">
        <is>
          <t>Line item</t>
        </is>
      </c>
      <c r="D283" t="n">
        <v>619.2</v>
      </c>
      <c r="E283" t="n">
        <v>655.6</v>
      </c>
      <c r="F283" t="n">
        <v>36.4</v>
      </c>
      <c r="G283" t="n">
        <v>5.9</v>
      </c>
      <c r="H283" t="n">
        <v>0.6</v>
      </c>
      <c r="I283" t="n">
        <v>94.09999999999999</v>
      </c>
      <c r="J283" t="n">
        <v>119.1</v>
      </c>
      <c r="K283" t="n">
        <v>2.4</v>
      </c>
    </row>
    <row r="284">
      <c r="A284" t="inlineStr">
        <is>
          <t xml:space="preserve">        Facilities support services</t>
        </is>
      </c>
      <c r="B284" t="inlineStr">
        <is>
          <t>561200</t>
        </is>
      </c>
      <c r="C284" t="inlineStr">
        <is>
          <t>Line item</t>
        </is>
      </c>
      <c r="D284" t="n">
        <v>181.2</v>
      </c>
      <c r="E284" t="n">
        <v>191.9</v>
      </c>
      <c r="F284" t="n">
        <v>10.7</v>
      </c>
      <c r="G284" t="n">
        <v>5.9</v>
      </c>
      <c r="H284" t="n">
        <v>0.6</v>
      </c>
      <c r="I284" t="n">
        <v>28.4</v>
      </c>
      <c r="J284" t="n">
        <v>32.5</v>
      </c>
      <c r="K284" t="n">
        <v>1.4</v>
      </c>
    </row>
    <row r="285">
      <c r="A285" t="inlineStr">
        <is>
          <t xml:space="preserve">        Employment services</t>
        </is>
      </c>
      <c r="B285" t="inlineStr">
        <is>
          <t>561300</t>
        </is>
      </c>
      <c r="C285" t="inlineStr">
        <is>
          <t>Summary</t>
        </is>
      </c>
      <c r="D285" t="n">
        <v>3332.3</v>
      </c>
      <c r="E285" t="n">
        <v>3240</v>
      </c>
      <c r="F285" t="n">
        <v>-92.3</v>
      </c>
      <c r="G285" t="n">
        <v>-2.8</v>
      </c>
      <c r="H285" t="n">
        <v>-0.3</v>
      </c>
      <c r="I285" t="n">
        <v>424.6</v>
      </c>
      <c r="J285" t="n">
        <v>545.2</v>
      </c>
      <c r="K285" t="n">
        <v>2.5</v>
      </c>
    </row>
    <row r="286">
      <c r="A286" t="inlineStr">
        <is>
          <t xml:space="preserve">          Temporary help services</t>
        </is>
      </c>
      <c r="B286" t="inlineStr">
        <is>
          <t>561320</t>
        </is>
      </c>
      <c r="C286" t="inlineStr">
        <is>
          <t>Line item</t>
        </is>
      </c>
      <c r="D286" t="n">
        <v>2612.1</v>
      </c>
      <c r="E286" t="n">
        <v>2556.4</v>
      </c>
      <c r="F286" t="n">
        <v>-55.7</v>
      </c>
      <c r="G286" t="n">
        <v>-2.1</v>
      </c>
      <c r="H286" t="n">
        <v>-0.2</v>
      </c>
      <c r="I286" t="inlineStr">
        <is>
          <t>—</t>
        </is>
      </c>
      <c r="J286" t="inlineStr">
        <is>
          <t>—</t>
        </is>
      </c>
      <c r="K286" t="inlineStr">
        <is>
          <t>—</t>
        </is>
      </c>
    </row>
    <row r="287">
      <c r="A287" t="inlineStr">
        <is>
          <t xml:space="preserve">        Business support services</t>
        </is>
      </c>
      <c r="B287" t="inlineStr">
        <is>
          <t>561400</t>
        </is>
      </c>
      <c r="C287" t="inlineStr">
        <is>
          <t>Line item</t>
        </is>
      </c>
      <c r="D287" t="n">
        <v>691</v>
      </c>
      <c r="E287" t="n">
        <v>671.8</v>
      </c>
      <c r="F287" t="n">
        <v>-19.2</v>
      </c>
      <c r="G287" t="n">
        <v>-2.8</v>
      </c>
      <c r="H287" t="n">
        <v>-0.3</v>
      </c>
      <c r="I287" t="n">
        <v>87.40000000000001</v>
      </c>
      <c r="J287" t="n">
        <v>108.6</v>
      </c>
      <c r="K287" t="n">
        <v>2.2</v>
      </c>
    </row>
    <row r="288">
      <c r="A288" t="inlineStr">
        <is>
          <t xml:space="preserve">        Travel arrangement and reservation services</t>
        </is>
      </c>
      <c r="B288" t="inlineStr">
        <is>
          <t>561500</t>
        </is>
      </c>
      <c r="C288" t="inlineStr">
        <is>
          <t>Line item</t>
        </is>
      </c>
      <c r="D288" t="n">
        <v>189.3</v>
      </c>
      <c r="E288" t="n">
        <v>198.5</v>
      </c>
      <c r="F288" t="n">
        <v>9.199999999999999</v>
      </c>
      <c r="G288" t="n">
        <v>4.9</v>
      </c>
      <c r="H288" t="n">
        <v>0.5</v>
      </c>
      <c r="I288" t="n">
        <v>83.7</v>
      </c>
      <c r="J288" t="n">
        <v>107.2</v>
      </c>
      <c r="K288" t="n">
        <v>2.5</v>
      </c>
    </row>
    <row r="289">
      <c r="A289" t="inlineStr">
        <is>
          <t xml:space="preserve">        Investigation and security services</t>
        </is>
      </c>
      <c r="B289" t="inlineStr">
        <is>
          <t>561600</t>
        </is>
      </c>
      <c r="C289" t="inlineStr">
        <is>
          <t>Summary</t>
        </is>
      </c>
      <c r="D289" t="n">
        <v>1025.8</v>
      </c>
      <c r="E289" t="n">
        <v>1086.1</v>
      </c>
      <c r="F289" t="n">
        <v>60.3</v>
      </c>
      <c r="G289" t="n">
        <v>5.9</v>
      </c>
      <c r="H289" t="n">
        <v>0.6</v>
      </c>
      <c r="I289" t="n">
        <v>61.2</v>
      </c>
      <c r="J289" t="n">
        <v>74.59999999999999</v>
      </c>
      <c r="K289" t="n">
        <v>2</v>
      </c>
    </row>
    <row r="290">
      <c r="A290" t="inlineStr">
        <is>
          <t xml:space="preserve">          Investigation, guard, and armored car services</t>
        </is>
      </c>
      <c r="B290" t="inlineStr">
        <is>
          <t>561610</t>
        </is>
      </c>
      <c r="C290" t="inlineStr">
        <is>
          <t>Line item</t>
        </is>
      </c>
      <c r="D290" t="n">
        <v>868.6</v>
      </c>
      <c r="E290" t="n">
        <v>910.2</v>
      </c>
      <c r="F290" t="n">
        <v>41.6</v>
      </c>
      <c r="G290" t="n">
        <v>4.8</v>
      </c>
      <c r="H290" t="n">
        <v>0.5</v>
      </c>
      <c r="I290" t="inlineStr">
        <is>
          <t>—</t>
        </is>
      </c>
      <c r="J290" t="inlineStr">
        <is>
          <t>—</t>
        </is>
      </c>
      <c r="K290" t="inlineStr">
        <is>
          <t>—</t>
        </is>
      </c>
    </row>
    <row r="291">
      <c r="A291" t="inlineStr">
        <is>
          <t xml:space="preserve">          Security systems services</t>
        </is>
      </c>
      <c r="B291" t="inlineStr">
        <is>
          <t>561620</t>
        </is>
      </c>
      <c r="C291" t="inlineStr">
        <is>
          <t>Line item</t>
        </is>
      </c>
      <c r="D291" t="n">
        <v>157.2</v>
      </c>
      <c r="E291" t="n">
        <v>176</v>
      </c>
      <c r="F291" t="n">
        <v>18.8</v>
      </c>
      <c r="G291" t="n">
        <v>11.9</v>
      </c>
      <c r="H291" t="n">
        <v>1.1</v>
      </c>
      <c r="I291" t="inlineStr">
        <is>
          <t>—</t>
        </is>
      </c>
      <c r="J291" t="inlineStr">
        <is>
          <t>—</t>
        </is>
      </c>
      <c r="K291" t="inlineStr">
        <is>
          <t>—</t>
        </is>
      </c>
    </row>
    <row r="292">
      <c r="A292" t="inlineStr">
        <is>
          <t xml:space="preserve">        Services to buildings and dwellings</t>
        </is>
      </c>
      <c r="B292" t="inlineStr">
        <is>
          <t>561700</t>
        </is>
      </c>
      <c r="C292" t="inlineStr">
        <is>
          <t>Summary</t>
        </is>
      </c>
      <c r="D292" t="n">
        <v>2293.8</v>
      </c>
      <c r="E292" t="n">
        <v>2348.9</v>
      </c>
      <c r="F292" t="n">
        <v>55.1</v>
      </c>
      <c r="G292" t="n">
        <v>2.4</v>
      </c>
      <c r="H292" t="n">
        <v>0.2</v>
      </c>
      <c r="I292" t="n">
        <v>264.5</v>
      </c>
      <c r="J292" t="n">
        <v>331.3</v>
      </c>
      <c r="K292" t="n">
        <v>2.3</v>
      </c>
    </row>
    <row r="293">
      <c r="A293" t="inlineStr">
        <is>
          <t xml:space="preserve">          Exterminating and pest control services</t>
        </is>
      </c>
      <c r="B293" t="inlineStr">
        <is>
          <t>561710</t>
        </is>
      </c>
      <c r="C293" t="inlineStr">
        <is>
          <t>Line item</t>
        </is>
      </c>
      <c r="D293" t="n">
        <v>153.5</v>
      </c>
      <c r="E293" t="n">
        <v>158.5</v>
      </c>
      <c r="F293" t="n">
        <v>5</v>
      </c>
      <c r="G293" t="n">
        <v>3.3</v>
      </c>
      <c r="H293" t="n">
        <v>0.3</v>
      </c>
      <c r="I293" t="inlineStr">
        <is>
          <t>—</t>
        </is>
      </c>
      <c r="J293" t="inlineStr">
        <is>
          <t>—</t>
        </is>
      </c>
      <c r="K293" t="inlineStr">
        <is>
          <t>—</t>
        </is>
      </c>
    </row>
    <row r="294">
      <c r="A294" t="inlineStr">
        <is>
          <t xml:space="preserve">          Landscaping services</t>
        </is>
      </c>
      <c r="B294" t="inlineStr">
        <is>
          <t>561730</t>
        </is>
      </c>
      <c r="C294" t="inlineStr">
        <is>
          <t>Line item</t>
        </is>
      </c>
      <c r="D294" t="n">
        <v>911.2</v>
      </c>
      <c r="E294" t="n">
        <v>934.8</v>
      </c>
      <c r="F294" t="n">
        <v>23.6</v>
      </c>
      <c r="G294" t="n">
        <v>2.6</v>
      </c>
      <c r="H294" t="n">
        <v>0.3</v>
      </c>
      <c r="I294" t="inlineStr">
        <is>
          <t>—</t>
        </is>
      </c>
      <c r="J294" t="inlineStr">
        <is>
          <t>—</t>
        </is>
      </c>
      <c r="K294" t="inlineStr">
        <is>
          <t>—</t>
        </is>
      </c>
    </row>
    <row r="295">
      <c r="A295" t="inlineStr">
        <is>
          <t xml:space="preserve">        Other support services</t>
        </is>
      </c>
      <c r="B295" t="inlineStr">
        <is>
          <t>561900</t>
        </is>
      </c>
      <c r="C295" t="inlineStr">
        <is>
          <t>Line item</t>
        </is>
      </c>
      <c r="D295" t="n">
        <v>333.7</v>
      </c>
      <c r="E295" t="n">
        <v>345.2</v>
      </c>
      <c r="F295" t="n">
        <v>11.5</v>
      </c>
      <c r="G295" t="n">
        <v>3.4</v>
      </c>
      <c r="H295" t="n">
        <v>0.3</v>
      </c>
      <c r="I295" t="n">
        <v>72.2</v>
      </c>
      <c r="J295" t="n">
        <v>91.8</v>
      </c>
      <c r="K295" t="n">
        <v>2.4</v>
      </c>
    </row>
    <row r="296">
      <c r="A296" t="inlineStr">
        <is>
          <t xml:space="preserve">      Waste management and remediation services</t>
        </is>
      </c>
      <c r="B296" t="inlineStr">
        <is>
          <t>562000</t>
        </is>
      </c>
      <c r="C296" t="inlineStr">
        <is>
          <t>Summary</t>
        </is>
      </c>
      <c r="D296" t="n">
        <v>511.5</v>
      </c>
      <c r="E296" t="n">
        <v>541.5</v>
      </c>
      <c r="F296" t="n">
        <v>30</v>
      </c>
      <c r="G296" t="n">
        <v>5.9</v>
      </c>
      <c r="H296" t="n">
        <v>0.6</v>
      </c>
      <c r="I296" t="n">
        <v>125.4</v>
      </c>
      <c r="J296" t="n">
        <v>146.4</v>
      </c>
      <c r="K296" t="n">
        <v>1.6</v>
      </c>
      <c r="L296" t="inlineStr">
        <is>
          <t>ISIC 36T39</t>
        </is>
      </c>
    </row>
    <row r="297">
      <c r="A297" t="inlineStr">
        <is>
          <t xml:space="preserve">        Waste collection</t>
        </is>
      </c>
      <c r="B297" t="inlineStr">
        <is>
          <t>562100</t>
        </is>
      </c>
      <c r="C297" t="inlineStr">
        <is>
          <t>Line item</t>
        </is>
      </c>
      <c r="D297" t="n">
        <v>217.2</v>
      </c>
      <c r="E297" t="n">
        <v>230.2</v>
      </c>
      <c r="F297" t="n">
        <v>13</v>
      </c>
      <c r="G297" t="n">
        <v>6</v>
      </c>
      <c r="H297" t="n">
        <v>0.6</v>
      </c>
      <c r="I297" t="inlineStr">
        <is>
          <t>—</t>
        </is>
      </c>
      <c r="J297" t="inlineStr">
        <is>
          <t>—</t>
        </is>
      </c>
      <c r="K297" t="inlineStr">
        <is>
          <t>—</t>
        </is>
      </c>
    </row>
    <row r="298">
      <c r="A298" t="inlineStr">
        <is>
          <t xml:space="preserve">        Waste treatment and disposal</t>
        </is>
      </c>
      <c r="B298" t="inlineStr">
        <is>
          <t>562200</t>
        </is>
      </c>
      <c r="C298" t="inlineStr">
        <is>
          <t>Line item</t>
        </is>
      </c>
      <c r="D298" t="n">
        <v>108.4</v>
      </c>
      <c r="E298" t="n">
        <v>112.6</v>
      </c>
      <c r="F298" t="n">
        <v>4.2</v>
      </c>
      <c r="G298" t="n">
        <v>3.9</v>
      </c>
      <c r="H298" t="n">
        <v>0.4</v>
      </c>
      <c r="I298" t="inlineStr">
        <is>
          <t>—</t>
        </is>
      </c>
      <c r="J298" t="inlineStr">
        <is>
          <t>—</t>
        </is>
      </c>
      <c r="K298" t="inlineStr">
        <is>
          <t>—</t>
        </is>
      </c>
    </row>
    <row r="299">
      <c r="A299" t="inlineStr">
        <is>
          <t xml:space="preserve">        Remediation and other waste management services</t>
        </is>
      </c>
      <c r="B299" t="inlineStr">
        <is>
          <t>562900</t>
        </is>
      </c>
      <c r="C299" t="inlineStr">
        <is>
          <t>Line item</t>
        </is>
      </c>
      <c r="D299" t="n">
        <v>185.9</v>
      </c>
      <c r="E299" t="n">
        <v>198.7</v>
      </c>
      <c r="F299" t="n">
        <v>12.8</v>
      </c>
      <c r="G299" t="n">
        <v>6.9</v>
      </c>
      <c r="H299" t="n">
        <v>0.7</v>
      </c>
      <c r="I299" t="inlineStr">
        <is>
          <t>—</t>
        </is>
      </c>
      <c r="J299" t="inlineStr">
        <is>
          <t>—</t>
        </is>
      </c>
      <c r="K299" t="inlineStr">
        <is>
          <t>—</t>
        </is>
      </c>
    </row>
    <row r="300">
      <c r="A300" t="inlineStr">
        <is>
          <t xml:space="preserve">    Educational services; state, local, and private</t>
        </is>
      </c>
      <c r="B300" t="inlineStr">
        <is>
          <t>610000</t>
        </is>
      </c>
      <c r="C300" t="inlineStr">
        <is>
          <t>Summary</t>
        </is>
      </c>
      <c r="D300" t="n">
        <v>14704.4</v>
      </c>
      <c r="E300" t="n">
        <v>14716.3</v>
      </c>
      <c r="F300" t="n">
        <v>11.9</v>
      </c>
      <c r="G300" t="n">
        <v>0.1</v>
      </c>
      <c r="H300" t="n">
        <v>0</v>
      </c>
      <c r="I300" t="inlineStr">
        <is>
          <t>—</t>
        </is>
      </c>
      <c r="J300" t="inlineStr">
        <is>
          <t>—</t>
        </is>
      </c>
      <c r="K300" t="inlineStr">
        <is>
          <t>—</t>
        </is>
      </c>
    </row>
    <row r="301">
      <c r="A301" t="inlineStr">
        <is>
          <t xml:space="preserve">      Educational services; state, local, and private</t>
        </is>
      </c>
      <c r="B301" t="inlineStr">
        <is>
          <t>611000</t>
        </is>
      </c>
      <c r="C301" t="inlineStr">
        <is>
          <t>Summary</t>
        </is>
      </c>
      <c r="D301" t="n">
        <v>14704.4</v>
      </c>
      <c r="E301" t="n">
        <v>14716.3</v>
      </c>
      <c r="F301" t="n">
        <v>11.9</v>
      </c>
      <c r="G301" t="n">
        <v>0.1</v>
      </c>
      <c r="H301" t="n">
        <v>0</v>
      </c>
      <c r="I301" t="inlineStr">
        <is>
          <t>—</t>
        </is>
      </c>
      <c r="J301" t="inlineStr">
        <is>
          <t>—</t>
        </is>
      </c>
      <c r="K301" t="inlineStr">
        <is>
          <t>—</t>
        </is>
      </c>
    </row>
    <row r="302">
      <c r="A302" t="inlineStr">
        <is>
          <t xml:space="preserve">        Educational services; private</t>
        </is>
      </c>
      <c r="B302" t="inlineStr">
        <is>
          <t>6110P0</t>
        </is>
      </c>
      <c r="C302" t="inlineStr">
        <is>
          <t>Summary</t>
        </is>
      </c>
      <c r="D302" t="n">
        <v>3962.5</v>
      </c>
      <c r="E302" t="n">
        <v>4036.8</v>
      </c>
      <c r="F302" t="n">
        <v>74.3</v>
      </c>
      <c r="G302" t="n">
        <v>1.9</v>
      </c>
      <c r="H302" t="n">
        <v>0.2</v>
      </c>
      <c r="I302" t="n">
        <v>412.5</v>
      </c>
      <c r="J302" t="n">
        <v>475.5</v>
      </c>
      <c r="K302" t="n">
        <v>1.4</v>
      </c>
      <c r="L302" t="inlineStr">
        <is>
          <t>ISIC 85</t>
        </is>
      </c>
    </row>
    <row r="303">
      <c r="A303" t="inlineStr">
        <is>
          <t xml:space="preserve">          Elementary and secondary schools; private</t>
        </is>
      </c>
      <c r="B303" t="inlineStr">
        <is>
          <t>61110P</t>
        </is>
      </c>
      <c r="C303" t="inlineStr">
        <is>
          <t>Line item</t>
        </is>
      </c>
      <c r="D303" t="n">
        <v>1199.4</v>
      </c>
      <c r="E303" t="n">
        <v>1194.6</v>
      </c>
      <c r="F303" t="n">
        <v>-4.8</v>
      </c>
      <c r="G303" t="n">
        <v>-0.4</v>
      </c>
      <c r="H303" t="n">
        <v>0</v>
      </c>
      <c r="I303" t="n">
        <v>55.5</v>
      </c>
      <c r="J303" t="n">
        <v>58.5</v>
      </c>
      <c r="K303" t="n">
        <v>0.5</v>
      </c>
    </row>
    <row r="304">
      <c r="A304" t="inlineStr">
        <is>
          <t xml:space="preserve">          Junior colleges, colleges, universities, and professional schools; private (6112,3)</t>
        </is>
      </c>
      <c r="B304" t="inlineStr">
        <is>
          <t>6110P1</t>
        </is>
      </c>
      <c r="C304" t="inlineStr">
        <is>
          <t>Summary</t>
        </is>
      </c>
      <c r="D304" t="n">
        <v>1790.5</v>
      </c>
      <c r="E304" t="n">
        <v>1797.9</v>
      </c>
      <c r="F304" t="n">
        <v>7.4</v>
      </c>
      <c r="G304" t="n">
        <v>0.4</v>
      </c>
      <c r="H304" t="n">
        <v>0</v>
      </c>
      <c r="I304" t="n">
        <v>238.6</v>
      </c>
      <c r="J304" t="n">
        <v>267.5</v>
      </c>
      <c r="K304" t="n">
        <v>1.2</v>
      </c>
    </row>
    <row r="305">
      <c r="A305" t="inlineStr">
        <is>
          <t xml:space="preserve">            Junior colleges; private</t>
        </is>
      </c>
      <c r="B305" t="inlineStr">
        <is>
          <t>61120P</t>
        </is>
      </c>
      <c r="C305" t="inlineStr">
        <is>
          <t>Line item</t>
        </is>
      </c>
      <c r="D305" t="n">
        <v>27.5</v>
      </c>
      <c r="E305" t="n">
        <v>27.1</v>
      </c>
      <c r="F305" t="n">
        <v>-0.5</v>
      </c>
      <c r="G305" t="n">
        <v>-1.7</v>
      </c>
      <c r="H305" t="n">
        <v>-0.1</v>
      </c>
      <c r="I305" t="inlineStr">
        <is>
          <t>—</t>
        </is>
      </c>
      <c r="J305" t="inlineStr">
        <is>
          <t>—</t>
        </is>
      </c>
      <c r="K305" t="inlineStr">
        <is>
          <t>—</t>
        </is>
      </c>
    </row>
    <row r="306">
      <c r="A306" t="inlineStr">
        <is>
          <t xml:space="preserve">            Colleges, universities, and professional schools; private</t>
        </is>
      </c>
      <c r="B306" t="inlineStr">
        <is>
          <t>61130P</t>
        </is>
      </c>
      <c r="C306" t="inlineStr">
        <is>
          <t>Line item</t>
        </is>
      </c>
      <c r="D306" t="n">
        <v>1763</v>
      </c>
      <c r="E306" t="n">
        <v>1770.8</v>
      </c>
      <c r="F306" t="n">
        <v>7.9</v>
      </c>
      <c r="G306" t="n">
        <v>0.4</v>
      </c>
      <c r="H306" t="n">
        <v>0</v>
      </c>
      <c r="I306" t="inlineStr">
        <is>
          <t>—</t>
        </is>
      </c>
      <c r="J306" t="inlineStr">
        <is>
          <t>—</t>
        </is>
      </c>
      <c r="K306" t="inlineStr">
        <is>
          <t>—</t>
        </is>
      </c>
    </row>
    <row r="307">
      <c r="A307" t="inlineStr">
        <is>
          <t xml:space="preserve">          Other educational services; private (6114-7)</t>
        </is>
      </c>
      <c r="B307" t="inlineStr">
        <is>
          <t>6110P2</t>
        </is>
      </c>
      <c r="C307" t="inlineStr">
        <is>
          <t>Summary</t>
        </is>
      </c>
      <c r="D307" t="n">
        <v>972.6</v>
      </c>
      <c r="E307" t="n">
        <v>1044.3</v>
      </c>
      <c r="F307" t="n">
        <v>71.7</v>
      </c>
      <c r="G307" t="n">
        <v>7.4</v>
      </c>
      <c r="H307" t="n">
        <v>0.7</v>
      </c>
      <c r="I307" t="n">
        <v>119.4</v>
      </c>
      <c r="J307" t="n">
        <v>153.4</v>
      </c>
      <c r="K307" t="n">
        <v>2.5</v>
      </c>
    </row>
    <row r="308">
      <c r="A308" t="inlineStr">
        <is>
          <t xml:space="preserve">            Business schools and computer and management training; private</t>
        </is>
      </c>
      <c r="B308" t="inlineStr">
        <is>
          <t>61140P</t>
        </is>
      </c>
      <c r="C308" t="inlineStr">
        <is>
          <t>Line item</t>
        </is>
      </c>
      <c r="D308" t="n">
        <v>85.5</v>
      </c>
      <c r="E308" t="n">
        <v>94</v>
      </c>
      <c r="F308" t="n">
        <v>8.5</v>
      </c>
      <c r="G308" t="n">
        <v>9.9</v>
      </c>
      <c r="H308" t="n">
        <v>1</v>
      </c>
      <c r="I308" t="inlineStr">
        <is>
          <t>—</t>
        </is>
      </c>
      <c r="J308" t="inlineStr">
        <is>
          <t>—</t>
        </is>
      </c>
      <c r="K308" t="inlineStr">
        <is>
          <t>—</t>
        </is>
      </c>
    </row>
    <row r="309">
      <c r="A309" t="inlineStr">
        <is>
          <t xml:space="preserve">            Technical and trade schools; private</t>
        </is>
      </c>
      <c r="B309" t="inlineStr">
        <is>
          <t>61150P</t>
        </is>
      </c>
      <c r="C309" t="inlineStr">
        <is>
          <t>Line item</t>
        </is>
      </c>
      <c r="D309" t="n">
        <v>129.2</v>
      </c>
      <c r="E309" t="n">
        <v>134.7</v>
      </c>
      <c r="F309" t="n">
        <v>5.5</v>
      </c>
      <c r="G309" t="n">
        <v>4.3</v>
      </c>
      <c r="H309" t="n">
        <v>0.4</v>
      </c>
      <c r="I309" t="inlineStr">
        <is>
          <t>—</t>
        </is>
      </c>
      <c r="J309" t="inlineStr">
        <is>
          <t>—</t>
        </is>
      </c>
      <c r="K309" t="inlineStr">
        <is>
          <t>—</t>
        </is>
      </c>
    </row>
    <row r="310">
      <c r="A310" t="inlineStr">
        <is>
          <t xml:space="preserve">            Other schools and instruction; private</t>
        </is>
      </c>
      <c r="B310" t="inlineStr">
        <is>
          <t>61160P</t>
        </is>
      </c>
      <c r="C310" t="inlineStr">
        <is>
          <t>Line item</t>
        </is>
      </c>
      <c r="D310" t="n">
        <v>550.2</v>
      </c>
      <c r="E310" t="n">
        <v>588.5</v>
      </c>
      <c r="F310" t="n">
        <v>38.3</v>
      </c>
      <c r="G310" t="n">
        <v>7</v>
      </c>
      <c r="H310" t="n">
        <v>0.7</v>
      </c>
      <c r="I310" t="inlineStr">
        <is>
          <t>—</t>
        </is>
      </c>
      <c r="J310" t="inlineStr">
        <is>
          <t>—</t>
        </is>
      </c>
      <c r="K310" t="inlineStr">
        <is>
          <t>—</t>
        </is>
      </c>
    </row>
    <row r="311">
      <c r="A311" t="inlineStr">
        <is>
          <t xml:space="preserve">            Educational support services; private</t>
        </is>
      </c>
      <c r="B311" t="inlineStr">
        <is>
          <t>61170P</t>
        </is>
      </c>
      <c r="C311" t="inlineStr">
        <is>
          <t>Line item</t>
        </is>
      </c>
      <c r="D311" t="n">
        <v>207.7</v>
      </c>
      <c r="E311" t="n">
        <v>227.1</v>
      </c>
      <c r="F311" t="n">
        <v>19.4</v>
      </c>
      <c r="G311" t="n">
        <v>9.4</v>
      </c>
      <c r="H311" t="n">
        <v>0.9</v>
      </c>
      <c r="I311" t="inlineStr">
        <is>
          <t>—</t>
        </is>
      </c>
      <c r="J311" t="inlineStr">
        <is>
          <t>—</t>
        </is>
      </c>
      <c r="K311" t="inlineStr">
        <is>
          <t>—</t>
        </is>
      </c>
    </row>
    <row r="312">
      <c r="A312" t="inlineStr">
        <is>
          <t xml:space="preserve">        Educational services; state and local</t>
        </is>
      </c>
      <c r="B312" t="inlineStr">
        <is>
          <t>6110Y0</t>
        </is>
      </c>
      <c r="C312" t="inlineStr">
        <is>
          <t>Summary</t>
        </is>
      </c>
      <c r="D312" t="n">
        <v>10741.9</v>
      </c>
      <c r="E312" t="n">
        <v>10679.5</v>
      </c>
      <c r="F312" t="n">
        <v>-62.4</v>
      </c>
      <c r="G312" t="n">
        <v>-0.6</v>
      </c>
      <c r="H312" t="n">
        <v>-0.1</v>
      </c>
      <c r="I312" t="n">
        <v>1172.9</v>
      </c>
      <c r="J312" t="n">
        <v>1183.6</v>
      </c>
      <c r="K312" t="n">
        <v>0.1</v>
      </c>
      <c r="L312" t="inlineStr">
        <is>
          <t>ISIC 85</t>
        </is>
      </c>
    </row>
    <row r="313">
      <c r="A313" t="inlineStr">
        <is>
          <t xml:space="preserve">          Elementary and secondary schools; state</t>
        </is>
      </c>
      <c r="B313" t="inlineStr">
        <is>
          <t>61110S</t>
        </is>
      </c>
      <c r="C313" t="inlineStr">
        <is>
          <t>Line item</t>
        </is>
      </c>
      <c r="D313" t="n">
        <v>81.59999999999999</v>
      </c>
      <c r="E313" t="n">
        <v>77.59999999999999</v>
      </c>
      <c r="F313" t="n">
        <v>-4</v>
      </c>
      <c r="G313" t="n">
        <v>-4.9</v>
      </c>
      <c r="H313" t="n">
        <v>-0.5</v>
      </c>
      <c r="I313" t="inlineStr">
        <is>
          <t>—</t>
        </is>
      </c>
      <c r="J313" t="inlineStr">
        <is>
          <t>—</t>
        </is>
      </c>
      <c r="K313" t="inlineStr">
        <is>
          <t>—</t>
        </is>
      </c>
    </row>
    <row r="314">
      <c r="A314" t="inlineStr">
        <is>
          <t xml:space="preserve">          Elementary and secondary schools; local</t>
        </is>
      </c>
      <c r="B314" t="inlineStr">
        <is>
          <t>61110L</t>
        </is>
      </c>
      <c r="C314" t="inlineStr">
        <is>
          <t>Line item</t>
        </is>
      </c>
      <c r="D314" t="n">
        <v>7600.9</v>
      </c>
      <c r="E314" t="n">
        <v>7413</v>
      </c>
      <c r="F314" t="n">
        <v>-187.9</v>
      </c>
      <c r="G314" t="n">
        <v>-2.5</v>
      </c>
      <c r="H314" t="n">
        <v>-0.3</v>
      </c>
      <c r="I314" t="inlineStr">
        <is>
          <t>—</t>
        </is>
      </c>
      <c r="J314" t="inlineStr">
        <is>
          <t>—</t>
        </is>
      </c>
      <c r="K314" t="inlineStr">
        <is>
          <t>—</t>
        </is>
      </c>
    </row>
    <row r="315">
      <c r="A315" t="inlineStr">
        <is>
          <t xml:space="preserve">          Junior colleges, colleges, universities, and professional schools; state and local (6112,3)</t>
        </is>
      </c>
      <c r="B315" t="inlineStr">
        <is>
          <t>6110Y1</t>
        </is>
      </c>
      <c r="C315" t="inlineStr">
        <is>
          <t>Summary</t>
        </is>
      </c>
      <c r="D315" t="n">
        <v>2977.5</v>
      </c>
      <c r="E315" t="n">
        <v>3100.1</v>
      </c>
      <c r="F315" t="n">
        <v>122.5</v>
      </c>
      <c r="G315" t="n">
        <v>4.1</v>
      </c>
      <c r="H315" t="n">
        <v>0.4</v>
      </c>
      <c r="I315" t="inlineStr">
        <is>
          <t>—</t>
        </is>
      </c>
      <c r="J315" t="inlineStr">
        <is>
          <t>—</t>
        </is>
      </c>
      <c r="K315" t="inlineStr">
        <is>
          <t>—</t>
        </is>
      </c>
    </row>
    <row r="316">
      <c r="A316" t="inlineStr">
        <is>
          <t xml:space="preserve">            Junior colleges; state</t>
        </is>
      </c>
      <c r="B316" t="inlineStr">
        <is>
          <t>61120S</t>
        </is>
      </c>
      <c r="C316" t="inlineStr">
        <is>
          <t>Line item</t>
        </is>
      </c>
      <c r="D316" t="n">
        <v>260.7</v>
      </c>
      <c r="E316" t="n">
        <v>265.2</v>
      </c>
      <c r="F316" t="n">
        <v>4.5</v>
      </c>
      <c r="G316" t="n">
        <v>1.7</v>
      </c>
      <c r="H316" t="n">
        <v>0.2</v>
      </c>
      <c r="I316" t="inlineStr">
        <is>
          <t>—</t>
        </is>
      </c>
      <c r="J316" t="inlineStr">
        <is>
          <t>—</t>
        </is>
      </c>
      <c r="K316" t="inlineStr">
        <is>
          <t>—</t>
        </is>
      </c>
    </row>
    <row r="317">
      <c r="A317" t="inlineStr">
        <is>
          <t xml:space="preserve">            Junior colleges; local</t>
        </is>
      </c>
      <c r="B317" t="inlineStr">
        <is>
          <t>61120L</t>
        </is>
      </c>
      <c r="C317" t="inlineStr">
        <is>
          <t>Line item</t>
        </is>
      </c>
      <c r="D317" t="n">
        <v>399.1</v>
      </c>
      <c r="E317" t="n">
        <v>396.8</v>
      </c>
      <c r="F317" t="n">
        <v>-2.3</v>
      </c>
      <c r="G317" t="n">
        <v>-0.6</v>
      </c>
      <c r="H317" t="n">
        <v>-0.1</v>
      </c>
      <c r="I317" t="inlineStr">
        <is>
          <t>—</t>
        </is>
      </c>
      <c r="J317" t="inlineStr">
        <is>
          <t>—</t>
        </is>
      </c>
      <c r="K317" t="inlineStr">
        <is>
          <t>—</t>
        </is>
      </c>
    </row>
    <row r="318">
      <c r="A318" t="inlineStr">
        <is>
          <t xml:space="preserve">            Colleges, universities, and professional schools; state</t>
        </is>
      </c>
      <c r="B318" t="inlineStr">
        <is>
          <t>61130S</t>
        </is>
      </c>
      <c r="C318" t="inlineStr">
        <is>
          <t>Line item</t>
        </is>
      </c>
      <c r="D318" t="n">
        <v>2242.9</v>
      </c>
      <c r="E318" t="n">
        <v>2360.2</v>
      </c>
      <c r="F318" t="n">
        <v>117.3</v>
      </c>
      <c r="G318" t="n">
        <v>5.2</v>
      </c>
      <c r="H318" t="n">
        <v>0.5</v>
      </c>
      <c r="I318" t="inlineStr">
        <is>
          <t>—</t>
        </is>
      </c>
      <c r="J318" t="inlineStr">
        <is>
          <t>—</t>
        </is>
      </c>
      <c r="K318" t="inlineStr">
        <is>
          <t>—</t>
        </is>
      </c>
    </row>
    <row r="319">
      <c r="A319" t="inlineStr">
        <is>
          <t xml:space="preserve">            Colleges, universities, and professional schools; local</t>
        </is>
      </c>
      <c r="B319" t="inlineStr">
        <is>
          <t>61130L</t>
        </is>
      </c>
      <c r="C319" t="inlineStr">
        <is>
          <t>Line item</t>
        </is>
      </c>
      <c r="D319" t="n">
        <v>74.8</v>
      </c>
      <c r="E319" t="n">
        <v>78</v>
      </c>
      <c r="F319" t="n">
        <v>3.1</v>
      </c>
      <c r="G319" t="n">
        <v>4.2</v>
      </c>
      <c r="H319" t="n">
        <v>0.4</v>
      </c>
      <c r="I319" t="inlineStr">
        <is>
          <t>—</t>
        </is>
      </c>
      <c r="J319" t="inlineStr">
        <is>
          <t>—</t>
        </is>
      </c>
      <c r="K319" t="inlineStr">
        <is>
          <t>—</t>
        </is>
      </c>
    </row>
    <row r="320">
      <c r="A320" t="inlineStr">
        <is>
          <t xml:space="preserve">          Other educational services; state and local (6114-7)</t>
        </is>
      </c>
      <c r="B320" t="inlineStr">
        <is>
          <t>6110Y2</t>
        </is>
      </c>
      <c r="C320" t="inlineStr">
        <is>
          <t>Summary</t>
        </is>
      </c>
      <c r="D320" t="n">
        <v>81.90000000000001</v>
      </c>
      <c r="E320" t="n">
        <v>88.8</v>
      </c>
      <c r="F320" t="n">
        <v>6.9</v>
      </c>
      <c r="G320" t="n">
        <v>8.5</v>
      </c>
      <c r="H320" t="n">
        <v>0.8</v>
      </c>
      <c r="I320" t="inlineStr">
        <is>
          <t>—</t>
        </is>
      </c>
      <c r="J320" t="inlineStr">
        <is>
          <t>—</t>
        </is>
      </c>
      <c r="K320" t="inlineStr">
        <is>
          <t>—</t>
        </is>
      </c>
    </row>
    <row r="321">
      <c r="A321" t="inlineStr">
        <is>
          <t xml:space="preserve">            Business schools and computer and management training; state</t>
        </is>
      </c>
      <c r="B321" t="inlineStr">
        <is>
          <t>61140S</t>
        </is>
      </c>
      <c r="C321" t="inlineStr">
        <is>
          <t>Line item</t>
        </is>
      </c>
      <c r="D321" t="n">
        <v>2.9</v>
      </c>
      <c r="E321" t="n">
        <v>3.1</v>
      </c>
      <c r="F321" t="n">
        <v>0.2</v>
      </c>
      <c r="G321" t="n">
        <v>8.199999999999999</v>
      </c>
      <c r="H321" t="n">
        <v>0.7</v>
      </c>
      <c r="I321" t="inlineStr">
        <is>
          <t>—</t>
        </is>
      </c>
      <c r="J321" t="inlineStr">
        <is>
          <t>—</t>
        </is>
      </c>
      <c r="K321" t="inlineStr">
        <is>
          <t>—</t>
        </is>
      </c>
    </row>
    <row r="322">
      <c r="A322" t="inlineStr">
        <is>
          <t xml:space="preserve">            Business schools and computer and management training; local</t>
        </is>
      </c>
      <c r="B322" t="inlineStr">
        <is>
          <t>61140L</t>
        </is>
      </c>
      <c r="C322" t="inlineStr">
        <is>
          <t>Line item</t>
        </is>
      </c>
      <c r="D322" t="n">
        <v>2.3</v>
      </c>
      <c r="E322" t="n">
        <v>2.4</v>
      </c>
      <c r="F322" t="n">
        <v>0.1</v>
      </c>
      <c r="G322" t="n">
        <v>6.5</v>
      </c>
      <c r="H322" t="n">
        <v>0.4</v>
      </c>
      <c r="I322" t="inlineStr">
        <is>
          <t>—</t>
        </is>
      </c>
      <c r="J322" t="inlineStr">
        <is>
          <t>—</t>
        </is>
      </c>
      <c r="K322" t="inlineStr">
        <is>
          <t>—</t>
        </is>
      </c>
    </row>
    <row r="323">
      <c r="A323" t="inlineStr">
        <is>
          <t xml:space="preserve">            Technical and trade schools; state</t>
        </is>
      </c>
      <c r="B323" t="inlineStr">
        <is>
          <t>61150S</t>
        </is>
      </c>
      <c r="C323" t="inlineStr">
        <is>
          <t>Line item</t>
        </is>
      </c>
      <c r="D323" t="n">
        <v>14.7</v>
      </c>
      <c r="E323" t="n">
        <v>15.3</v>
      </c>
      <c r="F323" t="n">
        <v>0.6</v>
      </c>
      <c r="G323" t="n">
        <v>4.1</v>
      </c>
      <c r="H323" t="n">
        <v>0.4</v>
      </c>
      <c r="I323" t="inlineStr">
        <is>
          <t>—</t>
        </is>
      </c>
      <c r="J323" t="inlineStr">
        <is>
          <t>—</t>
        </is>
      </c>
      <c r="K323" t="inlineStr">
        <is>
          <t>—</t>
        </is>
      </c>
    </row>
    <row r="324">
      <c r="A324" t="inlineStr">
        <is>
          <t xml:space="preserve">            Technical and trade schools; local</t>
        </is>
      </c>
      <c r="B324" t="inlineStr">
        <is>
          <t>61150L</t>
        </is>
      </c>
      <c r="C324" t="inlineStr">
        <is>
          <t>Line item</t>
        </is>
      </c>
      <c r="D324" t="n">
        <v>10.6</v>
      </c>
      <c r="E324" t="n">
        <v>10.8</v>
      </c>
      <c r="F324" t="n">
        <v>0.3</v>
      </c>
      <c r="G324" t="n">
        <v>2.7</v>
      </c>
      <c r="H324" t="n">
        <v>0.2</v>
      </c>
      <c r="I324" t="inlineStr">
        <is>
          <t>—</t>
        </is>
      </c>
      <c r="J324" t="inlineStr">
        <is>
          <t>—</t>
        </is>
      </c>
      <c r="K324" t="inlineStr">
        <is>
          <t>—</t>
        </is>
      </c>
    </row>
    <row r="325">
      <c r="A325" t="inlineStr">
        <is>
          <t xml:space="preserve">            Other schools and instruction; state</t>
        </is>
      </c>
      <c r="B325" t="inlineStr">
        <is>
          <t>61160S</t>
        </is>
      </c>
      <c r="C325" t="inlineStr">
        <is>
          <t>Line item</t>
        </is>
      </c>
      <c r="D325" t="n">
        <v>1.6</v>
      </c>
      <c r="E325" t="n">
        <v>1.6</v>
      </c>
      <c r="F325" t="n">
        <v>0.1</v>
      </c>
      <c r="G325" t="n">
        <v>4.4</v>
      </c>
      <c r="H325" t="n">
        <v>0</v>
      </c>
      <c r="I325" t="inlineStr">
        <is>
          <t>—</t>
        </is>
      </c>
      <c r="J325" t="inlineStr">
        <is>
          <t>—</t>
        </is>
      </c>
      <c r="K325" t="inlineStr">
        <is>
          <t>—</t>
        </is>
      </c>
    </row>
    <row r="326">
      <c r="A326" t="inlineStr">
        <is>
          <t xml:space="preserve">            Other schools and instruction; local</t>
        </is>
      </c>
      <c r="B326" t="inlineStr">
        <is>
          <t>61160L</t>
        </is>
      </c>
      <c r="C326" t="inlineStr">
        <is>
          <t>Line item</t>
        </is>
      </c>
      <c r="D326" t="n">
        <v>8.800000000000001</v>
      </c>
      <c r="E326" t="n">
        <v>8.4</v>
      </c>
      <c r="F326" t="n">
        <v>-0.5</v>
      </c>
      <c r="G326" t="n">
        <v>-5.5</v>
      </c>
      <c r="H326" t="n">
        <v>-0.5</v>
      </c>
      <c r="I326" t="inlineStr">
        <is>
          <t>—</t>
        </is>
      </c>
      <c r="J326" t="inlineStr">
        <is>
          <t>—</t>
        </is>
      </c>
      <c r="K326" t="inlineStr">
        <is>
          <t>—</t>
        </is>
      </c>
    </row>
    <row r="327">
      <c r="A327" t="inlineStr">
        <is>
          <t xml:space="preserve">            Educational support services; local</t>
        </is>
      </c>
      <c r="B327" t="inlineStr">
        <is>
          <t>61170L</t>
        </is>
      </c>
      <c r="C327" t="inlineStr">
        <is>
          <t>Line item</t>
        </is>
      </c>
      <c r="D327" t="n">
        <v>40.9</v>
      </c>
      <c r="E327" t="n">
        <v>47</v>
      </c>
      <c r="F327" t="n">
        <v>6.1</v>
      </c>
      <c r="G327" t="n">
        <v>14.8</v>
      </c>
      <c r="H327" t="n">
        <v>1.4</v>
      </c>
      <c r="I327" t="inlineStr">
        <is>
          <t>—</t>
        </is>
      </c>
      <c r="J327" t="inlineStr">
        <is>
          <t>—</t>
        </is>
      </c>
      <c r="K327" t="inlineStr">
        <is>
          <t>—</t>
        </is>
      </c>
    </row>
    <row r="328">
      <c r="A328" t="inlineStr">
        <is>
          <t xml:space="preserve">    Healthcare and social assistance</t>
        </is>
      </c>
      <c r="B328" t="inlineStr">
        <is>
          <t>620000</t>
        </is>
      </c>
      <c r="C328" t="inlineStr">
        <is>
          <t>Summary</t>
        </is>
      </c>
      <c r="D328" t="n">
        <v>23692.2</v>
      </c>
      <c r="E328" t="n">
        <v>25674.9</v>
      </c>
      <c r="F328" t="n">
        <v>1982.7</v>
      </c>
      <c r="G328" t="n">
        <v>8.4</v>
      </c>
      <c r="H328" t="n">
        <v>0.8</v>
      </c>
      <c r="I328" t="inlineStr">
        <is>
          <t>—</t>
        </is>
      </c>
      <c r="J328" t="inlineStr">
        <is>
          <t>—</t>
        </is>
      </c>
      <c r="K328" t="inlineStr">
        <is>
          <t>—</t>
        </is>
      </c>
    </row>
    <row r="329">
      <c r="A329" t="inlineStr">
        <is>
          <t xml:space="preserve">      Ambulatory healthcare services</t>
        </is>
      </c>
      <c r="B329" t="inlineStr">
        <is>
          <t>621000</t>
        </is>
      </c>
      <c r="C329" t="inlineStr">
        <is>
          <t>Summary</t>
        </is>
      </c>
      <c r="D329" t="n">
        <v>8784.9</v>
      </c>
      <c r="E329" t="n">
        <v>9852.799999999999</v>
      </c>
      <c r="F329" t="n">
        <v>1067.9</v>
      </c>
      <c r="G329" t="n">
        <v>12.2</v>
      </c>
      <c r="H329" t="n">
        <v>1.2</v>
      </c>
      <c r="I329" t="n">
        <v>1417.6</v>
      </c>
      <c r="J329" t="n">
        <v>1929</v>
      </c>
      <c r="K329" t="n">
        <v>3.1</v>
      </c>
      <c r="L329" t="inlineStr">
        <is>
          <t>ISIC 86T88</t>
        </is>
      </c>
    </row>
    <row r="330">
      <c r="A330" t="inlineStr">
        <is>
          <t xml:space="preserve">        Offices of physicians</t>
        </is>
      </c>
      <c r="B330" t="inlineStr">
        <is>
          <t>621100</t>
        </is>
      </c>
      <c r="C330" t="inlineStr">
        <is>
          <t>Line item</t>
        </is>
      </c>
      <c r="D330" t="n">
        <v>2975.4</v>
      </c>
      <c r="E330" t="n">
        <v>3180</v>
      </c>
      <c r="F330" t="n">
        <v>204.6</v>
      </c>
      <c r="G330" t="n">
        <v>6.9</v>
      </c>
      <c r="H330" t="n">
        <v>0.7</v>
      </c>
      <c r="I330" t="n">
        <v>646.9</v>
      </c>
      <c r="J330" t="n">
        <v>893.9</v>
      </c>
      <c r="K330" t="n">
        <v>3.3</v>
      </c>
    </row>
    <row r="331">
      <c r="A331" t="inlineStr">
        <is>
          <t xml:space="preserve">        Offices of dentists</t>
        </is>
      </c>
      <c r="B331" t="inlineStr">
        <is>
          <t>621200</t>
        </is>
      </c>
      <c r="C331" t="inlineStr">
        <is>
          <t>Line item</t>
        </is>
      </c>
      <c r="D331" t="n">
        <v>1045.5</v>
      </c>
      <c r="E331" t="n">
        <v>1101.8</v>
      </c>
      <c r="F331" t="n">
        <v>56.3</v>
      </c>
      <c r="G331" t="n">
        <v>5.4</v>
      </c>
      <c r="H331" t="n">
        <v>0.5</v>
      </c>
      <c r="I331" t="n">
        <v>146.7</v>
      </c>
      <c r="J331" t="n">
        <v>164.3</v>
      </c>
      <c r="K331" t="n">
        <v>1.1</v>
      </c>
    </row>
    <row r="332">
      <c r="A332" t="inlineStr">
        <is>
          <t xml:space="preserve">        Offices of other health practitioners</t>
        </is>
      </c>
      <c r="B332" t="inlineStr">
        <is>
          <t>621300</t>
        </is>
      </c>
      <c r="C332" t="inlineStr">
        <is>
          <t>Summary</t>
        </is>
      </c>
      <c r="D332" t="n">
        <v>1232.2</v>
      </c>
      <c r="E332" t="n">
        <v>1457.8</v>
      </c>
      <c r="F332" t="n">
        <v>225.6</v>
      </c>
      <c r="G332" t="n">
        <v>18.3</v>
      </c>
      <c r="H332" t="n">
        <v>1.7</v>
      </c>
      <c r="I332" t="n">
        <v>164.6</v>
      </c>
      <c r="J332" t="n">
        <v>235.3</v>
      </c>
      <c r="K332" t="n">
        <v>3.6</v>
      </c>
    </row>
    <row r="333">
      <c r="A333" t="inlineStr">
        <is>
          <t xml:space="preserve">          Offices of chiropractors</t>
        </is>
      </c>
      <c r="B333" t="inlineStr">
        <is>
          <t>621310</t>
        </is>
      </c>
      <c r="C333" t="inlineStr">
        <is>
          <t>Line item</t>
        </is>
      </c>
      <c r="D333" t="n">
        <v>146.9</v>
      </c>
      <c r="E333" t="n">
        <v>156</v>
      </c>
      <c r="F333" t="n">
        <v>9.1</v>
      </c>
      <c r="G333" t="n">
        <v>6.2</v>
      </c>
      <c r="H333" t="n">
        <v>0.6</v>
      </c>
      <c r="I333" t="inlineStr">
        <is>
          <t>—</t>
        </is>
      </c>
      <c r="J333" t="inlineStr">
        <is>
          <t>—</t>
        </is>
      </c>
      <c r="K333" t="inlineStr">
        <is>
          <t>—</t>
        </is>
      </c>
    </row>
    <row r="334">
      <c r="A334" t="inlineStr">
        <is>
          <t xml:space="preserve">          Offices of optometrists</t>
        </is>
      </c>
      <c r="B334" t="inlineStr">
        <is>
          <t>621320</t>
        </is>
      </c>
      <c r="C334" t="inlineStr">
        <is>
          <t>Line item</t>
        </is>
      </c>
      <c r="D334" t="n">
        <v>154.5</v>
      </c>
      <c r="E334" t="n">
        <v>166.2</v>
      </c>
      <c r="F334" t="n">
        <v>11.7</v>
      </c>
      <c r="G334" t="n">
        <v>7.6</v>
      </c>
      <c r="H334" t="n">
        <v>0.7</v>
      </c>
      <c r="I334" t="inlineStr">
        <is>
          <t>—</t>
        </is>
      </c>
      <c r="J334" t="inlineStr">
        <is>
          <t>—</t>
        </is>
      </c>
      <c r="K334" t="inlineStr">
        <is>
          <t>—</t>
        </is>
      </c>
    </row>
    <row r="335">
      <c r="A335" t="inlineStr">
        <is>
          <t xml:space="preserve">          Offices of mental health practitioners (except physicians)</t>
        </is>
      </c>
      <c r="B335" t="inlineStr">
        <is>
          <t>621330</t>
        </is>
      </c>
      <c r="C335" t="inlineStr">
        <is>
          <t>Line item</t>
        </is>
      </c>
      <c r="D335" t="n">
        <v>247.9</v>
      </c>
      <c r="E335" t="n">
        <v>313.4</v>
      </c>
      <c r="F335" t="n">
        <v>65.5</v>
      </c>
      <c r="G335" t="n">
        <v>26.4</v>
      </c>
      <c r="H335" t="n">
        <v>2.4</v>
      </c>
      <c r="I335" t="inlineStr">
        <is>
          <t>—</t>
        </is>
      </c>
      <c r="J335" t="inlineStr">
        <is>
          <t>—</t>
        </is>
      </c>
      <c r="K335" t="inlineStr">
        <is>
          <t>—</t>
        </is>
      </c>
    </row>
    <row r="336">
      <c r="A336" t="inlineStr">
        <is>
          <t xml:space="preserve">          Offices of physical, occupational and speech therapists, and audiologists</t>
        </is>
      </c>
      <c r="B336" t="inlineStr">
        <is>
          <t>621340</t>
        </is>
      </c>
      <c r="C336" t="inlineStr">
        <is>
          <t>Line item</t>
        </is>
      </c>
      <c r="D336" t="n">
        <v>493.1</v>
      </c>
      <c r="E336" t="n">
        <v>607.9</v>
      </c>
      <c r="F336" t="n">
        <v>114.8</v>
      </c>
      <c r="G336" t="n">
        <v>23.3</v>
      </c>
      <c r="H336" t="n">
        <v>2.1</v>
      </c>
      <c r="I336" t="inlineStr">
        <is>
          <t>—</t>
        </is>
      </c>
      <c r="J336" t="inlineStr">
        <is>
          <t>—</t>
        </is>
      </c>
      <c r="K336" t="inlineStr">
        <is>
          <t>—</t>
        </is>
      </c>
    </row>
    <row r="337">
      <c r="A337" t="inlineStr">
        <is>
          <t xml:space="preserve">          Offices of all other health practitioners</t>
        </is>
      </c>
      <c r="B337" t="inlineStr">
        <is>
          <t>621390</t>
        </is>
      </c>
      <c r="C337" t="inlineStr">
        <is>
          <t>Line item</t>
        </is>
      </c>
      <c r="D337" t="n">
        <v>189.8</v>
      </c>
      <c r="E337" t="n">
        <v>214.3</v>
      </c>
      <c r="F337" t="n">
        <v>24.5</v>
      </c>
      <c r="G337" t="n">
        <v>12.9</v>
      </c>
      <c r="H337" t="n">
        <v>1.2</v>
      </c>
      <c r="I337" t="inlineStr">
        <is>
          <t>—</t>
        </is>
      </c>
      <c r="J337" t="inlineStr">
        <is>
          <t>—</t>
        </is>
      </c>
      <c r="K337" t="inlineStr">
        <is>
          <t>—</t>
        </is>
      </c>
    </row>
    <row r="338">
      <c r="A338" t="inlineStr">
        <is>
          <t xml:space="preserve">        Outpatient care centers</t>
        </is>
      </c>
      <c r="B338" t="inlineStr">
        <is>
          <t>621400</t>
        </is>
      </c>
      <c r="C338" t="inlineStr">
        <is>
          <t>Summary</t>
        </is>
      </c>
      <c r="D338" t="n">
        <v>1115.1</v>
      </c>
      <c r="E338" t="n">
        <v>1324.8</v>
      </c>
      <c r="F338" t="n">
        <v>209.7</v>
      </c>
      <c r="G338" t="n">
        <v>18.8</v>
      </c>
      <c r="H338" t="n">
        <v>1.7</v>
      </c>
      <c r="I338" t="n">
        <v>217.8</v>
      </c>
      <c r="J338" t="n">
        <v>307.4</v>
      </c>
      <c r="K338" t="n">
        <v>3.5</v>
      </c>
    </row>
    <row r="339">
      <c r="A339" t="inlineStr">
        <is>
          <t xml:space="preserve">          Outpatient mental health and substance abuse centers</t>
        </is>
      </c>
      <c r="B339" t="inlineStr">
        <is>
          <t>621420</t>
        </is>
      </c>
      <c r="C339" t="inlineStr">
        <is>
          <t>Line item</t>
        </is>
      </c>
      <c r="D339" t="n">
        <v>314.8</v>
      </c>
      <c r="E339" t="n">
        <v>377.6</v>
      </c>
      <c r="F339" t="n">
        <v>62.8</v>
      </c>
      <c r="G339" t="n">
        <v>19.9</v>
      </c>
      <c r="H339" t="n">
        <v>1.8</v>
      </c>
      <c r="I339" t="inlineStr">
        <is>
          <t>—</t>
        </is>
      </c>
      <c r="J339" t="inlineStr">
        <is>
          <t>—</t>
        </is>
      </c>
      <c r="K339" t="inlineStr">
        <is>
          <t>—</t>
        </is>
      </c>
    </row>
    <row r="340">
      <c r="A340" t="inlineStr">
        <is>
          <t xml:space="preserve">        Medical and diagnostic laboratories</t>
        </is>
      </c>
      <c r="B340" t="inlineStr">
        <is>
          <t>621500</t>
        </is>
      </c>
      <c r="C340" t="inlineStr">
        <is>
          <t>Line item</t>
        </is>
      </c>
      <c r="D340" t="n">
        <v>308</v>
      </c>
      <c r="E340" t="n">
        <v>327.7</v>
      </c>
      <c r="F340" t="n">
        <v>19.7</v>
      </c>
      <c r="G340" t="n">
        <v>6.4</v>
      </c>
      <c r="H340" t="n">
        <v>0.6</v>
      </c>
      <c r="I340" t="n">
        <v>75.90000000000001</v>
      </c>
      <c r="J340" t="n">
        <v>99.09999999999999</v>
      </c>
      <c r="K340" t="n">
        <v>2.7</v>
      </c>
    </row>
    <row r="341">
      <c r="A341" t="inlineStr">
        <is>
          <t xml:space="preserve">        Home healthcare services</t>
        </is>
      </c>
      <c r="B341" t="inlineStr">
        <is>
          <t>621600</t>
        </is>
      </c>
      <c r="C341" t="inlineStr">
        <is>
          <t>Line item</t>
        </is>
      </c>
      <c r="D341" t="n">
        <v>1750.8</v>
      </c>
      <c r="E341" t="n">
        <v>2076.6</v>
      </c>
      <c r="F341" t="n">
        <v>325.8</v>
      </c>
      <c r="G341" t="n">
        <v>18.6</v>
      </c>
      <c r="H341" t="n">
        <v>1.7</v>
      </c>
      <c r="I341" t="n">
        <v>120.6</v>
      </c>
      <c r="J341" t="n">
        <v>176.6</v>
      </c>
      <c r="K341" t="n">
        <v>3.9</v>
      </c>
    </row>
    <row r="342">
      <c r="A342" t="inlineStr">
        <is>
          <t xml:space="preserve">        Other ambulatory healthcare services</t>
        </is>
      </c>
      <c r="B342" t="inlineStr">
        <is>
          <t>621900</t>
        </is>
      </c>
      <c r="C342" t="inlineStr">
        <is>
          <t>Summary</t>
        </is>
      </c>
      <c r="D342" t="n">
        <v>357.9</v>
      </c>
      <c r="E342" t="n">
        <v>384.3</v>
      </c>
      <c r="F342" t="n">
        <v>26.4</v>
      </c>
      <c r="G342" t="n">
        <v>7.4</v>
      </c>
      <c r="H342" t="n">
        <v>0.7</v>
      </c>
      <c r="I342" t="n">
        <v>46.3</v>
      </c>
      <c r="J342" t="n">
        <v>61.5</v>
      </c>
      <c r="K342" t="n">
        <v>2.9</v>
      </c>
    </row>
    <row r="343">
      <c r="A343" t="inlineStr">
        <is>
          <t xml:space="preserve">          Ambulance services</t>
        </is>
      </c>
      <c r="B343" t="inlineStr">
        <is>
          <t>621910</t>
        </is>
      </c>
      <c r="C343" t="inlineStr">
        <is>
          <t>Line item</t>
        </is>
      </c>
      <c r="D343" t="n">
        <v>170.5</v>
      </c>
      <c r="E343" t="n">
        <v>176.8</v>
      </c>
      <c r="F343" t="n">
        <v>6.3</v>
      </c>
      <c r="G343" t="n">
        <v>3.7</v>
      </c>
      <c r="H343" t="n">
        <v>0.4</v>
      </c>
      <c r="I343" t="inlineStr">
        <is>
          <t>—</t>
        </is>
      </c>
      <c r="J343" t="inlineStr">
        <is>
          <t>—</t>
        </is>
      </c>
      <c r="K343" t="inlineStr">
        <is>
          <t>—</t>
        </is>
      </c>
    </row>
    <row r="344">
      <c r="A344" t="inlineStr">
        <is>
          <t xml:space="preserve">          All other ambulatory healthcare services</t>
        </is>
      </c>
      <c r="B344" t="inlineStr">
        <is>
          <t>621990</t>
        </is>
      </c>
      <c r="C344" t="inlineStr">
        <is>
          <t>Line item</t>
        </is>
      </c>
      <c r="D344" t="n">
        <v>187.4</v>
      </c>
      <c r="E344" t="n">
        <v>207.5</v>
      </c>
      <c r="F344" t="n">
        <v>20.1</v>
      </c>
      <c r="G344" t="n">
        <v>10.7</v>
      </c>
      <c r="H344" t="n">
        <v>1</v>
      </c>
      <c r="I344" t="inlineStr">
        <is>
          <t>—</t>
        </is>
      </c>
      <c r="J344" t="inlineStr">
        <is>
          <t>—</t>
        </is>
      </c>
      <c r="K344" t="inlineStr">
        <is>
          <t>—</t>
        </is>
      </c>
    </row>
    <row r="345">
      <c r="A345" t="inlineStr">
        <is>
          <t xml:space="preserve">      Hospitals; state, local, and private</t>
        </is>
      </c>
      <c r="B345" t="inlineStr">
        <is>
          <t>622000</t>
        </is>
      </c>
      <c r="C345" t="inlineStr">
        <is>
          <t>Summary</t>
        </is>
      </c>
      <c r="D345" t="n">
        <v>6715.9</v>
      </c>
      <c r="E345" t="n">
        <v>6980.7</v>
      </c>
      <c r="F345" t="n">
        <v>264.8</v>
      </c>
      <c r="G345" t="n">
        <v>3.9</v>
      </c>
      <c r="H345" t="n">
        <v>0.4</v>
      </c>
      <c r="I345" t="inlineStr">
        <is>
          <t>—</t>
        </is>
      </c>
      <c r="J345" t="inlineStr">
        <is>
          <t>—</t>
        </is>
      </c>
      <c r="K345" t="inlineStr">
        <is>
          <t>—</t>
        </is>
      </c>
    </row>
    <row r="346">
      <c r="A346" t="inlineStr">
        <is>
          <t xml:space="preserve">        Hospitals; private</t>
        </is>
      </c>
      <c r="B346" t="inlineStr">
        <is>
          <t>6220P0</t>
        </is>
      </c>
      <c r="C346" t="inlineStr">
        <is>
          <t>Summary</t>
        </is>
      </c>
      <c r="D346" t="n">
        <v>5551.1</v>
      </c>
      <c r="E346" t="n">
        <v>5794.8</v>
      </c>
      <c r="F346" t="n">
        <v>243.7</v>
      </c>
      <c r="G346" t="n">
        <v>4.4</v>
      </c>
      <c r="H346" t="n">
        <v>0.4</v>
      </c>
      <c r="I346" t="n">
        <v>1007.8</v>
      </c>
      <c r="J346" t="n">
        <v>1311</v>
      </c>
      <c r="K346" t="n">
        <v>2.7</v>
      </c>
      <c r="L346" t="inlineStr">
        <is>
          <t>ISIC 86T88</t>
        </is>
      </c>
    </row>
    <row r="347">
      <c r="A347" t="inlineStr">
        <is>
          <t xml:space="preserve">          General medical and surgical hospitals; private</t>
        </is>
      </c>
      <c r="B347" t="inlineStr">
        <is>
          <t>62210P</t>
        </is>
      </c>
      <c r="C347" t="inlineStr">
        <is>
          <t>Line item</t>
        </is>
      </c>
      <c r="D347" t="n">
        <v>5070.2</v>
      </c>
      <c r="E347" t="n">
        <v>5267.5</v>
      </c>
      <c r="F347" t="n">
        <v>197.3</v>
      </c>
      <c r="G347" t="n">
        <v>3.9</v>
      </c>
      <c r="H347" t="n">
        <v>0.4</v>
      </c>
      <c r="I347" t="inlineStr">
        <is>
          <t>—</t>
        </is>
      </c>
      <c r="J347" t="inlineStr">
        <is>
          <t>—</t>
        </is>
      </c>
      <c r="K347" t="inlineStr">
        <is>
          <t>—</t>
        </is>
      </c>
    </row>
    <row r="348">
      <c r="A348" t="inlineStr">
        <is>
          <t xml:space="preserve">          Psychiatric and substance abuse hospitals; private</t>
        </is>
      </c>
      <c r="B348" t="inlineStr">
        <is>
          <t>62220P</t>
        </is>
      </c>
      <c r="C348" t="inlineStr">
        <is>
          <t>Line item</t>
        </is>
      </c>
      <c r="D348" t="n">
        <v>165.2</v>
      </c>
      <c r="E348" t="n">
        <v>182.5</v>
      </c>
      <c r="F348" t="n">
        <v>17.3</v>
      </c>
      <c r="G348" t="n">
        <v>10.5</v>
      </c>
      <c r="H348" t="n">
        <v>1</v>
      </c>
      <c r="I348" t="inlineStr">
        <is>
          <t>—</t>
        </is>
      </c>
      <c r="J348" t="inlineStr">
        <is>
          <t>—</t>
        </is>
      </c>
      <c r="K348" t="inlineStr">
        <is>
          <t>—</t>
        </is>
      </c>
    </row>
    <row r="349">
      <c r="A349" t="inlineStr">
        <is>
          <t xml:space="preserve">          Specialty (except psychiatric and substance abuse) hospitals; private</t>
        </is>
      </c>
      <c r="B349" t="inlineStr">
        <is>
          <t>62230P</t>
        </is>
      </c>
      <c r="C349" t="inlineStr">
        <is>
          <t>Line item</t>
        </is>
      </c>
      <c r="D349" t="n">
        <v>315.7</v>
      </c>
      <c r="E349" t="n">
        <v>344.8</v>
      </c>
      <c r="F349" t="n">
        <v>29.1</v>
      </c>
      <c r="G349" t="n">
        <v>9.199999999999999</v>
      </c>
      <c r="H349" t="n">
        <v>0.9</v>
      </c>
      <c r="I349" t="inlineStr">
        <is>
          <t>—</t>
        </is>
      </c>
      <c r="J349" t="inlineStr">
        <is>
          <t>—</t>
        </is>
      </c>
      <c r="K349" t="inlineStr">
        <is>
          <t>—</t>
        </is>
      </c>
    </row>
    <row r="350">
      <c r="A350" t="inlineStr">
        <is>
          <t xml:space="preserve">        Hospitals; state and local</t>
        </is>
      </c>
      <c r="B350" t="inlineStr">
        <is>
          <t>6220Y0</t>
        </is>
      </c>
      <c r="C350" t="inlineStr">
        <is>
          <t>Summary</t>
        </is>
      </c>
      <c r="D350" t="n">
        <v>1164.8</v>
      </c>
      <c r="E350" t="n">
        <v>1185.9</v>
      </c>
      <c r="F350" t="n">
        <v>21.1</v>
      </c>
      <c r="G350" t="n">
        <v>1.8</v>
      </c>
      <c r="H350" t="n">
        <v>0.2</v>
      </c>
      <c r="I350" t="n">
        <v>379.1</v>
      </c>
      <c r="J350" t="n">
        <v>482</v>
      </c>
      <c r="K350" t="n">
        <v>2.4</v>
      </c>
      <c r="L350" t="inlineStr">
        <is>
          <t>ISIC 86T88</t>
        </is>
      </c>
    </row>
    <row r="351">
      <c r="A351" t="inlineStr">
        <is>
          <t xml:space="preserve">          General medical and surgical hospitals; state</t>
        </is>
      </c>
      <c r="B351" t="inlineStr">
        <is>
          <t>62210S</t>
        </is>
      </c>
      <c r="C351" t="inlineStr">
        <is>
          <t>Line item</t>
        </is>
      </c>
      <c r="D351" t="n">
        <v>305.1</v>
      </c>
      <c r="E351" t="n">
        <v>316.6</v>
      </c>
      <c r="F351" t="n">
        <v>11.5</v>
      </c>
      <c r="G351" t="n">
        <v>3.8</v>
      </c>
      <c r="H351" t="n">
        <v>0.4</v>
      </c>
      <c r="I351" t="inlineStr">
        <is>
          <t>—</t>
        </is>
      </c>
      <c r="J351" t="inlineStr">
        <is>
          <t>—</t>
        </is>
      </c>
      <c r="K351" t="inlineStr">
        <is>
          <t>—</t>
        </is>
      </c>
    </row>
    <row r="352">
      <c r="A352" t="inlineStr">
        <is>
          <t xml:space="preserve">          General medical and surgical hospitals; local</t>
        </is>
      </c>
      <c r="B352" t="inlineStr">
        <is>
          <t>62210L</t>
        </is>
      </c>
      <c r="C352" t="inlineStr">
        <is>
          <t>Line item</t>
        </is>
      </c>
      <c r="D352" t="n">
        <v>700.5</v>
      </c>
      <c r="E352" t="n">
        <v>717.4</v>
      </c>
      <c r="F352" t="n">
        <v>17</v>
      </c>
      <c r="G352" t="n">
        <v>2.4</v>
      </c>
      <c r="H352" t="n">
        <v>0.2</v>
      </c>
      <c r="I352" t="inlineStr">
        <is>
          <t>—</t>
        </is>
      </c>
      <c r="J352" t="inlineStr">
        <is>
          <t>—</t>
        </is>
      </c>
      <c r="K352" t="inlineStr">
        <is>
          <t>—</t>
        </is>
      </c>
    </row>
    <row r="353">
      <c r="A353" t="inlineStr">
        <is>
          <t xml:space="preserve">          Psychiatric and substance abuse hospitals; state</t>
        </is>
      </c>
      <c r="B353" t="inlineStr">
        <is>
          <t>62220S</t>
        </is>
      </c>
      <c r="C353" t="inlineStr">
        <is>
          <t>Line item</t>
        </is>
      </c>
      <c r="D353" t="n">
        <v>115.2</v>
      </c>
      <c r="E353" t="n">
        <v>106.7</v>
      </c>
      <c r="F353" t="n">
        <v>-8.5</v>
      </c>
      <c r="G353" t="n">
        <v>-7.4</v>
      </c>
      <c r="H353" t="n">
        <v>-0.8</v>
      </c>
      <c r="I353" t="inlineStr">
        <is>
          <t>—</t>
        </is>
      </c>
      <c r="J353" t="inlineStr">
        <is>
          <t>—</t>
        </is>
      </c>
      <c r="K353" t="inlineStr">
        <is>
          <t>—</t>
        </is>
      </c>
    </row>
    <row r="354">
      <c r="A354" t="inlineStr">
        <is>
          <t xml:space="preserve">          Psychiatric and substance abuse hospitals; local</t>
        </is>
      </c>
      <c r="B354" t="inlineStr">
        <is>
          <t>62220L</t>
        </is>
      </c>
      <c r="C354" t="inlineStr">
        <is>
          <t>Line item</t>
        </is>
      </c>
      <c r="D354" t="n">
        <v>3.1</v>
      </c>
      <c r="E354" t="n">
        <v>2.8</v>
      </c>
      <c r="F354" t="n">
        <v>-0.2</v>
      </c>
      <c r="G354" t="n">
        <v>-8</v>
      </c>
      <c r="H354" t="n">
        <v>-1</v>
      </c>
      <c r="I354" t="inlineStr">
        <is>
          <t>—</t>
        </is>
      </c>
      <c r="J354" t="inlineStr">
        <is>
          <t>—</t>
        </is>
      </c>
      <c r="K354" t="inlineStr">
        <is>
          <t>—</t>
        </is>
      </c>
    </row>
    <row r="355">
      <c r="A355" t="inlineStr">
        <is>
          <t xml:space="preserve">          Specialty (except psychiatric and substance abuse) hospitals; state</t>
        </is>
      </c>
      <c r="B355" t="inlineStr">
        <is>
          <t>62230S</t>
        </is>
      </c>
      <c r="C355" t="inlineStr">
        <is>
          <t>Line item</t>
        </is>
      </c>
      <c r="D355" t="n">
        <v>40.2</v>
      </c>
      <c r="E355" t="n">
        <v>41.5</v>
      </c>
      <c r="F355" t="n">
        <v>1.3</v>
      </c>
      <c r="G355" t="n">
        <v>3.3</v>
      </c>
      <c r="H355" t="n">
        <v>0.3</v>
      </c>
      <c r="I355" t="inlineStr">
        <is>
          <t>—</t>
        </is>
      </c>
      <c r="J355" t="inlineStr">
        <is>
          <t>—</t>
        </is>
      </c>
      <c r="K355" t="inlineStr">
        <is>
          <t>—</t>
        </is>
      </c>
    </row>
    <row r="356">
      <c r="A356" t="inlineStr">
        <is>
          <t xml:space="preserve">          Specialty (except psychiatric and substance abuse) hospitals; local</t>
        </is>
      </c>
      <c r="B356" t="inlineStr">
        <is>
          <t>62230L</t>
        </is>
      </c>
      <c r="C356" t="inlineStr">
        <is>
          <t>Line item</t>
        </is>
      </c>
      <c r="D356" t="n">
        <v>0.7</v>
      </c>
      <c r="E356" t="n">
        <v>0.7</v>
      </c>
      <c r="F356" t="n">
        <v>0</v>
      </c>
      <c r="G356" t="n">
        <v>-1.3</v>
      </c>
      <c r="H356" t="n">
        <v>0</v>
      </c>
      <c r="I356" t="inlineStr">
        <is>
          <t>—</t>
        </is>
      </c>
      <c r="J356" t="inlineStr">
        <is>
          <t>—</t>
        </is>
      </c>
      <c r="K356" t="inlineStr">
        <is>
          <t>—</t>
        </is>
      </c>
    </row>
    <row r="357">
      <c r="A357" t="inlineStr">
        <is>
          <t xml:space="preserve">      Nursing and residential care facilities</t>
        </is>
      </c>
      <c r="B357" t="inlineStr">
        <is>
          <t>623000</t>
        </is>
      </c>
      <c r="C357" t="inlineStr">
        <is>
          <t>Summary</t>
        </is>
      </c>
      <c r="D357" t="n">
        <v>3316.6</v>
      </c>
      <c r="E357" t="n">
        <v>3421.1</v>
      </c>
      <c r="F357" t="n">
        <v>104.5</v>
      </c>
      <c r="G357" t="n">
        <v>3.2</v>
      </c>
      <c r="H357" t="n">
        <v>0.3</v>
      </c>
      <c r="I357" t="n">
        <v>268.6</v>
      </c>
      <c r="J357" t="n">
        <v>317.6</v>
      </c>
      <c r="K357" t="n">
        <v>1.7</v>
      </c>
      <c r="L357" t="inlineStr">
        <is>
          <t>ISIC 86T88</t>
        </is>
      </c>
    </row>
    <row r="358">
      <c r="A358" t="inlineStr">
        <is>
          <t xml:space="preserve">          Nursing care facilities (skilled nursing facilities)</t>
        </is>
      </c>
      <c r="B358" t="inlineStr">
        <is>
          <t>623100</t>
        </is>
      </c>
      <c r="C358" t="inlineStr">
        <is>
          <t>Line item</t>
        </is>
      </c>
      <c r="D358" t="n">
        <v>1492.4</v>
      </c>
      <c r="E358" t="n">
        <v>1448.1</v>
      </c>
      <c r="F358" t="n">
        <v>-44.3</v>
      </c>
      <c r="G358" t="n">
        <v>-3</v>
      </c>
      <c r="H358" t="n">
        <v>-0.3</v>
      </c>
      <c r="I358" t="inlineStr">
        <is>
          <t>—</t>
        </is>
      </c>
      <c r="J358" t="inlineStr">
        <is>
          <t>—</t>
        </is>
      </c>
      <c r="K358" t="inlineStr">
        <is>
          <t>—</t>
        </is>
      </c>
    </row>
    <row r="359">
      <c r="A359" t="inlineStr">
        <is>
          <t xml:space="preserve">          Continuing care retirement communities and assisted living facilities for the elderly</t>
        </is>
      </c>
      <c r="B359" t="inlineStr">
        <is>
          <t>623300</t>
        </is>
      </c>
      <c r="C359" t="inlineStr">
        <is>
          <t>Line item</t>
        </is>
      </c>
      <c r="D359" t="n">
        <v>988.5</v>
      </c>
      <c r="E359" t="n">
        <v>1092.4</v>
      </c>
      <c r="F359" t="n">
        <v>103.9</v>
      </c>
      <c r="G359" t="n">
        <v>10.5</v>
      </c>
      <c r="H359" t="n">
        <v>1</v>
      </c>
      <c r="I359" t="inlineStr">
        <is>
          <t>—</t>
        </is>
      </c>
      <c r="J359" t="inlineStr">
        <is>
          <t>—</t>
        </is>
      </c>
      <c r="K359" t="inlineStr">
        <is>
          <t>—</t>
        </is>
      </c>
    </row>
    <row r="360">
      <c r="A360" t="inlineStr">
        <is>
          <t xml:space="preserve">          Residential intellectual and developmental disability, mental health, and substance abuse facilities</t>
        </is>
      </c>
      <c r="B360" t="inlineStr">
        <is>
          <t>623200</t>
        </is>
      </c>
      <c r="C360" t="inlineStr">
        <is>
          <t>Summary</t>
        </is>
      </c>
      <c r="D360" t="n">
        <v>669.9</v>
      </c>
      <c r="E360" t="n">
        <v>710.7</v>
      </c>
      <c r="F360" t="n">
        <v>40.8</v>
      </c>
      <c r="G360" t="n">
        <v>6.1</v>
      </c>
      <c r="H360" t="n">
        <v>0.6</v>
      </c>
      <c r="I360" t="inlineStr">
        <is>
          <t>—</t>
        </is>
      </c>
      <c r="J360" t="inlineStr">
        <is>
          <t>—</t>
        </is>
      </c>
      <c r="K360" t="inlineStr">
        <is>
          <t>—</t>
        </is>
      </c>
    </row>
    <row r="361">
      <c r="A361" t="inlineStr">
        <is>
          <t xml:space="preserve">            Residential intellectual and developmental disability facilities</t>
        </is>
      </c>
      <c r="B361" t="inlineStr">
        <is>
          <t>623210</t>
        </is>
      </c>
      <c r="C361" t="inlineStr">
        <is>
          <t>Line item</t>
        </is>
      </c>
      <c r="D361" t="n">
        <v>405.6</v>
      </c>
      <c r="E361" t="n">
        <v>418.3</v>
      </c>
      <c r="F361" t="n">
        <v>12.7</v>
      </c>
      <c r="G361" t="n">
        <v>3.1</v>
      </c>
      <c r="H361" t="n">
        <v>0.3</v>
      </c>
      <c r="I361" t="inlineStr">
        <is>
          <t>—</t>
        </is>
      </c>
      <c r="J361" t="inlineStr">
        <is>
          <t>—</t>
        </is>
      </c>
      <c r="K361" t="inlineStr">
        <is>
          <t>—</t>
        </is>
      </c>
    </row>
    <row r="362">
      <c r="A362" t="inlineStr">
        <is>
          <t xml:space="preserve">            Residential mental health and substance abuse facilities</t>
        </is>
      </c>
      <c r="B362" t="inlineStr">
        <is>
          <t>623220</t>
        </is>
      </c>
      <c r="C362" t="inlineStr">
        <is>
          <t>Line item</t>
        </is>
      </c>
      <c r="D362" t="n">
        <v>264.3</v>
      </c>
      <c r="E362" t="n">
        <v>292.4</v>
      </c>
      <c r="F362" t="n">
        <v>28.1</v>
      </c>
      <c r="G362" t="n">
        <v>10.6</v>
      </c>
      <c r="H362" t="n">
        <v>1</v>
      </c>
      <c r="I362" t="inlineStr">
        <is>
          <t>—</t>
        </is>
      </c>
      <c r="J362" t="inlineStr">
        <is>
          <t>—</t>
        </is>
      </c>
      <c r="K362" t="inlineStr">
        <is>
          <t>—</t>
        </is>
      </c>
    </row>
    <row r="363">
      <c r="A363" t="inlineStr">
        <is>
          <t xml:space="preserve">          Other residential care facilities</t>
        </is>
      </c>
      <c r="B363" t="inlineStr">
        <is>
          <t>623900</t>
        </is>
      </c>
      <c r="C363" t="inlineStr">
        <is>
          <t>Line item</t>
        </is>
      </c>
      <c r="D363" t="n">
        <v>165.8</v>
      </c>
      <c r="E363" t="n">
        <v>170</v>
      </c>
      <c r="F363" t="n">
        <v>4.2</v>
      </c>
      <c r="G363" t="n">
        <v>2.5</v>
      </c>
      <c r="H363" t="n">
        <v>0.3</v>
      </c>
      <c r="I363" t="inlineStr">
        <is>
          <t>—</t>
        </is>
      </c>
      <c r="J363" t="inlineStr">
        <is>
          <t>—</t>
        </is>
      </c>
      <c r="K363" t="inlineStr">
        <is>
          <t>—</t>
        </is>
      </c>
    </row>
    <row r="364">
      <c r="A364" t="inlineStr">
        <is>
          <t xml:space="preserve">      Social assistance</t>
        </is>
      </c>
      <c r="B364" t="inlineStr">
        <is>
          <t>624000</t>
        </is>
      </c>
      <c r="C364" t="inlineStr">
        <is>
          <t>Summary</t>
        </is>
      </c>
      <c r="D364" t="n">
        <v>4874.8</v>
      </c>
      <c r="E364" t="n">
        <v>5420.4</v>
      </c>
      <c r="F364" t="n">
        <v>545.6</v>
      </c>
      <c r="G364" t="n">
        <v>11.2</v>
      </c>
      <c r="H364" t="n">
        <v>1.1</v>
      </c>
      <c r="I364" t="n">
        <v>275.1</v>
      </c>
      <c r="J364" t="n">
        <v>359.2</v>
      </c>
      <c r="K364" t="n">
        <v>2.7</v>
      </c>
      <c r="L364" t="inlineStr">
        <is>
          <t>ISIC 86T88</t>
        </is>
      </c>
    </row>
    <row r="365">
      <c r="A365" t="inlineStr">
        <is>
          <t xml:space="preserve">        Individual and family services</t>
        </is>
      </c>
      <c r="B365" t="inlineStr">
        <is>
          <t>624100</t>
        </is>
      </c>
      <c r="C365" t="inlineStr">
        <is>
          <t>Summary</t>
        </is>
      </c>
      <c r="D365" t="n">
        <v>3264.5</v>
      </c>
      <c r="E365" t="n">
        <v>3829.7</v>
      </c>
      <c r="F365" t="n">
        <v>565.2</v>
      </c>
      <c r="G365" t="n">
        <v>17.3</v>
      </c>
      <c r="H365" t="n">
        <v>1.6</v>
      </c>
      <c r="I365" t="n">
        <v>150.9</v>
      </c>
      <c r="J365" t="n">
        <v>222.4</v>
      </c>
      <c r="K365" t="n">
        <v>4</v>
      </c>
    </row>
    <row r="366">
      <c r="A366" t="inlineStr">
        <is>
          <t xml:space="preserve">          Services for the elderly and persons with disabilities</t>
        </is>
      </c>
      <c r="B366" t="inlineStr">
        <is>
          <t>624120</t>
        </is>
      </c>
      <c r="C366" t="inlineStr">
        <is>
          <t>Line item</t>
        </is>
      </c>
      <c r="D366" t="n">
        <v>2512.3</v>
      </c>
      <c r="E366" t="n">
        <v>3040.8</v>
      </c>
      <c r="F366" t="n">
        <v>528.5</v>
      </c>
      <c r="G366" t="n">
        <v>21</v>
      </c>
      <c r="H366" t="n">
        <v>1.9</v>
      </c>
      <c r="I366" t="inlineStr">
        <is>
          <t>—</t>
        </is>
      </c>
      <c r="J366" t="inlineStr">
        <is>
          <t>—</t>
        </is>
      </c>
      <c r="K366" t="inlineStr">
        <is>
          <t>—</t>
        </is>
      </c>
    </row>
    <row r="367">
      <c r="A367" t="inlineStr">
        <is>
          <t xml:space="preserve">        Community food and housing, emergency and other relief services, and vocational rehabilitation services</t>
        </is>
      </c>
      <c r="B367" t="inlineStr">
        <is>
          <t>6242-3</t>
        </is>
      </c>
      <c r="C367" t="inlineStr">
        <is>
          <t>Summary</t>
        </is>
      </c>
      <c r="D367" t="n">
        <v>518.4</v>
      </c>
      <c r="E367" t="n">
        <v>505.1</v>
      </c>
      <c r="F367" t="n">
        <v>-13.3</v>
      </c>
      <c r="G367" t="n">
        <v>-2.6</v>
      </c>
      <c r="H367" t="n">
        <v>-0.3</v>
      </c>
      <c r="I367" t="n">
        <v>58.9</v>
      </c>
      <c r="J367" t="n">
        <v>69.40000000000001</v>
      </c>
      <c r="K367" t="n">
        <v>1.7</v>
      </c>
    </row>
    <row r="368">
      <c r="A368" t="inlineStr">
        <is>
          <t xml:space="preserve">          Community food and housing, and emergency and other relief services</t>
        </is>
      </c>
      <c r="B368" t="inlineStr">
        <is>
          <t>624200</t>
        </is>
      </c>
      <c r="C368" t="inlineStr">
        <is>
          <t>Line item</t>
        </is>
      </c>
      <c r="D368" t="n">
        <v>233.3</v>
      </c>
      <c r="E368" t="n">
        <v>252.5</v>
      </c>
      <c r="F368" t="n">
        <v>19.2</v>
      </c>
      <c r="G368" t="n">
        <v>8.199999999999999</v>
      </c>
      <c r="H368" t="n">
        <v>0.8</v>
      </c>
      <c r="I368" t="inlineStr">
        <is>
          <t>—</t>
        </is>
      </c>
      <c r="J368" t="inlineStr">
        <is>
          <t>—</t>
        </is>
      </c>
      <c r="K368" t="inlineStr">
        <is>
          <t>—</t>
        </is>
      </c>
    </row>
    <row r="369">
      <c r="A369" t="inlineStr">
        <is>
          <t xml:space="preserve">          Vocational rehabilitation services</t>
        </is>
      </c>
      <c r="B369" t="inlineStr">
        <is>
          <t>624300</t>
        </is>
      </c>
      <c r="C369" t="inlineStr">
        <is>
          <t>Line item</t>
        </is>
      </c>
      <c r="D369" t="n">
        <v>285.1</v>
      </c>
      <c r="E369" t="n">
        <v>252.5</v>
      </c>
      <c r="F369" t="n">
        <v>-32.6</v>
      </c>
      <c r="G369" t="n">
        <v>-11.4</v>
      </c>
      <c r="H369" t="n">
        <v>-1.2</v>
      </c>
      <c r="I369" t="inlineStr">
        <is>
          <t>—</t>
        </is>
      </c>
      <c r="J369" t="inlineStr">
        <is>
          <t>—</t>
        </is>
      </c>
      <c r="K369" t="inlineStr">
        <is>
          <t>—</t>
        </is>
      </c>
    </row>
    <row r="370">
      <c r="A370" t="inlineStr">
        <is>
          <t xml:space="preserve">        Child daycare services</t>
        </is>
      </c>
      <c r="B370" t="inlineStr">
        <is>
          <t>624400</t>
        </is>
      </c>
      <c r="C370" t="inlineStr">
        <is>
          <t>Line item</t>
        </is>
      </c>
      <c r="D370" t="n">
        <v>1091.9</v>
      </c>
      <c r="E370" t="n">
        <v>1085.6</v>
      </c>
      <c r="F370" t="n">
        <v>-6.3</v>
      </c>
      <c r="G370" t="n">
        <v>-0.6</v>
      </c>
      <c r="H370" t="n">
        <v>-0.1</v>
      </c>
      <c r="I370" t="n">
        <v>65.40000000000001</v>
      </c>
      <c r="J370" t="n">
        <v>66.40000000000001</v>
      </c>
      <c r="K370" t="n">
        <v>0.2</v>
      </c>
    </row>
    <row r="371">
      <c r="A371" t="inlineStr">
        <is>
          <t xml:space="preserve">    Arts, entertainment, and recreation</t>
        </is>
      </c>
      <c r="B371" t="inlineStr">
        <is>
          <t>710000</t>
        </is>
      </c>
      <c r="C371" t="inlineStr">
        <is>
          <t>Summary</t>
        </is>
      </c>
      <c r="D371" t="n">
        <v>2622.4</v>
      </c>
      <c r="E371" t="n">
        <v>2755</v>
      </c>
      <c r="F371" t="n">
        <v>132.6</v>
      </c>
      <c r="G371" t="n">
        <v>5.1</v>
      </c>
      <c r="H371" t="n">
        <v>0.5</v>
      </c>
      <c r="I371" t="n">
        <v>439.4</v>
      </c>
      <c r="J371" t="n">
        <v>545.7</v>
      </c>
      <c r="K371" t="n">
        <v>2.2</v>
      </c>
      <c r="L371" t="inlineStr">
        <is>
          <t>ISIC 90T93</t>
        </is>
      </c>
    </row>
    <row r="372">
      <c r="A372" t="inlineStr">
        <is>
          <t xml:space="preserve">      Performing arts, spectator sports, and related industries</t>
        </is>
      </c>
      <c r="B372" t="inlineStr">
        <is>
          <t>711000</t>
        </is>
      </c>
      <c r="C372" t="inlineStr">
        <is>
          <t>Summary</t>
        </is>
      </c>
      <c r="D372" t="n">
        <v>590.2</v>
      </c>
      <c r="E372" t="n">
        <v>618.1</v>
      </c>
      <c r="F372" t="n">
        <v>27.9</v>
      </c>
      <c r="G372" t="n">
        <v>4.7</v>
      </c>
      <c r="H372" t="n">
        <v>0.5</v>
      </c>
      <c r="I372" t="n">
        <v>231.5</v>
      </c>
      <c r="J372" t="n">
        <v>288.1</v>
      </c>
      <c r="K372" t="n">
        <v>2.2</v>
      </c>
    </row>
    <row r="373">
      <c r="A373" t="inlineStr">
        <is>
          <t xml:space="preserve">        Performing arts companies</t>
        </is>
      </c>
      <c r="B373" t="inlineStr">
        <is>
          <t>711100</t>
        </is>
      </c>
      <c r="C373" t="inlineStr">
        <is>
          <t>Summary</t>
        </is>
      </c>
      <c r="D373" t="n">
        <v>142.1</v>
      </c>
      <c r="E373" t="n">
        <v>147.2</v>
      </c>
      <c r="F373" t="n">
        <v>5.1</v>
      </c>
      <c r="G373" t="n">
        <v>3.6</v>
      </c>
      <c r="H373" t="n">
        <v>0.4</v>
      </c>
      <c r="I373" t="n">
        <v>29.8</v>
      </c>
      <c r="J373" t="n">
        <v>36.9</v>
      </c>
      <c r="K373" t="n">
        <v>2.1</v>
      </c>
    </row>
    <row r="374">
      <c r="A374" t="inlineStr">
        <is>
          <t xml:space="preserve">          Theater companies and dinner theaters</t>
        </is>
      </c>
      <c r="B374" t="inlineStr">
        <is>
          <t>711110</t>
        </is>
      </c>
      <c r="C374" t="inlineStr">
        <is>
          <t>Line item</t>
        </is>
      </c>
      <c r="D374" t="n">
        <v>76.3</v>
      </c>
      <c r="E374" t="n">
        <v>78.90000000000001</v>
      </c>
      <c r="F374" t="n">
        <v>2.6</v>
      </c>
      <c r="G374" t="n">
        <v>3.4</v>
      </c>
      <c r="H374" t="n">
        <v>0.3</v>
      </c>
      <c r="I374" t="inlineStr">
        <is>
          <t>—</t>
        </is>
      </c>
      <c r="J374" t="inlineStr">
        <is>
          <t>—</t>
        </is>
      </c>
      <c r="K374" t="inlineStr">
        <is>
          <t>—</t>
        </is>
      </c>
    </row>
    <row r="375">
      <c r="A375" t="inlineStr">
        <is>
          <t xml:space="preserve">        Spectator sports</t>
        </is>
      </c>
      <c r="B375" t="inlineStr">
        <is>
          <t>711200</t>
        </is>
      </c>
      <c r="C375" t="inlineStr">
        <is>
          <t>Line item</t>
        </is>
      </c>
      <c r="D375" t="n">
        <v>171.5</v>
      </c>
      <c r="E375" t="n">
        <v>179.6</v>
      </c>
      <c r="F375" t="n">
        <v>8.1</v>
      </c>
      <c r="G375" t="n">
        <v>4.7</v>
      </c>
      <c r="H375" t="n">
        <v>0.5</v>
      </c>
      <c r="I375" t="n">
        <v>63.9</v>
      </c>
      <c r="J375" t="n">
        <v>78.40000000000001</v>
      </c>
      <c r="K375" t="n">
        <v>2.1</v>
      </c>
    </row>
    <row r="376">
      <c r="A376" t="inlineStr">
        <is>
          <t xml:space="preserve">        Promoters of performing arts and sports, and agents for public figures</t>
        </is>
      </c>
      <c r="B376" t="inlineStr">
        <is>
          <t>7113-4</t>
        </is>
      </c>
      <c r="C376" t="inlineStr">
        <is>
          <t>Summary</t>
        </is>
      </c>
      <c r="D376" t="n">
        <v>214.4</v>
      </c>
      <c r="E376" t="n">
        <v>230.1</v>
      </c>
      <c r="F376" t="n">
        <v>15.7</v>
      </c>
      <c r="G376" t="n">
        <v>7.3</v>
      </c>
      <c r="H376" t="n">
        <v>0.7</v>
      </c>
      <c r="I376" t="n">
        <v>83.40000000000001</v>
      </c>
      <c r="J376" t="n">
        <v>103.6</v>
      </c>
      <c r="K376" t="n">
        <v>2.2</v>
      </c>
    </row>
    <row r="377">
      <c r="A377" t="inlineStr">
        <is>
          <t xml:space="preserve">          Promoters of performing arts, sports, and similar events</t>
        </is>
      </c>
      <c r="B377" t="inlineStr">
        <is>
          <t>711300</t>
        </is>
      </c>
      <c r="C377" t="inlineStr">
        <is>
          <t>Line item</t>
        </is>
      </c>
      <c r="D377" t="n">
        <v>183.3</v>
      </c>
      <c r="E377" t="n">
        <v>195.8</v>
      </c>
      <c r="F377" t="n">
        <v>12.5</v>
      </c>
      <c r="G377" t="n">
        <v>6.8</v>
      </c>
      <c r="H377" t="n">
        <v>0.7</v>
      </c>
      <c r="I377" t="inlineStr">
        <is>
          <t>—</t>
        </is>
      </c>
      <c r="J377" t="inlineStr">
        <is>
          <t>—</t>
        </is>
      </c>
      <c r="K377" t="inlineStr">
        <is>
          <t>—</t>
        </is>
      </c>
    </row>
    <row r="378">
      <c r="A378" t="inlineStr">
        <is>
          <t xml:space="preserve">          Agents and managers for artists, athletes, entertainers, and other public figures</t>
        </is>
      </c>
      <c r="B378" t="inlineStr">
        <is>
          <t>711400</t>
        </is>
      </c>
      <c r="C378" t="inlineStr">
        <is>
          <t>Line item</t>
        </is>
      </c>
      <c r="D378" t="n">
        <v>31.1</v>
      </c>
      <c r="E378" t="n">
        <v>34.3</v>
      </c>
      <c r="F378" t="n">
        <v>3.2</v>
      </c>
      <c r="G378" t="n">
        <v>10.3</v>
      </c>
      <c r="H378" t="n">
        <v>1</v>
      </c>
      <c r="I378" t="inlineStr">
        <is>
          <t>—</t>
        </is>
      </c>
      <c r="J378" t="inlineStr">
        <is>
          <t>—</t>
        </is>
      </c>
      <c r="K378" t="inlineStr">
        <is>
          <t>—</t>
        </is>
      </c>
    </row>
    <row r="379">
      <c r="A379" t="inlineStr">
        <is>
          <t xml:space="preserve">        Independent artists, writers, and performers</t>
        </is>
      </c>
      <c r="B379" t="inlineStr">
        <is>
          <t>711500</t>
        </is>
      </c>
      <c r="C379" t="inlineStr">
        <is>
          <t>Line item</t>
        </is>
      </c>
      <c r="D379" t="n">
        <v>62.2</v>
      </c>
      <c r="E379" t="n">
        <v>61.2</v>
      </c>
      <c r="F379" t="n">
        <v>-1</v>
      </c>
      <c r="G379" t="n">
        <v>-1.5</v>
      </c>
      <c r="H379" t="n">
        <v>-0.2</v>
      </c>
      <c r="I379" t="n">
        <v>55.2</v>
      </c>
      <c r="J379" t="n">
        <v>70.2</v>
      </c>
      <c r="K379" t="n">
        <v>2.4</v>
      </c>
    </row>
    <row r="380">
      <c r="A380" t="inlineStr">
        <is>
          <t xml:space="preserve">      Museums, historical sites, and similar institutions</t>
        </is>
      </c>
      <c r="B380" t="inlineStr">
        <is>
          <t>712000</t>
        </is>
      </c>
      <c r="C380" t="inlineStr">
        <is>
          <t>Line item</t>
        </is>
      </c>
      <c r="D380" t="n">
        <v>179</v>
      </c>
      <c r="E380" t="n">
        <v>194</v>
      </c>
      <c r="F380" t="n">
        <v>15</v>
      </c>
      <c r="G380" t="n">
        <v>8.4</v>
      </c>
      <c r="H380" t="n">
        <v>0.8</v>
      </c>
      <c r="I380" t="n">
        <v>20.6</v>
      </c>
      <c r="J380" t="n">
        <v>27.2</v>
      </c>
      <c r="K380" t="n">
        <v>2.9</v>
      </c>
    </row>
    <row r="381">
      <c r="A381" t="inlineStr">
        <is>
          <t xml:space="preserve">      Amusement, gambling, and recreation industries</t>
        </is>
      </c>
      <c r="B381" t="inlineStr">
        <is>
          <t>713000</t>
        </is>
      </c>
      <c r="C381" t="inlineStr">
        <is>
          <t>Summary</t>
        </is>
      </c>
      <c r="D381" t="n">
        <v>1853.2</v>
      </c>
      <c r="E381" t="n">
        <v>1942.9</v>
      </c>
      <c r="F381" t="n">
        <v>89.7</v>
      </c>
      <c r="G381" t="n">
        <v>4.8</v>
      </c>
      <c r="H381" t="n">
        <v>0.5</v>
      </c>
      <c r="I381" t="n">
        <v>188.3</v>
      </c>
      <c r="J381" t="n">
        <v>231.6</v>
      </c>
      <c r="K381" t="n">
        <v>2.1</v>
      </c>
    </row>
    <row r="382">
      <c r="A382" t="inlineStr">
        <is>
          <t xml:space="preserve">        Amusement parks and arcades</t>
        </is>
      </c>
      <c r="B382" t="inlineStr">
        <is>
          <t>713100</t>
        </is>
      </c>
      <c r="C382" t="inlineStr">
        <is>
          <t>Line item</t>
        </is>
      </c>
      <c r="D382" t="n">
        <v>232.7</v>
      </c>
      <c r="E382" t="n">
        <v>243</v>
      </c>
      <c r="F382" t="n">
        <v>10.3</v>
      </c>
      <c r="G382" t="n">
        <v>4.4</v>
      </c>
      <c r="H382" t="n">
        <v>0.4</v>
      </c>
      <c r="I382" t="n">
        <v>30.3</v>
      </c>
      <c r="J382" t="n">
        <v>37.8</v>
      </c>
      <c r="K382" t="n">
        <v>2.2</v>
      </c>
    </row>
    <row r="383">
      <c r="A383" t="inlineStr">
        <is>
          <t xml:space="preserve">        Gambling industries (except casino hotels)</t>
        </is>
      </c>
      <c r="B383" t="inlineStr">
        <is>
          <t>713200</t>
        </is>
      </c>
      <c r="C383" t="inlineStr">
        <is>
          <t>Line item</t>
        </is>
      </c>
      <c r="D383" t="n">
        <v>123.3</v>
      </c>
      <c r="E383" t="n">
        <v>104.2</v>
      </c>
      <c r="F383" t="n">
        <v>-19.1</v>
      </c>
      <c r="G383" t="n">
        <v>-15.5</v>
      </c>
      <c r="H383" t="n">
        <v>-1.7</v>
      </c>
      <c r="I383" t="n">
        <v>45.3</v>
      </c>
      <c r="J383" t="n">
        <v>53.1</v>
      </c>
      <c r="K383" t="n">
        <v>1.6</v>
      </c>
    </row>
    <row r="384">
      <c r="A384" t="inlineStr">
        <is>
          <t xml:space="preserve">        Other amusement and recreation industries</t>
        </is>
      </c>
      <c r="B384" t="inlineStr">
        <is>
          <t>713900</t>
        </is>
      </c>
      <c r="C384" t="inlineStr">
        <is>
          <t>Summary</t>
        </is>
      </c>
      <c r="D384" t="n">
        <v>1497.2</v>
      </c>
      <c r="E384" t="n">
        <v>1595.8</v>
      </c>
      <c r="F384" t="n">
        <v>98.59999999999999</v>
      </c>
      <c r="G384" t="n">
        <v>6.6</v>
      </c>
      <c r="H384" t="n">
        <v>0.6</v>
      </c>
      <c r="I384" t="n">
        <v>112.9</v>
      </c>
      <c r="J384" t="n">
        <v>140.9</v>
      </c>
      <c r="K384" t="n">
        <v>2.2</v>
      </c>
    </row>
    <row r="385">
      <c r="A385" t="inlineStr">
        <is>
          <t xml:space="preserve">          Fitness and recreational sports centers</t>
        </is>
      </c>
      <c r="B385" t="inlineStr">
        <is>
          <t>713940</t>
        </is>
      </c>
      <c r="C385" t="inlineStr">
        <is>
          <t>Line item</t>
        </is>
      </c>
      <c r="D385" t="n">
        <v>652</v>
      </c>
      <c r="E385" t="n">
        <v>718.1</v>
      </c>
      <c r="F385" t="n">
        <v>66.09999999999999</v>
      </c>
      <c r="G385" t="n">
        <v>10.1</v>
      </c>
      <c r="H385" t="n">
        <v>1</v>
      </c>
      <c r="I385" t="inlineStr">
        <is>
          <t>—</t>
        </is>
      </c>
      <c r="J385" t="inlineStr">
        <is>
          <t>—</t>
        </is>
      </c>
      <c r="K385" t="inlineStr">
        <is>
          <t>—</t>
        </is>
      </c>
    </row>
    <row r="386">
      <c r="A386" t="inlineStr">
        <is>
          <t xml:space="preserve">    Accommodation and food services</t>
        </is>
      </c>
      <c r="B386" t="inlineStr">
        <is>
          <t>720000</t>
        </is>
      </c>
      <c r="C386" t="inlineStr">
        <is>
          <t>Summary</t>
        </is>
      </c>
      <c r="D386" t="n">
        <v>14195.8</v>
      </c>
      <c r="E386" t="n">
        <v>14749.4</v>
      </c>
      <c r="F386" t="n">
        <v>553.6</v>
      </c>
      <c r="G386" t="n">
        <v>3.9</v>
      </c>
      <c r="H386" t="n">
        <v>0.4</v>
      </c>
      <c r="I386" t="n">
        <v>1303.7</v>
      </c>
      <c r="J386" t="n">
        <v>1639.9</v>
      </c>
      <c r="K386" t="n">
        <v>2.3</v>
      </c>
      <c r="L386" t="inlineStr">
        <is>
          <t>ISIC 55T56</t>
        </is>
      </c>
    </row>
    <row r="387">
      <c r="A387" t="inlineStr">
        <is>
          <t xml:space="preserve">      Accommodation</t>
        </is>
      </c>
      <c r="B387" t="inlineStr">
        <is>
          <t>721000</t>
        </is>
      </c>
      <c r="C387" t="inlineStr">
        <is>
          <t>Summary</t>
        </is>
      </c>
      <c r="D387" t="n">
        <v>1934.9</v>
      </c>
      <c r="E387" t="n">
        <v>2019.8</v>
      </c>
      <c r="F387" t="n">
        <v>84.90000000000001</v>
      </c>
      <c r="G387" t="n">
        <v>4.4</v>
      </c>
      <c r="H387" t="n">
        <v>0.4</v>
      </c>
      <c r="I387" t="n">
        <v>309.1</v>
      </c>
      <c r="J387" t="n">
        <v>411.1</v>
      </c>
      <c r="K387" t="n">
        <v>2.9</v>
      </c>
    </row>
    <row r="388">
      <c r="A388" t="inlineStr">
        <is>
          <t xml:space="preserve">        Traveler accommodation</t>
        </is>
      </c>
      <c r="B388" t="inlineStr">
        <is>
          <t>721100</t>
        </is>
      </c>
      <c r="C388" t="inlineStr">
        <is>
          <t>Summary</t>
        </is>
      </c>
      <c r="D388" t="n">
        <v>1851.3</v>
      </c>
      <c r="E388" t="n">
        <v>1935.7</v>
      </c>
      <c r="F388" t="n">
        <v>84.3</v>
      </c>
      <c r="G388" t="n">
        <v>4.6</v>
      </c>
      <c r="H388" t="n">
        <v>0.4</v>
      </c>
      <c r="I388" t="inlineStr">
        <is>
          <t>—</t>
        </is>
      </c>
      <c r="J388" t="inlineStr">
        <is>
          <t>—</t>
        </is>
      </c>
      <c r="K388" t="inlineStr">
        <is>
          <t>—</t>
        </is>
      </c>
    </row>
    <row r="389">
      <c r="A389" t="inlineStr">
        <is>
          <t xml:space="preserve">          Casino hotels</t>
        </is>
      </c>
      <c r="B389" t="inlineStr">
        <is>
          <t>721120</t>
        </is>
      </c>
      <c r="C389" t="inlineStr">
        <is>
          <t>Line item</t>
        </is>
      </c>
      <c r="D389" t="n">
        <v>252.8</v>
      </c>
      <c r="E389" t="n">
        <v>259.3</v>
      </c>
      <c r="F389" t="n">
        <v>6.5</v>
      </c>
      <c r="G389" t="n">
        <v>2.6</v>
      </c>
      <c r="H389" t="n">
        <v>0.3</v>
      </c>
      <c r="I389" t="inlineStr">
        <is>
          <t>—</t>
        </is>
      </c>
      <c r="J389" t="inlineStr">
        <is>
          <t>—</t>
        </is>
      </c>
      <c r="K389" t="inlineStr">
        <is>
          <t>—</t>
        </is>
      </c>
    </row>
    <row r="390">
      <c r="A390" t="inlineStr">
        <is>
          <t xml:space="preserve">        RV (recreational vehicle) parks and recreational camps</t>
        </is>
      </c>
      <c r="B390" t="inlineStr">
        <is>
          <t>721200</t>
        </is>
      </c>
      <c r="C390" t="inlineStr">
        <is>
          <t>Line item</t>
        </is>
      </c>
      <c r="D390" t="n">
        <v>73.2</v>
      </c>
      <c r="E390" t="n">
        <v>73.7</v>
      </c>
      <c r="F390" t="n">
        <v>0.5</v>
      </c>
      <c r="G390" t="n">
        <v>0.7</v>
      </c>
      <c r="H390" t="n">
        <v>0.1</v>
      </c>
      <c r="I390" t="inlineStr">
        <is>
          <t>—</t>
        </is>
      </c>
      <c r="J390" t="inlineStr">
        <is>
          <t>—</t>
        </is>
      </c>
      <c r="K390" t="inlineStr">
        <is>
          <t>—</t>
        </is>
      </c>
    </row>
    <row r="391">
      <c r="A391" t="inlineStr">
        <is>
          <t xml:space="preserve">        Rooming and boarding houses, dormitories, and workers' camps</t>
        </is>
      </c>
      <c r="B391" t="inlineStr">
        <is>
          <t>721300</t>
        </is>
      </c>
      <c r="C391" t="inlineStr">
        <is>
          <t>Line item</t>
        </is>
      </c>
      <c r="D391" t="n">
        <v>10.4</v>
      </c>
      <c r="E391" t="n">
        <v>10.4</v>
      </c>
      <c r="F391" t="n">
        <v>0</v>
      </c>
      <c r="G391" t="n">
        <v>0.5</v>
      </c>
      <c r="H391" t="n">
        <v>0</v>
      </c>
      <c r="I391" t="inlineStr">
        <is>
          <t>—</t>
        </is>
      </c>
      <c r="J391" t="inlineStr">
        <is>
          <t>—</t>
        </is>
      </c>
      <c r="K391" t="inlineStr">
        <is>
          <t>—</t>
        </is>
      </c>
    </row>
    <row r="392">
      <c r="A392" t="inlineStr">
        <is>
          <t xml:space="preserve">      Food services and drinking places</t>
        </is>
      </c>
      <c r="B392" t="inlineStr">
        <is>
          <t>722000</t>
        </is>
      </c>
      <c r="C392" t="inlineStr">
        <is>
          <t>Summary</t>
        </is>
      </c>
      <c r="D392" t="n">
        <v>12260.9</v>
      </c>
      <c r="E392" t="n">
        <v>12729.6</v>
      </c>
      <c r="F392" t="n">
        <v>468.7</v>
      </c>
      <c r="G392" t="n">
        <v>3.8</v>
      </c>
      <c r="H392" t="n">
        <v>0.4</v>
      </c>
      <c r="I392" t="n">
        <v>994.2</v>
      </c>
      <c r="J392" t="n">
        <v>1230.1</v>
      </c>
      <c r="K392" t="n">
        <v>2.2</v>
      </c>
    </row>
    <row r="393">
      <c r="A393" t="inlineStr">
        <is>
          <t xml:space="preserve">        Full-service restaurants</t>
        </is>
      </c>
      <c r="B393" t="inlineStr">
        <is>
          <t>722511</t>
        </is>
      </c>
      <c r="C393" t="inlineStr">
        <is>
          <t>Line item</t>
        </is>
      </c>
      <c r="D393" t="n">
        <v>5385.1</v>
      </c>
      <c r="E393" t="n">
        <v>5517.7</v>
      </c>
      <c r="F393" t="n">
        <v>132.6</v>
      </c>
      <c r="G393" t="n">
        <v>2.5</v>
      </c>
      <c r="H393" t="n">
        <v>0.2</v>
      </c>
      <c r="I393" t="n">
        <v>452.7</v>
      </c>
      <c r="J393" t="n">
        <v>550.2</v>
      </c>
      <c r="K393" t="n">
        <v>2</v>
      </c>
    </row>
    <row r="394">
      <c r="A394" t="inlineStr">
        <is>
          <t xml:space="preserve">          Special food services</t>
        </is>
      </c>
      <c r="B394" t="inlineStr">
        <is>
          <t>722300</t>
        </is>
      </c>
      <c r="C394" t="inlineStr">
        <is>
          <t>Line item</t>
        </is>
      </c>
      <c r="D394" t="n">
        <v>778.3</v>
      </c>
      <c r="E394" t="n">
        <v>822.1</v>
      </c>
      <c r="F394" t="n">
        <v>43.8</v>
      </c>
      <c r="G394" t="n">
        <v>5.6</v>
      </c>
      <c r="H394" t="n">
        <v>0.5</v>
      </c>
      <c r="I394" t="inlineStr">
        <is>
          <t>—</t>
        </is>
      </c>
      <c r="J394" t="inlineStr">
        <is>
          <t>—</t>
        </is>
      </c>
      <c r="K394" t="inlineStr">
        <is>
          <t>—</t>
        </is>
      </c>
    </row>
    <row r="395">
      <c r="A395" t="inlineStr">
        <is>
          <t xml:space="preserve">          Drinking places (alcoholic beverages)</t>
        </is>
      </c>
      <c r="B395" t="inlineStr">
        <is>
          <t>722400</t>
        </is>
      </c>
      <c r="C395" t="inlineStr">
        <is>
          <t>Line item</t>
        </is>
      </c>
      <c r="D395" t="n">
        <v>421.2</v>
      </c>
      <c r="E395" t="n">
        <v>439.9</v>
      </c>
      <c r="F395" t="n">
        <v>18.7</v>
      </c>
      <c r="G395" t="n">
        <v>4.4</v>
      </c>
      <c r="H395" t="n">
        <v>0.4</v>
      </c>
      <c r="I395" t="inlineStr">
        <is>
          <t>—</t>
        </is>
      </c>
      <c r="J395" t="inlineStr">
        <is>
          <t>—</t>
        </is>
      </c>
      <c r="K395" t="inlineStr">
        <is>
          <t>—</t>
        </is>
      </c>
    </row>
    <row r="396">
      <c r="A396" t="inlineStr">
        <is>
          <t xml:space="preserve">    Other services (except public administration)</t>
        </is>
      </c>
      <c r="B396" t="inlineStr">
        <is>
          <t>810000</t>
        </is>
      </c>
      <c r="C396" t="inlineStr">
        <is>
          <t>Summary</t>
        </is>
      </c>
      <c r="D396" t="n">
        <v>6615.9</v>
      </c>
      <c r="E396" t="n">
        <v>6808.5</v>
      </c>
      <c r="F396" t="n">
        <v>192.5</v>
      </c>
      <c r="G396" t="n">
        <v>2.9</v>
      </c>
      <c r="H396" t="n">
        <v>0.3</v>
      </c>
      <c r="I396" t="n">
        <v>786.2</v>
      </c>
      <c r="J396" t="n">
        <v>962.5</v>
      </c>
      <c r="K396" t="n">
        <v>2</v>
      </c>
    </row>
    <row r="397">
      <c r="A397" t="inlineStr">
        <is>
          <t xml:space="preserve">      Repair and maintenance</t>
        </is>
      </c>
      <c r="B397" t="inlineStr">
        <is>
          <t>811000</t>
        </is>
      </c>
      <c r="C397" t="inlineStr">
        <is>
          <t>Summary</t>
        </is>
      </c>
      <c r="D397" t="n">
        <v>1466.8</v>
      </c>
      <c r="E397" t="n">
        <v>1512</v>
      </c>
      <c r="F397" t="n">
        <v>45.2</v>
      </c>
      <c r="G397" t="n">
        <v>3.1</v>
      </c>
      <c r="H397" t="n">
        <v>0.3</v>
      </c>
      <c r="I397" t="n">
        <v>239.7</v>
      </c>
      <c r="J397" t="n">
        <v>287.3</v>
      </c>
      <c r="K397" t="n">
        <v>1.8</v>
      </c>
    </row>
    <row r="398">
      <c r="A398" t="inlineStr">
        <is>
          <t xml:space="preserve">        Automotive repair and maintenance</t>
        </is>
      </c>
      <c r="B398" t="inlineStr">
        <is>
          <t>811100</t>
        </is>
      </c>
      <c r="C398" t="inlineStr">
        <is>
          <t>Summary</t>
        </is>
      </c>
      <c r="D398" t="n">
        <v>1036</v>
      </c>
      <c r="E398" t="n">
        <v>1052</v>
      </c>
      <c r="F398" t="n">
        <v>16</v>
      </c>
      <c r="G398" t="n">
        <v>1.5</v>
      </c>
      <c r="H398" t="n">
        <v>0.2</v>
      </c>
      <c r="I398" t="n">
        <v>153.3</v>
      </c>
      <c r="J398" t="n">
        <v>183.5</v>
      </c>
      <c r="K398" t="n">
        <v>1.8</v>
      </c>
      <c r="L398" t="inlineStr">
        <is>
          <t>ISIC 45T47</t>
        </is>
      </c>
    </row>
    <row r="399">
      <c r="A399" t="inlineStr">
        <is>
          <t xml:space="preserve">          Automotive mechanical and electrical repair and maintenance</t>
        </is>
      </c>
      <c r="B399" t="inlineStr">
        <is>
          <t>811110</t>
        </is>
      </c>
      <c r="C399" t="inlineStr">
        <is>
          <t>Line item</t>
        </is>
      </c>
      <c r="D399" t="n">
        <v>444</v>
      </c>
      <c r="E399" t="n">
        <v>450.3</v>
      </c>
      <c r="F399" t="n">
        <v>6.3</v>
      </c>
      <c r="G399" t="n">
        <v>1.4</v>
      </c>
      <c r="H399" t="n">
        <v>0.1</v>
      </c>
      <c r="I399" t="inlineStr">
        <is>
          <t>—</t>
        </is>
      </c>
      <c r="J399" t="inlineStr">
        <is>
          <t>—</t>
        </is>
      </c>
      <c r="K399" t="inlineStr">
        <is>
          <t>—</t>
        </is>
      </c>
    </row>
    <row r="400">
      <c r="A400" t="inlineStr">
        <is>
          <t xml:space="preserve">          Automotive body, paint, interior, and glass repair</t>
        </is>
      </c>
      <c r="B400" t="inlineStr">
        <is>
          <t>811120</t>
        </is>
      </c>
      <c r="C400" t="inlineStr">
        <is>
          <t>Line item</t>
        </is>
      </c>
      <c r="D400" t="n">
        <v>297.5</v>
      </c>
      <c r="E400" t="n">
        <v>305.1</v>
      </c>
      <c r="F400" t="n">
        <v>7.6</v>
      </c>
      <c r="G400" t="n">
        <v>2.6</v>
      </c>
      <c r="H400" t="n">
        <v>0.3</v>
      </c>
      <c r="I400" t="inlineStr">
        <is>
          <t>—</t>
        </is>
      </c>
      <c r="J400" t="inlineStr">
        <is>
          <t>—</t>
        </is>
      </c>
      <c r="K400" t="inlineStr">
        <is>
          <t>—</t>
        </is>
      </c>
    </row>
    <row r="401">
      <c r="A401" t="inlineStr">
        <is>
          <t xml:space="preserve">          Other automotive repair and maintenance</t>
        </is>
      </c>
      <c r="B401" t="inlineStr">
        <is>
          <t>811190</t>
        </is>
      </c>
      <c r="C401" t="inlineStr">
        <is>
          <t>Line item</t>
        </is>
      </c>
      <c r="D401" t="n">
        <v>294.5</v>
      </c>
      <c r="E401" t="n">
        <v>296.7</v>
      </c>
      <c r="F401" t="n">
        <v>2.2</v>
      </c>
      <c r="G401" t="n">
        <v>0.7</v>
      </c>
      <c r="H401" t="n">
        <v>0.1</v>
      </c>
      <c r="I401" t="inlineStr">
        <is>
          <t>—</t>
        </is>
      </c>
      <c r="J401" t="inlineStr">
        <is>
          <t>—</t>
        </is>
      </c>
      <c r="K401" t="inlineStr">
        <is>
          <t>—</t>
        </is>
      </c>
    </row>
    <row r="402">
      <c r="A402" t="inlineStr">
        <is>
          <t xml:space="preserve">        Electronic and precision equipment repair and maintenance</t>
        </is>
      </c>
      <c r="B402" t="inlineStr">
        <is>
          <t>811200</t>
        </is>
      </c>
      <c r="C402" t="inlineStr">
        <is>
          <t>Line item</t>
        </is>
      </c>
      <c r="D402" t="n">
        <v>104.7</v>
      </c>
      <c r="E402" t="n">
        <v>109.6</v>
      </c>
      <c r="F402" t="n">
        <v>4.9</v>
      </c>
      <c r="G402" t="n">
        <v>4.7</v>
      </c>
      <c r="H402" t="n">
        <v>0.5</v>
      </c>
      <c r="I402" t="n">
        <v>19.9</v>
      </c>
      <c r="J402" t="n">
        <v>23.2</v>
      </c>
      <c r="K402" t="n">
        <v>1.5</v>
      </c>
      <c r="L402" t="inlineStr">
        <is>
          <t>ISIC 94T96</t>
        </is>
      </c>
    </row>
    <row r="403">
      <c r="A403" t="inlineStr">
        <is>
          <t xml:space="preserve">        Commercial and industrial machinery and equipment (except automotive and electronic) repair and maintenance</t>
        </is>
      </c>
      <c r="B403" t="inlineStr">
        <is>
          <t>811300</t>
        </is>
      </c>
      <c r="C403" t="inlineStr">
        <is>
          <t>Line item</t>
        </is>
      </c>
      <c r="D403" t="n">
        <v>243.6</v>
      </c>
      <c r="E403" t="n">
        <v>263</v>
      </c>
      <c r="F403" t="n">
        <v>19.4</v>
      </c>
      <c r="G403" t="n">
        <v>7.9</v>
      </c>
      <c r="H403" t="n">
        <v>0.8</v>
      </c>
      <c r="I403" t="n">
        <v>41.2</v>
      </c>
      <c r="J403" t="n">
        <v>49.2</v>
      </c>
      <c r="K403" t="n">
        <v>1.8</v>
      </c>
      <c r="L403" t="inlineStr">
        <is>
          <t>ISIC 31T33</t>
        </is>
      </c>
    </row>
    <row r="404">
      <c r="A404" t="inlineStr">
        <is>
          <t xml:space="preserve">        Personal and household goods repair and maintenance</t>
        </is>
      </c>
      <c r="B404" t="inlineStr">
        <is>
          <t>811400</t>
        </is>
      </c>
      <c r="C404" t="inlineStr">
        <is>
          <t>Line item</t>
        </is>
      </c>
      <c r="D404" t="n">
        <v>82.5</v>
      </c>
      <c r="E404" t="n">
        <v>87.40000000000001</v>
      </c>
      <c r="F404" t="n">
        <v>4.9</v>
      </c>
      <c r="G404" t="n">
        <v>5.9</v>
      </c>
      <c r="H404" t="n">
        <v>0.6</v>
      </c>
      <c r="I404" t="n">
        <v>25.3</v>
      </c>
      <c r="J404" t="n">
        <v>31.2</v>
      </c>
      <c r="K404" t="n">
        <v>2.1</v>
      </c>
      <c r="L404" t="inlineStr">
        <is>
          <t>ISIC 94T96</t>
        </is>
      </c>
    </row>
    <row r="405">
      <c r="A405" t="inlineStr">
        <is>
          <t xml:space="preserve">      Personal and laundry services</t>
        </is>
      </c>
      <c r="B405" t="inlineStr">
        <is>
          <t>812000</t>
        </is>
      </c>
      <c r="C405" t="inlineStr">
        <is>
          <t>Summary</t>
        </is>
      </c>
      <c r="D405" t="n">
        <v>1589.2</v>
      </c>
      <c r="E405" t="n">
        <v>1706.1</v>
      </c>
      <c r="F405" t="n">
        <v>116.9</v>
      </c>
      <c r="G405" t="n">
        <v>7.4</v>
      </c>
      <c r="H405" t="n">
        <v>0.7</v>
      </c>
      <c r="I405" t="n">
        <v>238.8</v>
      </c>
      <c r="J405" t="n">
        <v>307.2</v>
      </c>
      <c r="K405" t="n">
        <v>2.5</v>
      </c>
      <c r="L405" t="inlineStr">
        <is>
          <t>ISIC 94T96</t>
        </is>
      </c>
    </row>
    <row r="406">
      <c r="A406" t="inlineStr">
        <is>
          <t xml:space="preserve">        Personal care services</t>
        </is>
      </c>
      <c r="B406" t="inlineStr">
        <is>
          <t>812100</t>
        </is>
      </c>
      <c r="C406" t="inlineStr">
        <is>
          <t>Line item</t>
        </is>
      </c>
      <c r="D406" t="n">
        <v>766.9</v>
      </c>
      <c r="E406" t="n">
        <v>835.1</v>
      </c>
      <c r="F406" t="n">
        <v>68.2</v>
      </c>
      <c r="G406" t="n">
        <v>8.9</v>
      </c>
      <c r="H406" t="n">
        <v>0.9</v>
      </c>
      <c r="I406" t="n">
        <v>87.7</v>
      </c>
      <c r="J406" t="n">
        <v>117.8</v>
      </c>
      <c r="K406" t="n">
        <v>3</v>
      </c>
    </row>
    <row r="407">
      <c r="A407" t="inlineStr">
        <is>
          <t xml:space="preserve">        Death care services</t>
        </is>
      </c>
      <c r="B407" t="inlineStr">
        <is>
          <t>812200</t>
        </is>
      </c>
      <c r="C407" t="inlineStr">
        <is>
          <t>Line item</t>
        </is>
      </c>
      <c r="D407" t="n">
        <v>136.4</v>
      </c>
      <c r="E407" t="n">
        <v>137.2</v>
      </c>
      <c r="F407" t="n">
        <v>0.8</v>
      </c>
      <c r="G407" t="n">
        <v>0.6</v>
      </c>
      <c r="H407" t="n">
        <v>0.1</v>
      </c>
      <c r="I407" t="n">
        <v>24.3</v>
      </c>
      <c r="J407" t="n">
        <v>26.6</v>
      </c>
      <c r="K407" t="n">
        <v>0.9</v>
      </c>
    </row>
    <row r="408">
      <c r="A408" t="inlineStr">
        <is>
          <t xml:space="preserve">        Drycleaning and laundry services</t>
        </is>
      </c>
      <c r="B408" t="inlineStr">
        <is>
          <t>812300</t>
        </is>
      </c>
      <c r="C408" t="inlineStr">
        <is>
          <t>Line item</t>
        </is>
      </c>
      <c r="D408" t="n">
        <v>261.6</v>
      </c>
      <c r="E408" t="n">
        <v>266.5</v>
      </c>
      <c r="F408" t="n">
        <v>4.9</v>
      </c>
      <c r="G408" t="n">
        <v>1.9</v>
      </c>
      <c r="H408" t="n">
        <v>0.2</v>
      </c>
      <c r="I408" t="n">
        <v>29.4</v>
      </c>
      <c r="J408" t="n">
        <v>34.5</v>
      </c>
      <c r="K408" t="n">
        <v>1.6</v>
      </c>
    </row>
    <row r="409">
      <c r="A409" t="inlineStr">
        <is>
          <t xml:space="preserve">        Other personal services</t>
        </is>
      </c>
      <c r="B409" t="inlineStr">
        <is>
          <t>812900</t>
        </is>
      </c>
      <c r="C409" t="inlineStr">
        <is>
          <t>Line item</t>
        </is>
      </c>
      <c r="D409" t="n">
        <v>424.3</v>
      </c>
      <c r="E409" t="n">
        <v>467.3</v>
      </c>
      <c r="F409" t="n">
        <v>43</v>
      </c>
      <c r="G409" t="n">
        <v>10.1</v>
      </c>
      <c r="H409" t="n">
        <v>1</v>
      </c>
      <c r="I409" t="n">
        <v>97</v>
      </c>
      <c r="J409" t="n">
        <v>127.6</v>
      </c>
      <c r="K409" t="n">
        <v>2.8</v>
      </c>
    </row>
    <row r="410">
      <c r="A410" t="inlineStr">
        <is>
          <t xml:space="preserve">      Religious, grantmaking, civic, professional, and similar organizations</t>
        </is>
      </c>
      <c r="B410" t="inlineStr">
        <is>
          <t>813000</t>
        </is>
      </c>
      <c r="C410" t="inlineStr">
        <is>
          <t>Summary</t>
        </is>
      </c>
      <c r="D410" t="n">
        <v>2909.5</v>
      </c>
      <c r="E410" t="n">
        <v>2937.3</v>
      </c>
      <c r="F410" t="n">
        <v>27.8</v>
      </c>
      <c r="G410" t="n">
        <v>1</v>
      </c>
      <c r="H410" t="n">
        <v>0.1</v>
      </c>
      <c r="I410" t="n">
        <v>289.9</v>
      </c>
      <c r="J410" t="n">
        <v>346.5</v>
      </c>
      <c r="K410" t="n">
        <v>1.8</v>
      </c>
      <c r="L410" t="inlineStr">
        <is>
          <t>ISIC 94T96</t>
        </is>
      </c>
    </row>
    <row r="411">
      <c r="A411" t="inlineStr">
        <is>
          <t xml:space="preserve">        Grantmaking and giving services and social advocacy organizations</t>
        </is>
      </c>
      <c r="B411" t="inlineStr">
        <is>
          <t>8132-3</t>
        </is>
      </c>
      <c r="C411" t="inlineStr">
        <is>
          <t>Summary</t>
        </is>
      </c>
      <c r="D411" t="n">
        <v>488.5</v>
      </c>
      <c r="E411" t="n">
        <v>519.7</v>
      </c>
      <c r="F411" t="n">
        <v>31.2</v>
      </c>
      <c r="G411" t="n">
        <v>6.4</v>
      </c>
      <c r="H411" t="n">
        <v>0.6</v>
      </c>
      <c r="I411" t="n">
        <v>82.40000000000001</v>
      </c>
      <c r="J411" t="n">
        <v>109.4</v>
      </c>
      <c r="K411" t="n">
        <v>2.9</v>
      </c>
    </row>
    <row r="412">
      <c r="A412" t="inlineStr">
        <is>
          <t xml:space="preserve">          Grantmaking and giving services</t>
        </is>
      </c>
      <c r="B412" t="inlineStr">
        <is>
          <t>813200</t>
        </is>
      </c>
      <c r="C412" t="inlineStr">
        <is>
          <t>Line item</t>
        </is>
      </c>
      <c r="D412" t="n">
        <v>203.7</v>
      </c>
      <c r="E412" t="n">
        <v>215.1</v>
      </c>
      <c r="F412" t="n">
        <v>11.4</v>
      </c>
      <c r="G412" t="n">
        <v>5.6</v>
      </c>
      <c r="H412" t="n">
        <v>0.5</v>
      </c>
      <c r="I412" t="inlineStr">
        <is>
          <t>—</t>
        </is>
      </c>
      <c r="J412" t="inlineStr">
        <is>
          <t>—</t>
        </is>
      </c>
      <c r="K412" t="inlineStr">
        <is>
          <t>—</t>
        </is>
      </c>
    </row>
    <row r="413">
      <c r="A413" t="inlineStr">
        <is>
          <t xml:space="preserve">          Social advocacy organizations</t>
        </is>
      </c>
      <c r="B413" t="inlineStr">
        <is>
          <t>813300</t>
        </is>
      </c>
      <c r="C413" t="inlineStr">
        <is>
          <t>Line item</t>
        </is>
      </c>
      <c r="D413" t="n">
        <v>284.8</v>
      </c>
      <c r="E413" t="n">
        <v>304.5</v>
      </c>
      <c r="F413" t="n">
        <v>19.7</v>
      </c>
      <c r="G413" t="n">
        <v>6.9</v>
      </c>
      <c r="H413" t="n">
        <v>0.7</v>
      </c>
      <c r="I413" t="inlineStr">
        <is>
          <t>—</t>
        </is>
      </c>
      <c r="J413" t="inlineStr">
        <is>
          <t>—</t>
        </is>
      </c>
      <c r="K413" t="inlineStr">
        <is>
          <t>—</t>
        </is>
      </c>
    </row>
    <row r="414">
      <c r="A414" t="inlineStr">
        <is>
          <t xml:space="preserve">        Civic, social, professional, and similar organizations</t>
        </is>
      </c>
      <c r="B414" t="inlineStr">
        <is>
          <t>8134-9</t>
        </is>
      </c>
      <c r="C414" t="inlineStr">
        <is>
          <t>Summary</t>
        </is>
      </c>
      <c r="D414" t="n">
        <v>847.6</v>
      </c>
      <c r="E414" t="n">
        <v>863.7</v>
      </c>
      <c r="F414" t="n">
        <v>16.1</v>
      </c>
      <c r="G414" t="n">
        <v>1.9</v>
      </c>
      <c r="H414" t="n">
        <v>0.2</v>
      </c>
      <c r="I414" t="n">
        <v>115.6</v>
      </c>
      <c r="J414" t="n">
        <v>141.5</v>
      </c>
      <c r="K414" t="n">
        <v>2</v>
      </c>
    </row>
    <row r="415">
      <c r="A415" t="inlineStr">
        <is>
          <t xml:space="preserve">          Civic and social organizations</t>
        </is>
      </c>
      <c r="B415" t="inlineStr">
        <is>
          <t>813400</t>
        </is>
      </c>
      <c r="C415" t="inlineStr">
        <is>
          <t>Line item</t>
        </is>
      </c>
      <c r="D415" t="n">
        <v>364.4</v>
      </c>
      <c r="E415" t="n">
        <v>375.7</v>
      </c>
      <c r="F415" t="n">
        <v>11.3</v>
      </c>
      <c r="G415" t="n">
        <v>3.1</v>
      </c>
      <c r="H415" t="n">
        <v>0.3</v>
      </c>
      <c r="I415" t="inlineStr">
        <is>
          <t>—</t>
        </is>
      </c>
      <c r="J415" t="inlineStr">
        <is>
          <t>—</t>
        </is>
      </c>
      <c r="K415" t="inlineStr">
        <is>
          <t>—</t>
        </is>
      </c>
    </row>
    <row r="416">
      <c r="A416" t="inlineStr">
        <is>
          <t xml:space="preserve">          Business, professional, labor, political, and similar organizations</t>
        </is>
      </c>
      <c r="B416" t="inlineStr">
        <is>
          <t>813900</t>
        </is>
      </c>
      <c r="C416" t="inlineStr">
        <is>
          <t>Summary</t>
        </is>
      </c>
      <c r="D416" t="n">
        <v>483.2</v>
      </c>
      <c r="E416" t="n">
        <v>488</v>
      </c>
      <c r="F416" t="n">
        <v>4.8</v>
      </c>
      <c r="G416" t="n">
        <v>1</v>
      </c>
      <c r="H416" t="n">
        <v>0.1</v>
      </c>
      <c r="I416" t="inlineStr">
        <is>
          <t>—</t>
        </is>
      </c>
      <c r="J416" t="inlineStr">
        <is>
          <t>—</t>
        </is>
      </c>
      <c r="K416" t="inlineStr">
        <is>
          <t>—</t>
        </is>
      </c>
    </row>
    <row r="417">
      <c r="A417" t="inlineStr">
        <is>
          <t xml:space="preserve">            Labor unions and similar labor organizations</t>
        </is>
      </c>
      <c r="B417" t="inlineStr">
        <is>
          <t>813930</t>
        </is>
      </c>
      <c r="C417" t="inlineStr">
        <is>
          <t>Line item</t>
        </is>
      </c>
      <c r="D417" t="n">
        <v>107.2</v>
      </c>
      <c r="E417" t="n">
        <v>103.6</v>
      </c>
      <c r="F417" t="n">
        <v>-3.6</v>
      </c>
      <c r="G417" t="n">
        <v>-3.3</v>
      </c>
      <c r="H417" t="n">
        <v>-0.3</v>
      </c>
      <c r="I417" t="inlineStr">
        <is>
          <t>—</t>
        </is>
      </c>
      <c r="J417" t="inlineStr">
        <is>
          <t>—</t>
        </is>
      </c>
      <c r="K417" t="inlineStr">
        <is>
          <t>—</t>
        </is>
      </c>
    </row>
    <row r="418">
      <c r="A418" t="inlineStr">
        <is>
          <t xml:space="preserve">      Private households</t>
        </is>
      </c>
      <c r="B418" t="inlineStr">
        <is>
          <t>814000</t>
        </is>
      </c>
      <c r="C418" t="inlineStr">
        <is>
          <t>Line item</t>
        </is>
      </c>
      <c r="D418" t="n">
        <v>650.4</v>
      </c>
      <c r="E418" t="n">
        <v>653</v>
      </c>
      <c r="F418" t="n">
        <v>2.6</v>
      </c>
      <c r="G418" t="n">
        <v>0.4</v>
      </c>
      <c r="H418" t="n">
        <v>0</v>
      </c>
      <c r="I418" t="n">
        <v>19.2</v>
      </c>
      <c r="J418" t="n">
        <v>23</v>
      </c>
      <c r="K418" t="n">
        <v>1.8</v>
      </c>
      <c r="L418" t="inlineStr">
        <is>
          <t>ISIC 97T98</t>
        </is>
      </c>
    </row>
    <row r="419">
      <c r="A419" t="inlineStr">
        <is>
          <t xml:space="preserve">    Government, excluding state and local education and hospitals</t>
        </is>
      </c>
      <c r="B419" t="inlineStr">
        <is>
          <t>900000</t>
        </is>
      </c>
      <c r="C419" t="inlineStr">
        <is>
          <t>Summary</t>
        </is>
      </c>
      <c r="D419" t="n">
        <v>11468</v>
      </c>
      <c r="E419" t="n">
        <v>11453.9</v>
      </c>
      <c r="F419" t="n">
        <v>-14.1</v>
      </c>
      <c r="G419" t="n">
        <v>-0.1</v>
      </c>
      <c r="H419" t="n">
        <v>0</v>
      </c>
      <c r="I419" t="inlineStr">
        <is>
          <t>—</t>
        </is>
      </c>
      <c r="J419" t="inlineStr">
        <is>
          <t>—</t>
        </is>
      </c>
      <c r="K419" t="inlineStr">
        <is>
          <t>—</t>
        </is>
      </c>
    </row>
    <row r="420">
      <c r="A420" t="inlineStr">
        <is>
          <t xml:space="preserve">      Federal government</t>
        </is>
      </c>
      <c r="B420" t="inlineStr">
        <is>
          <t>910000</t>
        </is>
      </c>
      <c r="C420" t="inlineStr">
        <is>
          <t>Summary</t>
        </is>
      </c>
      <c r="D420" t="n">
        <v>2999.5</v>
      </c>
      <c r="E420" t="n">
        <v>2862.9</v>
      </c>
      <c r="F420" t="n">
        <v>-136.6</v>
      </c>
      <c r="G420" t="n">
        <v>-4.6</v>
      </c>
      <c r="H420" t="n">
        <v>-0.5</v>
      </c>
      <c r="I420" t="n">
        <v>1278.1</v>
      </c>
      <c r="J420" t="n">
        <v>1325.2</v>
      </c>
      <c r="K420" t="n">
        <v>0.4</v>
      </c>
      <c r="L420" t="inlineStr">
        <is>
          <t>ISIC 84</t>
        </is>
      </c>
    </row>
    <row r="421">
      <c r="A421" t="inlineStr">
        <is>
          <t xml:space="preserve">        Postal service</t>
        </is>
      </c>
      <c r="B421" t="inlineStr">
        <is>
          <t>491000</t>
        </is>
      </c>
      <c r="C421" t="inlineStr">
        <is>
          <t>Line item</t>
        </is>
      </c>
      <c r="D421" t="n">
        <v>605.7</v>
      </c>
      <c r="E421" t="n">
        <v>578.2</v>
      </c>
      <c r="F421" t="n">
        <v>-27.5</v>
      </c>
      <c r="G421" t="n">
        <v>-4.5</v>
      </c>
      <c r="H421" t="n">
        <v>-0.5</v>
      </c>
      <c r="I421" t="n">
        <v>61.9</v>
      </c>
      <c r="J421" t="n">
        <v>69.8</v>
      </c>
      <c r="K421" t="n">
        <v>1.2</v>
      </c>
    </row>
    <row r="422">
      <c r="A422" t="inlineStr">
        <is>
          <t xml:space="preserve">        Federal government, excluding postal service</t>
        </is>
      </c>
      <c r="B422" t="inlineStr">
        <is>
          <t>999100</t>
        </is>
      </c>
      <c r="C422" t="inlineStr">
        <is>
          <t>Line item</t>
        </is>
      </c>
      <c r="D422" t="n">
        <v>2393.8</v>
      </c>
      <c r="E422" t="n">
        <v>2284.6</v>
      </c>
      <c r="F422" t="n">
        <v>-109.2</v>
      </c>
      <c r="G422" t="n">
        <v>-4.6</v>
      </c>
      <c r="H422" t="n">
        <v>-0.5</v>
      </c>
      <c r="I422" t="n">
        <v>1216.5</v>
      </c>
      <c r="J422" t="n">
        <v>1255.2</v>
      </c>
      <c r="K422" t="n">
        <v>0.3</v>
      </c>
    </row>
    <row r="423">
      <c r="A423" t="inlineStr">
        <is>
          <t xml:space="preserve">      State and local government, excluding education and hospitals</t>
        </is>
      </c>
      <c r="B423" t="inlineStr">
        <is>
          <t>9992-3</t>
        </is>
      </c>
      <c r="C423" t="inlineStr">
        <is>
          <t>Summary</t>
        </is>
      </c>
      <c r="D423" t="n">
        <v>8468.5</v>
      </c>
      <c r="E423" t="n">
        <v>8591.1</v>
      </c>
      <c r="F423" t="n">
        <v>122.6</v>
      </c>
      <c r="G423" t="n">
        <v>1.4</v>
      </c>
      <c r="H423" t="n">
        <v>0.1</v>
      </c>
      <c r="I423" t="n">
        <v>1420.6</v>
      </c>
      <c r="J423" t="n">
        <v>1510.1</v>
      </c>
      <c r="K423" t="n">
        <v>0.6</v>
      </c>
      <c r="L423" t="inlineStr">
        <is>
          <t>ISIC 84</t>
        </is>
      </c>
    </row>
    <row r="424">
      <c r="A424" t="inlineStr">
        <is>
          <t xml:space="preserve">        State government, excluding education and hospitals</t>
        </is>
      </c>
      <c r="B424" t="inlineStr">
        <is>
          <t>999200</t>
        </is>
      </c>
      <c r="C424" t="inlineStr">
        <is>
          <t>Line item</t>
        </is>
      </c>
      <c r="D424" t="n">
        <v>2380.3</v>
      </c>
      <c r="E424" t="n">
        <v>2388.3</v>
      </c>
      <c r="F424" t="n">
        <v>8</v>
      </c>
      <c r="G424" t="n">
        <v>0.3</v>
      </c>
      <c r="H424" t="n">
        <v>0</v>
      </c>
      <c r="I424" t="inlineStr">
        <is>
          <t>—</t>
        </is>
      </c>
      <c r="J424" t="inlineStr">
        <is>
          <t>—</t>
        </is>
      </c>
      <c r="K424" t="inlineStr">
        <is>
          <t>—</t>
        </is>
      </c>
    </row>
    <row r="425">
      <c r="A425" t="inlineStr">
        <is>
          <t xml:space="preserve">        Local government, excluding education and hospitals</t>
        </is>
      </c>
      <c r="B425" t="inlineStr">
        <is>
          <t>999300</t>
        </is>
      </c>
      <c r="C425" t="inlineStr">
        <is>
          <t>Line item</t>
        </is>
      </c>
      <c r="D425" t="n">
        <v>6088.2</v>
      </c>
      <c r="E425" t="n">
        <v>6202.8</v>
      </c>
      <c r="F425" t="n">
        <v>114.6</v>
      </c>
      <c r="G425" t="n">
        <v>1.9</v>
      </c>
      <c r="H425" t="n">
        <v>0.2</v>
      </c>
      <c r="I425" t="inlineStr">
        <is>
          <t>—</t>
        </is>
      </c>
      <c r="J425" t="inlineStr">
        <is>
          <t>—</t>
        </is>
      </c>
      <c r="K425" t="inlineStr">
        <is>
          <t>—</t>
        </is>
      </c>
    </row>
    <row r="426">
      <c r="A426" t="inlineStr">
        <is>
          <t>Source: Employment Projections program, U.S. Bureau of Labor Statistics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C1" t="inlineStr">
        <is>
          <t>Table 23.  Industrial Sector Macroeconomic Indicators</t>
        </is>
      </c>
    </row>
    <row r="2">
      <c r="C2" t="inlineStr">
        <is>
          <t>https://www.eia.gov/outlooks/aeo/data/browser/#/?id=34-AEO2025&amp;cases=highZTC&amp;sourcekey=0</t>
        </is>
      </c>
    </row>
    <row r="3">
      <c r="C3" t="inlineStr">
        <is>
          <t>Tue Dec 02 2025 13:21:59 GMT-0800 (Pacific Standard Time)</t>
        </is>
      </c>
    </row>
    <row r="4">
      <c r="C4" t="inlineStr">
        <is>
          <t>Source: U.S. Energy Information Administration</t>
        </is>
      </c>
    </row>
    <row r="5">
      <c r="B5" s="5" t="inlineStr">
        <is>
          <t>ISIC assignment (editable)</t>
        </is>
      </c>
      <c r="D5" t="inlineStr">
        <is>
          <t>full name</t>
        </is>
      </c>
      <c r="E5" t="inlineStr">
        <is>
          <t>api key</t>
        </is>
      </c>
      <c r="F5" t="inlineStr">
        <is>
          <t>units</t>
        </is>
      </c>
      <c r="G5" t="n">
        <v>2023</v>
      </c>
      <c r="H5" t="n">
        <v>2024</v>
      </c>
      <c r="I5" t="n">
        <v>2025</v>
      </c>
      <c r="J5" t="n">
        <v>2026</v>
      </c>
      <c r="K5" t="n">
        <v>2027</v>
      </c>
      <c r="L5" t="n">
        <v>2028</v>
      </c>
      <c r="M5" t="n">
        <v>2029</v>
      </c>
      <c r="N5" t="n">
        <v>2030</v>
      </c>
      <c r="O5" t="n">
        <v>2031</v>
      </c>
      <c r="P5" t="n">
        <v>2032</v>
      </c>
      <c r="Q5" t="n">
        <v>2033</v>
      </c>
      <c r="R5" t="n">
        <v>2034</v>
      </c>
      <c r="S5" t="n">
        <v>2035</v>
      </c>
      <c r="T5" t="n">
        <v>2036</v>
      </c>
      <c r="U5" t="n">
        <v>2037</v>
      </c>
      <c r="V5" t="n">
        <v>2038</v>
      </c>
      <c r="W5" t="n">
        <v>2039</v>
      </c>
      <c r="X5" t="n">
        <v>2040</v>
      </c>
      <c r="Y5" t="n">
        <v>2041</v>
      </c>
      <c r="Z5" t="n">
        <v>2042</v>
      </c>
      <c r="AA5" t="n">
        <v>2043</v>
      </c>
      <c r="AB5" t="n">
        <v>2044</v>
      </c>
      <c r="AC5" t="n">
        <v>2045</v>
      </c>
      <c r="AD5" t="n">
        <v>2046</v>
      </c>
      <c r="AE5" t="n">
        <v>2047</v>
      </c>
      <c r="AF5" t="n">
        <v>2048</v>
      </c>
      <c r="AG5" t="n">
        <v>2049</v>
      </c>
      <c r="AH5" t="n">
        <v>2050</v>
      </c>
      <c r="AI5" t="inlineStr">
        <is>
          <t>Growth (2024-2050)</t>
        </is>
      </c>
    </row>
    <row r="6">
      <c r="A6" t="inlineStr">
        <is>
          <t>ISM000:ba_GDP(billionm_</t>
        </is>
      </c>
      <c r="C6" t="inlineStr">
        <is>
          <t>Gross Domestic Product (billion 2012 dollars)</t>
        </is>
      </c>
      <c r="D6" t="inlineStr">
        <is>
          <t>Industrial Macroeconomic: Gross Domestic Product: High Zero-Carbon Technology Cost</t>
        </is>
      </c>
      <c r="E6" t="inlineStr">
        <is>
          <t>AEO.2025.HIGHZTC.ECI_GDP_NA_NA_NA_NA_NA_BLNY09DLR.A</t>
        </is>
      </c>
      <c r="F6" t="inlineStr">
        <is>
          <t>billion 2012 $</t>
        </is>
      </c>
      <c r="H6" t="n">
        <v>21699.671875</v>
      </c>
      <c r="I6" t="n">
        <v>22171.929688</v>
      </c>
      <c r="J6" t="n">
        <v>22685.953125</v>
      </c>
      <c r="K6" t="n">
        <v>23162.595703</v>
      </c>
      <c r="L6" t="n">
        <v>23590.015625</v>
      </c>
      <c r="M6" t="n">
        <v>24042.869141</v>
      </c>
      <c r="N6" t="n">
        <v>24479.318359</v>
      </c>
      <c r="O6" t="n">
        <v>24877.939453</v>
      </c>
      <c r="P6" t="n">
        <v>25299.824219</v>
      </c>
      <c r="Q6" t="n">
        <v>25731.902344</v>
      </c>
      <c r="R6" t="n">
        <v>26166.296875</v>
      </c>
      <c r="S6" t="n">
        <v>26621.835938</v>
      </c>
      <c r="T6" t="n">
        <v>27077.875</v>
      </c>
      <c r="U6" t="n">
        <v>27546.341797</v>
      </c>
      <c r="V6" t="n">
        <v>28018.710938</v>
      </c>
      <c r="W6" t="n">
        <v>28503.035156</v>
      </c>
      <c r="X6" t="n">
        <v>29003.939453</v>
      </c>
      <c r="Y6" t="n">
        <v>29486.919922</v>
      </c>
      <c r="Z6" t="n">
        <v>29991.914062</v>
      </c>
      <c r="AA6" t="n">
        <v>30494.671875</v>
      </c>
      <c r="AB6" t="n">
        <v>30998.292969</v>
      </c>
      <c r="AC6" t="n">
        <v>31501.849609</v>
      </c>
      <c r="AD6" t="n">
        <v>32021.367188</v>
      </c>
      <c r="AE6" t="n">
        <v>32546.509766</v>
      </c>
      <c r="AF6" t="n">
        <v>33074.625</v>
      </c>
      <c r="AG6" t="n">
        <v>33617.65625</v>
      </c>
      <c r="AH6" t="n">
        <v>34162.722656</v>
      </c>
      <c r="AI6" t="n">
        <v>0.018</v>
      </c>
    </row>
    <row r="7">
      <c r="A7" t="inlineStr">
        <is>
          <t>ISM000:ca_NonfarmEmploy</t>
        </is>
      </c>
      <c r="C7" t="inlineStr">
        <is>
          <t>Nonfarm Employment (millions)</t>
        </is>
      </c>
      <c r="D7" t="inlineStr">
        <is>
          <t>Industrial Macroeconomic: Employment, Nonfarm: High Zero-Carbon Technology Cost</t>
        </is>
      </c>
      <c r="E7" t="inlineStr">
        <is>
          <t>AEO.2025.HIGHZTC.ECI_NFE_NA_NA_NA_NA_NA_MILL.A</t>
        </is>
      </c>
      <c r="F7" t="inlineStr">
        <is>
          <t>millions</t>
        </is>
      </c>
      <c r="H7" t="n">
        <v>159.545197</v>
      </c>
      <c r="I7" t="n">
        <v>160.898468</v>
      </c>
      <c r="J7" t="n">
        <v>161.430664</v>
      </c>
      <c r="K7" t="n">
        <v>161.697113</v>
      </c>
      <c r="L7" t="n">
        <v>161.99791</v>
      </c>
      <c r="M7" t="n">
        <v>162.531403</v>
      </c>
      <c r="N7" t="n">
        <v>163.241547</v>
      </c>
      <c r="O7" t="n">
        <v>163.926712</v>
      </c>
      <c r="P7" t="n">
        <v>164.54892</v>
      </c>
      <c r="Q7" t="n">
        <v>164.984772</v>
      </c>
      <c r="R7" t="n">
        <v>165.29776</v>
      </c>
      <c r="S7" t="n">
        <v>165.565933</v>
      </c>
      <c r="T7" t="n">
        <v>166.083389</v>
      </c>
      <c r="U7" t="n">
        <v>166.791397</v>
      </c>
      <c r="V7" t="n">
        <v>167.531403</v>
      </c>
      <c r="W7" t="n">
        <v>168.186554</v>
      </c>
      <c r="X7" t="n">
        <v>169.003845</v>
      </c>
      <c r="Y7" t="n">
        <v>169.658646</v>
      </c>
      <c r="Z7" t="n">
        <v>170.297318</v>
      </c>
      <c r="AA7" t="n">
        <v>170.740448</v>
      </c>
      <c r="AB7" t="n">
        <v>171.206131</v>
      </c>
      <c r="AC7" t="n">
        <v>171.654968</v>
      </c>
      <c r="AD7" t="n">
        <v>172.127533</v>
      </c>
      <c r="AE7" t="n">
        <v>172.641632</v>
      </c>
      <c r="AF7" t="n">
        <v>173.163284</v>
      </c>
      <c r="AG7" t="n">
        <v>173.717438</v>
      </c>
      <c r="AH7" t="n">
        <v>174.287827</v>
      </c>
      <c r="AI7" t="n">
        <v>0.003</v>
      </c>
    </row>
    <row r="8">
      <c r="C8" t="inlineStr">
        <is>
          <t>Value of Shipments (billion 2012 dollars)</t>
        </is>
      </c>
    </row>
    <row r="9">
      <c r="C9" t="inlineStr">
        <is>
          <t>Nonmanufacturing Sector</t>
        </is>
      </c>
    </row>
    <row r="10">
      <c r="A10" t="inlineStr">
        <is>
          <t>ISM000:ea_Agricultural</t>
        </is>
      </c>
      <c r="B10" t="inlineStr">
        <is>
          <t>,ISIC 01,</t>
        </is>
      </c>
      <c r="C10" t="inlineStr">
        <is>
          <t>Agriculture/Forestry/Fishing/Hunting</t>
        </is>
      </c>
      <c r="D10" t="inlineStr">
        <is>
          <t>Industrial Macroeconomic: Nonmanufacturing: Agriculture/Forestry/Fishing/Hunting: High Zero-Carbon Technology Cost</t>
        </is>
      </c>
      <c r="E10" t="inlineStr">
        <is>
          <t>AEO.2025.HIGHZTC.ECI_VOS_NMFG_AFF_NA_NA_NA_BLNY09DLR.A</t>
        </is>
      </c>
      <c r="F10" t="inlineStr">
        <is>
          <t>billion 2012 $</t>
        </is>
      </c>
      <c r="H10" t="n">
        <v>538.826599</v>
      </c>
      <c r="I10" t="n">
        <v>544.768066</v>
      </c>
      <c r="J10" t="n">
        <v>552.019348</v>
      </c>
      <c r="K10" t="n">
        <v>559.253113</v>
      </c>
      <c r="L10" t="n">
        <v>565.518921</v>
      </c>
      <c r="M10" t="n">
        <v>573.795471</v>
      </c>
      <c r="N10" t="n">
        <v>581.47052</v>
      </c>
      <c r="O10" t="n">
        <v>587.561462</v>
      </c>
      <c r="P10" t="n">
        <v>593.569092</v>
      </c>
      <c r="Q10" t="n">
        <v>599.282349</v>
      </c>
      <c r="R10" t="n">
        <v>606.56781</v>
      </c>
      <c r="S10" t="n">
        <v>614.138733</v>
      </c>
      <c r="T10" t="n">
        <v>623.177429</v>
      </c>
      <c r="U10" t="n">
        <v>630.447266</v>
      </c>
      <c r="V10" t="n">
        <v>636.679871</v>
      </c>
      <c r="W10" t="n">
        <v>643.489014</v>
      </c>
      <c r="X10" t="n">
        <v>649.694031</v>
      </c>
      <c r="Y10" t="n">
        <v>654.328003</v>
      </c>
      <c r="Z10" t="n">
        <v>659.783386</v>
      </c>
      <c r="AA10" t="n">
        <v>665.283447</v>
      </c>
      <c r="AB10" t="n">
        <v>671.343628</v>
      </c>
      <c r="AC10" t="n">
        <v>678.9600830000001</v>
      </c>
      <c r="AD10" t="n">
        <v>686.825134</v>
      </c>
      <c r="AE10" t="n">
        <v>694.616272</v>
      </c>
      <c r="AF10" t="n">
        <v>702.28125</v>
      </c>
      <c r="AG10" t="n">
        <v>710.255798</v>
      </c>
      <c r="AH10" t="n">
        <v>718.014893</v>
      </c>
      <c r="AI10" t="n">
        <v>0.011</v>
      </c>
    </row>
    <row r="11">
      <c r="A11" t="inlineStr">
        <is>
          <t>ISM000:ea_Mining</t>
        </is>
      </c>
      <c r="B11" t="inlineStr">
        <is>
          <t>,ISIC 05,ISIC 06,ISIC 08,</t>
        </is>
      </c>
      <c r="C11" t="inlineStr">
        <is>
          <t>Mining</t>
        </is>
      </c>
      <c r="D11" t="inlineStr">
        <is>
          <t>Industrial Macroeconomic: Nonmanufacturing: Mining: High Zero-Carbon Technology Cost</t>
        </is>
      </c>
      <c r="E11" t="inlineStr">
        <is>
          <t>AEO.2025.HIGHZTC.ECI_VOS_NMFG_MING_NA_NA_NA_BLNY09DLR.A</t>
        </is>
      </c>
      <c r="F11" t="inlineStr">
        <is>
          <t>billion 2012 $</t>
        </is>
      </c>
      <c r="H11" t="n">
        <v>738.626099</v>
      </c>
      <c r="I11" t="n">
        <v>800.092712</v>
      </c>
      <c r="J11" t="n">
        <v>807.262756</v>
      </c>
      <c r="K11" t="n">
        <v>812.871582</v>
      </c>
      <c r="L11" t="n">
        <v>822.885315</v>
      </c>
      <c r="M11" t="n">
        <v>830.664001</v>
      </c>
      <c r="N11" t="n">
        <v>837.446838</v>
      </c>
      <c r="O11" t="n">
        <v>834.118469</v>
      </c>
      <c r="P11" t="n">
        <v>842.656616</v>
      </c>
      <c r="Q11" t="n">
        <v>842.878845</v>
      </c>
      <c r="R11" t="n">
        <v>843.774536</v>
      </c>
      <c r="S11" t="n">
        <v>839.434753</v>
      </c>
      <c r="T11" t="n">
        <v>833.558167</v>
      </c>
      <c r="U11" t="n">
        <v>824.762329</v>
      </c>
      <c r="V11" t="n">
        <v>820.582458</v>
      </c>
      <c r="W11" t="n">
        <v>815.211426</v>
      </c>
      <c r="X11" t="n">
        <v>817.202637</v>
      </c>
      <c r="Y11" t="n">
        <v>820.17926</v>
      </c>
      <c r="Z11" t="n">
        <v>823.919983</v>
      </c>
      <c r="AA11" t="n">
        <v>823.7770389999999</v>
      </c>
      <c r="AB11" t="n">
        <v>825.681152</v>
      </c>
      <c r="AC11" t="n">
        <v>828.091492</v>
      </c>
      <c r="AD11" t="n">
        <v>834.330933</v>
      </c>
      <c r="AE11" t="n">
        <v>835.119141</v>
      </c>
      <c r="AF11" t="n">
        <v>834.696716</v>
      </c>
      <c r="AG11" t="n">
        <v>836.806152</v>
      </c>
      <c r="AH11" t="n">
        <v>839.4102779999999</v>
      </c>
      <c r="AI11" t="n">
        <v>0.005</v>
      </c>
    </row>
    <row r="12">
      <c r="A12" t="inlineStr">
        <is>
          <t>ISM000:ea_Construction</t>
        </is>
      </c>
      <c r="B12" t="inlineStr">
        <is>
          <t>,ISIC 41T43,</t>
        </is>
      </c>
      <c r="C12" t="inlineStr">
        <is>
          <t>Construction</t>
        </is>
      </c>
      <c r="D12" t="inlineStr">
        <is>
          <t>Industrial Macroeconomic: Nonmanufacturing: Construction: High Zero-Carbon Technology Cost</t>
        </is>
      </c>
      <c r="E12" t="inlineStr">
        <is>
          <t>AEO.2025.HIGHZTC.ECI_VOS_NMFG_CNS_NA_NA_NA_BLNY09DLR.A</t>
        </is>
      </c>
      <c r="F12" t="inlineStr">
        <is>
          <t>billion 2012 $</t>
        </is>
      </c>
      <c r="H12" t="n">
        <v>1440.797729</v>
      </c>
      <c r="I12" t="n">
        <v>1433.057251</v>
      </c>
      <c r="J12" t="n">
        <v>1444.22644</v>
      </c>
      <c r="K12" t="n">
        <v>1467.153198</v>
      </c>
      <c r="L12" t="n">
        <v>1502.783447</v>
      </c>
      <c r="M12" t="n">
        <v>1544.019775</v>
      </c>
      <c r="N12" t="n">
        <v>1573.192505</v>
      </c>
      <c r="O12" t="n">
        <v>1598.660034</v>
      </c>
      <c r="P12" t="n">
        <v>1617.260254</v>
      </c>
      <c r="Q12" t="n">
        <v>1624.038696</v>
      </c>
      <c r="R12" t="n">
        <v>1624.389282</v>
      </c>
      <c r="S12" t="n">
        <v>1639.516479</v>
      </c>
      <c r="T12" t="n">
        <v>1660.512451</v>
      </c>
      <c r="U12" t="n">
        <v>1673.635742</v>
      </c>
      <c r="V12" t="n">
        <v>1687.702271</v>
      </c>
      <c r="W12" t="n">
        <v>1700.453979</v>
      </c>
      <c r="X12" t="n">
        <v>1710.27478</v>
      </c>
      <c r="Y12" t="n">
        <v>1717.300293</v>
      </c>
      <c r="Z12" t="n">
        <v>1728.816284</v>
      </c>
      <c r="AA12" t="n">
        <v>1737.110474</v>
      </c>
      <c r="AB12" t="n">
        <v>1744.956787</v>
      </c>
      <c r="AC12" t="n">
        <v>1762.098999</v>
      </c>
      <c r="AD12" t="n">
        <v>1781.256226</v>
      </c>
      <c r="AE12" t="n">
        <v>1803.246948</v>
      </c>
      <c r="AF12" t="n">
        <v>1826.451538</v>
      </c>
      <c r="AG12" t="n">
        <v>1851.138794</v>
      </c>
      <c r="AH12" t="n">
        <v>1872.746948</v>
      </c>
      <c r="AI12" t="n">
        <v>0.01</v>
      </c>
    </row>
    <row r="13">
      <c r="C13" t="inlineStr">
        <is>
          <t>Manufacturing Sector</t>
        </is>
      </c>
    </row>
    <row r="14">
      <c r="A14" t="inlineStr">
        <is>
          <t>ISM000:fa_FoodandKindre</t>
        </is>
      </c>
      <c r="B14" t="inlineStr">
        <is>
          <t>,ISIC 10T12,</t>
        </is>
      </c>
      <c r="C14" t="inlineStr">
        <is>
          <t>Food Products</t>
        </is>
      </c>
      <c r="D14" t="inlineStr">
        <is>
          <t>Industrial Macroeconomic: Manufacturing: Food Products: High Zero-Carbon Technology Cost</t>
        </is>
      </c>
      <c r="E14" t="inlineStr">
        <is>
          <t>AEO.2025.HIGHZTC.ECI_VOS_MANF_FPA_NA_NA_NA_BLNY09DLR.A</t>
        </is>
      </c>
      <c r="F14" t="inlineStr">
        <is>
          <t>billion 2012 $</t>
        </is>
      </c>
      <c r="H14" t="n">
        <v>821.565002</v>
      </c>
      <c r="I14" t="n">
        <v>826.256287</v>
      </c>
      <c r="J14" t="n">
        <v>829.6024169999999</v>
      </c>
      <c r="K14" t="n">
        <v>837.906738</v>
      </c>
      <c r="L14" t="n">
        <v>844.650085</v>
      </c>
      <c r="M14" t="n">
        <v>853.047974</v>
      </c>
      <c r="N14" t="n">
        <v>861.582275</v>
      </c>
      <c r="O14" t="n">
        <v>869.489197</v>
      </c>
      <c r="P14" t="n">
        <v>877.761536</v>
      </c>
      <c r="Q14" t="n">
        <v>885.73114</v>
      </c>
      <c r="R14" t="n">
        <v>894.016113</v>
      </c>
      <c r="S14" t="n">
        <v>901.545471</v>
      </c>
      <c r="T14" t="n">
        <v>911.374939</v>
      </c>
      <c r="U14" t="n">
        <v>920.41272</v>
      </c>
      <c r="V14" t="n">
        <v>929.094971</v>
      </c>
      <c r="W14" t="n">
        <v>938.252808</v>
      </c>
      <c r="X14" t="n">
        <v>947.329895</v>
      </c>
      <c r="Y14" t="n">
        <v>956.443298</v>
      </c>
      <c r="Z14" t="n">
        <v>965.737</v>
      </c>
      <c r="AA14" t="n">
        <v>974.68512</v>
      </c>
      <c r="AB14" t="n">
        <v>983.6879269999999</v>
      </c>
      <c r="AC14" t="n">
        <v>992.500061</v>
      </c>
      <c r="AD14" t="n">
        <v>1001.497559</v>
      </c>
      <c r="AE14" t="n">
        <v>1010.571472</v>
      </c>
      <c r="AF14" t="n">
        <v>1019.670227</v>
      </c>
      <c r="AG14" t="n">
        <v>1029.158447</v>
      </c>
      <c r="AH14" t="n">
        <v>1038.471802</v>
      </c>
      <c r="AI14" t="n">
        <v>0.008999999999999999</v>
      </c>
    </row>
    <row r="15">
      <c r="A15" t="inlineStr">
        <is>
          <t>ISM000:fa_BeveragesandT</t>
        </is>
      </c>
      <c r="B15" t="inlineStr">
        <is>
          <t>,ISIC 10T12,</t>
        </is>
      </c>
      <c r="C15" t="inlineStr">
        <is>
          <t>Beverages and Tobacco Products</t>
        </is>
      </c>
      <c r="D15" t="inlineStr">
        <is>
          <t>Industrial Macroeconomic: Manufacturing: Beverages and Tobacco Products: High Zero-Carbon Technology Cost</t>
        </is>
      </c>
      <c r="E15" t="inlineStr">
        <is>
          <t>AEO.2025.HIGHZTC.ECI_VOS_MANF_BVTP_NA_NA_NA_BLNY09DLR.A</t>
        </is>
      </c>
      <c r="F15" t="inlineStr">
        <is>
          <t>billion 2012 $</t>
        </is>
      </c>
      <c r="H15" t="n">
        <v>141.906082</v>
      </c>
      <c r="I15" t="n">
        <v>139.8526</v>
      </c>
      <c r="J15" t="n">
        <v>138.711395</v>
      </c>
      <c r="K15" t="n">
        <v>138.033768</v>
      </c>
      <c r="L15" t="n">
        <v>137.527145</v>
      </c>
      <c r="M15" t="n">
        <v>136.838623</v>
      </c>
      <c r="N15" t="n">
        <v>136.098373</v>
      </c>
      <c r="O15" t="n">
        <v>135.327225</v>
      </c>
      <c r="P15" t="n">
        <v>134.486893</v>
      </c>
      <c r="Q15" t="n">
        <v>133.751328</v>
      </c>
      <c r="R15" t="n">
        <v>133.0681</v>
      </c>
      <c r="S15" t="n">
        <v>132.550552</v>
      </c>
      <c r="T15" t="n">
        <v>131.986618</v>
      </c>
      <c r="U15" t="n">
        <v>131.448853</v>
      </c>
      <c r="V15" t="n">
        <v>130.934769</v>
      </c>
      <c r="W15" t="n">
        <v>130.426331</v>
      </c>
      <c r="X15" t="n">
        <v>129.932602</v>
      </c>
      <c r="Y15" t="n">
        <v>129.437927</v>
      </c>
      <c r="Z15" t="n">
        <v>128.931274</v>
      </c>
      <c r="AA15" t="n">
        <v>128.378098</v>
      </c>
      <c r="AB15" t="n">
        <v>127.794327</v>
      </c>
      <c r="AC15" t="n">
        <v>127.174377</v>
      </c>
      <c r="AD15" t="n">
        <v>126.600021</v>
      </c>
      <c r="AE15" t="n">
        <v>126.074577</v>
      </c>
      <c r="AF15" t="n">
        <v>125.574326</v>
      </c>
      <c r="AG15" t="n">
        <v>125.095772</v>
      </c>
      <c r="AH15" t="n">
        <v>124.58905</v>
      </c>
      <c r="AI15" t="n">
        <v>-0.005</v>
      </c>
    </row>
    <row r="16">
      <c r="A16" t="inlineStr">
        <is>
          <t>ISM000:fa_TextileMillPr</t>
        </is>
      </c>
      <c r="B16" t="inlineStr">
        <is>
          <t>,ISIC 13T15,</t>
        </is>
      </c>
      <c r="C16" t="inlineStr">
        <is>
          <t>Textile Mills and Products</t>
        </is>
      </c>
      <c r="D16" t="inlineStr">
        <is>
          <t>Industrial Macroeconomic: Manufacturing: Textile Mills and Products: High Zero-Carbon Technology Cost</t>
        </is>
      </c>
      <c r="E16" t="inlineStr">
        <is>
          <t>AEO.2025.HIGHZTC.ECI_VOS_MANF_TMP_NA_NA_NA_BLNY09DLR.A</t>
        </is>
      </c>
      <c r="F16" t="inlineStr">
        <is>
          <t>billion 2012 $</t>
        </is>
      </c>
      <c r="H16" t="n">
        <v>66.08916499999999</v>
      </c>
      <c r="I16" t="n">
        <v>66.53851299999999</v>
      </c>
      <c r="J16" t="n">
        <v>65.89919999999999</v>
      </c>
      <c r="K16" t="n">
        <v>65.924271</v>
      </c>
      <c r="L16" t="n">
        <v>64.83783</v>
      </c>
      <c r="M16" t="n">
        <v>64.16680100000001</v>
      </c>
      <c r="N16" t="n">
        <v>63.704239</v>
      </c>
      <c r="O16" t="n">
        <v>63.158009</v>
      </c>
      <c r="P16" t="n">
        <v>62.414116</v>
      </c>
      <c r="Q16" t="n">
        <v>61.727993</v>
      </c>
      <c r="R16" t="n">
        <v>61.319778</v>
      </c>
      <c r="S16" t="n">
        <v>60.568184</v>
      </c>
      <c r="T16" t="n">
        <v>59.831409</v>
      </c>
      <c r="U16" t="n">
        <v>59.532326</v>
      </c>
      <c r="V16" t="n">
        <v>59.14883</v>
      </c>
      <c r="W16" t="n">
        <v>58.90044</v>
      </c>
      <c r="X16" t="n">
        <v>58.791424</v>
      </c>
      <c r="Y16" t="n">
        <v>58.565128</v>
      </c>
      <c r="Z16" t="n">
        <v>58.345596</v>
      </c>
      <c r="AA16" t="n">
        <v>57.977749</v>
      </c>
      <c r="AB16" t="n">
        <v>57.632816</v>
      </c>
      <c r="AC16" t="n">
        <v>57.247356</v>
      </c>
      <c r="AD16" t="n">
        <v>56.93322</v>
      </c>
      <c r="AE16" t="n">
        <v>56.724243</v>
      </c>
      <c r="AF16" t="n">
        <v>56.464836</v>
      </c>
      <c r="AG16" t="n">
        <v>56.23605</v>
      </c>
      <c r="AH16" t="n">
        <v>55.887161</v>
      </c>
      <c r="AI16" t="n">
        <v>-0.006</v>
      </c>
    </row>
    <row r="17">
      <c r="A17" t="inlineStr">
        <is>
          <t>ISM000:fa_LumberandWood</t>
        </is>
      </c>
      <c r="B17" t="inlineStr">
        <is>
          <t>,ISIC 16,</t>
        </is>
      </c>
      <c r="C17" t="inlineStr">
        <is>
          <t>Wood Products</t>
        </is>
      </c>
      <c r="D17" t="inlineStr">
        <is>
          <t>Industrial Macroeconomic: Manufacturing: Wood Products: High Zero-Carbon Technology Cost</t>
        </is>
      </c>
      <c r="E17" t="inlineStr">
        <is>
          <t>AEO.2025.HIGHZTC.ECI_VOS_MANF_WDP_NA_NA_NA_BLNY09DLR.A</t>
        </is>
      </c>
      <c r="F17" t="inlineStr">
        <is>
          <t>billion 2012 $</t>
        </is>
      </c>
      <c r="H17" t="n">
        <v>98.40712000000001</v>
      </c>
      <c r="I17" t="n">
        <v>99.04071</v>
      </c>
      <c r="J17" t="n">
        <v>101.040649</v>
      </c>
      <c r="K17" t="n">
        <v>102.246925</v>
      </c>
      <c r="L17" t="n">
        <v>103.987923</v>
      </c>
      <c r="M17" t="n">
        <v>107.2435</v>
      </c>
      <c r="N17" t="n">
        <v>109.763878</v>
      </c>
      <c r="O17" t="n">
        <v>111.444023</v>
      </c>
      <c r="P17" t="n">
        <v>112.569977</v>
      </c>
      <c r="Q17" t="n">
        <v>112.379074</v>
      </c>
      <c r="R17" t="n">
        <v>113.57045</v>
      </c>
      <c r="S17" t="n">
        <v>115.056473</v>
      </c>
      <c r="T17" t="n">
        <v>118.327522</v>
      </c>
      <c r="U17" t="n">
        <v>120.524979</v>
      </c>
      <c r="V17" t="n">
        <v>121.295052</v>
      </c>
      <c r="W17" t="n">
        <v>122.199997</v>
      </c>
      <c r="X17" t="n">
        <v>122.039398</v>
      </c>
      <c r="Y17" t="n">
        <v>119.662926</v>
      </c>
      <c r="Z17" t="n">
        <v>118.093803</v>
      </c>
      <c r="AA17" t="n">
        <v>115.158073</v>
      </c>
      <c r="AB17" t="n">
        <v>113.127899</v>
      </c>
      <c r="AC17" t="n">
        <v>113.014549</v>
      </c>
      <c r="AD17" t="n">
        <v>113.406578</v>
      </c>
      <c r="AE17" t="n">
        <v>114.637749</v>
      </c>
      <c r="AF17" t="n">
        <v>115.775826</v>
      </c>
      <c r="AG17" t="n">
        <v>117.229729</v>
      </c>
      <c r="AH17" t="n">
        <v>118.126198</v>
      </c>
      <c r="AI17" t="n">
        <v>0.007</v>
      </c>
    </row>
    <row r="18">
      <c r="A18" t="inlineStr">
        <is>
          <t>ISM000:fa_FurnitureandF</t>
        </is>
      </c>
      <c r="B18" t="inlineStr">
        <is>
          <t>,ISIC 31T33,</t>
        </is>
      </c>
      <c r="C18" t="inlineStr">
        <is>
          <t>Furniture and Related Products</t>
        </is>
      </c>
      <c r="D18" t="inlineStr">
        <is>
          <t>Industrial Macroeconomic: Manufacturing: Furniture and Related Products: High Zero-Carbon Technology Cost</t>
        </is>
      </c>
      <c r="E18" t="inlineStr">
        <is>
          <t>AEO.2025.HIGHZTC.ECI_VOS_MANF_FRP_NA_NA_NA_BLNY09DLR.A</t>
        </is>
      </c>
      <c r="F18" t="inlineStr">
        <is>
          <t>billion 2012 $</t>
        </is>
      </c>
      <c r="H18" t="n">
        <v>53.271854</v>
      </c>
      <c r="I18" t="n">
        <v>52.269444</v>
      </c>
      <c r="J18" t="n">
        <v>53.980427</v>
      </c>
      <c r="K18" t="n">
        <v>55.926292</v>
      </c>
      <c r="L18" t="n">
        <v>56.093472</v>
      </c>
      <c r="M18" t="n">
        <v>56.599045</v>
      </c>
      <c r="N18" t="n">
        <v>58.34198</v>
      </c>
      <c r="O18" t="n">
        <v>58.92627</v>
      </c>
      <c r="P18" t="n">
        <v>59.556118</v>
      </c>
      <c r="Q18" t="n">
        <v>59.890476</v>
      </c>
      <c r="R18" t="n">
        <v>61.148804</v>
      </c>
      <c r="S18" t="n">
        <v>61.658676</v>
      </c>
      <c r="T18" t="n">
        <v>62.141407</v>
      </c>
      <c r="U18" t="n">
        <v>63.414036</v>
      </c>
      <c r="V18" t="n">
        <v>64.38812299999999</v>
      </c>
      <c r="W18" t="n">
        <v>65.33425099999999</v>
      </c>
      <c r="X18" t="n">
        <v>66.700745</v>
      </c>
      <c r="Y18" t="n">
        <v>67.73155199999999</v>
      </c>
      <c r="Z18" t="n">
        <v>68.640739</v>
      </c>
      <c r="AA18" t="n">
        <v>69.67757400000001</v>
      </c>
      <c r="AB18" t="n">
        <v>70.93280799999999</v>
      </c>
      <c r="AC18" t="n">
        <v>71.80574799999999</v>
      </c>
      <c r="AD18" t="n">
        <v>72.81534600000001</v>
      </c>
      <c r="AE18" t="n">
        <v>74.18843099999999</v>
      </c>
      <c r="AF18" t="n">
        <v>74.879402</v>
      </c>
      <c r="AG18" t="n">
        <v>76.066422</v>
      </c>
      <c r="AH18" t="n">
        <v>76.886627</v>
      </c>
      <c r="AI18" t="n">
        <v>0.014</v>
      </c>
    </row>
    <row r="19">
      <c r="A19" t="inlineStr">
        <is>
          <t>ISM000:fa_PaperandAllie</t>
        </is>
      </c>
      <c r="B19" t="inlineStr">
        <is>
          <t>,ISIC 17T18,</t>
        </is>
      </c>
      <c r="C19" t="inlineStr">
        <is>
          <t>Paper Products</t>
        </is>
      </c>
      <c r="D19" t="inlineStr">
        <is>
          <t>Industrial Macroeconomic: Manufacturing: Paper Products: High Zero-Carbon Technology Cost</t>
        </is>
      </c>
      <c r="E19" t="inlineStr">
        <is>
          <t>AEO.2025.HIGHZTC.ECI_VOS_MANF_PPM_NA_NA_NA_BLNY09DLR.A</t>
        </is>
      </c>
      <c r="F19" t="inlineStr">
        <is>
          <t>billion 2012 $</t>
        </is>
      </c>
      <c r="H19" t="n">
        <v>161.469193</v>
      </c>
      <c r="I19" t="n">
        <v>162.769196</v>
      </c>
      <c r="J19" t="n">
        <v>164.025757</v>
      </c>
      <c r="K19" t="n">
        <v>162.470276</v>
      </c>
      <c r="L19" t="n">
        <v>161.556381</v>
      </c>
      <c r="M19" t="n">
        <v>161.470718</v>
      </c>
      <c r="N19" t="n">
        <v>161.809799</v>
      </c>
      <c r="O19" t="n">
        <v>162.977753</v>
      </c>
      <c r="P19" t="n">
        <v>163.752823</v>
      </c>
      <c r="Q19" t="n">
        <v>164.066971</v>
      </c>
      <c r="R19" t="n">
        <v>165.191055</v>
      </c>
      <c r="S19" t="n">
        <v>166.252869</v>
      </c>
      <c r="T19" t="n">
        <v>167.39653</v>
      </c>
      <c r="U19" t="n">
        <v>168.348846</v>
      </c>
      <c r="V19" t="n">
        <v>169.471603</v>
      </c>
      <c r="W19" t="n">
        <v>171.078369</v>
      </c>
      <c r="X19" t="n">
        <v>172.765427</v>
      </c>
      <c r="Y19" t="n">
        <v>174.022369</v>
      </c>
      <c r="Z19" t="n">
        <v>175.348923</v>
      </c>
      <c r="AA19" t="n">
        <v>176.498169</v>
      </c>
      <c r="AB19" t="n">
        <v>178.14328</v>
      </c>
      <c r="AC19" t="n">
        <v>179.318451</v>
      </c>
      <c r="AD19" t="n">
        <v>180.706772</v>
      </c>
      <c r="AE19" t="n">
        <v>182.094498</v>
      </c>
      <c r="AF19" t="n">
        <v>183.340454</v>
      </c>
      <c r="AG19" t="n">
        <v>184.407928</v>
      </c>
      <c r="AH19" t="n">
        <v>185.493958</v>
      </c>
      <c r="AI19" t="n">
        <v>0.005</v>
      </c>
    </row>
    <row r="20">
      <c r="A20" t="inlineStr">
        <is>
          <t>ISM000:fa_PrintingandPu</t>
        </is>
      </c>
      <c r="B20" t="inlineStr">
        <is>
          <t>,ISIC 17T18,</t>
        </is>
      </c>
      <c r="C20" t="inlineStr">
        <is>
          <t>Printing</t>
        </is>
      </c>
      <c r="D20" t="inlineStr">
        <is>
          <t>Industrial Macroeconomic: Manufacturing: Printing: High Zero-Carbon Technology Cost</t>
        </is>
      </c>
      <c r="E20" t="inlineStr">
        <is>
          <t>AEO.2025.HIGHZTC.ECI_VOS_MANF_PRN_NA_NA_NA_BLNY09DLR.A</t>
        </is>
      </c>
      <c r="F20" t="inlineStr">
        <is>
          <t>billion 2012 $</t>
        </is>
      </c>
      <c r="H20" t="n">
        <v>60.525852</v>
      </c>
      <c r="I20" t="n">
        <v>57.448959</v>
      </c>
      <c r="J20" t="n">
        <v>56.292637</v>
      </c>
      <c r="K20" t="n">
        <v>54.877972</v>
      </c>
      <c r="L20" t="n">
        <v>53.651821</v>
      </c>
      <c r="M20" t="n">
        <v>52.613571</v>
      </c>
      <c r="N20" t="n">
        <v>51.594307</v>
      </c>
      <c r="O20" t="n">
        <v>50.581692</v>
      </c>
      <c r="P20" t="n">
        <v>49.633221</v>
      </c>
      <c r="Q20" t="n">
        <v>48.66946</v>
      </c>
      <c r="R20" t="n">
        <v>47.801643</v>
      </c>
      <c r="S20" t="n">
        <v>46.996117</v>
      </c>
      <c r="T20" t="n">
        <v>46.399475</v>
      </c>
      <c r="U20" t="n">
        <v>45.814659</v>
      </c>
      <c r="V20" t="n">
        <v>45.239269</v>
      </c>
      <c r="W20" t="n">
        <v>44.861446</v>
      </c>
      <c r="X20" t="n">
        <v>44.471886</v>
      </c>
      <c r="Y20" t="n">
        <v>44.081989</v>
      </c>
      <c r="Z20" t="n">
        <v>43.735256</v>
      </c>
      <c r="AA20" t="n">
        <v>43.354687</v>
      </c>
      <c r="AB20" t="n">
        <v>43.027943</v>
      </c>
      <c r="AC20" t="n">
        <v>42.731819</v>
      </c>
      <c r="AD20" t="n">
        <v>42.579571</v>
      </c>
      <c r="AE20" t="n">
        <v>42.327194</v>
      </c>
      <c r="AF20" t="n">
        <v>42.10128</v>
      </c>
      <c r="AG20" t="n">
        <v>41.857502</v>
      </c>
      <c r="AH20" t="n">
        <v>41.633499</v>
      </c>
      <c r="AI20" t="n">
        <v>-0.014</v>
      </c>
    </row>
    <row r="21">
      <c r="A21" t="inlineStr">
        <is>
          <t>ISM000:fa_ChemicalandAl</t>
        </is>
      </c>
      <c r="B21" t="inlineStr">
        <is>
          <t>,ISIC 20,</t>
        </is>
      </c>
      <c r="C21" t="inlineStr">
        <is>
          <t>Chemical Manufacturing</t>
        </is>
      </c>
      <c r="D21" t="inlineStr">
        <is>
          <t>Industrial Macroeconomic: Manufacturing: Chemical Manufacturing: High Zero-Carbon Technology Cost</t>
        </is>
      </c>
      <c r="E21" t="inlineStr">
        <is>
          <t>AEO.2025.HIGHZTC.ECI_VOS_MANF_CHE_NA_NA_NA_BLNY09DLR.A</t>
        </is>
      </c>
      <c r="F21" t="inlineStr">
        <is>
          <t>billion 2012 $</t>
        </is>
      </c>
      <c r="H21" t="n">
        <v>808.2136839999999</v>
      </c>
      <c r="I21" t="n">
        <v>812.3893430000001</v>
      </c>
      <c r="J21" t="n">
        <v>806.690735</v>
      </c>
      <c r="K21" t="n">
        <v>804.931763</v>
      </c>
      <c r="L21" t="n">
        <v>803.349426</v>
      </c>
      <c r="M21" t="n">
        <v>806.0986329999999</v>
      </c>
      <c r="N21" t="n">
        <v>813.568115</v>
      </c>
      <c r="O21" t="n">
        <v>823.251343</v>
      </c>
      <c r="P21" t="n">
        <v>834.164551</v>
      </c>
      <c r="Q21" t="n">
        <v>843.791748</v>
      </c>
      <c r="R21" t="n">
        <v>855.429565</v>
      </c>
      <c r="S21" t="n">
        <v>865.728149</v>
      </c>
      <c r="T21" t="n">
        <v>874.201355</v>
      </c>
      <c r="U21" t="n">
        <v>885.517822</v>
      </c>
      <c r="V21" t="n">
        <v>896.985718</v>
      </c>
      <c r="W21" t="n">
        <v>909.449463</v>
      </c>
      <c r="X21" t="n">
        <v>923.436829</v>
      </c>
      <c r="Y21" t="n">
        <v>936.806641</v>
      </c>
      <c r="Z21" t="n">
        <v>950.8414310000001</v>
      </c>
      <c r="AA21" t="n">
        <v>963.143188</v>
      </c>
      <c r="AB21" t="n">
        <v>974.985901</v>
      </c>
      <c r="AC21" t="n">
        <v>984.6070560000001</v>
      </c>
      <c r="AD21" t="n">
        <v>994.838989</v>
      </c>
      <c r="AE21" t="n">
        <v>1008.811035</v>
      </c>
      <c r="AF21" t="n">
        <v>1020.661987</v>
      </c>
      <c r="AG21" t="n">
        <v>1031.750244</v>
      </c>
      <c r="AH21" t="n">
        <v>1041.1604</v>
      </c>
      <c r="AI21" t="n">
        <v>0.01</v>
      </c>
    </row>
    <row r="22">
      <c r="A22" t="inlineStr">
        <is>
          <t>ISM000:fa_BulkChemicals</t>
        </is>
      </c>
      <c r="C22" t="inlineStr">
        <is>
          <t>Bulk Chemicals</t>
        </is>
      </c>
      <c r="D22" t="inlineStr">
        <is>
          <t>Industrial Macroeconomic: Manufacturing: Chemicals: Bulk Chemicals: High Zero-Carbon Technology Cost</t>
        </is>
      </c>
      <c r="E22" t="inlineStr">
        <is>
          <t>AEO.2025.HIGHZTC.ECI_VOS_MANF_BCH_NA_NA_NA_BLNY09DLR.A</t>
        </is>
      </c>
      <c r="F22" t="inlineStr">
        <is>
          <t>billion 2012 $</t>
        </is>
      </c>
      <c r="H22" t="n">
        <v>367.322174</v>
      </c>
      <c r="I22" t="n">
        <v>372.954346</v>
      </c>
      <c r="J22" t="n">
        <v>365.470062</v>
      </c>
      <c r="K22" t="n">
        <v>360.027527</v>
      </c>
      <c r="L22" t="n">
        <v>354.244965</v>
      </c>
      <c r="M22" t="n">
        <v>352.824768</v>
      </c>
      <c r="N22" t="n">
        <v>355.281525</v>
      </c>
      <c r="O22" t="n">
        <v>359.698914</v>
      </c>
      <c r="P22" t="n">
        <v>364.245941</v>
      </c>
      <c r="Q22" t="n">
        <v>367.190613</v>
      </c>
      <c r="R22" t="n">
        <v>373.40387</v>
      </c>
      <c r="S22" t="n">
        <v>379.885864</v>
      </c>
      <c r="T22" t="n">
        <v>384.065918</v>
      </c>
      <c r="U22" t="n">
        <v>389.134827</v>
      </c>
      <c r="V22" t="n">
        <v>394.534912</v>
      </c>
      <c r="W22" t="n">
        <v>400.990601</v>
      </c>
      <c r="X22" t="n">
        <v>408.143433</v>
      </c>
      <c r="Y22" t="n">
        <v>414.301453</v>
      </c>
      <c r="Z22" t="n">
        <v>420.513336</v>
      </c>
      <c r="AA22" t="n">
        <v>425.350372</v>
      </c>
      <c r="AB22" t="n">
        <v>430.832703</v>
      </c>
      <c r="AC22" t="n">
        <v>435.236176</v>
      </c>
      <c r="AD22" t="n">
        <v>439.595734</v>
      </c>
      <c r="AE22" t="n">
        <v>446.340973</v>
      </c>
      <c r="AF22" t="n">
        <v>451.72757</v>
      </c>
      <c r="AG22" t="n">
        <v>456.244598</v>
      </c>
      <c r="AH22" t="n">
        <v>460.802155</v>
      </c>
      <c r="AI22" t="n">
        <v>0.008999999999999999</v>
      </c>
    </row>
    <row r="23">
      <c r="A23" t="inlineStr">
        <is>
          <t>ISM000:fa_Inorganic</t>
        </is>
      </c>
      <c r="C23" t="inlineStr">
        <is>
          <t>Inorganic</t>
        </is>
      </c>
      <c r="D23" t="inlineStr">
        <is>
          <t>Industrial Macroeconomic: Manufacturing: Chemicals: Bulk Chemicals: Inorganic: High Zero-Carbon Technology Cost</t>
        </is>
      </c>
      <c r="E23" t="inlineStr">
        <is>
          <t>AEO.2025.HIGHZTC.ECI_VOS_MANF_CHEIN_NA_NA_NA_BLNY09DLR.A</t>
        </is>
      </c>
      <c r="F23" t="inlineStr">
        <is>
          <t>billion 2012 $</t>
        </is>
      </c>
      <c r="H23" t="n">
        <v>50.760822</v>
      </c>
      <c r="I23" t="n">
        <v>51.478336</v>
      </c>
      <c r="J23" t="n">
        <v>52.328194</v>
      </c>
      <c r="K23" t="n">
        <v>52.508663</v>
      </c>
      <c r="L23" t="n">
        <v>52.006046</v>
      </c>
      <c r="M23" t="n">
        <v>51.169857</v>
      </c>
      <c r="N23" t="n">
        <v>51.473831</v>
      </c>
      <c r="O23" t="n">
        <v>51.551136</v>
      </c>
      <c r="P23" t="n">
        <v>51.466038</v>
      </c>
      <c r="Q23" t="n">
        <v>51.676189</v>
      </c>
      <c r="R23" t="n">
        <v>51.725769</v>
      </c>
      <c r="S23" t="n">
        <v>52.104076</v>
      </c>
      <c r="T23" t="n">
        <v>52.200466</v>
      </c>
      <c r="U23" t="n">
        <v>51.96347</v>
      </c>
      <c r="V23" t="n">
        <v>52.269703</v>
      </c>
      <c r="W23" t="n">
        <v>52.373104</v>
      </c>
      <c r="X23" t="n">
        <v>52.339554</v>
      </c>
      <c r="Y23" t="n">
        <v>52.473537</v>
      </c>
      <c r="Z23" t="n">
        <v>52.384289</v>
      </c>
      <c r="AA23" t="n">
        <v>52.293137</v>
      </c>
      <c r="AB23" t="n">
        <v>52.097511</v>
      </c>
      <c r="AC23" t="n">
        <v>51.880245</v>
      </c>
      <c r="AD23" t="n">
        <v>51.748787</v>
      </c>
      <c r="AE23" t="n">
        <v>51.814064</v>
      </c>
      <c r="AF23" t="n">
        <v>51.907967</v>
      </c>
      <c r="AG23" t="n">
        <v>51.836624</v>
      </c>
      <c r="AH23" t="n">
        <v>51.954746</v>
      </c>
      <c r="AI23" t="n">
        <v>0.001</v>
      </c>
    </row>
    <row r="24">
      <c r="A24" t="inlineStr">
        <is>
          <t>ISM000:fa_Organic</t>
        </is>
      </c>
      <c r="C24" t="inlineStr">
        <is>
          <t>Organic</t>
        </is>
      </c>
      <c r="D24" t="inlineStr">
        <is>
          <t>Industrial Macroeconomic: Manufacturing: Chemicals: Bulk Chemicals: Organic: High Zero-Carbon Technology Cost</t>
        </is>
      </c>
      <c r="E24" t="inlineStr">
        <is>
          <t>AEO.2025.HIGHZTC.ECI_VOS_MANF_CHEOR_NA_NA_NA_BLNY09DLR.A</t>
        </is>
      </c>
      <c r="F24" t="inlineStr">
        <is>
          <t>billion 2012 $</t>
        </is>
      </c>
      <c r="H24" t="n">
        <v>179.648499</v>
      </c>
      <c r="I24" t="n">
        <v>184.153397</v>
      </c>
      <c r="J24" t="n">
        <v>172.360718</v>
      </c>
      <c r="K24" t="n">
        <v>167.715881</v>
      </c>
      <c r="L24" t="n">
        <v>163.974594</v>
      </c>
      <c r="M24" t="n">
        <v>162.341644</v>
      </c>
      <c r="N24" t="n">
        <v>162.018326</v>
      </c>
      <c r="O24" t="n">
        <v>164.700974</v>
      </c>
      <c r="P24" t="n">
        <v>167.635681</v>
      </c>
      <c r="Q24" t="n">
        <v>169.28833</v>
      </c>
      <c r="R24" t="n">
        <v>172.177399</v>
      </c>
      <c r="S24" t="n">
        <v>176.190979</v>
      </c>
      <c r="T24" t="n">
        <v>179.034775</v>
      </c>
      <c r="U24" t="n">
        <v>181.718399</v>
      </c>
      <c r="V24" t="n">
        <v>185.004654</v>
      </c>
      <c r="W24" t="n">
        <v>189.101746</v>
      </c>
      <c r="X24" t="n">
        <v>193.481354</v>
      </c>
      <c r="Y24" t="n">
        <v>197.500076</v>
      </c>
      <c r="Z24" t="n">
        <v>201.285721</v>
      </c>
      <c r="AA24" t="n">
        <v>205.213623</v>
      </c>
      <c r="AB24" t="n">
        <v>209.589371</v>
      </c>
      <c r="AC24" t="n">
        <v>213.815353</v>
      </c>
      <c r="AD24" t="n">
        <v>216.956268</v>
      </c>
      <c r="AE24" t="n">
        <v>221.063828</v>
      </c>
      <c r="AF24" t="n">
        <v>224.531143</v>
      </c>
      <c r="AG24" t="n">
        <v>227.097778</v>
      </c>
      <c r="AH24" t="n">
        <v>230.2061</v>
      </c>
      <c r="AI24" t="n">
        <v>0.01</v>
      </c>
    </row>
    <row r="25">
      <c r="A25" t="inlineStr">
        <is>
          <t>ISM000:fa_Resins</t>
        </is>
      </c>
      <c r="C25" t="inlineStr">
        <is>
          <t>Resin</t>
        </is>
      </c>
      <c r="D25" t="inlineStr">
        <is>
          <t xml:space="preserve"> Synthetic Rubber</t>
        </is>
      </c>
      <c r="E25" t="inlineStr">
        <is>
          <t xml:space="preserve"> and Fibers</t>
        </is>
      </c>
      <c r="F25" t="inlineStr">
        <is>
          <t>Industrial Macroeconomic: Manufacturing: Chemicals: Bulk Chemicals: Resin, Synthetic Rubber, and Fibers: High Zero-Carbon Technology Cost</t>
        </is>
      </c>
      <c r="G25" t="inlineStr">
        <is>
          <t>AEO.2025.HIGHZTC.ECI_VOS_MANF_CHEBR_NA_NA_NA_BLNY09DLR.A</t>
        </is>
      </c>
      <c r="H25" t="n">
        <v>98.834442</v>
      </c>
      <c r="I25" t="n">
        <v>97.966858</v>
      </c>
      <c r="J25" t="n">
        <v>99.32622499999999</v>
      </c>
      <c r="K25" t="n">
        <v>97.665497</v>
      </c>
      <c r="L25" t="n">
        <v>95.804192</v>
      </c>
      <c r="M25" t="n">
        <v>96.423264</v>
      </c>
      <c r="N25" t="n">
        <v>98.262207</v>
      </c>
      <c r="O25" t="n">
        <v>99.258095</v>
      </c>
      <c r="P25" t="n">
        <v>100.284996</v>
      </c>
      <c r="Q25" t="n">
        <v>100.911903</v>
      </c>
      <c r="R25" t="n">
        <v>103.31385</v>
      </c>
      <c r="S25" t="n">
        <v>104.717003</v>
      </c>
      <c r="T25" t="n">
        <v>105.349876</v>
      </c>
      <c r="U25" t="n">
        <v>107.174423</v>
      </c>
      <c r="V25" t="n">
        <v>108.362297</v>
      </c>
      <c r="W25" t="n">
        <v>110.005051</v>
      </c>
      <c r="X25" t="n">
        <v>112.154022</v>
      </c>
      <c r="Y25" t="n">
        <v>113.590202</v>
      </c>
      <c r="Z25" t="n">
        <v>115.539803</v>
      </c>
      <c r="AA25" t="n">
        <v>116.007896</v>
      </c>
      <c r="AB25" t="n">
        <v>116.684151</v>
      </c>
      <c r="AC25" t="n">
        <v>116.623276</v>
      </c>
      <c r="AD25" t="n">
        <v>117.464996</v>
      </c>
      <c r="AE25" t="n">
        <v>119.548798</v>
      </c>
      <c r="AF25" t="n">
        <v>120.945053</v>
      </c>
      <c r="AG25" t="n">
        <v>122.551376</v>
      </c>
      <c r="AH25" t="n">
        <v>123.52005</v>
      </c>
      <c r="AI25" t="n">
        <v>0.008999999999999999</v>
      </c>
    </row>
    <row r="26">
      <c r="A26" t="inlineStr">
        <is>
          <t>ISM000:fa_AgriculturalC</t>
        </is>
      </c>
      <c r="C26" t="inlineStr">
        <is>
          <t>Agricultural Chemicals</t>
        </is>
      </c>
      <c r="D26" t="inlineStr">
        <is>
          <t>Industrial Macroeconomic: Manufacturing: Chemicals: Bulk Chemicals: Agricultural Chemicals: High Zero-Carbon Technology Cost</t>
        </is>
      </c>
      <c r="E26" t="inlineStr">
        <is>
          <t>AEO.2025.HIGHZTC.ECI_VOS_MANF_AGC_NA_NA_NA_BLNY09DLR.A</t>
        </is>
      </c>
      <c r="F26" t="inlineStr">
        <is>
          <t>billion 2012 $</t>
        </is>
      </c>
      <c r="H26" t="n">
        <v>38.078388</v>
      </c>
      <c r="I26" t="n">
        <v>39.355778</v>
      </c>
      <c r="J26" t="n">
        <v>41.454929</v>
      </c>
      <c r="K26" t="n">
        <v>42.137497</v>
      </c>
      <c r="L26" t="n">
        <v>42.460148</v>
      </c>
      <c r="M26" t="n">
        <v>42.890003</v>
      </c>
      <c r="N26" t="n">
        <v>43.527168</v>
      </c>
      <c r="O26" t="n">
        <v>44.188728</v>
      </c>
      <c r="P26" t="n">
        <v>44.859222</v>
      </c>
      <c r="Q26" t="n">
        <v>45.314175</v>
      </c>
      <c r="R26" t="n">
        <v>46.186852</v>
      </c>
      <c r="S26" t="n">
        <v>46.873821</v>
      </c>
      <c r="T26" t="n">
        <v>47.480816</v>
      </c>
      <c r="U26" t="n">
        <v>48.278534</v>
      </c>
      <c r="V26" t="n">
        <v>48.898262</v>
      </c>
      <c r="W26" t="n">
        <v>49.510666</v>
      </c>
      <c r="X26" t="n">
        <v>50.168533</v>
      </c>
      <c r="Y26" t="n">
        <v>50.737656</v>
      </c>
      <c r="Z26" t="n">
        <v>51.303539</v>
      </c>
      <c r="AA26" t="n">
        <v>51.835686</v>
      </c>
      <c r="AB26" t="n">
        <v>52.461685</v>
      </c>
      <c r="AC26" t="n">
        <v>52.917336</v>
      </c>
      <c r="AD26" t="n">
        <v>53.425697</v>
      </c>
      <c r="AE26" t="n">
        <v>53.914276</v>
      </c>
      <c r="AF26" t="n">
        <v>54.343407</v>
      </c>
      <c r="AG26" t="n">
        <v>54.758823</v>
      </c>
      <c r="AH26" t="n">
        <v>55.121239</v>
      </c>
      <c r="AI26" t="n">
        <v>0.014</v>
      </c>
    </row>
    <row r="27">
      <c r="A27" t="inlineStr">
        <is>
          <t>ISM000:fa_OtherChemical</t>
        </is>
      </c>
      <c r="C27" t="inlineStr">
        <is>
          <t>Other Chemical Products</t>
        </is>
      </c>
      <c r="D27" t="inlineStr">
        <is>
          <t>Industrial Macroeconomic: Manufacturing: Chemicals: Other Chemical Products: High Zero-Carbon Technology Cost</t>
        </is>
      </c>
      <c r="E27" t="inlineStr">
        <is>
          <t>AEO.2025.HIGHZTC.ECI_VOS_MANF_CHEO_NA_NA_NA_BLNY09DLR.A</t>
        </is>
      </c>
      <c r="F27" t="inlineStr">
        <is>
          <t>billion 2012 $</t>
        </is>
      </c>
      <c r="H27" t="n">
        <v>440.89151</v>
      </c>
      <c r="I27" t="n">
        <v>439.434998</v>
      </c>
      <c r="J27" t="n">
        <v>441.220673</v>
      </c>
      <c r="K27" t="n">
        <v>444.904205</v>
      </c>
      <c r="L27" t="n">
        <v>449.104462</v>
      </c>
      <c r="M27" t="n">
        <v>453.273834</v>
      </c>
      <c r="N27" t="n">
        <v>458.28656</v>
      </c>
      <c r="O27" t="n">
        <v>463.552399</v>
      </c>
      <c r="P27" t="n">
        <v>469.91864</v>
      </c>
      <c r="Q27" t="n">
        <v>476.601135</v>
      </c>
      <c r="R27" t="n">
        <v>482.025665</v>
      </c>
      <c r="S27" t="n">
        <v>485.842255</v>
      </c>
      <c r="T27" t="n">
        <v>490.135437</v>
      </c>
      <c r="U27" t="n">
        <v>496.382996</v>
      </c>
      <c r="V27" t="n">
        <v>502.450836</v>
      </c>
      <c r="W27" t="n">
        <v>508.458862</v>
      </c>
      <c r="X27" t="n">
        <v>515.293396</v>
      </c>
      <c r="Y27" t="n">
        <v>522.505188</v>
      </c>
      <c r="Z27" t="n">
        <v>530.328064</v>
      </c>
      <c r="AA27" t="n">
        <v>537.792786</v>
      </c>
      <c r="AB27" t="n">
        <v>544.153198</v>
      </c>
      <c r="AC27" t="n">
        <v>549.37085</v>
      </c>
      <c r="AD27" t="n">
        <v>555.2432250000001</v>
      </c>
      <c r="AE27" t="n">
        <v>562.4700319999999</v>
      </c>
      <c r="AF27" t="n">
        <v>568.934448</v>
      </c>
      <c r="AG27" t="n">
        <v>575.505615</v>
      </c>
      <c r="AH27" t="n">
        <v>580.358276</v>
      </c>
      <c r="AI27" t="n">
        <v>0.011</v>
      </c>
    </row>
    <row r="28">
      <c r="A28" t="inlineStr">
        <is>
          <t>ISM000:fa_PetroleumandC</t>
        </is>
      </c>
      <c r="C28" t="inlineStr">
        <is>
          <t>Petroleum and Coal Products</t>
        </is>
      </c>
      <c r="D28" t="inlineStr">
        <is>
          <t>Industrial Macroeconomic: Manufacturing: Petroleum and Coal Products: High Zero-Carbon Technology Cost</t>
        </is>
      </c>
      <c r="E28" t="inlineStr">
        <is>
          <t>AEO.2025.HIGHZTC.ECI_VOS_MANF_PCL_NA_NA_NA_BLNY09DLR.A</t>
        </is>
      </c>
      <c r="F28" t="inlineStr">
        <is>
          <t>billion 2012 $</t>
        </is>
      </c>
      <c r="H28" t="n">
        <v>816.096008</v>
      </c>
      <c r="I28" t="n">
        <v>829.730652</v>
      </c>
      <c r="J28" t="n">
        <v>826.3580930000001</v>
      </c>
      <c r="K28" t="n">
        <v>822.635254</v>
      </c>
      <c r="L28" t="n">
        <v>818.113647</v>
      </c>
      <c r="M28" t="n">
        <v>811.789795</v>
      </c>
      <c r="N28" t="n">
        <v>801.8726810000001</v>
      </c>
      <c r="O28" t="n">
        <v>790.940002</v>
      </c>
      <c r="P28" t="n">
        <v>777.927734</v>
      </c>
      <c r="Q28" t="n">
        <v>764.579773</v>
      </c>
      <c r="R28" t="n">
        <v>753.0217290000001</v>
      </c>
      <c r="S28" t="n">
        <v>741.509338</v>
      </c>
      <c r="T28" t="n">
        <v>729.787598</v>
      </c>
      <c r="U28" t="n">
        <v>718.640503</v>
      </c>
      <c r="V28" t="n">
        <v>709.417236</v>
      </c>
      <c r="W28" t="n">
        <v>702.529297</v>
      </c>
      <c r="X28" t="n">
        <v>697.514648</v>
      </c>
      <c r="Y28" t="n">
        <v>692.160339</v>
      </c>
      <c r="Z28" t="n">
        <v>686.876709</v>
      </c>
      <c r="AA28" t="n">
        <v>682.1292110000001</v>
      </c>
      <c r="AB28" t="n">
        <v>678.856873</v>
      </c>
      <c r="AC28" t="n">
        <v>674.431702</v>
      </c>
      <c r="AD28" t="n">
        <v>672.459167</v>
      </c>
      <c r="AE28" t="n">
        <v>673.334656</v>
      </c>
      <c r="AF28" t="n">
        <v>671.36792</v>
      </c>
      <c r="AG28" t="n">
        <v>672.131042</v>
      </c>
      <c r="AH28" t="n">
        <v>673.045044</v>
      </c>
      <c r="AI28" t="n">
        <v>-0.007</v>
      </c>
    </row>
    <row r="29">
      <c r="A29" t="inlineStr">
        <is>
          <t>ISM000:fa_PetroleumRefi</t>
        </is>
      </c>
      <c r="B29" t="inlineStr">
        <is>
          <t>,ISIC 19,</t>
        </is>
      </c>
      <c r="C29" t="inlineStr">
        <is>
          <t>Petroleum Refineries</t>
        </is>
      </c>
      <c r="D29" t="inlineStr">
        <is>
          <t>Industrial Macroeconomic: Manufacturing: Petroleum and Coal: Petroleum Refineries: High Zero-Carbon Technology Cost</t>
        </is>
      </c>
      <c r="E29" t="inlineStr">
        <is>
          <t>AEO.2025.HIGHZTC.ECI_VOS_MANF_REF_NA_NA_NA_BLNY09DLR.A</t>
        </is>
      </c>
      <c r="F29" t="inlineStr">
        <is>
          <t>billion 2012 $</t>
        </is>
      </c>
      <c r="H29" t="n">
        <v>773.821899</v>
      </c>
      <c r="I29" t="n">
        <v>786.618408</v>
      </c>
      <c r="J29" t="n">
        <v>783.183228</v>
      </c>
      <c r="K29" t="n">
        <v>779.689026</v>
      </c>
      <c r="L29" t="n">
        <v>775.450012</v>
      </c>
      <c r="M29" t="n">
        <v>769.398071</v>
      </c>
      <c r="N29" t="n">
        <v>759.902161</v>
      </c>
      <c r="O29" t="n">
        <v>749.353149</v>
      </c>
      <c r="P29" t="n">
        <v>736.87854</v>
      </c>
      <c r="Q29" t="n">
        <v>724.180664</v>
      </c>
      <c r="R29" t="n">
        <v>713.244385</v>
      </c>
      <c r="S29" t="n">
        <v>702.289001</v>
      </c>
      <c r="T29" t="n">
        <v>691.018555</v>
      </c>
      <c r="U29" t="n">
        <v>680.328491</v>
      </c>
      <c r="V29" t="n">
        <v>671.508911</v>
      </c>
      <c r="W29" t="n">
        <v>664.934265</v>
      </c>
      <c r="X29" t="n">
        <v>660.106567</v>
      </c>
      <c r="Y29" t="n">
        <v>654.973938</v>
      </c>
      <c r="Z29" t="n">
        <v>650.0242919999999</v>
      </c>
      <c r="AA29" t="n">
        <v>645.5703119999999</v>
      </c>
      <c r="AB29" t="n">
        <v>642.489502</v>
      </c>
      <c r="AC29" t="n">
        <v>638.272705</v>
      </c>
      <c r="AD29" t="n">
        <v>636.511536</v>
      </c>
      <c r="AE29" t="n">
        <v>637.533508</v>
      </c>
      <c r="AF29" t="n">
        <v>635.757263</v>
      </c>
      <c r="AG29" t="n">
        <v>636.629944</v>
      </c>
      <c r="AH29" t="n">
        <v>637.633301</v>
      </c>
      <c r="AI29" t="n">
        <v>-0.007</v>
      </c>
    </row>
    <row r="30">
      <c r="A30" t="inlineStr">
        <is>
          <t>ISM000:fa_OtherPetroleu</t>
        </is>
      </c>
      <c r="B30" t="inlineStr">
        <is>
          <t>,ISIC 241,</t>
        </is>
      </c>
      <c r="C30" t="inlineStr">
        <is>
          <t>Other Petroleum and Coal Products</t>
        </is>
      </c>
      <c r="D30" t="inlineStr">
        <is>
          <t>Industrial Macroeconomic: Manufacturing: Petroleum and Coal: Other Petroleum &amp; Coal Products: High Zero-Carbon Technology Cost</t>
        </is>
      </c>
      <c r="E30" t="inlineStr">
        <is>
          <t>AEO.2025.HIGHZTC.ECI_VOS_MANF_PCLO_NA_NA_NA_BLNY09DLR.A</t>
        </is>
      </c>
      <c r="F30" t="inlineStr">
        <is>
          <t>billion 2012 $</t>
        </is>
      </c>
      <c r="H30" t="n">
        <v>42.27409</v>
      </c>
      <c r="I30" t="n">
        <v>43.112217</v>
      </c>
      <c r="J30" t="n">
        <v>43.174866</v>
      </c>
      <c r="K30" t="n">
        <v>42.94622</v>
      </c>
      <c r="L30" t="n">
        <v>42.663628</v>
      </c>
      <c r="M30" t="n">
        <v>42.391701</v>
      </c>
      <c r="N30" t="n">
        <v>41.970547</v>
      </c>
      <c r="O30" t="n">
        <v>41.586861</v>
      </c>
      <c r="P30" t="n">
        <v>41.049202</v>
      </c>
      <c r="Q30" t="n">
        <v>40.399086</v>
      </c>
      <c r="R30" t="n">
        <v>39.777332</v>
      </c>
      <c r="S30" t="n">
        <v>39.220341</v>
      </c>
      <c r="T30" t="n">
        <v>38.769024</v>
      </c>
      <c r="U30" t="n">
        <v>38.312031</v>
      </c>
      <c r="V30" t="n">
        <v>37.90834</v>
      </c>
      <c r="W30" t="n">
        <v>37.595055</v>
      </c>
      <c r="X30" t="n">
        <v>37.408058</v>
      </c>
      <c r="Y30" t="n">
        <v>37.186394</v>
      </c>
      <c r="Z30" t="n">
        <v>36.85239</v>
      </c>
      <c r="AA30" t="n">
        <v>36.558922</v>
      </c>
      <c r="AB30" t="n">
        <v>36.367348</v>
      </c>
      <c r="AC30" t="n">
        <v>36.158981</v>
      </c>
      <c r="AD30" t="n">
        <v>35.947632</v>
      </c>
      <c r="AE30" t="n">
        <v>35.801125</v>
      </c>
      <c r="AF30" t="n">
        <v>35.610645</v>
      </c>
      <c r="AG30" t="n">
        <v>35.501125</v>
      </c>
      <c r="AH30" t="n">
        <v>35.411743</v>
      </c>
      <c r="AI30" t="n">
        <v>-0.007</v>
      </c>
    </row>
    <row r="31">
      <c r="A31" t="inlineStr">
        <is>
          <t>ISM000:fa_RubberandMisc</t>
        </is>
      </c>
      <c r="B31" t="inlineStr">
        <is>
          <t>,ISIC 22,</t>
        </is>
      </c>
      <c r="C31" t="inlineStr">
        <is>
          <t>Plastics and Rubber Products</t>
        </is>
      </c>
      <c r="D31" t="inlineStr">
        <is>
          <t>Industrial Macroeconomic: Manufacturing: Plastics and Rubber Products: High Zero-Carbon Technology Cost</t>
        </is>
      </c>
      <c r="E31" t="inlineStr">
        <is>
          <t>AEO.2025.HIGHZTC.ECI_VOS_MANF_PRP_NA_NA_NA_BLNY09DLR.A</t>
        </is>
      </c>
      <c r="F31" t="inlineStr">
        <is>
          <t>billion 2012 $</t>
        </is>
      </c>
      <c r="H31" t="n">
        <v>212.329132</v>
      </c>
      <c r="I31" t="n">
        <v>217.696106</v>
      </c>
      <c r="J31" t="n">
        <v>224.714172</v>
      </c>
      <c r="K31" t="n">
        <v>228.998383</v>
      </c>
      <c r="L31" t="n">
        <v>231.000732</v>
      </c>
      <c r="M31" t="n">
        <v>233.928268</v>
      </c>
      <c r="N31" t="n">
        <v>237.692154</v>
      </c>
      <c r="O31" t="n">
        <v>241.49115</v>
      </c>
      <c r="P31" t="n">
        <v>245.098969</v>
      </c>
      <c r="Q31" t="n">
        <v>248.243774</v>
      </c>
      <c r="R31" t="n">
        <v>252.306168</v>
      </c>
      <c r="S31" t="n">
        <v>255.406128</v>
      </c>
      <c r="T31" t="n">
        <v>257.668365</v>
      </c>
      <c r="U31" t="n">
        <v>260.664551</v>
      </c>
      <c r="V31" t="n">
        <v>263.215424</v>
      </c>
      <c r="W31" t="n">
        <v>265.90036</v>
      </c>
      <c r="X31" t="n">
        <v>268.942963</v>
      </c>
      <c r="Y31" t="n">
        <v>271.580078</v>
      </c>
      <c r="Z31" t="n">
        <v>274.435425</v>
      </c>
      <c r="AA31" t="n">
        <v>276.424652</v>
      </c>
      <c r="AB31" t="n">
        <v>278.511597</v>
      </c>
      <c r="AC31" t="n">
        <v>280.172211</v>
      </c>
      <c r="AD31" t="n">
        <v>282.027313</v>
      </c>
      <c r="AE31" t="n">
        <v>284.194641</v>
      </c>
      <c r="AF31" t="n">
        <v>286.123779</v>
      </c>
      <c r="AG31" t="n">
        <v>288.19809</v>
      </c>
      <c r="AH31" t="n">
        <v>289.852631</v>
      </c>
      <c r="AI31" t="n">
        <v>0.012</v>
      </c>
    </row>
    <row r="32">
      <c r="A32" t="inlineStr">
        <is>
          <t>ISM000:fa_Stone,Clay,an</t>
        </is>
      </c>
      <c r="C32" t="inlineStr">
        <is>
          <t>Non-metallic minerals</t>
        </is>
      </c>
      <c r="D32" t="inlineStr">
        <is>
          <t>Industrial Macroeconomic: Manufacturing: Stone, Clay, and Glass Products: High Zero-Carbon Technology Cost</t>
        </is>
      </c>
      <c r="E32" t="inlineStr">
        <is>
          <t>AEO.2025.HIGHZTC.ECI_VOS_MANF_SCG_NA_NA_NA_BLNY09DLR.A</t>
        </is>
      </c>
      <c r="F32" t="inlineStr">
        <is>
          <t>billion 2012 $</t>
        </is>
      </c>
      <c r="H32" t="n">
        <v>111.547691</v>
      </c>
      <c r="I32" t="n">
        <v>111.646118</v>
      </c>
      <c r="J32" t="n">
        <v>111.83931</v>
      </c>
      <c r="K32" t="n">
        <v>112.530006</v>
      </c>
      <c r="L32" t="n">
        <v>113.191704</v>
      </c>
      <c r="M32" t="n">
        <v>113.502251</v>
      </c>
      <c r="N32" t="n">
        <v>114.455154</v>
      </c>
      <c r="O32" t="n">
        <v>115.922195</v>
      </c>
      <c r="P32" t="n">
        <v>117.233231</v>
      </c>
      <c r="Q32" t="n">
        <v>118.135986</v>
      </c>
      <c r="R32" t="n">
        <v>118.882309</v>
      </c>
      <c r="S32" t="n">
        <v>119.855042</v>
      </c>
      <c r="T32" t="n">
        <v>120.868042</v>
      </c>
      <c r="U32" t="n">
        <v>121.951553</v>
      </c>
      <c r="V32" t="n">
        <v>123.172432</v>
      </c>
      <c r="W32" t="n">
        <v>124.29541</v>
      </c>
      <c r="X32" t="n">
        <v>125.051186</v>
      </c>
      <c r="Y32" t="n">
        <v>125.540993</v>
      </c>
      <c r="Z32" t="n">
        <v>125.832672</v>
      </c>
      <c r="AA32" t="n">
        <v>125.669724</v>
      </c>
      <c r="AB32" t="n">
        <v>125.183174</v>
      </c>
      <c r="AC32" t="n">
        <v>125.382446</v>
      </c>
      <c r="AD32" t="n">
        <v>126.047348</v>
      </c>
      <c r="AE32" t="n">
        <v>126.827301</v>
      </c>
      <c r="AF32" t="n">
        <v>127.722153</v>
      </c>
      <c r="AG32" t="n">
        <v>128.639481</v>
      </c>
      <c r="AH32" t="n">
        <v>129.612427</v>
      </c>
      <c r="AI32" t="n">
        <v>0.006</v>
      </c>
    </row>
    <row r="33">
      <c r="A33" t="inlineStr">
        <is>
          <t>ISM000:fa_GlassandGlass</t>
        </is>
      </c>
      <c r="B33" t="inlineStr">
        <is>
          <t>,ISIC 231,</t>
        </is>
      </c>
      <c r="C33" t="inlineStr">
        <is>
          <t>Glass and Glass Products</t>
        </is>
      </c>
      <c r="D33" t="inlineStr">
        <is>
          <t>Industrial Macroeconomic: Manufacturing: Stone, Clay, and Glass: Glass and Glass Products: High Zero-Carbon Technology Cost</t>
        </is>
      </c>
      <c r="E33" t="inlineStr">
        <is>
          <t>AEO.2025.HIGHZTC.ECI_VOS_MANF_SCGG_NA_NA_NA_BLNY09DLR.A</t>
        </is>
      </c>
      <c r="F33" t="inlineStr">
        <is>
          <t>billion 2012 $</t>
        </is>
      </c>
      <c r="H33" t="n">
        <v>21.45093</v>
      </c>
      <c r="I33" t="n">
        <v>21.290245</v>
      </c>
      <c r="J33" t="n">
        <v>21.242983</v>
      </c>
      <c r="K33" t="n">
        <v>21.230724</v>
      </c>
      <c r="L33" t="n">
        <v>21.263985</v>
      </c>
      <c r="M33" t="n">
        <v>21.310061</v>
      </c>
      <c r="N33" t="n">
        <v>21.371811</v>
      </c>
      <c r="O33" t="n">
        <v>21.476692</v>
      </c>
      <c r="P33" t="n">
        <v>21.61256</v>
      </c>
      <c r="Q33" t="n">
        <v>21.745703</v>
      </c>
      <c r="R33" t="n">
        <v>21.89089</v>
      </c>
      <c r="S33" t="n">
        <v>22.055412</v>
      </c>
      <c r="T33" t="n">
        <v>22.216677</v>
      </c>
      <c r="U33" t="n">
        <v>22.39768</v>
      </c>
      <c r="V33" t="n">
        <v>22.595711</v>
      </c>
      <c r="W33" t="n">
        <v>22.798956</v>
      </c>
      <c r="X33" t="n">
        <v>23.015873</v>
      </c>
      <c r="Y33" t="n">
        <v>23.23588</v>
      </c>
      <c r="Z33" t="n">
        <v>23.452274</v>
      </c>
      <c r="AA33" t="n">
        <v>23.653669</v>
      </c>
      <c r="AB33" t="n">
        <v>23.834209</v>
      </c>
      <c r="AC33" t="n">
        <v>23.998465</v>
      </c>
      <c r="AD33" t="n">
        <v>24.153</v>
      </c>
      <c r="AE33" t="n">
        <v>24.320282</v>
      </c>
      <c r="AF33" t="n">
        <v>24.498272</v>
      </c>
      <c r="AG33" t="n">
        <v>24.677088</v>
      </c>
      <c r="AH33" t="n">
        <v>24.843611</v>
      </c>
      <c r="AI33" t="n">
        <v>0.006</v>
      </c>
    </row>
    <row r="34">
      <c r="A34" t="inlineStr">
        <is>
          <t>ISM000:fa_CementandHydr</t>
        </is>
      </c>
      <c r="B34" t="inlineStr">
        <is>
          <t>,ISIC 239,</t>
        </is>
      </c>
      <c r="C34" t="inlineStr">
        <is>
          <t>Cement and Lime</t>
        </is>
      </c>
      <c r="D34" t="inlineStr">
        <is>
          <t>Industrial Macroeconomic: Manufacturing: Stone, Clay, and Glass: Cement and Lime: High Zero-Carbon Technology Cost</t>
        </is>
      </c>
      <c r="E34" t="inlineStr">
        <is>
          <t>AEO.2025.HIGHZTC.ECI_VOS_MANF_SCGCL_NA_NA_NA_BLNY09DLR.A</t>
        </is>
      </c>
      <c r="F34" t="inlineStr">
        <is>
          <t>billion 2012 $</t>
        </is>
      </c>
      <c r="H34" t="n">
        <v>9.305412</v>
      </c>
      <c r="I34" t="n">
        <v>9.341552</v>
      </c>
      <c r="J34" t="n">
        <v>9.271191999999999</v>
      </c>
      <c r="K34" t="n">
        <v>9.279629</v>
      </c>
      <c r="L34" t="n">
        <v>9.351248</v>
      </c>
      <c r="M34" t="n">
        <v>9.433073</v>
      </c>
      <c r="N34" t="n">
        <v>9.557518999999999</v>
      </c>
      <c r="O34" t="n">
        <v>9.703685999999999</v>
      </c>
      <c r="P34" t="n">
        <v>9.855732</v>
      </c>
      <c r="Q34" t="n">
        <v>9.999584</v>
      </c>
      <c r="R34" t="n">
        <v>10.13154</v>
      </c>
      <c r="S34" t="n">
        <v>10.260571</v>
      </c>
      <c r="T34" t="n">
        <v>10.38773</v>
      </c>
      <c r="U34" t="n">
        <v>10.523909</v>
      </c>
      <c r="V34" t="n">
        <v>10.673493</v>
      </c>
      <c r="W34" t="n">
        <v>10.821849</v>
      </c>
      <c r="X34" t="n">
        <v>10.946848</v>
      </c>
      <c r="Y34" t="n">
        <v>11.046646</v>
      </c>
      <c r="Z34" t="n">
        <v>11.118332</v>
      </c>
      <c r="AA34" t="n">
        <v>11.14825</v>
      </c>
      <c r="AB34" t="n">
        <v>11.14453</v>
      </c>
      <c r="AC34" t="n">
        <v>11.16645</v>
      </c>
      <c r="AD34" t="n">
        <v>11.222955</v>
      </c>
      <c r="AE34" t="n">
        <v>11.310638</v>
      </c>
      <c r="AF34" t="n">
        <v>11.422865</v>
      </c>
      <c r="AG34" t="n">
        <v>11.550447</v>
      </c>
      <c r="AH34" t="n">
        <v>11.685319</v>
      </c>
      <c r="AI34" t="n">
        <v>0.008999999999999999</v>
      </c>
    </row>
    <row r="35">
      <c r="A35" t="inlineStr">
        <is>
          <t>ISM000:fa_OtherStone,Cl</t>
        </is>
      </c>
      <c r="B35" t="inlineStr">
        <is>
          <t>,ISIC 239,</t>
        </is>
      </c>
      <c r="C35" t="inlineStr">
        <is>
          <t>Other Nonmetallic Mineral Products</t>
        </is>
      </c>
      <c r="D35" t="inlineStr">
        <is>
          <t>Industrial Macroeconomic: Manufacturing: Stone, Clay, and Glass: Other Nonmetallic Mineral Products: High Zero-Carbon Technology Cost</t>
        </is>
      </c>
      <c r="E35" t="inlineStr">
        <is>
          <t>AEO.2025.HIGHZTC.ECI_VOS_MANF_SCGOM_NA_NA_NA_BLNY09DLR.A</t>
        </is>
      </c>
      <c r="F35" t="inlineStr">
        <is>
          <t>billion 2012 $</t>
        </is>
      </c>
      <c r="H35" t="n">
        <v>80.79135100000001</v>
      </c>
      <c r="I35" t="n">
        <v>81.01432</v>
      </c>
      <c r="J35" t="n">
        <v>81.32513400000001</v>
      </c>
      <c r="K35" t="n">
        <v>82.01965300000001</v>
      </c>
      <c r="L35" t="n">
        <v>82.576469</v>
      </c>
      <c r="M35" t="n">
        <v>82.759117</v>
      </c>
      <c r="N35" t="n">
        <v>83.525826</v>
      </c>
      <c r="O35" t="n">
        <v>84.74181400000001</v>
      </c>
      <c r="P35" t="n">
        <v>85.764938</v>
      </c>
      <c r="Q35" t="n">
        <v>86.39070100000001</v>
      </c>
      <c r="R35" t="n">
        <v>86.85987900000001</v>
      </c>
      <c r="S35" t="n">
        <v>87.539062</v>
      </c>
      <c r="T35" t="n">
        <v>88.263634</v>
      </c>
      <c r="U35" t="n">
        <v>89.029968</v>
      </c>
      <c r="V35" t="n">
        <v>89.903229</v>
      </c>
      <c r="W35" t="n">
        <v>90.674606</v>
      </c>
      <c r="X35" t="n">
        <v>91.088463</v>
      </c>
      <c r="Y35" t="n">
        <v>91.25846900000001</v>
      </c>
      <c r="Z35" t="n">
        <v>91.26206999999999</v>
      </c>
      <c r="AA35" t="n">
        <v>90.867805</v>
      </c>
      <c r="AB35" t="n">
        <v>90.204437</v>
      </c>
      <c r="AC35" t="n">
        <v>90.217529</v>
      </c>
      <c r="AD35" t="n">
        <v>90.67139400000001</v>
      </c>
      <c r="AE35" t="n">
        <v>91.196381</v>
      </c>
      <c r="AF35" t="n">
        <v>91.801018</v>
      </c>
      <c r="AG35" t="n">
        <v>92.41194900000001</v>
      </c>
      <c r="AH35" t="n">
        <v>93.083488</v>
      </c>
      <c r="AI35" t="n">
        <v>0.005</v>
      </c>
    </row>
    <row r="36">
      <c r="A36" t="inlineStr">
        <is>
          <t>ISM000:ga_PrimaryMetals</t>
        </is>
      </c>
      <c r="C36" t="inlineStr">
        <is>
          <t>Primary Metals Industry</t>
        </is>
      </c>
      <c r="D36" t="inlineStr">
        <is>
          <t>Industrial Macroeconomic: Manufacturing: Primary Metals Industry: High Zero-Carbon Technology Cost</t>
        </is>
      </c>
      <c r="E36" t="inlineStr">
        <is>
          <t>AEO.2025.HIGHZTC.ECI_VOS_MANF_PMM_NA_NA_NA_BLNY09DLR.A</t>
        </is>
      </c>
      <c r="F36" t="inlineStr">
        <is>
          <t>billion 2012 $</t>
        </is>
      </c>
      <c r="H36" t="n">
        <v>244.865036</v>
      </c>
      <c r="I36" t="n">
        <v>248.52803</v>
      </c>
      <c r="J36" t="n">
        <v>255.542496</v>
      </c>
      <c r="K36" t="n">
        <v>258.274902</v>
      </c>
      <c r="L36" t="n">
        <v>258.450531</v>
      </c>
      <c r="M36" t="n">
        <v>259.364136</v>
      </c>
      <c r="N36" t="n">
        <v>262.413971</v>
      </c>
      <c r="O36" t="n">
        <v>266.268433</v>
      </c>
      <c r="P36" t="n">
        <v>270.278839</v>
      </c>
      <c r="Q36" t="n">
        <v>271.53186</v>
      </c>
      <c r="R36" t="n">
        <v>274.663147</v>
      </c>
      <c r="S36" t="n">
        <v>277.693695</v>
      </c>
      <c r="T36" t="n">
        <v>280.427246</v>
      </c>
      <c r="U36" t="n">
        <v>284.756256</v>
      </c>
      <c r="V36" t="n">
        <v>288.452942</v>
      </c>
      <c r="W36" t="n">
        <v>292.013855</v>
      </c>
      <c r="X36" t="n">
        <v>297.006897</v>
      </c>
      <c r="Y36" t="n">
        <v>300.80423</v>
      </c>
      <c r="Z36" t="n">
        <v>303.972198</v>
      </c>
      <c r="AA36" t="n">
        <v>308.312378</v>
      </c>
      <c r="AB36" t="n">
        <v>311.885468</v>
      </c>
      <c r="AC36" t="n">
        <v>314.560791</v>
      </c>
      <c r="AD36" t="n">
        <v>316.644135</v>
      </c>
      <c r="AE36" t="n">
        <v>319.675537</v>
      </c>
      <c r="AF36" t="n">
        <v>321.567108</v>
      </c>
      <c r="AG36" t="n">
        <v>322.922424</v>
      </c>
      <c r="AH36" t="n">
        <v>324.232117</v>
      </c>
      <c r="AI36" t="n">
        <v>0.011</v>
      </c>
    </row>
    <row r="37">
      <c r="A37" t="inlineStr">
        <is>
          <t>ISM000:ga_BlastFurnacea</t>
        </is>
      </c>
      <c r="B37" t="inlineStr">
        <is>
          <t>,ISIC 241,</t>
        </is>
      </c>
      <c r="C37" t="inlineStr">
        <is>
          <t>Iron and Steel Mills and Products</t>
        </is>
      </c>
      <c r="D37" t="inlineStr">
        <is>
          <t>Industrial Macroeconomic: Manufacturing: Primary Metals: Iron and Steel Mills and Products: High Zero-Carbon Technology Cost</t>
        </is>
      </c>
      <c r="E37" t="inlineStr">
        <is>
          <t>AEO.2025.HIGHZTC.ECI_VOS_MANF_ISM_NA_NA_NA_BLNY09DLR.A</t>
        </is>
      </c>
      <c r="F37" t="inlineStr">
        <is>
          <t>billion 2012 $</t>
        </is>
      </c>
      <c r="H37" t="n">
        <v>131.325729</v>
      </c>
      <c r="I37" t="n">
        <v>134.934113</v>
      </c>
      <c r="J37" t="n">
        <v>141.459885</v>
      </c>
      <c r="K37" t="n">
        <v>142.773773</v>
      </c>
      <c r="L37" t="n">
        <v>141.887939</v>
      </c>
      <c r="M37" t="n">
        <v>141.749786</v>
      </c>
      <c r="N37" t="n">
        <v>143.738235</v>
      </c>
      <c r="O37" t="n">
        <v>146.534988</v>
      </c>
      <c r="P37" t="n">
        <v>149.384964</v>
      </c>
      <c r="Q37" t="n">
        <v>149.455109</v>
      </c>
      <c r="R37" t="n">
        <v>151.378143</v>
      </c>
      <c r="S37" t="n">
        <v>153.106293</v>
      </c>
      <c r="T37" t="n">
        <v>154.536301</v>
      </c>
      <c r="U37" t="n">
        <v>157.535034</v>
      </c>
      <c r="V37" t="n">
        <v>159.873383</v>
      </c>
      <c r="W37" t="n">
        <v>162.084717</v>
      </c>
      <c r="X37" t="n">
        <v>165.732437</v>
      </c>
      <c r="Y37" t="n">
        <v>168.196808</v>
      </c>
      <c r="Z37" t="n">
        <v>170.064301</v>
      </c>
      <c r="AA37" t="n">
        <v>173.142654</v>
      </c>
      <c r="AB37" t="n">
        <v>175.508896</v>
      </c>
      <c r="AC37" t="n">
        <v>177.0495</v>
      </c>
      <c r="AD37" t="n">
        <v>178.078873</v>
      </c>
      <c r="AE37" t="n">
        <v>180.097672</v>
      </c>
      <c r="AF37" t="n">
        <v>181.03627</v>
      </c>
      <c r="AG37" t="n">
        <v>181.499786</v>
      </c>
      <c r="AH37" t="n">
        <v>181.988113</v>
      </c>
      <c r="AI37" t="n">
        <v>0.013</v>
      </c>
    </row>
    <row r="38">
      <c r="A38" t="inlineStr">
        <is>
          <t>ISM000:ga_Aluminum</t>
        </is>
      </c>
      <c r="B38" t="inlineStr">
        <is>
          <t>,ISIC 242,</t>
        </is>
      </c>
      <c r="C38" t="inlineStr">
        <is>
          <t>Alumina and Aluminum Products</t>
        </is>
      </c>
      <c r="D38" t="inlineStr">
        <is>
          <t>Industrial Macroeconomic: Manufacturing: Primary Metals: Alumina and Aluminum Products: High Zero-Carbon Technology Cost</t>
        </is>
      </c>
      <c r="E38" t="inlineStr">
        <is>
          <t>AEO.2025.HIGHZTC.ECI_VOS_MANF_AAP_NA_NA_NA_BLNY09DLR.A</t>
        </is>
      </c>
      <c r="F38" t="inlineStr">
        <is>
          <t>billion 2012 $</t>
        </is>
      </c>
      <c r="H38" t="n">
        <v>34.597599</v>
      </c>
      <c r="I38" t="n">
        <v>34.167324</v>
      </c>
      <c r="J38" t="n">
        <v>34.714939</v>
      </c>
      <c r="K38" t="n">
        <v>35.325741</v>
      </c>
      <c r="L38" t="n">
        <v>35.804806</v>
      </c>
      <c r="M38" t="n">
        <v>36.362534</v>
      </c>
      <c r="N38" t="n">
        <v>36.869461</v>
      </c>
      <c r="O38" t="n">
        <v>37.424278</v>
      </c>
      <c r="P38" t="n">
        <v>38.041748</v>
      </c>
      <c r="Q38" t="n">
        <v>38.662601</v>
      </c>
      <c r="R38" t="n">
        <v>39.322857</v>
      </c>
      <c r="S38" t="n">
        <v>40.049435</v>
      </c>
      <c r="T38" t="n">
        <v>40.793427</v>
      </c>
      <c r="U38" t="n">
        <v>41.567074</v>
      </c>
      <c r="V38" t="n">
        <v>42.354301</v>
      </c>
      <c r="W38" t="n">
        <v>43.131817</v>
      </c>
      <c r="X38" t="n">
        <v>43.905979</v>
      </c>
      <c r="Y38" t="n">
        <v>44.671326</v>
      </c>
      <c r="Z38" t="n">
        <v>45.415844</v>
      </c>
      <c r="AA38" t="n">
        <v>46.116341</v>
      </c>
      <c r="AB38" t="n">
        <v>46.751091</v>
      </c>
      <c r="AC38" t="n">
        <v>47.299404</v>
      </c>
      <c r="AD38" t="n">
        <v>47.767883</v>
      </c>
      <c r="AE38" t="n">
        <v>48.191673</v>
      </c>
      <c r="AF38" t="n">
        <v>48.568092</v>
      </c>
      <c r="AG38" t="n">
        <v>48.904499</v>
      </c>
      <c r="AH38" t="n">
        <v>49.198971</v>
      </c>
      <c r="AI38" t="n">
        <v>0.014</v>
      </c>
    </row>
    <row r="39">
      <c r="A39" t="inlineStr">
        <is>
          <t>ISM000:ga_OtherPrimaryM</t>
        </is>
      </c>
      <c r="B39" t="inlineStr">
        <is>
          <t>,ISIC 242,</t>
        </is>
      </c>
      <c r="C39" t="inlineStr">
        <is>
          <t>Other Primary Metal Products</t>
        </is>
      </c>
      <c r="D39" t="inlineStr">
        <is>
          <t>Industrial Macroeconomic: Manufacturing: Primary Metals: Other Primary Metal Products: High Zero-Carbon Technology Cost</t>
        </is>
      </c>
      <c r="E39" t="inlineStr">
        <is>
          <t>AEO.2025.HIGHZTC.ECI_VOS_MANF_PMO_NA_NA_NA_BLNY09DLR.A</t>
        </is>
      </c>
      <c r="F39" t="inlineStr">
        <is>
          <t>billion 2012 $</t>
        </is>
      </c>
      <c r="H39" t="n">
        <v>78.941711</v>
      </c>
      <c r="I39" t="n">
        <v>79.426582</v>
      </c>
      <c r="J39" t="n">
        <v>79.36766799999999</v>
      </c>
      <c r="K39" t="n">
        <v>80.175369</v>
      </c>
      <c r="L39" t="n">
        <v>80.75779</v>
      </c>
      <c r="M39" t="n">
        <v>81.251801</v>
      </c>
      <c r="N39" t="n">
        <v>81.806282</v>
      </c>
      <c r="O39" t="n">
        <v>82.309166</v>
      </c>
      <c r="P39" t="n">
        <v>82.852135</v>
      </c>
      <c r="Q39" t="n">
        <v>83.414146</v>
      </c>
      <c r="R39" t="n">
        <v>83.962135</v>
      </c>
      <c r="S39" t="n">
        <v>84.53795599999999</v>
      </c>
      <c r="T39" t="n">
        <v>85.09751900000001</v>
      </c>
      <c r="U39" t="n">
        <v>85.654175</v>
      </c>
      <c r="V39" t="n">
        <v>86.225258</v>
      </c>
      <c r="W39" t="n">
        <v>86.797302</v>
      </c>
      <c r="X39" t="n">
        <v>87.368469</v>
      </c>
      <c r="Y39" t="n">
        <v>87.93609600000001</v>
      </c>
      <c r="Z39" t="n">
        <v>88.492043</v>
      </c>
      <c r="AA39" t="n">
        <v>89.053383</v>
      </c>
      <c r="AB39" t="n">
        <v>89.62550400000001</v>
      </c>
      <c r="AC39" t="n">
        <v>90.211868</v>
      </c>
      <c r="AD39" t="n">
        <v>90.797394</v>
      </c>
      <c r="AE39" t="n">
        <v>91.3862</v>
      </c>
      <c r="AF39" t="n">
        <v>91.962723</v>
      </c>
      <c r="AG39" t="n">
        <v>92.51812700000001</v>
      </c>
      <c r="AH39" t="n">
        <v>93.045013</v>
      </c>
      <c r="AI39" t="n">
        <v>0.006</v>
      </c>
    </row>
    <row r="40">
      <c r="A40" t="inlineStr">
        <is>
          <t>ISM000:ga_FabricatedMet</t>
        </is>
      </c>
      <c r="B40" t="inlineStr">
        <is>
          <t>,ISIC 25,</t>
        </is>
      </c>
      <c r="C40" t="inlineStr">
        <is>
          <t>Fabricated Metal Products</t>
        </is>
      </c>
      <c r="D40" t="inlineStr">
        <is>
          <t>Industrial Macroeconomic: Manufacturing: Fabricated Metal Products: High Zero-Carbon Technology Cost</t>
        </is>
      </c>
      <c r="E40" t="inlineStr">
        <is>
          <t>AEO.2025.HIGHZTC.ECI_VOS_MANF_FBP_NA_NA_NA_BLNY09DLR.A</t>
        </is>
      </c>
      <c r="F40" t="inlineStr">
        <is>
          <t>billion 2012 $</t>
        </is>
      </c>
      <c r="H40" t="n">
        <v>302.453583</v>
      </c>
      <c r="I40" t="n">
        <v>308.423645</v>
      </c>
      <c r="J40" t="n">
        <v>320.753296</v>
      </c>
      <c r="K40" t="n">
        <v>328.516968</v>
      </c>
      <c r="L40" t="n">
        <v>329.17981</v>
      </c>
      <c r="M40" t="n">
        <v>329.989777</v>
      </c>
      <c r="N40" t="n">
        <v>332.519562</v>
      </c>
      <c r="O40" t="n">
        <v>335.487305</v>
      </c>
      <c r="P40" t="n">
        <v>338.850281</v>
      </c>
      <c r="Q40" t="n">
        <v>339.641541</v>
      </c>
      <c r="R40" t="n">
        <v>343.304688</v>
      </c>
      <c r="S40" t="n">
        <v>344.994019</v>
      </c>
      <c r="T40" t="n">
        <v>347.506378</v>
      </c>
      <c r="U40" t="n">
        <v>351.450073</v>
      </c>
      <c r="V40" t="n">
        <v>354.346893</v>
      </c>
      <c r="W40" t="n">
        <v>357.362793</v>
      </c>
      <c r="X40" t="n">
        <v>361.169312</v>
      </c>
      <c r="Y40" t="n">
        <v>363.914948</v>
      </c>
      <c r="Z40" t="n">
        <v>366.687836</v>
      </c>
      <c r="AA40" t="n">
        <v>368.300964</v>
      </c>
      <c r="AB40" t="n">
        <v>371.019073</v>
      </c>
      <c r="AC40" t="n">
        <v>372.191315</v>
      </c>
      <c r="AD40" t="n">
        <v>374.320221</v>
      </c>
      <c r="AE40" t="n">
        <v>376.14328</v>
      </c>
      <c r="AF40" t="n">
        <v>377.552765</v>
      </c>
      <c r="AG40" t="n">
        <v>379.679962</v>
      </c>
      <c r="AH40" t="n">
        <v>379.721832</v>
      </c>
      <c r="AI40" t="n">
        <v>0.008999999999999999</v>
      </c>
    </row>
    <row r="41">
      <c r="A41" t="inlineStr">
        <is>
          <t>ISM000:ga_IndustrialMac</t>
        </is>
      </c>
      <c r="B41" t="inlineStr">
        <is>
          <t>,ISIC 28,</t>
        </is>
      </c>
      <c r="C41" t="inlineStr">
        <is>
          <t>Machinery</t>
        </is>
      </c>
      <c r="D41" t="inlineStr">
        <is>
          <t>Industrial Macroeconomic: Manufacturing: Machinery: High Zero-Carbon Technology Cost</t>
        </is>
      </c>
      <c r="E41" t="inlineStr">
        <is>
          <t>AEO.2025.HIGHZTC.ECI_VOS_MANF_MCHI_NA_NA_NA_BLNY09DLR.A</t>
        </is>
      </c>
      <c r="F41" t="inlineStr">
        <is>
          <t>billion 2012 $</t>
        </is>
      </c>
      <c r="H41" t="n">
        <v>298.007568</v>
      </c>
      <c r="I41" t="n">
        <v>301.467865</v>
      </c>
      <c r="J41" t="n">
        <v>307.617004</v>
      </c>
      <c r="K41" t="n">
        <v>319.366699</v>
      </c>
      <c r="L41" t="n">
        <v>326.129608</v>
      </c>
      <c r="M41" t="n">
        <v>331.912842</v>
      </c>
      <c r="N41" t="n">
        <v>338.646362</v>
      </c>
      <c r="O41" t="n">
        <v>343.727081</v>
      </c>
      <c r="P41" t="n">
        <v>348.294067</v>
      </c>
      <c r="Q41" t="n">
        <v>349.591461</v>
      </c>
      <c r="R41" t="n">
        <v>352.931213</v>
      </c>
      <c r="S41" t="n">
        <v>355.550873</v>
      </c>
      <c r="T41" t="n">
        <v>358.416809</v>
      </c>
      <c r="U41" t="n">
        <v>361.28418</v>
      </c>
      <c r="V41" t="n">
        <v>362.449188</v>
      </c>
      <c r="W41" t="n">
        <v>363.335358</v>
      </c>
      <c r="X41" t="n">
        <v>364.774994</v>
      </c>
      <c r="Y41" t="n">
        <v>365.611969</v>
      </c>
      <c r="Z41" t="n">
        <v>366.479584</v>
      </c>
      <c r="AA41" t="n">
        <v>366.931366</v>
      </c>
      <c r="AB41" t="n">
        <v>367.695129</v>
      </c>
      <c r="AC41" t="n">
        <v>367.918579</v>
      </c>
      <c r="AD41" t="n">
        <v>368.884979</v>
      </c>
      <c r="AE41" t="n">
        <v>370.444489</v>
      </c>
      <c r="AF41" t="n">
        <v>370.690857</v>
      </c>
      <c r="AG41" t="n">
        <v>371.664276</v>
      </c>
      <c r="AH41" t="n">
        <v>371.938568</v>
      </c>
      <c r="AI41" t="n">
        <v>0.008999999999999999</v>
      </c>
    </row>
    <row r="42">
      <c r="A42" t="inlineStr">
        <is>
          <t>ISM000:ga_Electronicand</t>
        </is>
      </c>
      <c r="B42" t="inlineStr">
        <is>
          <t>,ISIC 26,</t>
        </is>
      </c>
      <c r="C42" t="inlineStr">
        <is>
          <t>Computers and Electronics</t>
        </is>
      </c>
      <c r="D42" t="inlineStr">
        <is>
          <t>Industrial Macroeconomic: Manufacturing: Computers and Electronics: High Zero-Carbon Technology Cost</t>
        </is>
      </c>
      <c r="E42" t="inlineStr">
        <is>
          <t>AEO.2025.HIGHZTC.ECI_VOS_MANF_CMPEL_NA_NA_NA_BLNY09DLR.A</t>
        </is>
      </c>
      <c r="F42" t="inlineStr">
        <is>
          <t>billion 2012 $</t>
        </is>
      </c>
      <c r="H42" t="n">
        <v>440.022278</v>
      </c>
      <c r="I42" t="n">
        <v>457.773651</v>
      </c>
      <c r="J42" t="n">
        <v>467.248352</v>
      </c>
      <c r="K42" t="n">
        <v>485.610229</v>
      </c>
      <c r="L42" t="n">
        <v>505.605988</v>
      </c>
      <c r="M42" t="n">
        <v>521.779541</v>
      </c>
      <c r="N42" t="n">
        <v>537.289001</v>
      </c>
      <c r="O42" t="n">
        <v>552.0299680000001</v>
      </c>
      <c r="P42" t="n">
        <v>567.710876</v>
      </c>
      <c r="Q42" t="n">
        <v>579.988464</v>
      </c>
      <c r="R42" t="n">
        <v>593.5048829999999</v>
      </c>
      <c r="S42" t="n">
        <v>608.810791</v>
      </c>
      <c r="T42" t="n">
        <v>626.121765</v>
      </c>
      <c r="U42" t="n">
        <v>643.887878</v>
      </c>
      <c r="V42" t="n">
        <v>661.9784550000001</v>
      </c>
      <c r="W42" t="n">
        <v>681.56665</v>
      </c>
      <c r="X42" t="n">
        <v>702.596497</v>
      </c>
      <c r="Y42" t="n">
        <v>724.232178</v>
      </c>
      <c r="Z42" t="n">
        <v>746.6678470000001</v>
      </c>
      <c r="AA42" t="n">
        <v>768.786194</v>
      </c>
      <c r="AB42" t="n">
        <v>792.4130249999999</v>
      </c>
      <c r="AC42" t="n">
        <v>815.761902</v>
      </c>
      <c r="AD42" t="n">
        <v>841.444763</v>
      </c>
      <c r="AE42" t="n">
        <v>868.177612</v>
      </c>
      <c r="AF42" t="n">
        <v>895.317261</v>
      </c>
      <c r="AG42" t="n">
        <v>922.963257</v>
      </c>
      <c r="AH42" t="n">
        <v>950.849609</v>
      </c>
      <c r="AI42" t="n">
        <v>0.03</v>
      </c>
    </row>
    <row r="43">
      <c r="A43" t="inlineStr">
        <is>
          <t>ISM000:ga_Transportatio</t>
        </is>
      </c>
      <c r="B43" t="inlineStr">
        <is>
          <t>,ISIC 29,ISIC 302T309,</t>
        </is>
      </c>
      <c r="C43" t="inlineStr">
        <is>
          <t>Transportation Equipment</t>
        </is>
      </c>
      <c r="D43" t="inlineStr">
        <is>
          <t>Industrial Macroeconomic: Manufacturing: Transportation Equipment: High Zero-Carbon Technology Cost</t>
        </is>
      </c>
      <c r="E43" t="inlineStr">
        <is>
          <t>AEO.2025.HIGHZTC.ECI_VOS_MANF_TEQ_NA_NA_NA_BLNY09DLR.A</t>
        </is>
      </c>
      <c r="F43" t="inlineStr">
        <is>
          <t>billion 2012 $</t>
        </is>
      </c>
      <c r="H43" t="n">
        <v>1067.689941</v>
      </c>
      <c r="I43" t="n">
        <v>1135.095947</v>
      </c>
      <c r="J43" t="n">
        <v>1211.557495</v>
      </c>
      <c r="K43" t="n">
        <v>1234.713989</v>
      </c>
      <c r="L43" t="n">
        <v>1260.625977</v>
      </c>
      <c r="M43" t="n">
        <v>1284.185791</v>
      </c>
      <c r="N43" t="n">
        <v>1298.361694</v>
      </c>
      <c r="O43" t="n">
        <v>1299.627441</v>
      </c>
      <c r="P43" t="n">
        <v>1310.219727</v>
      </c>
      <c r="Q43" t="n">
        <v>1323.284302</v>
      </c>
      <c r="R43" t="n">
        <v>1352.747803</v>
      </c>
      <c r="S43" t="n">
        <v>1371.891479</v>
      </c>
      <c r="T43" t="n">
        <v>1384.062012</v>
      </c>
      <c r="U43" t="n">
        <v>1398.425537</v>
      </c>
      <c r="V43" t="n">
        <v>1415.861206</v>
      </c>
      <c r="W43" t="n">
        <v>1434.640503</v>
      </c>
      <c r="X43" t="n">
        <v>1452.193237</v>
      </c>
      <c r="Y43" t="n">
        <v>1466.641235</v>
      </c>
      <c r="Z43" t="n">
        <v>1482.19519</v>
      </c>
      <c r="AA43" t="n">
        <v>1494.682739</v>
      </c>
      <c r="AB43" t="n">
        <v>1508.628052</v>
      </c>
      <c r="AC43" t="n">
        <v>1524.234985</v>
      </c>
      <c r="AD43" t="n">
        <v>1539.355713</v>
      </c>
      <c r="AE43" t="n">
        <v>1554.106201</v>
      </c>
      <c r="AF43" t="n">
        <v>1568.6698</v>
      </c>
      <c r="AG43" t="n">
        <v>1581.38147</v>
      </c>
      <c r="AH43" t="n">
        <v>1589.390747</v>
      </c>
      <c r="AI43" t="n">
        <v>0.015</v>
      </c>
    </row>
    <row r="44">
      <c r="A44" t="inlineStr">
        <is>
          <t>ISM000:ga_Instrumentsan</t>
        </is>
      </c>
      <c r="B44" t="inlineStr">
        <is>
          <t>,ISIC 27,</t>
        </is>
      </c>
      <c r="C44" t="inlineStr">
        <is>
          <t>Electrical Equipment</t>
        </is>
      </c>
      <c r="D44" t="inlineStr">
        <is>
          <t>Industrial Macroeconomic: Manufacturing: Electrical Equipment: High Zero-Carbon Technology Cost</t>
        </is>
      </c>
      <c r="E44" t="inlineStr">
        <is>
          <t>AEO.2025.HIGHZTC.ECI_VOS_MANF_EEQ_NA_NA_NA_BLNY09DLR.A</t>
        </is>
      </c>
      <c r="F44" t="inlineStr">
        <is>
          <t>billion 2012 $</t>
        </is>
      </c>
      <c r="H44" t="n">
        <v>117.174522</v>
      </c>
      <c r="I44" t="n">
        <v>117.890251</v>
      </c>
      <c r="J44" t="n">
        <v>117.056648</v>
      </c>
      <c r="K44" t="n">
        <v>118.637428</v>
      </c>
      <c r="L44" t="n">
        <v>121.151604</v>
      </c>
      <c r="M44" t="n">
        <v>122.989899</v>
      </c>
      <c r="N44" t="n">
        <v>124.640625</v>
      </c>
      <c r="O44" t="n">
        <v>125.652847</v>
      </c>
      <c r="P44" t="n">
        <v>126.778503</v>
      </c>
      <c r="Q44" t="n">
        <v>126.760826</v>
      </c>
      <c r="R44" t="n">
        <v>126.979576</v>
      </c>
      <c r="S44" t="n">
        <v>127.534897</v>
      </c>
      <c r="T44" t="n">
        <v>128.186218</v>
      </c>
      <c r="U44" t="n">
        <v>128.977249</v>
      </c>
      <c r="V44" t="n">
        <v>129.602203</v>
      </c>
      <c r="W44" t="n">
        <v>130.39653</v>
      </c>
      <c r="X44" t="n">
        <v>131.375854</v>
      </c>
      <c r="Y44" t="n">
        <v>132.214798</v>
      </c>
      <c r="Z44" t="n">
        <v>133.019226</v>
      </c>
      <c r="AA44" t="n">
        <v>133.660675</v>
      </c>
      <c r="AB44" t="n">
        <v>134.388824</v>
      </c>
      <c r="AC44" t="n">
        <v>134.903046</v>
      </c>
      <c r="AD44" t="n">
        <v>135.610321</v>
      </c>
      <c r="AE44" t="n">
        <v>136.455154</v>
      </c>
      <c r="AF44" t="n">
        <v>137.008881</v>
      </c>
      <c r="AG44" t="n">
        <v>137.575974</v>
      </c>
      <c r="AH44" t="n">
        <v>137.962296</v>
      </c>
      <c r="AI44" t="n">
        <v>0.006</v>
      </c>
    </row>
    <row r="45">
      <c r="A45" t="inlineStr">
        <is>
          <t>ISM000:ga_Miscellaneous</t>
        </is>
      </c>
      <c r="B45" t="inlineStr">
        <is>
          <t>,ISIC 31T33,</t>
        </is>
      </c>
      <c r="C45" t="inlineStr">
        <is>
          <t>Miscellaneous Manufacturing</t>
        </is>
      </c>
      <c r="D45" t="inlineStr">
        <is>
          <t>Industrial Macroeconomic: Manufacturing: Miscellaneous Manufacturing: High Zero-Carbon Technology Cost</t>
        </is>
      </c>
      <c r="E45" t="inlineStr">
        <is>
          <t>AEO.2025.HIGHZTC.ECI_VOS_MANF_MISC_NA_NA_NA_BLNY09DLR.A</t>
        </is>
      </c>
      <c r="F45" t="inlineStr">
        <is>
          <t>billion 2012 $</t>
        </is>
      </c>
      <c r="H45" t="n">
        <v>153.330368</v>
      </c>
      <c r="I45" t="n">
        <v>157.286224</v>
      </c>
      <c r="J45" t="n">
        <v>161.451569</v>
      </c>
      <c r="K45" t="n">
        <v>166.086945</v>
      </c>
      <c r="L45" t="n">
        <v>170.003372</v>
      </c>
      <c r="M45" t="n">
        <v>172.204956</v>
      </c>
      <c r="N45" t="n">
        <v>174.938797</v>
      </c>
      <c r="O45" t="n">
        <v>177.685883</v>
      </c>
      <c r="P45" t="n">
        <v>181.157349</v>
      </c>
      <c r="Q45" t="n">
        <v>182.864746</v>
      </c>
      <c r="R45" t="n">
        <v>184.450928</v>
      </c>
      <c r="S45" t="n">
        <v>186.486755</v>
      </c>
      <c r="T45" t="n">
        <v>188.98085</v>
      </c>
      <c r="U45" t="n">
        <v>191.598297</v>
      </c>
      <c r="V45" t="n">
        <v>193.246002</v>
      </c>
      <c r="W45" t="n">
        <v>194.852448</v>
      </c>
      <c r="X45" t="n">
        <v>196.925156</v>
      </c>
      <c r="Y45" t="n">
        <v>199.009705</v>
      </c>
      <c r="Z45" t="n">
        <v>201.023148</v>
      </c>
      <c r="AA45" t="n">
        <v>202.837402</v>
      </c>
      <c r="AB45" t="n">
        <v>204.955948</v>
      </c>
      <c r="AC45" t="n">
        <v>206.374527</v>
      </c>
      <c r="AD45" t="n">
        <v>208.37825</v>
      </c>
      <c r="AE45" t="n">
        <v>210.468475</v>
      </c>
      <c r="AF45" t="n">
        <v>211.747971</v>
      </c>
      <c r="AG45" t="n">
        <v>214.569382</v>
      </c>
      <c r="AH45" t="n">
        <v>214.750275</v>
      </c>
      <c r="AI45" t="n">
        <v>0.013</v>
      </c>
    </row>
    <row r="46">
      <c r="A46" t="inlineStr">
        <is>
          <t>ISM000:ha_TotalIndustri</t>
        </is>
      </c>
      <c r="C46" t="inlineStr">
        <is>
          <t>Total Industrial Value of Shipments</t>
        </is>
      </c>
      <c r="D46" t="inlineStr">
        <is>
          <t>Industrial Macroeconomic: Total Industrial Value of Shipments: High Zero-Carbon Technology Cost</t>
        </is>
      </c>
      <c r="E46" t="inlineStr">
        <is>
          <t>AEO.2025.HIGHZTC.ECI_VOS_IDAL_NA_NA_NA_NA_BLNY09DLR.A</t>
        </is>
      </c>
      <c r="F46" t="inlineStr">
        <is>
          <t>billion 2012 $</t>
        </is>
      </c>
      <c r="H46" t="n">
        <v>8693.215819999999</v>
      </c>
      <c r="I46" t="n">
        <v>8880.021484000001</v>
      </c>
      <c r="J46" t="n">
        <v>9023.890625</v>
      </c>
      <c r="K46" t="n">
        <v>9136.966796999999</v>
      </c>
      <c r="L46" t="n">
        <v>9250.293944999999</v>
      </c>
      <c r="M46" t="n">
        <v>9368.206055000001</v>
      </c>
      <c r="N46" t="n">
        <v>9471.402344</v>
      </c>
      <c r="O46" t="n">
        <v>9544.327148</v>
      </c>
      <c r="P46" t="n">
        <v>9631.375</v>
      </c>
      <c r="Q46" t="n">
        <v>9680.830078000001</v>
      </c>
      <c r="R46" t="n">
        <v>9759.069336</v>
      </c>
      <c r="S46" t="n">
        <v>9833.179688</v>
      </c>
      <c r="T46" t="n">
        <v>9910.932617</v>
      </c>
      <c r="U46" t="n">
        <v>9985.496094</v>
      </c>
      <c r="V46" t="n">
        <v>10063.265625</v>
      </c>
      <c r="W46" t="n">
        <v>10146.550781</v>
      </c>
      <c r="X46" t="n">
        <v>10240.19043</v>
      </c>
      <c r="Y46" t="n">
        <v>10320.270508</v>
      </c>
      <c r="Z46" t="n">
        <v>10409.383789</v>
      </c>
      <c r="AA46" t="n">
        <v>10482.779297</v>
      </c>
      <c r="AB46" t="n">
        <v>10564.850586</v>
      </c>
      <c r="AC46" t="n">
        <v>10653.482422</v>
      </c>
      <c r="AD46" t="n">
        <v>10756.960938</v>
      </c>
      <c r="AE46" t="n">
        <v>10868.238281</v>
      </c>
      <c r="AF46" t="n">
        <v>10969.666016</v>
      </c>
      <c r="AG46" t="n">
        <v>11079.727539</v>
      </c>
      <c r="AH46" t="n">
        <v>11173.775391</v>
      </c>
      <c r="AI46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C1" t="inlineStr">
        <is>
          <t>Table 23.  Industrial Sector Macroeconomic Indicators</t>
        </is>
      </c>
    </row>
    <row r="2">
      <c r="C2" t="inlineStr">
        <is>
          <t>https://www.eia.gov/outlooks/aeo/data/browser/#/?id=34-AEO2026&amp;cases=electrnp&amp;sourcekey=0</t>
        </is>
      </c>
    </row>
    <row r="3">
      <c r="C3" t="inlineStr">
        <is>
          <t>Thu Apr 23 2026 15:01:03 GMT-0700 (Pacific Daylight Time)</t>
        </is>
      </c>
    </row>
    <row r="4">
      <c r="C4" t="inlineStr">
        <is>
          <t>Source: U.S. Energy Information Administration</t>
        </is>
      </c>
    </row>
    <row r="5">
      <c r="B5" s="5" t="inlineStr">
        <is>
          <t>ISIC assignment (editable)</t>
        </is>
      </c>
      <c r="D5" t="inlineStr">
        <is>
          <t>full name</t>
        </is>
      </c>
      <c r="E5" t="inlineStr">
        <is>
          <t>api key</t>
        </is>
      </c>
      <c r="F5" t="inlineStr">
        <is>
          <t>units</t>
        </is>
      </c>
      <c r="G5" t="n">
        <v>2025</v>
      </c>
      <c r="H5" t="n">
        <v>2026</v>
      </c>
      <c r="I5" t="n">
        <v>2027</v>
      </c>
      <c r="J5" t="n">
        <v>2028</v>
      </c>
      <c r="K5" t="n">
        <v>2029</v>
      </c>
      <c r="L5" t="n">
        <v>2030</v>
      </c>
      <c r="M5" t="n">
        <v>2031</v>
      </c>
      <c r="N5" t="n">
        <v>2032</v>
      </c>
      <c r="O5" t="n">
        <v>2033</v>
      </c>
      <c r="P5" t="n">
        <v>2034</v>
      </c>
      <c r="Q5" t="n">
        <v>2035</v>
      </c>
      <c r="R5" t="n">
        <v>2036</v>
      </c>
      <c r="S5" t="n">
        <v>2037</v>
      </c>
      <c r="T5" t="n">
        <v>2038</v>
      </c>
      <c r="U5" t="n">
        <v>2039</v>
      </c>
      <c r="V5" t="n">
        <v>2040</v>
      </c>
      <c r="W5" t="n">
        <v>2041</v>
      </c>
      <c r="X5" t="n">
        <v>2042</v>
      </c>
      <c r="Y5" t="n">
        <v>2043</v>
      </c>
      <c r="Z5" t="n">
        <v>2044</v>
      </c>
      <c r="AA5" t="n">
        <v>2045</v>
      </c>
      <c r="AB5" t="n">
        <v>2046</v>
      </c>
      <c r="AC5" t="n">
        <v>2047</v>
      </c>
      <c r="AD5" t="n">
        <v>2048</v>
      </c>
      <c r="AE5" t="n">
        <v>2049</v>
      </c>
      <c r="AF5" t="n">
        <v>2050</v>
      </c>
      <c r="AG5" t="inlineStr">
        <is>
          <t>Growth (2025-2050)</t>
        </is>
      </c>
    </row>
    <row r="6">
      <c r="A6" t="inlineStr">
        <is>
          <t>ISM000:ba_GDP(billionm_</t>
        </is>
      </c>
      <c r="C6" t="inlineStr">
        <is>
          <t>Gross Domestic Product (billion 2012 dollars)</t>
        </is>
      </c>
      <c r="D6" t="inlineStr">
        <is>
          <t>Industrial Macroeconomic: Gross Domestic Product: Alternative Electricity and Transportation</t>
        </is>
      </c>
      <c r="E6" t="inlineStr">
        <is>
          <t>AEO.2026.ELECTRNP.ECI_GDP_NA_NA_NA_NA_NA_BLNY09DLR.A</t>
        </is>
      </c>
      <c r="F6" t="inlineStr">
        <is>
          <t>billion 2012 $</t>
        </is>
      </c>
      <c r="G6" t="n">
        <v>22086.083984</v>
      </c>
      <c r="H6" t="n">
        <v>22669.974609</v>
      </c>
      <c r="I6" t="n">
        <v>23095.640625</v>
      </c>
      <c r="J6" t="n">
        <v>23390.617188</v>
      </c>
      <c r="K6" t="n">
        <v>23750.759766</v>
      </c>
      <c r="L6" t="n">
        <v>24166.652344</v>
      </c>
      <c r="M6" t="n">
        <v>24572.644531</v>
      </c>
      <c r="N6" t="n">
        <v>25034.144531</v>
      </c>
      <c r="O6" t="n">
        <v>25522.300781</v>
      </c>
      <c r="P6" t="n">
        <v>26041.154297</v>
      </c>
      <c r="Q6" t="n">
        <v>26595.578125</v>
      </c>
      <c r="R6" t="n">
        <v>27063.660156</v>
      </c>
      <c r="S6" t="n">
        <v>27531.339844</v>
      </c>
      <c r="T6" t="n">
        <v>28000.277344</v>
      </c>
      <c r="U6" t="n">
        <v>28461.050781</v>
      </c>
      <c r="V6" t="n">
        <v>28925.544922</v>
      </c>
      <c r="W6" t="n">
        <v>29375.912109</v>
      </c>
      <c r="X6" t="n">
        <v>29841.964844</v>
      </c>
      <c r="Y6" t="n">
        <v>30321.671875</v>
      </c>
      <c r="Z6" t="n">
        <v>30806.214844</v>
      </c>
      <c r="AA6" t="n">
        <v>31294.171875</v>
      </c>
      <c r="AB6" t="n">
        <v>31769.9375</v>
      </c>
      <c r="AC6" t="n">
        <v>32226.466797</v>
      </c>
      <c r="AD6" t="n">
        <v>32681.023438</v>
      </c>
      <c r="AE6" t="n">
        <v>33125.082031</v>
      </c>
      <c r="AF6" t="n">
        <v>33582.949219</v>
      </c>
      <c r="AG6" t="n">
        <v>0.017</v>
      </c>
    </row>
    <row r="7">
      <c r="A7" t="inlineStr">
        <is>
          <t>ISM000:ca_NonfarmEmploy</t>
        </is>
      </c>
      <c r="C7" t="inlineStr">
        <is>
          <t>Nonfarm Employment (millions)</t>
        </is>
      </c>
      <c r="D7" t="inlineStr">
        <is>
          <t>Industrial Macroeconomic: Employment, Nonfarm: Alternative Electricity and Transportation</t>
        </is>
      </c>
      <c r="E7" t="inlineStr">
        <is>
          <t>AEO.2026.ELECTRNP.ECI_NFE_NA_NA_NA_NA_NA_MILL.A</t>
        </is>
      </c>
      <c r="F7" t="inlineStr">
        <is>
          <t>millions</t>
        </is>
      </c>
      <c r="G7" t="n">
        <v>160.340073</v>
      </c>
      <c r="H7" t="n">
        <v>161.281006</v>
      </c>
      <c r="I7" t="n">
        <v>162.170471</v>
      </c>
      <c r="J7" t="n">
        <v>162.608612</v>
      </c>
      <c r="K7" t="n">
        <v>163.086288</v>
      </c>
      <c r="L7" t="n">
        <v>163.62587</v>
      </c>
      <c r="M7" t="n">
        <v>164.116058</v>
      </c>
      <c r="N7" t="n">
        <v>164.787292</v>
      </c>
      <c r="O7" t="n">
        <v>165.462021</v>
      </c>
      <c r="P7" t="n">
        <v>166.1698</v>
      </c>
      <c r="Q7" t="n">
        <v>166.884872</v>
      </c>
      <c r="R7" t="n">
        <v>167.661987</v>
      </c>
      <c r="S7" t="n">
        <v>168.565765</v>
      </c>
      <c r="T7" t="n">
        <v>169.439774</v>
      </c>
      <c r="U7" t="n">
        <v>170.151398</v>
      </c>
      <c r="V7" t="n">
        <v>170.952469</v>
      </c>
      <c r="W7" t="n">
        <v>171.580383</v>
      </c>
      <c r="X7" t="n">
        <v>172.178421</v>
      </c>
      <c r="Y7" t="n">
        <v>172.706116</v>
      </c>
      <c r="Z7" t="n">
        <v>173.327744</v>
      </c>
      <c r="AA7" t="n">
        <v>174.001205</v>
      </c>
      <c r="AB7" t="n">
        <v>174.602432</v>
      </c>
      <c r="AC7" t="n">
        <v>175.097656</v>
      </c>
      <c r="AD7" t="n">
        <v>175.47995</v>
      </c>
      <c r="AE7" t="n">
        <v>175.778961</v>
      </c>
      <c r="AF7" t="n">
        <v>176.125061</v>
      </c>
      <c r="AG7" t="n">
        <v>0.004</v>
      </c>
    </row>
    <row r="8">
      <c r="C8" t="inlineStr">
        <is>
          <t>Value of Shipments (billion 2012 dollars)</t>
        </is>
      </c>
    </row>
    <row r="9">
      <c r="C9" t="inlineStr">
        <is>
          <t>Nonmanufacturing Sector</t>
        </is>
      </c>
    </row>
    <row r="10">
      <c r="A10" t="inlineStr">
        <is>
          <t>ISM000:ea_Agricultural</t>
        </is>
      </c>
      <c r="B10" t="inlineStr">
        <is>
          <t>,ISIC 01,</t>
        </is>
      </c>
      <c r="C10" t="inlineStr">
        <is>
          <t>Agriculture/Forestry/Fishing/Hunting</t>
        </is>
      </c>
      <c r="D10" t="inlineStr">
        <is>
          <t>Industrial Macroeconomic: Nonmanufacturing: Agriculture/Forestry/Fishing/Hunting: Alternative Electricity and Transportation</t>
        </is>
      </c>
      <c r="E10" t="inlineStr">
        <is>
          <t>AEO.2026.ELECTRNP.ECI_VOS_NMFG_AFF_NA_NA_NA_BLNY09DLR.A</t>
        </is>
      </c>
      <c r="F10" t="inlineStr">
        <is>
          <t>billion 2012 $</t>
        </is>
      </c>
      <c r="G10" t="n">
        <v>485.349976</v>
      </c>
      <c r="H10" t="n">
        <v>486.525574</v>
      </c>
      <c r="I10" t="n">
        <v>493.375366</v>
      </c>
      <c r="J10" t="n">
        <v>503.258575</v>
      </c>
      <c r="K10" t="n">
        <v>509.903961</v>
      </c>
      <c r="L10" t="n">
        <v>516.43335</v>
      </c>
      <c r="M10" t="n">
        <v>522.852539</v>
      </c>
      <c r="N10" t="n">
        <v>529.386108</v>
      </c>
      <c r="O10" t="n">
        <v>532.953369</v>
      </c>
      <c r="P10" t="n">
        <v>539.970764</v>
      </c>
      <c r="Q10" t="n">
        <v>547.718567</v>
      </c>
      <c r="R10" t="n">
        <v>555.45874</v>
      </c>
      <c r="S10" t="n">
        <v>562.9729</v>
      </c>
      <c r="T10" t="n">
        <v>570.922974</v>
      </c>
      <c r="U10" t="n">
        <v>579.125</v>
      </c>
      <c r="V10" t="n">
        <v>586.071716</v>
      </c>
      <c r="W10" t="n">
        <v>592.656189</v>
      </c>
      <c r="X10" t="n">
        <v>599.9951170000001</v>
      </c>
      <c r="Y10" t="n">
        <v>606.935852</v>
      </c>
      <c r="Z10" t="n">
        <v>614.492859</v>
      </c>
      <c r="AA10" t="n">
        <v>623.081543</v>
      </c>
      <c r="AB10" t="n">
        <v>632.104004</v>
      </c>
      <c r="AC10" t="n">
        <v>641.207092</v>
      </c>
      <c r="AD10" t="n">
        <v>650.440002</v>
      </c>
      <c r="AE10" t="n">
        <v>659.608276</v>
      </c>
      <c r="AF10" t="n">
        <v>668.854126</v>
      </c>
      <c r="AG10" t="n">
        <v>0.013</v>
      </c>
    </row>
    <row r="11">
      <c r="A11" t="inlineStr">
        <is>
          <t>ISM000:ea_Mining</t>
        </is>
      </c>
      <c r="B11" t="inlineStr">
        <is>
          <t>,ISIC 05,ISIC 06,ISIC 08,</t>
        </is>
      </c>
      <c r="C11" t="inlineStr">
        <is>
          <t>Mining</t>
        </is>
      </c>
      <c r="D11" t="inlineStr">
        <is>
          <t>Industrial Macroeconomic: Nonmanufacturing: Mining: Alternative Electricity and Transportation</t>
        </is>
      </c>
      <c r="E11" t="inlineStr">
        <is>
          <t>AEO.2026.ELECTRNP.ECI_VOS_NMFG_MING_NA_NA_NA_BLNY09DLR.A</t>
        </is>
      </c>
      <c r="F11" t="inlineStr">
        <is>
          <t>billion 2012 $</t>
        </is>
      </c>
      <c r="G11" t="n">
        <v>791.224121</v>
      </c>
      <c r="H11" t="n">
        <v>863.609741</v>
      </c>
      <c r="I11" t="n">
        <v>857.478638</v>
      </c>
      <c r="J11" t="n">
        <v>862.241821</v>
      </c>
      <c r="K11" t="n">
        <v>867.373169</v>
      </c>
      <c r="L11" t="n">
        <v>886.085205</v>
      </c>
      <c r="M11" t="n">
        <v>900.359436</v>
      </c>
      <c r="N11" t="n">
        <v>913.719971</v>
      </c>
      <c r="O11" t="n">
        <v>923.650269</v>
      </c>
      <c r="P11" t="n">
        <v>935.968262</v>
      </c>
      <c r="Q11" t="n">
        <v>939.371094</v>
      </c>
      <c r="R11" t="n">
        <v>943.469116</v>
      </c>
      <c r="S11" t="n">
        <v>948.6922</v>
      </c>
      <c r="T11" t="n">
        <v>953.503418</v>
      </c>
      <c r="U11" t="n">
        <v>959.692139</v>
      </c>
      <c r="V11" t="n">
        <v>971.0234380000001</v>
      </c>
      <c r="W11" t="n">
        <v>984.752441</v>
      </c>
      <c r="X11" t="n">
        <v>992.501953</v>
      </c>
      <c r="Y11" t="n">
        <v>1001.04248</v>
      </c>
      <c r="Z11" t="n">
        <v>1006.122925</v>
      </c>
      <c r="AA11" t="n">
        <v>1009.776611</v>
      </c>
      <c r="AB11" t="n">
        <v>1013.545105</v>
      </c>
      <c r="AC11" t="n">
        <v>1019.138367</v>
      </c>
      <c r="AD11" t="n">
        <v>1021.347168</v>
      </c>
      <c r="AE11" t="n">
        <v>1021.363525</v>
      </c>
      <c r="AF11" t="n">
        <v>1019.486755</v>
      </c>
      <c r="AG11" t="n">
        <v>0.01</v>
      </c>
    </row>
    <row r="12">
      <c r="A12" t="inlineStr">
        <is>
          <t>ISM000:ea_Construction</t>
        </is>
      </c>
      <c r="B12" t="inlineStr">
        <is>
          <t>,ISIC 41T43,</t>
        </is>
      </c>
      <c r="C12" t="inlineStr">
        <is>
          <t>Construction</t>
        </is>
      </c>
      <c r="D12" t="inlineStr">
        <is>
          <t>Industrial Macroeconomic: Nonmanufacturing: Construction: Alternative Electricity and Transportation</t>
        </is>
      </c>
      <c r="E12" t="inlineStr">
        <is>
          <t>AEO.2026.ELECTRNP.ECI_VOS_NMFG_CNS_NA_NA_NA_BLNY09DLR.A</t>
        </is>
      </c>
      <c r="F12" t="inlineStr">
        <is>
          <t>billion 2012 $</t>
        </is>
      </c>
      <c r="G12" t="n">
        <v>1526.77002</v>
      </c>
      <c r="H12" t="n">
        <v>1521.331299</v>
      </c>
      <c r="I12" t="n">
        <v>1530.459717</v>
      </c>
      <c r="J12" t="n">
        <v>1540.004761</v>
      </c>
      <c r="K12" t="n">
        <v>1565.405518</v>
      </c>
      <c r="L12" t="n">
        <v>1591.652954</v>
      </c>
      <c r="M12" t="n">
        <v>1615.953003</v>
      </c>
      <c r="N12" t="n">
        <v>1640.333496</v>
      </c>
      <c r="O12" t="n">
        <v>1660.849976</v>
      </c>
      <c r="P12" t="n">
        <v>1674.029053</v>
      </c>
      <c r="Q12" t="n">
        <v>1692.322266</v>
      </c>
      <c r="R12" t="n">
        <v>1708.327759</v>
      </c>
      <c r="S12" t="n">
        <v>1722.020752</v>
      </c>
      <c r="T12" t="n">
        <v>1733.716309</v>
      </c>
      <c r="U12" t="n">
        <v>1743.819946</v>
      </c>
      <c r="V12" t="n">
        <v>1750.116455</v>
      </c>
      <c r="W12" t="n">
        <v>1754.272217</v>
      </c>
      <c r="X12" t="n">
        <v>1764.618042</v>
      </c>
      <c r="Y12" t="n">
        <v>1772.140747</v>
      </c>
      <c r="Z12" t="n">
        <v>1781.164795</v>
      </c>
      <c r="AA12" t="n">
        <v>1798.493042</v>
      </c>
      <c r="AB12" t="n">
        <v>1816.645752</v>
      </c>
      <c r="AC12" t="n">
        <v>1833.321533</v>
      </c>
      <c r="AD12" t="n">
        <v>1850.2052</v>
      </c>
      <c r="AE12" t="n">
        <v>1869.44397</v>
      </c>
      <c r="AF12" t="n">
        <v>1891.598999</v>
      </c>
      <c r="AG12" t="n">
        <v>0.008999999999999999</v>
      </c>
    </row>
    <row r="13">
      <c r="C13" t="inlineStr">
        <is>
          <t>Manufacturing Sector</t>
        </is>
      </c>
    </row>
    <row r="14">
      <c r="A14" t="inlineStr">
        <is>
          <t>ISM000:fa_FoodandKindre</t>
        </is>
      </c>
      <c r="B14" t="inlineStr">
        <is>
          <t>,ISIC 10T12,</t>
        </is>
      </c>
      <c r="C14" t="inlineStr">
        <is>
          <t>Food Products</t>
        </is>
      </c>
      <c r="D14" t="inlineStr">
        <is>
          <t>Industrial Macroeconomic: Manufacturing: Food Products: Alternative Electricity and Transportation</t>
        </is>
      </c>
      <c r="E14" t="inlineStr">
        <is>
          <t>AEO.2026.ELECTRNP.ECI_VOS_MANF_FPA_NA_NA_NA_BLNY09DLR.A</t>
        </is>
      </c>
      <c r="F14" t="inlineStr">
        <is>
          <t>billion 2012 $</t>
        </is>
      </c>
      <c r="G14" t="n">
        <v>762.710022</v>
      </c>
      <c r="H14" t="n">
        <v>766.648804</v>
      </c>
      <c r="I14" t="n">
        <v>776.753235</v>
      </c>
      <c r="J14" t="n">
        <v>786.116455</v>
      </c>
      <c r="K14" t="n">
        <v>792.971313</v>
      </c>
      <c r="L14" t="n">
        <v>801.6843260000001</v>
      </c>
      <c r="M14" t="n">
        <v>810.9381100000001</v>
      </c>
      <c r="N14" t="n">
        <v>819.746887</v>
      </c>
      <c r="O14" t="n">
        <v>828.7248540000001</v>
      </c>
      <c r="P14" t="n">
        <v>838.038818</v>
      </c>
      <c r="Q14" t="n">
        <v>846.848877</v>
      </c>
      <c r="R14" t="n">
        <v>856.586609</v>
      </c>
      <c r="S14" t="n">
        <v>866.086487</v>
      </c>
      <c r="T14" t="n">
        <v>875.84137</v>
      </c>
      <c r="U14" t="n">
        <v>885.781311</v>
      </c>
      <c r="V14" t="n">
        <v>894.879639</v>
      </c>
      <c r="W14" t="n">
        <v>903.738525</v>
      </c>
      <c r="X14" t="n">
        <v>912.516663</v>
      </c>
      <c r="Y14" t="n">
        <v>921.0223999999999</v>
      </c>
      <c r="Z14" t="n">
        <v>929.5047</v>
      </c>
      <c r="AA14" t="n">
        <v>937.150269</v>
      </c>
      <c r="AB14" t="n">
        <v>945.1365970000001</v>
      </c>
      <c r="AC14" t="n">
        <v>953.131531</v>
      </c>
      <c r="AD14" t="n">
        <v>961.09613</v>
      </c>
      <c r="AE14" t="n">
        <v>969.418396</v>
      </c>
      <c r="AF14" t="n">
        <v>977.19104</v>
      </c>
      <c r="AG14" t="n">
        <v>0.01</v>
      </c>
    </row>
    <row r="15">
      <c r="A15" t="inlineStr">
        <is>
          <t>ISM000:fa_BeveragesandT</t>
        </is>
      </c>
      <c r="B15" t="inlineStr">
        <is>
          <t>,ISIC 10T12,</t>
        </is>
      </c>
      <c r="C15" t="inlineStr">
        <is>
          <t>Beverages and Tobacco Products</t>
        </is>
      </c>
      <c r="D15" t="inlineStr">
        <is>
          <t>Industrial Macroeconomic: Manufacturing: Beverages and Tobacco Products: Alternative Electricity and Transportation</t>
        </is>
      </c>
      <c r="E15" t="inlineStr">
        <is>
          <t>AEO.2026.ELECTRNP.ECI_VOS_MANF_BVTP_NA_NA_NA_BLNY09DLR.A</t>
        </is>
      </c>
      <c r="F15" t="inlineStr">
        <is>
          <t>billion 2012 $</t>
        </is>
      </c>
      <c r="G15" t="n">
        <v>145.139999</v>
      </c>
      <c r="H15" t="n">
        <v>143.296982</v>
      </c>
      <c r="I15" t="n">
        <v>141.078918</v>
      </c>
      <c r="J15" t="n">
        <v>139.880646</v>
      </c>
      <c r="K15" t="n">
        <v>138.8069</v>
      </c>
      <c r="L15" t="n">
        <v>137.827148</v>
      </c>
      <c r="M15" t="n">
        <v>136.892181</v>
      </c>
      <c r="N15" t="n">
        <v>136.199097</v>
      </c>
      <c r="O15" t="n">
        <v>135.471451</v>
      </c>
      <c r="P15" t="n">
        <v>134.654373</v>
      </c>
      <c r="Q15" t="n">
        <v>133.956329</v>
      </c>
      <c r="R15" t="n">
        <v>133.194199</v>
      </c>
      <c r="S15" t="n">
        <v>132.519043</v>
      </c>
      <c r="T15" t="n">
        <v>131.791122</v>
      </c>
      <c r="U15" t="n">
        <v>130.831894</v>
      </c>
      <c r="V15" t="n">
        <v>130.092133</v>
      </c>
      <c r="W15" t="n">
        <v>129.588699</v>
      </c>
      <c r="X15" t="n">
        <v>129.14653</v>
      </c>
      <c r="Y15" t="n">
        <v>128.575577</v>
      </c>
      <c r="Z15" t="n">
        <v>128.060776</v>
      </c>
      <c r="AA15" t="n">
        <v>127.763702</v>
      </c>
      <c r="AB15" t="n">
        <v>127.407951</v>
      </c>
      <c r="AC15" t="n">
        <v>126.890099</v>
      </c>
      <c r="AD15" t="n">
        <v>126.399101</v>
      </c>
      <c r="AE15" t="n">
        <v>125.874901</v>
      </c>
      <c r="AF15" t="n">
        <v>125.281326</v>
      </c>
      <c r="AG15" t="n">
        <v>-0.006</v>
      </c>
    </row>
    <row r="16">
      <c r="A16" t="inlineStr">
        <is>
          <t>ISM000:fa_TextileMillPr</t>
        </is>
      </c>
      <c r="B16" t="inlineStr">
        <is>
          <t>,ISIC 13T15,</t>
        </is>
      </c>
      <c r="C16" t="inlineStr">
        <is>
          <t>Textile Mills and Products</t>
        </is>
      </c>
      <c r="D16" t="inlineStr">
        <is>
          <t>Industrial Macroeconomic: Manufacturing: Textile Mills and Products: Alternative Electricity and Transportation</t>
        </is>
      </c>
      <c r="E16" t="inlineStr">
        <is>
          <t>AEO.2026.ELECTRNP.ECI_VOS_MANF_TMP_NA_NA_NA_BLNY09DLR.A</t>
        </is>
      </c>
      <c r="F16" t="inlineStr">
        <is>
          <t>billion 2012 $</t>
        </is>
      </c>
      <c r="G16" t="n">
        <v>58.60323</v>
      </c>
      <c r="H16" t="n">
        <v>59.344818</v>
      </c>
      <c r="I16" t="n">
        <v>60.159962</v>
      </c>
      <c r="J16" t="n">
        <v>58.416599</v>
      </c>
      <c r="K16" t="n">
        <v>56.206123</v>
      </c>
      <c r="L16" t="n">
        <v>55.21006</v>
      </c>
      <c r="M16" t="n">
        <v>54.903446</v>
      </c>
      <c r="N16" t="n">
        <v>54.746746</v>
      </c>
      <c r="O16" t="n">
        <v>54.889694</v>
      </c>
      <c r="P16" t="n">
        <v>55.283863</v>
      </c>
      <c r="Q16" t="n">
        <v>55.522114</v>
      </c>
      <c r="R16" t="n">
        <v>55.493893</v>
      </c>
      <c r="S16" t="n">
        <v>55.565697</v>
      </c>
      <c r="T16" t="n">
        <v>55.676113</v>
      </c>
      <c r="U16" t="n">
        <v>55.728962</v>
      </c>
      <c r="V16" t="n">
        <v>55.944988</v>
      </c>
      <c r="W16" t="n">
        <v>56.146873</v>
      </c>
      <c r="X16" t="n">
        <v>56.280396</v>
      </c>
      <c r="Y16" t="n">
        <v>56.407085</v>
      </c>
      <c r="Z16" t="n">
        <v>56.575737</v>
      </c>
      <c r="AA16" t="n">
        <v>56.78751</v>
      </c>
      <c r="AB16" t="n">
        <v>56.890766</v>
      </c>
      <c r="AC16" t="n">
        <v>56.785236</v>
      </c>
      <c r="AD16" t="n">
        <v>56.510384</v>
      </c>
      <c r="AE16" t="n">
        <v>56.437035</v>
      </c>
      <c r="AF16" t="n">
        <v>56.381992</v>
      </c>
      <c r="AG16" t="n">
        <v>-0.002</v>
      </c>
    </row>
    <row r="17">
      <c r="A17" t="inlineStr">
        <is>
          <t>ISM000:fa_LumberandWood</t>
        </is>
      </c>
      <c r="B17" t="inlineStr">
        <is>
          <t>,ISIC 16,</t>
        </is>
      </c>
      <c r="C17" t="inlineStr">
        <is>
          <t>Wood Products</t>
        </is>
      </c>
      <c r="D17" t="inlineStr">
        <is>
          <t>Industrial Macroeconomic: Manufacturing: Wood Products: Alternative Electricity and Transportation</t>
        </is>
      </c>
      <c r="E17" t="inlineStr">
        <is>
          <t>AEO.2026.ELECTRNP.ECI_VOS_MANF_WDP_NA_NA_NA_BLNY09DLR.A</t>
        </is>
      </c>
      <c r="F17" t="inlineStr">
        <is>
          <t>billion 2012 $</t>
        </is>
      </c>
      <c r="G17" t="n">
        <v>118.724998</v>
      </c>
      <c r="H17" t="n">
        <v>99.63253</v>
      </c>
      <c r="I17" t="n">
        <v>93.661903</v>
      </c>
      <c r="J17" t="n">
        <v>98.211769</v>
      </c>
      <c r="K17" t="n">
        <v>105.913048</v>
      </c>
      <c r="L17" t="n">
        <v>107.063103</v>
      </c>
      <c r="M17" t="n">
        <v>104.342751</v>
      </c>
      <c r="N17" t="n">
        <v>104.021378</v>
      </c>
      <c r="O17" t="n">
        <v>106.398071</v>
      </c>
      <c r="P17" t="n">
        <v>110.545998</v>
      </c>
      <c r="Q17" t="n">
        <v>113.7761</v>
      </c>
      <c r="R17" t="n">
        <v>117.102203</v>
      </c>
      <c r="S17" t="n">
        <v>119.568474</v>
      </c>
      <c r="T17" t="n">
        <v>122.233253</v>
      </c>
      <c r="U17" t="n">
        <v>124.190926</v>
      </c>
      <c r="V17" t="n">
        <v>124.834053</v>
      </c>
      <c r="W17" t="n">
        <v>122.585373</v>
      </c>
      <c r="X17" t="n">
        <v>121.283722</v>
      </c>
      <c r="Y17" t="n">
        <v>118.868103</v>
      </c>
      <c r="Z17" t="n">
        <v>117.277946</v>
      </c>
      <c r="AA17" t="n">
        <v>118.019348</v>
      </c>
      <c r="AB17" t="n">
        <v>118.727875</v>
      </c>
      <c r="AC17" t="n">
        <v>119.795547</v>
      </c>
      <c r="AD17" t="n">
        <v>120.763</v>
      </c>
      <c r="AE17" t="n">
        <v>122.421951</v>
      </c>
      <c r="AF17" t="n">
        <v>123.797501</v>
      </c>
      <c r="AG17" t="n">
        <v>0.002</v>
      </c>
    </row>
    <row r="18">
      <c r="A18" t="inlineStr">
        <is>
          <t>ISM000:fa_FurnitureandF</t>
        </is>
      </c>
      <c r="B18" t="inlineStr">
        <is>
          <t>,ISIC 31T33,</t>
        </is>
      </c>
      <c r="C18" t="inlineStr">
        <is>
          <t>Furniture and Related Products</t>
        </is>
      </c>
      <c r="D18" t="inlineStr">
        <is>
          <t>Industrial Macroeconomic: Manufacturing: Furniture and Related Products: Alternative Electricity and Transportation</t>
        </is>
      </c>
      <c r="E18" t="inlineStr">
        <is>
          <t>AEO.2026.ELECTRNP.ECI_VOS_MANF_FRP_NA_NA_NA_BLNY09DLR.A</t>
        </is>
      </c>
      <c r="F18" t="inlineStr">
        <is>
          <t>billion 2012 $</t>
        </is>
      </c>
      <c r="G18" t="n">
        <v>58.322498</v>
      </c>
      <c r="H18" t="n">
        <v>59.011951</v>
      </c>
      <c r="I18" t="n">
        <v>60.173313</v>
      </c>
      <c r="J18" t="n">
        <v>59.152695</v>
      </c>
      <c r="K18" t="n">
        <v>59.48531</v>
      </c>
      <c r="L18" t="n">
        <v>60.807999</v>
      </c>
      <c r="M18" t="n">
        <v>61.878868</v>
      </c>
      <c r="N18" t="n">
        <v>63.159161</v>
      </c>
      <c r="O18" t="n">
        <v>64.566895</v>
      </c>
      <c r="P18" t="n">
        <v>65.93828600000001</v>
      </c>
      <c r="Q18" t="n">
        <v>68.11844600000001</v>
      </c>
      <c r="R18" t="n">
        <v>69.331093</v>
      </c>
      <c r="S18" t="n">
        <v>70.475876</v>
      </c>
      <c r="T18" t="n">
        <v>72.192848</v>
      </c>
      <c r="U18" t="n">
        <v>73.15149700000001</v>
      </c>
      <c r="V18" t="n">
        <v>74.65935500000001</v>
      </c>
      <c r="W18" t="n">
        <v>76.165657</v>
      </c>
      <c r="X18" t="n">
        <v>77.67437700000001</v>
      </c>
      <c r="Y18" t="n">
        <v>79.193832</v>
      </c>
      <c r="Z18" t="n">
        <v>80.946732</v>
      </c>
      <c r="AA18" t="n">
        <v>83.448448</v>
      </c>
      <c r="AB18" t="n">
        <v>84.887985</v>
      </c>
      <c r="AC18" t="n">
        <v>86.415627</v>
      </c>
      <c r="AD18" t="n">
        <v>87.191368</v>
      </c>
      <c r="AE18" t="n">
        <v>88.336067</v>
      </c>
      <c r="AF18" t="n">
        <v>89.970726</v>
      </c>
      <c r="AG18" t="n">
        <v>0.017</v>
      </c>
    </row>
    <row r="19">
      <c r="A19" t="inlineStr">
        <is>
          <t>ISM000:fa_PaperandAllie</t>
        </is>
      </c>
      <c r="B19" t="inlineStr">
        <is>
          <t>,ISIC 17T18,</t>
        </is>
      </c>
      <c r="C19" t="inlineStr">
        <is>
          <t>Paper Products</t>
        </is>
      </c>
      <c r="D19" t="inlineStr">
        <is>
          <t>Industrial Macroeconomic: Manufacturing: Paper Products: Alternative Electricity and Transportation</t>
        </is>
      </c>
      <c r="E19" t="inlineStr">
        <is>
          <t>AEO.2026.ELECTRNP.ECI_VOS_MANF_PPM_NA_NA_NA_BLNY09DLR.A</t>
        </is>
      </c>
      <c r="F19" t="inlineStr">
        <is>
          <t>billion 2012 $</t>
        </is>
      </c>
      <c r="G19" t="n">
        <v>146.524994</v>
      </c>
      <c r="H19" t="n">
        <v>146.300095</v>
      </c>
      <c r="I19" t="n">
        <v>148.355103</v>
      </c>
      <c r="J19" t="n">
        <v>148.390045</v>
      </c>
      <c r="K19" t="n">
        <v>148.275146</v>
      </c>
      <c r="L19" t="n">
        <v>148.229797</v>
      </c>
      <c r="M19" t="n">
        <v>149.00885</v>
      </c>
      <c r="N19" t="n">
        <v>149.76033</v>
      </c>
      <c r="O19" t="n">
        <v>150.414368</v>
      </c>
      <c r="P19" t="n">
        <v>151.044525</v>
      </c>
      <c r="Q19" t="n">
        <v>151.765381</v>
      </c>
      <c r="R19" t="n">
        <v>152.443451</v>
      </c>
      <c r="S19" t="n">
        <v>152.84227</v>
      </c>
      <c r="T19" t="n">
        <v>153.868576</v>
      </c>
      <c r="U19" t="n">
        <v>155.214478</v>
      </c>
      <c r="V19" t="n">
        <v>156.889221</v>
      </c>
      <c r="W19" t="n">
        <v>158.345627</v>
      </c>
      <c r="X19" t="n">
        <v>159.918076</v>
      </c>
      <c r="Y19" t="n">
        <v>161.629044</v>
      </c>
      <c r="Z19" t="n">
        <v>163.462219</v>
      </c>
      <c r="AA19" t="n">
        <v>165.475052</v>
      </c>
      <c r="AB19" t="n">
        <v>167.213623</v>
      </c>
      <c r="AC19" t="n">
        <v>169.048172</v>
      </c>
      <c r="AD19" t="n">
        <v>170.649673</v>
      </c>
      <c r="AE19" t="n">
        <v>172.450027</v>
      </c>
      <c r="AF19" t="n">
        <v>174.190781</v>
      </c>
      <c r="AG19" t="n">
        <v>0.007</v>
      </c>
    </row>
    <row r="20">
      <c r="A20" t="inlineStr">
        <is>
          <t>ISM000:fa_PrintingandPu</t>
        </is>
      </c>
      <c r="B20" t="inlineStr">
        <is>
          <t>,ISIC 17T18,</t>
        </is>
      </c>
      <c r="C20" t="inlineStr">
        <is>
          <t>Printing</t>
        </is>
      </c>
      <c r="D20" t="inlineStr">
        <is>
          <t>Industrial Macroeconomic: Manufacturing: Printing: Alternative Electricity and Transportation</t>
        </is>
      </c>
      <c r="E20" t="inlineStr">
        <is>
          <t>AEO.2026.ELECTRNP.ECI_VOS_MANF_PRN_NA_NA_NA_BLNY09DLR.A</t>
        </is>
      </c>
      <c r="F20" t="inlineStr">
        <is>
          <t>billion 2012 $</t>
        </is>
      </c>
      <c r="G20" t="n">
        <v>64.35749800000001</v>
      </c>
      <c r="H20" t="n">
        <v>62.670582</v>
      </c>
      <c r="I20" t="n">
        <v>60.88274</v>
      </c>
      <c r="J20" t="n">
        <v>59.342823</v>
      </c>
      <c r="K20" t="n">
        <v>58.132961</v>
      </c>
      <c r="L20" t="n">
        <v>56.884991</v>
      </c>
      <c r="M20" t="n">
        <v>55.614899</v>
      </c>
      <c r="N20" t="n">
        <v>54.24551</v>
      </c>
      <c r="O20" t="n">
        <v>52.755295</v>
      </c>
      <c r="P20" t="n">
        <v>51.431721</v>
      </c>
      <c r="Q20" t="n">
        <v>50.014038</v>
      </c>
      <c r="R20" t="n">
        <v>48.692402</v>
      </c>
      <c r="S20" t="n">
        <v>47.663521</v>
      </c>
      <c r="T20" t="n">
        <v>46.690609</v>
      </c>
      <c r="U20" t="n">
        <v>46.016659</v>
      </c>
      <c r="V20" t="n">
        <v>45.447735</v>
      </c>
      <c r="W20" t="n">
        <v>44.834614</v>
      </c>
      <c r="X20" t="n">
        <v>44.365486</v>
      </c>
      <c r="Y20" t="n">
        <v>43.841122</v>
      </c>
      <c r="Z20" t="n">
        <v>43.243725</v>
      </c>
      <c r="AA20" t="n">
        <v>42.610481</v>
      </c>
      <c r="AB20" t="n">
        <v>42.079239</v>
      </c>
      <c r="AC20" t="n">
        <v>41.707779</v>
      </c>
      <c r="AD20" t="n">
        <v>41.560303</v>
      </c>
      <c r="AE20" t="n">
        <v>41.430828</v>
      </c>
      <c r="AF20" t="n">
        <v>41.002571</v>
      </c>
      <c r="AG20" t="n">
        <v>-0.018</v>
      </c>
    </row>
    <row r="21">
      <c r="A21" t="inlineStr">
        <is>
          <t>ISM000:fa_ChemicalandAl</t>
        </is>
      </c>
      <c r="B21" t="inlineStr">
        <is>
          <t>,ISIC 20,</t>
        </is>
      </c>
      <c r="C21" t="inlineStr">
        <is>
          <t>Chemical Manufacturing</t>
        </is>
      </c>
      <c r="D21" t="inlineStr">
        <is>
          <t>Industrial Macroeconomic: Manufacturing: Chemical Manufacturing: Alternative Electricity and Transportation</t>
        </is>
      </c>
      <c r="E21" t="inlineStr">
        <is>
          <t>AEO.2026.ELECTRNP.ECI_VOS_MANF_CHE_NA_NA_NA_BLNY09DLR.A</t>
        </is>
      </c>
      <c r="F21" t="inlineStr">
        <is>
          <t>billion 2012 $</t>
        </is>
      </c>
      <c r="G21" t="n">
        <v>866.14447</v>
      </c>
      <c r="H21" t="n">
        <v>854.605042</v>
      </c>
      <c r="I21" t="n">
        <v>844.643433</v>
      </c>
      <c r="J21" t="n">
        <v>841.278809</v>
      </c>
      <c r="K21" t="n">
        <v>834.162598</v>
      </c>
      <c r="L21" t="n">
        <v>833.864868</v>
      </c>
      <c r="M21" t="n">
        <v>837.7092290000001</v>
      </c>
      <c r="N21" t="n">
        <v>842.627686</v>
      </c>
      <c r="O21" t="n">
        <v>851.863525</v>
      </c>
      <c r="P21" t="n">
        <v>861.189331</v>
      </c>
      <c r="Q21" t="n">
        <v>871.220154</v>
      </c>
      <c r="R21" t="n">
        <v>881.649658</v>
      </c>
      <c r="S21" t="n">
        <v>893.154846</v>
      </c>
      <c r="T21" t="n">
        <v>904.770081</v>
      </c>
      <c r="U21" t="n">
        <v>918.347168</v>
      </c>
      <c r="V21" t="n">
        <v>932.809692</v>
      </c>
      <c r="W21" t="n">
        <v>949.002747</v>
      </c>
      <c r="X21" t="n">
        <v>967.69165</v>
      </c>
      <c r="Y21" t="n">
        <v>985.70813</v>
      </c>
      <c r="Z21" t="n">
        <v>1004.382019</v>
      </c>
      <c r="AA21" t="n">
        <v>1024.803711</v>
      </c>
      <c r="AB21" t="n">
        <v>1046.931396</v>
      </c>
      <c r="AC21" t="n">
        <v>1070.060059</v>
      </c>
      <c r="AD21" t="n">
        <v>1091.039185</v>
      </c>
      <c r="AE21" t="n">
        <v>1111.16748</v>
      </c>
      <c r="AF21" t="n">
        <v>1133.631836</v>
      </c>
      <c r="AG21" t="n">
        <v>0.011</v>
      </c>
    </row>
    <row r="22">
      <c r="A22" t="inlineStr">
        <is>
          <t>ISM000:fa_BulkChemicals</t>
        </is>
      </c>
      <c r="C22" t="inlineStr">
        <is>
          <t>Bulk Chemicals</t>
        </is>
      </c>
      <c r="D22" t="inlineStr">
        <is>
          <t>Industrial Macroeconomic: Manufacturing: Chemicals: Bulk Chemicals: Alternative Electricity and Transportation</t>
        </is>
      </c>
      <c r="E22" t="inlineStr">
        <is>
          <t>AEO.2026.ELECTRNP.ECI_VOS_MANF_BCH_NA_NA_NA_BLNY09DLR.A</t>
        </is>
      </c>
      <c r="F22" t="inlineStr">
        <is>
          <t>billion 2012 $</t>
        </is>
      </c>
      <c r="G22" t="n">
        <v>389.914459</v>
      </c>
      <c r="H22" t="n">
        <v>374.334625</v>
      </c>
      <c r="I22" t="n">
        <v>368.809448</v>
      </c>
      <c r="J22" t="n">
        <v>367.27594</v>
      </c>
      <c r="K22" t="n">
        <v>361.547424</v>
      </c>
      <c r="L22" t="n">
        <v>361.884399</v>
      </c>
      <c r="M22" t="n">
        <v>365.397369</v>
      </c>
      <c r="N22" t="n">
        <v>366.774536</v>
      </c>
      <c r="O22" t="n">
        <v>369.985901</v>
      </c>
      <c r="P22" t="n">
        <v>373.718048</v>
      </c>
      <c r="Q22" t="n">
        <v>378.386871</v>
      </c>
      <c r="R22" t="n">
        <v>383.467773</v>
      </c>
      <c r="S22" t="n">
        <v>388.052979</v>
      </c>
      <c r="T22" t="n">
        <v>392.619202</v>
      </c>
      <c r="U22" t="n">
        <v>399.434265</v>
      </c>
      <c r="V22" t="n">
        <v>406.024017</v>
      </c>
      <c r="W22" t="n">
        <v>412.861633</v>
      </c>
      <c r="X22" t="n">
        <v>420.913422</v>
      </c>
      <c r="Y22" t="n">
        <v>427.610382</v>
      </c>
      <c r="Z22" t="n">
        <v>434.302368</v>
      </c>
      <c r="AA22" t="n">
        <v>442.083435</v>
      </c>
      <c r="AB22" t="n">
        <v>450.44989</v>
      </c>
      <c r="AC22" t="n">
        <v>459.500702</v>
      </c>
      <c r="AD22" t="n">
        <v>467.66095</v>
      </c>
      <c r="AE22" t="n">
        <v>474.064636</v>
      </c>
      <c r="AF22" t="n">
        <v>482.12265</v>
      </c>
      <c r="AG22" t="n">
        <v>0.008999999999999999</v>
      </c>
    </row>
    <row r="23">
      <c r="A23" t="inlineStr">
        <is>
          <t>ISM000:fa_Inorganic</t>
        </is>
      </c>
      <c r="C23" t="inlineStr">
        <is>
          <t>Inorganic</t>
        </is>
      </c>
      <c r="D23" t="inlineStr">
        <is>
          <t>Industrial Macroeconomic: Manufacturing: Chemicals: Bulk Chemicals: Inorganic: Alternative Electricity and Transportation</t>
        </is>
      </c>
      <c r="E23" t="inlineStr">
        <is>
          <t>AEO.2026.ELECTRNP.ECI_VOS_MANF_CHEIN_NA_NA_NA_BLNY09DLR.A</t>
        </is>
      </c>
      <c r="F23" t="inlineStr">
        <is>
          <t>billion 2012 $</t>
        </is>
      </c>
      <c r="G23" t="n">
        <v>51.491623</v>
      </c>
      <c r="H23" t="n">
        <v>52.255329</v>
      </c>
      <c r="I23" t="n">
        <v>51.697498</v>
      </c>
      <c r="J23" t="n">
        <v>51.97789</v>
      </c>
      <c r="K23" t="n">
        <v>51.210506</v>
      </c>
      <c r="L23" t="n">
        <v>50.927029</v>
      </c>
      <c r="M23" t="n">
        <v>51.219692</v>
      </c>
      <c r="N23" t="n">
        <v>51.075771</v>
      </c>
      <c r="O23" t="n">
        <v>51.268539</v>
      </c>
      <c r="P23" t="n">
        <v>51.611919</v>
      </c>
      <c r="Q23" t="n">
        <v>51.78804</v>
      </c>
      <c r="R23" t="n">
        <v>51.978779</v>
      </c>
      <c r="S23" t="n">
        <v>51.913784</v>
      </c>
      <c r="T23" t="n">
        <v>51.978077</v>
      </c>
      <c r="U23" t="n">
        <v>52.200249</v>
      </c>
      <c r="V23" t="n">
        <v>52.240593</v>
      </c>
      <c r="W23" t="n">
        <v>52.3074</v>
      </c>
      <c r="X23" t="n">
        <v>52.404572</v>
      </c>
      <c r="Y23" t="n">
        <v>52.432655</v>
      </c>
      <c r="Z23" t="n">
        <v>52.335209</v>
      </c>
      <c r="AA23" t="n">
        <v>52.231144</v>
      </c>
      <c r="AB23" t="n">
        <v>52.381222</v>
      </c>
      <c r="AC23" t="n">
        <v>52.576962</v>
      </c>
      <c r="AD23" t="n">
        <v>52.698147</v>
      </c>
      <c r="AE23" t="n">
        <v>52.773537</v>
      </c>
      <c r="AF23" t="n">
        <v>52.96476</v>
      </c>
      <c r="AG23" t="n">
        <v>0.001</v>
      </c>
    </row>
    <row r="24">
      <c r="A24" t="inlineStr">
        <is>
          <t>ISM000:fa_Organic</t>
        </is>
      </c>
      <c r="C24" t="inlineStr">
        <is>
          <t>Organic</t>
        </is>
      </c>
      <c r="D24" t="inlineStr">
        <is>
          <t>Industrial Macroeconomic: Manufacturing: Chemicals: Bulk Chemicals: Organic: Alternative Electricity and Transportation</t>
        </is>
      </c>
      <c r="E24" t="inlineStr">
        <is>
          <t>AEO.2026.ELECTRNP.ECI_VOS_MANF_CHEOR_NA_NA_NA_BLNY09DLR.A</t>
        </is>
      </c>
      <c r="F24" t="inlineStr">
        <is>
          <t>billion 2012 $</t>
        </is>
      </c>
      <c r="G24" t="n">
        <v>184.63533</v>
      </c>
      <c r="H24" t="n">
        <v>169.545074</v>
      </c>
      <c r="I24" t="n">
        <v>162.997955</v>
      </c>
      <c r="J24" t="n">
        <v>163.280975</v>
      </c>
      <c r="K24" t="n">
        <v>159.475098</v>
      </c>
      <c r="L24" t="n">
        <v>158.518433</v>
      </c>
      <c r="M24" t="n">
        <v>160.615677</v>
      </c>
      <c r="N24" t="n">
        <v>162.619919</v>
      </c>
      <c r="O24" t="n">
        <v>165.466705</v>
      </c>
      <c r="P24" t="n">
        <v>168.747543</v>
      </c>
      <c r="Q24" t="n">
        <v>171.988846</v>
      </c>
      <c r="R24" t="n">
        <v>176.306595</v>
      </c>
      <c r="S24" t="n">
        <v>178.549179</v>
      </c>
      <c r="T24" t="n">
        <v>181.376526</v>
      </c>
      <c r="U24" t="n">
        <v>186.222549</v>
      </c>
      <c r="V24" t="n">
        <v>190.339157</v>
      </c>
      <c r="W24" t="n">
        <v>194.995026</v>
      </c>
      <c r="X24" t="n">
        <v>200.036819</v>
      </c>
      <c r="Y24" t="n">
        <v>205.301331</v>
      </c>
      <c r="Z24" t="n">
        <v>211.083527</v>
      </c>
      <c r="AA24" t="n">
        <v>217.316818</v>
      </c>
      <c r="AB24" t="n">
        <v>223.622421</v>
      </c>
      <c r="AC24" t="n">
        <v>229.466644</v>
      </c>
      <c r="AD24" t="n">
        <v>235.0215</v>
      </c>
      <c r="AE24" t="n">
        <v>239.404282</v>
      </c>
      <c r="AF24" t="n">
        <v>244.677795</v>
      </c>
      <c r="AG24" t="n">
        <v>0.011</v>
      </c>
    </row>
    <row r="25">
      <c r="A25" t="inlineStr">
        <is>
          <t>ISM000:fa_Resins</t>
        </is>
      </c>
      <c r="C25" t="inlineStr">
        <is>
          <t>Resin</t>
        </is>
      </c>
      <c r="D25" t="inlineStr">
        <is>
          <t xml:space="preserve"> Synthetic Rubber</t>
        </is>
      </c>
      <c r="E25" t="inlineStr">
        <is>
          <t xml:space="preserve"> and Fibers</t>
        </is>
      </c>
      <c r="F25" t="inlineStr">
        <is>
          <t>Industrial Macroeconomic: Manufacturing: Chemicals: Bulk Chemicals: Resin, Synthetic Rubber, and Fibers: Alternative Electricity and Transportation</t>
        </is>
      </c>
      <c r="G25" t="inlineStr">
        <is>
          <t>AEO.2026.ELECTRNP.ECI_VOS_MANF_CHEBR_NA_NA_NA_BLNY09DLR.A</t>
        </is>
      </c>
      <c r="H25" t="inlineStr">
        <is>
          <t>billion 2012 $</t>
        </is>
      </c>
      <c r="I25" t="n">
        <v>112.347504</v>
      </c>
      <c r="J25" t="n">
        <v>111.065125</v>
      </c>
      <c r="K25" t="n">
        <v>112.167877</v>
      </c>
      <c r="L25" t="n">
        <v>110.210426</v>
      </c>
      <c r="M25" t="n">
        <v>109.016777</v>
      </c>
      <c r="N25" t="n">
        <v>110.270576</v>
      </c>
      <c r="O25" t="n">
        <v>111.023552</v>
      </c>
      <c r="P25" t="n">
        <v>110.383377</v>
      </c>
      <c r="Q25" t="n">
        <v>110.300377</v>
      </c>
      <c r="R25" t="n">
        <v>110.13205</v>
      </c>
      <c r="S25" t="n">
        <v>110.979073</v>
      </c>
      <c r="T25" t="n">
        <v>111.196999</v>
      </c>
      <c r="U25" t="n">
        <v>113.116776</v>
      </c>
      <c r="V25" t="n">
        <v>114.378525</v>
      </c>
      <c r="W25" t="n">
        <v>115.730423</v>
      </c>
      <c r="X25" t="n">
        <v>117.687897</v>
      </c>
      <c r="Y25" t="n">
        <v>119.253349</v>
      </c>
      <c r="Z25" t="n">
        <v>121.622749</v>
      </c>
      <c r="AA25" t="n">
        <v>122.511253</v>
      </c>
      <c r="AB25" t="n">
        <v>123.042229</v>
      </c>
      <c r="AC25" t="n">
        <v>123.998947</v>
      </c>
      <c r="AD25" t="n">
        <v>125.264999</v>
      </c>
      <c r="AE25" t="n">
        <v>127.588448</v>
      </c>
      <c r="AF25" t="n">
        <v>129.466446</v>
      </c>
      <c r="AG25" t="n">
        <v>130.94455</v>
      </c>
      <c r="AH25" t="n">
        <v>132.972122</v>
      </c>
      <c r="AI25" t="n">
        <v>0.007</v>
      </c>
    </row>
    <row r="26">
      <c r="A26" t="inlineStr">
        <is>
          <t>ISM000:fa_AgriculturalC</t>
        </is>
      </c>
      <c r="C26" t="inlineStr">
        <is>
          <t>Agricultural Chemicals</t>
        </is>
      </c>
      <c r="D26" t="inlineStr">
        <is>
          <t>Industrial Macroeconomic: Manufacturing: Chemicals: Bulk Chemicals: Agricultural Chemicals: Alternative Electricity and Transportation</t>
        </is>
      </c>
      <c r="E26" t="inlineStr">
        <is>
          <t>AEO.2026.ELECTRNP.ECI_VOS_MANF_AGC_NA_NA_NA_BLNY09DLR.A</t>
        </is>
      </c>
      <c r="F26" t="inlineStr">
        <is>
          <t>billion 2012 $</t>
        </is>
      </c>
      <c r="G26" t="n">
        <v>41.439999</v>
      </c>
      <c r="H26" t="n">
        <v>41.469086</v>
      </c>
      <c r="I26" t="n">
        <v>41.946102</v>
      </c>
      <c r="J26" t="n">
        <v>41.806648</v>
      </c>
      <c r="K26" t="n">
        <v>41.845043</v>
      </c>
      <c r="L26" t="n">
        <v>42.168369</v>
      </c>
      <c r="M26" t="n">
        <v>42.538464</v>
      </c>
      <c r="N26" t="n">
        <v>42.695454</v>
      </c>
      <c r="O26" t="n">
        <v>42.950291</v>
      </c>
      <c r="P26" t="n">
        <v>43.226524</v>
      </c>
      <c r="Q26" t="n">
        <v>43.630913</v>
      </c>
      <c r="R26" t="n">
        <v>43.985401</v>
      </c>
      <c r="S26" t="n">
        <v>44.473221</v>
      </c>
      <c r="T26" t="n">
        <v>44.886093</v>
      </c>
      <c r="U26" t="n">
        <v>45.281067</v>
      </c>
      <c r="V26" t="n">
        <v>45.756378</v>
      </c>
      <c r="W26" t="n">
        <v>46.305859</v>
      </c>
      <c r="X26" t="n">
        <v>46.84927</v>
      </c>
      <c r="Y26" t="n">
        <v>47.365139</v>
      </c>
      <c r="Z26" t="n">
        <v>47.841415</v>
      </c>
      <c r="AA26" t="n">
        <v>48.536507</v>
      </c>
      <c r="AB26" t="n">
        <v>49.181259</v>
      </c>
      <c r="AC26" t="n">
        <v>49.868652</v>
      </c>
      <c r="AD26" t="n">
        <v>50.474846</v>
      </c>
      <c r="AE26" t="n">
        <v>50.942249</v>
      </c>
      <c r="AF26" t="n">
        <v>51.507961</v>
      </c>
      <c r="AG26" t="n">
        <v>0.008999999999999999</v>
      </c>
    </row>
    <row r="27">
      <c r="A27" t="inlineStr">
        <is>
          <t>ISM000:fa_OtherChemical</t>
        </is>
      </c>
      <c r="C27" t="inlineStr">
        <is>
          <t>Other Chemical Products</t>
        </is>
      </c>
      <c r="D27" t="inlineStr">
        <is>
          <t>Industrial Macroeconomic: Manufacturing: Chemicals: Other Chemical Products: Alternative Electricity and Transportation</t>
        </is>
      </c>
      <c r="E27" t="inlineStr">
        <is>
          <t>AEO.2026.ELECTRNP.ECI_VOS_MANF_CHEO_NA_NA_NA_BLNY09DLR.A</t>
        </is>
      </c>
      <c r="F27" t="inlineStr">
        <is>
          <t>billion 2012 $</t>
        </is>
      </c>
      <c r="G27" t="n">
        <v>476.230011</v>
      </c>
      <c r="H27" t="n">
        <v>480.270416</v>
      </c>
      <c r="I27" t="n">
        <v>475.834015</v>
      </c>
      <c r="J27" t="n">
        <v>474.002838</v>
      </c>
      <c r="K27" t="n">
        <v>472.615173</v>
      </c>
      <c r="L27" t="n">
        <v>471.980499</v>
      </c>
      <c r="M27" t="n">
        <v>472.31189</v>
      </c>
      <c r="N27" t="n">
        <v>475.85318</v>
      </c>
      <c r="O27" t="n">
        <v>481.877594</v>
      </c>
      <c r="P27" t="n">
        <v>487.471252</v>
      </c>
      <c r="Q27" t="n">
        <v>492.833282</v>
      </c>
      <c r="R27" t="n">
        <v>498.181854</v>
      </c>
      <c r="S27" t="n">
        <v>505.101868</v>
      </c>
      <c r="T27" t="n">
        <v>512.150879</v>
      </c>
      <c r="U27" t="n">
        <v>518.912903</v>
      </c>
      <c r="V27" t="n">
        <v>526.785706</v>
      </c>
      <c r="W27" t="n">
        <v>536.141113</v>
      </c>
      <c r="X27" t="n">
        <v>546.778198</v>
      </c>
      <c r="Y27" t="n">
        <v>558.097717</v>
      </c>
      <c r="Z27" t="n">
        <v>570.079651</v>
      </c>
      <c r="AA27" t="n">
        <v>582.720276</v>
      </c>
      <c r="AB27" t="n">
        <v>596.481506</v>
      </c>
      <c r="AC27" t="n">
        <v>610.5593260000001</v>
      </c>
      <c r="AD27" t="n">
        <v>623.378235</v>
      </c>
      <c r="AE27" t="n">
        <v>637.102844</v>
      </c>
      <c r="AF27" t="n">
        <v>651.509155</v>
      </c>
      <c r="AG27" t="n">
        <v>0.013</v>
      </c>
    </row>
    <row r="28">
      <c r="A28" t="inlineStr">
        <is>
          <t>ISM000:fa_PetroleumandC</t>
        </is>
      </c>
      <c r="C28" t="inlineStr">
        <is>
          <t>Petroleum and Coal Products</t>
        </is>
      </c>
      <c r="D28" t="inlineStr">
        <is>
          <t>Industrial Macroeconomic: Manufacturing: Petroleum and Coal Products: Alternative Electricity and Transportation</t>
        </is>
      </c>
      <c r="E28" t="inlineStr">
        <is>
          <t>AEO.2026.ELECTRNP.ECI_VOS_MANF_PCL_NA_NA_NA_BLNY09DLR.A</t>
        </is>
      </c>
      <c r="F28" t="inlineStr">
        <is>
          <t>billion 2012 $</t>
        </is>
      </c>
      <c r="G28" t="n">
        <v>812.46875</v>
      </c>
      <c r="H28" t="n">
        <v>815.599121</v>
      </c>
      <c r="I28" t="n">
        <v>814.629578</v>
      </c>
      <c r="J28" t="n">
        <v>812.4406739999999</v>
      </c>
      <c r="K28" t="n">
        <v>805.569824</v>
      </c>
      <c r="L28" t="n">
        <v>801.775452</v>
      </c>
      <c r="M28" t="n">
        <v>797.088501</v>
      </c>
      <c r="N28" t="n">
        <v>795.297058</v>
      </c>
      <c r="O28" t="n">
        <v>793.848999</v>
      </c>
      <c r="P28" t="n">
        <v>794.524231</v>
      </c>
      <c r="Q28" t="n">
        <v>795.751404</v>
      </c>
      <c r="R28" t="n">
        <v>793.120361</v>
      </c>
      <c r="S28" t="n">
        <v>787.339966</v>
      </c>
      <c r="T28" t="n">
        <v>781.713196</v>
      </c>
      <c r="U28" t="n">
        <v>778.870544</v>
      </c>
      <c r="V28" t="n">
        <v>777.977966</v>
      </c>
      <c r="W28" t="n">
        <v>779.204834</v>
      </c>
      <c r="X28" t="n">
        <v>777.897339</v>
      </c>
      <c r="Y28" t="n">
        <v>774.047607</v>
      </c>
      <c r="Z28" t="n">
        <v>769.8038330000001</v>
      </c>
      <c r="AA28" t="n">
        <v>765.906128</v>
      </c>
      <c r="AB28" t="n">
        <v>766.344543</v>
      </c>
      <c r="AC28" t="n">
        <v>767.629517</v>
      </c>
      <c r="AD28" t="n">
        <v>764.871216</v>
      </c>
      <c r="AE28" t="n">
        <v>763.110718</v>
      </c>
      <c r="AF28" t="n">
        <v>762.698486</v>
      </c>
      <c r="AG28" t="n">
        <v>-0.003</v>
      </c>
    </row>
    <row r="29">
      <c r="A29" t="inlineStr">
        <is>
          <t>ISM000:fa_PetroleumRefi</t>
        </is>
      </c>
      <c r="B29" t="inlineStr">
        <is>
          <t>,ISIC 19,</t>
        </is>
      </c>
      <c r="C29" t="inlineStr">
        <is>
          <t>Petroleum Refineries</t>
        </is>
      </c>
      <c r="D29" t="inlineStr">
        <is>
          <t>Industrial Macroeconomic: Manufacturing: Petroleum and Coal: Petroleum Refineries: Alternative Electricity and Transportation</t>
        </is>
      </c>
      <c r="E29" t="inlineStr">
        <is>
          <t>AEO.2026.ELECTRNP.ECI_VOS_MANF_REF_NA_NA_NA_BLNY09DLR.A</t>
        </is>
      </c>
      <c r="F29" t="inlineStr">
        <is>
          <t>billion 2012 $</t>
        </is>
      </c>
      <c r="G29" t="n">
        <v>774.539978</v>
      </c>
      <c r="H29" t="n">
        <v>777.5373540000001</v>
      </c>
      <c r="I29" t="n">
        <v>776.067749</v>
      </c>
      <c r="J29" t="n">
        <v>773.384399</v>
      </c>
      <c r="K29" t="n">
        <v>766.238708</v>
      </c>
      <c r="L29" t="n">
        <v>762.010864</v>
      </c>
      <c r="M29" t="n">
        <v>756.968933</v>
      </c>
      <c r="N29" t="n">
        <v>754.997803</v>
      </c>
      <c r="O29" t="n">
        <v>753.451904</v>
      </c>
      <c r="P29" t="n">
        <v>754.009399</v>
      </c>
      <c r="Q29" t="n">
        <v>755.11731</v>
      </c>
      <c r="R29" t="n">
        <v>752.423645</v>
      </c>
      <c r="S29" t="n">
        <v>746.491028</v>
      </c>
      <c r="T29" t="n">
        <v>740.768005</v>
      </c>
      <c r="U29" t="n">
        <v>737.8125</v>
      </c>
      <c r="V29" t="n">
        <v>736.7052</v>
      </c>
      <c r="W29" t="n">
        <v>737.79657</v>
      </c>
      <c r="X29" t="n">
        <v>736.509888</v>
      </c>
      <c r="Y29" t="n">
        <v>732.667786</v>
      </c>
      <c r="Z29" t="n">
        <v>728.454712</v>
      </c>
      <c r="AA29" t="n">
        <v>724.670837</v>
      </c>
      <c r="AB29" t="n">
        <v>725.172791</v>
      </c>
      <c r="AC29" t="n">
        <v>726.477966</v>
      </c>
      <c r="AD29" t="n">
        <v>723.8184199999999</v>
      </c>
      <c r="AE29" t="n">
        <v>722.17981</v>
      </c>
      <c r="AF29" t="n">
        <v>721.855103</v>
      </c>
      <c r="AG29" t="n">
        <v>-0.003</v>
      </c>
    </row>
    <row r="30">
      <c r="A30" t="inlineStr">
        <is>
          <t>ISM000:fa_OtherPetroleu</t>
        </is>
      </c>
      <c r="B30" t="inlineStr">
        <is>
          <t>,ISIC 241,</t>
        </is>
      </c>
      <c r="C30" t="inlineStr">
        <is>
          <t>Other Petroleum and Coal Products</t>
        </is>
      </c>
      <c r="D30" t="inlineStr">
        <is>
          <t>Industrial Macroeconomic: Manufacturing: Petroleum and Coal: Other Petroleum &amp; Coal Products: Alternative Electricity and Transportation</t>
        </is>
      </c>
      <c r="E30" t="inlineStr">
        <is>
          <t>AEO.2026.ELECTRNP.ECI_VOS_MANF_PCLO_NA_NA_NA_BLNY09DLR.A</t>
        </is>
      </c>
      <c r="F30" t="inlineStr">
        <is>
          <t>billion 2012 $</t>
        </is>
      </c>
      <c r="G30" t="n">
        <v>37.928802</v>
      </c>
      <c r="H30" t="n">
        <v>38.061752</v>
      </c>
      <c r="I30" t="n">
        <v>38.561806</v>
      </c>
      <c r="J30" t="n">
        <v>39.056305</v>
      </c>
      <c r="K30" t="n">
        <v>39.331112</v>
      </c>
      <c r="L30" t="n">
        <v>39.764568</v>
      </c>
      <c r="M30" t="n">
        <v>40.11956</v>
      </c>
      <c r="N30" t="n">
        <v>40.299236</v>
      </c>
      <c r="O30" t="n">
        <v>40.397125</v>
      </c>
      <c r="P30" t="n">
        <v>40.514839</v>
      </c>
      <c r="Q30" t="n">
        <v>40.634068</v>
      </c>
      <c r="R30" t="n">
        <v>40.696747</v>
      </c>
      <c r="S30" t="n">
        <v>40.848927</v>
      </c>
      <c r="T30" t="n">
        <v>40.945206</v>
      </c>
      <c r="U30" t="n">
        <v>41.058052</v>
      </c>
      <c r="V30" t="n">
        <v>41.272781</v>
      </c>
      <c r="W30" t="n">
        <v>41.408283</v>
      </c>
      <c r="X30" t="n">
        <v>41.387432</v>
      </c>
      <c r="Y30" t="n">
        <v>41.379841</v>
      </c>
      <c r="Z30" t="n">
        <v>41.349102</v>
      </c>
      <c r="AA30" t="n">
        <v>41.235302</v>
      </c>
      <c r="AB30" t="n">
        <v>41.17173</v>
      </c>
      <c r="AC30" t="n">
        <v>41.151543</v>
      </c>
      <c r="AD30" t="n">
        <v>41.052803</v>
      </c>
      <c r="AE30" t="n">
        <v>40.930908</v>
      </c>
      <c r="AF30" t="n">
        <v>40.843361</v>
      </c>
      <c r="AG30" t="n">
        <v>0.003</v>
      </c>
    </row>
    <row r="31">
      <c r="A31" t="inlineStr">
        <is>
          <t>ISM000:fa_RubberandMisc</t>
        </is>
      </c>
      <c r="B31" t="inlineStr">
        <is>
          <t>,ISIC 22,</t>
        </is>
      </c>
      <c r="C31" t="inlineStr">
        <is>
          <t>Plastics and Rubber Products</t>
        </is>
      </c>
      <c r="D31" t="inlineStr">
        <is>
          <t>Industrial Macroeconomic: Manufacturing: Plastics and Rubber Products: Alternative Electricity and Transportation</t>
        </is>
      </c>
      <c r="E31" t="inlineStr">
        <is>
          <t>AEO.2026.ELECTRNP.ECI_VOS_MANF_PRP_NA_NA_NA_BLNY09DLR.A</t>
        </is>
      </c>
      <c r="F31" t="inlineStr">
        <is>
          <t>billion 2012 $</t>
        </is>
      </c>
      <c r="G31" t="n">
        <v>216.092499</v>
      </c>
      <c r="H31" t="n">
        <v>214.823395</v>
      </c>
      <c r="I31" t="n">
        <v>219.677505</v>
      </c>
      <c r="J31" t="n">
        <v>222.330856</v>
      </c>
      <c r="K31" t="n">
        <v>223.295807</v>
      </c>
      <c r="L31" t="n">
        <v>225.648972</v>
      </c>
      <c r="M31" t="n">
        <v>228.338623</v>
      </c>
      <c r="N31" t="n">
        <v>229.98912</v>
      </c>
      <c r="O31" t="n">
        <v>231.525879</v>
      </c>
      <c r="P31" t="n">
        <v>232.555054</v>
      </c>
      <c r="Q31" t="n">
        <v>234.369232</v>
      </c>
      <c r="R31" t="n">
        <v>237.0793</v>
      </c>
      <c r="S31" t="n">
        <v>240.294846</v>
      </c>
      <c r="T31" t="n">
        <v>243.169006</v>
      </c>
      <c r="U31" t="n">
        <v>245.565353</v>
      </c>
      <c r="V31" t="n">
        <v>248.448929</v>
      </c>
      <c r="W31" t="n">
        <v>251.362656</v>
      </c>
      <c r="X31" t="n">
        <v>254.492828</v>
      </c>
      <c r="Y31" t="n">
        <v>257.412537</v>
      </c>
      <c r="Z31" t="n">
        <v>260.395477</v>
      </c>
      <c r="AA31" t="n">
        <v>263.662231</v>
      </c>
      <c r="AB31" t="n">
        <v>266.493835</v>
      </c>
      <c r="AC31" t="n">
        <v>269.102417</v>
      </c>
      <c r="AD31" t="n">
        <v>271.19577</v>
      </c>
      <c r="AE31" t="n">
        <v>274.129761</v>
      </c>
      <c r="AF31" t="n">
        <v>277.056915</v>
      </c>
      <c r="AG31" t="n">
        <v>0.01</v>
      </c>
    </row>
    <row r="32">
      <c r="A32" t="inlineStr">
        <is>
          <t>ISM000:fa_Stone,Clay,an</t>
        </is>
      </c>
      <c r="C32" t="inlineStr">
        <is>
          <t>Non-metallic minerals</t>
        </is>
      </c>
      <c r="D32" t="inlineStr">
        <is>
          <t>Industrial Macroeconomic: Manufacturing: Stone, Clay, and Glass Products: Alternative Electricity and Transportation</t>
        </is>
      </c>
      <c r="E32" t="inlineStr">
        <is>
          <t>AEO.2026.ELECTRNP.ECI_VOS_MANF_SCG_NA_NA_NA_BLNY09DLR.A</t>
        </is>
      </c>
      <c r="F32" t="inlineStr">
        <is>
          <t>billion 2012 $</t>
        </is>
      </c>
      <c r="G32" t="n">
        <v>111.717621</v>
      </c>
      <c r="H32" t="n">
        <v>110.275085</v>
      </c>
      <c r="I32" t="n">
        <v>108.786674</v>
      </c>
      <c r="J32" t="n">
        <v>108.493782</v>
      </c>
      <c r="K32" t="n">
        <v>108.214882</v>
      </c>
      <c r="L32" t="n">
        <v>108.480453</v>
      </c>
      <c r="M32" t="n">
        <v>109.168541</v>
      </c>
      <c r="N32" t="n">
        <v>109.853004</v>
      </c>
      <c r="O32" t="n">
        <v>110.825157</v>
      </c>
      <c r="P32" t="n">
        <v>111.884613</v>
      </c>
      <c r="Q32" t="n">
        <v>112.972191</v>
      </c>
      <c r="R32" t="n">
        <v>114.100296</v>
      </c>
      <c r="S32" t="n">
        <v>115.132263</v>
      </c>
      <c r="T32" t="n">
        <v>116.23027</v>
      </c>
      <c r="U32" t="n">
        <v>117.294624</v>
      </c>
      <c r="V32" t="n">
        <v>117.994339</v>
      </c>
      <c r="W32" t="n">
        <v>118.390892</v>
      </c>
      <c r="X32" t="n">
        <v>118.60862</v>
      </c>
      <c r="Y32" t="n">
        <v>118.440742</v>
      </c>
      <c r="Z32" t="n">
        <v>118.101471</v>
      </c>
      <c r="AA32" t="n">
        <v>118.495834</v>
      </c>
      <c r="AB32" t="n">
        <v>119.35685</v>
      </c>
      <c r="AC32" t="n">
        <v>120.240875</v>
      </c>
      <c r="AD32" t="n">
        <v>121.143654</v>
      </c>
      <c r="AE32" t="n">
        <v>122.017525</v>
      </c>
      <c r="AF32" t="n">
        <v>122.991974</v>
      </c>
      <c r="AG32" t="n">
        <v>0.004</v>
      </c>
    </row>
    <row r="33">
      <c r="A33" t="inlineStr">
        <is>
          <t>ISM000:fa_GlassandGlass</t>
        </is>
      </c>
      <c r="B33" t="inlineStr">
        <is>
          <t>,ISIC 231,</t>
        </is>
      </c>
      <c r="C33" t="inlineStr">
        <is>
          <t>Glass and Glass Products</t>
        </is>
      </c>
      <c r="D33" t="inlineStr">
        <is>
          <t>Industrial Macroeconomic: Manufacturing: Stone, Clay, and Glass: Glass and Glass Products: Alternative Electricity and Transportation</t>
        </is>
      </c>
      <c r="E33" t="inlineStr">
        <is>
          <t>AEO.2026.ELECTRNP.ECI_VOS_MANF_SCGG_NA_NA_NA_BLNY09DLR.A</t>
        </is>
      </c>
      <c r="F33" t="inlineStr">
        <is>
          <t>billion 2012 $</t>
        </is>
      </c>
      <c r="G33" t="n">
        <v>21.317434</v>
      </c>
      <c r="H33" t="n">
        <v>21.330378</v>
      </c>
      <c r="I33" t="n">
        <v>21.382898</v>
      </c>
      <c r="J33" t="n">
        <v>21.358</v>
      </c>
      <c r="K33" t="n">
        <v>21.324633</v>
      </c>
      <c r="L33" t="n">
        <v>21.333778</v>
      </c>
      <c r="M33" t="n">
        <v>21.370119</v>
      </c>
      <c r="N33" t="n">
        <v>21.456921</v>
      </c>
      <c r="O33" t="n">
        <v>21.599215</v>
      </c>
      <c r="P33" t="n">
        <v>21.778683</v>
      </c>
      <c r="Q33" t="n">
        <v>22.004484</v>
      </c>
      <c r="R33" t="n">
        <v>22.229578</v>
      </c>
      <c r="S33" t="n">
        <v>22.444937</v>
      </c>
      <c r="T33" t="n">
        <v>22.672058</v>
      </c>
      <c r="U33" t="n">
        <v>22.897127</v>
      </c>
      <c r="V33" t="n">
        <v>23.127674</v>
      </c>
      <c r="W33" t="n">
        <v>23.370462</v>
      </c>
      <c r="X33" t="n">
        <v>23.622248</v>
      </c>
      <c r="Y33" t="n">
        <v>23.883127</v>
      </c>
      <c r="Z33" t="n">
        <v>24.140699</v>
      </c>
      <c r="AA33" t="n">
        <v>24.406715</v>
      </c>
      <c r="AB33" t="n">
        <v>24.67695</v>
      </c>
      <c r="AC33" t="n">
        <v>24.94762</v>
      </c>
      <c r="AD33" t="n">
        <v>25.221365</v>
      </c>
      <c r="AE33" t="n">
        <v>25.484995</v>
      </c>
      <c r="AF33" t="n">
        <v>25.749542</v>
      </c>
      <c r="AG33" t="n">
        <v>0.008</v>
      </c>
    </row>
    <row r="34">
      <c r="A34" t="inlineStr">
        <is>
          <t>ISM000:fa_CementandHydr</t>
        </is>
      </c>
      <c r="B34" t="inlineStr">
        <is>
          <t>,ISIC 239,</t>
        </is>
      </c>
      <c r="C34" t="inlineStr">
        <is>
          <t>Cement and Lime</t>
        </is>
      </c>
      <c r="D34" t="inlineStr">
        <is>
          <t>Industrial Macroeconomic: Manufacturing: Stone, Clay, and Glass: Cement and Lime: Alternative Electricity and Transportation</t>
        </is>
      </c>
      <c r="E34" t="inlineStr">
        <is>
          <t>AEO.2026.ELECTRNP.ECI_VOS_MANF_SCGCL_NA_NA_NA_BLNY09DLR.A</t>
        </is>
      </c>
      <c r="F34" t="inlineStr">
        <is>
          <t>billion 2012 $</t>
        </is>
      </c>
      <c r="G34" t="n">
        <v>9.336027</v>
      </c>
      <c r="H34" t="n">
        <v>9.138749000000001</v>
      </c>
      <c r="I34" t="n">
        <v>8.976787</v>
      </c>
      <c r="J34" t="n">
        <v>8.899744</v>
      </c>
      <c r="K34" t="n">
        <v>8.858376</v>
      </c>
      <c r="L34" t="n">
        <v>8.879111</v>
      </c>
      <c r="M34" t="n">
        <v>8.939971</v>
      </c>
      <c r="N34" t="n">
        <v>9.02407</v>
      </c>
      <c r="O34" t="n">
        <v>9.135289</v>
      </c>
      <c r="P34" t="n">
        <v>9.258552999999999</v>
      </c>
      <c r="Q34" t="n">
        <v>9.389754</v>
      </c>
      <c r="R34" t="n">
        <v>9.524654</v>
      </c>
      <c r="S34" t="n">
        <v>9.657454</v>
      </c>
      <c r="T34" t="n">
        <v>9.793234</v>
      </c>
      <c r="U34" t="n">
        <v>9.925656</v>
      </c>
      <c r="V34" t="n">
        <v>10.036542</v>
      </c>
      <c r="W34" t="n">
        <v>10.121435</v>
      </c>
      <c r="X34" t="n">
        <v>10.178687</v>
      </c>
      <c r="Y34" t="n">
        <v>10.198941</v>
      </c>
      <c r="Z34" t="n">
        <v>10.195507</v>
      </c>
      <c r="AA34" t="n">
        <v>10.222628</v>
      </c>
      <c r="AB34" t="n">
        <v>10.289026</v>
      </c>
      <c r="AC34" t="n">
        <v>10.381219</v>
      </c>
      <c r="AD34" t="n">
        <v>10.489734</v>
      </c>
      <c r="AE34" t="n">
        <v>10.605895</v>
      </c>
      <c r="AF34" t="n">
        <v>10.7287</v>
      </c>
      <c r="AG34" t="n">
        <v>0.006</v>
      </c>
    </row>
    <row r="35">
      <c r="A35" t="inlineStr">
        <is>
          <t>ISM000:fa_OtherStone,Cl</t>
        </is>
      </c>
      <c r="B35" t="inlineStr">
        <is>
          <t>,ISIC 239,</t>
        </is>
      </c>
      <c r="C35" t="inlineStr">
        <is>
          <t>Other Nonmetallic Mineral Products</t>
        </is>
      </c>
      <c r="D35" t="inlineStr">
        <is>
          <t>Industrial Macroeconomic: Manufacturing: Stone, Clay, and Glass: Other Nonmetallic Mineral Products: Alternative Electricity and Transportation</t>
        </is>
      </c>
      <c r="E35" t="inlineStr">
        <is>
          <t>AEO.2026.ELECTRNP.ECI_VOS_MANF_SCGOM_NA_NA_NA_BLNY09DLR.A</t>
        </is>
      </c>
      <c r="F35" t="inlineStr">
        <is>
          <t>billion 2012 $</t>
        </is>
      </c>
      <c r="G35" t="n">
        <v>81.064156</v>
      </c>
      <c r="H35" t="n">
        <v>79.80596199999999</v>
      </c>
      <c r="I35" t="n">
        <v>78.426987</v>
      </c>
      <c r="J35" t="n">
        <v>78.23603799999999</v>
      </c>
      <c r="K35" t="n">
        <v>78.031876</v>
      </c>
      <c r="L35" t="n">
        <v>78.267563</v>
      </c>
      <c r="M35" t="n">
        <v>78.858452</v>
      </c>
      <c r="N35" t="n">
        <v>79.372017</v>
      </c>
      <c r="O35" t="n">
        <v>80.09065200000001</v>
      </c>
      <c r="P35" t="n">
        <v>80.847382</v>
      </c>
      <c r="Q35" t="n">
        <v>81.57795</v>
      </c>
      <c r="R35" t="n">
        <v>82.346069</v>
      </c>
      <c r="S35" t="n">
        <v>83.02986900000001</v>
      </c>
      <c r="T35" t="n">
        <v>83.764977</v>
      </c>
      <c r="U35" t="n">
        <v>84.47184</v>
      </c>
      <c r="V35" t="n">
        <v>84.830124</v>
      </c>
      <c r="W35" t="n">
        <v>84.898994</v>
      </c>
      <c r="X35" t="n">
        <v>84.807686</v>
      </c>
      <c r="Y35" t="n">
        <v>84.358673</v>
      </c>
      <c r="Z35" t="n">
        <v>83.765266</v>
      </c>
      <c r="AA35" t="n">
        <v>83.86648599999999</v>
      </c>
      <c r="AB35" t="n">
        <v>84.390877</v>
      </c>
      <c r="AC35" t="n">
        <v>84.91203299999999</v>
      </c>
      <c r="AD35" t="n">
        <v>85.43255600000001</v>
      </c>
      <c r="AE35" t="n">
        <v>85.926636</v>
      </c>
      <c r="AF35" t="n">
        <v>86.513733</v>
      </c>
      <c r="AG35" t="n">
        <v>0.003</v>
      </c>
    </row>
    <row r="36">
      <c r="A36" t="inlineStr">
        <is>
          <t>ISM000:ga_PrimaryMetals</t>
        </is>
      </c>
      <c r="C36" t="inlineStr">
        <is>
          <t>Primary Metals Industry</t>
        </is>
      </c>
      <c r="D36" t="inlineStr">
        <is>
          <t>Industrial Macroeconomic: Manufacturing: Primary Metals Industry: Alternative Electricity and Transportation</t>
        </is>
      </c>
      <c r="E36" t="inlineStr">
        <is>
          <t>AEO.2026.ELECTRNP.ECI_VOS_MANF_PMM_NA_NA_NA_BLNY09DLR.A</t>
        </is>
      </c>
      <c r="F36" t="inlineStr">
        <is>
          <t>billion 2012 $</t>
        </is>
      </c>
      <c r="G36" t="n">
        <v>246.755722</v>
      </c>
      <c r="H36" t="n">
        <v>250.087158</v>
      </c>
      <c r="I36" t="n">
        <v>255.740158</v>
      </c>
      <c r="J36" t="n">
        <v>255.595413</v>
      </c>
      <c r="K36" t="n">
        <v>257.121918</v>
      </c>
      <c r="L36" t="n">
        <v>260.644714</v>
      </c>
      <c r="M36" t="n">
        <v>263.586365</v>
      </c>
      <c r="N36" t="n">
        <v>267.570404</v>
      </c>
      <c r="O36" t="n">
        <v>271.298248</v>
      </c>
      <c r="P36" t="n">
        <v>273.569824</v>
      </c>
      <c r="Q36" t="n">
        <v>276.890106</v>
      </c>
      <c r="R36" t="n">
        <v>279.220032</v>
      </c>
      <c r="S36" t="n">
        <v>281.901062</v>
      </c>
      <c r="T36" t="n">
        <v>284.142548</v>
      </c>
      <c r="U36" t="n">
        <v>286.104187</v>
      </c>
      <c r="V36" t="n">
        <v>289.029602</v>
      </c>
      <c r="W36" t="n">
        <v>292.310883</v>
      </c>
      <c r="X36" t="n">
        <v>295.618896</v>
      </c>
      <c r="Y36" t="n">
        <v>298.473785</v>
      </c>
      <c r="Z36" t="n">
        <v>301.266174</v>
      </c>
      <c r="AA36" t="n">
        <v>305.139069</v>
      </c>
      <c r="AB36" t="n">
        <v>308.23111</v>
      </c>
      <c r="AC36" t="n">
        <v>311.825836</v>
      </c>
      <c r="AD36" t="n">
        <v>314.935364</v>
      </c>
      <c r="AE36" t="n">
        <v>316.969177</v>
      </c>
      <c r="AF36" t="n">
        <v>319.741119</v>
      </c>
      <c r="AG36" t="n">
        <v>0.01</v>
      </c>
    </row>
    <row r="37">
      <c r="A37" t="inlineStr">
        <is>
          <t>ISM000:ga_BlastFurnacea</t>
        </is>
      </c>
      <c r="B37" t="inlineStr">
        <is>
          <t>,ISIC 241,</t>
        </is>
      </c>
      <c r="C37" t="inlineStr">
        <is>
          <t>Iron and Steel Mills and Products</t>
        </is>
      </c>
      <c r="D37" t="inlineStr">
        <is>
          <t>Industrial Macroeconomic: Manufacturing: Primary Metals: Iron and Steel Mills and Products: Alternative Electricity and Transportation</t>
        </is>
      </c>
      <c r="E37" t="inlineStr">
        <is>
          <t>AEO.2026.ELECTRNP.ECI_VOS_MANF_ISM_NA_NA_NA_BLNY09DLR.A</t>
        </is>
      </c>
      <c r="F37" t="inlineStr">
        <is>
          <t>billion 2012 $</t>
        </is>
      </c>
      <c r="G37" t="n">
        <v>133.185272</v>
      </c>
      <c r="H37" t="n">
        <v>136.571045</v>
      </c>
      <c r="I37" t="n">
        <v>141.489243</v>
      </c>
      <c r="J37" t="n">
        <v>140.726959</v>
      </c>
      <c r="K37" t="n">
        <v>141.82077</v>
      </c>
      <c r="L37" t="n">
        <v>144.799606</v>
      </c>
      <c r="M37" t="n">
        <v>147.152618</v>
      </c>
      <c r="N37" t="n">
        <v>150.407516</v>
      </c>
      <c r="O37" t="n">
        <v>153.237595</v>
      </c>
      <c r="P37" t="n">
        <v>154.478958</v>
      </c>
      <c r="Q37" t="n">
        <v>156.598999</v>
      </c>
      <c r="R37" t="n">
        <v>157.666306</v>
      </c>
      <c r="S37" t="n">
        <v>159.091263</v>
      </c>
      <c r="T37" t="n">
        <v>160.069885</v>
      </c>
      <c r="U37" t="n">
        <v>160.77774</v>
      </c>
      <c r="V37" t="n">
        <v>162.439377</v>
      </c>
      <c r="W37" t="n">
        <v>164.433517</v>
      </c>
      <c r="X37" t="n">
        <v>166.445129</v>
      </c>
      <c r="Y37" t="n">
        <v>168.004395</v>
      </c>
      <c r="Z37" t="n">
        <v>169.520996</v>
      </c>
      <c r="AA37" t="n">
        <v>172.14064</v>
      </c>
      <c r="AB37" t="n">
        <v>174.01265</v>
      </c>
      <c r="AC37" t="n">
        <v>176.440125</v>
      </c>
      <c r="AD37" t="n">
        <v>178.451385</v>
      </c>
      <c r="AE37" t="n">
        <v>179.463089</v>
      </c>
      <c r="AF37" t="n">
        <v>181.260727</v>
      </c>
      <c r="AG37" t="n">
        <v>0.012</v>
      </c>
    </row>
    <row r="38">
      <c r="A38" t="inlineStr">
        <is>
          <t>ISM000:ga_Aluminum</t>
        </is>
      </c>
      <c r="B38" t="inlineStr">
        <is>
          <t>,ISIC 242,</t>
        </is>
      </c>
      <c r="C38" t="inlineStr">
        <is>
          <t>Alumina and Aluminum Products</t>
        </is>
      </c>
      <c r="D38" t="inlineStr">
        <is>
          <t>Industrial Macroeconomic: Manufacturing: Primary Metals: Alumina and Aluminum Products: Alternative Electricity and Transportation</t>
        </is>
      </c>
      <c r="E38" t="inlineStr">
        <is>
          <t>AEO.2026.ELECTRNP.ECI_VOS_MANF_AAP_NA_NA_NA_BLNY09DLR.A</t>
        </is>
      </c>
      <c r="F38" t="inlineStr">
        <is>
          <t>billion 2012 $</t>
        </is>
      </c>
      <c r="G38" t="n">
        <v>34.303463</v>
      </c>
      <c r="H38" t="n">
        <v>34.704796</v>
      </c>
      <c r="I38" t="n">
        <v>35.137936</v>
      </c>
      <c r="J38" t="n">
        <v>35.538319</v>
      </c>
      <c r="K38" t="n">
        <v>35.894688</v>
      </c>
      <c r="L38" t="n">
        <v>36.223057</v>
      </c>
      <c r="M38" t="n">
        <v>36.590855</v>
      </c>
      <c r="N38" t="n">
        <v>37.023113</v>
      </c>
      <c r="O38" t="n">
        <v>37.529774</v>
      </c>
      <c r="P38" t="n">
        <v>38.114296</v>
      </c>
      <c r="Q38" t="n">
        <v>38.792519</v>
      </c>
      <c r="R38" t="n">
        <v>39.503159</v>
      </c>
      <c r="S38" t="n">
        <v>40.215851</v>
      </c>
      <c r="T38" t="n">
        <v>40.931011</v>
      </c>
      <c r="U38" t="n">
        <v>41.635021</v>
      </c>
      <c r="V38" t="n">
        <v>42.331554</v>
      </c>
      <c r="W38" t="n">
        <v>43.032452</v>
      </c>
      <c r="X38" t="n">
        <v>43.73204</v>
      </c>
      <c r="Y38" t="n">
        <v>44.414871</v>
      </c>
      <c r="Z38" t="n">
        <v>45.054203</v>
      </c>
      <c r="AA38" t="n">
        <v>45.637836</v>
      </c>
      <c r="AB38" t="n">
        <v>46.167351</v>
      </c>
      <c r="AC38" t="n">
        <v>46.650509</v>
      </c>
      <c r="AD38" t="n">
        <v>47.085503</v>
      </c>
      <c r="AE38" t="n">
        <v>47.473671</v>
      </c>
      <c r="AF38" t="n">
        <v>47.835384</v>
      </c>
      <c r="AG38" t="n">
        <v>0.013</v>
      </c>
    </row>
    <row r="39">
      <c r="A39" t="inlineStr">
        <is>
          <t>ISM000:ga_OtherPrimaryM</t>
        </is>
      </c>
      <c r="B39" t="inlineStr">
        <is>
          <t>,ISIC 242,</t>
        </is>
      </c>
      <c r="C39" t="inlineStr">
        <is>
          <t>Other Primary Metal Products</t>
        </is>
      </c>
      <c r="D39" t="inlineStr">
        <is>
          <t>Industrial Macroeconomic: Manufacturing: Primary Metals: Other Primary Metal Products: Alternative Electricity and Transportation</t>
        </is>
      </c>
      <c r="E39" t="inlineStr">
        <is>
          <t>AEO.2026.ELECTRNP.ECI_VOS_MANF_PMO_NA_NA_NA_BLNY09DLR.A</t>
        </is>
      </c>
      <c r="F39" t="inlineStr">
        <is>
          <t>billion 2012 $</t>
        </is>
      </c>
      <c r="G39" t="n">
        <v>79.266983</v>
      </c>
      <c r="H39" t="n">
        <v>78.811302</v>
      </c>
      <c r="I39" t="n">
        <v>79.112976</v>
      </c>
      <c r="J39" t="n">
        <v>79.330147</v>
      </c>
      <c r="K39" t="n">
        <v>79.406471</v>
      </c>
      <c r="L39" t="n">
        <v>79.62204699999999</v>
      </c>
      <c r="M39" t="n">
        <v>79.842896</v>
      </c>
      <c r="N39" t="n">
        <v>80.139786</v>
      </c>
      <c r="O39" t="n">
        <v>80.530861</v>
      </c>
      <c r="P39" t="n">
        <v>80.976562</v>
      </c>
      <c r="Q39" t="n">
        <v>81.49857299999999</v>
      </c>
      <c r="R39" t="n">
        <v>82.050552</v>
      </c>
      <c r="S39" t="n">
        <v>82.593948</v>
      </c>
      <c r="T39" t="n">
        <v>83.14164700000001</v>
      </c>
      <c r="U39" t="n">
        <v>83.691399</v>
      </c>
      <c r="V39" t="n">
        <v>84.258675</v>
      </c>
      <c r="W39" t="n">
        <v>84.844894</v>
      </c>
      <c r="X39" t="n">
        <v>85.441742</v>
      </c>
      <c r="Y39" t="n">
        <v>86.05452</v>
      </c>
      <c r="Z39" t="n">
        <v>86.690979</v>
      </c>
      <c r="AA39" t="n">
        <v>87.36061100000001</v>
      </c>
      <c r="AB39" t="n">
        <v>88.051102</v>
      </c>
      <c r="AC39" t="n">
        <v>88.735176</v>
      </c>
      <c r="AD39" t="n">
        <v>89.398453</v>
      </c>
      <c r="AE39" t="n">
        <v>90.03241</v>
      </c>
      <c r="AF39" t="n">
        <v>90.644989</v>
      </c>
      <c r="AG39" t="n">
        <v>0.005</v>
      </c>
    </row>
    <row r="40">
      <c r="A40" t="inlineStr">
        <is>
          <t>ISM000:ga_FabricatedMet</t>
        </is>
      </c>
      <c r="B40" t="inlineStr">
        <is>
          <t>,ISIC 25,</t>
        </is>
      </c>
      <c r="C40" t="inlineStr">
        <is>
          <t>Fabricated Metal Products</t>
        </is>
      </c>
      <c r="D40" t="inlineStr">
        <is>
          <t>Industrial Macroeconomic: Manufacturing: Fabricated Metal Products: Alternative Electricity and Transportation</t>
        </is>
      </c>
      <c r="E40" t="inlineStr">
        <is>
          <t>AEO.2026.ELECTRNP.ECI_VOS_MANF_FBP_NA_NA_NA_BLNY09DLR.A</t>
        </is>
      </c>
      <c r="F40" t="inlineStr">
        <is>
          <t>billion 2012 $</t>
        </is>
      </c>
      <c r="G40" t="n">
        <v>310.267487</v>
      </c>
      <c r="H40" t="n">
        <v>316.877045</v>
      </c>
      <c r="I40" t="n">
        <v>322.389435</v>
      </c>
      <c r="J40" t="n">
        <v>319.584412</v>
      </c>
      <c r="K40" t="n">
        <v>318.392212</v>
      </c>
      <c r="L40" t="n">
        <v>318.325897</v>
      </c>
      <c r="M40" t="n">
        <v>318.722137</v>
      </c>
      <c r="N40" t="n">
        <v>321.753662</v>
      </c>
      <c r="O40" t="n">
        <v>324.085693</v>
      </c>
      <c r="P40" t="n">
        <v>328.128998</v>
      </c>
      <c r="Q40" t="n">
        <v>332.004303</v>
      </c>
      <c r="R40" t="n">
        <v>334.631134</v>
      </c>
      <c r="S40" t="n">
        <v>337.585022</v>
      </c>
      <c r="T40" t="n">
        <v>341.105255</v>
      </c>
      <c r="U40" t="n">
        <v>343.534821</v>
      </c>
      <c r="V40" t="n">
        <v>346.934143</v>
      </c>
      <c r="W40" t="n">
        <v>350.070038</v>
      </c>
      <c r="X40" t="n">
        <v>353.55838</v>
      </c>
      <c r="Y40" t="n">
        <v>357.13855</v>
      </c>
      <c r="Z40" t="n">
        <v>362.213501</v>
      </c>
      <c r="AA40" t="n">
        <v>367.135986</v>
      </c>
      <c r="AB40" t="n">
        <v>371.484283</v>
      </c>
      <c r="AC40" t="n">
        <v>373.76889</v>
      </c>
      <c r="AD40" t="n">
        <v>375.089203</v>
      </c>
      <c r="AE40" t="n">
        <v>379.121002</v>
      </c>
      <c r="AF40" t="n">
        <v>382.781158</v>
      </c>
      <c r="AG40" t="n">
        <v>0.008</v>
      </c>
    </row>
    <row r="41">
      <c r="A41" t="inlineStr">
        <is>
          <t>ISM000:ga_IndustrialMac</t>
        </is>
      </c>
      <c r="B41" t="inlineStr">
        <is>
          <t>,ISIC 28,</t>
        </is>
      </c>
      <c r="C41" t="inlineStr">
        <is>
          <t>Machinery</t>
        </is>
      </c>
      <c r="D41" t="inlineStr">
        <is>
          <t>Industrial Macroeconomic: Manufacturing: Machinery: Alternative Electricity and Transportation</t>
        </is>
      </c>
      <c r="E41" t="inlineStr">
        <is>
          <t>AEO.2026.ELECTRNP.ECI_VOS_MANF_MCHI_NA_NA_NA_BLNY09DLR.A</t>
        </is>
      </c>
      <c r="F41" t="inlineStr">
        <is>
          <t>billion 2012 $</t>
        </is>
      </c>
      <c r="G41" t="n">
        <v>305.26001</v>
      </c>
      <c r="H41" t="n">
        <v>299.013855</v>
      </c>
      <c r="I41" t="n">
        <v>306.222961</v>
      </c>
      <c r="J41" t="n">
        <v>311.988953</v>
      </c>
      <c r="K41" t="n">
        <v>318.057556</v>
      </c>
      <c r="L41" t="n">
        <v>322.155853</v>
      </c>
      <c r="M41" t="n">
        <v>328.441467</v>
      </c>
      <c r="N41" t="n">
        <v>333.775635</v>
      </c>
      <c r="O41" t="n">
        <v>334.120361</v>
      </c>
      <c r="P41" t="n">
        <v>336.719849</v>
      </c>
      <c r="Q41" t="n">
        <v>341.104828</v>
      </c>
      <c r="R41" t="n">
        <v>344.257172</v>
      </c>
      <c r="S41" t="n">
        <v>346.368835</v>
      </c>
      <c r="T41" t="n">
        <v>347.215332</v>
      </c>
      <c r="U41" t="n">
        <v>347.323059</v>
      </c>
      <c r="V41" t="n">
        <v>348.831635</v>
      </c>
      <c r="W41" t="n">
        <v>350.165375</v>
      </c>
      <c r="X41" t="n">
        <v>351.428162</v>
      </c>
      <c r="Y41" t="n">
        <v>352.080353</v>
      </c>
      <c r="Z41" t="n">
        <v>352.599304</v>
      </c>
      <c r="AA41" t="n">
        <v>353.708008</v>
      </c>
      <c r="AB41" t="n">
        <v>355.370605</v>
      </c>
      <c r="AC41" t="n">
        <v>357.263489</v>
      </c>
      <c r="AD41" t="n">
        <v>358.306305</v>
      </c>
      <c r="AE41" t="n">
        <v>358.593384</v>
      </c>
      <c r="AF41" t="n">
        <v>358.35907</v>
      </c>
      <c r="AG41" t="n">
        <v>0.006</v>
      </c>
    </row>
    <row r="42">
      <c r="A42" t="inlineStr">
        <is>
          <t>ISM000:ga_Electronicand</t>
        </is>
      </c>
      <c r="B42" t="inlineStr">
        <is>
          <t>,ISIC 26,</t>
        </is>
      </c>
      <c r="C42" t="inlineStr">
        <is>
          <t>Computers and Electronics</t>
        </is>
      </c>
      <c r="D42" t="inlineStr">
        <is>
          <t>Industrial Macroeconomic: Manufacturing: Computers and Electronics: Alternative Electricity and Transportation</t>
        </is>
      </c>
      <c r="E42" t="inlineStr">
        <is>
          <t>AEO.2026.ELECTRNP.ECI_VOS_MANF_CMPEL_NA_NA_NA_BLNY09DLR.A</t>
        </is>
      </c>
      <c r="F42" t="inlineStr">
        <is>
          <t>billion 2012 $</t>
        </is>
      </c>
      <c r="G42" t="n">
        <v>411.202515</v>
      </c>
      <c r="H42" t="n">
        <v>415.516998</v>
      </c>
      <c r="I42" t="n">
        <v>431.086823</v>
      </c>
      <c r="J42" t="n">
        <v>441.412354</v>
      </c>
      <c r="K42" t="n">
        <v>452.649292</v>
      </c>
      <c r="L42" t="n">
        <v>461.904633</v>
      </c>
      <c r="M42" t="n">
        <v>469.320007</v>
      </c>
      <c r="N42" t="n">
        <v>478.329987</v>
      </c>
      <c r="O42" t="n">
        <v>484.94519</v>
      </c>
      <c r="P42" t="n">
        <v>493.503387</v>
      </c>
      <c r="Q42" t="n">
        <v>503.609009</v>
      </c>
      <c r="R42" t="n">
        <v>513.616821</v>
      </c>
      <c r="S42" t="n">
        <v>524.408508</v>
      </c>
      <c r="T42" t="n">
        <v>535.191406</v>
      </c>
      <c r="U42" t="n">
        <v>546.870239</v>
      </c>
      <c r="V42" t="n">
        <v>559.026672</v>
      </c>
      <c r="W42" t="n">
        <v>570.980469</v>
      </c>
      <c r="X42" t="n">
        <v>583.860474</v>
      </c>
      <c r="Y42" t="n">
        <v>597.45813</v>
      </c>
      <c r="Z42" t="n">
        <v>612.4938959999999</v>
      </c>
      <c r="AA42" t="n">
        <v>628.377686</v>
      </c>
      <c r="AB42" t="n">
        <v>645.0931399999999</v>
      </c>
      <c r="AC42" t="n">
        <v>661.210693</v>
      </c>
      <c r="AD42" t="n">
        <v>677.411194</v>
      </c>
      <c r="AE42" t="n">
        <v>693.939575</v>
      </c>
      <c r="AF42" t="n">
        <v>708.702087</v>
      </c>
      <c r="AG42" t="n">
        <v>0.022</v>
      </c>
    </row>
    <row r="43">
      <c r="A43" t="inlineStr">
        <is>
          <t>ISM000:ga_Transportatio</t>
        </is>
      </c>
      <c r="B43" t="inlineStr">
        <is>
          <t>,ISIC 29,ISIC 302T309,</t>
        </is>
      </c>
      <c r="C43" t="inlineStr">
        <is>
          <t>Transportation Equipment</t>
        </is>
      </c>
      <c r="D43" t="inlineStr">
        <is>
          <t>Industrial Macroeconomic: Manufacturing: Transportation Equipment: Alternative Electricity and Transportation</t>
        </is>
      </c>
      <c r="E43" t="inlineStr">
        <is>
          <t>AEO.2026.ELECTRNP.ECI_VOS_MANF_TEQ_NA_NA_NA_BLNY09DLR.A</t>
        </is>
      </c>
      <c r="F43" t="inlineStr">
        <is>
          <t>billion 2012 $</t>
        </is>
      </c>
      <c r="G43" t="n">
        <v>1002.35498</v>
      </c>
      <c r="H43" t="n">
        <v>1005.299988</v>
      </c>
      <c r="I43" t="n">
        <v>1068.974976</v>
      </c>
      <c r="J43" t="n">
        <v>1089.931763</v>
      </c>
      <c r="K43" t="n">
        <v>1107.296997</v>
      </c>
      <c r="L43" t="n">
        <v>1125.723999</v>
      </c>
      <c r="M43" t="n">
        <v>1133.268799</v>
      </c>
      <c r="N43" t="n">
        <v>1151.268799</v>
      </c>
      <c r="O43" t="n">
        <v>1159.228271</v>
      </c>
      <c r="P43" t="n">
        <v>1162.536987</v>
      </c>
      <c r="Q43" t="n">
        <v>1167.008545</v>
      </c>
      <c r="R43" t="n">
        <v>1179.001953</v>
      </c>
      <c r="S43" t="n">
        <v>1203.256714</v>
      </c>
      <c r="T43" t="n">
        <v>1225.75769</v>
      </c>
      <c r="U43" t="n">
        <v>1248.692993</v>
      </c>
      <c r="V43" t="n">
        <v>1269.942505</v>
      </c>
      <c r="W43" t="n">
        <v>1288.689453</v>
      </c>
      <c r="X43" t="n">
        <v>1307.558716</v>
      </c>
      <c r="Y43" t="n">
        <v>1324.182495</v>
      </c>
      <c r="Z43" t="n">
        <v>1341.259521</v>
      </c>
      <c r="AA43" t="n">
        <v>1359.182983</v>
      </c>
      <c r="AB43" t="n">
        <v>1376.203247</v>
      </c>
      <c r="AC43" t="n">
        <v>1391.797729</v>
      </c>
      <c r="AD43" t="n">
        <v>1407.749756</v>
      </c>
      <c r="AE43" t="n">
        <v>1422.330811</v>
      </c>
      <c r="AF43" t="n">
        <v>1434.135742</v>
      </c>
      <c r="AG43" t="n">
        <v>0.014</v>
      </c>
    </row>
    <row r="44">
      <c r="A44" t="inlineStr">
        <is>
          <t>ISM000:ga_Instrumentsan</t>
        </is>
      </c>
      <c r="B44" t="inlineStr">
        <is>
          <t>,ISIC 27,</t>
        </is>
      </c>
      <c r="C44" t="inlineStr">
        <is>
          <t>Electrical Equipment</t>
        </is>
      </c>
      <c r="D44" t="inlineStr">
        <is>
          <t>Industrial Macroeconomic: Manufacturing: Electrical Equipment: Alternative Electricity and Transportation</t>
        </is>
      </c>
      <c r="E44" t="inlineStr">
        <is>
          <t>AEO.2026.ELECTRNP.ECI_VOS_MANF_EEQ_NA_NA_NA_BLNY09DLR.A</t>
        </is>
      </c>
      <c r="F44" t="inlineStr">
        <is>
          <t>billion 2012 $</t>
        </is>
      </c>
      <c r="G44" t="n">
        <v>118.297501</v>
      </c>
      <c r="H44" t="n">
        <v>116.738251</v>
      </c>
      <c r="I44" t="n">
        <v>116.096672</v>
      </c>
      <c r="J44" t="n">
        <v>114.278603</v>
      </c>
      <c r="K44" t="n">
        <v>113.856224</v>
      </c>
      <c r="L44" t="n">
        <v>115.909378</v>
      </c>
      <c r="M44" t="n">
        <v>117.778427</v>
      </c>
      <c r="N44" t="n">
        <v>119.758278</v>
      </c>
      <c r="O44" t="n">
        <v>120.4133</v>
      </c>
      <c r="P44" t="n">
        <v>120.946648</v>
      </c>
      <c r="Q44" t="n">
        <v>122.242722</v>
      </c>
      <c r="R44" t="n">
        <v>123.168228</v>
      </c>
      <c r="S44" t="n">
        <v>124.023949</v>
      </c>
      <c r="T44" t="n">
        <v>124.646446</v>
      </c>
      <c r="U44" t="n">
        <v>125.239227</v>
      </c>
      <c r="V44" t="n">
        <v>126.064003</v>
      </c>
      <c r="W44" t="n">
        <v>126.777603</v>
      </c>
      <c r="X44" t="n">
        <v>127.612022</v>
      </c>
      <c r="Y44" t="n">
        <v>128.323776</v>
      </c>
      <c r="Z44" t="n">
        <v>129.008896</v>
      </c>
      <c r="AA44" t="n">
        <v>129.821594</v>
      </c>
      <c r="AB44" t="n">
        <v>130.855392</v>
      </c>
      <c r="AC44" t="n">
        <v>131.880081</v>
      </c>
      <c r="AD44" t="n">
        <v>132.773621</v>
      </c>
      <c r="AE44" t="n">
        <v>133.500122</v>
      </c>
      <c r="AF44" t="n">
        <v>134.008026</v>
      </c>
      <c r="AG44" t="n">
        <v>0.005</v>
      </c>
    </row>
    <row r="45">
      <c r="A45" t="inlineStr">
        <is>
          <t>ISM000:ga_Miscellaneous</t>
        </is>
      </c>
      <c r="B45" t="inlineStr">
        <is>
          <t>,ISIC 31T33,</t>
        </is>
      </c>
      <c r="C45" t="inlineStr">
        <is>
          <t>Miscellaneous Manufacturing</t>
        </is>
      </c>
      <c r="D45" t="inlineStr">
        <is>
          <t>Industrial Macroeconomic: Manufacturing: Miscellaneous Manufacturing: Alternative Electricity and Transportation</t>
        </is>
      </c>
      <c r="E45" t="inlineStr">
        <is>
          <t>AEO.2026.ELECTRNP.ECI_VOS_MANF_MISC_NA_NA_NA_BLNY09DLR.A</t>
        </is>
      </c>
      <c r="F45" t="inlineStr">
        <is>
          <t>billion 2012 $</t>
        </is>
      </c>
      <c r="G45" t="n">
        <v>144.907501</v>
      </c>
      <c r="H45" t="n">
        <v>145.356125</v>
      </c>
      <c r="I45" t="n">
        <v>149.458694</v>
      </c>
      <c r="J45" t="n">
        <v>152.859497</v>
      </c>
      <c r="K45" t="n">
        <v>155.880325</v>
      </c>
      <c r="L45" t="n">
        <v>159.699677</v>
      </c>
      <c r="M45" t="n">
        <v>164.222504</v>
      </c>
      <c r="N45" t="n">
        <v>165.365555</v>
      </c>
      <c r="O45" t="n">
        <v>164.929428</v>
      </c>
      <c r="P45" t="n">
        <v>163.969254</v>
      </c>
      <c r="Q45" t="n">
        <v>163.580322</v>
      </c>
      <c r="R45" t="n">
        <v>164.353745</v>
      </c>
      <c r="S45" t="n">
        <v>165.490326</v>
      </c>
      <c r="T45" t="n">
        <v>166.505325</v>
      </c>
      <c r="U45" t="n">
        <v>166.727798</v>
      </c>
      <c r="V45" t="n">
        <v>167.809006</v>
      </c>
      <c r="W45" t="n">
        <v>168.991028</v>
      </c>
      <c r="X45" t="n">
        <v>169.767181</v>
      </c>
      <c r="Y45" t="n">
        <v>170.393799</v>
      </c>
      <c r="Z45" t="n">
        <v>171.006378</v>
      </c>
      <c r="AA45" t="n">
        <v>171.547394</v>
      </c>
      <c r="AB45" t="n">
        <v>172.194077</v>
      </c>
      <c r="AC45" t="n">
        <v>172.570618</v>
      </c>
      <c r="AD45" t="n">
        <v>172.609955</v>
      </c>
      <c r="AE45" t="n">
        <v>174.438751</v>
      </c>
      <c r="AF45" t="n">
        <v>173.48642</v>
      </c>
      <c r="AG45" t="n">
        <v>0.007</v>
      </c>
    </row>
    <row r="46">
      <c r="A46" t="inlineStr">
        <is>
          <t>ISM000:ha_TotalIndustri</t>
        </is>
      </c>
      <c r="C46" t="inlineStr">
        <is>
          <t>Total Industrial Value of Shipments</t>
        </is>
      </c>
      <c r="D46" t="inlineStr">
        <is>
          <t>Industrial Macroeconomic: Total Industrial Value of Shipments: Alternative Electricity and Transportation</t>
        </is>
      </c>
      <c r="E46" t="inlineStr">
        <is>
          <t>AEO.2026.ELECTRNP.ECI_VOS_IDAL_NA_NA_NA_NA_BLNY09DLR.A</t>
        </is>
      </c>
      <c r="F46" t="inlineStr">
        <is>
          <t>billion 2012 $</t>
        </is>
      </c>
      <c r="G46" t="n">
        <v>8703.197265999999</v>
      </c>
      <c r="H46" t="n">
        <v>8752.564453000001</v>
      </c>
      <c r="I46" t="n">
        <v>8860.086914</v>
      </c>
      <c r="J46" t="n">
        <v>8925.209961</v>
      </c>
      <c r="K46" t="n">
        <v>8996.970703000001</v>
      </c>
      <c r="L46" t="n">
        <v>9096.010742</v>
      </c>
      <c r="M46" t="n">
        <v>9180.387694999999</v>
      </c>
      <c r="N46" t="n">
        <v>9280.90625</v>
      </c>
      <c r="O46" t="n">
        <v>9357.758789</v>
      </c>
      <c r="P46" t="n">
        <v>9436.433594</v>
      </c>
      <c r="Q46" t="n">
        <v>9520.166992</v>
      </c>
      <c r="R46" t="n">
        <v>9604.296875</v>
      </c>
      <c r="S46" t="n">
        <v>9697.364258</v>
      </c>
      <c r="T46" t="n">
        <v>9786.883789</v>
      </c>
      <c r="U46" t="n">
        <v>9878.123046999999</v>
      </c>
      <c r="V46" t="n">
        <v>9974.826171999999</v>
      </c>
      <c r="W46" t="n">
        <v>10069.032227</v>
      </c>
      <c r="X46" t="n">
        <v>10166.395508</v>
      </c>
      <c r="Y46" t="n">
        <v>10253.317383</v>
      </c>
      <c r="Z46" t="n">
        <v>10343.382812</v>
      </c>
      <c r="AA46" t="n">
        <v>10450.386719</v>
      </c>
      <c r="AB46" t="n">
        <v>10563.197266</v>
      </c>
      <c r="AC46" t="n">
        <v>10674.791016</v>
      </c>
      <c r="AD46" t="n">
        <v>10773.288086</v>
      </c>
      <c r="AE46" t="n">
        <v>10876.103516</v>
      </c>
      <c r="AF46" t="n">
        <v>10975.348633</v>
      </c>
      <c r="AG46" t="n">
        <v>0.008999999999999999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2024-&gt;2025 output growth per code, derived LIVE from the raw sources (same machinery as the BPCiObIC workbook). Row 4 = BLS compound rate; row 5 = AEO 2025 rate (2026-edition ELECTRNP vs 2025-edition HIGHZTC base-year splice); row 6 = g2025.</t>
        </is>
      </c>
    </row>
    <row r="2">
      <c r="A2" s="1" t="inlineStr">
        <is>
          <t>f2025 (2025 GDP-fit factor — the ONE imported number; from the BPCiObIC workbook 'Rescale to Fit GDP Proj' row 5, col D. Repaste on BPCiObIC source updates.)</t>
        </is>
      </c>
      <c r="B2" t="n">
        <v>0.9150442485566026</v>
      </c>
    </row>
    <row r="3">
      <c r="A3" s="1" t="inlineStr">
        <is>
          <t>ISIC</t>
        </is>
      </c>
      <c r="B3" s="1" t="inlineStr">
        <is>
          <t>ISIC 01</t>
        </is>
      </c>
      <c r="C3" s="1" t="inlineStr">
        <is>
          <t>ISIC 02</t>
        </is>
      </c>
      <c r="D3" s="1" t="inlineStr">
        <is>
          <t>ISIC 03</t>
        </is>
      </c>
      <c r="E3" s="1" t="inlineStr">
        <is>
          <t>ISIC 05</t>
        </is>
      </c>
      <c r="F3" s="1" t="inlineStr">
        <is>
          <t>ISIC 06</t>
        </is>
      </c>
      <c r="G3" s="1" t="inlineStr">
        <is>
          <t>ISIC 07</t>
        </is>
      </c>
      <c r="H3" s="1" t="inlineStr">
        <is>
          <t>ISIC 08</t>
        </is>
      </c>
      <c r="I3" s="1" t="inlineStr">
        <is>
          <t>ISIC 09</t>
        </is>
      </c>
      <c r="J3" s="1" t="inlineStr">
        <is>
          <t>ISIC 10T12</t>
        </is>
      </c>
      <c r="K3" s="1" t="inlineStr">
        <is>
          <t>ISIC 13T15</t>
        </is>
      </c>
      <c r="L3" s="1" t="inlineStr">
        <is>
          <t>ISIC 16</t>
        </is>
      </c>
      <c r="M3" s="1" t="inlineStr">
        <is>
          <t>ISIC 17T18</t>
        </is>
      </c>
      <c r="N3" s="1" t="inlineStr">
        <is>
          <t>ISIC 19</t>
        </is>
      </c>
      <c r="O3" s="1" t="inlineStr">
        <is>
          <t>ISIC 20</t>
        </is>
      </c>
      <c r="P3" s="1" t="inlineStr">
        <is>
          <t>ISIC 21</t>
        </is>
      </c>
      <c r="Q3" s="1" t="inlineStr">
        <is>
          <t>ISIC 22</t>
        </is>
      </c>
      <c r="R3" s="1" t="inlineStr">
        <is>
          <t>ISIC 231</t>
        </is>
      </c>
      <c r="S3" s="1" t="inlineStr">
        <is>
          <t>ISIC 239</t>
        </is>
      </c>
      <c r="T3" s="1" t="inlineStr">
        <is>
          <t>ISIC 241</t>
        </is>
      </c>
      <c r="U3" s="1" t="inlineStr">
        <is>
          <t>ISIC 242</t>
        </is>
      </c>
      <c r="V3" s="1" t="inlineStr">
        <is>
          <t>ISIC 25</t>
        </is>
      </c>
      <c r="W3" s="1" t="inlineStr">
        <is>
          <t>ISIC 26</t>
        </is>
      </c>
      <c r="X3" s="1" t="inlineStr">
        <is>
          <t>ISIC 27</t>
        </is>
      </c>
      <c r="Y3" s="1" t="inlineStr">
        <is>
          <t>ISIC 28</t>
        </is>
      </c>
      <c r="Z3" s="1" t="inlineStr">
        <is>
          <t>ISIC 29</t>
        </is>
      </c>
      <c r="AA3" s="1" t="inlineStr">
        <is>
          <t>ISIC 301</t>
        </is>
      </c>
      <c r="AB3" s="1" t="inlineStr">
        <is>
          <t>ISIC 302T309</t>
        </is>
      </c>
      <c r="AC3" s="1" t="inlineStr">
        <is>
          <t>ISIC 31T33</t>
        </is>
      </c>
      <c r="AD3" s="1" t="inlineStr">
        <is>
          <t>ISIC 351</t>
        </is>
      </c>
      <c r="AE3" s="1" t="inlineStr">
        <is>
          <t>ISIC 352T353</t>
        </is>
      </c>
      <c r="AF3" s="1" t="inlineStr">
        <is>
          <t>ISIC 36T39</t>
        </is>
      </c>
      <c r="AG3" s="1" t="inlineStr">
        <is>
          <t>ISIC 41T43</t>
        </is>
      </c>
      <c r="AH3" s="1" t="inlineStr">
        <is>
          <t>ISIC 45T47</t>
        </is>
      </c>
      <c r="AI3" s="1" t="inlineStr">
        <is>
          <t>ISIC 49</t>
        </is>
      </c>
      <c r="AJ3" s="1" t="inlineStr">
        <is>
          <t>ISIC 50</t>
        </is>
      </c>
      <c r="AK3" s="1" t="inlineStr">
        <is>
          <t>ISIC 51</t>
        </is>
      </c>
      <c r="AL3" s="1" t="inlineStr">
        <is>
          <t>ISIC 52</t>
        </is>
      </c>
      <c r="AM3" s="1" t="inlineStr">
        <is>
          <t>ISIC 53</t>
        </is>
      </c>
      <c r="AN3" s="1" t="inlineStr">
        <is>
          <t>ISIC 55T56</t>
        </is>
      </c>
      <c r="AO3" s="1" t="inlineStr">
        <is>
          <t>ISIC 58T60</t>
        </is>
      </c>
      <c r="AP3" s="1" t="inlineStr">
        <is>
          <t>ISIC 61</t>
        </is>
      </c>
      <c r="AQ3" s="1" t="inlineStr">
        <is>
          <t>ISIC 62T63</t>
        </is>
      </c>
      <c r="AR3" s="1" t="inlineStr">
        <is>
          <t>ISIC 64T66</t>
        </is>
      </c>
      <c r="AS3" s="1" t="inlineStr">
        <is>
          <t>ISIC 68</t>
        </is>
      </c>
      <c r="AT3" s="1" t="inlineStr">
        <is>
          <t>ISIC 69T75</t>
        </is>
      </c>
      <c r="AU3" s="1" t="inlineStr">
        <is>
          <t>ISIC 77T82</t>
        </is>
      </c>
      <c r="AV3" s="1" t="inlineStr">
        <is>
          <t>ISIC 84</t>
        </is>
      </c>
      <c r="AW3" s="1" t="inlineStr">
        <is>
          <t>ISIC 85</t>
        </is>
      </c>
      <c r="AX3" s="1" t="inlineStr">
        <is>
          <t>ISIC 86T88</t>
        </is>
      </c>
      <c r="AY3" s="1" t="inlineStr">
        <is>
          <t>ISIC 90T93</t>
        </is>
      </c>
      <c r="AZ3" s="1" t="inlineStr">
        <is>
          <t>ISIC 94T96</t>
        </is>
      </c>
      <c r="BA3" s="1" t="inlineStr">
        <is>
          <t>ISIC 97T98</t>
        </is>
      </c>
    </row>
    <row r="4">
      <c r="A4" t="inlineStr">
        <is>
          <t>BLS compound rate</t>
        </is>
      </c>
      <c r="B4">
        <f>IFERROR(SUMPRODUCT(--('BLS Table 2.11'!$L$1:$L$426=B$3),'BLS Table 2.11'!$J$1:$J$426,'BLS Table 2.11'!$K$1:$K$426)/SUMIFS('BLS Table 2.11'!$J$1:$J$426,'BLS Table 2.11'!$L$1:$L$426,B$3)/100,0)</f>
        <v/>
      </c>
      <c r="C4">
        <f>IFERROR(SUMPRODUCT(--('BLS Table 2.11'!$L$1:$L$426=C$3),'BLS Table 2.11'!$J$1:$J$426,'BLS Table 2.11'!$K$1:$K$426)/SUMIFS('BLS Table 2.11'!$J$1:$J$426,'BLS Table 2.11'!$L$1:$L$426,C$3)/100,0)</f>
        <v/>
      </c>
      <c r="D4">
        <f>IFERROR(SUMPRODUCT(--('BLS Table 2.11'!$L$1:$L$426=D$3),'BLS Table 2.11'!$J$1:$J$426,'BLS Table 2.11'!$K$1:$K$426)/SUMIFS('BLS Table 2.11'!$J$1:$J$426,'BLS Table 2.11'!$L$1:$L$426,D$3)/100,0)</f>
        <v/>
      </c>
      <c r="E4">
        <f>IFERROR(SUMPRODUCT(--('BLS Table 2.11'!$L$1:$L$426=E$3),'BLS Table 2.11'!$J$1:$J$426,'BLS Table 2.11'!$K$1:$K$426)/SUMIFS('BLS Table 2.11'!$J$1:$J$426,'BLS Table 2.11'!$L$1:$L$426,E$3)/100,0)</f>
        <v/>
      </c>
      <c r="F4">
        <f>IFERROR(SUMPRODUCT(--('BLS Table 2.11'!$L$1:$L$426=F$3),'BLS Table 2.11'!$J$1:$J$426,'BLS Table 2.11'!$K$1:$K$426)/SUMIFS('BLS Table 2.11'!$J$1:$J$426,'BLS Table 2.11'!$L$1:$L$426,F$3)/100,0)</f>
        <v/>
      </c>
      <c r="G4">
        <f>IFERROR(SUMPRODUCT(--('BLS Table 2.11'!$L$1:$L$426=G$3),'BLS Table 2.11'!$J$1:$J$426,'BLS Table 2.11'!$K$1:$K$426)/SUMIFS('BLS Table 2.11'!$J$1:$J$426,'BLS Table 2.11'!$L$1:$L$426,G$3)/100,0)</f>
        <v/>
      </c>
      <c r="H4">
        <f>IFERROR(SUMPRODUCT(--('BLS Table 2.11'!$L$1:$L$426=H$3),'BLS Table 2.11'!$J$1:$J$426,'BLS Table 2.11'!$K$1:$K$426)/SUMIFS('BLS Table 2.11'!$J$1:$J$426,'BLS Table 2.11'!$L$1:$L$426,H$3)/100,0)</f>
        <v/>
      </c>
      <c r="I4">
        <f>IFERROR(SUMPRODUCT(--('BLS Table 2.11'!$L$1:$L$426=I$3),'BLS Table 2.11'!$J$1:$J$426,'BLS Table 2.11'!$K$1:$K$426)/SUMIFS('BLS Table 2.11'!$J$1:$J$426,'BLS Table 2.11'!$L$1:$L$426,I$3)/100,0)</f>
        <v/>
      </c>
      <c r="J4">
        <f>IFERROR(SUMPRODUCT(--('BLS Table 2.11'!$L$1:$L$426=J$3),'BLS Table 2.11'!$J$1:$J$426,'BLS Table 2.11'!$K$1:$K$426)/SUMIFS('BLS Table 2.11'!$J$1:$J$426,'BLS Table 2.11'!$L$1:$L$426,J$3)/100,0)</f>
        <v/>
      </c>
      <c r="K4">
        <f>IFERROR(SUMPRODUCT(--('BLS Table 2.11'!$L$1:$L$426=K$3),'BLS Table 2.11'!$J$1:$J$426,'BLS Table 2.11'!$K$1:$K$426)/SUMIFS('BLS Table 2.11'!$J$1:$J$426,'BLS Table 2.11'!$L$1:$L$426,K$3)/100,0)</f>
        <v/>
      </c>
      <c r="L4">
        <f>IFERROR(SUMPRODUCT(--('BLS Table 2.11'!$L$1:$L$426=L$3),'BLS Table 2.11'!$J$1:$J$426,'BLS Table 2.11'!$K$1:$K$426)/SUMIFS('BLS Table 2.11'!$J$1:$J$426,'BLS Table 2.11'!$L$1:$L$426,L$3)/100,0)</f>
        <v/>
      </c>
      <c r="M4">
        <f>IFERROR(SUMPRODUCT(--('BLS Table 2.11'!$L$1:$L$426=M$3),'BLS Table 2.11'!$J$1:$J$426,'BLS Table 2.11'!$K$1:$K$426)/SUMIFS('BLS Table 2.11'!$J$1:$J$426,'BLS Table 2.11'!$L$1:$L$426,M$3)/100,0)</f>
        <v/>
      </c>
      <c r="N4">
        <f>IFERROR(SUMPRODUCT(--('BLS Table 2.11'!$L$1:$L$426=N$3),'BLS Table 2.11'!$J$1:$J$426,'BLS Table 2.11'!$K$1:$K$426)/SUMIFS('BLS Table 2.11'!$J$1:$J$426,'BLS Table 2.11'!$L$1:$L$426,N$3)/100,0)</f>
        <v/>
      </c>
      <c r="O4">
        <f>IFERROR(SUMPRODUCT(--('BLS Table 2.11'!$L$1:$L$426=O$3),'BLS Table 2.11'!$J$1:$J$426,'BLS Table 2.11'!$K$1:$K$426)/SUMIFS('BLS Table 2.11'!$J$1:$J$426,'BLS Table 2.11'!$L$1:$L$426,O$3)/100,0)</f>
        <v/>
      </c>
      <c r="P4">
        <f>IFERROR(SUMPRODUCT(--('BLS Table 2.11'!$L$1:$L$426=P$3),'BLS Table 2.11'!$J$1:$J$426,'BLS Table 2.11'!$K$1:$K$426)/SUMIFS('BLS Table 2.11'!$J$1:$J$426,'BLS Table 2.11'!$L$1:$L$426,P$3)/100,0)</f>
        <v/>
      </c>
      <c r="Q4">
        <f>IFERROR(SUMPRODUCT(--('BLS Table 2.11'!$L$1:$L$426=Q$3),'BLS Table 2.11'!$J$1:$J$426,'BLS Table 2.11'!$K$1:$K$426)/SUMIFS('BLS Table 2.11'!$J$1:$J$426,'BLS Table 2.11'!$L$1:$L$426,Q$3)/100,0)</f>
        <v/>
      </c>
      <c r="R4">
        <f>IFERROR(SUMPRODUCT(--('BLS Table 2.11'!$L$1:$L$426=R$3),'BLS Table 2.11'!$J$1:$J$426,'BLS Table 2.11'!$K$1:$K$426)/SUMIFS('BLS Table 2.11'!$J$1:$J$426,'BLS Table 2.11'!$L$1:$L$426,R$3)/100,0)</f>
        <v/>
      </c>
      <c r="S4">
        <f>IFERROR(SUMPRODUCT(--('BLS Table 2.11'!$L$1:$L$426=S$3),'BLS Table 2.11'!$J$1:$J$426,'BLS Table 2.11'!$K$1:$K$426)/SUMIFS('BLS Table 2.11'!$J$1:$J$426,'BLS Table 2.11'!$L$1:$L$426,S$3)/100,0)</f>
        <v/>
      </c>
      <c r="T4">
        <f>IFERROR(SUMPRODUCT(--('BLS Table 2.11'!$L$1:$L$426=T$3),'BLS Table 2.11'!$J$1:$J$426,'BLS Table 2.11'!$K$1:$K$426)/SUMIFS('BLS Table 2.11'!$J$1:$J$426,'BLS Table 2.11'!$L$1:$L$426,T$3)/100,0)</f>
        <v/>
      </c>
      <c r="U4">
        <f>IFERROR(SUMPRODUCT(--('BLS Table 2.11'!$L$1:$L$426=U$3),'BLS Table 2.11'!$J$1:$J$426,'BLS Table 2.11'!$K$1:$K$426)/SUMIFS('BLS Table 2.11'!$J$1:$J$426,'BLS Table 2.11'!$L$1:$L$426,U$3)/100,0)</f>
        <v/>
      </c>
      <c r="V4">
        <f>IFERROR(SUMPRODUCT(--('BLS Table 2.11'!$L$1:$L$426=V$3),'BLS Table 2.11'!$J$1:$J$426,'BLS Table 2.11'!$K$1:$K$426)/SUMIFS('BLS Table 2.11'!$J$1:$J$426,'BLS Table 2.11'!$L$1:$L$426,V$3)/100,0)</f>
        <v/>
      </c>
      <c r="W4">
        <f>IFERROR(SUMPRODUCT(--('BLS Table 2.11'!$L$1:$L$426=W$3),'BLS Table 2.11'!$J$1:$J$426,'BLS Table 2.11'!$K$1:$K$426)/SUMIFS('BLS Table 2.11'!$J$1:$J$426,'BLS Table 2.11'!$L$1:$L$426,W$3)/100,0)</f>
        <v/>
      </c>
      <c r="X4">
        <f>IFERROR(SUMPRODUCT(--('BLS Table 2.11'!$L$1:$L$426=X$3),'BLS Table 2.11'!$J$1:$J$426,'BLS Table 2.11'!$K$1:$K$426)/SUMIFS('BLS Table 2.11'!$J$1:$J$426,'BLS Table 2.11'!$L$1:$L$426,X$3)/100,0)</f>
        <v/>
      </c>
      <c r="Y4">
        <f>IFERROR(SUMPRODUCT(--('BLS Table 2.11'!$L$1:$L$426=Y$3),'BLS Table 2.11'!$J$1:$J$426,'BLS Table 2.11'!$K$1:$K$426)/SUMIFS('BLS Table 2.11'!$J$1:$J$426,'BLS Table 2.11'!$L$1:$L$426,Y$3)/100,0)</f>
        <v/>
      </c>
      <c r="Z4">
        <f>IFERROR(SUMPRODUCT(--('BLS Table 2.11'!$L$1:$L$426=Z$3),'BLS Table 2.11'!$J$1:$J$426,'BLS Table 2.11'!$K$1:$K$426)/SUMIFS('BLS Table 2.11'!$J$1:$J$426,'BLS Table 2.11'!$L$1:$L$426,Z$3)/100,0)</f>
        <v/>
      </c>
      <c r="AA4">
        <f>IFERROR(SUMPRODUCT(--('BLS Table 2.11'!$L$1:$L$426=AA$3),'BLS Table 2.11'!$J$1:$J$426,'BLS Table 2.11'!$K$1:$K$426)/SUMIFS('BLS Table 2.11'!$J$1:$J$426,'BLS Table 2.11'!$L$1:$L$426,AA$3)/100,0)</f>
        <v/>
      </c>
      <c r="AB4">
        <f>IFERROR(SUMPRODUCT(--('BLS Table 2.11'!$L$1:$L$426=AB$3),'BLS Table 2.11'!$J$1:$J$426,'BLS Table 2.11'!$K$1:$K$426)/SUMIFS('BLS Table 2.11'!$J$1:$J$426,'BLS Table 2.11'!$L$1:$L$426,AB$3)/100,0)</f>
        <v/>
      </c>
      <c r="AC4">
        <f>IFERROR(SUMPRODUCT(--('BLS Table 2.11'!$L$1:$L$426=AC$3),'BLS Table 2.11'!$J$1:$J$426,'BLS Table 2.11'!$K$1:$K$426)/SUMIFS('BLS Table 2.11'!$J$1:$J$426,'BLS Table 2.11'!$L$1:$L$426,AC$3)/100,0)</f>
        <v/>
      </c>
      <c r="AD4">
        <f>IFERROR(SUMPRODUCT(--('BLS Table 2.11'!$L$1:$L$426=AD$3),'BLS Table 2.11'!$J$1:$J$426,'BLS Table 2.11'!$K$1:$K$426)/SUMIFS('BLS Table 2.11'!$J$1:$J$426,'BLS Table 2.11'!$L$1:$L$426,AD$3)/100,0)</f>
        <v/>
      </c>
      <c r="AE4">
        <f>IFERROR(SUMPRODUCT(--('BLS Table 2.11'!$L$1:$L$426=AE$3),'BLS Table 2.11'!$J$1:$J$426,'BLS Table 2.11'!$K$1:$K$426)/SUMIFS('BLS Table 2.11'!$J$1:$J$426,'BLS Table 2.11'!$L$1:$L$426,AE$3)/100,0)</f>
        <v/>
      </c>
      <c r="AF4">
        <f>IFERROR(SUMPRODUCT(--('BLS Table 2.11'!$L$1:$L$426=AF$3),'BLS Table 2.11'!$J$1:$J$426,'BLS Table 2.11'!$K$1:$K$426)/SUMIFS('BLS Table 2.11'!$J$1:$J$426,'BLS Table 2.11'!$L$1:$L$426,AF$3)/100,0)</f>
        <v/>
      </c>
      <c r="AG4">
        <f>IFERROR(SUMPRODUCT(--('BLS Table 2.11'!$L$1:$L$426=AG$3),'BLS Table 2.11'!$J$1:$J$426,'BLS Table 2.11'!$K$1:$K$426)/SUMIFS('BLS Table 2.11'!$J$1:$J$426,'BLS Table 2.11'!$L$1:$L$426,AG$3)/100,0)</f>
        <v/>
      </c>
      <c r="AH4">
        <f>IFERROR(SUMPRODUCT(--('BLS Table 2.11'!$L$1:$L$426=AH$3),'BLS Table 2.11'!$J$1:$J$426,'BLS Table 2.11'!$K$1:$K$426)/SUMIFS('BLS Table 2.11'!$J$1:$J$426,'BLS Table 2.11'!$L$1:$L$426,AH$3)/100,0)</f>
        <v/>
      </c>
      <c r="AI4">
        <f>IFERROR(SUMPRODUCT(--('BLS Table 2.11'!$L$1:$L$426=AI$3),'BLS Table 2.11'!$J$1:$J$426,'BLS Table 2.11'!$K$1:$K$426)/SUMIFS('BLS Table 2.11'!$J$1:$J$426,'BLS Table 2.11'!$L$1:$L$426,AI$3)/100,0)</f>
        <v/>
      </c>
      <c r="AJ4">
        <f>IFERROR(SUMPRODUCT(--('BLS Table 2.11'!$L$1:$L$426=AJ$3),'BLS Table 2.11'!$J$1:$J$426,'BLS Table 2.11'!$K$1:$K$426)/SUMIFS('BLS Table 2.11'!$J$1:$J$426,'BLS Table 2.11'!$L$1:$L$426,AJ$3)/100,0)</f>
        <v/>
      </c>
      <c r="AK4">
        <f>IFERROR(SUMPRODUCT(--('BLS Table 2.11'!$L$1:$L$426=AK$3),'BLS Table 2.11'!$J$1:$J$426,'BLS Table 2.11'!$K$1:$K$426)/SUMIFS('BLS Table 2.11'!$J$1:$J$426,'BLS Table 2.11'!$L$1:$L$426,AK$3)/100,0)</f>
        <v/>
      </c>
      <c r="AL4">
        <f>IFERROR(SUMPRODUCT(--('BLS Table 2.11'!$L$1:$L$426=AL$3),'BLS Table 2.11'!$J$1:$J$426,'BLS Table 2.11'!$K$1:$K$426)/SUMIFS('BLS Table 2.11'!$J$1:$J$426,'BLS Table 2.11'!$L$1:$L$426,AL$3)/100,0)</f>
        <v/>
      </c>
      <c r="AM4">
        <f>IFERROR(SUMPRODUCT(--('BLS Table 2.11'!$L$1:$L$426=AM$3),'BLS Table 2.11'!$J$1:$J$426,'BLS Table 2.11'!$K$1:$K$426)/SUMIFS('BLS Table 2.11'!$J$1:$J$426,'BLS Table 2.11'!$L$1:$L$426,AM$3)/100,0)</f>
        <v/>
      </c>
      <c r="AN4">
        <f>IFERROR(SUMPRODUCT(--('BLS Table 2.11'!$L$1:$L$426=AN$3),'BLS Table 2.11'!$J$1:$J$426,'BLS Table 2.11'!$K$1:$K$426)/SUMIFS('BLS Table 2.11'!$J$1:$J$426,'BLS Table 2.11'!$L$1:$L$426,AN$3)/100,0)</f>
        <v/>
      </c>
      <c r="AO4">
        <f>IFERROR(SUMPRODUCT(--('BLS Table 2.11'!$L$1:$L$426=AO$3),'BLS Table 2.11'!$J$1:$J$426,'BLS Table 2.11'!$K$1:$K$426)/SUMIFS('BLS Table 2.11'!$J$1:$J$426,'BLS Table 2.11'!$L$1:$L$426,AO$3)/100,0)</f>
        <v/>
      </c>
      <c r="AP4">
        <f>IFERROR(SUMPRODUCT(--('BLS Table 2.11'!$L$1:$L$426=AP$3),'BLS Table 2.11'!$J$1:$J$426,'BLS Table 2.11'!$K$1:$K$426)/SUMIFS('BLS Table 2.11'!$J$1:$J$426,'BLS Table 2.11'!$L$1:$L$426,AP$3)/100,0)</f>
        <v/>
      </c>
      <c r="AQ4">
        <f>IFERROR(SUMPRODUCT(--('BLS Table 2.11'!$L$1:$L$426=AQ$3),'BLS Table 2.11'!$J$1:$J$426,'BLS Table 2.11'!$K$1:$K$426)/SUMIFS('BLS Table 2.11'!$J$1:$J$426,'BLS Table 2.11'!$L$1:$L$426,AQ$3)/100,0)</f>
        <v/>
      </c>
      <c r="AR4">
        <f>IFERROR(SUMPRODUCT(--('BLS Table 2.11'!$L$1:$L$426=AR$3),'BLS Table 2.11'!$J$1:$J$426,'BLS Table 2.11'!$K$1:$K$426)/SUMIFS('BLS Table 2.11'!$J$1:$J$426,'BLS Table 2.11'!$L$1:$L$426,AR$3)/100,0)</f>
        <v/>
      </c>
      <c r="AS4">
        <f>IFERROR(SUMPRODUCT(--('BLS Table 2.11'!$L$1:$L$426=AS$3),'BLS Table 2.11'!$J$1:$J$426,'BLS Table 2.11'!$K$1:$K$426)/SUMIFS('BLS Table 2.11'!$J$1:$J$426,'BLS Table 2.11'!$L$1:$L$426,AS$3)/100,0)</f>
        <v/>
      </c>
      <c r="AT4">
        <f>IFERROR(SUMPRODUCT(--('BLS Table 2.11'!$L$1:$L$426=AT$3),'BLS Table 2.11'!$J$1:$J$426,'BLS Table 2.11'!$K$1:$K$426)/SUMIFS('BLS Table 2.11'!$J$1:$J$426,'BLS Table 2.11'!$L$1:$L$426,AT$3)/100,0)</f>
        <v/>
      </c>
      <c r="AU4">
        <f>IFERROR(SUMPRODUCT(--('BLS Table 2.11'!$L$1:$L$426=AU$3),'BLS Table 2.11'!$J$1:$J$426,'BLS Table 2.11'!$K$1:$K$426)/SUMIFS('BLS Table 2.11'!$J$1:$J$426,'BLS Table 2.11'!$L$1:$L$426,AU$3)/100,0)</f>
        <v/>
      </c>
      <c r="AV4">
        <f>IFERROR(SUMPRODUCT(--('BLS Table 2.11'!$L$1:$L$426=AV$3),'BLS Table 2.11'!$J$1:$J$426,'BLS Table 2.11'!$K$1:$K$426)/SUMIFS('BLS Table 2.11'!$J$1:$J$426,'BLS Table 2.11'!$L$1:$L$426,AV$3)/100,0)</f>
        <v/>
      </c>
      <c r="AW4">
        <f>IFERROR(SUMPRODUCT(--('BLS Table 2.11'!$L$1:$L$426=AW$3),'BLS Table 2.11'!$J$1:$J$426,'BLS Table 2.11'!$K$1:$K$426)/SUMIFS('BLS Table 2.11'!$J$1:$J$426,'BLS Table 2.11'!$L$1:$L$426,AW$3)/100,0)</f>
        <v/>
      </c>
      <c r="AX4">
        <f>IFERROR(SUMPRODUCT(--('BLS Table 2.11'!$L$1:$L$426=AX$3),'BLS Table 2.11'!$J$1:$J$426,'BLS Table 2.11'!$K$1:$K$426)/SUMIFS('BLS Table 2.11'!$J$1:$J$426,'BLS Table 2.11'!$L$1:$L$426,AX$3)/100,0)</f>
        <v/>
      </c>
      <c r="AY4">
        <f>IFERROR(SUMPRODUCT(--('BLS Table 2.11'!$L$1:$L$426=AY$3),'BLS Table 2.11'!$J$1:$J$426,'BLS Table 2.11'!$K$1:$K$426)/SUMIFS('BLS Table 2.11'!$J$1:$J$426,'BLS Table 2.11'!$L$1:$L$426,AY$3)/100,0)</f>
        <v/>
      </c>
      <c r="AZ4">
        <f>IFERROR(SUMPRODUCT(--('BLS Table 2.11'!$L$1:$L$426=AZ$3),'BLS Table 2.11'!$J$1:$J$426,'BLS Table 2.11'!$K$1:$K$426)/SUMIFS('BLS Table 2.11'!$J$1:$J$426,'BLS Table 2.11'!$L$1:$L$426,AZ$3)/100,0)</f>
        <v/>
      </c>
      <c r="BA4">
        <f>IFERROR(SUMPRODUCT(--('BLS Table 2.11'!$L$1:$L$426=BA$3),'BLS Table 2.11'!$J$1:$J$426,'BLS Table 2.11'!$K$1:$K$426)/SUMIFS('BLS Table 2.11'!$J$1:$J$426,'BLS Table 2.11'!$L$1:$L$426,BA$3)/100,0)</f>
        <v/>
      </c>
    </row>
    <row r="5">
      <c r="A5" t="inlineStr">
        <is>
          <t>AEO 2025 rate</t>
        </is>
      </c>
      <c r="B5">
        <f>IFERROR((SUMIFS('AEO 2026 Table 23 '!G:G,'AEO 2026 Table 23 '!$B:$B,"*,"&amp;B$3&amp;",*")-SUMIFS('AEO25 Table 23'!H:H,'AEO25 Table 23'!$B:$B,"*,"&amp;B$3&amp;",*"))/SUMIFS('AEO25 Table 23'!H:H,'AEO25 Table 23'!$B:$B,"*,"&amp;B$3&amp;",*"),"")</f>
        <v/>
      </c>
      <c r="C5">
        <f>IFERROR((SUMIFS('AEO 2026 Table 23 '!G:G,'AEO 2026 Table 23 '!$B:$B,"*,"&amp;C$3&amp;",*")-SUMIFS('AEO25 Table 23'!H:H,'AEO25 Table 23'!$B:$B,"*,"&amp;C$3&amp;",*"))/SUMIFS('AEO25 Table 23'!H:H,'AEO25 Table 23'!$B:$B,"*,"&amp;C$3&amp;",*"),"")</f>
        <v/>
      </c>
      <c r="D5">
        <f>IFERROR((SUMIFS('AEO 2026 Table 23 '!G:G,'AEO 2026 Table 23 '!$B:$B,"*,"&amp;D$3&amp;",*")-SUMIFS('AEO25 Table 23'!H:H,'AEO25 Table 23'!$B:$B,"*,"&amp;D$3&amp;",*"))/SUMIFS('AEO25 Table 23'!H:H,'AEO25 Table 23'!$B:$B,"*,"&amp;D$3&amp;",*"),"")</f>
        <v/>
      </c>
      <c r="E5">
        <f>IFERROR((SUMIFS('AEO 2026 Table 23 '!G:G,'AEO 2026 Table 23 '!$B:$B,"*,"&amp;E$3&amp;",*")-SUMIFS('AEO25 Table 23'!H:H,'AEO25 Table 23'!$B:$B,"*,"&amp;E$3&amp;",*"))/SUMIFS('AEO25 Table 23'!H:H,'AEO25 Table 23'!$B:$B,"*,"&amp;E$3&amp;",*"),"")</f>
        <v/>
      </c>
      <c r="F5">
        <f>IFERROR((SUMIFS('AEO 2026 Table 23 '!G:G,'AEO 2026 Table 23 '!$B:$B,"*,"&amp;F$3&amp;",*")-SUMIFS('AEO25 Table 23'!H:H,'AEO25 Table 23'!$B:$B,"*,"&amp;F$3&amp;",*"))/SUMIFS('AEO25 Table 23'!H:H,'AEO25 Table 23'!$B:$B,"*,"&amp;F$3&amp;",*"),"")</f>
        <v/>
      </c>
      <c r="G5">
        <f>IFERROR((SUMIFS('AEO 2026 Table 23 '!G:G,'AEO 2026 Table 23 '!$B:$B,"*,"&amp;G$3&amp;",*")-SUMIFS('AEO25 Table 23'!H:H,'AEO25 Table 23'!$B:$B,"*,"&amp;G$3&amp;",*"))/SUMIFS('AEO25 Table 23'!H:H,'AEO25 Table 23'!$B:$B,"*,"&amp;G$3&amp;",*"),"")</f>
        <v/>
      </c>
      <c r="H5">
        <f>IFERROR((SUMIFS('AEO 2026 Table 23 '!G:G,'AEO 2026 Table 23 '!$B:$B,"*,"&amp;H$3&amp;",*")-SUMIFS('AEO25 Table 23'!H:H,'AEO25 Table 23'!$B:$B,"*,"&amp;H$3&amp;",*"))/SUMIFS('AEO25 Table 23'!H:H,'AEO25 Table 23'!$B:$B,"*,"&amp;H$3&amp;",*"),"")</f>
        <v/>
      </c>
      <c r="I5">
        <f>IFERROR((SUMIFS('AEO 2026 Table 23 '!G:G,'AEO 2026 Table 23 '!$B:$B,"*,"&amp;I$3&amp;",*")-SUMIFS('AEO25 Table 23'!H:H,'AEO25 Table 23'!$B:$B,"*,"&amp;I$3&amp;",*"))/SUMIFS('AEO25 Table 23'!H:H,'AEO25 Table 23'!$B:$B,"*,"&amp;I$3&amp;",*"),"")</f>
        <v/>
      </c>
      <c r="J5">
        <f>IFERROR((SUMIFS('AEO 2026 Table 23 '!G:G,'AEO 2026 Table 23 '!$B:$B,"*,"&amp;J$3&amp;",*")-SUMIFS('AEO25 Table 23'!H:H,'AEO25 Table 23'!$B:$B,"*,"&amp;J$3&amp;",*"))/SUMIFS('AEO25 Table 23'!H:H,'AEO25 Table 23'!$B:$B,"*,"&amp;J$3&amp;",*"),"")</f>
        <v/>
      </c>
      <c r="K5">
        <f>IFERROR((SUMIFS('AEO 2026 Table 23 '!G:G,'AEO 2026 Table 23 '!$B:$B,"*,"&amp;K$3&amp;",*")-SUMIFS('AEO25 Table 23'!H:H,'AEO25 Table 23'!$B:$B,"*,"&amp;K$3&amp;",*"))/SUMIFS('AEO25 Table 23'!H:H,'AEO25 Table 23'!$B:$B,"*,"&amp;K$3&amp;",*"),"")</f>
        <v/>
      </c>
      <c r="L5">
        <f>IFERROR((SUMIFS('AEO 2026 Table 23 '!G:G,'AEO 2026 Table 23 '!$B:$B,"*,"&amp;L$3&amp;",*")-SUMIFS('AEO25 Table 23'!H:H,'AEO25 Table 23'!$B:$B,"*,"&amp;L$3&amp;",*"))/SUMIFS('AEO25 Table 23'!H:H,'AEO25 Table 23'!$B:$B,"*,"&amp;L$3&amp;",*"),"")</f>
        <v/>
      </c>
      <c r="M5">
        <f>IFERROR((SUMIFS('AEO 2026 Table 23 '!G:G,'AEO 2026 Table 23 '!$B:$B,"*,"&amp;M$3&amp;",*")-SUMIFS('AEO25 Table 23'!H:H,'AEO25 Table 23'!$B:$B,"*,"&amp;M$3&amp;",*"))/SUMIFS('AEO25 Table 23'!H:H,'AEO25 Table 23'!$B:$B,"*,"&amp;M$3&amp;",*"),"")</f>
        <v/>
      </c>
      <c r="N5">
        <f>IFERROR((SUMIFS('AEO 2026 Table 23 '!G:G,'AEO 2026 Table 23 '!$B:$B,"*,"&amp;N$3&amp;",*")-SUMIFS('AEO25 Table 23'!H:H,'AEO25 Table 23'!$B:$B,"*,"&amp;N$3&amp;",*"))/SUMIFS('AEO25 Table 23'!H:H,'AEO25 Table 23'!$B:$B,"*,"&amp;N$3&amp;",*"),"")</f>
        <v/>
      </c>
      <c r="O5">
        <f>IFERROR((SUMIFS('AEO 2026 Table 23 '!G:G,'AEO 2026 Table 23 '!$B:$B,"*,"&amp;O$3&amp;",*")-SUMIFS('AEO25 Table 23'!H:H,'AEO25 Table 23'!$B:$B,"*,"&amp;O$3&amp;",*"))/SUMIFS('AEO25 Table 23'!H:H,'AEO25 Table 23'!$B:$B,"*,"&amp;O$3&amp;",*"),"")</f>
        <v/>
      </c>
      <c r="P5">
        <f>IFERROR((SUMIFS('AEO 2026 Table 23 '!G:G,'AEO 2026 Table 23 '!$B:$B,"*,"&amp;P$3&amp;",*")-SUMIFS('AEO25 Table 23'!H:H,'AEO25 Table 23'!$B:$B,"*,"&amp;P$3&amp;",*"))/SUMIFS('AEO25 Table 23'!H:H,'AEO25 Table 23'!$B:$B,"*,"&amp;P$3&amp;",*"),"")</f>
        <v/>
      </c>
      <c r="Q5">
        <f>IFERROR((SUMIFS('AEO 2026 Table 23 '!G:G,'AEO 2026 Table 23 '!$B:$B,"*,"&amp;Q$3&amp;",*")-SUMIFS('AEO25 Table 23'!H:H,'AEO25 Table 23'!$B:$B,"*,"&amp;Q$3&amp;",*"))/SUMIFS('AEO25 Table 23'!H:H,'AEO25 Table 23'!$B:$B,"*,"&amp;Q$3&amp;",*"),"")</f>
        <v/>
      </c>
      <c r="R5">
        <f>IFERROR((SUMIFS('AEO 2026 Table 23 '!G:G,'AEO 2026 Table 23 '!$B:$B,"*,"&amp;R$3&amp;",*")-SUMIFS('AEO25 Table 23'!H:H,'AEO25 Table 23'!$B:$B,"*,"&amp;R$3&amp;",*"))/SUMIFS('AEO25 Table 23'!H:H,'AEO25 Table 23'!$B:$B,"*,"&amp;R$3&amp;",*"),"")</f>
        <v/>
      </c>
      <c r="S5">
        <f>IFERROR((SUMIFS('AEO 2026 Table 23 '!G:G,'AEO 2026 Table 23 '!$B:$B,"*,"&amp;S$3&amp;",*")-SUMIFS('AEO25 Table 23'!H:H,'AEO25 Table 23'!$B:$B,"*,"&amp;S$3&amp;",*"))/SUMIFS('AEO25 Table 23'!H:H,'AEO25 Table 23'!$B:$B,"*,"&amp;S$3&amp;",*"),"")</f>
        <v/>
      </c>
      <c r="T5">
        <f>IFERROR((SUMIFS('AEO 2026 Table 23 '!G:G,'AEO 2026 Table 23 '!$B:$B,"*,"&amp;T$3&amp;",*")-SUMIFS('AEO25 Table 23'!H:H,'AEO25 Table 23'!$B:$B,"*,"&amp;T$3&amp;",*"))/SUMIFS('AEO25 Table 23'!H:H,'AEO25 Table 23'!$B:$B,"*,"&amp;T$3&amp;",*"),"")</f>
        <v/>
      </c>
      <c r="U5">
        <f>IFERROR((SUMIFS('AEO 2026 Table 23 '!G:G,'AEO 2026 Table 23 '!$B:$B,"*,"&amp;U$3&amp;",*")-SUMIFS('AEO25 Table 23'!H:H,'AEO25 Table 23'!$B:$B,"*,"&amp;U$3&amp;",*"))/SUMIFS('AEO25 Table 23'!H:H,'AEO25 Table 23'!$B:$B,"*,"&amp;U$3&amp;",*"),"")</f>
        <v/>
      </c>
      <c r="V5">
        <f>IFERROR((SUMIFS('AEO 2026 Table 23 '!G:G,'AEO 2026 Table 23 '!$B:$B,"*,"&amp;V$3&amp;",*")-SUMIFS('AEO25 Table 23'!H:H,'AEO25 Table 23'!$B:$B,"*,"&amp;V$3&amp;",*"))/SUMIFS('AEO25 Table 23'!H:H,'AEO25 Table 23'!$B:$B,"*,"&amp;V$3&amp;",*"),"")</f>
        <v/>
      </c>
      <c r="W5">
        <f>IFERROR((SUMIFS('AEO 2026 Table 23 '!G:G,'AEO 2026 Table 23 '!$B:$B,"*,"&amp;W$3&amp;",*")-SUMIFS('AEO25 Table 23'!H:H,'AEO25 Table 23'!$B:$B,"*,"&amp;W$3&amp;",*"))/SUMIFS('AEO25 Table 23'!H:H,'AEO25 Table 23'!$B:$B,"*,"&amp;W$3&amp;",*"),"")</f>
        <v/>
      </c>
      <c r="X5">
        <f>IFERROR((SUMIFS('AEO 2026 Table 23 '!G:G,'AEO 2026 Table 23 '!$B:$B,"*,"&amp;X$3&amp;",*")-SUMIFS('AEO25 Table 23'!H:H,'AEO25 Table 23'!$B:$B,"*,"&amp;X$3&amp;",*"))/SUMIFS('AEO25 Table 23'!H:H,'AEO25 Table 23'!$B:$B,"*,"&amp;X$3&amp;",*"),"")</f>
        <v/>
      </c>
      <c r="Y5">
        <f>IFERROR((SUMIFS('AEO 2026 Table 23 '!G:G,'AEO 2026 Table 23 '!$B:$B,"*,"&amp;Y$3&amp;",*")-SUMIFS('AEO25 Table 23'!H:H,'AEO25 Table 23'!$B:$B,"*,"&amp;Y$3&amp;",*"))/SUMIFS('AEO25 Table 23'!H:H,'AEO25 Table 23'!$B:$B,"*,"&amp;Y$3&amp;",*"),"")</f>
        <v/>
      </c>
      <c r="Z5">
        <f>IFERROR((SUMIFS('AEO 2026 Table 23 '!G:G,'AEO 2026 Table 23 '!$B:$B,"*,"&amp;Z$3&amp;",*")-SUMIFS('AEO25 Table 23'!H:H,'AEO25 Table 23'!$B:$B,"*,"&amp;Z$3&amp;",*"))/SUMIFS('AEO25 Table 23'!H:H,'AEO25 Table 23'!$B:$B,"*,"&amp;Z$3&amp;",*"),"")</f>
        <v/>
      </c>
      <c r="AA5">
        <f>IFERROR((SUMIFS('AEO 2026 Table 23 '!G:G,'AEO 2026 Table 23 '!$B:$B,"*,"&amp;AA$3&amp;",*")-SUMIFS('AEO25 Table 23'!H:H,'AEO25 Table 23'!$B:$B,"*,"&amp;AA$3&amp;",*"))/SUMIFS('AEO25 Table 23'!H:H,'AEO25 Table 23'!$B:$B,"*,"&amp;AA$3&amp;",*"),"")</f>
        <v/>
      </c>
      <c r="AB5">
        <f>IFERROR((SUMIFS('AEO 2026 Table 23 '!G:G,'AEO 2026 Table 23 '!$B:$B,"*,"&amp;AB$3&amp;",*")-SUMIFS('AEO25 Table 23'!H:H,'AEO25 Table 23'!$B:$B,"*,"&amp;AB$3&amp;",*"))/SUMIFS('AEO25 Table 23'!H:H,'AEO25 Table 23'!$B:$B,"*,"&amp;AB$3&amp;",*"),"")</f>
        <v/>
      </c>
      <c r="AC5">
        <f>IFERROR((SUMIFS('AEO 2026 Table 23 '!G:G,'AEO 2026 Table 23 '!$B:$B,"*,"&amp;AC$3&amp;",*")-SUMIFS('AEO25 Table 23'!H:H,'AEO25 Table 23'!$B:$B,"*,"&amp;AC$3&amp;",*"))/SUMIFS('AEO25 Table 23'!H:H,'AEO25 Table 23'!$B:$B,"*,"&amp;AC$3&amp;",*"),"")</f>
        <v/>
      </c>
      <c r="AD5">
        <f>IFERROR((SUMIFS('AEO 2026 Table 23 '!G:G,'AEO 2026 Table 23 '!$B:$B,"*,"&amp;AD$3&amp;",*")-SUMIFS('AEO25 Table 23'!H:H,'AEO25 Table 23'!$B:$B,"*,"&amp;AD$3&amp;",*"))/SUMIFS('AEO25 Table 23'!H:H,'AEO25 Table 23'!$B:$B,"*,"&amp;AD$3&amp;",*"),"")</f>
        <v/>
      </c>
      <c r="AE5">
        <f>IFERROR((SUMIFS('AEO 2026 Table 23 '!G:G,'AEO 2026 Table 23 '!$B:$B,"*,"&amp;AE$3&amp;",*")-SUMIFS('AEO25 Table 23'!H:H,'AEO25 Table 23'!$B:$B,"*,"&amp;AE$3&amp;",*"))/SUMIFS('AEO25 Table 23'!H:H,'AEO25 Table 23'!$B:$B,"*,"&amp;AE$3&amp;",*"),"")</f>
        <v/>
      </c>
      <c r="AF5">
        <f>IFERROR((SUMIFS('AEO 2026 Table 23 '!G:G,'AEO 2026 Table 23 '!$B:$B,"*,"&amp;AF$3&amp;",*")-SUMIFS('AEO25 Table 23'!H:H,'AEO25 Table 23'!$B:$B,"*,"&amp;AF$3&amp;",*"))/SUMIFS('AEO25 Table 23'!H:H,'AEO25 Table 23'!$B:$B,"*,"&amp;AF$3&amp;",*"),"")</f>
        <v/>
      </c>
      <c r="AG5">
        <f>IFERROR((SUMIFS('AEO 2026 Table 23 '!G:G,'AEO 2026 Table 23 '!$B:$B,"*,"&amp;AG$3&amp;",*")-SUMIFS('AEO25 Table 23'!H:H,'AEO25 Table 23'!$B:$B,"*,"&amp;AG$3&amp;",*"))/SUMIFS('AEO25 Table 23'!H:H,'AEO25 Table 23'!$B:$B,"*,"&amp;AG$3&amp;",*"),"")</f>
        <v/>
      </c>
      <c r="AH5">
        <f>IFERROR((SUMIFS('AEO 2026 Table 23 '!G:G,'AEO 2026 Table 23 '!$B:$B,"*,"&amp;AH$3&amp;",*")-SUMIFS('AEO25 Table 23'!H:H,'AEO25 Table 23'!$B:$B,"*,"&amp;AH$3&amp;",*"))/SUMIFS('AEO25 Table 23'!H:H,'AEO25 Table 23'!$B:$B,"*,"&amp;AH$3&amp;",*"),"")</f>
        <v/>
      </c>
      <c r="AI5">
        <f>IFERROR((SUMIFS('AEO 2026 Table 23 '!G:G,'AEO 2026 Table 23 '!$B:$B,"*,"&amp;AI$3&amp;",*")-SUMIFS('AEO25 Table 23'!H:H,'AEO25 Table 23'!$B:$B,"*,"&amp;AI$3&amp;",*"))/SUMIFS('AEO25 Table 23'!H:H,'AEO25 Table 23'!$B:$B,"*,"&amp;AI$3&amp;",*"),"")</f>
        <v/>
      </c>
      <c r="AJ5">
        <f>IFERROR((SUMIFS('AEO 2026 Table 23 '!G:G,'AEO 2026 Table 23 '!$B:$B,"*,"&amp;AJ$3&amp;",*")-SUMIFS('AEO25 Table 23'!H:H,'AEO25 Table 23'!$B:$B,"*,"&amp;AJ$3&amp;",*"))/SUMIFS('AEO25 Table 23'!H:H,'AEO25 Table 23'!$B:$B,"*,"&amp;AJ$3&amp;",*"),"")</f>
        <v/>
      </c>
      <c r="AK5">
        <f>IFERROR((SUMIFS('AEO 2026 Table 23 '!G:G,'AEO 2026 Table 23 '!$B:$B,"*,"&amp;AK$3&amp;",*")-SUMIFS('AEO25 Table 23'!H:H,'AEO25 Table 23'!$B:$B,"*,"&amp;AK$3&amp;",*"))/SUMIFS('AEO25 Table 23'!H:H,'AEO25 Table 23'!$B:$B,"*,"&amp;AK$3&amp;",*"),"")</f>
        <v/>
      </c>
      <c r="AL5">
        <f>IFERROR((SUMIFS('AEO 2026 Table 23 '!G:G,'AEO 2026 Table 23 '!$B:$B,"*,"&amp;AL$3&amp;",*")-SUMIFS('AEO25 Table 23'!H:H,'AEO25 Table 23'!$B:$B,"*,"&amp;AL$3&amp;",*"))/SUMIFS('AEO25 Table 23'!H:H,'AEO25 Table 23'!$B:$B,"*,"&amp;AL$3&amp;",*"),"")</f>
        <v/>
      </c>
      <c r="AM5">
        <f>IFERROR((SUMIFS('AEO 2026 Table 23 '!G:G,'AEO 2026 Table 23 '!$B:$B,"*,"&amp;AM$3&amp;",*")-SUMIFS('AEO25 Table 23'!H:H,'AEO25 Table 23'!$B:$B,"*,"&amp;AM$3&amp;",*"))/SUMIFS('AEO25 Table 23'!H:H,'AEO25 Table 23'!$B:$B,"*,"&amp;AM$3&amp;",*"),"")</f>
        <v/>
      </c>
      <c r="AN5">
        <f>IFERROR((SUMIFS('AEO 2026 Table 23 '!G:G,'AEO 2026 Table 23 '!$B:$B,"*,"&amp;AN$3&amp;",*")-SUMIFS('AEO25 Table 23'!H:H,'AEO25 Table 23'!$B:$B,"*,"&amp;AN$3&amp;",*"))/SUMIFS('AEO25 Table 23'!H:H,'AEO25 Table 23'!$B:$B,"*,"&amp;AN$3&amp;",*"),"")</f>
        <v/>
      </c>
      <c r="AO5">
        <f>IFERROR((SUMIFS('AEO 2026 Table 23 '!G:G,'AEO 2026 Table 23 '!$B:$B,"*,"&amp;AO$3&amp;",*")-SUMIFS('AEO25 Table 23'!H:H,'AEO25 Table 23'!$B:$B,"*,"&amp;AO$3&amp;",*"))/SUMIFS('AEO25 Table 23'!H:H,'AEO25 Table 23'!$B:$B,"*,"&amp;AO$3&amp;",*"),"")</f>
        <v/>
      </c>
      <c r="AP5">
        <f>IFERROR((SUMIFS('AEO 2026 Table 23 '!G:G,'AEO 2026 Table 23 '!$B:$B,"*,"&amp;AP$3&amp;",*")-SUMIFS('AEO25 Table 23'!H:H,'AEO25 Table 23'!$B:$B,"*,"&amp;AP$3&amp;",*"))/SUMIFS('AEO25 Table 23'!H:H,'AEO25 Table 23'!$B:$B,"*,"&amp;AP$3&amp;",*"),"")</f>
        <v/>
      </c>
      <c r="AQ5">
        <f>IFERROR((SUMIFS('AEO 2026 Table 23 '!G:G,'AEO 2026 Table 23 '!$B:$B,"*,"&amp;AQ$3&amp;",*")-SUMIFS('AEO25 Table 23'!H:H,'AEO25 Table 23'!$B:$B,"*,"&amp;AQ$3&amp;",*"))/SUMIFS('AEO25 Table 23'!H:H,'AEO25 Table 23'!$B:$B,"*,"&amp;AQ$3&amp;",*"),"")</f>
        <v/>
      </c>
      <c r="AR5">
        <f>IFERROR((SUMIFS('AEO 2026 Table 23 '!G:G,'AEO 2026 Table 23 '!$B:$B,"*,"&amp;AR$3&amp;",*")-SUMIFS('AEO25 Table 23'!H:H,'AEO25 Table 23'!$B:$B,"*,"&amp;AR$3&amp;",*"))/SUMIFS('AEO25 Table 23'!H:H,'AEO25 Table 23'!$B:$B,"*,"&amp;AR$3&amp;",*"),"")</f>
        <v/>
      </c>
      <c r="AS5">
        <f>IFERROR((SUMIFS('AEO 2026 Table 23 '!G:G,'AEO 2026 Table 23 '!$B:$B,"*,"&amp;AS$3&amp;",*")-SUMIFS('AEO25 Table 23'!H:H,'AEO25 Table 23'!$B:$B,"*,"&amp;AS$3&amp;",*"))/SUMIFS('AEO25 Table 23'!H:H,'AEO25 Table 23'!$B:$B,"*,"&amp;AS$3&amp;",*"),"")</f>
        <v/>
      </c>
      <c r="AT5">
        <f>IFERROR((SUMIFS('AEO 2026 Table 23 '!G:G,'AEO 2026 Table 23 '!$B:$B,"*,"&amp;AT$3&amp;",*")-SUMIFS('AEO25 Table 23'!H:H,'AEO25 Table 23'!$B:$B,"*,"&amp;AT$3&amp;",*"))/SUMIFS('AEO25 Table 23'!H:H,'AEO25 Table 23'!$B:$B,"*,"&amp;AT$3&amp;",*"),"")</f>
        <v/>
      </c>
      <c r="AU5">
        <f>IFERROR((SUMIFS('AEO 2026 Table 23 '!G:G,'AEO 2026 Table 23 '!$B:$B,"*,"&amp;AU$3&amp;",*")-SUMIFS('AEO25 Table 23'!H:H,'AEO25 Table 23'!$B:$B,"*,"&amp;AU$3&amp;",*"))/SUMIFS('AEO25 Table 23'!H:H,'AEO25 Table 23'!$B:$B,"*,"&amp;AU$3&amp;",*"),"")</f>
        <v/>
      </c>
      <c r="AV5">
        <f>IFERROR((SUMIFS('AEO 2026 Table 23 '!G:G,'AEO 2026 Table 23 '!$B:$B,"*,"&amp;AV$3&amp;",*")-SUMIFS('AEO25 Table 23'!H:H,'AEO25 Table 23'!$B:$B,"*,"&amp;AV$3&amp;",*"))/SUMIFS('AEO25 Table 23'!H:H,'AEO25 Table 23'!$B:$B,"*,"&amp;AV$3&amp;",*"),"")</f>
        <v/>
      </c>
      <c r="AW5">
        <f>IFERROR((SUMIFS('AEO 2026 Table 23 '!G:G,'AEO 2026 Table 23 '!$B:$B,"*,"&amp;AW$3&amp;",*")-SUMIFS('AEO25 Table 23'!H:H,'AEO25 Table 23'!$B:$B,"*,"&amp;AW$3&amp;",*"))/SUMIFS('AEO25 Table 23'!H:H,'AEO25 Table 23'!$B:$B,"*,"&amp;AW$3&amp;",*"),"")</f>
        <v/>
      </c>
      <c r="AX5">
        <f>IFERROR((SUMIFS('AEO 2026 Table 23 '!G:G,'AEO 2026 Table 23 '!$B:$B,"*,"&amp;AX$3&amp;",*")-SUMIFS('AEO25 Table 23'!H:H,'AEO25 Table 23'!$B:$B,"*,"&amp;AX$3&amp;",*"))/SUMIFS('AEO25 Table 23'!H:H,'AEO25 Table 23'!$B:$B,"*,"&amp;AX$3&amp;",*"),"")</f>
        <v/>
      </c>
      <c r="AY5">
        <f>IFERROR((SUMIFS('AEO 2026 Table 23 '!G:G,'AEO 2026 Table 23 '!$B:$B,"*,"&amp;AY$3&amp;",*")-SUMIFS('AEO25 Table 23'!H:H,'AEO25 Table 23'!$B:$B,"*,"&amp;AY$3&amp;",*"))/SUMIFS('AEO25 Table 23'!H:H,'AEO25 Table 23'!$B:$B,"*,"&amp;AY$3&amp;",*"),"")</f>
        <v/>
      </c>
      <c r="AZ5">
        <f>IFERROR((SUMIFS('AEO 2026 Table 23 '!G:G,'AEO 2026 Table 23 '!$B:$B,"*,"&amp;AZ$3&amp;",*")-SUMIFS('AEO25 Table 23'!H:H,'AEO25 Table 23'!$B:$B,"*,"&amp;AZ$3&amp;",*"))/SUMIFS('AEO25 Table 23'!H:H,'AEO25 Table 23'!$B:$B,"*,"&amp;AZ$3&amp;",*"),"")</f>
        <v/>
      </c>
      <c r="BA5">
        <f>IFERROR((SUMIFS('AEO 2026 Table 23 '!G:G,'AEO 2026 Table 23 '!$B:$B,"*,"&amp;BA$3&amp;",*")-SUMIFS('AEO25 Table 23'!H:H,'AEO25 Table 23'!$B:$B,"*,"&amp;BA$3&amp;",*"))/SUMIFS('AEO25 Table 23'!H:H,'AEO25 Table 23'!$B:$B,"*,"&amp;BA$3&amp;",*"),"")</f>
        <v/>
      </c>
    </row>
    <row r="6">
      <c r="A6" s="1" t="inlineStr">
        <is>
          <t>g2025</t>
        </is>
      </c>
      <c r="B6">
        <f>IF(B5="",B4*$B$2,B5)</f>
        <v/>
      </c>
      <c r="C6">
        <f>IF(C5="",C4*$B$2,C5)</f>
        <v/>
      </c>
      <c r="D6">
        <f>IF(D5="",D4*$B$2,D5)</f>
        <v/>
      </c>
      <c r="E6">
        <f>IF(E5="",E4*$B$2,E5)</f>
        <v/>
      </c>
      <c r="F6">
        <f>IF(F5="",F4*$B$2,F5)</f>
        <v/>
      </c>
      <c r="G6">
        <f>IF(G5="",G4*$B$2,G5)</f>
        <v/>
      </c>
      <c r="H6">
        <f>IF(H5="",H4*$B$2,H5)</f>
        <v/>
      </c>
      <c r="I6">
        <f>IF(I5="",I4*$B$2,I5)</f>
        <v/>
      </c>
      <c r="J6">
        <f>IF(J5="",J4*$B$2,J5)</f>
        <v/>
      </c>
      <c r="K6">
        <f>IF(K5="",K4*$B$2,K5)</f>
        <v/>
      </c>
      <c r="L6">
        <f>IF(L5="",L4*$B$2,L5)</f>
        <v/>
      </c>
      <c r="M6">
        <f>IF(M5="",M4*$B$2,M5)</f>
        <v/>
      </c>
      <c r="N6">
        <f>IF(N5="",N4*$B$2,N5)</f>
        <v/>
      </c>
      <c r="O6">
        <f>IF(O5="",O4*$B$2,O5)</f>
        <v/>
      </c>
      <c r="P6">
        <f>IF(P5="",P4*$B$2,P5)</f>
        <v/>
      </c>
      <c r="Q6">
        <f>IF(Q5="",Q4*$B$2,Q5)</f>
        <v/>
      </c>
      <c r="R6">
        <f>IF(R5="",R4*$B$2,R5)</f>
        <v/>
      </c>
      <c r="S6">
        <f>IF(S5="",S4*$B$2,S5)</f>
        <v/>
      </c>
      <c r="T6">
        <f>IF(T5="",T4*$B$2,T5)</f>
        <v/>
      </c>
      <c r="U6">
        <f>IF(U5="",U4*$B$2,U5)</f>
        <v/>
      </c>
      <c r="V6">
        <f>IF(V5="",V4*$B$2,V5)</f>
        <v/>
      </c>
      <c r="W6">
        <f>IF(W5="",W4*$B$2,W5)</f>
        <v/>
      </c>
      <c r="X6">
        <f>IF(X5="",X4*$B$2,X5)</f>
        <v/>
      </c>
      <c r="Y6">
        <f>IF(Y5="",Y4*$B$2,Y5)</f>
        <v/>
      </c>
      <c r="Z6">
        <f>IF(Z5="",Z4*$B$2,Z5)</f>
        <v/>
      </c>
      <c r="AA6">
        <f>IF(AA5="",AA4*$B$2,AA5)</f>
        <v/>
      </c>
      <c r="AB6">
        <f>IF(AB5="",AB4*$B$2,AB5)</f>
        <v/>
      </c>
      <c r="AC6">
        <f>IF(AC5="",AC4*$B$2,AC5)</f>
        <v/>
      </c>
      <c r="AD6">
        <f>IF(AD5="",AD4*$B$2,AD5)</f>
        <v/>
      </c>
      <c r="AE6">
        <f>IF(AE5="",AE4*$B$2,AE5)</f>
        <v/>
      </c>
      <c r="AF6">
        <f>IF(AF5="",AF4*$B$2,AF5)</f>
        <v/>
      </c>
      <c r="AG6">
        <f>IF(AG5="",AG4*$B$2,AG5)</f>
        <v/>
      </c>
      <c r="AH6">
        <f>IF(AH5="",AH4*$B$2,AH5)</f>
        <v/>
      </c>
      <c r="AI6">
        <f>IF(AI5="",AI4*$B$2,AI5)</f>
        <v/>
      </c>
      <c r="AJ6">
        <f>IF(AJ5="",AJ4*$B$2,AJ5)</f>
        <v/>
      </c>
      <c r="AK6">
        <f>IF(AK5="",AK4*$B$2,AK5)</f>
        <v/>
      </c>
      <c r="AL6">
        <f>IF(AL5="",AL4*$B$2,AL5)</f>
        <v/>
      </c>
      <c r="AM6">
        <f>IF(AM5="",AM4*$B$2,AM5)</f>
        <v/>
      </c>
      <c r="AN6">
        <f>IF(AN5="",AN4*$B$2,AN5)</f>
        <v/>
      </c>
      <c r="AO6">
        <f>IF(AO5="",AO4*$B$2,AO5)</f>
        <v/>
      </c>
      <c r="AP6">
        <f>IF(AP5="",AP4*$B$2,AP5)</f>
        <v/>
      </c>
      <c r="AQ6">
        <f>IF(AQ5="",AQ4*$B$2,AQ5)</f>
        <v/>
      </c>
      <c r="AR6">
        <f>IF(AR5="",AR4*$B$2,AR5)</f>
        <v/>
      </c>
      <c r="AS6">
        <f>IF(AS5="",AS4*$B$2,AS5)</f>
        <v/>
      </c>
      <c r="AT6">
        <f>IF(AT5="",AT4*$B$2,AT5)</f>
        <v/>
      </c>
      <c r="AU6">
        <f>IF(AU5="",AU4*$B$2,AU5)</f>
        <v/>
      </c>
      <c r="AV6">
        <f>IF(AV5="",AV4*$B$2,AV5)</f>
        <v/>
      </c>
      <c r="AW6">
        <f>IF(AW5="",AW4*$B$2,AW5)</f>
        <v/>
      </c>
      <c r="AX6">
        <f>IF(AX5="",AX4*$B$2,AX5)</f>
        <v/>
      </c>
      <c r="AY6">
        <f>IF(AY5="",AY4*$B$2,AY5)</f>
        <v/>
      </c>
      <c r="AZ6">
        <f>IF(AZ5="",AZ4*$B$2,AZ5)</f>
        <v/>
      </c>
      <c r="BA6">
        <f>IF(BA5="",BA4*$B$2,BA5)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 IsDisplayed="true"&gt;&lt;Name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BDE: Mining and utilities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11.873586</v>
      </c>
      <c r="E9" t="n">
        <v>6.088949</v>
      </c>
      <c r="F9" t="n">
        <v>2.288617</v>
      </c>
      <c r="G9" t="n">
        <v>5.10491</v>
      </c>
      <c r="H9" t="n">
        <v>3.997186</v>
      </c>
      <c r="I9" t="n">
        <v>4.571828</v>
      </c>
      <c r="J9" t="n">
        <v>-1.012654</v>
      </c>
      <c r="K9" t="n">
        <v>-9.732628</v>
      </c>
      <c r="L9" t="n">
        <v>-9.157785000000001</v>
      </c>
      <c r="M9" t="n">
        <v>-2.953357</v>
      </c>
      <c r="N9" t="n">
        <v>-11.436768</v>
      </c>
      <c r="O9" t="n">
        <v>7.969507</v>
      </c>
      <c r="P9" t="n">
        <v>-14.931679</v>
      </c>
      <c r="Q9" t="n">
        <v>3.332895</v>
      </c>
      <c r="R9" t="n">
        <v>-3.231112</v>
      </c>
      <c r="S9" t="n">
        <v>-11.033688</v>
      </c>
      <c r="T9" t="n">
        <v>-10.348459</v>
      </c>
      <c r="U9" t="n">
        <v>13.894619</v>
      </c>
      <c r="V9" t="n">
        <v>7.940694</v>
      </c>
      <c r="W9" t="n">
        <v>17.890128</v>
      </c>
      <c r="X9" t="n">
        <v>7.683832</v>
      </c>
      <c r="Y9" t="n">
        <v>0.252948</v>
      </c>
      <c r="Z9" t="n">
        <v>-3.845343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-1.546396</v>
      </c>
      <c r="E10" t="n">
        <v>9.363747</v>
      </c>
      <c r="F10" t="n">
        <v>15.753046</v>
      </c>
      <c r="G10" t="n">
        <v>2.775991</v>
      </c>
      <c r="H10" t="n">
        <v>1.823979</v>
      </c>
      <c r="I10" t="n">
        <v>2.875089</v>
      </c>
      <c r="J10" t="n">
        <v>12.161994</v>
      </c>
      <c r="K10" t="n">
        <v>2.230702</v>
      </c>
      <c r="L10" t="n">
        <v>2.595379</v>
      </c>
      <c r="M10" t="n">
        <v>7.597743</v>
      </c>
      <c r="N10" t="n">
        <v>-5.568574</v>
      </c>
      <c r="O10" t="n">
        <v>-3.23471</v>
      </c>
      <c r="P10" t="n">
        <v>-6.894449</v>
      </c>
      <c r="Q10" t="n">
        <v>-6.661671</v>
      </c>
      <c r="R10" t="n">
        <v>1.724534</v>
      </c>
      <c r="S10" t="n">
        <v>-4.247534</v>
      </c>
      <c r="T10" t="n">
        <v>-3.167372</v>
      </c>
      <c r="U10" t="n">
        <v>1.467974</v>
      </c>
      <c r="V10" t="n">
        <v>4.799095</v>
      </c>
      <c r="W10" t="n">
        <v>-6.842314</v>
      </c>
      <c r="X10" t="n">
        <v>0.9885389999999999</v>
      </c>
      <c r="Y10" t="n">
        <v>0.786397</v>
      </c>
      <c r="Z10" t="n">
        <v>4.59613</v>
      </c>
      <c r="AA10" t="n">
        <v>3.390284</v>
      </c>
      <c r="AB10" t="n">
        <v>-0.412305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7.517088</v>
      </c>
      <c r="F11" t="n">
        <v>5.996845</v>
      </c>
      <c r="G11" t="n">
        <v>-1.589094</v>
      </c>
      <c r="H11" t="n">
        <v>2.720623</v>
      </c>
      <c r="I11" t="n">
        <v>7.469734</v>
      </c>
      <c r="J11" t="n">
        <v>-2.837806</v>
      </c>
      <c r="K11" t="n">
        <v>-1.411397</v>
      </c>
      <c r="L11" t="n">
        <v>0.750408</v>
      </c>
      <c r="M11" t="n">
        <v>2.233061</v>
      </c>
      <c r="N11" t="n">
        <v>-2.810107</v>
      </c>
      <c r="O11" t="n">
        <v>0.260458</v>
      </c>
      <c r="P11" t="n">
        <v>0.826721</v>
      </c>
      <c r="Q11" t="n">
        <v>-3.069942</v>
      </c>
      <c r="R11" t="n">
        <v>-5.381659</v>
      </c>
      <c r="S11" t="n">
        <v>5.166339</v>
      </c>
      <c r="T11" t="n">
        <v>-2.490368</v>
      </c>
      <c r="U11" t="n">
        <v>-7.761356</v>
      </c>
      <c r="V11" t="n">
        <v>-3.428911</v>
      </c>
      <c r="W11" t="n">
        <v>5.385587</v>
      </c>
      <c r="X11" t="n">
        <v>3.270525</v>
      </c>
      <c r="Y11" t="n">
        <v>1.794065</v>
      </c>
      <c r="Z11" t="n">
        <v>-4.684154</v>
      </c>
      <c r="AA11" t="n">
        <v>-7.897528</v>
      </c>
      <c r="AB11" t="n">
        <v>5.457855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-4.292483</v>
      </c>
      <c r="R12" t="n">
        <v>-4.4655</v>
      </c>
      <c r="S12" t="n">
        <v>4.472325</v>
      </c>
      <c r="T12" t="n">
        <v>-0.8683380000000001</v>
      </c>
      <c r="U12" t="n">
        <v>-4.749713</v>
      </c>
      <c r="V12" t="n">
        <v>6.949534</v>
      </c>
      <c r="W12" t="n">
        <v>8.603134000000001</v>
      </c>
      <c r="X12" t="n">
        <v>4.001319</v>
      </c>
      <c r="Y12" t="n">
        <v>4.799091</v>
      </c>
      <c r="Z12" t="inlineStr">
        <is>
          <t>..</t>
        </is>
      </c>
      <c r="AA12" t="inlineStr">
        <is>
          <t>..</t>
        </is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n">
        <v>-9.001167000000001</v>
      </c>
      <c r="U13" t="n">
        <v>-3.690479</v>
      </c>
      <c r="V13" t="n">
        <v>-0.72716</v>
      </c>
      <c r="W13" t="n">
        <v>4.00942</v>
      </c>
      <c r="X13" t="n">
        <v>1.932009</v>
      </c>
      <c r="Y13" t="n">
        <v>6.746163</v>
      </c>
      <c r="Z13" t="n">
        <v>-0.93511</v>
      </c>
      <c r="AA13" t="n">
        <v>4.853767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0.313677</v>
      </c>
      <c r="E14" t="n">
        <v>6.194056</v>
      </c>
      <c r="F14" t="n">
        <v>-8.358839</v>
      </c>
      <c r="G14" t="n">
        <v>-5.970458</v>
      </c>
      <c r="H14" t="n">
        <v>3.011932</v>
      </c>
      <c r="I14" t="n">
        <v>12.586877</v>
      </c>
      <c r="J14" t="n">
        <v>3.945138</v>
      </c>
      <c r="K14" t="n">
        <v>0.487365</v>
      </c>
      <c r="L14" t="n">
        <v>6.025132</v>
      </c>
      <c r="M14" t="n">
        <v>8.118093999999999</v>
      </c>
      <c r="N14" t="n">
        <v>-1.358181</v>
      </c>
      <c r="O14" t="n">
        <v>6.759318</v>
      </c>
      <c r="P14" t="n">
        <v>0.288457</v>
      </c>
      <c r="Q14" t="n">
        <v>3.51447</v>
      </c>
      <c r="R14" t="n">
        <v>-5.605263</v>
      </c>
      <c r="S14" t="n">
        <v>-6.368269</v>
      </c>
      <c r="T14" t="n">
        <v>-6.239754</v>
      </c>
      <c r="U14" t="n">
        <v>-1.18776</v>
      </c>
      <c r="V14" t="n">
        <v>-10.984609</v>
      </c>
      <c r="W14" t="n">
        <v>-1.527691</v>
      </c>
      <c r="X14" t="n">
        <v>-1.063912</v>
      </c>
      <c r="Y14" t="n">
        <v>-4.891502</v>
      </c>
      <c r="Z14" t="n">
        <v>0.7256280000000001</v>
      </c>
      <c r="AA14" t="n">
        <v>-1.887684</v>
      </c>
      <c r="AB14" t="n">
        <v>-0.7804179999999999</v>
      </c>
    </row>
    <row r="15">
      <c r="A15" t="inlineStr">
        <is>
          <t>Denmark</t>
        </is>
      </c>
      <c r="C15" t="inlineStr"/>
      <c r="D15" t="n">
        <v>-1.768692</v>
      </c>
      <c r="E15" t="n">
        <v>11.435703</v>
      </c>
      <c r="F15" t="n">
        <v>2.514266</v>
      </c>
      <c r="G15" t="n">
        <v>-1.785373</v>
      </c>
      <c r="H15" t="n">
        <v>10.048712</v>
      </c>
      <c r="I15" t="n">
        <v>11.009505</v>
      </c>
      <c r="J15" t="n">
        <v>0.426375</v>
      </c>
      <c r="K15" t="n">
        <v>-3.7636</v>
      </c>
      <c r="L15" t="n">
        <v>5.203032</v>
      </c>
      <c r="M15" t="n">
        <v>8.676066</v>
      </c>
      <c r="N15" t="n">
        <v>-0.829578</v>
      </c>
      <c r="O15" t="n">
        <v>-4.627215</v>
      </c>
      <c r="P15" t="n">
        <v>-12.921944</v>
      </c>
      <c r="Q15" t="n">
        <v>-11.920372</v>
      </c>
      <c r="R15" t="n">
        <v>-11.5951</v>
      </c>
      <c r="S15" t="n">
        <v>11.051004</v>
      </c>
      <c r="T15" t="n">
        <v>-4.666773</v>
      </c>
      <c r="U15" t="n">
        <v>-7.218486</v>
      </c>
      <c r="V15" t="n">
        <v>-4.530635</v>
      </c>
      <c r="W15" t="n">
        <v>-8.234517</v>
      </c>
      <c r="X15" t="n">
        <v>0.601688</v>
      </c>
      <c r="Y15" t="n">
        <v>0.383103</v>
      </c>
      <c r="Z15" t="n">
        <v>0.770204</v>
      </c>
      <c r="AA15" t="n">
        <v>-5.694433</v>
      </c>
      <c r="AB15" t="n">
        <v>-7.306692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3.460238</v>
      </c>
      <c r="F16" t="n">
        <v>-6.469462</v>
      </c>
      <c r="G16" t="n">
        <v>-12.101695</v>
      </c>
      <c r="H16" t="n">
        <v>-5.735049</v>
      </c>
      <c r="I16" t="n">
        <v>19.965544</v>
      </c>
      <c r="J16" t="n">
        <v>41.775537</v>
      </c>
      <c r="K16" t="n">
        <v>10.558097</v>
      </c>
      <c r="L16" t="n">
        <v>-3.179847</v>
      </c>
      <c r="M16" t="n">
        <v>-15.828024</v>
      </c>
      <c r="N16" t="n">
        <v>9.171683</v>
      </c>
      <c r="O16" t="n">
        <v>17.697576</v>
      </c>
      <c r="P16" t="n">
        <v>22.591983</v>
      </c>
      <c r="Q16" t="n">
        <v>-10.085885</v>
      </c>
      <c r="R16" t="n">
        <v>-3.342421</v>
      </c>
      <c r="S16" t="n">
        <v>-0.187378</v>
      </c>
      <c r="T16" t="n">
        <v>2.194092</v>
      </c>
      <c r="U16" t="n">
        <v>2.597062</v>
      </c>
      <c r="V16" t="n">
        <v>24.511463</v>
      </c>
      <c r="W16" t="n">
        <v>1.10102</v>
      </c>
      <c r="X16" t="n">
        <v>5.388496</v>
      </c>
      <c r="Y16" t="n">
        <v>16.330131</v>
      </c>
      <c r="Z16" t="n">
        <v>-1.376873</v>
      </c>
      <c r="AA16" t="n">
        <v>1.137516</v>
      </c>
      <c r="AB16" t="n">
        <v>-7.568445</v>
      </c>
    </row>
    <row r="17">
      <c r="A17" t="inlineStr">
        <is>
          <t>Finland</t>
        </is>
      </c>
      <c r="C17" t="inlineStr"/>
      <c r="D17" t="n">
        <v>-0.320626</v>
      </c>
      <c r="E17" t="n">
        <v>7.683036</v>
      </c>
      <c r="F17" t="n">
        <v>1.560278</v>
      </c>
      <c r="G17" t="n">
        <v>2.036624</v>
      </c>
      <c r="H17" t="n">
        <v>3.473273</v>
      </c>
      <c r="I17" t="n">
        <v>0.96778</v>
      </c>
      <c r="J17" t="n">
        <v>7.76818</v>
      </c>
      <c r="K17" t="n">
        <v>4.34748</v>
      </c>
      <c r="L17" t="n">
        <v>2.85674</v>
      </c>
      <c r="M17" t="n">
        <v>3.227639</v>
      </c>
      <c r="N17" t="n">
        <v>-2.14416</v>
      </c>
      <c r="O17" t="n">
        <v>-3.389321</v>
      </c>
      <c r="P17" t="n">
        <v>5.59208</v>
      </c>
      <c r="Q17" t="n">
        <v>-5.772629</v>
      </c>
      <c r="R17" t="n">
        <v>-3.809533</v>
      </c>
      <c r="S17" t="n">
        <v>5.92266</v>
      </c>
      <c r="T17" t="n">
        <v>-4.597803</v>
      </c>
      <c r="U17" t="n">
        <v>4.457955</v>
      </c>
      <c r="V17" t="n">
        <v>-4.170962</v>
      </c>
      <c r="W17" t="n">
        <v>3.977176</v>
      </c>
      <c r="X17" t="n">
        <v>-0.682826</v>
      </c>
      <c r="Y17" t="n">
        <v>-4.108035</v>
      </c>
      <c r="Z17" t="n">
        <v>8.158291999999999</v>
      </c>
      <c r="AA17" t="n">
        <v>-1.11491</v>
      </c>
      <c r="AB17" t="n">
        <v>-3.787532</v>
      </c>
    </row>
    <row r="18">
      <c r="A18" t="inlineStr">
        <is>
          <t>France</t>
        </is>
      </c>
      <c r="C18" t="inlineStr"/>
      <c r="D18" t="n">
        <v>2.912629</v>
      </c>
      <c r="E18" t="n">
        <v>4.427758</v>
      </c>
      <c r="F18" t="n">
        <v>-4.023798</v>
      </c>
      <c r="G18" t="n">
        <v>8.329017</v>
      </c>
      <c r="H18" t="n">
        <v>2.615878</v>
      </c>
      <c r="I18" t="n">
        <v>-1.526661</v>
      </c>
      <c r="J18" t="n">
        <v>3.702651</v>
      </c>
      <c r="K18" t="n">
        <v>7.090026</v>
      </c>
      <c r="L18" t="n">
        <v>-0.071788</v>
      </c>
      <c r="M18" t="n">
        <v>1.955156</v>
      </c>
      <c r="N18" t="n">
        <v>-4.826257</v>
      </c>
      <c r="O18" t="n">
        <v>-3.347164</v>
      </c>
      <c r="P18" t="n">
        <v>1.015735</v>
      </c>
      <c r="Q18" t="n">
        <v>-3.040014</v>
      </c>
      <c r="R18" t="n">
        <v>-8.694356000000001</v>
      </c>
      <c r="S18" t="n">
        <v>-2.70556</v>
      </c>
      <c r="T18" t="n">
        <v>-3.419425</v>
      </c>
      <c r="U18" t="n">
        <v>4.639222</v>
      </c>
      <c r="V18" t="n">
        <v>3.334735</v>
      </c>
      <c r="W18" t="n">
        <v>-4.351586</v>
      </c>
      <c r="X18" t="n">
        <v>-1.33744</v>
      </c>
      <c r="Y18" t="n">
        <v>-2.238763</v>
      </c>
      <c r="Z18" t="n">
        <v>-0.412454</v>
      </c>
      <c r="AA18" t="n">
        <v>0.223351</v>
      </c>
      <c r="AB18" t="n">
        <v>1.633324</v>
      </c>
    </row>
    <row r="19">
      <c r="A19" t="inlineStr">
        <is>
          <t>Germany</t>
        </is>
      </c>
      <c r="C19" t="inlineStr"/>
      <c r="D19" t="n">
        <v>5.41956</v>
      </c>
      <c r="E19" t="n">
        <v>4.505107</v>
      </c>
      <c r="F19" t="n">
        <v>1.437396</v>
      </c>
      <c r="G19" t="n">
        <v>3.418507</v>
      </c>
      <c r="H19" t="n">
        <v>2.405949</v>
      </c>
      <c r="I19" t="n">
        <v>2.905706</v>
      </c>
      <c r="J19" t="n">
        <v>-0.056199</v>
      </c>
      <c r="K19" t="n">
        <v>5.250798</v>
      </c>
      <c r="L19" t="n">
        <v>0.482348</v>
      </c>
      <c r="M19" t="n">
        <v>6.712238</v>
      </c>
      <c r="N19" t="n">
        <v>0.062429</v>
      </c>
      <c r="O19" t="n">
        <v>-10.288199</v>
      </c>
      <c r="P19" t="n">
        <v>6.676465</v>
      </c>
      <c r="Q19" t="n">
        <v>4.477033</v>
      </c>
      <c r="R19" t="n">
        <v>8.363950000000001</v>
      </c>
      <c r="S19" t="n">
        <v>0.991573</v>
      </c>
      <c r="T19" t="n">
        <v>-13.619595</v>
      </c>
      <c r="U19" t="n">
        <v>12.770582</v>
      </c>
      <c r="V19" t="n">
        <v>-3.900447</v>
      </c>
      <c r="W19" t="n">
        <v>1.064307</v>
      </c>
      <c r="X19" t="n">
        <v>5.174721</v>
      </c>
      <c r="Y19" t="n">
        <v>5.315592</v>
      </c>
      <c r="Z19" t="n">
        <v>2.377673</v>
      </c>
      <c r="AA19" t="n">
        <v>-1.853942</v>
      </c>
      <c r="AB19" t="n">
        <v>-5.681453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1.587273</v>
      </c>
      <c r="F20" t="n">
        <v>3.686176</v>
      </c>
      <c r="G20" t="n">
        <v>3.261943</v>
      </c>
      <c r="H20" t="n">
        <v>13.438178</v>
      </c>
      <c r="I20" t="n">
        <v>6.04415</v>
      </c>
      <c r="J20" t="n">
        <v>0.261305</v>
      </c>
      <c r="K20" t="n">
        <v>15.145181</v>
      </c>
      <c r="L20" t="n">
        <v>11.802811</v>
      </c>
      <c r="M20" t="n">
        <v>3.713035</v>
      </c>
      <c r="N20" t="n">
        <v>10.753412</v>
      </c>
      <c r="O20" t="n">
        <v>-3.012638</v>
      </c>
      <c r="P20" t="n">
        <v>-2.619989</v>
      </c>
      <c r="Q20" t="n">
        <v>-11.28055</v>
      </c>
      <c r="R20" t="n">
        <v>10.877668</v>
      </c>
      <c r="S20" t="n">
        <v>-20.273712</v>
      </c>
      <c r="T20" t="n">
        <v>5.356289</v>
      </c>
      <c r="U20" t="n">
        <v>4.949858</v>
      </c>
      <c r="V20" t="n">
        <v>1.004045</v>
      </c>
      <c r="W20" t="n">
        <v>-9.279329000000001</v>
      </c>
      <c r="X20" t="n">
        <v>0.5654749999999999</v>
      </c>
      <c r="Y20" t="n">
        <v>-3.342473</v>
      </c>
      <c r="Z20" t="n">
        <v>2.231103</v>
      </c>
      <c r="AA20" t="n">
        <v>-0.920301</v>
      </c>
      <c r="AB20" t="n">
        <v>-5.226245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7.960043</v>
      </c>
      <c r="F21" t="n">
        <v>-1.113895</v>
      </c>
      <c r="G21" t="n">
        <v>-1.243444</v>
      </c>
      <c r="H21" t="n">
        <v>6.470719</v>
      </c>
      <c r="I21" t="n">
        <v>7.653605</v>
      </c>
      <c r="J21" t="n">
        <v>0.440593</v>
      </c>
      <c r="K21" t="n">
        <v>2.544605</v>
      </c>
      <c r="L21" t="n">
        <v>-4.936725</v>
      </c>
      <c r="M21" t="n">
        <v>7.596589</v>
      </c>
      <c r="N21" t="n">
        <v>-9.601811</v>
      </c>
      <c r="O21" t="n">
        <v>1.106706</v>
      </c>
      <c r="P21" t="n">
        <v>14.217207</v>
      </c>
      <c r="Q21" t="n">
        <v>-5.853186</v>
      </c>
      <c r="R21" t="n">
        <v>15.066384</v>
      </c>
      <c r="S21" t="n">
        <v>-6.742348</v>
      </c>
      <c r="T21" t="n">
        <v>1.429645</v>
      </c>
      <c r="U21" t="n">
        <v>-11.129456</v>
      </c>
      <c r="V21" t="n">
        <v>5.465079</v>
      </c>
      <c r="W21" t="n">
        <v>-2.363632</v>
      </c>
      <c r="X21" t="n">
        <v>6.33911</v>
      </c>
      <c r="Y21" t="n">
        <v>15.855646</v>
      </c>
      <c r="Z21" t="n">
        <v>-9.152488999999999</v>
      </c>
      <c r="AA21" t="n">
        <v>-14.297116</v>
      </c>
      <c r="AB21" t="n">
        <v>5.053416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4.825455</v>
      </c>
      <c r="S22" t="n">
        <v>2.598179</v>
      </c>
      <c r="T22" t="n">
        <v>-3.509106</v>
      </c>
      <c r="U22" t="n">
        <v>4.137846</v>
      </c>
      <c r="V22" t="n">
        <v>4.21829</v>
      </c>
      <c r="W22" t="n">
        <v>2.354476</v>
      </c>
      <c r="X22" t="n">
        <v>-7.526525</v>
      </c>
      <c r="Y22" t="n">
        <v>-1.029861</v>
      </c>
      <c r="Z22" t="n">
        <v>-5.159464</v>
      </c>
      <c r="AA22" t="n">
        <v>5.116339</v>
      </c>
      <c r="AB22" t="n">
        <v>-2.043677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4.534052</v>
      </c>
      <c r="F23" t="n">
        <v>-11.238584</v>
      </c>
      <c r="G23" t="n">
        <v>-29.653587</v>
      </c>
      <c r="H23" t="n">
        <v>2.929208</v>
      </c>
      <c r="I23" t="n">
        <v>6.591884</v>
      </c>
      <c r="J23" t="n">
        <v>-2.502287</v>
      </c>
      <c r="K23" t="n">
        <v>1.309861</v>
      </c>
      <c r="L23" t="n">
        <v>7.590391</v>
      </c>
      <c r="M23" t="n">
        <v>-5.566177</v>
      </c>
      <c r="N23" t="n">
        <v>-8.292590000000001</v>
      </c>
      <c r="O23" t="n">
        <v>-7.131645</v>
      </c>
      <c r="P23" t="n">
        <v>-2.32746</v>
      </c>
      <c r="Q23" t="n">
        <v>-0.014251</v>
      </c>
      <c r="R23" t="n">
        <v>4.739159</v>
      </c>
      <c r="S23" t="n">
        <v>38.160963</v>
      </c>
      <c r="T23" t="n">
        <v>8.371079</v>
      </c>
      <c r="U23" t="n">
        <v>4.305298</v>
      </c>
      <c r="V23" t="n">
        <v>-7.318323</v>
      </c>
      <c r="W23" t="n">
        <v>12.185413</v>
      </c>
      <c r="X23" t="n">
        <v>-6.986328</v>
      </c>
      <c r="Y23" t="n">
        <v>8.680747999999999</v>
      </c>
      <c r="Z23" t="n">
        <v>-7.647998</v>
      </c>
      <c r="AA23" t="n">
        <v>12.576849</v>
      </c>
      <c r="AB23" t="n">
        <v>9.076879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13.273392</v>
      </c>
      <c r="F24" t="n">
        <v>3.597204</v>
      </c>
      <c r="G24" t="n">
        <v>5.801782</v>
      </c>
      <c r="H24" t="n">
        <v>1.125644</v>
      </c>
      <c r="I24" t="n">
        <v>-10.944419</v>
      </c>
      <c r="J24" t="n">
        <v>12.780901</v>
      </c>
      <c r="K24" t="n">
        <v>4.933661</v>
      </c>
      <c r="L24" t="n">
        <v>-3.134365</v>
      </c>
      <c r="M24" t="n">
        <v>0.870981</v>
      </c>
      <c r="N24" t="n">
        <v>-3.321872</v>
      </c>
      <c r="O24" t="n">
        <v>27.745038</v>
      </c>
      <c r="P24" t="n">
        <v>18.40048</v>
      </c>
      <c r="Q24" t="n">
        <v>-9.374200999999999</v>
      </c>
      <c r="R24" t="n">
        <v>18.080629</v>
      </c>
      <c r="S24" t="n">
        <v>-2.912385</v>
      </c>
      <c r="T24" t="n">
        <v>-11.409545</v>
      </c>
      <c r="U24" t="n">
        <v>-30.877564</v>
      </c>
      <c r="V24" t="n">
        <v>37.797234</v>
      </c>
      <c r="W24" t="n">
        <v>5.903407</v>
      </c>
      <c r="X24" t="n">
        <v>0.198014</v>
      </c>
      <c r="Y24" t="n">
        <v>-2.68509</v>
      </c>
      <c r="Z24" t="n">
        <v>-0.6800119999999999</v>
      </c>
      <c r="AA24" t="n">
        <v>13.21943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4.979503</v>
      </c>
      <c r="E25" t="n">
        <v>1.111713</v>
      </c>
      <c r="F25" t="n">
        <v>-2.247086</v>
      </c>
      <c r="G25" t="n">
        <v>-0.816026</v>
      </c>
      <c r="H25" t="n">
        <v>-0.992707</v>
      </c>
      <c r="I25" t="n">
        <v>-3.024995</v>
      </c>
      <c r="J25" t="n">
        <v>-3.576337</v>
      </c>
      <c r="K25" t="n">
        <v>0.800428</v>
      </c>
      <c r="L25" t="n">
        <v>-3.209369</v>
      </c>
      <c r="M25" t="n">
        <v>5.385149</v>
      </c>
      <c r="N25" t="n">
        <v>-3.836933</v>
      </c>
      <c r="O25" t="n">
        <v>-10.001097</v>
      </c>
      <c r="P25" t="n">
        <v>-2.813036</v>
      </c>
      <c r="Q25" t="n">
        <v>3.54111</v>
      </c>
      <c r="R25" t="n">
        <v>-4.738485</v>
      </c>
      <c r="S25" t="n">
        <v>-5.575893</v>
      </c>
      <c r="T25" t="n">
        <v>-1.771335</v>
      </c>
      <c r="U25" t="n">
        <v>-3.366479</v>
      </c>
      <c r="V25" t="n">
        <v>-3.33526</v>
      </c>
      <c r="W25" t="n">
        <v>-4.694767</v>
      </c>
      <c r="X25" t="n">
        <v>-5.709701</v>
      </c>
      <c r="Y25" t="n">
        <v>3.223328</v>
      </c>
      <c r="Z25" t="n">
        <v>2.502153</v>
      </c>
      <c r="AA25" t="n">
        <v>-2.704173</v>
      </c>
      <c r="AB25" t="n">
        <v>-1.472878</v>
      </c>
    </row>
    <row r="26">
      <c r="A26" t="inlineStr">
        <is>
          <t>Japan</t>
        </is>
      </c>
      <c r="C26" t="inlineStr"/>
      <c r="D26" t="n">
        <v>2.166222</v>
      </c>
      <c r="E26" t="n">
        <v>6.845657</v>
      </c>
      <c r="F26" t="n">
        <v>2.337818</v>
      </c>
      <c r="G26" t="n">
        <v>3.259744</v>
      </c>
      <c r="H26" t="n">
        <v>2.49272</v>
      </c>
      <c r="I26" t="n">
        <v>3.225027</v>
      </c>
      <c r="J26" t="n">
        <v>4.234384</v>
      </c>
      <c r="K26" t="n">
        <v>0.673704</v>
      </c>
      <c r="L26" t="n">
        <v>0.905097</v>
      </c>
      <c r="M26" t="n">
        <v>2.841677</v>
      </c>
      <c r="N26" t="n">
        <v>6.684469</v>
      </c>
      <c r="O26" t="n">
        <v>0.056294</v>
      </c>
      <c r="P26" t="n">
        <v>-5.576707</v>
      </c>
      <c r="Q26" t="n">
        <v>3.324335</v>
      </c>
      <c r="R26" t="n">
        <v>-17.886451</v>
      </c>
      <c r="S26" t="n">
        <v>9.335254000000001</v>
      </c>
      <c r="T26" t="n">
        <v>-11.901994</v>
      </c>
      <c r="U26" t="n">
        <v>-18.96975</v>
      </c>
      <c r="V26" t="n">
        <v>7.531598</v>
      </c>
      <c r="W26" t="n">
        <v>1.285135</v>
      </c>
      <c r="X26" t="n">
        <v>-9.702073</v>
      </c>
      <c r="Y26" t="n">
        <v>2.487589</v>
      </c>
      <c r="Z26" t="n">
        <v>9.695931</v>
      </c>
      <c r="AA26" t="n">
        <v>1.304384</v>
      </c>
      <c r="AB26" t="inlineStr">
        <is>
          <t>..</t>
        </is>
      </c>
    </row>
    <row r="27">
      <c r="A27" t="inlineStr">
        <is>
          <t>Korea</t>
        </is>
      </c>
      <c r="C27" t="inlineStr"/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1.491051</v>
      </c>
      <c r="O27" t="n">
        <v>-4.76068</v>
      </c>
      <c r="P27" t="n">
        <v>-2.92113</v>
      </c>
      <c r="Q27" t="n">
        <v>-6.046729</v>
      </c>
      <c r="R27" t="n">
        <v>-1.934596</v>
      </c>
      <c r="S27" t="n">
        <v>18.880967</v>
      </c>
      <c r="T27" t="n">
        <v>-1.282203</v>
      </c>
      <c r="U27" t="n">
        <v>1.580081</v>
      </c>
      <c r="V27" t="n">
        <v>-10.158043</v>
      </c>
      <c r="W27" t="n">
        <v>0.300637</v>
      </c>
      <c r="X27" t="n">
        <v>-3.139843</v>
      </c>
      <c r="Y27" t="n">
        <v>-5.704622</v>
      </c>
      <c r="Z27" t="n">
        <v>4.760081</v>
      </c>
      <c r="AA27" t="n">
        <v>-0.43063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-1.327651</v>
      </c>
      <c r="F28" t="n">
        <v>1.533642</v>
      </c>
      <c r="G28" t="n">
        <v>5.060643</v>
      </c>
      <c r="H28" t="n">
        <v>0.978461</v>
      </c>
      <c r="I28" t="n">
        <v>-12.549176</v>
      </c>
      <c r="J28" t="n">
        <v>-6.023307</v>
      </c>
      <c r="K28" t="n">
        <v>12.047142</v>
      </c>
      <c r="L28" t="n">
        <v>10.569282</v>
      </c>
      <c r="M28" t="n">
        <v>-0.18883</v>
      </c>
      <c r="N28" t="n">
        <v>3.928578</v>
      </c>
      <c r="O28" t="n">
        <v>11.190673</v>
      </c>
      <c r="P28" t="n">
        <v>2.168787</v>
      </c>
      <c r="Q28" t="n">
        <v>-7.42531</v>
      </c>
      <c r="R28" t="n">
        <v>14.875845</v>
      </c>
      <c r="S28" t="n">
        <v>3.811378</v>
      </c>
      <c r="T28" t="n">
        <v>-5.932077</v>
      </c>
      <c r="U28" t="n">
        <v>-6.985968</v>
      </c>
      <c r="V28" t="n">
        <v>-7.299629</v>
      </c>
      <c r="W28" t="n">
        <v>-5.60929</v>
      </c>
      <c r="X28" t="n">
        <v>13.669806</v>
      </c>
      <c r="Y28" t="n">
        <v>10.746515</v>
      </c>
      <c r="Z28" t="n">
        <v>-0.44219</v>
      </c>
      <c r="AA28" t="n">
        <v>-5.120607</v>
      </c>
      <c r="AB28" t="n">
        <v>-0.433495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21.824559</v>
      </c>
      <c r="F29" t="n">
        <v>-3.635378</v>
      </c>
      <c r="G29" t="n">
        <v>-5.886605</v>
      </c>
      <c r="H29" t="n">
        <v>2.265821</v>
      </c>
      <c r="I29" t="n">
        <v>-6.819954</v>
      </c>
      <c r="J29" t="n">
        <v>15.075973</v>
      </c>
      <c r="K29" t="n">
        <v>12.041481</v>
      </c>
      <c r="L29" t="n">
        <v>23.350683</v>
      </c>
      <c r="M29" t="n">
        <v>5.758286</v>
      </c>
      <c r="N29" t="n">
        <v>8.19192</v>
      </c>
      <c r="O29" t="n">
        <v>23.23022</v>
      </c>
      <c r="P29" t="n">
        <v>-18.840457</v>
      </c>
      <c r="Q29" t="n">
        <v>-1.965783</v>
      </c>
      <c r="R29" t="n">
        <v>9.661387</v>
      </c>
      <c r="S29" t="n">
        <v>12.410469</v>
      </c>
      <c r="T29" t="n">
        <v>-3.538629</v>
      </c>
      <c r="U29" t="n">
        <v>-10.74441</v>
      </c>
      <c r="V29" t="n">
        <v>-6.320117</v>
      </c>
      <c r="W29" t="n">
        <v>10.422525</v>
      </c>
      <c r="X29" t="n">
        <v>-1.038637</v>
      </c>
      <c r="Y29" t="n">
        <v>-0.549218</v>
      </c>
      <c r="Z29" t="n">
        <v>-10.91166</v>
      </c>
      <c r="AA29" t="n">
        <v>2.391043</v>
      </c>
      <c r="AB29" t="n">
        <v>3.938811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1.112422</v>
      </c>
      <c r="F30" t="n">
        <v>0.958269</v>
      </c>
      <c r="G30" t="n">
        <v>-1.878657</v>
      </c>
      <c r="H30" t="n">
        <v>5.827297</v>
      </c>
      <c r="I30" t="n">
        <v>4.186087</v>
      </c>
      <c r="J30" t="n">
        <v>-0.931011</v>
      </c>
      <c r="K30" t="n">
        <v>-1.997096</v>
      </c>
      <c r="L30" t="n">
        <v>5.149328</v>
      </c>
      <c r="M30" t="n">
        <v>3.208835</v>
      </c>
      <c r="N30" t="n">
        <v>2.003029</v>
      </c>
      <c r="O30" t="n">
        <v>-7.771555</v>
      </c>
      <c r="P30" t="n">
        <v>-5.878089</v>
      </c>
      <c r="Q30" t="n">
        <v>-15.099298</v>
      </c>
      <c r="R30" t="n">
        <v>-3.773577</v>
      </c>
      <c r="S30" t="n">
        <v>-13.481219</v>
      </c>
      <c r="T30" t="n">
        <v>8.809167</v>
      </c>
      <c r="U30" t="n">
        <v>-3.971256</v>
      </c>
      <c r="V30" t="n">
        <v>20.997412</v>
      </c>
      <c r="W30" t="n">
        <v>1.053736</v>
      </c>
      <c r="X30" t="n">
        <v>-0.069732</v>
      </c>
      <c r="Y30" t="n">
        <v>-7.412186</v>
      </c>
      <c r="Z30" t="n">
        <v>0.935009</v>
      </c>
      <c r="AA30" t="n">
        <v>9.70932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6.530792</v>
      </c>
      <c r="U31" t="n">
        <v>-10.985498</v>
      </c>
      <c r="V31" t="n">
        <v>-3.514781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11.961538</v>
      </c>
      <c r="F32" t="n">
        <v>-5.093802</v>
      </c>
      <c r="G32" t="n">
        <v>-2.161804</v>
      </c>
      <c r="H32" t="n">
        <v>0.114699</v>
      </c>
      <c r="I32" t="n">
        <v>0.11718</v>
      </c>
      <c r="J32" t="n">
        <v>-3.374147</v>
      </c>
      <c r="K32" t="n">
        <v>-0.873768</v>
      </c>
      <c r="L32" t="n">
        <v>1.342277</v>
      </c>
      <c r="M32" t="n">
        <v>6.414377</v>
      </c>
      <c r="N32" t="n">
        <v>-3.117919</v>
      </c>
      <c r="O32" t="n">
        <v>2.879708</v>
      </c>
      <c r="P32" t="n">
        <v>-3.385559</v>
      </c>
      <c r="Q32" t="n">
        <v>5.661918</v>
      </c>
      <c r="R32" t="n">
        <v>-7.743811</v>
      </c>
      <c r="S32" t="n">
        <v>6.470906</v>
      </c>
      <c r="T32" t="n">
        <v>-5.770865</v>
      </c>
      <c r="U32" t="n">
        <v>1.077356</v>
      </c>
      <c r="V32" t="n">
        <v>3.624677</v>
      </c>
      <c r="W32" t="n">
        <v>-7.996717</v>
      </c>
      <c r="X32" t="n">
        <v>-8.126944999999999</v>
      </c>
      <c r="Y32" t="n">
        <v>-1.249571</v>
      </c>
      <c r="Z32" t="n">
        <v>-4.928834</v>
      </c>
      <c r="AA32" t="n">
        <v>-6.66592</v>
      </c>
      <c r="AB32" t="n">
        <v>-6.150804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-5.978809</v>
      </c>
      <c r="U33" t="n">
        <v>-1.377467</v>
      </c>
      <c r="V33" t="n">
        <v>-2.085516</v>
      </c>
      <c r="W33" t="n">
        <v>-10.11784</v>
      </c>
      <c r="X33" t="n">
        <v>1.977225</v>
      </c>
      <c r="Y33" t="n">
        <v>13.412285</v>
      </c>
      <c r="Z33" t="n">
        <v>-9.861480999999999</v>
      </c>
      <c r="AA33" t="inlineStr">
        <is>
          <t>..</t>
        </is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8.771991999999999</v>
      </c>
      <c r="E34" t="n">
        <v>9.045979000000001</v>
      </c>
      <c r="F34" t="n">
        <v>0.499594</v>
      </c>
      <c r="G34" t="n">
        <v>-3.456103</v>
      </c>
      <c r="H34" t="n">
        <v>1.311167</v>
      </c>
      <c r="I34" t="n">
        <v>8.979312</v>
      </c>
      <c r="J34" t="n">
        <v>-2.281448</v>
      </c>
      <c r="K34" t="n">
        <v>-1.937102</v>
      </c>
      <c r="L34" t="n">
        <v>-1.583996</v>
      </c>
      <c r="M34" t="n">
        <v>0.636016</v>
      </c>
      <c r="N34" t="n">
        <v>-5.97373</v>
      </c>
      <c r="O34" t="n">
        <v>-9.544428</v>
      </c>
      <c r="P34" t="n">
        <v>-15.393925</v>
      </c>
      <c r="Q34" t="n">
        <v>-9.489652</v>
      </c>
      <c r="R34" t="n">
        <v>-3.010655</v>
      </c>
      <c r="S34" t="n">
        <v>-6.52989</v>
      </c>
      <c r="T34" t="n">
        <v>-6.533186</v>
      </c>
      <c r="U34" t="n">
        <v>-5.850019</v>
      </c>
      <c r="V34" t="n">
        <v>-5.521349</v>
      </c>
      <c r="W34" t="n">
        <v>-2.120758</v>
      </c>
      <c r="X34" t="n">
        <v>9.358313000000001</v>
      </c>
      <c r="Y34" t="n">
        <v>9.287979</v>
      </c>
      <c r="Z34" t="n">
        <v>6.844346</v>
      </c>
      <c r="AA34" t="n">
        <v>-2.869437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-1.1551</v>
      </c>
      <c r="F35" t="n">
        <v>-0.999324</v>
      </c>
      <c r="G35" t="n">
        <v>-6.011004</v>
      </c>
      <c r="H35" t="n">
        <v>8.225339</v>
      </c>
      <c r="I35" t="n">
        <v>2.853149</v>
      </c>
      <c r="J35" t="n">
        <v>12.114806</v>
      </c>
      <c r="K35" t="n">
        <v>0.07459399999999999</v>
      </c>
      <c r="L35" t="n">
        <v>4.795219</v>
      </c>
      <c r="M35" t="n">
        <v>-3.710822</v>
      </c>
      <c r="N35" t="n">
        <v>-1.045122</v>
      </c>
      <c r="O35" t="n">
        <v>-8.665955</v>
      </c>
      <c r="P35" t="n">
        <v>2.023942</v>
      </c>
      <c r="Q35" t="n">
        <v>-1.130033</v>
      </c>
      <c r="R35" t="n">
        <v>-1.107901</v>
      </c>
      <c r="S35" t="n">
        <v>10.232594</v>
      </c>
      <c r="T35" t="n">
        <v>4.368156</v>
      </c>
      <c r="U35" t="n">
        <v>-0.117409</v>
      </c>
      <c r="V35" t="n">
        <v>-1.347582</v>
      </c>
      <c r="W35" t="n">
        <v>-7.626757</v>
      </c>
      <c r="X35" t="n">
        <v>-0.236605</v>
      </c>
      <c r="Y35" t="n">
        <v>3.56025</v>
      </c>
      <c r="Z35" t="n">
        <v>11.067976</v>
      </c>
      <c r="AA35" t="n">
        <v>7.085827</v>
      </c>
      <c r="AB35" t="n">
        <v>-12.157479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5.690579</v>
      </c>
      <c r="F36" t="n">
        <v>-0.495519</v>
      </c>
      <c r="G36" t="n">
        <v>10.075939</v>
      </c>
      <c r="H36" t="n">
        <v>7.00295</v>
      </c>
      <c r="I36" t="n">
        <v>7.335367</v>
      </c>
      <c r="J36" t="n">
        <v>5.572138</v>
      </c>
      <c r="K36" t="n">
        <v>1.958481</v>
      </c>
      <c r="L36" t="n">
        <v>7.258778</v>
      </c>
      <c r="M36" t="n">
        <v>6.454423</v>
      </c>
      <c r="N36" t="n">
        <v>-3.147472</v>
      </c>
      <c r="O36" t="n">
        <v>4.277469</v>
      </c>
      <c r="P36" t="n">
        <v>3.68056</v>
      </c>
      <c r="Q36" t="n">
        <v>-1.255198</v>
      </c>
      <c r="R36" t="n">
        <v>6.952342</v>
      </c>
      <c r="S36" t="n">
        <v>-3.071075</v>
      </c>
      <c r="T36" t="n">
        <v>-3.357853</v>
      </c>
      <c r="U36" t="n">
        <v>1.572065</v>
      </c>
      <c r="V36" t="n">
        <v>-4.255268</v>
      </c>
      <c r="W36" t="n">
        <v>2.703294</v>
      </c>
      <c r="X36" t="n">
        <v>-0.224261</v>
      </c>
      <c r="Y36" t="n">
        <v>-3.340032</v>
      </c>
      <c r="Z36" t="n">
        <v>-5.828878</v>
      </c>
      <c r="AA36" t="n">
        <v>3.621351</v>
      </c>
      <c r="AB36" t="n">
        <v>-3.190311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36.993765</v>
      </c>
      <c r="F37" t="n">
        <v>-17.039729</v>
      </c>
      <c r="G37" t="n">
        <v>-5.934634</v>
      </c>
      <c r="H37" t="n">
        <v>31.46442</v>
      </c>
      <c r="I37" t="n">
        <v>-9.71801</v>
      </c>
      <c r="J37" t="n">
        <v>-23.455606</v>
      </c>
      <c r="K37" t="n">
        <v>33.065576</v>
      </c>
      <c r="L37" t="n">
        <v>32.092987</v>
      </c>
      <c r="M37" t="n">
        <v>14.711516</v>
      </c>
      <c r="N37" t="n">
        <v>-13.883164</v>
      </c>
      <c r="O37" t="n">
        <v>34.821141</v>
      </c>
      <c r="P37" t="n">
        <v>20.771701</v>
      </c>
      <c r="Q37" t="n">
        <v>-4.867613</v>
      </c>
      <c r="R37" t="n">
        <v>-23.784513</v>
      </c>
      <c r="S37" t="n">
        <v>-0.302465</v>
      </c>
      <c r="T37" t="n">
        <v>11.064369</v>
      </c>
      <c r="U37" t="n">
        <v>0.7706730000000001</v>
      </c>
      <c r="V37" t="n">
        <v>-6.175271</v>
      </c>
      <c r="W37" t="n">
        <v>4.863676</v>
      </c>
      <c r="X37" t="n">
        <v>-6.084349</v>
      </c>
      <c r="Y37" t="n">
        <v>-3.325198</v>
      </c>
      <c r="Z37" t="n">
        <v>-2.667099</v>
      </c>
      <c r="AA37" t="n">
        <v>-6.310776</v>
      </c>
      <c r="AB37" t="n">
        <v>3.51406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5.016008</v>
      </c>
      <c r="F38" t="n">
        <v>8.829720999999999</v>
      </c>
      <c r="G38" t="n">
        <v>3.219138</v>
      </c>
      <c r="H38" t="n">
        <v>-1.215605</v>
      </c>
      <c r="I38" t="n">
        <v>8.067515</v>
      </c>
      <c r="J38" t="n">
        <v>-1.936127</v>
      </c>
      <c r="K38" t="n">
        <v>2.428169</v>
      </c>
      <c r="L38" t="n">
        <v>1.55858</v>
      </c>
      <c r="M38" t="n">
        <v>7.779298</v>
      </c>
      <c r="N38" t="n">
        <v>2.680255</v>
      </c>
      <c r="O38" t="n">
        <v>6.435189</v>
      </c>
      <c r="P38" t="n">
        <v>0.6377350000000001</v>
      </c>
      <c r="Q38" t="n">
        <v>5.8296</v>
      </c>
      <c r="R38" t="n">
        <v>-7.109528</v>
      </c>
      <c r="S38" t="n">
        <v>3.526052</v>
      </c>
      <c r="T38" t="n">
        <v>-1.373022</v>
      </c>
      <c r="U38" t="n">
        <v>-1.870571</v>
      </c>
      <c r="V38" t="n">
        <v>1.581675</v>
      </c>
      <c r="W38" t="n">
        <v>0.195987</v>
      </c>
      <c r="X38" t="n">
        <v>-4.973449</v>
      </c>
      <c r="Y38" t="n">
        <v>4.901538</v>
      </c>
      <c r="Z38" t="n">
        <v>5.14532</v>
      </c>
      <c r="AA38" t="n">
        <v>2.71458</v>
      </c>
      <c r="AB38" t="n">
        <v>-4.351921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2.537465</v>
      </c>
      <c r="F39" t="n">
        <v>0.460575</v>
      </c>
      <c r="G39" t="n">
        <v>0.67189</v>
      </c>
      <c r="H39" t="n">
        <v>2.003927</v>
      </c>
      <c r="I39" t="n">
        <v>2.599922</v>
      </c>
      <c r="J39" t="n">
        <v>4.34247</v>
      </c>
      <c r="K39" t="n">
        <v>3.078721</v>
      </c>
      <c r="L39" t="n">
        <v>-0.7413999999999999</v>
      </c>
      <c r="M39" t="n">
        <v>-0.168458</v>
      </c>
      <c r="N39" t="n">
        <v>0.910952</v>
      </c>
      <c r="O39" t="n">
        <v>-0.185636</v>
      </c>
      <c r="P39" t="n">
        <v>1.292281</v>
      </c>
      <c r="Q39" t="n">
        <v>7.296289</v>
      </c>
      <c r="R39" t="n">
        <v>-6.279951</v>
      </c>
      <c r="S39" t="n">
        <v>9.941465000000001</v>
      </c>
      <c r="T39" t="n">
        <v>0.423131</v>
      </c>
      <c r="U39" t="n">
        <v>-1.954385</v>
      </c>
      <c r="V39" t="n">
        <v>-11.361386</v>
      </c>
      <c r="W39" t="n">
        <v>-0.354357</v>
      </c>
      <c r="X39" t="n">
        <v>-3.513248</v>
      </c>
      <c r="Y39" t="n">
        <v>6.742195</v>
      </c>
      <c r="Z39" t="n">
        <v>-2.084163</v>
      </c>
      <c r="AA39" t="n">
        <v>-5.338407</v>
      </c>
      <c r="AB39" t="n">
        <v>0.071949</v>
      </c>
    </row>
    <row r="40">
      <c r="A40" t="inlineStr">
        <is>
          <t>Sweden</t>
        </is>
      </c>
      <c r="C40" t="inlineStr"/>
      <c r="D40" t="n">
        <v>6.533834</v>
      </c>
      <c r="E40" t="n">
        <v>-0.783759</v>
      </c>
      <c r="F40" t="n">
        <v>1.660212</v>
      </c>
      <c r="G40" t="n">
        <v>-2.295396</v>
      </c>
      <c r="H40" t="n">
        <v>2.840144</v>
      </c>
      <c r="I40" t="n">
        <v>3.85486</v>
      </c>
      <c r="J40" t="n">
        <v>4.709315</v>
      </c>
      <c r="K40" t="n">
        <v>-4.260887</v>
      </c>
      <c r="L40" t="n">
        <v>-10.421898</v>
      </c>
      <c r="M40" t="n">
        <v>9.769080000000001</v>
      </c>
      <c r="N40" t="n">
        <v>2.062625</v>
      </c>
      <c r="O40" t="n">
        <v>-13.932637</v>
      </c>
      <c r="P40" t="n">
        <v>7.743529</v>
      </c>
      <c r="Q40" t="n">
        <v>-6.91219</v>
      </c>
      <c r="R40" t="n">
        <v>-3.851432</v>
      </c>
      <c r="S40" t="n">
        <v>2.895263</v>
      </c>
      <c r="T40" t="n">
        <v>-3.008885</v>
      </c>
      <c r="U40" t="n">
        <v>7.757074</v>
      </c>
      <c r="V40" t="n">
        <v>-7.21792</v>
      </c>
      <c r="W40" t="n">
        <v>0.00598</v>
      </c>
      <c r="X40" t="n">
        <v>2.960254</v>
      </c>
      <c r="Y40" t="n">
        <v>-2.313146</v>
      </c>
      <c r="Z40" t="n">
        <v>-3.629622</v>
      </c>
      <c r="AA40" t="n">
        <v>-0.491042</v>
      </c>
      <c r="AB40" t="n">
        <v>1.619569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-5.230728</v>
      </c>
      <c r="F41" t="n">
        <v>2.032599</v>
      </c>
      <c r="G41" t="n">
        <v>-3.273897</v>
      </c>
      <c r="H41" t="n">
        <v>0.230223</v>
      </c>
      <c r="I41" t="n">
        <v>0.52093</v>
      </c>
      <c r="J41" t="n">
        <v>1.822724</v>
      </c>
      <c r="K41" t="n">
        <v>-12.062864</v>
      </c>
      <c r="L41" t="n">
        <v>-8.70262</v>
      </c>
      <c r="M41" t="n">
        <v>-7.224966</v>
      </c>
      <c r="N41" t="n">
        <v>4.076028</v>
      </c>
      <c r="O41" t="n">
        <v>5.193394</v>
      </c>
      <c r="P41" t="n">
        <v>-0.156211</v>
      </c>
      <c r="Q41" t="n">
        <v>6.965124</v>
      </c>
      <c r="R41" t="n">
        <v>-8.568686</v>
      </c>
      <c r="S41" t="n">
        <v>-4.996206</v>
      </c>
      <c r="T41" t="n">
        <v>-9.677607</v>
      </c>
      <c r="U41" t="n">
        <v>3.626925</v>
      </c>
      <c r="V41" t="n">
        <v>0.854374</v>
      </c>
      <c r="W41" t="n">
        <v>-14.866067</v>
      </c>
      <c r="X41" t="n">
        <v>-15.680926</v>
      </c>
      <c r="Y41" t="n">
        <v>-15.67215</v>
      </c>
      <c r="Z41" t="n">
        <v>6.925909</v>
      </c>
      <c r="AA41" t="n">
        <v>8.375918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8.461808</v>
      </c>
      <c r="E42" t="n">
        <v>3.863878</v>
      </c>
      <c r="F42" t="n">
        <v>-1.477893</v>
      </c>
      <c r="G42" t="n">
        <v>3.163873</v>
      </c>
      <c r="H42" t="n">
        <v>7.834504</v>
      </c>
      <c r="I42" t="n">
        <v>1.010544</v>
      </c>
      <c r="J42" t="n">
        <v>-1.975139</v>
      </c>
      <c r="K42" t="n">
        <v>3.718123</v>
      </c>
      <c r="L42" t="n">
        <v>2.225655</v>
      </c>
      <c r="M42" t="n">
        <v>1.626732</v>
      </c>
      <c r="N42" t="n">
        <v>-4.067744</v>
      </c>
      <c r="O42" t="n">
        <v>-6.093378</v>
      </c>
      <c r="P42" t="n">
        <v>-3.944873</v>
      </c>
      <c r="Q42" t="n">
        <v>-5.160115</v>
      </c>
      <c r="R42" t="n">
        <v>-4.108502</v>
      </c>
      <c r="S42" t="n">
        <v>-4.369326</v>
      </c>
      <c r="T42" t="n">
        <v>-10.76256</v>
      </c>
      <c r="U42" t="n">
        <v>-9.834171</v>
      </c>
      <c r="V42" t="n">
        <v>-0.648738</v>
      </c>
      <c r="W42" t="n">
        <v>0.885528</v>
      </c>
      <c r="X42" t="n">
        <v>0.144142</v>
      </c>
      <c r="Y42" t="n">
        <v>5.192699</v>
      </c>
      <c r="Z42" t="n">
        <v>-1.33391</v>
      </c>
      <c r="AA42" t="n">
        <v>-5.632805</v>
      </c>
      <c r="AB42" t="n">
        <v>0.405239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-6.233793</v>
      </c>
      <c r="K43" t="n">
        <v>3.968667</v>
      </c>
      <c r="L43" t="n">
        <v>-4.200909</v>
      </c>
      <c r="M43" t="n">
        <v>3.412422</v>
      </c>
      <c r="N43" t="n">
        <v>-6.282222</v>
      </c>
      <c r="O43" t="n">
        <v>6.170482</v>
      </c>
      <c r="P43" t="n">
        <v>2.872622</v>
      </c>
      <c r="Q43" t="n">
        <v>-5.004498</v>
      </c>
      <c r="R43" t="n">
        <v>10.290607</v>
      </c>
      <c r="S43" t="n">
        <v>-3.847729</v>
      </c>
      <c r="T43" t="n">
        <v>0.130174</v>
      </c>
      <c r="U43" t="n">
        <v>0.976581</v>
      </c>
      <c r="V43" t="n">
        <v>-3.145911</v>
      </c>
      <c r="W43" t="n">
        <v>1.782306</v>
      </c>
      <c r="X43" t="n">
        <v>7.783318</v>
      </c>
      <c r="Y43" t="n">
        <v>2.947527</v>
      </c>
      <c r="Z43" t="n">
        <v>2.718879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5.125663</v>
      </c>
      <c r="F44" t="n">
        <v>-0.358056</v>
      </c>
      <c r="G44" t="n">
        <v>2.072951</v>
      </c>
      <c r="H44" t="n">
        <v>2.677887</v>
      </c>
      <c r="I44" t="n">
        <v>1.599316</v>
      </c>
      <c r="J44" t="n">
        <v>1.81693</v>
      </c>
      <c r="K44" t="n">
        <v>4.810453</v>
      </c>
      <c r="L44" t="n">
        <v>0.872171</v>
      </c>
      <c r="M44" t="n">
        <v>4.163464</v>
      </c>
      <c r="N44" t="n">
        <v>-1.755048</v>
      </c>
      <c r="O44" t="n">
        <v>-4.444534</v>
      </c>
      <c r="P44" t="n">
        <v>1.190549</v>
      </c>
      <c r="Q44" t="n">
        <v>1.990555</v>
      </c>
      <c r="R44" t="n">
        <v>-0.444918</v>
      </c>
      <c r="S44" t="n">
        <v>1.50734</v>
      </c>
      <c r="T44" t="n">
        <v>-5.278243</v>
      </c>
      <c r="U44" t="n">
        <v>3.300928</v>
      </c>
      <c r="V44" t="n">
        <v>-1.799418</v>
      </c>
      <c r="W44" t="n">
        <v>-1.833053</v>
      </c>
      <c r="X44" t="n">
        <v>-0.769856</v>
      </c>
      <c r="Y44" t="n">
        <v>2.005384</v>
      </c>
      <c r="Z44" t="n">
        <v>-0.151164</v>
      </c>
      <c r="AA44" t="n">
        <v>-2.145689</v>
      </c>
      <c r="AB44" t="n">
        <v>-2.485085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4.057267</v>
      </c>
      <c r="F45" t="n">
        <v>-0.355025</v>
      </c>
      <c r="G45" t="n">
        <v>2.717568</v>
      </c>
      <c r="H45" t="n">
        <v>5.063199</v>
      </c>
      <c r="I45" t="n">
        <v>3.500409</v>
      </c>
      <c r="J45" t="n">
        <v>3.231278</v>
      </c>
      <c r="K45" t="n">
        <v>3.795817</v>
      </c>
      <c r="L45" t="n">
        <v>2.220198</v>
      </c>
      <c r="M45" t="n">
        <v>2.125712</v>
      </c>
      <c r="N45" t="n">
        <v>-1.836652</v>
      </c>
      <c r="O45" t="n">
        <v>-4.842417</v>
      </c>
      <c r="P45" t="n">
        <v>1.597302</v>
      </c>
      <c r="Q45" t="n">
        <v>0.844681</v>
      </c>
      <c r="R45" t="n">
        <v>-0.562435</v>
      </c>
      <c r="S45" t="n">
        <v>1.739286</v>
      </c>
      <c r="T45" t="n">
        <v>-4.844454</v>
      </c>
      <c r="U45" t="n">
        <v>0.150173</v>
      </c>
      <c r="V45" t="n">
        <v>-2.203673</v>
      </c>
      <c r="W45" t="n">
        <v>-2.391557</v>
      </c>
      <c r="X45" t="n">
        <v>1.0436</v>
      </c>
      <c r="Y45" t="n">
        <v>2.760208</v>
      </c>
      <c r="Z45" t="n">
        <v>1.166606</v>
      </c>
      <c r="AA45" t="n">
        <v>-1.922713</v>
      </c>
      <c r="AB45" t="n">
        <v>-3.728092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-6.981844</v>
      </c>
      <c r="K46" t="n">
        <v>10.00204</v>
      </c>
      <c r="L46" t="n">
        <v>0.659419</v>
      </c>
      <c r="M46" t="n">
        <v>-2.982182</v>
      </c>
      <c r="N46" t="n">
        <v>3.152489</v>
      </c>
      <c r="O46" t="n">
        <v>3.491201</v>
      </c>
      <c r="P46" t="n">
        <v>0.727252</v>
      </c>
      <c r="Q46" t="n">
        <v>-1.321898</v>
      </c>
      <c r="R46" t="n">
        <v>-2.105425</v>
      </c>
      <c r="S46" t="n">
        <v>4.003585</v>
      </c>
      <c r="T46" t="n">
        <v>-0.946402</v>
      </c>
      <c r="U46" t="n">
        <v>-1.655982</v>
      </c>
      <c r="V46" t="n">
        <v>-4.961436</v>
      </c>
      <c r="W46" t="n">
        <v>13.581931</v>
      </c>
      <c r="X46" t="n">
        <v>5.994085</v>
      </c>
      <c r="Y46" t="n">
        <v>8.776481</v>
      </c>
      <c r="Z46" t="n">
        <v>0.794308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30.867186</v>
      </c>
      <c r="E47" t="n">
        <v>3.433863</v>
      </c>
      <c r="F47" t="n">
        <v>9.155865</v>
      </c>
      <c r="G47" t="n">
        <v>8.942449999999999</v>
      </c>
      <c r="H47" t="n">
        <v>10.288788</v>
      </c>
      <c r="I47" t="n">
        <v>-3.370857</v>
      </c>
      <c r="J47" t="n">
        <v>-7.068732</v>
      </c>
      <c r="K47" t="n">
        <v>-9.857027</v>
      </c>
      <c r="L47" t="n">
        <v>0.256675</v>
      </c>
      <c r="M47" t="n">
        <v>-2.299954</v>
      </c>
      <c r="N47" t="n">
        <v>16.222261</v>
      </c>
      <c r="O47" t="n">
        <v>-4.795952</v>
      </c>
      <c r="P47" t="n">
        <v>11.321653</v>
      </c>
      <c r="Q47" t="n">
        <v>-21.028767</v>
      </c>
      <c r="R47" t="n">
        <v>10.33822</v>
      </c>
      <c r="S47" t="n">
        <v>-29.009999</v>
      </c>
      <c r="T47" t="n">
        <v>18.480387</v>
      </c>
      <c r="U47" t="n">
        <v>9.070695000000001</v>
      </c>
      <c r="V47" t="n">
        <v>-16.149921</v>
      </c>
      <c r="W47" t="n">
        <v>14.761359</v>
      </c>
      <c r="X47" t="n">
        <v>20.380864</v>
      </c>
      <c r="Y47" t="n">
        <v>-10.161287</v>
      </c>
      <c r="Z47" t="n">
        <v>23.553897</v>
      </c>
      <c r="AA47" t="n">
        <v>11.606146</v>
      </c>
      <c r="AB47" t="inlineStr">
        <is>
          <t>..</t>
        </is>
      </c>
    </row>
    <row r="48">
      <c r="A48" t="inlineStr">
        <is>
          <t>Data extracted on 04 Jun 2020 21:30 UTC (GMT) from OECD.Stat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 IsDisplayed="true"&gt;&lt;Name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C: Manufacturing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2.877152</v>
      </c>
      <c r="E9" t="n">
        <v>-0.437182</v>
      </c>
      <c r="F9" t="n">
        <v>6.925454</v>
      </c>
      <c r="G9" t="n">
        <v>3.941735</v>
      </c>
      <c r="H9" t="n">
        <v>-5.271467</v>
      </c>
      <c r="I9" t="n">
        <v>6.829335</v>
      </c>
      <c r="J9" t="n">
        <v>2.988234</v>
      </c>
      <c r="K9" t="n">
        <v>4.083924</v>
      </c>
      <c r="L9" t="n">
        <v>1.145228</v>
      </c>
      <c r="M9" t="n">
        <v>1.662998</v>
      </c>
      <c r="N9" t="n">
        <v>-0.221015</v>
      </c>
      <c r="O9" t="n">
        <v>-0.561053</v>
      </c>
      <c r="P9" t="n">
        <v>1.894252</v>
      </c>
      <c r="Q9" t="n">
        <v>1.181449</v>
      </c>
      <c r="R9" t="n">
        <v>2.000234</v>
      </c>
      <c r="S9" t="n">
        <v>1.457994</v>
      </c>
      <c r="T9" t="n">
        <v>1.212276</v>
      </c>
      <c r="U9" t="n">
        <v>0.289287</v>
      </c>
      <c r="V9" t="n">
        <v>-2.583693</v>
      </c>
      <c r="W9" t="n">
        <v>-0.981908</v>
      </c>
      <c r="X9" t="n">
        <v>0.159597</v>
      </c>
      <c r="Y9" t="n">
        <v>0.574867</v>
      </c>
      <c r="Z9" t="n">
        <v>-4.087587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7.705436</v>
      </c>
      <c r="E10" t="n">
        <v>3.493053</v>
      </c>
      <c r="F10" t="n">
        <v>3.292483</v>
      </c>
      <c r="G10" t="n">
        <v>2.595522</v>
      </c>
      <c r="H10" t="n">
        <v>4.163498</v>
      </c>
      <c r="I10" t="n">
        <v>6.632105</v>
      </c>
      <c r="J10" t="n">
        <v>2.626684</v>
      </c>
      <c r="K10" t="n">
        <v>1.006394</v>
      </c>
      <c r="L10" t="n">
        <v>1.046575</v>
      </c>
      <c r="M10" t="n">
        <v>4.432717</v>
      </c>
      <c r="N10" t="n">
        <v>5.37147</v>
      </c>
      <c r="O10" t="n">
        <v>7.815195</v>
      </c>
      <c r="P10" t="n">
        <v>5.284663</v>
      </c>
      <c r="Q10" t="n">
        <v>0.339338</v>
      </c>
      <c r="R10" t="n">
        <v>-11.499369</v>
      </c>
      <c r="S10" t="n">
        <v>9.724944000000001</v>
      </c>
      <c r="T10" t="n">
        <v>5.698102</v>
      </c>
      <c r="U10" t="n">
        <v>1.050482</v>
      </c>
      <c r="V10" t="n">
        <v>0.518423</v>
      </c>
      <c r="W10" t="n">
        <v>2.292879</v>
      </c>
      <c r="X10" t="n">
        <v>0.365581</v>
      </c>
      <c r="Y10" t="n">
        <v>4.053353</v>
      </c>
      <c r="Z10" t="n">
        <v>3.436715</v>
      </c>
      <c r="AA10" t="n">
        <v>2.237175</v>
      </c>
      <c r="AB10" t="n">
        <v>-0.994405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4.51491</v>
      </c>
      <c r="F11" t="n">
        <v>7.811887</v>
      </c>
      <c r="G11" t="n">
        <v>3.135033</v>
      </c>
      <c r="H11" t="n">
        <v>2.008268</v>
      </c>
      <c r="I11" t="n">
        <v>4.562902</v>
      </c>
      <c r="J11" t="n">
        <v>-0.324927</v>
      </c>
      <c r="K11" t="n">
        <v>3.919185</v>
      </c>
      <c r="L11" t="n">
        <v>2.921187</v>
      </c>
      <c r="M11" t="n">
        <v>7.146003</v>
      </c>
      <c r="N11" t="n">
        <v>3.532121</v>
      </c>
      <c r="O11" t="n">
        <v>-1.389192</v>
      </c>
      <c r="P11" t="n">
        <v>7.005714</v>
      </c>
      <c r="Q11" t="n">
        <v>-3.259667</v>
      </c>
      <c r="R11" t="n">
        <v>-3.801312</v>
      </c>
      <c r="S11" t="n">
        <v>9.639977999999999</v>
      </c>
      <c r="T11" t="n">
        <v>-0.072425</v>
      </c>
      <c r="U11" t="n">
        <v>-0.127424</v>
      </c>
      <c r="V11" t="n">
        <v>3.419362</v>
      </c>
      <c r="W11" t="n">
        <v>5.814642</v>
      </c>
      <c r="X11" t="n">
        <v>5.269344</v>
      </c>
      <c r="Y11" t="n">
        <v>-1.68215</v>
      </c>
      <c r="Z11" t="n">
        <v>2.10481</v>
      </c>
      <c r="AA11" t="n">
        <v>-1.641767</v>
      </c>
      <c r="AB11" t="n">
        <v>-1.411345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0.756356</v>
      </c>
      <c r="R12" t="n">
        <v>-6.632876</v>
      </c>
      <c r="S12" t="n">
        <v>4.675547</v>
      </c>
      <c r="T12" t="n">
        <v>2.662676</v>
      </c>
      <c r="U12" t="n">
        <v>1.601607</v>
      </c>
      <c r="V12" t="n">
        <v>1.461275</v>
      </c>
      <c r="W12" t="n">
        <v>3.614952</v>
      </c>
      <c r="X12" t="n">
        <v>2.494138</v>
      </c>
      <c r="Y12" t="n">
        <v>0.493211</v>
      </c>
      <c r="Z12" t="n">
        <v>1.341579</v>
      </c>
      <c r="AA12" t="n">
        <v>3.295354</v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n">
        <v>0.699817</v>
      </c>
      <c r="U13" t="n">
        <v>0.852607</v>
      </c>
      <c r="V13" t="n">
        <v>1.484854</v>
      </c>
      <c r="W13" t="n">
        <v>-1.545053</v>
      </c>
      <c r="X13" t="n">
        <v>-0.062231</v>
      </c>
      <c r="Y13" t="n">
        <v>0.58484</v>
      </c>
      <c r="Z13" t="n">
        <v>0.672461</v>
      </c>
      <c r="AA13" t="n">
        <v>6.654373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15.179769</v>
      </c>
      <c r="E14" t="n">
        <v>5.955778</v>
      </c>
      <c r="F14" t="n">
        <v>2.772376</v>
      </c>
      <c r="G14" t="n">
        <v>2.979016</v>
      </c>
      <c r="H14" t="n">
        <v>11.764993</v>
      </c>
      <c r="I14" t="n">
        <v>11.506966</v>
      </c>
      <c r="J14" t="n">
        <v>3.707167</v>
      </c>
      <c r="K14" t="n">
        <v>4.163683</v>
      </c>
      <c r="L14" t="n">
        <v>4.896261</v>
      </c>
      <c r="M14" t="n">
        <v>7.548584</v>
      </c>
      <c r="N14" t="n">
        <v>12.384002</v>
      </c>
      <c r="O14" t="n">
        <v>19.629625</v>
      </c>
      <c r="P14" t="n">
        <v>3.748556</v>
      </c>
      <c r="Q14" t="n">
        <v>7.644393</v>
      </c>
      <c r="R14" t="n">
        <v>-4.651129</v>
      </c>
      <c r="S14" t="n">
        <v>14.854004</v>
      </c>
      <c r="T14" t="n">
        <v>6.273789</v>
      </c>
      <c r="U14" t="n">
        <v>-4.164557</v>
      </c>
      <c r="V14" t="n">
        <v>-2.581784</v>
      </c>
      <c r="W14" t="n">
        <v>4.828515</v>
      </c>
      <c r="X14" t="n">
        <v>1.629772</v>
      </c>
      <c r="Y14" t="n">
        <v>0.794843</v>
      </c>
      <c r="Z14" t="n">
        <v>9.134912</v>
      </c>
      <c r="AA14" t="n">
        <v>0.453179</v>
      </c>
      <c r="AB14" t="n">
        <v>1.134908</v>
      </c>
    </row>
    <row r="15">
      <c r="A15" t="inlineStr">
        <is>
          <t>Denmark</t>
        </is>
      </c>
      <c r="C15" t="inlineStr"/>
      <c r="D15" t="n">
        <v>2.997019</v>
      </c>
      <c r="E15" t="n">
        <v>-2.476895</v>
      </c>
      <c r="F15" t="n">
        <v>10.248718</v>
      </c>
      <c r="G15" t="n">
        <v>2.778432</v>
      </c>
      <c r="H15" t="n">
        <v>3.772773</v>
      </c>
      <c r="I15" t="n">
        <v>5.109124</v>
      </c>
      <c r="J15" t="n">
        <v>1.024163</v>
      </c>
      <c r="K15" t="n">
        <v>0.202722</v>
      </c>
      <c r="L15" t="n">
        <v>1.367069</v>
      </c>
      <c r="M15" t="n">
        <v>6.10414</v>
      </c>
      <c r="N15" t="n">
        <v>0.182604</v>
      </c>
      <c r="O15" t="n">
        <v>5.744203</v>
      </c>
      <c r="P15" t="n">
        <v>-1.497398</v>
      </c>
      <c r="Q15" t="n">
        <v>-1.080567</v>
      </c>
      <c r="R15" t="n">
        <v>0.9840989999999999</v>
      </c>
      <c r="S15" t="n">
        <v>13.897588</v>
      </c>
      <c r="T15" t="n">
        <v>6.311803</v>
      </c>
      <c r="U15" t="n">
        <v>6.109113</v>
      </c>
      <c r="V15" t="n">
        <v>4.668684</v>
      </c>
      <c r="W15" t="n">
        <v>0.83242</v>
      </c>
      <c r="X15" t="n">
        <v>-1.757864</v>
      </c>
      <c r="Y15" t="n">
        <v>4.768126</v>
      </c>
      <c r="Z15" t="n">
        <v>1.392662</v>
      </c>
      <c r="AA15" t="n">
        <v>3.586482</v>
      </c>
      <c r="AB15" t="n">
        <v>3.929962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5.621851</v>
      </c>
      <c r="F16" t="n">
        <v>33.148203</v>
      </c>
      <c r="G16" t="n">
        <v>7.54828</v>
      </c>
      <c r="H16" t="n">
        <v>4.928195</v>
      </c>
      <c r="I16" t="n">
        <v>13.942669</v>
      </c>
      <c r="J16" t="n">
        <v>11.913045</v>
      </c>
      <c r="K16" t="n">
        <v>10.623074</v>
      </c>
      <c r="L16" t="n">
        <v>4.221689</v>
      </c>
      <c r="M16" t="n">
        <v>0.453299</v>
      </c>
      <c r="N16" t="n">
        <v>8.501816</v>
      </c>
      <c r="O16" t="n">
        <v>14.462205</v>
      </c>
      <c r="P16" t="n">
        <v>7.743162</v>
      </c>
      <c r="Q16" t="n">
        <v>-6.1536</v>
      </c>
      <c r="R16" t="n">
        <v>-8.045439999999999</v>
      </c>
      <c r="S16" t="n">
        <v>26.637252</v>
      </c>
      <c r="T16" t="n">
        <v>2.046678</v>
      </c>
      <c r="U16" t="n">
        <v>5.5884</v>
      </c>
      <c r="V16" t="n">
        <v>1.82867</v>
      </c>
      <c r="W16" t="n">
        <v>8.109892</v>
      </c>
      <c r="X16" t="n">
        <v>-3.260692</v>
      </c>
      <c r="Y16" t="n">
        <v>1.378728</v>
      </c>
      <c r="Z16" t="n">
        <v>0.609862</v>
      </c>
      <c r="AA16" t="n">
        <v>8.430832000000001</v>
      </c>
      <c r="AB16" t="n">
        <v>6.135737</v>
      </c>
    </row>
    <row r="17">
      <c r="A17" t="inlineStr">
        <is>
          <t>Finland</t>
        </is>
      </c>
      <c r="C17" t="inlineStr"/>
      <c r="D17" t="n">
        <v>2.099219</v>
      </c>
      <c r="E17" t="n">
        <v>2.962716</v>
      </c>
      <c r="F17" t="n">
        <v>6.312201</v>
      </c>
      <c r="G17" t="n">
        <v>7.32059</v>
      </c>
      <c r="H17" t="n">
        <v>7.38725</v>
      </c>
      <c r="I17" t="n">
        <v>12.023002</v>
      </c>
      <c r="J17" t="n">
        <v>2.732008</v>
      </c>
      <c r="K17" t="n">
        <v>5.531139</v>
      </c>
      <c r="L17" t="n">
        <v>5.798619</v>
      </c>
      <c r="M17" t="n">
        <v>7.671276</v>
      </c>
      <c r="N17" t="n">
        <v>3.614621</v>
      </c>
      <c r="O17" t="n">
        <v>10.597878</v>
      </c>
      <c r="P17" t="n">
        <v>8.830745</v>
      </c>
      <c r="Q17" t="n">
        <v>-3.935844</v>
      </c>
      <c r="R17" t="n">
        <v>-14.666509</v>
      </c>
      <c r="S17" t="n">
        <v>12.793638</v>
      </c>
      <c r="T17" t="n">
        <v>-1.058548</v>
      </c>
      <c r="U17" t="n">
        <v>-11.247675</v>
      </c>
      <c r="V17" t="n">
        <v>4.654448</v>
      </c>
      <c r="W17" t="n">
        <v>1.983434</v>
      </c>
      <c r="X17" t="n">
        <v>1.934009</v>
      </c>
      <c r="Y17" t="n">
        <v>6.424549</v>
      </c>
      <c r="Z17" t="n">
        <v>8.241985</v>
      </c>
      <c r="AA17" t="n">
        <v>-1.96388</v>
      </c>
      <c r="AB17" t="n">
        <v>3.66559</v>
      </c>
    </row>
    <row r="18">
      <c r="A18" t="inlineStr">
        <is>
          <t>France</t>
        </is>
      </c>
      <c r="C18" t="inlineStr"/>
      <c r="D18" t="n">
        <v>3.881426</v>
      </c>
      <c r="E18" t="n">
        <v>1.97208</v>
      </c>
      <c r="F18" t="n">
        <v>5.272113</v>
      </c>
      <c r="G18" t="n">
        <v>5.30705</v>
      </c>
      <c r="H18" t="n">
        <v>4.219528</v>
      </c>
      <c r="I18" t="n">
        <v>4.654493</v>
      </c>
      <c r="J18" t="n">
        <v>0.546195</v>
      </c>
      <c r="K18" t="n">
        <v>1.630609</v>
      </c>
      <c r="L18" t="n">
        <v>4.442896</v>
      </c>
      <c r="M18" t="n">
        <v>5.917035</v>
      </c>
      <c r="N18" t="n">
        <v>3.900278</v>
      </c>
      <c r="O18" t="n">
        <v>4.61004</v>
      </c>
      <c r="P18" t="n">
        <v>3.113068</v>
      </c>
      <c r="Q18" t="n">
        <v>-2.092645</v>
      </c>
      <c r="R18" t="n">
        <v>-0.80626</v>
      </c>
      <c r="S18" t="n">
        <v>7.268691</v>
      </c>
      <c r="T18" t="n">
        <v>4.693002</v>
      </c>
      <c r="U18" t="n">
        <v>0.30863</v>
      </c>
      <c r="V18" t="n">
        <v>1.121108</v>
      </c>
      <c r="W18" t="n">
        <v>2.114379</v>
      </c>
      <c r="X18" t="n">
        <v>2.75819</v>
      </c>
      <c r="Y18" t="n">
        <v>1.441948</v>
      </c>
      <c r="Z18" t="n">
        <v>1.610533</v>
      </c>
      <c r="AA18" t="n">
        <v>-0.037193</v>
      </c>
      <c r="AB18" t="n">
        <v>0.825923</v>
      </c>
    </row>
    <row r="19">
      <c r="A19" t="inlineStr">
        <is>
          <t>Germany</t>
        </is>
      </c>
      <c r="C19" t="inlineStr"/>
      <c r="D19" t="n">
        <v>1.896956</v>
      </c>
      <c r="E19" t="n">
        <v>-0.255454</v>
      </c>
      <c r="F19" t="n">
        <v>5.667756</v>
      </c>
      <c r="G19" t="n">
        <v>0.335543</v>
      </c>
      <c r="H19" t="n">
        <v>1.328584</v>
      </c>
      <c r="I19" t="n">
        <v>5.952502</v>
      </c>
      <c r="J19" t="n">
        <v>1.171387</v>
      </c>
      <c r="K19" t="n">
        <v>-0.273416</v>
      </c>
      <c r="L19" t="n">
        <v>3.74955</v>
      </c>
      <c r="M19" t="n">
        <v>5.2614</v>
      </c>
      <c r="N19" t="n">
        <v>3.423305</v>
      </c>
      <c r="O19" t="n">
        <v>9.83118</v>
      </c>
      <c r="P19" t="n">
        <v>2.659715</v>
      </c>
      <c r="Q19" t="n">
        <v>-4.514812</v>
      </c>
      <c r="R19" t="n">
        <v>-17.304466</v>
      </c>
      <c r="S19" t="n">
        <v>21.386322</v>
      </c>
      <c r="T19" t="n">
        <v>6.183521</v>
      </c>
      <c r="U19" t="n">
        <v>-3.482249</v>
      </c>
      <c r="V19" t="n">
        <v>-0.386107</v>
      </c>
      <c r="W19" t="n">
        <v>4.371561</v>
      </c>
      <c r="X19" t="n">
        <v>0.58589</v>
      </c>
      <c r="Y19" t="n">
        <v>3.84571</v>
      </c>
      <c r="Z19" t="n">
        <v>2.260952</v>
      </c>
      <c r="AA19" t="n">
        <v>-0.231436</v>
      </c>
      <c r="AB19" t="n">
        <v>-4.177958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-4.660338</v>
      </c>
      <c r="F20" t="n">
        <v>3.888999</v>
      </c>
      <c r="G20" t="n">
        <v>1.168789</v>
      </c>
      <c r="H20" t="n">
        <v>11.016985</v>
      </c>
      <c r="I20" t="n">
        <v>4.848225</v>
      </c>
      <c r="J20" t="n">
        <v>5.494402</v>
      </c>
      <c r="K20" t="n">
        <v>4.826936</v>
      </c>
      <c r="L20" t="n">
        <v>4.119358</v>
      </c>
      <c r="M20" t="n">
        <v>-2.484748</v>
      </c>
      <c r="N20" t="n">
        <v>-2.117331</v>
      </c>
      <c r="O20" t="n">
        <v>-0.507066</v>
      </c>
      <c r="P20" t="n">
        <v>5.28081</v>
      </c>
      <c r="Q20" t="n">
        <v>-10.015307</v>
      </c>
      <c r="R20" t="n">
        <v>-0.539478</v>
      </c>
      <c r="S20" t="n">
        <v>-4.312438</v>
      </c>
      <c r="T20" t="n">
        <v>2.763837</v>
      </c>
      <c r="U20" t="n">
        <v>0.924254</v>
      </c>
      <c r="V20" t="n">
        <v>6.236906</v>
      </c>
      <c r="W20" t="n">
        <v>0.924434</v>
      </c>
      <c r="X20" t="n">
        <v>-4.766769</v>
      </c>
      <c r="Y20" t="n">
        <v>6.985381</v>
      </c>
      <c r="Z20" t="n">
        <v>0.199306</v>
      </c>
      <c r="AA20" t="n">
        <v>1.829916</v>
      </c>
      <c r="AB20" t="n">
        <v>-4.296867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3.817712</v>
      </c>
      <c r="F21" t="n">
        <v>11.634315</v>
      </c>
      <c r="G21" t="n">
        <v>4.824087</v>
      </c>
      <c r="H21" t="n">
        <v>3.769794</v>
      </c>
      <c r="I21" t="n">
        <v>4.382831</v>
      </c>
      <c r="J21" t="n">
        <v>4.121496</v>
      </c>
      <c r="K21" t="n">
        <v>7.488165</v>
      </c>
      <c r="L21" t="n">
        <v>9.707483</v>
      </c>
      <c r="M21" t="n">
        <v>12.9604</v>
      </c>
      <c r="N21" t="n">
        <v>7.08638</v>
      </c>
      <c r="O21" t="n">
        <v>7.272483</v>
      </c>
      <c r="P21" t="n">
        <v>7.666027</v>
      </c>
      <c r="Q21" t="n">
        <v>-0.808974</v>
      </c>
      <c r="R21" t="n">
        <v>-9.855074</v>
      </c>
      <c r="S21" t="n">
        <v>13.009081</v>
      </c>
      <c r="T21" t="n">
        <v>0.6533600000000001</v>
      </c>
      <c r="U21" t="n">
        <v>-3.816026</v>
      </c>
      <c r="V21" t="n">
        <v>0.720322</v>
      </c>
      <c r="W21" t="n">
        <v>5.189904</v>
      </c>
      <c r="X21" t="n">
        <v>9.165862000000001</v>
      </c>
      <c r="Y21" t="n">
        <v>-4.116739</v>
      </c>
      <c r="Z21" t="n">
        <v>0.013012</v>
      </c>
      <c r="AA21" t="n">
        <v>-3.180077</v>
      </c>
      <c r="AB21" t="n">
        <v>4.51973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4.158634</v>
      </c>
      <c r="S22" t="n">
        <v>1.786292</v>
      </c>
      <c r="T22" t="n">
        <v>4.655006</v>
      </c>
      <c r="U22" t="n">
        <v>0.297068</v>
      </c>
      <c r="V22" t="n">
        <v>3.888527</v>
      </c>
      <c r="W22" t="n">
        <v>0.949255</v>
      </c>
      <c r="X22" t="n">
        <v>4.826348</v>
      </c>
      <c r="Y22" t="n">
        <v>-3.553727</v>
      </c>
      <c r="Z22" t="n">
        <v>1.344594</v>
      </c>
      <c r="AA22" t="n">
        <v>0.926935</v>
      </c>
      <c r="AB22" t="n">
        <v>3.967939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5.163144</v>
      </c>
      <c r="F23" t="n">
        <v>9.141816</v>
      </c>
      <c r="G23" t="n">
        <v>10.764463</v>
      </c>
      <c r="H23" t="n">
        <v>10.839184</v>
      </c>
      <c r="I23" t="n">
        <v>12.125246</v>
      </c>
      <c r="J23" t="n">
        <v>4.903034</v>
      </c>
      <c r="K23" t="n">
        <v>16.540445</v>
      </c>
      <c r="L23" t="n">
        <v>1.895172</v>
      </c>
      <c r="M23" t="n">
        <v>1.415979</v>
      </c>
      <c r="N23" t="n">
        <v>7.984373</v>
      </c>
      <c r="O23" t="n">
        <v>2.276714</v>
      </c>
      <c r="P23" t="n">
        <v>5.670164</v>
      </c>
      <c r="Q23" t="n">
        <v>-5.946036</v>
      </c>
      <c r="R23" t="n">
        <v>4.999164</v>
      </c>
      <c r="S23" t="n">
        <v>23.44115</v>
      </c>
      <c r="T23" t="n">
        <v>5.756747</v>
      </c>
      <c r="U23" t="n">
        <v>-0.069587</v>
      </c>
      <c r="V23" t="n">
        <v>-7.937671</v>
      </c>
      <c r="W23" t="n">
        <v>9.203132</v>
      </c>
      <c r="X23" t="n">
        <v>81.716927</v>
      </c>
      <c r="Y23" t="n">
        <v>-2.324732</v>
      </c>
      <c r="Z23" t="n">
        <v>6.079895</v>
      </c>
      <c r="AA23" t="n">
        <v>11.103363</v>
      </c>
      <c r="AB23" t="n">
        <v>1.147543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6.111496</v>
      </c>
      <c r="F24" t="n">
        <v>7.734169</v>
      </c>
      <c r="G24" t="n">
        <v>7.042873</v>
      </c>
      <c r="H24" t="n">
        <v>6.280738</v>
      </c>
      <c r="I24" t="n">
        <v>11.600257</v>
      </c>
      <c r="J24" t="n">
        <v>-2.538526</v>
      </c>
      <c r="K24" t="n">
        <v>-0.870108</v>
      </c>
      <c r="L24" t="n">
        <v>9.287118</v>
      </c>
      <c r="M24" t="n">
        <v>-0.295354</v>
      </c>
      <c r="N24" t="n">
        <v>4.7787</v>
      </c>
      <c r="O24" t="n">
        <v>2.252166</v>
      </c>
      <c r="P24" t="n">
        <v>1.748734</v>
      </c>
      <c r="Q24" t="n">
        <v>-5.773355</v>
      </c>
      <c r="R24" t="n">
        <v>-4.660401</v>
      </c>
      <c r="S24" t="n">
        <v>13.791247</v>
      </c>
      <c r="T24" t="n">
        <v>-2.177027</v>
      </c>
      <c r="U24" t="n">
        <v>-0.000539</v>
      </c>
      <c r="V24" t="n">
        <v>-2.658127</v>
      </c>
      <c r="W24" t="n">
        <v>5.191755</v>
      </c>
      <c r="X24" t="n">
        <v>-1.754445</v>
      </c>
      <c r="Y24" t="n">
        <v>-5.83826</v>
      </c>
      <c r="Z24" t="n">
        <v>2.043933</v>
      </c>
      <c r="AA24" t="n">
        <v>1.794008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5.518118</v>
      </c>
      <c r="E25" t="n">
        <v>0.912931</v>
      </c>
      <c r="F25" t="n">
        <v>1.4662</v>
      </c>
      <c r="G25" t="n">
        <v>-0.477872</v>
      </c>
      <c r="H25" t="n">
        <v>0.981869</v>
      </c>
      <c r="I25" t="n">
        <v>3.642401</v>
      </c>
      <c r="J25" t="n">
        <v>-0.249607</v>
      </c>
      <c r="K25" t="n">
        <v>-0.563611</v>
      </c>
      <c r="L25" t="n">
        <v>-2.617443</v>
      </c>
      <c r="M25" t="n">
        <v>2.731975</v>
      </c>
      <c r="N25" t="n">
        <v>1.567153</v>
      </c>
      <c r="O25" t="n">
        <v>3.530651</v>
      </c>
      <c r="P25" t="n">
        <v>2.518474</v>
      </c>
      <c r="Q25" t="n">
        <v>-2.252459</v>
      </c>
      <c r="R25" t="n">
        <v>-14.283585</v>
      </c>
      <c r="S25" t="n">
        <v>13.6791</v>
      </c>
      <c r="T25" t="n">
        <v>2.373485</v>
      </c>
      <c r="U25" t="n">
        <v>-2.161976</v>
      </c>
      <c r="V25" t="n">
        <v>1.568052</v>
      </c>
      <c r="W25" t="n">
        <v>2.118623</v>
      </c>
      <c r="X25" t="n">
        <v>3.490194</v>
      </c>
      <c r="Y25" t="n">
        <v>2.0841</v>
      </c>
      <c r="Z25" t="n">
        <v>2.821248</v>
      </c>
      <c r="AA25" t="n">
        <v>1.231045</v>
      </c>
      <c r="AB25" t="n">
        <v>-0.780711</v>
      </c>
    </row>
    <row r="26">
      <c r="A26" t="inlineStr">
        <is>
          <t>Japan</t>
        </is>
      </c>
      <c r="C26" t="inlineStr"/>
      <c r="D26" t="n">
        <v>7.790366</v>
      </c>
      <c r="E26" t="n">
        <v>5.729171</v>
      </c>
      <c r="F26" t="n">
        <v>2.598852</v>
      </c>
      <c r="G26" t="n">
        <v>0.193866</v>
      </c>
      <c r="H26" t="n">
        <v>2.199998</v>
      </c>
      <c r="I26" t="n">
        <v>7.737904</v>
      </c>
      <c r="J26" t="n">
        <v>-2.82594</v>
      </c>
      <c r="K26" t="n">
        <v>3.310746</v>
      </c>
      <c r="L26" t="n">
        <v>6.34109</v>
      </c>
      <c r="M26" t="n">
        <v>7.20048</v>
      </c>
      <c r="N26" t="n">
        <v>7.172565</v>
      </c>
      <c r="O26" t="n">
        <v>1.273185</v>
      </c>
      <c r="P26" t="n">
        <v>3.454607</v>
      </c>
      <c r="Q26" t="n">
        <v>0.305001</v>
      </c>
      <c r="R26" t="n">
        <v>-13.582816</v>
      </c>
      <c r="S26" t="n">
        <v>17.383656</v>
      </c>
      <c r="T26" t="n">
        <v>-1.88124</v>
      </c>
      <c r="U26" t="n">
        <v>3.995957</v>
      </c>
      <c r="V26" t="n">
        <v>2.130797</v>
      </c>
      <c r="W26" t="n">
        <v>2.963392</v>
      </c>
      <c r="X26" t="n">
        <v>4.867826</v>
      </c>
      <c r="Y26" t="n">
        <v>-0.644741</v>
      </c>
      <c r="Z26" t="n">
        <v>3.821635</v>
      </c>
      <c r="AA26" t="n">
        <v>0.394821</v>
      </c>
      <c r="AB26" t="inlineStr">
        <is>
          <t>..</t>
        </is>
      </c>
    </row>
    <row r="27">
      <c r="A27" t="inlineStr">
        <is>
          <t>Korea</t>
        </is>
      </c>
      <c r="C27" t="inlineStr"/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6.921421</v>
      </c>
      <c r="O27" t="n">
        <v>9.405207000000001</v>
      </c>
      <c r="P27" t="n">
        <v>8.816478999999999</v>
      </c>
      <c r="Q27" t="n">
        <v>4.554449</v>
      </c>
      <c r="R27" t="n">
        <v>0.9757439999999999</v>
      </c>
      <c r="S27" t="n">
        <v>7.997037</v>
      </c>
      <c r="T27" t="n">
        <v>3.267244</v>
      </c>
      <c r="U27" t="n">
        <v>1.061326</v>
      </c>
      <c r="V27" t="n">
        <v>1.361157</v>
      </c>
      <c r="W27" t="n">
        <v>-0.34012</v>
      </c>
      <c r="X27" t="n">
        <v>-1.541685</v>
      </c>
      <c r="Y27" t="n">
        <v>2.765318</v>
      </c>
      <c r="Z27" t="n">
        <v>4.114829</v>
      </c>
      <c r="AA27" t="n">
        <v>4.655856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3.161789</v>
      </c>
      <c r="F28" t="n">
        <v>11.685756</v>
      </c>
      <c r="G28" t="n">
        <v>5.329991</v>
      </c>
      <c r="H28" t="n">
        <v>-2.31394</v>
      </c>
      <c r="I28" t="n">
        <v>10.538687</v>
      </c>
      <c r="J28" t="n">
        <v>2.526784</v>
      </c>
      <c r="K28" t="n">
        <v>7.487936</v>
      </c>
      <c r="L28" t="n">
        <v>0.899877</v>
      </c>
      <c r="M28" t="n">
        <v>9.087911999999999</v>
      </c>
      <c r="N28" t="n">
        <v>6.347284</v>
      </c>
      <c r="O28" t="n">
        <v>6.671419</v>
      </c>
      <c r="P28" t="n">
        <v>1.95969</v>
      </c>
      <c r="Q28" t="n">
        <v>-5.171165</v>
      </c>
      <c r="R28" t="n">
        <v>0.650204</v>
      </c>
      <c r="S28" t="n">
        <v>14.955712</v>
      </c>
      <c r="T28" t="n">
        <v>2.023007</v>
      </c>
      <c r="U28" t="n">
        <v>-0.6730120000000001</v>
      </c>
      <c r="V28" t="n">
        <v>-1.748321</v>
      </c>
      <c r="W28" t="n">
        <v>4.741714</v>
      </c>
      <c r="X28" t="n">
        <v>2.306066</v>
      </c>
      <c r="Y28" t="n">
        <v>2.235628</v>
      </c>
      <c r="Z28" t="n">
        <v>6.860267</v>
      </c>
      <c r="AA28" t="n">
        <v>1.650901</v>
      </c>
      <c r="AB28" t="n">
        <v>1.551619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4.027709</v>
      </c>
      <c r="F29" t="n">
        <v>8.457082</v>
      </c>
      <c r="G29" t="n">
        <v>13.879875</v>
      </c>
      <c r="H29" t="n">
        <v>-0.875329</v>
      </c>
      <c r="I29" t="n">
        <v>17.399102</v>
      </c>
      <c r="J29" t="n">
        <v>19.500439</v>
      </c>
      <c r="K29" t="n">
        <v>-2.382216</v>
      </c>
      <c r="L29" t="n">
        <v>11.324269</v>
      </c>
      <c r="M29" t="n">
        <v>17.026792</v>
      </c>
      <c r="N29" t="n">
        <v>3.999444</v>
      </c>
      <c r="O29" t="n">
        <v>13.861747</v>
      </c>
      <c r="P29" t="n">
        <v>5.846923</v>
      </c>
      <c r="Q29" t="n">
        <v>2.101917</v>
      </c>
      <c r="R29" t="n">
        <v>-2.028409</v>
      </c>
      <c r="S29" t="n">
        <v>18.425931</v>
      </c>
      <c r="T29" t="n">
        <v>8.359496</v>
      </c>
      <c r="U29" t="n">
        <v>2.171314</v>
      </c>
      <c r="V29" t="n">
        <v>5.076131</v>
      </c>
      <c r="W29" t="n">
        <v>4.799995</v>
      </c>
      <c r="X29" t="n">
        <v>0.9113250000000001</v>
      </c>
      <c r="Y29" t="n">
        <v>-0.475967</v>
      </c>
      <c r="Z29" t="n">
        <v>6.415212</v>
      </c>
      <c r="AA29" t="n">
        <v>-0.367898</v>
      </c>
      <c r="AB29" t="n">
        <v>2.741656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-0.959531</v>
      </c>
      <c r="F30" t="n">
        <v>3.339399</v>
      </c>
      <c r="G30" t="n">
        <v>-0.068646</v>
      </c>
      <c r="H30" t="n">
        <v>6.909648</v>
      </c>
      <c r="I30" t="n">
        <v>5.08036</v>
      </c>
      <c r="J30" t="n">
        <v>-6.144863</v>
      </c>
      <c r="K30" t="n">
        <v>6.328526</v>
      </c>
      <c r="L30" t="n">
        <v>7.469488</v>
      </c>
      <c r="M30" t="n">
        <v>-0.738356</v>
      </c>
      <c r="N30" t="n">
        <v>-1.358351</v>
      </c>
      <c r="O30" t="n">
        <v>-11.995574</v>
      </c>
      <c r="P30" t="n">
        <v>18.5604</v>
      </c>
      <c r="Q30" t="n">
        <v>-23.222078</v>
      </c>
      <c r="R30" t="n">
        <v>-18.469312</v>
      </c>
      <c r="S30" t="n">
        <v>10.800619</v>
      </c>
      <c r="T30" t="n">
        <v>-12.95189</v>
      </c>
      <c r="U30" t="n">
        <v>5.714149</v>
      </c>
      <c r="V30" t="n">
        <v>15.105317</v>
      </c>
      <c r="W30" t="n">
        <v>-7.79786</v>
      </c>
      <c r="X30" t="n">
        <v>13.69972</v>
      </c>
      <c r="Y30" t="n">
        <v>16.378265</v>
      </c>
      <c r="Z30" t="n">
        <v>-1.753907</v>
      </c>
      <c r="AA30" t="n">
        <v>-2.186402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0.859362</v>
      </c>
      <c r="U31" t="n">
        <v>2.50305</v>
      </c>
      <c r="V31" t="n">
        <v>-2.261108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3.253337</v>
      </c>
      <c r="F32" t="n">
        <v>1.091587</v>
      </c>
      <c r="G32" t="n">
        <v>4.03287</v>
      </c>
      <c r="H32" t="n">
        <v>4.010078</v>
      </c>
      <c r="I32" t="n">
        <v>5.079856</v>
      </c>
      <c r="J32" t="n">
        <v>2.759486</v>
      </c>
      <c r="K32" t="n">
        <v>1.823954</v>
      </c>
      <c r="L32" t="n">
        <v>2.361457</v>
      </c>
      <c r="M32" t="n">
        <v>7.341767</v>
      </c>
      <c r="N32" t="n">
        <v>5.175859</v>
      </c>
      <c r="O32" t="n">
        <v>3.016995</v>
      </c>
      <c r="P32" t="n">
        <v>5.696035</v>
      </c>
      <c r="Q32" t="n">
        <v>-0.9626479999999999</v>
      </c>
      <c r="R32" t="n">
        <v>-7.436968</v>
      </c>
      <c r="S32" t="n">
        <v>7.476887</v>
      </c>
      <c r="T32" t="n">
        <v>5.321827</v>
      </c>
      <c r="U32" t="n">
        <v>0.208004</v>
      </c>
      <c r="V32" t="n">
        <v>0.880918</v>
      </c>
      <c r="W32" t="n">
        <v>3.054164</v>
      </c>
      <c r="X32" t="n">
        <v>0.5817870000000001</v>
      </c>
      <c r="Y32" t="n">
        <v>1.617239</v>
      </c>
      <c r="Z32" t="n">
        <v>5.120485</v>
      </c>
      <c r="AA32" t="n">
        <v>2.662951</v>
      </c>
      <c r="AB32" t="n">
        <v>-1.246047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-1.417398</v>
      </c>
      <c r="U33" t="n">
        <v>4.21337</v>
      </c>
      <c r="V33" t="n">
        <v>-0.614986</v>
      </c>
      <c r="W33" t="n">
        <v>0.122284</v>
      </c>
      <c r="X33" t="n">
        <v>0.366685</v>
      </c>
      <c r="Y33" t="n">
        <v>6.07644</v>
      </c>
      <c r="Z33" t="n">
        <v>1.258843</v>
      </c>
      <c r="AA33" t="n">
        <v>3.502279</v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-2.273591</v>
      </c>
      <c r="E34" t="n">
        <v>2.905781</v>
      </c>
      <c r="F34" t="n">
        <v>0.533547</v>
      </c>
      <c r="G34" t="n">
        <v>-2.763806</v>
      </c>
      <c r="H34" t="n">
        <v>4.392672</v>
      </c>
      <c r="I34" t="n">
        <v>2.621226</v>
      </c>
      <c r="J34" t="n">
        <v>3.362147</v>
      </c>
      <c r="K34" t="n">
        <v>2.046837</v>
      </c>
      <c r="L34" t="n">
        <v>9.072934999999999</v>
      </c>
      <c r="M34" t="n">
        <v>9.965662999999999</v>
      </c>
      <c r="N34" t="n">
        <v>3.386095</v>
      </c>
      <c r="O34" t="n">
        <v>-3.039585</v>
      </c>
      <c r="P34" t="n">
        <v>1.915661</v>
      </c>
      <c r="Q34" t="n">
        <v>1.889207</v>
      </c>
      <c r="R34" t="n">
        <v>-3.101376</v>
      </c>
      <c r="S34" t="n">
        <v>6.193105</v>
      </c>
      <c r="T34" t="n">
        <v>2.19481</v>
      </c>
      <c r="U34" t="n">
        <v>1.218241</v>
      </c>
      <c r="V34" t="n">
        <v>2.045109</v>
      </c>
      <c r="W34" t="n">
        <v>3.000597</v>
      </c>
      <c r="X34" t="n">
        <v>-1.727102</v>
      </c>
      <c r="Y34" t="n">
        <v>0.13548</v>
      </c>
      <c r="Z34" t="n">
        <v>2.188477</v>
      </c>
      <c r="AA34" t="n">
        <v>-0.497078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-2.013926</v>
      </c>
      <c r="F35" t="n">
        <v>-1.280349</v>
      </c>
      <c r="G35" t="n">
        <v>-0.367215</v>
      </c>
      <c r="H35" t="n">
        <v>8.091063999999999</v>
      </c>
      <c r="I35" t="n">
        <v>4.643551</v>
      </c>
      <c r="J35" t="n">
        <v>1.804927</v>
      </c>
      <c r="K35" t="n">
        <v>12.699261</v>
      </c>
      <c r="L35" t="n">
        <v>11.165105</v>
      </c>
      <c r="M35" t="n">
        <v>10.201479</v>
      </c>
      <c r="N35" t="n">
        <v>1.309144</v>
      </c>
      <c r="O35" t="n">
        <v>11.135069</v>
      </c>
      <c r="P35" t="n">
        <v>7.949408</v>
      </c>
      <c r="Q35" t="n">
        <v>3.544436</v>
      </c>
      <c r="R35" t="n">
        <v>6.928152</v>
      </c>
      <c r="S35" t="n">
        <v>15.966618</v>
      </c>
      <c r="T35" t="n">
        <v>6.518287</v>
      </c>
      <c r="U35" t="n">
        <v>3.728964</v>
      </c>
      <c r="V35" t="n">
        <v>-1.709587</v>
      </c>
      <c r="W35" t="n">
        <v>5.64892</v>
      </c>
      <c r="X35" t="n">
        <v>3.880528</v>
      </c>
      <c r="Y35" t="n">
        <v>-0.841437</v>
      </c>
      <c r="Z35" t="n">
        <v>-1.985066</v>
      </c>
      <c r="AA35" t="n">
        <v>3.816654</v>
      </c>
      <c r="AB35" t="n">
        <v>7.653566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9.908204</v>
      </c>
      <c r="F36" t="n">
        <v>5.005955</v>
      </c>
      <c r="G36" t="n">
        <v>1.625951</v>
      </c>
      <c r="H36" t="n">
        <v>1.199534</v>
      </c>
      <c r="I36" t="n">
        <v>3.232852</v>
      </c>
      <c r="J36" t="n">
        <v>2.070293</v>
      </c>
      <c r="K36" t="n">
        <v>2.592315</v>
      </c>
      <c r="L36" t="n">
        <v>3.007534</v>
      </c>
      <c r="M36" t="n">
        <v>4.987599</v>
      </c>
      <c r="N36" t="n">
        <v>3.120375</v>
      </c>
      <c r="O36" t="n">
        <v>2.713252</v>
      </c>
      <c r="P36" t="n">
        <v>4.600811</v>
      </c>
      <c r="Q36" t="n">
        <v>0.51075</v>
      </c>
      <c r="R36" t="n">
        <v>-2.425379</v>
      </c>
      <c r="S36" t="n">
        <v>9.957409999999999</v>
      </c>
      <c r="T36" t="n">
        <v>2.56677</v>
      </c>
      <c r="U36" t="n">
        <v>0.336933</v>
      </c>
      <c r="V36" t="n">
        <v>2.653449</v>
      </c>
      <c r="W36" t="n">
        <v>0.443511</v>
      </c>
      <c r="X36" t="n">
        <v>-0.301288</v>
      </c>
      <c r="Y36" t="n">
        <v>0.322545</v>
      </c>
      <c r="Z36" t="n">
        <v>2.33027</v>
      </c>
      <c r="AA36" t="n">
        <v>-1.635948</v>
      </c>
      <c r="AB36" t="n">
        <v>-1.369007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-0.24307</v>
      </c>
      <c r="F37" t="n">
        <v>6.647531</v>
      </c>
      <c r="G37" t="n">
        <v>22.11148</v>
      </c>
      <c r="H37" t="n">
        <v>4.917042</v>
      </c>
      <c r="I37" t="n">
        <v>16.485758</v>
      </c>
      <c r="J37" t="n">
        <v>15.693181</v>
      </c>
      <c r="K37" t="n">
        <v>4.937094</v>
      </c>
      <c r="L37" t="n">
        <v>14.118964</v>
      </c>
      <c r="M37" t="n">
        <v>22.937835</v>
      </c>
      <c r="N37" t="n">
        <v>12.80769</v>
      </c>
      <c r="O37" t="n">
        <v>10.089337</v>
      </c>
      <c r="P37" t="n">
        <v>8.037215</v>
      </c>
      <c r="Q37" t="n">
        <v>-0.887346</v>
      </c>
      <c r="R37" t="n">
        <v>-4.541923</v>
      </c>
      <c r="S37" t="n">
        <v>34.087683</v>
      </c>
      <c r="T37" t="n">
        <v>-0.145735</v>
      </c>
      <c r="U37" t="n">
        <v>1.810801</v>
      </c>
      <c r="V37" t="n">
        <v>-0.018281</v>
      </c>
      <c r="W37" t="n">
        <v>17.232306</v>
      </c>
      <c r="X37" t="n">
        <v>9.256193</v>
      </c>
      <c r="Y37" t="n">
        <v>-4.341234</v>
      </c>
      <c r="Z37" t="n">
        <v>-2.485247</v>
      </c>
      <c r="AA37" t="n">
        <v>14.651058</v>
      </c>
      <c r="AB37" t="n">
        <v>-0.024122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11.27747</v>
      </c>
      <c r="F38" t="n">
        <v>11.706909</v>
      </c>
      <c r="G38" t="n">
        <v>3.124903</v>
      </c>
      <c r="H38" t="n">
        <v>3.71674</v>
      </c>
      <c r="I38" t="n">
        <v>9.11201</v>
      </c>
      <c r="J38" t="n">
        <v>5.045442</v>
      </c>
      <c r="K38" t="n">
        <v>7.016761</v>
      </c>
      <c r="L38" t="n">
        <v>8.156665</v>
      </c>
      <c r="M38" t="n">
        <v>6.522296</v>
      </c>
      <c r="N38" t="n">
        <v>5.817577</v>
      </c>
      <c r="O38" t="n">
        <v>8.779226</v>
      </c>
      <c r="P38" t="n">
        <v>7.885038</v>
      </c>
      <c r="Q38" t="n">
        <v>1.578624</v>
      </c>
      <c r="R38" t="n">
        <v>-6.705308</v>
      </c>
      <c r="S38" t="n">
        <v>12.937383</v>
      </c>
      <c r="T38" t="n">
        <v>3.670239</v>
      </c>
      <c r="U38" t="n">
        <v>-1.276375</v>
      </c>
      <c r="V38" t="n">
        <v>1.403921</v>
      </c>
      <c r="W38" t="n">
        <v>4.298813</v>
      </c>
      <c r="X38" t="n">
        <v>1.051328</v>
      </c>
      <c r="Y38" t="n">
        <v>1.935491</v>
      </c>
      <c r="Z38" t="n">
        <v>4.682686</v>
      </c>
      <c r="AA38" t="n">
        <v>-0.977587</v>
      </c>
      <c r="AB38" t="n">
        <v>0.961565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-0.827205</v>
      </c>
      <c r="F39" t="n">
        <v>1.227364</v>
      </c>
      <c r="G39" t="n">
        <v>1.360805</v>
      </c>
      <c r="H39" t="n">
        <v>1.507957</v>
      </c>
      <c r="I39" t="n">
        <v>1.972768</v>
      </c>
      <c r="J39" t="n">
        <v>4.290586</v>
      </c>
      <c r="K39" t="n">
        <v>1.677872</v>
      </c>
      <c r="L39" t="n">
        <v>2.162051</v>
      </c>
      <c r="M39" t="n">
        <v>0.6840309999999999</v>
      </c>
      <c r="N39" t="n">
        <v>1.89256</v>
      </c>
      <c r="O39" t="n">
        <v>4.210732</v>
      </c>
      <c r="P39" t="n">
        <v>3.505098</v>
      </c>
      <c r="Q39" t="n">
        <v>-1.275128</v>
      </c>
      <c r="R39" t="n">
        <v>2.094289</v>
      </c>
      <c r="S39" t="n">
        <v>4.412722</v>
      </c>
      <c r="T39" t="n">
        <v>3.325735</v>
      </c>
      <c r="U39" t="n">
        <v>1.789021</v>
      </c>
      <c r="V39" t="n">
        <v>4.646536</v>
      </c>
      <c r="W39" t="n">
        <v>3.208613</v>
      </c>
      <c r="X39" t="n">
        <v>2.375671</v>
      </c>
      <c r="Y39" t="n">
        <v>-1.165555</v>
      </c>
      <c r="Z39" t="n">
        <v>1.46043</v>
      </c>
      <c r="AA39" t="n">
        <v>-0.853151</v>
      </c>
      <c r="AB39" t="n">
        <v>-1.138253</v>
      </c>
    </row>
    <row r="40">
      <c r="A40" t="inlineStr">
        <is>
          <t>Sweden</t>
        </is>
      </c>
      <c r="C40" t="inlineStr"/>
      <c r="D40" t="n">
        <v>6.931454</v>
      </c>
      <c r="E40" t="n">
        <v>3.991661</v>
      </c>
      <c r="F40" t="n">
        <v>8.668141</v>
      </c>
      <c r="G40" t="n">
        <v>6.385032</v>
      </c>
      <c r="H40" t="n">
        <v>8.619998000000001</v>
      </c>
      <c r="I40" t="n">
        <v>9.230896</v>
      </c>
      <c r="J40" t="n">
        <v>-2.564051</v>
      </c>
      <c r="K40" t="n">
        <v>7.406</v>
      </c>
      <c r="L40" t="n">
        <v>8.432442999999999</v>
      </c>
      <c r="M40" t="n">
        <v>10.454931</v>
      </c>
      <c r="N40" t="n">
        <v>4.318741</v>
      </c>
      <c r="O40" t="n">
        <v>8.35342</v>
      </c>
      <c r="P40" t="n">
        <v>1.73557</v>
      </c>
      <c r="Q40" t="n">
        <v>-3.832795</v>
      </c>
      <c r="R40" t="n">
        <v>-15.171641</v>
      </c>
      <c r="S40" t="n">
        <v>25.691432</v>
      </c>
      <c r="T40" t="n">
        <v>3.282949</v>
      </c>
      <c r="U40" t="n">
        <v>-5.608376</v>
      </c>
      <c r="V40" t="n">
        <v>-1.57264</v>
      </c>
      <c r="W40" t="n">
        <v>0.590578</v>
      </c>
      <c r="X40" t="n">
        <v>7.423645</v>
      </c>
      <c r="Y40" t="n">
        <v>4.153808</v>
      </c>
      <c r="Z40" t="n">
        <v>0.301991</v>
      </c>
      <c r="AA40" t="n">
        <v>2.39386</v>
      </c>
      <c r="AB40" t="n">
        <v>1.128836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3.272533</v>
      </c>
      <c r="F41" t="n">
        <v>6.056693</v>
      </c>
      <c r="G41" t="n">
        <v>2.535994</v>
      </c>
      <c r="H41" t="n">
        <v>2.882838</v>
      </c>
      <c r="I41" t="n">
        <v>2.2604</v>
      </c>
      <c r="J41" t="n">
        <v>3.768763</v>
      </c>
      <c r="K41" t="n">
        <v>4.627659</v>
      </c>
      <c r="L41" t="n">
        <v>2.559842</v>
      </c>
      <c r="M41" t="n">
        <v>3.187053</v>
      </c>
      <c r="N41" t="n">
        <v>3.176906</v>
      </c>
      <c r="O41" t="n">
        <v>3.703835</v>
      </c>
      <c r="P41" t="n">
        <v>2.046521</v>
      </c>
      <c r="Q41" t="n">
        <v>1.418866</v>
      </c>
      <c r="R41" t="n">
        <v>-8.308133</v>
      </c>
      <c r="S41" t="n">
        <v>9.452916999999999</v>
      </c>
      <c r="T41" t="n">
        <v>6.013929</v>
      </c>
      <c r="U41" t="n">
        <v>-0.999984</v>
      </c>
      <c r="V41" t="n">
        <v>1.935725</v>
      </c>
      <c r="W41" t="n">
        <v>0.032286</v>
      </c>
      <c r="X41" t="n">
        <v>1.296116</v>
      </c>
      <c r="Y41" t="n">
        <v>5.208667</v>
      </c>
      <c r="Z41" t="n">
        <v>5.761961</v>
      </c>
      <c r="AA41" t="n">
        <v>3.337963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-0.324548</v>
      </c>
      <c r="E42" t="n">
        <v>-0.582784</v>
      </c>
      <c r="F42" t="n">
        <v>1.53714</v>
      </c>
      <c r="G42" t="n">
        <v>0.841625</v>
      </c>
      <c r="H42" t="n">
        <v>4.252694</v>
      </c>
      <c r="I42" t="n">
        <v>5.468434</v>
      </c>
      <c r="J42" t="n">
        <v>3.522867</v>
      </c>
      <c r="K42" t="n">
        <v>2.518288</v>
      </c>
      <c r="L42" t="n">
        <v>5.455203</v>
      </c>
      <c r="M42" t="n">
        <v>6.234396</v>
      </c>
      <c r="N42" t="n">
        <v>4.822299</v>
      </c>
      <c r="O42" t="n">
        <v>5.099777</v>
      </c>
      <c r="P42" t="n">
        <v>3.253707</v>
      </c>
      <c r="Q42" t="n">
        <v>-0.08746900000000001</v>
      </c>
      <c r="R42" t="n">
        <v>-2.346768</v>
      </c>
      <c r="S42" t="n">
        <v>7.066202</v>
      </c>
      <c r="T42" t="n">
        <v>2.813412</v>
      </c>
      <c r="U42" t="n">
        <v>-1.920998</v>
      </c>
      <c r="V42" t="n">
        <v>-0.39821</v>
      </c>
      <c r="W42" t="n">
        <v>2.290566</v>
      </c>
      <c r="X42" t="n">
        <v>-1.043332</v>
      </c>
      <c r="Y42" t="n">
        <v>0.593225</v>
      </c>
      <c r="Z42" t="n">
        <v>0.711963</v>
      </c>
      <c r="AA42" t="n">
        <v>-0.986271</v>
      </c>
      <c r="AB42" t="n">
        <v>-1.623668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1.805953</v>
      </c>
      <c r="K43" t="n">
        <v>8.119128</v>
      </c>
      <c r="L43" t="n">
        <v>7.580201</v>
      </c>
      <c r="M43" t="n">
        <v>9.734038999999999</v>
      </c>
      <c r="N43" t="n">
        <v>4.396405</v>
      </c>
      <c r="O43" t="n">
        <v>4.871733</v>
      </c>
      <c r="P43" t="n">
        <v>3.822985</v>
      </c>
      <c r="Q43" t="n">
        <v>0.480536</v>
      </c>
      <c r="R43" t="n">
        <v>1.465929</v>
      </c>
      <c r="S43" t="n">
        <v>6.423005</v>
      </c>
      <c r="T43" t="n">
        <v>-1.458286</v>
      </c>
      <c r="U43" t="n">
        <v>-2.94131</v>
      </c>
      <c r="V43" t="n">
        <v>1.670437</v>
      </c>
      <c r="W43" t="n">
        <v>-0.417373</v>
      </c>
      <c r="X43" t="n">
        <v>-1.025633</v>
      </c>
      <c r="Y43" t="n">
        <v>-1.620591</v>
      </c>
      <c r="Z43" t="n">
        <v>2.432879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0.755006</v>
      </c>
      <c r="F44" t="n">
        <v>4.144894</v>
      </c>
      <c r="G44" t="n">
        <v>1.948635</v>
      </c>
      <c r="H44" t="n">
        <v>2.519749</v>
      </c>
      <c r="I44" t="n">
        <v>5.36015</v>
      </c>
      <c r="J44" t="n">
        <v>1.502908</v>
      </c>
      <c r="K44" t="n">
        <v>1.015989</v>
      </c>
      <c r="L44" t="n">
        <v>2.220651</v>
      </c>
      <c r="M44" t="n">
        <v>4.521744</v>
      </c>
      <c r="N44" t="n">
        <v>3.14278</v>
      </c>
      <c r="O44" t="n">
        <v>6.021629</v>
      </c>
      <c r="P44" t="n">
        <v>3.741624</v>
      </c>
      <c r="Q44" t="n">
        <v>-2.962448</v>
      </c>
      <c r="R44" t="n">
        <v>-9.554592</v>
      </c>
      <c r="S44" t="n">
        <v>13.74985</v>
      </c>
      <c r="T44" t="n">
        <v>4.542432</v>
      </c>
      <c r="U44" t="n">
        <v>-1.336092</v>
      </c>
      <c r="V44" t="n">
        <v>1.087736</v>
      </c>
      <c r="W44" t="n">
        <v>3.652729</v>
      </c>
      <c r="X44" t="n">
        <v>3.90938</v>
      </c>
      <c r="Y44" t="n">
        <v>2.208812</v>
      </c>
      <c r="Z44" t="n">
        <v>2.553</v>
      </c>
      <c r="AA44" t="n">
        <v>0.749248</v>
      </c>
      <c r="AB44" t="n">
        <v>-1.865662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0.393082</v>
      </c>
      <c r="F45" t="n">
        <v>3.874038</v>
      </c>
      <c r="G45" t="n">
        <v>2.563446</v>
      </c>
      <c r="H45" t="n">
        <v>4.039736</v>
      </c>
      <c r="I45" t="n">
        <v>6.016901</v>
      </c>
      <c r="J45" t="n">
        <v>1.799445</v>
      </c>
      <c r="K45" t="n">
        <v>1.458634</v>
      </c>
      <c r="L45" t="n">
        <v>2.829298</v>
      </c>
      <c r="M45" t="n">
        <v>4.949841</v>
      </c>
      <c r="N45" t="n">
        <v>3.129531</v>
      </c>
      <c r="O45" t="n">
        <v>5.64401</v>
      </c>
      <c r="P45" t="n">
        <v>3.098286</v>
      </c>
      <c r="Q45" t="n">
        <v>-2.135422</v>
      </c>
      <c r="R45" t="n">
        <v>-7.731972</v>
      </c>
      <c r="S45" t="n">
        <v>13.797117</v>
      </c>
      <c r="T45" t="n">
        <v>4.287155</v>
      </c>
      <c r="U45" t="n">
        <v>-1.642635</v>
      </c>
      <c r="V45" t="n">
        <v>0.596149</v>
      </c>
      <c r="W45" t="n">
        <v>3.040444</v>
      </c>
      <c r="X45" t="n">
        <v>3.253089</v>
      </c>
      <c r="Y45" t="n">
        <v>1.375056</v>
      </c>
      <c r="Z45" t="n">
        <v>1.888184</v>
      </c>
      <c r="AA45" t="n">
        <v>0.742406</v>
      </c>
      <c r="AB45" t="n">
        <v>-0.778787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2.011289</v>
      </c>
      <c r="K46" t="n">
        <v>-1.402613</v>
      </c>
      <c r="L46" t="n">
        <v>-1.147798</v>
      </c>
      <c r="M46" t="n">
        <v>0.64361</v>
      </c>
      <c r="N46" t="n">
        <v>-5.33156</v>
      </c>
      <c r="O46" t="n">
        <v>1.079232</v>
      </c>
      <c r="P46" t="n">
        <v>1.915326</v>
      </c>
      <c r="Q46" t="n">
        <v>0.9664779999999999</v>
      </c>
      <c r="R46" t="n">
        <v>-8.087234</v>
      </c>
      <c r="S46" t="n">
        <v>2.939225</v>
      </c>
      <c r="T46" t="n">
        <v>0.803293</v>
      </c>
      <c r="U46" t="n">
        <v>-3.806925</v>
      </c>
      <c r="V46" t="n">
        <v>1.529008</v>
      </c>
      <c r="W46" t="n">
        <v>-3.048924</v>
      </c>
      <c r="X46" t="n">
        <v>-2.752547</v>
      </c>
      <c r="Y46" t="n">
        <v>0.762018</v>
      </c>
      <c r="Z46" t="n">
        <v>0.96783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7.36211</v>
      </c>
      <c r="E47" t="n">
        <v>-0.563026</v>
      </c>
      <c r="F47" t="n">
        <v>7.062496</v>
      </c>
      <c r="G47" t="n">
        <v>-0.600789</v>
      </c>
      <c r="H47" t="n">
        <v>0.60781</v>
      </c>
      <c r="I47" t="n">
        <v>7.928501</v>
      </c>
      <c r="J47" t="n">
        <v>-6.340634</v>
      </c>
      <c r="K47" t="n">
        <v>8.582962999999999</v>
      </c>
      <c r="L47" t="n">
        <v>0.847212</v>
      </c>
      <c r="M47" t="n">
        <v>2.648201</v>
      </c>
      <c r="N47" t="n">
        <v>-0.803899</v>
      </c>
      <c r="O47" t="n">
        <v>3.339334</v>
      </c>
      <c r="P47" t="n">
        <v>0.047523</v>
      </c>
      <c r="Q47" t="n">
        <v>4.093534</v>
      </c>
      <c r="R47" t="n">
        <v>-3.073663</v>
      </c>
      <c r="S47" t="n">
        <v>16.896221</v>
      </c>
      <c r="T47" t="n">
        <v>2.317882</v>
      </c>
      <c r="U47" t="n">
        <v>5.170845</v>
      </c>
      <c r="V47" t="n">
        <v>9.887746</v>
      </c>
      <c r="W47" t="n">
        <v>-5.387985</v>
      </c>
      <c r="X47" t="n">
        <v>-17.701619</v>
      </c>
      <c r="Y47" t="n">
        <v>14.636363</v>
      </c>
      <c r="Z47" t="n">
        <v>1.445159</v>
      </c>
      <c r="AA47" t="n">
        <v>-8.075843000000001</v>
      </c>
      <c r="AB47" t="inlineStr">
        <is>
          <t>..</t>
        </is>
      </c>
    </row>
    <row r="48">
      <c r="A48" t="inlineStr">
        <is>
          <t>Data extracted on 04 Jun 2020 21:28 UTC (GMT) from OECD.Stat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 IsDisplayed="true"&gt;&lt;Name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F: Construction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2.974009</v>
      </c>
      <c r="E9" t="n">
        <v>6.498595</v>
      </c>
      <c r="F9" t="n">
        <v>3.196412</v>
      </c>
      <c r="G9" t="n">
        <v>5.389301</v>
      </c>
      <c r="H9" t="n">
        <v>-2.042104</v>
      </c>
      <c r="I9" t="n">
        <v>-9.148021</v>
      </c>
      <c r="J9" t="n">
        <v>4.458558</v>
      </c>
      <c r="K9" t="n">
        <v>14.101563</v>
      </c>
      <c r="L9" t="n">
        <v>-2.255771</v>
      </c>
      <c r="M9" t="n">
        <v>-1.274738</v>
      </c>
      <c r="N9" t="n">
        <v>2.4044</v>
      </c>
      <c r="O9" t="n">
        <v>-0.05105</v>
      </c>
      <c r="P9" t="n">
        <v>2.106906</v>
      </c>
      <c r="Q9" t="n">
        <v>2.910813</v>
      </c>
      <c r="R9" t="n">
        <v>-0.837631</v>
      </c>
      <c r="S9" t="n">
        <v>0.099023</v>
      </c>
      <c r="T9" t="n">
        <v>16.668638</v>
      </c>
      <c r="U9" t="n">
        <v>2.947607</v>
      </c>
      <c r="V9" t="n">
        <v>0.7246320000000001</v>
      </c>
      <c r="W9" t="n">
        <v>-3.64791</v>
      </c>
      <c r="X9" t="n">
        <v>-6.149064</v>
      </c>
      <c r="Y9" t="n">
        <v>-6.841658</v>
      </c>
      <c r="Z9" t="n">
        <v>0.601141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-0.6062959999999999</v>
      </c>
      <c r="E10" t="n">
        <v>2.149555</v>
      </c>
      <c r="F10" t="n">
        <v>-2.175402</v>
      </c>
      <c r="G10" t="n">
        <v>3.988638</v>
      </c>
      <c r="H10" t="n">
        <v>1.182618</v>
      </c>
      <c r="I10" t="n">
        <v>1.283334</v>
      </c>
      <c r="J10" t="n">
        <v>0.708777</v>
      </c>
      <c r="K10" t="n">
        <v>2.993425</v>
      </c>
      <c r="L10" t="n">
        <v>6.461489</v>
      </c>
      <c r="M10" t="n">
        <v>1.452768</v>
      </c>
      <c r="N10" t="n">
        <v>0.566588</v>
      </c>
      <c r="O10" t="n">
        <v>-2.332121</v>
      </c>
      <c r="P10" t="n">
        <v>-0.046696</v>
      </c>
      <c r="Q10" t="n">
        <v>-4.106258</v>
      </c>
      <c r="R10" t="n">
        <v>-9.047185000000001</v>
      </c>
      <c r="S10" t="n">
        <v>-4.043741</v>
      </c>
      <c r="T10" t="n">
        <v>-2.489348</v>
      </c>
      <c r="U10" t="n">
        <v>-1.582719</v>
      </c>
      <c r="V10" t="n">
        <v>-0.043159</v>
      </c>
      <c r="W10" t="n">
        <v>-3.529531</v>
      </c>
      <c r="X10" t="n">
        <v>-2.199637</v>
      </c>
      <c r="Y10" t="n">
        <v>-0.822163</v>
      </c>
      <c r="Z10" t="n">
        <v>1.798922</v>
      </c>
      <c r="AA10" t="n">
        <v>1.317015</v>
      </c>
      <c r="AB10" t="n">
        <v>-1.236554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-0.901014</v>
      </c>
      <c r="F11" t="n">
        <v>4.461712</v>
      </c>
      <c r="G11" t="n">
        <v>-1.931134</v>
      </c>
      <c r="H11" t="n">
        <v>3.35565</v>
      </c>
      <c r="I11" t="n">
        <v>4.62691</v>
      </c>
      <c r="J11" t="n">
        <v>-0.62767</v>
      </c>
      <c r="K11" t="n">
        <v>0.50614</v>
      </c>
      <c r="L11" t="n">
        <v>3.260896</v>
      </c>
      <c r="M11" t="n">
        <v>7.343765</v>
      </c>
      <c r="N11" t="n">
        <v>3.105407</v>
      </c>
      <c r="O11" t="n">
        <v>5.259401</v>
      </c>
      <c r="P11" t="n">
        <v>-2.143441</v>
      </c>
      <c r="Q11" t="n">
        <v>-1.502677</v>
      </c>
      <c r="R11" t="n">
        <v>-2.032154</v>
      </c>
      <c r="S11" t="n">
        <v>-0.429394</v>
      </c>
      <c r="T11" t="n">
        <v>3.917224</v>
      </c>
      <c r="U11" t="n">
        <v>0.388188</v>
      </c>
      <c r="V11" t="n">
        <v>-0.148739</v>
      </c>
      <c r="W11" t="n">
        <v>3.784164</v>
      </c>
      <c r="X11" t="n">
        <v>4.210787</v>
      </c>
      <c r="Y11" t="n">
        <v>0.710677</v>
      </c>
      <c r="Z11" t="n">
        <v>0.396745</v>
      </c>
      <c r="AA11" t="n">
        <v>2.559774</v>
      </c>
      <c r="AB11" t="n">
        <v>2.221692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-5.039763</v>
      </c>
      <c r="R12" t="n">
        <v>-1.053532</v>
      </c>
      <c r="S12" t="n">
        <v>0.996057</v>
      </c>
      <c r="T12" t="n">
        <v>0.688422</v>
      </c>
      <c r="U12" t="n">
        <v>-0.059517</v>
      </c>
      <c r="V12" t="n">
        <v>-4.48877</v>
      </c>
      <c r="W12" t="n">
        <v>0.485167</v>
      </c>
      <c r="X12" t="n">
        <v>-0.928378</v>
      </c>
      <c r="Y12" t="n">
        <v>-3.726894</v>
      </c>
      <c r="Z12" t="n">
        <v>3.003809</v>
      </c>
      <c r="AA12" t="n">
        <v>-2.146471</v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n">
        <v>-0.910844</v>
      </c>
      <c r="U13" t="n">
        <v>3.592036</v>
      </c>
      <c r="V13" t="n">
        <v>-1.843218</v>
      </c>
      <c r="W13" t="n">
        <v>-0.9481579999999999</v>
      </c>
      <c r="X13" t="n">
        <v>0.640422</v>
      </c>
      <c r="Y13" t="n">
        <v>0.823989</v>
      </c>
      <c r="Z13" t="n">
        <v>-1.181616</v>
      </c>
      <c r="AA13" t="n">
        <v>1.189512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3.500974</v>
      </c>
      <c r="E14" t="n">
        <v>5.076341</v>
      </c>
      <c r="F14" t="n">
        <v>-8.426118000000001</v>
      </c>
      <c r="G14" t="n">
        <v>-2.945298</v>
      </c>
      <c r="H14" t="n">
        <v>-9.284242000000001</v>
      </c>
      <c r="I14" t="n">
        <v>-2.004594</v>
      </c>
      <c r="J14" t="n">
        <v>0.993682</v>
      </c>
      <c r="K14" t="n">
        <v>-0.757609</v>
      </c>
      <c r="L14" t="n">
        <v>2.504973</v>
      </c>
      <c r="M14" t="n">
        <v>7.223912</v>
      </c>
      <c r="N14" t="n">
        <v>0.143778</v>
      </c>
      <c r="O14" t="n">
        <v>-0.591091</v>
      </c>
      <c r="P14" t="n">
        <v>5.565523</v>
      </c>
      <c r="Q14" t="n">
        <v>-2.364932</v>
      </c>
      <c r="R14" t="n">
        <v>-7.560854</v>
      </c>
      <c r="S14" t="n">
        <v>2.276985</v>
      </c>
      <c r="T14" t="n">
        <v>-1.598003</v>
      </c>
      <c r="U14" t="n">
        <v>-1.867084</v>
      </c>
      <c r="V14" t="n">
        <v>3.72891</v>
      </c>
      <c r="W14" t="n">
        <v>6.836729</v>
      </c>
      <c r="X14" t="n">
        <v>4.402568</v>
      </c>
      <c r="Y14" t="n">
        <v>-2.038901</v>
      </c>
      <c r="Z14" t="n">
        <v>-2.664827</v>
      </c>
      <c r="AA14" t="n">
        <v>3.248524</v>
      </c>
      <c r="AB14" t="n">
        <v>2.048237</v>
      </c>
    </row>
    <row r="15">
      <c r="A15" t="inlineStr">
        <is>
          <t>Denmark</t>
        </is>
      </c>
      <c r="C15" t="inlineStr"/>
      <c r="D15" t="n">
        <v>4.292799</v>
      </c>
      <c r="E15" t="n">
        <v>4.203138</v>
      </c>
      <c r="F15" t="n">
        <v>-7.141867</v>
      </c>
      <c r="G15" t="n">
        <v>5.553316</v>
      </c>
      <c r="H15" t="n">
        <v>4.609195</v>
      </c>
      <c r="I15" t="n">
        <v>-0.885083</v>
      </c>
      <c r="J15" t="n">
        <v>-7.7034</v>
      </c>
      <c r="K15" t="n">
        <v>2.393187</v>
      </c>
      <c r="L15" t="n">
        <v>5.021941</v>
      </c>
      <c r="M15" t="n">
        <v>1.57068</v>
      </c>
      <c r="N15" t="n">
        <v>-5.408267</v>
      </c>
      <c r="O15" t="n">
        <v>1.112767</v>
      </c>
      <c r="P15" t="n">
        <v>-6.574002</v>
      </c>
      <c r="Q15" t="n">
        <v>3.163487</v>
      </c>
      <c r="R15" t="n">
        <v>1.446747</v>
      </c>
      <c r="S15" t="n">
        <v>-3.992226</v>
      </c>
      <c r="T15" t="n">
        <v>3.678157</v>
      </c>
      <c r="U15" t="n">
        <v>3.630219</v>
      </c>
      <c r="V15" t="n">
        <v>3.622066</v>
      </c>
      <c r="W15" t="n">
        <v>0.810878</v>
      </c>
      <c r="X15" t="n">
        <v>7.5488</v>
      </c>
      <c r="Y15" t="n">
        <v>5.158203</v>
      </c>
      <c r="Z15" t="n">
        <v>-2.169261</v>
      </c>
      <c r="AA15" t="n">
        <v>5.614128</v>
      </c>
      <c r="AB15" t="n">
        <v>-1.843931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5.236933</v>
      </c>
      <c r="F16" t="n">
        <v>-12.054018</v>
      </c>
      <c r="G16" t="n">
        <v>24.847241</v>
      </c>
      <c r="H16" t="n">
        <v>-5.010311</v>
      </c>
      <c r="I16" t="n">
        <v>27.02752</v>
      </c>
      <c r="J16" t="n">
        <v>2.274756</v>
      </c>
      <c r="K16" t="n">
        <v>11.57558</v>
      </c>
      <c r="L16" t="n">
        <v>-1.541214</v>
      </c>
      <c r="M16" t="n">
        <v>1.973374</v>
      </c>
      <c r="N16" t="n">
        <v>18.705735</v>
      </c>
      <c r="O16" t="n">
        <v>-13.638989</v>
      </c>
      <c r="P16" t="n">
        <v>-11.974587</v>
      </c>
      <c r="Q16" t="n">
        <v>8.661574999999999</v>
      </c>
      <c r="R16" t="n">
        <v>-5.130793</v>
      </c>
      <c r="S16" t="n">
        <v>28.989426</v>
      </c>
      <c r="T16" t="n">
        <v>3.445357</v>
      </c>
      <c r="U16" t="n">
        <v>5.747797</v>
      </c>
      <c r="V16" t="n">
        <v>-4.298275</v>
      </c>
      <c r="W16" t="n">
        <v>-7.631162</v>
      </c>
      <c r="X16" t="n">
        <v>-7.173774</v>
      </c>
      <c r="Y16" t="n">
        <v>28.585767</v>
      </c>
      <c r="Z16" t="n">
        <v>8.234496</v>
      </c>
      <c r="AA16" t="n">
        <v>12.166594</v>
      </c>
      <c r="AB16" t="n">
        <v>-4.366085</v>
      </c>
    </row>
    <row r="17">
      <c r="A17" t="inlineStr">
        <is>
          <t>Finland</t>
        </is>
      </c>
      <c r="C17" t="inlineStr"/>
      <c r="D17" t="n">
        <v>-10.949181</v>
      </c>
      <c r="E17" t="n">
        <v>7.015556</v>
      </c>
      <c r="F17" t="n">
        <v>-2.049494</v>
      </c>
      <c r="G17" t="n">
        <v>0.933135</v>
      </c>
      <c r="H17" t="n">
        <v>-7.347887</v>
      </c>
      <c r="I17" t="n">
        <v>-3.188159</v>
      </c>
      <c r="J17" t="n">
        <v>-6.806376</v>
      </c>
      <c r="K17" t="n">
        <v>-0.064149</v>
      </c>
      <c r="L17" t="n">
        <v>4.798939</v>
      </c>
      <c r="M17" t="n">
        <v>2.995416</v>
      </c>
      <c r="N17" t="n">
        <v>-0.441562</v>
      </c>
      <c r="O17" t="n">
        <v>-1.147395</v>
      </c>
      <c r="P17" t="n">
        <v>-2.063322</v>
      </c>
      <c r="Q17" t="n">
        <v>-5.926026</v>
      </c>
      <c r="R17" t="n">
        <v>-1.55106</v>
      </c>
      <c r="S17" t="n">
        <v>10.351763</v>
      </c>
      <c r="T17" t="n">
        <v>-0.7371760000000001</v>
      </c>
      <c r="U17" t="n">
        <v>-4.463133</v>
      </c>
      <c r="V17" t="n">
        <v>-0.6067940000000001</v>
      </c>
      <c r="W17" t="n">
        <v>-2.022299</v>
      </c>
      <c r="X17" t="n">
        <v>1.155245</v>
      </c>
      <c r="Y17" t="n">
        <v>0.836188</v>
      </c>
      <c r="Z17" t="n">
        <v>-2.531749</v>
      </c>
      <c r="AA17" t="n">
        <v>-2.203158</v>
      </c>
      <c r="AB17" t="n">
        <v>0.032391</v>
      </c>
    </row>
    <row r="18">
      <c r="A18" t="inlineStr">
        <is>
          <t>France</t>
        </is>
      </c>
      <c r="C18" t="inlineStr"/>
      <c r="D18" t="n">
        <v>1.444311</v>
      </c>
      <c r="E18" t="n">
        <v>-1.839324</v>
      </c>
      <c r="F18" t="n">
        <v>-0.805768</v>
      </c>
      <c r="G18" t="n">
        <v>0.696442</v>
      </c>
      <c r="H18" t="n">
        <v>2.135759</v>
      </c>
      <c r="I18" t="n">
        <v>2.143887</v>
      </c>
      <c r="J18" t="n">
        <v>1.067543</v>
      </c>
      <c r="K18" t="n">
        <v>-2.685644</v>
      </c>
      <c r="L18" t="n">
        <v>-0.849299</v>
      </c>
      <c r="M18" t="n">
        <v>0.191749</v>
      </c>
      <c r="N18" t="n">
        <v>-1.330659</v>
      </c>
      <c r="O18" t="n">
        <v>-1.928303</v>
      </c>
      <c r="P18" t="n">
        <v>-0.121508</v>
      </c>
      <c r="Q18" t="n">
        <v>-4.319446</v>
      </c>
      <c r="R18" t="n">
        <v>-5.793237</v>
      </c>
      <c r="S18" t="n">
        <v>-0.906521</v>
      </c>
      <c r="T18" t="n">
        <v>-1.889118</v>
      </c>
      <c r="U18" t="n">
        <v>-4.769427</v>
      </c>
      <c r="V18" t="n">
        <v>0.962429</v>
      </c>
      <c r="W18" t="n">
        <v>-1.959605</v>
      </c>
      <c r="X18" t="n">
        <v>1.971969</v>
      </c>
      <c r="Y18" t="n">
        <v>1.382748</v>
      </c>
      <c r="Z18" t="n">
        <v>3.147101</v>
      </c>
      <c r="AA18" t="n">
        <v>-1.193818</v>
      </c>
      <c r="AB18" t="n">
        <v>1.112011</v>
      </c>
    </row>
    <row r="19">
      <c r="A19" t="inlineStr">
        <is>
          <t>Germany</t>
        </is>
      </c>
      <c r="C19" t="inlineStr"/>
      <c r="D19" t="n">
        <v>-5.174975</v>
      </c>
      <c r="E19" t="n">
        <v>-2.327933</v>
      </c>
      <c r="F19" t="n">
        <v>1.49274</v>
      </c>
      <c r="G19" t="n">
        <v>-0.016818</v>
      </c>
      <c r="H19" t="n">
        <v>0.792394</v>
      </c>
      <c r="I19" t="n">
        <v>0.479009</v>
      </c>
      <c r="J19" t="n">
        <v>0.539228</v>
      </c>
      <c r="K19" t="n">
        <v>1.255212</v>
      </c>
      <c r="L19" t="n">
        <v>0.07437299999999999</v>
      </c>
      <c r="M19" t="n">
        <v>0.310273</v>
      </c>
      <c r="N19" t="n">
        <v>-0.777486</v>
      </c>
      <c r="O19" t="n">
        <v>0.133963</v>
      </c>
      <c r="P19" t="n">
        <v>-2.44409</v>
      </c>
      <c r="Q19" t="n">
        <v>-0.101997</v>
      </c>
      <c r="R19" t="n">
        <v>-3.680519</v>
      </c>
      <c r="S19" t="n">
        <v>6.773197</v>
      </c>
      <c r="T19" t="n">
        <v>1.582728</v>
      </c>
      <c r="U19" t="n">
        <v>-2.585945</v>
      </c>
      <c r="V19" t="n">
        <v>-3.0426</v>
      </c>
      <c r="W19" t="n">
        <v>3.477531</v>
      </c>
      <c r="X19" t="n">
        <v>-0.258007</v>
      </c>
      <c r="Y19" t="n">
        <v>0.929911</v>
      </c>
      <c r="Z19" t="n">
        <v>-1.691852</v>
      </c>
      <c r="AA19" t="n">
        <v>1.91286</v>
      </c>
      <c r="AB19" t="n">
        <v>2.34814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3.876495</v>
      </c>
      <c r="F20" t="n">
        <v>7.941791</v>
      </c>
      <c r="G20" t="n">
        <v>0.185117</v>
      </c>
      <c r="H20" t="n">
        <v>10.210143</v>
      </c>
      <c r="I20" t="n">
        <v>-0.051471</v>
      </c>
      <c r="J20" t="n">
        <v>4.338455</v>
      </c>
      <c r="K20" t="n">
        <v>-4.124772</v>
      </c>
      <c r="L20" t="n">
        <v>22.6137</v>
      </c>
      <c r="M20" t="n">
        <v>9.915065</v>
      </c>
      <c r="N20" t="n">
        <v>-28.161049</v>
      </c>
      <c r="O20" t="n">
        <v>50.890081</v>
      </c>
      <c r="P20" t="n">
        <v>-21.153179</v>
      </c>
      <c r="Q20" t="n">
        <v>-26.381243</v>
      </c>
      <c r="R20" t="n">
        <v>5.841738</v>
      </c>
      <c r="S20" t="n">
        <v>6.722643</v>
      </c>
      <c r="T20" t="n">
        <v>-4.366654</v>
      </c>
      <c r="U20" t="n">
        <v>9.900767999999999</v>
      </c>
      <c r="V20" t="n">
        <v>-16.798864</v>
      </c>
      <c r="W20" t="n">
        <v>-14.133265</v>
      </c>
      <c r="X20" t="n">
        <v>-0.244013</v>
      </c>
      <c r="Y20" t="n">
        <v>22.805495</v>
      </c>
      <c r="Z20" t="n">
        <v>-1.104515</v>
      </c>
      <c r="AA20" t="n">
        <v>6.824231</v>
      </c>
      <c r="AB20" t="n">
        <v>14.606758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-7.900669</v>
      </c>
      <c r="F21" t="n">
        <v>4.996726</v>
      </c>
      <c r="G21" t="n">
        <v>6.784171</v>
      </c>
      <c r="H21" t="n">
        <v>-2.214428</v>
      </c>
      <c r="I21" t="n">
        <v>10.239893</v>
      </c>
      <c r="J21" t="n">
        <v>6.704477</v>
      </c>
      <c r="K21" t="n">
        <v>12.15522</v>
      </c>
      <c r="L21" t="n">
        <v>-12.741247</v>
      </c>
      <c r="M21" t="n">
        <v>-1.980948</v>
      </c>
      <c r="N21" t="n">
        <v>10.405774</v>
      </c>
      <c r="O21" t="n">
        <v>-5.166098</v>
      </c>
      <c r="P21" t="n">
        <v>-10.487229</v>
      </c>
      <c r="Q21" t="n">
        <v>-8.970912</v>
      </c>
      <c r="R21" t="n">
        <v>6.031045</v>
      </c>
      <c r="S21" t="n">
        <v>-3.009048</v>
      </c>
      <c r="T21" t="n">
        <v>3.857949</v>
      </c>
      <c r="U21" t="n">
        <v>-6.667666</v>
      </c>
      <c r="V21" t="n">
        <v>9.78501</v>
      </c>
      <c r="W21" t="n">
        <v>4.999391</v>
      </c>
      <c r="X21" t="n">
        <v>7.853915</v>
      </c>
      <c r="Y21" t="n">
        <v>-20.572313</v>
      </c>
      <c r="Z21" t="n">
        <v>11.614066</v>
      </c>
      <c r="AA21" t="n">
        <v>7.950713</v>
      </c>
      <c r="AB21" t="n">
        <v>10.282043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-7.302574</v>
      </c>
      <c r="S22" t="n">
        <v>3.242438</v>
      </c>
      <c r="T22" t="n">
        <v>3.672265</v>
      </c>
      <c r="U22" t="n">
        <v>1.370329</v>
      </c>
      <c r="V22" t="n">
        <v>2.234996</v>
      </c>
      <c r="W22" t="n">
        <v>4.402672</v>
      </c>
      <c r="X22" t="n">
        <v>3.672189</v>
      </c>
      <c r="Y22" t="n">
        <v>12.471402</v>
      </c>
      <c r="Z22" t="n">
        <v>-4.865017</v>
      </c>
      <c r="AA22" t="n">
        <v>-1.681843</v>
      </c>
      <c r="AB22" t="n">
        <v>-0.774155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12.298314</v>
      </c>
      <c r="F23" t="n">
        <v>4.395533</v>
      </c>
      <c r="G23" t="n">
        <v>-3.950723</v>
      </c>
      <c r="H23" t="n">
        <v>-1.582726</v>
      </c>
      <c r="I23" t="n">
        <v>-7.891351</v>
      </c>
      <c r="J23" t="n">
        <v>-3.424946</v>
      </c>
      <c r="K23" t="n">
        <v>0.495922</v>
      </c>
      <c r="L23" t="n">
        <v>2.983341</v>
      </c>
      <c r="M23" t="n">
        <v>-1.56215</v>
      </c>
      <c r="N23" t="n">
        <v>-3.888129</v>
      </c>
      <c r="O23" t="n">
        <v>-6.175526</v>
      </c>
      <c r="P23" t="n">
        <v>-2.934259</v>
      </c>
      <c r="Q23" t="n">
        <v>6.351276</v>
      </c>
      <c r="R23" t="n">
        <v>10.039562</v>
      </c>
      <c r="S23" t="n">
        <v>10.146447</v>
      </c>
      <c r="T23" t="n">
        <v>-3.093115</v>
      </c>
      <c r="U23" t="n">
        <v>3.942223</v>
      </c>
      <c r="V23" t="n">
        <v>6.442329</v>
      </c>
      <c r="W23" t="n">
        <v>-1.99586</v>
      </c>
      <c r="X23" t="n">
        <v>-8.26698</v>
      </c>
      <c r="Y23" t="n">
        <v>1.295926</v>
      </c>
      <c r="Z23" t="n">
        <v>4.531384</v>
      </c>
      <c r="AA23" t="n">
        <v>-0.362916</v>
      </c>
      <c r="AB23" t="n">
        <v>3.067865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2.180811</v>
      </c>
      <c r="F24" t="n">
        <v>-2.007166</v>
      </c>
      <c r="G24" t="n">
        <v>-5.672231</v>
      </c>
      <c r="H24" t="n">
        <v>-2.322196</v>
      </c>
      <c r="I24" t="n">
        <v>1.053368</v>
      </c>
      <c r="J24" t="n">
        <v>1.456462</v>
      </c>
      <c r="K24" t="n">
        <v>4.010852</v>
      </c>
      <c r="L24" t="n">
        <v>-2.925088</v>
      </c>
      <c r="M24" t="n">
        <v>2.518864</v>
      </c>
      <c r="N24" t="n">
        <v>-0.367403</v>
      </c>
      <c r="O24" t="n">
        <v>5.166219</v>
      </c>
      <c r="P24" t="n">
        <v>-5.397523</v>
      </c>
      <c r="Q24" t="n">
        <v>0.384478</v>
      </c>
      <c r="R24" t="n">
        <v>6.457538</v>
      </c>
      <c r="S24" t="n">
        <v>0.988269</v>
      </c>
      <c r="T24" t="n">
        <v>11.222332</v>
      </c>
      <c r="U24" t="n">
        <v>3.115157</v>
      </c>
      <c r="V24" t="n">
        <v>-1.800214</v>
      </c>
      <c r="W24" t="n">
        <v>-1.485885</v>
      </c>
      <c r="X24" t="n">
        <v>-3.056862</v>
      </c>
      <c r="Y24" t="n">
        <v>3.594021</v>
      </c>
      <c r="Z24" t="n">
        <v>1.031545</v>
      </c>
      <c r="AA24" t="n">
        <v>3.447858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2.954769</v>
      </c>
      <c r="E25" t="n">
        <v>2.190822</v>
      </c>
      <c r="F25" t="n">
        <v>-3.631484</v>
      </c>
      <c r="G25" t="n">
        <v>0.302372</v>
      </c>
      <c r="H25" t="n">
        <v>-1.330632</v>
      </c>
      <c r="I25" t="n">
        <v>1.578846</v>
      </c>
      <c r="J25" t="n">
        <v>-2.031478</v>
      </c>
      <c r="K25" t="n">
        <v>0.582991</v>
      </c>
      <c r="L25" t="n">
        <v>-0.418613</v>
      </c>
      <c r="M25" t="n">
        <v>-0.812701</v>
      </c>
      <c r="N25" t="n">
        <v>-3.066474</v>
      </c>
      <c r="O25" t="n">
        <v>0.454401</v>
      </c>
      <c r="P25" t="n">
        <v>-3.248615</v>
      </c>
      <c r="Q25" t="n">
        <v>-3.070745</v>
      </c>
      <c r="R25" t="n">
        <v>-7.954666</v>
      </c>
      <c r="S25" t="n">
        <v>-4.088651</v>
      </c>
      <c r="T25" t="n">
        <v>-1.338094</v>
      </c>
      <c r="U25" t="n">
        <v>-4.871597</v>
      </c>
      <c r="V25" t="n">
        <v>0.625262</v>
      </c>
      <c r="W25" t="n">
        <v>-3.871214</v>
      </c>
      <c r="X25" t="n">
        <v>-1.28953</v>
      </c>
      <c r="Y25" t="n">
        <v>0.7115899999999999</v>
      </c>
      <c r="Z25" t="n">
        <v>1.774982</v>
      </c>
      <c r="AA25" t="n">
        <v>2.110511</v>
      </c>
      <c r="AB25" t="n">
        <v>1.021649</v>
      </c>
    </row>
    <row r="26">
      <c r="A26" t="inlineStr">
        <is>
          <t>Japan</t>
        </is>
      </c>
      <c r="C26" t="inlineStr"/>
      <c r="D26" t="n">
        <v>-2.943534</v>
      </c>
      <c r="E26" t="n">
        <v>3.123626</v>
      </c>
      <c r="F26" t="n">
        <v>-7.511581</v>
      </c>
      <c r="G26" t="n">
        <v>2.531607</v>
      </c>
      <c r="H26" t="n">
        <v>0.342844</v>
      </c>
      <c r="I26" t="n">
        <v>-1.212138</v>
      </c>
      <c r="J26" t="n">
        <v>-0.535817</v>
      </c>
      <c r="K26" t="n">
        <v>-3.564041</v>
      </c>
      <c r="L26" t="n">
        <v>-3.534565</v>
      </c>
      <c r="M26" t="n">
        <v>-1.33575</v>
      </c>
      <c r="N26" t="n">
        <v>-3.430252</v>
      </c>
      <c r="O26" t="n">
        <v>1.448706</v>
      </c>
      <c r="P26" t="n">
        <v>-5.121009</v>
      </c>
      <c r="Q26" t="n">
        <v>-3.721578</v>
      </c>
      <c r="R26" t="n">
        <v>3.044617</v>
      </c>
      <c r="S26" t="n">
        <v>-0.805399</v>
      </c>
      <c r="T26" t="n">
        <v>1.446281</v>
      </c>
      <c r="U26" t="n">
        <v>1.73346</v>
      </c>
      <c r="V26" t="n">
        <v>10.085884</v>
      </c>
      <c r="W26" t="n">
        <v>2.629808</v>
      </c>
      <c r="X26" t="n">
        <v>1.930123</v>
      </c>
      <c r="Y26" t="n">
        <v>2.960638</v>
      </c>
      <c r="Z26" t="n">
        <v>2.976392</v>
      </c>
      <c r="AA26" t="n">
        <v>-2.349416</v>
      </c>
      <c r="AB26" t="inlineStr">
        <is>
          <t>..</t>
        </is>
      </c>
    </row>
    <row r="27">
      <c r="A27" t="inlineStr">
        <is>
          <t>Korea</t>
        </is>
      </c>
      <c r="C27" t="inlineStr"/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0.94167</v>
      </c>
      <c r="O27" t="n">
        <v>-0.576565</v>
      </c>
      <c r="P27" t="n">
        <v>0.975564</v>
      </c>
      <c r="Q27" t="n">
        <v>-1.40424</v>
      </c>
      <c r="R27" t="n">
        <v>6.844769</v>
      </c>
      <c r="S27" t="n">
        <v>-5.795393</v>
      </c>
      <c r="T27" t="n">
        <v>-4.994031</v>
      </c>
      <c r="U27" t="n">
        <v>-1.823847</v>
      </c>
      <c r="V27" t="n">
        <v>5.342674</v>
      </c>
      <c r="W27" t="n">
        <v>-1.230562</v>
      </c>
      <c r="X27" t="n">
        <v>4.789794</v>
      </c>
      <c r="Y27" t="n">
        <v>8.92014</v>
      </c>
      <c r="Z27" t="n">
        <v>-0.456505</v>
      </c>
      <c r="AA27" t="n">
        <v>-6.227153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5.434525</v>
      </c>
      <c r="F28" t="n">
        <v>5.408879</v>
      </c>
      <c r="G28" t="n">
        <v>14.983223</v>
      </c>
      <c r="H28" t="n">
        <v>12.108254</v>
      </c>
      <c r="I28" t="n">
        <v>11.806442</v>
      </c>
      <c r="J28" t="n">
        <v>-13.567988</v>
      </c>
      <c r="K28" t="n">
        <v>27.540763</v>
      </c>
      <c r="L28" t="n">
        <v>1.353084</v>
      </c>
      <c r="M28" t="n">
        <v>9.042064999999999</v>
      </c>
      <c r="N28" t="n">
        <v>11.626275</v>
      </c>
      <c r="O28" t="n">
        <v>-4.970826</v>
      </c>
      <c r="P28" t="n">
        <v>5.646413</v>
      </c>
      <c r="Q28" t="n">
        <v>-2.824047</v>
      </c>
      <c r="R28" t="n">
        <v>-7.118337</v>
      </c>
      <c r="S28" t="n">
        <v>-21.540322</v>
      </c>
      <c r="T28" t="n">
        <v>29.904292</v>
      </c>
      <c r="U28" t="n">
        <v>8.987207</v>
      </c>
      <c r="V28" t="n">
        <v>-3.452136</v>
      </c>
      <c r="W28" t="n">
        <v>2.584588</v>
      </c>
      <c r="X28" t="n">
        <v>-0.639967</v>
      </c>
      <c r="Y28" t="n">
        <v>-7.440187</v>
      </c>
      <c r="Z28" t="n">
        <v>8.422522000000001</v>
      </c>
      <c r="AA28" t="n">
        <v>7.530031</v>
      </c>
      <c r="AB28" t="n">
        <v>0.51915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5.021092</v>
      </c>
      <c r="F29" t="n">
        <v>8.225443</v>
      </c>
      <c r="G29" t="n">
        <v>17.779761</v>
      </c>
      <c r="H29" t="n">
        <v>-8.415685</v>
      </c>
      <c r="I29" t="n">
        <v>-10.575375</v>
      </c>
      <c r="J29" t="n">
        <v>9.157101000000001</v>
      </c>
      <c r="K29" t="n">
        <v>5.988975</v>
      </c>
      <c r="L29" t="n">
        <v>7.580996</v>
      </c>
      <c r="M29" t="n">
        <v>4.48943</v>
      </c>
      <c r="N29" t="n">
        <v>3.621627</v>
      </c>
      <c r="O29" t="n">
        <v>2.692458</v>
      </c>
      <c r="P29" t="n">
        <v>25.086075</v>
      </c>
      <c r="Q29" t="n">
        <v>7.705851</v>
      </c>
      <c r="R29" t="n">
        <v>-25.874905</v>
      </c>
      <c r="S29" t="n">
        <v>23.502484</v>
      </c>
      <c r="T29" t="n">
        <v>22.281107</v>
      </c>
      <c r="U29" t="n">
        <v>-8.723805</v>
      </c>
      <c r="V29" t="n">
        <v>-1.559489</v>
      </c>
      <c r="W29" t="n">
        <v>13.245018</v>
      </c>
      <c r="X29" t="n">
        <v>-5.829595</v>
      </c>
      <c r="Y29" t="n">
        <v>-5.609979</v>
      </c>
      <c r="Z29" t="n">
        <v>10.94905</v>
      </c>
      <c r="AA29" t="n">
        <v>8.179021000000001</v>
      </c>
      <c r="AB29" t="n">
        <v>0.052213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-2.131969</v>
      </c>
      <c r="F30" t="n">
        <v>6.002147</v>
      </c>
      <c r="G30" t="n">
        <v>2.421864</v>
      </c>
      <c r="H30" t="n">
        <v>3.804837</v>
      </c>
      <c r="I30" t="n">
        <v>-2.536752</v>
      </c>
      <c r="J30" t="n">
        <v>-5.640058</v>
      </c>
      <c r="K30" t="n">
        <v>0.706287</v>
      </c>
      <c r="L30" t="n">
        <v>-1.742565</v>
      </c>
      <c r="M30" t="n">
        <v>1.69849</v>
      </c>
      <c r="N30" t="n">
        <v>-3.873977</v>
      </c>
      <c r="O30" t="n">
        <v>2.042886</v>
      </c>
      <c r="P30" t="n">
        <v>14.25349</v>
      </c>
      <c r="Q30" t="n">
        <v>-9.095905</v>
      </c>
      <c r="R30" t="n">
        <v>-2.426759</v>
      </c>
      <c r="S30" t="n">
        <v>0.652689</v>
      </c>
      <c r="T30" t="n">
        <v>4.732984</v>
      </c>
      <c r="U30" t="n">
        <v>-9.72424</v>
      </c>
      <c r="V30" t="n">
        <v>0.714109</v>
      </c>
      <c r="W30" t="n">
        <v>10.595368</v>
      </c>
      <c r="X30" t="n">
        <v>-1.581741</v>
      </c>
      <c r="Y30" t="n">
        <v>0.596895</v>
      </c>
      <c r="Z30" t="n">
        <v>-0.584985</v>
      </c>
      <c r="AA30" t="n">
        <v>7.416838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2.830562</v>
      </c>
      <c r="U31" t="n">
        <v>4.323102</v>
      </c>
      <c r="V31" t="n">
        <v>-2.979653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-3.350648</v>
      </c>
      <c r="F32" t="n">
        <v>-2.522961</v>
      </c>
      <c r="G32" t="n">
        <v>2.205074</v>
      </c>
      <c r="H32" t="n">
        <v>4.500659</v>
      </c>
      <c r="I32" t="n">
        <v>0.029095</v>
      </c>
      <c r="J32" t="n">
        <v>-0.208297</v>
      </c>
      <c r="K32" t="n">
        <v>-1.210462</v>
      </c>
      <c r="L32" t="n">
        <v>-0.019814</v>
      </c>
      <c r="M32" t="n">
        <v>0.251247</v>
      </c>
      <c r="N32" t="n">
        <v>4.047064</v>
      </c>
      <c r="O32" t="n">
        <v>2.035649</v>
      </c>
      <c r="P32" t="n">
        <v>3.417063</v>
      </c>
      <c r="Q32" t="n">
        <v>2.288286</v>
      </c>
      <c r="R32" t="n">
        <v>-3.313213</v>
      </c>
      <c r="S32" t="n">
        <v>-7.313153</v>
      </c>
      <c r="T32" t="n">
        <v>1.188546</v>
      </c>
      <c r="U32" t="n">
        <v>-5.670986</v>
      </c>
      <c r="V32" t="n">
        <v>0.418516</v>
      </c>
      <c r="W32" t="n">
        <v>6.13661</v>
      </c>
      <c r="X32" t="n">
        <v>7.880179</v>
      </c>
      <c r="Y32" t="n">
        <v>7.909749</v>
      </c>
      <c r="Z32" t="n">
        <v>5.183226</v>
      </c>
      <c r="AA32" t="n">
        <v>4.785881</v>
      </c>
      <c r="AB32" t="n">
        <v>1.257098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1.09106</v>
      </c>
      <c r="U33" t="n">
        <v>8.336702000000001</v>
      </c>
      <c r="V33" t="n">
        <v>-2.120418</v>
      </c>
      <c r="W33" t="n">
        <v>-5.164408</v>
      </c>
      <c r="X33" t="n">
        <v>-2.992988</v>
      </c>
      <c r="Y33" t="n">
        <v>5.101874</v>
      </c>
      <c r="Z33" t="n">
        <v>0.694593</v>
      </c>
      <c r="AA33" t="n">
        <v>5.576943</v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-0.784766</v>
      </c>
      <c r="E34" t="n">
        <v>-2.206145</v>
      </c>
      <c r="F34" t="n">
        <v>0.393749</v>
      </c>
      <c r="G34" t="n">
        <v>-1.509883</v>
      </c>
      <c r="H34" t="n">
        <v>-3.007419</v>
      </c>
      <c r="I34" t="n">
        <v>1.203981</v>
      </c>
      <c r="J34" t="n">
        <v>-2.735746</v>
      </c>
      <c r="K34" t="n">
        <v>-0.483949</v>
      </c>
      <c r="L34" t="n">
        <v>-2.386106</v>
      </c>
      <c r="M34" t="n">
        <v>1.40019</v>
      </c>
      <c r="N34" t="n">
        <v>-0.363801</v>
      </c>
      <c r="O34" t="n">
        <v>-0.496844</v>
      </c>
      <c r="P34" t="n">
        <v>0.825023</v>
      </c>
      <c r="Q34" t="n">
        <v>-1.246832</v>
      </c>
      <c r="R34" t="n">
        <v>-3.192668</v>
      </c>
      <c r="S34" t="n">
        <v>-1.001396</v>
      </c>
      <c r="T34" t="n">
        <v>-1.063825</v>
      </c>
      <c r="U34" t="n">
        <v>1.317573</v>
      </c>
      <c r="V34" t="n">
        <v>-0.787714</v>
      </c>
      <c r="W34" t="n">
        <v>-0.490841</v>
      </c>
      <c r="X34" t="n">
        <v>-0.457864</v>
      </c>
      <c r="Y34" t="n">
        <v>0.981728</v>
      </c>
      <c r="Z34" t="n">
        <v>-0.859931</v>
      </c>
      <c r="AA34" t="n">
        <v>-0.107024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-5.360252</v>
      </c>
      <c r="F35" t="n">
        <v>-3.425826</v>
      </c>
      <c r="G35" t="n">
        <v>1.037692</v>
      </c>
      <c r="H35" t="n">
        <v>2.705756</v>
      </c>
      <c r="I35" t="n">
        <v>12.767595</v>
      </c>
      <c r="J35" t="n">
        <v>-30.037108</v>
      </c>
      <c r="K35" t="n">
        <v>4.687195</v>
      </c>
      <c r="L35" t="n">
        <v>3.233956</v>
      </c>
      <c r="M35" t="n">
        <v>0.927003</v>
      </c>
      <c r="N35" t="n">
        <v>-0.064305</v>
      </c>
      <c r="O35" t="n">
        <v>-1.814178</v>
      </c>
      <c r="P35" t="n">
        <v>-10.307713</v>
      </c>
      <c r="Q35" t="n">
        <v>-11.445093</v>
      </c>
      <c r="R35" t="n">
        <v>4.254678</v>
      </c>
      <c r="S35" t="n">
        <v>10.097316</v>
      </c>
      <c r="T35" t="n">
        <v>11.125905</v>
      </c>
      <c r="U35" t="n">
        <v>-1.171023</v>
      </c>
      <c r="V35" t="n">
        <v>0.528115</v>
      </c>
      <c r="W35" t="n">
        <v>9.952078999999999</v>
      </c>
      <c r="X35" t="n">
        <v>4.36766</v>
      </c>
      <c r="Y35" t="n">
        <v>-9.643236</v>
      </c>
      <c r="Z35" t="n">
        <v>6.996754</v>
      </c>
      <c r="AA35" t="n">
        <v>9.514806</v>
      </c>
      <c r="AB35" t="n">
        <v>-1.094258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-0.336951</v>
      </c>
      <c r="F36" t="n">
        <v>0.821971</v>
      </c>
      <c r="G36" t="n">
        <v>-4.361223</v>
      </c>
      <c r="H36" t="n">
        <v>-2.221442</v>
      </c>
      <c r="I36" t="n">
        <v>-3.51066</v>
      </c>
      <c r="J36" t="n">
        <v>4.617018</v>
      </c>
      <c r="K36" t="n">
        <v>-8.607229</v>
      </c>
      <c r="L36" t="n">
        <v>-2.73055</v>
      </c>
      <c r="M36" t="n">
        <v>4.362408</v>
      </c>
      <c r="N36" t="n">
        <v>-0.670679</v>
      </c>
      <c r="O36" t="n">
        <v>-0.403415</v>
      </c>
      <c r="P36" t="n">
        <v>0.769939</v>
      </c>
      <c r="Q36" t="n">
        <v>-1.523659</v>
      </c>
      <c r="R36" t="n">
        <v>-2.095507</v>
      </c>
      <c r="S36" t="n">
        <v>-2.390449</v>
      </c>
      <c r="T36" t="n">
        <v>3.119177</v>
      </c>
      <c r="U36" t="n">
        <v>6.359006</v>
      </c>
      <c r="V36" t="n">
        <v>4.03564</v>
      </c>
      <c r="W36" t="n">
        <v>-3.703865</v>
      </c>
      <c r="X36" t="n">
        <v>-1.254631</v>
      </c>
      <c r="Y36" t="n">
        <v>0.650288</v>
      </c>
      <c r="Z36" t="n">
        <v>0.68973</v>
      </c>
      <c r="AA36" t="n">
        <v>0.8370339999999999</v>
      </c>
      <c r="AB36" t="n">
        <v>5.62728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33.776481</v>
      </c>
      <c r="F37" t="n">
        <v>-0.3749</v>
      </c>
      <c r="G37" t="n">
        <v>10.399611</v>
      </c>
      <c r="H37" t="n">
        <v>-17.220938</v>
      </c>
      <c r="I37" t="n">
        <v>11.106035</v>
      </c>
      <c r="J37" t="n">
        <v>1.768085</v>
      </c>
      <c r="K37" t="n">
        <v>12.351895</v>
      </c>
      <c r="L37" t="n">
        <v>-9.253201000000001</v>
      </c>
      <c r="M37" t="n">
        <v>7.072339</v>
      </c>
      <c r="N37" t="n">
        <v>-2.6073</v>
      </c>
      <c r="O37" t="n">
        <v>12.88177</v>
      </c>
      <c r="P37" t="n">
        <v>5.420101</v>
      </c>
      <c r="Q37" t="n">
        <v>12.658382</v>
      </c>
      <c r="R37" t="n">
        <v>-5.235158</v>
      </c>
      <c r="S37" t="n">
        <v>-4.218135</v>
      </c>
      <c r="T37" t="n">
        <v>9.915744</v>
      </c>
      <c r="U37" t="n">
        <v>9.409303</v>
      </c>
      <c r="V37" t="n">
        <v>-12.284716</v>
      </c>
      <c r="W37" t="n">
        <v>9.097507</v>
      </c>
      <c r="X37" t="n">
        <v>1.288647</v>
      </c>
      <c r="Y37" t="n">
        <v>-2.142341</v>
      </c>
      <c r="Z37" t="n">
        <v>7.61806</v>
      </c>
      <c r="AA37" t="n">
        <v>-4.420937</v>
      </c>
      <c r="AB37" t="n">
        <v>-3.324804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9.724919</v>
      </c>
      <c r="F38" t="n">
        <v>3.382789</v>
      </c>
      <c r="G38" t="n">
        <v>0.478047</v>
      </c>
      <c r="H38" t="n">
        <v>6.483305</v>
      </c>
      <c r="I38" t="n">
        <v>-6.262903</v>
      </c>
      <c r="J38" t="n">
        <v>-0.964052</v>
      </c>
      <c r="K38" t="n">
        <v>2.044906</v>
      </c>
      <c r="L38" t="n">
        <v>5.766362</v>
      </c>
      <c r="M38" t="n">
        <v>2.159815</v>
      </c>
      <c r="N38" t="n">
        <v>-0.08781700000000001</v>
      </c>
      <c r="O38" t="n">
        <v>7.536062</v>
      </c>
      <c r="P38" t="n">
        <v>4.509559</v>
      </c>
      <c r="Q38" t="n">
        <v>-6.529629</v>
      </c>
      <c r="R38" t="n">
        <v>-12.968293</v>
      </c>
      <c r="S38" t="n">
        <v>-10.001764</v>
      </c>
      <c r="T38" t="n">
        <v>2.461405</v>
      </c>
      <c r="U38" t="n">
        <v>-0.290656</v>
      </c>
      <c r="V38" t="n">
        <v>-2.381731</v>
      </c>
      <c r="W38" t="n">
        <v>11.015694</v>
      </c>
      <c r="X38" t="n">
        <v>-3.779002</v>
      </c>
      <c r="Y38" t="n">
        <v>-2.573228</v>
      </c>
      <c r="Z38" t="n">
        <v>5.912996</v>
      </c>
      <c r="AA38" t="n">
        <v>1.420905</v>
      </c>
      <c r="AB38" t="n">
        <v>-3.524045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-2.233915</v>
      </c>
      <c r="F39" t="n">
        <v>-5.845765</v>
      </c>
      <c r="G39" t="n">
        <v>-3.132914</v>
      </c>
      <c r="H39" t="n">
        <v>-4.881762</v>
      </c>
      <c r="I39" t="n">
        <v>-6.188149</v>
      </c>
      <c r="J39" t="n">
        <v>-0.281837</v>
      </c>
      <c r="K39" t="n">
        <v>-0.698083</v>
      </c>
      <c r="L39" t="n">
        <v>-1.989234</v>
      </c>
      <c r="M39" t="n">
        <v>-3.844074</v>
      </c>
      <c r="N39" t="n">
        <v>-3.494057</v>
      </c>
      <c r="O39" t="n">
        <v>-3.47626</v>
      </c>
      <c r="P39" t="n">
        <v>-4.186324</v>
      </c>
      <c r="Q39" t="n">
        <v>11.760608</v>
      </c>
      <c r="R39" t="n">
        <v>18.452133</v>
      </c>
      <c r="S39" t="n">
        <v>-3.007928</v>
      </c>
      <c r="T39" t="n">
        <v>1.856124</v>
      </c>
      <c r="U39" t="n">
        <v>8.184443999999999</v>
      </c>
      <c r="V39" t="n">
        <v>1.990374</v>
      </c>
      <c r="W39" t="n">
        <v>1.691688</v>
      </c>
      <c r="X39" t="n">
        <v>-1.226258</v>
      </c>
      <c r="Y39" t="n">
        <v>2.400954</v>
      </c>
      <c r="Z39" t="n">
        <v>-0.017858</v>
      </c>
      <c r="AA39" t="n">
        <v>-1.694152</v>
      </c>
      <c r="AB39" t="n">
        <v>-1.659033</v>
      </c>
    </row>
    <row r="40">
      <c r="A40" t="inlineStr">
        <is>
          <t>Sweden</t>
        </is>
      </c>
      <c r="C40" t="inlineStr"/>
      <c r="D40" t="n">
        <v>1.513346</v>
      </c>
      <c r="E40" t="n">
        <v>5.177892</v>
      </c>
      <c r="F40" t="n">
        <v>0.620687</v>
      </c>
      <c r="G40" t="n">
        <v>-0.146984</v>
      </c>
      <c r="H40" t="n">
        <v>-0.714059</v>
      </c>
      <c r="I40" t="n">
        <v>-0.763057</v>
      </c>
      <c r="J40" t="n">
        <v>-0.681149</v>
      </c>
      <c r="K40" t="n">
        <v>1.156686</v>
      </c>
      <c r="L40" t="n">
        <v>1.406735</v>
      </c>
      <c r="M40" t="n">
        <v>4.857182</v>
      </c>
      <c r="N40" t="n">
        <v>-1.346352</v>
      </c>
      <c r="O40" t="n">
        <v>4.122003</v>
      </c>
      <c r="P40" t="n">
        <v>-1.454646</v>
      </c>
      <c r="Q40" t="n">
        <v>-12.531257</v>
      </c>
      <c r="R40" t="n">
        <v>1.653809</v>
      </c>
      <c r="S40" t="n">
        <v>-2.643668</v>
      </c>
      <c r="T40" t="n">
        <v>-2.002605</v>
      </c>
      <c r="U40" t="n">
        <v>-2.327441</v>
      </c>
      <c r="V40" t="n">
        <v>-4.507731</v>
      </c>
      <c r="W40" t="n">
        <v>0.976867</v>
      </c>
      <c r="X40" t="n">
        <v>3.593104</v>
      </c>
      <c r="Y40" t="n">
        <v>-2.121839</v>
      </c>
      <c r="Z40" t="n">
        <v>-0.409759</v>
      </c>
      <c r="AA40" t="n">
        <v>-0.17836</v>
      </c>
      <c r="AB40" t="n">
        <v>0.903966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-1.033356</v>
      </c>
      <c r="F41" t="n">
        <v>-4.507043</v>
      </c>
      <c r="G41" t="n">
        <v>3.56811</v>
      </c>
      <c r="H41" t="n">
        <v>0.119989</v>
      </c>
      <c r="I41" t="n">
        <v>-0.699371</v>
      </c>
      <c r="J41" t="n">
        <v>-1.254025</v>
      </c>
      <c r="K41" t="n">
        <v>5.911196</v>
      </c>
      <c r="L41" t="n">
        <v>1.884842</v>
      </c>
      <c r="M41" t="n">
        <v>-1.07265</v>
      </c>
      <c r="N41" t="n">
        <v>1.103714</v>
      </c>
      <c r="O41" t="n">
        <v>-4.122941</v>
      </c>
      <c r="P41" t="n">
        <v>-4.398443</v>
      </c>
      <c r="Q41" t="n">
        <v>0.646275</v>
      </c>
      <c r="R41" t="n">
        <v>2.332655</v>
      </c>
      <c r="S41" t="n">
        <v>4.315725</v>
      </c>
      <c r="T41" t="n">
        <v>-1.842604</v>
      </c>
      <c r="U41" t="n">
        <v>-0.209781</v>
      </c>
      <c r="V41" t="n">
        <v>0.700079</v>
      </c>
      <c r="W41" t="n">
        <v>0.9320000000000001</v>
      </c>
      <c r="X41" t="n">
        <v>-1.048895</v>
      </c>
      <c r="Y41" t="n">
        <v>0.955137</v>
      </c>
      <c r="Z41" t="n">
        <v>0.423764</v>
      </c>
      <c r="AA41" t="n">
        <v>1.466768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1.427535</v>
      </c>
      <c r="E42" t="n">
        <v>2.77835</v>
      </c>
      <c r="F42" t="n">
        <v>1.591321</v>
      </c>
      <c r="G42" t="n">
        <v>-1.03185</v>
      </c>
      <c r="H42" t="n">
        <v>0.339949</v>
      </c>
      <c r="I42" t="n">
        <v>-0.147992</v>
      </c>
      <c r="J42" t="n">
        <v>-0.131773</v>
      </c>
      <c r="K42" t="n">
        <v>3.820358</v>
      </c>
      <c r="L42" t="n">
        <v>1.753357</v>
      </c>
      <c r="M42" t="n">
        <v>2.237251</v>
      </c>
      <c r="N42" t="n">
        <v>-4.748677</v>
      </c>
      <c r="O42" t="n">
        <v>-0.737784</v>
      </c>
      <c r="P42" t="n">
        <v>-0.844388</v>
      </c>
      <c r="Q42" t="n">
        <v>-2.856721</v>
      </c>
      <c r="R42" t="n">
        <v>-9.764747</v>
      </c>
      <c r="S42" t="n">
        <v>14.617552</v>
      </c>
      <c r="T42" t="n">
        <v>2.71436</v>
      </c>
      <c r="U42" t="n">
        <v>-6.539331</v>
      </c>
      <c r="V42" t="n">
        <v>1.711427</v>
      </c>
      <c r="W42" t="n">
        <v>6.425615</v>
      </c>
      <c r="X42" t="n">
        <v>1.402433</v>
      </c>
      <c r="Y42" t="n">
        <v>0.123038</v>
      </c>
      <c r="Z42" t="n">
        <v>2.201701</v>
      </c>
      <c r="AA42" t="n">
        <v>-0.33239</v>
      </c>
      <c r="AB42" t="n">
        <v>2.839913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-4.225882</v>
      </c>
      <c r="K43" t="n">
        <v>-1.573179</v>
      </c>
      <c r="L43" t="n">
        <v>0.050535</v>
      </c>
      <c r="M43" t="n">
        <v>-2.492552</v>
      </c>
      <c r="N43" t="n">
        <v>-3.41007</v>
      </c>
      <c r="O43" t="n">
        <v>-6.695059</v>
      </c>
      <c r="P43" t="n">
        <v>-3.964294</v>
      </c>
      <c r="Q43" t="n">
        <v>-2.502413</v>
      </c>
      <c r="R43" t="n">
        <v>-2.885665</v>
      </c>
      <c r="S43" t="n">
        <v>1.376478</v>
      </c>
      <c r="T43" t="n">
        <v>-1.199903</v>
      </c>
      <c r="U43" t="n">
        <v>3.601184</v>
      </c>
      <c r="V43" t="n">
        <v>-0.908689</v>
      </c>
      <c r="W43" t="n">
        <v>-4.264238</v>
      </c>
      <c r="X43" t="n">
        <v>2.910644</v>
      </c>
      <c r="Y43" t="n">
        <v>-0.583458</v>
      </c>
      <c r="Z43" t="n">
        <v>-2.649279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-1.26024</v>
      </c>
      <c r="F44" t="n">
        <v>-1.243526</v>
      </c>
      <c r="G44" t="n">
        <v>-0.523125</v>
      </c>
      <c r="H44" t="n">
        <v>0.04412</v>
      </c>
      <c r="I44" t="n">
        <v>-0.481012</v>
      </c>
      <c r="J44" t="n">
        <v>0.086979</v>
      </c>
      <c r="K44" t="n">
        <v>-0.504281</v>
      </c>
      <c r="L44" t="n">
        <v>0.41515</v>
      </c>
      <c r="M44" t="n">
        <v>0.241333</v>
      </c>
      <c r="N44" t="n">
        <v>-2.282249</v>
      </c>
      <c r="O44" t="n">
        <v>0.096612</v>
      </c>
      <c r="P44" t="n">
        <v>-2.487791</v>
      </c>
      <c r="Q44" t="n">
        <v>0.470172</v>
      </c>
      <c r="R44" t="n">
        <v>-0.189081</v>
      </c>
      <c r="S44" t="n">
        <v>-0.211873</v>
      </c>
      <c r="T44" t="n">
        <v>0.658636</v>
      </c>
      <c r="U44" t="n">
        <v>-1.168101</v>
      </c>
      <c r="V44" t="n">
        <v>-0.389785</v>
      </c>
      <c r="W44" t="n">
        <v>0.360743</v>
      </c>
      <c r="X44" t="n">
        <v>0.406002</v>
      </c>
      <c r="Y44" t="n">
        <v>1.561799</v>
      </c>
      <c r="Z44" t="n">
        <v>1.104696</v>
      </c>
      <c r="AA44" t="n">
        <v>0.875189</v>
      </c>
      <c r="AB44" t="n">
        <v>0.5941149999999999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-0.577642</v>
      </c>
      <c r="F45" t="n">
        <v>-1.059502</v>
      </c>
      <c r="G45" t="n">
        <v>-0.215792</v>
      </c>
      <c r="H45" t="n">
        <v>0.612318</v>
      </c>
      <c r="I45" t="n">
        <v>0.827514</v>
      </c>
      <c r="J45" t="n">
        <v>-1.712734</v>
      </c>
      <c r="K45" t="n">
        <v>1.057976</v>
      </c>
      <c r="L45" t="n">
        <v>1.010908</v>
      </c>
      <c r="M45" t="n">
        <v>1.328887</v>
      </c>
      <c r="N45" t="n">
        <v>-2.766854</v>
      </c>
      <c r="O45" t="n">
        <v>-0.418979</v>
      </c>
      <c r="P45" t="n">
        <v>-3.020785</v>
      </c>
      <c r="Q45" t="n">
        <v>-1.41746</v>
      </c>
      <c r="R45" t="n">
        <v>-2.095496</v>
      </c>
      <c r="S45" t="n">
        <v>1.943668</v>
      </c>
      <c r="T45" t="n">
        <v>0.999053</v>
      </c>
      <c r="U45" t="n">
        <v>-2.136909</v>
      </c>
      <c r="V45" t="n">
        <v>0.246341</v>
      </c>
      <c r="W45" t="n">
        <v>2.087707</v>
      </c>
      <c r="X45" t="n">
        <v>1.248389</v>
      </c>
      <c r="Y45" t="n">
        <v>0.563995</v>
      </c>
      <c r="Z45" t="n">
        <v>1.431318</v>
      </c>
      <c r="AA45" t="n">
        <v>1.128122</v>
      </c>
      <c r="AB45" t="n">
        <v>0.809307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-2.073726</v>
      </c>
      <c r="K46" t="n">
        <v>0.35456</v>
      </c>
      <c r="L46" t="n">
        <v>-5.732534</v>
      </c>
      <c r="M46" t="n">
        <v>6.788331</v>
      </c>
      <c r="N46" t="n">
        <v>-6.463435</v>
      </c>
      <c r="O46" t="n">
        <v>-0.804087</v>
      </c>
      <c r="P46" t="n">
        <v>3.953909</v>
      </c>
      <c r="Q46" t="n">
        <v>0.006925</v>
      </c>
      <c r="R46" t="n">
        <v>1.154231</v>
      </c>
      <c r="S46" t="n">
        <v>4.240553</v>
      </c>
      <c r="T46" t="n">
        <v>4.842817</v>
      </c>
      <c r="U46" t="n">
        <v>-2.577856</v>
      </c>
      <c r="V46" t="n">
        <v>1.767435</v>
      </c>
      <c r="W46" t="n">
        <v>-5.787694</v>
      </c>
      <c r="X46" t="n">
        <v>-3.641292</v>
      </c>
      <c r="Y46" t="n">
        <v>-3.209474</v>
      </c>
      <c r="Z46" t="n">
        <v>-5.195572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10.241019</v>
      </c>
      <c r="E47" t="n">
        <v>-6.609551</v>
      </c>
      <c r="F47" t="n">
        <v>-16.257429</v>
      </c>
      <c r="G47" t="n">
        <v>20.542321</v>
      </c>
      <c r="H47" t="n">
        <v>-2.804891</v>
      </c>
      <c r="I47" t="n">
        <v>-6.56543</v>
      </c>
      <c r="J47" t="n">
        <v>7.323266</v>
      </c>
      <c r="K47" t="n">
        <v>0.481992</v>
      </c>
      <c r="L47" t="n">
        <v>3.915845</v>
      </c>
      <c r="M47" t="n">
        <v>8.950191</v>
      </c>
      <c r="N47" t="n">
        <v>-4.0996</v>
      </c>
      <c r="O47" t="n">
        <v>3.258175</v>
      </c>
      <c r="P47" t="n">
        <v>1.2929</v>
      </c>
      <c r="Q47" t="n">
        <v>11.555216</v>
      </c>
      <c r="R47" t="n">
        <v>17.005066</v>
      </c>
      <c r="S47" t="n">
        <v>11.850882</v>
      </c>
      <c r="T47" t="n">
        <v>-1.496003</v>
      </c>
      <c r="U47" t="n">
        <v>-8.080995</v>
      </c>
      <c r="V47" t="n">
        <v>0.464805</v>
      </c>
      <c r="W47" t="n">
        <v>-15.72807</v>
      </c>
      <c r="X47" t="n">
        <v>9.039023</v>
      </c>
      <c r="Y47" t="n">
        <v>2.526192</v>
      </c>
      <c r="Z47" t="n">
        <v>-6.081005</v>
      </c>
      <c r="AA47" t="n">
        <v>-2.716903</v>
      </c>
      <c r="AB47" t="inlineStr">
        <is>
          <t>..</t>
        </is>
      </c>
    </row>
    <row r="48">
      <c r="A48" t="inlineStr">
        <is>
          <t>Data extracted on 04 Jun 2020 21:26 UTC (GMT) from OECD.Stat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 IsDisplayed="true"&gt;&lt;Name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G_I: Wholesale retail trade accommodation food services, transportation and storage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3.371701</v>
      </c>
      <c r="E9" t="n">
        <v>5.638992</v>
      </c>
      <c r="F9" t="n">
        <v>1.91362</v>
      </c>
      <c r="G9" t="n">
        <v>2.985064</v>
      </c>
      <c r="H9" t="n">
        <v>5.519226</v>
      </c>
      <c r="I9" t="n">
        <v>0.352105</v>
      </c>
      <c r="J9" t="n">
        <v>1.586721</v>
      </c>
      <c r="K9" t="n">
        <v>0.19187</v>
      </c>
      <c r="L9" t="n">
        <v>6.485922</v>
      </c>
      <c r="M9" t="n">
        <v>-0.683898</v>
      </c>
      <c r="N9" t="n">
        <v>3.353562</v>
      </c>
      <c r="O9" t="n">
        <v>1.241087</v>
      </c>
      <c r="P9" t="n">
        <v>1.635964</v>
      </c>
      <c r="Q9" t="n">
        <v>-1.305716</v>
      </c>
      <c r="R9" t="n">
        <v>1.80821</v>
      </c>
      <c r="S9" t="n">
        <v>0.610632</v>
      </c>
      <c r="T9" t="n">
        <v>7.048785</v>
      </c>
      <c r="U9" t="n">
        <v>-2.3701</v>
      </c>
      <c r="V9" t="n">
        <v>1.811541</v>
      </c>
      <c r="W9" t="n">
        <v>0.525985</v>
      </c>
      <c r="X9" t="n">
        <v>1.397044</v>
      </c>
      <c r="Y9" t="n">
        <v>1.196504</v>
      </c>
      <c r="Z9" t="n">
        <v>2.018347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3.982246</v>
      </c>
      <c r="E10" t="n">
        <v>0.620063</v>
      </c>
      <c r="F10" t="n">
        <v>1.204599</v>
      </c>
      <c r="G10" t="n">
        <v>3.780147</v>
      </c>
      <c r="H10" t="n">
        <v>0.54194</v>
      </c>
      <c r="I10" t="n">
        <v>2.766104</v>
      </c>
      <c r="J10" t="n">
        <v>-0.919114</v>
      </c>
      <c r="K10" t="n">
        <v>2.692617</v>
      </c>
      <c r="L10" t="n">
        <v>-0.443081</v>
      </c>
      <c r="M10" t="n">
        <v>1.185912</v>
      </c>
      <c r="N10" t="n">
        <v>0.326402</v>
      </c>
      <c r="O10" t="n">
        <v>1.159264</v>
      </c>
      <c r="P10" t="n">
        <v>1.529411</v>
      </c>
      <c r="Q10" t="n">
        <v>-0.531058</v>
      </c>
      <c r="R10" t="n">
        <v>-0.359763</v>
      </c>
      <c r="S10" t="n">
        <v>0.885782</v>
      </c>
      <c r="T10" t="n">
        <v>1.070155</v>
      </c>
      <c r="U10" t="n">
        <v>-1.60995</v>
      </c>
      <c r="V10" t="n">
        <v>-1.723151</v>
      </c>
      <c r="W10" t="n">
        <v>0.592623</v>
      </c>
      <c r="X10" t="n">
        <v>0.250385</v>
      </c>
      <c r="Y10" t="n">
        <v>0.172839</v>
      </c>
      <c r="Z10" t="n">
        <v>-0.188688</v>
      </c>
      <c r="AA10" t="n">
        <v>1.064374</v>
      </c>
      <c r="AB10" t="n">
        <v>1.286012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-2.398452</v>
      </c>
      <c r="F11" t="n">
        <v>1.674678</v>
      </c>
      <c r="G11" t="n">
        <v>-2.986198</v>
      </c>
      <c r="H11" t="n">
        <v>1.965668</v>
      </c>
      <c r="I11" t="n">
        <v>-0.952017</v>
      </c>
      <c r="J11" t="n">
        <v>1.043994</v>
      </c>
      <c r="K11" t="n">
        <v>2.902995</v>
      </c>
      <c r="L11" t="n">
        <v>4.309961</v>
      </c>
      <c r="M11" t="n">
        <v>1.016103</v>
      </c>
      <c r="N11" t="n">
        <v>-0.7179489999999999</v>
      </c>
      <c r="O11" t="n">
        <v>1.985872</v>
      </c>
      <c r="P11" t="n">
        <v>3.347625</v>
      </c>
      <c r="Q11" t="n">
        <v>0.994801</v>
      </c>
      <c r="R11" t="n">
        <v>-2.301273</v>
      </c>
      <c r="S11" t="n">
        <v>2.240022</v>
      </c>
      <c r="T11" t="n">
        <v>0.925836</v>
      </c>
      <c r="U11" t="n">
        <v>-1.303548</v>
      </c>
      <c r="V11" t="n">
        <v>0.578798</v>
      </c>
      <c r="W11" t="n">
        <v>1.368702</v>
      </c>
      <c r="X11" t="n">
        <v>1.684953</v>
      </c>
      <c r="Y11" t="n">
        <v>0.415096</v>
      </c>
      <c r="Z11" t="n">
        <v>-1.409581</v>
      </c>
      <c r="AA11" t="n">
        <v>0.949022</v>
      </c>
      <c r="AB11" t="n">
        <v>-0.350187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0.5207540000000001</v>
      </c>
      <c r="R12" t="n">
        <v>-2.224374</v>
      </c>
      <c r="S12" t="n">
        <v>2.48513</v>
      </c>
      <c r="T12" t="n">
        <v>2.420007</v>
      </c>
      <c r="U12" t="n">
        <v>0.18219</v>
      </c>
      <c r="V12" t="n">
        <v>4.238326</v>
      </c>
      <c r="W12" t="n">
        <v>2.41303</v>
      </c>
      <c r="X12" t="n">
        <v>-2.392366</v>
      </c>
      <c r="Y12" t="n">
        <v>0.901899</v>
      </c>
      <c r="Z12" t="n">
        <v>1.824304</v>
      </c>
      <c r="AA12" t="n">
        <v>5.796827</v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n">
        <v>7.33623</v>
      </c>
      <c r="U13" t="n">
        <v>7.815365</v>
      </c>
      <c r="V13" t="n">
        <v>7.737795</v>
      </c>
      <c r="W13" t="n">
        <v>2.659815</v>
      </c>
      <c r="X13" t="n">
        <v>0.415348</v>
      </c>
      <c r="Y13" t="n">
        <v>-1.294713</v>
      </c>
      <c r="Z13" t="n">
        <v>1.586171</v>
      </c>
      <c r="AA13" t="n">
        <v>3.608534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9.092919</v>
      </c>
      <c r="E14" t="n">
        <v>6.80122</v>
      </c>
      <c r="F14" t="n">
        <v>1.772967</v>
      </c>
      <c r="G14" t="n">
        <v>2.601262</v>
      </c>
      <c r="H14" t="n">
        <v>4.314499</v>
      </c>
      <c r="I14" t="n">
        <v>4.584009</v>
      </c>
      <c r="J14" t="n">
        <v>5.556429</v>
      </c>
      <c r="K14" t="n">
        <v>0.208533</v>
      </c>
      <c r="L14" t="n">
        <v>7.456492</v>
      </c>
      <c r="M14" t="n">
        <v>5.17366</v>
      </c>
      <c r="N14" t="n">
        <v>3.569417</v>
      </c>
      <c r="O14" t="n">
        <v>5.135389</v>
      </c>
      <c r="P14" t="n">
        <v>5.581232</v>
      </c>
      <c r="Q14" t="n">
        <v>-4.928489</v>
      </c>
      <c r="R14" t="n">
        <v>-8.770027000000001</v>
      </c>
      <c r="S14" t="n">
        <v>4.214021</v>
      </c>
      <c r="T14" t="n">
        <v>1.077211</v>
      </c>
      <c r="U14" t="n">
        <v>0.426469</v>
      </c>
      <c r="V14" t="n">
        <v>-0.957731</v>
      </c>
      <c r="W14" t="n">
        <v>3.671745</v>
      </c>
      <c r="X14" t="n">
        <v>6.755239</v>
      </c>
      <c r="Y14" t="n">
        <v>1.414419</v>
      </c>
      <c r="Z14" t="n">
        <v>1.75049</v>
      </c>
      <c r="AA14" t="n">
        <v>3.575592</v>
      </c>
      <c r="AB14" t="n">
        <v>2.149876</v>
      </c>
    </row>
    <row r="15">
      <c r="A15" t="inlineStr">
        <is>
          <t>Denmark</t>
        </is>
      </c>
      <c r="C15" t="inlineStr"/>
      <c r="D15" t="n">
        <v>3.534855</v>
      </c>
      <c r="E15" t="n">
        <v>5.100603</v>
      </c>
      <c r="F15" t="n">
        <v>-0.369046</v>
      </c>
      <c r="G15" t="n">
        <v>-1.05821</v>
      </c>
      <c r="H15" t="n">
        <v>5.464256</v>
      </c>
      <c r="I15" t="n">
        <v>6.09596</v>
      </c>
      <c r="J15" t="n">
        <v>0.476037</v>
      </c>
      <c r="K15" t="n">
        <v>-0.299682</v>
      </c>
      <c r="L15" t="n">
        <v>1.28134</v>
      </c>
      <c r="M15" t="n">
        <v>0.269238</v>
      </c>
      <c r="N15" t="n">
        <v>1.221867</v>
      </c>
      <c r="O15" t="n">
        <v>3.240862</v>
      </c>
      <c r="P15" t="n">
        <v>-1.292104</v>
      </c>
      <c r="Q15" t="n">
        <v>-8.015644</v>
      </c>
      <c r="R15" t="n">
        <v>-2.860254</v>
      </c>
      <c r="S15" t="n">
        <v>6.891551</v>
      </c>
      <c r="T15" t="n">
        <v>1.54445</v>
      </c>
      <c r="U15" t="n">
        <v>-0.903262</v>
      </c>
      <c r="V15" t="n">
        <v>2.819943</v>
      </c>
      <c r="W15" t="n">
        <v>0.247248</v>
      </c>
      <c r="X15" t="n">
        <v>1.396951</v>
      </c>
      <c r="Y15" t="n">
        <v>0.632869</v>
      </c>
      <c r="Z15" t="n">
        <v>0.331352</v>
      </c>
      <c r="AA15" t="n">
        <v>1.077357</v>
      </c>
      <c r="AB15" t="n">
        <v>2.022237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12.063694</v>
      </c>
      <c r="F16" t="n">
        <v>12.723076</v>
      </c>
      <c r="G16" t="n">
        <v>7.119244</v>
      </c>
      <c r="H16" t="n">
        <v>4.278819</v>
      </c>
      <c r="I16" t="n">
        <v>6.422077</v>
      </c>
      <c r="J16" t="n">
        <v>4.150332</v>
      </c>
      <c r="K16" t="n">
        <v>5.181481</v>
      </c>
      <c r="L16" t="n">
        <v>11.296819</v>
      </c>
      <c r="M16" t="n">
        <v>18.938597</v>
      </c>
      <c r="N16" t="n">
        <v>-0.838014</v>
      </c>
      <c r="O16" t="n">
        <v>2.784723</v>
      </c>
      <c r="P16" t="n">
        <v>9.619888</v>
      </c>
      <c r="Q16" t="n">
        <v>-14.803816</v>
      </c>
      <c r="R16" t="n">
        <v>-11.241892</v>
      </c>
      <c r="S16" t="n">
        <v>13.386637</v>
      </c>
      <c r="T16" t="n">
        <v>4.33912</v>
      </c>
      <c r="U16" t="n">
        <v>3.045721</v>
      </c>
      <c r="V16" t="n">
        <v>-0.174786</v>
      </c>
      <c r="W16" t="n">
        <v>-1.996632</v>
      </c>
      <c r="X16" t="n">
        <v>0.069037</v>
      </c>
      <c r="Y16" t="n">
        <v>1.075637</v>
      </c>
      <c r="Z16" t="n">
        <v>2.53566</v>
      </c>
      <c r="AA16" t="n">
        <v>4.018615</v>
      </c>
      <c r="AB16" t="n">
        <v>5.776758</v>
      </c>
    </row>
    <row r="17">
      <c r="A17" t="inlineStr">
        <is>
          <t>Finland</t>
        </is>
      </c>
      <c r="C17" t="inlineStr"/>
      <c r="D17" t="n">
        <v>4.068736</v>
      </c>
      <c r="E17" t="n">
        <v>0.219008</v>
      </c>
      <c r="F17" t="n">
        <v>0.933567</v>
      </c>
      <c r="G17" t="n">
        <v>3.402438</v>
      </c>
      <c r="H17" t="n">
        <v>0.5319970000000001</v>
      </c>
      <c r="I17" t="n">
        <v>2.239567</v>
      </c>
      <c r="J17" t="n">
        <v>4.785173</v>
      </c>
      <c r="K17" t="n">
        <v>-1.755526</v>
      </c>
      <c r="L17" t="n">
        <v>1.201765</v>
      </c>
      <c r="M17" t="n">
        <v>4.072032</v>
      </c>
      <c r="N17" t="n">
        <v>1.328564</v>
      </c>
      <c r="O17" t="n">
        <v>-1.975823</v>
      </c>
      <c r="P17" t="n">
        <v>6.225552</v>
      </c>
      <c r="Q17" t="n">
        <v>4.545018</v>
      </c>
      <c r="R17" t="n">
        <v>-9.294376</v>
      </c>
      <c r="S17" t="n">
        <v>5.828777</v>
      </c>
      <c r="T17" t="n">
        <v>3.258314</v>
      </c>
      <c r="U17" t="n">
        <v>0.14496</v>
      </c>
      <c r="V17" t="n">
        <v>-2.766019</v>
      </c>
      <c r="W17" t="n">
        <v>-2.006554</v>
      </c>
      <c r="X17" t="n">
        <v>-1.446582</v>
      </c>
      <c r="Y17" t="n">
        <v>1.122945</v>
      </c>
      <c r="Z17" t="n">
        <v>3.848867</v>
      </c>
      <c r="AA17" t="n">
        <v>1.729853</v>
      </c>
      <c r="AB17" t="n">
        <v>0.228757</v>
      </c>
    </row>
    <row r="18">
      <c r="A18" t="inlineStr">
        <is>
          <t>France</t>
        </is>
      </c>
      <c r="C18" t="inlineStr"/>
      <c r="D18" t="n">
        <v>2.029702</v>
      </c>
      <c r="E18" t="n">
        <v>0.376564</v>
      </c>
      <c r="F18" t="n">
        <v>4.355854</v>
      </c>
      <c r="G18" t="n">
        <v>4.155913</v>
      </c>
      <c r="H18" t="n">
        <v>1.8973</v>
      </c>
      <c r="I18" t="n">
        <v>1.050308</v>
      </c>
      <c r="J18" t="n">
        <v>-0.010874</v>
      </c>
      <c r="K18" t="n">
        <v>-0.9099080000000001</v>
      </c>
      <c r="L18" t="n">
        <v>-1.076642</v>
      </c>
      <c r="M18" t="n">
        <v>0.8001239999999999</v>
      </c>
      <c r="N18" t="n">
        <v>1.079816</v>
      </c>
      <c r="O18" t="n">
        <v>1.778607</v>
      </c>
      <c r="P18" t="n">
        <v>1.943706</v>
      </c>
      <c r="Q18" t="n">
        <v>0.75378</v>
      </c>
      <c r="R18" t="n">
        <v>-4.230895</v>
      </c>
      <c r="S18" t="n">
        <v>1.647018</v>
      </c>
      <c r="T18" t="n">
        <v>2.625316</v>
      </c>
      <c r="U18" t="n">
        <v>-0.482756</v>
      </c>
      <c r="V18" t="n">
        <v>0.909135</v>
      </c>
      <c r="W18" t="n">
        <v>0.973214</v>
      </c>
      <c r="X18" t="n">
        <v>1.372786</v>
      </c>
      <c r="Y18" t="n">
        <v>1.789929</v>
      </c>
      <c r="Z18" t="n">
        <v>1.345877</v>
      </c>
      <c r="AA18" t="n">
        <v>-0.300417</v>
      </c>
      <c r="AB18" t="n">
        <v>1.154471</v>
      </c>
    </row>
    <row r="19">
      <c r="A19" t="inlineStr">
        <is>
          <t>Germany</t>
        </is>
      </c>
      <c r="C19" t="inlineStr"/>
      <c r="D19" t="n">
        <v>1.719787</v>
      </c>
      <c r="E19" t="n">
        <v>-0.359597</v>
      </c>
      <c r="F19" t="n">
        <v>1.28002</v>
      </c>
      <c r="G19" t="n">
        <v>1.633408</v>
      </c>
      <c r="H19" t="n">
        <v>-0.807342</v>
      </c>
      <c r="I19" t="n">
        <v>0.956409</v>
      </c>
      <c r="J19" t="n">
        <v>5.072033</v>
      </c>
      <c r="K19" t="n">
        <v>1.723476</v>
      </c>
      <c r="L19" t="n">
        <v>3.517755</v>
      </c>
      <c r="M19" t="n">
        <v>1.665545</v>
      </c>
      <c r="N19" t="n">
        <v>2.891167</v>
      </c>
      <c r="O19" t="n">
        <v>7.661427</v>
      </c>
      <c r="P19" t="n">
        <v>0.982392</v>
      </c>
      <c r="Q19" t="n">
        <v>-0.376998</v>
      </c>
      <c r="R19" t="n">
        <v>-6.304219</v>
      </c>
      <c r="S19" t="n">
        <v>-2.030251</v>
      </c>
      <c r="T19" t="n">
        <v>2.863575</v>
      </c>
      <c r="U19" t="n">
        <v>1.731386</v>
      </c>
      <c r="V19" t="n">
        <v>-1.149016</v>
      </c>
      <c r="W19" t="n">
        <v>1.221694</v>
      </c>
      <c r="X19" t="n">
        <v>1.233023</v>
      </c>
      <c r="Y19" t="n">
        <v>0.430786</v>
      </c>
      <c r="Z19" t="n">
        <v>1.893191</v>
      </c>
      <c r="AA19" t="n">
        <v>0.51173</v>
      </c>
      <c r="AB19" t="n">
        <v>1.819712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5.815287</v>
      </c>
      <c r="F20" t="n">
        <v>4.578496</v>
      </c>
      <c r="G20" t="n">
        <v>-1.11657</v>
      </c>
      <c r="H20" t="n">
        <v>0.262579</v>
      </c>
      <c r="I20" t="n">
        <v>7.066693</v>
      </c>
      <c r="J20" t="n">
        <v>0.381017</v>
      </c>
      <c r="K20" t="n">
        <v>2.660704</v>
      </c>
      <c r="L20" t="n">
        <v>8.259776</v>
      </c>
      <c r="M20" t="n">
        <v>4.905998</v>
      </c>
      <c r="N20" t="n">
        <v>1.486328</v>
      </c>
      <c r="O20" t="n">
        <v>-3.379344</v>
      </c>
      <c r="P20" t="n">
        <v>3.431547</v>
      </c>
      <c r="Q20" t="n">
        <v>3.243747</v>
      </c>
      <c r="R20" t="n">
        <v>-11.36503</v>
      </c>
      <c r="S20" t="n">
        <v>-2.451873</v>
      </c>
      <c r="T20" t="n">
        <v>-5.740474</v>
      </c>
      <c r="U20" t="n">
        <v>-9.154688999999999</v>
      </c>
      <c r="V20" t="n">
        <v>-0.34512</v>
      </c>
      <c r="W20" t="n">
        <v>1.636578</v>
      </c>
      <c r="X20" t="n">
        <v>-5.050065</v>
      </c>
      <c r="Y20" t="n">
        <v>-5.737234</v>
      </c>
      <c r="Z20" t="n">
        <v>2.203366</v>
      </c>
      <c r="AA20" t="n">
        <v>3.077223</v>
      </c>
      <c r="AB20" t="n">
        <v>0.217184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-5.545285</v>
      </c>
      <c r="F21" t="n">
        <v>4.084538</v>
      </c>
      <c r="G21" t="n">
        <v>5.178576</v>
      </c>
      <c r="H21" t="n">
        <v>-2.184805</v>
      </c>
      <c r="I21" t="n">
        <v>3.601904</v>
      </c>
      <c r="J21" t="n">
        <v>0.912381</v>
      </c>
      <c r="K21" t="n">
        <v>7.648764</v>
      </c>
      <c r="L21" t="n">
        <v>3.341943</v>
      </c>
      <c r="M21" t="n">
        <v>1.677307</v>
      </c>
      <c r="N21" t="n">
        <v>5.657132</v>
      </c>
      <c r="O21" t="n">
        <v>6.251286</v>
      </c>
      <c r="P21" t="n">
        <v>-0.885402</v>
      </c>
      <c r="Q21" t="n">
        <v>1.415702</v>
      </c>
      <c r="R21" t="n">
        <v>-13.315715</v>
      </c>
      <c r="S21" t="n">
        <v>2.650879</v>
      </c>
      <c r="T21" t="n">
        <v>1.160814</v>
      </c>
      <c r="U21" t="n">
        <v>0.001857</v>
      </c>
      <c r="V21" t="n">
        <v>4.16719</v>
      </c>
      <c r="W21" t="n">
        <v>2.919806</v>
      </c>
      <c r="X21" t="n">
        <v>0.950758</v>
      </c>
      <c r="Y21" t="n">
        <v>-1.629645</v>
      </c>
      <c r="Z21" t="n">
        <v>4.914608</v>
      </c>
      <c r="AA21" t="n">
        <v>10.015188</v>
      </c>
      <c r="AB21" t="n">
        <v>4.872729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2.217939</v>
      </c>
      <c r="S22" t="n">
        <v>-2.512724</v>
      </c>
      <c r="T22" t="n">
        <v>2.208281</v>
      </c>
      <c r="U22" t="n">
        <v>0.387752</v>
      </c>
      <c r="V22" t="n">
        <v>3.721534</v>
      </c>
      <c r="W22" t="n">
        <v>3.212562</v>
      </c>
      <c r="X22" t="n">
        <v>5.898734</v>
      </c>
      <c r="Y22" t="n">
        <v>4.829923</v>
      </c>
      <c r="Z22" t="n">
        <v>0.9373010000000001</v>
      </c>
      <c r="AA22" t="n">
        <v>1.616312</v>
      </c>
      <c r="AB22" t="n">
        <v>1.741154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-0.009292999999999999</v>
      </c>
      <c r="F23" t="n">
        <v>2.608974</v>
      </c>
      <c r="G23" t="n">
        <v>-6.467148</v>
      </c>
      <c r="H23" t="n">
        <v>0.129356</v>
      </c>
      <c r="I23" t="n">
        <v>-2.12027</v>
      </c>
      <c r="J23" t="n">
        <v>-4.14852</v>
      </c>
      <c r="K23" t="n">
        <v>-0.081354</v>
      </c>
      <c r="L23" t="n">
        <v>-0.719399</v>
      </c>
      <c r="M23" t="n">
        <v>0.024426</v>
      </c>
      <c r="N23" t="n">
        <v>0.216694</v>
      </c>
      <c r="O23" t="n">
        <v>2.980629</v>
      </c>
      <c r="P23" t="n">
        <v>3.62572</v>
      </c>
      <c r="Q23" t="n">
        <v>-2.857806</v>
      </c>
      <c r="R23" t="n">
        <v>-7.024135</v>
      </c>
      <c r="S23" t="n">
        <v>-6.687576</v>
      </c>
      <c r="T23" t="n">
        <v>2.19247</v>
      </c>
      <c r="U23" t="n">
        <v>-0.690728</v>
      </c>
      <c r="V23" t="n">
        <v>-2.641959</v>
      </c>
      <c r="W23" t="n">
        <v>2.951775</v>
      </c>
      <c r="X23" t="n">
        <v>5.465138</v>
      </c>
      <c r="Y23" t="n">
        <v>1.650619</v>
      </c>
      <c r="Z23" t="n">
        <v>-1.559566</v>
      </c>
      <c r="AA23" t="n">
        <v>3.474913</v>
      </c>
      <c r="AB23" t="n">
        <v>-0.057334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-1.546405</v>
      </c>
      <c r="F24" t="n">
        <v>1.735105</v>
      </c>
      <c r="G24" t="n">
        <v>-2.378964</v>
      </c>
      <c r="H24" t="n">
        <v>-1.885425</v>
      </c>
      <c r="I24" t="n">
        <v>3.348414</v>
      </c>
      <c r="J24" t="n">
        <v>0.396777</v>
      </c>
      <c r="K24" t="n">
        <v>-1.950471</v>
      </c>
      <c r="L24" t="n">
        <v>4.87216</v>
      </c>
      <c r="M24" t="n">
        <v>12.62522</v>
      </c>
      <c r="N24" t="n">
        <v>1.423302</v>
      </c>
      <c r="O24" t="n">
        <v>3.225114</v>
      </c>
      <c r="P24" t="n">
        <v>4.923575</v>
      </c>
      <c r="Q24" t="n">
        <v>2.902846</v>
      </c>
      <c r="R24" t="n">
        <v>3.921389</v>
      </c>
      <c r="S24" t="n">
        <v>5.123076</v>
      </c>
      <c r="T24" t="n">
        <v>6.842618</v>
      </c>
      <c r="U24" t="n">
        <v>-1.47048</v>
      </c>
      <c r="V24" t="n">
        <v>3.559959</v>
      </c>
      <c r="W24" t="n">
        <v>4.158055</v>
      </c>
      <c r="X24" t="n">
        <v>0.183571</v>
      </c>
      <c r="Y24" t="n">
        <v>1.820799</v>
      </c>
      <c r="Z24" t="n">
        <v>3.98151</v>
      </c>
      <c r="AA24" t="n">
        <v>3.624958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5.989022</v>
      </c>
      <c r="E25" t="n">
        <v>0.538731</v>
      </c>
      <c r="F25" t="n">
        <v>3.161732</v>
      </c>
      <c r="G25" t="n">
        <v>2.708626</v>
      </c>
      <c r="H25" t="n">
        <v>-0.914397</v>
      </c>
      <c r="I25" t="n">
        <v>2.667775</v>
      </c>
      <c r="J25" t="n">
        <v>-0.278178</v>
      </c>
      <c r="K25" t="n">
        <v>-2.6527</v>
      </c>
      <c r="L25" t="n">
        <v>-1.954713</v>
      </c>
      <c r="M25" t="n">
        <v>1.662803</v>
      </c>
      <c r="N25" t="n">
        <v>2.221487</v>
      </c>
      <c r="O25" t="n">
        <v>-1.22744</v>
      </c>
      <c r="P25" t="n">
        <v>0.469019</v>
      </c>
      <c r="Q25" t="n">
        <v>-1.295727</v>
      </c>
      <c r="R25" t="n">
        <v>-3.653693</v>
      </c>
      <c r="S25" t="n">
        <v>2.760552</v>
      </c>
      <c r="T25" t="n">
        <v>1.089531</v>
      </c>
      <c r="U25" t="n">
        <v>-2.140285</v>
      </c>
      <c r="V25" t="n">
        <v>0.175888</v>
      </c>
      <c r="W25" t="n">
        <v>1.565026</v>
      </c>
      <c r="X25" t="n">
        <v>0.99374</v>
      </c>
      <c r="Y25" t="n">
        <v>0.226517</v>
      </c>
      <c r="Z25" t="n">
        <v>0.141666</v>
      </c>
      <c r="AA25" t="n">
        <v>0.502297</v>
      </c>
      <c r="AB25" t="n">
        <v>-0.540134</v>
      </c>
    </row>
    <row r="26">
      <c r="A26" t="inlineStr">
        <is>
          <t>Japan</t>
        </is>
      </c>
      <c r="C26" t="inlineStr"/>
      <c r="D26" t="n">
        <v>2.657513</v>
      </c>
      <c r="E26" t="n">
        <v>-0.404968</v>
      </c>
      <c r="F26" t="n">
        <v>1.32389</v>
      </c>
      <c r="G26" t="n">
        <v>-1.947821</v>
      </c>
      <c r="H26" t="n">
        <v>0.116909</v>
      </c>
      <c r="I26" t="n">
        <v>-0.5293639999999999</v>
      </c>
      <c r="J26" t="n">
        <v>2.67171</v>
      </c>
      <c r="K26" t="n">
        <v>2.673719</v>
      </c>
      <c r="L26" t="n">
        <v>0.324944</v>
      </c>
      <c r="M26" t="n">
        <v>3.345078</v>
      </c>
      <c r="N26" t="n">
        <v>-1.01793</v>
      </c>
      <c r="O26" t="n">
        <v>-1.487373</v>
      </c>
      <c r="P26" t="n">
        <v>-1.671055</v>
      </c>
      <c r="Q26" t="n">
        <v>-1.874039</v>
      </c>
      <c r="R26" t="n">
        <v>-6.955722</v>
      </c>
      <c r="S26" t="n">
        <v>1.561549</v>
      </c>
      <c r="T26" t="n">
        <v>1.39603</v>
      </c>
      <c r="U26" t="n">
        <v>4.427146</v>
      </c>
      <c r="V26" t="n">
        <v>1.157514</v>
      </c>
      <c r="W26" t="n">
        <v>-2.025731</v>
      </c>
      <c r="X26" t="n">
        <v>0.353976</v>
      </c>
      <c r="Y26" t="n">
        <v>-0.455509</v>
      </c>
      <c r="Z26" t="n">
        <v>1.868077</v>
      </c>
      <c r="AA26" t="n">
        <v>-2.952956</v>
      </c>
      <c r="AB26" t="inlineStr">
        <is>
          <t>..</t>
        </is>
      </c>
    </row>
    <row r="27">
      <c r="A27" t="inlineStr">
        <is>
          <t>Korea</t>
        </is>
      </c>
      <c r="C27" t="inlineStr">
        <is>
          <t>i</t>
        </is>
      </c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2.846437</v>
      </c>
      <c r="O27" t="n">
        <v>3.594578</v>
      </c>
      <c r="P27" t="n">
        <v>4.722687</v>
      </c>
      <c r="Q27" t="n">
        <v>2.781753</v>
      </c>
      <c r="R27" t="n">
        <v>0.446088</v>
      </c>
      <c r="S27" t="n">
        <v>9.000105</v>
      </c>
      <c r="T27" t="n">
        <v>2.888411</v>
      </c>
      <c r="U27" t="n">
        <v>1.925905</v>
      </c>
      <c r="V27" t="n">
        <v>2.186754</v>
      </c>
      <c r="W27" t="n">
        <v>-2.705495</v>
      </c>
      <c r="X27" t="n">
        <v>2.291426</v>
      </c>
      <c r="Y27" t="n">
        <v>1.667353</v>
      </c>
      <c r="Z27" t="n">
        <v>1.837716</v>
      </c>
      <c r="AA27" t="n">
        <v>3.989938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6.119571</v>
      </c>
      <c r="F28" t="n">
        <v>3.565338</v>
      </c>
      <c r="G28" t="n">
        <v>10.50211</v>
      </c>
      <c r="H28" t="n">
        <v>7.029574</v>
      </c>
      <c r="I28" t="n">
        <v>5.834971</v>
      </c>
      <c r="J28" t="n">
        <v>9.108228</v>
      </c>
      <c r="K28" t="n">
        <v>5.945856</v>
      </c>
      <c r="L28" t="n">
        <v>10.934358</v>
      </c>
      <c r="M28" t="n">
        <v>5.22044</v>
      </c>
      <c r="N28" t="n">
        <v>11.667564</v>
      </c>
      <c r="O28" t="n">
        <v>8.96415</v>
      </c>
      <c r="P28" t="n">
        <v>0.301383</v>
      </c>
      <c r="Q28" t="n">
        <v>0.018402</v>
      </c>
      <c r="R28" t="n">
        <v>-5.806354</v>
      </c>
      <c r="S28" t="n">
        <v>-0.005782</v>
      </c>
      <c r="T28" t="n">
        <v>12.276224</v>
      </c>
      <c r="U28" t="n">
        <v>4.942118</v>
      </c>
      <c r="V28" t="n">
        <v>0.630315</v>
      </c>
      <c r="W28" t="n">
        <v>3.156122</v>
      </c>
      <c r="X28" t="n">
        <v>0.011128</v>
      </c>
      <c r="Y28" t="n">
        <v>5.000391</v>
      </c>
      <c r="Z28" t="n">
        <v>6.487089</v>
      </c>
      <c r="AA28" t="n">
        <v>1.398983</v>
      </c>
      <c r="AB28" t="n">
        <v>2.194771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2.350575</v>
      </c>
      <c r="F29" t="n">
        <v>10.123622</v>
      </c>
      <c r="G29" t="n">
        <v>5.438665</v>
      </c>
      <c r="H29" t="n">
        <v>-0.607387</v>
      </c>
      <c r="I29" t="n">
        <v>14.746597</v>
      </c>
      <c r="J29" t="n">
        <v>7.111971</v>
      </c>
      <c r="K29" t="n">
        <v>5.519888</v>
      </c>
      <c r="L29" t="n">
        <v>7.042119</v>
      </c>
      <c r="M29" t="n">
        <v>5.230281</v>
      </c>
      <c r="N29" t="n">
        <v>8.092669000000001</v>
      </c>
      <c r="O29" t="n">
        <v>5.279821</v>
      </c>
      <c r="P29" t="n">
        <v>4.518959</v>
      </c>
      <c r="Q29" t="n">
        <v>3.139673</v>
      </c>
      <c r="R29" t="n">
        <v>-10.012331</v>
      </c>
      <c r="S29" t="n">
        <v>6.23285</v>
      </c>
      <c r="T29" t="n">
        <v>6.122211</v>
      </c>
      <c r="U29" t="n">
        <v>5.953114</v>
      </c>
      <c r="V29" t="n">
        <v>2.006694</v>
      </c>
      <c r="W29" t="n">
        <v>-0.085207</v>
      </c>
      <c r="X29" t="n">
        <v>4.058602</v>
      </c>
      <c r="Y29" t="n">
        <v>2.554103</v>
      </c>
      <c r="Z29" t="n">
        <v>6.628902</v>
      </c>
      <c r="AA29" t="n">
        <v>4.056318</v>
      </c>
      <c r="AB29" t="n">
        <v>2.856596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-2.352569</v>
      </c>
      <c r="F30" t="n">
        <v>5.30855</v>
      </c>
      <c r="G30" t="n">
        <v>4.893061</v>
      </c>
      <c r="H30" t="n">
        <v>-0.733444</v>
      </c>
      <c r="I30" t="n">
        <v>6.160035</v>
      </c>
      <c r="J30" t="n">
        <v>-0.708377</v>
      </c>
      <c r="K30" t="n">
        <v>-3.639261</v>
      </c>
      <c r="L30" t="n">
        <v>-3.46013</v>
      </c>
      <c r="M30" t="n">
        <v>-3.078969</v>
      </c>
      <c r="N30" t="n">
        <v>1.584794</v>
      </c>
      <c r="O30" t="n">
        <v>2.051439</v>
      </c>
      <c r="P30" t="n">
        <v>2.415003</v>
      </c>
      <c r="Q30" t="n">
        <v>6.12213</v>
      </c>
      <c r="R30" t="n">
        <v>-8.776600999999999</v>
      </c>
      <c r="S30" t="n">
        <v>8.119192</v>
      </c>
      <c r="T30" t="n">
        <v>4.259968</v>
      </c>
      <c r="U30" t="n">
        <v>-8.557983999999999</v>
      </c>
      <c r="V30" t="n">
        <v>5.619442</v>
      </c>
      <c r="W30" t="n">
        <v>1.884382</v>
      </c>
      <c r="X30" t="n">
        <v>-7.147503</v>
      </c>
      <c r="Y30" t="n">
        <v>4.858634</v>
      </c>
      <c r="Z30" t="n">
        <v>-2.647239</v>
      </c>
      <c r="AA30" t="n">
        <v>-5.995987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7.135647</v>
      </c>
      <c r="U31" t="n">
        <v>-0.377975</v>
      </c>
      <c r="V31" t="n">
        <v>1.536771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2.486558</v>
      </c>
      <c r="F32" t="n">
        <v>4.565033</v>
      </c>
      <c r="G32" t="n">
        <v>4.55409</v>
      </c>
      <c r="H32" t="n">
        <v>0.727055</v>
      </c>
      <c r="I32" t="n">
        <v>3.936406</v>
      </c>
      <c r="J32" t="n">
        <v>-0.941786</v>
      </c>
      <c r="K32" t="n">
        <v>-2.100964</v>
      </c>
      <c r="L32" t="n">
        <v>1.591333</v>
      </c>
      <c r="M32" t="n">
        <v>5.542657</v>
      </c>
      <c r="N32" t="n">
        <v>3.306846</v>
      </c>
      <c r="O32" t="n">
        <v>2.003462</v>
      </c>
      <c r="P32" t="n">
        <v>1.824003</v>
      </c>
      <c r="Q32" t="n">
        <v>-0.398087</v>
      </c>
      <c r="R32" t="n">
        <v>-5.076633</v>
      </c>
      <c r="S32" t="n">
        <v>3.907621</v>
      </c>
      <c r="T32" t="n">
        <v>2.532412</v>
      </c>
      <c r="U32" t="n">
        <v>-0.408619</v>
      </c>
      <c r="V32" t="n">
        <v>2.022933</v>
      </c>
      <c r="W32" t="n">
        <v>2.408927</v>
      </c>
      <c r="X32" t="n">
        <v>0.897921</v>
      </c>
      <c r="Y32" t="n">
        <v>0.572592</v>
      </c>
      <c r="Z32" t="n">
        <v>0.939437</v>
      </c>
      <c r="AA32" t="n">
        <v>0.300834</v>
      </c>
      <c r="AB32" t="n">
        <v>0.743533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4.21907</v>
      </c>
      <c r="U33" t="n">
        <v>1.299394</v>
      </c>
      <c r="V33" t="n">
        <v>0.004013</v>
      </c>
      <c r="W33" t="n">
        <v>4.566309</v>
      </c>
      <c r="X33" t="n">
        <v>3.60794</v>
      </c>
      <c r="Y33" t="n">
        <v>-1.520629</v>
      </c>
      <c r="Z33" t="n">
        <v>1.942723</v>
      </c>
      <c r="AA33" t="n">
        <v>1.975926</v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4.19638</v>
      </c>
      <c r="E34" t="n">
        <v>6.473856</v>
      </c>
      <c r="F34" t="n">
        <v>4.207174</v>
      </c>
      <c r="G34" t="n">
        <v>2.516754</v>
      </c>
      <c r="H34" t="n">
        <v>-1.136565</v>
      </c>
      <c r="I34" t="n">
        <v>2.50142</v>
      </c>
      <c r="J34" t="n">
        <v>1.980143</v>
      </c>
      <c r="K34" t="n">
        <v>1.117066</v>
      </c>
      <c r="L34" t="n">
        <v>3.666632</v>
      </c>
      <c r="M34" t="n">
        <v>3.473535</v>
      </c>
      <c r="N34" t="n">
        <v>1.697563</v>
      </c>
      <c r="O34" t="n">
        <v>6.335122</v>
      </c>
      <c r="P34" t="n">
        <v>0.758674</v>
      </c>
      <c r="Q34" t="n">
        <v>-3.753783</v>
      </c>
      <c r="R34" t="n">
        <v>-2.327063</v>
      </c>
      <c r="S34" t="n">
        <v>3.771897</v>
      </c>
      <c r="T34" t="n">
        <v>3.009695</v>
      </c>
      <c r="U34" t="n">
        <v>2.109523</v>
      </c>
      <c r="V34" t="n">
        <v>2.269242</v>
      </c>
      <c r="W34" t="n">
        <v>2.268884</v>
      </c>
      <c r="X34" t="n">
        <v>1.517834</v>
      </c>
      <c r="Y34" t="n">
        <v>0.386079</v>
      </c>
      <c r="Z34" t="n">
        <v>0.673037</v>
      </c>
      <c r="AA34" t="n">
        <v>1.243302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3.943723</v>
      </c>
      <c r="F35" t="n">
        <v>1.519178</v>
      </c>
      <c r="G35" t="n">
        <v>0.181669</v>
      </c>
      <c r="H35" t="n">
        <v>8.249309999999999</v>
      </c>
      <c r="I35" t="n">
        <v>11.550393</v>
      </c>
      <c r="J35" t="n">
        <v>-4.557604</v>
      </c>
      <c r="K35" t="n">
        <v>5.058319</v>
      </c>
      <c r="L35" t="n">
        <v>1.936027</v>
      </c>
      <c r="M35" t="n">
        <v>-1.336324</v>
      </c>
      <c r="N35" t="n">
        <v>2.010642</v>
      </c>
      <c r="O35" t="n">
        <v>2.208377</v>
      </c>
      <c r="P35" t="n">
        <v>-2.324436</v>
      </c>
      <c r="Q35" t="n">
        <v>-1.856526</v>
      </c>
      <c r="R35" t="n">
        <v>2.178426</v>
      </c>
      <c r="S35" t="n">
        <v>5.713378</v>
      </c>
      <c r="T35" t="n">
        <v>1.966581</v>
      </c>
      <c r="U35" t="n">
        <v>3.378399</v>
      </c>
      <c r="V35" t="n">
        <v>1.999752</v>
      </c>
      <c r="W35" t="n">
        <v>-2.447968</v>
      </c>
      <c r="X35" t="n">
        <v>0.08118499999999999</v>
      </c>
      <c r="Y35" t="n">
        <v>1.458702</v>
      </c>
      <c r="Z35" t="n">
        <v>7.170563</v>
      </c>
      <c r="AA35" t="n">
        <v>4.959456</v>
      </c>
      <c r="AB35" t="n">
        <v>5.912314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0.282765</v>
      </c>
      <c r="F36" t="n">
        <v>3.704868</v>
      </c>
      <c r="G36" t="n">
        <v>0.232072</v>
      </c>
      <c r="H36" t="n">
        <v>2.862927</v>
      </c>
      <c r="I36" t="n">
        <v>5.566722</v>
      </c>
      <c r="J36" t="n">
        <v>-5.414251</v>
      </c>
      <c r="K36" t="n">
        <v>0.578047</v>
      </c>
      <c r="L36" t="n">
        <v>-3.72428</v>
      </c>
      <c r="M36" t="n">
        <v>0.63994</v>
      </c>
      <c r="N36" t="n">
        <v>-0.52657</v>
      </c>
      <c r="O36" t="n">
        <v>0.526352</v>
      </c>
      <c r="P36" t="n">
        <v>2.775268</v>
      </c>
      <c r="Q36" t="n">
        <v>-1.366671</v>
      </c>
      <c r="R36" t="n">
        <v>1.478308</v>
      </c>
      <c r="S36" t="n">
        <v>3.838678</v>
      </c>
      <c r="T36" t="n">
        <v>0.257997</v>
      </c>
      <c r="U36" t="n">
        <v>3.83868</v>
      </c>
      <c r="V36" t="n">
        <v>4.86718</v>
      </c>
      <c r="W36" t="n">
        <v>-1.850569</v>
      </c>
      <c r="X36" t="n">
        <v>-0.80424</v>
      </c>
      <c r="Y36" t="n">
        <v>-0.619261</v>
      </c>
      <c r="Z36" t="n">
        <v>-0.528299</v>
      </c>
      <c r="AA36" t="n">
        <v>0.735611</v>
      </c>
      <c r="AB36" t="n">
        <v>2.281064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9.392324</v>
      </c>
      <c r="F37" t="n">
        <v>12.778495</v>
      </c>
      <c r="G37" t="n">
        <v>7.521986</v>
      </c>
      <c r="H37" t="n">
        <v>5.760871</v>
      </c>
      <c r="I37" t="n">
        <v>2.192029</v>
      </c>
      <c r="J37" t="n">
        <v>0.961845</v>
      </c>
      <c r="K37" t="n">
        <v>-7.796248</v>
      </c>
      <c r="L37" t="n">
        <v>4.656326</v>
      </c>
      <c r="M37" t="n">
        <v>-0.514499</v>
      </c>
      <c r="N37" t="n">
        <v>10.545903</v>
      </c>
      <c r="O37" t="n">
        <v>-5.391816</v>
      </c>
      <c r="P37" t="n">
        <v>4.797579</v>
      </c>
      <c r="Q37" t="n">
        <v>6.729842</v>
      </c>
      <c r="R37" t="n">
        <v>-9.292496999999999</v>
      </c>
      <c r="S37" t="n">
        <v>5.155975</v>
      </c>
      <c r="T37" t="n">
        <v>0.106517</v>
      </c>
      <c r="U37" t="n">
        <v>-0.612092</v>
      </c>
      <c r="V37" t="n">
        <v>-4.684492</v>
      </c>
      <c r="W37" t="n">
        <v>2.541655</v>
      </c>
      <c r="X37" t="n">
        <v>2.417435</v>
      </c>
      <c r="Y37" t="n">
        <v>-4.870155</v>
      </c>
      <c r="Z37" t="n">
        <v>2.132057</v>
      </c>
      <c r="AA37" t="n">
        <v>5.892794</v>
      </c>
      <c r="AB37" t="n">
        <v>-0.195256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-2.911197</v>
      </c>
      <c r="F38" t="n">
        <v>11.09368</v>
      </c>
      <c r="G38" t="n">
        <v>2.017149</v>
      </c>
      <c r="H38" t="n">
        <v>4.142231</v>
      </c>
      <c r="I38" t="n">
        <v>-1.61383</v>
      </c>
      <c r="J38" t="n">
        <v>7.377517</v>
      </c>
      <c r="K38" t="n">
        <v>4.617954</v>
      </c>
      <c r="L38" t="n">
        <v>2.924157</v>
      </c>
      <c r="M38" t="n">
        <v>2.794791</v>
      </c>
      <c r="N38" t="n">
        <v>3.805395</v>
      </c>
      <c r="O38" t="n">
        <v>4.44921</v>
      </c>
      <c r="P38" t="n">
        <v>3.034772</v>
      </c>
      <c r="Q38" t="n">
        <v>-0.365833</v>
      </c>
      <c r="R38" t="n">
        <v>-8.332253</v>
      </c>
      <c r="S38" t="n">
        <v>3.405246</v>
      </c>
      <c r="T38" t="n">
        <v>4.656777</v>
      </c>
      <c r="U38" t="n">
        <v>-3.593747</v>
      </c>
      <c r="V38" t="n">
        <v>1.583621</v>
      </c>
      <c r="W38" t="n">
        <v>3.637276</v>
      </c>
      <c r="X38" t="n">
        <v>3.808788</v>
      </c>
      <c r="Y38" t="n">
        <v>2.955373</v>
      </c>
      <c r="Z38" t="n">
        <v>2.746572</v>
      </c>
      <c r="AA38" t="n">
        <v>2.441935</v>
      </c>
      <c r="AB38" t="n">
        <v>0.369362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-0.427909</v>
      </c>
      <c r="F39" t="n">
        <v>-0.840669</v>
      </c>
      <c r="G39" t="n">
        <v>-1.247695</v>
      </c>
      <c r="H39" t="n">
        <v>0.35587</v>
      </c>
      <c r="I39" t="n">
        <v>-1.073295</v>
      </c>
      <c r="J39" t="n">
        <v>0.241486</v>
      </c>
      <c r="K39" t="n">
        <v>-1.736523</v>
      </c>
      <c r="L39" t="n">
        <v>-2.99703</v>
      </c>
      <c r="M39" t="n">
        <v>-2.495661</v>
      </c>
      <c r="N39" t="n">
        <v>-2.163093</v>
      </c>
      <c r="O39" t="n">
        <v>-1.363363</v>
      </c>
      <c r="P39" t="n">
        <v>-2.069655</v>
      </c>
      <c r="Q39" t="n">
        <v>-0.973548</v>
      </c>
      <c r="R39" t="n">
        <v>2.263008</v>
      </c>
      <c r="S39" t="n">
        <v>3.233439</v>
      </c>
      <c r="T39" t="n">
        <v>1.244656</v>
      </c>
      <c r="U39" t="n">
        <v>1.934753</v>
      </c>
      <c r="V39" t="n">
        <v>1.338766</v>
      </c>
      <c r="W39" t="n">
        <v>0.073547</v>
      </c>
      <c r="X39" t="n">
        <v>2.041507</v>
      </c>
      <c r="Y39" t="n">
        <v>1.142502</v>
      </c>
      <c r="Z39" t="n">
        <v>0.98043</v>
      </c>
      <c r="AA39" t="n">
        <v>0.987843</v>
      </c>
      <c r="AB39" t="n">
        <v>0.748373</v>
      </c>
    </row>
    <row r="40">
      <c r="A40" t="inlineStr">
        <is>
          <t>Sweden</t>
        </is>
      </c>
      <c r="C40" t="inlineStr"/>
      <c r="D40" t="n">
        <v>3.049584</v>
      </c>
      <c r="E40" t="n">
        <v>4.93942</v>
      </c>
      <c r="F40" t="n">
        <v>4.373159</v>
      </c>
      <c r="G40" t="n">
        <v>3.0209</v>
      </c>
      <c r="H40" t="n">
        <v>0.502758</v>
      </c>
      <c r="I40" t="n">
        <v>3.450254</v>
      </c>
      <c r="J40" t="n">
        <v>0.432765</v>
      </c>
      <c r="K40" t="n">
        <v>3.567596</v>
      </c>
      <c r="L40" t="n">
        <v>4.833025</v>
      </c>
      <c r="M40" t="n">
        <v>4.868477</v>
      </c>
      <c r="N40" t="n">
        <v>4.065584</v>
      </c>
      <c r="O40" t="n">
        <v>1.212239</v>
      </c>
      <c r="P40" t="n">
        <v>1.673527</v>
      </c>
      <c r="Q40" t="n">
        <v>-1.093146</v>
      </c>
      <c r="R40" t="n">
        <v>-2.85488</v>
      </c>
      <c r="S40" t="n">
        <v>3.442422</v>
      </c>
      <c r="T40" t="n">
        <v>3.243549</v>
      </c>
      <c r="U40" t="n">
        <v>-0.516051</v>
      </c>
      <c r="V40" t="n">
        <v>3.676268</v>
      </c>
      <c r="W40" t="n">
        <v>3.559622</v>
      </c>
      <c r="X40" t="n">
        <v>2.279497</v>
      </c>
      <c r="Y40" t="n">
        <v>2.175948</v>
      </c>
      <c r="Z40" t="n">
        <v>0.449238</v>
      </c>
      <c r="AA40" t="n">
        <v>1.609123</v>
      </c>
      <c r="AB40" t="n">
        <v>0.932883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-0.085559</v>
      </c>
      <c r="F41" t="n">
        <v>3.19692</v>
      </c>
      <c r="G41" t="n">
        <v>1.809073</v>
      </c>
      <c r="H41" t="n">
        <v>-1.181318</v>
      </c>
      <c r="I41" t="n">
        <v>5.001288</v>
      </c>
      <c r="J41" t="n">
        <v>1.132393</v>
      </c>
      <c r="K41" t="n">
        <v>1.36771</v>
      </c>
      <c r="L41" t="n">
        <v>1.397356</v>
      </c>
      <c r="M41" t="n">
        <v>4.430266</v>
      </c>
      <c r="N41" t="n">
        <v>3.066793</v>
      </c>
      <c r="O41" t="n">
        <v>4.569441</v>
      </c>
      <c r="P41" t="n">
        <v>3.834292</v>
      </c>
      <c r="Q41" t="n">
        <v>1.968269</v>
      </c>
      <c r="R41" t="n">
        <v>0.6058519999999999</v>
      </c>
      <c r="S41" t="n">
        <v>4.462976</v>
      </c>
      <c r="T41" t="n">
        <v>-1.926346</v>
      </c>
      <c r="U41" t="n">
        <v>1.653538</v>
      </c>
      <c r="V41" t="n">
        <v>0.631924</v>
      </c>
      <c r="W41" t="n">
        <v>3.391811</v>
      </c>
      <c r="X41" t="n">
        <v>3.740738</v>
      </c>
      <c r="Y41" t="n">
        <v>1.469048</v>
      </c>
      <c r="Z41" t="n">
        <v>-0.983657</v>
      </c>
      <c r="AA41" t="n">
        <v>1.173158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3.287379</v>
      </c>
      <c r="E42" t="n">
        <v>1.507489</v>
      </c>
      <c r="F42" t="n">
        <v>1.803839</v>
      </c>
      <c r="G42" t="n">
        <v>-0.043212</v>
      </c>
      <c r="H42" t="n">
        <v>-0.116295</v>
      </c>
      <c r="I42" t="n">
        <v>0.502775</v>
      </c>
      <c r="J42" t="n">
        <v>2.006582</v>
      </c>
      <c r="K42" t="n">
        <v>2.983643</v>
      </c>
      <c r="L42" t="n">
        <v>1.96584</v>
      </c>
      <c r="M42" t="n">
        <v>1.785903</v>
      </c>
      <c r="N42" t="n">
        <v>0.827489</v>
      </c>
      <c r="O42" t="n">
        <v>3.857009</v>
      </c>
      <c r="P42" t="n">
        <v>2.676272</v>
      </c>
      <c r="Q42" t="n">
        <v>-3.817769</v>
      </c>
      <c r="R42" t="n">
        <v>-4.927988</v>
      </c>
      <c r="S42" t="n">
        <v>1.429491</v>
      </c>
      <c r="T42" t="n">
        <v>2.17778</v>
      </c>
      <c r="U42" t="n">
        <v>-0.241485</v>
      </c>
      <c r="V42" t="n">
        <v>2.527309</v>
      </c>
      <c r="W42" t="n">
        <v>2.085625</v>
      </c>
      <c r="X42" t="n">
        <v>0.756789</v>
      </c>
      <c r="Y42" t="n">
        <v>0.45273</v>
      </c>
      <c r="Z42" t="n">
        <v>1.796947</v>
      </c>
      <c r="AA42" t="n">
        <v>1.3825</v>
      </c>
      <c r="AB42" t="n">
        <v>2.492918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-3.547328</v>
      </c>
      <c r="K43" t="n">
        <v>0.971013</v>
      </c>
      <c r="L43" t="n">
        <v>1.889954</v>
      </c>
      <c r="M43" t="n">
        <v>3.00164</v>
      </c>
      <c r="N43" t="n">
        <v>0.443377</v>
      </c>
      <c r="O43" t="n">
        <v>1.778098</v>
      </c>
      <c r="P43" t="n">
        <v>-0.479135</v>
      </c>
      <c r="Q43" t="n">
        <v>-2.079365</v>
      </c>
      <c r="R43" t="n">
        <v>-4.107574</v>
      </c>
      <c r="S43" t="n">
        <v>4.576581</v>
      </c>
      <c r="T43" t="n">
        <v>0.432496</v>
      </c>
      <c r="U43" t="n">
        <v>-0.717776</v>
      </c>
      <c r="V43" t="n">
        <v>1.94847</v>
      </c>
      <c r="W43" t="n">
        <v>0.748084</v>
      </c>
      <c r="X43" t="n">
        <v>2.816154</v>
      </c>
      <c r="Y43" t="n">
        <v>-0.072689</v>
      </c>
      <c r="Z43" t="n">
        <v>2.453894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0.209182</v>
      </c>
      <c r="F44" t="n">
        <v>2.429101</v>
      </c>
      <c r="G44" t="n">
        <v>1.854329</v>
      </c>
      <c r="H44" t="n">
        <v>0.383789</v>
      </c>
      <c r="I44" t="n">
        <v>1.746712</v>
      </c>
      <c r="J44" t="n">
        <v>1.204061</v>
      </c>
      <c r="K44" t="n">
        <v>-0.448859</v>
      </c>
      <c r="L44" t="n">
        <v>0.318402</v>
      </c>
      <c r="M44" t="n">
        <v>1.145525</v>
      </c>
      <c r="N44" t="n">
        <v>1.228563</v>
      </c>
      <c r="O44" t="n">
        <v>1.764272</v>
      </c>
      <c r="P44" t="n">
        <v>0.965101</v>
      </c>
      <c r="Q44" t="n">
        <v>-0.230262</v>
      </c>
      <c r="R44" t="n">
        <v>-3.744386</v>
      </c>
      <c r="S44" t="n">
        <v>1.449516</v>
      </c>
      <c r="T44" t="n">
        <v>1.931217</v>
      </c>
      <c r="U44" t="n">
        <v>0.085523</v>
      </c>
      <c r="V44" t="n">
        <v>0.21467</v>
      </c>
      <c r="W44" t="n">
        <v>0.991578</v>
      </c>
      <c r="X44" t="n">
        <v>1.077347</v>
      </c>
      <c r="Y44" t="n">
        <v>0.545245</v>
      </c>
      <c r="Z44" t="n">
        <v>1.022303</v>
      </c>
      <c r="AA44" t="n">
        <v>0.653026</v>
      </c>
      <c r="AB44" t="n">
        <v>0.5588959999999999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0.546805</v>
      </c>
      <c r="F45" t="n">
        <v>2.18512</v>
      </c>
      <c r="G45" t="n">
        <v>1.63668</v>
      </c>
      <c r="H45" t="n">
        <v>0.824193</v>
      </c>
      <c r="I45" t="n">
        <v>2.159476</v>
      </c>
      <c r="J45" t="n">
        <v>1.11603</v>
      </c>
      <c r="K45" t="n">
        <v>0.6090179999999999</v>
      </c>
      <c r="L45" t="n">
        <v>1.06129</v>
      </c>
      <c r="M45" t="n">
        <v>1.446619</v>
      </c>
      <c r="N45" t="n">
        <v>1.229068</v>
      </c>
      <c r="O45" t="n">
        <v>1.953657</v>
      </c>
      <c r="P45" t="n">
        <v>0.962051</v>
      </c>
      <c r="Q45" t="n">
        <v>-1.169783</v>
      </c>
      <c r="R45" t="n">
        <v>-3.957362</v>
      </c>
      <c r="S45" t="n">
        <v>1.887684</v>
      </c>
      <c r="T45" t="n">
        <v>1.993355</v>
      </c>
      <c r="U45" t="n">
        <v>0.411519</v>
      </c>
      <c r="V45" t="n">
        <v>0.680141</v>
      </c>
      <c r="W45" t="n">
        <v>1.026432</v>
      </c>
      <c r="X45" t="n">
        <v>1.094201</v>
      </c>
      <c r="Y45" t="n">
        <v>0.637001</v>
      </c>
      <c r="Z45" t="n">
        <v>1.424758</v>
      </c>
      <c r="AA45" t="n">
        <v>1.093674</v>
      </c>
      <c r="AB45" t="n">
        <v>1.226499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-2.524684</v>
      </c>
      <c r="K46" t="n">
        <v>-4.576866</v>
      </c>
      <c r="L46" t="n">
        <v>-2.89706</v>
      </c>
      <c r="M46" t="n">
        <v>7.127564</v>
      </c>
      <c r="N46" t="n">
        <v>-0.227973</v>
      </c>
      <c r="O46" t="n">
        <v>0.143134</v>
      </c>
      <c r="P46" t="n">
        <v>4.553372</v>
      </c>
      <c r="Q46" t="n">
        <v>5.890272</v>
      </c>
      <c r="R46" t="n">
        <v>-3.276313</v>
      </c>
      <c r="S46" t="n">
        <v>8.126417999999999</v>
      </c>
      <c r="T46" t="n">
        <v>0.661211</v>
      </c>
      <c r="U46" t="n">
        <v>-0.473077</v>
      </c>
      <c r="V46" t="n">
        <v>2.549777</v>
      </c>
      <c r="W46" t="n">
        <v>-3.093838</v>
      </c>
      <c r="X46" t="n">
        <v>-4.949213</v>
      </c>
      <c r="Y46" t="n">
        <v>-4.886879</v>
      </c>
      <c r="Z46" t="n">
        <v>-0.548827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-7.260463</v>
      </c>
      <c r="E47" t="n">
        <v>-5.894454</v>
      </c>
      <c r="F47" t="n">
        <v>-3.485815</v>
      </c>
      <c r="G47" t="n">
        <v>-4.723875</v>
      </c>
      <c r="H47" t="n">
        <v>-6.084174</v>
      </c>
      <c r="I47" t="n">
        <v>0.531099</v>
      </c>
      <c r="J47" t="n">
        <v>-0.94208</v>
      </c>
      <c r="K47" t="n">
        <v>0.219569</v>
      </c>
      <c r="L47" t="n">
        <v>-3.269351</v>
      </c>
      <c r="M47" t="n">
        <v>3.082336</v>
      </c>
      <c r="N47" t="n">
        <v>-0.4385</v>
      </c>
      <c r="O47" t="n">
        <v>3.826604</v>
      </c>
      <c r="P47" t="n">
        <v>1.637453</v>
      </c>
      <c r="Q47" t="n">
        <v>3.203269</v>
      </c>
      <c r="R47" t="n">
        <v>-6.905578</v>
      </c>
      <c r="S47" t="n">
        <v>5.287136</v>
      </c>
      <c r="T47" t="n">
        <v>8.976800000000001</v>
      </c>
      <c r="U47" t="n">
        <v>-2.64862</v>
      </c>
      <c r="V47" t="n">
        <v>-2.004187</v>
      </c>
      <c r="W47" t="n">
        <v>10.680464</v>
      </c>
      <c r="X47" t="n">
        <v>14.409034</v>
      </c>
      <c r="Y47" t="n">
        <v>-0.975619</v>
      </c>
      <c r="Z47" t="n">
        <v>-0.626508</v>
      </c>
      <c r="AA47" t="n">
        <v>0.76044</v>
      </c>
      <c r="AB47" t="inlineStr">
        <is>
          <t>..</t>
        </is>
      </c>
    </row>
    <row r="48">
      <c r="A48" t="inlineStr">
        <is>
          <t>Data extracted on 04 Jun 2020 21:36 UTC (GMT) from OECD.Stat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 IsDisplayed="true"&gt;&lt;Name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J: Information and communication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-4.914486</v>
      </c>
      <c r="E9" t="n">
        <v>4.550974</v>
      </c>
      <c r="F9" t="n">
        <v>8.684305</v>
      </c>
      <c r="G9" t="n">
        <v>7.137874</v>
      </c>
      <c r="H9" t="n">
        <v>-19.576694</v>
      </c>
      <c r="I9" t="n">
        <v>-3.260152</v>
      </c>
      <c r="J9" t="n">
        <v>12.199355</v>
      </c>
      <c r="K9" t="n">
        <v>-0.498035</v>
      </c>
      <c r="L9" t="n">
        <v>9.495924</v>
      </c>
      <c r="M9" t="n">
        <v>-0.201039</v>
      </c>
      <c r="N9" t="n">
        <v>0.429028</v>
      </c>
      <c r="O9" t="n">
        <v>4.45042</v>
      </c>
      <c r="P9" t="n">
        <v>11.596687</v>
      </c>
      <c r="Q9" t="n">
        <v>-5.732425</v>
      </c>
      <c r="R9" t="n">
        <v>4.494608</v>
      </c>
      <c r="S9" t="n">
        <v>0.000472</v>
      </c>
      <c r="T9" t="n">
        <v>-7.944052</v>
      </c>
      <c r="U9" t="n">
        <v>4.48325</v>
      </c>
      <c r="V9" t="n">
        <v>7.329605</v>
      </c>
      <c r="W9" t="n">
        <v>-0.582264</v>
      </c>
      <c r="X9" t="n">
        <v>9.716407</v>
      </c>
      <c r="Y9" t="n">
        <v>-8.889023999999999</v>
      </c>
      <c r="Z9" t="n">
        <v>1.888753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5.712119</v>
      </c>
      <c r="E10" t="n">
        <v>7.873246</v>
      </c>
      <c r="F10" t="n">
        <v>-5.017106</v>
      </c>
      <c r="G10" t="n">
        <v>-0.556907</v>
      </c>
      <c r="H10" t="n">
        <v>0.955049</v>
      </c>
      <c r="I10" t="n">
        <v>-8.596652000000001</v>
      </c>
      <c r="J10" t="n">
        <v>9.33521</v>
      </c>
      <c r="K10" t="n">
        <v>2.71317</v>
      </c>
      <c r="L10" t="n">
        <v>5.101048</v>
      </c>
      <c r="M10" t="n">
        <v>1.357133</v>
      </c>
      <c r="N10" t="n">
        <v>8.189142</v>
      </c>
      <c r="O10" t="n">
        <v>4.22774</v>
      </c>
      <c r="P10" t="n">
        <v>4.9052</v>
      </c>
      <c r="Q10" t="n">
        <v>-1.205312</v>
      </c>
      <c r="R10" t="n">
        <v>-2.404327</v>
      </c>
      <c r="S10" t="n">
        <v>-4.532299</v>
      </c>
      <c r="T10" t="n">
        <v>2.380299</v>
      </c>
      <c r="U10" t="n">
        <v>-2.861466</v>
      </c>
      <c r="V10" t="n">
        <v>0.336641</v>
      </c>
      <c r="W10" t="n">
        <v>-1.230206</v>
      </c>
      <c r="X10" t="n">
        <v>1.228769</v>
      </c>
      <c r="Y10" t="n">
        <v>0.914682</v>
      </c>
      <c r="Z10" t="n">
        <v>-0.6311369999999999</v>
      </c>
      <c r="AA10" t="n">
        <v>-1.606432</v>
      </c>
      <c r="AB10" t="n">
        <v>-1.066993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-4.430856</v>
      </c>
      <c r="F11" t="n">
        <v>1.624716</v>
      </c>
      <c r="G11" t="n">
        <v>7.85907</v>
      </c>
      <c r="H11" t="n">
        <v>4.689566</v>
      </c>
      <c r="I11" t="n">
        <v>0.643907</v>
      </c>
      <c r="J11" t="n">
        <v>2.482561</v>
      </c>
      <c r="K11" t="n">
        <v>10.263578</v>
      </c>
      <c r="L11" t="n">
        <v>5.343003</v>
      </c>
      <c r="M11" t="n">
        <v>5.995236</v>
      </c>
      <c r="N11" t="n">
        <v>-4.289522</v>
      </c>
      <c r="O11" t="n">
        <v>0.720083</v>
      </c>
      <c r="P11" t="n">
        <v>3.417714</v>
      </c>
      <c r="Q11" t="n">
        <v>0.815203</v>
      </c>
      <c r="R11" t="n">
        <v>1.9265</v>
      </c>
      <c r="S11" t="n">
        <v>5.098674</v>
      </c>
      <c r="T11" t="n">
        <v>1.84954</v>
      </c>
      <c r="U11" t="n">
        <v>6.302122</v>
      </c>
      <c r="V11" t="n">
        <v>2.148378</v>
      </c>
      <c r="W11" t="n">
        <v>2.091224</v>
      </c>
      <c r="X11" t="n">
        <v>3.67565</v>
      </c>
      <c r="Y11" t="n">
        <v>2.517167</v>
      </c>
      <c r="Z11" t="n">
        <v>2.379593</v>
      </c>
      <c r="AA11" t="n">
        <v>3.394544</v>
      </c>
      <c r="AB11" t="n">
        <v>-0.582298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-0.09936300000000001</v>
      </c>
      <c r="R12" t="n">
        <v>0.484463</v>
      </c>
      <c r="S12" t="n">
        <v>-0.272596</v>
      </c>
      <c r="T12" t="n">
        <v>-0.223318</v>
      </c>
      <c r="U12" t="n">
        <v>1.02504</v>
      </c>
      <c r="V12" t="n">
        <v>-1.977189</v>
      </c>
      <c r="W12" t="n">
        <v>2.146797</v>
      </c>
      <c r="X12" t="n">
        <v>1.194918</v>
      </c>
      <c r="Y12" t="n">
        <v>2.101125</v>
      </c>
      <c r="Z12" t="n">
        <v>1.110635</v>
      </c>
      <c r="AA12" t="n">
        <v>1.648886</v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inlineStr">
        <is>
          <t>..</t>
        </is>
      </c>
      <c r="U13" t="inlineStr">
        <is>
          <t>..</t>
        </is>
      </c>
      <c r="V13" t="inlineStr">
        <is>
          <t>..</t>
        </is>
      </c>
      <c r="W13" t="n">
        <v>-2.727586</v>
      </c>
      <c r="X13" t="n">
        <v>16.640432</v>
      </c>
      <c r="Y13" t="n">
        <v>8.275885000000001</v>
      </c>
      <c r="Z13" t="n">
        <v>-4.990367</v>
      </c>
      <c r="AA13" t="n">
        <v>-2.792459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8.922597</v>
      </c>
      <c r="E14" t="n">
        <v>2.716899</v>
      </c>
      <c r="F14" t="n">
        <v>5.560317</v>
      </c>
      <c r="G14" t="n">
        <v>-0.7533879999999999</v>
      </c>
      <c r="H14" t="n">
        <v>0.741259</v>
      </c>
      <c r="I14" t="n">
        <v>4.485117</v>
      </c>
      <c r="J14" t="n">
        <v>7.599443</v>
      </c>
      <c r="K14" t="n">
        <v>3.445945</v>
      </c>
      <c r="L14" t="n">
        <v>9.874306000000001</v>
      </c>
      <c r="M14" t="n">
        <v>0.399022</v>
      </c>
      <c r="N14" t="n">
        <v>7.059704</v>
      </c>
      <c r="O14" t="n">
        <v>4.10297</v>
      </c>
      <c r="P14" t="n">
        <v>5.690846</v>
      </c>
      <c r="Q14" t="n">
        <v>-4.506849</v>
      </c>
      <c r="R14" t="n">
        <v>-6.120719</v>
      </c>
      <c r="S14" t="n">
        <v>2.549626</v>
      </c>
      <c r="T14" t="n">
        <v>6.240661</v>
      </c>
      <c r="U14" t="n">
        <v>-4.122621</v>
      </c>
      <c r="V14" t="n">
        <v>1.532989</v>
      </c>
      <c r="W14" t="n">
        <v>5.031545</v>
      </c>
      <c r="X14" t="n">
        <v>7.276253</v>
      </c>
      <c r="Y14" t="n">
        <v>-1.691302</v>
      </c>
      <c r="Z14" t="n">
        <v>2.917421</v>
      </c>
      <c r="AA14" t="n">
        <v>5.824463</v>
      </c>
      <c r="AB14" t="n">
        <v>2.713008</v>
      </c>
    </row>
    <row r="15">
      <c r="A15" t="inlineStr">
        <is>
          <t>Denmark</t>
        </is>
      </c>
      <c r="C15" t="inlineStr"/>
      <c r="D15" t="n">
        <v>-1.941116</v>
      </c>
      <c r="E15" t="n">
        <v>8.231132000000001</v>
      </c>
      <c r="F15" t="n">
        <v>12.055433</v>
      </c>
      <c r="G15" t="n">
        <v>3.19275</v>
      </c>
      <c r="H15" t="n">
        <v>4.650641</v>
      </c>
      <c r="I15" t="n">
        <v>5.292799</v>
      </c>
      <c r="J15" t="n">
        <v>2.488924</v>
      </c>
      <c r="K15" t="n">
        <v>8.958489</v>
      </c>
      <c r="L15" t="n">
        <v>14.80141</v>
      </c>
      <c r="M15" t="n">
        <v>6.858296</v>
      </c>
      <c r="N15" t="n">
        <v>5.539473</v>
      </c>
      <c r="O15" t="n">
        <v>3.946842</v>
      </c>
      <c r="P15" t="n">
        <v>8.481666000000001</v>
      </c>
      <c r="Q15" t="n">
        <v>11.970815</v>
      </c>
      <c r="R15" t="n">
        <v>3.138624</v>
      </c>
      <c r="S15" t="n">
        <v>5.879319</v>
      </c>
      <c r="T15" t="n">
        <v>5.101679</v>
      </c>
      <c r="U15" t="n">
        <v>1.790032</v>
      </c>
      <c r="V15" t="n">
        <v>8.814613</v>
      </c>
      <c r="W15" t="n">
        <v>0.331132</v>
      </c>
      <c r="X15" t="n">
        <v>7.303535</v>
      </c>
      <c r="Y15" t="n">
        <v>7.369304</v>
      </c>
      <c r="Z15" t="n">
        <v>0.857681</v>
      </c>
      <c r="AA15" t="n">
        <v>2.428297</v>
      </c>
      <c r="AB15" t="n">
        <v>0.363234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-1.119944</v>
      </c>
      <c r="F16" t="n">
        <v>-2.94634</v>
      </c>
      <c r="G16" t="n">
        <v>23.489122</v>
      </c>
      <c r="H16" t="n">
        <v>14.384872</v>
      </c>
      <c r="I16" t="n">
        <v>-21.554418</v>
      </c>
      <c r="J16" t="n">
        <v>10.42501</v>
      </c>
      <c r="K16" t="n">
        <v>14.286635</v>
      </c>
      <c r="L16" t="n">
        <v>21.796621</v>
      </c>
      <c r="M16" t="n">
        <v>-13.28755</v>
      </c>
      <c r="N16" t="n">
        <v>-1.551642</v>
      </c>
      <c r="O16" t="n">
        <v>16.710439</v>
      </c>
      <c r="P16" t="n">
        <v>25.582987</v>
      </c>
      <c r="Q16" t="n">
        <v>-4.117887</v>
      </c>
      <c r="R16" t="n">
        <v>-3.01257</v>
      </c>
      <c r="S16" t="n">
        <v>11.641772</v>
      </c>
      <c r="T16" t="n">
        <v>-18.093108</v>
      </c>
      <c r="U16" t="n">
        <v>2.113575</v>
      </c>
      <c r="V16" t="n">
        <v>-1.817938</v>
      </c>
      <c r="W16" t="n">
        <v>-6.193932</v>
      </c>
      <c r="X16" t="n">
        <v>-11.840679</v>
      </c>
      <c r="Y16" t="n">
        <v>1.143694</v>
      </c>
      <c r="Z16" t="n">
        <v>5.007373</v>
      </c>
      <c r="AA16" t="n">
        <v>14.744325</v>
      </c>
      <c r="AB16" t="n">
        <v>13.112274</v>
      </c>
    </row>
    <row r="17">
      <c r="A17" t="inlineStr">
        <is>
          <t>Finland</t>
        </is>
      </c>
      <c r="C17" t="inlineStr"/>
      <c r="D17" t="n">
        <v>4.26914</v>
      </c>
      <c r="E17" t="n">
        <v>5.224735</v>
      </c>
      <c r="F17" t="n">
        <v>9.057344000000001</v>
      </c>
      <c r="G17" t="n">
        <v>8.442332</v>
      </c>
      <c r="H17" t="n">
        <v>4.050089</v>
      </c>
      <c r="I17" t="n">
        <v>3.08813</v>
      </c>
      <c r="J17" t="n">
        <v>3.71983</v>
      </c>
      <c r="K17" t="n">
        <v>1.526993</v>
      </c>
      <c r="L17" t="n">
        <v>0.839796</v>
      </c>
      <c r="M17" t="n">
        <v>13.114637</v>
      </c>
      <c r="N17" t="n">
        <v>-0.515025</v>
      </c>
      <c r="O17" t="n">
        <v>0.7943750000000001</v>
      </c>
      <c r="P17" t="n">
        <v>11.408122</v>
      </c>
      <c r="Q17" t="n">
        <v>-0.758302</v>
      </c>
      <c r="R17" t="n">
        <v>1.368545</v>
      </c>
      <c r="S17" t="n">
        <v>4.781191</v>
      </c>
      <c r="T17" t="n">
        <v>4.928521</v>
      </c>
      <c r="U17" t="n">
        <v>4.708443</v>
      </c>
      <c r="V17" t="n">
        <v>0.151827</v>
      </c>
      <c r="W17" t="n">
        <v>4.4947</v>
      </c>
      <c r="X17" t="n">
        <v>1.59992</v>
      </c>
      <c r="Y17" t="n">
        <v>2.143798</v>
      </c>
      <c r="Z17" t="n">
        <v>-0.642612</v>
      </c>
      <c r="AA17" t="n">
        <v>-1.244523</v>
      </c>
      <c r="AB17" t="n">
        <v>-1.184814</v>
      </c>
    </row>
    <row r="18">
      <c r="A18" t="inlineStr">
        <is>
          <t>France</t>
        </is>
      </c>
      <c r="C18" t="inlineStr"/>
      <c r="D18" t="n">
        <v>0.561211</v>
      </c>
      <c r="E18" t="n">
        <v>1.373257</v>
      </c>
      <c r="F18" t="n">
        <v>7.541816</v>
      </c>
      <c r="G18" t="n">
        <v>3.03218</v>
      </c>
      <c r="H18" t="n">
        <v>2.087047</v>
      </c>
      <c r="I18" t="n">
        <v>-1.887835</v>
      </c>
      <c r="J18" t="n">
        <v>3.582391</v>
      </c>
      <c r="K18" t="n">
        <v>8.950540999999999</v>
      </c>
      <c r="L18" t="n">
        <v>6.425282</v>
      </c>
      <c r="M18" t="n">
        <v>6.627339</v>
      </c>
      <c r="N18" t="n">
        <v>2.458214</v>
      </c>
      <c r="O18" t="n">
        <v>6.369468</v>
      </c>
      <c r="P18" t="n">
        <v>2.194317</v>
      </c>
      <c r="Q18" t="n">
        <v>0.916635</v>
      </c>
      <c r="R18" t="n">
        <v>-3.616466</v>
      </c>
      <c r="S18" t="n">
        <v>4.581685</v>
      </c>
      <c r="T18" t="n">
        <v>4.992759</v>
      </c>
      <c r="U18" t="n">
        <v>2.1954</v>
      </c>
      <c r="V18" t="n">
        <v>-1.144014</v>
      </c>
      <c r="W18" t="n">
        <v>4.196522</v>
      </c>
      <c r="X18" t="n">
        <v>1.907628</v>
      </c>
      <c r="Y18" t="n">
        <v>0.882262</v>
      </c>
      <c r="Z18" t="n">
        <v>3.690607</v>
      </c>
      <c r="AA18" t="n">
        <v>1.371579</v>
      </c>
      <c r="AB18" t="n">
        <v>4.594655</v>
      </c>
    </row>
    <row r="19">
      <c r="A19" t="inlineStr">
        <is>
          <t>Germany</t>
        </is>
      </c>
      <c r="C19" t="inlineStr"/>
      <c r="D19" t="n">
        <v>6.447332</v>
      </c>
      <c r="E19" t="n">
        <v>5.988863</v>
      </c>
      <c r="F19" t="n">
        <v>10.174409</v>
      </c>
      <c r="G19" t="n">
        <v>10.710221</v>
      </c>
      <c r="H19" t="n">
        <v>5.157025</v>
      </c>
      <c r="I19" t="n">
        <v>-1.134977</v>
      </c>
      <c r="J19" t="n">
        <v>5.48816</v>
      </c>
      <c r="K19" t="n">
        <v>3.980955</v>
      </c>
      <c r="L19" t="n">
        <v>-6.945684</v>
      </c>
      <c r="M19" t="n">
        <v>7.778482</v>
      </c>
      <c r="N19" t="n">
        <v>-2.37663</v>
      </c>
      <c r="O19" t="n">
        <v>7.989058</v>
      </c>
      <c r="P19" t="n">
        <v>10.705744</v>
      </c>
      <c r="Q19" t="n">
        <v>2.539728</v>
      </c>
      <c r="R19" t="n">
        <v>0.305269</v>
      </c>
      <c r="S19" t="n">
        <v>1.739714</v>
      </c>
      <c r="T19" t="n">
        <v>10.351976</v>
      </c>
      <c r="U19" t="n">
        <v>2.296448</v>
      </c>
      <c r="V19" t="n">
        <v>3.592071</v>
      </c>
      <c r="W19" t="n">
        <v>4.085588</v>
      </c>
      <c r="X19" t="n">
        <v>2.279338</v>
      </c>
      <c r="Y19" t="n">
        <v>0.530291</v>
      </c>
      <c r="Z19" t="n">
        <v>0.99063</v>
      </c>
      <c r="AA19" t="n">
        <v>0.032006</v>
      </c>
      <c r="AB19" t="n">
        <v>-0.679755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2.41185</v>
      </c>
      <c r="F20" t="n">
        <v>13.018409</v>
      </c>
      <c r="G20" t="n">
        <v>-0.248947</v>
      </c>
      <c r="H20" t="n">
        <v>15.411085</v>
      </c>
      <c r="I20" t="n">
        <v>3.933061</v>
      </c>
      <c r="J20" t="n">
        <v>3.766213</v>
      </c>
      <c r="K20" t="n">
        <v>-2.360182</v>
      </c>
      <c r="L20" t="n">
        <v>5.008994</v>
      </c>
      <c r="M20" t="n">
        <v>4.641626</v>
      </c>
      <c r="N20" t="n">
        <v>6.984315</v>
      </c>
      <c r="O20" t="n">
        <v>12.300149</v>
      </c>
      <c r="P20" t="n">
        <v>4.029802</v>
      </c>
      <c r="Q20" t="n">
        <v>-2.084233</v>
      </c>
      <c r="R20" t="n">
        <v>5.560613</v>
      </c>
      <c r="S20" t="n">
        <v>-16.068144</v>
      </c>
      <c r="T20" t="n">
        <v>-13.949577</v>
      </c>
      <c r="U20" t="n">
        <v>-10.335865</v>
      </c>
      <c r="V20" t="n">
        <v>3.912821</v>
      </c>
      <c r="W20" t="n">
        <v>-3.960566</v>
      </c>
      <c r="X20" t="n">
        <v>-1.951639</v>
      </c>
      <c r="Y20" t="n">
        <v>-4.256264</v>
      </c>
      <c r="Z20" t="n">
        <v>-5.48827</v>
      </c>
      <c r="AA20" t="n">
        <v>-7.375209</v>
      </c>
      <c r="AB20" t="n">
        <v>-4.388802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20.57792</v>
      </c>
      <c r="F21" t="n">
        <v>22.579324</v>
      </c>
      <c r="G21" t="n">
        <v>3.716776</v>
      </c>
      <c r="H21" t="n">
        <v>7.830782</v>
      </c>
      <c r="I21" t="n">
        <v>-4.066883</v>
      </c>
      <c r="J21" t="n">
        <v>-3.291569</v>
      </c>
      <c r="K21" t="n">
        <v>15.78616</v>
      </c>
      <c r="L21" t="n">
        <v>4.972653</v>
      </c>
      <c r="M21" t="n">
        <v>11.95827</v>
      </c>
      <c r="N21" t="n">
        <v>1.970339</v>
      </c>
      <c r="O21" t="n">
        <v>-6.226506</v>
      </c>
      <c r="P21" t="n">
        <v>4.109957</v>
      </c>
      <c r="Q21" t="n">
        <v>-0.547627</v>
      </c>
      <c r="R21" t="n">
        <v>4.525906</v>
      </c>
      <c r="S21" t="n">
        <v>4.152776</v>
      </c>
      <c r="T21" t="n">
        <v>-1.466097</v>
      </c>
      <c r="U21" t="n">
        <v>3.864822</v>
      </c>
      <c r="V21" t="n">
        <v>-4.238511</v>
      </c>
      <c r="W21" t="n">
        <v>-2.758248</v>
      </c>
      <c r="X21" t="n">
        <v>-2.7726</v>
      </c>
      <c r="Y21" t="n">
        <v>-0.392725</v>
      </c>
      <c r="Z21" t="n">
        <v>7.140683</v>
      </c>
      <c r="AA21" t="n">
        <v>4.554291</v>
      </c>
      <c r="AB21" t="n">
        <v>1.89739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3.044005</v>
      </c>
      <c r="S22" t="n">
        <v>-2.242007</v>
      </c>
      <c r="T22" t="n">
        <v>1.829198</v>
      </c>
      <c r="U22" t="n">
        <v>6.497603</v>
      </c>
      <c r="V22" t="n">
        <v>7.316751</v>
      </c>
      <c r="W22" t="n">
        <v>6.099598</v>
      </c>
      <c r="X22" t="n">
        <v>6.414534</v>
      </c>
      <c r="Y22" t="n">
        <v>10.224409</v>
      </c>
      <c r="Z22" t="n">
        <v>0.6915559999999999</v>
      </c>
      <c r="AA22" t="n">
        <v>9.752022999999999</v>
      </c>
      <c r="AB22" t="n">
        <v>5.377006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1.573778</v>
      </c>
      <c r="F23" t="n">
        <v>12.686346</v>
      </c>
      <c r="G23" t="n">
        <v>10.416056</v>
      </c>
      <c r="H23" t="n">
        <v>-1.929412</v>
      </c>
      <c r="I23" t="n">
        <v>-0.513486</v>
      </c>
      <c r="J23" t="n">
        <v>1.170421</v>
      </c>
      <c r="K23" t="n">
        <v>7.61924</v>
      </c>
      <c r="L23" t="n">
        <v>-5.701397</v>
      </c>
      <c r="M23" t="n">
        <v>19.682258</v>
      </c>
      <c r="N23" t="n">
        <v>1.827466</v>
      </c>
      <c r="O23" t="n">
        <v>10.77884</v>
      </c>
      <c r="P23" t="n">
        <v>17.448244</v>
      </c>
      <c r="Q23" t="n">
        <v>6.305638</v>
      </c>
      <c r="R23" t="n">
        <v>0.614244</v>
      </c>
      <c r="S23" t="n">
        <v>24.431149</v>
      </c>
      <c r="T23" t="n">
        <v>-0.960717</v>
      </c>
      <c r="U23" t="n">
        <v>-1.998627</v>
      </c>
      <c r="V23" t="n">
        <v>8.144446</v>
      </c>
      <c r="W23" t="n">
        <v>8.942558</v>
      </c>
      <c r="X23" t="n">
        <v>10.559645</v>
      </c>
      <c r="Y23" t="n">
        <v>5.193374</v>
      </c>
      <c r="Z23" t="n">
        <v>9.187491</v>
      </c>
      <c r="AA23" t="n">
        <v>19.034174</v>
      </c>
      <c r="AB23" t="n">
        <v>13.423504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-0.578717</v>
      </c>
      <c r="F24" t="n">
        <v>-0.65828</v>
      </c>
      <c r="G24" t="n">
        <v>2.402953</v>
      </c>
      <c r="H24" t="n">
        <v>-2.103393</v>
      </c>
      <c r="I24" t="n">
        <v>9.923769999999999</v>
      </c>
      <c r="J24" t="n">
        <v>-8.279873</v>
      </c>
      <c r="K24" t="n">
        <v>7.490047</v>
      </c>
      <c r="L24" t="n">
        <v>0.327123</v>
      </c>
      <c r="M24" t="n">
        <v>4.940872</v>
      </c>
      <c r="N24" t="n">
        <v>-3.272739</v>
      </c>
      <c r="O24" t="n">
        <v>-3.1069</v>
      </c>
      <c r="P24" t="n">
        <v>10.07552</v>
      </c>
      <c r="Q24" t="n">
        <v>9.641643</v>
      </c>
      <c r="R24" t="n">
        <v>0.796999</v>
      </c>
      <c r="S24" t="n">
        <v>-3.101514</v>
      </c>
      <c r="T24" t="n">
        <v>1.546833</v>
      </c>
      <c r="U24" t="n">
        <v>13.015941</v>
      </c>
      <c r="V24" t="n">
        <v>10.747165</v>
      </c>
      <c r="W24" t="n">
        <v>3.320871</v>
      </c>
      <c r="X24" t="n">
        <v>4.164873</v>
      </c>
      <c r="Y24" t="n">
        <v>4.21564</v>
      </c>
      <c r="Z24" t="n">
        <v>2.331373</v>
      </c>
      <c r="AA24" t="n">
        <v>-1.509034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2.7285</v>
      </c>
      <c r="E25" t="n">
        <v>7.816179</v>
      </c>
      <c r="F25" t="n">
        <v>1.471292</v>
      </c>
      <c r="G25" t="n">
        <v>0.379172</v>
      </c>
      <c r="H25" t="n">
        <v>5.52173</v>
      </c>
      <c r="I25" t="n">
        <v>0.943995</v>
      </c>
      <c r="J25" t="n">
        <v>9.671916</v>
      </c>
      <c r="K25" t="n">
        <v>4.246044</v>
      </c>
      <c r="L25" t="n">
        <v>-0.38344</v>
      </c>
      <c r="M25" t="n">
        <v>3.152444</v>
      </c>
      <c r="N25" t="n">
        <v>1.870868</v>
      </c>
      <c r="O25" t="n">
        <v>-1.47428</v>
      </c>
      <c r="P25" t="n">
        <v>5.129725</v>
      </c>
      <c r="Q25" t="n">
        <v>2.954262</v>
      </c>
      <c r="R25" t="n">
        <v>-0.697914</v>
      </c>
      <c r="S25" t="n">
        <v>4.055408</v>
      </c>
      <c r="T25" t="n">
        <v>-0.457371</v>
      </c>
      <c r="U25" t="n">
        <v>-3.888733</v>
      </c>
      <c r="V25" t="n">
        <v>0.220806</v>
      </c>
      <c r="W25" t="n">
        <v>1.609672</v>
      </c>
      <c r="X25" t="n">
        <v>-0.432674</v>
      </c>
      <c r="Y25" t="n">
        <v>1.923492</v>
      </c>
      <c r="Z25" t="n">
        <v>0.550441</v>
      </c>
      <c r="AA25" t="n">
        <v>-3.862964</v>
      </c>
      <c r="AB25" t="n">
        <v>-0.458414</v>
      </c>
    </row>
    <row r="26">
      <c r="A26" t="inlineStr">
        <is>
          <t>Japan</t>
        </is>
      </c>
      <c r="C26" t="inlineStr"/>
      <c r="D26" t="n">
        <v>12.910225</v>
      </c>
      <c r="E26" t="n">
        <v>16.490343</v>
      </c>
      <c r="F26" t="n">
        <v>8.218966</v>
      </c>
      <c r="G26" t="n">
        <v>10.037844</v>
      </c>
      <c r="H26" t="n">
        <v>3.198302</v>
      </c>
      <c r="I26" t="n">
        <v>5.824979</v>
      </c>
      <c r="J26" t="n">
        <v>5.962933</v>
      </c>
      <c r="K26" t="n">
        <v>3.8595</v>
      </c>
      <c r="L26" t="n">
        <v>0.979428</v>
      </c>
      <c r="M26" t="n">
        <v>-4.388182</v>
      </c>
      <c r="N26" t="n">
        <v>-5.179913</v>
      </c>
      <c r="O26" t="n">
        <v>1.454783</v>
      </c>
      <c r="P26" t="n">
        <v>-3.417621</v>
      </c>
      <c r="Q26" t="n">
        <v>5.00382</v>
      </c>
      <c r="R26" t="n">
        <v>-1.548826</v>
      </c>
      <c r="S26" t="n">
        <v>0.231514</v>
      </c>
      <c r="T26" t="n">
        <v>3.968051</v>
      </c>
      <c r="U26" t="n">
        <v>1.794178</v>
      </c>
      <c r="V26" t="n">
        <v>4.523541</v>
      </c>
      <c r="W26" t="n">
        <v>-4.857944</v>
      </c>
      <c r="X26" t="n">
        <v>-0.758179</v>
      </c>
      <c r="Y26" t="n">
        <v>0.534025</v>
      </c>
      <c r="Z26" t="n">
        <v>-1.938516</v>
      </c>
      <c r="AA26" t="n">
        <v>-1.450302</v>
      </c>
      <c r="AB26" t="inlineStr">
        <is>
          <t>..</t>
        </is>
      </c>
    </row>
    <row r="27">
      <c r="A27" t="inlineStr">
        <is>
          <t>Korea</t>
        </is>
      </c>
      <c r="C27" t="inlineStr">
        <is>
          <t>i</t>
        </is>
      </c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4.239298</v>
      </c>
      <c r="O27" t="n">
        <v>1.97951</v>
      </c>
      <c r="P27" t="n">
        <v>5.483698</v>
      </c>
      <c r="Q27" t="n">
        <v>5.03809</v>
      </c>
      <c r="R27" t="n">
        <v>0.331067</v>
      </c>
      <c r="S27" t="n">
        <v>1.736651</v>
      </c>
      <c r="T27" t="n">
        <v>0.060089</v>
      </c>
      <c r="U27" t="n">
        <v>4.007595</v>
      </c>
      <c r="V27" t="n">
        <v>7.415514</v>
      </c>
      <c r="W27" t="n">
        <v>-1.323071</v>
      </c>
      <c r="X27" t="n">
        <v>-6.174486</v>
      </c>
      <c r="Y27" t="n">
        <v>3.997164</v>
      </c>
      <c r="Z27" t="n">
        <v>3.23026</v>
      </c>
      <c r="AA27" t="n">
        <v>-2.676499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2.758684</v>
      </c>
      <c r="F28" t="n">
        <v>18.305214</v>
      </c>
      <c r="G28" t="n">
        <v>4.567293</v>
      </c>
      <c r="H28" t="n">
        <v>8.846692000000001</v>
      </c>
      <c r="I28" t="n">
        <v>62.092561</v>
      </c>
      <c r="J28" t="n">
        <v>16.353474</v>
      </c>
      <c r="K28" t="n">
        <v>-4.559594</v>
      </c>
      <c r="L28" t="n">
        <v>-0.005288</v>
      </c>
      <c r="M28" t="n">
        <v>0.35961</v>
      </c>
      <c r="N28" t="n">
        <v>34.45129</v>
      </c>
      <c r="O28" t="n">
        <v>16.7034</v>
      </c>
      <c r="P28" t="n">
        <v>-15.271842</v>
      </c>
      <c r="Q28" t="n">
        <v>-0.333473</v>
      </c>
      <c r="R28" t="n">
        <v>-8.320917</v>
      </c>
      <c r="S28" t="n">
        <v>0.335466</v>
      </c>
      <c r="T28" t="n">
        <v>-4.80706</v>
      </c>
      <c r="U28" t="n">
        <v>5.681411</v>
      </c>
      <c r="V28" t="n">
        <v>-5.015666</v>
      </c>
      <c r="W28" t="n">
        <v>-12.881798</v>
      </c>
      <c r="X28" t="n">
        <v>-4.609738</v>
      </c>
      <c r="Y28" t="n">
        <v>-1.491761</v>
      </c>
      <c r="Z28" t="n">
        <v>2.697355</v>
      </c>
      <c r="AA28" t="n">
        <v>3.633711</v>
      </c>
      <c r="AB28" t="n">
        <v>0.953117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18.681757</v>
      </c>
      <c r="F29" t="n">
        <v>4.770745</v>
      </c>
      <c r="G29" t="n">
        <v>0.791691</v>
      </c>
      <c r="H29" t="n">
        <v>8.582583</v>
      </c>
      <c r="I29" t="n">
        <v>-2.608511</v>
      </c>
      <c r="J29" t="n">
        <v>5.364181</v>
      </c>
      <c r="K29" t="n">
        <v>22.133371</v>
      </c>
      <c r="L29" t="n">
        <v>16.346354</v>
      </c>
      <c r="M29" t="n">
        <v>-19.622103</v>
      </c>
      <c r="N29" t="n">
        <v>0.187589</v>
      </c>
      <c r="O29" t="n">
        <v>15.944293</v>
      </c>
      <c r="P29" t="n">
        <v>-2.20263</v>
      </c>
      <c r="Q29" t="n">
        <v>-7.520209</v>
      </c>
      <c r="R29" t="n">
        <v>6.31186</v>
      </c>
      <c r="S29" t="n">
        <v>5.722882</v>
      </c>
      <c r="T29" t="n">
        <v>-17.67725</v>
      </c>
      <c r="U29" t="n">
        <v>-7.468715</v>
      </c>
      <c r="V29" t="n">
        <v>22.105524</v>
      </c>
      <c r="W29" t="n">
        <v>6.129928</v>
      </c>
      <c r="X29" t="n">
        <v>-6.135485</v>
      </c>
      <c r="Y29" t="n">
        <v>-0.074723</v>
      </c>
      <c r="Z29" t="n">
        <v>9.729222999999999</v>
      </c>
      <c r="AA29" t="n">
        <v>-3.373059</v>
      </c>
      <c r="AB29" t="n">
        <v>-11.227334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-8.291039</v>
      </c>
      <c r="F30" t="n">
        <v>-6.552697</v>
      </c>
      <c r="G30" t="n">
        <v>10.61898</v>
      </c>
      <c r="H30" t="n">
        <v>12.38269</v>
      </c>
      <c r="I30" t="n">
        <v>-4.968429</v>
      </c>
      <c r="J30" t="n">
        <v>-4.384695</v>
      </c>
      <c r="K30" t="n">
        <v>4.860986</v>
      </c>
      <c r="L30" t="n">
        <v>8.364765</v>
      </c>
      <c r="M30" t="n">
        <v>-0.205791</v>
      </c>
      <c r="N30" t="n">
        <v>-8.822673999999999</v>
      </c>
      <c r="O30" t="n">
        <v>8.688300999999999</v>
      </c>
      <c r="P30" t="n">
        <v>6.580458</v>
      </c>
      <c r="Q30" t="n">
        <v>-2.526156</v>
      </c>
      <c r="R30" t="n">
        <v>6.132339</v>
      </c>
      <c r="S30" t="n">
        <v>11.813309</v>
      </c>
      <c r="T30" t="n">
        <v>3.042343</v>
      </c>
      <c r="U30" t="n">
        <v>4.253209</v>
      </c>
      <c r="V30" t="n">
        <v>-12.771015</v>
      </c>
      <c r="W30" t="n">
        <v>3.553364</v>
      </c>
      <c r="X30" t="n">
        <v>17.83807</v>
      </c>
      <c r="Y30" t="n">
        <v>11.857312</v>
      </c>
      <c r="Z30" t="n">
        <v>-6.106463</v>
      </c>
      <c r="AA30" t="n">
        <v>10.882018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3.881282</v>
      </c>
      <c r="U31" t="n">
        <v>13.758973</v>
      </c>
      <c r="V31" t="n">
        <v>-6.114442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-3.273495</v>
      </c>
      <c r="F32" t="n">
        <v>4.547054</v>
      </c>
      <c r="G32" t="n">
        <v>4.94551</v>
      </c>
      <c r="H32" t="n">
        <v>8.518858</v>
      </c>
      <c r="I32" t="n">
        <v>7.585229</v>
      </c>
      <c r="J32" t="n">
        <v>3.308468</v>
      </c>
      <c r="K32" t="n">
        <v>11.587772</v>
      </c>
      <c r="L32" t="n">
        <v>8.886676</v>
      </c>
      <c r="M32" t="n">
        <v>2.356229</v>
      </c>
      <c r="N32" t="n">
        <v>1.35861</v>
      </c>
      <c r="O32" t="n">
        <v>3.413777</v>
      </c>
      <c r="P32" t="n">
        <v>4.256429</v>
      </c>
      <c r="Q32" t="n">
        <v>-0.303645</v>
      </c>
      <c r="R32" t="n">
        <v>-1.248346</v>
      </c>
      <c r="S32" t="n">
        <v>2.880842</v>
      </c>
      <c r="T32" t="n">
        <v>0.236885</v>
      </c>
      <c r="U32" t="n">
        <v>-0.291959</v>
      </c>
      <c r="V32" t="n">
        <v>3.158987</v>
      </c>
      <c r="W32" t="n">
        <v>1.66073</v>
      </c>
      <c r="X32" t="n">
        <v>2.157535</v>
      </c>
      <c r="Y32" t="n">
        <v>2.014579</v>
      </c>
      <c r="Z32" t="n">
        <v>1.571042</v>
      </c>
      <c r="AA32" t="n">
        <v>0.12915</v>
      </c>
      <c r="AB32" t="n">
        <v>0.390212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-0.7942709999999999</v>
      </c>
      <c r="U33" t="n">
        <v>-1.140269</v>
      </c>
      <c r="V33" t="n">
        <v>8.651097</v>
      </c>
      <c r="W33" t="n">
        <v>1.66782</v>
      </c>
      <c r="X33" t="n">
        <v>4.461343</v>
      </c>
      <c r="Y33" t="n">
        <v>-1.621231</v>
      </c>
      <c r="Z33" t="n">
        <v>0.932702</v>
      </c>
      <c r="AA33" t="n">
        <v>-3.521221</v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1.014211</v>
      </c>
      <c r="E34" t="n">
        <v>3.801201</v>
      </c>
      <c r="F34" t="n">
        <v>3.87065</v>
      </c>
      <c r="G34" t="n">
        <v>10.056051</v>
      </c>
      <c r="H34" t="n">
        <v>10.637829</v>
      </c>
      <c r="I34" t="n">
        <v>-3.191676</v>
      </c>
      <c r="J34" t="n">
        <v>2.147971</v>
      </c>
      <c r="K34" t="n">
        <v>3.666751</v>
      </c>
      <c r="L34" t="n">
        <v>14.795785</v>
      </c>
      <c r="M34" t="n">
        <v>15.160329</v>
      </c>
      <c r="N34" t="n">
        <v>5.910752</v>
      </c>
      <c r="O34" t="n">
        <v>2.927488</v>
      </c>
      <c r="P34" t="n">
        <v>9.216245000000001</v>
      </c>
      <c r="Q34" t="n">
        <v>5.016952</v>
      </c>
      <c r="R34" t="n">
        <v>1.26722</v>
      </c>
      <c r="S34" t="n">
        <v>9.976426999999999</v>
      </c>
      <c r="T34" t="n">
        <v>0.540647</v>
      </c>
      <c r="U34" t="n">
        <v>1.883163</v>
      </c>
      <c r="V34" t="n">
        <v>2.104218</v>
      </c>
      <c r="W34" t="n">
        <v>-0.810659</v>
      </c>
      <c r="X34" t="n">
        <v>2.164518</v>
      </c>
      <c r="Y34" t="n">
        <v>2.153604</v>
      </c>
      <c r="Z34" t="n">
        <v>1.740886</v>
      </c>
      <c r="AA34" t="n">
        <v>-0.193675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4.7607</v>
      </c>
      <c r="F35" t="n">
        <v>4.394967</v>
      </c>
      <c r="G35" t="n">
        <v>9.011301</v>
      </c>
      <c r="H35" t="n">
        <v>9.716188000000001</v>
      </c>
      <c r="I35" t="n">
        <v>16.149579</v>
      </c>
      <c r="J35" t="n">
        <v>6.798973</v>
      </c>
      <c r="K35" t="n">
        <v>13.155053</v>
      </c>
      <c r="L35" t="n">
        <v>1.139394</v>
      </c>
      <c r="M35" t="n">
        <v>7.451141</v>
      </c>
      <c r="N35" t="n">
        <v>-2.171168</v>
      </c>
      <c r="O35" t="n">
        <v>-10.329504</v>
      </c>
      <c r="P35" t="n">
        <v>-5.540943</v>
      </c>
      <c r="Q35" t="n">
        <v>5.269909</v>
      </c>
      <c r="R35" t="n">
        <v>-2.391711</v>
      </c>
      <c r="S35" t="n">
        <v>6.66203</v>
      </c>
      <c r="T35" t="n">
        <v>6.311499</v>
      </c>
      <c r="U35" t="n">
        <v>4.124776</v>
      </c>
      <c r="V35" t="n">
        <v>-0.895798</v>
      </c>
      <c r="W35" t="n">
        <v>-1.45038</v>
      </c>
      <c r="X35" t="n">
        <v>3.868028</v>
      </c>
      <c r="Y35" t="n">
        <v>15.390402</v>
      </c>
      <c r="Z35" t="n">
        <v>3.381511</v>
      </c>
      <c r="AA35" t="n">
        <v>0.670655</v>
      </c>
      <c r="AB35" t="n">
        <v>-2.360743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-2.536341</v>
      </c>
      <c r="F36" t="n">
        <v>-0.733232</v>
      </c>
      <c r="G36" t="n">
        <v>0.782887</v>
      </c>
      <c r="H36" t="n">
        <v>4.961262</v>
      </c>
      <c r="I36" t="n">
        <v>3.338074</v>
      </c>
      <c r="J36" t="n">
        <v>10.233327</v>
      </c>
      <c r="K36" t="n">
        <v>2.308379</v>
      </c>
      <c r="L36" t="n">
        <v>1.292538</v>
      </c>
      <c r="M36" t="n">
        <v>1.619566</v>
      </c>
      <c r="N36" t="n">
        <v>0.311081</v>
      </c>
      <c r="O36" t="n">
        <v>2.405478</v>
      </c>
      <c r="P36" t="n">
        <v>1.211149</v>
      </c>
      <c r="Q36" t="n">
        <v>-1.295858</v>
      </c>
      <c r="R36" t="n">
        <v>-2.814938</v>
      </c>
      <c r="S36" t="n">
        <v>-4.946924</v>
      </c>
      <c r="T36" t="n">
        <v>3.853306</v>
      </c>
      <c r="U36" t="n">
        <v>-5.763561</v>
      </c>
      <c r="V36" t="n">
        <v>-3.256042</v>
      </c>
      <c r="W36" t="n">
        <v>-5.601651</v>
      </c>
      <c r="X36" t="n">
        <v>-6.468206</v>
      </c>
      <c r="Y36" t="n">
        <v>-1.227579</v>
      </c>
      <c r="Z36" t="n">
        <v>-3.857571</v>
      </c>
      <c r="AA36" t="n">
        <v>-1.768967</v>
      </c>
      <c r="AB36" t="n">
        <v>-2.333874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31.015524</v>
      </c>
      <c r="F37" t="n">
        <v>3.404809</v>
      </c>
      <c r="G37" t="n">
        <v>-9.800985000000001</v>
      </c>
      <c r="H37" t="n">
        <v>12.442036</v>
      </c>
      <c r="I37" t="n">
        <v>-19.6446</v>
      </c>
      <c r="J37" t="n">
        <v>6.004603</v>
      </c>
      <c r="K37" t="n">
        <v>18.106513</v>
      </c>
      <c r="L37" t="n">
        <v>2.42409</v>
      </c>
      <c r="M37" t="n">
        <v>3.370151</v>
      </c>
      <c r="N37" t="n">
        <v>3.216233</v>
      </c>
      <c r="O37" t="n">
        <v>3.011697</v>
      </c>
      <c r="P37" t="n">
        <v>7.612109</v>
      </c>
      <c r="Q37" t="n">
        <v>-4.928919</v>
      </c>
      <c r="R37" t="n">
        <v>4.240621</v>
      </c>
      <c r="S37" t="n">
        <v>7.671755</v>
      </c>
      <c r="T37" t="n">
        <v>-9.1906</v>
      </c>
      <c r="U37" t="n">
        <v>18.014943</v>
      </c>
      <c r="V37" t="n">
        <v>-9.471985</v>
      </c>
      <c r="W37" t="n">
        <v>-9.839767</v>
      </c>
      <c r="X37" t="n">
        <v>1.085288</v>
      </c>
      <c r="Y37" t="n">
        <v>5.100478</v>
      </c>
      <c r="Z37" t="n">
        <v>0.355276</v>
      </c>
      <c r="AA37" t="n">
        <v>-5.472912</v>
      </c>
      <c r="AB37" t="n">
        <v>2.142454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1.585672</v>
      </c>
      <c r="F38" t="n">
        <v>12.147626</v>
      </c>
      <c r="G38" t="n">
        <v>11.227141</v>
      </c>
      <c r="H38" t="n">
        <v>2.019839</v>
      </c>
      <c r="I38" t="n">
        <v>-1.429271</v>
      </c>
      <c r="J38" t="n">
        <v>2.044439</v>
      </c>
      <c r="K38" t="n">
        <v>-6.310048</v>
      </c>
      <c r="L38" t="n">
        <v>8.995043000000001</v>
      </c>
      <c r="M38" t="n">
        <v>8.047862</v>
      </c>
      <c r="N38" t="n">
        <v>6.546445</v>
      </c>
      <c r="O38" t="n">
        <v>2.152606</v>
      </c>
      <c r="P38" t="n">
        <v>1.80914</v>
      </c>
      <c r="Q38" t="n">
        <v>5.038259</v>
      </c>
      <c r="R38" t="n">
        <v>-8.519292</v>
      </c>
      <c r="S38" t="n">
        <v>3.136535</v>
      </c>
      <c r="T38" t="n">
        <v>-0.307711</v>
      </c>
      <c r="U38" t="n">
        <v>-1.932429</v>
      </c>
      <c r="V38" t="n">
        <v>-1.047635</v>
      </c>
      <c r="W38" t="n">
        <v>2.08223</v>
      </c>
      <c r="X38" t="n">
        <v>-0.811925</v>
      </c>
      <c r="Y38" t="n">
        <v>-4.610067</v>
      </c>
      <c r="Z38" t="n">
        <v>1.066473</v>
      </c>
      <c r="AA38" t="n">
        <v>-0.449516</v>
      </c>
      <c r="AB38" t="n">
        <v>-1.444194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-0.790438</v>
      </c>
      <c r="F39" t="n">
        <v>-0.9696900000000001</v>
      </c>
      <c r="G39" t="n">
        <v>-4.390933</v>
      </c>
      <c r="H39" t="n">
        <v>-4.410912</v>
      </c>
      <c r="I39" t="n">
        <v>4.93485</v>
      </c>
      <c r="J39" t="n">
        <v>4.720516</v>
      </c>
      <c r="K39" t="n">
        <v>1.427482</v>
      </c>
      <c r="L39" t="n">
        <v>3.797556</v>
      </c>
      <c r="M39" t="n">
        <v>-1.140186</v>
      </c>
      <c r="N39" t="n">
        <v>0.25571</v>
      </c>
      <c r="O39" t="n">
        <v>-3.119161</v>
      </c>
      <c r="P39" t="n">
        <v>4.663659</v>
      </c>
      <c r="Q39" t="n">
        <v>-0.767895</v>
      </c>
      <c r="R39" t="n">
        <v>1.522358</v>
      </c>
      <c r="S39" t="n">
        <v>4.87885</v>
      </c>
      <c r="T39" t="n">
        <v>-2.338587</v>
      </c>
      <c r="U39" t="n">
        <v>5.662584</v>
      </c>
      <c r="V39" t="n">
        <v>5.08222</v>
      </c>
      <c r="W39" t="n">
        <v>5.770284</v>
      </c>
      <c r="X39" t="n">
        <v>0.7288</v>
      </c>
      <c r="Y39" t="n">
        <v>0.108976</v>
      </c>
      <c r="Z39" t="n">
        <v>1.768611</v>
      </c>
      <c r="AA39" t="n">
        <v>0.890775</v>
      </c>
      <c r="AB39" t="n">
        <v>-2.053167</v>
      </c>
    </row>
    <row r="40">
      <c r="A40" t="inlineStr">
        <is>
          <t>Sweden</t>
        </is>
      </c>
      <c r="C40" t="inlineStr"/>
      <c r="D40" t="n">
        <v>4.083323</v>
      </c>
      <c r="E40" t="n">
        <v>0.09214</v>
      </c>
      <c r="F40" t="n">
        <v>11.972434</v>
      </c>
      <c r="G40" t="n">
        <v>0.205707</v>
      </c>
      <c r="H40" t="n">
        <v>1.439097</v>
      </c>
      <c r="I40" t="n">
        <v>-3.905148</v>
      </c>
      <c r="J40" t="n">
        <v>-0.308604</v>
      </c>
      <c r="K40" t="n">
        <v>3.698005</v>
      </c>
      <c r="L40" t="n">
        <v>3.301956</v>
      </c>
      <c r="M40" t="n">
        <v>25.026179</v>
      </c>
      <c r="N40" t="n">
        <v>6.742379</v>
      </c>
      <c r="O40" t="n">
        <v>9.151510999999999</v>
      </c>
      <c r="P40" t="n">
        <v>1.648134</v>
      </c>
      <c r="Q40" t="n">
        <v>3.44182</v>
      </c>
      <c r="R40" t="n">
        <v>7.880421</v>
      </c>
      <c r="S40" t="n">
        <v>18.18061</v>
      </c>
      <c r="T40" t="n">
        <v>5.139301</v>
      </c>
      <c r="U40" t="n">
        <v>-1.705952</v>
      </c>
      <c r="V40" t="n">
        <v>3.984955</v>
      </c>
      <c r="W40" t="n">
        <v>6.255823</v>
      </c>
      <c r="X40" t="n">
        <v>8.589810999999999</v>
      </c>
      <c r="Y40" t="n">
        <v>-4.579188</v>
      </c>
      <c r="Z40" t="n">
        <v>0.142804</v>
      </c>
      <c r="AA40" t="n">
        <v>4.95138</v>
      </c>
      <c r="AB40" t="n">
        <v>-0.238457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-3.636731</v>
      </c>
      <c r="F41" t="n">
        <v>-3.59629</v>
      </c>
      <c r="G41" t="n">
        <v>1.840744</v>
      </c>
      <c r="H41" t="n">
        <v>-3.05355</v>
      </c>
      <c r="I41" t="n">
        <v>4.243261</v>
      </c>
      <c r="J41" t="n">
        <v>0.420446</v>
      </c>
      <c r="K41" t="n">
        <v>3.845211</v>
      </c>
      <c r="L41" t="n">
        <v>-1.492274</v>
      </c>
      <c r="M41" t="n">
        <v>3.635051</v>
      </c>
      <c r="N41" t="n">
        <v>2.574551</v>
      </c>
      <c r="O41" t="n">
        <v>0.790595</v>
      </c>
      <c r="P41" t="n">
        <v>-0.323454</v>
      </c>
      <c r="Q41" t="n">
        <v>3.605809</v>
      </c>
      <c r="R41" t="n">
        <v>1.190881</v>
      </c>
      <c r="S41" t="n">
        <v>2.253516</v>
      </c>
      <c r="T41" t="n">
        <v>-7.183207</v>
      </c>
      <c r="U41" t="n">
        <v>-2.133479</v>
      </c>
      <c r="V41" t="n">
        <v>-2.52166</v>
      </c>
      <c r="W41" t="n">
        <v>-1.879498</v>
      </c>
      <c r="X41" t="n">
        <v>-0.394424</v>
      </c>
      <c r="Y41" t="n">
        <v>1.145871</v>
      </c>
      <c r="Z41" t="n">
        <v>1.587461</v>
      </c>
      <c r="AA41" t="n">
        <v>-0.293339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2.187848</v>
      </c>
      <c r="E42" t="n">
        <v>-0.6488080000000001</v>
      </c>
      <c r="F42" t="n">
        <v>-1.764175</v>
      </c>
      <c r="G42" t="n">
        <v>5.471026</v>
      </c>
      <c r="H42" t="n">
        <v>15.469828</v>
      </c>
      <c r="I42" t="n">
        <v>18.104805</v>
      </c>
      <c r="J42" t="n">
        <v>6.403489</v>
      </c>
      <c r="K42" t="n">
        <v>3.166833</v>
      </c>
      <c r="L42" t="n">
        <v>5.260773</v>
      </c>
      <c r="M42" t="n">
        <v>5.017576</v>
      </c>
      <c r="N42" t="n">
        <v>4.003832</v>
      </c>
      <c r="O42" t="n">
        <v>1.355944</v>
      </c>
      <c r="P42" t="n">
        <v>4.10013</v>
      </c>
      <c r="Q42" t="n">
        <v>2.611256</v>
      </c>
      <c r="R42" t="n">
        <v>-3.974931</v>
      </c>
      <c r="S42" t="n">
        <v>6.061037</v>
      </c>
      <c r="T42" t="n">
        <v>-1.870456</v>
      </c>
      <c r="U42" t="n">
        <v>2.722877</v>
      </c>
      <c r="V42" t="n">
        <v>0.480896</v>
      </c>
      <c r="W42" t="n">
        <v>-4.936935</v>
      </c>
      <c r="X42" t="n">
        <v>3.096758</v>
      </c>
      <c r="Y42" t="n">
        <v>4.770676</v>
      </c>
      <c r="Z42" t="n">
        <v>-0.261382</v>
      </c>
      <c r="AA42" t="n">
        <v>4.569689</v>
      </c>
      <c r="AB42" t="n">
        <v>0.751336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4.688342</v>
      </c>
      <c r="K43" t="n">
        <v>15.601089</v>
      </c>
      <c r="L43" t="n">
        <v>7.124164</v>
      </c>
      <c r="M43" t="n">
        <v>16.419642</v>
      </c>
      <c r="N43" t="n">
        <v>9.10779</v>
      </c>
      <c r="O43" t="n">
        <v>0.6128440000000001</v>
      </c>
      <c r="P43" t="n">
        <v>8.463416</v>
      </c>
      <c r="Q43" t="n">
        <v>6.112543</v>
      </c>
      <c r="R43" t="n">
        <v>5.64718</v>
      </c>
      <c r="S43" t="n">
        <v>8.139168</v>
      </c>
      <c r="T43" t="n">
        <v>3.132954</v>
      </c>
      <c r="U43" t="n">
        <v>3.606956</v>
      </c>
      <c r="V43" t="n">
        <v>3.320331</v>
      </c>
      <c r="W43" t="n">
        <v>-0.773408</v>
      </c>
      <c r="X43" t="n">
        <v>9.331199</v>
      </c>
      <c r="Y43" t="n">
        <v>6.844906</v>
      </c>
      <c r="Z43" t="n">
        <v>3.066258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3.30895</v>
      </c>
      <c r="F44" t="n">
        <v>5.892825</v>
      </c>
      <c r="G44" t="n">
        <v>4.616678</v>
      </c>
      <c r="H44" t="n">
        <v>4.010387</v>
      </c>
      <c r="I44" t="n">
        <v>0.203568</v>
      </c>
      <c r="J44" t="n">
        <v>5.439585</v>
      </c>
      <c r="K44" t="n">
        <v>5.571423</v>
      </c>
      <c r="L44" t="n">
        <v>0.691283</v>
      </c>
      <c r="M44" t="n">
        <v>5.220762</v>
      </c>
      <c r="N44" t="n">
        <v>0.535598</v>
      </c>
      <c r="O44" t="n">
        <v>4.18294</v>
      </c>
      <c r="P44" t="n">
        <v>6.158248</v>
      </c>
      <c r="Q44" t="n">
        <v>1.227654</v>
      </c>
      <c r="R44" t="n">
        <v>-0.392303</v>
      </c>
      <c r="S44" t="n">
        <v>3.380314</v>
      </c>
      <c r="T44" t="n">
        <v>3.286358</v>
      </c>
      <c r="U44" t="n">
        <v>1.287727</v>
      </c>
      <c r="V44" t="n">
        <v>1.784073</v>
      </c>
      <c r="W44" t="n">
        <v>3.336582</v>
      </c>
      <c r="X44" t="n">
        <v>1.825456</v>
      </c>
      <c r="Y44" t="n">
        <v>1.25208</v>
      </c>
      <c r="Z44" t="n">
        <v>2.009608</v>
      </c>
      <c r="AA44" t="n">
        <v>1.002205</v>
      </c>
      <c r="AB44" t="n">
        <v>0.430942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2.659593</v>
      </c>
      <c r="F45" t="n">
        <v>4.735738</v>
      </c>
      <c r="G45" t="n">
        <v>5.227867</v>
      </c>
      <c r="H45" t="n">
        <v>6.955722</v>
      </c>
      <c r="I45" t="n">
        <v>4.63814</v>
      </c>
      <c r="J45" t="n">
        <v>5.468169</v>
      </c>
      <c r="K45" t="n">
        <v>4.992494</v>
      </c>
      <c r="L45" t="n">
        <v>1.928332</v>
      </c>
      <c r="M45" t="n">
        <v>6.146211</v>
      </c>
      <c r="N45" t="n">
        <v>1.591743</v>
      </c>
      <c r="O45" t="n">
        <v>2.784</v>
      </c>
      <c r="P45" t="n">
        <v>5.253274</v>
      </c>
      <c r="Q45" t="n">
        <v>1.871039</v>
      </c>
      <c r="R45" t="n">
        <v>-1.291796</v>
      </c>
      <c r="S45" t="n">
        <v>4.491751</v>
      </c>
      <c r="T45" t="n">
        <v>2.530537</v>
      </c>
      <c r="U45" t="n">
        <v>1.129178</v>
      </c>
      <c r="V45" t="n">
        <v>1.634226</v>
      </c>
      <c r="W45" t="n">
        <v>1.164495</v>
      </c>
      <c r="X45" t="n">
        <v>2.190303</v>
      </c>
      <c r="Y45" t="n">
        <v>2.165157</v>
      </c>
      <c r="Z45" t="n">
        <v>1.541351</v>
      </c>
      <c r="AA45" t="n">
        <v>1.750586</v>
      </c>
      <c r="AB45" t="n">
        <v>0.703034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7.054439</v>
      </c>
      <c r="K46" t="n">
        <v>0.740847</v>
      </c>
      <c r="L46" t="n">
        <v>-4.986269</v>
      </c>
      <c r="M46" t="n">
        <v>0.7098370000000001</v>
      </c>
      <c r="N46" t="n">
        <v>-1.950879</v>
      </c>
      <c r="O46" t="n">
        <v>-7.557637</v>
      </c>
      <c r="P46" t="n">
        <v>2.846923</v>
      </c>
      <c r="Q46" t="n">
        <v>4.951487</v>
      </c>
      <c r="R46" t="n">
        <v>0.8237139999999999</v>
      </c>
      <c r="S46" t="n">
        <v>2.040557</v>
      </c>
      <c r="T46" t="n">
        <v>-0.574191</v>
      </c>
      <c r="U46" t="n">
        <v>2.312744</v>
      </c>
      <c r="V46" t="n">
        <v>3.192682</v>
      </c>
      <c r="W46" t="n">
        <v>-1.849006</v>
      </c>
      <c r="X46" t="n">
        <v>2.419297</v>
      </c>
      <c r="Y46" t="n">
        <v>0.979904</v>
      </c>
      <c r="Z46" t="n">
        <v>2.513536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3.608921</v>
      </c>
      <c r="E47" t="n">
        <v>4.326689</v>
      </c>
      <c r="F47" t="n">
        <v>16.059435</v>
      </c>
      <c r="G47" t="n">
        <v>-5.45581</v>
      </c>
      <c r="H47" t="n">
        <v>19.611436</v>
      </c>
      <c r="I47" t="n">
        <v>-15.837534</v>
      </c>
      <c r="J47" t="n">
        <v>52.823076</v>
      </c>
      <c r="K47" t="n">
        <v>5.10786</v>
      </c>
      <c r="L47" t="n">
        <v>15.55247</v>
      </c>
      <c r="M47" t="n">
        <v>25.656223</v>
      </c>
      <c r="N47" t="n">
        <v>-8.408899999999999</v>
      </c>
      <c r="O47" t="n">
        <v>-19.500523</v>
      </c>
      <c r="P47" t="n">
        <v>-1.132666</v>
      </c>
      <c r="Q47" t="n">
        <v>-11.222204</v>
      </c>
      <c r="R47" t="n">
        <v>6.827052</v>
      </c>
      <c r="S47" t="n">
        <v>241.33087</v>
      </c>
      <c r="T47" t="n">
        <v>-11.316863</v>
      </c>
      <c r="U47" t="n">
        <v>-28.606208</v>
      </c>
      <c r="V47" t="n">
        <v>51.877183</v>
      </c>
      <c r="W47" t="n">
        <v>10.595578</v>
      </c>
      <c r="X47" t="n">
        <v>-9.252879999999999</v>
      </c>
      <c r="Y47" t="n">
        <v>-15.961705</v>
      </c>
      <c r="Z47" t="n">
        <v>4.147375</v>
      </c>
      <c r="AA47" t="n">
        <v>13.006186</v>
      </c>
      <c r="AB47" t="inlineStr">
        <is>
          <t>..</t>
        </is>
      </c>
    </row>
    <row r="48">
      <c r="A48" t="inlineStr">
        <is>
          <t>Data extracted on 04 Jun 2020 21:39 UTC (GMT) from OECD.Stat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 IsDisplayed="true"&gt;&lt;Name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K: Financial and insurance activities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3.627089</v>
      </c>
      <c r="E9" t="n">
        <v>8.170605</v>
      </c>
      <c r="F9" t="n">
        <v>6.892162</v>
      </c>
      <c r="G9" t="n">
        <v>18.13802</v>
      </c>
      <c r="H9" t="n">
        <v>-4.107332</v>
      </c>
      <c r="I9" t="n">
        <v>-3.733608</v>
      </c>
      <c r="J9" t="n">
        <v>9.378162</v>
      </c>
      <c r="K9" t="n">
        <v>3.102287</v>
      </c>
      <c r="L9" t="n">
        <v>4.927207</v>
      </c>
      <c r="M9" t="n">
        <v>-1.109747</v>
      </c>
      <c r="N9" t="n">
        <v>-0.450767</v>
      </c>
      <c r="O9" t="n">
        <v>3.575875</v>
      </c>
      <c r="P9" t="n">
        <v>5.351899</v>
      </c>
      <c r="Q9" t="n">
        <v>3.16501</v>
      </c>
      <c r="R9" t="n">
        <v>2.240843</v>
      </c>
      <c r="S9" t="n">
        <v>-7.21402</v>
      </c>
      <c r="T9" t="n">
        <v>3.838424</v>
      </c>
      <c r="U9" t="n">
        <v>5.105808</v>
      </c>
      <c r="V9" t="n">
        <v>6.512333</v>
      </c>
      <c r="W9" t="n">
        <v>8.183572</v>
      </c>
      <c r="X9" t="n">
        <v>-5.245852</v>
      </c>
      <c r="Y9" t="n">
        <v>2.113927</v>
      </c>
      <c r="Z9" t="n">
        <v>0.434453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-4.301933</v>
      </c>
      <c r="E10" t="n">
        <v>3.44212</v>
      </c>
      <c r="F10" t="n">
        <v>7.813843</v>
      </c>
      <c r="G10" t="n">
        <v>5.832698</v>
      </c>
      <c r="H10" t="n">
        <v>7.401462</v>
      </c>
      <c r="I10" t="n">
        <v>13.649016</v>
      </c>
      <c r="J10" t="n">
        <v>-2.894175</v>
      </c>
      <c r="K10" t="n">
        <v>7.059485</v>
      </c>
      <c r="L10" t="n">
        <v>-3.672534</v>
      </c>
      <c r="M10" t="n">
        <v>10.750637</v>
      </c>
      <c r="N10" t="n">
        <v>1.040459</v>
      </c>
      <c r="O10" t="n">
        <v>6.843843</v>
      </c>
      <c r="P10" t="n">
        <v>4.663707</v>
      </c>
      <c r="Q10" t="n">
        <v>-1.534274</v>
      </c>
      <c r="R10" t="n">
        <v>6.773526</v>
      </c>
      <c r="S10" t="n">
        <v>1.694424</v>
      </c>
      <c r="T10" t="n">
        <v>2.553728</v>
      </c>
      <c r="U10" t="n">
        <v>-0.013771</v>
      </c>
      <c r="V10" t="n">
        <v>-0.415618</v>
      </c>
      <c r="W10" t="n">
        <v>-1.773257</v>
      </c>
      <c r="X10" t="n">
        <v>5.06977</v>
      </c>
      <c r="Y10" t="n">
        <v>-0.171684</v>
      </c>
      <c r="Z10" t="n">
        <v>5.547016</v>
      </c>
      <c r="AA10" t="n">
        <v>-0.44922</v>
      </c>
      <c r="AB10" t="n">
        <v>3.092095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3.700568</v>
      </c>
      <c r="F11" t="n">
        <v>6.389093</v>
      </c>
      <c r="G11" t="n">
        <v>2.733209</v>
      </c>
      <c r="H11" t="n">
        <v>15.097903</v>
      </c>
      <c r="I11" t="n">
        <v>-0.158465</v>
      </c>
      <c r="J11" t="n">
        <v>-1.324461</v>
      </c>
      <c r="K11" t="n">
        <v>6.839568</v>
      </c>
      <c r="L11" t="n">
        <v>-8.489357999999999</v>
      </c>
      <c r="M11" t="n">
        <v>7.29679</v>
      </c>
      <c r="N11" t="n">
        <v>4.4618</v>
      </c>
      <c r="O11" t="n">
        <v>9.611027999999999</v>
      </c>
      <c r="P11" t="n">
        <v>-3.076852</v>
      </c>
      <c r="Q11" t="n">
        <v>-1.885921</v>
      </c>
      <c r="R11" t="n">
        <v>-5.287778</v>
      </c>
      <c r="S11" t="n">
        <v>3.111356</v>
      </c>
      <c r="T11" t="n">
        <v>-2.532907</v>
      </c>
      <c r="U11" t="n">
        <v>8.011879</v>
      </c>
      <c r="V11" t="n">
        <v>-1.943225</v>
      </c>
      <c r="W11" t="n">
        <v>-3.023639</v>
      </c>
      <c r="X11" t="n">
        <v>-2.227896</v>
      </c>
      <c r="Y11" t="n">
        <v>0.346496</v>
      </c>
      <c r="Z11" t="n">
        <v>4.1323</v>
      </c>
      <c r="AA11" t="n">
        <v>5.735609</v>
      </c>
      <c r="AB11" t="n">
        <v>6.622545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-6.339312</v>
      </c>
      <c r="R12" t="n">
        <v>2.400299</v>
      </c>
      <c r="S12" t="n">
        <v>-0.927545</v>
      </c>
      <c r="T12" t="n">
        <v>0.013859</v>
      </c>
      <c r="U12" t="n">
        <v>5.185575</v>
      </c>
      <c r="V12" t="n">
        <v>1.775938</v>
      </c>
      <c r="W12" t="n">
        <v>1.042947</v>
      </c>
      <c r="X12" t="n">
        <v>5.944664</v>
      </c>
      <c r="Y12" t="n">
        <v>0.755937</v>
      </c>
      <c r="Z12" t="n">
        <v>4.897276</v>
      </c>
      <c r="AA12" t="n">
        <v>-2.657971</v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n">
        <v>14.849601</v>
      </c>
      <c r="U13" t="n">
        <v>-1.211216</v>
      </c>
      <c r="V13" t="n">
        <v>-16.150109</v>
      </c>
      <c r="W13" t="n">
        <v>4.397182</v>
      </c>
      <c r="X13" t="n">
        <v>3.081206</v>
      </c>
      <c r="Y13" t="n">
        <v>7.978018</v>
      </c>
      <c r="Z13" t="n">
        <v>5.401217</v>
      </c>
      <c r="AA13" t="n">
        <v>1.791562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-11.328121</v>
      </c>
      <c r="E14" t="n">
        <v>5.991702</v>
      </c>
      <c r="F14" t="n">
        <v>-2.120083</v>
      </c>
      <c r="G14" t="n">
        <v>32.081102</v>
      </c>
      <c r="H14" t="n">
        <v>-1.970293</v>
      </c>
      <c r="I14" t="n">
        <v>-8.569966000000001</v>
      </c>
      <c r="J14" t="n">
        <v>5.265268</v>
      </c>
      <c r="K14" t="n">
        <v>-28.736645</v>
      </c>
      <c r="L14" t="n">
        <v>26.545406</v>
      </c>
      <c r="M14" t="n">
        <v>4.192894</v>
      </c>
      <c r="N14" t="n">
        <v>-2.63565</v>
      </c>
      <c r="O14" t="n">
        <v>1.542709</v>
      </c>
      <c r="P14" t="n">
        <v>16.737211</v>
      </c>
      <c r="Q14" t="n">
        <v>8.642189</v>
      </c>
      <c r="R14" t="n">
        <v>8.883794</v>
      </c>
      <c r="S14" t="n">
        <v>3.247283</v>
      </c>
      <c r="T14" t="n">
        <v>1.311381</v>
      </c>
      <c r="U14" t="n">
        <v>-5.583893</v>
      </c>
      <c r="V14" t="n">
        <v>8.140497</v>
      </c>
      <c r="W14" t="n">
        <v>-3.222577</v>
      </c>
      <c r="X14" t="n">
        <v>7.919495</v>
      </c>
      <c r="Y14" t="n">
        <v>5.439232</v>
      </c>
      <c r="Z14" t="n">
        <v>10.47041</v>
      </c>
      <c r="AA14" t="n">
        <v>1.555503</v>
      </c>
      <c r="AB14" t="n">
        <v>2.118355</v>
      </c>
    </row>
    <row r="15">
      <c r="A15" t="inlineStr">
        <is>
          <t>Denmark</t>
        </is>
      </c>
      <c r="C15" t="inlineStr"/>
      <c r="D15" t="n">
        <v>-6.728987</v>
      </c>
      <c r="E15" t="n">
        <v>-0.741658</v>
      </c>
      <c r="F15" t="n">
        <v>6.254987</v>
      </c>
      <c r="G15" t="n">
        <v>3.67006</v>
      </c>
      <c r="H15" t="n">
        <v>-1.156447</v>
      </c>
      <c r="I15" t="n">
        <v>7.910392</v>
      </c>
      <c r="J15" t="n">
        <v>-5.568635</v>
      </c>
      <c r="K15" t="n">
        <v>9.014434</v>
      </c>
      <c r="L15" t="n">
        <v>4.552033</v>
      </c>
      <c r="M15" t="n">
        <v>12.452996</v>
      </c>
      <c r="N15" t="n">
        <v>14.044088</v>
      </c>
      <c r="O15" t="n">
        <v>6.946106</v>
      </c>
      <c r="P15" t="n">
        <v>3.690175</v>
      </c>
      <c r="Q15" t="n">
        <v>7.070003</v>
      </c>
      <c r="R15" t="n">
        <v>-9.073093</v>
      </c>
      <c r="S15" t="n">
        <v>4.222103</v>
      </c>
      <c r="T15" t="n">
        <v>-5.031848</v>
      </c>
      <c r="U15" t="n">
        <v>3.20009</v>
      </c>
      <c r="V15" t="n">
        <v>1.420401</v>
      </c>
      <c r="W15" t="n">
        <v>0.085921</v>
      </c>
      <c r="X15" t="n">
        <v>-4.784388</v>
      </c>
      <c r="Y15" t="n">
        <v>2.773918</v>
      </c>
      <c r="Z15" t="n">
        <v>-6.089982</v>
      </c>
      <c r="AA15" t="n">
        <v>1.829785</v>
      </c>
      <c r="AB15" t="n">
        <v>0.383124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49.036816</v>
      </c>
      <c r="F16" t="n">
        <v>23.179325</v>
      </c>
      <c r="G16" t="n">
        <v>2.637343</v>
      </c>
      <c r="H16" t="n">
        <v>50.346438</v>
      </c>
      <c r="I16" t="n">
        <v>11.921109</v>
      </c>
      <c r="J16" t="n">
        <v>16.416198</v>
      </c>
      <c r="K16" t="n">
        <v>3.646044</v>
      </c>
      <c r="L16" t="n">
        <v>20.85412</v>
      </c>
      <c r="M16" t="n">
        <v>20.475157</v>
      </c>
      <c r="N16" t="n">
        <v>63.519044</v>
      </c>
      <c r="O16" t="n">
        <v>-0.7985640000000001</v>
      </c>
      <c r="P16" t="n">
        <v>-11.799233</v>
      </c>
      <c r="Q16" t="n">
        <v>-7.102388</v>
      </c>
      <c r="R16" t="n">
        <v>-21.445192</v>
      </c>
      <c r="S16" t="n">
        <v>2.400073</v>
      </c>
      <c r="T16" t="n">
        <v>-21.012604</v>
      </c>
      <c r="U16" t="n">
        <v>-13.944309</v>
      </c>
      <c r="V16" t="n">
        <v>-11.394078</v>
      </c>
      <c r="W16" t="n">
        <v>26.591744</v>
      </c>
      <c r="X16" t="n">
        <v>-3.901518</v>
      </c>
      <c r="Y16" t="n">
        <v>-22.15154</v>
      </c>
      <c r="Z16" t="n">
        <v>-4.459672</v>
      </c>
      <c r="AA16" t="n">
        <v>2.141309</v>
      </c>
      <c r="AB16" t="n">
        <v>12.381097</v>
      </c>
    </row>
    <row r="17">
      <c r="A17" t="inlineStr">
        <is>
          <t>Finland</t>
        </is>
      </c>
      <c r="C17" t="inlineStr"/>
      <c r="D17" t="n">
        <v>25.443546</v>
      </c>
      <c r="E17" t="n">
        <v>9.051667999999999</v>
      </c>
      <c r="F17" t="n">
        <v>6.70968</v>
      </c>
      <c r="G17" t="n">
        <v>8.693894999999999</v>
      </c>
      <c r="H17" t="n">
        <v>7.626068</v>
      </c>
      <c r="I17" t="n">
        <v>-3.562615</v>
      </c>
      <c r="J17" t="n">
        <v>-1.450116</v>
      </c>
      <c r="K17" t="n">
        <v>-11.091478</v>
      </c>
      <c r="L17" t="n">
        <v>-2.469689</v>
      </c>
      <c r="M17" t="n">
        <v>10.613131</v>
      </c>
      <c r="N17" t="n">
        <v>7.366956</v>
      </c>
      <c r="O17" t="n">
        <v>0.8140269999999999</v>
      </c>
      <c r="P17" t="n">
        <v>6.010938</v>
      </c>
      <c r="Q17" t="n">
        <v>-3.738951</v>
      </c>
      <c r="R17" t="n">
        <v>-3.593833</v>
      </c>
      <c r="S17" t="n">
        <v>2.473453</v>
      </c>
      <c r="T17" t="n">
        <v>-4.804775</v>
      </c>
      <c r="U17" t="n">
        <v>-1.500479</v>
      </c>
      <c r="V17" t="n">
        <v>-4.728878</v>
      </c>
      <c r="W17" t="n">
        <v>13.669912</v>
      </c>
      <c r="X17" t="n">
        <v>-1.733402</v>
      </c>
      <c r="Y17" t="n">
        <v>7.025345</v>
      </c>
      <c r="Z17" t="n">
        <v>6.270102</v>
      </c>
      <c r="AA17" t="n">
        <v>-3.652237</v>
      </c>
      <c r="AB17" t="n">
        <v>-5.189083</v>
      </c>
    </row>
    <row r="18">
      <c r="A18" t="inlineStr">
        <is>
          <t>France</t>
        </is>
      </c>
      <c r="C18" t="inlineStr"/>
      <c r="D18" t="n">
        <v>-5.466539</v>
      </c>
      <c r="E18" t="n">
        <v>2.451034</v>
      </c>
      <c r="F18" t="n">
        <v>-2.310895</v>
      </c>
      <c r="G18" t="n">
        <v>3.934981</v>
      </c>
      <c r="H18" t="n">
        <v>6.365872</v>
      </c>
      <c r="I18" t="n">
        <v>7.947432</v>
      </c>
      <c r="J18" t="n">
        <v>-4.495592</v>
      </c>
      <c r="K18" t="n">
        <v>1.34051</v>
      </c>
      <c r="L18" t="n">
        <v>0.717553</v>
      </c>
      <c r="M18" t="n">
        <v>6.46803</v>
      </c>
      <c r="N18" t="n">
        <v>-1.167666</v>
      </c>
      <c r="O18" t="n">
        <v>-2.901665</v>
      </c>
      <c r="P18" t="n">
        <v>4.921681</v>
      </c>
      <c r="Q18" t="n">
        <v>1.879231</v>
      </c>
      <c r="R18" t="n">
        <v>6.436953</v>
      </c>
      <c r="S18" t="n">
        <v>0.121614</v>
      </c>
      <c r="T18" t="n">
        <v>5.355863</v>
      </c>
      <c r="U18" t="n">
        <v>1.539341</v>
      </c>
      <c r="V18" t="n">
        <v>-0.123898</v>
      </c>
      <c r="W18" t="n">
        <v>1.145779</v>
      </c>
      <c r="X18" t="n">
        <v>0.194425</v>
      </c>
      <c r="Y18" t="n">
        <v>-0.310017</v>
      </c>
      <c r="Z18" t="n">
        <v>-0.122491</v>
      </c>
      <c r="AA18" t="n">
        <v>5.918597</v>
      </c>
      <c r="AB18" t="n">
        <v>1.507834</v>
      </c>
    </row>
    <row r="19">
      <c r="A19" t="inlineStr">
        <is>
          <t>Germany</t>
        </is>
      </c>
      <c r="C19" t="inlineStr"/>
      <c r="D19" t="n">
        <v>-2.628572</v>
      </c>
      <c r="E19" t="n">
        <v>1.398442</v>
      </c>
      <c r="F19" t="n">
        <v>1.350114</v>
      </c>
      <c r="G19" t="n">
        <v>1.182269</v>
      </c>
      <c r="H19" t="n">
        <v>6.485305</v>
      </c>
      <c r="I19" t="n">
        <v>-9.379946</v>
      </c>
      <c r="J19" t="n">
        <v>5.625202</v>
      </c>
      <c r="K19" t="n">
        <v>-6.094138</v>
      </c>
      <c r="L19" t="n">
        <v>-14.194554</v>
      </c>
      <c r="M19" t="n">
        <v>-7.052668</v>
      </c>
      <c r="N19" t="n">
        <v>-1.586891</v>
      </c>
      <c r="O19" t="n">
        <v>-1.742555</v>
      </c>
      <c r="P19" t="n">
        <v>3.807111</v>
      </c>
      <c r="Q19" t="n">
        <v>-1.080209</v>
      </c>
      <c r="R19" t="n">
        <v>-4.153037</v>
      </c>
      <c r="S19" t="n">
        <v>4.424289</v>
      </c>
      <c r="T19" t="n">
        <v>3.111944</v>
      </c>
      <c r="U19" t="n">
        <v>-1.679139</v>
      </c>
      <c r="V19" t="n">
        <v>6.634658</v>
      </c>
      <c r="W19" t="n">
        <v>-4.405233</v>
      </c>
      <c r="X19" t="n">
        <v>-0.388458</v>
      </c>
      <c r="Y19" t="n">
        <v>-1.888498</v>
      </c>
      <c r="Z19" t="n">
        <v>6.695432</v>
      </c>
      <c r="AA19" t="n">
        <v>1.649248</v>
      </c>
      <c r="AB19" t="n">
        <v>3.445383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15.174703</v>
      </c>
      <c r="F20" t="n">
        <v>-3.888635</v>
      </c>
      <c r="G20" t="n">
        <v>6.480406</v>
      </c>
      <c r="H20" t="n">
        <v>-6.162633</v>
      </c>
      <c r="I20" t="n">
        <v>3.239071</v>
      </c>
      <c r="J20" t="n">
        <v>-6.824817</v>
      </c>
      <c r="K20" t="n">
        <v>-2.693208</v>
      </c>
      <c r="L20" t="n">
        <v>-3.252834</v>
      </c>
      <c r="M20" t="n">
        <v>18.252145</v>
      </c>
      <c r="N20" t="n">
        <v>-2.10507</v>
      </c>
      <c r="O20" t="n">
        <v>0.800783</v>
      </c>
      <c r="P20" t="n">
        <v>9.059148</v>
      </c>
      <c r="Q20" t="n">
        <v>7.989901</v>
      </c>
      <c r="R20" t="n">
        <v>6.48247</v>
      </c>
      <c r="S20" t="n">
        <v>-2.187518</v>
      </c>
      <c r="T20" t="n">
        <v>-12.163534</v>
      </c>
      <c r="U20" t="n">
        <v>-2.145546</v>
      </c>
      <c r="V20" t="n">
        <v>6.308123</v>
      </c>
      <c r="W20" t="n">
        <v>3.182016</v>
      </c>
      <c r="X20" t="n">
        <v>1.804274</v>
      </c>
      <c r="Y20" t="n">
        <v>-2.715297</v>
      </c>
      <c r="Z20" t="n">
        <v>-6.798211</v>
      </c>
      <c r="AA20" t="n">
        <v>-2.995035</v>
      </c>
      <c r="AB20" t="n">
        <v>-3.601913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-15.612931</v>
      </c>
      <c r="F21" t="n">
        <v>-26.33741</v>
      </c>
      <c r="G21" t="n">
        <v>2.445353</v>
      </c>
      <c r="H21" t="n">
        <v>-17.150003</v>
      </c>
      <c r="I21" t="n">
        <v>3.433022</v>
      </c>
      <c r="J21" t="n">
        <v>6.516167</v>
      </c>
      <c r="K21" t="n">
        <v>10.871044</v>
      </c>
      <c r="L21" t="n">
        <v>8.949966999999999</v>
      </c>
      <c r="M21" t="n">
        <v>-2.518681</v>
      </c>
      <c r="N21" t="n">
        <v>1.861636</v>
      </c>
      <c r="O21" t="n">
        <v>-2.134187</v>
      </c>
      <c r="P21" t="n">
        <v>-5.175317</v>
      </c>
      <c r="Q21" t="n">
        <v>-7.480129</v>
      </c>
      <c r="R21" t="n">
        <v>3.58262</v>
      </c>
      <c r="S21" t="n">
        <v>-2.204673</v>
      </c>
      <c r="T21" t="n">
        <v>-3.375858</v>
      </c>
      <c r="U21" t="n">
        <v>-9.098281</v>
      </c>
      <c r="V21" t="n">
        <v>3.996569</v>
      </c>
      <c r="W21" t="n">
        <v>-0.706398</v>
      </c>
      <c r="X21" t="n">
        <v>4.120418</v>
      </c>
      <c r="Y21" t="n">
        <v>3.302377</v>
      </c>
      <c r="Z21" t="n">
        <v>4.026992</v>
      </c>
      <c r="AA21" t="n">
        <v>7.402703</v>
      </c>
      <c r="AB21" t="n">
        <v>3.410648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26.795359</v>
      </c>
      <c r="S22" t="n">
        <v>-4.57731</v>
      </c>
      <c r="T22" t="n">
        <v>-2.082696</v>
      </c>
      <c r="U22" t="n">
        <v>-0.338784</v>
      </c>
      <c r="V22" t="n">
        <v>-3.338155</v>
      </c>
      <c r="W22" t="n">
        <v>1.268664</v>
      </c>
      <c r="X22" t="n">
        <v>-3.592662</v>
      </c>
      <c r="Y22" t="n">
        <v>8.118213000000001</v>
      </c>
      <c r="Z22" t="n">
        <v>7.007806</v>
      </c>
      <c r="AA22" t="n">
        <v>7.118186</v>
      </c>
      <c r="AB22" t="n">
        <v>4.036546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4.531944</v>
      </c>
      <c r="F23" t="n">
        <v>14.373116</v>
      </c>
      <c r="G23" t="n">
        <v>-17.597825</v>
      </c>
      <c r="H23" t="n">
        <v>-3.938575</v>
      </c>
      <c r="I23" t="n">
        <v>9.899634000000001</v>
      </c>
      <c r="J23" t="n">
        <v>6.551901</v>
      </c>
      <c r="K23" t="n">
        <v>4.258049</v>
      </c>
      <c r="L23" t="n">
        <v>-5.664396</v>
      </c>
      <c r="M23" t="n">
        <v>4.400041</v>
      </c>
      <c r="N23" t="n">
        <v>-0.91515</v>
      </c>
      <c r="O23" t="n">
        <v>8.568968999999999</v>
      </c>
      <c r="P23" t="n">
        <v>-0.538979</v>
      </c>
      <c r="Q23" t="n">
        <v>-4.400156</v>
      </c>
      <c r="R23" t="n">
        <v>-6.961187</v>
      </c>
      <c r="S23" t="n">
        <v>25.743936</v>
      </c>
      <c r="T23" t="n">
        <v>-5.024814</v>
      </c>
      <c r="U23" t="n">
        <v>-10.996396</v>
      </c>
      <c r="V23" t="n">
        <v>-8.199099</v>
      </c>
      <c r="W23" t="n">
        <v>1.938457</v>
      </c>
      <c r="X23" t="n">
        <v>10.685298</v>
      </c>
      <c r="Y23" t="n">
        <v>-1.445976</v>
      </c>
      <c r="Z23" t="n">
        <v>6.109392</v>
      </c>
      <c r="AA23" t="n">
        <v>2.644761</v>
      </c>
      <c r="AB23" t="n">
        <v>0.392135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12.353574</v>
      </c>
      <c r="F24" t="n">
        <v>-4.706425</v>
      </c>
      <c r="G24" t="n">
        <v>6.334569</v>
      </c>
      <c r="H24" t="n">
        <v>5.418956</v>
      </c>
      <c r="I24" t="n">
        <v>9.422917</v>
      </c>
      <c r="J24" t="n">
        <v>1.085393</v>
      </c>
      <c r="K24" t="n">
        <v>-0.867803</v>
      </c>
      <c r="L24" t="n">
        <v>0.139453</v>
      </c>
      <c r="M24" t="n">
        <v>-3.271514</v>
      </c>
      <c r="N24" t="n">
        <v>1.199725</v>
      </c>
      <c r="O24" t="n">
        <v>11.676304</v>
      </c>
      <c r="P24" t="n">
        <v>-9.228752</v>
      </c>
      <c r="Q24" t="n">
        <v>-7.646675</v>
      </c>
      <c r="R24" t="n">
        <v>-9.6005</v>
      </c>
      <c r="S24" t="n">
        <v>-5.474442</v>
      </c>
      <c r="T24" t="n">
        <v>-0.913392</v>
      </c>
      <c r="U24" t="n">
        <v>1.536878</v>
      </c>
      <c r="V24" t="n">
        <v>-4.937723</v>
      </c>
      <c r="W24" t="n">
        <v>-6.265017</v>
      </c>
      <c r="X24" t="n">
        <v>3.35674</v>
      </c>
      <c r="Y24" t="n">
        <v>3.480764</v>
      </c>
      <c r="Z24" t="n">
        <v>1.515158</v>
      </c>
      <c r="AA24" t="n">
        <v>3.119297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-4.841723</v>
      </c>
      <c r="E25" t="n">
        <v>6.503002</v>
      </c>
      <c r="F25" t="n">
        <v>2.599971</v>
      </c>
      <c r="G25" t="n">
        <v>-0.900705</v>
      </c>
      <c r="H25" t="n">
        <v>-3.248918</v>
      </c>
      <c r="I25" t="n">
        <v>6.926764</v>
      </c>
      <c r="J25" t="n">
        <v>-2.173588</v>
      </c>
      <c r="K25" t="n">
        <v>-5.821897</v>
      </c>
      <c r="L25" t="n">
        <v>0.637095</v>
      </c>
      <c r="M25" t="n">
        <v>1.61796</v>
      </c>
      <c r="N25" t="n">
        <v>5.951159</v>
      </c>
      <c r="O25" t="n">
        <v>2.58938</v>
      </c>
      <c r="P25" t="n">
        <v>3.381069</v>
      </c>
      <c r="Q25" t="n">
        <v>-1.247199</v>
      </c>
      <c r="R25" t="n">
        <v>0.968951</v>
      </c>
      <c r="S25" t="n">
        <v>6.008736</v>
      </c>
      <c r="T25" t="n">
        <v>4.304102</v>
      </c>
      <c r="U25" t="n">
        <v>1.700446</v>
      </c>
      <c r="V25" t="n">
        <v>-0.936845</v>
      </c>
      <c r="W25" t="n">
        <v>-0.503332</v>
      </c>
      <c r="X25" t="n">
        <v>-1.318138</v>
      </c>
      <c r="Y25" t="n">
        <v>-0.47463</v>
      </c>
      <c r="Z25" t="n">
        <v>1.572119</v>
      </c>
      <c r="AA25" t="n">
        <v>0.007874000000000001</v>
      </c>
      <c r="AB25" t="n">
        <v>1.551477</v>
      </c>
    </row>
    <row r="26">
      <c r="A26" t="inlineStr">
        <is>
          <t>Japan</t>
        </is>
      </c>
      <c r="C26" t="inlineStr"/>
      <c r="D26" t="n">
        <v>-5.706998</v>
      </c>
      <c r="E26" t="n">
        <v>3.730894</v>
      </c>
      <c r="F26" t="n">
        <v>3.883662</v>
      </c>
      <c r="G26" t="n">
        <v>-5.140081</v>
      </c>
      <c r="H26" t="n">
        <v>1.180368</v>
      </c>
      <c r="I26" t="n">
        <v>4.481527</v>
      </c>
      <c r="J26" t="n">
        <v>0.50788</v>
      </c>
      <c r="K26" t="n">
        <v>-3.215195</v>
      </c>
      <c r="L26" t="n">
        <v>3.838135</v>
      </c>
      <c r="M26" t="n">
        <v>-1.534235</v>
      </c>
      <c r="N26" t="n">
        <v>1.698051</v>
      </c>
      <c r="O26" t="n">
        <v>1.326002</v>
      </c>
      <c r="P26" t="n">
        <v>3.927604</v>
      </c>
      <c r="Q26" t="n">
        <v>-18.836459</v>
      </c>
      <c r="R26" t="n">
        <v>0.217846</v>
      </c>
      <c r="S26" t="n">
        <v>2.200819</v>
      </c>
      <c r="T26" t="n">
        <v>-0.07951800000000001</v>
      </c>
      <c r="U26" t="n">
        <v>1.748452</v>
      </c>
      <c r="V26" t="n">
        <v>10.622336</v>
      </c>
      <c r="W26" t="n">
        <v>6.702658</v>
      </c>
      <c r="X26" t="n">
        <v>3.623582</v>
      </c>
      <c r="Y26" t="n">
        <v>-6.438012</v>
      </c>
      <c r="Z26" t="n">
        <v>-0.038558</v>
      </c>
      <c r="AA26" t="n">
        <v>2.159178</v>
      </c>
      <c r="AB26" t="inlineStr">
        <is>
          <t>..</t>
        </is>
      </c>
    </row>
    <row r="27">
      <c r="A27" t="inlineStr">
        <is>
          <t>Korea</t>
        </is>
      </c>
      <c r="C27" t="inlineStr"/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5.465674</v>
      </c>
      <c r="O27" t="n">
        <v>-1.386891</v>
      </c>
      <c r="P27" t="n">
        <v>9.267639000000001</v>
      </c>
      <c r="Q27" t="n">
        <v>3.940563</v>
      </c>
      <c r="R27" t="n">
        <v>13.37334</v>
      </c>
      <c r="S27" t="n">
        <v>-2.317219</v>
      </c>
      <c r="T27" t="n">
        <v>-2.182516</v>
      </c>
      <c r="U27" t="n">
        <v>5.605977</v>
      </c>
      <c r="V27" t="n">
        <v>2.136996</v>
      </c>
      <c r="W27" t="n">
        <v>9.419606</v>
      </c>
      <c r="X27" t="n">
        <v>14.680059</v>
      </c>
      <c r="Y27" t="n">
        <v>1.381884</v>
      </c>
      <c r="Z27" t="n">
        <v>5.389277</v>
      </c>
      <c r="AA27" t="n">
        <v>-0.166238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13.368349</v>
      </c>
      <c r="F28" t="n">
        <v>16.589858</v>
      </c>
      <c r="G28" t="n">
        <v>33.044916</v>
      </c>
      <c r="H28" t="n">
        <v>-7.851024</v>
      </c>
      <c r="I28" t="n">
        <v>4.226466</v>
      </c>
      <c r="J28" t="n">
        <v>6.003875</v>
      </c>
      <c r="K28" t="n">
        <v>6.475956</v>
      </c>
      <c r="L28" t="n">
        <v>-3.135182</v>
      </c>
      <c r="M28" t="n">
        <v>8.005751</v>
      </c>
      <c r="N28" t="n">
        <v>13.049769</v>
      </c>
      <c r="O28" t="n">
        <v>33.091658</v>
      </c>
      <c r="P28" t="n">
        <v>14.56057</v>
      </c>
      <c r="Q28" t="n">
        <v>11.395076</v>
      </c>
      <c r="R28" t="n">
        <v>8.528878000000001</v>
      </c>
      <c r="S28" t="n">
        <v>-3.533922</v>
      </c>
      <c r="T28" t="n">
        <v>-10.910296</v>
      </c>
      <c r="U28" t="n">
        <v>6.991052</v>
      </c>
      <c r="V28" t="n">
        <v>7.169816</v>
      </c>
      <c r="W28" t="n">
        <v>14.873347</v>
      </c>
      <c r="X28" t="n">
        <v>4.920824</v>
      </c>
      <c r="Y28" t="n">
        <v>-2.995874</v>
      </c>
      <c r="Z28" t="n">
        <v>-17.192096</v>
      </c>
      <c r="AA28" t="n">
        <v>1.6014</v>
      </c>
      <c r="AB28" t="n">
        <v>-7.536677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-1.45493</v>
      </c>
      <c r="F29" t="n">
        <v>9.224413</v>
      </c>
      <c r="G29" t="n">
        <v>5.569527</v>
      </c>
      <c r="H29" t="n">
        <v>10.403181</v>
      </c>
      <c r="I29" t="n">
        <v>6.072616</v>
      </c>
      <c r="J29" t="n">
        <v>35.998992</v>
      </c>
      <c r="K29" t="n">
        <v>-15.400548</v>
      </c>
      <c r="L29" t="n">
        <v>-11.472225</v>
      </c>
      <c r="M29" t="n">
        <v>20.288628</v>
      </c>
      <c r="N29" t="n">
        <v>-12.719725</v>
      </c>
      <c r="O29" t="n">
        <v>15.682088</v>
      </c>
      <c r="P29" t="n">
        <v>-20.383423</v>
      </c>
      <c r="Q29" t="n">
        <v>14.991126</v>
      </c>
      <c r="R29" t="n">
        <v>-14.243117</v>
      </c>
      <c r="S29" t="n">
        <v>8.866818</v>
      </c>
      <c r="T29" t="n">
        <v>25.224344</v>
      </c>
      <c r="U29" t="n">
        <v>-8.828832999999999</v>
      </c>
      <c r="V29" t="n">
        <v>8.368788</v>
      </c>
      <c r="W29" t="n">
        <v>-6.487068</v>
      </c>
      <c r="X29" t="n">
        <v>2.368148</v>
      </c>
      <c r="Y29" t="n">
        <v>-2.556173</v>
      </c>
      <c r="Z29" t="n">
        <v>-3.61621</v>
      </c>
      <c r="AA29" t="n">
        <v>8.691253</v>
      </c>
      <c r="AB29" t="n">
        <v>-2.006246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-0.19616</v>
      </c>
      <c r="F30" t="n">
        <v>3.600336</v>
      </c>
      <c r="G30" t="n">
        <v>-2.852287</v>
      </c>
      <c r="H30" t="n">
        <v>3.088177</v>
      </c>
      <c r="I30" t="n">
        <v>-1.389753</v>
      </c>
      <c r="J30" t="n">
        <v>-7.089631</v>
      </c>
      <c r="K30" t="n">
        <v>4.496601</v>
      </c>
      <c r="L30" t="n">
        <v>1.014682</v>
      </c>
      <c r="M30" t="n">
        <v>5.482633</v>
      </c>
      <c r="N30" t="n">
        <v>6.367986</v>
      </c>
      <c r="O30" t="n">
        <v>6.362655</v>
      </c>
      <c r="P30" t="n">
        <v>-0.07920199999999999</v>
      </c>
      <c r="Q30" t="n">
        <v>-12.083077</v>
      </c>
      <c r="R30" t="n">
        <v>-6.464877</v>
      </c>
      <c r="S30" t="n">
        <v>9.227632</v>
      </c>
      <c r="T30" t="n">
        <v>-5.687671</v>
      </c>
      <c r="U30" t="n">
        <v>-4.722477</v>
      </c>
      <c r="V30" t="n">
        <v>1.913593</v>
      </c>
      <c r="W30" t="n">
        <v>0.631101</v>
      </c>
      <c r="X30" t="n">
        <v>7.249863</v>
      </c>
      <c r="Y30" t="n">
        <v>-0.560676</v>
      </c>
      <c r="Z30" t="n">
        <v>-1.899026</v>
      </c>
      <c r="AA30" t="n">
        <v>-4.642651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11.747143</v>
      </c>
      <c r="U31" t="n">
        <v>-16.390661</v>
      </c>
      <c r="V31" t="n">
        <v>14.571036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5.284159</v>
      </c>
      <c r="F32" t="n">
        <v>2.134244</v>
      </c>
      <c r="G32" t="n">
        <v>3.425775</v>
      </c>
      <c r="H32" t="n">
        <v>2.153712</v>
      </c>
      <c r="I32" t="n">
        <v>-0.143956</v>
      </c>
      <c r="J32" t="n">
        <v>-1.603043</v>
      </c>
      <c r="K32" t="n">
        <v>2.150813</v>
      </c>
      <c r="L32" t="n">
        <v>1.907184</v>
      </c>
      <c r="M32" t="n">
        <v>6.426455</v>
      </c>
      <c r="N32" t="n">
        <v>1.185615</v>
      </c>
      <c r="O32" t="n">
        <v>2.25652</v>
      </c>
      <c r="P32" t="n">
        <v>6.396995</v>
      </c>
      <c r="Q32" t="n">
        <v>7.358479</v>
      </c>
      <c r="R32" t="n">
        <v>1.664939</v>
      </c>
      <c r="S32" t="n">
        <v>4.360304</v>
      </c>
      <c r="T32" t="n">
        <v>1.550842</v>
      </c>
      <c r="U32" t="n">
        <v>-1.194654</v>
      </c>
      <c r="V32" t="n">
        <v>-0.345507</v>
      </c>
      <c r="W32" t="n">
        <v>1.559999</v>
      </c>
      <c r="X32" t="n">
        <v>2.947642</v>
      </c>
      <c r="Y32" t="n">
        <v>2.696865</v>
      </c>
      <c r="Z32" t="n">
        <v>2.873028</v>
      </c>
      <c r="AA32" t="n">
        <v>0.936666</v>
      </c>
      <c r="AB32" t="n">
        <v>-1.660837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-6.134971</v>
      </c>
      <c r="U33" t="n">
        <v>-0.468191</v>
      </c>
      <c r="V33" t="n">
        <v>3.700894</v>
      </c>
      <c r="W33" t="n">
        <v>2.145242</v>
      </c>
      <c r="X33" t="n">
        <v>5.465651</v>
      </c>
      <c r="Y33" t="n">
        <v>-1.528241</v>
      </c>
      <c r="Z33" t="n">
        <v>5.095928</v>
      </c>
      <c r="AA33" t="n">
        <v>1.349101</v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-0.8847930000000001</v>
      </c>
      <c r="E34" t="n">
        <v>-10.706709</v>
      </c>
      <c r="F34" t="n">
        <v>8.317645000000001</v>
      </c>
      <c r="G34" t="n">
        <v>8.986039</v>
      </c>
      <c r="H34" t="n">
        <v>3.595843</v>
      </c>
      <c r="I34" t="n">
        <v>8.568279</v>
      </c>
      <c r="J34" t="n">
        <v>8.202239000000001</v>
      </c>
      <c r="K34" t="n">
        <v>1.379319</v>
      </c>
      <c r="L34" t="n">
        <v>13.411319</v>
      </c>
      <c r="M34" t="n">
        <v>8.186828</v>
      </c>
      <c r="N34" t="n">
        <v>12.915319</v>
      </c>
      <c r="O34" t="n">
        <v>7.75543</v>
      </c>
      <c r="P34" t="n">
        <v>6.471872</v>
      </c>
      <c r="Q34" t="n">
        <v>-2.236129</v>
      </c>
      <c r="R34" t="n">
        <v>-2.166333</v>
      </c>
      <c r="S34" t="n">
        <v>-1.854578</v>
      </c>
      <c r="T34" t="n">
        <v>-1.059312</v>
      </c>
      <c r="U34" t="n">
        <v>3.79637</v>
      </c>
      <c r="V34" t="n">
        <v>6.22472</v>
      </c>
      <c r="W34" t="n">
        <v>4.405335</v>
      </c>
      <c r="X34" t="n">
        <v>8.373384</v>
      </c>
      <c r="Y34" t="n">
        <v>8.048613</v>
      </c>
      <c r="Z34" t="n">
        <v>2.548112</v>
      </c>
      <c r="AA34" t="n">
        <v>1.177948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6.922558</v>
      </c>
      <c r="F35" t="n">
        <v>29.33097</v>
      </c>
      <c r="G35" t="n">
        <v>-10.92667</v>
      </c>
      <c r="H35" t="n">
        <v>12.683093</v>
      </c>
      <c r="I35" t="n">
        <v>17.754712</v>
      </c>
      <c r="J35" t="n">
        <v>-0.404811</v>
      </c>
      <c r="K35" t="n">
        <v>-4.579899</v>
      </c>
      <c r="L35" t="n">
        <v>7.866381</v>
      </c>
      <c r="M35" t="n">
        <v>2.56799</v>
      </c>
      <c r="N35" t="n">
        <v>0.06285499999999999</v>
      </c>
      <c r="O35" t="n">
        <v>-11.320692</v>
      </c>
      <c r="P35" t="n">
        <v>20.055406</v>
      </c>
      <c r="Q35" t="n">
        <v>6.52728</v>
      </c>
      <c r="R35" t="n">
        <v>-14.05087</v>
      </c>
      <c r="S35" t="n">
        <v>2.513591</v>
      </c>
      <c r="T35" t="n">
        <v>3.073129</v>
      </c>
      <c r="U35" t="n">
        <v>-14.944205</v>
      </c>
      <c r="V35" t="n">
        <v>17.198044</v>
      </c>
      <c r="W35" t="n">
        <v>10.986258</v>
      </c>
      <c r="X35" t="n">
        <v>9.490614000000001</v>
      </c>
      <c r="Y35" t="n">
        <v>12.292672</v>
      </c>
      <c r="Z35" t="n">
        <v>-4.498239</v>
      </c>
      <c r="AA35" t="n">
        <v>8.776624999999999</v>
      </c>
      <c r="AB35" t="n">
        <v>12.720295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2.069412</v>
      </c>
      <c r="F36" t="n">
        <v>12.993197</v>
      </c>
      <c r="G36" t="n">
        <v>17.014183</v>
      </c>
      <c r="H36" t="n">
        <v>12.292889</v>
      </c>
      <c r="I36" t="n">
        <v>0.619523</v>
      </c>
      <c r="J36" t="n">
        <v>20.743177</v>
      </c>
      <c r="K36" t="n">
        <v>9.426287</v>
      </c>
      <c r="L36" t="n">
        <v>10.610999</v>
      </c>
      <c r="M36" t="n">
        <v>10.9425</v>
      </c>
      <c r="N36" t="n">
        <v>0.876346</v>
      </c>
      <c r="O36" t="n">
        <v>8.950426</v>
      </c>
      <c r="P36" t="n">
        <v>7.461149</v>
      </c>
      <c r="Q36" t="n">
        <v>5.090231</v>
      </c>
      <c r="R36" t="n">
        <v>-2.926471</v>
      </c>
      <c r="S36" t="n">
        <v>-3.053899</v>
      </c>
      <c r="T36" t="n">
        <v>-0.794392</v>
      </c>
      <c r="U36" t="n">
        <v>-6.405093</v>
      </c>
      <c r="V36" t="n">
        <v>-2.941581</v>
      </c>
      <c r="W36" t="n">
        <v>-6.399155</v>
      </c>
      <c r="X36" t="n">
        <v>-2.391401</v>
      </c>
      <c r="Y36" t="n">
        <v>-1.705587</v>
      </c>
      <c r="Z36" t="n">
        <v>1.468969</v>
      </c>
      <c r="AA36" t="n">
        <v>0.197005</v>
      </c>
      <c r="AB36" t="n">
        <v>4.292485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-43.268296</v>
      </c>
      <c r="F37" t="n">
        <v>-8.713706999999999</v>
      </c>
      <c r="G37" t="n">
        <v>-24.16601</v>
      </c>
      <c r="H37" t="n">
        <v>-1.150485</v>
      </c>
      <c r="I37" t="n">
        <v>-26.340083</v>
      </c>
      <c r="J37" t="n">
        <v>-11.968089</v>
      </c>
      <c r="K37" t="n">
        <v>65.94287300000001</v>
      </c>
      <c r="L37" t="n">
        <v>-10.426551</v>
      </c>
      <c r="M37" t="n">
        <v>-3.454065</v>
      </c>
      <c r="N37" t="n">
        <v>6.783558</v>
      </c>
      <c r="O37" t="n">
        <v>-5.773282</v>
      </c>
      <c r="P37" t="n">
        <v>-7.580194</v>
      </c>
      <c r="Q37" t="n">
        <v>-10.712445</v>
      </c>
      <c r="R37" t="n">
        <v>5.601749</v>
      </c>
      <c r="S37" t="n">
        <v>11.893523</v>
      </c>
      <c r="T37" t="n">
        <v>5.246194</v>
      </c>
      <c r="U37" t="n">
        <v>-3.4709</v>
      </c>
      <c r="V37" t="n">
        <v>4.132047</v>
      </c>
      <c r="W37" t="n">
        <v>8.349821</v>
      </c>
      <c r="X37" t="n">
        <v>-2.421069</v>
      </c>
      <c r="Y37" t="n">
        <v>-1.399053</v>
      </c>
      <c r="Z37" t="n">
        <v>-2.190817</v>
      </c>
      <c r="AA37" t="n">
        <v>7.590638</v>
      </c>
      <c r="AB37" t="n">
        <v>2.569621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6.108337</v>
      </c>
      <c r="F38" t="n">
        <v>-2.613534</v>
      </c>
      <c r="G38" t="n">
        <v>6.762562</v>
      </c>
      <c r="H38" t="n">
        <v>11.548904</v>
      </c>
      <c r="I38" t="n">
        <v>0.054673</v>
      </c>
      <c r="J38" t="n">
        <v>-1.033359</v>
      </c>
      <c r="K38" t="n">
        <v>5.384783</v>
      </c>
      <c r="L38" t="n">
        <v>10.657175</v>
      </c>
      <c r="M38" t="n">
        <v>5.543038</v>
      </c>
      <c r="N38" t="n">
        <v>7.555979</v>
      </c>
      <c r="O38" t="n">
        <v>4.89398</v>
      </c>
      <c r="P38" t="n">
        <v>11.856898</v>
      </c>
      <c r="Q38" t="n">
        <v>-0.552849</v>
      </c>
      <c r="R38" t="n">
        <v>-0.99008</v>
      </c>
      <c r="S38" t="n">
        <v>0.62119</v>
      </c>
      <c r="T38" t="n">
        <v>-1.329922</v>
      </c>
      <c r="U38" t="n">
        <v>-2.19828</v>
      </c>
      <c r="V38" t="n">
        <v>0.12292</v>
      </c>
      <c r="W38" t="n">
        <v>0.874536</v>
      </c>
      <c r="X38" t="n">
        <v>-0.616483</v>
      </c>
      <c r="Y38" t="n">
        <v>5.317533</v>
      </c>
      <c r="Z38" t="n">
        <v>1.020419</v>
      </c>
      <c r="AA38" t="n">
        <v>0.347027</v>
      </c>
      <c r="AB38" t="n">
        <v>3.605889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5.062699</v>
      </c>
      <c r="F39" t="n">
        <v>4.913199</v>
      </c>
      <c r="G39" t="n">
        <v>7.635152</v>
      </c>
      <c r="H39" t="n">
        <v>5.520589</v>
      </c>
      <c r="I39" t="n">
        <v>7.828155</v>
      </c>
      <c r="J39" t="n">
        <v>9.54425</v>
      </c>
      <c r="K39" t="n">
        <v>4.61924</v>
      </c>
      <c r="L39" t="n">
        <v>3.200831</v>
      </c>
      <c r="M39" t="n">
        <v>8.992696</v>
      </c>
      <c r="N39" t="n">
        <v>9.028518999999999</v>
      </c>
      <c r="O39" t="n">
        <v>8.828222999999999</v>
      </c>
      <c r="P39" t="n">
        <v>4.505074</v>
      </c>
      <c r="Q39" t="n">
        <v>3.037183</v>
      </c>
      <c r="R39" t="n">
        <v>-4.757996</v>
      </c>
      <c r="S39" t="n">
        <v>-2.709818</v>
      </c>
      <c r="T39" t="n">
        <v>-1.099342</v>
      </c>
      <c r="U39" t="n">
        <v>-4.791871</v>
      </c>
      <c r="V39" t="n">
        <v>-5.290701</v>
      </c>
      <c r="W39" t="n">
        <v>-2.081861</v>
      </c>
      <c r="X39" t="n">
        <v>-6.183293</v>
      </c>
      <c r="Y39" t="n">
        <v>-0.318356</v>
      </c>
      <c r="Z39" t="n">
        <v>1.0678</v>
      </c>
      <c r="AA39" t="n">
        <v>6.569724</v>
      </c>
      <c r="AB39" t="n">
        <v>6.736482</v>
      </c>
    </row>
    <row r="40">
      <c r="A40" t="inlineStr">
        <is>
          <t>Sweden</t>
        </is>
      </c>
      <c r="C40" t="inlineStr"/>
      <c r="D40" t="n">
        <v>-6.762912</v>
      </c>
      <c r="E40" t="n">
        <v>2.783924</v>
      </c>
      <c r="F40" t="n">
        <v>5.796018</v>
      </c>
      <c r="G40" t="n">
        <v>0.021453</v>
      </c>
      <c r="H40" t="n">
        <v>3.506233</v>
      </c>
      <c r="I40" t="n">
        <v>6.080317</v>
      </c>
      <c r="J40" t="n">
        <v>-2.577439</v>
      </c>
      <c r="K40" t="n">
        <v>1.85932</v>
      </c>
      <c r="L40" t="n">
        <v>8.399418000000001</v>
      </c>
      <c r="M40" t="n">
        <v>0.390892</v>
      </c>
      <c r="N40" t="n">
        <v>8.811059</v>
      </c>
      <c r="O40" t="n">
        <v>0.925306</v>
      </c>
      <c r="P40" t="n">
        <v>2.892214</v>
      </c>
      <c r="Q40" t="n">
        <v>-5.220563</v>
      </c>
      <c r="R40" t="n">
        <v>5.067352</v>
      </c>
      <c r="S40" t="n">
        <v>1.379034</v>
      </c>
      <c r="T40" t="n">
        <v>5.754024</v>
      </c>
      <c r="U40" t="n">
        <v>-1.695409</v>
      </c>
      <c r="V40" t="n">
        <v>4.204737</v>
      </c>
      <c r="W40" t="n">
        <v>2.33734</v>
      </c>
      <c r="X40" t="n">
        <v>9.896038000000001</v>
      </c>
      <c r="Y40" t="n">
        <v>6.681344</v>
      </c>
      <c r="Z40" t="n">
        <v>4.266234</v>
      </c>
      <c r="AA40" t="n">
        <v>2.374626</v>
      </c>
      <c r="AB40" t="n">
        <v>0.929744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8.260498</v>
      </c>
      <c r="F41" t="n">
        <v>10.972116</v>
      </c>
      <c r="G41" t="n">
        <v>5.790455</v>
      </c>
      <c r="H41" t="n">
        <v>5.339019</v>
      </c>
      <c r="I41" t="n">
        <v>10.645221</v>
      </c>
      <c r="J41" t="n">
        <v>-13.356882</v>
      </c>
      <c r="K41" t="n">
        <v>-6.25521</v>
      </c>
      <c r="L41" t="n">
        <v>7.104809</v>
      </c>
      <c r="M41" t="n">
        <v>6.803114</v>
      </c>
      <c r="N41" t="n">
        <v>9.142037999999999</v>
      </c>
      <c r="O41" t="n">
        <v>4.87999</v>
      </c>
      <c r="P41" t="n">
        <v>3.499315</v>
      </c>
      <c r="Q41" t="n">
        <v>-7.793202</v>
      </c>
      <c r="R41" t="n">
        <v>-7.952441</v>
      </c>
      <c r="S41" t="n">
        <v>0.625939</v>
      </c>
      <c r="T41" t="n">
        <v>-2.033448</v>
      </c>
      <c r="U41" t="n">
        <v>2.298692</v>
      </c>
      <c r="V41" t="n">
        <v>8.853540000000001</v>
      </c>
      <c r="W41" t="n">
        <v>0.567032</v>
      </c>
      <c r="X41" t="n">
        <v>-0.73732</v>
      </c>
      <c r="Y41" t="n">
        <v>-1.266349</v>
      </c>
      <c r="Z41" t="n">
        <v>3.991428</v>
      </c>
      <c r="AA41" t="n">
        <v>2.623547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2.394136</v>
      </c>
      <c r="E42" t="n">
        <v>5.978495</v>
      </c>
      <c r="F42" t="n">
        <v>6.547742</v>
      </c>
      <c r="G42" t="n">
        <v>22.257635</v>
      </c>
      <c r="H42" t="n">
        <v>-1.902785</v>
      </c>
      <c r="I42" t="n">
        <v>2.997673</v>
      </c>
      <c r="J42" t="n">
        <v>3.029418</v>
      </c>
      <c r="K42" t="n">
        <v>1.851015</v>
      </c>
      <c r="L42" t="n">
        <v>9.482457999999999</v>
      </c>
      <c r="M42" t="n">
        <v>8.221016000000001</v>
      </c>
      <c r="N42" t="n">
        <v>11.416554</v>
      </c>
      <c r="O42" t="n">
        <v>6.194963</v>
      </c>
      <c r="P42" t="n">
        <v>4.719289</v>
      </c>
      <c r="Q42" t="n">
        <v>-0.3425</v>
      </c>
      <c r="R42" t="n">
        <v>4.877262</v>
      </c>
      <c r="S42" t="n">
        <v>-3.890967</v>
      </c>
      <c r="T42" t="n">
        <v>-2.28049</v>
      </c>
      <c r="U42" t="n">
        <v>2.026496</v>
      </c>
      <c r="V42" t="n">
        <v>1.340314</v>
      </c>
      <c r="W42" t="n">
        <v>-0.653854</v>
      </c>
      <c r="X42" t="n">
        <v>-2.612817</v>
      </c>
      <c r="Y42" t="n">
        <v>3.582164</v>
      </c>
      <c r="Z42" t="n">
        <v>0.490923</v>
      </c>
      <c r="AA42" t="n">
        <v>-2.770578</v>
      </c>
      <c r="AB42" t="n">
        <v>-0.6869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7.361444</v>
      </c>
      <c r="K43" t="n">
        <v>-1.959933</v>
      </c>
      <c r="L43" t="n">
        <v>-0.817856</v>
      </c>
      <c r="M43" t="n">
        <v>-1.741923</v>
      </c>
      <c r="N43" t="n">
        <v>7.905256</v>
      </c>
      <c r="O43" t="n">
        <v>0.97445</v>
      </c>
      <c r="P43" t="n">
        <v>-3.37679</v>
      </c>
      <c r="Q43" t="n">
        <v>-14.711903</v>
      </c>
      <c r="R43" t="n">
        <v>27.376011</v>
      </c>
      <c r="S43" t="n">
        <v>2.091244</v>
      </c>
      <c r="T43" t="n">
        <v>-0.463672</v>
      </c>
      <c r="U43" t="n">
        <v>5.547359</v>
      </c>
      <c r="V43" t="n">
        <v>-8.801012</v>
      </c>
      <c r="W43" t="n">
        <v>5.448168</v>
      </c>
      <c r="X43" t="n">
        <v>0.912239</v>
      </c>
      <c r="Y43" t="n">
        <v>-2.244573</v>
      </c>
      <c r="Z43" t="n">
        <v>-2.367376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3.644124</v>
      </c>
      <c r="F44" t="n">
        <v>2.174311</v>
      </c>
      <c r="G44" t="n">
        <v>2.489219</v>
      </c>
      <c r="H44" t="n">
        <v>4.464144</v>
      </c>
      <c r="I44" t="n">
        <v>0.677638</v>
      </c>
      <c r="J44" t="n">
        <v>1.446176</v>
      </c>
      <c r="K44" t="n">
        <v>-1.142082</v>
      </c>
      <c r="L44" t="n">
        <v>-3.808934</v>
      </c>
      <c r="M44" t="n">
        <v>2.380599</v>
      </c>
      <c r="N44" t="n">
        <v>1.68035</v>
      </c>
      <c r="O44" t="n">
        <v>2.051877</v>
      </c>
      <c r="P44" t="n">
        <v>3.92128</v>
      </c>
      <c r="Q44" t="n">
        <v>0.5387189999999999</v>
      </c>
      <c r="R44" t="n">
        <v>-0.684658</v>
      </c>
      <c r="S44" t="n">
        <v>3.187561</v>
      </c>
      <c r="T44" t="n">
        <v>1.894197</v>
      </c>
      <c r="U44" t="n">
        <v>-0.885775</v>
      </c>
      <c r="V44" t="n">
        <v>0.749335</v>
      </c>
      <c r="W44" t="n">
        <v>-0.952809</v>
      </c>
      <c r="X44" t="n">
        <v>0.018098</v>
      </c>
      <c r="Y44" t="n">
        <v>-0.508939</v>
      </c>
      <c r="Z44" t="n">
        <v>2.658589</v>
      </c>
      <c r="AA44" t="n">
        <v>2.289255</v>
      </c>
      <c r="AB44" t="n">
        <v>2.364664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3.298794</v>
      </c>
      <c r="F45" t="n">
        <v>2.879822</v>
      </c>
      <c r="G45" t="n">
        <v>6.513171</v>
      </c>
      <c r="H45" t="n">
        <v>2.916181</v>
      </c>
      <c r="I45" t="n">
        <v>1.481204</v>
      </c>
      <c r="J45" t="n">
        <v>1.69198</v>
      </c>
      <c r="K45" t="n">
        <v>-0.340984</v>
      </c>
      <c r="L45" t="n">
        <v>-0.372548</v>
      </c>
      <c r="M45" t="n">
        <v>3.476214</v>
      </c>
      <c r="N45" t="n">
        <v>3.752656</v>
      </c>
      <c r="O45" t="n">
        <v>2.262097</v>
      </c>
      <c r="P45" t="n">
        <v>4.001259</v>
      </c>
      <c r="Q45" t="n">
        <v>0.499102</v>
      </c>
      <c r="R45" t="n">
        <v>-0.413241</v>
      </c>
      <c r="S45" t="n">
        <v>1.485185</v>
      </c>
      <c r="T45" t="n">
        <v>0.601411</v>
      </c>
      <c r="U45" t="n">
        <v>-0.799466</v>
      </c>
      <c r="V45" t="n">
        <v>1.707801</v>
      </c>
      <c r="W45" t="n">
        <v>-0.460274</v>
      </c>
      <c r="X45" t="n">
        <v>-0.287358</v>
      </c>
      <c r="Y45" t="n">
        <v>1.155738</v>
      </c>
      <c r="Z45" t="n">
        <v>1.360572</v>
      </c>
      <c r="AA45" t="n">
        <v>1.317548</v>
      </c>
      <c r="AB45" t="n">
        <v>1.855903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-0.7102619999999999</v>
      </c>
      <c r="K46" t="n">
        <v>0.37222</v>
      </c>
      <c r="L46" t="n">
        <v>-6.718291</v>
      </c>
      <c r="M46" t="n">
        <v>5.270266</v>
      </c>
      <c r="N46" t="n">
        <v>4.325467</v>
      </c>
      <c r="O46" t="n">
        <v>6.842542</v>
      </c>
      <c r="P46" t="n">
        <v>10.509415</v>
      </c>
      <c r="Q46" t="n">
        <v>15.903617</v>
      </c>
      <c r="R46" t="n">
        <v>7.273747</v>
      </c>
      <c r="S46" t="n">
        <v>3.036794</v>
      </c>
      <c r="T46" t="n">
        <v>3.054034</v>
      </c>
      <c r="U46" t="n">
        <v>-0.070566</v>
      </c>
      <c r="V46" t="n">
        <v>2.531428</v>
      </c>
      <c r="W46" t="n">
        <v>-8.343363</v>
      </c>
      <c r="X46" t="n">
        <v>0.417777</v>
      </c>
      <c r="Y46" t="n">
        <v>-4.180599</v>
      </c>
      <c r="Z46" t="n">
        <v>-0.034161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2.670846</v>
      </c>
      <c r="E47" t="n">
        <v>9.052777000000001</v>
      </c>
      <c r="F47" t="n">
        <v>-8.830780000000001</v>
      </c>
      <c r="G47" t="n">
        <v>-8.031117999999999</v>
      </c>
      <c r="H47" t="n">
        <v>55.152036</v>
      </c>
      <c r="I47" t="n">
        <v>-1.229604</v>
      </c>
      <c r="J47" t="n">
        <v>7.72869</v>
      </c>
      <c r="K47" t="n">
        <v>-3.675682</v>
      </c>
      <c r="L47" t="n">
        <v>-0.39523</v>
      </c>
      <c r="M47" t="n">
        <v>-2.00971</v>
      </c>
      <c r="N47" t="n">
        <v>11.572402</v>
      </c>
      <c r="O47" t="n">
        <v>10.085861</v>
      </c>
      <c r="P47" t="n">
        <v>-8.024521999999999</v>
      </c>
      <c r="Q47" t="n">
        <v>10.315498</v>
      </c>
      <c r="R47" t="n">
        <v>13.441267</v>
      </c>
      <c r="S47" t="n">
        <v>7.375571</v>
      </c>
      <c r="T47" t="n">
        <v>4.599488</v>
      </c>
      <c r="U47" t="n">
        <v>10.636243</v>
      </c>
      <c r="V47" t="n">
        <v>4.152656</v>
      </c>
      <c r="W47" t="n">
        <v>2.858096</v>
      </c>
      <c r="X47" t="n">
        <v>27.487499</v>
      </c>
      <c r="Y47" t="n">
        <v>7.229335</v>
      </c>
      <c r="Z47" t="n">
        <v>25.173107</v>
      </c>
      <c r="AA47" t="n">
        <v>-14.700138</v>
      </c>
      <c r="AB47" t="inlineStr">
        <is>
          <t>..</t>
        </is>
      </c>
    </row>
    <row r="48">
      <c r="A48" t="inlineStr">
        <is>
          <t>Data extracted on 04 Jun 2020 21:42 UTC (GMT) from OECD.Stat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e">
        <v>#NAME?</v>
      </c>
      <c r="B1" t="inlineStr">
        <is>
      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 IsDisplayed="true"&gt;&lt;Name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      </is>
      </c>
    </row>
    <row r="2">
      <c r="A2" t="inlineStr">
        <is>
          <t>Dataset: Productivity and ULC by main economic activity (ISIC Rev.4)</t>
        </is>
      </c>
    </row>
    <row r="3">
      <c r="A3" t="inlineStr">
        <is>
          <t>Subject</t>
        </is>
      </c>
      <c r="D3" t="inlineStr">
        <is>
          <t>Gross value added per person employed, constant prices</t>
        </is>
      </c>
    </row>
    <row r="4">
      <c r="A4" t="inlineStr">
        <is>
          <t>Activity</t>
        </is>
      </c>
      <c r="D4" t="inlineStr">
        <is>
          <t>MN: Professional, scientific and technical activities, Administrative and support service activities</t>
        </is>
      </c>
    </row>
    <row r="5">
      <c r="A5" t="inlineStr">
        <is>
          <t>Time</t>
        </is>
      </c>
      <c r="D5" t="inlineStr">
        <is>
          <t>1995</t>
        </is>
      </c>
      <c r="E5" t="inlineStr">
        <is>
          <t>1996</t>
        </is>
      </c>
      <c r="F5" t="inlineStr">
        <is>
          <t>1997</t>
        </is>
      </c>
      <c r="G5" t="inlineStr">
        <is>
          <t>1998</t>
        </is>
      </c>
      <c r="H5" t="inlineStr">
        <is>
          <t>1999</t>
        </is>
      </c>
      <c r="I5" t="inlineStr">
        <is>
          <t>2000</t>
        </is>
      </c>
      <c r="J5" t="inlineStr">
        <is>
          <t>2001</t>
        </is>
      </c>
      <c r="K5" t="inlineStr">
        <is>
          <t>2002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2006</t>
        </is>
      </c>
      <c r="P5" t="inlineStr">
        <is>
          <t>2007</t>
        </is>
      </c>
      <c r="Q5" t="inlineStr">
        <is>
          <t>2008</t>
        </is>
      </c>
      <c r="R5" t="inlineStr">
        <is>
          <t>2009</t>
        </is>
      </c>
      <c r="S5" t="inlineStr">
        <is>
          <t>2010</t>
        </is>
      </c>
      <c r="T5" t="inlineStr">
        <is>
          <t>2011</t>
        </is>
      </c>
      <c r="U5" t="inlineStr">
        <is>
          <t>2012</t>
        </is>
      </c>
      <c r="V5" t="inlineStr">
        <is>
          <t>2013</t>
        </is>
      </c>
      <c r="W5" t="inlineStr">
        <is>
          <t>2014</t>
        </is>
      </c>
      <c r="X5" t="inlineStr">
        <is>
          <t>2015</t>
        </is>
      </c>
      <c r="Y5" t="inlineStr">
        <is>
          <t>2016</t>
        </is>
      </c>
      <c r="Z5" t="inlineStr">
        <is>
          <t>2017</t>
        </is>
      </c>
      <c r="AA5" t="inlineStr">
        <is>
          <t>2018</t>
        </is>
      </c>
      <c r="AB5" t="inlineStr">
        <is>
          <t>2019</t>
        </is>
      </c>
    </row>
    <row r="6">
      <c r="A6" t="inlineStr">
        <is>
          <t>Measure</t>
        </is>
      </c>
      <c r="D6" t="inlineStr">
        <is>
          <t>Annual growth/change</t>
        </is>
      </c>
    </row>
    <row r="7">
      <c r="A7" t="inlineStr">
        <is>
          <t>Unit</t>
        </is>
      </c>
      <c r="D7" t="inlineStr">
        <is>
          <t>Percentage</t>
        </is>
      </c>
    </row>
    <row r="8">
      <c r="A8" t="inlineStr">
        <is>
          <t>Country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Australia</t>
        </is>
      </c>
      <c r="C9" t="inlineStr"/>
      <c r="D9" t="n">
        <v>-0.71959</v>
      </c>
      <c r="E9" t="n">
        <v>-0.606989</v>
      </c>
      <c r="F9" t="n">
        <v>2.413869</v>
      </c>
      <c r="G9" t="n">
        <v>5.6168</v>
      </c>
      <c r="H9" t="n">
        <v>3.86362</v>
      </c>
      <c r="I9" t="n">
        <v>6.804325</v>
      </c>
      <c r="J9" t="n">
        <v>6.625774</v>
      </c>
      <c r="K9" t="n">
        <v>-3.442022</v>
      </c>
      <c r="L9" t="n">
        <v>2.977311</v>
      </c>
      <c r="M9" t="n">
        <v>-5.923022</v>
      </c>
      <c r="N9" t="n">
        <v>1.487433</v>
      </c>
      <c r="O9" t="n">
        <v>1.420254</v>
      </c>
      <c r="P9" t="n">
        <v>2.709636</v>
      </c>
      <c r="Q9" t="n">
        <v>5.484377</v>
      </c>
      <c r="R9" t="n">
        <v>-5.649704</v>
      </c>
      <c r="S9" t="n">
        <v>5.856439</v>
      </c>
      <c r="T9" t="n">
        <v>-2.579262</v>
      </c>
      <c r="U9" t="n">
        <v>4.395134</v>
      </c>
      <c r="V9" t="n">
        <v>-1.458114</v>
      </c>
      <c r="W9" t="n">
        <v>-3.646605</v>
      </c>
      <c r="X9" t="n">
        <v>6.990954</v>
      </c>
      <c r="Y9" t="n">
        <v>7.460233</v>
      </c>
      <c r="Z9" t="n">
        <v>0.151061</v>
      </c>
      <c r="AA9" t="inlineStr">
        <is>
          <t>..</t>
        </is>
      </c>
      <c r="AB9" t="inlineStr">
        <is>
          <t>..</t>
        </is>
      </c>
    </row>
    <row r="10">
      <c r="A10" t="inlineStr">
        <is>
          <t>Austria</t>
        </is>
      </c>
      <c r="C10" t="inlineStr"/>
      <c r="D10" t="n">
        <v>9.816091999999999</v>
      </c>
      <c r="E10" t="n">
        <v>-0.069244</v>
      </c>
      <c r="F10" t="n">
        <v>-0.6994590000000001</v>
      </c>
      <c r="G10" t="n">
        <v>-0.522017</v>
      </c>
      <c r="H10" t="n">
        <v>-1.150486</v>
      </c>
      <c r="I10" t="n">
        <v>-1.095247</v>
      </c>
      <c r="J10" t="n">
        <v>-1.513775</v>
      </c>
      <c r="K10" t="n">
        <v>1.926574</v>
      </c>
      <c r="L10" t="n">
        <v>0.325008</v>
      </c>
      <c r="M10" t="n">
        <v>-1.336936</v>
      </c>
      <c r="N10" t="n">
        <v>2.368416</v>
      </c>
      <c r="O10" t="n">
        <v>-0.541537</v>
      </c>
      <c r="P10" t="n">
        <v>0.453911</v>
      </c>
      <c r="Q10" t="n">
        <v>-0.310075</v>
      </c>
      <c r="R10" t="n">
        <v>-3.624963</v>
      </c>
      <c r="S10" t="n">
        <v>-0.06779</v>
      </c>
      <c r="T10" t="n">
        <v>1.01687</v>
      </c>
      <c r="U10" t="n">
        <v>-1.065827</v>
      </c>
      <c r="V10" t="n">
        <v>0.128476</v>
      </c>
      <c r="W10" t="n">
        <v>0.619797</v>
      </c>
      <c r="X10" t="n">
        <v>1.668114</v>
      </c>
      <c r="Y10" t="n">
        <v>0.455156</v>
      </c>
      <c r="Z10" t="n">
        <v>-0.08749899999999999</v>
      </c>
      <c r="AA10" t="n">
        <v>-0.167487</v>
      </c>
      <c r="AB10" t="n">
        <v>0.251441</v>
      </c>
    </row>
    <row r="11">
      <c r="A11" t="inlineStr">
        <is>
          <t>Belgium</t>
        </is>
      </c>
      <c r="C11" t="inlineStr"/>
      <c r="D11" t="inlineStr">
        <is>
          <t>..</t>
        </is>
      </c>
      <c r="E11" t="n">
        <v>0.006218</v>
      </c>
      <c r="F11" t="n">
        <v>0.738636</v>
      </c>
      <c r="G11" t="n">
        <v>-1.252651</v>
      </c>
      <c r="H11" t="n">
        <v>-0.1626</v>
      </c>
      <c r="I11" t="n">
        <v>-0.610891</v>
      </c>
      <c r="J11" t="n">
        <v>1.83258</v>
      </c>
      <c r="K11" t="n">
        <v>-2.848854</v>
      </c>
      <c r="L11" t="n">
        <v>0.789519</v>
      </c>
      <c r="M11" t="n">
        <v>-0.221962</v>
      </c>
      <c r="N11" t="n">
        <v>4.954114</v>
      </c>
      <c r="O11" t="n">
        <v>0.6269130000000001</v>
      </c>
      <c r="P11" t="n">
        <v>1.370389</v>
      </c>
      <c r="Q11" t="n">
        <v>-2.559927</v>
      </c>
      <c r="R11" t="n">
        <v>-1.398924</v>
      </c>
      <c r="S11" t="n">
        <v>-0.601916</v>
      </c>
      <c r="T11" t="n">
        <v>-0.472465</v>
      </c>
      <c r="U11" t="n">
        <v>-3.361734</v>
      </c>
      <c r="V11" t="n">
        <v>2.3037</v>
      </c>
      <c r="W11" t="n">
        <v>2.470418</v>
      </c>
      <c r="X11" t="n">
        <v>1.082174</v>
      </c>
      <c r="Y11" t="n">
        <v>0.418751</v>
      </c>
      <c r="Z11" t="n">
        <v>2.346103</v>
      </c>
      <c r="AA11" t="n">
        <v>1.010538</v>
      </c>
      <c r="AB11" t="n">
        <v>-1.709587</v>
      </c>
    </row>
    <row r="12">
      <c r="A12" t="inlineStr">
        <is>
          <t>Canada</t>
        </is>
      </c>
      <c r="C12" t="inlineStr"/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 t="inlineStr">
        <is>
          <t>..</t>
        </is>
      </c>
      <c r="I12" t="inlineStr">
        <is>
          <t>..</t>
        </is>
      </c>
      <c r="J12" t="inlineStr">
        <is>
          <t>..</t>
        </is>
      </c>
      <c r="K12" t="inlineStr">
        <is>
          <t>..</t>
        </is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inlineStr">
        <is>
          <t>..</t>
        </is>
      </c>
      <c r="P12" t="inlineStr">
        <is>
          <t>..</t>
        </is>
      </c>
      <c r="Q12" t="n">
        <v>-2.446265</v>
      </c>
      <c r="R12" t="n">
        <v>1.139608</v>
      </c>
      <c r="S12" t="n">
        <v>-0.979025</v>
      </c>
      <c r="T12" t="n">
        <v>2.414742</v>
      </c>
      <c r="U12" t="n">
        <v>2.856985</v>
      </c>
      <c r="V12" t="n">
        <v>-0.849832</v>
      </c>
      <c r="W12" t="n">
        <v>2.347558</v>
      </c>
      <c r="X12" t="n">
        <v>0.084367</v>
      </c>
      <c r="Y12" t="n">
        <v>-1.54896</v>
      </c>
      <c r="Z12" t="n">
        <v>0.103884</v>
      </c>
      <c r="AA12" t="n">
        <v>-4.3e-05</v>
      </c>
      <c r="AB12" t="inlineStr">
        <is>
          <t>..</t>
        </is>
      </c>
    </row>
    <row r="13">
      <c r="A13" t="inlineStr">
        <is>
          <t>Chile</t>
        </is>
      </c>
      <c r="C13" t="inlineStr"/>
      <c r="D13" t="inlineStr">
        <is>
          <t>..</t>
        </is>
      </c>
      <c r="E13" t="inlineStr">
        <is>
          <t>..</t>
        </is>
      </c>
      <c r="F13" t="inlineStr">
        <is>
          <t>..</t>
        </is>
      </c>
      <c r="G13" t="inlineStr">
        <is>
          <t>..</t>
        </is>
      </c>
      <c r="H13" t="inlineStr">
        <is>
          <t>..</t>
        </is>
      </c>
      <c r="I13" t="inlineStr">
        <is>
          <t>..</t>
        </is>
      </c>
      <c r="J13" t="inlineStr">
        <is>
          <t>..</t>
        </is>
      </c>
      <c r="K13" t="inlineStr">
        <is>
          <t>..</t>
        </is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inlineStr">
        <is>
          <t>..</t>
        </is>
      </c>
      <c r="Q13" t="inlineStr">
        <is>
          <t>..</t>
        </is>
      </c>
      <c r="R13" t="inlineStr">
        <is>
          <t>..</t>
        </is>
      </c>
      <c r="S13" t="inlineStr">
        <is>
          <t>..</t>
        </is>
      </c>
      <c r="T13" t="inlineStr">
        <is>
          <t>..</t>
        </is>
      </c>
      <c r="U13" t="inlineStr">
        <is>
          <t>..</t>
        </is>
      </c>
      <c r="V13" t="inlineStr">
        <is>
          <t>..</t>
        </is>
      </c>
      <c r="W13" t="n">
        <v>-7.781484</v>
      </c>
      <c r="X13" t="n">
        <v>3.924116</v>
      </c>
      <c r="Y13" t="n">
        <v>-8.663247</v>
      </c>
      <c r="Z13" t="n">
        <v>-3.582695</v>
      </c>
      <c r="AA13" t="n">
        <v>0.379437</v>
      </c>
      <c r="AB13" t="inlineStr">
        <is>
          <t>..</t>
        </is>
      </c>
    </row>
    <row r="14">
      <c r="A14" t="inlineStr">
        <is>
          <t>Czech Republic</t>
        </is>
      </c>
      <c r="C14" t="inlineStr"/>
      <c r="D14" t="n">
        <v>-12.150205</v>
      </c>
      <c r="E14" t="n">
        <v>-6.073122</v>
      </c>
      <c r="F14" t="n">
        <v>0.120658</v>
      </c>
      <c r="G14" t="n">
        <v>-2.817282</v>
      </c>
      <c r="H14" t="n">
        <v>1.682328</v>
      </c>
      <c r="I14" t="n">
        <v>-2.900354</v>
      </c>
      <c r="J14" t="n">
        <v>4.069753</v>
      </c>
      <c r="K14" t="n">
        <v>10.97763</v>
      </c>
      <c r="L14" t="n">
        <v>-6.513103</v>
      </c>
      <c r="M14" t="n">
        <v>3.700873</v>
      </c>
      <c r="N14" t="n">
        <v>-0.967101</v>
      </c>
      <c r="O14" t="n">
        <v>-3.644706</v>
      </c>
      <c r="P14" t="n">
        <v>4.66817</v>
      </c>
      <c r="Q14" t="n">
        <v>1.114582</v>
      </c>
      <c r="R14" t="n">
        <v>-7.083879</v>
      </c>
      <c r="S14" t="n">
        <v>0.12123</v>
      </c>
      <c r="T14" t="n">
        <v>5.517392</v>
      </c>
      <c r="U14" t="n">
        <v>-1.096538</v>
      </c>
      <c r="V14" t="n">
        <v>1.062484</v>
      </c>
      <c r="W14" t="n">
        <v>-1.019927</v>
      </c>
      <c r="X14" t="n">
        <v>4.828515</v>
      </c>
      <c r="Y14" t="n">
        <v>2.385773</v>
      </c>
      <c r="Z14" t="n">
        <v>1.982715</v>
      </c>
      <c r="AA14" t="n">
        <v>0.204549</v>
      </c>
      <c r="AB14" t="n">
        <v>4.343417</v>
      </c>
    </row>
    <row r="15">
      <c r="A15" t="inlineStr">
        <is>
          <t>Denmark</t>
        </is>
      </c>
      <c r="C15" t="inlineStr"/>
      <c r="D15" t="n">
        <v>-6.492272</v>
      </c>
      <c r="E15" t="n">
        <v>-2.8982</v>
      </c>
      <c r="F15" t="n">
        <v>4.431786</v>
      </c>
      <c r="G15" t="n">
        <v>-6.245701</v>
      </c>
      <c r="H15" t="n">
        <v>-1.849343</v>
      </c>
      <c r="I15" t="n">
        <v>-1.349302</v>
      </c>
      <c r="J15" t="n">
        <v>-1.451276</v>
      </c>
      <c r="K15" t="n">
        <v>-4.983901</v>
      </c>
      <c r="L15" t="n">
        <v>-2.92628</v>
      </c>
      <c r="M15" t="n">
        <v>2.435948</v>
      </c>
      <c r="N15" t="n">
        <v>2.088413</v>
      </c>
      <c r="O15" t="n">
        <v>-1.950166</v>
      </c>
      <c r="P15" t="n">
        <v>-10.194081</v>
      </c>
      <c r="Q15" t="n">
        <v>2.128054</v>
      </c>
      <c r="R15" t="n">
        <v>-2.93812</v>
      </c>
      <c r="S15" t="n">
        <v>2.688361</v>
      </c>
      <c r="T15" t="n">
        <v>1.060538</v>
      </c>
      <c r="U15" t="n">
        <v>-1.484715</v>
      </c>
      <c r="V15" t="n">
        <v>2.637268</v>
      </c>
      <c r="W15" t="n">
        <v>-0.232477</v>
      </c>
      <c r="X15" t="n">
        <v>2.090225</v>
      </c>
      <c r="Y15" t="n">
        <v>5.313544</v>
      </c>
      <c r="Z15" t="n">
        <v>1.670283</v>
      </c>
      <c r="AA15" t="n">
        <v>0.726847</v>
      </c>
      <c r="AB15" t="n">
        <v>2.267787</v>
      </c>
    </row>
    <row r="16">
      <c r="A16" t="inlineStr">
        <is>
          <t>Estonia</t>
        </is>
      </c>
      <c r="C16" t="inlineStr"/>
      <c r="D16" t="inlineStr">
        <is>
          <t>..</t>
        </is>
      </c>
      <c r="E16" t="n">
        <v>-4.593738</v>
      </c>
      <c r="F16" t="n">
        <v>-2.658296</v>
      </c>
      <c r="G16" t="n">
        <v>-0.364127</v>
      </c>
      <c r="H16" t="n">
        <v>-1.67288</v>
      </c>
      <c r="I16" t="n">
        <v>-14.231623</v>
      </c>
      <c r="J16" t="n">
        <v>30.432471</v>
      </c>
      <c r="K16" t="n">
        <v>16.77579</v>
      </c>
      <c r="L16" t="n">
        <v>-2.008564</v>
      </c>
      <c r="M16" t="n">
        <v>21.749175</v>
      </c>
      <c r="N16" t="n">
        <v>-1.215728</v>
      </c>
      <c r="O16" t="n">
        <v>12.030087</v>
      </c>
      <c r="P16" t="n">
        <v>1.277081</v>
      </c>
      <c r="Q16" t="n">
        <v>-7.683555</v>
      </c>
      <c r="R16" t="n">
        <v>-8.515419</v>
      </c>
      <c r="S16" t="n">
        <v>-1.387792</v>
      </c>
      <c r="T16" t="n">
        <v>4.846748</v>
      </c>
      <c r="U16" t="n">
        <v>0.434974</v>
      </c>
      <c r="V16" t="n">
        <v>-6.414454</v>
      </c>
      <c r="W16" t="n">
        <v>9.246373999999999</v>
      </c>
      <c r="X16" t="n">
        <v>2.426956</v>
      </c>
      <c r="Y16" t="n">
        <v>-1.201108</v>
      </c>
      <c r="Z16" t="n">
        <v>-3.409915</v>
      </c>
      <c r="AA16" t="n">
        <v>2.306356</v>
      </c>
      <c r="AB16" t="n">
        <v>7.42544</v>
      </c>
    </row>
    <row r="17">
      <c r="A17" t="inlineStr">
        <is>
          <t>Finland</t>
        </is>
      </c>
      <c r="C17" t="inlineStr"/>
      <c r="D17" t="n">
        <v>-3.740631</v>
      </c>
      <c r="E17" t="n">
        <v>2.471495</v>
      </c>
      <c r="F17" t="n">
        <v>1.404591</v>
      </c>
      <c r="G17" t="n">
        <v>-1.531699</v>
      </c>
      <c r="H17" t="n">
        <v>-0.707112</v>
      </c>
      <c r="I17" t="n">
        <v>-0.067352</v>
      </c>
      <c r="J17" t="n">
        <v>1.044973</v>
      </c>
      <c r="K17" t="n">
        <v>-3.278568</v>
      </c>
      <c r="L17" t="n">
        <v>-4.252767</v>
      </c>
      <c r="M17" t="n">
        <v>-0.916095</v>
      </c>
      <c r="N17" t="n">
        <v>-3.872569</v>
      </c>
      <c r="O17" t="n">
        <v>-3.492518</v>
      </c>
      <c r="P17" t="n">
        <v>-1.732709</v>
      </c>
      <c r="Q17" t="n">
        <v>-3.631958</v>
      </c>
      <c r="R17" t="n">
        <v>-4.846273</v>
      </c>
      <c r="S17" t="n">
        <v>-2.413433</v>
      </c>
      <c r="T17" t="n">
        <v>0.53564</v>
      </c>
      <c r="U17" t="n">
        <v>-0.484958</v>
      </c>
      <c r="V17" t="n">
        <v>-0.715437</v>
      </c>
      <c r="W17" t="n">
        <v>-4.004328</v>
      </c>
      <c r="X17" t="n">
        <v>0.28201</v>
      </c>
      <c r="Y17" t="n">
        <v>-1.380227</v>
      </c>
      <c r="Z17" t="n">
        <v>3.237708</v>
      </c>
      <c r="AA17" t="n">
        <v>-0.870789</v>
      </c>
      <c r="AB17" t="n">
        <v>0.495104</v>
      </c>
    </row>
    <row r="18">
      <c r="A18" t="inlineStr">
        <is>
          <t>France</t>
        </is>
      </c>
      <c r="C18" t="inlineStr"/>
      <c r="D18" t="n">
        <v>3.063344</v>
      </c>
      <c r="E18" t="n">
        <v>1.138428</v>
      </c>
      <c r="F18" t="n">
        <v>-3.263421</v>
      </c>
      <c r="G18" t="n">
        <v>-0.8367560000000001</v>
      </c>
      <c r="H18" t="n">
        <v>-0.57054</v>
      </c>
      <c r="I18" t="n">
        <v>-2.984494</v>
      </c>
      <c r="J18" t="n">
        <v>-4.287672</v>
      </c>
      <c r="K18" t="n">
        <v>0.342645</v>
      </c>
      <c r="L18" t="n">
        <v>1.638966</v>
      </c>
      <c r="M18" t="n">
        <v>0.690285</v>
      </c>
      <c r="N18" t="n">
        <v>0.947334</v>
      </c>
      <c r="O18" t="n">
        <v>0.941223</v>
      </c>
      <c r="P18" t="n">
        <v>0.407528</v>
      </c>
      <c r="Q18" t="n">
        <v>0.68274</v>
      </c>
      <c r="R18" t="n">
        <v>-2.955697</v>
      </c>
      <c r="S18" t="n">
        <v>2.011161</v>
      </c>
      <c r="T18" t="n">
        <v>-1.264098</v>
      </c>
      <c r="U18" t="n">
        <v>-0.754061</v>
      </c>
      <c r="V18" t="n">
        <v>-0.5963349999999999</v>
      </c>
      <c r="W18" t="n">
        <v>-0.487713</v>
      </c>
      <c r="X18" t="n">
        <v>0.725522</v>
      </c>
      <c r="Y18" t="n">
        <v>-0.907949</v>
      </c>
      <c r="Z18" t="n">
        <v>0.046375</v>
      </c>
      <c r="AA18" t="n">
        <v>1.153029</v>
      </c>
      <c r="AB18" t="n">
        <v>1.896068</v>
      </c>
    </row>
    <row r="19">
      <c r="A19" t="inlineStr">
        <is>
          <t>Germany</t>
        </is>
      </c>
      <c r="C19" t="inlineStr"/>
      <c r="D19" t="n">
        <v>-1.736913</v>
      </c>
      <c r="E19" t="n">
        <v>-2.614004</v>
      </c>
      <c r="F19" t="n">
        <v>-5.016497</v>
      </c>
      <c r="G19" t="n">
        <v>-3.272917</v>
      </c>
      <c r="H19" t="n">
        <v>-4.280227</v>
      </c>
      <c r="I19" t="n">
        <v>-2.674815</v>
      </c>
      <c r="J19" t="n">
        <v>-0.016715</v>
      </c>
      <c r="K19" t="n">
        <v>-0.533649</v>
      </c>
      <c r="L19" t="n">
        <v>-1.615821</v>
      </c>
      <c r="M19" t="n">
        <v>-4.69315</v>
      </c>
      <c r="N19" t="n">
        <v>-1.331672</v>
      </c>
      <c r="O19" t="n">
        <v>-3.224709</v>
      </c>
      <c r="P19" t="n">
        <v>-0.328875</v>
      </c>
      <c r="Q19" t="n">
        <v>-0.830018</v>
      </c>
      <c r="R19" t="n">
        <v>-9.885103000000001</v>
      </c>
      <c r="S19" t="n">
        <v>-0.707223</v>
      </c>
      <c r="T19" t="n">
        <v>-0.821403</v>
      </c>
      <c r="U19" t="n">
        <v>-0.568311</v>
      </c>
      <c r="V19" t="n">
        <v>-0.103364</v>
      </c>
      <c r="W19" t="n">
        <v>0.981636</v>
      </c>
      <c r="X19" t="n">
        <v>-0.218083</v>
      </c>
      <c r="Y19" t="n">
        <v>-0.699298</v>
      </c>
      <c r="Z19" t="n">
        <v>0.884569</v>
      </c>
      <c r="AA19" t="n">
        <v>0.783656</v>
      </c>
      <c r="AB19" t="n">
        <v>1.077097</v>
      </c>
    </row>
    <row r="20">
      <c r="A20" t="inlineStr">
        <is>
          <t>Greece</t>
        </is>
      </c>
      <c r="C20" t="inlineStr"/>
      <c r="D20" t="inlineStr">
        <is>
          <t>..</t>
        </is>
      </c>
      <c r="E20" t="n">
        <v>10.953489</v>
      </c>
      <c r="F20" t="n">
        <v>3.364616</v>
      </c>
      <c r="G20" t="n">
        <v>-10.064418</v>
      </c>
      <c r="H20" t="n">
        <v>0.391641</v>
      </c>
      <c r="I20" t="n">
        <v>-6.382375</v>
      </c>
      <c r="J20" t="n">
        <v>-5.998872</v>
      </c>
      <c r="K20" t="n">
        <v>0.467245</v>
      </c>
      <c r="L20" t="n">
        <v>6.468972</v>
      </c>
      <c r="M20" t="n">
        <v>-3.321387</v>
      </c>
      <c r="N20" t="n">
        <v>-7.565989</v>
      </c>
      <c r="O20" t="n">
        <v>16.996362</v>
      </c>
      <c r="P20" t="n">
        <v>3.487775</v>
      </c>
      <c r="Q20" t="n">
        <v>-4.391504</v>
      </c>
      <c r="R20" t="n">
        <v>-6.715137</v>
      </c>
      <c r="S20" t="n">
        <v>-21.271518</v>
      </c>
      <c r="T20" t="n">
        <v>-5.985783</v>
      </c>
      <c r="U20" t="n">
        <v>-6.212173</v>
      </c>
      <c r="V20" t="n">
        <v>-10.512431</v>
      </c>
      <c r="W20" t="n">
        <v>-7.671455</v>
      </c>
      <c r="X20" t="n">
        <v>1.149817</v>
      </c>
      <c r="Y20" t="n">
        <v>-2.742151</v>
      </c>
      <c r="Z20" t="n">
        <v>0.775234</v>
      </c>
      <c r="AA20" t="n">
        <v>3.404106</v>
      </c>
      <c r="AB20" t="n">
        <v>2.500472</v>
      </c>
    </row>
    <row r="21">
      <c r="A21" t="inlineStr">
        <is>
          <t>Hungary</t>
        </is>
      </c>
      <c r="C21" t="inlineStr"/>
      <c r="D21" t="inlineStr">
        <is>
          <t>..</t>
        </is>
      </c>
      <c r="E21" t="n">
        <v>17.49115</v>
      </c>
      <c r="F21" t="n">
        <v>-14.933887</v>
      </c>
      <c r="G21" t="n">
        <v>-5.698186</v>
      </c>
      <c r="H21" t="n">
        <v>-6.449061</v>
      </c>
      <c r="I21" t="n">
        <v>-7.387016</v>
      </c>
      <c r="J21" t="n">
        <v>8.978605999999999</v>
      </c>
      <c r="K21" t="n">
        <v>4.756822</v>
      </c>
      <c r="L21" t="n">
        <v>-7.866484</v>
      </c>
      <c r="M21" t="n">
        <v>-7.502312</v>
      </c>
      <c r="N21" t="n">
        <v>2.502348</v>
      </c>
      <c r="O21" t="n">
        <v>5.297648</v>
      </c>
      <c r="P21" t="n">
        <v>-5.819702</v>
      </c>
      <c r="Q21" t="n">
        <v>-6.353298</v>
      </c>
      <c r="R21" t="n">
        <v>-12.671388</v>
      </c>
      <c r="S21" t="n">
        <v>0.100276</v>
      </c>
      <c r="T21" t="n">
        <v>0.486056</v>
      </c>
      <c r="U21" t="n">
        <v>15.416249</v>
      </c>
      <c r="V21" t="n">
        <v>-9.149921000000001</v>
      </c>
      <c r="W21" t="n">
        <v>-14.089119</v>
      </c>
      <c r="X21" t="n">
        <v>0.372968</v>
      </c>
      <c r="Y21" t="n">
        <v>2.747156</v>
      </c>
      <c r="Z21" t="n">
        <v>5.409672</v>
      </c>
      <c r="AA21" t="n">
        <v>12.658874</v>
      </c>
      <c r="AB21" t="n">
        <v>1.718969</v>
      </c>
    </row>
    <row r="22">
      <c r="A22" t="inlineStr">
        <is>
          <t>Iceland</t>
        </is>
      </c>
      <c r="C22" t="inlineStr"/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..</t>
        </is>
      </c>
      <c r="J22" t="inlineStr">
        <is>
          <t>..</t>
        </is>
      </c>
      <c r="K22" t="inlineStr">
        <is>
          <t>..</t>
        </is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inlineStr">
        <is>
          <t>..</t>
        </is>
      </c>
      <c r="Q22" t="inlineStr">
        <is>
          <t>..</t>
        </is>
      </c>
      <c r="R22" t="n">
        <v>0.302281</v>
      </c>
      <c r="S22" t="n">
        <v>1.7634</v>
      </c>
      <c r="T22" t="n">
        <v>-1.232278</v>
      </c>
      <c r="U22" t="n">
        <v>-2.649501</v>
      </c>
      <c r="V22" t="n">
        <v>2.268486</v>
      </c>
      <c r="W22" t="n">
        <v>1.342994</v>
      </c>
      <c r="X22" t="n">
        <v>4.635245</v>
      </c>
      <c r="Y22" t="n">
        <v>-1.947106</v>
      </c>
      <c r="Z22" t="n">
        <v>-3.13522</v>
      </c>
      <c r="AA22" t="n">
        <v>1.689218</v>
      </c>
      <c r="AB22" t="n">
        <v>0.5010520000000001</v>
      </c>
    </row>
    <row r="23">
      <c r="A23" t="inlineStr">
        <is>
          <t>Ireland</t>
        </is>
      </c>
      <c r="C23" t="inlineStr"/>
      <c r="D23" t="inlineStr">
        <is>
          <t>..</t>
        </is>
      </c>
      <c r="E23" t="n">
        <v>-1.392008</v>
      </c>
      <c r="F23" t="n">
        <v>19.339972</v>
      </c>
      <c r="G23" t="n">
        <v>-8.003088</v>
      </c>
      <c r="H23" t="n">
        <v>-1.069474</v>
      </c>
      <c r="I23" t="n">
        <v>3.689901</v>
      </c>
      <c r="J23" t="n">
        <v>7.700619</v>
      </c>
      <c r="K23" t="n">
        <v>0.924303</v>
      </c>
      <c r="L23" t="n">
        <v>-3.7446</v>
      </c>
      <c r="M23" t="n">
        <v>-0.440714</v>
      </c>
      <c r="N23" t="n">
        <v>9.746981999999999</v>
      </c>
      <c r="O23" t="n">
        <v>-16.744847</v>
      </c>
      <c r="P23" t="n">
        <v>15.741483</v>
      </c>
      <c r="Q23" t="n">
        <v>4.148857</v>
      </c>
      <c r="R23" t="n">
        <v>4.675602</v>
      </c>
      <c r="S23" t="n">
        <v>-1.996551</v>
      </c>
      <c r="T23" t="n">
        <v>3.368049</v>
      </c>
      <c r="U23" t="n">
        <v>-0.086104</v>
      </c>
      <c r="V23" t="n">
        <v>5.894111</v>
      </c>
      <c r="W23" t="n">
        <v>6.21363</v>
      </c>
      <c r="X23" t="n">
        <v>9.734769999999999</v>
      </c>
      <c r="Y23" t="n">
        <v>1.478715</v>
      </c>
      <c r="Z23" t="n">
        <v>6.465985</v>
      </c>
      <c r="AA23" t="n">
        <v>-0.718024</v>
      </c>
      <c r="AB23" t="n">
        <v>0.896443</v>
      </c>
    </row>
    <row r="24">
      <c r="A24" t="inlineStr">
        <is>
          <t>Israel</t>
        </is>
      </c>
      <c r="C24" t="inlineStr"/>
      <c r="D24" t="inlineStr">
        <is>
          <t>..</t>
        </is>
      </c>
      <c r="E24" t="n">
        <v>-11.14961</v>
      </c>
      <c r="F24" t="n">
        <v>-0.303436</v>
      </c>
      <c r="G24" t="n">
        <v>6.864858</v>
      </c>
      <c r="H24" t="n">
        <v>-5.071557</v>
      </c>
      <c r="I24" t="n">
        <v>-5.391228</v>
      </c>
      <c r="J24" t="n">
        <v>-3.546589</v>
      </c>
      <c r="K24" t="n">
        <v>-3.57139</v>
      </c>
      <c r="L24" t="n">
        <v>-1.760097</v>
      </c>
      <c r="M24" t="n">
        <v>3.918083</v>
      </c>
      <c r="N24" t="n">
        <v>-0.487974</v>
      </c>
      <c r="O24" t="n">
        <v>2.126799</v>
      </c>
      <c r="P24" t="n">
        <v>-2.672541</v>
      </c>
      <c r="Q24" t="n">
        <v>5.388497</v>
      </c>
      <c r="R24" t="n">
        <v>-5.762322</v>
      </c>
      <c r="S24" t="n">
        <v>4.391084</v>
      </c>
      <c r="T24" t="n">
        <v>14.12585</v>
      </c>
      <c r="U24" t="n">
        <v>1.742964</v>
      </c>
      <c r="V24" t="n">
        <v>3.483323</v>
      </c>
      <c r="W24" t="n">
        <v>-1.863244</v>
      </c>
      <c r="X24" t="n">
        <v>-0.117243</v>
      </c>
      <c r="Y24" t="n">
        <v>2.489747</v>
      </c>
      <c r="Z24" t="n">
        <v>1.630782</v>
      </c>
      <c r="AA24" t="n">
        <v>5.208963</v>
      </c>
      <c r="AB24" t="inlineStr">
        <is>
          <t>..</t>
        </is>
      </c>
    </row>
    <row r="25">
      <c r="A25" t="inlineStr">
        <is>
          <t>Italy</t>
        </is>
      </c>
      <c r="C25" t="inlineStr"/>
      <c r="D25" t="n">
        <v>4.814822</v>
      </c>
      <c r="E25" t="n">
        <v>-4.745227</v>
      </c>
      <c r="F25" t="n">
        <v>-1.549762</v>
      </c>
      <c r="G25" t="n">
        <v>-5.259366</v>
      </c>
      <c r="H25" t="n">
        <v>-1.551684</v>
      </c>
      <c r="I25" t="n">
        <v>-0.221224</v>
      </c>
      <c r="J25" t="n">
        <v>-0.852431</v>
      </c>
      <c r="K25" t="n">
        <v>-2.096211</v>
      </c>
      <c r="L25" t="n">
        <v>-0.524594</v>
      </c>
      <c r="M25" t="n">
        <v>-4.844953</v>
      </c>
      <c r="N25" t="n">
        <v>-4.605101</v>
      </c>
      <c r="O25" t="n">
        <v>0.466124</v>
      </c>
      <c r="P25" t="n">
        <v>-1.668066</v>
      </c>
      <c r="Q25" t="n">
        <v>-3.091114</v>
      </c>
      <c r="R25" t="n">
        <v>-3.152213</v>
      </c>
      <c r="S25" t="n">
        <v>-0.212656</v>
      </c>
      <c r="T25" t="n">
        <v>-3.738209</v>
      </c>
      <c r="U25" t="n">
        <v>-5.485875</v>
      </c>
      <c r="V25" t="n">
        <v>0.101401</v>
      </c>
      <c r="W25" t="n">
        <v>-1.376993</v>
      </c>
      <c r="X25" t="n">
        <v>-1.576601</v>
      </c>
      <c r="Y25" t="n">
        <v>-0.723082</v>
      </c>
      <c r="Z25" t="n">
        <v>-0.19569</v>
      </c>
      <c r="AA25" t="n">
        <v>-3.085477</v>
      </c>
      <c r="AB25" t="n">
        <v>-1.269191</v>
      </c>
    </row>
    <row r="26">
      <c r="A26" t="inlineStr">
        <is>
          <t>Japan</t>
        </is>
      </c>
      <c r="C26" t="inlineStr"/>
      <c r="D26" t="n">
        <v>0.918863</v>
      </c>
      <c r="E26" t="n">
        <v>6.918714</v>
      </c>
      <c r="F26" t="n">
        <v>3.404178</v>
      </c>
      <c r="G26" t="n">
        <v>3.722543</v>
      </c>
      <c r="H26" t="n">
        <v>-0.993888</v>
      </c>
      <c r="I26" t="n">
        <v>6.581894</v>
      </c>
      <c r="J26" t="n">
        <v>2.967944</v>
      </c>
      <c r="K26" t="n">
        <v>1.48772</v>
      </c>
      <c r="L26" t="n">
        <v>3.292792</v>
      </c>
      <c r="M26" t="n">
        <v>3.340574</v>
      </c>
      <c r="N26" t="n">
        <v>10.004689</v>
      </c>
      <c r="O26" t="n">
        <v>3.14841</v>
      </c>
      <c r="P26" t="n">
        <v>6.833844</v>
      </c>
      <c r="Q26" t="n">
        <v>4.181322</v>
      </c>
      <c r="R26" t="n">
        <v>0.425546</v>
      </c>
      <c r="S26" t="n">
        <v>2.003499</v>
      </c>
      <c r="T26" t="n">
        <v>1.045368</v>
      </c>
      <c r="U26" t="n">
        <v>0.008383</v>
      </c>
      <c r="V26" t="n">
        <v>-4.795941</v>
      </c>
      <c r="W26" t="n">
        <v>-2.258782</v>
      </c>
      <c r="X26" t="n">
        <v>-1.865727</v>
      </c>
      <c r="Y26" t="n">
        <v>0.770483</v>
      </c>
      <c r="Z26" t="n">
        <v>-4.560718</v>
      </c>
      <c r="AA26" t="n">
        <v>-2.81943</v>
      </c>
      <c r="AB26" t="inlineStr">
        <is>
          <t>..</t>
        </is>
      </c>
    </row>
    <row r="27">
      <c r="A27" t="inlineStr">
        <is>
          <t>Korea</t>
        </is>
      </c>
      <c r="C27" t="inlineStr"/>
      <c r="D27" t="inlineStr">
        <is>
          <t>..</t>
        </is>
      </c>
      <c r="E27" t="inlineStr">
        <is>
          <t>..</t>
        </is>
      </c>
      <c r="F27" t="inlineStr">
        <is>
          <t>..</t>
        </is>
      </c>
      <c r="G27" t="inlineStr">
        <is>
          <t>..</t>
        </is>
      </c>
      <c r="H27" t="inlineStr">
        <is>
          <t>..</t>
        </is>
      </c>
      <c r="I27" t="inlineStr">
        <is>
          <t>..</t>
        </is>
      </c>
      <c r="J27" t="inlineStr">
        <is>
          <t>..</t>
        </is>
      </c>
      <c r="K27" t="inlineStr">
        <is>
          <t>..</t>
        </is>
      </c>
      <c r="L27" t="inlineStr">
        <is>
          <t>..</t>
        </is>
      </c>
      <c r="M27" t="inlineStr">
        <is>
          <t>..</t>
        </is>
      </c>
      <c r="N27" t="n">
        <v>-0.542314</v>
      </c>
      <c r="O27" t="n">
        <v>-2.053028</v>
      </c>
      <c r="P27" t="n">
        <v>-1.969908</v>
      </c>
      <c r="Q27" t="n">
        <v>1.236146</v>
      </c>
      <c r="R27" t="n">
        <v>-1.654346</v>
      </c>
      <c r="S27" t="n">
        <v>1.13607</v>
      </c>
      <c r="T27" t="n">
        <v>-1.768432</v>
      </c>
      <c r="U27" t="n">
        <v>-1.491894</v>
      </c>
      <c r="V27" t="n">
        <v>3.725467</v>
      </c>
      <c r="W27" t="n">
        <v>4.51315</v>
      </c>
      <c r="X27" t="n">
        <v>0.226361</v>
      </c>
      <c r="Y27" t="n">
        <v>-2.147671</v>
      </c>
      <c r="Z27" t="n">
        <v>3.038708</v>
      </c>
      <c r="AA27" t="n">
        <v>4.236693</v>
      </c>
      <c r="AB27" t="inlineStr">
        <is>
          <t>..</t>
        </is>
      </c>
    </row>
    <row r="28">
      <c r="A28" t="inlineStr">
        <is>
          <t>Latvia</t>
        </is>
      </c>
      <c r="C28" t="inlineStr"/>
      <c r="D28" t="inlineStr">
        <is>
          <t>..</t>
        </is>
      </c>
      <c r="E28" t="n">
        <v>-4.150361</v>
      </c>
      <c r="F28" t="n">
        <v>6.508309</v>
      </c>
      <c r="G28" t="n">
        <v>14.089047</v>
      </c>
      <c r="H28" t="n">
        <v>20.097061</v>
      </c>
      <c r="I28" t="n">
        <v>11.567279</v>
      </c>
      <c r="J28" t="n">
        <v>1.798449</v>
      </c>
      <c r="K28" t="n">
        <v>8.872115000000001</v>
      </c>
      <c r="L28" t="n">
        <v>3.173494</v>
      </c>
      <c r="M28" t="n">
        <v>-7.843869</v>
      </c>
      <c r="N28" t="n">
        <v>23.085933</v>
      </c>
      <c r="O28" t="n">
        <v>4.268168</v>
      </c>
      <c r="P28" t="n">
        <v>-7.521221</v>
      </c>
      <c r="Q28" t="n">
        <v>2.159849</v>
      </c>
      <c r="R28" t="n">
        <v>-13.786384</v>
      </c>
      <c r="S28" t="n">
        <v>3.432722</v>
      </c>
      <c r="T28" t="n">
        <v>7.114755</v>
      </c>
      <c r="U28" t="n">
        <v>-12.789486</v>
      </c>
      <c r="V28" t="n">
        <v>-8.097398999999999</v>
      </c>
      <c r="W28" t="n">
        <v>-1.619076</v>
      </c>
      <c r="X28" t="n">
        <v>2.519305</v>
      </c>
      <c r="Y28" t="n">
        <v>1.347423</v>
      </c>
      <c r="Z28" t="n">
        <v>2.340216</v>
      </c>
      <c r="AA28" t="n">
        <v>2.879851</v>
      </c>
      <c r="AB28" t="n">
        <v>8.193026</v>
      </c>
    </row>
    <row r="29">
      <c r="A29" t="inlineStr">
        <is>
          <t>Lithuania</t>
        </is>
      </c>
      <c r="C29" t="inlineStr"/>
      <c r="D29" t="inlineStr">
        <is>
          <t>..</t>
        </is>
      </c>
      <c r="E29" t="n">
        <v>6.58062</v>
      </c>
      <c r="F29" t="n">
        <v>24.305304</v>
      </c>
      <c r="G29" t="n">
        <v>0.316285</v>
      </c>
      <c r="H29" t="n">
        <v>10.570851</v>
      </c>
      <c r="I29" t="n">
        <v>15.227592</v>
      </c>
      <c r="J29" t="n">
        <v>12.693949</v>
      </c>
      <c r="K29" t="n">
        <v>-6.171864</v>
      </c>
      <c r="L29" t="n">
        <v>26.611411</v>
      </c>
      <c r="M29" t="n">
        <v>22.629586</v>
      </c>
      <c r="N29" t="n">
        <v>-2.86507</v>
      </c>
      <c r="O29" t="n">
        <v>8.402317999999999</v>
      </c>
      <c r="P29" t="n">
        <v>13.375241</v>
      </c>
      <c r="Q29" t="n">
        <v>-10.548174</v>
      </c>
      <c r="R29" t="n">
        <v>-17.722953</v>
      </c>
      <c r="S29" t="n">
        <v>-7.309715</v>
      </c>
      <c r="T29" t="n">
        <v>1.233254</v>
      </c>
      <c r="U29" t="n">
        <v>3.556453</v>
      </c>
      <c r="V29" t="n">
        <v>-0.024441</v>
      </c>
      <c r="W29" t="n">
        <v>2.574154</v>
      </c>
      <c r="X29" t="n">
        <v>0.82392</v>
      </c>
      <c r="Y29" t="n">
        <v>-1.282531</v>
      </c>
      <c r="Z29" t="n">
        <v>4.956474</v>
      </c>
      <c r="AA29" t="n">
        <v>5.384176</v>
      </c>
      <c r="AB29" t="n">
        <v>4.587583</v>
      </c>
    </row>
    <row r="30">
      <c r="A30" t="inlineStr">
        <is>
          <t>Luxembourg</t>
        </is>
      </c>
      <c r="C30" t="inlineStr"/>
      <c r="D30" t="inlineStr">
        <is>
          <t>..</t>
        </is>
      </c>
      <c r="E30" t="n">
        <v>0.947883</v>
      </c>
      <c r="F30" t="n">
        <v>-8.248939</v>
      </c>
      <c r="G30" t="n">
        <v>2.574906</v>
      </c>
      <c r="H30" t="n">
        <v>-7.424951</v>
      </c>
      <c r="I30" t="n">
        <v>-1.161939</v>
      </c>
      <c r="J30" t="n">
        <v>-2.636991</v>
      </c>
      <c r="K30" t="n">
        <v>-2.004959</v>
      </c>
      <c r="L30" t="n">
        <v>-2.742029</v>
      </c>
      <c r="M30" t="n">
        <v>5.130195</v>
      </c>
      <c r="N30" t="n">
        <v>-4.077065</v>
      </c>
      <c r="O30" t="n">
        <v>1.565548</v>
      </c>
      <c r="P30" t="n">
        <v>-1.050074</v>
      </c>
      <c r="Q30" t="n">
        <v>-1.926702</v>
      </c>
      <c r="R30" t="n">
        <v>-5.234417</v>
      </c>
      <c r="S30" t="n">
        <v>-6.164881</v>
      </c>
      <c r="T30" t="n">
        <v>6.601361</v>
      </c>
      <c r="U30" t="n">
        <v>-2.617411</v>
      </c>
      <c r="V30" t="n">
        <v>-1.380087</v>
      </c>
      <c r="W30" t="n">
        <v>3.015807</v>
      </c>
      <c r="X30" t="n">
        <v>1.707409</v>
      </c>
      <c r="Y30" t="n">
        <v>-2.935544</v>
      </c>
      <c r="Z30" t="n">
        <v>1.18218</v>
      </c>
      <c r="AA30" t="n">
        <v>0.825834</v>
      </c>
      <c r="AB30" t="inlineStr">
        <is>
          <t>..</t>
        </is>
      </c>
    </row>
    <row r="31">
      <c r="A31" t="inlineStr">
        <is>
          <t>Mexico</t>
        </is>
      </c>
      <c r="C31" t="inlineStr"/>
      <c r="D31" t="inlineStr">
        <is>
          <t>..</t>
        </is>
      </c>
      <c r="E31" t="inlineStr">
        <is>
          <t>..</t>
        </is>
      </c>
      <c r="F31" t="inlineStr">
        <is>
          <t>..</t>
        </is>
      </c>
      <c r="G31" t="inlineStr">
        <is>
          <t>..</t>
        </is>
      </c>
      <c r="H31" t="inlineStr">
        <is>
          <t>..</t>
        </is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inlineStr">
        <is>
          <t>..</t>
        </is>
      </c>
      <c r="Q31" t="inlineStr">
        <is>
          <t>..</t>
        </is>
      </c>
      <c r="R31" t="inlineStr">
        <is>
          <t>..</t>
        </is>
      </c>
      <c r="S31" t="inlineStr">
        <is>
          <t>..</t>
        </is>
      </c>
      <c r="T31" t="n">
        <v>0.529785</v>
      </c>
      <c r="U31" t="n">
        <v>1.023263</v>
      </c>
      <c r="V31" t="n">
        <v>-2.543163</v>
      </c>
      <c r="W31" t="inlineStr">
        <is>
          <t>..</t>
        </is>
      </c>
      <c r="X31" t="inlineStr">
        <is>
          <t>..</t>
        </is>
      </c>
      <c r="Y31" t="inlineStr">
        <is>
          <t>..</t>
        </is>
      </c>
      <c r="Z31" t="inlineStr">
        <is>
          <t>..</t>
        </is>
      </c>
      <c r="AA31" t="inlineStr">
        <is>
          <t>..</t>
        </is>
      </c>
      <c r="AB31" t="inlineStr">
        <is>
          <t>..</t>
        </is>
      </c>
    </row>
    <row r="32">
      <c r="A32" t="inlineStr">
        <is>
          <t>Netherlands</t>
        </is>
      </c>
      <c r="C32" t="inlineStr"/>
      <c r="D32" t="inlineStr">
        <is>
          <t>..</t>
        </is>
      </c>
      <c r="E32" t="n">
        <v>2.015109</v>
      </c>
      <c r="F32" t="n">
        <v>1.431993</v>
      </c>
      <c r="G32" t="n">
        <v>1.688139</v>
      </c>
      <c r="H32" t="n">
        <v>3.432667</v>
      </c>
      <c r="I32" t="n">
        <v>3.958891</v>
      </c>
      <c r="J32" t="n">
        <v>3.911451</v>
      </c>
      <c r="K32" t="n">
        <v>-3.405143</v>
      </c>
      <c r="L32" t="n">
        <v>-0.961634</v>
      </c>
      <c r="M32" t="n">
        <v>0.337706</v>
      </c>
      <c r="N32" t="n">
        <v>0.493272</v>
      </c>
      <c r="O32" t="n">
        <v>0.105259</v>
      </c>
      <c r="P32" t="n">
        <v>-0.469047</v>
      </c>
      <c r="Q32" t="n">
        <v>3.136157</v>
      </c>
      <c r="R32" t="n">
        <v>-1.125559</v>
      </c>
      <c r="S32" t="n">
        <v>0.917733</v>
      </c>
      <c r="T32" t="n">
        <v>0.284477</v>
      </c>
      <c r="U32" t="n">
        <v>-0.230177</v>
      </c>
      <c r="V32" t="n">
        <v>-0.956754</v>
      </c>
      <c r="W32" t="n">
        <v>1.131542</v>
      </c>
      <c r="X32" t="n">
        <v>0.215463</v>
      </c>
      <c r="Y32" t="n">
        <v>-0.606491</v>
      </c>
      <c r="Z32" t="n">
        <v>-0.016616</v>
      </c>
      <c r="AA32" t="n">
        <v>1.263428</v>
      </c>
      <c r="AB32" t="n">
        <v>2.229421</v>
      </c>
    </row>
    <row r="33">
      <c r="A33" t="inlineStr">
        <is>
          <t>New Zealand</t>
        </is>
      </c>
      <c r="C33" t="inlineStr"/>
      <c r="D33" t="inlineStr">
        <is>
          <t>..</t>
        </is>
      </c>
      <c r="E33" t="inlineStr">
        <is>
          <t>..</t>
        </is>
      </c>
      <c r="F33" t="inlineStr">
        <is>
          <t>..</t>
        </is>
      </c>
      <c r="G33" t="inlineStr">
        <is>
          <t>..</t>
        </is>
      </c>
      <c r="H33" t="inlineStr">
        <is>
          <t>..</t>
        </is>
      </c>
      <c r="I33" t="inlineStr">
        <is>
          <t>..</t>
        </is>
      </c>
      <c r="J33" t="inlineStr">
        <is>
          <t>..</t>
        </is>
      </c>
      <c r="K33" t="inlineStr">
        <is>
          <t>..</t>
        </is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inlineStr">
        <is>
          <t>..</t>
        </is>
      </c>
      <c r="Q33" t="inlineStr">
        <is>
          <t>..</t>
        </is>
      </c>
      <c r="R33" t="inlineStr">
        <is>
          <t>..</t>
        </is>
      </c>
      <c r="S33" t="inlineStr">
        <is>
          <t>..</t>
        </is>
      </c>
      <c r="T33" t="n">
        <v>-0.187008</v>
      </c>
      <c r="U33" t="n">
        <v>1.347761</v>
      </c>
      <c r="V33" t="n">
        <v>-0.031419</v>
      </c>
      <c r="W33" t="n">
        <v>2.878154</v>
      </c>
      <c r="X33" t="n">
        <v>6.621452</v>
      </c>
      <c r="Y33" t="n">
        <v>-4.949766</v>
      </c>
      <c r="Z33" t="n">
        <v>-4.80822</v>
      </c>
      <c r="AA33" t="n">
        <v>-0.624583</v>
      </c>
      <c r="AB33" t="inlineStr">
        <is>
          <t>..</t>
        </is>
      </c>
    </row>
    <row r="34">
      <c r="A34" t="inlineStr">
        <is>
          <t>Norway</t>
        </is>
      </c>
      <c r="C34" t="inlineStr"/>
      <c r="D34" t="n">
        <v>-1.498448</v>
      </c>
      <c r="E34" t="n">
        <v>0.333095</v>
      </c>
      <c r="F34" t="n">
        <v>-1.484736</v>
      </c>
      <c r="G34" t="n">
        <v>-3.645225</v>
      </c>
      <c r="H34" t="n">
        <v>-4.759202</v>
      </c>
      <c r="I34" t="n">
        <v>1.869517</v>
      </c>
      <c r="J34" t="n">
        <v>2.081921</v>
      </c>
      <c r="K34" t="n">
        <v>-2.567993</v>
      </c>
      <c r="L34" t="n">
        <v>-0.186643</v>
      </c>
      <c r="M34" t="n">
        <v>4.211703</v>
      </c>
      <c r="N34" t="n">
        <v>2.984126</v>
      </c>
      <c r="O34" t="n">
        <v>0.516866</v>
      </c>
      <c r="P34" t="n">
        <v>-0.220872</v>
      </c>
      <c r="Q34" t="n">
        <v>-2.936024</v>
      </c>
      <c r="R34" t="n">
        <v>-0.328783</v>
      </c>
      <c r="S34" t="n">
        <v>1.313441</v>
      </c>
      <c r="T34" t="n">
        <v>-0.494219</v>
      </c>
      <c r="U34" t="n">
        <v>3.079494</v>
      </c>
      <c r="V34" t="n">
        <v>1.739239</v>
      </c>
      <c r="W34" t="n">
        <v>-0.330968</v>
      </c>
      <c r="X34" t="n">
        <v>-2.943432</v>
      </c>
      <c r="Y34" t="n">
        <v>-2.382966</v>
      </c>
      <c r="Z34" t="n">
        <v>0.763746</v>
      </c>
      <c r="AA34" t="n">
        <v>-0.513736</v>
      </c>
      <c r="AB34" t="inlineStr">
        <is>
          <t>..</t>
        </is>
      </c>
    </row>
    <row r="35">
      <c r="A35" t="inlineStr">
        <is>
          <t>Poland</t>
        </is>
      </c>
      <c r="C35" t="inlineStr"/>
      <c r="D35" t="inlineStr">
        <is>
          <t>..</t>
        </is>
      </c>
      <c r="E35" t="n">
        <v>-6.047825</v>
      </c>
      <c r="F35" t="n">
        <v>24.416627</v>
      </c>
      <c r="G35" t="n">
        <v>25.630113</v>
      </c>
      <c r="H35" t="n">
        <v>4.617685</v>
      </c>
      <c r="I35" t="n">
        <v>26.276869</v>
      </c>
      <c r="J35" t="n">
        <v>2.984027</v>
      </c>
      <c r="K35" t="n">
        <v>-4.028526</v>
      </c>
      <c r="L35" t="n">
        <v>3.050889</v>
      </c>
      <c r="M35" t="n">
        <v>-0.403582</v>
      </c>
      <c r="N35" t="n">
        <v>-0.598739</v>
      </c>
      <c r="O35" t="n">
        <v>2.940677</v>
      </c>
      <c r="P35" t="n">
        <v>-1.982815</v>
      </c>
      <c r="Q35" t="n">
        <v>7.270529</v>
      </c>
      <c r="R35" t="n">
        <v>-2.038707</v>
      </c>
      <c r="S35" t="n">
        <v>-3.292171</v>
      </c>
      <c r="T35" t="n">
        <v>-0.547575</v>
      </c>
      <c r="U35" t="n">
        <v>2.750877</v>
      </c>
      <c r="V35" t="n">
        <v>3.694571</v>
      </c>
      <c r="W35" t="n">
        <v>-2.956421</v>
      </c>
      <c r="X35" t="n">
        <v>11.299138</v>
      </c>
      <c r="Y35" t="n">
        <v>-2.299604</v>
      </c>
      <c r="Z35" t="n">
        <v>7.992277</v>
      </c>
      <c r="AA35" t="n">
        <v>9.355762</v>
      </c>
      <c r="AB35" t="n">
        <v>6.478776</v>
      </c>
    </row>
    <row r="36">
      <c r="A36" t="inlineStr">
        <is>
          <t>Portugal</t>
        </is>
      </c>
      <c r="C36" t="inlineStr"/>
      <c r="D36" t="inlineStr">
        <is>
          <t>..</t>
        </is>
      </c>
      <c r="E36" t="n">
        <v>-0.759182</v>
      </c>
      <c r="F36" t="n">
        <v>-2.52418</v>
      </c>
      <c r="G36" t="n">
        <v>-2.221306</v>
      </c>
      <c r="H36" t="n">
        <v>-1.973664</v>
      </c>
      <c r="I36" t="n">
        <v>-2.223017</v>
      </c>
      <c r="J36" t="n">
        <v>-2.810223</v>
      </c>
      <c r="K36" t="n">
        <v>-0.950457</v>
      </c>
      <c r="L36" t="n">
        <v>-2.133298</v>
      </c>
      <c r="M36" t="n">
        <v>-1.535547</v>
      </c>
      <c r="N36" t="n">
        <v>0.164585</v>
      </c>
      <c r="O36" t="n">
        <v>-0.084846</v>
      </c>
      <c r="P36" t="n">
        <v>2.831813</v>
      </c>
      <c r="Q36" t="n">
        <v>-1.304663</v>
      </c>
      <c r="R36" t="n">
        <v>-2.767649</v>
      </c>
      <c r="S36" t="n">
        <v>2.626378</v>
      </c>
      <c r="T36" t="n">
        <v>-1.299493</v>
      </c>
      <c r="U36" t="n">
        <v>-0.05086</v>
      </c>
      <c r="V36" t="n">
        <v>2.888095</v>
      </c>
      <c r="W36" t="n">
        <v>0.12472</v>
      </c>
      <c r="X36" t="n">
        <v>-3.049423</v>
      </c>
      <c r="Y36" t="n">
        <v>1.836779</v>
      </c>
      <c r="Z36" t="n">
        <v>-0.554379</v>
      </c>
      <c r="AA36" t="n">
        <v>0.445785</v>
      </c>
      <c r="AB36" t="n">
        <v>0.815172</v>
      </c>
    </row>
    <row r="37">
      <c r="A37" t="inlineStr">
        <is>
          <t>Slovak Republic</t>
        </is>
      </c>
      <c r="C37" t="inlineStr"/>
      <c r="D37" t="inlineStr">
        <is>
          <t>..</t>
        </is>
      </c>
      <c r="E37" t="n">
        <v>7.571195</v>
      </c>
      <c r="F37" t="n">
        <v>21.141385</v>
      </c>
      <c r="G37" t="n">
        <v>-5.552145</v>
      </c>
      <c r="H37" t="n">
        <v>12.310546</v>
      </c>
      <c r="I37" t="n">
        <v>-9.760942</v>
      </c>
      <c r="J37" t="n">
        <v>-12.415627</v>
      </c>
      <c r="K37" t="n">
        <v>15.814896</v>
      </c>
      <c r="L37" t="n">
        <v>-3.566083</v>
      </c>
      <c r="M37" t="n">
        <v>-10.322973</v>
      </c>
      <c r="N37" t="n">
        <v>0.206295</v>
      </c>
      <c r="O37" t="n">
        <v>29.341632</v>
      </c>
      <c r="P37" t="n">
        <v>7.420287</v>
      </c>
      <c r="Q37" t="n">
        <v>7.802796</v>
      </c>
      <c r="R37" t="n">
        <v>-1.957128</v>
      </c>
      <c r="S37" t="n">
        <v>6.849855</v>
      </c>
      <c r="T37" t="n">
        <v>-8.649483999999999</v>
      </c>
      <c r="U37" t="n">
        <v>0.603527</v>
      </c>
      <c r="V37" t="n">
        <v>5.840703</v>
      </c>
      <c r="W37" t="n">
        <v>6.204886</v>
      </c>
      <c r="X37" t="n">
        <v>3.787205</v>
      </c>
      <c r="Y37" t="n">
        <v>-0.213666</v>
      </c>
      <c r="Z37" t="n">
        <v>3.574309</v>
      </c>
      <c r="AA37" t="n">
        <v>-0.871817</v>
      </c>
      <c r="AB37" t="n">
        <v>-2.544287</v>
      </c>
    </row>
    <row r="38">
      <c r="A38" t="inlineStr">
        <is>
          <t>Slovenia</t>
        </is>
      </c>
      <c r="C38" t="inlineStr"/>
      <c r="D38" t="inlineStr">
        <is>
          <t>..</t>
        </is>
      </c>
      <c r="E38" t="n">
        <v>-2.791988</v>
      </c>
      <c r="F38" t="n">
        <v>2.26735</v>
      </c>
      <c r="G38" t="n">
        <v>-3.220121</v>
      </c>
      <c r="H38" t="n">
        <v>0.983733</v>
      </c>
      <c r="I38" t="n">
        <v>-4.255305</v>
      </c>
      <c r="J38" t="n">
        <v>-0.184537</v>
      </c>
      <c r="K38" t="n">
        <v>-18.021272</v>
      </c>
      <c r="L38" t="n">
        <v>0.830915</v>
      </c>
      <c r="M38" t="n">
        <v>-2.247482</v>
      </c>
      <c r="N38" t="n">
        <v>4.082865</v>
      </c>
      <c r="O38" t="n">
        <v>0.739933</v>
      </c>
      <c r="P38" t="n">
        <v>-2.317504</v>
      </c>
      <c r="Q38" t="n">
        <v>3.101769</v>
      </c>
      <c r="R38" t="n">
        <v>-5.215185</v>
      </c>
      <c r="S38" t="n">
        <v>4.233223</v>
      </c>
      <c r="T38" t="n">
        <v>0.706039</v>
      </c>
      <c r="U38" t="n">
        <v>-1.564321</v>
      </c>
      <c r="V38" t="n">
        <v>0.5634169999999999</v>
      </c>
      <c r="W38" t="n">
        <v>5.686425</v>
      </c>
      <c r="X38" t="n">
        <v>2.010985</v>
      </c>
      <c r="Y38" t="n">
        <v>1.129516</v>
      </c>
      <c r="Z38" t="n">
        <v>1.804537</v>
      </c>
      <c r="AA38" t="n">
        <v>3.162345</v>
      </c>
      <c r="AB38" t="n">
        <v>0.569698</v>
      </c>
    </row>
    <row r="39">
      <c r="A39" t="inlineStr">
        <is>
          <t>Spain</t>
        </is>
      </c>
      <c r="C39" t="inlineStr"/>
      <c r="D39" t="inlineStr">
        <is>
          <t>..</t>
        </is>
      </c>
      <c r="E39" t="n">
        <v>-1.102022</v>
      </c>
      <c r="F39" t="n">
        <v>-4.243437</v>
      </c>
      <c r="G39" t="n">
        <v>-2.028622</v>
      </c>
      <c r="H39" t="n">
        <v>-2.16197</v>
      </c>
      <c r="I39" t="n">
        <v>-0.603726</v>
      </c>
      <c r="J39" t="n">
        <v>-10.412764</v>
      </c>
      <c r="K39" t="n">
        <v>-6.80078</v>
      </c>
      <c r="L39" t="n">
        <v>-3.453358</v>
      </c>
      <c r="M39" t="n">
        <v>-5.481997</v>
      </c>
      <c r="N39" t="n">
        <v>-2.03357</v>
      </c>
      <c r="O39" t="n">
        <v>-0.990876</v>
      </c>
      <c r="P39" t="n">
        <v>1.824364</v>
      </c>
      <c r="Q39" t="n">
        <v>-4.647362</v>
      </c>
      <c r="R39" t="n">
        <v>1.244429</v>
      </c>
      <c r="S39" t="n">
        <v>0.085421</v>
      </c>
      <c r="T39" t="n">
        <v>4.890752</v>
      </c>
      <c r="U39" t="n">
        <v>-1.119812</v>
      </c>
      <c r="V39" t="n">
        <v>0.753564</v>
      </c>
      <c r="W39" t="n">
        <v>1.664674</v>
      </c>
      <c r="X39" t="n">
        <v>2.015976</v>
      </c>
      <c r="Y39" t="n">
        <v>3.182143</v>
      </c>
      <c r="Z39" t="n">
        <v>1.23797</v>
      </c>
      <c r="AA39" t="n">
        <v>1.75006</v>
      </c>
      <c r="AB39" t="n">
        <v>-0.143149</v>
      </c>
    </row>
    <row r="40">
      <c r="A40" t="inlineStr">
        <is>
          <t>Sweden</t>
        </is>
      </c>
      <c r="C40" t="inlineStr"/>
      <c r="D40" t="n">
        <v>-0.930414</v>
      </c>
      <c r="E40" t="n">
        <v>-1.805728</v>
      </c>
      <c r="F40" t="n">
        <v>4.244272</v>
      </c>
      <c r="G40" t="n">
        <v>0.492993</v>
      </c>
      <c r="H40" t="n">
        <v>1.055721</v>
      </c>
      <c r="I40" t="n">
        <v>-0.36743</v>
      </c>
      <c r="J40" t="n">
        <v>-0.369805</v>
      </c>
      <c r="K40" t="n">
        <v>-0.272178</v>
      </c>
      <c r="L40" t="n">
        <v>1.149578</v>
      </c>
      <c r="M40" t="n">
        <v>8.04006</v>
      </c>
      <c r="N40" t="n">
        <v>1.641303</v>
      </c>
      <c r="O40" t="n">
        <v>6.789452</v>
      </c>
      <c r="P40" t="n">
        <v>-0.8675580000000001</v>
      </c>
      <c r="Q40" t="n">
        <v>-4.199561</v>
      </c>
      <c r="R40" t="n">
        <v>-2.000098</v>
      </c>
      <c r="S40" t="n">
        <v>4.557204</v>
      </c>
      <c r="T40" t="n">
        <v>-0.139835</v>
      </c>
      <c r="U40" t="n">
        <v>-1.975277</v>
      </c>
      <c r="V40" t="n">
        <v>3.066366</v>
      </c>
      <c r="W40" t="n">
        <v>2.209399</v>
      </c>
      <c r="X40" t="n">
        <v>1.78948</v>
      </c>
      <c r="Y40" t="n">
        <v>1.283358</v>
      </c>
      <c r="Z40" t="n">
        <v>-0.980065</v>
      </c>
      <c r="AA40" t="n">
        <v>-1.113226</v>
      </c>
      <c r="AB40" t="n">
        <v>-0.991457</v>
      </c>
    </row>
    <row r="41">
      <c r="A41" t="inlineStr">
        <is>
          <t>Switzerland</t>
        </is>
      </c>
      <c r="C41" t="inlineStr"/>
      <c r="D41" t="inlineStr">
        <is>
          <t>..</t>
        </is>
      </c>
      <c r="E41" t="n">
        <v>-2.679026</v>
      </c>
      <c r="F41" t="n">
        <v>-2.770464</v>
      </c>
      <c r="G41" t="n">
        <v>-2.283208</v>
      </c>
      <c r="H41" t="n">
        <v>-3.857221</v>
      </c>
      <c r="I41" t="n">
        <v>-4.928453</v>
      </c>
      <c r="J41" t="n">
        <v>-1.32764</v>
      </c>
      <c r="K41" t="n">
        <v>-6.789249</v>
      </c>
      <c r="L41" t="n">
        <v>-6.233649</v>
      </c>
      <c r="M41" t="n">
        <v>2.95625</v>
      </c>
      <c r="N41" t="n">
        <v>0.713219</v>
      </c>
      <c r="O41" t="n">
        <v>-0.29491</v>
      </c>
      <c r="P41" t="n">
        <v>0.128099</v>
      </c>
      <c r="Q41" t="n">
        <v>-1.55903</v>
      </c>
      <c r="R41" t="n">
        <v>-0.500475</v>
      </c>
      <c r="S41" t="n">
        <v>1.109423</v>
      </c>
      <c r="T41" t="n">
        <v>-2.0327</v>
      </c>
      <c r="U41" t="n">
        <v>0.431156</v>
      </c>
      <c r="V41" t="n">
        <v>-0.07743</v>
      </c>
      <c r="W41" t="n">
        <v>2.739775</v>
      </c>
      <c r="X41" t="n">
        <v>0.973476</v>
      </c>
      <c r="Y41" t="n">
        <v>-1.939045</v>
      </c>
      <c r="Z41" t="n">
        <v>-0.010736</v>
      </c>
      <c r="AA41" t="n">
        <v>2.388109</v>
      </c>
      <c r="AB41" t="inlineStr">
        <is>
          <t>..</t>
        </is>
      </c>
    </row>
    <row r="42">
      <c r="A42" t="inlineStr">
        <is>
          <t>United Kingdom</t>
        </is>
      </c>
      <c r="C42" t="inlineStr"/>
      <c r="D42" t="n">
        <v>1.181809</v>
      </c>
      <c r="E42" t="n">
        <v>1.283271</v>
      </c>
      <c r="F42" t="n">
        <v>1.234762</v>
      </c>
      <c r="G42" t="n">
        <v>4.710183</v>
      </c>
      <c r="H42" t="n">
        <v>2.93216</v>
      </c>
      <c r="I42" t="n">
        <v>1.586528</v>
      </c>
      <c r="J42" t="n">
        <v>3.988485</v>
      </c>
      <c r="K42" t="n">
        <v>-1.939162</v>
      </c>
      <c r="L42" t="n">
        <v>3.523517</v>
      </c>
      <c r="M42" t="n">
        <v>1.921514</v>
      </c>
      <c r="N42" t="n">
        <v>4.469949</v>
      </c>
      <c r="O42" t="n">
        <v>3.521021</v>
      </c>
      <c r="P42" t="n">
        <v>5.713305</v>
      </c>
      <c r="Q42" t="n">
        <v>0.155178</v>
      </c>
      <c r="R42" t="n">
        <v>-6.065857</v>
      </c>
      <c r="S42" t="n">
        <v>5.23037</v>
      </c>
      <c r="T42" t="n">
        <v>4.580088</v>
      </c>
      <c r="U42" t="n">
        <v>1.933574</v>
      </c>
      <c r="V42" t="n">
        <v>3.894758</v>
      </c>
      <c r="W42" t="n">
        <v>0.223115</v>
      </c>
      <c r="X42" t="n">
        <v>1.232159</v>
      </c>
      <c r="Y42" t="n">
        <v>-0.492197</v>
      </c>
      <c r="Z42" t="n">
        <v>4.088742</v>
      </c>
      <c r="AA42" t="n">
        <v>2.257831</v>
      </c>
      <c r="AB42" t="n">
        <v>-0.880532</v>
      </c>
    </row>
    <row r="43">
      <c r="A43" t="inlineStr">
        <is>
          <t>United States</t>
        </is>
      </c>
      <c r="C43" t="inlineStr"/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inlineStr">
        <is>
          <t>..</t>
        </is>
      </c>
      <c r="J43" t="n">
        <v>1.316728</v>
      </c>
      <c r="K43" t="n">
        <v>0.822581</v>
      </c>
      <c r="L43" t="n">
        <v>1.439057</v>
      </c>
      <c r="M43" t="n">
        <v>-0.746124</v>
      </c>
      <c r="N43" t="n">
        <v>1.986036</v>
      </c>
      <c r="O43" t="n">
        <v>-0.8242930000000001</v>
      </c>
      <c r="P43" t="n">
        <v>-3.036748</v>
      </c>
      <c r="Q43" t="n">
        <v>6.587466</v>
      </c>
      <c r="R43" t="n">
        <v>-5.030097</v>
      </c>
      <c r="S43" t="n">
        <v>1.458465</v>
      </c>
      <c r="T43" t="n">
        <v>-0.647793</v>
      </c>
      <c r="U43" t="n">
        <v>-0.2569</v>
      </c>
      <c r="V43" t="n">
        <v>1.56337</v>
      </c>
      <c r="W43" t="n">
        <v>3.14111</v>
      </c>
      <c r="X43" t="n">
        <v>1.769299</v>
      </c>
      <c r="Y43" t="n">
        <v>-2.638816</v>
      </c>
      <c r="Z43" t="n">
        <v>0.9937589999999999</v>
      </c>
      <c r="AA43" t="inlineStr">
        <is>
          <t>..</t>
        </is>
      </c>
      <c r="AB43" t="inlineStr">
        <is>
          <t>..</t>
        </is>
      </c>
    </row>
    <row r="44">
      <c r="A44" t="inlineStr">
        <is>
          <t>Euro area (19 countries)</t>
        </is>
      </c>
      <c r="C44" t="inlineStr"/>
      <c r="D44" t="inlineStr">
        <is>
          <t>..</t>
        </is>
      </c>
      <c r="E44" t="n">
        <v>-1.157877</v>
      </c>
      <c r="F44" t="n">
        <v>-2.661496</v>
      </c>
      <c r="G44" t="n">
        <v>-2.383606</v>
      </c>
      <c r="H44" t="n">
        <v>-1.320679</v>
      </c>
      <c r="I44" t="n">
        <v>-1.134459</v>
      </c>
      <c r="J44" t="n">
        <v>-1.679617</v>
      </c>
      <c r="K44" t="n">
        <v>-1.586674</v>
      </c>
      <c r="L44" t="n">
        <v>-0.606784</v>
      </c>
      <c r="M44" t="n">
        <v>-2.679959</v>
      </c>
      <c r="N44" t="n">
        <v>-1.097686</v>
      </c>
      <c r="O44" t="n">
        <v>-0.907246</v>
      </c>
      <c r="P44" t="n">
        <v>0.068416</v>
      </c>
      <c r="Q44" t="n">
        <v>-1.147221</v>
      </c>
      <c r="R44" t="n">
        <v>-4.527947</v>
      </c>
      <c r="S44" t="n">
        <v>0.167577</v>
      </c>
      <c r="T44" t="n">
        <v>-0.349377</v>
      </c>
      <c r="U44" t="n">
        <v>-1.454505</v>
      </c>
      <c r="V44" t="n">
        <v>0.057683</v>
      </c>
      <c r="W44" t="n">
        <v>0.317531</v>
      </c>
      <c r="X44" t="n">
        <v>0.179185</v>
      </c>
      <c r="Y44" t="n">
        <v>-0.232668</v>
      </c>
      <c r="Z44" t="n">
        <v>0.729908</v>
      </c>
      <c r="AA44" t="n">
        <v>0.48106</v>
      </c>
      <c r="AB44" t="n">
        <v>0.330847</v>
      </c>
    </row>
    <row r="45">
      <c r="A45" t="inlineStr">
        <is>
          <t>European Union (28 countries)</t>
        </is>
      </c>
      <c r="C45" t="inlineStr"/>
      <c r="D45" t="inlineStr">
        <is>
          <t>..</t>
        </is>
      </c>
      <c r="E45" t="n">
        <v>-0.479117</v>
      </c>
      <c r="F45" t="n">
        <v>-1.558472</v>
      </c>
      <c r="G45" t="n">
        <v>-0.557488</v>
      </c>
      <c r="H45" t="n">
        <v>-0.350177</v>
      </c>
      <c r="I45" t="n">
        <v>-0.158416</v>
      </c>
      <c r="J45" t="n">
        <v>-0.306437</v>
      </c>
      <c r="K45" t="n">
        <v>-1.678861</v>
      </c>
      <c r="L45" t="n">
        <v>0.144678</v>
      </c>
      <c r="M45" t="n">
        <v>-1.757289</v>
      </c>
      <c r="N45" t="n">
        <v>0.139871</v>
      </c>
      <c r="O45" t="n">
        <v>0.154953</v>
      </c>
      <c r="P45" t="n">
        <v>0.8386209999999999</v>
      </c>
      <c r="Q45" t="n">
        <v>-0.874138</v>
      </c>
      <c r="R45" t="n">
        <v>-4.975083</v>
      </c>
      <c r="S45" t="n">
        <v>0.946585</v>
      </c>
      <c r="T45" t="n">
        <v>0.551949</v>
      </c>
      <c r="U45" t="n">
        <v>-0.594297</v>
      </c>
      <c r="V45" t="n">
        <v>0.842648</v>
      </c>
      <c r="W45" t="n">
        <v>-0.049942</v>
      </c>
      <c r="X45" t="n">
        <v>0.762741</v>
      </c>
      <c r="Y45" t="n">
        <v>-0.241422</v>
      </c>
      <c r="Z45" t="n">
        <v>1.634242</v>
      </c>
      <c r="AA45" t="n">
        <v>1.172594</v>
      </c>
      <c r="AB45" t="n">
        <v>0.342258</v>
      </c>
    </row>
    <row r="46">
      <c r="A46" t="inlineStr">
        <is>
          <t>Non-OECD Economies</t>
        </is>
      </c>
      <c r="B46" t="inlineStr">
        <is>
          <t xml:space="preserve">  Brazil</t>
        </is>
      </c>
      <c r="C46" t="inlineStr"/>
      <c r="D46" t="inlineStr">
        <is>
          <t>..</t>
        </is>
      </c>
      <c r="E46" t="inlineStr">
        <is>
          <t>..</t>
        </is>
      </c>
      <c r="F46" t="inlineStr">
        <is>
          <t>..</t>
        </is>
      </c>
      <c r="G46" t="inlineStr">
        <is>
          <t>..</t>
        </is>
      </c>
      <c r="H46" t="inlineStr">
        <is>
          <t>..</t>
        </is>
      </c>
      <c r="I46" t="inlineStr">
        <is>
          <t>..</t>
        </is>
      </c>
      <c r="J46" t="n">
        <v>-3.257626</v>
      </c>
      <c r="K46" t="n">
        <v>1.728405</v>
      </c>
      <c r="L46" t="n">
        <v>-3.755219</v>
      </c>
      <c r="M46" t="n">
        <v>-4.208411</v>
      </c>
      <c r="N46" t="n">
        <v>3.037165</v>
      </c>
      <c r="O46" t="n">
        <v>-3.502249</v>
      </c>
      <c r="P46" t="n">
        <v>2.610402</v>
      </c>
      <c r="Q46" t="n">
        <v>1.416759</v>
      </c>
      <c r="R46" t="n">
        <v>0.317301</v>
      </c>
      <c r="S46" t="n">
        <v>66.60112599999999</v>
      </c>
      <c r="T46" t="n">
        <v>-1.355408</v>
      </c>
      <c r="U46" t="n">
        <v>2.120549</v>
      </c>
      <c r="V46" t="n">
        <v>-0.708547</v>
      </c>
      <c r="W46" t="n">
        <v>-1.711383</v>
      </c>
      <c r="X46" t="n">
        <v>-3.767065</v>
      </c>
      <c r="Y46" t="n">
        <v>0.70522</v>
      </c>
      <c r="Z46" t="n">
        <v>-1.916157</v>
      </c>
      <c r="AA46" t="inlineStr">
        <is>
          <t>..</t>
        </is>
      </c>
      <c r="AB46" t="inlineStr">
        <is>
          <t>..</t>
        </is>
      </c>
    </row>
    <row r="47">
      <c r="B47" t="inlineStr">
        <is>
          <t xml:space="preserve">  Costa Rica</t>
        </is>
      </c>
      <c r="C47" t="inlineStr"/>
      <c r="D47" t="n">
        <v>10.380354</v>
      </c>
      <c r="E47" t="n">
        <v>4.653601</v>
      </c>
      <c r="F47" t="n">
        <v>-22.957085</v>
      </c>
      <c r="G47" t="n">
        <v>-6.265879</v>
      </c>
      <c r="H47" t="n">
        <v>6.601172</v>
      </c>
      <c r="I47" t="n">
        <v>14.889143</v>
      </c>
      <c r="J47" t="n">
        <v>-45.465946</v>
      </c>
      <c r="K47" t="n">
        <v>8.801130000000001</v>
      </c>
      <c r="L47" t="n">
        <v>8.92249</v>
      </c>
      <c r="M47" t="n">
        <v>13.882789</v>
      </c>
      <c r="N47" t="n">
        <v>0.263008</v>
      </c>
      <c r="O47" t="n">
        <v>17.501512</v>
      </c>
      <c r="P47" t="n">
        <v>9.340503999999999</v>
      </c>
      <c r="Q47" t="n">
        <v>4.953843</v>
      </c>
      <c r="R47" t="n">
        <v>10.778034</v>
      </c>
      <c r="S47" t="n">
        <v>-1.318296</v>
      </c>
      <c r="T47" t="n">
        <v>9.455068000000001</v>
      </c>
      <c r="U47" t="n">
        <v>-8.960265</v>
      </c>
      <c r="V47" t="n">
        <v>7.308538</v>
      </c>
      <c r="W47" t="n">
        <v>-8.493128</v>
      </c>
      <c r="X47" t="n">
        <v>13.967247</v>
      </c>
      <c r="Y47" t="n">
        <v>10.072654</v>
      </c>
      <c r="Z47" t="n">
        <v>-2.548554</v>
      </c>
      <c r="AA47" t="n">
        <v>1.711827</v>
      </c>
      <c r="AB47" t="inlineStr">
        <is>
          <t>..</t>
        </is>
      </c>
    </row>
    <row r="48">
      <c r="A48" t="inlineStr">
        <is>
          <t>Data extracted on 04 Jun 2020 21:47 UTC (GMT) from OECD.Stat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IT-year convention: BEbIC (non-SY) = 2025 employment = 2024 data x (1+g2025)/(1+LP2025). Row 3 references the live 'g2025 derivation' tab; row 4 computes labor-productivity growth from the embedded OECD group tabs (same as the LPGRbIC workbook).</t>
        </is>
      </c>
    </row>
    <row r="2">
      <c r="B2" s="1" t="inlineStr">
        <is>
          <t>ISIC 01</t>
        </is>
      </c>
      <c r="C2" s="1" t="inlineStr">
        <is>
          <t>ISIC 02</t>
        </is>
      </c>
      <c r="D2" s="1" t="inlineStr">
        <is>
          <t>ISIC 03</t>
        </is>
      </c>
      <c r="E2" s="1" t="inlineStr">
        <is>
          <t>ISIC 05</t>
        </is>
      </c>
      <c r="F2" s="1" t="inlineStr">
        <is>
          <t>ISIC 06</t>
        </is>
      </c>
      <c r="G2" s="1" t="inlineStr">
        <is>
          <t>ISIC 07</t>
        </is>
      </c>
      <c r="H2" s="1" t="inlineStr">
        <is>
          <t>ISIC 08</t>
        </is>
      </c>
      <c r="I2" s="1" t="inlineStr">
        <is>
          <t>ISIC 09</t>
        </is>
      </c>
      <c r="J2" s="1" t="inlineStr">
        <is>
          <t>ISIC 10T12</t>
        </is>
      </c>
      <c r="K2" s="1" t="inlineStr">
        <is>
          <t>ISIC 13T15</t>
        </is>
      </c>
      <c r="L2" s="1" t="inlineStr">
        <is>
          <t>ISIC 16</t>
        </is>
      </c>
      <c r="M2" s="1" t="inlineStr">
        <is>
          <t>ISIC 17T18</t>
        </is>
      </c>
      <c r="N2" s="1" t="inlineStr">
        <is>
          <t>ISIC 19</t>
        </is>
      </c>
      <c r="O2" s="1" t="inlineStr">
        <is>
          <t>ISIC 20</t>
        </is>
      </c>
      <c r="P2" s="1" t="inlineStr">
        <is>
          <t>ISIC 21</t>
        </is>
      </c>
      <c r="Q2" s="1" t="inlineStr">
        <is>
          <t>ISIC 22</t>
        </is>
      </c>
      <c r="R2" s="1" t="inlineStr">
        <is>
          <t>ISIC 231</t>
        </is>
      </c>
      <c r="S2" s="1" t="inlineStr">
        <is>
          <t>ISIC 239</t>
        </is>
      </c>
      <c r="T2" s="1" t="inlineStr">
        <is>
          <t>ISIC 241</t>
        </is>
      </c>
      <c r="U2" s="1" t="inlineStr">
        <is>
          <t>ISIC 242</t>
        </is>
      </c>
      <c r="V2" s="1" t="inlineStr">
        <is>
          <t>ISIC 25</t>
        </is>
      </c>
      <c r="W2" s="1" t="inlineStr">
        <is>
          <t>ISIC 26</t>
        </is>
      </c>
      <c r="X2" s="1" t="inlineStr">
        <is>
          <t>ISIC 27</t>
        </is>
      </c>
      <c r="Y2" s="1" t="inlineStr">
        <is>
          <t>ISIC 28</t>
        </is>
      </c>
      <c r="Z2" s="1" t="inlineStr">
        <is>
          <t>ISIC 29</t>
        </is>
      </c>
      <c r="AA2" s="1" t="inlineStr">
        <is>
          <t>ISIC 301</t>
        </is>
      </c>
      <c r="AB2" s="1" t="inlineStr">
        <is>
          <t>ISIC 302T309</t>
        </is>
      </c>
      <c r="AC2" s="1" t="inlineStr">
        <is>
          <t>ISIC 31T33</t>
        </is>
      </c>
      <c r="AD2" s="1" t="inlineStr">
        <is>
          <t>ISIC 351</t>
        </is>
      </c>
      <c r="AE2" s="1" t="inlineStr">
        <is>
          <t>ISIC 352T353</t>
        </is>
      </c>
      <c r="AF2" s="1" t="inlineStr">
        <is>
          <t>ISIC 36T39</t>
        </is>
      </c>
      <c r="AG2" s="1" t="inlineStr">
        <is>
          <t>ISIC 41T43</t>
        </is>
      </c>
      <c r="AH2" s="1" t="inlineStr">
        <is>
          <t>ISIC 45T47</t>
        </is>
      </c>
      <c r="AI2" s="1" t="inlineStr">
        <is>
          <t>ISIC 49</t>
        </is>
      </c>
      <c r="AJ2" s="1" t="inlineStr">
        <is>
          <t>ISIC 50</t>
        </is>
      </c>
      <c r="AK2" s="1" t="inlineStr">
        <is>
          <t>ISIC 51</t>
        </is>
      </c>
      <c r="AL2" s="1" t="inlineStr">
        <is>
          <t>ISIC 52</t>
        </is>
      </c>
      <c r="AM2" s="1" t="inlineStr">
        <is>
          <t>ISIC 53</t>
        </is>
      </c>
      <c r="AN2" s="1" t="inlineStr">
        <is>
          <t>ISIC 55T56</t>
        </is>
      </c>
      <c r="AO2" s="1" t="inlineStr">
        <is>
          <t>ISIC 58T60</t>
        </is>
      </c>
      <c r="AP2" s="1" t="inlineStr">
        <is>
          <t>ISIC 61</t>
        </is>
      </c>
      <c r="AQ2" s="1" t="inlineStr">
        <is>
          <t>ISIC 62T63</t>
        </is>
      </c>
      <c r="AR2" s="1" t="inlineStr">
        <is>
          <t>ISIC 64T66</t>
        </is>
      </c>
      <c r="AS2" s="1" t="inlineStr">
        <is>
          <t>ISIC 68</t>
        </is>
      </c>
      <c r="AT2" s="1" t="inlineStr">
        <is>
          <t>ISIC 69T75</t>
        </is>
      </c>
      <c r="AU2" s="1" t="inlineStr">
        <is>
          <t>ISIC 77T82</t>
        </is>
      </c>
      <c r="AV2" s="1" t="inlineStr">
        <is>
          <t>ISIC 84</t>
        </is>
      </c>
      <c r="AW2" s="1" t="inlineStr">
        <is>
          <t>ISIC 85</t>
        </is>
      </c>
      <c r="AX2" s="1" t="inlineStr">
        <is>
          <t>ISIC 86T88</t>
        </is>
      </c>
      <c r="AY2" s="1" t="inlineStr">
        <is>
          <t>ISIC 90T93</t>
        </is>
      </c>
      <c r="AZ2" s="1" t="inlineStr">
        <is>
          <t>ISIC 94T96</t>
        </is>
      </c>
      <c r="BA2" s="1" t="inlineStr">
        <is>
          <t>ISIC 97T98</t>
        </is>
      </c>
    </row>
    <row r="3">
      <c r="A3" t="inlineStr">
        <is>
          <t>g2025 (output)</t>
        </is>
      </c>
      <c r="B3">
        <f>'g2025 derivation'!B6</f>
        <v/>
      </c>
      <c r="C3">
        <f>'g2025 derivation'!C6</f>
        <v/>
      </c>
      <c r="D3">
        <f>'g2025 derivation'!D6</f>
        <v/>
      </c>
      <c r="E3">
        <f>'g2025 derivation'!E6</f>
        <v/>
      </c>
      <c r="F3">
        <f>'g2025 derivation'!F6</f>
        <v/>
      </c>
      <c r="G3">
        <f>'g2025 derivation'!G6</f>
        <v/>
      </c>
      <c r="H3">
        <f>'g2025 derivation'!H6</f>
        <v/>
      </c>
      <c r="I3">
        <f>'g2025 derivation'!I6</f>
        <v/>
      </c>
      <c r="J3">
        <f>'g2025 derivation'!J6</f>
        <v/>
      </c>
      <c r="K3">
        <f>'g2025 derivation'!K6</f>
        <v/>
      </c>
      <c r="L3">
        <f>'g2025 derivation'!L6</f>
        <v/>
      </c>
      <c r="M3">
        <f>'g2025 derivation'!M6</f>
        <v/>
      </c>
      <c r="N3">
        <f>'g2025 derivation'!N6</f>
        <v/>
      </c>
      <c r="O3">
        <f>'g2025 derivation'!O6</f>
        <v/>
      </c>
      <c r="P3">
        <f>'g2025 derivation'!P6</f>
        <v/>
      </c>
      <c r="Q3">
        <f>'g2025 derivation'!Q6</f>
        <v/>
      </c>
      <c r="R3">
        <f>'g2025 derivation'!R6</f>
        <v/>
      </c>
      <c r="S3">
        <f>'g2025 derivation'!S6</f>
        <v/>
      </c>
      <c r="T3">
        <f>'g2025 derivation'!T6</f>
        <v/>
      </c>
      <c r="U3">
        <f>'g2025 derivation'!U6</f>
        <v/>
      </c>
      <c r="V3">
        <f>'g2025 derivation'!V6</f>
        <v/>
      </c>
      <c r="W3">
        <f>'g2025 derivation'!W6</f>
        <v/>
      </c>
      <c r="X3">
        <f>'g2025 derivation'!X6</f>
        <v/>
      </c>
      <c r="Y3">
        <f>'g2025 derivation'!Y6</f>
        <v/>
      </c>
      <c r="Z3">
        <f>'g2025 derivation'!Z6</f>
        <v/>
      </c>
      <c r="AA3">
        <f>'g2025 derivation'!AA6</f>
        <v/>
      </c>
      <c r="AB3">
        <f>'g2025 derivation'!AB6</f>
        <v/>
      </c>
      <c r="AC3">
        <f>'g2025 derivation'!AC6</f>
        <v/>
      </c>
      <c r="AD3">
        <f>'g2025 derivation'!AD6</f>
        <v/>
      </c>
      <c r="AE3">
        <f>'g2025 derivation'!AE6</f>
        <v/>
      </c>
      <c r="AF3">
        <f>'g2025 derivation'!AF6</f>
        <v/>
      </c>
      <c r="AG3">
        <f>'g2025 derivation'!AG6</f>
        <v/>
      </c>
      <c r="AH3">
        <f>'g2025 derivation'!AH6</f>
        <v/>
      </c>
      <c r="AI3">
        <f>'g2025 derivation'!AI6</f>
        <v/>
      </c>
      <c r="AJ3">
        <f>'g2025 derivation'!AJ6</f>
        <v/>
      </c>
      <c r="AK3">
        <f>'g2025 derivation'!AK6</f>
        <v/>
      </c>
      <c r="AL3">
        <f>'g2025 derivation'!AL6</f>
        <v/>
      </c>
      <c r="AM3">
        <f>'g2025 derivation'!AM6</f>
        <v/>
      </c>
      <c r="AN3">
        <f>'g2025 derivation'!AN6</f>
        <v/>
      </c>
      <c r="AO3">
        <f>'g2025 derivation'!AO6</f>
        <v/>
      </c>
      <c r="AP3">
        <f>'g2025 derivation'!AP6</f>
        <v/>
      </c>
      <c r="AQ3">
        <f>'g2025 derivation'!AQ6</f>
        <v/>
      </c>
      <c r="AR3">
        <f>'g2025 derivation'!AR6</f>
        <v/>
      </c>
      <c r="AS3">
        <f>'g2025 derivation'!AS6</f>
        <v/>
      </c>
      <c r="AT3">
        <f>'g2025 derivation'!AT6</f>
        <v/>
      </c>
      <c r="AU3">
        <f>'g2025 derivation'!AU6</f>
        <v/>
      </c>
      <c r="AV3">
        <f>'g2025 derivation'!AV6</f>
        <v/>
      </c>
      <c r="AW3">
        <f>'g2025 derivation'!AW6</f>
        <v/>
      </c>
      <c r="AX3">
        <f>'g2025 derivation'!AX6</f>
        <v/>
      </c>
      <c r="AY3">
        <f>'g2025 derivation'!AY6</f>
        <v/>
      </c>
      <c r="AZ3">
        <f>'g2025 derivation'!AZ6</f>
        <v/>
      </c>
      <c r="BA3">
        <f>'g2025 derivation'!BA6</f>
        <v/>
      </c>
    </row>
    <row r="4">
      <c r="A4" t="inlineStr">
        <is>
          <t>LP growth 2025</t>
        </is>
      </c>
      <c r="B4">
        <f>AVERAGE('OECD Manufacturing'!$D$43:$AB$43)/100</f>
        <v/>
      </c>
      <c r="C4">
        <f>AVERAGE('OECD Manufacturing'!$D$43:$AB$43)/100</f>
        <v/>
      </c>
      <c r="D4">
        <f>AVERAGE('OECD Manufacturing'!$D$43:$AB$43)/100</f>
        <v/>
      </c>
      <c r="E4">
        <f>AVERAGE('OECD Mining &amp; Utilities'!$D$43:$AB$43)/100</f>
        <v/>
      </c>
      <c r="F4">
        <f>AVERAGE('OECD Mining &amp; Utilities'!$D$43:$AB$43)/100</f>
        <v/>
      </c>
      <c r="G4">
        <f>AVERAGE('OECD Mining &amp; Utilities'!$D$43:$AB$43)/100</f>
        <v/>
      </c>
      <c r="H4">
        <f>AVERAGE('OECD Mining &amp; Utilities'!$D$43:$AB$43)/100</f>
        <v/>
      </c>
      <c r="I4">
        <f>AVERAGE('OECD Mining &amp; Utilities'!$D$43:$AB$43)/100</f>
        <v/>
      </c>
      <c r="J4">
        <f>AVERAGE('OECD Manufacturing'!$D$43:$AB$43)/100</f>
        <v/>
      </c>
      <c r="K4">
        <f>AVERAGE('OECD Manufacturing'!$D$43:$AB$43)/100</f>
        <v/>
      </c>
      <c r="L4">
        <f>AVERAGE('OECD Manufacturing'!$D$43:$AB$43)/100</f>
        <v/>
      </c>
      <c r="M4">
        <f>AVERAGE('OECD Manufacturing'!$D$43:$AB$43)/100</f>
        <v/>
      </c>
      <c r="N4">
        <f>AVERAGE('OECD Manufacturing'!$D$43:$AB$43)/100</f>
        <v/>
      </c>
      <c r="O4">
        <f>AVERAGE('OECD Manufacturing'!$D$43:$AB$43)/100</f>
        <v/>
      </c>
      <c r="P4">
        <f>AVERAGE('OECD Manufacturing'!$D$43:$AB$43)/100</f>
        <v/>
      </c>
      <c r="Q4">
        <f>AVERAGE('OECD Manufacturing'!$D$43:$AB$43)/100</f>
        <v/>
      </c>
      <c r="R4">
        <f>AVERAGE('OECD Manufacturing'!$D$43:$AB$43)/100</f>
        <v/>
      </c>
      <c r="S4">
        <f>AVERAGE('OECD Manufacturing'!$D$43:$AB$43)/100</f>
        <v/>
      </c>
      <c r="T4">
        <f>AVERAGE('OECD Manufacturing'!$D$43:$AB$43)/100</f>
        <v/>
      </c>
      <c r="U4">
        <f>AVERAGE('OECD Manufacturing'!$D$43:$AB$43)/100</f>
        <v/>
      </c>
      <c r="V4">
        <f>AVERAGE('OECD Manufacturing'!$D$43:$AB$43)/100</f>
        <v/>
      </c>
      <c r="W4">
        <f>AVERAGE('OECD Manufacturing'!$D$43:$AB$43)/100</f>
        <v/>
      </c>
      <c r="X4">
        <f>AVERAGE('OECD Manufacturing'!$D$43:$AB$43)/100</f>
        <v/>
      </c>
      <c r="Y4">
        <f>AVERAGE('OECD Manufacturing'!$D$43:$AB$43)/100</f>
        <v/>
      </c>
      <c r="Z4">
        <f>AVERAGE('OECD Manufacturing'!$D$43:$AB$43)/100</f>
        <v/>
      </c>
      <c r="AA4">
        <f>AVERAGE('OECD Manufacturing'!$D$43:$AB$43)/100</f>
        <v/>
      </c>
      <c r="AB4">
        <f>AVERAGE('OECD Manufacturing'!$D$43:$AB$43)/100</f>
        <v/>
      </c>
      <c r="AC4">
        <f>AVERAGE('OECD Manufacturing'!$D$43:$AB$43)/100</f>
        <v/>
      </c>
      <c r="AD4">
        <f>AVERAGE('OECD Mining &amp; Utilities'!$D$43:$AB$43)/100</f>
        <v/>
      </c>
      <c r="AE4">
        <f>AVERAGE('OECD Mining &amp; Utilities'!$D$43:$AB$43)/100</f>
        <v/>
      </c>
      <c r="AF4">
        <f>AVERAGE('OECD Mining &amp; Utilities'!$D$43:$AB$43)/100</f>
        <v/>
      </c>
      <c r="AG4">
        <f>AVERAGE('OECD Construction'!$D$43:$AB$43)/100</f>
        <v/>
      </c>
      <c r="AH4">
        <f>AVERAGE('OECD Transport Retail Food'!$D$43:$AB$43)/100</f>
        <v/>
      </c>
      <c r="AI4">
        <f>AVERAGE('OECD Transport Retail Food'!$D$43:$AB$43)/100</f>
        <v/>
      </c>
      <c r="AJ4">
        <f>AVERAGE('OECD Transport Retail Food'!$D$43:$AB$43)/100</f>
        <v/>
      </c>
      <c r="AK4">
        <f>AVERAGE('OECD Transport Retail Food'!$D$43:$AB$43)/100</f>
        <v/>
      </c>
      <c r="AL4">
        <f>AVERAGE('OECD Transport Retail Food'!$D$43:$AB$43)/100</f>
        <v/>
      </c>
      <c r="AM4">
        <f>AVERAGE('OECD Transport Retail Food'!$D$43:$AB$43)/100</f>
        <v/>
      </c>
      <c r="AN4">
        <f>AVERAGE('OECD Transport Retail Food'!$D$43:$AB$43)/100</f>
        <v/>
      </c>
      <c r="AO4">
        <f>AVERAGE('OECD Info Comms'!$D$43:$AB$43)/100</f>
        <v/>
      </c>
      <c r="AP4">
        <f>AVERAGE('OECD Info Comms'!$D$43:$AB$43)/100</f>
        <v/>
      </c>
      <c r="AQ4">
        <f>AVERAGE('OECD Info Comms'!$D$43:$AB$43)/100</f>
        <v/>
      </c>
      <c r="AR4">
        <f>AVERAGE('OECD Finance Insurance'!$D$43:$AB$43)/100</f>
        <v/>
      </c>
      <c r="AS4">
        <f>AVERAGE('OECD Finance Insurance'!$D$43:$AB$43)/100</f>
        <v/>
      </c>
      <c r="AT4">
        <f>AVERAGE('OECD Finance Insurance'!$D$43:$AB$43)/100</f>
        <v/>
      </c>
      <c r="AU4">
        <f>AVERAGE('OECD Finance Insurance'!$D$43:$AB$43)/100</f>
        <v/>
      </c>
      <c r="AV4">
        <f>AVERAGE('OECD Prof Tech Admin'!$D$43:$AB$43)/100</f>
        <v/>
      </c>
      <c r="AW4">
        <f>AVERAGE('OECD Prof Tech Admin'!$D$43:$AB$43)/100</f>
        <v/>
      </c>
      <c r="AX4">
        <f>AVERAGE('OECD Prof Tech Admin'!$D$43:$AB$43)/100</f>
        <v/>
      </c>
      <c r="AY4">
        <f>AVERAGE('OECD Prof Tech Admin'!$D$43:$AB$43)/100</f>
        <v/>
      </c>
      <c r="AZ4">
        <f>AVERAGE('OECD Prof Tech Admin'!$D$43:$AB$43)/100</f>
        <v/>
      </c>
      <c r="BA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Validation checks</t>
        </is>
      </c>
    </row>
    <row r="3">
      <c r="A3" t="inlineStr">
        <is>
          <t>CPS ag split shares sum to 1</t>
        </is>
      </c>
    </row>
    <row r="4">
      <c r="B4">
        <f>'BLS 2.11 ag excerpt'!B9+'BLS 2.11 ag excerpt'!B10+'BLS 2.11 ag excerpt'!B11</f>
        <v/>
      </c>
      <c r="C4" s="1">
        <f>IF(ABS(B4-1)&lt;0.000000001,"PASS","FAIL")</f>
        <v/>
      </c>
    </row>
    <row r="6">
      <c r="A6" t="inlineStr">
        <is>
          <t>Total employment (sum of output row, jobs)</t>
        </is>
      </c>
    </row>
    <row r="7">
      <c r="B7">
        <f>SUM(BEbIC!B2:BA2)</f>
        <v/>
      </c>
    </row>
    <row r="9">
      <c r="A9" t="inlineStr">
        <is>
          <t>BLS CONTROL TOTAL (2024 basis): all assigned CES rows + CPS farm + IPUMS households vs published CES Total nonfarm + CPS farm + households — catches double-counted or missed CES rows</t>
        </is>
      </c>
    </row>
    <row r="10">
      <c r="A10" t="inlineStr">
        <is>
          <t>assigned total (2024)</t>
        </is>
      </c>
      <c r="B10">
        <f>SUMIF('BLS Employment'!$A:$A,"ISIC*",'BLS Employment'!$G:$G)*1000+'BLS Employment'!$G$468*1000+'BLS Employment'!$B$5+'BLS Employment'!$B$9</f>
        <v/>
      </c>
    </row>
    <row r="11">
      <c r="A11" t="inlineStr">
        <is>
          <t>control total (CES Total nonfarm x1000 + CPS farm + households)</t>
        </is>
      </c>
      <c r="B11">
        <f>'BLS Employment'!$G$42*1000+'BLS Employment'!$B$5+'BLS Employment'!$B$9</f>
        <v/>
      </c>
    </row>
    <row r="12">
      <c r="A12" t="inlineStr">
        <is>
          <t>relative gap</t>
        </is>
      </c>
      <c r="B12">
        <f>B10/B11-1</f>
        <v/>
      </c>
      <c r="C12" s="1">
        <f>IF(ABS(B12)&lt;0.005,"PASS","INSPECT")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jobs</t>
        </is>
      </c>
      <c r="B1" s="1" t="inlineStr">
        <is>
          <t>ISIC 01</t>
        </is>
      </c>
      <c r="C1" s="1" t="inlineStr">
        <is>
          <t>ISIC 02</t>
        </is>
      </c>
      <c r="D1" s="1" t="inlineStr">
        <is>
          <t>ISIC 03</t>
        </is>
      </c>
      <c r="E1" s="1" t="inlineStr">
        <is>
          <t>ISIC 05</t>
        </is>
      </c>
      <c r="F1" s="1" t="inlineStr">
        <is>
          <t>ISIC 06</t>
        </is>
      </c>
      <c r="G1" s="1" t="inlineStr">
        <is>
          <t>ISIC 07</t>
        </is>
      </c>
      <c r="H1" s="1" t="inlineStr">
        <is>
          <t>ISIC 08</t>
        </is>
      </c>
      <c r="I1" s="1" t="inlineStr">
        <is>
          <t>ISIC 09</t>
        </is>
      </c>
      <c r="J1" s="1" t="inlineStr">
        <is>
          <t>ISIC 10T12</t>
        </is>
      </c>
      <c r="K1" s="1" t="inlineStr">
        <is>
          <t>ISIC 13T15</t>
        </is>
      </c>
      <c r="L1" s="1" t="inlineStr">
        <is>
          <t>ISIC 16</t>
        </is>
      </c>
      <c r="M1" s="1" t="inlineStr">
        <is>
          <t>ISIC 17T18</t>
        </is>
      </c>
      <c r="N1" s="1" t="inlineStr">
        <is>
          <t>ISIC 19</t>
        </is>
      </c>
      <c r="O1" s="1" t="inlineStr">
        <is>
          <t>ISIC 20</t>
        </is>
      </c>
      <c r="P1" s="1" t="inlineStr">
        <is>
          <t>ISIC 21</t>
        </is>
      </c>
      <c r="Q1" s="1" t="inlineStr">
        <is>
          <t>ISIC 22</t>
        </is>
      </c>
      <c r="R1" s="1" t="inlineStr">
        <is>
          <t>ISIC 231</t>
        </is>
      </c>
      <c r="S1" s="1" t="inlineStr">
        <is>
          <t>ISIC 239</t>
        </is>
      </c>
      <c r="T1" s="1" t="inlineStr">
        <is>
          <t>ISIC 241</t>
        </is>
      </c>
      <c r="U1" s="1" t="inlineStr">
        <is>
          <t>ISIC 242</t>
        </is>
      </c>
      <c r="V1" s="1" t="inlineStr">
        <is>
          <t>ISIC 25</t>
        </is>
      </c>
      <c r="W1" s="1" t="inlineStr">
        <is>
          <t>ISIC 26</t>
        </is>
      </c>
      <c r="X1" s="1" t="inlineStr">
        <is>
          <t>ISIC 27</t>
        </is>
      </c>
      <c r="Y1" s="1" t="inlineStr">
        <is>
          <t>ISIC 28</t>
        </is>
      </c>
      <c r="Z1" s="1" t="inlineStr">
        <is>
          <t>ISIC 29</t>
        </is>
      </c>
      <c r="AA1" s="1" t="inlineStr">
        <is>
          <t>ISIC 301</t>
        </is>
      </c>
      <c r="AB1" s="1" t="inlineStr">
        <is>
          <t>ISIC 302T309</t>
        </is>
      </c>
      <c r="AC1" s="1" t="inlineStr">
        <is>
          <t>ISIC 31T33</t>
        </is>
      </c>
      <c r="AD1" s="1" t="inlineStr">
        <is>
          <t>ISIC 351</t>
        </is>
      </c>
      <c r="AE1" s="1" t="inlineStr">
        <is>
          <t>ISIC 352T353</t>
        </is>
      </c>
      <c r="AF1" s="1" t="inlineStr">
        <is>
          <t>ISIC 36T39</t>
        </is>
      </c>
      <c r="AG1" s="1" t="inlineStr">
        <is>
          <t>ISIC 41T43</t>
        </is>
      </c>
      <c r="AH1" s="1" t="inlineStr">
        <is>
          <t>ISIC 45T47</t>
        </is>
      </c>
      <c r="AI1" s="1" t="inlineStr">
        <is>
          <t>ISIC 49</t>
        </is>
      </c>
      <c r="AJ1" s="1" t="inlineStr">
        <is>
          <t>ISIC 50</t>
        </is>
      </c>
      <c r="AK1" s="1" t="inlineStr">
        <is>
          <t>ISIC 51</t>
        </is>
      </c>
      <c r="AL1" s="1" t="inlineStr">
        <is>
          <t>ISIC 52</t>
        </is>
      </c>
      <c r="AM1" s="1" t="inlineStr">
        <is>
          <t>ISIC 53</t>
        </is>
      </c>
      <c r="AN1" s="1" t="inlineStr">
        <is>
          <t>ISIC 55T56</t>
        </is>
      </c>
      <c r="AO1" s="1" t="inlineStr">
        <is>
          <t>ISIC 58T60</t>
        </is>
      </c>
      <c r="AP1" s="1" t="inlineStr">
        <is>
          <t>ISIC 61</t>
        </is>
      </c>
      <c r="AQ1" s="1" t="inlineStr">
        <is>
          <t>ISIC 62T63</t>
        </is>
      </c>
      <c r="AR1" s="1" t="inlineStr">
        <is>
          <t>ISIC 64T66</t>
        </is>
      </c>
      <c r="AS1" s="1" t="inlineStr">
        <is>
          <t>ISIC 68</t>
        </is>
      </c>
      <c r="AT1" s="1" t="inlineStr">
        <is>
          <t>ISIC 69T75</t>
        </is>
      </c>
      <c r="AU1" s="1" t="inlineStr">
        <is>
          <t>ISIC 77T82</t>
        </is>
      </c>
      <c r="AV1" s="1" t="inlineStr">
        <is>
          <t>ISIC 84</t>
        </is>
      </c>
      <c r="AW1" s="1" t="inlineStr">
        <is>
          <t>ISIC 85</t>
        </is>
      </c>
      <c r="AX1" s="1" t="inlineStr">
        <is>
          <t>ISIC 86T88</t>
        </is>
      </c>
      <c r="AY1" s="1" t="inlineStr">
        <is>
          <t>ISIC 90T93</t>
        </is>
      </c>
      <c r="AZ1" s="1" t="inlineStr">
        <is>
          <t>ISIC 94T96</t>
        </is>
      </c>
      <c r="BA1" s="1" t="inlineStr">
        <is>
          <t>ISIC 97T98</t>
        </is>
      </c>
    </row>
    <row r="2">
      <c r="A2" t="inlineStr">
        <is>
          <t>Employment</t>
        </is>
      </c>
      <c r="B2">
        <f>(SUMIF('BLS Employment'!$A:$A,B$1,'BLS Employment'!$G:$G)*1000+'BLS Employment'!$B$5*'BLS 2.11 ag excerpt'!$B$9)*(1+'2025 projection'!B$3)/(1+'2025 projection'!B$4)</f>
        <v/>
      </c>
      <c r="C2">
        <f>(SUMIF('BLS Employment'!$A:$A,C$1,'BLS Employment'!$G:$G)*1000+'BLS Employment'!$B$5*'BLS 2.11 ag excerpt'!$B$10)*(1+'2025 projection'!C$3)/(1+'2025 projection'!C$4)</f>
        <v/>
      </c>
      <c r="D2">
        <f>(SUMIF('BLS Employment'!$A:$A,D$1,'BLS Employment'!$G:$G)*1000+'BLS Employment'!$B$5*'BLS 2.11 ag excerpt'!$B$11)*(1+'2025 projection'!D$3)/(1+'2025 projection'!D$4)</f>
        <v/>
      </c>
      <c r="E2">
        <f>(SUMIF('BLS Employment'!$A:$A,E$1,'BLS Employment'!$G:$G)*1000)*(1+'2025 projection'!E$3)/(1+'2025 projection'!E$4)</f>
        <v/>
      </c>
      <c r="F2">
        <f>(SUMIF('BLS Employment'!$A:$A,F$1,'BLS Employment'!$G:$G)*1000)*(1+'2025 projection'!F$3)/(1+'2025 projection'!F$4)</f>
        <v/>
      </c>
      <c r="G2">
        <f>(SUMIF('BLS Employment'!$A:$A,G$1,'BLS Employment'!$G:$G)*1000)*(1+'2025 projection'!G$3)/(1+'2025 projection'!G$4)</f>
        <v/>
      </c>
      <c r="H2">
        <f>(SUMIF('BLS Employment'!$A:$A,H$1,'BLS Employment'!$G:$G)*1000)*(1+'2025 projection'!H$3)/(1+'2025 projection'!H$4)</f>
        <v/>
      </c>
      <c r="I2">
        <f>(SUMIF('BLS Employment'!$A:$A,I$1,'BLS Employment'!$G:$G)*1000)*(1+'2025 projection'!I$3)/(1+'2025 projection'!I$4)</f>
        <v/>
      </c>
      <c r="J2">
        <f>(SUMIF('BLS Employment'!$A:$A,J$1,'BLS Employment'!$G:$G)*1000)*(1+'2025 projection'!J$3)/(1+'2025 projection'!J$4)</f>
        <v/>
      </c>
      <c r="K2">
        <f>(SUMIF('BLS Employment'!$A:$A,K$1,'BLS Employment'!$G:$G)*1000)*(1+'2025 projection'!K$3)/(1+'2025 projection'!K$4)</f>
        <v/>
      </c>
      <c r="L2">
        <f>(SUMIF('BLS Employment'!$A:$A,L$1,'BLS Employment'!$G:$G)*1000)*(1+'2025 projection'!L$3)/(1+'2025 projection'!L$4)</f>
        <v/>
      </c>
      <c r="M2">
        <f>(SUMIF('BLS Employment'!$A:$A,M$1,'BLS Employment'!$G:$G)*1000)*(1+'2025 projection'!M$3)/(1+'2025 projection'!M$4)</f>
        <v/>
      </c>
      <c r="N2">
        <f>(SUMIF('BLS Employment'!$A:$A,N$1,'BLS Employment'!$G:$G)*1000)*(1+'2025 projection'!N$3)/(1+'2025 projection'!N$4)</f>
        <v/>
      </c>
      <c r="O2">
        <f>(SUMIF('BLS Employment'!$A:$A,O$1,'BLS Employment'!$G:$G)*1000)*(1+'2025 projection'!O$3)/(1+'2025 projection'!O$4)</f>
        <v/>
      </c>
      <c r="P2">
        <f>(SUMIF('BLS Employment'!$A:$A,P$1,'BLS Employment'!$G:$G)*1000)*(1+'2025 projection'!P$3)/(1+'2025 projection'!P$4)</f>
        <v/>
      </c>
      <c r="Q2">
        <f>(SUMIF('BLS Employment'!$A:$A,Q$1,'BLS Employment'!$G:$G)*1000)*(1+'2025 projection'!Q$3)/(1+'2025 projection'!Q$4)</f>
        <v/>
      </c>
      <c r="R2">
        <f>(SUMIF('BLS Employment'!$A:$A,R$1,'BLS Employment'!$G:$G)*1000)*(1+'2025 projection'!R$3)/(1+'2025 projection'!R$4)</f>
        <v/>
      </c>
      <c r="S2">
        <f>(SUMIF('BLS Employment'!$A:$A,S$1,'BLS Employment'!$G:$G)*1000)*(1+'2025 projection'!S$3)/(1+'2025 projection'!S$4)</f>
        <v/>
      </c>
      <c r="T2">
        <f>(SUMIF('BLS Employment'!$A:$A,T$1,'BLS Employment'!$G:$G)*1000)*(1+'2025 projection'!T$3)/(1+'2025 projection'!T$4)</f>
        <v/>
      </c>
      <c r="U2">
        <f>(SUMIF('BLS Employment'!$A:$A,U$1,'BLS Employment'!$G:$G)*1000)*(1+'2025 projection'!U$3)/(1+'2025 projection'!U$4)</f>
        <v/>
      </c>
      <c r="V2">
        <f>(SUMIF('BLS Employment'!$A:$A,V$1,'BLS Employment'!$G:$G)*1000)*(1+'2025 projection'!V$3)/(1+'2025 projection'!V$4)</f>
        <v/>
      </c>
      <c r="W2">
        <f>(SUMIF('BLS Employment'!$A:$A,W$1,'BLS Employment'!$G:$G)*1000)*(1+'2025 projection'!W$3)/(1+'2025 projection'!W$4)</f>
        <v/>
      </c>
      <c r="X2">
        <f>(SUMIF('BLS Employment'!$A:$A,X$1,'BLS Employment'!$G:$G)*1000)*(1+'2025 projection'!X$3)/(1+'2025 projection'!X$4)</f>
        <v/>
      </c>
      <c r="Y2">
        <f>(SUMIF('BLS Employment'!$A:$A,Y$1,'BLS Employment'!$G:$G)*1000)*(1+'2025 projection'!Y$3)/(1+'2025 projection'!Y$4)</f>
        <v/>
      </c>
      <c r="Z2">
        <f>(SUMIF('BLS Employment'!$A:$A,Z$1,'BLS Employment'!$G:$G)*1000)*(1+'2025 projection'!Z$3)/(1+'2025 projection'!Z$4)</f>
        <v/>
      </c>
      <c r="AA2">
        <f>(SUMIF('BLS Employment'!$A:$A,AA$1,'BLS Employment'!$G:$G)*1000)*(1+'2025 projection'!AA$3)/(1+'2025 projection'!AA$4)</f>
        <v/>
      </c>
      <c r="AB2">
        <f>(SUMIF('BLS Employment'!$A:$A,AB$1,'BLS Employment'!$G:$G)*1000)*(1+'2025 projection'!AB$3)/(1+'2025 projection'!AB$4)</f>
        <v/>
      </c>
      <c r="AC2">
        <f>(SUMIF('BLS Employment'!$A:$A,AC$1,'BLS Employment'!$G:$G)*1000)*(1+'2025 projection'!AC$3)/(1+'2025 projection'!AC$4)</f>
        <v/>
      </c>
      <c r="AD2">
        <f>(SUMIF('BLS Employment'!$A:$A,AD$1,'BLS Employment'!$G:$G)*1000)*(1+'2025 projection'!AD$3)/(1+'2025 projection'!AD$4)</f>
        <v/>
      </c>
      <c r="AE2">
        <f>(SUMIF('BLS Employment'!$A:$A,AE$1,'BLS Employment'!$G:$G)*1000+'BLS Employment'!$G$468*1000*'BLS 2.11 ag excerpt'!$B$28)*(1+'2025 projection'!AE$3)/(1+'2025 projection'!AE$4)</f>
        <v/>
      </c>
      <c r="AF2">
        <f>(SUMIF('BLS Employment'!$A:$A,AF$1,'BLS Employment'!$G:$G)*1000)*(1+'2025 projection'!AF$3)/(1+'2025 projection'!AF$4)</f>
        <v/>
      </c>
      <c r="AG2">
        <f>(SUMIF('BLS Employment'!$A:$A,AG$1,'BLS Employment'!$G:$G)*1000)*(1+'2025 projection'!AG$3)/(1+'2025 projection'!AG$4)</f>
        <v/>
      </c>
      <c r="AH2">
        <f>(SUMIF('BLS Employment'!$A:$A,AH$1,'BLS Employment'!$G:$G)*1000)*(1+'2025 projection'!AH$3)/(1+'2025 projection'!AH$4)</f>
        <v/>
      </c>
      <c r="AI2">
        <f>(SUMIF('BLS Employment'!$A:$A,AI$1,'BLS Employment'!$G:$G)*1000+'BLS Employment'!$G$468*1000*'BLS 2.11 ag excerpt'!$B$23)*(1+'2025 projection'!AI$3)/(1+'2025 projection'!AI$4)</f>
        <v/>
      </c>
      <c r="AJ2">
        <f>(SUMIF('BLS Employment'!$A:$A,AJ$1,'BLS Employment'!$G:$G)*1000+'BLS Employment'!$G$468*1000*'BLS 2.11 ag excerpt'!$B$24)*(1+'2025 projection'!AJ$3)/(1+'2025 projection'!AJ$4)</f>
        <v/>
      </c>
      <c r="AK2">
        <f>(SUMIF('BLS Employment'!$A:$A,AK$1,'BLS Employment'!$G:$G)*1000+'BLS Employment'!$G$468*1000*'BLS 2.11 ag excerpt'!$B$25)*(1+'2025 projection'!AK$3)/(1+'2025 projection'!AK$4)</f>
        <v/>
      </c>
      <c r="AL2">
        <f>(SUMIF('BLS Employment'!$A:$A,AL$1,'BLS Employment'!$G:$G)*1000+'BLS Employment'!$G$468*1000*'BLS 2.11 ag excerpt'!$B$26)*(1+'2025 projection'!AL$3)/(1+'2025 projection'!AL$4)</f>
        <v/>
      </c>
      <c r="AM2">
        <f>(SUMIF('BLS Employment'!$A:$A,AM$1,'BLS Employment'!$G:$G)*1000+'BLS Employment'!$G$468*1000*'BLS 2.11 ag excerpt'!$B$27)*(1+'2025 projection'!AM$3)/(1+'2025 projection'!AM$4)</f>
        <v/>
      </c>
      <c r="AN2">
        <f>(SUMIF('BLS Employment'!$A:$A,AN$1,'BLS Employment'!$G:$G)*1000)*(1+'2025 projection'!AN$3)/(1+'2025 projection'!AN$4)</f>
        <v/>
      </c>
      <c r="AO2">
        <f>(SUMIF('BLS Employment'!$A:$A,AO$1,'BLS Employment'!$G:$G)*1000)*(1+'2025 projection'!AO$3)/(1+'2025 projection'!AO$4)</f>
        <v/>
      </c>
      <c r="AP2">
        <f>(SUMIF('BLS Employment'!$A:$A,AP$1,'BLS Employment'!$G:$G)*1000)*(1+'2025 projection'!AP$3)/(1+'2025 projection'!AP$4)</f>
        <v/>
      </c>
      <c r="AQ2">
        <f>(SUMIF('BLS Employment'!$A:$A,AQ$1,'BLS Employment'!$G:$G)*1000)*(1+'2025 projection'!AQ$3)/(1+'2025 projection'!AQ$4)</f>
        <v/>
      </c>
      <c r="AR2">
        <f>(SUMIF('BLS Employment'!$A:$A,AR$1,'BLS Employment'!$G:$G)*1000)*(1+'2025 projection'!AR$3)/(1+'2025 projection'!AR$4)</f>
        <v/>
      </c>
      <c r="AS2">
        <f>(SUMIF('BLS Employment'!$A:$A,AS$1,'BLS Employment'!$G:$G)*1000)*(1+'2025 projection'!AS$3)/(1+'2025 projection'!AS$4)</f>
        <v/>
      </c>
      <c r="AT2">
        <f>(SUMIF('BLS Employment'!$A:$A,AT$1,'BLS Employment'!$G:$G)*1000)*(1+'2025 projection'!AT$3)/(1+'2025 projection'!AT$4)</f>
        <v/>
      </c>
      <c r="AU2">
        <f>(SUMIF('BLS Employment'!$A:$A,AU$1,'BLS Employment'!$G:$G)*1000)*(1+'2025 projection'!AU$3)/(1+'2025 projection'!AU$4)</f>
        <v/>
      </c>
      <c r="AV2">
        <f>(SUMIF('BLS Employment'!$A:$A,AV$1,'BLS Employment'!$G:$G)*1000)*(1+'2025 projection'!AV$3)/(1+'2025 projection'!AV$4)</f>
        <v/>
      </c>
      <c r="AW2">
        <f>(SUMIF('BLS Employment'!$A:$A,AW$1,'BLS Employment'!$G:$G)*1000)*(1+'2025 projection'!AW$3)/(1+'2025 projection'!AW$4)</f>
        <v/>
      </c>
      <c r="AX2">
        <f>(SUMIF('BLS Employment'!$A:$A,AX$1,'BLS Employment'!$G:$G)*1000)*(1+'2025 projection'!AX$3)/(1+'2025 projection'!AX$4)</f>
        <v/>
      </c>
      <c r="AY2">
        <f>(SUMIF('BLS Employment'!$A:$A,AY$1,'BLS Employment'!$G:$G)*1000)*(1+'2025 projection'!AY$3)/(1+'2025 projection'!AY$4)</f>
        <v/>
      </c>
      <c r="AZ2">
        <f>(SUMIF('BLS Employment'!$A:$A,AZ$1,'BLS Employment'!$G:$G)*1000)*(1+'2025 projection'!AZ$3)/(1+'2025 projection'!AZ$4)</f>
        <v/>
      </c>
      <c r="BA2">
        <f>(SUMIF('BLS Employment'!$A:$A,BA$1,'BLS Employment'!$G:$G)*1000+'BLS Employment'!$B$9)*(1+'2025 projection'!BA$3)/(1+'2025 projection'!BA$4)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2026-07-21T14:40:22Z</dcterms:created>
  <dcterms:modified xmlns:dcterms="http://purl.org/dc/terms/" xmlns:xsi="http://www.w3.org/2001/XMLSchema-instance" xsi:type="dcterms:W3CDTF">2026-07-21T14:40:22Z</dcterms:modified>
</cp:coreProperties>
</file>