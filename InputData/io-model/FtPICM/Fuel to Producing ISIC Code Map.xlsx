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isic42-staging\io-model\FtPICM\"/>
    </mc:Choice>
  </mc:AlternateContent>
  <xr:revisionPtr revIDLastSave="0" documentId="11_C4ADEDDEDD3B5CA5535A20687EC53CA7526706FC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out" sheetId="1" r:id="rId1"/>
    <sheet name="Fuel Transport Calcs" sheetId="2" r:id="rId2"/>
    <sheet name="Checks" sheetId="3" r:id="rId3"/>
    <sheet name="FtPIC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C25" i="3" s="1"/>
  <c r="B24" i="3"/>
  <c r="C24" i="3" s="1"/>
  <c r="B23" i="3"/>
  <c r="C23" i="3" s="1"/>
  <c r="B22" i="3"/>
  <c r="C22" i="3" s="1"/>
  <c r="B21" i="3"/>
  <c r="C21" i="3" s="1"/>
  <c r="B20" i="3"/>
  <c r="C20" i="3" s="1"/>
  <c r="B19" i="3"/>
  <c r="C19" i="3" s="1"/>
  <c r="B18" i="3"/>
  <c r="C18" i="3" s="1"/>
  <c r="C17" i="3"/>
  <c r="B17" i="3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7" i="3"/>
  <c r="C7" i="3" s="1"/>
  <c r="B6" i="3"/>
  <c r="C6" i="3" s="1"/>
  <c r="B5" i="3"/>
  <c r="C5" i="3" s="1"/>
  <c r="B4" i="3" s="1"/>
  <c r="C4" i="3" s="1"/>
  <c r="H4" i="3"/>
  <c r="F4" i="3"/>
</calcChain>
</file>

<file path=xl/sharedStrings.xml><?xml version="1.0" encoding="utf-8"?>
<sst xmlns="http://schemas.openxmlformats.org/spreadsheetml/2006/main" count="123" uniqueCount="97">
  <si>
    <t>FtPICM Fuel to Producing ISIC Code Map (42-code)</t>
  </si>
  <si>
    <t>Sources:</t>
  </si>
  <si>
    <t>Fuel -&gt; producing-industry assignment (assumption matrix)</t>
  </si>
  <si>
    <t>Energy Innovation</t>
  </si>
  <si>
    <t>Authored mapping; natural-gas revenue split (0.81/0.19 between extraction and pipelines) supported by the 'Fuel Transport Calcs' tab (pasted from stock)</t>
  </si>
  <si>
    <t>https://www.energypolicy.solutions/</t>
  </si>
  <si>
    <t>42-code build: the 52-code fuel-&gt;ISIC shares are collapsed by SUMMING each fuel's shares over the 52 children of each 42 parent (shares of the same fuel are additive across ISIC). Nuclear (52: ISIC 07) folds into ISIC 07T08; biomass (52: ISIC 02) folds into ISIC 01T03; natural gas keeps 0.81 in ISIC 06 and 0.19 in ISIC 352T353. This tab IS the assumption — edit cells directly.</t>
  </si>
  <si>
    <t>Notes:</t>
  </si>
  <si>
    <t>Collapse</t>
  </si>
  <si>
    <t>42 = SUM of the 52 children's shares per fuel (each fuel row sums to ~1).</t>
  </si>
  <si>
    <t>Export</t>
  </si>
  <si>
    <t>FtPICM.csv = tab FtPICM values (21 fuels x 42 codes).</t>
  </si>
  <si>
    <t>We need to divide up revenue from selling "natural gas" between the</t>
  </si>
  <si>
    <t>oil and gas extraction ISIC code and the "energy pipelines and gas processing"</t>
  </si>
  <si>
    <t>ISIC code.</t>
  </si>
  <si>
    <t>Oil and Gas Extraction Revenue</t>
  </si>
  <si>
    <t>million $</t>
  </si>
  <si>
    <t>Share of oil and gas revenue from natural gas</t>
  </si>
  <si>
    <t>Source:</t>
  </si>
  <si>
    <t>https://www.eia.gov/todayinenergy/detail.php?id=49776</t>
  </si>
  <si>
    <t>Gas Revenue</t>
  </si>
  <si>
    <t>Revenue received from NG distribution companies</t>
  </si>
  <si>
    <t>Revenue received from pipeline transportation companies</t>
  </si>
  <si>
    <t>Share of pipeline transportation revenue attributable to transport of natural gas</t>
  </si>
  <si>
    <t>Total revenue for NG transport and distribution</t>
  </si>
  <si>
    <t>Share of NG revenue for transport and distribution</t>
  </si>
  <si>
    <t>According to the BEA "Use Table" data, no appreciable share of oil revenue goes to transport.</t>
  </si>
  <si>
    <t>Therefore, we only need to split up revenue for natural gas, not for crude oil or secondary petroleum products.</t>
  </si>
  <si>
    <t>FtPICM checks (42 codes)</t>
  </si>
  <si>
    <t>Each fuel's ISIC shares must sum to ~1.</t>
  </si>
  <si>
    <t>Max |row sum - 1| across fuels</t>
  </si>
  <si>
    <t>Natural gas -&gt; ISIC 352T353 = 0.19</t>
  </si>
  <si>
    <t>Natural gas -&gt; ISIC 06 = 0.81</t>
  </si>
  <si>
    <t>electricity</t>
  </si>
  <si>
    <t>hard coal</t>
  </si>
  <si>
    <t>natural gas</t>
  </si>
  <si>
    <t>nuclear</t>
  </si>
  <si>
    <t>hydro</t>
  </si>
  <si>
    <t>wind</t>
  </si>
  <si>
    <t>solar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</si>
  <si>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</si>
  <si>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</si>
  <si>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</si>
  <si>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</si>
  <si>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</si>
  <si>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</si>
  <si>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</t>
  </si>
  <si>
    <t>geothermal</t>
  </si>
  <si>
    <t>lignite</t>
  </si>
  <si>
    <t>crude oil</t>
  </si>
  <si>
    <t>heavy or residual fuel oil</t>
  </si>
  <si>
    <t>LPG propane or butane</t>
  </si>
  <si>
    <t>municipal solid waste</t>
  </si>
  <si>
    <t>hydrogen</t>
  </si>
  <si>
    <t>Unit: dimensionless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</si>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</sst>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ergypolicy.solu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5" x14ac:dyDescent="0.25"/>
  <cols>
    <col min="1" max="1" width="14" customWidth="1"/>
    <col min="2" max="2" width="11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3" t="s">
        <v>3</v>
      </c>
    </row>
    <row r="5" spans="1:2" ht="30" x14ac:dyDescent="0.25">
      <c r="B5" s="3" t="s">
        <v>4</v>
      </c>
    </row>
    <row r="6" spans="1:2" x14ac:dyDescent="0.25">
      <c r="B6" s="3">
        <v>2026</v>
      </c>
    </row>
    <row r="7" spans="1:2" x14ac:dyDescent="0.25">
      <c r="B7" s="4" t="s">
        <v>5</v>
      </c>
    </row>
    <row r="8" spans="1:2" ht="60" x14ac:dyDescent="0.25">
      <c r="B8" s="3" t="s">
        <v>6</v>
      </c>
    </row>
    <row r="11" spans="1:2" x14ac:dyDescent="0.25">
      <c r="A11" s="1" t="s">
        <v>7</v>
      </c>
    </row>
    <row r="12" spans="1:2" x14ac:dyDescent="0.25">
      <c r="A12" s="1" t="s">
        <v>8</v>
      </c>
      <c r="B12" s="3" t="s">
        <v>9</v>
      </c>
    </row>
    <row r="13" spans="1:2" x14ac:dyDescent="0.25">
      <c r="A13" s="1" t="s">
        <v>10</v>
      </c>
      <c r="B13" s="3" t="s">
        <v>11</v>
      </c>
    </row>
  </sheetData>
  <hyperlinks>
    <hyperlink ref="B7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defaultRowHeight="15" x14ac:dyDescent="0.25"/>
  <sheetData>
    <row r="1" spans="1:3" x14ac:dyDescent="0.25">
      <c r="A1" t="s">
        <v>12</v>
      </c>
    </row>
    <row r="2" spans="1:3" x14ac:dyDescent="0.25">
      <c r="A2" t="s">
        <v>13</v>
      </c>
    </row>
    <row r="3" spans="1:3" x14ac:dyDescent="0.25">
      <c r="A3" t="s">
        <v>14</v>
      </c>
    </row>
    <row r="6" spans="1:3" x14ac:dyDescent="0.25">
      <c r="A6" t="s">
        <v>15</v>
      </c>
    </row>
    <row r="7" spans="1:3" x14ac:dyDescent="0.25">
      <c r="A7">
        <v>683995</v>
      </c>
      <c r="B7" t="s">
        <v>16</v>
      </c>
    </row>
    <row r="9" spans="1:3" x14ac:dyDescent="0.25">
      <c r="A9" t="s">
        <v>17</v>
      </c>
    </row>
    <row r="10" spans="1:3" x14ac:dyDescent="0.25">
      <c r="A10">
        <v>0.14000000000000001</v>
      </c>
      <c r="B10" t="s">
        <v>18</v>
      </c>
      <c r="C10" t="s">
        <v>19</v>
      </c>
    </row>
    <row r="12" spans="1:3" x14ac:dyDescent="0.25">
      <c r="A12" t="s">
        <v>20</v>
      </c>
    </row>
    <row r="13" spans="1:3" x14ac:dyDescent="0.25">
      <c r="A13">
        <v>95759.3</v>
      </c>
      <c r="B13" t="s">
        <v>16</v>
      </c>
    </row>
    <row r="15" spans="1:3" x14ac:dyDescent="0.25">
      <c r="A15" t="s">
        <v>21</v>
      </c>
    </row>
    <row r="16" spans="1:3" x14ac:dyDescent="0.25">
      <c r="A16">
        <v>18217</v>
      </c>
      <c r="B16" t="s">
        <v>16</v>
      </c>
    </row>
    <row r="18" spans="1:2" x14ac:dyDescent="0.25">
      <c r="A18" t="s">
        <v>22</v>
      </c>
    </row>
    <row r="19" spans="1:2" x14ac:dyDescent="0.25">
      <c r="A19">
        <v>61</v>
      </c>
      <c r="B19" t="s">
        <v>16</v>
      </c>
    </row>
    <row r="20" spans="1:2" x14ac:dyDescent="0.25">
      <c r="A20" t="s">
        <v>23</v>
      </c>
    </row>
    <row r="21" spans="1:2" x14ac:dyDescent="0.25">
      <c r="A21">
        <v>8.5400000000000009</v>
      </c>
      <c r="B21" t="s">
        <v>16</v>
      </c>
    </row>
    <row r="23" spans="1:2" x14ac:dyDescent="0.25">
      <c r="A23" t="s">
        <v>24</v>
      </c>
    </row>
    <row r="24" spans="1:2" x14ac:dyDescent="0.25">
      <c r="A24">
        <v>18225.54</v>
      </c>
      <c r="B24" t="s">
        <v>16</v>
      </c>
    </row>
    <row r="26" spans="1:2" x14ac:dyDescent="0.25">
      <c r="A26" t="s">
        <v>25</v>
      </c>
    </row>
    <row r="27" spans="1:2" x14ac:dyDescent="0.25">
      <c r="A27">
        <v>0.19032657924608889</v>
      </c>
    </row>
    <row r="31" spans="1:2" x14ac:dyDescent="0.25">
      <c r="A31" t="s">
        <v>26</v>
      </c>
    </row>
    <row r="32" spans="1:2" x14ac:dyDescent="0.25">
      <c r="A32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/>
  </sheetViews>
  <sheetFormatPr defaultRowHeight="15" x14ac:dyDescent="0.25"/>
  <cols>
    <col min="1" max="1" width="26" customWidth="1"/>
  </cols>
  <sheetData>
    <row r="1" spans="1:8" x14ac:dyDescent="0.25">
      <c r="A1" s="1" t="s">
        <v>28</v>
      </c>
    </row>
    <row r="2" spans="1:8" ht="30" x14ac:dyDescent="0.25">
      <c r="A2" s="3" t="s">
        <v>29</v>
      </c>
    </row>
    <row r="4" spans="1:8" x14ac:dyDescent="0.25">
      <c r="A4" t="s">
        <v>30</v>
      </c>
      <c r="B4">
        <f>MAX(C5:C25)</f>
        <v>0</v>
      </c>
      <c r="C4" s="1" t="str">
        <f>IF(B4&lt;0.000001,"PASS","FAIL")</f>
        <v>PASS</v>
      </c>
      <c r="E4" t="s">
        <v>31</v>
      </c>
      <c r="F4" s="1" t="str">
        <f>IF(ABS(FtPICM!AA4-0.19)&lt;0.000000001,"PASS","FAIL")</f>
        <v>PASS</v>
      </c>
      <c r="G4" t="s">
        <v>32</v>
      </c>
      <c r="H4" s="1" t="str">
        <f>IF(ABS(FtPICM!D4-0.81)&lt;0.000000001,"PASS","FAIL")</f>
        <v>PASS</v>
      </c>
    </row>
    <row r="5" spans="1:8" x14ac:dyDescent="0.25">
      <c r="A5" t="s">
        <v>33</v>
      </c>
      <c r="B5">
        <f>SUM(FtPICM!B2:AQ2)</f>
        <v>1</v>
      </c>
      <c r="C5">
        <f t="shared" ref="C5:C25" si="0">ABS(B5-1)</f>
        <v>0</v>
      </c>
    </row>
    <row r="6" spans="1:8" x14ac:dyDescent="0.25">
      <c r="A6" t="s">
        <v>34</v>
      </c>
      <c r="B6">
        <f>SUM(FtPICM!B3:AQ3)</f>
        <v>1</v>
      </c>
      <c r="C6">
        <f t="shared" si="0"/>
        <v>0</v>
      </c>
    </row>
    <row r="7" spans="1:8" x14ac:dyDescent="0.25">
      <c r="A7" t="s">
        <v>35</v>
      </c>
      <c r="B7">
        <f>SUM(FtPICM!B4:AQ4)</f>
        <v>1</v>
      </c>
      <c r="C7">
        <f t="shared" si="0"/>
        <v>0</v>
      </c>
    </row>
    <row r="8" spans="1:8" x14ac:dyDescent="0.25">
      <c r="A8" t="s">
        <v>36</v>
      </c>
      <c r="B8">
        <f>SUM(FtPICM!B5:AQ5)</f>
        <v>1</v>
      </c>
      <c r="C8">
        <f t="shared" si="0"/>
        <v>0</v>
      </c>
    </row>
    <row r="9" spans="1:8" x14ac:dyDescent="0.25">
      <c r="A9" t="s">
        <v>37</v>
      </c>
      <c r="B9">
        <f>SUM(FtPICM!B6:AQ6)</f>
        <v>1</v>
      </c>
      <c r="C9">
        <f t="shared" si="0"/>
        <v>0</v>
      </c>
    </row>
    <row r="10" spans="1:8" x14ac:dyDescent="0.25">
      <c r="A10" t="s">
        <v>38</v>
      </c>
      <c r="B10">
        <f>SUM(FtPICM!B7:AQ7)</f>
        <v>1</v>
      </c>
      <c r="C10">
        <f t="shared" si="0"/>
        <v>0</v>
      </c>
    </row>
    <row r="11" spans="1:8" x14ac:dyDescent="0.25">
      <c r="A11" t="s">
        <v>39</v>
      </c>
      <c r="B11">
        <f>SUM(FtPICM!B8:AQ8)</f>
        <v>1</v>
      </c>
      <c r="C11">
        <f t="shared" si="0"/>
        <v>0</v>
      </c>
    </row>
    <row r="12" spans="1:8" x14ac:dyDescent="0.25">
      <c r="A12" t="s">
        <v>40</v>
      </c>
      <c r="B12">
        <f>SUM(FtPICM!B9:AQ9)</f>
        <v>1</v>
      </c>
      <c r="C12">
        <f t="shared" si="0"/>
        <v>0</v>
      </c>
    </row>
    <row r="13" spans="1:8" x14ac:dyDescent="0.25">
      <c r="A13" t="s">
        <v>41</v>
      </c>
      <c r="B13">
        <f>SUM(FtPICM!B10:AQ10)</f>
        <v>1</v>
      </c>
      <c r="C13">
        <f t="shared" si="0"/>
        <v>0</v>
      </c>
    </row>
    <row r="14" spans="1:8" x14ac:dyDescent="0.25">
      <c r="A14" t="s">
        <v>42</v>
      </c>
      <c r="B14">
        <f>SUM(FtPICM!B11:AQ11)</f>
        <v>1</v>
      </c>
      <c r="C14">
        <f t="shared" si="0"/>
        <v>0</v>
      </c>
    </row>
    <row r="15" spans="1:8" x14ac:dyDescent="0.25">
      <c r="A15" t="s">
        <v>43</v>
      </c>
      <c r="B15">
        <f>SUM(FtPICM!B12:AQ12)</f>
        <v>1</v>
      </c>
      <c r="C15">
        <f t="shared" si="0"/>
        <v>0</v>
      </c>
    </row>
    <row r="16" spans="1:8" x14ac:dyDescent="0.25">
      <c r="A16" t="s">
        <v>44</v>
      </c>
      <c r="B16">
        <f>SUM(FtPICM!B13:AQ13)</f>
        <v>1</v>
      </c>
      <c r="C16">
        <f t="shared" si="0"/>
        <v>0</v>
      </c>
    </row>
    <row r="17" spans="1:3" x14ac:dyDescent="0.25">
      <c r="A17" t="s">
        <v>45</v>
      </c>
      <c r="B17">
        <f>SUM(FtPICM!B14:AQ14)</f>
        <v>1</v>
      </c>
      <c r="C17">
        <f t="shared" si="0"/>
        <v>0</v>
      </c>
    </row>
    <row r="18" spans="1:3" x14ac:dyDescent="0.25">
      <c r="A18" t="s">
        <v>46</v>
      </c>
      <c r="B18">
        <f>SUM(FtPICM!B15:AQ15)</f>
        <v>1</v>
      </c>
      <c r="C18">
        <f t="shared" si="0"/>
        <v>0</v>
      </c>
    </row>
    <row r="19" spans="1:3" x14ac:dyDescent="0.25">
      <c r="A19" t="s">
        <v>47</v>
      </c>
      <c r="B19">
        <f>SUM(FtPICM!B16:AQ16)</f>
        <v>1</v>
      </c>
      <c r="C19">
        <f t="shared" si="0"/>
        <v>0</v>
      </c>
    </row>
    <row r="20" spans="1:3" x14ac:dyDescent="0.25">
      <c r="A20" t="s">
        <v>48</v>
      </c>
      <c r="B20">
        <f>SUM(FtPICM!B17:AQ17)</f>
        <v>1</v>
      </c>
      <c r="C20">
        <f t="shared" si="0"/>
        <v>0</v>
      </c>
    </row>
    <row r="21" spans="1:3" x14ac:dyDescent="0.25">
      <c r="A21" t="s">
        <v>49</v>
      </c>
      <c r="B21">
        <f>SUM(FtPICM!B18:AQ18)</f>
        <v>1</v>
      </c>
      <c r="C21">
        <f t="shared" si="0"/>
        <v>0</v>
      </c>
    </row>
    <row r="22" spans="1:3" x14ac:dyDescent="0.25">
      <c r="A22" t="s">
        <v>50</v>
      </c>
      <c r="B22">
        <f>SUM(FtPICM!B19:AQ19)</f>
        <v>1</v>
      </c>
      <c r="C22">
        <f t="shared" si="0"/>
        <v>0</v>
      </c>
    </row>
    <row r="23" spans="1:3" x14ac:dyDescent="0.25">
      <c r="A23" t="s">
        <v>51</v>
      </c>
      <c r="B23">
        <f>SUM(FtPICM!B20:AQ20)</f>
        <v>1</v>
      </c>
      <c r="C23">
        <f t="shared" si="0"/>
        <v>0</v>
      </c>
    </row>
    <row r="24" spans="1:3" x14ac:dyDescent="0.25">
      <c r="A24" t="s">
        <v>52</v>
      </c>
      <c r="B24">
        <f>SUM(FtPICM!B21:AQ21)</f>
        <v>1</v>
      </c>
      <c r="C24">
        <f t="shared" si="0"/>
        <v>0</v>
      </c>
    </row>
    <row r="25" spans="1:3" x14ac:dyDescent="0.25">
      <c r="A25" t="s">
        <v>53</v>
      </c>
      <c r="B25">
        <f>SUM(FtPICM!B22:AQ22)</f>
        <v>1</v>
      </c>
      <c r="C25">
        <f t="shared" si="0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AQ22"/>
  <sheetViews>
    <sheetView workbookViewId="0"/>
  </sheetViews>
  <sheetFormatPr defaultRowHeight="15" x14ac:dyDescent="0.25"/>
  <sheetData>
    <row r="1" spans="1:43" x14ac:dyDescent="0.25">
      <c r="A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</row>
    <row r="2" spans="1:43" x14ac:dyDescent="0.25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25">
      <c r="A3" t="s">
        <v>34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25">
      <c r="A4" t="s">
        <v>35</v>
      </c>
      <c r="B4">
        <v>0</v>
      </c>
      <c r="C4">
        <v>0</v>
      </c>
      <c r="D4">
        <v>0.81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0.19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25">
      <c r="A5" t="s">
        <v>36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25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2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48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49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Fuel Transport Calcs</vt:lpstr>
      <vt:lpstr>Checks</vt:lpstr>
      <vt:lpstr>FtPICM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2026-07-21T19:28:56Z</dcterms:created>
  <dcterms:modified xsi:type="dcterms:W3CDTF">2026-07-21T20:46:03Z</dcterms:modified>
</cp:coreProperties>
</file>