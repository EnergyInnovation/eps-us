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BEA Components 2024" sheetId="2" state="visible" r:id="rId2"/>
    <sheet xmlns:r="http://schemas.openxmlformats.org/officeDocument/2006/relationships" name="BEA VABAS 2017" sheetId="3" state="visible" r:id="rId3"/>
    <sheet xmlns:r="http://schemas.openxmlformats.org/officeDocument/2006/relationships" name="Key" sheetId="4" state="visible" r:id="rId4"/>
    <sheet xmlns:r="http://schemas.openxmlformats.org/officeDocument/2006/relationships" name="BLS Table 2.11" sheetId="5" state="visible" r:id="rId5"/>
    <sheet xmlns:r="http://schemas.openxmlformats.org/officeDocument/2006/relationships" name="AEO25 Table 23" sheetId="6" state="visible" r:id="rId6"/>
    <sheet xmlns:r="http://schemas.openxmlformats.org/officeDocument/2006/relationships" name="AEO 2026 Table 23 " sheetId="7" state="visible" r:id="rId7"/>
    <sheet xmlns:r="http://schemas.openxmlformats.org/officeDocument/2006/relationships" name="g2025 derivation" sheetId="8" state="visible" r:id="rId8"/>
    <sheet xmlns:r="http://schemas.openxmlformats.org/officeDocument/2006/relationships" name="Calculations" sheetId="9" state="visible" r:id="rId9"/>
    <sheet xmlns:r="http://schemas.openxmlformats.org/officeDocument/2006/relationships" name="Checks" sheetId="10" state="visible" r:id="rId10"/>
    <sheet xmlns:r="http://schemas.openxmlformats.org/officeDocument/2006/relationships" name="BECbIC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i val="1"/>
    </font>
    <font>
      <b val="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pps.bea.gov/iTable/?isuri=1&amp;reqid=151&amp;step=1" TargetMode="External" Id="rId1"/><Relationship Type="http://schemas.openxmlformats.org/officeDocument/2006/relationships/hyperlink" Target="https://www.bea.gov/industry/input-output-accounts-data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BECbIC BAU Employee Compensation by ISIC Code</t>
        </is>
      </c>
    </row>
    <row r="3">
      <c r="A3" s="1" t="inlineStr">
        <is>
          <t>Sources:</t>
        </is>
      </c>
      <c r="B3" s="2" t="inlineStr">
        <is>
          <t>Employee Compensation by industry, 2024 levels</t>
        </is>
      </c>
    </row>
    <row r="4">
      <c r="B4" s="3" t="inlineStr">
        <is>
          <t>BEA</t>
        </is>
      </c>
    </row>
    <row r="5">
      <c r="B5" s="3" t="inlineStr">
        <is>
          <t>Components of Value Added by Industry (GDP by Industry), 2024, ~71-industry level — compensation-of-employees rows</t>
        </is>
      </c>
    </row>
    <row r="6">
      <c r="B6" s="3" t="n">
        <v>2025</v>
      </c>
    </row>
    <row r="7">
      <c r="B7" s="4" t="inlineStr">
        <is>
          <t>https://apps.bea.gov/iTable/?isuri=1&amp;reqid=151&amp;step=1</t>
        </is>
      </c>
    </row>
    <row r="8">
      <c r="B8" s="3" t="inlineStr">
        <is>
          <t>Tab 'BEA Components 2024', pasted verbatim. Column E marks each LEAF industry row (hierarchy and addenda rows unmarked); column F holds the EPS ISIC code for leaves that map one-to-one. Leaves spanning multiple EPS codes are sub-split on the Calculations tab.</t>
        </is>
      </c>
    </row>
    <row r="10">
      <c r="B10" s="2" t="inlineStr">
        <is>
          <t>Sub-split shares for mixed leaves</t>
        </is>
      </c>
    </row>
    <row r="11">
      <c r="B11" s="3" t="inlineStr">
        <is>
          <t>U.S. Bureau of Economic Analysis</t>
        </is>
      </c>
    </row>
    <row r="12">
      <c r="B12" s="3" t="inlineStr">
        <is>
          <t>2017 benchmark Use table (SUT, detail): VABAS value-added row</t>
        </is>
      </c>
    </row>
    <row r="13">
      <c r="B13" s="3" t="n">
        <v>2023</v>
      </c>
    </row>
    <row r="14">
      <c r="B14" s="4" t="inlineStr">
        <is>
          <t>https://www.bea.gov/industry/input-output-accounts-data</t>
        </is>
      </c>
    </row>
    <row r="15">
      <c r="B15" s="3" t="inlineStr">
        <is>
          <t>Tab 'BEA VABAS 2017' (verbatim excerpt + live ISIC crosswalk + leaf-scope row). One uniform rule covers ALL splits — the six new OECD-native ones AND the legacy carves (coal/metal-ores/quarrying, chemicals-&gt;20/21, nonmetallic-&gt;231/239, primary metals-&gt;241/242, utilities-&gt;351/352T353/water, transport equipment-&gt;301/302T309, other services, government enterprises). Value-added weights are conceptually correct for splitting value added: the stock hand-splits behaved like OUTPUT shares, which understated high-margin industries (pharma's VA share of chemicals is ~44% by VA vs ~34% by output) — expect level shifts vs stock for 20/21, 241/242, 352T353, 97T98.</t>
        </is>
      </c>
    </row>
    <row r="18">
      <c r="A18" s="1" t="inlineStr">
        <is>
          <t>Notes:</t>
        </is>
      </c>
    </row>
    <row r="19">
      <c r="A19" s="1" t="inlineStr">
        <is>
          <t>Currency</t>
        </is>
      </c>
      <c r="B19" s="3" t="inlineStr">
        <is>
          <t>2024 USD -&gt; 2012 USD conversion factor below (editable):</t>
        </is>
      </c>
    </row>
    <row r="20">
      <c r="A20" s="1" t="inlineStr">
        <is>
          <t>Approximation</t>
        </is>
      </c>
      <c r="B20" s="3" t="inlineStr">
        <is>
          <t>Compensation sub-splits reuse the VALUE-ADDED weights within each (narrow) BEA leaf — i.e., a uniform comp/VA ratio inside a leaf. Refinement path: QCEW wage detail.</t>
        </is>
      </c>
    </row>
    <row r="21">
      <c r="A21" s="1" t="inlineStr">
        <is>
          <t>Export</t>
        </is>
      </c>
      <c r="B21" s="3" t="inlineStr">
        <is>
          <t>Employee Compensation CSV = output tab values; canonical 52-code column order (positional Vensim read).</t>
        </is>
      </c>
    </row>
    <row r="22">
      <c r="A22" t="n">
        <v>0.7319160059804455</v>
      </c>
      <c r="B22" s="3" t="inlineStr">
        <is>
          <t>2012 USD per 2024 USD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Components of Value Added by Industry</t>
        </is>
      </c>
    </row>
    <row r="2">
      <c r="A2" t="inlineStr">
        <is>
          <t>[Millions of dollars]</t>
        </is>
      </c>
    </row>
    <row r="3">
      <c r="A3" t="inlineStr">
        <is>
          <t>Bureau of Economic Analysis</t>
        </is>
      </c>
    </row>
    <row r="4">
      <c r="A4" t="inlineStr">
        <is>
          <t>Last Revised on: September 25, 2025</t>
        </is>
      </c>
    </row>
    <row r="5"/>
    <row r="6">
      <c r="A6" t="inlineStr">
        <is>
          <t>Line</t>
        </is>
      </c>
      <c r="B6" t="inlineStr"/>
      <c r="C6" t="inlineStr">
        <is>
          <t>2024</t>
        </is>
      </c>
      <c r="E6" s="5" t="inlineStr">
        <is>
          <t>Leaf ID (editable)</t>
        </is>
      </c>
      <c r="F6" s="5" t="inlineStr">
        <is>
          <t>Direct EPS code</t>
        </is>
      </c>
    </row>
    <row r="7">
      <c r="A7" t="inlineStr"/>
      <c r="B7" t="inlineStr"/>
      <c r="C7" t="inlineStr"/>
    </row>
    <row r="8">
      <c r="A8" t="inlineStr">
        <is>
          <t>1</t>
        </is>
      </c>
      <c r="B8" t="inlineStr">
        <is>
          <t xml:space="preserve">        Gross domestic product</t>
        </is>
      </c>
      <c r="C8" t="n">
        <v>29298013</v>
      </c>
      <c r="E8" t="inlineStr">
        <is>
          <t>Gross domestic product</t>
        </is>
      </c>
    </row>
    <row r="9">
      <c r="A9" t="inlineStr">
        <is>
          <t>2</t>
        </is>
      </c>
      <c r="B9" t="inlineStr">
        <is>
          <t xml:space="preserve">            Compensation of employees</t>
        </is>
      </c>
      <c r="C9" t="n">
        <v>15049121</v>
      </c>
    </row>
    <row r="10">
      <c r="A10" t="inlineStr">
        <is>
          <t>3</t>
        </is>
      </c>
      <c r="B10" t="inlineStr">
        <is>
          <t xml:space="preserve">            Taxes on production and imports less subsidies</t>
        </is>
      </c>
      <c r="C10" t="n">
        <v>1860444</v>
      </c>
    </row>
    <row r="11">
      <c r="A11" t="inlineStr">
        <is>
          <t>4</t>
        </is>
      </c>
      <c r="B11" t="inlineStr">
        <is>
          <t xml:space="preserve">            Gross operating surplus</t>
        </is>
      </c>
      <c r="C11" t="n">
        <v>12388448</v>
      </c>
    </row>
    <row r="12">
      <c r="A12" t="inlineStr">
        <is>
          <t>5</t>
        </is>
      </c>
      <c r="B12" t="inlineStr">
        <is>
          <t>Private industries</t>
        </is>
      </c>
      <c r="C12" t="n">
        <v>26001672</v>
      </c>
    </row>
    <row r="13">
      <c r="A13" t="inlineStr">
        <is>
          <t>6</t>
        </is>
      </c>
      <c r="B13" t="inlineStr">
        <is>
          <t xml:space="preserve">    Compensation of employees</t>
        </is>
      </c>
      <c r="C13" t="n">
        <v>12463662</v>
      </c>
    </row>
    <row r="14">
      <c r="A14" t="inlineStr">
        <is>
          <t>7</t>
        </is>
      </c>
      <c r="B14" t="inlineStr">
        <is>
          <t xml:space="preserve">    Taxes on production and imports less subsidies</t>
        </is>
      </c>
      <c r="C14" t="n">
        <v>1905894</v>
      </c>
    </row>
    <row r="15">
      <c r="A15" t="inlineStr">
        <is>
          <t>8</t>
        </is>
      </c>
      <c r="B15" t="inlineStr">
        <is>
          <t xml:space="preserve">    Gross operating surplus</t>
        </is>
      </c>
      <c r="C15" t="n">
        <v>11632115</v>
      </c>
    </row>
    <row r="16">
      <c r="A16" t="inlineStr">
        <is>
          <t>9</t>
        </is>
      </c>
      <c r="B16" t="inlineStr">
        <is>
          <t xml:space="preserve">    Agriculture, forestry, fishing, and hunting</t>
        </is>
      </c>
      <c r="C16" t="n">
        <v>269686</v>
      </c>
    </row>
    <row r="17">
      <c r="A17" t="inlineStr">
        <is>
          <t>10</t>
        </is>
      </c>
      <c r="B17" t="inlineStr">
        <is>
          <t xml:space="preserve">        Compensation of employees</t>
        </is>
      </c>
      <c r="C17" t="n">
        <v>80082</v>
      </c>
    </row>
    <row r="18">
      <c r="A18" t="inlineStr">
        <is>
          <t>11</t>
        </is>
      </c>
      <c r="B18" t="inlineStr">
        <is>
          <t xml:space="preserve">        Taxes on production and imports less subsidies</t>
        </is>
      </c>
      <c r="C18" t="n">
        <v>8148</v>
      </c>
    </row>
    <row r="19">
      <c r="A19" t="inlineStr">
        <is>
          <t>12</t>
        </is>
      </c>
      <c r="B19" t="inlineStr">
        <is>
          <t xml:space="preserve">        Gross operating surplus</t>
        </is>
      </c>
      <c r="C19" t="n">
        <v>181456</v>
      </c>
    </row>
    <row r="20">
      <c r="A20" t="inlineStr">
        <is>
          <t>13</t>
        </is>
      </c>
      <c r="B20" t="inlineStr">
        <is>
          <t xml:space="preserve">        Farms</t>
        </is>
      </c>
      <c r="C20" t="n">
        <v>215830</v>
      </c>
      <c r="E20" t="inlineStr">
        <is>
          <t>Farms</t>
        </is>
      </c>
      <c r="F20" t="inlineStr">
        <is>
          <t>ISIC 01</t>
        </is>
      </c>
    </row>
    <row r="21">
      <c r="A21" t="inlineStr">
        <is>
          <t>14</t>
        </is>
      </c>
      <c r="B21" t="inlineStr">
        <is>
          <t xml:space="preserve">            Compensation of employees</t>
        </is>
      </c>
      <c r="C21" t="n">
        <v>44527</v>
      </c>
    </row>
    <row r="22">
      <c r="A22" t="inlineStr">
        <is>
          <t>15</t>
        </is>
      </c>
      <c r="B22" t="inlineStr">
        <is>
          <t xml:space="preserve">            Taxes on production and imports less subsidies</t>
        </is>
      </c>
      <c r="C22" t="n">
        <v>5548</v>
      </c>
    </row>
    <row r="23">
      <c r="A23" t="inlineStr">
        <is>
          <t>16</t>
        </is>
      </c>
      <c r="B23" t="inlineStr">
        <is>
          <t xml:space="preserve">            Gross operating surplus</t>
        </is>
      </c>
      <c r="C23" t="n">
        <v>165755</v>
      </c>
    </row>
    <row r="24">
      <c r="A24" t="inlineStr">
        <is>
          <t>17</t>
        </is>
      </c>
      <c r="B24" t="inlineStr">
        <is>
          <t xml:space="preserve">        Forestry, fishing, and related activities</t>
        </is>
      </c>
      <c r="C24" t="n">
        <v>53856</v>
      </c>
      <c r="E24" t="inlineStr">
        <is>
          <t>Forestry, fishing, and related activities</t>
        </is>
      </c>
    </row>
    <row r="25">
      <c r="A25" t="inlineStr">
        <is>
          <t>18</t>
        </is>
      </c>
      <c r="B25" t="inlineStr">
        <is>
          <t xml:space="preserve">            Compensation of employees</t>
        </is>
      </c>
      <c r="C25" t="n">
        <v>35555</v>
      </c>
    </row>
    <row r="26">
      <c r="A26" t="inlineStr">
        <is>
          <t>19</t>
        </is>
      </c>
      <c r="B26" t="inlineStr">
        <is>
          <t xml:space="preserve">            Taxes on production and imports less subsidies</t>
        </is>
      </c>
      <c r="C26" t="n">
        <v>2600</v>
      </c>
    </row>
    <row r="27">
      <c r="A27" t="inlineStr">
        <is>
          <t>20</t>
        </is>
      </c>
      <c r="B27" t="inlineStr">
        <is>
          <t xml:space="preserve">            Gross operating surplus</t>
        </is>
      </c>
      <c r="C27" t="n">
        <v>15701</v>
      </c>
    </row>
    <row r="28">
      <c r="A28" t="inlineStr">
        <is>
          <t>21</t>
        </is>
      </c>
      <c r="B28" t="inlineStr">
        <is>
          <t xml:space="preserve">    Mining</t>
        </is>
      </c>
      <c r="C28" t="n">
        <v>404248</v>
      </c>
    </row>
    <row r="29">
      <c r="A29" t="inlineStr">
        <is>
          <t>22</t>
        </is>
      </c>
      <c r="B29" t="inlineStr">
        <is>
          <t xml:space="preserve">        Compensation of employees</t>
        </is>
      </c>
      <c r="C29" t="n">
        <v>92465</v>
      </c>
    </row>
    <row r="30">
      <c r="A30" t="inlineStr">
        <is>
          <t>23</t>
        </is>
      </c>
      <c r="B30" t="inlineStr">
        <is>
          <t xml:space="preserve">        Taxes on production and imports less subsidies</t>
        </is>
      </c>
      <c r="C30" t="n">
        <v>60004</v>
      </c>
    </row>
    <row r="31">
      <c r="A31" t="inlineStr">
        <is>
          <t>24</t>
        </is>
      </c>
      <c r="B31" t="inlineStr">
        <is>
          <t xml:space="preserve">        Gross operating surplus</t>
        </is>
      </c>
      <c r="C31" t="n">
        <v>251778</v>
      </c>
    </row>
    <row r="32">
      <c r="A32" t="inlineStr">
        <is>
          <t>25</t>
        </is>
      </c>
      <c r="B32" t="inlineStr">
        <is>
          <t xml:space="preserve">        Oil and gas extraction</t>
        </is>
      </c>
      <c r="C32" t="n">
        <v>252608</v>
      </c>
      <c r="E32" t="inlineStr">
        <is>
          <t>Oil and gas extraction</t>
        </is>
      </c>
      <c r="F32" t="inlineStr">
        <is>
          <t>ISIC 06</t>
        </is>
      </c>
    </row>
    <row r="33">
      <c r="A33" t="inlineStr">
        <is>
          <t>26</t>
        </is>
      </c>
      <c r="B33" t="inlineStr">
        <is>
          <t xml:space="preserve">            Compensation of employees</t>
        </is>
      </c>
      <c r="C33" t="n">
        <v>31824</v>
      </c>
    </row>
    <row r="34">
      <c r="A34" t="inlineStr">
        <is>
          <t>27</t>
        </is>
      </c>
      <c r="B34" t="inlineStr">
        <is>
          <t xml:space="preserve">            Taxes on production and imports less subsidies</t>
        </is>
      </c>
      <c r="C34" t="n">
        <v>49110</v>
      </c>
    </row>
    <row r="35">
      <c r="A35" t="inlineStr">
        <is>
          <t>28</t>
        </is>
      </c>
      <c r="B35" t="inlineStr">
        <is>
          <t xml:space="preserve">            Gross operating surplus</t>
        </is>
      </c>
      <c r="C35" t="n">
        <v>171675</v>
      </c>
    </row>
    <row r="36">
      <c r="A36" t="inlineStr">
        <is>
          <t>29</t>
        </is>
      </c>
      <c r="B36" t="inlineStr">
        <is>
          <t xml:space="preserve">        Mining, except oil and gas</t>
        </is>
      </c>
      <c r="C36" t="n">
        <v>80799</v>
      </c>
      <c r="E36" t="inlineStr">
        <is>
          <t>Mining, except oil and gas</t>
        </is>
      </c>
    </row>
    <row r="37">
      <c r="A37" t="inlineStr">
        <is>
          <t>30</t>
        </is>
      </c>
      <c r="B37" t="inlineStr">
        <is>
          <t xml:space="preserve">            Compensation of employees</t>
        </is>
      </c>
      <c r="C37" t="n">
        <v>23658</v>
      </c>
    </row>
    <row r="38">
      <c r="A38" t="inlineStr">
        <is>
          <t>31</t>
        </is>
      </c>
      <c r="B38" t="inlineStr">
        <is>
          <t xml:space="preserve">            Taxes on production and imports less subsidies</t>
        </is>
      </c>
      <c r="C38" t="n">
        <v>7977</v>
      </c>
    </row>
    <row r="39">
      <c r="A39" t="inlineStr">
        <is>
          <t>32</t>
        </is>
      </c>
      <c r="B39" t="inlineStr">
        <is>
          <t xml:space="preserve">            Gross operating surplus</t>
        </is>
      </c>
      <c r="C39" t="n">
        <v>49165</v>
      </c>
    </row>
    <row r="40">
      <c r="A40" t="inlineStr">
        <is>
          <t>33</t>
        </is>
      </c>
      <c r="B40" t="inlineStr">
        <is>
          <t xml:space="preserve">        Support activities for mining</t>
        </is>
      </c>
      <c r="C40" t="n">
        <v>70840</v>
      </c>
      <c r="E40" t="inlineStr">
        <is>
          <t>Support activities for mining</t>
        </is>
      </c>
      <c r="F40" t="inlineStr">
        <is>
          <t>ISIC 09</t>
        </is>
      </c>
    </row>
    <row r="41">
      <c r="A41" t="inlineStr">
        <is>
          <t>34</t>
        </is>
      </c>
      <c r="B41" t="inlineStr">
        <is>
          <t xml:space="preserve">            Compensation of employees</t>
        </is>
      </c>
      <c r="C41" t="n">
        <v>36984</v>
      </c>
    </row>
    <row r="42">
      <c r="A42" t="inlineStr">
        <is>
          <t>35</t>
        </is>
      </c>
      <c r="B42" t="inlineStr">
        <is>
          <t xml:space="preserve">            Taxes on production and imports less subsidies</t>
        </is>
      </c>
      <c r="C42" t="n">
        <v>2917</v>
      </c>
    </row>
    <row r="43">
      <c r="A43" t="inlineStr">
        <is>
          <t>36</t>
        </is>
      </c>
      <c r="B43" t="inlineStr">
        <is>
          <t xml:space="preserve">            Gross operating surplus</t>
        </is>
      </c>
      <c r="C43" t="n">
        <v>30939</v>
      </c>
    </row>
    <row r="44">
      <c r="A44" t="inlineStr">
        <is>
          <t>37</t>
        </is>
      </c>
      <c r="B44" t="inlineStr">
        <is>
          <t xml:space="preserve">    Utilities</t>
        </is>
      </c>
      <c r="C44" t="n">
        <v>454357</v>
      </c>
      <c r="E44" t="inlineStr">
        <is>
          <t>Utilities</t>
        </is>
      </c>
    </row>
    <row r="45">
      <c r="A45" t="inlineStr">
        <is>
          <t>38</t>
        </is>
      </c>
      <c r="B45" t="inlineStr">
        <is>
          <t xml:space="preserve">        Compensation of employees</t>
        </is>
      </c>
      <c r="C45" t="n">
        <v>103431</v>
      </c>
    </row>
    <row r="46">
      <c r="A46" t="inlineStr">
        <is>
          <t>39</t>
        </is>
      </c>
      <c r="B46" t="inlineStr">
        <is>
          <t xml:space="preserve">        Taxes on production and imports less subsidies</t>
        </is>
      </c>
      <c r="C46" t="n">
        <v>85222</v>
      </c>
    </row>
    <row r="47">
      <c r="A47" t="inlineStr">
        <is>
          <t>40</t>
        </is>
      </c>
      <c r="B47" t="inlineStr">
        <is>
          <t xml:space="preserve">        Gross operating surplus</t>
        </is>
      </c>
      <c r="C47" t="n">
        <v>265705</v>
      </c>
    </row>
    <row r="48">
      <c r="A48" t="inlineStr">
        <is>
          <t>41</t>
        </is>
      </c>
      <c r="B48" t="inlineStr">
        <is>
          <t xml:space="preserve">    Construction</t>
        </is>
      </c>
      <c r="C48" t="n">
        <v>1305402</v>
      </c>
      <c r="E48" t="inlineStr">
        <is>
          <t>Construction</t>
        </is>
      </c>
      <c r="F48" t="inlineStr">
        <is>
          <t>ISIC 41T43</t>
        </is>
      </c>
    </row>
    <row r="49">
      <c r="A49" t="inlineStr">
        <is>
          <t>42</t>
        </is>
      </c>
      <c r="B49" t="inlineStr">
        <is>
          <t xml:space="preserve">        Compensation of employees</t>
        </is>
      </c>
      <c r="C49" t="n">
        <v>799308</v>
      </c>
    </row>
    <row r="50">
      <c r="A50" t="inlineStr">
        <is>
          <t>43</t>
        </is>
      </c>
      <c r="B50" t="inlineStr">
        <is>
          <t xml:space="preserve">        Taxes on production and imports less subsidies</t>
        </is>
      </c>
      <c r="C50" t="n">
        <v>14907</v>
      </c>
    </row>
    <row r="51">
      <c r="A51" t="inlineStr">
        <is>
          <t>44</t>
        </is>
      </c>
      <c r="B51" t="inlineStr">
        <is>
          <t xml:space="preserve">        Gross operating surplus</t>
        </is>
      </c>
      <c r="C51" t="n">
        <v>491187</v>
      </c>
    </row>
    <row r="52">
      <c r="A52" t="inlineStr">
        <is>
          <t>45</t>
        </is>
      </c>
      <c r="B52" t="inlineStr">
        <is>
          <t xml:space="preserve">    Manufacturing</t>
        </is>
      </c>
      <c r="C52" t="n">
        <v>2880724</v>
      </c>
    </row>
    <row r="53">
      <c r="A53" t="inlineStr">
        <is>
          <t>46</t>
        </is>
      </c>
      <c r="B53" t="inlineStr">
        <is>
          <t xml:space="preserve">        Compensation of employees</t>
        </is>
      </c>
      <c r="C53" t="n">
        <v>1359135</v>
      </c>
    </row>
    <row r="54">
      <c r="A54" t="inlineStr">
        <is>
          <t>47</t>
        </is>
      </c>
      <c r="B54" t="inlineStr">
        <is>
          <t xml:space="preserve">        Taxes on production and imports less subsidies</t>
        </is>
      </c>
      <c r="C54" t="n">
        <v>106009</v>
      </c>
    </row>
    <row r="55">
      <c r="A55" t="inlineStr">
        <is>
          <t>48</t>
        </is>
      </c>
      <c r="B55" t="inlineStr">
        <is>
          <t xml:space="preserve">        Gross operating surplus</t>
        </is>
      </c>
      <c r="C55" t="n">
        <v>1415581</v>
      </c>
    </row>
    <row r="56">
      <c r="A56" t="inlineStr">
        <is>
          <t>49</t>
        </is>
      </c>
      <c r="B56" t="inlineStr">
        <is>
          <t xml:space="preserve">        Durable goods</t>
        </is>
      </c>
      <c r="C56" t="n">
        <v>1524841</v>
      </c>
    </row>
    <row r="57">
      <c r="A57" t="inlineStr">
        <is>
          <t>50</t>
        </is>
      </c>
      <c r="B57" t="inlineStr">
        <is>
          <t xml:space="preserve">            Compensation of employees</t>
        </is>
      </c>
      <c r="C57" t="n">
        <v>893038</v>
      </c>
    </row>
    <row r="58">
      <c r="A58" t="inlineStr">
        <is>
          <t>51</t>
        </is>
      </c>
      <c r="B58" t="inlineStr">
        <is>
          <t xml:space="preserve">            Taxes on production and imports less subsidies</t>
        </is>
      </c>
      <c r="C58" t="n">
        <v>43401</v>
      </c>
    </row>
    <row r="59">
      <c r="A59" t="inlineStr">
        <is>
          <t>52</t>
        </is>
      </c>
      <c r="B59" t="inlineStr">
        <is>
          <t xml:space="preserve">            Gross operating surplus</t>
        </is>
      </c>
      <c r="C59" t="n">
        <v>588402</v>
      </c>
    </row>
    <row r="60">
      <c r="A60" t="inlineStr">
        <is>
          <t>53</t>
        </is>
      </c>
      <c r="B60" t="inlineStr">
        <is>
          <t xml:space="preserve">            Wood products</t>
        </is>
      </c>
      <c r="C60" t="n">
        <v>60171</v>
      </c>
      <c r="E60" t="inlineStr">
        <is>
          <t>Wood products</t>
        </is>
      </c>
      <c r="F60" t="inlineStr">
        <is>
          <t>ISIC 16</t>
        </is>
      </c>
    </row>
    <row r="61">
      <c r="A61" t="inlineStr">
        <is>
          <t>54</t>
        </is>
      </c>
      <c r="B61" t="inlineStr">
        <is>
          <t xml:space="preserve">                Compensation of employees</t>
        </is>
      </c>
      <c r="C61" t="n">
        <v>32297</v>
      </c>
    </row>
    <row r="62">
      <c r="A62" t="inlineStr">
        <is>
          <t>55</t>
        </is>
      </c>
      <c r="B62" t="inlineStr">
        <is>
          <t xml:space="preserve">                Taxes on production and imports less subsidies</t>
        </is>
      </c>
      <c r="C62" t="n">
        <v>1132</v>
      </c>
    </row>
    <row r="63">
      <c r="A63" t="inlineStr">
        <is>
          <t>56</t>
        </is>
      </c>
      <c r="B63" t="inlineStr">
        <is>
          <t xml:space="preserve">                Gross operating surplus</t>
        </is>
      </c>
      <c r="C63" t="n">
        <v>26742</v>
      </c>
    </row>
    <row r="64">
      <c r="A64" t="inlineStr">
        <is>
          <t>57</t>
        </is>
      </c>
      <c r="B64" t="inlineStr">
        <is>
          <t xml:space="preserve">            Nonmetallic mineral products</t>
        </is>
      </c>
      <c r="C64" t="n">
        <v>77516</v>
      </c>
      <c r="E64" t="inlineStr">
        <is>
          <t>Nonmetallic mineral products</t>
        </is>
      </c>
    </row>
    <row r="65">
      <c r="A65" t="inlineStr">
        <is>
          <t>58</t>
        </is>
      </c>
      <c r="B65" t="inlineStr">
        <is>
          <t xml:space="preserve">                Compensation of employees</t>
        </is>
      </c>
      <c r="C65" t="n">
        <v>38942</v>
      </c>
    </row>
    <row r="66">
      <c r="A66" t="inlineStr">
        <is>
          <t>59</t>
        </is>
      </c>
      <c r="B66" t="inlineStr">
        <is>
          <t xml:space="preserve">                Taxes on production and imports less subsidies</t>
        </is>
      </c>
      <c r="C66" t="n">
        <v>2209</v>
      </c>
    </row>
    <row r="67">
      <c r="A67" t="inlineStr">
        <is>
          <t>60</t>
        </is>
      </c>
      <c r="B67" t="inlineStr">
        <is>
          <t xml:space="preserve">                Gross operating surplus</t>
        </is>
      </c>
      <c r="C67" t="n">
        <v>36365</v>
      </c>
    </row>
    <row r="68">
      <c r="A68" t="inlineStr">
        <is>
          <t>61</t>
        </is>
      </c>
      <c r="B68" t="inlineStr">
        <is>
          <t xml:space="preserve">            Primary metals</t>
        </is>
      </c>
      <c r="C68" t="n">
        <v>76516</v>
      </c>
      <c r="E68" t="inlineStr">
        <is>
          <t>Primary metals</t>
        </is>
      </c>
    </row>
    <row r="69">
      <c r="A69" t="inlineStr">
        <is>
          <t>62</t>
        </is>
      </c>
      <c r="B69" t="inlineStr">
        <is>
          <t xml:space="preserve">                Compensation of employees</t>
        </is>
      </c>
      <c r="C69" t="n">
        <v>41277</v>
      </c>
    </row>
    <row r="70">
      <c r="A70" t="inlineStr">
        <is>
          <t>63</t>
        </is>
      </c>
      <c r="B70" t="inlineStr">
        <is>
          <t xml:space="preserve">                Taxes on production and imports less subsidies</t>
        </is>
      </c>
      <c r="C70" t="n">
        <v>3553</v>
      </c>
    </row>
    <row r="71">
      <c r="A71" t="inlineStr">
        <is>
          <t>64</t>
        </is>
      </c>
      <c r="B71" t="inlineStr">
        <is>
          <t xml:space="preserve">                Gross operating surplus</t>
        </is>
      </c>
      <c r="C71" t="n">
        <v>31686</v>
      </c>
    </row>
    <row r="72">
      <c r="A72" t="inlineStr">
        <is>
          <t>65</t>
        </is>
      </c>
      <c r="B72" t="inlineStr">
        <is>
          <t xml:space="preserve">            Fabricated metal products</t>
        </is>
      </c>
      <c r="C72" t="n">
        <v>190535</v>
      </c>
      <c r="E72" t="inlineStr">
        <is>
          <t>Fabricated metal products</t>
        </is>
      </c>
      <c r="F72" t="inlineStr">
        <is>
          <t>ISIC 25</t>
        </is>
      </c>
    </row>
    <row r="73">
      <c r="A73" t="inlineStr">
        <is>
          <t>66</t>
        </is>
      </c>
      <c r="B73" t="inlineStr">
        <is>
          <t xml:space="preserve">                Compensation of employees</t>
        </is>
      </c>
      <c r="C73" t="n">
        <v>128099</v>
      </c>
    </row>
    <row r="74">
      <c r="A74" t="inlineStr">
        <is>
          <t>67</t>
        </is>
      </c>
      <c r="B74" t="inlineStr">
        <is>
          <t xml:space="preserve">                Taxes on production and imports less subsidies</t>
        </is>
      </c>
      <c r="C74" t="n">
        <v>5721</v>
      </c>
    </row>
    <row r="75">
      <c r="A75" t="inlineStr">
        <is>
          <t>68</t>
        </is>
      </c>
      <c r="B75" t="inlineStr">
        <is>
          <t xml:space="preserve">                Gross operating surplus</t>
        </is>
      </c>
      <c r="C75" t="n">
        <v>56715</v>
      </c>
    </row>
    <row r="76">
      <c r="A76" t="inlineStr">
        <is>
          <t>69</t>
        </is>
      </c>
      <c r="B76" t="inlineStr">
        <is>
          <t xml:space="preserve">            Machinery</t>
        </is>
      </c>
      <c r="C76" t="n">
        <v>208621</v>
      </c>
      <c r="E76" t="inlineStr">
        <is>
          <t>Machinery</t>
        </is>
      </c>
      <c r="F76" t="inlineStr">
        <is>
          <t>ISIC 28</t>
        </is>
      </c>
    </row>
    <row r="77">
      <c r="A77" t="inlineStr">
        <is>
          <t>70</t>
        </is>
      </c>
      <c r="B77" t="inlineStr">
        <is>
          <t xml:space="preserve">                Compensation of employees</t>
        </is>
      </c>
      <c r="C77" t="n">
        <v>120012</v>
      </c>
    </row>
    <row r="78">
      <c r="A78" t="inlineStr">
        <is>
          <t>71</t>
        </is>
      </c>
      <c r="B78" t="inlineStr">
        <is>
          <t xml:space="preserve">                Taxes on production and imports less subsidies</t>
        </is>
      </c>
      <c r="C78" t="n">
        <v>5159</v>
      </c>
    </row>
    <row r="79">
      <c r="A79" t="inlineStr">
        <is>
          <t>72</t>
        </is>
      </c>
      <c r="B79" t="inlineStr">
        <is>
          <t xml:space="preserve">                Gross operating surplus</t>
        </is>
      </c>
      <c r="C79" t="n">
        <v>83450</v>
      </c>
    </row>
    <row r="80">
      <c r="A80" t="inlineStr">
        <is>
          <t>73</t>
        </is>
      </c>
      <c r="B80" t="inlineStr">
        <is>
          <t xml:space="preserve">            Computer and electronic products</t>
        </is>
      </c>
      <c r="C80" t="n">
        <v>299783</v>
      </c>
      <c r="E80" t="inlineStr">
        <is>
          <t>Computer and electronic products</t>
        </is>
      </c>
      <c r="F80" t="inlineStr">
        <is>
          <t>ISIC 26</t>
        </is>
      </c>
    </row>
    <row r="81">
      <c r="A81" t="inlineStr">
        <is>
          <t>74</t>
        </is>
      </c>
      <c r="B81" t="inlineStr">
        <is>
          <t xml:space="preserve">                Compensation of employees</t>
        </is>
      </c>
      <c r="C81" t="n">
        <v>187376</v>
      </c>
    </row>
    <row r="82">
      <c r="A82" t="inlineStr">
        <is>
          <t>75</t>
        </is>
      </c>
      <c r="B82" t="inlineStr">
        <is>
          <t xml:space="preserve">                Taxes on production and imports less subsidies</t>
        </is>
      </c>
      <c r="C82" t="n">
        <v>11837</v>
      </c>
    </row>
    <row r="83">
      <c r="A83" t="inlineStr">
        <is>
          <t>76</t>
        </is>
      </c>
      <c r="B83" t="inlineStr">
        <is>
          <t xml:space="preserve">                Gross operating surplus</t>
        </is>
      </c>
      <c r="C83" t="n">
        <v>100569</v>
      </c>
    </row>
    <row r="84">
      <c r="A84" t="inlineStr">
        <is>
          <t>77</t>
        </is>
      </c>
      <c r="B84" t="inlineStr">
        <is>
          <t xml:space="preserve">            Electrical equipment, appliances, and components</t>
        </is>
      </c>
      <c r="C84" t="n">
        <v>80171</v>
      </c>
      <c r="E84" t="inlineStr">
        <is>
          <t>Electrical equipment, appliances, and components</t>
        </is>
      </c>
      <c r="F84" t="inlineStr">
        <is>
          <t>ISIC 27</t>
        </is>
      </c>
    </row>
    <row r="85">
      <c r="A85" t="inlineStr">
        <is>
          <t>78</t>
        </is>
      </c>
      <c r="B85" t="inlineStr">
        <is>
          <t xml:space="preserve">                Compensation of employees</t>
        </is>
      </c>
      <c r="C85" t="n">
        <v>47290</v>
      </c>
    </row>
    <row r="86">
      <c r="A86" t="inlineStr">
        <is>
          <t>79</t>
        </is>
      </c>
      <c r="B86" t="inlineStr">
        <is>
          <t xml:space="preserve">                Taxes on production and imports less subsidies</t>
        </is>
      </c>
      <c r="C86" t="n">
        <v>1139</v>
      </c>
    </row>
    <row r="87">
      <c r="A87" t="inlineStr">
        <is>
          <t>80</t>
        </is>
      </c>
      <c r="B87" t="inlineStr">
        <is>
          <t xml:space="preserve">                Gross operating surplus</t>
        </is>
      </c>
      <c r="C87" t="n">
        <v>31742</v>
      </c>
    </row>
    <row r="88">
      <c r="A88" t="inlineStr">
        <is>
          <t>81</t>
        </is>
      </c>
      <c r="B88" t="inlineStr">
        <is>
          <t xml:space="preserve">            Motor vehicles, bodies and trailers, and parts</t>
        </is>
      </c>
      <c r="C88" t="n">
        <v>185854</v>
      </c>
      <c r="E88" t="inlineStr">
        <is>
          <t>Motor vehicles, bodies and trailers, and parts</t>
        </is>
      </c>
      <c r="F88" t="inlineStr">
        <is>
          <t>ISIC 29</t>
        </is>
      </c>
    </row>
    <row r="89">
      <c r="A89" t="inlineStr">
        <is>
          <t>82</t>
        </is>
      </c>
      <c r="B89" t="inlineStr">
        <is>
          <t xml:space="preserve">                Compensation of employees</t>
        </is>
      </c>
      <c r="C89" t="n">
        <v>96593</v>
      </c>
    </row>
    <row r="90">
      <c r="A90" t="inlineStr">
        <is>
          <t>83</t>
        </is>
      </c>
      <c r="B90" t="inlineStr">
        <is>
          <t xml:space="preserve">                Taxes on production and imports less subsidies</t>
        </is>
      </c>
      <c r="C90" t="n">
        <v>5277</v>
      </c>
    </row>
    <row r="91">
      <c r="A91" t="inlineStr">
        <is>
          <t>84</t>
        </is>
      </c>
      <c r="B91" t="inlineStr">
        <is>
          <t xml:space="preserve">                Gross operating surplus</t>
        </is>
      </c>
      <c r="C91" t="n">
        <v>83984</v>
      </c>
    </row>
    <row r="92">
      <c r="A92" t="inlineStr">
        <is>
          <t>85</t>
        </is>
      </c>
      <c r="B92" t="inlineStr">
        <is>
          <t xml:space="preserve">            Other transportation equipment</t>
        </is>
      </c>
      <c r="C92" t="n">
        <v>197330</v>
      </c>
      <c r="E92" t="inlineStr">
        <is>
          <t>Other transportation equipment</t>
        </is>
      </c>
    </row>
    <row r="93">
      <c r="A93" t="inlineStr">
        <is>
          <t>86</t>
        </is>
      </c>
      <c r="B93" t="inlineStr">
        <is>
          <t xml:space="preserve">                Compensation of employees</t>
        </is>
      </c>
      <c r="C93" t="n">
        <v>106326</v>
      </c>
    </row>
    <row r="94">
      <c r="A94" t="inlineStr">
        <is>
          <t>87</t>
        </is>
      </c>
      <c r="B94" t="inlineStr">
        <is>
          <t xml:space="preserve">                Taxes on production and imports less subsidies</t>
        </is>
      </c>
      <c r="C94" t="n">
        <v>4107</v>
      </c>
    </row>
    <row r="95">
      <c r="A95" t="inlineStr">
        <is>
          <t>88</t>
        </is>
      </c>
      <c r="B95" t="inlineStr">
        <is>
          <t xml:space="preserve">                Gross operating surplus</t>
        </is>
      </c>
      <c r="C95" t="n">
        <v>86897</v>
      </c>
    </row>
    <row r="96">
      <c r="A96" t="inlineStr">
        <is>
          <t>89</t>
        </is>
      </c>
      <c r="B96" t="inlineStr">
        <is>
          <t xml:space="preserve">            Furniture and related products</t>
        </is>
      </c>
      <c r="C96" t="n">
        <v>34448</v>
      </c>
      <c r="E96" t="inlineStr">
        <is>
          <t>Furniture and related products</t>
        </is>
      </c>
      <c r="F96" t="inlineStr">
        <is>
          <t>ISIC 31T33</t>
        </is>
      </c>
    </row>
    <row r="97">
      <c r="A97" t="inlineStr">
        <is>
          <t>90</t>
        </is>
      </c>
      <c r="B97" t="inlineStr">
        <is>
          <t xml:space="preserve">                Compensation of employees</t>
        </is>
      </c>
      <c r="C97" t="n">
        <v>25178</v>
      </c>
    </row>
    <row r="98">
      <c r="A98" t="inlineStr">
        <is>
          <t>91</t>
        </is>
      </c>
      <c r="B98" t="inlineStr">
        <is>
          <t xml:space="preserve">                Taxes on production and imports less subsidies</t>
        </is>
      </c>
      <c r="C98" t="n">
        <v>584</v>
      </c>
    </row>
    <row r="99">
      <c r="A99" t="inlineStr">
        <is>
          <t>92</t>
        </is>
      </c>
      <c r="B99" t="inlineStr">
        <is>
          <t xml:space="preserve">                Gross operating surplus</t>
        </is>
      </c>
      <c r="C99" t="n">
        <v>8686</v>
      </c>
    </row>
    <row r="100">
      <c r="A100" t="inlineStr">
        <is>
          <t>93</t>
        </is>
      </c>
      <c r="B100" t="inlineStr">
        <is>
          <t xml:space="preserve">            Miscellaneous manufacturing</t>
        </is>
      </c>
      <c r="C100" t="n">
        <v>113897</v>
      </c>
      <c r="E100" t="inlineStr">
        <is>
          <t>Miscellaneous manufacturing</t>
        </is>
      </c>
      <c r="F100" t="inlineStr">
        <is>
          <t>ISIC 31T33</t>
        </is>
      </c>
    </row>
    <row r="101">
      <c r="A101" t="inlineStr">
        <is>
          <t>94</t>
        </is>
      </c>
      <c r="B101" t="inlineStr">
        <is>
          <t xml:space="preserve">                Compensation of employees</t>
        </is>
      </c>
      <c r="C101" t="n">
        <v>69647</v>
      </c>
    </row>
    <row r="102">
      <c r="A102" t="inlineStr">
        <is>
          <t>95</t>
        </is>
      </c>
      <c r="B102" t="inlineStr">
        <is>
          <t xml:space="preserve">                Taxes on production and imports less subsidies</t>
        </is>
      </c>
      <c r="C102" t="n">
        <v>2683</v>
      </c>
    </row>
    <row r="103">
      <c r="A103" t="inlineStr">
        <is>
          <t>96</t>
        </is>
      </c>
      <c r="B103" t="inlineStr">
        <is>
          <t xml:space="preserve">                Gross operating surplus</t>
        </is>
      </c>
      <c r="C103" t="n">
        <v>41566</v>
      </c>
    </row>
    <row r="104">
      <c r="A104" t="inlineStr">
        <is>
          <t>97</t>
        </is>
      </c>
      <c r="B104" t="inlineStr">
        <is>
          <t xml:space="preserve">        Nondurable goods</t>
        </is>
      </c>
      <c r="C104" t="n">
        <v>1355884</v>
      </c>
    </row>
    <row r="105">
      <c r="A105" t="inlineStr">
        <is>
          <t>98</t>
        </is>
      </c>
      <c r="B105" t="inlineStr">
        <is>
          <t xml:space="preserve">            Compensation of employees</t>
        </is>
      </c>
      <c r="C105" t="n">
        <v>466097</v>
      </c>
    </row>
    <row r="106">
      <c r="A106" t="inlineStr">
        <is>
          <t>99</t>
        </is>
      </c>
      <c r="B106" t="inlineStr">
        <is>
          <t xml:space="preserve">            Taxes on production and imports less subsidies</t>
        </is>
      </c>
      <c r="C106" t="n">
        <v>62608</v>
      </c>
    </row>
    <row r="107">
      <c r="A107" t="inlineStr">
        <is>
          <t>100</t>
        </is>
      </c>
      <c r="B107" t="inlineStr">
        <is>
          <t xml:space="preserve">            Gross operating surplus</t>
        </is>
      </c>
      <c r="C107" t="n">
        <v>827179</v>
      </c>
    </row>
    <row r="108">
      <c r="A108" t="inlineStr">
        <is>
          <t>101</t>
        </is>
      </c>
      <c r="B108" t="inlineStr">
        <is>
          <t xml:space="preserve">            Food and beverage and tobacco products</t>
        </is>
      </c>
      <c r="C108" t="n">
        <v>360176</v>
      </c>
      <c r="E108" t="inlineStr">
        <is>
          <t>Food and beverage and tobacco products</t>
        </is>
      </c>
      <c r="F108" t="inlineStr">
        <is>
          <t>ISIC 10T12</t>
        </is>
      </c>
    </row>
    <row r="109">
      <c r="A109" t="inlineStr">
        <is>
          <t>102</t>
        </is>
      </c>
      <c r="B109" t="inlineStr">
        <is>
          <t xml:space="preserve">                Compensation of employees</t>
        </is>
      </c>
      <c r="C109" t="n">
        <v>160356</v>
      </c>
    </row>
    <row r="110">
      <c r="A110" t="inlineStr">
        <is>
          <t>103</t>
        </is>
      </c>
      <c r="B110" t="inlineStr">
        <is>
          <t xml:space="preserve">                Taxes on production and imports less subsidies</t>
        </is>
      </c>
      <c r="C110" t="n">
        <v>23601</v>
      </c>
    </row>
    <row r="111">
      <c r="A111" t="inlineStr">
        <is>
          <t>104</t>
        </is>
      </c>
      <c r="B111" t="inlineStr">
        <is>
          <t xml:space="preserve">                Gross operating surplus</t>
        </is>
      </c>
      <c r="C111" t="n">
        <v>176219</v>
      </c>
    </row>
    <row r="112">
      <c r="A112" t="inlineStr">
        <is>
          <t>105</t>
        </is>
      </c>
      <c r="B112" t="inlineStr">
        <is>
          <t xml:space="preserve">            Textile mills and textile product mills</t>
        </is>
      </c>
      <c r="C112" t="n">
        <v>16316</v>
      </c>
      <c r="E112" t="inlineStr">
        <is>
          <t>Textile mills and textile product mills</t>
        </is>
      </c>
      <c r="F112" t="inlineStr">
        <is>
          <t>ISIC 13T15</t>
        </is>
      </c>
    </row>
    <row r="113">
      <c r="A113" t="inlineStr">
        <is>
          <t>106</t>
        </is>
      </c>
      <c r="B113" t="inlineStr">
        <is>
          <t xml:space="preserve">                Compensation of employees</t>
        </is>
      </c>
      <c r="C113" t="n">
        <v>12641</v>
      </c>
    </row>
    <row r="114">
      <c r="A114" t="inlineStr">
        <is>
          <t>107</t>
        </is>
      </c>
      <c r="B114" t="inlineStr">
        <is>
          <t xml:space="preserve">                Taxes on production and imports less subsidies</t>
        </is>
      </c>
      <c r="C114" t="n">
        <v>810</v>
      </c>
    </row>
    <row r="115">
      <c r="A115" t="inlineStr">
        <is>
          <t>108</t>
        </is>
      </c>
      <c r="B115" t="inlineStr">
        <is>
          <t xml:space="preserve">                Gross operating surplus</t>
        </is>
      </c>
      <c r="C115" t="n">
        <v>2865</v>
      </c>
    </row>
    <row r="116">
      <c r="A116" t="inlineStr">
        <is>
          <t>109</t>
        </is>
      </c>
      <c r="B116" t="inlineStr">
        <is>
          <t xml:space="preserve">            Apparel and leather and allied products</t>
        </is>
      </c>
      <c r="C116" t="n">
        <v>12453</v>
      </c>
      <c r="E116" t="inlineStr">
        <is>
          <t>Apparel and leather and allied products</t>
        </is>
      </c>
      <c r="F116" t="inlineStr">
        <is>
          <t>ISIC 13T15</t>
        </is>
      </c>
    </row>
    <row r="117">
      <c r="A117" t="inlineStr">
        <is>
          <t>110</t>
        </is>
      </c>
      <c r="B117" t="inlineStr">
        <is>
          <t xml:space="preserve">                Compensation of employees</t>
        </is>
      </c>
      <c r="C117" t="n">
        <v>7740</v>
      </c>
    </row>
    <row r="118">
      <c r="A118" t="inlineStr">
        <is>
          <t>111</t>
        </is>
      </c>
      <c r="B118" t="inlineStr">
        <is>
          <t xml:space="preserve">                Taxes on production and imports less subsidies</t>
        </is>
      </c>
      <c r="C118" t="n">
        <v>403</v>
      </c>
    </row>
    <row r="119">
      <c r="A119" t="inlineStr">
        <is>
          <t>112</t>
        </is>
      </c>
      <c r="B119" t="inlineStr">
        <is>
          <t xml:space="preserve">                Gross operating surplus</t>
        </is>
      </c>
      <c r="C119" t="n">
        <v>4310</v>
      </c>
    </row>
    <row r="120">
      <c r="A120" t="inlineStr">
        <is>
          <t>113</t>
        </is>
      </c>
      <c r="B120" t="inlineStr">
        <is>
          <t xml:space="preserve">            Paper products</t>
        </is>
      </c>
      <c r="C120" t="n">
        <v>74433</v>
      </c>
      <c r="E120" t="inlineStr">
        <is>
          <t>Paper products</t>
        </is>
      </c>
      <c r="F120" t="inlineStr">
        <is>
          <t>ISIC 17T18</t>
        </is>
      </c>
    </row>
    <row r="121">
      <c r="A121" t="inlineStr">
        <is>
          <t>114</t>
        </is>
      </c>
      <c r="B121" t="inlineStr">
        <is>
          <t xml:space="preserve">                Compensation of employees</t>
        </is>
      </c>
      <c r="C121" t="n">
        <v>36515</v>
      </c>
    </row>
    <row r="122">
      <c r="A122" t="inlineStr">
        <is>
          <t>115</t>
        </is>
      </c>
      <c r="B122" t="inlineStr">
        <is>
          <t xml:space="preserve">                Taxes on production and imports less subsidies</t>
        </is>
      </c>
      <c r="C122" t="n">
        <v>2505</v>
      </c>
    </row>
    <row r="123">
      <c r="A123" t="inlineStr">
        <is>
          <t>116</t>
        </is>
      </c>
      <c r="B123" t="inlineStr">
        <is>
          <t xml:space="preserve">                Gross operating surplus</t>
        </is>
      </c>
      <c r="C123" t="n">
        <v>35413</v>
      </c>
    </row>
    <row r="124">
      <c r="A124" t="inlineStr">
        <is>
          <t>117</t>
        </is>
      </c>
      <c r="B124" t="inlineStr">
        <is>
          <t xml:space="preserve">            Printing and related support activities</t>
        </is>
      </c>
      <c r="C124" t="n">
        <v>41301</v>
      </c>
      <c r="E124" t="inlineStr">
        <is>
          <t>Printing and related support activities</t>
        </is>
      </c>
      <c r="F124" t="inlineStr">
        <is>
          <t>ISIC 17T18</t>
        </is>
      </c>
    </row>
    <row r="125">
      <c r="A125" t="inlineStr">
        <is>
          <t>118</t>
        </is>
      </c>
      <c r="B125" t="inlineStr">
        <is>
          <t xml:space="preserve">                Compensation of employees</t>
        </is>
      </c>
      <c r="C125" t="n">
        <v>26845</v>
      </c>
    </row>
    <row r="126">
      <c r="A126" t="inlineStr">
        <is>
          <t>119</t>
        </is>
      </c>
      <c r="B126" t="inlineStr">
        <is>
          <t xml:space="preserve">                Taxes on production and imports less subsidies</t>
        </is>
      </c>
      <c r="C126" t="n">
        <v>1058</v>
      </c>
    </row>
    <row r="127">
      <c r="A127" t="inlineStr">
        <is>
          <t>120</t>
        </is>
      </c>
      <c r="B127" t="inlineStr">
        <is>
          <t xml:space="preserve">                Gross operating surplus</t>
        </is>
      </c>
      <c r="C127" t="n">
        <v>13399</v>
      </c>
    </row>
    <row r="128">
      <c r="A128" t="inlineStr">
        <is>
          <t>121</t>
        </is>
      </c>
      <c r="B128" t="inlineStr">
        <is>
          <t xml:space="preserve">            Petroleum and coal products</t>
        </is>
      </c>
      <c r="C128" t="n">
        <v>195712</v>
      </c>
      <c r="E128" t="inlineStr">
        <is>
          <t>Petroleum and coal products</t>
        </is>
      </c>
      <c r="F128" t="inlineStr">
        <is>
          <t>ISIC 19</t>
        </is>
      </c>
    </row>
    <row r="129">
      <c r="A129" t="inlineStr">
        <is>
          <t>122</t>
        </is>
      </c>
      <c r="B129" t="inlineStr">
        <is>
          <t xml:space="preserve">                Compensation of employees</t>
        </is>
      </c>
      <c r="C129" t="n">
        <v>22688</v>
      </c>
    </row>
    <row r="130">
      <c r="A130" t="inlineStr">
        <is>
          <t>123</t>
        </is>
      </c>
      <c r="B130" t="inlineStr">
        <is>
          <t xml:space="preserve">                Taxes on production and imports less subsidies</t>
        </is>
      </c>
      <c r="C130" t="n">
        <v>6274</v>
      </c>
    </row>
    <row r="131">
      <c r="A131" t="inlineStr">
        <is>
          <t>124</t>
        </is>
      </c>
      <c r="B131" t="inlineStr">
        <is>
          <t xml:space="preserve">                Gross operating surplus</t>
        </is>
      </c>
      <c r="C131" t="n">
        <v>166750</v>
      </c>
    </row>
    <row r="132">
      <c r="A132" t="inlineStr">
        <is>
          <t>125</t>
        </is>
      </c>
      <c r="B132" t="inlineStr">
        <is>
          <t xml:space="preserve">            Chemical products</t>
        </is>
      </c>
      <c r="C132" t="n">
        <v>554021</v>
      </c>
      <c r="E132" t="inlineStr">
        <is>
          <t>Chemical products</t>
        </is>
      </c>
    </row>
    <row r="133">
      <c r="A133" t="inlineStr">
        <is>
          <t>126</t>
        </is>
      </c>
      <c r="B133" t="inlineStr">
        <is>
          <t xml:space="preserve">                Compensation of employees</t>
        </is>
      </c>
      <c r="C133" t="n">
        <v>136974</v>
      </c>
    </row>
    <row r="134">
      <c r="A134" t="inlineStr">
        <is>
          <t>127</t>
        </is>
      </c>
      <c r="B134" t="inlineStr">
        <is>
          <t xml:space="preserve">                Taxes on production and imports less subsidies</t>
        </is>
      </c>
      <c r="C134" t="n">
        <v>24681</v>
      </c>
    </row>
    <row r="135">
      <c r="A135" t="inlineStr">
        <is>
          <t>128</t>
        </is>
      </c>
      <c r="B135" t="inlineStr">
        <is>
          <t xml:space="preserve">                Gross operating surplus</t>
        </is>
      </c>
      <c r="C135" t="n">
        <v>392366</v>
      </c>
    </row>
    <row r="136">
      <c r="A136" t="inlineStr">
        <is>
          <t>129</t>
        </is>
      </c>
      <c r="B136" t="inlineStr">
        <is>
          <t xml:space="preserve">            Plastics and rubber products</t>
        </is>
      </c>
      <c r="C136" t="n">
        <v>101471</v>
      </c>
      <c r="E136" t="inlineStr">
        <is>
          <t>Plastics and rubber products</t>
        </is>
      </c>
      <c r="F136" t="inlineStr">
        <is>
          <t>ISIC 22</t>
        </is>
      </c>
    </row>
    <row r="137">
      <c r="A137" t="inlineStr">
        <is>
          <t>130</t>
        </is>
      </c>
      <c r="B137" t="inlineStr">
        <is>
          <t xml:space="preserve">                Compensation of employees</t>
        </is>
      </c>
      <c r="C137" t="n">
        <v>62338</v>
      </c>
    </row>
    <row r="138">
      <c r="A138" t="inlineStr">
        <is>
          <t>131</t>
        </is>
      </c>
      <c r="B138" t="inlineStr">
        <is>
          <t xml:space="preserve">                Taxes on production and imports less subsidies</t>
        </is>
      </c>
      <c r="C138" t="n">
        <v>3276</v>
      </c>
    </row>
    <row r="139">
      <c r="A139" t="inlineStr">
        <is>
          <t>132</t>
        </is>
      </c>
      <c r="B139" t="inlineStr">
        <is>
          <t xml:space="preserve">                Gross operating surplus</t>
        </is>
      </c>
      <c r="C139" t="n">
        <v>35857</v>
      </c>
    </row>
    <row r="140">
      <c r="A140" t="inlineStr">
        <is>
          <t>133</t>
        </is>
      </c>
      <c r="B140" t="inlineStr">
        <is>
          <t xml:space="preserve">    Wholesale trade</t>
        </is>
      </c>
      <c r="C140" t="n">
        <v>1706289</v>
      </c>
      <c r="E140" t="inlineStr">
        <is>
          <t>Wholesale trade</t>
        </is>
      </c>
      <c r="F140" t="inlineStr">
        <is>
          <t>ISIC 45T47</t>
        </is>
      </c>
    </row>
    <row r="141">
      <c r="A141" t="inlineStr">
        <is>
          <t>134</t>
        </is>
      </c>
      <c r="B141" t="inlineStr">
        <is>
          <t xml:space="preserve">        Compensation of employees</t>
        </is>
      </c>
      <c r="C141" t="n">
        <v>733047</v>
      </c>
    </row>
    <row r="142">
      <c r="A142" t="inlineStr">
        <is>
          <t>135</t>
        </is>
      </c>
      <c r="B142" t="inlineStr">
        <is>
          <t xml:space="preserve">        Taxes on production and imports less subsidies</t>
        </is>
      </c>
      <c r="C142" t="n">
        <v>328298</v>
      </c>
    </row>
    <row r="143">
      <c r="A143" t="inlineStr">
        <is>
          <t>136</t>
        </is>
      </c>
      <c r="B143" t="inlineStr">
        <is>
          <t xml:space="preserve">        Gross operating surplus</t>
        </is>
      </c>
      <c r="C143" t="n">
        <v>644944</v>
      </c>
    </row>
    <row r="144">
      <c r="A144" t="inlineStr">
        <is>
          <t>137</t>
        </is>
      </c>
      <c r="B144" t="inlineStr">
        <is>
          <t xml:space="preserve">    Retail trade</t>
        </is>
      </c>
      <c r="C144" t="n">
        <v>1849039</v>
      </c>
      <c r="E144" t="inlineStr">
        <is>
          <t>Retail trade</t>
        </is>
      </c>
      <c r="F144" t="inlineStr">
        <is>
          <t>ISIC 45T47</t>
        </is>
      </c>
    </row>
    <row r="145">
      <c r="A145" t="inlineStr">
        <is>
          <t>138</t>
        </is>
      </c>
      <c r="B145" t="inlineStr">
        <is>
          <t xml:space="preserve">        Compensation of employees</t>
        </is>
      </c>
      <c r="C145" t="n">
        <v>846090</v>
      </c>
    </row>
    <row r="146">
      <c r="A146" t="inlineStr">
        <is>
          <t>139</t>
        </is>
      </c>
      <c r="B146" t="inlineStr">
        <is>
          <t xml:space="preserve">        Taxes on production and imports less subsidies</t>
        </is>
      </c>
      <c r="C146" t="n">
        <v>338218</v>
      </c>
    </row>
    <row r="147">
      <c r="A147" t="inlineStr">
        <is>
          <t>140</t>
        </is>
      </c>
      <c r="B147" t="inlineStr">
        <is>
          <t xml:space="preserve">        Gross operating surplus</t>
        </is>
      </c>
      <c r="C147" t="n">
        <v>664731</v>
      </c>
    </row>
    <row r="148">
      <c r="A148" t="inlineStr">
        <is>
          <t>141</t>
        </is>
      </c>
      <c r="B148" t="inlineStr">
        <is>
          <t xml:space="preserve">        Motor vehicle and parts dealers</t>
        </is>
      </c>
      <c r="C148" t="n">
        <v>356851</v>
      </c>
    </row>
    <row r="149">
      <c r="A149" t="inlineStr">
        <is>
          <t>142</t>
        </is>
      </c>
      <c r="B149" t="inlineStr">
        <is>
          <t xml:space="preserve">            Compensation of employees</t>
        </is>
      </c>
      <c r="C149" t="n">
        <v>172609</v>
      </c>
    </row>
    <row r="150">
      <c r="A150" t="inlineStr">
        <is>
          <t>143</t>
        </is>
      </c>
      <c r="B150" t="inlineStr">
        <is>
          <t xml:space="preserve">            Taxes on production and imports less subsidies</t>
        </is>
      </c>
      <c r="C150" t="n">
        <v>70686</v>
      </c>
    </row>
    <row r="151">
      <c r="A151" t="inlineStr">
        <is>
          <t>144</t>
        </is>
      </c>
      <c r="B151" t="inlineStr">
        <is>
          <t xml:space="preserve">            Gross operating surplus</t>
        </is>
      </c>
      <c r="C151" t="n">
        <v>113557</v>
      </c>
    </row>
    <row r="152">
      <c r="A152" t="inlineStr">
        <is>
          <t>145</t>
        </is>
      </c>
      <c r="B152" t="inlineStr">
        <is>
          <t xml:space="preserve">        Food and beverage stores</t>
        </is>
      </c>
      <c r="C152" t="n">
        <v>236132</v>
      </c>
    </row>
    <row r="153">
      <c r="A153" t="inlineStr">
        <is>
          <t>146</t>
        </is>
      </c>
      <c r="B153" t="inlineStr">
        <is>
          <t xml:space="preserve">            Compensation of employees</t>
        </is>
      </c>
      <c r="C153" t="n">
        <v>138881</v>
      </c>
    </row>
    <row r="154">
      <c r="A154" t="inlineStr">
        <is>
          <t>147</t>
        </is>
      </c>
      <c r="B154" t="inlineStr">
        <is>
          <t xml:space="preserve">            Taxes on production and imports less subsidies</t>
        </is>
      </c>
      <c r="C154" t="n">
        <v>37153</v>
      </c>
    </row>
    <row r="155">
      <c r="A155" t="inlineStr">
        <is>
          <t>148</t>
        </is>
      </c>
      <c r="B155" t="inlineStr">
        <is>
          <t xml:space="preserve">            Gross operating surplus</t>
        </is>
      </c>
      <c r="C155" t="n">
        <v>60098</v>
      </c>
    </row>
    <row r="156">
      <c r="A156" t="inlineStr">
        <is>
          <t>149</t>
        </is>
      </c>
      <c r="B156" t="inlineStr">
        <is>
          <t xml:space="preserve">        General merchandise stores</t>
        </is>
      </c>
      <c r="C156" t="n">
        <v>224084</v>
      </c>
    </row>
    <row r="157">
      <c r="A157" t="inlineStr">
        <is>
          <t>150</t>
        </is>
      </c>
      <c r="B157" t="inlineStr">
        <is>
          <t xml:space="preserve">            Compensation of employees</t>
        </is>
      </c>
      <c r="C157" t="n">
        <v>126489</v>
      </c>
    </row>
    <row r="158">
      <c r="A158" t="inlineStr">
        <is>
          <t>151</t>
        </is>
      </c>
      <c r="B158" t="inlineStr">
        <is>
          <t xml:space="preserve">            Taxes on production and imports less subsidies</t>
        </is>
      </c>
      <c r="C158" t="n">
        <v>57632</v>
      </c>
    </row>
    <row r="159">
      <c r="A159" t="inlineStr">
        <is>
          <t>152</t>
        </is>
      </c>
      <c r="B159" t="inlineStr">
        <is>
          <t xml:space="preserve">            Gross operating surplus</t>
        </is>
      </c>
      <c r="C159" t="n">
        <v>39963</v>
      </c>
    </row>
    <row r="160">
      <c r="A160" t="inlineStr">
        <is>
          <t>153</t>
        </is>
      </c>
      <c r="B160" t="inlineStr">
        <is>
          <t xml:space="preserve">        Other retail</t>
        </is>
      </c>
      <c r="C160" t="n">
        <v>1031973</v>
      </c>
    </row>
    <row r="161">
      <c r="A161" t="inlineStr">
        <is>
          <t>154</t>
        </is>
      </c>
      <c r="B161" t="inlineStr">
        <is>
          <t xml:space="preserve">            Compensation of employees</t>
        </is>
      </c>
      <c r="C161" t="n">
        <v>408112</v>
      </c>
    </row>
    <row r="162">
      <c r="A162" t="inlineStr">
        <is>
          <t>155</t>
        </is>
      </c>
      <c r="B162" t="inlineStr">
        <is>
          <t xml:space="preserve">            Taxes on production and imports less subsidies</t>
        </is>
      </c>
      <c r="C162" t="n">
        <v>172747</v>
      </c>
    </row>
    <row r="163">
      <c r="A163" t="inlineStr">
        <is>
          <t>156</t>
        </is>
      </c>
      <c r="B163" t="inlineStr">
        <is>
          <t xml:space="preserve">            Gross operating surplus</t>
        </is>
      </c>
      <c r="C163" t="n">
        <v>451114</v>
      </c>
    </row>
    <row r="164">
      <c r="A164" t="inlineStr">
        <is>
          <t>157</t>
        </is>
      </c>
      <c r="B164" t="inlineStr">
        <is>
          <t xml:space="preserve">    Transportation and warehousing</t>
        </is>
      </c>
      <c r="C164" t="n">
        <v>987302</v>
      </c>
    </row>
    <row r="165">
      <c r="A165" t="inlineStr">
        <is>
          <t>158</t>
        </is>
      </c>
      <c r="B165" t="inlineStr">
        <is>
          <t xml:space="preserve">        Compensation of employees</t>
        </is>
      </c>
      <c r="C165" t="n">
        <v>577240</v>
      </c>
    </row>
    <row r="166">
      <c r="A166" t="inlineStr">
        <is>
          <t>159</t>
        </is>
      </c>
      <c r="B166" t="inlineStr">
        <is>
          <t xml:space="preserve">        Taxes on production and imports less subsidies</t>
        </is>
      </c>
      <c r="C166" t="n">
        <v>54055</v>
      </c>
    </row>
    <row r="167">
      <c r="A167" t="inlineStr">
        <is>
          <t>160</t>
        </is>
      </c>
      <c r="B167" t="inlineStr">
        <is>
          <t xml:space="preserve">        Gross operating surplus</t>
        </is>
      </c>
      <c r="C167" t="n">
        <v>356007</v>
      </c>
    </row>
    <row r="168">
      <c r="A168" t="inlineStr">
        <is>
          <t>161</t>
        </is>
      </c>
      <c r="B168" t="inlineStr">
        <is>
          <t xml:space="preserve">        Air transportation</t>
        </is>
      </c>
      <c r="C168" t="n">
        <v>175712</v>
      </c>
      <c r="E168" t="inlineStr">
        <is>
          <t>Air transportation</t>
        </is>
      </c>
      <c r="F168" t="inlineStr">
        <is>
          <t>ISIC 51</t>
        </is>
      </c>
    </row>
    <row r="169">
      <c r="A169" t="inlineStr">
        <is>
          <t>162</t>
        </is>
      </c>
      <c r="B169" t="inlineStr">
        <is>
          <t xml:space="preserve">            Compensation of employees</t>
        </is>
      </c>
      <c r="C169" t="n">
        <v>88114</v>
      </c>
    </row>
    <row r="170">
      <c r="A170" t="inlineStr">
        <is>
          <t>163</t>
        </is>
      </c>
      <c r="B170" t="inlineStr">
        <is>
          <t xml:space="preserve">            Taxes on production and imports less subsidies</t>
        </is>
      </c>
      <c r="C170" t="n">
        <v>34858</v>
      </c>
    </row>
    <row r="171">
      <c r="A171" t="inlineStr">
        <is>
          <t>164</t>
        </is>
      </c>
      <c r="B171" t="inlineStr">
        <is>
          <t xml:space="preserve">            Gross operating surplus</t>
        </is>
      </c>
      <c r="C171" t="n">
        <v>52740</v>
      </c>
    </row>
    <row r="172">
      <c r="A172" t="inlineStr">
        <is>
          <t>165</t>
        </is>
      </c>
      <c r="B172" t="inlineStr">
        <is>
          <t xml:space="preserve">        Rail transportation</t>
        </is>
      </c>
      <c r="C172" t="n">
        <v>53169</v>
      </c>
      <c r="E172" t="inlineStr">
        <is>
          <t>Rail transportation</t>
        </is>
      </c>
      <c r="F172" t="inlineStr">
        <is>
          <t>ISIC 49</t>
        </is>
      </c>
    </row>
    <row r="173">
      <c r="A173" t="inlineStr">
        <is>
          <t>166</t>
        </is>
      </c>
      <c r="B173" t="inlineStr">
        <is>
          <t xml:space="preserve">            Compensation of employees</t>
        </is>
      </c>
      <c r="C173" t="n">
        <v>26365</v>
      </c>
    </row>
    <row r="174">
      <c r="A174" t="inlineStr">
        <is>
          <t>167</t>
        </is>
      </c>
      <c r="B174" t="inlineStr">
        <is>
          <t xml:space="preserve">            Taxes on production and imports less subsidies</t>
        </is>
      </c>
      <c r="C174" t="n">
        <v>-1855</v>
      </c>
    </row>
    <row r="175">
      <c r="A175" t="inlineStr">
        <is>
          <t>168</t>
        </is>
      </c>
      <c r="B175" t="inlineStr">
        <is>
          <t xml:space="preserve">            Gross operating surplus</t>
        </is>
      </c>
      <c r="C175" t="n">
        <v>28659</v>
      </c>
    </row>
    <row r="176">
      <c r="A176" t="inlineStr">
        <is>
          <t>169</t>
        </is>
      </c>
      <c r="B176" t="inlineStr">
        <is>
          <t xml:space="preserve">        Water transportation</t>
        </is>
      </c>
      <c r="C176" t="n">
        <v>24335</v>
      </c>
      <c r="E176" t="inlineStr">
        <is>
          <t>Water transportation</t>
        </is>
      </c>
      <c r="F176" t="inlineStr">
        <is>
          <t>ISIC 50</t>
        </is>
      </c>
    </row>
    <row r="177">
      <c r="A177" t="inlineStr">
        <is>
          <t>170</t>
        </is>
      </c>
      <c r="B177" t="inlineStr">
        <is>
          <t xml:space="preserve">            Compensation of employees</t>
        </is>
      </c>
      <c r="C177" t="n">
        <v>9882</v>
      </c>
    </row>
    <row r="178">
      <c r="A178" t="inlineStr">
        <is>
          <t>171</t>
        </is>
      </c>
      <c r="B178" t="inlineStr">
        <is>
          <t xml:space="preserve">            Taxes on production and imports less subsidies</t>
        </is>
      </c>
      <c r="C178" t="n">
        <v>1529</v>
      </c>
    </row>
    <row r="179">
      <c r="A179" t="inlineStr">
        <is>
          <t>172</t>
        </is>
      </c>
      <c r="B179" t="inlineStr">
        <is>
          <t xml:space="preserve">            Gross operating surplus</t>
        </is>
      </c>
      <c r="C179" t="n">
        <v>12924</v>
      </c>
    </row>
    <row r="180">
      <c r="A180" t="inlineStr">
        <is>
          <t>173</t>
        </is>
      </c>
      <c r="B180" t="inlineStr">
        <is>
          <t xml:space="preserve">        Truck transportation</t>
        </is>
      </c>
      <c r="C180" t="n">
        <v>257356</v>
      </c>
      <c r="E180" t="inlineStr">
        <is>
          <t>Truck transportation</t>
        </is>
      </c>
      <c r="F180" t="inlineStr">
        <is>
          <t>ISIC 49</t>
        </is>
      </c>
    </row>
    <row r="181">
      <c r="A181" t="inlineStr">
        <is>
          <t>174</t>
        </is>
      </c>
      <c r="B181" t="inlineStr">
        <is>
          <t xml:space="preserve">            Compensation of employees</t>
        </is>
      </c>
      <c r="C181" t="n">
        <v>135191</v>
      </c>
    </row>
    <row r="182">
      <c r="A182" t="inlineStr">
        <is>
          <t>175</t>
        </is>
      </c>
      <c r="B182" t="inlineStr">
        <is>
          <t xml:space="preserve">            Taxes on production and imports less subsidies</t>
        </is>
      </c>
      <c r="C182" t="n">
        <v>6408</v>
      </c>
    </row>
    <row r="183">
      <c r="A183" t="inlineStr">
        <is>
          <t>176</t>
        </is>
      </c>
      <c r="B183" t="inlineStr">
        <is>
          <t xml:space="preserve">            Gross operating surplus</t>
        </is>
      </c>
      <c r="C183" t="n">
        <v>115757</v>
      </c>
    </row>
    <row r="184">
      <c r="A184" t="inlineStr">
        <is>
          <t>177</t>
        </is>
      </c>
      <c r="B184" t="inlineStr">
        <is>
          <t xml:space="preserve">        Transit and ground passenger transportation</t>
        </is>
      </c>
      <c r="C184" t="n">
        <v>83850</v>
      </c>
      <c r="E184" t="inlineStr">
        <is>
          <t>Transit and ground passenger transportation</t>
        </is>
      </c>
      <c r="F184" t="inlineStr">
        <is>
          <t>ISIC 49</t>
        </is>
      </c>
    </row>
    <row r="185">
      <c r="A185" t="inlineStr">
        <is>
          <t>178</t>
        </is>
      </c>
      <c r="B185" t="inlineStr">
        <is>
          <t xml:space="preserve">            Compensation of employees</t>
        </is>
      </c>
      <c r="C185" t="n">
        <v>37736</v>
      </c>
    </row>
    <row r="186">
      <c r="A186" t="inlineStr">
        <is>
          <t>179</t>
        </is>
      </c>
      <c r="B186" t="inlineStr">
        <is>
          <t xml:space="preserve">            Taxes on production and imports less subsidies</t>
        </is>
      </c>
      <c r="C186" t="n">
        <v>3057</v>
      </c>
    </row>
    <row r="187">
      <c r="A187" t="inlineStr">
        <is>
          <t>180</t>
        </is>
      </c>
      <c r="B187" t="inlineStr">
        <is>
          <t xml:space="preserve">            Gross operating surplus</t>
        </is>
      </c>
      <c r="C187" t="n">
        <v>43057</v>
      </c>
    </row>
    <row r="188">
      <c r="A188" t="inlineStr">
        <is>
          <t>181</t>
        </is>
      </c>
      <c r="B188" t="inlineStr">
        <is>
          <t xml:space="preserve">        Pipeline transportation</t>
        </is>
      </c>
      <c r="C188" t="n">
        <v>48501</v>
      </c>
      <c r="E188" t="inlineStr">
        <is>
          <t>Pipeline transportation</t>
        </is>
      </c>
      <c r="F188" t="inlineStr">
        <is>
          <t>ISIC 352T353</t>
        </is>
      </c>
    </row>
    <row r="189">
      <c r="A189" t="inlineStr">
        <is>
          <t>182</t>
        </is>
      </c>
      <c r="B189" t="inlineStr">
        <is>
          <t xml:space="preserve">            Compensation of employees</t>
        </is>
      </c>
      <c r="C189" t="n">
        <v>10719</v>
      </c>
    </row>
    <row r="190">
      <c r="A190" t="inlineStr">
        <is>
          <t>183</t>
        </is>
      </c>
      <c r="B190" t="inlineStr">
        <is>
          <t xml:space="preserve">            Taxes on production and imports less subsidies</t>
        </is>
      </c>
      <c r="C190" t="n">
        <v>4919</v>
      </c>
    </row>
    <row r="191">
      <c r="A191" t="inlineStr">
        <is>
          <t>184</t>
        </is>
      </c>
      <c r="B191" t="inlineStr">
        <is>
          <t xml:space="preserve">            Gross operating surplus</t>
        </is>
      </c>
      <c r="C191" t="n">
        <v>32862</v>
      </c>
    </row>
    <row r="192">
      <c r="A192" t="inlineStr">
        <is>
          <t>185</t>
        </is>
      </c>
      <c r="B192" t="inlineStr">
        <is>
          <t xml:space="preserve">        Other transportation and support activities</t>
        </is>
      </c>
      <c r="C192" t="n">
        <v>216231</v>
      </c>
      <c r="E192" t="inlineStr">
        <is>
          <t>Other transportation and support activities</t>
        </is>
      </c>
    </row>
    <row r="193">
      <c r="A193" t="inlineStr">
        <is>
          <t>186</t>
        </is>
      </c>
      <c r="B193" t="inlineStr">
        <is>
          <t xml:space="preserve">            Compensation of employees</t>
        </is>
      </c>
      <c r="C193" t="n">
        <v>147652</v>
      </c>
    </row>
    <row r="194">
      <c r="A194" t="inlineStr">
        <is>
          <t>187</t>
        </is>
      </c>
      <c r="B194" t="inlineStr">
        <is>
          <t xml:space="preserve">            Taxes on production and imports less subsidies</t>
        </is>
      </c>
      <c r="C194" t="n">
        <v>3695</v>
      </c>
    </row>
    <row r="195">
      <c r="A195" t="inlineStr">
        <is>
          <t>188</t>
        </is>
      </c>
      <c r="B195" t="inlineStr">
        <is>
          <t xml:space="preserve">            Gross operating surplus</t>
        </is>
      </c>
      <c r="C195" t="n">
        <v>64884</v>
      </c>
    </row>
    <row r="196">
      <c r="A196" t="inlineStr">
        <is>
          <t>189</t>
        </is>
      </c>
      <c r="B196" t="inlineStr">
        <is>
          <t xml:space="preserve">        Warehousing and storage</t>
        </is>
      </c>
      <c r="C196" t="n">
        <v>128148</v>
      </c>
      <c r="E196" t="inlineStr">
        <is>
          <t>Warehousing and storage</t>
        </is>
      </c>
      <c r="F196" t="inlineStr">
        <is>
          <t>ISIC 52</t>
        </is>
      </c>
    </row>
    <row r="197">
      <c r="A197" t="inlineStr">
        <is>
          <t>190</t>
        </is>
      </c>
      <c r="B197" t="inlineStr">
        <is>
          <t xml:space="preserve">            Compensation of employees</t>
        </is>
      </c>
      <c r="C197" t="n">
        <v>121581</v>
      </c>
    </row>
    <row r="198">
      <c r="A198" t="inlineStr">
        <is>
          <t>191</t>
        </is>
      </c>
      <c r="B198" t="inlineStr">
        <is>
          <t xml:space="preserve">            Taxes on production and imports less subsidies</t>
        </is>
      </c>
      <c r="C198" t="n">
        <v>1443</v>
      </c>
    </row>
    <row r="199">
      <c r="A199" t="inlineStr">
        <is>
          <t>192</t>
        </is>
      </c>
      <c r="B199" t="inlineStr">
        <is>
          <t xml:space="preserve">            Gross operating surplus</t>
        </is>
      </c>
      <c r="C199" t="n">
        <v>5124</v>
      </c>
    </row>
    <row r="200">
      <c r="A200" t="inlineStr">
        <is>
          <t>193</t>
        </is>
      </c>
      <c r="B200" t="inlineStr">
        <is>
          <t xml:space="preserve">    Information</t>
        </is>
      </c>
      <c r="C200" t="n">
        <v>1592692</v>
      </c>
    </row>
    <row r="201">
      <c r="A201" t="inlineStr">
        <is>
          <t>194</t>
        </is>
      </c>
      <c r="B201" t="inlineStr">
        <is>
          <t xml:space="preserve">        Compensation of employees</t>
        </is>
      </c>
      <c r="C201" t="n">
        <v>593157</v>
      </c>
    </row>
    <row r="202">
      <c r="A202" t="inlineStr">
        <is>
          <t>195</t>
        </is>
      </c>
      <c r="B202" t="inlineStr">
        <is>
          <t xml:space="preserve">        Taxes on production and imports less subsidies</t>
        </is>
      </c>
      <c r="C202" t="n">
        <v>65934</v>
      </c>
    </row>
    <row r="203">
      <c r="A203" t="inlineStr">
        <is>
          <t>196</t>
        </is>
      </c>
      <c r="B203" t="inlineStr">
        <is>
          <t xml:space="preserve">        Gross operating surplus</t>
        </is>
      </c>
      <c r="C203" t="n">
        <v>933601</v>
      </c>
    </row>
    <row r="204">
      <c r="A204" t="inlineStr">
        <is>
          <t>197</t>
        </is>
      </c>
      <c r="B204" t="inlineStr">
        <is>
          <t xml:space="preserve">        Publishing industries, except internet (includes software)</t>
        </is>
      </c>
      <c r="C204" t="n">
        <v>442706</v>
      </c>
      <c r="E204" t="inlineStr">
        <is>
          <t>Publishing industries, except internet (includes software)</t>
        </is>
      </c>
      <c r="F204" t="inlineStr">
        <is>
          <t>ISIC 58T60</t>
        </is>
      </c>
    </row>
    <row r="205">
      <c r="A205" t="inlineStr">
        <is>
          <t>198</t>
        </is>
      </c>
      <c r="B205" t="inlineStr">
        <is>
          <t xml:space="preserve">            Compensation of employees</t>
        </is>
      </c>
      <c r="C205" t="n">
        <v>184170</v>
      </c>
    </row>
    <row r="206">
      <c r="A206" t="inlineStr">
        <is>
          <t>199</t>
        </is>
      </c>
      <c r="B206" t="inlineStr">
        <is>
          <t xml:space="preserve">            Taxes on production and imports less subsidies</t>
        </is>
      </c>
      <c r="C206" t="n">
        <v>8289</v>
      </c>
    </row>
    <row r="207">
      <c r="A207" t="inlineStr">
        <is>
          <t>200</t>
        </is>
      </c>
      <c r="B207" t="inlineStr">
        <is>
          <t xml:space="preserve">            Gross operating surplus</t>
        </is>
      </c>
      <c r="C207" t="n">
        <v>250247</v>
      </c>
    </row>
    <row r="208">
      <c r="A208" t="inlineStr">
        <is>
          <t>201</t>
        </is>
      </c>
      <c r="B208" t="inlineStr">
        <is>
          <t xml:space="preserve">        Motion picture and sound recording industries</t>
        </is>
      </c>
      <c r="C208" t="n">
        <v>119385</v>
      </c>
      <c r="E208" t="inlineStr">
        <is>
          <t>Motion picture and sound recording industries</t>
        </is>
      </c>
      <c r="F208" t="inlineStr">
        <is>
          <t>ISIC 58T60</t>
        </is>
      </c>
    </row>
    <row r="209">
      <c r="A209" t="inlineStr">
        <is>
          <t>202</t>
        </is>
      </c>
      <c r="B209" t="inlineStr">
        <is>
          <t xml:space="preserve">            Compensation of employees</t>
        </is>
      </c>
      <c r="C209" t="n">
        <v>42580</v>
      </c>
    </row>
    <row r="210">
      <c r="A210" t="inlineStr">
        <is>
          <t>203</t>
        </is>
      </c>
      <c r="B210" t="inlineStr">
        <is>
          <t xml:space="preserve">            Taxes on production and imports less subsidies</t>
        </is>
      </c>
      <c r="C210" t="n">
        <v>6792</v>
      </c>
    </row>
    <row r="211">
      <c r="A211" t="inlineStr">
        <is>
          <t>204</t>
        </is>
      </c>
      <c r="B211" t="inlineStr">
        <is>
          <t xml:space="preserve">            Gross operating surplus</t>
        </is>
      </c>
      <c r="C211" t="n">
        <v>70014</v>
      </c>
    </row>
    <row r="212">
      <c r="A212" t="inlineStr">
        <is>
          <t>205</t>
        </is>
      </c>
      <c r="B212" t="inlineStr">
        <is>
          <t xml:space="preserve">        Broadcasting and telecommunications</t>
        </is>
      </c>
      <c r="C212" t="n">
        <v>501545</v>
      </c>
      <c r="E212" t="inlineStr">
        <is>
          <t>Broadcasting and telecommunications</t>
        </is>
      </c>
    </row>
    <row r="213">
      <c r="A213" t="inlineStr">
        <is>
          <t>206</t>
        </is>
      </c>
      <c r="B213" t="inlineStr">
        <is>
          <t xml:space="preserve">            Compensation of employees</t>
        </is>
      </c>
      <c r="C213" t="n">
        <v>129892</v>
      </c>
    </row>
    <row r="214">
      <c r="A214" t="inlineStr">
        <is>
          <t>207</t>
        </is>
      </c>
      <c r="B214" t="inlineStr">
        <is>
          <t xml:space="preserve">            Taxes on production and imports less subsidies</t>
        </is>
      </c>
      <c r="C214" t="n">
        <v>42372</v>
      </c>
    </row>
    <row r="215">
      <c r="A215" t="inlineStr">
        <is>
          <t>208</t>
        </is>
      </c>
      <c r="B215" t="inlineStr">
        <is>
          <t xml:space="preserve">            Gross operating surplus</t>
        </is>
      </c>
      <c r="C215" t="n">
        <v>329281</v>
      </c>
    </row>
    <row r="216">
      <c r="A216" t="inlineStr">
        <is>
          <t>209</t>
        </is>
      </c>
      <c r="B216" t="inlineStr">
        <is>
          <t xml:space="preserve">        Data processing, internet publishing, and other information services</t>
        </is>
      </c>
      <c r="C216" t="n">
        <v>529056</v>
      </c>
      <c r="E216" t="inlineStr">
        <is>
          <t>Data processing, internet publishing, and other information services</t>
        </is>
      </c>
      <c r="F216" t="inlineStr">
        <is>
          <t>ISIC 62T63</t>
        </is>
      </c>
    </row>
    <row r="217">
      <c r="A217" t="inlineStr">
        <is>
          <t>210</t>
        </is>
      </c>
      <c r="B217" t="inlineStr">
        <is>
          <t xml:space="preserve">            Compensation of employees</t>
        </is>
      </c>
      <c r="C217" t="n">
        <v>236515</v>
      </c>
    </row>
    <row r="218">
      <c r="A218" t="inlineStr">
        <is>
          <t>211</t>
        </is>
      </c>
      <c r="B218" t="inlineStr">
        <is>
          <t xml:space="preserve">            Taxes on production and imports less subsidies</t>
        </is>
      </c>
      <c r="C218" t="n">
        <v>8482</v>
      </c>
    </row>
    <row r="219">
      <c r="A219" t="inlineStr">
        <is>
          <t>212</t>
        </is>
      </c>
      <c r="B219" t="inlineStr">
        <is>
          <t xml:space="preserve">            Gross operating surplus</t>
        </is>
      </c>
      <c r="C219" t="n">
        <v>284059</v>
      </c>
    </row>
    <row r="220">
      <c r="A220" t="inlineStr">
        <is>
          <t>213</t>
        </is>
      </c>
      <c r="B220" t="inlineStr">
        <is>
          <t xml:space="preserve">    Finance, insurance, real estate, rental, and leasing</t>
        </is>
      </c>
      <c r="C220" t="n">
        <v>6281555</v>
      </c>
    </row>
    <row r="221">
      <c r="A221" t="inlineStr">
        <is>
          <t>214</t>
        </is>
      </c>
      <c r="B221" t="inlineStr">
        <is>
          <t xml:space="preserve">        Compensation of employees</t>
        </is>
      </c>
      <c r="C221" t="n">
        <v>1338953</v>
      </c>
    </row>
    <row r="222">
      <c r="A222" t="inlineStr">
        <is>
          <t>215</t>
        </is>
      </c>
      <c r="B222" t="inlineStr">
        <is>
          <t xml:space="preserve">        Taxes on production and imports less subsidies</t>
        </is>
      </c>
      <c r="C222" t="n">
        <v>483266</v>
      </c>
    </row>
    <row r="223">
      <c r="A223" t="inlineStr">
        <is>
          <t>216</t>
        </is>
      </c>
      <c r="B223" t="inlineStr">
        <is>
          <t xml:space="preserve">        Gross operating surplus</t>
        </is>
      </c>
      <c r="C223" t="n">
        <v>4459335</v>
      </c>
    </row>
    <row r="224">
      <c r="A224" t="inlineStr">
        <is>
          <t>217</t>
        </is>
      </c>
      <c r="B224" t="inlineStr">
        <is>
          <t xml:space="preserve">        Finance and insurance</t>
        </is>
      </c>
      <c r="C224" t="n">
        <v>2229155</v>
      </c>
      <c r="E224" t="inlineStr">
        <is>
          <t>Finance and insurance</t>
        </is>
      </c>
      <c r="F224" t="inlineStr">
        <is>
          <t>ISIC 64T66</t>
        </is>
      </c>
    </row>
    <row r="225">
      <c r="A225" t="inlineStr">
        <is>
          <t>218</t>
        </is>
      </c>
      <c r="B225" t="inlineStr">
        <is>
          <t xml:space="preserve">            Compensation of employees</t>
        </is>
      </c>
      <c r="C225" t="n">
        <v>1115372</v>
      </c>
    </row>
    <row r="226">
      <c r="A226" t="inlineStr">
        <is>
          <t>219</t>
        </is>
      </c>
      <c r="B226" t="inlineStr">
        <is>
          <t xml:space="preserve">            Taxes on production and imports less subsidies</t>
        </is>
      </c>
      <c r="C226" t="n">
        <v>83485</v>
      </c>
    </row>
    <row r="227">
      <c r="A227" t="inlineStr">
        <is>
          <t>220</t>
        </is>
      </c>
      <c r="B227" t="inlineStr">
        <is>
          <t xml:space="preserve">            Gross operating surplus</t>
        </is>
      </c>
      <c r="C227" t="n">
        <v>1030298</v>
      </c>
    </row>
    <row r="228">
      <c r="A228" t="inlineStr">
        <is>
          <t>221</t>
        </is>
      </c>
      <c r="B228" t="inlineStr">
        <is>
          <t xml:space="preserve">            Federal Reserve banks, credit intermediation, and related activities</t>
        </is>
      </c>
      <c r="C228" t="n">
        <v>1013285</v>
      </c>
    </row>
    <row r="229">
      <c r="A229" t="inlineStr">
        <is>
          <t>222</t>
        </is>
      </c>
      <c r="B229" t="inlineStr">
        <is>
          <t xml:space="preserve">                Compensation of employees</t>
        </is>
      </c>
      <c r="C229" t="n">
        <v>354009</v>
      </c>
    </row>
    <row r="230">
      <c r="A230" t="inlineStr">
        <is>
          <t>223</t>
        </is>
      </c>
      <c r="B230" t="inlineStr">
        <is>
          <t xml:space="preserve">                Taxes on production and imports less subsidies</t>
        </is>
      </c>
      <c r="C230" t="n">
        <v>26036</v>
      </c>
    </row>
    <row r="231">
      <c r="A231" t="inlineStr">
        <is>
          <t>224</t>
        </is>
      </c>
      <c r="B231" t="inlineStr">
        <is>
          <t xml:space="preserve">                Gross operating surplus</t>
        </is>
      </c>
      <c r="C231" t="n">
        <v>633241</v>
      </c>
    </row>
    <row r="232">
      <c r="A232" t="inlineStr">
        <is>
          <t>225</t>
        </is>
      </c>
      <c r="B232" t="inlineStr">
        <is>
          <t xml:space="preserve">            Securities, commodity contracts, and investments</t>
        </is>
      </c>
      <c r="C232" t="n">
        <v>396082</v>
      </c>
    </row>
    <row r="233">
      <c r="A233" t="inlineStr">
        <is>
          <t>226</t>
        </is>
      </c>
      <c r="B233" t="inlineStr">
        <is>
          <t xml:space="preserve">                Compensation of employees</t>
        </is>
      </c>
      <c r="C233" t="n">
        <v>364518</v>
      </c>
    </row>
    <row r="234">
      <c r="A234" t="inlineStr">
        <is>
          <t>227</t>
        </is>
      </c>
      <c r="B234" t="inlineStr">
        <is>
          <t xml:space="preserve">                Taxes on production and imports less subsidies</t>
        </is>
      </c>
      <c r="C234" t="n">
        <v>8296</v>
      </c>
    </row>
    <row r="235">
      <c r="A235" t="inlineStr">
        <is>
          <t>228</t>
        </is>
      </c>
      <c r="B235" t="inlineStr">
        <is>
          <t xml:space="preserve">                Gross operating surplus</t>
        </is>
      </c>
      <c r="C235" t="n">
        <v>23268</v>
      </c>
    </row>
    <row r="236">
      <c r="A236" t="inlineStr">
        <is>
          <t>229</t>
        </is>
      </c>
      <c r="B236" t="inlineStr">
        <is>
          <t xml:space="preserve">            Insurance carriers and related activities</t>
        </is>
      </c>
      <c r="C236" t="n">
        <v>791806</v>
      </c>
    </row>
    <row r="237">
      <c r="A237" t="inlineStr">
        <is>
          <t>230</t>
        </is>
      </c>
      <c r="B237" t="inlineStr">
        <is>
          <t xml:space="preserve">                Compensation of employees</t>
        </is>
      </c>
      <c r="C237" t="n">
        <v>390088</v>
      </c>
    </row>
    <row r="238">
      <c r="A238" t="inlineStr">
        <is>
          <t>231</t>
        </is>
      </c>
      <c r="B238" t="inlineStr">
        <is>
          <t xml:space="preserve">                Taxes on production and imports less subsidies</t>
        </is>
      </c>
      <c r="C238" t="n">
        <v>48317</v>
      </c>
    </row>
    <row r="239">
      <c r="A239" t="inlineStr">
        <is>
          <t>232</t>
        </is>
      </c>
      <c r="B239" t="inlineStr">
        <is>
          <t xml:space="preserve">                Gross operating surplus</t>
        </is>
      </c>
      <c r="C239" t="n">
        <v>353401</v>
      </c>
    </row>
    <row r="240">
      <c r="A240" t="inlineStr">
        <is>
          <t>233</t>
        </is>
      </c>
      <c r="B240" t="inlineStr">
        <is>
          <t xml:space="preserve">            Funds, trusts, and other financial vehicles</t>
        </is>
      </c>
      <c r="C240" t="n">
        <v>27981</v>
      </c>
    </row>
    <row r="241">
      <c r="A241" t="inlineStr">
        <is>
          <t>234</t>
        </is>
      </c>
      <c r="B241" t="inlineStr">
        <is>
          <t xml:space="preserve">                Compensation of employees</t>
        </is>
      </c>
      <c r="C241" t="n">
        <v>6758</v>
      </c>
    </row>
    <row r="242">
      <c r="A242" t="inlineStr">
        <is>
          <t>235</t>
        </is>
      </c>
      <c r="B242" t="inlineStr">
        <is>
          <t xml:space="preserve">                Taxes on production and imports less subsidies</t>
        </is>
      </c>
      <c r="C242" t="n">
        <v>835</v>
      </c>
    </row>
    <row r="243">
      <c r="A243" t="inlineStr">
        <is>
          <t>236</t>
        </is>
      </c>
      <c r="B243" t="inlineStr">
        <is>
          <t xml:space="preserve">                Gross operating surplus</t>
        </is>
      </c>
      <c r="C243" t="n">
        <v>20388</v>
      </c>
    </row>
    <row r="244">
      <c r="A244" t="inlineStr">
        <is>
          <t>237</t>
        </is>
      </c>
      <c r="B244" t="inlineStr">
        <is>
          <t xml:space="preserve">        Real estate and rental and leasing</t>
        </is>
      </c>
      <c r="C244" t="n">
        <v>4052400</v>
      </c>
    </row>
    <row r="245">
      <c r="A245" t="inlineStr">
        <is>
          <t>238</t>
        </is>
      </c>
      <c r="B245" t="inlineStr">
        <is>
          <t xml:space="preserve">            Compensation of employees</t>
        </is>
      </c>
      <c r="C245" t="n">
        <v>223581</v>
      </c>
    </row>
    <row r="246">
      <c r="A246" t="inlineStr">
        <is>
          <t>239</t>
        </is>
      </c>
      <c r="B246" t="inlineStr">
        <is>
          <t xml:space="preserve">            Taxes on production and imports less subsidies</t>
        </is>
      </c>
      <c r="C246" t="n">
        <v>399782</v>
      </c>
    </row>
    <row r="247">
      <c r="A247" t="inlineStr">
        <is>
          <t>240</t>
        </is>
      </c>
      <c r="B247" t="inlineStr">
        <is>
          <t xml:space="preserve">            Gross operating surplus</t>
        </is>
      </c>
      <c r="C247" t="n">
        <v>3429038</v>
      </c>
    </row>
    <row r="248">
      <c r="A248" t="inlineStr">
        <is>
          <t>241</t>
        </is>
      </c>
      <c r="B248" t="inlineStr">
        <is>
          <t xml:space="preserve">            Real estate</t>
        </is>
      </c>
      <c r="C248" t="n">
        <v>3684230</v>
      </c>
      <c r="E248" t="inlineStr">
        <is>
          <t>Real estate</t>
        </is>
      </c>
      <c r="F248" t="inlineStr">
        <is>
          <t>ISIC 68</t>
        </is>
      </c>
    </row>
    <row r="249">
      <c r="A249" t="inlineStr">
        <is>
          <t>242</t>
        </is>
      </c>
      <c r="B249" t="inlineStr">
        <is>
          <t xml:space="preserve">                Compensation of employees</t>
        </is>
      </c>
      <c r="C249" t="n">
        <v>172074</v>
      </c>
    </row>
    <row r="250">
      <c r="A250" t="inlineStr">
        <is>
          <t>243</t>
        </is>
      </c>
      <c r="B250" t="inlineStr">
        <is>
          <t xml:space="preserve">                Taxes on production and imports less subsidies</t>
        </is>
      </c>
      <c r="C250" t="n">
        <v>367940</v>
      </c>
    </row>
    <row r="251">
      <c r="A251" t="inlineStr">
        <is>
          <t>244</t>
        </is>
      </c>
      <c r="B251" t="inlineStr">
        <is>
          <t xml:space="preserve">                Gross operating surplus</t>
        </is>
      </c>
      <c r="C251" t="n">
        <v>3144216</v>
      </c>
    </row>
    <row r="252">
      <c r="A252" t="inlineStr">
        <is>
          <t>245</t>
        </is>
      </c>
      <c r="B252" t="inlineStr">
        <is>
          <t xml:space="preserve">                Housing</t>
        </is>
      </c>
      <c r="C252" t="n">
        <v>2853988</v>
      </c>
    </row>
    <row r="253">
      <c r="A253" t="inlineStr">
        <is>
          <t>246</t>
        </is>
      </c>
      <c r="B253" t="inlineStr">
        <is>
          <t xml:space="preserve">                    Compensation of employees</t>
        </is>
      </c>
      <c r="C253" t="n">
        <v>28487</v>
      </c>
    </row>
    <row r="254">
      <c r="A254" t="inlineStr">
        <is>
          <t>247</t>
        </is>
      </c>
      <c r="B254" t="inlineStr">
        <is>
          <t xml:space="preserve">                    Taxes on production and imports less subsidies</t>
        </is>
      </c>
      <c r="C254" t="n">
        <v>327118</v>
      </c>
    </row>
    <row r="255">
      <c r="A255" t="inlineStr">
        <is>
          <t>248</t>
        </is>
      </c>
      <c r="B255" t="inlineStr">
        <is>
          <t xml:space="preserve">                    Gross operating surplus</t>
        </is>
      </c>
      <c r="C255" t="n">
        <v>2498383</v>
      </c>
    </row>
    <row r="256">
      <c r="A256" t="inlineStr">
        <is>
          <t>249</t>
        </is>
      </c>
      <c r="B256" t="inlineStr">
        <is>
          <t xml:space="preserve">                Other real estate</t>
        </is>
      </c>
      <c r="C256" t="n">
        <v>830242</v>
      </c>
    </row>
    <row r="257">
      <c r="A257" t="inlineStr">
        <is>
          <t>250</t>
        </is>
      </c>
      <c r="B257" t="inlineStr">
        <is>
          <t xml:space="preserve">                    Compensation of employees</t>
        </is>
      </c>
      <c r="C257" t="n">
        <v>143587</v>
      </c>
    </row>
    <row r="258">
      <c r="A258" t="inlineStr">
        <is>
          <t>251</t>
        </is>
      </c>
      <c r="B258" t="inlineStr">
        <is>
          <t xml:space="preserve">                    Taxes on production and imports less subsidies</t>
        </is>
      </c>
      <c r="C258" t="n">
        <v>40822</v>
      </c>
    </row>
    <row r="259">
      <c r="A259" t="inlineStr">
        <is>
          <t>252</t>
        </is>
      </c>
      <c r="B259" t="inlineStr">
        <is>
          <t xml:space="preserve">                    Gross operating surplus</t>
        </is>
      </c>
      <c r="C259" t="n">
        <v>645833</v>
      </c>
    </row>
    <row r="260">
      <c r="A260" t="inlineStr">
        <is>
          <t>253</t>
        </is>
      </c>
      <c r="B260" t="inlineStr">
        <is>
          <t xml:space="preserve">            Rental and leasing services and lessors of intangible assets</t>
        </is>
      </c>
      <c r="C260" t="n">
        <v>368169</v>
      </c>
      <c r="E260" t="inlineStr">
        <is>
          <t>Rental and leasing services and lessors of intangible assets</t>
        </is>
      </c>
      <c r="F260" t="inlineStr">
        <is>
          <t>ISIC 77T82</t>
        </is>
      </c>
    </row>
    <row r="261">
      <c r="A261" t="inlineStr">
        <is>
          <t>254</t>
        </is>
      </c>
      <c r="B261" t="inlineStr">
        <is>
          <t xml:space="preserve">                Compensation of employees</t>
        </is>
      </c>
      <c r="C261" t="n">
        <v>51506</v>
      </c>
    </row>
    <row r="262">
      <c r="A262" t="inlineStr">
        <is>
          <t>255</t>
        </is>
      </c>
      <c r="B262" t="inlineStr">
        <is>
          <t xml:space="preserve">                Taxes on production and imports less subsidies</t>
        </is>
      </c>
      <c r="C262" t="n">
        <v>31841</v>
      </c>
    </row>
    <row r="263">
      <c r="A263" t="inlineStr">
        <is>
          <t>256</t>
        </is>
      </c>
      <c r="B263" t="inlineStr">
        <is>
          <t xml:space="preserve">                Gross operating surplus</t>
        </is>
      </c>
      <c r="C263" t="n">
        <v>284822</v>
      </c>
    </row>
    <row r="264">
      <c r="A264" t="inlineStr">
        <is>
          <t>257</t>
        </is>
      </c>
      <c r="B264" t="inlineStr">
        <is>
          <t xml:space="preserve">    Professional and business services</t>
        </is>
      </c>
      <c r="C264" t="n">
        <v>3811104</v>
      </c>
    </row>
    <row r="265">
      <c r="A265" t="inlineStr">
        <is>
          <t>258</t>
        </is>
      </c>
      <c r="B265" t="inlineStr">
        <is>
          <t xml:space="preserve">        Compensation of employees</t>
        </is>
      </c>
      <c r="C265" t="n">
        <v>2726576</v>
      </c>
    </row>
    <row r="266">
      <c r="A266" t="inlineStr">
        <is>
          <t>259</t>
        </is>
      </c>
      <c r="B266" t="inlineStr">
        <is>
          <t xml:space="preserve">        Taxes on production and imports less subsidies</t>
        </is>
      </c>
      <c r="C266" t="n">
        <v>93608</v>
      </c>
    </row>
    <row r="267">
      <c r="A267" t="inlineStr">
        <is>
          <t>260</t>
        </is>
      </c>
      <c r="B267" t="inlineStr">
        <is>
          <t xml:space="preserve">        Gross operating surplus</t>
        </is>
      </c>
      <c r="C267" t="n">
        <v>990920</v>
      </c>
    </row>
    <row r="268">
      <c r="A268" t="inlineStr">
        <is>
          <t>261</t>
        </is>
      </c>
      <c r="B268" t="inlineStr">
        <is>
          <t xml:space="preserve">        Professional, scientific, and technical services</t>
        </is>
      </c>
      <c r="C268" t="n">
        <v>2355069</v>
      </c>
    </row>
    <row r="269">
      <c r="A269" t="inlineStr">
        <is>
          <t>262</t>
        </is>
      </c>
      <c r="B269" t="inlineStr">
        <is>
          <t xml:space="preserve">            Compensation of employees</t>
        </is>
      </c>
      <c r="C269" t="n">
        <v>1606279</v>
      </c>
    </row>
    <row r="270">
      <c r="A270" t="inlineStr">
        <is>
          <t>263</t>
        </is>
      </c>
      <c r="B270" t="inlineStr">
        <is>
          <t xml:space="preserve">            Taxes on production and imports less subsidies</t>
        </is>
      </c>
      <c r="C270" t="n">
        <v>59386</v>
      </c>
    </row>
    <row r="271">
      <c r="A271" t="inlineStr">
        <is>
          <t>264</t>
        </is>
      </c>
      <c r="B271" t="inlineStr">
        <is>
          <t xml:space="preserve">            Gross operating surplus</t>
        </is>
      </c>
      <c r="C271" t="n">
        <v>689404</v>
      </c>
    </row>
    <row r="272">
      <c r="A272" t="inlineStr">
        <is>
          <t>265</t>
        </is>
      </c>
      <c r="B272" t="inlineStr">
        <is>
          <t xml:space="preserve">            Legal services</t>
        </is>
      </c>
      <c r="C272" t="n">
        <v>387719</v>
      </c>
      <c r="E272" t="inlineStr">
        <is>
          <t>Legal services</t>
        </is>
      </c>
      <c r="F272" t="inlineStr">
        <is>
          <t>ISIC 69T75</t>
        </is>
      </c>
    </row>
    <row r="273">
      <c r="A273" t="inlineStr">
        <is>
          <t>266</t>
        </is>
      </c>
      <c r="B273" t="inlineStr">
        <is>
          <t xml:space="preserve">                Compensation of employees</t>
        </is>
      </c>
      <c r="C273" t="n">
        <v>188351</v>
      </c>
    </row>
    <row r="274">
      <c r="A274" t="inlineStr">
        <is>
          <t>267</t>
        </is>
      </c>
      <c r="B274" t="inlineStr">
        <is>
          <t xml:space="preserve">                Taxes on production and imports less subsidies</t>
        </is>
      </c>
      <c r="C274" t="n">
        <v>23296</v>
      </c>
    </row>
    <row r="275">
      <c r="A275" t="inlineStr">
        <is>
          <t>268</t>
        </is>
      </c>
      <c r="B275" t="inlineStr">
        <is>
          <t xml:space="preserve">                Gross operating surplus</t>
        </is>
      </c>
      <c r="C275" t="n">
        <v>176072</v>
      </c>
    </row>
    <row r="276">
      <c r="A276" t="inlineStr">
        <is>
          <t>269</t>
        </is>
      </c>
      <c r="B276" t="inlineStr">
        <is>
          <t xml:space="preserve">            Computer systems design and related services</t>
        </is>
      </c>
      <c r="C276" t="n">
        <v>522249</v>
      </c>
      <c r="E276" t="inlineStr">
        <is>
          <t>Computer systems design and related services</t>
        </is>
      </c>
      <c r="F276" t="inlineStr">
        <is>
          <t>ISIC 62T63</t>
        </is>
      </c>
    </row>
    <row r="277">
      <c r="A277" t="inlineStr">
        <is>
          <t>270</t>
        </is>
      </c>
      <c r="B277" t="inlineStr">
        <is>
          <t xml:space="preserve">                Compensation of employees</t>
        </is>
      </c>
      <c r="C277" t="n">
        <v>445176</v>
      </c>
    </row>
    <row r="278">
      <c r="A278" t="inlineStr">
        <is>
          <t>271</t>
        </is>
      </c>
      <c r="B278" t="inlineStr">
        <is>
          <t xml:space="preserve">                Taxes on production and imports less subsidies</t>
        </is>
      </c>
      <c r="C278" t="n">
        <v>12128</v>
      </c>
    </row>
    <row r="279">
      <c r="A279" t="inlineStr">
        <is>
          <t>272</t>
        </is>
      </c>
      <c r="B279" t="inlineStr">
        <is>
          <t xml:space="preserve">                Gross operating surplus</t>
        </is>
      </c>
      <c r="C279" t="n">
        <v>64945</v>
      </c>
    </row>
    <row r="280">
      <c r="A280" t="inlineStr">
        <is>
          <t>273</t>
        </is>
      </c>
      <c r="B280" t="inlineStr">
        <is>
          <t xml:space="preserve">            Miscellaneous professional, scientific, and technical services</t>
        </is>
      </c>
      <c r="C280" t="n">
        <v>1445101</v>
      </c>
      <c r="E280" t="inlineStr">
        <is>
          <t>Miscellaneous professional, scientific, and technical services</t>
        </is>
      </c>
      <c r="F280" t="inlineStr">
        <is>
          <t>ISIC 69T75</t>
        </is>
      </c>
    </row>
    <row r="281">
      <c r="A281" t="inlineStr">
        <is>
          <t>274</t>
        </is>
      </c>
      <c r="B281" t="inlineStr">
        <is>
          <t xml:space="preserve">                Compensation of employees</t>
        </is>
      </c>
      <c r="C281" t="n">
        <v>972752</v>
      </c>
    </row>
    <row r="282">
      <c r="A282" t="inlineStr">
        <is>
          <t>275</t>
        </is>
      </c>
      <c r="B282" t="inlineStr">
        <is>
          <t xml:space="preserve">                Taxes on production and imports less subsidies</t>
        </is>
      </c>
      <c r="C282" t="n">
        <v>23961</v>
      </c>
    </row>
    <row r="283">
      <c r="A283" t="inlineStr">
        <is>
          <t>276</t>
        </is>
      </c>
      <c r="B283" t="inlineStr">
        <is>
          <t xml:space="preserve">                Gross operating surplus</t>
        </is>
      </c>
      <c r="C283" t="n">
        <v>448387</v>
      </c>
    </row>
    <row r="284">
      <c r="A284" t="inlineStr">
        <is>
          <t>277</t>
        </is>
      </c>
      <c r="B284" t="inlineStr">
        <is>
          <t xml:space="preserve">        Management of companies and enterprises</t>
        </is>
      </c>
      <c r="C284" t="n">
        <v>544333</v>
      </c>
      <c r="E284" t="inlineStr">
        <is>
          <t>Management of companies and enterprises</t>
        </is>
      </c>
      <c r="F284" t="inlineStr">
        <is>
          <t>ISIC 69T75</t>
        </is>
      </c>
    </row>
    <row r="285">
      <c r="A285" t="inlineStr">
        <is>
          <t>278</t>
        </is>
      </c>
      <c r="B285" t="inlineStr">
        <is>
          <t xml:space="preserve">            Compensation of employees</t>
        </is>
      </c>
      <c r="C285" t="n">
        <v>482843</v>
      </c>
    </row>
    <row r="286">
      <c r="A286" t="inlineStr">
        <is>
          <t>279</t>
        </is>
      </c>
      <c r="B286" t="inlineStr">
        <is>
          <t xml:space="preserve">            Taxes on production and imports less subsidies</t>
        </is>
      </c>
      <c r="C286" t="n">
        <v>12879</v>
      </c>
    </row>
    <row r="287">
      <c r="A287" t="inlineStr">
        <is>
          <t>280</t>
        </is>
      </c>
      <c r="B287" t="inlineStr">
        <is>
          <t xml:space="preserve">            Gross operating surplus</t>
        </is>
      </c>
      <c r="C287" t="n">
        <v>48611</v>
      </c>
    </row>
    <row r="288">
      <c r="A288" t="inlineStr">
        <is>
          <t>281</t>
        </is>
      </c>
      <c r="B288" t="inlineStr">
        <is>
          <t xml:space="preserve">        Administrative and waste management services</t>
        </is>
      </c>
      <c r="C288" t="n">
        <v>911703</v>
      </c>
    </row>
    <row r="289">
      <c r="A289" t="inlineStr">
        <is>
          <t>282</t>
        </is>
      </c>
      <c r="B289" t="inlineStr">
        <is>
          <t xml:space="preserve">            Compensation of employees</t>
        </is>
      </c>
      <c r="C289" t="n">
        <v>637453</v>
      </c>
    </row>
    <row r="290">
      <c r="A290" t="inlineStr">
        <is>
          <t>283</t>
        </is>
      </c>
      <c r="B290" t="inlineStr">
        <is>
          <t xml:space="preserve">            Taxes on production and imports less subsidies</t>
        </is>
      </c>
      <c r="C290" t="n">
        <v>21344</v>
      </c>
    </row>
    <row r="291">
      <c r="A291" t="inlineStr">
        <is>
          <t>284</t>
        </is>
      </c>
      <c r="B291" t="inlineStr">
        <is>
          <t xml:space="preserve">            Gross operating surplus</t>
        </is>
      </c>
      <c r="C291" t="n">
        <v>252905</v>
      </c>
    </row>
    <row r="292">
      <c r="A292" t="inlineStr">
        <is>
          <t>285</t>
        </is>
      </c>
      <c r="B292" t="inlineStr">
        <is>
          <t xml:space="preserve">            Administrative and support services</t>
        </is>
      </c>
      <c r="C292" t="n">
        <v>823102</v>
      </c>
      <c r="E292" t="inlineStr">
        <is>
          <t>Administrative and support services</t>
        </is>
      </c>
      <c r="F292" t="inlineStr">
        <is>
          <t>ISIC 77T82</t>
        </is>
      </c>
    </row>
    <row r="293">
      <c r="A293" t="inlineStr">
        <is>
          <t>286</t>
        </is>
      </c>
      <c r="B293" t="inlineStr">
        <is>
          <t xml:space="preserve">                Compensation of employees</t>
        </is>
      </c>
      <c r="C293" t="n">
        <v>587967</v>
      </c>
    </row>
    <row r="294">
      <c r="A294" t="inlineStr">
        <is>
          <t>287</t>
        </is>
      </c>
      <c r="B294" t="inlineStr">
        <is>
          <t xml:space="preserve">                Taxes on production and imports less subsidies</t>
        </is>
      </c>
      <c r="C294" t="n">
        <v>15842</v>
      </c>
    </row>
    <row r="295">
      <c r="A295" t="inlineStr">
        <is>
          <t>288</t>
        </is>
      </c>
      <c r="B295" t="inlineStr">
        <is>
          <t xml:space="preserve">                Gross operating surplus</t>
        </is>
      </c>
      <c r="C295" t="n">
        <v>219292</v>
      </c>
    </row>
    <row r="296">
      <c r="A296" t="inlineStr">
        <is>
          <t>289</t>
        </is>
      </c>
      <c r="B296" t="inlineStr">
        <is>
          <t xml:space="preserve">            Waste management and remediation services</t>
        </is>
      </c>
      <c r="C296" t="n">
        <v>88601</v>
      </c>
      <c r="E296" t="inlineStr">
        <is>
          <t>Waste management and remediation services</t>
        </is>
      </c>
      <c r="F296" t="inlineStr">
        <is>
          <t>ISIC 36T39</t>
        </is>
      </c>
    </row>
    <row r="297">
      <c r="A297" t="inlineStr">
        <is>
          <t>290</t>
        </is>
      </c>
      <c r="B297" t="inlineStr">
        <is>
          <t xml:space="preserve">                Compensation of employees</t>
        </is>
      </c>
      <c r="C297" t="n">
        <v>49486</v>
      </c>
    </row>
    <row r="298">
      <c r="A298" t="inlineStr">
        <is>
          <t>291</t>
        </is>
      </c>
      <c r="B298" t="inlineStr">
        <is>
          <t xml:space="preserve">                Taxes on production and imports less subsidies</t>
        </is>
      </c>
      <c r="C298" t="n">
        <v>5501</v>
      </c>
    </row>
    <row r="299">
      <c r="A299" t="inlineStr">
        <is>
          <t>292</t>
        </is>
      </c>
      <c r="B299" t="inlineStr">
        <is>
          <t xml:space="preserve">                Gross operating surplus</t>
        </is>
      </c>
      <c r="C299" t="n">
        <v>33613</v>
      </c>
    </row>
    <row r="300">
      <c r="A300" t="inlineStr">
        <is>
          <t>293</t>
        </is>
      </c>
      <c r="B300" t="inlineStr">
        <is>
          <t xml:space="preserve">    Educational services, health care, and social assistance</t>
        </is>
      </c>
      <c r="C300" t="n">
        <v>2544166</v>
      </c>
    </row>
    <row r="301">
      <c r="A301" t="inlineStr">
        <is>
          <t>294</t>
        </is>
      </c>
      <c r="B301" t="inlineStr">
        <is>
          <t xml:space="preserve">        Compensation of employees</t>
        </is>
      </c>
      <c r="C301" t="n">
        <v>2039440</v>
      </c>
    </row>
    <row r="302">
      <c r="A302" t="inlineStr">
        <is>
          <t>295</t>
        </is>
      </c>
      <c r="B302" t="inlineStr">
        <is>
          <t xml:space="preserve">        Taxes on production and imports less subsidies</t>
        </is>
      </c>
      <c r="C302" t="n">
        <v>57305</v>
      </c>
    </row>
    <row r="303">
      <c r="A303" t="inlineStr">
        <is>
          <t>296</t>
        </is>
      </c>
      <c r="B303" t="inlineStr">
        <is>
          <t xml:space="preserve">        Gross operating surplus</t>
        </is>
      </c>
      <c r="C303" t="n">
        <v>447422</v>
      </c>
    </row>
    <row r="304">
      <c r="A304" t="inlineStr">
        <is>
          <t>297</t>
        </is>
      </c>
      <c r="B304" t="inlineStr">
        <is>
          <t xml:space="preserve">        Educational services</t>
        </is>
      </c>
      <c r="C304" t="n">
        <v>334785</v>
      </c>
      <c r="E304" t="inlineStr">
        <is>
          <t>Educational services</t>
        </is>
      </c>
      <c r="F304" t="inlineStr">
        <is>
          <t>ISIC 85</t>
        </is>
      </c>
    </row>
    <row r="305">
      <c r="A305" t="inlineStr">
        <is>
          <t>298</t>
        </is>
      </c>
      <c r="B305" t="inlineStr">
        <is>
          <t xml:space="preserve">            Compensation of employees</t>
        </is>
      </c>
      <c r="C305" t="n">
        <v>268002</v>
      </c>
    </row>
    <row r="306">
      <c r="A306" t="inlineStr">
        <is>
          <t>299</t>
        </is>
      </c>
      <c r="B306" t="inlineStr">
        <is>
          <t xml:space="preserve">            Taxes on production and imports less subsidies</t>
        </is>
      </c>
      <c r="C306" t="n">
        <v>13386</v>
      </c>
    </row>
    <row r="307">
      <c r="A307" t="inlineStr">
        <is>
          <t>300</t>
        </is>
      </c>
      <c r="B307" t="inlineStr">
        <is>
          <t xml:space="preserve">            Gross operating surplus</t>
        </is>
      </c>
      <c r="C307" t="n">
        <v>53397</v>
      </c>
    </row>
    <row r="308">
      <c r="A308" t="inlineStr">
        <is>
          <t>301</t>
        </is>
      </c>
      <c r="B308" t="inlineStr">
        <is>
          <t xml:space="preserve">        Health care and social assistance</t>
        </is>
      </c>
      <c r="C308" t="n">
        <v>2209381</v>
      </c>
      <c r="E308" t="inlineStr">
        <is>
          <t>Health care and social assistance</t>
        </is>
      </c>
      <c r="F308" t="inlineStr">
        <is>
          <t>ISIC 86T88</t>
        </is>
      </c>
    </row>
    <row r="309">
      <c r="A309" t="inlineStr">
        <is>
          <t>302</t>
        </is>
      </c>
      <c r="B309" t="inlineStr">
        <is>
          <t xml:space="preserve">            Compensation of employees</t>
        </is>
      </c>
      <c r="C309" t="n">
        <v>1771438</v>
      </c>
    </row>
    <row r="310">
      <c r="A310" t="inlineStr">
        <is>
          <t>303</t>
        </is>
      </c>
      <c r="B310" t="inlineStr">
        <is>
          <t xml:space="preserve">            Taxes on production and imports less subsidies</t>
        </is>
      </c>
      <c r="C310" t="n">
        <v>43919</v>
      </c>
    </row>
    <row r="311">
      <c r="A311" t="inlineStr">
        <is>
          <t>304</t>
        </is>
      </c>
      <c r="B311" t="inlineStr">
        <is>
          <t xml:space="preserve">            Gross operating surplus</t>
        </is>
      </c>
      <c r="C311" t="n">
        <v>394025</v>
      </c>
    </row>
    <row r="312">
      <c r="A312" t="inlineStr">
        <is>
          <t>305</t>
        </is>
      </c>
      <c r="B312" t="inlineStr">
        <is>
          <t xml:space="preserve">            Ambulatory health care services</t>
        </is>
      </c>
      <c r="C312" t="n">
        <v>1078954</v>
      </c>
    </row>
    <row r="313">
      <c r="A313" t="inlineStr">
        <is>
          <t>306</t>
        </is>
      </c>
      <c r="B313" t="inlineStr">
        <is>
          <t xml:space="preserve">                Compensation of employees</t>
        </is>
      </c>
      <c r="C313" t="n">
        <v>816417</v>
      </c>
    </row>
    <row r="314">
      <c r="A314" t="inlineStr">
        <is>
          <t>307</t>
        </is>
      </c>
      <c r="B314" t="inlineStr">
        <is>
          <t xml:space="preserve">                Taxes on production and imports less subsidies</t>
        </is>
      </c>
      <c r="C314" t="n">
        <v>13314</v>
      </c>
    </row>
    <row r="315">
      <c r="A315" t="inlineStr">
        <is>
          <t>308</t>
        </is>
      </c>
      <c r="B315" t="inlineStr">
        <is>
          <t xml:space="preserve">                Gross operating surplus</t>
        </is>
      </c>
      <c r="C315" t="n">
        <v>249222</v>
      </c>
    </row>
    <row r="316">
      <c r="A316" t="inlineStr">
        <is>
          <t>309</t>
        </is>
      </c>
      <c r="B316" t="inlineStr">
        <is>
          <t xml:space="preserve">            Hospitals</t>
        </is>
      </c>
      <c r="C316" t="n">
        <v>691481</v>
      </c>
    </row>
    <row r="317">
      <c r="A317" t="inlineStr">
        <is>
          <t>310</t>
        </is>
      </c>
      <c r="B317" t="inlineStr">
        <is>
          <t xml:space="preserve">                Compensation of employees</t>
        </is>
      </c>
      <c r="C317" t="n">
        <v>561566</v>
      </c>
    </row>
    <row r="318">
      <c r="A318" t="inlineStr">
        <is>
          <t>311</t>
        </is>
      </c>
      <c r="B318" t="inlineStr">
        <is>
          <t xml:space="preserve">                Taxes on production and imports less subsidies</t>
        </is>
      </c>
      <c r="C318" t="n">
        <v>21070</v>
      </c>
    </row>
    <row r="319">
      <c r="A319" t="inlineStr">
        <is>
          <t>312</t>
        </is>
      </c>
      <c r="B319" t="inlineStr">
        <is>
          <t xml:space="preserve">                Gross operating surplus</t>
        </is>
      </c>
      <c r="C319" t="n">
        <v>108844</v>
      </c>
    </row>
    <row r="320">
      <c r="A320" t="inlineStr">
        <is>
          <t>313</t>
        </is>
      </c>
      <c r="B320" t="inlineStr">
        <is>
          <t xml:space="preserve">            Nursing and residential care facilities</t>
        </is>
      </c>
      <c r="C320" t="n">
        <v>212314</v>
      </c>
    </row>
    <row r="321">
      <c r="A321" t="inlineStr">
        <is>
          <t>314</t>
        </is>
      </c>
      <c r="B321" t="inlineStr">
        <is>
          <t xml:space="preserve">                Compensation of employees</t>
        </is>
      </c>
      <c r="C321" t="n">
        <v>188682</v>
      </c>
    </row>
    <row r="322">
      <c r="A322" t="inlineStr">
        <is>
          <t>315</t>
        </is>
      </c>
      <c r="B322" t="inlineStr">
        <is>
          <t xml:space="preserve">                Taxes on production and imports less subsidies</t>
        </is>
      </c>
      <c r="C322" t="n">
        <v>9511</v>
      </c>
    </row>
    <row r="323">
      <c r="A323" t="inlineStr">
        <is>
          <t>316</t>
        </is>
      </c>
      <c r="B323" t="inlineStr">
        <is>
          <t xml:space="preserve">                Gross operating surplus</t>
        </is>
      </c>
      <c r="C323" t="n">
        <v>14121</v>
      </c>
    </row>
    <row r="324">
      <c r="A324" t="inlineStr">
        <is>
          <t>317</t>
        </is>
      </c>
      <c r="B324" t="inlineStr">
        <is>
          <t xml:space="preserve">            Social assistance</t>
        </is>
      </c>
      <c r="C324" t="n">
        <v>226633</v>
      </c>
    </row>
    <row r="325">
      <c r="A325" t="inlineStr">
        <is>
          <t>318</t>
        </is>
      </c>
      <c r="B325" t="inlineStr">
        <is>
          <t xml:space="preserve">                Compensation of employees</t>
        </is>
      </c>
      <c r="C325" t="n">
        <v>204772</v>
      </c>
    </row>
    <row r="326">
      <c r="A326" t="inlineStr">
        <is>
          <t>319</t>
        </is>
      </c>
      <c r="B326" t="inlineStr">
        <is>
          <t xml:space="preserve">                Taxes on production and imports less subsidies</t>
        </is>
      </c>
      <c r="C326" t="n">
        <v>24</v>
      </c>
    </row>
    <row r="327">
      <c r="A327" t="inlineStr">
        <is>
          <t>320</t>
        </is>
      </c>
      <c r="B327" t="inlineStr">
        <is>
          <t xml:space="preserve">                Gross operating surplus</t>
        </is>
      </c>
      <c r="C327" t="n">
        <v>21837</v>
      </c>
    </row>
    <row r="328">
      <c r="A328" t="inlineStr">
        <is>
          <t>321</t>
        </is>
      </c>
      <c r="B328" t="inlineStr">
        <is>
          <t xml:space="preserve">    Arts, entertainment, recreation, accommodation, and food services</t>
        </is>
      </c>
      <c r="C328" t="n">
        <v>1287121</v>
      </c>
    </row>
    <row r="329">
      <c r="A329" t="inlineStr">
        <is>
          <t>322</t>
        </is>
      </c>
      <c r="B329" t="inlineStr">
        <is>
          <t xml:space="preserve">        Compensation of employees</t>
        </is>
      </c>
      <c r="C329" t="n">
        <v>737085</v>
      </c>
    </row>
    <row r="330">
      <c r="A330" t="inlineStr">
        <is>
          <t>323</t>
        </is>
      </c>
      <c r="B330" t="inlineStr">
        <is>
          <t xml:space="preserve">        Taxes on production and imports less subsidies</t>
        </is>
      </c>
      <c r="C330" t="n">
        <v>175157</v>
      </c>
    </row>
    <row r="331">
      <c r="A331" t="inlineStr">
        <is>
          <t>324</t>
        </is>
      </c>
      <c r="B331" t="inlineStr">
        <is>
          <t xml:space="preserve">        Gross operating surplus</t>
        </is>
      </c>
      <c r="C331" t="n">
        <v>374880</v>
      </c>
    </row>
    <row r="332">
      <c r="A332" t="inlineStr">
        <is>
          <t>325</t>
        </is>
      </c>
      <c r="B332" t="inlineStr">
        <is>
          <t xml:space="preserve">        Arts, entertainment, and recreation</t>
        </is>
      </c>
      <c r="C332" t="n">
        <v>326765</v>
      </c>
      <c r="E332" t="inlineStr">
        <is>
          <t>Arts, entertainment, and recreation</t>
        </is>
      </c>
      <c r="F332" t="inlineStr">
        <is>
          <t>ISIC 90T93</t>
        </is>
      </c>
    </row>
    <row r="333">
      <c r="A333" t="inlineStr">
        <is>
          <t>326</t>
        </is>
      </c>
      <c r="B333" t="inlineStr">
        <is>
          <t xml:space="preserve">            Compensation of employees</t>
        </is>
      </c>
      <c r="C333" t="n">
        <v>170175</v>
      </c>
    </row>
    <row r="334">
      <c r="A334" t="inlineStr">
        <is>
          <t>327</t>
        </is>
      </c>
      <c r="B334" t="inlineStr">
        <is>
          <t xml:space="preserve">            Taxes on production and imports less subsidies</t>
        </is>
      </c>
      <c r="C334" t="n">
        <v>38879</v>
      </c>
    </row>
    <row r="335">
      <c r="A335" t="inlineStr">
        <is>
          <t>328</t>
        </is>
      </c>
      <c r="B335" t="inlineStr">
        <is>
          <t xml:space="preserve">            Gross operating surplus</t>
        </is>
      </c>
      <c r="C335" t="n">
        <v>117712</v>
      </c>
    </row>
    <row r="336">
      <c r="A336" t="inlineStr">
        <is>
          <t>329</t>
        </is>
      </c>
      <c r="B336" t="inlineStr">
        <is>
          <t xml:space="preserve">            Performing arts, spectator sports, museums, and related activities</t>
        </is>
      </c>
      <c r="C336" t="n">
        <v>190761</v>
      </c>
    </row>
    <row r="337">
      <c r="A337" t="inlineStr">
        <is>
          <t>330</t>
        </is>
      </c>
      <c r="B337" t="inlineStr">
        <is>
          <t xml:space="preserve">                Compensation of employees</t>
        </is>
      </c>
      <c r="C337" t="n">
        <v>88859</v>
      </c>
    </row>
    <row r="338">
      <c r="A338" t="inlineStr">
        <is>
          <t>331</t>
        </is>
      </c>
      <c r="B338" t="inlineStr">
        <is>
          <t xml:space="preserve">                Taxes on production and imports less subsidies</t>
        </is>
      </c>
      <c r="C338" t="n">
        <v>10595</v>
      </c>
    </row>
    <row r="339">
      <c r="A339" t="inlineStr">
        <is>
          <t>332</t>
        </is>
      </c>
      <c r="B339" t="inlineStr">
        <is>
          <t xml:space="preserve">                Gross operating surplus</t>
        </is>
      </c>
      <c r="C339" t="n">
        <v>91307</v>
      </c>
    </row>
    <row r="340">
      <c r="A340" t="inlineStr">
        <is>
          <t>333</t>
        </is>
      </c>
      <c r="B340" t="inlineStr">
        <is>
          <t xml:space="preserve">            Amusements, gambling, and recreation industries</t>
        </is>
      </c>
      <c r="C340" t="n">
        <v>136004</v>
      </c>
    </row>
    <row r="341">
      <c r="A341" t="inlineStr">
        <is>
          <t>334</t>
        </is>
      </c>
      <c r="B341" t="inlineStr">
        <is>
          <t xml:space="preserve">                Compensation of employees</t>
        </is>
      </c>
      <c r="C341" t="n">
        <v>81316</v>
      </c>
    </row>
    <row r="342">
      <c r="A342" t="inlineStr">
        <is>
          <t>335</t>
        </is>
      </c>
      <c r="B342" t="inlineStr">
        <is>
          <t xml:space="preserve">                Taxes on production and imports less subsidies</t>
        </is>
      </c>
      <c r="C342" t="n">
        <v>28284</v>
      </c>
    </row>
    <row r="343">
      <c r="A343" t="inlineStr">
        <is>
          <t>336</t>
        </is>
      </c>
      <c r="B343" t="inlineStr">
        <is>
          <t xml:space="preserve">                Gross operating surplus</t>
        </is>
      </c>
      <c r="C343" t="n">
        <v>26404</v>
      </c>
    </row>
    <row r="344">
      <c r="A344" t="inlineStr">
        <is>
          <t>337</t>
        </is>
      </c>
      <c r="B344" t="inlineStr">
        <is>
          <t xml:space="preserve">        Accommodation and food services</t>
        </is>
      </c>
      <c r="C344" t="n">
        <v>960356</v>
      </c>
      <c r="E344" t="inlineStr">
        <is>
          <t>Accommodation and food services</t>
        </is>
      </c>
      <c r="F344" t="inlineStr">
        <is>
          <t>ISIC 55T56</t>
        </is>
      </c>
    </row>
    <row r="345">
      <c r="A345" t="inlineStr">
        <is>
          <t>338</t>
        </is>
      </c>
      <c r="B345" t="inlineStr">
        <is>
          <t xml:space="preserve">            Compensation of employees</t>
        </is>
      </c>
      <c r="C345" t="n">
        <v>566910</v>
      </c>
    </row>
    <row r="346">
      <c r="A346" t="inlineStr">
        <is>
          <t>339</t>
        </is>
      </c>
      <c r="B346" t="inlineStr">
        <is>
          <t xml:space="preserve">            Taxes on production and imports less subsidies</t>
        </is>
      </c>
      <c r="C346" t="n">
        <v>136278</v>
      </c>
    </row>
    <row r="347">
      <c r="A347" t="inlineStr">
        <is>
          <t>340</t>
        </is>
      </c>
      <c r="B347" t="inlineStr">
        <is>
          <t xml:space="preserve">            Gross operating surplus</t>
        </is>
      </c>
      <c r="C347" t="n">
        <v>257168</v>
      </c>
    </row>
    <row r="348">
      <c r="A348" t="inlineStr">
        <is>
          <t>341</t>
        </is>
      </c>
      <c r="B348" t="inlineStr">
        <is>
          <t xml:space="preserve">            Accommodation</t>
        </is>
      </c>
      <c r="C348" t="n">
        <v>257248</v>
      </c>
    </row>
    <row r="349">
      <c r="A349" t="inlineStr">
        <is>
          <t>342</t>
        </is>
      </c>
      <c r="B349" t="inlineStr">
        <is>
          <t xml:space="preserve">                Compensation of employees</t>
        </is>
      </c>
      <c r="C349" t="n">
        <v>108160</v>
      </c>
    </row>
    <row r="350">
      <c r="A350" t="inlineStr">
        <is>
          <t>343</t>
        </is>
      </c>
      <c r="B350" t="inlineStr">
        <is>
          <t xml:space="preserve">                Taxes on production and imports less subsidies</t>
        </is>
      </c>
      <c r="C350" t="n">
        <v>47232</v>
      </c>
    </row>
    <row r="351">
      <c r="A351" t="inlineStr">
        <is>
          <t>344</t>
        </is>
      </c>
      <c r="B351" t="inlineStr">
        <is>
          <t xml:space="preserve">                Gross operating surplus</t>
        </is>
      </c>
      <c r="C351" t="n">
        <v>101857</v>
      </c>
    </row>
    <row r="352">
      <c r="A352" t="inlineStr">
        <is>
          <t>345</t>
        </is>
      </c>
      <c r="B352" t="inlineStr">
        <is>
          <t xml:space="preserve">            Food services and drinking places</t>
        </is>
      </c>
      <c r="C352" t="n">
        <v>703108</v>
      </c>
    </row>
    <row r="353">
      <c r="A353" t="inlineStr">
        <is>
          <t>346</t>
        </is>
      </c>
      <c r="B353" t="inlineStr">
        <is>
          <t xml:space="preserve">                Compensation of employees</t>
        </is>
      </c>
      <c r="C353" t="n">
        <v>458750</v>
      </c>
    </row>
    <row r="354">
      <c r="A354" t="inlineStr">
        <is>
          <t>347</t>
        </is>
      </c>
      <c r="B354" t="inlineStr">
        <is>
          <t xml:space="preserve">                Taxes on production and imports less subsidies</t>
        </is>
      </c>
      <c r="C354" t="n">
        <v>89045</v>
      </c>
    </row>
    <row r="355">
      <c r="A355" t="inlineStr">
        <is>
          <t>348</t>
        </is>
      </c>
      <c r="B355" t="inlineStr">
        <is>
          <t xml:space="preserve">                Gross operating surplus</t>
        </is>
      </c>
      <c r="C355" t="n">
        <v>155312</v>
      </c>
    </row>
    <row r="356">
      <c r="A356" t="inlineStr">
        <is>
          <t>349</t>
        </is>
      </c>
      <c r="B356" t="inlineStr">
        <is>
          <t xml:space="preserve">    Other services, except government</t>
        </is>
      </c>
      <c r="C356" t="n">
        <v>627985</v>
      </c>
      <c r="E356" t="inlineStr">
        <is>
          <t>Other services, except government</t>
        </is>
      </c>
    </row>
    <row r="357">
      <c r="A357" t="inlineStr">
        <is>
          <t>350</t>
        </is>
      </c>
      <c r="B357" t="inlineStr">
        <is>
          <t xml:space="preserve">        Compensation of employees</t>
        </is>
      </c>
      <c r="C357" t="n">
        <v>437654</v>
      </c>
    </row>
    <row r="358">
      <c r="A358" t="inlineStr">
        <is>
          <t>351</t>
        </is>
      </c>
      <c r="B358" t="inlineStr">
        <is>
          <t xml:space="preserve">        Taxes on production and imports less subsidies</t>
        </is>
      </c>
      <c r="C358" t="n">
        <v>35764</v>
      </c>
    </row>
    <row r="359">
      <c r="A359" t="inlineStr">
        <is>
          <t>352</t>
        </is>
      </c>
      <c r="B359" t="inlineStr">
        <is>
          <t xml:space="preserve">        Gross operating surplus</t>
        </is>
      </c>
      <c r="C359" t="n">
        <v>154567</v>
      </c>
    </row>
    <row r="360">
      <c r="A360" t="inlineStr">
        <is>
          <t>353</t>
        </is>
      </c>
      <c r="B360" t="inlineStr">
        <is>
          <t>Government</t>
        </is>
      </c>
      <c r="C360" t="n">
        <v>3296342</v>
      </c>
    </row>
    <row r="361">
      <c r="A361" t="inlineStr">
        <is>
          <t>354</t>
        </is>
      </c>
      <c r="B361" t="inlineStr">
        <is>
          <t xml:space="preserve">    Compensation of employees</t>
        </is>
      </c>
      <c r="C361" t="n">
        <v>2585459</v>
      </c>
    </row>
    <row r="362">
      <c r="A362" t="inlineStr">
        <is>
          <t>355</t>
        </is>
      </c>
      <c r="B362" t="inlineStr">
        <is>
          <t xml:space="preserve">    Taxes on production and imports less subsidies</t>
        </is>
      </c>
      <c r="C362" t="n">
        <v>-45450</v>
      </c>
    </row>
    <row r="363">
      <c r="A363" t="inlineStr">
        <is>
          <t>356</t>
        </is>
      </c>
      <c r="B363" t="inlineStr">
        <is>
          <t xml:space="preserve">    Gross operating surplus</t>
        </is>
      </c>
      <c r="C363" t="n">
        <v>756333</v>
      </c>
    </row>
    <row r="364">
      <c r="A364" t="inlineStr">
        <is>
          <t>357</t>
        </is>
      </c>
      <c r="B364" t="inlineStr">
        <is>
          <t xml:space="preserve">    Federal</t>
        </is>
      </c>
      <c r="C364" t="n">
        <v>1064857</v>
      </c>
    </row>
    <row r="365">
      <c r="A365" t="inlineStr">
        <is>
          <t>358</t>
        </is>
      </c>
      <c r="B365" t="inlineStr">
        <is>
          <t xml:space="preserve">        Compensation of employees</t>
        </is>
      </c>
      <c r="C365" t="n">
        <v>680171</v>
      </c>
    </row>
    <row r="366">
      <c r="A366" t="inlineStr">
        <is>
          <t>359</t>
        </is>
      </c>
      <c r="B366" t="inlineStr">
        <is>
          <t xml:space="preserve">        Taxes on production and imports less subsidies</t>
        </is>
      </c>
      <c r="C366" t="n">
        <v>-6847</v>
      </c>
    </row>
    <row r="367">
      <c r="A367" t="inlineStr">
        <is>
          <t>360</t>
        </is>
      </c>
      <c r="B367" t="inlineStr">
        <is>
          <t xml:space="preserve">        Gross operating surplus</t>
        </is>
      </c>
      <c r="C367" t="n">
        <v>391533</v>
      </c>
    </row>
    <row r="368">
      <c r="A368" t="inlineStr">
        <is>
          <t>361</t>
        </is>
      </c>
      <c r="B368" t="inlineStr">
        <is>
          <t xml:space="preserve">        General government</t>
        </is>
      </c>
      <c r="C368" t="n">
        <v>986778</v>
      </c>
      <c r="E368" t="inlineStr">
        <is>
          <t>General government#1</t>
        </is>
      </c>
      <c r="F368" t="inlineStr">
        <is>
          <t>ISIC 84</t>
        </is>
      </c>
    </row>
    <row r="369">
      <c r="A369" t="inlineStr">
        <is>
          <t>362</t>
        </is>
      </c>
      <c r="B369" t="inlineStr">
        <is>
          <t xml:space="preserve">            Compensation of employees</t>
        </is>
      </c>
      <c r="C369" t="n">
        <v>607449</v>
      </c>
    </row>
    <row r="370">
      <c r="A370" t="inlineStr">
        <is>
          <t>363</t>
        </is>
      </c>
      <c r="B370" t="inlineStr">
        <is>
          <t xml:space="preserve">            Taxes on production and imports less subsidies</t>
        </is>
      </c>
      <c r="C370" t="inlineStr">
        <is>
          <t>---</t>
        </is>
      </c>
    </row>
    <row r="371">
      <c r="A371" t="inlineStr">
        <is>
          <t>364</t>
        </is>
      </c>
      <c r="B371" t="inlineStr">
        <is>
          <t xml:space="preserve">            Gross operating surplus</t>
        </is>
      </c>
      <c r="C371" t="n">
        <v>379329</v>
      </c>
    </row>
    <row r="372">
      <c r="A372" t="inlineStr">
        <is>
          <t>365</t>
        </is>
      </c>
      <c r="B372" t="inlineStr">
        <is>
          <t xml:space="preserve">            National defense</t>
        </is>
      </c>
      <c r="C372" t="n">
        <v>549405</v>
      </c>
    </row>
    <row r="373">
      <c r="A373" t="inlineStr">
        <is>
          <t>366</t>
        </is>
      </c>
      <c r="B373" t="inlineStr">
        <is>
          <t xml:space="preserve">                Compensation of employees</t>
        </is>
      </c>
      <c r="C373" t="n">
        <v>339732</v>
      </c>
    </row>
    <row r="374">
      <c r="A374" t="inlineStr">
        <is>
          <t>367</t>
        </is>
      </c>
      <c r="B374" t="inlineStr">
        <is>
          <t xml:space="preserve">                Taxes on production and imports less subsidies</t>
        </is>
      </c>
      <c r="C374" t="inlineStr">
        <is>
          <t>---</t>
        </is>
      </c>
    </row>
    <row r="375">
      <c r="A375" t="inlineStr">
        <is>
          <t>368</t>
        </is>
      </c>
      <c r="B375" t="inlineStr">
        <is>
          <t xml:space="preserve">                Gross operating surplus</t>
        </is>
      </c>
      <c r="C375" t="n">
        <v>209673</v>
      </c>
    </row>
    <row r="376">
      <c r="A376" t="inlineStr">
        <is>
          <t>369</t>
        </is>
      </c>
      <c r="B376" t="inlineStr">
        <is>
          <t xml:space="preserve">            Nondefense</t>
        </is>
      </c>
      <c r="C376" t="n">
        <v>437373</v>
      </c>
    </row>
    <row r="377">
      <c r="A377" t="inlineStr">
        <is>
          <t>370</t>
        </is>
      </c>
      <c r="B377" t="inlineStr">
        <is>
          <t xml:space="preserve">                Compensation of employees</t>
        </is>
      </c>
      <c r="C377" t="n">
        <v>267716</v>
      </c>
    </row>
    <row r="378">
      <c r="A378" t="inlineStr">
        <is>
          <t>371</t>
        </is>
      </c>
      <c r="B378" t="inlineStr">
        <is>
          <t xml:space="preserve">                Taxes on production and imports less subsidies</t>
        </is>
      </c>
      <c r="C378" t="inlineStr">
        <is>
          <t>---</t>
        </is>
      </c>
    </row>
    <row r="379">
      <c r="A379" t="inlineStr">
        <is>
          <t>372</t>
        </is>
      </c>
      <c r="B379" t="inlineStr">
        <is>
          <t xml:space="preserve">                Gross operating surplus</t>
        </is>
      </c>
      <c r="C379" t="n">
        <v>169656</v>
      </c>
    </row>
    <row r="380">
      <c r="A380" t="inlineStr">
        <is>
          <t>373</t>
        </is>
      </c>
      <c r="B380" t="inlineStr">
        <is>
          <t xml:space="preserve">        Government enterprises</t>
        </is>
      </c>
      <c r="C380" t="n">
        <v>78079</v>
      </c>
      <c r="E380" t="inlineStr">
        <is>
          <t>Government enterprises#1</t>
        </is>
      </c>
    </row>
    <row r="381">
      <c r="A381" t="inlineStr">
        <is>
          <t>374</t>
        </is>
      </c>
      <c r="B381" t="inlineStr">
        <is>
          <t xml:space="preserve">            Compensation of employees</t>
        </is>
      </c>
      <c r="C381" t="n">
        <v>72723</v>
      </c>
    </row>
    <row r="382">
      <c r="A382" t="inlineStr">
        <is>
          <t>375</t>
        </is>
      </c>
      <c r="B382" t="inlineStr">
        <is>
          <t xml:space="preserve">            Taxes on production and imports less subsidies</t>
        </is>
      </c>
      <c r="C382" t="n">
        <v>-6847</v>
      </c>
    </row>
    <row r="383">
      <c r="A383" t="inlineStr">
        <is>
          <t>376</t>
        </is>
      </c>
      <c r="B383" t="inlineStr">
        <is>
          <t xml:space="preserve">            Gross operating surplus</t>
        </is>
      </c>
      <c r="C383" t="n">
        <v>12204</v>
      </c>
    </row>
    <row r="384">
      <c r="A384" t="inlineStr">
        <is>
          <t>377</t>
        </is>
      </c>
      <c r="B384" t="inlineStr">
        <is>
          <t xml:space="preserve">    State and local</t>
        </is>
      </c>
      <c r="C384" t="n">
        <v>2231485</v>
      </c>
    </row>
    <row r="385">
      <c r="A385" t="inlineStr">
        <is>
          <t>378</t>
        </is>
      </c>
      <c r="B385" t="inlineStr">
        <is>
          <t xml:space="preserve">        Compensation of employees</t>
        </is>
      </c>
      <c r="C385" t="n">
        <v>1905288</v>
      </c>
    </row>
    <row r="386">
      <c r="A386" t="inlineStr">
        <is>
          <t>379</t>
        </is>
      </c>
      <c r="B386" t="inlineStr">
        <is>
          <t xml:space="preserve">        Taxes on production and imports less subsidies</t>
        </is>
      </c>
      <c r="C386" t="n">
        <v>-38603</v>
      </c>
    </row>
    <row r="387">
      <c r="A387" t="inlineStr">
        <is>
          <t>380</t>
        </is>
      </c>
      <c r="B387" t="inlineStr">
        <is>
          <t xml:space="preserve">        Gross operating surplus</t>
        </is>
      </c>
      <c r="C387" t="n">
        <v>364800</v>
      </c>
    </row>
    <row r="388">
      <c r="A388" t="inlineStr">
        <is>
          <t>381</t>
        </is>
      </c>
      <c r="B388" t="inlineStr">
        <is>
          <t xml:space="preserve">        General government</t>
        </is>
      </c>
      <c r="C388" t="n">
        <v>2073333</v>
      </c>
      <c r="E388" t="inlineStr">
        <is>
          <t>General government#2</t>
        </is>
      </c>
      <c r="F388" t="inlineStr">
        <is>
          <t>ISIC 84</t>
        </is>
      </c>
    </row>
    <row r="389">
      <c r="A389" t="inlineStr">
        <is>
          <t>382</t>
        </is>
      </c>
      <c r="B389" t="inlineStr">
        <is>
          <t xml:space="preserve">            Compensation of employees</t>
        </is>
      </c>
      <c r="C389" t="n">
        <v>1760774</v>
      </c>
    </row>
    <row r="390">
      <c r="A390" t="inlineStr">
        <is>
          <t>383</t>
        </is>
      </c>
      <c r="B390" t="inlineStr">
        <is>
          <t xml:space="preserve">            Taxes on production and imports less subsidies</t>
        </is>
      </c>
      <c r="C390" t="inlineStr">
        <is>
          <t>---</t>
        </is>
      </c>
    </row>
    <row r="391">
      <c r="A391" t="inlineStr">
        <is>
          <t>384</t>
        </is>
      </c>
      <c r="B391" t="inlineStr">
        <is>
          <t xml:space="preserve">            Gross operating surplus</t>
        </is>
      </c>
      <c r="C391" t="n">
        <v>312559</v>
      </c>
    </row>
    <row r="392">
      <c r="A392" t="inlineStr">
        <is>
          <t>385</t>
        </is>
      </c>
      <c r="B392" t="inlineStr">
        <is>
          <t xml:space="preserve">        Government enterprises</t>
        </is>
      </c>
      <c r="C392" t="n">
        <v>158152</v>
      </c>
      <c r="E392" t="inlineStr">
        <is>
          <t>Government enterprises#2</t>
        </is>
      </c>
    </row>
    <row r="393">
      <c r="A393" t="inlineStr">
        <is>
          <t>386</t>
        </is>
      </c>
      <c r="B393" t="inlineStr">
        <is>
          <t xml:space="preserve">            Compensation of employees</t>
        </is>
      </c>
      <c r="C393" t="n">
        <v>144514</v>
      </c>
    </row>
    <row r="394">
      <c r="A394" t="inlineStr">
        <is>
          <t>387</t>
        </is>
      </c>
      <c r="B394" t="inlineStr">
        <is>
          <t xml:space="preserve">            Taxes on production and imports less subsidies</t>
        </is>
      </c>
      <c r="C394" t="n">
        <v>-38603</v>
      </c>
    </row>
    <row r="395">
      <c r="A395" t="inlineStr">
        <is>
          <t>388</t>
        </is>
      </c>
      <c r="B395" t="inlineStr">
        <is>
          <t xml:space="preserve">            Gross operating surplus</t>
        </is>
      </c>
      <c r="C395" t="n">
        <v>52241</v>
      </c>
    </row>
    <row r="396">
      <c r="A396" t="inlineStr">
        <is>
          <t>389</t>
        </is>
      </c>
      <c r="B396" t="inlineStr">
        <is>
          <t>Addenda:</t>
        </is>
      </c>
      <c r="C396" t="inlineStr"/>
    </row>
    <row r="397">
      <c r="A397" t="inlineStr">
        <is>
          <t>390</t>
        </is>
      </c>
      <c r="B397" t="inlineStr">
        <is>
          <t xml:space="preserve">        Private goods-producing industries 1</t>
        </is>
      </c>
      <c r="C397" t="n">
        <v>4860061</v>
      </c>
    </row>
    <row r="398">
      <c r="A398" t="inlineStr">
        <is>
          <t>391</t>
        </is>
      </c>
      <c r="B398" t="inlineStr">
        <is>
          <t xml:space="preserve">            Compensation of employees</t>
        </is>
      </c>
      <c r="C398" t="n">
        <v>2330991</v>
      </c>
    </row>
    <row r="399">
      <c r="A399" t="inlineStr">
        <is>
          <t>392</t>
        </is>
      </c>
      <c r="B399" t="inlineStr">
        <is>
          <t xml:space="preserve">            Taxes on production and imports less subsidies</t>
        </is>
      </c>
      <c r="C399" t="n">
        <v>189067</v>
      </c>
    </row>
    <row r="400">
      <c r="A400" t="inlineStr">
        <is>
          <t>393</t>
        </is>
      </c>
      <c r="B400" t="inlineStr">
        <is>
          <t xml:space="preserve">            Gross operating surplus</t>
        </is>
      </c>
      <c r="C400" t="n">
        <v>2340002</v>
      </c>
    </row>
    <row r="401">
      <c r="A401" t="inlineStr">
        <is>
          <t>394</t>
        </is>
      </c>
      <c r="B401" t="inlineStr">
        <is>
          <t xml:space="preserve">        Private services-producing industries 2</t>
        </is>
      </c>
      <c r="C401" t="n">
        <v>21141611</v>
      </c>
    </row>
    <row r="402">
      <c r="A402" t="inlineStr">
        <is>
          <t>395</t>
        </is>
      </c>
      <c r="B402" t="inlineStr">
        <is>
          <t xml:space="preserve">            Compensation of employees</t>
        </is>
      </c>
      <c r="C402" t="n">
        <v>10132672</v>
      </c>
    </row>
    <row r="403">
      <c r="A403" t="inlineStr">
        <is>
          <t>396</t>
        </is>
      </c>
      <c r="B403" t="inlineStr">
        <is>
          <t xml:space="preserve">            Taxes on production and imports less subsidies</t>
        </is>
      </c>
      <c r="C403" t="n">
        <v>1716827</v>
      </c>
    </row>
    <row r="404">
      <c r="A404" t="inlineStr">
        <is>
          <t>397</t>
        </is>
      </c>
      <c r="B404" t="inlineStr">
        <is>
          <t xml:space="preserve">            Gross operating surplus</t>
        </is>
      </c>
      <c r="C404" t="n">
        <v>9292113</v>
      </c>
    </row>
    <row r="405">
      <c r="A405" t="inlineStr">
        <is>
          <t>398</t>
        </is>
      </c>
      <c r="B405" t="inlineStr">
        <is>
          <t xml:space="preserve">        Information-communications-technology-producing industries 3</t>
        </is>
      </c>
      <c r="C405" t="n">
        <v>2086166</v>
      </c>
    </row>
    <row r="406">
      <c r="A406" t="inlineStr">
        <is>
          <t>399</t>
        </is>
      </c>
      <c r="B406" t="inlineStr">
        <is>
          <t xml:space="preserve">            Compensation of employees</t>
        </is>
      </c>
      <c r="C406" t="n">
        <v>1069020</v>
      </c>
    </row>
    <row r="407">
      <c r="A407" t="inlineStr">
        <is>
          <t>400</t>
        </is>
      </c>
      <c r="B407" t="inlineStr">
        <is>
          <t xml:space="preserve">            Taxes on production and imports less subsidies</t>
        </is>
      </c>
      <c r="C407" t="n">
        <v>76843</v>
      </c>
    </row>
    <row r="408">
      <c r="A408" t="inlineStr">
        <is>
          <t>401</t>
        </is>
      </c>
      <c r="B408" t="inlineStr">
        <is>
          <t xml:space="preserve">            Gross operating surplus</t>
        </is>
      </c>
      <c r="C408" t="n">
        <v>940304</v>
      </c>
    </row>
    <row r="409">
      <c r="A409" t="inlineStr">
        <is>
          <t>Legend / Footnotes:</t>
        </is>
      </c>
    </row>
    <row r="410">
      <c r="A410" t="inlineStr">
        <is>
          <t>1. Consists of agriculture, forestry, fishing, and hunting; mining; construction; and manufacturing.</t>
        </is>
      </c>
    </row>
    <row r="411">
      <c r="A411" t="inlineStr">
        <is>
          <t>2. Consists of utilities; wholesale trade; retail trade; transportation and warehousing; information; finance, insurance, real estate, rental, and leasing; professional and business services; educational services, health care, and social assistance; arts, entertainment, recreation, accommodation, and food services; and other services, except government.</t>
        </is>
      </c>
    </row>
    <row r="412">
      <c r="A412" t="inlineStr">
        <is>
          <t>3. Consists of computer and electronic product manufacturing (excluding navigational, measuring, electromedical, and control instruments manufacturing); software publishers; broadcasting and telecommunications; data processing, hosting and related services; internet publishing and broadcasting and web search portals; and computer systems design and related services.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K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BEA 2017 Use table excerpt (industry codes, names, VABAS row) + live ISIC crosswalk + mixed-leaf scope markers</t>
        </is>
      </c>
    </row>
    <row r="2">
      <c r="A2" t="inlineStr">
        <is>
          <t>Industry</t>
        </is>
      </c>
      <c r="C2" t="inlineStr">
        <is>
          <t>Oilseed farming</t>
        </is>
      </c>
      <c r="D2" t="inlineStr">
        <is>
          <t>Grain farming</t>
        </is>
      </c>
      <c r="E2" t="inlineStr">
        <is>
          <t>Vegetable and melon farming</t>
        </is>
      </c>
      <c r="F2" t="inlineStr">
        <is>
          <t>Fruit and tree nut farming</t>
        </is>
      </c>
      <c r="G2" t="inlineStr">
        <is>
          <t>Greenhouse, nursery, and floriculture production</t>
        </is>
      </c>
      <c r="H2" t="inlineStr">
        <is>
          <t>Other crop farming</t>
        </is>
      </c>
      <c r="I2" t="inlineStr">
        <is>
          <t>Dairy cattle and milk production</t>
        </is>
      </c>
      <c r="J2" t="inlineStr">
        <is>
          <t>Beef cattle ranching and farming, including feedlots and dual-purpose ranching and farming</t>
        </is>
      </c>
      <c r="K2" t="inlineStr">
        <is>
          <t>Poultry and egg production</t>
        </is>
      </c>
      <c r="L2" t="inlineStr">
        <is>
          <t>Animal production, except cattle and poultry and eggs</t>
        </is>
      </c>
      <c r="M2" t="inlineStr">
        <is>
          <t>Forestry and logging</t>
        </is>
      </c>
      <c r="N2" t="inlineStr">
        <is>
          <t>Fishing, hunting and trapping</t>
        </is>
      </c>
      <c r="O2" t="inlineStr">
        <is>
          <t>Support activities for agriculture and forestry</t>
        </is>
      </c>
      <c r="P2" t="inlineStr">
        <is>
          <t>Oil and gas extraction</t>
        </is>
      </c>
      <c r="Q2" t="inlineStr">
        <is>
          <t>Coal mining</t>
        </is>
      </c>
      <c r="R2" t="inlineStr">
        <is>
          <t>Copper, nickel, lead, and zinc mining</t>
        </is>
      </c>
      <c r="S2" t="inlineStr">
        <is>
          <t>Iron, gold, silver, and other metal ore mining</t>
        </is>
      </c>
      <c r="T2" t="inlineStr">
        <is>
          <t>Stone mining and quarrying</t>
        </is>
      </c>
      <c r="U2" t="inlineStr">
        <is>
          <t>Other nonmetallic mineral mining and quarrying</t>
        </is>
      </c>
      <c r="V2" t="inlineStr">
        <is>
          <t>Drilling oil and gas wells</t>
        </is>
      </c>
      <c r="W2" t="inlineStr">
        <is>
          <t>Other support activities for mining</t>
        </is>
      </c>
      <c r="X2" t="inlineStr">
        <is>
          <t>Electric power generation, transmission, and distribution</t>
        </is>
      </c>
      <c r="Y2" t="inlineStr">
        <is>
          <t>Natural gas distribution</t>
        </is>
      </c>
      <c r="Z2" t="inlineStr">
        <is>
          <t>Water, sewage and other systems</t>
        </is>
      </c>
      <c r="AA2" t="inlineStr">
        <is>
          <t>Health care structures</t>
        </is>
      </c>
      <c r="AB2" t="inlineStr">
        <is>
          <t>Educational and vocational structures</t>
        </is>
      </c>
      <c r="AC2" t="inlineStr">
        <is>
          <t>Nonresidential maintenance and repair</t>
        </is>
      </c>
      <c r="AD2" t="inlineStr">
        <is>
          <t>Residential maintenance and repair</t>
        </is>
      </c>
      <c r="AE2" t="inlineStr">
        <is>
          <t>Office and commercial structures</t>
        </is>
      </c>
      <c r="AF2" t="inlineStr">
        <is>
          <t>Multifamily residential structures</t>
        </is>
      </c>
      <c r="AG2" t="inlineStr">
        <is>
          <t>Other residential structures</t>
        </is>
      </c>
      <c r="AH2" t="inlineStr">
        <is>
          <t>Manufacturing structures</t>
        </is>
      </c>
      <c r="AI2" t="inlineStr">
        <is>
          <t>Other nonresidential structures</t>
        </is>
      </c>
      <c r="AJ2" t="inlineStr">
        <is>
          <t>Power and communication structures</t>
        </is>
      </c>
      <c r="AK2" t="inlineStr">
        <is>
          <t>Single-family residential structures</t>
        </is>
      </c>
      <c r="AL2" t="inlineStr">
        <is>
          <t>Transportation structures and highways and streets</t>
        </is>
      </c>
      <c r="AM2" t="inlineStr">
        <is>
          <t>Sawmills and wood preservation</t>
        </is>
      </c>
      <c r="AN2" t="inlineStr">
        <is>
          <t>Veneer, plywood, and engineered wood product manufacturing</t>
        </is>
      </c>
      <c r="AO2" t="inlineStr">
        <is>
          <t>Millwork</t>
        </is>
      </c>
      <c r="AP2" t="inlineStr">
        <is>
          <t>All other wood product manufacturing</t>
        </is>
      </c>
      <c r="AQ2" t="inlineStr">
        <is>
          <t>Clay product and refractory manufacturing</t>
        </is>
      </c>
      <c r="AR2" t="inlineStr">
        <is>
          <t>Glass and glass product manufacturing</t>
        </is>
      </c>
      <c r="AS2" t="inlineStr">
        <is>
          <t>Cement manufacturing</t>
        </is>
      </c>
      <c r="AT2" t="inlineStr">
        <is>
          <t>Ready-mix concrete manufacturing</t>
        </is>
      </c>
      <c r="AU2" t="inlineStr">
        <is>
          <t>Concrete pipe, brick, and block manufacturing</t>
        </is>
      </c>
      <c r="AV2" t="inlineStr">
        <is>
          <t>Other concrete product manufacturing</t>
        </is>
      </c>
      <c r="AW2" t="inlineStr">
        <is>
          <t>Lime and gypsum product manufacturing</t>
        </is>
      </c>
      <c r="AX2" t="inlineStr">
        <is>
          <t>Abrasive product manufacturing</t>
        </is>
      </c>
      <c r="AY2" t="inlineStr">
        <is>
          <t>Cut stone and stone product manufacturing</t>
        </is>
      </c>
      <c r="AZ2" t="inlineStr">
        <is>
          <t>Ground or treated mineral and earth manufacturing</t>
        </is>
      </c>
      <c r="BA2" t="inlineStr">
        <is>
          <t>Mineral wool manufacturing</t>
        </is>
      </c>
      <c r="BB2" t="inlineStr">
        <is>
          <t>Miscellaneous nonmetallic mineral products</t>
        </is>
      </c>
      <c r="BC2" t="inlineStr">
        <is>
          <t>Iron and steel mills and ferroalloy manufacturing</t>
        </is>
      </c>
      <c r="BD2" t="inlineStr">
        <is>
          <t>Steel product manufacturing from purchased steel</t>
        </is>
      </c>
      <c r="BE2" t="inlineStr">
        <is>
          <t>Secondary smelting and alloying of aluminum</t>
        </is>
      </c>
      <c r="BF2" t="inlineStr">
        <is>
          <t>Alumina refining and primary aluminum production</t>
        </is>
      </c>
      <c r="BG2" t="inlineStr">
        <is>
          <t>Aluminum product manufacturing from purchased aluminum</t>
        </is>
      </c>
      <c r="BH2" t="inlineStr">
        <is>
          <t>Nonferrous metal (except aluminum) smelting and refining</t>
        </is>
      </c>
      <c r="BI2" t="inlineStr">
        <is>
          <t>Copper rolling, drawing, extruding and alloying</t>
        </is>
      </c>
      <c r="BJ2" t="inlineStr">
        <is>
          <t>Nonferrous metal (except copper and aluminum) rolling, drawing, extruding and alloying</t>
        </is>
      </c>
      <c r="BK2" t="inlineStr">
        <is>
          <t>Ferrous metal foundries</t>
        </is>
      </c>
      <c r="BL2" t="inlineStr">
        <is>
          <t>Nonferrous metal foundries</t>
        </is>
      </c>
      <c r="BM2" t="inlineStr">
        <is>
          <t>Custom roll forming</t>
        </is>
      </c>
      <c r="BN2" t="inlineStr">
        <is>
          <t>All other forging, stamping, and sintering</t>
        </is>
      </c>
      <c r="BO2" t="inlineStr">
        <is>
          <t>Metal crown, closure, and other metal stamping (except automotive)</t>
        </is>
      </c>
      <c r="BP2" t="inlineStr">
        <is>
          <t>Cutlery and handtool manufacturing</t>
        </is>
      </c>
      <c r="BQ2" t="inlineStr">
        <is>
          <t>Plate work and fabricated structural product manufacturing</t>
        </is>
      </c>
      <c r="BR2" t="inlineStr">
        <is>
          <t>Ornamental and architectural metal products manufacturing</t>
        </is>
      </c>
      <c r="BS2" t="inlineStr">
        <is>
          <t>Power boiler and heat exchanger manufacturing</t>
        </is>
      </c>
      <c r="BT2" t="inlineStr">
        <is>
          <t>Metal tank (heavy gauge) manufacturing</t>
        </is>
      </c>
      <c r="BU2" t="inlineStr">
        <is>
          <t>Metal can, box, and other metal container (light gauge) manufacturing</t>
        </is>
      </c>
      <c r="BV2" t="inlineStr">
        <is>
          <t>Hardware manufacturing</t>
        </is>
      </c>
      <c r="BW2" t="inlineStr">
        <is>
          <t>Spring and wire product manufacturing</t>
        </is>
      </c>
      <c r="BX2" t="inlineStr">
        <is>
          <t>Machine shops</t>
        </is>
      </c>
      <c r="BY2" t="inlineStr">
        <is>
          <t>Turned product and screw, nut, and bolt manufacturing</t>
        </is>
      </c>
      <c r="BZ2" t="inlineStr">
        <is>
          <t>Coating, engraving, heat treating and allied activities</t>
        </is>
      </c>
      <c r="CA2" t="inlineStr">
        <is>
          <t>Plumbing fixture fitting and trim manufacturing</t>
        </is>
      </c>
      <c r="CB2" t="inlineStr">
        <is>
          <t>Valve and fittings other than plumbing</t>
        </is>
      </c>
      <c r="CC2" t="inlineStr">
        <is>
          <t>Ball and roller bearing manufacturing</t>
        </is>
      </c>
      <c r="CD2" t="inlineStr">
        <is>
          <t>Fabricated pipe and pipe fitting manufacturing</t>
        </is>
      </c>
      <c r="CE2" t="inlineStr">
        <is>
          <t>Ammunition, arms, ordnance, and accessories manufacturing</t>
        </is>
      </c>
      <c r="CF2" t="inlineStr">
        <is>
          <t>Other fabricated metal manufacturing</t>
        </is>
      </c>
      <c r="CG2" t="inlineStr">
        <is>
          <t>Farm machinery and equipment manufacturing</t>
        </is>
      </c>
      <c r="CH2" t="inlineStr">
        <is>
          <t>Lawn and garden equipment manufacturing</t>
        </is>
      </c>
      <c r="CI2" t="inlineStr">
        <is>
          <t>Construction machinery manufacturing</t>
        </is>
      </c>
      <c r="CJ2" t="inlineStr">
        <is>
          <t>Mining and oil and gas field machinery manufacturing</t>
        </is>
      </c>
      <c r="CK2" t="inlineStr">
        <is>
          <t>Semiconductor machinery manufacturing</t>
        </is>
      </c>
      <c r="CL2" t="inlineStr">
        <is>
          <t>Other industrial machinery manufacturing</t>
        </is>
      </c>
      <c r="CM2" t="inlineStr">
        <is>
          <t>Optical instrument and lens manufacturing</t>
        </is>
      </c>
      <c r="CN2" t="inlineStr">
        <is>
          <t>Photographic and photocopying equipment manufacturing</t>
        </is>
      </c>
      <c r="CO2" t="inlineStr">
        <is>
          <t>Other commercial and service industry machinery manufacturing</t>
        </is>
      </c>
      <c r="CP2" t="inlineStr">
        <is>
          <t>Heating equipment (except warm air furnaces) manufacturing</t>
        </is>
      </c>
      <c r="CQ2" t="inlineStr">
        <is>
          <t>Air conditioning, refrigeration, and warm air heating equipment manufacturing</t>
        </is>
      </c>
      <c r="CR2" t="inlineStr">
        <is>
          <t>Industrial and commercial fan and blower and air purification equipment manufacturing</t>
        </is>
      </c>
      <c r="CS2" t="inlineStr">
        <is>
          <t>Industrial mold manufacturing</t>
        </is>
      </c>
      <c r="CT2" t="inlineStr">
        <is>
          <t>Special tool, die, jig, and fixture manufacturing</t>
        </is>
      </c>
      <c r="CU2" t="inlineStr">
        <is>
          <t>Machine tool manufacturing</t>
        </is>
      </c>
      <c r="CV2" t="inlineStr">
        <is>
          <t>Cutting and machine tool accessory, rolling mill, and other metalworking machinery manufacturing</t>
        </is>
      </c>
      <c r="CW2" t="inlineStr">
        <is>
          <t>Turbine and turbine generator set units manufacturing</t>
        </is>
      </c>
      <c r="CX2" t="inlineStr">
        <is>
          <t>Speed changer, industrial high-speed drive, and gear manufacturing</t>
        </is>
      </c>
      <c r="CY2" t="inlineStr">
        <is>
          <t>Mechanical power transmission equipment manufacturing</t>
        </is>
      </c>
      <c r="CZ2" t="inlineStr">
        <is>
          <t>Other engine equipment manufacturing</t>
        </is>
      </c>
      <c r="DA2" t="inlineStr">
        <is>
          <t>Air and gas compressor manufacturing</t>
        </is>
      </c>
      <c r="DB2" t="inlineStr">
        <is>
          <t>Measuring, dispensing, and other pumping equipment manufacturing</t>
        </is>
      </c>
      <c r="DC2" t="inlineStr">
        <is>
          <t>Material handling equipment manufacturing</t>
        </is>
      </c>
      <c r="DD2" t="inlineStr">
        <is>
          <t>Power-driven handtool manufacturing</t>
        </is>
      </c>
      <c r="DE2" t="inlineStr">
        <is>
          <t>Packaging machinery manufacturing</t>
        </is>
      </c>
      <c r="DF2" t="inlineStr">
        <is>
          <t>Industrial process furnace and oven manufacturing</t>
        </is>
      </c>
      <c r="DG2" t="inlineStr">
        <is>
          <t>Other general purpose machinery manufacturing</t>
        </is>
      </c>
      <c r="DH2" t="inlineStr">
        <is>
          <t>Fluid power process machinery</t>
        </is>
      </c>
      <c r="DI2" t="inlineStr">
        <is>
          <t>Electronic computer manufacturing</t>
        </is>
      </c>
      <c r="DJ2" t="inlineStr">
        <is>
          <t>Computer storage device manufacturing</t>
        </is>
      </c>
      <c r="DK2" t="inlineStr">
        <is>
          <t>Computer terminals and other computer peripheral equipment manufacturing</t>
        </is>
      </c>
      <c r="DL2" t="inlineStr">
        <is>
          <t>Telephone apparatus manufacturing</t>
        </is>
      </c>
      <c r="DM2" t="inlineStr">
        <is>
          <t>Broadcast and wireless communications equipment</t>
        </is>
      </c>
      <c r="DN2" t="inlineStr">
        <is>
          <t>Other communications equipment manufacturing</t>
        </is>
      </c>
      <c r="DO2" t="inlineStr">
        <is>
          <t>Semiconductor and related device manufacturing</t>
        </is>
      </c>
      <c r="DP2" t="inlineStr">
        <is>
          <t>Printed circuit assembly (electronic assembly) manufacturing</t>
        </is>
      </c>
      <c r="DQ2" t="inlineStr">
        <is>
          <t>Other electronic component manufacturing</t>
        </is>
      </c>
      <c r="DR2" t="inlineStr">
        <is>
          <t>Electromedical and electrotherapeutic apparatus manufacturing</t>
        </is>
      </c>
      <c r="DS2" t="inlineStr">
        <is>
          <t>Search, detection, and navigation instruments manufacturing</t>
        </is>
      </c>
      <c r="DT2" t="inlineStr">
        <is>
          <t>Automatic environmental control manufacturing</t>
        </is>
      </c>
      <c r="DU2" t="inlineStr">
        <is>
          <t>Industrial process variable instruments manufacturing</t>
        </is>
      </c>
      <c r="DV2" t="inlineStr">
        <is>
          <t>Totalizing fluid meter and counting device manufacturing</t>
        </is>
      </c>
      <c r="DW2" t="inlineStr">
        <is>
          <t>Electricity and signal testing instruments manufacturing</t>
        </is>
      </c>
      <c r="DX2" t="inlineStr">
        <is>
          <t>Analytical laboratory instrument manufacturing</t>
        </is>
      </c>
      <c r="DY2" t="inlineStr">
        <is>
          <t>Irradiation apparatus manufacturing</t>
        </is>
      </c>
      <c r="DZ2" t="inlineStr">
        <is>
          <t>Watch, clock, and other measuring and controlling device manufacturing</t>
        </is>
      </c>
      <c r="EA2" t="inlineStr">
        <is>
          <t>Audio and video equipment manufacturing</t>
        </is>
      </c>
      <c r="EB2" t="inlineStr">
        <is>
          <t>Manufacturing and reproducing magnetic and optical media</t>
        </is>
      </c>
      <c r="EC2" t="inlineStr">
        <is>
          <t>Electric lamp bulb and part manufacturing</t>
        </is>
      </c>
      <c r="ED2" t="inlineStr">
        <is>
          <t>Lighting fixture manufacturing</t>
        </is>
      </c>
      <c r="EE2" t="inlineStr">
        <is>
          <t>Small electrical appliance manufacturing</t>
        </is>
      </c>
      <c r="EF2" t="inlineStr">
        <is>
          <t>Major household appliance manufacturing</t>
        </is>
      </c>
      <c r="EG2" t="inlineStr">
        <is>
          <t>Power, distribution, and specialty transformer manufacturing</t>
        </is>
      </c>
      <c r="EH2" t="inlineStr">
        <is>
          <t>Motor and generator manufacturing</t>
        </is>
      </c>
      <c r="EI2" t="inlineStr">
        <is>
          <t>Switchgear and switchboard apparatus manufacturing</t>
        </is>
      </c>
      <c r="EJ2" t="inlineStr">
        <is>
          <t>Relay and industrial control manufacturing</t>
        </is>
      </c>
      <c r="EK2" t="inlineStr">
        <is>
          <t>Storage battery manufacturing</t>
        </is>
      </c>
      <c r="EL2" t="inlineStr">
        <is>
          <t>Primary battery manufacturing</t>
        </is>
      </c>
      <c r="EM2" t="inlineStr">
        <is>
          <t>Communication and energy wire and cable manufacturing</t>
        </is>
      </c>
      <c r="EN2" t="inlineStr">
        <is>
          <t>Wiring device manufacturing</t>
        </is>
      </c>
      <c r="EO2" t="inlineStr">
        <is>
          <t>Carbon and graphite product manufacturing</t>
        </is>
      </c>
      <c r="EP2" t="inlineStr">
        <is>
          <t>All other miscellaneous electrical equipment and component manufacturing</t>
        </is>
      </c>
      <c r="EQ2" t="inlineStr">
        <is>
          <t>Automobile manufacturing</t>
        </is>
      </c>
      <c r="ER2" t="inlineStr">
        <is>
          <t>Light truck and utility vehicle manufacturing</t>
        </is>
      </c>
      <c r="ES2" t="inlineStr">
        <is>
          <t>Heavy duty truck manufacturing</t>
        </is>
      </c>
      <c r="ET2" t="inlineStr">
        <is>
          <t>Motor vehicle body manufacturing</t>
        </is>
      </c>
      <c r="EU2" t="inlineStr">
        <is>
          <t>Truck trailer manufacturing</t>
        </is>
      </c>
      <c r="EV2" t="inlineStr">
        <is>
          <t>Motor home manufacturing</t>
        </is>
      </c>
      <c r="EW2" t="inlineStr">
        <is>
          <t>Travel trailer and camper manufacturing</t>
        </is>
      </c>
      <c r="EX2" t="inlineStr">
        <is>
          <t>Motor vehicle gasoline engine and engine parts manufacturing</t>
        </is>
      </c>
      <c r="EY2" t="inlineStr">
        <is>
          <t>Motor vehicle electrical and electronic equipment manufacturing</t>
        </is>
      </c>
      <c r="EZ2" t="inlineStr">
        <is>
          <t>Motor vehicle transmission and power train parts manufacturing</t>
        </is>
      </c>
      <c r="FA2" t="inlineStr">
        <is>
          <t>Motor vehicle seating and interior trim manufacturing</t>
        </is>
      </c>
      <c r="FB2" t="inlineStr">
        <is>
          <t>Motor vehicle metal stamping</t>
        </is>
      </c>
      <c r="FC2" t="inlineStr">
        <is>
          <t>Other motor vehicle parts manufacturing</t>
        </is>
      </c>
      <c r="FD2" t="inlineStr">
        <is>
          <t>Motor vehicle steering, suspension component (except spring), and brake systems manufacturing</t>
        </is>
      </c>
      <c r="FE2" t="inlineStr">
        <is>
          <t>Aircraft manufacturing</t>
        </is>
      </c>
      <c r="FF2" t="inlineStr">
        <is>
          <t>Aircraft engine and engine parts manufacturing</t>
        </is>
      </c>
      <c r="FG2" t="inlineStr">
        <is>
          <t>Other aircraft parts and auxiliary equipment manufacturing</t>
        </is>
      </c>
      <c r="FH2" t="inlineStr">
        <is>
          <t>Guided missile and space vehicle manufacturing</t>
        </is>
      </c>
      <c r="FI2" t="inlineStr">
        <is>
          <t>Propulsion units and parts for space vehicles and guided missiles</t>
        </is>
      </c>
      <c r="FJ2" t="inlineStr">
        <is>
          <t>Railroad rolling stock manufacturing</t>
        </is>
      </c>
      <c r="FK2" t="inlineStr">
        <is>
          <t>Ship building and repairing</t>
        </is>
      </c>
      <c r="FL2" t="inlineStr">
        <is>
          <t>Boat building</t>
        </is>
      </c>
      <c r="FM2" t="inlineStr">
        <is>
          <t>Motorcycle, bicycle, and parts manufacturing</t>
        </is>
      </c>
      <c r="FN2" t="inlineStr">
        <is>
          <t>Military armored vehicle, tank, and tank component manufacturing</t>
        </is>
      </c>
      <c r="FO2" t="inlineStr">
        <is>
          <t>All other transportation equipment manufacturing</t>
        </is>
      </c>
      <c r="FP2" t="inlineStr">
        <is>
          <t>Wood kitchen cabinet and countertop manufacturing</t>
        </is>
      </c>
      <c r="FQ2" t="inlineStr">
        <is>
          <t>Upholstered household furniture manufacturing</t>
        </is>
      </c>
      <c r="FR2" t="inlineStr">
        <is>
          <t>Nonupholstered wood household furniture manufacturing</t>
        </is>
      </c>
      <c r="FS2" t="inlineStr">
        <is>
          <t>Institutional furniture manufacturing</t>
        </is>
      </c>
      <c r="FT2" t="inlineStr">
        <is>
          <t>Other household nonupholstered furniture</t>
        </is>
      </c>
      <c r="FU2" t="inlineStr">
        <is>
          <t>Showcase, partition, shelving, and locker manufacturing</t>
        </is>
      </c>
      <c r="FV2" t="inlineStr">
        <is>
          <t>Office furniture and custom architectural woodwork and millwork manufacturing</t>
        </is>
      </c>
      <c r="FW2" t="inlineStr">
        <is>
          <t>Other furniture related product manufacturing</t>
        </is>
      </c>
      <c r="FX2" t="inlineStr">
        <is>
          <t>Surgical and medical instrument manufacturing</t>
        </is>
      </c>
      <c r="FY2" t="inlineStr">
        <is>
          <t>Surgical appliance and supplies manufacturing</t>
        </is>
      </c>
      <c r="FZ2" t="inlineStr">
        <is>
          <t>Dental equipment and supplies manufacturing</t>
        </is>
      </c>
      <c r="GA2" t="inlineStr">
        <is>
          <t>Ophthalmic goods manufacturing</t>
        </is>
      </c>
      <c r="GB2" t="inlineStr">
        <is>
          <t>Dental laboratories</t>
        </is>
      </c>
      <c r="GC2" t="inlineStr">
        <is>
          <t>Jewelry and silverware manufacturing</t>
        </is>
      </c>
      <c r="GD2" t="inlineStr">
        <is>
          <t>Sporting and athletic goods manufacturing</t>
        </is>
      </c>
      <c r="GE2" t="inlineStr">
        <is>
          <t>Doll, toy, and game manufacturing</t>
        </is>
      </c>
      <c r="GF2" t="inlineStr">
        <is>
          <t>Office supplies (except paper) manufacturing</t>
        </is>
      </c>
      <c r="GG2" t="inlineStr">
        <is>
          <t>Sign manufacturing</t>
        </is>
      </c>
      <c r="GH2" t="inlineStr">
        <is>
          <t>All other miscellaneous manufacturing</t>
        </is>
      </c>
      <c r="GI2" t="inlineStr">
        <is>
          <t>Dog and cat food manufacturing</t>
        </is>
      </c>
      <c r="GJ2" t="inlineStr">
        <is>
          <t>Other animal food manufacturing</t>
        </is>
      </c>
      <c r="GK2" t="inlineStr">
        <is>
          <t>Flour milling and malt manufacturing</t>
        </is>
      </c>
      <c r="GL2" t="inlineStr">
        <is>
          <t>Wet corn milling</t>
        </is>
      </c>
      <c r="GM2" t="inlineStr">
        <is>
          <t>Fats and oils refining and blending</t>
        </is>
      </c>
      <c r="GN2" t="inlineStr">
        <is>
          <t>Soybean and other oilseed processing</t>
        </is>
      </c>
      <c r="GO2" t="inlineStr">
        <is>
          <t>Breakfast cereal manufacturing</t>
        </is>
      </c>
      <c r="GP2" t="inlineStr">
        <is>
          <t>Sugar and confectionery product manufacturing</t>
        </is>
      </c>
      <c r="GQ2" t="inlineStr">
        <is>
          <t>Frozen food manufacturing</t>
        </is>
      </c>
      <c r="GR2" t="inlineStr">
        <is>
          <t>Fruit and vegetable canning, pickling, and drying</t>
        </is>
      </c>
      <c r="GS2" t="inlineStr">
        <is>
          <t>Cheese manufacturing</t>
        </is>
      </c>
      <c r="GT2" t="inlineStr">
        <is>
          <t>Dry, condensed, and evaporated dairy product manufacturing</t>
        </is>
      </c>
      <c r="GU2" t="inlineStr">
        <is>
          <t>Fluid milk and butter manufacturing</t>
        </is>
      </c>
      <c r="GV2" t="inlineStr">
        <is>
          <t>Ice cream and frozen dessert manufacturing</t>
        </is>
      </c>
      <c r="GW2" t="inlineStr">
        <is>
          <t>Poultry processing</t>
        </is>
      </c>
      <c r="GX2" t="inlineStr">
        <is>
          <t>Animal (except poultry) slaughtering, rendering, and processing</t>
        </is>
      </c>
      <c r="GY2" t="inlineStr">
        <is>
          <t>Seafood product preparation and packaging</t>
        </is>
      </c>
      <c r="GZ2" t="inlineStr">
        <is>
          <t>Bread and bakery product manufacturing</t>
        </is>
      </c>
      <c r="HA2" t="inlineStr">
        <is>
          <t>Cookie, cracker, pasta, and tortilla manufacturing</t>
        </is>
      </c>
      <c r="HB2" t="inlineStr">
        <is>
          <t>Snack food manufacturing</t>
        </is>
      </c>
      <c r="HC2" t="inlineStr">
        <is>
          <t>Coffee and tea manufacturing</t>
        </is>
      </c>
      <c r="HD2" t="inlineStr">
        <is>
          <t>Flavoring syrup and concentrate manufacturing</t>
        </is>
      </c>
      <c r="HE2" t="inlineStr">
        <is>
          <t>Seasoning and dressing manufacturing</t>
        </is>
      </c>
      <c r="HF2" t="inlineStr">
        <is>
          <t>All other food manufacturing</t>
        </is>
      </c>
      <c r="HG2" t="inlineStr">
        <is>
          <t>Soft drink and ice manufacturing</t>
        </is>
      </c>
      <c r="HH2" t="inlineStr">
        <is>
          <t>Breweries</t>
        </is>
      </c>
      <c r="HI2" t="inlineStr">
        <is>
          <t>Wineries</t>
        </is>
      </c>
      <c r="HJ2" t="inlineStr">
        <is>
          <t>Distilleries</t>
        </is>
      </c>
      <c r="HK2" t="inlineStr">
        <is>
          <t>Tobacco manufacturing</t>
        </is>
      </c>
      <c r="HL2" t="inlineStr">
        <is>
          <t>Fiber, yarn, and thread mills</t>
        </is>
      </c>
      <c r="HM2" t="inlineStr">
        <is>
          <t>Fabric mills</t>
        </is>
      </c>
      <c r="HN2" t="inlineStr">
        <is>
          <t>Textile and fabric finishing and fabric coating mills</t>
        </is>
      </c>
      <c r="HO2" t="inlineStr">
        <is>
          <t>Carpet and rug mills</t>
        </is>
      </c>
      <c r="HP2" t="inlineStr">
        <is>
          <t>Curtain and linen mills</t>
        </is>
      </c>
      <c r="HQ2" t="inlineStr">
        <is>
          <t>Other textile product mills</t>
        </is>
      </c>
      <c r="HR2" t="inlineStr">
        <is>
          <t>Apparel manufacturing</t>
        </is>
      </c>
      <c r="HS2" t="inlineStr">
        <is>
          <t>Leather and allied product manufacturing</t>
        </is>
      </c>
      <c r="HT2" t="inlineStr">
        <is>
          <t>Pulp mills</t>
        </is>
      </c>
      <c r="HU2" t="inlineStr">
        <is>
          <t>Paper mills</t>
        </is>
      </c>
      <c r="HV2" t="inlineStr">
        <is>
          <t>Paperboard mills</t>
        </is>
      </c>
      <c r="HW2" t="inlineStr">
        <is>
          <t>Paperboard container manufacturing</t>
        </is>
      </c>
      <c r="HX2" t="inlineStr">
        <is>
          <t>Paper bag and coated and treated paper manufacturing</t>
        </is>
      </c>
      <c r="HY2" t="inlineStr">
        <is>
          <t>Stationery product manufacturing</t>
        </is>
      </c>
      <c r="HZ2" t="inlineStr">
        <is>
          <t>Sanitary paper product manufacturing</t>
        </is>
      </c>
      <c r="IA2" t="inlineStr">
        <is>
          <t>All other converted paper product manufacturing</t>
        </is>
      </c>
      <c r="IB2" t="inlineStr">
        <is>
          <t>Printing</t>
        </is>
      </c>
      <c r="IC2" t="inlineStr">
        <is>
          <t>Support activities for printing</t>
        </is>
      </c>
      <c r="ID2" t="inlineStr">
        <is>
          <t>Petroleum refineries</t>
        </is>
      </c>
      <c r="IE2" t="inlineStr">
        <is>
          <t>Asphalt paving mixture and block manufacturing</t>
        </is>
      </c>
      <c r="IF2" t="inlineStr">
        <is>
          <t>Asphalt shingle and coating materials manufacturing</t>
        </is>
      </c>
      <c r="IG2" t="inlineStr">
        <is>
          <t>Other petroleum and coal products manufacturing</t>
        </is>
      </c>
      <c r="IH2" t="inlineStr">
        <is>
          <t>Petrochemical manufacturing</t>
        </is>
      </c>
      <c r="II2" t="inlineStr">
        <is>
          <t>Industrial gas manufacturing</t>
        </is>
      </c>
      <c r="IJ2" t="inlineStr">
        <is>
          <t>Synthetic dye and pigment manufacturing</t>
        </is>
      </c>
      <c r="IK2" t="inlineStr">
        <is>
          <t>Other basic inorganic chemical manufacturing</t>
        </is>
      </c>
      <c r="IL2" t="inlineStr">
        <is>
          <t>Other basic organic chemical manufacturing</t>
        </is>
      </c>
      <c r="IM2" t="inlineStr">
        <is>
          <t>Plastics material and resin manufacturing</t>
        </is>
      </c>
      <c r="IN2" t="inlineStr">
        <is>
          <t>Synthetic rubber and artificial and synthetic fibers and filaments manufacturing</t>
        </is>
      </c>
      <c r="IO2" t="inlineStr">
        <is>
          <t>Medicinal and botanical manufacturing</t>
        </is>
      </c>
      <c r="IP2" t="inlineStr">
        <is>
          <t>Pharmaceutical preparation manufacturing</t>
        </is>
      </c>
      <c r="IQ2" t="inlineStr">
        <is>
          <t>In-vitro diagnostic substance manufacturing</t>
        </is>
      </c>
      <c r="IR2" t="inlineStr">
        <is>
          <t>Biological product (except diagnostic) manufacturing</t>
        </is>
      </c>
      <c r="IS2" t="inlineStr">
        <is>
          <t>Fertilizer manufacturing</t>
        </is>
      </c>
      <c r="IT2" t="inlineStr">
        <is>
          <t>Pesticide and other agricultural chemical manufacturing</t>
        </is>
      </c>
      <c r="IU2" t="inlineStr">
        <is>
          <t>Paint and coating manufacturing</t>
        </is>
      </c>
      <c r="IV2" t="inlineStr">
        <is>
          <t>Adhesive manufacturing</t>
        </is>
      </c>
      <c r="IW2" t="inlineStr">
        <is>
          <t>Soap and cleaning compound manufacturing</t>
        </is>
      </c>
      <c r="IX2" t="inlineStr">
        <is>
          <t>Toilet preparation manufacturing</t>
        </is>
      </c>
      <c r="IY2" t="inlineStr">
        <is>
          <t>Printing ink manufacturing</t>
        </is>
      </c>
      <c r="IZ2" t="inlineStr">
        <is>
          <t>All other chemical product and preparation manufacturing</t>
        </is>
      </c>
      <c r="JA2" t="inlineStr">
        <is>
          <t>Plastics packaging materials and unlaminated film and sheet manufacturing</t>
        </is>
      </c>
      <c r="JB2" t="inlineStr">
        <is>
          <t>Plastics pipe, pipe fitting, and unlaminated profile shape manufacturing</t>
        </is>
      </c>
      <c r="JC2" t="inlineStr">
        <is>
          <t>Laminated plastics plate, sheet (except packaging), and shape manufacturing</t>
        </is>
      </c>
      <c r="JD2" t="inlineStr">
        <is>
          <t>Polystyrene foam product manufacturing</t>
        </is>
      </c>
      <c r="JE2" t="inlineStr">
        <is>
          <t>Urethane and other foam product (except polystyrene) manufacturing</t>
        </is>
      </c>
      <c r="JF2" t="inlineStr">
        <is>
          <t>Plastics bottle manufacturing</t>
        </is>
      </c>
      <c r="JG2" t="inlineStr">
        <is>
          <t>Other plastics product manufacturing</t>
        </is>
      </c>
      <c r="JH2" t="inlineStr">
        <is>
          <t>Tire manufacturing</t>
        </is>
      </c>
      <c r="JI2" t="inlineStr">
        <is>
          <t>Rubber and plastics hoses and belting manufacturing</t>
        </is>
      </c>
      <c r="JJ2" t="inlineStr">
        <is>
          <t>Other rubber product manufacturing</t>
        </is>
      </c>
      <c r="JK2" t="inlineStr">
        <is>
          <t>Motor vehicle and motor vehicle parts and supplies</t>
        </is>
      </c>
      <c r="JL2" t="inlineStr">
        <is>
          <t>Professional and commercial equipment and supplies</t>
        </is>
      </c>
      <c r="JM2" t="inlineStr">
        <is>
          <t xml:space="preserve">Household appliances and electrical and electronic goods </t>
        </is>
      </c>
      <c r="JN2" t="inlineStr">
        <is>
          <t>Machinery, equipment, and supplies</t>
        </is>
      </c>
      <c r="JO2" t="inlineStr">
        <is>
          <t>Other durable goods merchant wholesalers</t>
        </is>
      </c>
      <c r="JP2" t="inlineStr">
        <is>
          <t>Drugs and druggists’ sundries</t>
        </is>
      </c>
      <c r="JQ2" t="inlineStr">
        <is>
          <t xml:space="preserve">Grocery and related product wholesalers </t>
        </is>
      </c>
      <c r="JR2" t="inlineStr">
        <is>
          <t>Petroleum and petroleum products</t>
        </is>
      </c>
      <c r="JS2" t="inlineStr">
        <is>
          <t>Other nondurable goods merchant wholesalers</t>
        </is>
      </c>
      <c r="JT2" t="inlineStr">
        <is>
          <t>Wholesale electronic markets and agents and brokers</t>
        </is>
      </c>
      <c r="JU2" t="inlineStr">
        <is>
          <t>Customs duties</t>
        </is>
      </c>
      <c r="JV2" t="inlineStr">
        <is>
          <t>Motor vehicle and parts dealers</t>
        </is>
      </c>
      <c r="JW2" t="inlineStr">
        <is>
          <t>Food and beverage stores</t>
        </is>
      </c>
      <c r="JX2" t="inlineStr">
        <is>
          <t>General merchandise stores</t>
        </is>
      </c>
      <c r="JY2" t="inlineStr">
        <is>
          <t>Building material and garden equipment and supplies dealers</t>
        </is>
      </c>
      <c r="JZ2" t="inlineStr">
        <is>
          <t>Health and personal care stores</t>
        </is>
      </c>
      <c r="KA2" t="inlineStr">
        <is>
          <t>Gasoline stations</t>
        </is>
      </c>
      <c r="KB2" t="inlineStr">
        <is>
          <t>Clothing and clothing accessories stores</t>
        </is>
      </c>
      <c r="KC2" t="inlineStr">
        <is>
          <t>Nonstore retailers</t>
        </is>
      </c>
      <c r="KD2" t="inlineStr">
        <is>
          <t>All other retail</t>
        </is>
      </c>
      <c r="KE2" t="inlineStr">
        <is>
          <t>Air transportation</t>
        </is>
      </c>
      <c r="KF2" t="inlineStr">
        <is>
          <t>Rail transportation</t>
        </is>
      </c>
      <c r="KG2" t="inlineStr">
        <is>
          <t>Water transportation</t>
        </is>
      </c>
      <c r="KH2" t="inlineStr">
        <is>
          <t>Truck transportation</t>
        </is>
      </c>
      <c r="KI2" t="inlineStr">
        <is>
          <t>Transit and ground passenger transportation</t>
        </is>
      </c>
      <c r="KJ2" t="inlineStr">
        <is>
          <t>Pipeline transportation</t>
        </is>
      </c>
      <c r="KK2" t="inlineStr">
        <is>
          <t>Scenic and sightseeing transportation and support activities for transportation</t>
        </is>
      </c>
      <c r="KL2" t="inlineStr">
        <is>
          <t>Couriers and messengers</t>
        </is>
      </c>
      <c r="KM2" t="inlineStr">
        <is>
          <t>Warehousing and storage</t>
        </is>
      </c>
      <c r="KN2" t="inlineStr">
        <is>
          <t>Newspaper publishers</t>
        </is>
      </c>
      <c r="KO2" t="inlineStr">
        <is>
          <t>Periodical Publishers</t>
        </is>
      </c>
      <c r="KP2" t="inlineStr">
        <is>
          <t>Book publishers</t>
        </is>
      </c>
      <c r="KQ2" t="inlineStr">
        <is>
          <t>Directory, mailing list, and other publishers</t>
        </is>
      </c>
      <c r="KR2" t="inlineStr">
        <is>
          <t>Software publishers</t>
        </is>
      </c>
      <c r="KS2" t="inlineStr">
        <is>
          <t>Motion picture and video industries</t>
        </is>
      </c>
      <c r="KT2" t="inlineStr">
        <is>
          <t>Sound recording industries</t>
        </is>
      </c>
      <c r="KU2" t="inlineStr">
        <is>
          <t>Radio and television broadcasting</t>
        </is>
      </c>
      <c r="KV2" t="inlineStr">
        <is>
          <t>Cable and other subscription programming</t>
        </is>
      </c>
      <c r="KW2" t="inlineStr">
        <is>
          <t>Wired telecommunications carriers</t>
        </is>
      </c>
      <c r="KX2" t="inlineStr">
        <is>
          <t>Wireless telecommunications carriers (except satellite)</t>
        </is>
      </c>
      <c r="KY2" t="inlineStr">
        <is>
          <t>Satellite, telecommunications resellers, and all other telecommunications</t>
        </is>
      </c>
      <c r="KZ2" t="inlineStr">
        <is>
          <t>Data processing, hosting, and related services</t>
        </is>
      </c>
      <c r="LA2" t="inlineStr">
        <is>
          <t>Internet publishing and broadcasting and Web search portals</t>
        </is>
      </c>
      <c r="LB2" t="inlineStr">
        <is>
          <t>News syndicates, libraries, archives and all other information services</t>
        </is>
      </c>
      <c r="LC2" t="inlineStr">
        <is>
          <t>Nondepository credit intermediation and related activities</t>
        </is>
      </c>
      <c r="LD2" t="inlineStr">
        <is>
          <t>Monetary authorities and depository credit intermediation</t>
        </is>
      </c>
      <c r="LE2" t="inlineStr">
        <is>
          <t>Other financial investment activities</t>
        </is>
      </c>
      <c r="LF2" t="inlineStr">
        <is>
          <t>Securities and commodity contracts intermediation and brokerage</t>
        </is>
      </c>
      <c r="LG2" t="inlineStr">
        <is>
          <t>Direct life insurance carriers</t>
        </is>
      </c>
      <c r="LH2" t="inlineStr">
        <is>
          <t>Insurance carriers, except direct life</t>
        </is>
      </c>
      <c r="LI2" t="inlineStr">
        <is>
          <t>Insurance agencies, brokerages, and related activities</t>
        </is>
      </c>
      <c r="LJ2" t="inlineStr">
        <is>
          <t>Funds, trusts, and other financial vehicles</t>
        </is>
      </c>
      <c r="LK2" t="inlineStr">
        <is>
          <t>Owner-occupied housing</t>
        </is>
      </c>
      <c r="LL2" t="inlineStr">
        <is>
          <t>Tenant-occupied housing</t>
        </is>
      </c>
      <c r="LM2" t="inlineStr">
        <is>
          <t>Other real estate</t>
        </is>
      </c>
      <c r="LN2" t="inlineStr">
        <is>
          <t>Automotive equipment rental and leasing</t>
        </is>
      </c>
      <c r="LO2" t="inlineStr">
        <is>
          <t>Commercial and industrial machinery and equipment rental and leasing</t>
        </is>
      </c>
      <c r="LP2" t="inlineStr">
        <is>
          <t>General and consumer goods rental</t>
        </is>
      </c>
      <c r="LQ2" t="inlineStr">
        <is>
          <t>Lessors of nonfinancial intangible assets</t>
        </is>
      </c>
      <c r="LR2" t="inlineStr">
        <is>
          <t>Legal services</t>
        </is>
      </c>
      <c r="LS2" t="inlineStr">
        <is>
          <t>Custom computer programming services</t>
        </is>
      </c>
      <c r="LT2" t="inlineStr">
        <is>
          <t>Computer systems design services</t>
        </is>
      </c>
      <c r="LU2" t="inlineStr">
        <is>
          <t>Other computer related services, including facilities management</t>
        </is>
      </c>
      <c r="LV2" t="inlineStr">
        <is>
          <t>Accounting, tax preparation, bookkeeping, and payroll services</t>
        </is>
      </c>
      <c r="LW2" t="inlineStr">
        <is>
          <t>Architectural, engineering, and related services</t>
        </is>
      </c>
      <c r="LX2" t="inlineStr">
        <is>
          <t>Management consulting services</t>
        </is>
      </c>
      <c r="LY2" t="inlineStr">
        <is>
          <t>Environmental and other technical consulting services</t>
        </is>
      </c>
      <c r="LZ2" t="inlineStr">
        <is>
          <t>Scientific research and development services</t>
        </is>
      </c>
      <c r="MA2" t="inlineStr">
        <is>
          <t>Advertising, public relations, and related services</t>
        </is>
      </c>
      <c r="MB2" t="inlineStr">
        <is>
          <t>Specialized design services</t>
        </is>
      </c>
      <c r="MC2" t="inlineStr">
        <is>
          <t>Photographic services</t>
        </is>
      </c>
      <c r="MD2" t="inlineStr">
        <is>
          <t>Veterinary services</t>
        </is>
      </c>
      <c r="ME2" t="inlineStr">
        <is>
          <t xml:space="preserve">All other miscellaneous professional, scientific, and technical services </t>
        </is>
      </c>
      <c r="MF2" t="inlineStr">
        <is>
          <t>Management of companies and enterprises</t>
        </is>
      </c>
      <c r="MG2" t="inlineStr">
        <is>
          <t>Employment services</t>
        </is>
      </c>
      <c r="MH2" t="inlineStr">
        <is>
          <t>Services to buildings and dwellings</t>
        </is>
      </c>
      <c r="MI2" t="inlineStr">
        <is>
          <t>Office administrative services</t>
        </is>
      </c>
      <c r="MJ2" t="inlineStr">
        <is>
          <t>Facilities support services</t>
        </is>
      </c>
      <c r="MK2" t="inlineStr">
        <is>
          <t>Business support services</t>
        </is>
      </c>
      <c r="ML2" t="inlineStr">
        <is>
          <t>Travel arrangement and reservation services</t>
        </is>
      </c>
      <c r="MM2" t="inlineStr">
        <is>
          <t>Investigation and security services</t>
        </is>
      </c>
      <c r="MN2" t="inlineStr">
        <is>
          <t>Other support services</t>
        </is>
      </c>
      <c r="MO2" t="inlineStr">
        <is>
          <t>Waste management and remediation services</t>
        </is>
      </c>
      <c r="MP2" t="inlineStr">
        <is>
          <t>Elementary and secondary schools</t>
        </is>
      </c>
      <c r="MQ2" t="inlineStr">
        <is>
          <t>Junior colleges, colleges, universities, and professional schools</t>
        </is>
      </c>
      <c r="MR2" t="inlineStr">
        <is>
          <t>Other educational services</t>
        </is>
      </c>
      <c r="MS2" t="inlineStr">
        <is>
          <t>Offices of physicians</t>
        </is>
      </c>
      <c r="MT2" t="inlineStr">
        <is>
          <t>Offices of dentists</t>
        </is>
      </c>
      <c r="MU2" t="inlineStr">
        <is>
          <t>Offices of other health practitioners</t>
        </is>
      </c>
      <c r="MV2" t="inlineStr">
        <is>
          <t>Outpatient care centers</t>
        </is>
      </c>
      <c r="MW2" t="inlineStr">
        <is>
          <t>Medical and diagnostic laboratories</t>
        </is>
      </c>
      <c r="MX2" t="inlineStr">
        <is>
          <t>Home health care services</t>
        </is>
      </c>
      <c r="MY2" t="inlineStr">
        <is>
          <t>Other ambulatory health care services</t>
        </is>
      </c>
      <c r="MZ2" t="inlineStr">
        <is>
          <t>Hospitals</t>
        </is>
      </c>
      <c r="NA2" t="inlineStr">
        <is>
          <t>Nursing and community care facilities</t>
        </is>
      </c>
      <c r="NB2" t="inlineStr">
        <is>
          <t>Residential mental health, substance abuse, and other residential care facilities</t>
        </is>
      </c>
      <c r="NC2" t="inlineStr">
        <is>
          <t>Individual and family services</t>
        </is>
      </c>
      <c r="ND2" t="inlineStr">
        <is>
          <t>Child day care services</t>
        </is>
      </c>
      <c r="NE2" t="inlineStr">
        <is>
          <t>Community food, housing, and other relief services, including rehabilitation services</t>
        </is>
      </c>
      <c r="NF2" t="inlineStr">
        <is>
          <t>Performing arts companies</t>
        </is>
      </c>
      <c r="NG2" t="inlineStr">
        <is>
          <t>Spectator sports</t>
        </is>
      </c>
      <c r="NH2" t="inlineStr">
        <is>
          <t>Independent artists, writers, and performers</t>
        </is>
      </c>
      <c r="NI2" t="inlineStr">
        <is>
          <t>Promoters of performing arts and sports and agents for public figures</t>
        </is>
      </c>
      <c r="NJ2" t="inlineStr">
        <is>
          <t>Museums, historical sites, zoos, and parks</t>
        </is>
      </c>
      <c r="NK2" t="inlineStr">
        <is>
          <t>Amusement parks and arcades</t>
        </is>
      </c>
      <c r="NL2" t="inlineStr">
        <is>
          <t>Gambling industries (except casino hotels)</t>
        </is>
      </c>
      <c r="NM2" t="inlineStr">
        <is>
          <t>Other amusement and recreation industries</t>
        </is>
      </c>
      <c r="NN2" t="inlineStr">
        <is>
          <t>Accommodation</t>
        </is>
      </c>
      <c r="NO2" t="inlineStr">
        <is>
          <t>Full-service restaurants</t>
        </is>
      </c>
      <c r="NP2" t="inlineStr">
        <is>
          <t>Limited-service restaurants</t>
        </is>
      </c>
      <c r="NQ2" t="inlineStr">
        <is>
          <t>All other food and drinking places</t>
        </is>
      </c>
      <c r="NR2" t="inlineStr">
        <is>
          <t>Automotive repair and maintenance (including car washes)</t>
        </is>
      </c>
      <c r="NS2" t="inlineStr">
        <is>
          <t>Electronic and precision equipment repair and maintenance</t>
        </is>
      </c>
      <c r="NT2" t="inlineStr">
        <is>
          <t>Commercial and industrial machinery and equipment repair and maintenance</t>
        </is>
      </c>
      <c r="NU2" t="inlineStr">
        <is>
          <t>Personal and household goods repair and maintenance</t>
        </is>
      </c>
      <c r="NV2" t="inlineStr">
        <is>
          <t>Personal care services</t>
        </is>
      </c>
      <c r="NW2" t="inlineStr">
        <is>
          <t>Death care services</t>
        </is>
      </c>
      <c r="NX2" t="inlineStr">
        <is>
          <t>Dry-cleaning and laundry services</t>
        </is>
      </c>
      <c r="NY2" t="inlineStr">
        <is>
          <t>Other personal services</t>
        </is>
      </c>
      <c r="NZ2" t="inlineStr">
        <is>
          <t>Religious organizations</t>
        </is>
      </c>
      <c r="OA2" t="inlineStr">
        <is>
          <t>Grantmaking, giving, and social advocacy organizations</t>
        </is>
      </c>
      <c r="OB2" t="inlineStr">
        <is>
          <t>Civic, social, professional, and similar organizations</t>
        </is>
      </c>
      <c r="OC2" t="inlineStr">
        <is>
          <t>Private households</t>
        </is>
      </c>
      <c r="OD2" t="inlineStr">
        <is>
          <t>Federal general government (defense)</t>
        </is>
      </c>
      <c r="OE2" t="inlineStr">
        <is>
          <t>Federal general government (nondefense)</t>
        </is>
      </c>
      <c r="OF2" t="inlineStr">
        <is>
          <t>Postal service</t>
        </is>
      </c>
      <c r="OG2" t="inlineStr">
        <is>
          <t>Federal electric utilities</t>
        </is>
      </c>
      <c r="OH2" t="inlineStr">
        <is>
          <t>Other federal government enterprises</t>
        </is>
      </c>
      <c r="OI2" t="inlineStr">
        <is>
          <t>State and local government (educational services)</t>
        </is>
      </c>
      <c r="OJ2" t="inlineStr">
        <is>
          <t>State and local government (hospitals and health services)</t>
        </is>
      </c>
      <c r="OK2" t="inlineStr">
        <is>
          <t>State and local government (other services)</t>
        </is>
      </c>
      <c r="OL2" t="inlineStr">
        <is>
          <t>State and local government passenger transit</t>
        </is>
      </c>
      <c r="OM2" t="inlineStr">
        <is>
          <t>State and local government electric utilities</t>
        </is>
      </c>
      <c r="ON2" t="inlineStr">
        <is>
          <t>Other state and local government enterprises</t>
        </is>
      </c>
      <c r="OO2" t="inlineStr">
        <is>
          <t>Total Intermediate</t>
        </is>
      </c>
      <c r="OP2" t="inlineStr">
        <is>
          <t>Personal consumption expenditures</t>
        </is>
      </c>
      <c r="OQ2" t="inlineStr">
        <is>
          <t>Nonresidential private fixed investment in equipment</t>
        </is>
      </c>
      <c r="OR2" t="inlineStr">
        <is>
          <t>Nonresidential private fixed investment in intellectual property products</t>
        </is>
      </c>
      <c r="OS2" t="inlineStr">
        <is>
          <t>Residential private fixed investment</t>
        </is>
      </c>
      <c r="OT2" t="inlineStr">
        <is>
          <t>Nonresidential private fixed investment in structures</t>
        </is>
      </c>
      <c r="OU2" t="inlineStr">
        <is>
          <t>Change in private inventories</t>
        </is>
      </c>
      <c r="OV2" t="inlineStr">
        <is>
          <t>Exports of goods and services</t>
        </is>
      </c>
      <c r="OW2" t="inlineStr">
        <is>
          <t>Federal Government defense: Consumption expenditures</t>
        </is>
      </c>
      <c r="OX2" t="inlineStr">
        <is>
          <t>Federal national defense: Gross investment in equipment</t>
        </is>
      </c>
      <c r="OY2" t="inlineStr">
        <is>
          <t>Federal national defense: Gross investment in intellectual property products</t>
        </is>
      </c>
      <c r="OZ2" t="inlineStr">
        <is>
          <t>Federal national defense: Gross investment in structures</t>
        </is>
      </c>
      <c r="PA2" t="inlineStr">
        <is>
          <t>Federal Government nondefense: Consumption expenditures</t>
        </is>
      </c>
      <c r="PB2" t="inlineStr">
        <is>
          <t>Federal nondefense: Gross investment in equipment</t>
        </is>
      </c>
      <c r="PC2" t="inlineStr">
        <is>
          <t>Federal nondefense: Gross investment in intellectual property products</t>
        </is>
      </c>
      <c r="PD2" t="inlineStr">
        <is>
          <t>Federal nondefense: Gross investment in structures</t>
        </is>
      </c>
      <c r="PE2" t="inlineStr">
        <is>
          <t>State and local government consumption expenditures</t>
        </is>
      </c>
      <c r="PF2" t="inlineStr">
        <is>
          <t>State and local: Gross investment in equipment</t>
        </is>
      </c>
      <c r="PG2" t="inlineStr">
        <is>
          <t>State and local: Gross investment in intellectual property products</t>
        </is>
      </c>
      <c r="PH2" t="inlineStr">
        <is>
          <t>State and local: Gross investment in structures</t>
        </is>
      </c>
      <c r="PI2" t="inlineStr">
        <is>
          <t>Total use of products</t>
        </is>
      </c>
    </row>
    <row r="3">
      <c r="A3" s="1" t="inlineStr">
        <is>
          <t>Code</t>
        </is>
      </c>
      <c r="C3" t="inlineStr">
        <is>
          <t>1111A0</t>
        </is>
      </c>
      <c r="D3" t="inlineStr">
        <is>
          <t>1111B0</t>
        </is>
      </c>
      <c r="E3" t="n">
        <v>111200</v>
      </c>
      <c r="F3" t="n">
        <v>111300</v>
      </c>
      <c r="G3" t="n">
        <v>111400</v>
      </c>
      <c r="H3" t="n">
        <v>111900</v>
      </c>
      <c r="I3" t="n">
        <v>112120</v>
      </c>
      <c r="J3" t="inlineStr">
        <is>
          <t>1121A0</t>
        </is>
      </c>
      <c r="K3" t="n">
        <v>112300</v>
      </c>
      <c r="L3" t="inlineStr">
        <is>
          <t>112A00</t>
        </is>
      </c>
      <c r="M3" t="n">
        <v>113000</v>
      </c>
      <c r="N3" t="n">
        <v>114000</v>
      </c>
      <c r="O3" t="n">
        <v>115000</v>
      </c>
      <c r="P3" t="n">
        <v>211000</v>
      </c>
      <c r="Q3" t="n">
        <v>212100</v>
      </c>
      <c r="R3" t="n">
        <v>212230</v>
      </c>
      <c r="S3" t="inlineStr">
        <is>
          <t>2122A0</t>
        </is>
      </c>
      <c r="T3" t="n">
        <v>212310</v>
      </c>
      <c r="U3" t="inlineStr">
        <is>
          <t>2123A0</t>
        </is>
      </c>
      <c r="V3" t="n">
        <v>213111</v>
      </c>
      <c r="W3" t="inlineStr">
        <is>
          <t>21311A</t>
        </is>
      </c>
      <c r="X3" t="n">
        <v>221100</v>
      </c>
      <c r="Y3" t="n">
        <v>221200</v>
      </c>
      <c r="Z3" t="n">
        <v>221300</v>
      </c>
      <c r="AA3" t="n">
        <v>233210</v>
      </c>
      <c r="AB3" t="n">
        <v>233262</v>
      </c>
      <c r="AC3" t="n">
        <v>230301</v>
      </c>
      <c r="AD3" t="n">
        <v>230302</v>
      </c>
      <c r="AE3" t="inlineStr">
        <is>
          <t>2332A0</t>
        </is>
      </c>
      <c r="AF3" t="n">
        <v>233412</v>
      </c>
      <c r="AG3" t="inlineStr">
        <is>
          <t>2334A0</t>
        </is>
      </c>
      <c r="AH3" t="n">
        <v>233230</v>
      </c>
      <c r="AI3" t="inlineStr">
        <is>
          <t>2332D0</t>
        </is>
      </c>
      <c r="AJ3" t="n">
        <v>233240</v>
      </c>
      <c r="AK3" t="n">
        <v>233411</v>
      </c>
      <c r="AL3" t="inlineStr">
        <is>
          <t>2332C0</t>
        </is>
      </c>
      <c r="AM3" t="n">
        <v>321100</v>
      </c>
      <c r="AN3" t="n">
        <v>321200</v>
      </c>
      <c r="AO3" t="n">
        <v>321910</v>
      </c>
      <c r="AP3" t="inlineStr">
        <is>
          <t>3219A0</t>
        </is>
      </c>
      <c r="AQ3" t="n">
        <v>327100</v>
      </c>
      <c r="AR3" t="n">
        <v>327200</v>
      </c>
      <c r="AS3" t="n">
        <v>327310</v>
      </c>
      <c r="AT3" t="n">
        <v>327320</v>
      </c>
      <c r="AU3" t="n">
        <v>327330</v>
      </c>
      <c r="AV3" t="n">
        <v>327390</v>
      </c>
      <c r="AW3" t="n">
        <v>327400</v>
      </c>
      <c r="AX3" t="n">
        <v>327910</v>
      </c>
      <c r="AY3" t="n">
        <v>327991</v>
      </c>
      <c r="AZ3" t="n">
        <v>327992</v>
      </c>
      <c r="BA3" t="n">
        <v>327993</v>
      </c>
      <c r="BB3" t="n">
        <v>327999</v>
      </c>
      <c r="BC3" t="n">
        <v>331110</v>
      </c>
      <c r="BD3" t="n">
        <v>331200</v>
      </c>
      <c r="BE3" t="n">
        <v>331314</v>
      </c>
      <c r="BF3" t="n">
        <v>331313</v>
      </c>
      <c r="BG3" t="inlineStr">
        <is>
          <t>33131B</t>
        </is>
      </c>
      <c r="BH3" t="n">
        <v>331410</v>
      </c>
      <c r="BI3" t="n">
        <v>331420</v>
      </c>
      <c r="BJ3" t="n">
        <v>331490</v>
      </c>
      <c r="BK3" t="n">
        <v>331510</v>
      </c>
      <c r="BL3" t="n">
        <v>331520</v>
      </c>
      <c r="BM3" t="n">
        <v>332114</v>
      </c>
      <c r="BN3" t="inlineStr">
        <is>
          <t>33211A</t>
        </is>
      </c>
      <c r="BO3" t="n">
        <v>332119</v>
      </c>
      <c r="BP3" t="n">
        <v>332200</v>
      </c>
      <c r="BQ3" t="n">
        <v>332310</v>
      </c>
      <c r="BR3" t="n">
        <v>332320</v>
      </c>
      <c r="BS3" t="n">
        <v>332410</v>
      </c>
      <c r="BT3" t="n">
        <v>332420</v>
      </c>
      <c r="BU3" t="n">
        <v>332430</v>
      </c>
      <c r="BV3" t="n">
        <v>332500</v>
      </c>
      <c r="BW3" t="n">
        <v>332600</v>
      </c>
      <c r="BX3" t="n">
        <v>332710</v>
      </c>
      <c r="BY3" t="n">
        <v>332720</v>
      </c>
      <c r="BZ3" t="n">
        <v>332800</v>
      </c>
      <c r="CA3" t="n">
        <v>332913</v>
      </c>
      <c r="CB3" t="inlineStr">
        <is>
          <t>33291A</t>
        </is>
      </c>
      <c r="CC3" t="n">
        <v>332991</v>
      </c>
      <c r="CD3" t="n">
        <v>332996</v>
      </c>
      <c r="CE3" t="inlineStr">
        <is>
          <t>33299A</t>
        </is>
      </c>
      <c r="CF3" t="n">
        <v>332999</v>
      </c>
      <c r="CG3" t="n">
        <v>333111</v>
      </c>
      <c r="CH3" t="n">
        <v>333112</v>
      </c>
      <c r="CI3" t="n">
        <v>333120</v>
      </c>
      <c r="CJ3" t="n">
        <v>333130</v>
      </c>
      <c r="CK3" t="n">
        <v>333242</v>
      </c>
      <c r="CL3" t="inlineStr">
        <is>
          <t>33329A</t>
        </is>
      </c>
      <c r="CM3" t="n">
        <v>333314</v>
      </c>
      <c r="CN3" t="n">
        <v>333316</v>
      </c>
      <c r="CO3" t="n">
        <v>333318</v>
      </c>
      <c r="CP3" t="n">
        <v>333414</v>
      </c>
      <c r="CQ3" t="n">
        <v>333415</v>
      </c>
      <c r="CR3" t="n">
        <v>333413</v>
      </c>
      <c r="CS3" t="n">
        <v>333511</v>
      </c>
      <c r="CT3" t="n">
        <v>333514</v>
      </c>
      <c r="CU3" t="n">
        <v>333517</v>
      </c>
      <c r="CV3" t="inlineStr">
        <is>
          <t>33351B</t>
        </is>
      </c>
      <c r="CW3" t="n">
        <v>333611</v>
      </c>
      <c r="CX3" t="n">
        <v>333612</v>
      </c>
      <c r="CY3" t="n">
        <v>333613</v>
      </c>
      <c r="CZ3" t="n">
        <v>333618</v>
      </c>
      <c r="DA3" t="n">
        <v>333912</v>
      </c>
      <c r="DB3" t="n">
        <v>333914</v>
      </c>
      <c r="DC3" t="n">
        <v>333920</v>
      </c>
      <c r="DD3" t="n">
        <v>333991</v>
      </c>
      <c r="DE3" t="n">
        <v>333993</v>
      </c>
      <c r="DF3" t="n">
        <v>333994</v>
      </c>
      <c r="DG3" t="inlineStr">
        <is>
          <t>33399A</t>
        </is>
      </c>
      <c r="DH3" t="inlineStr">
        <is>
          <t>33399B</t>
        </is>
      </c>
      <c r="DI3" t="n">
        <v>334111</v>
      </c>
      <c r="DJ3" t="n">
        <v>334112</v>
      </c>
      <c r="DK3" t="n">
        <v>334118</v>
      </c>
      <c r="DL3" t="n">
        <v>334210</v>
      </c>
      <c r="DM3" t="n">
        <v>334220</v>
      </c>
      <c r="DN3" t="n">
        <v>334290</v>
      </c>
      <c r="DO3" t="n">
        <v>334413</v>
      </c>
      <c r="DP3" t="n">
        <v>334418</v>
      </c>
      <c r="DQ3" t="inlineStr">
        <is>
          <t>33441A</t>
        </is>
      </c>
      <c r="DR3" t="n">
        <v>334510</v>
      </c>
      <c r="DS3" t="n">
        <v>334511</v>
      </c>
      <c r="DT3" t="n">
        <v>334512</v>
      </c>
      <c r="DU3" t="n">
        <v>334513</v>
      </c>
      <c r="DV3" t="n">
        <v>334514</v>
      </c>
      <c r="DW3" t="n">
        <v>334515</v>
      </c>
      <c r="DX3" t="n">
        <v>334516</v>
      </c>
      <c r="DY3" t="n">
        <v>334517</v>
      </c>
      <c r="DZ3" t="inlineStr">
        <is>
          <t>33451A</t>
        </is>
      </c>
      <c r="EA3" t="n">
        <v>334300</v>
      </c>
      <c r="EB3" t="n">
        <v>334610</v>
      </c>
      <c r="EC3" t="n">
        <v>335110</v>
      </c>
      <c r="ED3" t="n">
        <v>335120</v>
      </c>
      <c r="EE3" t="n">
        <v>335210</v>
      </c>
      <c r="EF3" t="n">
        <v>335220</v>
      </c>
      <c r="EG3" t="n">
        <v>335311</v>
      </c>
      <c r="EH3" t="n">
        <v>335312</v>
      </c>
      <c r="EI3" t="n">
        <v>335313</v>
      </c>
      <c r="EJ3" t="n">
        <v>335314</v>
      </c>
      <c r="EK3" t="n">
        <v>335911</v>
      </c>
      <c r="EL3" t="n">
        <v>335912</v>
      </c>
      <c r="EM3" t="n">
        <v>335920</v>
      </c>
      <c r="EN3" t="n">
        <v>335930</v>
      </c>
      <c r="EO3" t="n">
        <v>335991</v>
      </c>
      <c r="EP3" t="n">
        <v>335999</v>
      </c>
      <c r="EQ3" t="n">
        <v>336111</v>
      </c>
      <c r="ER3" t="n">
        <v>336112</v>
      </c>
      <c r="ES3" t="n">
        <v>336120</v>
      </c>
      <c r="ET3" t="n">
        <v>336211</v>
      </c>
      <c r="EU3" t="n">
        <v>336212</v>
      </c>
      <c r="EV3" t="n">
        <v>336213</v>
      </c>
      <c r="EW3" t="n">
        <v>336214</v>
      </c>
      <c r="EX3" t="n">
        <v>336310</v>
      </c>
      <c r="EY3" t="n">
        <v>336320</v>
      </c>
      <c r="EZ3" t="n">
        <v>336350</v>
      </c>
      <c r="FA3" t="n">
        <v>336360</v>
      </c>
      <c r="FB3" t="n">
        <v>336370</v>
      </c>
      <c r="FC3" t="n">
        <v>336390</v>
      </c>
      <c r="FD3" t="inlineStr">
        <is>
          <t>3363A0</t>
        </is>
      </c>
      <c r="FE3" t="n">
        <v>336411</v>
      </c>
      <c r="FF3" t="n">
        <v>336412</v>
      </c>
      <c r="FG3" t="n">
        <v>336413</v>
      </c>
      <c r="FH3" t="n">
        <v>336414</v>
      </c>
      <c r="FI3" t="inlineStr">
        <is>
          <t>33641A</t>
        </is>
      </c>
      <c r="FJ3" t="n">
        <v>336500</v>
      </c>
      <c r="FK3" t="n">
        <v>336611</v>
      </c>
      <c r="FL3" t="n">
        <v>336612</v>
      </c>
      <c r="FM3" t="n">
        <v>336991</v>
      </c>
      <c r="FN3" t="n">
        <v>336992</v>
      </c>
      <c r="FO3" t="n">
        <v>336999</v>
      </c>
      <c r="FP3" t="n">
        <v>337110</v>
      </c>
      <c r="FQ3" t="n">
        <v>337121</v>
      </c>
      <c r="FR3" t="n">
        <v>337122</v>
      </c>
      <c r="FS3" t="n">
        <v>337127</v>
      </c>
      <c r="FT3" t="inlineStr">
        <is>
          <t>33712N</t>
        </is>
      </c>
      <c r="FU3" t="n">
        <v>337215</v>
      </c>
      <c r="FV3" t="inlineStr">
        <is>
          <t>33721A</t>
        </is>
      </c>
      <c r="FW3" t="n">
        <v>337900</v>
      </c>
      <c r="FX3" t="n">
        <v>339112</v>
      </c>
      <c r="FY3" t="n">
        <v>339113</v>
      </c>
      <c r="FZ3" t="n">
        <v>339114</v>
      </c>
      <c r="GA3" t="n">
        <v>339115</v>
      </c>
      <c r="GB3" t="n">
        <v>339116</v>
      </c>
      <c r="GC3" t="n">
        <v>339910</v>
      </c>
      <c r="GD3" t="n">
        <v>339920</v>
      </c>
      <c r="GE3" t="n">
        <v>339930</v>
      </c>
      <c r="GF3" t="n">
        <v>339940</v>
      </c>
      <c r="GG3" t="n">
        <v>339950</v>
      </c>
      <c r="GH3" t="n">
        <v>339990</v>
      </c>
      <c r="GI3" t="n">
        <v>311111</v>
      </c>
      <c r="GJ3" t="n">
        <v>311119</v>
      </c>
      <c r="GK3" t="n">
        <v>311210</v>
      </c>
      <c r="GL3" t="n">
        <v>311221</v>
      </c>
      <c r="GM3" t="n">
        <v>311225</v>
      </c>
      <c r="GN3" t="n">
        <v>311224</v>
      </c>
      <c r="GO3" t="n">
        <v>311230</v>
      </c>
      <c r="GP3" t="n">
        <v>311300</v>
      </c>
      <c r="GQ3" t="n">
        <v>311410</v>
      </c>
      <c r="GR3" t="n">
        <v>311420</v>
      </c>
      <c r="GS3" t="n">
        <v>311513</v>
      </c>
      <c r="GT3" t="n">
        <v>311514</v>
      </c>
      <c r="GU3" t="inlineStr">
        <is>
          <t>31151A</t>
        </is>
      </c>
      <c r="GV3" t="n">
        <v>311520</v>
      </c>
      <c r="GW3" t="n">
        <v>311615</v>
      </c>
      <c r="GX3" t="inlineStr">
        <is>
          <t>31161A</t>
        </is>
      </c>
      <c r="GY3" t="n">
        <v>311700</v>
      </c>
      <c r="GZ3" t="n">
        <v>311810</v>
      </c>
      <c r="HA3" t="inlineStr">
        <is>
          <t>3118A0</t>
        </is>
      </c>
      <c r="HB3" t="n">
        <v>311910</v>
      </c>
      <c r="HC3" t="n">
        <v>311920</v>
      </c>
      <c r="HD3" t="n">
        <v>311930</v>
      </c>
      <c r="HE3" t="n">
        <v>311940</v>
      </c>
      <c r="HF3" t="n">
        <v>311990</v>
      </c>
      <c r="HG3" t="n">
        <v>312110</v>
      </c>
      <c r="HH3" t="n">
        <v>312120</v>
      </c>
      <c r="HI3" t="n">
        <v>312130</v>
      </c>
      <c r="HJ3" t="n">
        <v>312140</v>
      </c>
      <c r="HK3" t="n">
        <v>312200</v>
      </c>
      <c r="HL3" t="n">
        <v>313100</v>
      </c>
      <c r="HM3" t="n">
        <v>313200</v>
      </c>
      <c r="HN3" t="n">
        <v>313300</v>
      </c>
      <c r="HO3" t="n">
        <v>314110</v>
      </c>
      <c r="HP3" t="n">
        <v>314120</v>
      </c>
      <c r="HQ3" t="n">
        <v>314900</v>
      </c>
      <c r="HR3" t="n">
        <v>315000</v>
      </c>
      <c r="HS3" t="n">
        <v>316000</v>
      </c>
      <c r="HT3" t="n">
        <v>322110</v>
      </c>
      <c r="HU3" t="n">
        <v>322120</v>
      </c>
      <c r="HV3" t="n">
        <v>322130</v>
      </c>
      <c r="HW3" t="n">
        <v>322210</v>
      </c>
      <c r="HX3" t="n">
        <v>322220</v>
      </c>
      <c r="HY3" t="n">
        <v>322230</v>
      </c>
      <c r="HZ3" t="n">
        <v>322291</v>
      </c>
      <c r="IA3" t="n">
        <v>322299</v>
      </c>
      <c r="IB3" t="n">
        <v>323110</v>
      </c>
      <c r="IC3" t="n">
        <v>323120</v>
      </c>
      <c r="ID3" t="n">
        <v>324110</v>
      </c>
      <c r="IE3" t="n">
        <v>324121</v>
      </c>
      <c r="IF3" t="n">
        <v>324122</v>
      </c>
      <c r="IG3" t="n">
        <v>324190</v>
      </c>
      <c r="IH3" t="n">
        <v>325110</v>
      </c>
      <c r="II3" t="n">
        <v>325120</v>
      </c>
      <c r="IJ3" t="n">
        <v>325130</v>
      </c>
      <c r="IK3" t="n">
        <v>325180</v>
      </c>
      <c r="IL3" t="n">
        <v>325190</v>
      </c>
      <c r="IM3" t="n">
        <v>325211</v>
      </c>
      <c r="IN3" t="inlineStr">
        <is>
          <t>3252A0</t>
        </is>
      </c>
      <c r="IO3" t="n">
        <v>325411</v>
      </c>
      <c r="IP3" t="n">
        <v>325412</v>
      </c>
      <c r="IQ3" t="n">
        <v>325413</v>
      </c>
      <c r="IR3" t="n">
        <v>325414</v>
      </c>
      <c r="IS3" t="n">
        <v>325310</v>
      </c>
      <c r="IT3" t="n">
        <v>325320</v>
      </c>
      <c r="IU3" t="n">
        <v>325510</v>
      </c>
      <c r="IV3" t="n">
        <v>325520</v>
      </c>
      <c r="IW3" t="n">
        <v>325610</v>
      </c>
      <c r="IX3" t="n">
        <v>325620</v>
      </c>
      <c r="IY3" t="n">
        <v>325910</v>
      </c>
      <c r="IZ3" t="inlineStr">
        <is>
          <t>3259A0</t>
        </is>
      </c>
      <c r="JA3" t="n">
        <v>326110</v>
      </c>
      <c r="JB3" t="n">
        <v>326120</v>
      </c>
      <c r="JC3" t="n">
        <v>326130</v>
      </c>
      <c r="JD3" t="n">
        <v>326140</v>
      </c>
      <c r="JE3" t="n">
        <v>326150</v>
      </c>
      <c r="JF3" t="n">
        <v>326160</v>
      </c>
      <c r="JG3" t="n">
        <v>326190</v>
      </c>
      <c r="JH3" t="n">
        <v>326210</v>
      </c>
      <c r="JI3" t="n">
        <v>326220</v>
      </c>
      <c r="JJ3" t="n">
        <v>326290</v>
      </c>
      <c r="JK3" t="n">
        <v>423100</v>
      </c>
      <c r="JL3" t="n">
        <v>423400</v>
      </c>
      <c r="JM3" t="n">
        <v>423600</v>
      </c>
      <c r="JN3" t="n">
        <v>423800</v>
      </c>
      <c r="JO3" t="inlineStr">
        <is>
          <t>423A00</t>
        </is>
      </c>
      <c r="JP3" t="n">
        <v>424200</v>
      </c>
      <c r="JQ3" t="n">
        <v>424400</v>
      </c>
      <c r="JR3" t="n">
        <v>424700</v>
      </c>
      <c r="JS3" t="inlineStr">
        <is>
          <t>424A00</t>
        </is>
      </c>
      <c r="JT3" t="n">
        <v>425000</v>
      </c>
      <c r="JU3" t="inlineStr">
        <is>
          <t>4200ID</t>
        </is>
      </c>
      <c r="JV3" t="n">
        <v>441000</v>
      </c>
      <c r="JW3" t="n">
        <v>445000</v>
      </c>
      <c r="JX3" t="n">
        <v>452000</v>
      </c>
      <c r="JY3" t="n">
        <v>444000</v>
      </c>
      <c r="JZ3" t="n">
        <v>446000</v>
      </c>
      <c r="KA3" t="n">
        <v>447000</v>
      </c>
      <c r="KB3" t="n">
        <v>448000</v>
      </c>
      <c r="KC3" t="n">
        <v>454000</v>
      </c>
      <c r="KD3" t="inlineStr">
        <is>
          <t>4B0000</t>
        </is>
      </c>
      <c r="KE3" t="n">
        <v>481000</v>
      </c>
      <c r="KF3" t="n">
        <v>482000</v>
      </c>
      <c r="KG3" t="n">
        <v>483000</v>
      </c>
      <c r="KH3" t="n">
        <v>484000</v>
      </c>
      <c r="KI3" t="n">
        <v>485000</v>
      </c>
      <c r="KJ3" t="n">
        <v>486000</v>
      </c>
      <c r="KK3" t="inlineStr">
        <is>
          <t>48A000</t>
        </is>
      </c>
      <c r="KL3" t="n">
        <v>492000</v>
      </c>
      <c r="KM3" t="n">
        <v>493000</v>
      </c>
      <c r="KN3" t="n">
        <v>511110</v>
      </c>
      <c r="KO3" t="n">
        <v>511120</v>
      </c>
      <c r="KP3" t="n">
        <v>511130</v>
      </c>
      <c r="KQ3" t="inlineStr">
        <is>
          <t>5111A0</t>
        </is>
      </c>
      <c r="KR3" t="n">
        <v>511200</v>
      </c>
      <c r="KS3" t="n">
        <v>512100</v>
      </c>
      <c r="KT3" t="n">
        <v>512200</v>
      </c>
      <c r="KU3" t="n">
        <v>515100</v>
      </c>
      <c r="KV3" t="n">
        <v>515200</v>
      </c>
      <c r="KW3" t="n">
        <v>517110</v>
      </c>
      <c r="KX3" t="n">
        <v>517210</v>
      </c>
      <c r="KY3" t="inlineStr">
        <is>
          <t>517A00</t>
        </is>
      </c>
      <c r="KZ3" t="n">
        <v>518200</v>
      </c>
      <c r="LA3" t="n">
        <v>519130</v>
      </c>
      <c r="LB3" t="inlineStr">
        <is>
          <t>5191A0</t>
        </is>
      </c>
      <c r="LC3" t="inlineStr">
        <is>
          <t>522A00</t>
        </is>
      </c>
      <c r="LD3" t="inlineStr">
        <is>
          <t>52A000</t>
        </is>
      </c>
      <c r="LE3" t="n">
        <v>523900</v>
      </c>
      <c r="LF3" t="inlineStr">
        <is>
          <t>523A00</t>
        </is>
      </c>
      <c r="LG3" t="n">
        <v>524113</v>
      </c>
      <c r="LH3" t="inlineStr">
        <is>
          <t>5241XX</t>
        </is>
      </c>
      <c r="LI3" t="n">
        <v>524200</v>
      </c>
      <c r="LJ3" t="n">
        <v>525000</v>
      </c>
      <c r="LK3" t="inlineStr">
        <is>
          <t>531HSO</t>
        </is>
      </c>
      <c r="LL3" t="inlineStr">
        <is>
          <t>531HST</t>
        </is>
      </c>
      <c r="LM3" t="inlineStr">
        <is>
          <t>531ORE</t>
        </is>
      </c>
      <c r="LN3" t="n">
        <v>532100</v>
      </c>
      <c r="LO3" t="n">
        <v>532400</v>
      </c>
      <c r="LP3" t="inlineStr">
        <is>
          <t>532A00</t>
        </is>
      </c>
      <c r="LQ3" t="n">
        <v>533000</v>
      </c>
      <c r="LR3" t="n">
        <v>541100</v>
      </c>
      <c r="LS3" t="n">
        <v>541511</v>
      </c>
      <c r="LT3" t="n">
        <v>541512</v>
      </c>
      <c r="LU3" t="inlineStr">
        <is>
          <t>54151A</t>
        </is>
      </c>
      <c r="LV3" t="n">
        <v>541200</v>
      </c>
      <c r="LW3" t="n">
        <v>541300</v>
      </c>
      <c r="LX3" t="n">
        <v>541610</v>
      </c>
      <c r="LY3" t="inlineStr">
        <is>
          <t>5416A0</t>
        </is>
      </c>
      <c r="LZ3" t="n">
        <v>541700</v>
      </c>
      <c r="MA3" t="n">
        <v>541800</v>
      </c>
      <c r="MB3" t="n">
        <v>541400</v>
      </c>
      <c r="MC3" t="n">
        <v>541920</v>
      </c>
      <c r="MD3" t="n">
        <v>541940</v>
      </c>
      <c r="ME3" t="inlineStr">
        <is>
          <t>5419A0</t>
        </is>
      </c>
      <c r="MF3" t="n">
        <v>550000</v>
      </c>
      <c r="MG3" t="n">
        <v>561300</v>
      </c>
      <c r="MH3" t="n">
        <v>561700</v>
      </c>
      <c r="MI3" t="n">
        <v>561100</v>
      </c>
      <c r="MJ3" t="n">
        <v>561200</v>
      </c>
      <c r="MK3" t="n">
        <v>561400</v>
      </c>
      <c r="ML3" t="n">
        <v>561500</v>
      </c>
      <c r="MM3" t="n">
        <v>561600</v>
      </c>
      <c r="MN3" t="n">
        <v>561900</v>
      </c>
      <c r="MO3" t="n">
        <v>562000</v>
      </c>
      <c r="MP3" t="n">
        <v>611100</v>
      </c>
      <c r="MQ3" t="inlineStr">
        <is>
          <t>611A00</t>
        </is>
      </c>
      <c r="MR3" t="inlineStr">
        <is>
          <t>611B00</t>
        </is>
      </c>
      <c r="MS3" t="n">
        <v>621100</v>
      </c>
      <c r="MT3" t="n">
        <v>621200</v>
      </c>
      <c r="MU3" t="n">
        <v>621300</v>
      </c>
      <c r="MV3" t="n">
        <v>621400</v>
      </c>
      <c r="MW3" t="n">
        <v>621500</v>
      </c>
      <c r="MX3" t="n">
        <v>621600</v>
      </c>
      <c r="MY3" t="n">
        <v>621900</v>
      </c>
      <c r="MZ3" t="n">
        <v>622000</v>
      </c>
      <c r="NA3" t="inlineStr">
        <is>
          <t>623A00</t>
        </is>
      </c>
      <c r="NB3" t="inlineStr">
        <is>
          <t>623B00</t>
        </is>
      </c>
      <c r="NC3" t="n">
        <v>624100</v>
      </c>
      <c r="ND3" t="n">
        <v>624400</v>
      </c>
      <c r="NE3" t="inlineStr">
        <is>
          <t>624A00</t>
        </is>
      </c>
      <c r="NF3" t="n">
        <v>711100</v>
      </c>
      <c r="NG3" t="n">
        <v>711200</v>
      </c>
      <c r="NH3" t="n">
        <v>711500</v>
      </c>
      <c r="NI3" t="inlineStr">
        <is>
          <t>711A00</t>
        </is>
      </c>
      <c r="NJ3" t="n">
        <v>712000</v>
      </c>
      <c r="NK3" t="n">
        <v>713100</v>
      </c>
      <c r="NL3" t="n">
        <v>713200</v>
      </c>
      <c r="NM3" t="n">
        <v>713900</v>
      </c>
      <c r="NN3" t="n">
        <v>721000</v>
      </c>
      <c r="NO3" t="n">
        <v>722110</v>
      </c>
      <c r="NP3" t="n">
        <v>722211</v>
      </c>
      <c r="NQ3" t="inlineStr">
        <is>
          <t>722A00</t>
        </is>
      </c>
      <c r="NR3" t="n">
        <v>811100</v>
      </c>
      <c r="NS3" t="n">
        <v>811200</v>
      </c>
      <c r="NT3" t="n">
        <v>811300</v>
      </c>
      <c r="NU3" t="n">
        <v>811400</v>
      </c>
      <c r="NV3" t="n">
        <v>812100</v>
      </c>
      <c r="NW3" t="n">
        <v>812200</v>
      </c>
      <c r="NX3" t="n">
        <v>812300</v>
      </c>
      <c r="NY3" t="n">
        <v>812900</v>
      </c>
      <c r="NZ3" t="n">
        <v>813100</v>
      </c>
      <c r="OA3" t="inlineStr">
        <is>
          <t>813A00</t>
        </is>
      </c>
      <c r="OB3" t="inlineStr">
        <is>
          <t>813B00</t>
        </is>
      </c>
      <c r="OC3" t="n">
        <v>814000</v>
      </c>
      <c r="OD3" t="inlineStr">
        <is>
          <t>S00500</t>
        </is>
      </c>
      <c r="OE3" t="inlineStr">
        <is>
          <t>S00600</t>
        </is>
      </c>
      <c r="OF3" t="n">
        <v>491000</v>
      </c>
      <c r="OG3" t="inlineStr">
        <is>
          <t>S00101</t>
        </is>
      </c>
      <c r="OH3" t="inlineStr">
        <is>
          <t>S00102</t>
        </is>
      </c>
      <c r="OI3" t="inlineStr">
        <is>
          <t>GSLGE</t>
        </is>
      </c>
      <c r="OJ3" t="inlineStr">
        <is>
          <t>GSLGH</t>
        </is>
      </c>
      <c r="OK3" t="inlineStr">
        <is>
          <t>GSLGO</t>
        </is>
      </c>
      <c r="OL3" t="inlineStr">
        <is>
          <t>S00201</t>
        </is>
      </c>
      <c r="OM3" t="inlineStr">
        <is>
          <t>S00202</t>
        </is>
      </c>
      <c r="ON3" t="inlineStr">
        <is>
          <t>S00203</t>
        </is>
      </c>
      <c r="OO3" t="inlineStr">
        <is>
          <t>T001</t>
        </is>
      </c>
      <c r="OP3" t="inlineStr">
        <is>
          <t>F01000</t>
        </is>
      </c>
      <c r="OQ3" t="inlineStr">
        <is>
          <t>F02E00</t>
        </is>
      </c>
      <c r="OR3" t="inlineStr">
        <is>
          <t>F02N00</t>
        </is>
      </c>
      <c r="OS3" t="inlineStr">
        <is>
          <t>F02R00</t>
        </is>
      </c>
      <c r="OT3" t="inlineStr">
        <is>
          <t>F02S00</t>
        </is>
      </c>
      <c r="OU3" t="inlineStr">
        <is>
          <t>F03000</t>
        </is>
      </c>
      <c r="OV3" t="inlineStr">
        <is>
          <t>F04000</t>
        </is>
      </c>
      <c r="OW3" t="inlineStr">
        <is>
          <t>F06C00</t>
        </is>
      </c>
      <c r="OX3" t="inlineStr">
        <is>
          <t>F06E00</t>
        </is>
      </c>
      <c r="OY3" t="inlineStr">
        <is>
          <t>F06N00</t>
        </is>
      </c>
      <c r="OZ3" t="inlineStr">
        <is>
          <t>F06S00</t>
        </is>
      </c>
      <c r="PA3" t="inlineStr">
        <is>
          <t>F07C00</t>
        </is>
      </c>
      <c r="PB3" t="inlineStr">
        <is>
          <t>F07E00</t>
        </is>
      </c>
      <c r="PC3" t="inlineStr">
        <is>
          <t>F07N00</t>
        </is>
      </c>
      <c r="PD3" t="inlineStr">
        <is>
          <t>F07S00</t>
        </is>
      </c>
      <c r="PE3" t="inlineStr">
        <is>
          <t>F10C00</t>
        </is>
      </c>
      <c r="PF3" t="inlineStr">
        <is>
          <t>F10E00</t>
        </is>
      </c>
      <c r="PG3" t="inlineStr">
        <is>
          <t>F10N00</t>
        </is>
      </c>
      <c r="PH3" t="inlineStr">
        <is>
          <t>F10S00</t>
        </is>
      </c>
      <c r="PI3" t="inlineStr">
        <is>
          <t>T019</t>
        </is>
      </c>
    </row>
    <row r="4">
      <c r="A4" s="1" t="inlineStr">
        <is>
          <t>VABAS ($M)</t>
        </is>
      </c>
      <c r="C4" t="n">
        <v>17670</v>
      </c>
      <c r="D4" t="n">
        <v>19338</v>
      </c>
      <c r="E4" t="n">
        <v>8151</v>
      </c>
      <c r="F4" t="n">
        <v>18235</v>
      </c>
      <c r="G4" t="n">
        <v>10233</v>
      </c>
      <c r="H4" t="n">
        <v>9665</v>
      </c>
      <c r="I4" t="n">
        <v>9616</v>
      </c>
      <c r="J4" t="n">
        <v>27302</v>
      </c>
      <c r="K4" t="n">
        <v>5812</v>
      </c>
      <c r="L4" t="n">
        <v>22827</v>
      </c>
      <c r="M4" t="n">
        <v>10628</v>
      </c>
      <c r="N4" t="n">
        <v>6436</v>
      </c>
      <c r="O4" t="n">
        <v>20557</v>
      </c>
      <c r="P4" t="n">
        <v>152768</v>
      </c>
      <c r="Q4" t="n">
        <v>18123</v>
      </c>
      <c r="R4" t="n">
        <v>6815</v>
      </c>
      <c r="S4" t="n">
        <v>6489</v>
      </c>
      <c r="T4" t="n">
        <v>8971</v>
      </c>
      <c r="U4" t="n">
        <v>9488</v>
      </c>
      <c r="V4" t="n">
        <v>13085</v>
      </c>
      <c r="W4" t="n">
        <v>40626</v>
      </c>
      <c r="X4" t="n">
        <v>234877</v>
      </c>
      <c r="Y4" t="n">
        <v>40088</v>
      </c>
      <c r="Z4" t="n">
        <v>9414</v>
      </c>
      <c r="AA4" t="n">
        <v>29314</v>
      </c>
      <c r="AB4" t="n">
        <v>53551</v>
      </c>
      <c r="AC4" t="n">
        <v>101542</v>
      </c>
      <c r="AD4" t="n">
        <v>44155</v>
      </c>
      <c r="AE4" t="n">
        <v>81219</v>
      </c>
      <c r="AF4" t="n">
        <v>40970</v>
      </c>
      <c r="AG4" t="n">
        <v>108252</v>
      </c>
      <c r="AH4" t="n">
        <v>36302</v>
      </c>
      <c r="AI4" t="n">
        <v>65920</v>
      </c>
      <c r="AJ4" t="n">
        <v>69439</v>
      </c>
      <c r="AK4" t="n">
        <v>135891</v>
      </c>
      <c r="AL4" t="n">
        <v>71807</v>
      </c>
      <c r="AM4" t="n">
        <v>9256</v>
      </c>
      <c r="AN4" t="n">
        <v>8754</v>
      </c>
      <c r="AO4" t="n">
        <v>9235</v>
      </c>
      <c r="AP4" t="n">
        <v>8323</v>
      </c>
      <c r="AQ4" t="n">
        <v>4006</v>
      </c>
      <c r="AR4" t="n">
        <v>11964</v>
      </c>
      <c r="AS4" t="n">
        <v>4559</v>
      </c>
      <c r="AT4" t="n">
        <v>11451</v>
      </c>
      <c r="AU4" t="n">
        <v>3261</v>
      </c>
      <c r="AV4" t="n">
        <v>6097</v>
      </c>
      <c r="AW4" t="n">
        <v>4034</v>
      </c>
      <c r="AX4" t="n">
        <v>3157</v>
      </c>
      <c r="AY4" t="n">
        <v>2236</v>
      </c>
      <c r="AZ4" t="n">
        <v>2009</v>
      </c>
      <c r="BA4" t="n">
        <v>3202</v>
      </c>
      <c r="BB4" t="n">
        <v>2376</v>
      </c>
      <c r="BC4" t="n">
        <v>21164</v>
      </c>
      <c r="BD4" t="n">
        <v>6776</v>
      </c>
      <c r="BE4" t="n">
        <v>791</v>
      </c>
      <c r="BF4" t="n">
        <v>676</v>
      </c>
      <c r="BG4" t="n">
        <v>6513</v>
      </c>
      <c r="BH4" t="n">
        <v>3064</v>
      </c>
      <c r="BI4" t="n">
        <v>3923</v>
      </c>
      <c r="BJ4" t="n">
        <v>4516</v>
      </c>
      <c r="BK4" t="n">
        <v>7030</v>
      </c>
      <c r="BL4" t="n">
        <v>5186</v>
      </c>
      <c r="BM4" t="n">
        <v>1876</v>
      </c>
      <c r="BN4" t="n">
        <v>4526</v>
      </c>
      <c r="BO4" t="n">
        <v>4605</v>
      </c>
      <c r="BP4" t="n">
        <v>4398</v>
      </c>
      <c r="BQ4" t="n">
        <v>16007</v>
      </c>
      <c r="BR4" t="n">
        <v>17867</v>
      </c>
      <c r="BS4" t="n">
        <v>2960</v>
      </c>
      <c r="BT4" t="n">
        <v>3634</v>
      </c>
      <c r="BU4" t="n">
        <v>6167</v>
      </c>
      <c r="BV4" t="n">
        <v>2985</v>
      </c>
      <c r="BW4" t="n">
        <v>3800</v>
      </c>
      <c r="BX4" t="n">
        <v>19433</v>
      </c>
      <c r="BY4" t="n">
        <v>11942</v>
      </c>
      <c r="BZ4" t="n">
        <v>12471</v>
      </c>
      <c r="CA4" t="n">
        <v>1739</v>
      </c>
      <c r="CB4" t="n">
        <v>11751</v>
      </c>
      <c r="CC4" t="n">
        <v>3061</v>
      </c>
      <c r="CD4" t="n">
        <v>3036</v>
      </c>
      <c r="CE4" t="n">
        <v>6261</v>
      </c>
      <c r="CF4" t="n">
        <v>5621</v>
      </c>
      <c r="CG4" t="n">
        <v>9733</v>
      </c>
      <c r="CH4" t="n">
        <v>2768</v>
      </c>
      <c r="CI4" t="n">
        <v>12405</v>
      </c>
      <c r="CJ4" t="n">
        <v>6158</v>
      </c>
      <c r="CK4" t="n">
        <v>5213</v>
      </c>
      <c r="CL4" t="n">
        <v>11854</v>
      </c>
      <c r="CM4" t="n">
        <v>2220</v>
      </c>
      <c r="CN4" t="n">
        <v>773</v>
      </c>
      <c r="CO4" t="n">
        <v>7994</v>
      </c>
      <c r="CP4" t="n">
        <v>1878</v>
      </c>
      <c r="CQ4" t="n">
        <v>12968</v>
      </c>
      <c r="CR4" t="n">
        <v>2531</v>
      </c>
      <c r="CS4" t="n">
        <v>3021</v>
      </c>
      <c r="CT4" t="n">
        <v>4939</v>
      </c>
      <c r="CU4" t="n">
        <v>3407</v>
      </c>
      <c r="CV4" t="n">
        <v>3619</v>
      </c>
      <c r="CW4" t="n">
        <v>5513</v>
      </c>
      <c r="CX4" t="n">
        <v>1311</v>
      </c>
      <c r="CY4" t="n">
        <v>2208</v>
      </c>
      <c r="CZ4" t="n">
        <v>6098</v>
      </c>
      <c r="DA4" t="n">
        <v>3167</v>
      </c>
      <c r="DB4" t="n">
        <v>7082</v>
      </c>
      <c r="DC4" t="n">
        <v>11499</v>
      </c>
      <c r="DD4" t="n">
        <v>1450</v>
      </c>
      <c r="DE4" t="n">
        <v>2813</v>
      </c>
      <c r="DF4" t="n">
        <v>1053</v>
      </c>
      <c r="DG4" t="n">
        <v>9436</v>
      </c>
      <c r="DH4" t="n">
        <v>4301</v>
      </c>
      <c r="DI4" t="n">
        <v>12892</v>
      </c>
      <c r="DJ4" t="n">
        <v>3722</v>
      </c>
      <c r="DK4" t="n">
        <v>5706</v>
      </c>
      <c r="DL4" t="n">
        <v>5137</v>
      </c>
      <c r="DM4" t="n">
        <v>20825</v>
      </c>
      <c r="DN4" t="n">
        <v>3749</v>
      </c>
      <c r="DO4" t="n">
        <v>48484</v>
      </c>
      <c r="DP4" t="n">
        <v>13876</v>
      </c>
      <c r="DQ4" t="n">
        <v>21051</v>
      </c>
      <c r="DR4" t="n">
        <v>21391</v>
      </c>
      <c r="DS4" t="n">
        <v>39415</v>
      </c>
      <c r="DT4" t="n">
        <v>2371</v>
      </c>
      <c r="DU4" t="n">
        <v>8675</v>
      </c>
      <c r="DV4" t="n">
        <v>3196</v>
      </c>
      <c r="DW4" t="n">
        <v>8139</v>
      </c>
      <c r="DX4" t="n">
        <v>11160</v>
      </c>
      <c r="DY4" t="n">
        <v>6362</v>
      </c>
      <c r="DZ4" t="n">
        <v>8807</v>
      </c>
      <c r="EA4" t="n">
        <v>2021</v>
      </c>
      <c r="EB4" t="n">
        <v>1386</v>
      </c>
      <c r="EC4" t="n">
        <v>864</v>
      </c>
      <c r="ED4" t="n">
        <v>5634</v>
      </c>
      <c r="EE4" t="n">
        <v>1923</v>
      </c>
      <c r="EF4" t="n">
        <v>9217</v>
      </c>
      <c r="EG4" t="n">
        <v>2937</v>
      </c>
      <c r="EH4" t="n">
        <v>3947</v>
      </c>
      <c r="EI4" t="n">
        <v>5449</v>
      </c>
      <c r="EJ4" t="n">
        <v>5146</v>
      </c>
      <c r="EK4" t="n">
        <v>2649</v>
      </c>
      <c r="EL4" t="n">
        <v>1789</v>
      </c>
      <c r="EM4" t="n">
        <v>3908</v>
      </c>
      <c r="EN4" t="n">
        <v>7844</v>
      </c>
      <c r="EO4" t="n">
        <v>1876</v>
      </c>
      <c r="EP4" t="n">
        <v>4598</v>
      </c>
      <c r="EQ4" t="n">
        <v>11949</v>
      </c>
      <c r="ER4" t="n">
        <v>55732</v>
      </c>
      <c r="ES4" t="n">
        <v>5592</v>
      </c>
      <c r="ET4" t="n">
        <v>4119</v>
      </c>
      <c r="EU4" t="n">
        <v>2878</v>
      </c>
      <c r="EV4" t="n">
        <v>1368</v>
      </c>
      <c r="EW4" t="n">
        <v>6064</v>
      </c>
      <c r="EX4" t="n">
        <v>8805</v>
      </c>
      <c r="EY4" t="n">
        <v>6344</v>
      </c>
      <c r="EZ4" t="n">
        <v>12493</v>
      </c>
      <c r="FA4" t="n">
        <v>8104</v>
      </c>
      <c r="FB4" t="n">
        <v>11179</v>
      </c>
      <c r="FC4" t="n">
        <v>17918</v>
      </c>
      <c r="FD4" t="n">
        <v>6366</v>
      </c>
      <c r="FE4" t="n">
        <v>74423</v>
      </c>
      <c r="FF4" t="n">
        <v>18364</v>
      </c>
      <c r="FG4" t="n">
        <v>17515</v>
      </c>
      <c r="FH4" t="n">
        <v>10078</v>
      </c>
      <c r="FI4" t="n">
        <v>2481</v>
      </c>
      <c r="FJ4" t="n">
        <v>3135</v>
      </c>
      <c r="FK4" t="n">
        <v>12224</v>
      </c>
      <c r="FL4" t="n">
        <v>2732</v>
      </c>
      <c r="FM4" t="n">
        <v>3710</v>
      </c>
      <c r="FN4" t="n">
        <v>3391</v>
      </c>
      <c r="FO4" t="n">
        <v>2758</v>
      </c>
      <c r="FP4" t="n">
        <v>6730</v>
      </c>
      <c r="FQ4" t="n">
        <v>4206</v>
      </c>
      <c r="FR4" t="n">
        <v>1610</v>
      </c>
      <c r="FS4" t="n">
        <v>1919</v>
      </c>
      <c r="FT4" t="n">
        <v>975</v>
      </c>
      <c r="FU4" t="n">
        <v>3021</v>
      </c>
      <c r="FV4" t="n">
        <v>7109</v>
      </c>
      <c r="FW4" t="n">
        <v>3285</v>
      </c>
      <c r="FX4" t="n">
        <v>27463</v>
      </c>
      <c r="FY4" t="n">
        <v>20542</v>
      </c>
      <c r="FZ4" t="n">
        <v>2493</v>
      </c>
      <c r="GA4" t="n">
        <v>4002</v>
      </c>
      <c r="GB4" t="n">
        <v>3119</v>
      </c>
      <c r="GC4" t="n">
        <v>2918</v>
      </c>
      <c r="GD4" t="n">
        <v>4783</v>
      </c>
      <c r="GE4" t="n">
        <v>1303</v>
      </c>
      <c r="GF4" t="n">
        <v>958</v>
      </c>
      <c r="GG4" t="n">
        <v>5937</v>
      </c>
      <c r="GH4" t="n">
        <v>12862</v>
      </c>
      <c r="GI4" t="n">
        <v>6290</v>
      </c>
      <c r="GJ4" t="n">
        <v>4602</v>
      </c>
      <c r="GK4" t="n">
        <v>3468</v>
      </c>
      <c r="GL4" t="n">
        <v>2234</v>
      </c>
      <c r="GM4" t="n">
        <v>1407</v>
      </c>
      <c r="GN4" t="n">
        <v>3357</v>
      </c>
      <c r="GO4" t="n">
        <v>2992</v>
      </c>
      <c r="GP4" t="n">
        <v>9781</v>
      </c>
      <c r="GQ4" t="n">
        <v>9284</v>
      </c>
      <c r="GR4" t="n">
        <v>8003</v>
      </c>
      <c r="GS4" t="n">
        <v>8001</v>
      </c>
      <c r="GT4" t="n">
        <v>7247</v>
      </c>
      <c r="GU4" t="n">
        <v>8474</v>
      </c>
      <c r="GV4" t="n">
        <v>1975</v>
      </c>
      <c r="GW4" t="n">
        <v>17776</v>
      </c>
      <c r="GX4" t="n">
        <v>24729</v>
      </c>
      <c r="GY4" t="n">
        <v>3052</v>
      </c>
      <c r="GZ4" t="n">
        <v>14935</v>
      </c>
      <c r="HA4" t="n">
        <v>8414</v>
      </c>
      <c r="HB4" t="n">
        <v>12871</v>
      </c>
      <c r="HC4" t="n">
        <v>3345</v>
      </c>
      <c r="HD4" t="n">
        <v>5883</v>
      </c>
      <c r="HE4" t="n">
        <v>6753</v>
      </c>
      <c r="HF4" t="n">
        <v>7026</v>
      </c>
      <c r="HG4" t="n">
        <v>13294</v>
      </c>
      <c r="HH4" t="n">
        <v>12032</v>
      </c>
      <c r="HI4" t="n">
        <v>8392</v>
      </c>
      <c r="HJ4" t="n">
        <v>4751</v>
      </c>
      <c r="HK4" t="n">
        <v>31636</v>
      </c>
      <c r="HL4" t="n">
        <v>1631</v>
      </c>
      <c r="HM4" t="n">
        <v>4391</v>
      </c>
      <c r="HN4" t="n">
        <v>2211</v>
      </c>
      <c r="HO4" t="n">
        <v>3566</v>
      </c>
      <c r="HP4" t="n">
        <v>1281</v>
      </c>
      <c r="HQ4" t="n">
        <v>4216</v>
      </c>
      <c r="HR4" t="n">
        <v>7199</v>
      </c>
      <c r="HS4" t="n">
        <v>2235</v>
      </c>
      <c r="HT4" t="n">
        <v>1996</v>
      </c>
      <c r="HU4" t="n">
        <v>12703</v>
      </c>
      <c r="HV4" t="n">
        <v>10812</v>
      </c>
      <c r="HW4" t="n">
        <v>16577</v>
      </c>
      <c r="HX4" t="n">
        <v>6859</v>
      </c>
      <c r="HY4" t="n">
        <v>1340</v>
      </c>
      <c r="HZ4" t="n">
        <v>3798</v>
      </c>
      <c r="IA4" t="n">
        <v>1692</v>
      </c>
      <c r="IB4" t="n">
        <v>38696</v>
      </c>
      <c r="IC4" t="n">
        <v>1856</v>
      </c>
      <c r="ID4" t="n">
        <v>96823</v>
      </c>
      <c r="IE4" t="n">
        <v>2898</v>
      </c>
      <c r="IF4" t="n">
        <v>3940</v>
      </c>
      <c r="IG4" t="n">
        <v>6517</v>
      </c>
      <c r="IH4" t="n">
        <v>22717</v>
      </c>
      <c r="II4" t="n">
        <v>3518</v>
      </c>
      <c r="IJ4" t="n">
        <v>2539</v>
      </c>
      <c r="IK4" t="n">
        <v>14372</v>
      </c>
      <c r="IL4" t="n">
        <v>30849</v>
      </c>
      <c r="IM4" t="n">
        <v>22522</v>
      </c>
      <c r="IN4" t="n">
        <v>5130</v>
      </c>
      <c r="IO4" t="n">
        <v>7423</v>
      </c>
      <c r="IP4" t="n">
        <v>110326</v>
      </c>
      <c r="IQ4" t="n">
        <v>9439</v>
      </c>
      <c r="IR4" t="n">
        <v>21821</v>
      </c>
      <c r="IS4" t="n">
        <v>7455</v>
      </c>
      <c r="IT4" t="n">
        <v>5853</v>
      </c>
      <c r="IU4" t="n">
        <v>10540</v>
      </c>
      <c r="IV4" t="n">
        <v>6104</v>
      </c>
      <c r="IW4" t="n">
        <v>19987</v>
      </c>
      <c r="IX4" t="n">
        <v>22858</v>
      </c>
      <c r="IY4" t="n">
        <v>1337</v>
      </c>
      <c r="IZ4" t="n">
        <v>15190</v>
      </c>
      <c r="JA4" t="n">
        <v>11476</v>
      </c>
      <c r="JB4" t="n">
        <v>6599</v>
      </c>
      <c r="JC4" t="n">
        <v>1853</v>
      </c>
      <c r="JD4" t="n">
        <v>2713</v>
      </c>
      <c r="JE4" t="n">
        <v>3300</v>
      </c>
      <c r="JF4" t="n">
        <v>3329</v>
      </c>
      <c r="JG4" t="n">
        <v>32539</v>
      </c>
      <c r="JH4" t="n">
        <v>6716</v>
      </c>
      <c r="JI4" t="n">
        <v>2105</v>
      </c>
      <c r="JJ4" t="n">
        <v>6157</v>
      </c>
      <c r="JK4" t="n">
        <v>62796</v>
      </c>
      <c r="JL4" t="n">
        <v>116492</v>
      </c>
      <c r="JM4" t="n">
        <v>110034</v>
      </c>
      <c r="JN4" t="n">
        <v>97618</v>
      </c>
      <c r="JO4" t="n">
        <v>137022</v>
      </c>
      <c r="JP4" t="n">
        <v>104428</v>
      </c>
      <c r="JQ4" t="n">
        <v>93160</v>
      </c>
      <c r="JR4" t="n">
        <v>35411</v>
      </c>
      <c r="JS4" t="n">
        <v>177109</v>
      </c>
      <c r="JT4" t="n">
        <v>31367</v>
      </c>
      <c r="JU4" t="n">
        <v>0</v>
      </c>
      <c r="JV4" t="n">
        <v>189835</v>
      </c>
      <c r="JW4" t="n">
        <v>139814</v>
      </c>
      <c r="JX4" t="n">
        <v>114125</v>
      </c>
      <c r="JY4" t="n">
        <v>82604</v>
      </c>
      <c r="JZ4" t="n">
        <v>65272</v>
      </c>
      <c r="KA4" t="n">
        <v>47988</v>
      </c>
      <c r="KB4" t="n">
        <v>53047</v>
      </c>
      <c r="KC4" t="n">
        <v>162877</v>
      </c>
      <c r="KD4" t="n">
        <v>113065</v>
      </c>
      <c r="KE4" t="n">
        <v>106983</v>
      </c>
      <c r="KF4" t="n">
        <v>45810</v>
      </c>
      <c r="KG4" t="n">
        <v>13780</v>
      </c>
      <c r="KH4" t="n">
        <v>177432</v>
      </c>
      <c r="KI4" t="n">
        <v>42391</v>
      </c>
      <c r="KJ4" t="n">
        <v>40928</v>
      </c>
      <c r="KK4" t="n">
        <v>68311</v>
      </c>
      <c r="KL4" t="n">
        <v>56400</v>
      </c>
      <c r="KM4" t="n">
        <v>60983</v>
      </c>
      <c r="KN4" t="n">
        <v>17862</v>
      </c>
      <c r="KO4" t="n">
        <v>17029</v>
      </c>
      <c r="KP4" t="n">
        <v>18067</v>
      </c>
      <c r="KQ4" t="n">
        <v>6373</v>
      </c>
      <c r="KR4" t="n">
        <v>175519</v>
      </c>
      <c r="KS4" t="n">
        <v>81328</v>
      </c>
      <c r="KT4" t="n">
        <v>13639</v>
      </c>
      <c r="KU4" t="n">
        <v>40796</v>
      </c>
      <c r="KV4" t="n">
        <v>60835</v>
      </c>
      <c r="KW4" t="n">
        <v>172534</v>
      </c>
      <c r="KX4" t="n">
        <v>129917</v>
      </c>
      <c r="KY4" t="n">
        <v>20703</v>
      </c>
      <c r="KZ4" t="n">
        <v>95395</v>
      </c>
      <c r="LA4" t="n">
        <v>109329</v>
      </c>
      <c r="LB4" t="n">
        <v>7910</v>
      </c>
      <c r="LC4" t="n">
        <v>208650</v>
      </c>
      <c r="LD4" t="n">
        <v>438187</v>
      </c>
      <c r="LE4" t="n">
        <v>176955</v>
      </c>
      <c r="LF4" t="n">
        <v>105192</v>
      </c>
      <c r="LG4" t="n">
        <v>51392</v>
      </c>
      <c r="LH4" t="n">
        <v>294069</v>
      </c>
      <c r="LI4" t="n">
        <v>199554</v>
      </c>
      <c r="LJ4" t="n">
        <v>6796</v>
      </c>
      <c r="LK4" t="n">
        <v>1343122</v>
      </c>
      <c r="LL4" t="n">
        <v>470939</v>
      </c>
      <c r="LM4" t="n">
        <v>517552</v>
      </c>
      <c r="LN4" t="n">
        <v>33503</v>
      </c>
      <c r="LO4" t="n">
        <v>48538</v>
      </c>
      <c r="LP4" t="n">
        <v>15647</v>
      </c>
      <c r="LQ4" t="n">
        <v>102319</v>
      </c>
      <c r="LR4" t="n">
        <v>251036</v>
      </c>
      <c r="LS4" t="n">
        <v>114436</v>
      </c>
      <c r="LT4" t="n">
        <v>175730</v>
      </c>
      <c r="LU4" t="n">
        <v>31495</v>
      </c>
      <c r="LV4" t="n">
        <v>124732</v>
      </c>
      <c r="LW4" t="n">
        <v>208525</v>
      </c>
      <c r="LX4" t="n">
        <v>171994</v>
      </c>
      <c r="LY4" t="n">
        <v>31312</v>
      </c>
      <c r="LZ4" t="n">
        <v>120857</v>
      </c>
      <c r="MA4" t="n">
        <v>88436</v>
      </c>
      <c r="MB4" t="n">
        <v>24087</v>
      </c>
      <c r="MC4" t="n">
        <v>7301</v>
      </c>
      <c r="MD4" t="n">
        <v>29581</v>
      </c>
      <c r="ME4" t="n">
        <v>55620</v>
      </c>
      <c r="MF4" t="n">
        <v>368625</v>
      </c>
      <c r="MG4" t="n">
        <v>248410</v>
      </c>
      <c r="MH4" t="n">
        <v>99841</v>
      </c>
      <c r="MI4" t="n">
        <v>41275</v>
      </c>
      <c r="MJ4" t="n">
        <v>13244</v>
      </c>
      <c r="MK4" t="n">
        <v>42138</v>
      </c>
      <c r="ML4" t="n">
        <v>25800</v>
      </c>
      <c r="MM4" t="n">
        <v>42882</v>
      </c>
      <c r="MN4" t="n">
        <v>29818</v>
      </c>
      <c r="MO4" t="n">
        <v>51408</v>
      </c>
      <c r="MP4" t="n">
        <v>37035</v>
      </c>
      <c r="MQ4" t="n">
        <v>168584</v>
      </c>
      <c r="MR4" t="n">
        <v>39092</v>
      </c>
      <c r="MS4" t="n">
        <v>307608</v>
      </c>
      <c r="MT4" t="n">
        <v>99222</v>
      </c>
      <c r="MU4" t="n">
        <v>77662</v>
      </c>
      <c r="MV4" t="n">
        <v>100737</v>
      </c>
      <c r="MW4" t="n">
        <v>39559</v>
      </c>
      <c r="MX4" t="n">
        <v>65163</v>
      </c>
      <c r="MY4" t="n">
        <v>18234</v>
      </c>
      <c r="MZ4" t="n">
        <v>483915</v>
      </c>
      <c r="NA4" t="n">
        <v>108223</v>
      </c>
      <c r="NB4" t="n">
        <v>36181</v>
      </c>
      <c r="NC4" t="n">
        <v>75706</v>
      </c>
      <c r="ND4" t="n">
        <v>28514</v>
      </c>
      <c r="NE4" t="n">
        <v>22982</v>
      </c>
      <c r="NF4" t="n">
        <v>15631</v>
      </c>
      <c r="NG4" t="n">
        <v>35737</v>
      </c>
      <c r="NH4" t="n">
        <v>31515</v>
      </c>
      <c r="NI4" t="n">
        <v>26049</v>
      </c>
      <c r="NJ4" t="n">
        <v>11820</v>
      </c>
      <c r="NK4" t="n">
        <v>13209</v>
      </c>
      <c r="NL4" t="n">
        <v>19253</v>
      </c>
      <c r="NM4" t="n">
        <v>44608</v>
      </c>
      <c r="NN4" t="n">
        <v>151590</v>
      </c>
      <c r="NO4" t="n">
        <v>194591</v>
      </c>
      <c r="NP4" t="n">
        <v>132474</v>
      </c>
      <c r="NQ4" t="n">
        <v>61643</v>
      </c>
      <c r="NR4" t="n">
        <v>70849</v>
      </c>
      <c r="NS4" t="n">
        <v>13179</v>
      </c>
      <c r="NT4" t="n">
        <v>24267</v>
      </c>
      <c r="NU4" t="n">
        <v>12407</v>
      </c>
      <c r="NV4" t="n">
        <v>43418</v>
      </c>
      <c r="NW4" t="n">
        <v>13652</v>
      </c>
      <c r="NX4" t="n">
        <v>18288</v>
      </c>
      <c r="NY4" t="n">
        <v>34869</v>
      </c>
      <c r="NZ4" t="n">
        <v>69252</v>
      </c>
      <c r="OA4" t="n">
        <v>39204</v>
      </c>
      <c r="OB4" t="n">
        <v>61699</v>
      </c>
      <c r="OC4" t="n">
        <v>18684</v>
      </c>
      <c r="OD4" t="n">
        <v>405619</v>
      </c>
      <c r="OE4" t="n">
        <v>296526</v>
      </c>
      <c r="OF4" t="n">
        <v>57030</v>
      </c>
      <c r="OG4" t="n">
        <v>6563</v>
      </c>
      <c r="OH4" t="n">
        <v>7053</v>
      </c>
      <c r="OI4" t="n">
        <v>808185</v>
      </c>
      <c r="OJ4" t="n">
        <v>157195</v>
      </c>
      <c r="OK4" t="n">
        <v>579493</v>
      </c>
      <c r="OL4" t="n">
        <v>-10069</v>
      </c>
      <c r="OM4" t="n">
        <v>29491</v>
      </c>
      <c r="ON4" t="n">
        <v>144037</v>
      </c>
      <c r="OO4" t="n">
        <v>18916538</v>
      </c>
    </row>
    <row r="5">
      <c r="A5" s="1" t="inlineStr">
        <is>
          <t>EPS ISIC</t>
        </is>
      </c>
      <c r="C5">
        <f>IFERROR(VLOOKUP(C$3&amp;"",Key!$A:$C,3,FALSE),"")</f>
        <v/>
      </c>
      <c r="D5">
        <f>IFERROR(VLOOKUP(D$3&amp;"",Key!$A:$C,3,FALSE),"")</f>
        <v/>
      </c>
      <c r="E5">
        <f>IFERROR(VLOOKUP(E$3&amp;"",Key!$A:$C,3,FALSE),"")</f>
        <v/>
      </c>
      <c r="F5">
        <f>IFERROR(VLOOKUP(F$3&amp;"",Key!$A:$C,3,FALSE),"")</f>
        <v/>
      </c>
      <c r="G5">
        <f>IFERROR(VLOOKUP(G$3&amp;"",Key!$A:$C,3,FALSE),"")</f>
        <v/>
      </c>
      <c r="H5">
        <f>IFERROR(VLOOKUP(H$3&amp;"",Key!$A:$C,3,FALSE),"")</f>
        <v/>
      </c>
      <c r="I5">
        <f>IFERROR(VLOOKUP(I$3&amp;"",Key!$A:$C,3,FALSE),"")</f>
        <v/>
      </c>
      <c r="J5">
        <f>IFERROR(VLOOKUP(J$3&amp;"",Key!$A:$C,3,FALSE),"")</f>
        <v/>
      </c>
      <c r="K5">
        <f>IFERROR(VLOOKUP(K$3&amp;"",Key!$A:$C,3,FALSE),"")</f>
        <v/>
      </c>
      <c r="L5">
        <f>IFERROR(VLOOKUP(L$3&amp;"",Key!$A:$C,3,FALSE),"")</f>
        <v/>
      </c>
      <c r="M5">
        <f>IFERROR(VLOOKUP(M$3&amp;"",Key!$A:$C,3,FALSE),"")</f>
        <v/>
      </c>
      <c r="N5">
        <f>IFERROR(VLOOKUP(N$3&amp;"",Key!$A:$C,3,FALSE),"")</f>
        <v/>
      </c>
      <c r="O5">
        <f>IFERROR(VLOOKUP(O$3&amp;"",Key!$A:$C,3,FALSE),"")</f>
        <v/>
      </c>
      <c r="P5">
        <f>IFERROR(VLOOKUP(P$3&amp;"",Key!$A:$C,3,FALSE),"")</f>
        <v/>
      </c>
      <c r="Q5">
        <f>IFERROR(VLOOKUP(Q$3&amp;"",Key!$A:$C,3,FALSE),"")</f>
        <v/>
      </c>
      <c r="R5">
        <f>IFERROR(VLOOKUP(R$3&amp;"",Key!$A:$C,3,FALSE),"")</f>
        <v/>
      </c>
      <c r="S5">
        <f>IFERROR(VLOOKUP(S$3&amp;"",Key!$A:$C,3,FALSE),"")</f>
        <v/>
      </c>
      <c r="T5">
        <f>IFERROR(VLOOKUP(T$3&amp;"",Key!$A:$C,3,FALSE),"")</f>
        <v/>
      </c>
      <c r="U5">
        <f>IFERROR(VLOOKUP(U$3&amp;"",Key!$A:$C,3,FALSE),"")</f>
        <v/>
      </c>
      <c r="V5">
        <f>IFERROR(VLOOKUP(V$3&amp;"",Key!$A:$C,3,FALSE),"")</f>
        <v/>
      </c>
      <c r="W5">
        <f>IFERROR(VLOOKUP(W$3&amp;"",Key!$A:$C,3,FALSE),"")</f>
        <v/>
      </c>
      <c r="X5">
        <f>IFERROR(VLOOKUP(X$3&amp;"",Key!$A:$C,3,FALSE),"")</f>
        <v/>
      </c>
      <c r="Y5">
        <f>IFERROR(VLOOKUP(Y$3&amp;"",Key!$A:$C,3,FALSE),"")</f>
        <v/>
      </c>
      <c r="Z5">
        <f>IFERROR(VLOOKUP(Z$3&amp;"",Key!$A:$C,3,FALSE),"")</f>
        <v/>
      </c>
      <c r="AA5">
        <f>IFERROR(VLOOKUP(AA$3&amp;"",Key!$A:$C,3,FALSE),"")</f>
        <v/>
      </c>
      <c r="AB5">
        <f>IFERROR(VLOOKUP(AB$3&amp;"",Key!$A:$C,3,FALSE),"")</f>
        <v/>
      </c>
      <c r="AC5">
        <f>IFERROR(VLOOKUP(AC$3&amp;"",Key!$A:$C,3,FALSE),"")</f>
        <v/>
      </c>
      <c r="AD5">
        <f>IFERROR(VLOOKUP(AD$3&amp;"",Key!$A:$C,3,FALSE),"")</f>
        <v/>
      </c>
      <c r="AE5">
        <f>IFERROR(VLOOKUP(AE$3&amp;"",Key!$A:$C,3,FALSE),"")</f>
        <v/>
      </c>
      <c r="AF5">
        <f>IFERROR(VLOOKUP(AF$3&amp;"",Key!$A:$C,3,FALSE),"")</f>
        <v/>
      </c>
      <c r="AG5">
        <f>IFERROR(VLOOKUP(AG$3&amp;"",Key!$A:$C,3,FALSE),"")</f>
        <v/>
      </c>
      <c r="AH5">
        <f>IFERROR(VLOOKUP(AH$3&amp;"",Key!$A:$C,3,FALSE),"")</f>
        <v/>
      </c>
      <c r="AI5">
        <f>IFERROR(VLOOKUP(AI$3&amp;"",Key!$A:$C,3,FALSE),"")</f>
        <v/>
      </c>
      <c r="AJ5">
        <f>IFERROR(VLOOKUP(AJ$3&amp;"",Key!$A:$C,3,FALSE),"")</f>
        <v/>
      </c>
      <c r="AK5">
        <f>IFERROR(VLOOKUP(AK$3&amp;"",Key!$A:$C,3,FALSE),"")</f>
        <v/>
      </c>
      <c r="AL5">
        <f>IFERROR(VLOOKUP(AL$3&amp;"",Key!$A:$C,3,FALSE),"")</f>
        <v/>
      </c>
      <c r="AM5">
        <f>IFERROR(VLOOKUP(AM$3&amp;"",Key!$A:$C,3,FALSE),"")</f>
        <v/>
      </c>
      <c r="AN5">
        <f>IFERROR(VLOOKUP(AN$3&amp;"",Key!$A:$C,3,FALSE),"")</f>
        <v/>
      </c>
      <c r="AO5">
        <f>IFERROR(VLOOKUP(AO$3&amp;"",Key!$A:$C,3,FALSE),"")</f>
        <v/>
      </c>
      <c r="AP5">
        <f>IFERROR(VLOOKUP(AP$3&amp;"",Key!$A:$C,3,FALSE),"")</f>
        <v/>
      </c>
      <c r="AQ5">
        <f>IFERROR(VLOOKUP(AQ$3&amp;"",Key!$A:$C,3,FALSE),"")</f>
        <v/>
      </c>
      <c r="AR5">
        <f>IFERROR(VLOOKUP(AR$3&amp;"",Key!$A:$C,3,FALSE),"")</f>
        <v/>
      </c>
      <c r="AS5">
        <f>IFERROR(VLOOKUP(AS$3&amp;"",Key!$A:$C,3,FALSE),"")</f>
        <v/>
      </c>
      <c r="AT5">
        <f>IFERROR(VLOOKUP(AT$3&amp;"",Key!$A:$C,3,FALSE),"")</f>
        <v/>
      </c>
      <c r="AU5">
        <f>IFERROR(VLOOKUP(AU$3&amp;"",Key!$A:$C,3,FALSE),"")</f>
        <v/>
      </c>
      <c r="AV5">
        <f>IFERROR(VLOOKUP(AV$3&amp;"",Key!$A:$C,3,FALSE),"")</f>
        <v/>
      </c>
      <c r="AW5">
        <f>IFERROR(VLOOKUP(AW$3&amp;"",Key!$A:$C,3,FALSE),"")</f>
        <v/>
      </c>
      <c r="AX5">
        <f>IFERROR(VLOOKUP(AX$3&amp;"",Key!$A:$C,3,FALSE),"")</f>
        <v/>
      </c>
      <c r="AY5">
        <f>IFERROR(VLOOKUP(AY$3&amp;"",Key!$A:$C,3,FALSE),"")</f>
        <v/>
      </c>
      <c r="AZ5">
        <f>IFERROR(VLOOKUP(AZ$3&amp;"",Key!$A:$C,3,FALSE),"")</f>
        <v/>
      </c>
      <c r="BA5">
        <f>IFERROR(VLOOKUP(BA$3&amp;"",Key!$A:$C,3,FALSE),"")</f>
        <v/>
      </c>
      <c r="BB5">
        <f>IFERROR(VLOOKUP(BB$3&amp;"",Key!$A:$C,3,FALSE),"")</f>
        <v/>
      </c>
      <c r="BC5">
        <f>IFERROR(VLOOKUP(BC$3&amp;"",Key!$A:$C,3,FALSE),"")</f>
        <v/>
      </c>
      <c r="BD5">
        <f>IFERROR(VLOOKUP(BD$3&amp;"",Key!$A:$C,3,FALSE),"")</f>
        <v/>
      </c>
      <c r="BE5">
        <f>IFERROR(VLOOKUP(BE$3&amp;"",Key!$A:$C,3,FALSE),"")</f>
        <v/>
      </c>
      <c r="BF5">
        <f>IFERROR(VLOOKUP(BF$3&amp;"",Key!$A:$C,3,FALSE),"")</f>
        <v/>
      </c>
      <c r="BG5">
        <f>IFERROR(VLOOKUP(BG$3&amp;"",Key!$A:$C,3,FALSE),"")</f>
        <v/>
      </c>
      <c r="BH5">
        <f>IFERROR(VLOOKUP(BH$3&amp;"",Key!$A:$C,3,FALSE),"")</f>
        <v/>
      </c>
      <c r="BI5">
        <f>IFERROR(VLOOKUP(BI$3&amp;"",Key!$A:$C,3,FALSE),"")</f>
        <v/>
      </c>
      <c r="BJ5">
        <f>IFERROR(VLOOKUP(BJ$3&amp;"",Key!$A:$C,3,FALSE),"")</f>
        <v/>
      </c>
      <c r="BK5">
        <f>IFERROR(VLOOKUP(BK$3&amp;"",Key!$A:$C,3,FALSE),"")</f>
        <v/>
      </c>
      <c r="BL5">
        <f>IFERROR(VLOOKUP(BL$3&amp;"",Key!$A:$C,3,FALSE),"")</f>
        <v/>
      </c>
      <c r="BM5">
        <f>IFERROR(VLOOKUP(BM$3&amp;"",Key!$A:$C,3,FALSE),"")</f>
        <v/>
      </c>
      <c r="BN5">
        <f>IFERROR(VLOOKUP(BN$3&amp;"",Key!$A:$C,3,FALSE),"")</f>
        <v/>
      </c>
      <c r="BO5">
        <f>IFERROR(VLOOKUP(BO$3&amp;"",Key!$A:$C,3,FALSE),"")</f>
        <v/>
      </c>
      <c r="BP5">
        <f>IFERROR(VLOOKUP(BP$3&amp;"",Key!$A:$C,3,FALSE),"")</f>
        <v/>
      </c>
      <c r="BQ5">
        <f>IFERROR(VLOOKUP(BQ$3&amp;"",Key!$A:$C,3,FALSE),"")</f>
        <v/>
      </c>
      <c r="BR5">
        <f>IFERROR(VLOOKUP(BR$3&amp;"",Key!$A:$C,3,FALSE),"")</f>
        <v/>
      </c>
      <c r="BS5">
        <f>IFERROR(VLOOKUP(BS$3&amp;"",Key!$A:$C,3,FALSE),"")</f>
        <v/>
      </c>
      <c r="BT5">
        <f>IFERROR(VLOOKUP(BT$3&amp;"",Key!$A:$C,3,FALSE),"")</f>
        <v/>
      </c>
      <c r="BU5">
        <f>IFERROR(VLOOKUP(BU$3&amp;"",Key!$A:$C,3,FALSE),"")</f>
        <v/>
      </c>
      <c r="BV5">
        <f>IFERROR(VLOOKUP(BV$3&amp;"",Key!$A:$C,3,FALSE),"")</f>
        <v/>
      </c>
      <c r="BW5">
        <f>IFERROR(VLOOKUP(BW$3&amp;"",Key!$A:$C,3,FALSE),"")</f>
        <v/>
      </c>
      <c r="BX5">
        <f>IFERROR(VLOOKUP(BX$3&amp;"",Key!$A:$C,3,FALSE),"")</f>
        <v/>
      </c>
      <c r="BY5">
        <f>IFERROR(VLOOKUP(BY$3&amp;"",Key!$A:$C,3,FALSE),"")</f>
        <v/>
      </c>
      <c r="BZ5">
        <f>IFERROR(VLOOKUP(BZ$3&amp;"",Key!$A:$C,3,FALSE),"")</f>
        <v/>
      </c>
      <c r="CA5">
        <f>IFERROR(VLOOKUP(CA$3&amp;"",Key!$A:$C,3,FALSE),"")</f>
        <v/>
      </c>
      <c r="CB5">
        <f>IFERROR(VLOOKUP(CB$3&amp;"",Key!$A:$C,3,FALSE),"")</f>
        <v/>
      </c>
      <c r="CC5">
        <f>IFERROR(VLOOKUP(CC$3&amp;"",Key!$A:$C,3,FALSE),"")</f>
        <v/>
      </c>
      <c r="CD5">
        <f>IFERROR(VLOOKUP(CD$3&amp;"",Key!$A:$C,3,FALSE),"")</f>
        <v/>
      </c>
      <c r="CE5">
        <f>IFERROR(VLOOKUP(CE$3&amp;"",Key!$A:$C,3,FALSE),"")</f>
        <v/>
      </c>
      <c r="CF5">
        <f>IFERROR(VLOOKUP(CF$3&amp;"",Key!$A:$C,3,FALSE),"")</f>
        <v/>
      </c>
      <c r="CG5">
        <f>IFERROR(VLOOKUP(CG$3&amp;"",Key!$A:$C,3,FALSE),"")</f>
        <v/>
      </c>
      <c r="CH5">
        <f>IFERROR(VLOOKUP(CH$3&amp;"",Key!$A:$C,3,FALSE),"")</f>
        <v/>
      </c>
      <c r="CI5">
        <f>IFERROR(VLOOKUP(CI$3&amp;"",Key!$A:$C,3,FALSE),"")</f>
        <v/>
      </c>
      <c r="CJ5">
        <f>IFERROR(VLOOKUP(CJ$3&amp;"",Key!$A:$C,3,FALSE),"")</f>
        <v/>
      </c>
      <c r="CK5">
        <f>IFERROR(VLOOKUP(CK$3&amp;"",Key!$A:$C,3,FALSE),"")</f>
        <v/>
      </c>
      <c r="CL5">
        <f>IFERROR(VLOOKUP(CL$3&amp;"",Key!$A:$C,3,FALSE),"")</f>
        <v/>
      </c>
      <c r="CM5">
        <f>IFERROR(VLOOKUP(CM$3&amp;"",Key!$A:$C,3,FALSE),"")</f>
        <v/>
      </c>
      <c r="CN5">
        <f>IFERROR(VLOOKUP(CN$3&amp;"",Key!$A:$C,3,FALSE),"")</f>
        <v/>
      </c>
      <c r="CO5">
        <f>IFERROR(VLOOKUP(CO$3&amp;"",Key!$A:$C,3,FALSE),"")</f>
        <v/>
      </c>
      <c r="CP5">
        <f>IFERROR(VLOOKUP(CP$3&amp;"",Key!$A:$C,3,FALSE),"")</f>
        <v/>
      </c>
      <c r="CQ5">
        <f>IFERROR(VLOOKUP(CQ$3&amp;"",Key!$A:$C,3,FALSE),"")</f>
        <v/>
      </c>
      <c r="CR5">
        <f>IFERROR(VLOOKUP(CR$3&amp;"",Key!$A:$C,3,FALSE),"")</f>
        <v/>
      </c>
      <c r="CS5">
        <f>IFERROR(VLOOKUP(CS$3&amp;"",Key!$A:$C,3,FALSE),"")</f>
        <v/>
      </c>
      <c r="CT5">
        <f>IFERROR(VLOOKUP(CT$3&amp;"",Key!$A:$C,3,FALSE),"")</f>
        <v/>
      </c>
      <c r="CU5">
        <f>IFERROR(VLOOKUP(CU$3&amp;"",Key!$A:$C,3,FALSE),"")</f>
        <v/>
      </c>
      <c r="CV5">
        <f>IFERROR(VLOOKUP(CV$3&amp;"",Key!$A:$C,3,FALSE),"")</f>
        <v/>
      </c>
      <c r="CW5">
        <f>IFERROR(VLOOKUP(CW$3&amp;"",Key!$A:$C,3,FALSE),"")</f>
        <v/>
      </c>
      <c r="CX5">
        <f>IFERROR(VLOOKUP(CX$3&amp;"",Key!$A:$C,3,FALSE),"")</f>
        <v/>
      </c>
      <c r="CY5">
        <f>IFERROR(VLOOKUP(CY$3&amp;"",Key!$A:$C,3,FALSE),"")</f>
        <v/>
      </c>
      <c r="CZ5">
        <f>IFERROR(VLOOKUP(CZ$3&amp;"",Key!$A:$C,3,FALSE),"")</f>
        <v/>
      </c>
      <c r="DA5">
        <f>IFERROR(VLOOKUP(DA$3&amp;"",Key!$A:$C,3,FALSE),"")</f>
        <v/>
      </c>
      <c r="DB5">
        <f>IFERROR(VLOOKUP(DB$3&amp;"",Key!$A:$C,3,FALSE),"")</f>
        <v/>
      </c>
      <c r="DC5">
        <f>IFERROR(VLOOKUP(DC$3&amp;"",Key!$A:$C,3,FALSE),"")</f>
        <v/>
      </c>
      <c r="DD5">
        <f>IFERROR(VLOOKUP(DD$3&amp;"",Key!$A:$C,3,FALSE),"")</f>
        <v/>
      </c>
      <c r="DE5">
        <f>IFERROR(VLOOKUP(DE$3&amp;"",Key!$A:$C,3,FALSE),"")</f>
        <v/>
      </c>
      <c r="DF5">
        <f>IFERROR(VLOOKUP(DF$3&amp;"",Key!$A:$C,3,FALSE),"")</f>
        <v/>
      </c>
      <c r="DG5">
        <f>IFERROR(VLOOKUP(DG$3&amp;"",Key!$A:$C,3,FALSE),"")</f>
        <v/>
      </c>
      <c r="DH5">
        <f>IFERROR(VLOOKUP(DH$3&amp;"",Key!$A:$C,3,FALSE),"")</f>
        <v/>
      </c>
      <c r="DI5">
        <f>IFERROR(VLOOKUP(DI$3&amp;"",Key!$A:$C,3,FALSE),"")</f>
        <v/>
      </c>
      <c r="DJ5">
        <f>IFERROR(VLOOKUP(DJ$3&amp;"",Key!$A:$C,3,FALSE),"")</f>
        <v/>
      </c>
      <c r="DK5">
        <f>IFERROR(VLOOKUP(DK$3&amp;"",Key!$A:$C,3,FALSE),"")</f>
        <v/>
      </c>
      <c r="DL5">
        <f>IFERROR(VLOOKUP(DL$3&amp;"",Key!$A:$C,3,FALSE),"")</f>
        <v/>
      </c>
      <c r="DM5">
        <f>IFERROR(VLOOKUP(DM$3&amp;"",Key!$A:$C,3,FALSE),"")</f>
        <v/>
      </c>
      <c r="DN5">
        <f>IFERROR(VLOOKUP(DN$3&amp;"",Key!$A:$C,3,FALSE),"")</f>
        <v/>
      </c>
      <c r="DO5">
        <f>IFERROR(VLOOKUP(DO$3&amp;"",Key!$A:$C,3,FALSE),"")</f>
        <v/>
      </c>
      <c r="DP5">
        <f>IFERROR(VLOOKUP(DP$3&amp;"",Key!$A:$C,3,FALSE),"")</f>
        <v/>
      </c>
      <c r="DQ5">
        <f>IFERROR(VLOOKUP(DQ$3&amp;"",Key!$A:$C,3,FALSE),"")</f>
        <v/>
      </c>
      <c r="DR5">
        <f>IFERROR(VLOOKUP(DR$3&amp;"",Key!$A:$C,3,FALSE),"")</f>
        <v/>
      </c>
      <c r="DS5">
        <f>IFERROR(VLOOKUP(DS$3&amp;"",Key!$A:$C,3,FALSE),"")</f>
        <v/>
      </c>
      <c r="DT5">
        <f>IFERROR(VLOOKUP(DT$3&amp;"",Key!$A:$C,3,FALSE),"")</f>
        <v/>
      </c>
      <c r="DU5">
        <f>IFERROR(VLOOKUP(DU$3&amp;"",Key!$A:$C,3,FALSE),"")</f>
        <v/>
      </c>
      <c r="DV5">
        <f>IFERROR(VLOOKUP(DV$3&amp;"",Key!$A:$C,3,FALSE),"")</f>
        <v/>
      </c>
      <c r="DW5">
        <f>IFERROR(VLOOKUP(DW$3&amp;"",Key!$A:$C,3,FALSE),"")</f>
        <v/>
      </c>
      <c r="DX5">
        <f>IFERROR(VLOOKUP(DX$3&amp;"",Key!$A:$C,3,FALSE),"")</f>
        <v/>
      </c>
      <c r="DY5">
        <f>IFERROR(VLOOKUP(DY$3&amp;"",Key!$A:$C,3,FALSE),"")</f>
        <v/>
      </c>
      <c r="DZ5">
        <f>IFERROR(VLOOKUP(DZ$3&amp;"",Key!$A:$C,3,FALSE),"")</f>
        <v/>
      </c>
      <c r="EA5">
        <f>IFERROR(VLOOKUP(EA$3&amp;"",Key!$A:$C,3,FALSE),"")</f>
        <v/>
      </c>
      <c r="EB5">
        <f>IFERROR(VLOOKUP(EB$3&amp;"",Key!$A:$C,3,FALSE),"")</f>
        <v/>
      </c>
      <c r="EC5">
        <f>IFERROR(VLOOKUP(EC$3&amp;"",Key!$A:$C,3,FALSE),"")</f>
        <v/>
      </c>
      <c r="ED5">
        <f>IFERROR(VLOOKUP(ED$3&amp;"",Key!$A:$C,3,FALSE),"")</f>
        <v/>
      </c>
      <c r="EE5">
        <f>IFERROR(VLOOKUP(EE$3&amp;"",Key!$A:$C,3,FALSE),"")</f>
        <v/>
      </c>
      <c r="EF5">
        <f>IFERROR(VLOOKUP(EF$3&amp;"",Key!$A:$C,3,FALSE),"")</f>
        <v/>
      </c>
      <c r="EG5">
        <f>IFERROR(VLOOKUP(EG$3&amp;"",Key!$A:$C,3,FALSE),"")</f>
        <v/>
      </c>
      <c r="EH5">
        <f>IFERROR(VLOOKUP(EH$3&amp;"",Key!$A:$C,3,FALSE),"")</f>
        <v/>
      </c>
      <c r="EI5">
        <f>IFERROR(VLOOKUP(EI$3&amp;"",Key!$A:$C,3,FALSE),"")</f>
        <v/>
      </c>
      <c r="EJ5">
        <f>IFERROR(VLOOKUP(EJ$3&amp;"",Key!$A:$C,3,FALSE),"")</f>
        <v/>
      </c>
      <c r="EK5">
        <f>IFERROR(VLOOKUP(EK$3&amp;"",Key!$A:$C,3,FALSE),"")</f>
        <v/>
      </c>
      <c r="EL5">
        <f>IFERROR(VLOOKUP(EL$3&amp;"",Key!$A:$C,3,FALSE),"")</f>
        <v/>
      </c>
      <c r="EM5">
        <f>IFERROR(VLOOKUP(EM$3&amp;"",Key!$A:$C,3,FALSE),"")</f>
        <v/>
      </c>
      <c r="EN5">
        <f>IFERROR(VLOOKUP(EN$3&amp;"",Key!$A:$C,3,FALSE),"")</f>
        <v/>
      </c>
      <c r="EO5">
        <f>IFERROR(VLOOKUP(EO$3&amp;"",Key!$A:$C,3,FALSE),"")</f>
        <v/>
      </c>
      <c r="EP5">
        <f>IFERROR(VLOOKUP(EP$3&amp;"",Key!$A:$C,3,FALSE),"")</f>
        <v/>
      </c>
      <c r="EQ5">
        <f>IFERROR(VLOOKUP(EQ$3&amp;"",Key!$A:$C,3,FALSE),"")</f>
        <v/>
      </c>
      <c r="ER5">
        <f>IFERROR(VLOOKUP(ER$3&amp;"",Key!$A:$C,3,FALSE),"")</f>
        <v/>
      </c>
      <c r="ES5">
        <f>IFERROR(VLOOKUP(ES$3&amp;"",Key!$A:$C,3,FALSE),"")</f>
        <v/>
      </c>
      <c r="ET5">
        <f>IFERROR(VLOOKUP(ET$3&amp;"",Key!$A:$C,3,FALSE),"")</f>
        <v/>
      </c>
      <c r="EU5">
        <f>IFERROR(VLOOKUP(EU$3&amp;"",Key!$A:$C,3,FALSE),"")</f>
        <v/>
      </c>
      <c r="EV5">
        <f>IFERROR(VLOOKUP(EV$3&amp;"",Key!$A:$C,3,FALSE),"")</f>
        <v/>
      </c>
      <c r="EW5">
        <f>IFERROR(VLOOKUP(EW$3&amp;"",Key!$A:$C,3,FALSE),"")</f>
        <v/>
      </c>
      <c r="EX5">
        <f>IFERROR(VLOOKUP(EX$3&amp;"",Key!$A:$C,3,FALSE),"")</f>
        <v/>
      </c>
      <c r="EY5">
        <f>IFERROR(VLOOKUP(EY$3&amp;"",Key!$A:$C,3,FALSE),"")</f>
        <v/>
      </c>
      <c r="EZ5">
        <f>IFERROR(VLOOKUP(EZ$3&amp;"",Key!$A:$C,3,FALSE),"")</f>
        <v/>
      </c>
      <c r="FA5">
        <f>IFERROR(VLOOKUP(FA$3&amp;"",Key!$A:$C,3,FALSE),"")</f>
        <v/>
      </c>
      <c r="FB5">
        <f>IFERROR(VLOOKUP(FB$3&amp;"",Key!$A:$C,3,FALSE),"")</f>
        <v/>
      </c>
      <c r="FC5">
        <f>IFERROR(VLOOKUP(FC$3&amp;"",Key!$A:$C,3,FALSE),"")</f>
        <v/>
      </c>
      <c r="FD5">
        <f>IFERROR(VLOOKUP(FD$3&amp;"",Key!$A:$C,3,FALSE),"")</f>
        <v/>
      </c>
      <c r="FE5">
        <f>IFERROR(VLOOKUP(FE$3&amp;"",Key!$A:$C,3,FALSE),"")</f>
        <v/>
      </c>
      <c r="FF5">
        <f>IFERROR(VLOOKUP(FF$3&amp;"",Key!$A:$C,3,FALSE),"")</f>
        <v/>
      </c>
      <c r="FG5">
        <f>IFERROR(VLOOKUP(FG$3&amp;"",Key!$A:$C,3,FALSE),"")</f>
        <v/>
      </c>
      <c r="FH5">
        <f>IFERROR(VLOOKUP(FH$3&amp;"",Key!$A:$C,3,FALSE),"")</f>
        <v/>
      </c>
      <c r="FI5">
        <f>IFERROR(VLOOKUP(FI$3&amp;"",Key!$A:$C,3,FALSE),"")</f>
        <v/>
      </c>
      <c r="FJ5">
        <f>IFERROR(VLOOKUP(FJ$3&amp;"",Key!$A:$C,3,FALSE),"")</f>
        <v/>
      </c>
      <c r="FK5">
        <f>IFERROR(VLOOKUP(FK$3&amp;"",Key!$A:$C,3,FALSE),"")</f>
        <v/>
      </c>
      <c r="FL5">
        <f>IFERROR(VLOOKUP(FL$3&amp;"",Key!$A:$C,3,FALSE),"")</f>
        <v/>
      </c>
      <c r="FM5">
        <f>IFERROR(VLOOKUP(FM$3&amp;"",Key!$A:$C,3,FALSE),"")</f>
        <v/>
      </c>
      <c r="FN5">
        <f>IFERROR(VLOOKUP(FN$3&amp;"",Key!$A:$C,3,FALSE),"")</f>
        <v/>
      </c>
      <c r="FO5">
        <f>IFERROR(VLOOKUP(FO$3&amp;"",Key!$A:$C,3,FALSE),"")</f>
        <v/>
      </c>
      <c r="FP5">
        <f>IFERROR(VLOOKUP(FP$3&amp;"",Key!$A:$C,3,FALSE),"")</f>
        <v/>
      </c>
      <c r="FQ5">
        <f>IFERROR(VLOOKUP(FQ$3&amp;"",Key!$A:$C,3,FALSE),"")</f>
        <v/>
      </c>
      <c r="FR5">
        <f>IFERROR(VLOOKUP(FR$3&amp;"",Key!$A:$C,3,FALSE),"")</f>
        <v/>
      </c>
      <c r="FS5">
        <f>IFERROR(VLOOKUP(FS$3&amp;"",Key!$A:$C,3,FALSE),"")</f>
        <v/>
      </c>
      <c r="FT5">
        <f>IFERROR(VLOOKUP(FT$3&amp;"",Key!$A:$C,3,FALSE),"")</f>
        <v/>
      </c>
      <c r="FU5">
        <f>IFERROR(VLOOKUP(FU$3&amp;"",Key!$A:$C,3,FALSE),"")</f>
        <v/>
      </c>
      <c r="FV5">
        <f>IFERROR(VLOOKUP(FV$3&amp;"",Key!$A:$C,3,FALSE),"")</f>
        <v/>
      </c>
      <c r="FW5">
        <f>IFERROR(VLOOKUP(FW$3&amp;"",Key!$A:$C,3,FALSE),"")</f>
        <v/>
      </c>
      <c r="FX5">
        <f>IFERROR(VLOOKUP(FX$3&amp;"",Key!$A:$C,3,FALSE),"")</f>
        <v/>
      </c>
      <c r="FY5">
        <f>IFERROR(VLOOKUP(FY$3&amp;"",Key!$A:$C,3,FALSE),"")</f>
        <v/>
      </c>
      <c r="FZ5">
        <f>IFERROR(VLOOKUP(FZ$3&amp;"",Key!$A:$C,3,FALSE),"")</f>
        <v/>
      </c>
      <c r="GA5">
        <f>IFERROR(VLOOKUP(GA$3&amp;"",Key!$A:$C,3,FALSE),"")</f>
        <v/>
      </c>
      <c r="GB5">
        <f>IFERROR(VLOOKUP(GB$3&amp;"",Key!$A:$C,3,FALSE),"")</f>
        <v/>
      </c>
      <c r="GC5">
        <f>IFERROR(VLOOKUP(GC$3&amp;"",Key!$A:$C,3,FALSE),"")</f>
        <v/>
      </c>
      <c r="GD5">
        <f>IFERROR(VLOOKUP(GD$3&amp;"",Key!$A:$C,3,FALSE),"")</f>
        <v/>
      </c>
      <c r="GE5">
        <f>IFERROR(VLOOKUP(GE$3&amp;"",Key!$A:$C,3,FALSE),"")</f>
        <v/>
      </c>
      <c r="GF5">
        <f>IFERROR(VLOOKUP(GF$3&amp;"",Key!$A:$C,3,FALSE),"")</f>
        <v/>
      </c>
      <c r="GG5">
        <f>IFERROR(VLOOKUP(GG$3&amp;"",Key!$A:$C,3,FALSE),"")</f>
        <v/>
      </c>
      <c r="GH5">
        <f>IFERROR(VLOOKUP(GH$3&amp;"",Key!$A:$C,3,FALSE),"")</f>
        <v/>
      </c>
      <c r="GI5">
        <f>IFERROR(VLOOKUP(GI$3&amp;"",Key!$A:$C,3,FALSE),"")</f>
        <v/>
      </c>
      <c r="GJ5">
        <f>IFERROR(VLOOKUP(GJ$3&amp;"",Key!$A:$C,3,FALSE),"")</f>
        <v/>
      </c>
      <c r="GK5">
        <f>IFERROR(VLOOKUP(GK$3&amp;"",Key!$A:$C,3,FALSE),"")</f>
        <v/>
      </c>
      <c r="GL5">
        <f>IFERROR(VLOOKUP(GL$3&amp;"",Key!$A:$C,3,FALSE),"")</f>
        <v/>
      </c>
      <c r="GM5">
        <f>IFERROR(VLOOKUP(GM$3&amp;"",Key!$A:$C,3,FALSE),"")</f>
        <v/>
      </c>
      <c r="GN5">
        <f>IFERROR(VLOOKUP(GN$3&amp;"",Key!$A:$C,3,FALSE),"")</f>
        <v/>
      </c>
      <c r="GO5">
        <f>IFERROR(VLOOKUP(GO$3&amp;"",Key!$A:$C,3,FALSE),"")</f>
        <v/>
      </c>
      <c r="GP5">
        <f>IFERROR(VLOOKUP(GP$3&amp;"",Key!$A:$C,3,FALSE),"")</f>
        <v/>
      </c>
      <c r="GQ5">
        <f>IFERROR(VLOOKUP(GQ$3&amp;"",Key!$A:$C,3,FALSE),"")</f>
        <v/>
      </c>
      <c r="GR5">
        <f>IFERROR(VLOOKUP(GR$3&amp;"",Key!$A:$C,3,FALSE),"")</f>
        <v/>
      </c>
      <c r="GS5">
        <f>IFERROR(VLOOKUP(GS$3&amp;"",Key!$A:$C,3,FALSE),"")</f>
        <v/>
      </c>
      <c r="GT5">
        <f>IFERROR(VLOOKUP(GT$3&amp;"",Key!$A:$C,3,FALSE),"")</f>
        <v/>
      </c>
      <c r="GU5">
        <f>IFERROR(VLOOKUP(GU$3&amp;"",Key!$A:$C,3,FALSE),"")</f>
        <v/>
      </c>
      <c r="GV5">
        <f>IFERROR(VLOOKUP(GV$3&amp;"",Key!$A:$C,3,FALSE),"")</f>
        <v/>
      </c>
      <c r="GW5">
        <f>IFERROR(VLOOKUP(GW$3&amp;"",Key!$A:$C,3,FALSE),"")</f>
        <v/>
      </c>
      <c r="GX5">
        <f>IFERROR(VLOOKUP(GX$3&amp;"",Key!$A:$C,3,FALSE),"")</f>
        <v/>
      </c>
      <c r="GY5">
        <f>IFERROR(VLOOKUP(GY$3&amp;"",Key!$A:$C,3,FALSE),"")</f>
        <v/>
      </c>
      <c r="GZ5">
        <f>IFERROR(VLOOKUP(GZ$3&amp;"",Key!$A:$C,3,FALSE),"")</f>
        <v/>
      </c>
      <c r="HA5">
        <f>IFERROR(VLOOKUP(HA$3&amp;"",Key!$A:$C,3,FALSE),"")</f>
        <v/>
      </c>
      <c r="HB5">
        <f>IFERROR(VLOOKUP(HB$3&amp;"",Key!$A:$C,3,FALSE),"")</f>
        <v/>
      </c>
      <c r="HC5">
        <f>IFERROR(VLOOKUP(HC$3&amp;"",Key!$A:$C,3,FALSE),"")</f>
        <v/>
      </c>
      <c r="HD5">
        <f>IFERROR(VLOOKUP(HD$3&amp;"",Key!$A:$C,3,FALSE),"")</f>
        <v/>
      </c>
      <c r="HE5">
        <f>IFERROR(VLOOKUP(HE$3&amp;"",Key!$A:$C,3,FALSE),"")</f>
        <v/>
      </c>
      <c r="HF5">
        <f>IFERROR(VLOOKUP(HF$3&amp;"",Key!$A:$C,3,FALSE),"")</f>
        <v/>
      </c>
      <c r="HG5">
        <f>IFERROR(VLOOKUP(HG$3&amp;"",Key!$A:$C,3,FALSE),"")</f>
        <v/>
      </c>
      <c r="HH5">
        <f>IFERROR(VLOOKUP(HH$3&amp;"",Key!$A:$C,3,FALSE),"")</f>
        <v/>
      </c>
      <c r="HI5">
        <f>IFERROR(VLOOKUP(HI$3&amp;"",Key!$A:$C,3,FALSE),"")</f>
        <v/>
      </c>
      <c r="HJ5">
        <f>IFERROR(VLOOKUP(HJ$3&amp;"",Key!$A:$C,3,FALSE),"")</f>
        <v/>
      </c>
      <c r="HK5">
        <f>IFERROR(VLOOKUP(HK$3&amp;"",Key!$A:$C,3,FALSE),"")</f>
        <v/>
      </c>
      <c r="HL5">
        <f>IFERROR(VLOOKUP(HL$3&amp;"",Key!$A:$C,3,FALSE),"")</f>
        <v/>
      </c>
      <c r="HM5">
        <f>IFERROR(VLOOKUP(HM$3&amp;"",Key!$A:$C,3,FALSE),"")</f>
        <v/>
      </c>
      <c r="HN5">
        <f>IFERROR(VLOOKUP(HN$3&amp;"",Key!$A:$C,3,FALSE),"")</f>
        <v/>
      </c>
      <c r="HO5">
        <f>IFERROR(VLOOKUP(HO$3&amp;"",Key!$A:$C,3,FALSE),"")</f>
        <v/>
      </c>
      <c r="HP5">
        <f>IFERROR(VLOOKUP(HP$3&amp;"",Key!$A:$C,3,FALSE),"")</f>
        <v/>
      </c>
      <c r="HQ5">
        <f>IFERROR(VLOOKUP(HQ$3&amp;"",Key!$A:$C,3,FALSE),"")</f>
        <v/>
      </c>
      <c r="HR5">
        <f>IFERROR(VLOOKUP(HR$3&amp;"",Key!$A:$C,3,FALSE),"")</f>
        <v/>
      </c>
      <c r="HS5">
        <f>IFERROR(VLOOKUP(HS$3&amp;"",Key!$A:$C,3,FALSE),"")</f>
        <v/>
      </c>
      <c r="HT5">
        <f>IFERROR(VLOOKUP(HT$3&amp;"",Key!$A:$C,3,FALSE),"")</f>
        <v/>
      </c>
      <c r="HU5">
        <f>IFERROR(VLOOKUP(HU$3&amp;"",Key!$A:$C,3,FALSE),"")</f>
        <v/>
      </c>
      <c r="HV5">
        <f>IFERROR(VLOOKUP(HV$3&amp;"",Key!$A:$C,3,FALSE),"")</f>
        <v/>
      </c>
      <c r="HW5">
        <f>IFERROR(VLOOKUP(HW$3&amp;"",Key!$A:$C,3,FALSE),"")</f>
        <v/>
      </c>
      <c r="HX5">
        <f>IFERROR(VLOOKUP(HX$3&amp;"",Key!$A:$C,3,FALSE),"")</f>
        <v/>
      </c>
      <c r="HY5">
        <f>IFERROR(VLOOKUP(HY$3&amp;"",Key!$A:$C,3,FALSE),"")</f>
        <v/>
      </c>
      <c r="HZ5">
        <f>IFERROR(VLOOKUP(HZ$3&amp;"",Key!$A:$C,3,FALSE),"")</f>
        <v/>
      </c>
      <c r="IA5">
        <f>IFERROR(VLOOKUP(IA$3&amp;"",Key!$A:$C,3,FALSE),"")</f>
        <v/>
      </c>
      <c r="IB5">
        <f>IFERROR(VLOOKUP(IB$3&amp;"",Key!$A:$C,3,FALSE),"")</f>
        <v/>
      </c>
      <c r="IC5">
        <f>IFERROR(VLOOKUP(IC$3&amp;"",Key!$A:$C,3,FALSE),"")</f>
        <v/>
      </c>
      <c r="ID5">
        <f>IFERROR(VLOOKUP(ID$3&amp;"",Key!$A:$C,3,FALSE),"")</f>
        <v/>
      </c>
      <c r="IE5">
        <f>IFERROR(VLOOKUP(IE$3&amp;"",Key!$A:$C,3,FALSE),"")</f>
        <v/>
      </c>
      <c r="IF5">
        <f>IFERROR(VLOOKUP(IF$3&amp;"",Key!$A:$C,3,FALSE),"")</f>
        <v/>
      </c>
      <c r="IG5">
        <f>IFERROR(VLOOKUP(IG$3&amp;"",Key!$A:$C,3,FALSE),"")</f>
        <v/>
      </c>
      <c r="IH5">
        <f>IFERROR(VLOOKUP(IH$3&amp;"",Key!$A:$C,3,FALSE),"")</f>
        <v/>
      </c>
      <c r="II5">
        <f>IFERROR(VLOOKUP(II$3&amp;"",Key!$A:$C,3,FALSE),"")</f>
        <v/>
      </c>
      <c r="IJ5">
        <f>IFERROR(VLOOKUP(IJ$3&amp;"",Key!$A:$C,3,FALSE),"")</f>
        <v/>
      </c>
      <c r="IK5">
        <f>IFERROR(VLOOKUP(IK$3&amp;"",Key!$A:$C,3,FALSE),"")</f>
        <v/>
      </c>
      <c r="IL5">
        <f>IFERROR(VLOOKUP(IL$3&amp;"",Key!$A:$C,3,FALSE),"")</f>
        <v/>
      </c>
      <c r="IM5">
        <f>IFERROR(VLOOKUP(IM$3&amp;"",Key!$A:$C,3,FALSE),"")</f>
        <v/>
      </c>
      <c r="IN5">
        <f>IFERROR(VLOOKUP(IN$3&amp;"",Key!$A:$C,3,FALSE),"")</f>
        <v/>
      </c>
      <c r="IO5">
        <f>IFERROR(VLOOKUP(IO$3&amp;"",Key!$A:$C,3,FALSE),"")</f>
        <v/>
      </c>
      <c r="IP5">
        <f>IFERROR(VLOOKUP(IP$3&amp;"",Key!$A:$C,3,FALSE),"")</f>
        <v/>
      </c>
      <c r="IQ5">
        <f>IFERROR(VLOOKUP(IQ$3&amp;"",Key!$A:$C,3,FALSE),"")</f>
        <v/>
      </c>
      <c r="IR5">
        <f>IFERROR(VLOOKUP(IR$3&amp;"",Key!$A:$C,3,FALSE),"")</f>
        <v/>
      </c>
      <c r="IS5">
        <f>IFERROR(VLOOKUP(IS$3&amp;"",Key!$A:$C,3,FALSE),"")</f>
        <v/>
      </c>
      <c r="IT5">
        <f>IFERROR(VLOOKUP(IT$3&amp;"",Key!$A:$C,3,FALSE),"")</f>
        <v/>
      </c>
      <c r="IU5">
        <f>IFERROR(VLOOKUP(IU$3&amp;"",Key!$A:$C,3,FALSE),"")</f>
        <v/>
      </c>
      <c r="IV5">
        <f>IFERROR(VLOOKUP(IV$3&amp;"",Key!$A:$C,3,FALSE),"")</f>
        <v/>
      </c>
      <c r="IW5">
        <f>IFERROR(VLOOKUP(IW$3&amp;"",Key!$A:$C,3,FALSE),"")</f>
        <v/>
      </c>
      <c r="IX5">
        <f>IFERROR(VLOOKUP(IX$3&amp;"",Key!$A:$C,3,FALSE),"")</f>
        <v/>
      </c>
      <c r="IY5">
        <f>IFERROR(VLOOKUP(IY$3&amp;"",Key!$A:$C,3,FALSE),"")</f>
        <v/>
      </c>
      <c r="IZ5">
        <f>IFERROR(VLOOKUP(IZ$3&amp;"",Key!$A:$C,3,FALSE),"")</f>
        <v/>
      </c>
      <c r="JA5">
        <f>IFERROR(VLOOKUP(JA$3&amp;"",Key!$A:$C,3,FALSE),"")</f>
        <v/>
      </c>
      <c r="JB5">
        <f>IFERROR(VLOOKUP(JB$3&amp;"",Key!$A:$C,3,FALSE),"")</f>
        <v/>
      </c>
      <c r="JC5">
        <f>IFERROR(VLOOKUP(JC$3&amp;"",Key!$A:$C,3,FALSE),"")</f>
        <v/>
      </c>
      <c r="JD5">
        <f>IFERROR(VLOOKUP(JD$3&amp;"",Key!$A:$C,3,FALSE),"")</f>
        <v/>
      </c>
      <c r="JE5">
        <f>IFERROR(VLOOKUP(JE$3&amp;"",Key!$A:$C,3,FALSE),"")</f>
        <v/>
      </c>
      <c r="JF5">
        <f>IFERROR(VLOOKUP(JF$3&amp;"",Key!$A:$C,3,FALSE),"")</f>
        <v/>
      </c>
      <c r="JG5">
        <f>IFERROR(VLOOKUP(JG$3&amp;"",Key!$A:$C,3,FALSE),"")</f>
        <v/>
      </c>
      <c r="JH5">
        <f>IFERROR(VLOOKUP(JH$3&amp;"",Key!$A:$C,3,FALSE),"")</f>
        <v/>
      </c>
      <c r="JI5">
        <f>IFERROR(VLOOKUP(JI$3&amp;"",Key!$A:$C,3,FALSE),"")</f>
        <v/>
      </c>
      <c r="JJ5">
        <f>IFERROR(VLOOKUP(JJ$3&amp;"",Key!$A:$C,3,FALSE),"")</f>
        <v/>
      </c>
      <c r="JK5">
        <f>IFERROR(VLOOKUP(JK$3&amp;"",Key!$A:$C,3,FALSE),"")</f>
        <v/>
      </c>
      <c r="JL5">
        <f>IFERROR(VLOOKUP(JL$3&amp;"",Key!$A:$C,3,FALSE),"")</f>
        <v/>
      </c>
      <c r="JM5">
        <f>IFERROR(VLOOKUP(JM$3&amp;"",Key!$A:$C,3,FALSE),"")</f>
        <v/>
      </c>
      <c r="JN5">
        <f>IFERROR(VLOOKUP(JN$3&amp;"",Key!$A:$C,3,FALSE),"")</f>
        <v/>
      </c>
      <c r="JO5">
        <f>IFERROR(VLOOKUP(JO$3&amp;"",Key!$A:$C,3,FALSE),"")</f>
        <v/>
      </c>
      <c r="JP5">
        <f>IFERROR(VLOOKUP(JP$3&amp;"",Key!$A:$C,3,FALSE),"")</f>
        <v/>
      </c>
      <c r="JQ5">
        <f>IFERROR(VLOOKUP(JQ$3&amp;"",Key!$A:$C,3,FALSE),"")</f>
        <v/>
      </c>
      <c r="JR5">
        <f>IFERROR(VLOOKUP(JR$3&amp;"",Key!$A:$C,3,FALSE),"")</f>
        <v/>
      </c>
      <c r="JS5">
        <f>IFERROR(VLOOKUP(JS$3&amp;"",Key!$A:$C,3,FALSE),"")</f>
        <v/>
      </c>
      <c r="JT5">
        <f>IFERROR(VLOOKUP(JT$3&amp;"",Key!$A:$C,3,FALSE),"")</f>
        <v/>
      </c>
      <c r="JU5">
        <f>IFERROR(VLOOKUP(JU$3&amp;"",Key!$A:$C,3,FALSE),"")</f>
        <v/>
      </c>
      <c r="JV5">
        <f>IFERROR(VLOOKUP(JV$3&amp;"",Key!$A:$C,3,FALSE),"")</f>
        <v/>
      </c>
      <c r="JW5">
        <f>IFERROR(VLOOKUP(JW$3&amp;"",Key!$A:$C,3,FALSE),"")</f>
        <v/>
      </c>
      <c r="JX5">
        <f>IFERROR(VLOOKUP(JX$3&amp;"",Key!$A:$C,3,FALSE),"")</f>
        <v/>
      </c>
      <c r="JY5">
        <f>IFERROR(VLOOKUP(JY$3&amp;"",Key!$A:$C,3,FALSE),"")</f>
        <v/>
      </c>
      <c r="JZ5">
        <f>IFERROR(VLOOKUP(JZ$3&amp;"",Key!$A:$C,3,FALSE),"")</f>
        <v/>
      </c>
      <c r="KA5">
        <f>IFERROR(VLOOKUP(KA$3&amp;"",Key!$A:$C,3,FALSE),"")</f>
        <v/>
      </c>
      <c r="KB5">
        <f>IFERROR(VLOOKUP(KB$3&amp;"",Key!$A:$C,3,FALSE),"")</f>
        <v/>
      </c>
      <c r="KC5">
        <f>IFERROR(VLOOKUP(KC$3&amp;"",Key!$A:$C,3,FALSE),"")</f>
        <v/>
      </c>
      <c r="KD5">
        <f>IFERROR(VLOOKUP(KD$3&amp;"",Key!$A:$C,3,FALSE),"")</f>
        <v/>
      </c>
      <c r="KE5">
        <f>IFERROR(VLOOKUP(KE$3&amp;"",Key!$A:$C,3,FALSE),"")</f>
        <v/>
      </c>
      <c r="KF5">
        <f>IFERROR(VLOOKUP(KF$3&amp;"",Key!$A:$C,3,FALSE),"")</f>
        <v/>
      </c>
      <c r="KG5">
        <f>IFERROR(VLOOKUP(KG$3&amp;"",Key!$A:$C,3,FALSE),"")</f>
        <v/>
      </c>
      <c r="KH5">
        <f>IFERROR(VLOOKUP(KH$3&amp;"",Key!$A:$C,3,FALSE),"")</f>
        <v/>
      </c>
      <c r="KI5">
        <f>IFERROR(VLOOKUP(KI$3&amp;"",Key!$A:$C,3,FALSE),"")</f>
        <v/>
      </c>
      <c r="KJ5">
        <f>IFERROR(VLOOKUP(KJ$3&amp;"",Key!$A:$C,3,FALSE),"")</f>
        <v/>
      </c>
      <c r="KK5">
        <f>IFERROR(VLOOKUP(KK$3&amp;"",Key!$A:$C,3,FALSE),"")</f>
        <v/>
      </c>
      <c r="KL5">
        <f>IFERROR(VLOOKUP(KL$3&amp;"",Key!$A:$C,3,FALSE),"")</f>
        <v/>
      </c>
      <c r="KM5">
        <f>IFERROR(VLOOKUP(KM$3&amp;"",Key!$A:$C,3,FALSE),"")</f>
        <v/>
      </c>
      <c r="KN5">
        <f>IFERROR(VLOOKUP(KN$3&amp;"",Key!$A:$C,3,FALSE),"")</f>
        <v/>
      </c>
      <c r="KO5">
        <f>IFERROR(VLOOKUP(KO$3&amp;"",Key!$A:$C,3,FALSE),"")</f>
        <v/>
      </c>
      <c r="KP5">
        <f>IFERROR(VLOOKUP(KP$3&amp;"",Key!$A:$C,3,FALSE),"")</f>
        <v/>
      </c>
      <c r="KQ5">
        <f>IFERROR(VLOOKUP(KQ$3&amp;"",Key!$A:$C,3,FALSE),"")</f>
        <v/>
      </c>
      <c r="KR5">
        <f>IFERROR(VLOOKUP(KR$3&amp;"",Key!$A:$C,3,FALSE),"")</f>
        <v/>
      </c>
      <c r="KS5">
        <f>IFERROR(VLOOKUP(KS$3&amp;"",Key!$A:$C,3,FALSE),"")</f>
        <v/>
      </c>
      <c r="KT5">
        <f>IFERROR(VLOOKUP(KT$3&amp;"",Key!$A:$C,3,FALSE),"")</f>
        <v/>
      </c>
      <c r="KU5">
        <f>IFERROR(VLOOKUP(KU$3&amp;"",Key!$A:$C,3,FALSE),"")</f>
        <v/>
      </c>
      <c r="KV5">
        <f>IFERROR(VLOOKUP(KV$3&amp;"",Key!$A:$C,3,FALSE),"")</f>
        <v/>
      </c>
      <c r="KW5">
        <f>IFERROR(VLOOKUP(KW$3&amp;"",Key!$A:$C,3,FALSE),"")</f>
        <v/>
      </c>
      <c r="KX5">
        <f>IFERROR(VLOOKUP(KX$3&amp;"",Key!$A:$C,3,FALSE),"")</f>
        <v/>
      </c>
      <c r="KY5">
        <f>IFERROR(VLOOKUP(KY$3&amp;"",Key!$A:$C,3,FALSE),"")</f>
        <v/>
      </c>
      <c r="KZ5">
        <f>IFERROR(VLOOKUP(KZ$3&amp;"",Key!$A:$C,3,FALSE),"")</f>
        <v/>
      </c>
      <c r="LA5">
        <f>IFERROR(VLOOKUP(LA$3&amp;"",Key!$A:$C,3,FALSE),"")</f>
        <v/>
      </c>
      <c r="LB5">
        <f>IFERROR(VLOOKUP(LB$3&amp;"",Key!$A:$C,3,FALSE),"")</f>
        <v/>
      </c>
      <c r="LC5">
        <f>IFERROR(VLOOKUP(LC$3&amp;"",Key!$A:$C,3,FALSE),"")</f>
        <v/>
      </c>
      <c r="LD5">
        <f>IFERROR(VLOOKUP(LD$3&amp;"",Key!$A:$C,3,FALSE),"")</f>
        <v/>
      </c>
      <c r="LE5">
        <f>IFERROR(VLOOKUP(LE$3&amp;"",Key!$A:$C,3,FALSE),"")</f>
        <v/>
      </c>
      <c r="LF5">
        <f>IFERROR(VLOOKUP(LF$3&amp;"",Key!$A:$C,3,FALSE),"")</f>
        <v/>
      </c>
      <c r="LG5">
        <f>IFERROR(VLOOKUP(LG$3&amp;"",Key!$A:$C,3,FALSE),"")</f>
        <v/>
      </c>
      <c r="LH5">
        <f>IFERROR(VLOOKUP(LH$3&amp;"",Key!$A:$C,3,FALSE),"")</f>
        <v/>
      </c>
      <c r="LI5">
        <f>IFERROR(VLOOKUP(LI$3&amp;"",Key!$A:$C,3,FALSE),"")</f>
        <v/>
      </c>
      <c r="LJ5">
        <f>IFERROR(VLOOKUP(LJ$3&amp;"",Key!$A:$C,3,FALSE),"")</f>
        <v/>
      </c>
      <c r="LK5">
        <f>IFERROR(VLOOKUP(LK$3&amp;"",Key!$A:$C,3,FALSE),"")</f>
        <v/>
      </c>
      <c r="LL5">
        <f>IFERROR(VLOOKUP(LL$3&amp;"",Key!$A:$C,3,FALSE),"")</f>
        <v/>
      </c>
      <c r="LM5">
        <f>IFERROR(VLOOKUP(LM$3&amp;"",Key!$A:$C,3,FALSE),"")</f>
        <v/>
      </c>
      <c r="LN5">
        <f>IFERROR(VLOOKUP(LN$3&amp;"",Key!$A:$C,3,FALSE),"")</f>
        <v/>
      </c>
      <c r="LO5">
        <f>IFERROR(VLOOKUP(LO$3&amp;"",Key!$A:$C,3,FALSE),"")</f>
        <v/>
      </c>
      <c r="LP5">
        <f>IFERROR(VLOOKUP(LP$3&amp;"",Key!$A:$C,3,FALSE),"")</f>
        <v/>
      </c>
      <c r="LQ5">
        <f>IFERROR(VLOOKUP(LQ$3&amp;"",Key!$A:$C,3,FALSE),"")</f>
        <v/>
      </c>
      <c r="LR5">
        <f>IFERROR(VLOOKUP(LR$3&amp;"",Key!$A:$C,3,FALSE),"")</f>
        <v/>
      </c>
      <c r="LS5">
        <f>IFERROR(VLOOKUP(LS$3&amp;"",Key!$A:$C,3,FALSE),"")</f>
        <v/>
      </c>
      <c r="LT5">
        <f>IFERROR(VLOOKUP(LT$3&amp;"",Key!$A:$C,3,FALSE),"")</f>
        <v/>
      </c>
      <c r="LU5">
        <f>IFERROR(VLOOKUP(LU$3&amp;"",Key!$A:$C,3,FALSE),"")</f>
        <v/>
      </c>
      <c r="LV5">
        <f>IFERROR(VLOOKUP(LV$3&amp;"",Key!$A:$C,3,FALSE),"")</f>
        <v/>
      </c>
      <c r="LW5">
        <f>IFERROR(VLOOKUP(LW$3&amp;"",Key!$A:$C,3,FALSE),"")</f>
        <v/>
      </c>
      <c r="LX5">
        <f>IFERROR(VLOOKUP(LX$3&amp;"",Key!$A:$C,3,FALSE),"")</f>
        <v/>
      </c>
      <c r="LY5">
        <f>IFERROR(VLOOKUP(LY$3&amp;"",Key!$A:$C,3,FALSE),"")</f>
        <v/>
      </c>
      <c r="LZ5">
        <f>IFERROR(VLOOKUP(LZ$3&amp;"",Key!$A:$C,3,FALSE),"")</f>
        <v/>
      </c>
      <c r="MA5">
        <f>IFERROR(VLOOKUP(MA$3&amp;"",Key!$A:$C,3,FALSE),"")</f>
        <v/>
      </c>
      <c r="MB5">
        <f>IFERROR(VLOOKUP(MB$3&amp;"",Key!$A:$C,3,FALSE),"")</f>
        <v/>
      </c>
      <c r="MC5">
        <f>IFERROR(VLOOKUP(MC$3&amp;"",Key!$A:$C,3,FALSE),"")</f>
        <v/>
      </c>
      <c r="MD5">
        <f>IFERROR(VLOOKUP(MD$3&amp;"",Key!$A:$C,3,FALSE),"")</f>
        <v/>
      </c>
      <c r="ME5">
        <f>IFERROR(VLOOKUP(ME$3&amp;"",Key!$A:$C,3,FALSE),"")</f>
        <v/>
      </c>
      <c r="MF5">
        <f>IFERROR(VLOOKUP(MF$3&amp;"",Key!$A:$C,3,FALSE),"")</f>
        <v/>
      </c>
      <c r="MG5">
        <f>IFERROR(VLOOKUP(MG$3&amp;"",Key!$A:$C,3,FALSE),"")</f>
        <v/>
      </c>
      <c r="MH5">
        <f>IFERROR(VLOOKUP(MH$3&amp;"",Key!$A:$C,3,FALSE),"")</f>
        <v/>
      </c>
      <c r="MI5">
        <f>IFERROR(VLOOKUP(MI$3&amp;"",Key!$A:$C,3,FALSE),"")</f>
        <v/>
      </c>
      <c r="MJ5">
        <f>IFERROR(VLOOKUP(MJ$3&amp;"",Key!$A:$C,3,FALSE),"")</f>
        <v/>
      </c>
      <c r="MK5">
        <f>IFERROR(VLOOKUP(MK$3&amp;"",Key!$A:$C,3,FALSE),"")</f>
        <v/>
      </c>
      <c r="ML5">
        <f>IFERROR(VLOOKUP(ML$3&amp;"",Key!$A:$C,3,FALSE),"")</f>
        <v/>
      </c>
      <c r="MM5">
        <f>IFERROR(VLOOKUP(MM$3&amp;"",Key!$A:$C,3,FALSE),"")</f>
        <v/>
      </c>
      <c r="MN5">
        <f>IFERROR(VLOOKUP(MN$3&amp;"",Key!$A:$C,3,FALSE),"")</f>
        <v/>
      </c>
      <c r="MO5">
        <f>IFERROR(VLOOKUP(MO$3&amp;"",Key!$A:$C,3,FALSE),"")</f>
        <v/>
      </c>
      <c r="MP5">
        <f>IFERROR(VLOOKUP(MP$3&amp;"",Key!$A:$C,3,FALSE),"")</f>
        <v/>
      </c>
      <c r="MQ5">
        <f>IFERROR(VLOOKUP(MQ$3&amp;"",Key!$A:$C,3,FALSE),"")</f>
        <v/>
      </c>
      <c r="MR5">
        <f>IFERROR(VLOOKUP(MR$3&amp;"",Key!$A:$C,3,FALSE),"")</f>
        <v/>
      </c>
      <c r="MS5">
        <f>IFERROR(VLOOKUP(MS$3&amp;"",Key!$A:$C,3,FALSE),"")</f>
        <v/>
      </c>
      <c r="MT5">
        <f>IFERROR(VLOOKUP(MT$3&amp;"",Key!$A:$C,3,FALSE),"")</f>
        <v/>
      </c>
      <c r="MU5">
        <f>IFERROR(VLOOKUP(MU$3&amp;"",Key!$A:$C,3,FALSE),"")</f>
        <v/>
      </c>
      <c r="MV5">
        <f>IFERROR(VLOOKUP(MV$3&amp;"",Key!$A:$C,3,FALSE),"")</f>
        <v/>
      </c>
      <c r="MW5">
        <f>IFERROR(VLOOKUP(MW$3&amp;"",Key!$A:$C,3,FALSE),"")</f>
        <v/>
      </c>
      <c r="MX5">
        <f>IFERROR(VLOOKUP(MX$3&amp;"",Key!$A:$C,3,FALSE),"")</f>
        <v/>
      </c>
      <c r="MY5">
        <f>IFERROR(VLOOKUP(MY$3&amp;"",Key!$A:$C,3,FALSE),"")</f>
        <v/>
      </c>
      <c r="MZ5">
        <f>IFERROR(VLOOKUP(MZ$3&amp;"",Key!$A:$C,3,FALSE),"")</f>
        <v/>
      </c>
      <c r="NA5">
        <f>IFERROR(VLOOKUP(NA$3&amp;"",Key!$A:$C,3,FALSE),"")</f>
        <v/>
      </c>
      <c r="NB5">
        <f>IFERROR(VLOOKUP(NB$3&amp;"",Key!$A:$C,3,FALSE),"")</f>
        <v/>
      </c>
      <c r="NC5">
        <f>IFERROR(VLOOKUP(NC$3&amp;"",Key!$A:$C,3,FALSE),"")</f>
        <v/>
      </c>
      <c r="ND5">
        <f>IFERROR(VLOOKUP(ND$3&amp;"",Key!$A:$C,3,FALSE),"")</f>
        <v/>
      </c>
      <c r="NE5">
        <f>IFERROR(VLOOKUP(NE$3&amp;"",Key!$A:$C,3,FALSE),"")</f>
        <v/>
      </c>
      <c r="NF5">
        <f>IFERROR(VLOOKUP(NF$3&amp;"",Key!$A:$C,3,FALSE),"")</f>
        <v/>
      </c>
      <c r="NG5">
        <f>IFERROR(VLOOKUP(NG$3&amp;"",Key!$A:$C,3,FALSE),"")</f>
        <v/>
      </c>
      <c r="NH5">
        <f>IFERROR(VLOOKUP(NH$3&amp;"",Key!$A:$C,3,FALSE),"")</f>
        <v/>
      </c>
      <c r="NI5">
        <f>IFERROR(VLOOKUP(NI$3&amp;"",Key!$A:$C,3,FALSE),"")</f>
        <v/>
      </c>
      <c r="NJ5">
        <f>IFERROR(VLOOKUP(NJ$3&amp;"",Key!$A:$C,3,FALSE),"")</f>
        <v/>
      </c>
      <c r="NK5">
        <f>IFERROR(VLOOKUP(NK$3&amp;"",Key!$A:$C,3,FALSE),"")</f>
        <v/>
      </c>
      <c r="NL5">
        <f>IFERROR(VLOOKUP(NL$3&amp;"",Key!$A:$C,3,FALSE),"")</f>
        <v/>
      </c>
      <c r="NM5">
        <f>IFERROR(VLOOKUP(NM$3&amp;"",Key!$A:$C,3,FALSE),"")</f>
        <v/>
      </c>
      <c r="NN5">
        <f>IFERROR(VLOOKUP(NN$3&amp;"",Key!$A:$C,3,FALSE),"")</f>
        <v/>
      </c>
      <c r="NO5">
        <f>IFERROR(VLOOKUP(NO$3&amp;"",Key!$A:$C,3,FALSE),"")</f>
        <v/>
      </c>
      <c r="NP5">
        <f>IFERROR(VLOOKUP(NP$3&amp;"",Key!$A:$C,3,FALSE),"")</f>
        <v/>
      </c>
      <c r="NQ5">
        <f>IFERROR(VLOOKUP(NQ$3&amp;"",Key!$A:$C,3,FALSE),"")</f>
        <v/>
      </c>
      <c r="NR5">
        <f>IFERROR(VLOOKUP(NR$3&amp;"",Key!$A:$C,3,FALSE),"")</f>
        <v/>
      </c>
      <c r="NS5">
        <f>IFERROR(VLOOKUP(NS$3&amp;"",Key!$A:$C,3,FALSE),"")</f>
        <v/>
      </c>
      <c r="NT5">
        <f>IFERROR(VLOOKUP(NT$3&amp;"",Key!$A:$C,3,FALSE),"")</f>
        <v/>
      </c>
      <c r="NU5">
        <f>IFERROR(VLOOKUP(NU$3&amp;"",Key!$A:$C,3,FALSE),"")</f>
        <v/>
      </c>
      <c r="NV5">
        <f>IFERROR(VLOOKUP(NV$3&amp;"",Key!$A:$C,3,FALSE),"")</f>
        <v/>
      </c>
      <c r="NW5">
        <f>IFERROR(VLOOKUP(NW$3&amp;"",Key!$A:$C,3,FALSE),"")</f>
        <v/>
      </c>
      <c r="NX5">
        <f>IFERROR(VLOOKUP(NX$3&amp;"",Key!$A:$C,3,FALSE),"")</f>
        <v/>
      </c>
      <c r="NY5">
        <f>IFERROR(VLOOKUP(NY$3&amp;"",Key!$A:$C,3,FALSE),"")</f>
        <v/>
      </c>
      <c r="NZ5">
        <f>IFERROR(VLOOKUP(NZ$3&amp;"",Key!$A:$C,3,FALSE),"")</f>
        <v/>
      </c>
      <c r="OA5">
        <f>IFERROR(VLOOKUP(OA$3&amp;"",Key!$A:$C,3,FALSE),"")</f>
        <v/>
      </c>
      <c r="OB5">
        <f>IFERROR(VLOOKUP(OB$3&amp;"",Key!$A:$C,3,FALSE),"")</f>
        <v/>
      </c>
      <c r="OC5">
        <f>IFERROR(VLOOKUP(OC$3&amp;"",Key!$A:$C,3,FALSE),"")</f>
        <v/>
      </c>
      <c r="OD5">
        <f>IFERROR(VLOOKUP(OD$3&amp;"",Key!$A:$C,3,FALSE),"")</f>
        <v/>
      </c>
      <c r="OE5">
        <f>IFERROR(VLOOKUP(OE$3&amp;"",Key!$A:$C,3,FALSE),"")</f>
        <v/>
      </c>
      <c r="OF5">
        <f>IFERROR(VLOOKUP(OF$3&amp;"",Key!$A:$C,3,FALSE),"")</f>
        <v/>
      </c>
      <c r="OG5">
        <f>IFERROR(VLOOKUP(OG$3&amp;"",Key!$A:$C,3,FALSE),"")</f>
        <v/>
      </c>
      <c r="OH5">
        <f>IFERROR(VLOOKUP(OH$3&amp;"",Key!$A:$C,3,FALSE),"")</f>
        <v/>
      </c>
      <c r="OI5">
        <f>IFERROR(VLOOKUP(OI$3&amp;"",Key!$A:$C,3,FALSE),"")</f>
        <v/>
      </c>
      <c r="OJ5">
        <f>IFERROR(VLOOKUP(OJ$3&amp;"",Key!$A:$C,3,FALSE),"")</f>
        <v/>
      </c>
      <c r="OK5">
        <f>IFERROR(VLOOKUP(OK$3&amp;"",Key!$A:$C,3,FALSE),"")</f>
        <v/>
      </c>
      <c r="OL5">
        <f>IFERROR(VLOOKUP(OL$3&amp;"",Key!$A:$C,3,FALSE),"")</f>
        <v/>
      </c>
      <c r="OM5">
        <f>IFERROR(VLOOKUP(OM$3&amp;"",Key!$A:$C,3,FALSE),"")</f>
        <v/>
      </c>
      <c r="ON5">
        <f>IFERROR(VLOOKUP(ON$3&amp;"",Key!$A:$C,3,FALSE),"")</f>
        <v/>
      </c>
      <c r="OO5">
        <f>IFERROR(VLOOKUP(OO$3&amp;"",Key!$A:$C,3,FALSE),"")</f>
        <v/>
      </c>
      <c r="OP5">
        <f>IFERROR(VLOOKUP(OP$3&amp;"",Key!$A:$C,3,FALSE),"")</f>
        <v/>
      </c>
      <c r="OQ5">
        <f>IFERROR(VLOOKUP(OQ$3&amp;"",Key!$A:$C,3,FALSE),"")</f>
        <v/>
      </c>
      <c r="OR5">
        <f>IFERROR(VLOOKUP(OR$3&amp;"",Key!$A:$C,3,FALSE),"")</f>
        <v/>
      </c>
      <c r="OS5">
        <f>IFERROR(VLOOKUP(OS$3&amp;"",Key!$A:$C,3,FALSE),"")</f>
        <v/>
      </c>
      <c r="OT5">
        <f>IFERROR(VLOOKUP(OT$3&amp;"",Key!$A:$C,3,FALSE),"")</f>
        <v/>
      </c>
      <c r="OU5">
        <f>IFERROR(VLOOKUP(OU$3&amp;"",Key!$A:$C,3,FALSE),"")</f>
        <v/>
      </c>
      <c r="OV5">
        <f>IFERROR(VLOOKUP(OV$3&amp;"",Key!$A:$C,3,FALSE),"")</f>
        <v/>
      </c>
      <c r="OW5">
        <f>IFERROR(VLOOKUP(OW$3&amp;"",Key!$A:$C,3,FALSE),"")</f>
        <v/>
      </c>
      <c r="OX5">
        <f>IFERROR(VLOOKUP(OX$3&amp;"",Key!$A:$C,3,FALSE),"")</f>
        <v/>
      </c>
      <c r="OY5">
        <f>IFERROR(VLOOKUP(OY$3&amp;"",Key!$A:$C,3,FALSE),"")</f>
        <v/>
      </c>
      <c r="OZ5">
        <f>IFERROR(VLOOKUP(OZ$3&amp;"",Key!$A:$C,3,FALSE),"")</f>
        <v/>
      </c>
      <c r="PA5">
        <f>IFERROR(VLOOKUP(PA$3&amp;"",Key!$A:$C,3,FALSE),"")</f>
        <v/>
      </c>
      <c r="PB5">
        <f>IFERROR(VLOOKUP(PB$3&amp;"",Key!$A:$C,3,FALSE),"")</f>
        <v/>
      </c>
      <c r="PC5">
        <f>IFERROR(VLOOKUP(PC$3&amp;"",Key!$A:$C,3,FALSE),"")</f>
        <v/>
      </c>
      <c r="PD5">
        <f>IFERROR(VLOOKUP(PD$3&amp;"",Key!$A:$C,3,FALSE),"")</f>
        <v/>
      </c>
      <c r="PE5">
        <f>IFERROR(VLOOKUP(PE$3&amp;"",Key!$A:$C,3,FALSE),"")</f>
        <v/>
      </c>
      <c r="PF5">
        <f>IFERROR(VLOOKUP(PF$3&amp;"",Key!$A:$C,3,FALSE),"")</f>
        <v/>
      </c>
      <c r="PG5">
        <f>IFERROR(VLOOKUP(PG$3&amp;"",Key!$A:$C,3,FALSE),"")</f>
        <v/>
      </c>
      <c r="PH5">
        <f>IFERROR(VLOOKUP(PH$3&amp;"",Key!$A:$C,3,FALSE),"")</f>
        <v/>
      </c>
      <c r="PI5">
        <f>IFERROR(VLOOKUP(PI$3&amp;"",Key!$A:$C,3,FALSE),"")</f>
        <v/>
      </c>
      <c r="PJ5">
        <f>IFERROR(VLOOKUP(PJ$3&amp;"",Key!$A:$C,3,FALSE),"")</f>
        <v/>
      </c>
      <c r="PK5">
        <f>IFERROR(VLOOKUP(PK$3&amp;"",Key!$A:$C,3,FALSE),"")</f>
        <v/>
      </c>
    </row>
    <row r="6">
      <c r="A6" s="1" t="inlineStr">
        <is>
          <t>Mixed-leaf scope</t>
        </is>
      </c>
      <c r="M6" t="inlineStr">
        <is>
          <t>Forestry, fishing, and related activities</t>
        </is>
      </c>
      <c r="N6" t="inlineStr">
        <is>
          <t>Forestry, fishing, and related activities</t>
        </is>
      </c>
      <c r="O6" t="inlineStr">
        <is>
          <t>Forestry, fishing, and related activities</t>
        </is>
      </c>
      <c r="Q6" t="inlineStr">
        <is>
          <t>Mining, except oil and gas</t>
        </is>
      </c>
      <c r="R6" t="inlineStr">
        <is>
          <t>Mining, except oil and gas</t>
        </is>
      </c>
      <c r="S6" t="inlineStr">
        <is>
          <t>Mining, except oil and gas</t>
        </is>
      </c>
      <c r="T6" t="inlineStr">
        <is>
          <t>Mining, except oil and gas</t>
        </is>
      </c>
      <c r="U6" t="inlineStr">
        <is>
          <t>Mining, except oil and gas</t>
        </is>
      </c>
      <c r="X6" t="inlineStr">
        <is>
          <t>Utilities</t>
        </is>
      </c>
      <c r="Y6" t="inlineStr">
        <is>
          <t>Utilities</t>
        </is>
      </c>
      <c r="Z6" t="inlineStr">
        <is>
          <t>Utilities</t>
        </is>
      </c>
      <c r="AQ6" t="inlineStr">
        <is>
          <t>Nonmetallic mineral products</t>
        </is>
      </c>
      <c r="AR6" t="inlineStr">
        <is>
          <t>Nonmetallic mineral products</t>
        </is>
      </c>
      <c r="AS6" t="inlineStr">
        <is>
          <t>Nonmetallic mineral products</t>
        </is>
      </c>
      <c r="AT6" t="inlineStr">
        <is>
          <t>Nonmetallic mineral products</t>
        </is>
      </c>
      <c r="AU6" t="inlineStr">
        <is>
          <t>Nonmetallic mineral products</t>
        </is>
      </c>
      <c r="AV6" t="inlineStr">
        <is>
          <t>Nonmetallic mineral products</t>
        </is>
      </c>
      <c r="AW6" t="inlineStr">
        <is>
          <t>Nonmetallic mineral products</t>
        </is>
      </c>
      <c r="AX6" t="inlineStr">
        <is>
          <t>Nonmetallic mineral products</t>
        </is>
      </c>
      <c r="AY6" t="inlineStr">
        <is>
          <t>Nonmetallic mineral products</t>
        </is>
      </c>
      <c r="AZ6" t="inlineStr">
        <is>
          <t>Nonmetallic mineral products</t>
        </is>
      </c>
      <c r="BA6" t="inlineStr">
        <is>
          <t>Nonmetallic mineral products</t>
        </is>
      </c>
      <c r="BB6" t="inlineStr">
        <is>
          <t>Nonmetallic mineral products</t>
        </is>
      </c>
      <c r="BC6" t="inlineStr">
        <is>
          <t>Primary metals</t>
        </is>
      </c>
      <c r="BD6" t="inlineStr">
        <is>
          <t>Primary metals</t>
        </is>
      </c>
      <c r="BE6" t="inlineStr">
        <is>
          <t>Primary metals</t>
        </is>
      </c>
      <c r="BF6" t="inlineStr">
        <is>
          <t>Primary metals</t>
        </is>
      </c>
      <c r="BG6" t="inlineStr">
        <is>
          <t>Primary metals</t>
        </is>
      </c>
      <c r="BH6" t="inlineStr">
        <is>
          <t>Primary metals</t>
        </is>
      </c>
      <c r="BI6" t="inlineStr">
        <is>
          <t>Primary metals</t>
        </is>
      </c>
      <c r="BJ6" t="inlineStr">
        <is>
          <t>Primary metals</t>
        </is>
      </c>
      <c r="BK6" t="inlineStr">
        <is>
          <t>Primary metals</t>
        </is>
      </c>
      <c r="BL6" t="inlineStr">
        <is>
          <t>Primary metals</t>
        </is>
      </c>
      <c r="FE6" t="inlineStr">
        <is>
          <t>Other transportation equipment</t>
        </is>
      </c>
      <c r="FF6" t="inlineStr">
        <is>
          <t>Other transportation equipment</t>
        </is>
      </c>
      <c r="FG6" t="inlineStr">
        <is>
          <t>Other transportation equipment</t>
        </is>
      </c>
      <c r="FH6" t="inlineStr">
        <is>
          <t>Other transportation equipment</t>
        </is>
      </c>
      <c r="FI6" t="inlineStr">
        <is>
          <t>Other transportation equipment</t>
        </is>
      </c>
      <c r="FJ6" t="inlineStr">
        <is>
          <t>Other transportation equipment</t>
        </is>
      </c>
      <c r="FK6" t="inlineStr">
        <is>
          <t>Other transportation equipment</t>
        </is>
      </c>
      <c r="FL6" t="inlineStr">
        <is>
          <t>Other transportation equipment</t>
        </is>
      </c>
      <c r="FM6" t="inlineStr">
        <is>
          <t>Other transportation equipment</t>
        </is>
      </c>
      <c r="FN6" t="inlineStr">
        <is>
          <t>Other transportation equipment</t>
        </is>
      </c>
      <c r="FO6" t="inlineStr">
        <is>
          <t>Other transportation equipment</t>
        </is>
      </c>
      <c r="IH6" t="inlineStr">
        <is>
          <t>Chemical products</t>
        </is>
      </c>
      <c r="II6" t="inlineStr">
        <is>
          <t>Chemical products</t>
        </is>
      </c>
      <c r="IJ6" t="inlineStr">
        <is>
          <t>Chemical products</t>
        </is>
      </c>
      <c r="IK6" t="inlineStr">
        <is>
          <t>Chemical products</t>
        </is>
      </c>
      <c r="IL6" t="inlineStr">
        <is>
          <t>Chemical products</t>
        </is>
      </c>
      <c r="IM6" t="inlineStr">
        <is>
          <t>Chemical products</t>
        </is>
      </c>
      <c r="IN6" t="inlineStr">
        <is>
          <t>Chemical products</t>
        </is>
      </c>
      <c r="IO6" t="inlineStr">
        <is>
          <t>Chemical products</t>
        </is>
      </c>
      <c r="IP6" t="inlineStr">
        <is>
          <t>Chemical products</t>
        </is>
      </c>
      <c r="IQ6" t="inlineStr">
        <is>
          <t>Chemical products</t>
        </is>
      </c>
      <c r="IR6" t="inlineStr">
        <is>
          <t>Chemical products</t>
        </is>
      </c>
      <c r="IS6" t="inlineStr">
        <is>
          <t>Chemical products</t>
        </is>
      </c>
      <c r="IT6" t="inlineStr">
        <is>
          <t>Chemical products</t>
        </is>
      </c>
      <c r="IU6" t="inlineStr">
        <is>
          <t>Chemical products</t>
        </is>
      </c>
      <c r="IV6" t="inlineStr">
        <is>
          <t>Chemical products</t>
        </is>
      </c>
      <c r="IW6" t="inlineStr">
        <is>
          <t>Chemical products</t>
        </is>
      </c>
      <c r="IX6" t="inlineStr">
        <is>
          <t>Chemical products</t>
        </is>
      </c>
      <c r="IY6" t="inlineStr">
        <is>
          <t>Chemical products</t>
        </is>
      </c>
      <c r="IZ6" t="inlineStr">
        <is>
          <t>Chemical products</t>
        </is>
      </c>
      <c r="KK6" t="inlineStr">
        <is>
          <t>Other transportation and support activities</t>
        </is>
      </c>
      <c r="KL6" t="inlineStr">
        <is>
          <t>Other transportation and support activities</t>
        </is>
      </c>
      <c r="KU6" t="inlineStr">
        <is>
          <t>Broadcasting and telecommunications</t>
        </is>
      </c>
      <c r="KV6" t="inlineStr">
        <is>
          <t>Broadcasting and telecommunications</t>
        </is>
      </c>
      <c r="KW6" t="inlineStr">
        <is>
          <t>Broadcasting and telecommunications</t>
        </is>
      </c>
      <c r="KX6" t="inlineStr">
        <is>
          <t>Broadcasting and telecommunications</t>
        </is>
      </c>
      <c r="KY6" t="inlineStr">
        <is>
          <t>Broadcasting and telecommunications</t>
        </is>
      </c>
      <c r="NR6" t="inlineStr">
        <is>
          <t>Other services, except government</t>
        </is>
      </c>
      <c r="NS6" t="inlineStr">
        <is>
          <t>Other services, except government</t>
        </is>
      </c>
      <c r="NT6" t="inlineStr">
        <is>
          <t>Other services, except government</t>
        </is>
      </c>
      <c r="NU6" t="inlineStr">
        <is>
          <t>Other services, except government</t>
        </is>
      </c>
      <c r="NV6" t="inlineStr">
        <is>
          <t>Other services, except government</t>
        </is>
      </c>
      <c r="NW6" t="inlineStr">
        <is>
          <t>Other services, except government</t>
        </is>
      </c>
      <c r="NX6" t="inlineStr">
        <is>
          <t>Other services, except government</t>
        </is>
      </c>
      <c r="NY6" t="inlineStr">
        <is>
          <t>Other services, except government</t>
        </is>
      </c>
      <c r="NZ6" t="inlineStr">
        <is>
          <t>Other services, except government</t>
        </is>
      </c>
      <c r="OA6" t="inlineStr">
        <is>
          <t>Other services, except government</t>
        </is>
      </c>
      <c r="OB6" t="inlineStr">
        <is>
          <t>Other services, except government</t>
        </is>
      </c>
      <c r="OC6" t="inlineStr">
        <is>
          <t>Other services, except government</t>
        </is>
      </c>
      <c r="OG6" t="inlineStr">
        <is>
          <t>Government enterprises#1</t>
        </is>
      </c>
      <c r="OH6" t="inlineStr">
        <is>
          <t>Government enterprises#1</t>
        </is>
      </c>
      <c r="OL6" t="inlineStr">
        <is>
          <t>Government enterprises#2</t>
        </is>
      </c>
      <c r="OM6" t="inlineStr">
        <is>
          <t>Government enterprises#2</t>
        </is>
      </c>
      <c r="ON6" t="inlineStr">
        <is>
          <t>Government enterprises#2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18" customWidth="1" min="3" max="3"/>
    <col width="16" customWidth="1" min="6" max="6"/>
    <col width="28" customWidth="1" min="7" max="7"/>
  </cols>
  <sheetData>
    <row r="1">
      <c r="A1" s="1" t="inlineStr">
        <is>
          <t>BEA detail code</t>
        </is>
      </c>
      <c r="B1" s="1" t="inlineStr">
        <is>
          <t>Description (from BEA)</t>
        </is>
      </c>
      <c r="C1" s="1" t="inlineStr">
        <is>
          <t>EPS ISIC code (editable)</t>
        </is>
      </c>
      <c r="E1" s="1" t="inlineStr">
        <is>
          <t>#</t>
        </is>
      </c>
      <c r="F1" s="1" t="inlineStr">
        <is>
          <t>EPS ISIC code (canonical order)</t>
        </is>
      </c>
      <c r="G1" s="1" t="inlineStr">
        <is>
          <t>OECD source (blank = carve child)</t>
        </is>
      </c>
      <c r="I1" s="1" t="inlineStr">
        <is>
          <t>Carve parent (OECD)</t>
        </is>
      </c>
      <c r="J1" s="1" t="inlineStr">
        <is>
          <t>Child 1</t>
        </is>
      </c>
      <c r="K1" s="1" t="inlineStr">
        <is>
          <t>Child 2</t>
        </is>
      </c>
    </row>
    <row r="2">
      <c r="A2" t="inlineStr">
        <is>
          <t>1111A0</t>
        </is>
      </c>
      <c r="B2" t="inlineStr">
        <is>
          <t>Oilseed farming</t>
        </is>
      </c>
      <c r="C2" t="inlineStr">
        <is>
          <t>ISIC 01</t>
        </is>
      </c>
      <c r="E2" t="n">
        <v>1</v>
      </c>
      <c r="F2" t="inlineStr">
        <is>
          <t>ISIC 01</t>
        </is>
      </c>
      <c r="G2" t="inlineStr">
        <is>
          <t>A01</t>
        </is>
      </c>
      <c r="I2" t="inlineStr">
        <is>
          <t>C23</t>
        </is>
      </c>
      <c r="J2" t="inlineStr">
        <is>
          <t>ISIC 231</t>
        </is>
      </c>
      <c r="K2" t="inlineStr">
        <is>
          <t>ISIC 239</t>
        </is>
      </c>
    </row>
    <row r="3">
      <c r="A3" t="inlineStr">
        <is>
          <t>1111B0</t>
        </is>
      </c>
      <c r="B3" t="inlineStr">
        <is>
          <t>Grain farming</t>
        </is>
      </c>
      <c r="C3" t="inlineStr">
        <is>
          <t>ISIC 01</t>
        </is>
      </c>
      <c r="E3" t="n">
        <v>2</v>
      </c>
      <c r="F3" t="inlineStr">
        <is>
          <t>ISIC 02</t>
        </is>
      </c>
      <c r="G3" t="inlineStr">
        <is>
          <t>A02</t>
        </is>
      </c>
      <c r="I3" t="inlineStr">
        <is>
          <t>D</t>
        </is>
      </c>
      <c r="J3" t="inlineStr">
        <is>
          <t>ISIC 351</t>
        </is>
      </c>
      <c r="K3" t="inlineStr">
        <is>
          <t>ISIC 352T353</t>
        </is>
      </c>
    </row>
    <row r="4">
      <c r="A4" t="inlineStr">
        <is>
          <t>111200</t>
        </is>
      </c>
      <c r="B4" t="inlineStr">
        <is>
          <t>Vegetable and melon farming</t>
        </is>
      </c>
      <c r="C4" t="inlineStr">
        <is>
          <t>ISIC 01</t>
        </is>
      </c>
      <c r="E4" t="n">
        <v>3</v>
      </c>
      <c r="F4" t="inlineStr">
        <is>
          <t>ISIC 03</t>
        </is>
      </c>
      <c r="G4" t="inlineStr">
        <is>
          <t>A03</t>
        </is>
      </c>
    </row>
    <row r="5">
      <c r="A5" t="inlineStr">
        <is>
          <t>111300</t>
        </is>
      </c>
      <c r="B5" t="inlineStr">
        <is>
          <t>Fruit and tree nut farming</t>
        </is>
      </c>
      <c r="C5" t="inlineStr">
        <is>
          <t>ISIC 01</t>
        </is>
      </c>
      <c r="E5" t="n">
        <v>4</v>
      </c>
      <c r="F5" t="inlineStr">
        <is>
          <t>ISIC 05</t>
        </is>
      </c>
      <c r="G5" t="inlineStr">
        <is>
          <t>B05</t>
        </is>
      </c>
    </row>
    <row r="6">
      <c r="A6" t="inlineStr">
        <is>
          <t>111400</t>
        </is>
      </c>
      <c r="B6" t="inlineStr">
        <is>
          <t>Greenhouse, nursery, and floriculture production</t>
        </is>
      </c>
      <c r="C6" t="inlineStr">
        <is>
          <t>ISIC 01</t>
        </is>
      </c>
      <c r="E6" t="n">
        <v>5</v>
      </c>
      <c r="F6" t="inlineStr">
        <is>
          <t>ISIC 06</t>
        </is>
      </c>
      <c r="G6" t="inlineStr">
        <is>
          <t>B06</t>
        </is>
      </c>
    </row>
    <row r="7">
      <c r="A7" t="inlineStr">
        <is>
          <t>111900</t>
        </is>
      </c>
      <c r="B7" t="inlineStr">
        <is>
          <t>Other crop farming</t>
        </is>
      </c>
      <c r="C7" t="inlineStr">
        <is>
          <t>ISIC 01</t>
        </is>
      </c>
      <c r="E7" t="n">
        <v>6</v>
      </c>
      <c r="F7" t="inlineStr">
        <is>
          <t>ISIC 07</t>
        </is>
      </c>
      <c r="G7" t="inlineStr">
        <is>
          <t>B07</t>
        </is>
      </c>
    </row>
    <row r="8">
      <c r="A8" t="inlineStr">
        <is>
          <t>112120</t>
        </is>
      </c>
      <c r="B8" t="inlineStr">
        <is>
          <t>Dairy cattle and milk production</t>
        </is>
      </c>
      <c r="C8" t="inlineStr">
        <is>
          <t>ISIC 01</t>
        </is>
      </c>
      <c r="E8" t="n">
        <v>7</v>
      </c>
      <c r="F8" t="inlineStr">
        <is>
          <t>ISIC 08</t>
        </is>
      </c>
      <c r="G8" t="inlineStr">
        <is>
          <t>B08</t>
        </is>
      </c>
    </row>
    <row r="9">
      <c r="A9" t="inlineStr">
        <is>
          <t>1121A0</t>
        </is>
      </c>
      <c r="B9" t="inlineStr">
        <is>
          <t>Beef cattle ranching and farming, including feedlots and dual-purpose ranching and farming</t>
        </is>
      </c>
      <c r="C9" t="inlineStr">
        <is>
          <t>ISIC 01</t>
        </is>
      </c>
      <c r="E9" t="n">
        <v>8</v>
      </c>
      <c r="F9" t="inlineStr">
        <is>
          <t>ISIC 09</t>
        </is>
      </c>
      <c r="G9" t="inlineStr">
        <is>
          <t>B09</t>
        </is>
      </c>
    </row>
    <row r="10">
      <c r="A10" t="inlineStr">
        <is>
          <t>112300</t>
        </is>
      </c>
      <c r="B10" t="inlineStr">
        <is>
          <t>Poultry and egg production</t>
        </is>
      </c>
      <c r="C10" t="inlineStr">
        <is>
          <t>ISIC 01</t>
        </is>
      </c>
      <c r="E10" t="n">
        <v>9</v>
      </c>
      <c r="F10" t="inlineStr">
        <is>
          <t>ISIC 10T12</t>
        </is>
      </c>
      <c r="G10" t="inlineStr">
        <is>
          <t>C10T12</t>
        </is>
      </c>
    </row>
    <row r="11">
      <c r="A11" t="inlineStr">
        <is>
          <t>112A00</t>
        </is>
      </c>
      <c r="B11" t="inlineStr">
        <is>
          <t>Animal production, except cattle and poultry and eggs</t>
        </is>
      </c>
      <c r="C11" t="inlineStr">
        <is>
          <t>ISIC 01</t>
        </is>
      </c>
      <c r="E11" t="n">
        <v>10</v>
      </c>
      <c r="F11" t="inlineStr">
        <is>
          <t>ISIC 13T15</t>
        </is>
      </c>
      <c r="G11" t="inlineStr">
        <is>
          <t>C13T15</t>
        </is>
      </c>
    </row>
    <row r="12">
      <c r="A12" t="inlineStr">
        <is>
          <t>113000</t>
        </is>
      </c>
      <c r="B12" t="inlineStr">
        <is>
          <t>Forestry and logging</t>
        </is>
      </c>
      <c r="C12" t="inlineStr">
        <is>
          <t>ISIC 02</t>
        </is>
      </c>
      <c r="E12" t="n">
        <v>11</v>
      </c>
      <c r="F12" t="inlineStr">
        <is>
          <t>ISIC 16</t>
        </is>
      </c>
      <c r="G12" t="inlineStr">
        <is>
          <t>C16</t>
        </is>
      </c>
    </row>
    <row r="13">
      <c r="A13" t="inlineStr">
        <is>
          <t>114000</t>
        </is>
      </c>
      <c r="B13" t="inlineStr">
        <is>
          <t>Fishing, hunting and trapping</t>
        </is>
      </c>
      <c r="C13" t="inlineStr">
        <is>
          <t>ISIC 03</t>
        </is>
      </c>
      <c r="E13" t="n">
        <v>12</v>
      </c>
      <c r="F13" t="inlineStr">
        <is>
          <t>ISIC 17T18</t>
        </is>
      </c>
      <c r="G13" t="inlineStr">
        <is>
          <t>C17_18</t>
        </is>
      </c>
    </row>
    <row r="14">
      <c r="A14" t="inlineStr">
        <is>
          <t>115000</t>
        </is>
      </c>
      <c r="B14" t="inlineStr">
        <is>
          <t>Support activities for agriculture and forestry</t>
        </is>
      </c>
      <c r="C14" t="inlineStr">
        <is>
          <t>ISIC 01</t>
        </is>
      </c>
      <c r="E14" t="n">
        <v>13</v>
      </c>
      <c r="F14" t="inlineStr">
        <is>
          <t>ISIC 19</t>
        </is>
      </c>
      <c r="G14" t="inlineStr">
        <is>
          <t>C19</t>
        </is>
      </c>
    </row>
    <row r="15">
      <c r="A15" t="inlineStr">
        <is>
          <t>211000</t>
        </is>
      </c>
      <c r="B15" t="inlineStr">
        <is>
          <t>Oil and gas extraction</t>
        </is>
      </c>
      <c r="C15" t="inlineStr">
        <is>
          <t>ISIC 06</t>
        </is>
      </c>
      <c r="E15" t="n">
        <v>14</v>
      </c>
      <c r="F15" t="inlineStr">
        <is>
          <t>ISIC 20</t>
        </is>
      </c>
      <c r="G15" t="inlineStr">
        <is>
          <t>C20</t>
        </is>
      </c>
    </row>
    <row r="16">
      <c r="A16" t="inlineStr">
        <is>
          <t>212100</t>
        </is>
      </c>
      <c r="B16" t="inlineStr">
        <is>
          <t>Coal mining</t>
        </is>
      </c>
      <c r="C16" t="inlineStr">
        <is>
          <t>ISIC 05</t>
        </is>
      </c>
      <c r="E16" t="n">
        <v>15</v>
      </c>
      <c r="F16" t="inlineStr">
        <is>
          <t>ISIC 21</t>
        </is>
      </c>
      <c r="G16" t="inlineStr">
        <is>
          <t>C21</t>
        </is>
      </c>
    </row>
    <row r="17">
      <c r="A17" t="inlineStr">
        <is>
          <t>212230</t>
        </is>
      </c>
      <c r="B17" t="inlineStr">
        <is>
          <t>Copper, nickel, lead, and zinc mining</t>
        </is>
      </c>
      <c r="C17" t="inlineStr">
        <is>
          <t>ISIC 07</t>
        </is>
      </c>
      <c r="E17" t="n">
        <v>16</v>
      </c>
      <c r="F17" t="inlineStr">
        <is>
          <t>ISIC 22</t>
        </is>
      </c>
      <c r="G17" t="inlineStr">
        <is>
          <t>C22</t>
        </is>
      </c>
    </row>
    <row r="18">
      <c r="A18" t="inlineStr">
        <is>
          <t>2122A0</t>
        </is>
      </c>
      <c r="B18" t="inlineStr">
        <is>
          <t>Iron, gold, silver, and other metal ore mining</t>
        </is>
      </c>
      <c r="C18" t="inlineStr">
        <is>
          <t>ISIC 07</t>
        </is>
      </c>
      <c r="E18" t="n">
        <v>17</v>
      </c>
      <c r="F18" t="inlineStr">
        <is>
          <t>ISIC 231</t>
        </is>
      </c>
      <c r="G18" t="inlineStr"/>
    </row>
    <row r="19">
      <c r="A19" t="inlineStr">
        <is>
          <t>212310</t>
        </is>
      </c>
      <c r="B19" t="inlineStr">
        <is>
          <t>Stone mining and quarrying</t>
        </is>
      </c>
      <c r="C19" t="inlineStr">
        <is>
          <t>ISIC 08</t>
        </is>
      </c>
      <c r="E19" t="n">
        <v>18</v>
      </c>
      <c r="F19" t="inlineStr">
        <is>
          <t>ISIC 239</t>
        </is>
      </c>
      <c r="G19" t="inlineStr"/>
    </row>
    <row r="20">
      <c r="A20" t="inlineStr">
        <is>
          <t>2123A0</t>
        </is>
      </c>
      <c r="B20" t="inlineStr">
        <is>
          <t>Other nonmetallic mineral mining and quarrying</t>
        </is>
      </c>
      <c r="C20" t="inlineStr">
        <is>
          <t>ISIC 08</t>
        </is>
      </c>
      <c r="E20" t="n">
        <v>19</v>
      </c>
      <c r="F20" t="inlineStr">
        <is>
          <t>ISIC 241</t>
        </is>
      </c>
      <c r="G20" t="inlineStr">
        <is>
          <t>C24A</t>
        </is>
      </c>
    </row>
    <row r="21">
      <c r="A21" t="inlineStr">
        <is>
          <t>213111</t>
        </is>
      </c>
      <c r="B21" t="inlineStr">
        <is>
          <t>Drilling oil and gas wells</t>
        </is>
      </c>
      <c r="C21" t="inlineStr">
        <is>
          <t>ISIC 09</t>
        </is>
      </c>
      <c r="E21" t="n">
        <v>20</v>
      </c>
      <c r="F21" t="inlineStr">
        <is>
          <t>ISIC 242</t>
        </is>
      </c>
      <c r="G21" t="inlineStr">
        <is>
          <t>C24B</t>
        </is>
      </c>
    </row>
    <row r="22">
      <c r="A22" t="inlineStr">
        <is>
          <t>21311A</t>
        </is>
      </c>
      <c r="B22" t="inlineStr">
        <is>
          <t>Other support activities for mining</t>
        </is>
      </c>
      <c r="C22" t="inlineStr">
        <is>
          <t>ISIC 09</t>
        </is>
      </c>
      <c r="E22" t="n">
        <v>21</v>
      </c>
      <c r="F22" t="inlineStr">
        <is>
          <t>ISIC 25</t>
        </is>
      </c>
      <c r="G22" t="inlineStr">
        <is>
          <t>C25</t>
        </is>
      </c>
    </row>
    <row r="23">
      <c r="A23" t="inlineStr">
        <is>
          <t>221100</t>
        </is>
      </c>
      <c r="B23" t="inlineStr">
        <is>
          <t>Electric power generation, transmission, and distribution</t>
        </is>
      </c>
      <c r="C23" t="inlineStr">
        <is>
          <t>ISIC 351</t>
        </is>
      </c>
      <c r="E23" t="n">
        <v>22</v>
      </c>
      <c r="F23" t="inlineStr">
        <is>
          <t>ISIC 26</t>
        </is>
      </c>
      <c r="G23" t="inlineStr">
        <is>
          <t>C26</t>
        </is>
      </c>
    </row>
    <row r="24">
      <c r="A24" t="inlineStr">
        <is>
          <t>221200</t>
        </is>
      </c>
      <c r="B24" t="inlineStr">
        <is>
          <t>Natural gas distribution</t>
        </is>
      </c>
      <c r="C24" t="inlineStr">
        <is>
          <t>ISIC 352T353</t>
        </is>
      </c>
      <c r="E24" t="n">
        <v>23</v>
      </c>
      <c r="F24" t="inlineStr">
        <is>
          <t>ISIC 27</t>
        </is>
      </c>
      <c r="G24" t="inlineStr">
        <is>
          <t>C27</t>
        </is>
      </c>
    </row>
    <row r="25">
      <c r="A25" t="inlineStr">
        <is>
          <t>221300</t>
        </is>
      </c>
      <c r="B25" t="inlineStr">
        <is>
          <t>Water, sewage and other systems</t>
        </is>
      </c>
      <c r="C25" t="inlineStr">
        <is>
          <t>ISIC 36T39</t>
        </is>
      </c>
      <c r="E25" t="n">
        <v>24</v>
      </c>
      <c r="F25" t="inlineStr">
        <is>
          <t>ISIC 28</t>
        </is>
      </c>
      <c r="G25" t="inlineStr">
        <is>
          <t>C28</t>
        </is>
      </c>
    </row>
    <row r="26">
      <c r="A26" t="inlineStr">
        <is>
          <t>230301</t>
        </is>
      </c>
      <c r="B26" t="inlineStr">
        <is>
          <t>Nonresidential maintenance and repair</t>
        </is>
      </c>
      <c r="C26" t="inlineStr">
        <is>
          <t>ISIC 41T43</t>
        </is>
      </c>
      <c r="E26" t="n">
        <v>25</v>
      </c>
      <c r="F26" t="inlineStr">
        <is>
          <t>ISIC 29</t>
        </is>
      </c>
      <c r="G26" t="inlineStr">
        <is>
          <t>C29</t>
        </is>
      </c>
    </row>
    <row r="27">
      <c r="A27" t="inlineStr">
        <is>
          <t>230302</t>
        </is>
      </c>
      <c r="B27" t="inlineStr">
        <is>
          <t>Residential maintenance and repair</t>
        </is>
      </c>
      <c r="C27" t="inlineStr">
        <is>
          <t>ISIC 41T43</t>
        </is>
      </c>
      <c r="E27" t="n">
        <v>26</v>
      </c>
      <c r="F27" t="inlineStr">
        <is>
          <t>ISIC 301</t>
        </is>
      </c>
      <c r="G27" t="inlineStr">
        <is>
          <t>C301</t>
        </is>
      </c>
    </row>
    <row r="28">
      <c r="A28" t="inlineStr">
        <is>
          <t>233210</t>
        </is>
      </c>
      <c r="B28" t="inlineStr">
        <is>
          <t>Health care structures</t>
        </is>
      </c>
      <c r="C28" t="inlineStr">
        <is>
          <t>ISIC 41T43</t>
        </is>
      </c>
      <c r="E28" t="n">
        <v>27</v>
      </c>
      <c r="F28" t="inlineStr">
        <is>
          <t>ISIC 302T309</t>
        </is>
      </c>
      <c r="G28" t="inlineStr">
        <is>
          <t>C302T309</t>
        </is>
      </c>
    </row>
    <row r="29">
      <c r="A29" t="inlineStr">
        <is>
          <t>233230</t>
        </is>
      </c>
      <c r="B29" t="inlineStr">
        <is>
          <t>Manufacturing structures</t>
        </is>
      </c>
      <c r="C29" t="inlineStr">
        <is>
          <t>ISIC 41T43</t>
        </is>
      </c>
      <c r="E29" t="n">
        <v>28</v>
      </c>
      <c r="F29" t="inlineStr">
        <is>
          <t>ISIC 31T33</t>
        </is>
      </c>
      <c r="G29" t="inlineStr">
        <is>
          <t>C31T33</t>
        </is>
      </c>
    </row>
    <row r="30">
      <c r="A30" t="inlineStr">
        <is>
          <t>233240</t>
        </is>
      </c>
      <c r="B30" t="inlineStr">
        <is>
          <t>Power and communication structures</t>
        </is>
      </c>
      <c r="C30" t="inlineStr">
        <is>
          <t>ISIC 41T43</t>
        </is>
      </c>
      <c r="E30" t="n">
        <v>29</v>
      </c>
      <c r="F30" t="inlineStr">
        <is>
          <t>ISIC 351</t>
        </is>
      </c>
      <c r="G30" t="inlineStr"/>
    </row>
    <row r="31">
      <c r="A31" t="inlineStr">
        <is>
          <t>233262</t>
        </is>
      </c>
      <c r="B31" t="inlineStr">
        <is>
          <t>Educational and vocational structures</t>
        </is>
      </c>
      <c r="C31" t="inlineStr">
        <is>
          <t>ISIC 41T43</t>
        </is>
      </c>
      <c r="E31" t="n">
        <v>30</v>
      </c>
      <c r="F31" t="inlineStr">
        <is>
          <t>ISIC 352T353</t>
        </is>
      </c>
      <c r="G31" t="inlineStr"/>
    </row>
    <row r="32">
      <c r="A32" t="inlineStr">
        <is>
          <t>2332A0</t>
        </is>
      </c>
      <c r="B32" t="inlineStr">
        <is>
          <t>Office and commercial structures</t>
        </is>
      </c>
      <c r="C32" t="inlineStr">
        <is>
          <t>ISIC 41T43</t>
        </is>
      </c>
      <c r="E32" t="n">
        <v>31</v>
      </c>
      <c r="F32" t="inlineStr">
        <is>
          <t>ISIC 36T39</t>
        </is>
      </c>
      <c r="G32" t="inlineStr">
        <is>
          <t>E</t>
        </is>
      </c>
    </row>
    <row r="33">
      <c r="A33" t="inlineStr">
        <is>
          <t>2332C0</t>
        </is>
      </c>
      <c r="B33" t="inlineStr">
        <is>
          <t>Transportation structures and highways and streets</t>
        </is>
      </c>
      <c r="C33" t="inlineStr">
        <is>
          <t>ISIC 41T43</t>
        </is>
      </c>
      <c r="E33" t="n">
        <v>32</v>
      </c>
      <c r="F33" t="inlineStr">
        <is>
          <t>ISIC 41T43</t>
        </is>
      </c>
      <c r="G33" t="inlineStr">
        <is>
          <t>F</t>
        </is>
      </c>
    </row>
    <row r="34">
      <c r="A34" t="inlineStr">
        <is>
          <t>2332D0</t>
        </is>
      </c>
      <c r="B34" t="inlineStr">
        <is>
          <t>Other nonresidential structures</t>
        </is>
      </c>
      <c r="C34" t="inlineStr">
        <is>
          <t>ISIC 41T43</t>
        </is>
      </c>
      <c r="E34" t="n">
        <v>33</v>
      </c>
      <c r="F34" t="inlineStr">
        <is>
          <t>ISIC 45T47</t>
        </is>
      </c>
      <c r="G34" t="inlineStr">
        <is>
          <t>G</t>
        </is>
      </c>
    </row>
    <row r="35">
      <c r="A35" t="inlineStr">
        <is>
          <t>233411</t>
        </is>
      </c>
      <c r="B35" t="inlineStr">
        <is>
          <t>Single-family residential structures</t>
        </is>
      </c>
      <c r="C35" t="inlineStr">
        <is>
          <t>ISIC 41T43</t>
        </is>
      </c>
      <c r="E35" t="n">
        <v>34</v>
      </c>
      <c r="F35" t="inlineStr">
        <is>
          <t>ISIC 49</t>
        </is>
      </c>
      <c r="G35" t="inlineStr">
        <is>
          <t>H49</t>
        </is>
      </c>
    </row>
    <row r="36">
      <c r="A36" t="inlineStr">
        <is>
          <t>233412</t>
        </is>
      </c>
      <c r="B36" t="inlineStr">
        <is>
          <t>Multifamily residential structures</t>
        </is>
      </c>
      <c r="C36" t="inlineStr">
        <is>
          <t>ISIC 41T43</t>
        </is>
      </c>
      <c r="E36" t="n">
        <v>35</v>
      </c>
      <c r="F36" t="inlineStr">
        <is>
          <t>ISIC 50</t>
        </is>
      </c>
      <c r="G36" t="inlineStr">
        <is>
          <t>H50</t>
        </is>
      </c>
    </row>
    <row r="37">
      <c r="A37" t="inlineStr">
        <is>
          <t>2334A0</t>
        </is>
      </c>
      <c r="B37" t="inlineStr">
        <is>
          <t>Other residential structures</t>
        </is>
      </c>
      <c r="C37" t="inlineStr">
        <is>
          <t>ISIC 41T43</t>
        </is>
      </c>
      <c r="E37" t="n">
        <v>36</v>
      </c>
      <c r="F37" t="inlineStr">
        <is>
          <t>ISIC 51</t>
        </is>
      </c>
      <c r="G37" t="inlineStr">
        <is>
          <t>H51</t>
        </is>
      </c>
    </row>
    <row r="38">
      <c r="A38" t="inlineStr">
        <is>
          <t>311111</t>
        </is>
      </c>
      <c r="B38" t="inlineStr">
        <is>
          <t>Dog and cat food manufacturing</t>
        </is>
      </c>
      <c r="C38" t="inlineStr">
        <is>
          <t>ISIC 10T12</t>
        </is>
      </c>
      <c r="E38" t="n">
        <v>37</v>
      </c>
      <c r="F38" t="inlineStr">
        <is>
          <t>ISIC 52</t>
        </is>
      </c>
      <c r="G38" t="inlineStr">
        <is>
          <t>H52</t>
        </is>
      </c>
    </row>
    <row r="39">
      <c r="A39" t="inlineStr">
        <is>
          <t>311119</t>
        </is>
      </c>
      <c r="B39" t="inlineStr">
        <is>
          <t>Other animal food manufacturing</t>
        </is>
      </c>
      <c r="C39" t="inlineStr">
        <is>
          <t>ISIC 10T12</t>
        </is>
      </c>
      <c r="E39" t="n">
        <v>38</v>
      </c>
      <c r="F39" t="inlineStr">
        <is>
          <t>ISIC 53</t>
        </is>
      </c>
      <c r="G39" t="inlineStr">
        <is>
          <t>H53</t>
        </is>
      </c>
    </row>
    <row r="40">
      <c r="A40" t="inlineStr">
        <is>
          <t>311210</t>
        </is>
      </c>
      <c r="B40" t="inlineStr">
        <is>
          <t>Flour milling and malt manufacturing</t>
        </is>
      </c>
      <c r="C40" t="inlineStr">
        <is>
          <t>ISIC 10T12</t>
        </is>
      </c>
      <c r="E40" t="n">
        <v>39</v>
      </c>
      <c r="F40" t="inlineStr">
        <is>
          <t>ISIC 55T56</t>
        </is>
      </c>
      <c r="G40" t="inlineStr">
        <is>
          <t>I</t>
        </is>
      </c>
    </row>
    <row r="41">
      <c r="A41" t="inlineStr">
        <is>
          <t>311221</t>
        </is>
      </c>
      <c r="B41" t="inlineStr">
        <is>
          <t>Wet corn milling</t>
        </is>
      </c>
      <c r="C41" t="inlineStr">
        <is>
          <t>ISIC 10T12</t>
        </is>
      </c>
      <c r="E41" t="n">
        <v>40</v>
      </c>
      <c r="F41" t="inlineStr">
        <is>
          <t>ISIC 58T60</t>
        </is>
      </c>
      <c r="G41" t="inlineStr">
        <is>
          <t>J58T60</t>
        </is>
      </c>
    </row>
    <row r="42">
      <c r="A42" t="inlineStr">
        <is>
          <t>311224</t>
        </is>
      </c>
      <c r="B42" t="inlineStr">
        <is>
          <t>Soybean and other oilseed processing</t>
        </is>
      </c>
      <c r="C42" t="inlineStr">
        <is>
          <t>ISIC 10T12</t>
        </is>
      </c>
      <c r="E42" t="n">
        <v>41</v>
      </c>
      <c r="F42" t="inlineStr">
        <is>
          <t>ISIC 61</t>
        </is>
      </c>
      <c r="G42" t="inlineStr">
        <is>
          <t>J61</t>
        </is>
      </c>
    </row>
    <row r="43">
      <c r="A43" t="inlineStr">
        <is>
          <t>311225</t>
        </is>
      </c>
      <c r="B43" t="inlineStr">
        <is>
          <t>Fats and oils refining and blending</t>
        </is>
      </c>
      <c r="C43" t="inlineStr">
        <is>
          <t>ISIC 10T12</t>
        </is>
      </c>
      <c r="E43" t="n">
        <v>42</v>
      </c>
      <c r="F43" t="inlineStr">
        <is>
          <t>ISIC 62T63</t>
        </is>
      </c>
      <c r="G43" t="inlineStr">
        <is>
          <t>J62_63</t>
        </is>
      </c>
    </row>
    <row r="44">
      <c r="A44" t="inlineStr">
        <is>
          <t>311230</t>
        </is>
      </c>
      <c r="B44" t="inlineStr">
        <is>
          <t>Breakfast cereal manufacturing</t>
        </is>
      </c>
      <c r="C44" t="inlineStr">
        <is>
          <t>ISIC 10T12</t>
        </is>
      </c>
      <c r="E44" t="n">
        <v>43</v>
      </c>
      <c r="F44" t="inlineStr">
        <is>
          <t>ISIC 64T66</t>
        </is>
      </c>
      <c r="G44" t="inlineStr">
        <is>
          <t>K</t>
        </is>
      </c>
    </row>
    <row r="45">
      <c r="A45" t="inlineStr">
        <is>
          <t>311300</t>
        </is>
      </c>
      <c r="B45" t="inlineStr">
        <is>
          <t>Sugar and confectionery product manufacturing</t>
        </is>
      </c>
      <c r="C45" t="inlineStr">
        <is>
          <t>ISIC 10T12</t>
        </is>
      </c>
      <c r="E45" t="n">
        <v>44</v>
      </c>
      <c r="F45" t="inlineStr">
        <is>
          <t>ISIC 68</t>
        </is>
      </c>
      <c r="G45" t="inlineStr">
        <is>
          <t>L</t>
        </is>
      </c>
    </row>
    <row r="46">
      <c r="A46" t="inlineStr">
        <is>
          <t>311410</t>
        </is>
      </c>
      <c r="B46" t="inlineStr">
        <is>
          <t>Frozen food manufacturing</t>
        </is>
      </c>
      <c r="C46" t="inlineStr">
        <is>
          <t>ISIC 10T12</t>
        </is>
      </c>
      <c r="E46" t="n">
        <v>45</v>
      </c>
      <c r="F46" t="inlineStr">
        <is>
          <t>ISIC 69T75</t>
        </is>
      </c>
      <c r="G46" t="inlineStr">
        <is>
          <t>M</t>
        </is>
      </c>
    </row>
    <row r="47">
      <c r="A47" t="inlineStr">
        <is>
          <t>311420</t>
        </is>
      </c>
      <c r="B47" t="inlineStr">
        <is>
          <t>Fruit and vegetable canning, pickling, and drying</t>
        </is>
      </c>
      <c r="C47" t="inlineStr">
        <is>
          <t>ISIC 10T12</t>
        </is>
      </c>
      <c r="E47" t="n">
        <v>46</v>
      </c>
      <c r="F47" t="inlineStr">
        <is>
          <t>ISIC 77T82</t>
        </is>
      </c>
      <c r="G47" t="inlineStr">
        <is>
          <t>N</t>
        </is>
      </c>
    </row>
    <row r="48">
      <c r="A48" t="inlineStr">
        <is>
          <t>311513</t>
        </is>
      </c>
      <c r="B48" t="inlineStr">
        <is>
          <t>Cheese manufacturing</t>
        </is>
      </c>
      <c r="C48" t="inlineStr">
        <is>
          <t>ISIC 10T12</t>
        </is>
      </c>
      <c r="E48" t="n">
        <v>47</v>
      </c>
      <c r="F48" t="inlineStr">
        <is>
          <t>ISIC 84</t>
        </is>
      </c>
      <c r="G48" t="inlineStr">
        <is>
          <t>O</t>
        </is>
      </c>
    </row>
    <row r="49">
      <c r="A49" t="inlineStr">
        <is>
          <t>311514</t>
        </is>
      </c>
      <c r="B49" t="inlineStr">
        <is>
          <t>Dry, condensed, and evaporated dairy product manufacturing</t>
        </is>
      </c>
      <c r="C49" t="inlineStr">
        <is>
          <t>ISIC 10T12</t>
        </is>
      </c>
      <c r="E49" t="n">
        <v>48</v>
      </c>
      <c r="F49" t="inlineStr">
        <is>
          <t>ISIC 85</t>
        </is>
      </c>
      <c r="G49" t="inlineStr">
        <is>
          <t>P</t>
        </is>
      </c>
    </row>
    <row r="50">
      <c r="A50" t="inlineStr">
        <is>
          <t>31151A</t>
        </is>
      </c>
      <c r="B50" t="inlineStr">
        <is>
          <t>Fluid milk and butter manufacturing</t>
        </is>
      </c>
      <c r="C50" t="inlineStr">
        <is>
          <t>ISIC 10T12</t>
        </is>
      </c>
      <c r="E50" t="n">
        <v>49</v>
      </c>
      <c r="F50" t="inlineStr">
        <is>
          <t>ISIC 86T88</t>
        </is>
      </c>
      <c r="G50" t="inlineStr">
        <is>
          <t>Q</t>
        </is>
      </c>
    </row>
    <row r="51">
      <c r="A51" t="inlineStr">
        <is>
          <t>311520</t>
        </is>
      </c>
      <c r="B51" t="inlineStr">
        <is>
          <t>Ice cream and frozen dessert manufacturing</t>
        </is>
      </c>
      <c r="C51" t="inlineStr">
        <is>
          <t>ISIC 10T12</t>
        </is>
      </c>
      <c r="E51" t="n">
        <v>50</v>
      </c>
      <c r="F51" t="inlineStr">
        <is>
          <t>ISIC 90T93</t>
        </is>
      </c>
      <c r="G51" t="inlineStr">
        <is>
          <t>R</t>
        </is>
      </c>
    </row>
    <row r="52">
      <c r="A52" t="inlineStr">
        <is>
          <t>311615</t>
        </is>
      </c>
      <c r="B52" t="inlineStr">
        <is>
          <t>Poultry processing</t>
        </is>
      </c>
      <c r="C52" t="inlineStr">
        <is>
          <t>ISIC 10T12</t>
        </is>
      </c>
      <c r="E52" t="n">
        <v>51</v>
      </c>
      <c r="F52" t="inlineStr">
        <is>
          <t>ISIC 94T96</t>
        </is>
      </c>
      <c r="G52" t="inlineStr">
        <is>
          <t>S</t>
        </is>
      </c>
    </row>
    <row r="53">
      <c r="A53" t="inlineStr">
        <is>
          <t>31161A</t>
        </is>
      </c>
      <c r="B53" t="inlineStr">
        <is>
          <t>Animal (except poultry) slaughtering, rendering, and processing</t>
        </is>
      </c>
      <c r="C53" t="inlineStr">
        <is>
          <t>ISIC 10T12</t>
        </is>
      </c>
      <c r="E53" t="n">
        <v>52</v>
      </c>
      <c r="F53" t="inlineStr">
        <is>
          <t>ISIC 97T98</t>
        </is>
      </c>
      <c r="G53" t="inlineStr">
        <is>
          <t>T</t>
        </is>
      </c>
    </row>
    <row r="54">
      <c r="A54" t="inlineStr">
        <is>
          <t>311700</t>
        </is>
      </c>
      <c r="B54" t="inlineStr">
        <is>
          <t>Seafood product preparation and packaging</t>
        </is>
      </c>
      <c r="C54" t="inlineStr">
        <is>
          <t>ISIC 10T12</t>
        </is>
      </c>
    </row>
    <row r="55">
      <c r="A55" t="inlineStr">
        <is>
          <t>311810</t>
        </is>
      </c>
      <c r="B55" t="inlineStr">
        <is>
          <t>Bread and bakery product manufacturing</t>
        </is>
      </c>
      <c r="C55" t="inlineStr">
        <is>
          <t>ISIC 10T12</t>
        </is>
      </c>
    </row>
    <row r="56">
      <c r="A56" t="inlineStr">
        <is>
          <t>3118A0</t>
        </is>
      </c>
      <c r="B56" t="inlineStr">
        <is>
          <t>Cookie, cracker, pasta, and tortilla manufacturing</t>
        </is>
      </c>
      <c r="C56" t="inlineStr">
        <is>
          <t>ISIC 10T12</t>
        </is>
      </c>
    </row>
    <row r="57">
      <c r="A57" t="inlineStr">
        <is>
          <t>311910</t>
        </is>
      </c>
      <c r="B57" t="inlineStr">
        <is>
          <t>Snack food manufacturing</t>
        </is>
      </c>
      <c r="C57" t="inlineStr">
        <is>
          <t>ISIC 10T12</t>
        </is>
      </c>
    </row>
    <row r="58">
      <c r="A58" t="inlineStr">
        <is>
          <t>311920</t>
        </is>
      </c>
      <c r="B58" t="inlineStr">
        <is>
          <t>Coffee and tea manufacturing</t>
        </is>
      </c>
      <c r="C58" t="inlineStr">
        <is>
          <t>ISIC 10T12</t>
        </is>
      </c>
    </row>
    <row r="59">
      <c r="A59" t="inlineStr">
        <is>
          <t>311930</t>
        </is>
      </c>
      <c r="B59" t="inlineStr">
        <is>
          <t>Flavoring syrup and concentrate manufacturing</t>
        </is>
      </c>
      <c r="C59" t="inlineStr">
        <is>
          <t>ISIC 10T12</t>
        </is>
      </c>
    </row>
    <row r="60">
      <c r="A60" t="inlineStr">
        <is>
          <t>311940</t>
        </is>
      </c>
      <c r="B60" t="inlineStr">
        <is>
          <t>Seasoning and dressing manufacturing</t>
        </is>
      </c>
      <c r="C60" t="inlineStr">
        <is>
          <t>ISIC 10T12</t>
        </is>
      </c>
    </row>
    <row r="61">
      <c r="A61" t="inlineStr">
        <is>
          <t>311990</t>
        </is>
      </c>
      <c r="B61" t="inlineStr">
        <is>
          <t>All other food manufacturing</t>
        </is>
      </c>
      <c r="C61" t="inlineStr">
        <is>
          <t>ISIC 10T12</t>
        </is>
      </c>
    </row>
    <row r="62">
      <c r="A62" t="inlineStr">
        <is>
          <t>312110</t>
        </is>
      </c>
      <c r="B62" t="inlineStr">
        <is>
          <t>Soft drink and ice manufacturing</t>
        </is>
      </c>
      <c r="C62" t="inlineStr">
        <is>
          <t>ISIC 10T12</t>
        </is>
      </c>
    </row>
    <row r="63">
      <c r="A63" t="inlineStr">
        <is>
          <t>312120</t>
        </is>
      </c>
      <c r="B63" t="inlineStr">
        <is>
          <t>Breweries</t>
        </is>
      </c>
      <c r="C63" t="inlineStr">
        <is>
          <t>ISIC 10T12</t>
        </is>
      </c>
    </row>
    <row r="64">
      <c r="A64" t="inlineStr">
        <is>
          <t>312130</t>
        </is>
      </c>
      <c r="B64" t="inlineStr">
        <is>
          <t>Wineries</t>
        </is>
      </c>
      <c r="C64" t="inlineStr">
        <is>
          <t>ISIC 10T12</t>
        </is>
      </c>
    </row>
    <row r="65">
      <c r="A65" t="inlineStr">
        <is>
          <t>312140</t>
        </is>
      </c>
      <c r="B65" t="inlineStr">
        <is>
          <t>Distilleries</t>
        </is>
      </c>
      <c r="C65" t="inlineStr">
        <is>
          <t>ISIC 10T12</t>
        </is>
      </c>
    </row>
    <row r="66">
      <c r="A66" t="inlineStr">
        <is>
          <t>312200</t>
        </is>
      </c>
      <c r="B66" t="inlineStr">
        <is>
          <t>Tobacco manufacturing</t>
        </is>
      </c>
      <c r="C66" t="inlineStr">
        <is>
          <t>ISIC 10T12</t>
        </is>
      </c>
    </row>
    <row r="67">
      <c r="A67" t="inlineStr">
        <is>
          <t>313100</t>
        </is>
      </c>
      <c r="B67" t="inlineStr">
        <is>
          <t>Fiber, yarn, and thread mills</t>
        </is>
      </c>
      <c r="C67" t="inlineStr">
        <is>
          <t>ISIC 13T15</t>
        </is>
      </c>
    </row>
    <row r="68">
      <c r="A68" t="inlineStr">
        <is>
          <t>313200</t>
        </is>
      </c>
      <c r="B68" t="inlineStr">
        <is>
          <t>Fabric mills</t>
        </is>
      </c>
      <c r="C68" t="inlineStr">
        <is>
          <t>ISIC 13T15</t>
        </is>
      </c>
    </row>
    <row r="69">
      <c r="A69" t="inlineStr">
        <is>
          <t>313300</t>
        </is>
      </c>
      <c r="B69" t="inlineStr">
        <is>
          <t>Textile and fabric finishing and fabric coating mills</t>
        </is>
      </c>
      <c r="C69" t="inlineStr">
        <is>
          <t>ISIC 13T15</t>
        </is>
      </c>
    </row>
    <row r="70">
      <c r="A70" t="inlineStr">
        <is>
          <t>314110</t>
        </is>
      </c>
      <c r="B70" t="inlineStr">
        <is>
          <t>Carpet and rug mills</t>
        </is>
      </c>
      <c r="C70" t="inlineStr">
        <is>
          <t>ISIC 13T15</t>
        </is>
      </c>
    </row>
    <row r="71">
      <c r="A71" t="inlineStr">
        <is>
          <t>314120</t>
        </is>
      </c>
      <c r="B71" t="inlineStr">
        <is>
          <t>Curtain and linen mills</t>
        </is>
      </c>
      <c r="C71" t="inlineStr">
        <is>
          <t>ISIC 13T15</t>
        </is>
      </c>
    </row>
    <row r="72">
      <c r="A72" t="inlineStr">
        <is>
          <t>314900</t>
        </is>
      </c>
      <c r="B72" t="inlineStr">
        <is>
          <t>Other textile product mills</t>
        </is>
      </c>
      <c r="C72" t="inlineStr">
        <is>
          <t>ISIC 13T15</t>
        </is>
      </c>
    </row>
    <row r="73">
      <c r="A73" t="inlineStr">
        <is>
          <t>315000</t>
        </is>
      </c>
      <c r="B73" t="inlineStr">
        <is>
          <t>Apparel manufacturing</t>
        </is>
      </c>
      <c r="C73" t="inlineStr">
        <is>
          <t>ISIC 13T15</t>
        </is>
      </c>
    </row>
    <row r="74">
      <c r="A74" t="inlineStr">
        <is>
          <t>316000</t>
        </is>
      </c>
      <c r="B74" t="inlineStr">
        <is>
          <t>Leather and allied product manufacturing</t>
        </is>
      </c>
      <c r="C74" t="inlineStr">
        <is>
          <t>ISIC 13T15</t>
        </is>
      </c>
    </row>
    <row r="75">
      <c r="A75" t="inlineStr">
        <is>
          <t>321100</t>
        </is>
      </c>
      <c r="B75" t="inlineStr">
        <is>
          <t>Sawmills and wood preservation</t>
        </is>
      </c>
      <c r="C75" t="inlineStr">
        <is>
          <t>ISIC 16</t>
        </is>
      </c>
    </row>
    <row r="76">
      <c r="A76" t="inlineStr">
        <is>
          <t>321200</t>
        </is>
      </c>
      <c r="B76" t="inlineStr">
        <is>
          <t>Veneer, plywood, and engineered wood product manufacturing</t>
        </is>
      </c>
      <c r="C76" t="inlineStr">
        <is>
          <t>ISIC 16</t>
        </is>
      </c>
    </row>
    <row r="77">
      <c r="A77" t="inlineStr">
        <is>
          <t>321910</t>
        </is>
      </c>
      <c r="B77" t="inlineStr">
        <is>
          <t>Millwork</t>
        </is>
      </c>
      <c r="C77" t="inlineStr">
        <is>
          <t>ISIC 16</t>
        </is>
      </c>
    </row>
    <row r="78">
      <c r="A78" t="inlineStr">
        <is>
          <t>3219A0</t>
        </is>
      </c>
      <c r="B78" t="inlineStr">
        <is>
          <t>All other wood product manufacturing</t>
        </is>
      </c>
      <c r="C78" t="inlineStr">
        <is>
          <t>ISIC 16</t>
        </is>
      </c>
    </row>
    <row r="79">
      <c r="A79" t="inlineStr">
        <is>
          <t>322110</t>
        </is>
      </c>
      <c r="B79" t="inlineStr">
        <is>
          <t>Pulp mills</t>
        </is>
      </c>
      <c r="C79" t="inlineStr">
        <is>
          <t>ISIC 17T18</t>
        </is>
      </c>
    </row>
    <row r="80">
      <c r="A80" t="inlineStr">
        <is>
          <t>322120</t>
        </is>
      </c>
      <c r="B80" t="inlineStr">
        <is>
          <t>Paper mills</t>
        </is>
      </c>
      <c r="C80" t="inlineStr">
        <is>
          <t>ISIC 17T18</t>
        </is>
      </c>
    </row>
    <row r="81">
      <c r="A81" t="inlineStr">
        <is>
          <t>322130</t>
        </is>
      </c>
      <c r="B81" t="inlineStr">
        <is>
          <t>Paperboard mills</t>
        </is>
      </c>
      <c r="C81" t="inlineStr">
        <is>
          <t>ISIC 17T18</t>
        </is>
      </c>
    </row>
    <row r="82">
      <c r="A82" t="inlineStr">
        <is>
          <t>322210</t>
        </is>
      </c>
      <c r="B82" t="inlineStr">
        <is>
          <t>Paperboard container manufacturing</t>
        </is>
      </c>
      <c r="C82" t="inlineStr">
        <is>
          <t>ISIC 17T18</t>
        </is>
      </c>
    </row>
    <row r="83">
      <c r="A83" t="inlineStr">
        <is>
          <t>322220</t>
        </is>
      </c>
      <c r="B83" t="inlineStr">
        <is>
          <t>Paper bag and coated and treated paper manufacturing</t>
        </is>
      </c>
      <c r="C83" t="inlineStr">
        <is>
          <t>ISIC 17T18</t>
        </is>
      </c>
    </row>
    <row r="84">
      <c r="A84" t="inlineStr">
        <is>
          <t>322230</t>
        </is>
      </c>
      <c r="B84" t="inlineStr">
        <is>
          <t>Stationery product manufacturing</t>
        </is>
      </c>
      <c r="C84" t="inlineStr">
        <is>
          <t>ISIC 17T18</t>
        </is>
      </c>
    </row>
    <row r="85">
      <c r="A85" t="inlineStr">
        <is>
          <t>322291</t>
        </is>
      </c>
      <c r="B85" t="inlineStr">
        <is>
          <t>Sanitary paper product manufacturing</t>
        </is>
      </c>
      <c r="C85" t="inlineStr">
        <is>
          <t>ISIC 17T18</t>
        </is>
      </c>
    </row>
    <row r="86">
      <c r="A86" t="inlineStr">
        <is>
          <t>322299</t>
        </is>
      </c>
      <c r="B86" t="inlineStr">
        <is>
          <t>All other converted paper product manufacturing</t>
        </is>
      </c>
      <c r="C86" t="inlineStr">
        <is>
          <t>ISIC 17T18</t>
        </is>
      </c>
    </row>
    <row r="87">
      <c r="A87" t="inlineStr">
        <is>
          <t>323110</t>
        </is>
      </c>
      <c r="B87" t="inlineStr">
        <is>
          <t>Printing</t>
        </is>
      </c>
      <c r="C87" t="inlineStr">
        <is>
          <t>ISIC 17T18</t>
        </is>
      </c>
    </row>
    <row r="88">
      <c r="A88" t="inlineStr">
        <is>
          <t>323120</t>
        </is>
      </c>
      <c r="B88" t="inlineStr">
        <is>
          <t>Support activities for printing</t>
        </is>
      </c>
      <c r="C88" t="inlineStr">
        <is>
          <t>ISIC 17T18</t>
        </is>
      </c>
    </row>
    <row r="89">
      <c r="A89" t="inlineStr">
        <is>
          <t>324110</t>
        </is>
      </c>
      <c r="B89" t="inlineStr">
        <is>
          <t>Petroleum refineries</t>
        </is>
      </c>
      <c r="C89" t="inlineStr">
        <is>
          <t>ISIC 19</t>
        </is>
      </c>
    </row>
    <row r="90">
      <c r="A90" t="inlineStr">
        <is>
          <t>324121</t>
        </is>
      </c>
      <c r="B90" t="inlineStr">
        <is>
          <t>Asphalt paving mixture and block manufacturing</t>
        </is>
      </c>
      <c r="C90" t="inlineStr">
        <is>
          <t>ISIC 19</t>
        </is>
      </c>
    </row>
    <row r="91">
      <c r="A91" t="inlineStr">
        <is>
          <t>324122</t>
        </is>
      </c>
      <c r="B91" t="inlineStr">
        <is>
          <t>Asphalt shingle and coating materials manufacturing</t>
        </is>
      </c>
      <c r="C91" t="inlineStr">
        <is>
          <t>ISIC 19</t>
        </is>
      </c>
    </row>
    <row r="92">
      <c r="A92" t="inlineStr">
        <is>
          <t>324190</t>
        </is>
      </c>
      <c r="B92" t="inlineStr">
        <is>
          <t>Other petroleum and coal products manufacturing</t>
        </is>
      </c>
      <c r="C92" t="inlineStr">
        <is>
          <t>ISIC 241</t>
        </is>
      </c>
    </row>
    <row r="93">
      <c r="A93" t="inlineStr">
        <is>
          <t>325110</t>
        </is>
      </c>
      <c r="B93" t="inlineStr">
        <is>
          <t>Petrochemical manufacturing</t>
        </is>
      </c>
      <c r="C93" t="inlineStr">
        <is>
          <t>ISIC 20</t>
        </is>
      </c>
    </row>
    <row r="94">
      <c r="A94" t="inlineStr">
        <is>
          <t>325120</t>
        </is>
      </c>
      <c r="B94" t="inlineStr">
        <is>
          <t>Industrial gas manufacturing</t>
        </is>
      </c>
      <c r="C94" t="inlineStr">
        <is>
          <t>ISIC 20</t>
        </is>
      </c>
    </row>
    <row r="95">
      <c r="A95" t="inlineStr">
        <is>
          <t>325130</t>
        </is>
      </c>
      <c r="B95" t="inlineStr">
        <is>
          <t>Synthetic dye and pigment manufacturing</t>
        </is>
      </c>
      <c r="C95" t="inlineStr">
        <is>
          <t>ISIC 20</t>
        </is>
      </c>
    </row>
    <row r="96">
      <c r="A96" t="inlineStr">
        <is>
          <t>325180</t>
        </is>
      </c>
      <c r="B96" t="inlineStr">
        <is>
          <t>Other basic inorganic chemical manufacturing</t>
        </is>
      </c>
      <c r="C96" t="inlineStr">
        <is>
          <t>ISIC 20</t>
        </is>
      </c>
    </row>
    <row r="97">
      <c r="A97" t="inlineStr">
        <is>
          <t>325190</t>
        </is>
      </c>
      <c r="B97" t="inlineStr">
        <is>
          <t>Other basic organic chemical manufacturing</t>
        </is>
      </c>
      <c r="C97" t="inlineStr">
        <is>
          <t>ISIC 20</t>
        </is>
      </c>
    </row>
    <row r="98">
      <c r="A98" t="inlineStr">
        <is>
          <t>325211</t>
        </is>
      </c>
      <c r="B98" t="inlineStr">
        <is>
          <t>Plastics material and resin manufacturing</t>
        </is>
      </c>
      <c r="C98" t="inlineStr">
        <is>
          <t>ISIC 20</t>
        </is>
      </c>
    </row>
    <row r="99">
      <c r="A99" t="inlineStr">
        <is>
          <t>3252A0</t>
        </is>
      </c>
      <c r="B99" t="inlineStr">
        <is>
          <t>Synthetic rubber and artificial and synthetic fibers and filaments manufacturing</t>
        </is>
      </c>
      <c r="C99" t="inlineStr">
        <is>
          <t>ISIC 20</t>
        </is>
      </c>
    </row>
    <row r="100">
      <c r="A100" t="inlineStr">
        <is>
          <t>325310</t>
        </is>
      </c>
      <c r="B100" t="inlineStr">
        <is>
          <t>Fertilizer manufacturing</t>
        </is>
      </c>
      <c r="C100" t="inlineStr">
        <is>
          <t>ISIC 20</t>
        </is>
      </c>
    </row>
    <row r="101">
      <c r="A101" t="inlineStr">
        <is>
          <t>325320</t>
        </is>
      </c>
      <c r="B101" t="inlineStr">
        <is>
          <t>Pesticide and other agricultural chemical manufacturing</t>
        </is>
      </c>
      <c r="C101" t="inlineStr">
        <is>
          <t>ISIC 20</t>
        </is>
      </c>
    </row>
    <row r="102">
      <c r="A102" t="inlineStr">
        <is>
          <t>325411</t>
        </is>
      </c>
      <c r="B102" t="inlineStr">
        <is>
          <t>Medicinal and botanical manufacturing</t>
        </is>
      </c>
      <c r="C102" t="inlineStr">
        <is>
          <t>ISIC 21</t>
        </is>
      </c>
    </row>
    <row r="103">
      <c r="A103" t="inlineStr">
        <is>
          <t>325412</t>
        </is>
      </c>
      <c r="B103" t="inlineStr">
        <is>
          <t>Pharmaceutical preparation manufacturing</t>
        </is>
      </c>
      <c r="C103" t="inlineStr">
        <is>
          <t>ISIC 21</t>
        </is>
      </c>
    </row>
    <row r="104">
      <c r="A104" t="inlineStr">
        <is>
          <t>325413</t>
        </is>
      </c>
      <c r="B104" t="inlineStr">
        <is>
          <t>In-vitro diagnostic substance manufacturing</t>
        </is>
      </c>
      <c r="C104" t="inlineStr">
        <is>
          <t>ISIC 21</t>
        </is>
      </c>
    </row>
    <row r="105">
      <c r="A105" t="inlineStr">
        <is>
          <t>325414</t>
        </is>
      </c>
      <c r="B105" t="inlineStr">
        <is>
          <t>Biological product (except diagnostic) manufacturing</t>
        </is>
      </c>
      <c r="C105" t="inlineStr">
        <is>
          <t>ISIC 21</t>
        </is>
      </c>
    </row>
    <row r="106">
      <c r="A106" t="inlineStr">
        <is>
          <t>325510</t>
        </is>
      </c>
      <c r="B106" t="inlineStr">
        <is>
          <t>Paint and coating manufacturing</t>
        </is>
      </c>
      <c r="C106" t="inlineStr">
        <is>
          <t>ISIC 20</t>
        </is>
      </c>
    </row>
    <row r="107">
      <c r="A107" t="inlineStr">
        <is>
          <t>325520</t>
        </is>
      </c>
      <c r="B107" t="inlineStr">
        <is>
          <t>Adhesive manufacturing</t>
        </is>
      </c>
      <c r="C107" t="inlineStr">
        <is>
          <t>ISIC 20</t>
        </is>
      </c>
    </row>
    <row r="108">
      <c r="A108" t="inlineStr">
        <is>
          <t>325610</t>
        </is>
      </c>
      <c r="B108" t="inlineStr">
        <is>
          <t>Soap and cleaning compound manufacturing</t>
        </is>
      </c>
      <c r="C108" t="inlineStr">
        <is>
          <t>ISIC 20</t>
        </is>
      </c>
    </row>
    <row r="109">
      <c r="A109" t="inlineStr">
        <is>
          <t>325620</t>
        </is>
      </c>
      <c r="B109" t="inlineStr">
        <is>
          <t>Toilet preparation manufacturing</t>
        </is>
      </c>
      <c r="C109" t="inlineStr">
        <is>
          <t>ISIC 20</t>
        </is>
      </c>
    </row>
    <row r="110">
      <c r="A110" t="inlineStr">
        <is>
          <t>325910</t>
        </is>
      </c>
      <c r="B110" t="inlineStr">
        <is>
          <t>Printing ink manufacturing</t>
        </is>
      </c>
      <c r="C110" t="inlineStr">
        <is>
          <t>ISIC 20</t>
        </is>
      </c>
    </row>
    <row r="111">
      <c r="A111" t="inlineStr">
        <is>
          <t>3259A0</t>
        </is>
      </c>
      <c r="B111" t="inlineStr">
        <is>
          <t>All other chemical product and preparation manufacturing</t>
        </is>
      </c>
      <c r="C111" t="inlineStr">
        <is>
          <t>ISIC 20</t>
        </is>
      </c>
    </row>
    <row r="112">
      <c r="A112" t="inlineStr">
        <is>
          <t>326110</t>
        </is>
      </c>
      <c r="B112" t="inlineStr">
        <is>
          <t>Plastics packaging materials and unlaminated film and sheet manufacturing</t>
        </is>
      </c>
      <c r="C112" t="inlineStr">
        <is>
          <t>ISIC 22</t>
        </is>
      </c>
    </row>
    <row r="113">
      <c r="A113" t="inlineStr">
        <is>
          <t>326120</t>
        </is>
      </c>
      <c r="B113" t="inlineStr">
        <is>
          <t>Plastics pipe, pipe fitting, and unlaminated profile shape manufacturing</t>
        </is>
      </c>
      <c r="C113" t="inlineStr">
        <is>
          <t>ISIC 22</t>
        </is>
      </c>
    </row>
    <row r="114">
      <c r="A114" t="inlineStr">
        <is>
          <t>326130</t>
        </is>
      </c>
      <c r="B114" t="inlineStr">
        <is>
          <t>Laminated plastics plate, sheet (except packaging), and shape manufacturing</t>
        </is>
      </c>
      <c r="C114" t="inlineStr">
        <is>
          <t>ISIC 22</t>
        </is>
      </c>
    </row>
    <row r="115">
      <c r="A115" t="inlineStr">
        <is>
          <t>326140</t>
        </is>
      </c>
      <c r="B115" t="inlineStr">
        <is>
          <t>Polystyrene foam product manufacturing</t>
        </is>
      </c>
      <c r="C115" t="inlineStr">
        <is>
          <t>ISIC 22</t>
        </is>
      </c>
    </row>
    <row r="116">
      <c r="A116" t="inlineStr">
        <is>
          <t>326150</t>
        </is>
      </c>
      <c r="B116" t="inlineStr">
        <is>
          <t>Urethane and other foam product (except polystyrene) manufacturing</t>
        </is>
      </c>
      <c r="C116" t="inlineStr">
        <is>
          <t>ISIC 22</t>
        </is>
      </c>
    </row>
    <row r="117">
      <c r="A117" t="inlineStr">
        <is>
          <t>326160</t>
        </is>
      </c>
      <c r="B117" t="inlineStr">
        <is>
          <t>Plastics bottle manufacturing</t>
        </is>
      </c>
      <c r="C117" t="inlineStr">
        <is>
          <t>ISIC 22</t>
        </is>
      </c>
    </row>
    <row r="118">
      <c r="A118" t="inlineStr">
        <is>
          <t>326190</t>
        </is>
      </c>
      <c r="B118" t="inlineStr">
        <is>
          <t>Other plastics product manufacturing</t>
        </is>
      </c>
      <c r="C118" t="inlineStr">
        <is>
          <t>ISIC 22</t>
        </is>
      </c>
    </row>
    <row r="119">
      <c r="A119" t="inlineStr">
        <is>
          <t>326210</t>
        </is>
      </c>
      <c r="B119" t="inlineStr">
        <is>
          <t>Tire manufacturing</t>
        </is>
      </c>
      <c r="C119" t="inlineStr">
        <is>
          <t>ISIC 22</t>
        </is>
      </c>
    </row>
    <row r="120">
      <c r="A120" t="inlineStr">
        <is>
          <t>326220</t>
        </is>
      </c>
      <c r="B120" t="inlineStr">
        <is>
          <t>Rubber and plastics hoses and belting manufacturing</t>
        </is>
      </c>
      <c r="C120" t="inlineStr">
        <is>
          <t>ISIC 22</t>
        </is>
      </c>
    </row>
    <row r="121">
      <c r="A121" t="inlineStr">
        <is>
          <t>326290</t>
        </is>
      </c>
      <c r="B121" t="inlineStr">
        <is>
          <t>Other rubber product manufacturing</t>
        </is>
      </c>
      <c r="C121" t="inlineStr">
        <is>
          <t>ISIC 22</t>
        </is>
      </c>
    </row>
    <row r="122">
      <c r="A122" t="inlineStr">
        <is>
          <t>327100</t>
        </is>
      </c>
      <c r="B122" t="inlineStr">
        <is>
          <t>Clay product and refractory manufacturing</t>
        </is>
      </c>
      <c r="C122" t="inlineStr">
        <is>
          <t>ISIC 239</t>
        </is>
      </c>
    </row>
    <row r="123">
      <c r="A123" t="inlineStr">
        <is>
          <t>327200</t>
        </is>
      </c>
      <c r="B123" t="inlineStr">
        <is>
          <t>Glass and glass product manufacturing</t>
        </is>
      </c>
      <c r="C123" t="inlineStr">
        <is>
          <t>ISIC 231</t>
        </is>
      </c>
    </row>
    <row r="124">
      <c r="A124" t="inlineStr">
        <is>
          <t>327310</t>
        </is>
      </c>
      <c r="B124" t="inlineStr">
        <is>
          <t>Cement manufacturing</t>
        </is>
      </c>
      <c r="C124" t="inlineStr">
        <is>
          <t>ISIC 239</t>
        </is>
      </c>
    </row>
    <row r="125">
      <c r="A125" t="inlineStr">
        <is>
          <t>327320</t>
        </is>
      </c>
      <c r="B125" t="inlineStr">
        <is>
          <t>Ready-mix concrete manufacturing</t>
        </is>
      </c>
      <c r="C125" t="inlineStr">
        <is>
          <t>ISIC 239</t>
        </is>
      </c>
    </row>
    <row r="126">
      <c r="A126" t="inlineStr">
        <is>
          <t>327330</t>
        </is>
      </c>
      <c r="B126" t="inlineStr">
        <is>
          <t>Concrete pipe, brick, and block manufacturing</t>
        </is>
      </c>
      <c r="C126" t="inlineStr">
        <is>
          <t>ISIC 239</t>
        </is>
      </c>
    </row>
    <row r="127">
      <c r="A127" t="inlineStr">
        <is>
          <t>327390</t>
        </is>
      </c>
      <c r="B127" t="inlineStr">
        <is>
          <t>Other concrete product manufacturing</t>
        </is>
      </c>
      <c r="C127" t="inlineStr">
        <is>
          <t>ISIC 239</t>
        </is>
      </c>
    </row>
    <row r="128">
      <c r="A128" t="inlineStr">
        <is>
          <t>327400</t>
        </is>
      </c>
      <c r="B128" t="inlineStr">
        <is>
          <t>Lime and gypsum product manufacturing</t>
        </is>
      </c>
      <c r="C128" t="inlineStr">
        <is>
          <t>ISIC 239</t>
        </is>
      </c>
    </row>
    <row r="129">
      <c r="A129" t="inlineStr">
        <is>
          <t>327910</t>
        </is>
      </c>
      <c r="B129" t="inlineStr">
        <is>
          <t>Abrasive product manufacturing</t>
        </is>
      </c>
      <c r="C129" t="inlineStr">
        <is>
          <t>ISIC 239</t>
        </is>
      </c>
    </row>
    <row r="130">
      <c r="A130" t="inlineStr">
        <is>
          <t>327991</t>
        </is>
      </c>
      <c r="B130" t="inlineStr">
        <is>
          <t>Cut stone and stone product manufacturing</t>
        </is>
      </c>
      <c r="C130" t="inlineStr">
        <is>
          <t>ISIC 239</t>
        </is>
      </c>
    </row>
    <row r="131">
      <c r="A131" t="inlineStr">
        <is>
          <t>327992</t>
        </is>
      </c>
      <c r="B131" t="inlineStr">
        <is>
          <t>Ground or treated mineral and earth manufacturing</t>
        </is>
      </c>
      <c r="C131" t="inlineStr">
        <is>
          <t>ISIC 239</t>
        </is>
      </c>
    </row>
    <row r="132">
      <c r="A132" t="inlineStr">
        <is>
          <t>327993</t>
        </is>
      </c>
      <c r="B132" t="inlineStr">
        <is>
          <t>Mineral wool manufacturing</t>
        </is>
      </c>
      <c r="C132" t="inlineStr">
        <is>
          <t>ISIC 239</t>
        </is>
      </c>
    </row>
    <row r="133">
      <c r="A133" t="inlineStr">
        <is>
          <t>327999</t>
        </is>
      </c>
      <c r="B133" t="inlineStr">
        <is>
          <t>Miscellaneous nonmetallic mineral products</t>
        </is>
      </c>
      <c r="C133" t="inlineStr">
        <is>
          <t>ISIC 239</t>
        </is>
      </c>
    </row>
    <row r="134">
      <c r="A134" t="inlineStr">
        <is>
          <t>331110</t>
        </is>
      </c>
      <c r="B134" t="inlineStr">
        <is>
          <t>Iron and steel mills and ferroalloy manufacturing</t>
        </is>
      </c>
      <c r="C134" t="inlineStr">
        <is>
          <t>ISIC 241</t>
        </is>
      </c>
    </row>
    <row r="135">
      <c r="A135" t="inlineStr">
        <is>
          <t>331200</t>
        </is>
      </c>
      <c r="B135" t="inlineStr">
        <is>
          <t>Steel product manufacturing from purchased steel</t>
        </is>
      </c>
      <c r="C135" t="inlineStr">
        <is>
          <t>ISIC 241</t>
        </is>
      </c>
    </row>
    <row r="136">
      <c r="A136" t="inlineStr">
        <is>
          <t>331313</t>
        </is>
      </c>
      <c r="B136" t="inlineStr">
        <is>
          <t>Alumina refining and primary aluminum production</t>
        </is>
      </c>
      <c r="C136" t="inlineStr">
        <is>
          <t>ISIC 242</t>
        </is>
      </c>
    </row>
    <row r="137">
      <c r="A137" t="inlineStr">
        <is>
          <t>331314</t>
        </is>
      </c>
      <c r="B137" t="inlineStr">
        <is>
          <t>Secondary smelting and alloying of aluminum</t>
        </is>
      </c>
      <c r="C137" t="inlineStr">
        <is>
          <t>ISIC 242</t>
        </is>
      </c>
    </row>
    <row r="138">
      <c r="A138" t="inlineStr">
        <is>
          <t>33131B</t>
        </is>
      </c>
      <c r="B138" t="inlineStr">
        <is>
          <t>Aluminum product manufacturing from purchased aluminum</t>
        </is>
      </c>
      <c r="C138" t="inlineStr">
        <is>
          <t>ISIC 242</t>
        </is>
      </c>
    </row>
    <row r="139">
      <c r="A139" t="inlineStr">
        <is>
          <t>331410</t>
        </is>
      </c>
      <c r="B139" t="inlineStr">
        <is>
          <t>Nonferrous metal (except aluminum) smelting and refining</t>
        </is>
      </c>
      <c r="C139" t="inlineStr">
        <is>
          <t>ISIC 242</t>
        </is>
      </c>
    </row>
    <row r="140">
      <c r="A140" t="inlineStr">
        <is>
          <t>331420</t>
        </is>
      </c>
      <c r="B140" t="inlineStr">
        <is>
          <t>Copper rolling, drawing, extruding and alloying</t>
        </is>
      </c>
      <c r="C140" t="inlineStr">
        <is>
          <t>ISIC 242</t>
        </is>
      </c>
    </row>
    <row r="141">
      <c r="A141" t="inlineStr">
        <is>
          <t>331490</t>
        </is>
      </c>
      <c r="B141" t="inlineStr">
        <is>
          <t>Nonferrous metal (except copper and aluminum) rolling, drawing, extruding and alloying</t>
        </is>
      </c>
      <c r="C141" t="inlineStr">
        <is>
          <t>ISIC 242</t>
        </is>
      </c>
    </row>
    <row r="142">
      <c r="A142" t="inlineStr">
        <is>
          <t>331510</t>
        </is>
      </c>
      <c r="B142" t="inlineStr">
        <is>
          <t>Ferrous metal foundries</t>
        </is>
      </c>
      <c r="C142" t="inlineStr">
        <is>
          <t>ISIC 241</t>
        </is>
      </c>
    </row>
    <row r="143">
      <c r="A143" t="inlineStr">
        <is>
          <t>331520</t>
        </is>
      </c>
      <c r="B143" t="inlineStr">
        <is>
          <t>Nonferrous metal foundries</t>
        </is>
      </c>
      <c r="C143" t="inlineStr">
        <is>
          <t>ISIC 242</t>
        </is>
      </c>
    </row>
    <row r="144">
      <c r="A144" t="inlineStr">
        <is>
          <t>332114</t>
        </is>
      </c>
      <c r="B144" t="inlineStr">
        <is>
          <t>Custom roll forming</t>
        </is>
      </c>
      <c r="C144" t="inlineStr">
        <is>
          <t>ISIC 25</t>
        </is>
      </c>
    </row>
    <row r="145">
      <c r="A145" t="inlineStr">
        <is>
          <t>332119</t>
        </is>
      </c>
      <c r="B145" t="inlineStr">
        <is>
          <t>Metal crown, closure, and other metal stamping (except automotive)</t>
        </is>
      </c>
      <c r="C145" t="inlineStr">
        <is>
          <t>ISIC 25</t>
        </is>
      </c>
    </row>
    <row r="146">
      <c r="A146" t="inlineStr">
        <is>
          <t>33211A</t>
        </is>
      </c>
      <c r="B146" t="inlineStr">
        <is>
          <t>All other forging, stamping, and sintering</t>
        </is>
      </c>
      <c r="C146" t="inlineStr">
        <is>
          <t>ISIC 25</t>
        </is>
      </c>
    </row>
    <row r="147">
      <c r="A147" t="inlineStr">
        <is>
          <t>332200</t>
        </is>
      </c>
      <c r="B147" t="inlineStr">
        <is>
          <t>Cutlery and handtool manufacturing</t>
        </is>
      </c>
      <c r="C147" t="inlineStr">
        <is>
          <t>ISIC 25</t>
        </is>
      </c>
    </row>
    <row r="148">
      <c r="A148" t="inlineStr">
        <is>
          <t>332310</t>
        </is>
      </c>
      <c r="B148" t="inlineStr">
        <is>
          <t>Plate work and fabricated structural product manufacturing</t>
        </is>
      </c>
      <c r="C148" t="inlineStr">
        <is>
          <t>ISIC 25</t>
        </is>
      </c>
    </row>
    <row r="149">
      <c r="A149" t="inlineStr">
        <is>
          <t>332320</t>
        </is>
      </c>
      <c r="B149" t="inlineStr">
        <is>
          <t>Ornamental and architectural metal products manufacturing</t>
        </is>
      </c>
      <c r="C149" t="inlineStr">
        <is>
          <t>ISIC 25</t>
        </is>
      </c>
    </row>
    <row r="150">
      <c r="A150" t="inlineStr">
        <is>
          <t>332410</t>
        </is>
      </c>
      <c r="B150" t="inlineStr">
        <is>
          <t>Power boiler and heat exchanger manufacturing</t>
        </is>
      </c>
      <c r="C150" t="inlineStr">
        <is>
          <t>ISIC 25</t>
        </is>
      </c>
    </row>
    <row r="151">
      <c r="A151" t="inlineStr">
        <is>
          <t>332420</t>
        </is>
      </c>
      <c r="B151" t="inlineStr">
        <is>
          <t>Metal tank (heavy gauge) manufacturing</t>
        </is>
      </c>
      <c r="C151" t="inlineStr">
        <is>
          <t>ISIC 25</t>
        </is>
      </c>
    </row>
    <row r="152">
      <c r="A152" t="inlineStr">
        <is>
          <t>332430</t>
        </is>
      </c>
      <c r="B152" t="inlineStr">
        <is>
          <t>Metal can, box, and other metal container (light gauge) manufacturing</t>
        </is>
      </c>
      <c r="C152" t="inlineStr">
        <is>
          <t>ISIC 25</t>
        </is>
      </c>
    </row>
    <row r="153">
      <c r="A153" t="inlineStr">
        <is>
          <t>332500</t>
        </is>
      </c>
      <c r="B153" t="inlineStr">
        <is>
          <t>Hardware manufacturing</t>
        </is>
      </c>
      <c r="C153" t="inlineStr">
        <is>
          <t>ISIC 25</t>
        </is>
      </c>
    </row>
    <row r="154">
      <c r="A154" t="inlineStr">
        <is>
          <t>332600</t>
        </is>
      </c>
      <c r="B154" t="inlineStr">
        <is>
          <t>Spring and wire product manufacturing</t>
        </is>
      </c>
      <c r="C154" t="inlineStr">
        <is>
          <t>ISIC 25</t>
        </is>
      </c>
    </row>
    <row r="155">
      <c r="A155" t="inlineStr">
        <is>
          <t>332710</t>
        </is>
      </c>
      <c r="B155" t="inlineStr">
        <is>
          <t>Machine shops</t>
        </is>
      </c>
      <c r="C155" t="inlineStr">
        <is>
          <t>ISIC 25</t>
        </is>
      </c>
    </row>
    <row r="156">
      <c r="A156" t="inlineStr">
        <is>
          <t>332720</t>
        </is>
      </c>
      <c r="B156" t="inlineStr">
        <is>
          <t>Turned product and screw, nut, and bolt manufacturing</t>
        </is>
      </c>
      <c r="C156" t="inlineStr">
        <is>
          <t>ISIC 25</t>
        </is>
      </c>
    </row>
    <row r="157">
      <c r="A157" t="inlineStr">
        <is>
          <t>332800</t>
        </is>
      </c>
      <c r="B157" t="inlineStr">
        <is>
          <t>Coating, engraving, heat treating and allied activities</t>
        </is>
      </c>
      <c r="C157" t="inlineStr">
        <is>
          <t>ISIC 25</t>
        </is>
      </c>
    </row>
    <row r="158">
      <c r="A158" t="inlineStr">
        <is>
          <t>332913</t>
        </is>
      </c>
      <c r="B158" t="inlineStr">
        <is>
          <t>Plumbing fixture fitting and trim manufacturing</t>
        </is>
      </c>
      <c r="C158" t="inlineStr">
        <is>
          <t>ISIC 25</t>
        </is>
      </c>
    </row>
    <row r="159">
      <c r="A159" t="inlineStr">
        <is>
          <t>33291A</t>
        </is>
      </c>
      <c r="B159" t="inlineStr">
        <is>
          <t>Valve and fittings other than plumbing</t>
        </is>
      </c>
      <c r="C159" t="inlineStr">
        <is>
          <t>ISIC 25</t>
        </is>
      </c>
    </row>
    <row r="160">
      <c r="A160" t="inlineStr">
        <is>
          <t>332991</t>
        </is>
      </c>
      <c r="B160" t="inlineStr">
        <is>
          <t>Ball and roller bearing manufacturing</t>
        </is>
      </c>
      <c r="C160" t="inlineStr">
        <is>
          <t>ISIC 25</t>
        </is>
      </c>
    </row>
    <row r="161">
      <c r="A161" t="inlineStr">
        <is>
          <t>332996</t>
        </is>
      </c>
      <c r="B161" t="inlineStr">
        <is>
          <t>Fabricated pipe and pipe fitting manufacturing</t>
        </is>
      </c>
      <c r="C161" t="inlineStr">
        <is>
          <t>ISIC 25</t>
        </is>
      </c>
    </row>
    <row r="162">
      <c r="A162" t="inlineStr">
        <is>
          <t>332999</t>
        </is>
      </c>
      <c r="B162" t="inlineStr">
        <is>
          <t>Other fabricated metal manufacturing</t>
        </is>
      </c>
      <c r="C162" t="inlineStr">
        <is>
          <t>ISIC 25</t>
        </is>
      </c>
    </row>
    <row r="163">
      <c r="A163" t="inlineStr">
        <is>
          <t>33299A</t>
        </is>
      </c>
      <c r="B163" t="inlineStr">
        <is>
          <t>Ammunition, arms, ordnance, and accessories manufacturing</t>
        </is>
      </c>
      <c r="C163" t="inlineStr">
        <is>
          <t>ISIC 25</t>
        </is>
      </c>
    </row>
    <row r="164">
      <c r="A164" t="inlineStr">
        <is>
          <t>333111</t>
        </is>
      </c>
      <c r="B164" t="inlineStr">
        <is>
          <t>Farm machinery and equipment manufacturing</t>
        </is>
      </c>
      <c r="C164" t="inlineStr">
        <is>
          <t>ISIC 28</t>
        </is>
      </c>
    </row>
    <row r="165">
      <c r="A165" t="inlineStr">
        <is>
          <t>333112</t>
        </is>
      </c>
      <c r="B165" t="inlineStr">
        <is>
          <t>Lawn and garden equipment manufacturing</t>
        </is>
      </c>
      <c r="C165" t="inlineStr">
        <is>
          <t>ISIC 28</t>
        </is>
      </c>
    </row>
    <row r="166">
      <c r="A166" t="inlineStr">
        <is>
          <t>333120</t>
        </is>
      </c>
      <c r="B166" t="inlineStr">
        <is>
          <t>Construction machinery manufacturing</t>
        </is>
      </c>
      <c r="C166" t="inlineStr">
        <is>
          <t>ISIC 28</t>
        </is>
      </c>
    </row>
    <row r="167">
      <c r="A167" t="inlineStr">
        <is>
          <t>333130</t>
        </is>
      </c>
      <c r="B167" t="inlineStr">
        <is>
          <t>Mining and oil and gas field machinery manufacturing</t>
        </is>
      </c>
      <c r="C167" t="inlineStr">
        <is>
          <t>ISIC 28</t>
        </is>
      </c>
    </row>
    <row r="168">
      <c r="A168" t="inlineStr">
        <is>
          <t>333242</t>
        </is>
      </c>
      <c r="B168" t="inlineStr">
        <is>
          <t>Semiconductor machinery manufacturing</t>
        </is>
      </c>
      <c r="C168" t="inlineStr">
        <is>
          <t>ISIC 28</t>
        </is>
      </c>
    </row>
    <row r="169">
      <c r="A169" t="inlineStr">
        <is>
          <t>33329A</t>
        </is>
      </c>
      <c r="B169" t="inlineStr">
        <is>
          <t>Other industrial machinery manufacturing</t>
        </is>
      </c>
      <c r="C169" t="inlineStr">
        <is>
          <t>ISIC 28</t>
        </is>
      </c>
    </row>
    <row r="170">
      <c r="A170" t="inlineStr">
        <is>
          <t>333314</t>
        </is>
      </c>
      <c r="B170" t="inlineStr">
        <is>
          <t>Optical instrument and lens manufacturing</t>
        </is>
      </c>
      <c r="C170" t="inlineStr">
        <is>
          <t>ISIC 28</t>
        </is>
      </c>
    </row>
    <row r="171">
      <c r="A171" t="inlineStr">
        <is>
          <t>333316</t>
        </is>
      </c>
      <c r="B171" t="inlineStr">
        <is>
          <t>Photographic and photocopying equipment manufacturing</t>
        </is>
      </c>
      <c r="C171" t="inlineStr">
        <is>
          <t>ISIC 28</t>
        </is>
      </c>
    </row>
    <row r="172">
      <c r="A172" t="inlineStr">
        <is>
          <t>333318</t>
        </is>
      </c>
      <c r="B172" t="inlineStr">
        <is>
          <t>Other commercial and service industry machinery manufacturing</t>
        </is>
      </c>
      <c r="C172" t="inlineStr">
        <is>
          <t>ISIC 28</t>
        </is>
      </c>
    </row>
    <row r="173">
      <c r="A173" t="inlineStr">
        <is>
          <t>333413</t>
        </is>
      </c>
      <c r="B173" t="inlineStr">
        <is>
          <t>Industrial and commercial fan and blower and air purification equipment manufacturing</t>
        </is>
      </c>
      <c r="C173" t="inlineStr">
        <is>
          <t>ISIC 28</t>
        </is>
      </c>
    </row>
    <row r="174">
      <c r="A174" t="inlineStr">
        <is>
          <t>333414</t>
        </is>
      </c>
      <c r="B174" t="inlineStr">
        <is>
          <t>Heating equipment (except warm air furnaces) manufacturing</t>
        </is>
      </c>
      <c r="C174" t="inlineStr">
        <is>
          <t>ISIC 28</t>
        </is>
      </c>
    </row>
    <row r="175">
      <c r="A175" t="inlineStr">
        <is>
          <t>333415</t>
        </is>
      </c>
      <c r="B175" t="inlineStr">
        <is>
          <t>Air conditioning, refrigeration, and warm air heating equipment manufacturing</t>
        </is>
      </c>
      <c r="C175" t="inlineStr">
        <is>
          <t>ISIC 28</t>
        </is>
      </c>
    </row>
    <row r="176">
      <c r="A176" t="inlineStr">
        <is>
          <t>333511</t>
        </is>
      </c>
      <c r="B176" t="inlineStr">
        <is>
          <t>Industrial mold manufacturing</t>
        </is>
      </c>
      <c r="C176" t="inlineStr">
        <is>
          <t>ISIC 28</t>
        </is>
      </c>
    </row>
    <row r="177">
      <c r="A177" t="inlineStr">
        <is>
          <t>333514</t>
        </is>
      </c>
      <c r="B177" t="inlineStr">
        <is>
          <t>Special tool, die, jig, and fixture manufacturing</t>
        </is>
      </c>
      <c r="C177" t="inlineStr">
        <is>
          <t>ISIC 28</t>
        </is>
      </c>
    </row>
    <row r="178">
      <c r="A178" t="inlineStr">
        <is>
          <t>333517</t>
        </is>
      </c>
      <c r="B178" t="inlineStr">
        <is>
          <t>Machine tool manufacturing</t>
        </is>
      </c>
      <c r="C178" t="inlineStr">
        <is>
          <t>ISIC 28</t>
        </is>
      </c>
    </row>
    <row r="179">
      <c r="A179" t="inlineStr">
        <is>
          <t>33351B</t>
        </is>
      </c>
      <c r="B179" t="inlineStr">
        <is>
          <t>Cutting and machine tool accessory, rolling mill, and other metalworking machinery manufacturing</t>
        </is>
      </c>
      <c r="C179" t="inlineStr">
        <is>
          <t>ISIC 28</t>
        </is>
      </c>
    </row>
    <row r="180">
      <c r="A180" t="inlineStr">
        <is>
          <t>333611</t>
        </is>
      </c>
      <c r="B180" t="inlineStr">
        <is>
          <t>Turbine and turbine generator set units manufacturing</t>
        </is>
      </c>
      <c r="C180" t="inlineStr">
        <is>
          <t>ISIC 28</t>
        </is>
      </c>
    </row>
    <row r="181">
      <c r="A181" t="inlineStr">
        <is>
          <t>333612</t>
        </is>
      </c>
      <c r="B181" t="inlineStr">
        <is>
          <t>Speed changer, industrial high-speed drive, and gear manufacturing</t>
        </is>
      </c>
      <c r="C181" t="inlineStr">
        <is>
          <t>ISIC 28</t>
        </is>
      </c>
    </row>
    <row r="182">
      <c r="A182" t="inlineStr">
        <is>
          <t>333613</t>
        </is>
      </c>
      <c r="B182" t="inlineStr">
        <is>
          <t>Mechanical power transmission equipment manufacturing</t>
        </is>
      </c>
      <c r="C182" t="inlineStr">
        <is>
          <t>ISIC 28</t>
        </is>
      </c>
    </row>
    <row r="183">
      <c r="A183" t="inlineStr">
        <is>
          <t>333618</t>
        </is>
      </c>
      <c r="B183" t="inlineStr">
        <is>
          <t>Other engine equipment manufacturing</t>
        </is>
      </c>
      <c r="C183" t="inlineStr">
        <is>
          <t>ISIC 28</t>
        </is>
      </c>
    </row>
    <row r="184">
      <c r="A184" t="inlineStr">
        <is>
          <t>333912</t>
        </is>
      </c>
      <c r="B184" t="inlineStr">
        <is>
          <t>Air and gas compressor manufacturing</t>
        </is>
      </c>
      <c r="C184" t="inlineStr">
        <is>
          <t>ISIC 28</t>
        </is>
      </c>
    </row>
    <row r="185">
      <c r="A185" t="inlineStr">
        <is>
          <t>333914</t>
        </is>
      </c>
      <c r="B185" t="inlineStr">
        <is>
          <t>Measuring, dispensing, and other pumping equipment manufacturing</t>
        </is>
      </c>
      <c r="C185" t="inlineStr">
        <is>
          <t>ISIC 28</t>
        </is>
      </c>
    </row>
    <row r="186">
      <c r="A186" t="inlineStr">
        <is>
          <t>33391A</t>
        </is>
      </c>
      <c r="B186" t="inlineStr"/>
      <c r="C186" t="inlineStr">
        <is>
          <t>ISIC 28</t>
        </is>
      </c>
    </row>
    <row r="187">
      <c r="A187" t="inlineStr">
        <is>
          <t>333920</t>
        </is>
      </c>
      <c r="B187" t="inlineStr">
        <is>
          <t>Material handling equipment manufacturing</t>
        </is>
      </c>
      <c r="C187" t="inlineStr">
        <is>
          <t>ISIC 28</t>
        </is>
      </c>
    </row>
    <row r="188">
      <c r="A188" t="inlineStr">
        <is>
          <t>333991</t>
        </is>
      </c>
      <c r="B188" t="inlineStr">
        <is>
          <t>Power-driven handtool manufacturing</t>
        </is>
      </c>
      <c r="C188" t="inlineStr">
        <is>
          <t>ISIC 28</t>
        </is>
      </c>
    </row>
    <row r="189">
      <c r="A189" t="inlineStr">
        <is>
          <t>333993</t>
        </is>
      </c>
      <c r="B189" t="inlineStr">
        <is>
          <t>Packaging machinery manufacturing</t>
        </is>
      </c>
      <c r="C189" t="inlineStr">
        <is>
          <t>ISIC 28</t>
        </is>
      </c>
    </row>
    <row r="190">
      <c r="A190" t="inlineStr">
        <is>
          <t>333994</t>
        </is>
      </c>
      <c r="B190" t="inlineStr">
        <is>
          <t>Industrial process furnace and oven manufacturing</t>
        </is>
      </c>
      <c r="C190" t="inlineStr">
        <is>
          <t>ISIC 28</t>
        </is>
      </c>
    </row>
    <row r="191">
      <c r="A191" t="inlineStr">
        <is>
          <t>33399A</t>
        </is>
      </c>
      <c r="B191" t="inlineStr">
        <is>
          <t>Other general purpose machinery manufacturing</t>
        </is>
      </c>
      <c r="C191" t="inlineStr">
        <is>
          <t>ISIC 28</t>
        </is>
      </c>
    </row>
    <row r="192">
      <c r="A192" t="inlineStr">
        <is>
          <t>33399B</t>
        </is>
      </c>
      <c r="B192" t="inlineStr">
        <is>
          <t>Fluid power process machinery</t>
        </is>
      </c>
      <c r="C192" t="inlineStr">
        <is>
          <t>ISIC 28</t>
        </is>
      </c>
    </row>
    <row r="193">
      <c r="A193" t="inlineStr">
        <is>
          <t>334111</t>
        </is>
      </c>
      <c r="B193" t="inlineStr">
        <is>
          <t>Electronic computer manufacturing</t>
        </is>
      </c>
      <c r="C193" t="inlineStr">
        <is>
          <t>ISIC 26</t>
        </is>
      </c>
    </row>
    <row r="194">
      <c r="A194" t="inlineStr">
        <is>
          <t>334112</t>
        </is>
      </c>
      <c r="B194" t="inlineStr">
        <is>
          <t>Computer storage device manufacturing</t>
        </is>
      </c>
      <c r="C194" t="inlineStr">
        <is>
          <t>ISIC 26</t>
        </is>
      </c>
    </row>
    <row r="195">
      <c r="A195" t="inlineStr">
        <is>
          <t>334118</t>
        </is>
      </c>
      <c r="B195" t="inlineStr">
        <is>
          <t>Computer terminals and other computer peripheral equipment manufacturing</t>
        </is>
      </c>
      <c r="C195" t="inlineStr">
        <is>
          <t>ISIC 26</t>
        </is>
      </c>
    </row>
    <row r="196">
      <c r="A196" t="inlineStr">
        <is>
          <t>334210</t>
        </is>
      </c>
      <c r="B196" t="inlineStr">
        <is>
          <t>Telephone apparatus manufacturing</t>
        </is>
      </c>
      <c r="C196" t="inlineStr">
        <is>
          <t>ISIC 26</t>
        </is>
      </c>
    </row>
    <row r="197">
      <c r="A197" t="inlineStr">
        <is>
          <t>334220</t>
        </is>
      </c>
      <c r="B197" t="inlineStr">
        <is>
          <t>Broadcast and wireless communications equipment</t>
        </is>
      </c>
      <c r="C197" t="inlineStr">
        <is>
          <t>ISIC 26</t>
        </is>
      </c>
    </row>
    <row r="198">
      <c r="A198" t="inlineStr">
        <is>
          <t>334290</t>
        </is>
      </c>
      <c r="B198" t="inlineStr">
        <is>
          <t>Other communications equipment manufacturing</t>
        </is>
      </c>
      <c r="C198" t="inlineStr">
        <is>
          <t>ISIC 26</t>
        </is>
      </c>
    </row>
    <row r="199">
      <c r="A199" t="inlineStr">
        <is>
          <t>334300</t>
        </is>
      </c>
      <c r="B199" t="inlineStr">
        <is>
          <t>Audio and video equipment manufacturing</t>
        </is>
      </c>
      <c r="C199" t="inlineStr">
        <is>
          <t>ISIC 26</t>
        </is>
      </c>
    </row>
    <row r="200">
      <c r="A200" t="inlineStr">
        <is>
          <t>334413</t>
        </is>
      </c>
      <c r="B200" t="inlineStr">
        <is>
          <t>Semiconductor and related device manufacturing</t>
        </is>
      </c>
      <c r="C200" t="inlineStr">
        <is>
          <t>ISIC 26</t>
        </is>
      </c>
    </row>
    <row r="201">
      <c r="A201" t="inlineStr">
        <is>
          <t>334418</t>
        </is>
      </c>
      <c r="B201" t="inlineStr">
        <is>
          <t>Printed circuit assembly (electronic assembly) manufacturing</t>
        </is>
      </c>
      <c r="C201" t="inlineStr">
        <is>
          <t>ISIC 26</t>
        </is>
      </c>
    </row>
    <row r="202">
      <c r="A202" t="inlineStr">
        <is>
          <t>33441A</t>
        </is>
      </c>
      <c r="B202" t="inlineStr">
        <is>
          <t>Other electronic component manufacturing</t>
        </is>
      </c>
      <c r="C202" t="inlineStr">
        <is>
          <t>ISIC 26</t>
        </is>
      </c>
    </row>
    <row r="203">
      <c r="A203" t="inlineStr">
        <is>
          <t>334510</t>
        </is>
      </c>
      <c r="B203" t="inlineStr">
        <is>
          <t>Electromedical and electrotherapeutic apparatus manufacturing</t>
        </is>
      </c>
      <c r="C203" t="inlineStr">
        <is>
          <t>ISIC 26</t>
        </is>
      </c>
    </row>
    <row r="204">
      <c r="A204" t="inlineStr">
        <is>
          <t>334511</t>
        </is>
      </c>
      <c r="B204" t="inlineStr">
        <is>
          <t>Search, detection, and navigation instruments manufacturing</t>
        </is>
      </c>
      <c r="C204" t="inlineStr">
        <is>
          <t>ISIC 26</t>
        </is>
      </c>
    </row>
    <row r="205">
      <c r="A205" t="inlineStr">
        <is>
          <t>334512</t>
        </is>
      </c>
      <c r="B205" t="inlineStr">
        <is>
          <t>Automatic environmental control manufacturing</t>
        </is>
      </c>
      <c r="C205" t="inlineStr">
        <is>
          <t>ISIC 26</t>
        </is>
      </c>
    </row>
    <row r="206">
      <c r="A206" t="inlineStr">
        <is>
          <t>334513</t>
        </is>
      </c>
      <c r="B206" t="inlineStr">
        <is>
          <t>Industrial process variable instruments manufacturing</t>
        </is>
      </c>
      <c r="C206" t="inlineStr">
        <is>
          <t>ISIC 26</t>
        </is>
      </c>
    </row>
    <row r="207">
      <c r="A207" t="inlineStr">
        <is>
          <t>334514</t>
        </is>
      </c>
      <c r="B207" t="inlineStr">
        <is>
          <t>Totalizing fluid meter and counting device manufacturing</t>
        </is>
      </c>
      <c r="C207" t="inlineStr">
        <is>
          <t>ISIC 26</t>
        </is>
      </c>
    </row>
    <row r="208">
      <c r="A208" t="inlineStr">
        <is>
          <t>334515</t>
        </is>
      </c>
      <c r="B208" t="inlineStr">
        <is>
          <t>Electricity and signal testing instruments manufacturing</t>
        </is>
      </c>
      <c r="C208" t="inlineStr">
        <is>
          <t>ISIC 26</t>
        </is>
      </c>
    </row>
    <row r="209">
      <c r="A209" t="inlineStr">
        <is>
          <t>334516</t>
        </is>
      </c>
      <c r="B209" t="inlineStr">
        <is>
          <t>Analytical laboratory instrument manufacturing</t>
        </is>
      </c>
      <c r="C209" t="inlineStr">
        <is>
          <t>ISIC 26</t>
        </is>
      </c>
    </row>
    <row r="210">
      <c r="A210" t="inlineStr">
        <is>
          <t>334517</t>
        </is>
      </c>
      <c r="B210" t="inlineStr">
        <is>
          <t>Irradiation apparatus manufacturing</t>
        </is>
      </c>
      <c r="C210" t="inlineStr">
        <is>
          <t>ISIC 26</t>
        </is>
      </c>
    </row>
    <row r="211">
      <c r="A211" t="inlineStr">
        <is>
          <t>33451A</t>
        </is>
      </c>
      <c r="B211" t="inlineStr">
        <is>
          <t>Watch, clock, and other measuring and controlling device manufacturing</t>
        </is>
      </c>
      <c r="C211" t="inlineStr">
        <is>
          <t>ISIC 26</t>
        </is>
      </c>
    </row>
    <row r="212">
      <c r="A212" t="inlineStr">
        <is>
          <t>334610</t>
        </is>
      </c>
      <c r="B212" t="inlineStr">
        <is>
          <t>Manufacturing and reproducing magnetic and optical media</t>
        </is>
      </c>
      <c r="C212" t="inlineStr">
        <is>
          <t>ISIC 26</t>
        </is>
      </c>
    </row>
    <row r="213">
      <c r="A213" t="inlineStr">
        <is>
          <t>335110</t>
        </is>
      </c>
      <c r="B213" t="inlineStr">
        <is>
          <t>Electric lamp bulb and part manufacturing</t>
        </is>
      </c>
      <c r="C213" t="inlineStr">
        <is>
          <t>ISIC 27</t>
        </is>
      </c>
    </row>
    <row r="214">
      <c r="A214" t="inlineStr">
        <is>
          <t>335120</t>
        </is>
      </c>
      <c r="B214" t="inlineStr">
        <is>
          <t>Lighting fixture manufacturing</t>
        </is>
      </c>
      <c r="C214" t="inlineStr">
        <is>
          <t>ISIC 27</t>
        </is>
      </c>
    </row>
    <row r="215">
      <c r="A215" t="inlineStr">
        <is>
          <t>335210</t>
        </is>
      </c>
      <c r="B215" t="inlineStr">
        <is>
          <t>Small electrical appliance manufacturing</t>
        </is>
      </c>
      <c r="C215" t="inlineStr">
        <is>
          <t>ISIC 27</t>
        </is>
      </c>
    </row>
    <row r="216">
      <c r="A216" t="inlineStr">
        <is>
          <t>335220</t>
        </is>
      </c>
      <c r="B216" t="inlineStr">
        <is>
          <t>Major household appliance manufacturing</t>
        </is>
      </c>
      <c r="C216" t="inlineStr">
        <is>
          <t>ISIC 27</t>
        </is>
      </c>
    </row>
    <row r="217">
      <c r="A217" t="inlineStr">
        <is>
          <t>335221</t>
        </is>
      </c>
      <c r="B217" t="inlineStr"/>
      <c r="C217" t="inlineStr">
        <is>
          <t>ISIC 27</t>
        </is>
      </c>
    </row>
    <row r="218">
      <c r="A218" t="inlineStr">
        <is>
          <t>335222</t>
        </is>
      </c>
      <c r="B218" t="inlineStr"/>
      <c r="C218" t="inlineStr">
        <is>
          <t>ISIC 27</t>
        </is>
      </c>
    </row>
    <row r="219">
      <c r="A219" t="inlineStr">
        <is>
          <t>335224</t>
        </is>
      </c>
      <c r="B219" t="inlineStr"/>
      <c r="C219" t="inlineStr">
        <is>
          <t>ISIC 27</t>
        </is>
      </c>
    </row>
    <row r="220">
      <c r="A220" t="inlineStr">
        <is>
          <t>335228</t>
        </is>
      </c>
      <c r="B220" t="inlineStr"/>
      <c r="C220" t="inlineStr">
        <is>
          <t>ISIC 27</t>
        </is>
      </c>
    </row>
    <row r="221">
      <c r="A221" t="inlineStr">
        <is>
          <t>335311</t>
        </is>
      </c>
      <c r="B221" t="inlineStr">
        <is>
          <t>Power, distribution, and specialty transformer manufacturing</t>
        </is>
      </c>
      <c r="C221" t="inlineStr">
        <is>
          <t>ISIC 27</t>
        </is>
      </c>
    </row>
    <row r="222">
      <c r="A222" t="inlineStr">
        <is>
          <t>335312</t>
        </is>
      </c>
      <c r="B222" t="inlineStr">
        <is>
          <t>Motor and generator manufacturing</t>
        </is>
      </c>
      <c r="C222" t="inlineStr">
        <is>
          <t>ISIC 27</t>
        </is>
      </c>
    </row>
    <row r="223">
      <c r="A223" t="inlineStr">
        <is>
          <t>335313</t>
        </is>
      </c>
      <c r="B223" t="inlineStr">
        <is>
          <t>Switchgear and switchboard apparatus manufacturing</t>
        </is>
      </c>
      <c r="C223" t="inlineStr">
        <is>
          <t>ISIC 27</t>
        </is>
      </c>
    </row>
    <row r="224">
      <c r="A224" t="inlineStr">
        <is>
          <t>335314</t>
        </is>
      </c>
      <c r="B224" t="inlineStr">
        <is>
          <t>Relay and industrial control manufacturing</t>
        </is>
      </c>
      <c r="C224" t="inlineStr">
        <is>
          <t>ISIC 27</t>
        </is>
      </c>
    </row>
    <row r="225">
      <c r="A225" t="inlineStr">
        <is>
          <t>335911</t>
        </is>
      </c>
      <c r="B225" t="inlineStr">
        <is>
          <t>Storage battery manufacturing</t>
        </is>
      </c>
      <c r="C225" t="inlineStr">
        <is>
          <t>ISIC 27</t>
        </is>
      </c>
    </row>
    <row r="226">
      <c r="A226" t="inlineStr">
        <is>
          <t>335912</t>
        </is>
      </c>
      <c r="B226" t="inlineStr">
        <is>
          <t>Primary battery manufacturing</t>
        </is>
      </c>
      <c r="C226" t="inlineStr">
        <is>
          <t>ISIC 27</t>
        </is>
      </c>
    </row>
    <row r="227">
      <c r="A227" t="inlineStr">
        <is>
          <t>335920</t>
        </is>
      </c>
      <c r="B227" t="inlineStr">
        <is>
          <t>Communication and energy wire and cable manufacturing</t>
        </is>
      </c>
      <c r="C227" t="inlineStr">
        <is>
          <t>ISIC 27</t>
        </is>
      </c>
    </row>
    <row r="228">
      <c r="A228" t="inlineStr">
        <is>
          <t>335930</t>
        </is>
      </c>
      <c r="B228" t="inlineStr">
        <is>
          <t>Wiring device manufacturing</t>
        </is>
      </c>
      <c r="C228" t="inlineStr">
        <is>
          <t>ISIC 27</t>
        </is>
      </c>
    </row>
    <row r="229">
      <c r="A229" t="inlineStr">
        <is>
          <t>335991</t>
        </is>
      </c>
      <c r="B229" t="inlineStr">
        <is>
          <t>Carbon and graphite product manufacturing</t>
        </is>
      </c>
      <c r="C229" t="inlineStr">
        <is>
          <t>ISIC 27</t>
        </is>
      </c>
    </row>
    <row r="230">
      <c r="A230" t="inlineStr">
        <is>
          <t>335999</t>
        </is>
      </c>
      <c r="B230" t="inlineStr">
        <is>
          <t>All other miscellaneous electrical equipment and component manufacturing</t>
        </is>
      </c>
      <c r="C230" t="inlineStr">
        <is>
          <t>ISIC 27</t>
        </is>
      </c>
    </row>
    <row r="231">
      <c r="A231" t="inlineStr">
        <is>
          <t>336111</t>
        </is>
      </c>
      <c r="B231" t="inlineStr">
        <is>
          <t>Automobile manufacturing</t>
        </is>
      </c>
      <c r="C231" t="inlineStr">
        <is>
          <t>ISIC 29</t>
        </is>
      </c>
    </row>
    <row r="232">
      <c r="A232" t="inlineStr">
        <is>
          <t>336112</t>
        </is>
      </c>
      <c r="B232" t="inlineStr">
        <is>
          <t>Light truck and utility vehicle manufacturing</t>
        </is>
      </c>
      <c r="C232" t="inlineStr">
        <is>
          <t>ISIC 29</t>
        </is>
      </c>
    </row>
    <row r="233">
      <c r="A233" t="inlineStr">
        <is>
          <t>336120</t>
        </is>
      </c>
      <c r="B233" t="inlineStr">
        <is>
          <t>Heavy duty truck manufacturing</t>
        </is>
      </c>
      <c r="C233" t="inlineStr">
        <is>
          <t>ISIC 29</t>
        </is>
      </c>
    </row>
    <row r="234">
      <c r="A234" t="inlineStr">
        <is>
          <t>336211</t>
        </is>
      </c>
      <c r="B234" t="inlineStr">
        <is>
          <t>Motor vehicle body manufacturing</t>
        </is>
      </c>
      <c r="C234" t="inlineStr">
        <is>
          <t>ISIC 29</t>
        </is>
      </c>
    </row>
    <row r="235">
      <c r="A235" t="inlineStr">
        <is>
          <t>336212</t>
        </is>
      </c>
      <c r="B235" t="inlineStr">
        <is>
          <t>Truck trailer manufacturing</t>
        </is>
      </c>
      <c r="C235" t="inlineStr">
        <is>
          <t>ISIC 29</t>
        </is>
      </c>
    </row>
    <row r="236">
      <c r="A236" t="inlineStr">
        <is>
          <t>336213</t>
        </is>
      </c>
      <c r="B236" t="inlineStr">
        <is>
          <t>Motor home manufacturing</t>
        </is>
      </c>
      <c r="C236" t="inlineStr">
        <is>
          <t>ISIC 29</t>
        </is>
      </c>
    </row>
    <row r="237">
      <c r="A237" t="inlineStr">
        <is>
          <t>336214</t>
        </is>
      </c>
      <c r="B237" t="inlineStr">
        <is>
          <t>Travel trailer and camper manufacturing</t>
        </is>
      </c>
      <c r="C237" t="inlineStr">
        <is>
          <t>ISIC 29</t>
        </is>
      </c>
    </row>
    <row r="238">
      <c r="A238" t="inlineStr">
        <is>
          <t>336310</t>
        </is>
      </c>
      <c r="B238" t="inlineStr">
        <is>
          <t>Motor vehicle gasoline engine and engine parts manufacturing</t>
        </is>
      </c>
      <c r="C238" t="inlineStr">
        <is>
          <t>ISIC 29</t>
        </is>
      </c>
    </row>
    <row r="239">
      <c r="A239" t="inlineStr">
        <is>
          <t>336320</t>
        </is>
      </c>
      <c r="B239" t="inlineStr">
        <is>
          <t>Motor vehicle electrical and electronic equipment manufacturing</t>
        </is>
      </c>
      <c r="C239" t="inlineStr">
        <is>
          <t>ISIC 29</t>
        </is>
      </c>
    </row>
    <row r="240">
      <c r="A240" t="inlineStr">
        <is>
          <t>336350</t>
        </is>
      </c>
      <c r="B240" t="inlineStr">
        <is>
          <t>Motor vehicle transmission and power train parts manufacturing</t>
        </is>
      </c>
      <c r="C240" t="inlineStr">
        <is>
          <t>ISIC 29</t>
        </is>
      </c>
    </row>
    <row r="241">
      <c r="A241" t="inlineStr">
        <is>
          <t>336360</t>
        </is>
      </c>
      <c r="B241" t="inlineStr">
        <is>
          <t>Motor vehicle seating and interior trim manufacturing</t>
        </is>
      </c>
      <c r="C241" t="inlineStr">
        <is>
          <t>ISIC 29</t>
        </is>
      </c>
    </row>
    <row r="242">
      <c r="A242" t="inlineStr">
        <is>
          <t>336370</t>
        </is>
      </c>
      <c r="B242" t="inlineStr">
        <is>
          <t>Motor vehicle metal stamping</t>
        </is>
      </c>
      <c r="C242" t="inlineStr">
        <is>
          <t>ISIC 29</t>
        </is>
      </c>
    </row>
    <row r="243">
      <c r="A243" t="inlineStr">
        <is>
          <t>336390</t>
        </is>
      </c>
      <c r="B243" t="inlineStr">
        <is>
          <t>Other motor vehicle parts manufacturing</t>
        </is>
      </c>
      <c r="C243" t="inlineStr">
        <is>
          <t>ISIC 29</t>
        </is>
      </c>
    </row>
    <row r="244">
      <c r="A244" t="inlineStr">
        <is>
          <t>3363A0</t>
        </is>
      </c>
      <c r="B244" t="inlineStr">
        <is>
          <t>Motor vehicle steering, suspension component (except spring), and brake systems manufacturing</t>
        </is>
      </c>
      <c r="C244" t="inlineStr">
        <is>
          <t>ISIC 29</t>
        </is>
      </c>
    </row>
    <row r="245">
      <c r="A245" t="inlineStr">
        <is>
          <t>336411</t>
        </is>
      </c>
      <c r="B245" t="inlineStr">
        <is>
          <t>Aircraft manufacturing</t>
        </is>
      </c>
      <c r="C245" t="inlineStr">
        <is>
          <t>ISIC 302T309</t>
        </is>
      </c>
    </row>
    <row r="246">
      <c r="A246" t="inlineStr">
        <is>
          <t>336412</t>
        </is>
      </c>
      <c r="B246" t="inlineStr">
        <is>
          <t>Aircraft engine and engine parts manufacturing</t>
        </is>
      </c>
      <c r="C246" t="inlineStr">
        <is>
          <t>ISIC 302T309</t>
        </is>
      </c>
    </row>
    <row r="247">
      <c r="A247" t="inlineStr">
        <is>
          <t>336413</t>
        </is>
      </c>
      <c r="B247" t="inlineStr">
        <is>
          <t>Other aircraft parts and auxiliary equipment manufacturing</t>
        </is>
      </c>
      <c r="C247" t="inlineStr">
        <is>
          <t>ISIC 302T309</t>
        </is>
      </c>
    </row>
    <row r="248">
      <c r="A248" t="inlineStr">
        <is>
          <t>336414</t>
        </is>
      </c>
      <c r="B248" t="inlineStr">
        <is>
          <t>Guided missile and space vehicle manufacturing</t>
        </is>
      </c>
      <c r="C248" t="inlineStr">
        <is>
          <t>ISIC 302T309</t>
        </is>
      </c>
    </row>
    <row r="249">
      <c r="A249" t="inlineStr">
        <is>
          <t>33641A</t>
        </is>
      </c>
      <c r="B249" t="inlineStr">
        <is>
          <t>Propulsion units and parts for space vehicles and guided missiles</t>
        </is>
      </c>
      <c r="C249" t="inlineStr">
        <is>
          <t>ISIC 302T309</t>
        </is>
      </c>
    </row>
    <row r="250">
      <c r="A250" t="inlineStr">
        <is>
          <t>336500</t>
        </is>
      </c>
      <c r="B250" t="inlineStr">
        <is>
          <t>Railroad rolling stock manufacturing</t>
        </is>
      </c>
      <c r="C250" t="inlineStr">
        <is>
          <t>ISIC 302T309</t>
        </is>
      </c>
    </row>
    <row r="251">
      <c r="A251" t="inlineStr">
        <is>
          <t>336611</t>
        </is>
      </c>
      <c r="B251" t="inlineStr">
        <is>
          <t>Ship building and repairing</t>
        </is>
      </c>
      <c r="C251" t="inlineStr">
        <is>
          <t>ISIC 301</t>
        </is>
      </c>
    </row>
    <row r="252">
      <c r="A252" t="inlineStr">
        <is>
          <t>336612</t>
        </is>
      </c>
      <c r="B252" t="inlineStr">
        <is>
          <t>Boat building</t>
        </is>
      </c>
      <c r="C252" t="inlineStr">
        <is>
          <t>ISIC 301</t>
        </is>
      </c>
    </row>
    <row r="253">
      <c r="A253" t="inlineStr">
        <is>
          <t>336991</t>
        </is>
      </c>
      <c r="B253" t="inlineStr">
        <is>
          <t>Motorcycle, bicycle, and parts manufacturing</t>
        </is>
      </c>
      <c r="C253" t="inlineStr">
        <is>
          <t>ISIC 302T309</t>
        </is>
      </c>
    </row>
    <row r="254">
      <c r="A254" t="inlineStr">
        <is>
          <t>336992</t>
        </is>
      </c>
      <c r="B254" t="inlineStr">
        <is>
          <t>Military armored vehicle, tank, and tank component manufacturing</t>
        </is>
      </c>
      <c r="C254" t="inlineStr">
        <is>
          <t>ISIC 302T309</t>
        </is>
      </c>
    </row>
    <row r="255">
      <c r="A255" t="inlineStr">
        <is>
          <t>336999</t>
        </is>
      </c>
      <c r="B255" t="inlineStr">
        <is>
          <t>All other transportation equipment manufacturing</t>
        </is>
      </c>
      <c r="C255" t="inlineStr">
        <is>
          <t>ISIC 302T309</t>
        </is>
      </c>
    </row>
    <row r="256">
      <c r="A256" t="inlineStr">
        <is>
          <t>337110</t>
        </is>
      </c>
      <c r="B256" t="inlineStr">
        <is>
          <t>Wood kitchen cabinet and countertop manufacturing</t>
        </is>
      </c>
      <c r="C256" t="inlineStr">
        <is>
          <t>ISIC 31T33</t>
        </is>
      </c>
    </row>
    <row r="257">
      <c r="A257" t="inlineStr">
        <is>
          <t>337121</t>
        </is>
      </c>
      <c r="B257" t="inlineStr">
        <is>
          <t>Upholstered household furniture manufacturing</t>
        </is>
      </c>
      <c r="C257" t="inlineStr">
        <is>
          <t>ISIC 31T33</t>
        </is>
      </c>
    </row>
    <row r="258">
      <c r="A258" t="inlineStr">
        <is>
          <t>337122</t>
        </is>
      </c>
      <c r="B258" t="inlineStr">
        <is>
          <t>Nonupholstered wood household furniture manufacturing</t>
        </is>
      </c>
      <c r="C258" t="inlineStr">
        <is>
          <t>ISIC 31T33</t>
        </is>
      </c>
    </row>
    <row r="259">
      <c r="A259" t="inlineStr">
        <is>
          <t>337127</t>
        </is>
      </c>
      <c r="B259" t="inlineStr">
        <is>
          <t>Institutional furniture manufacturing</t>
        </is>
      </c>
      <c r="C259" t="inlineStr">
        <is>
          <t>ISIC 31T33</t>
        </is>
      </c>
    </row>
    <row r="260">
      <c r="A260" t="inlineStr">
        <is>
          <t>33712N</t>
        </is>
      </c>
      <c r="B260" t="inlineStr">
        <is>
          <t>Other household nonupholstered furniture</t>
        </is>
      </c>
      <c r="C260" t="inlineStr">
        <is>
          <t>ISIC 31T33</t>
        </is>
      </c>
    </row>
    <row r="261">
      <c r="A261" t="inlineStr">
        <is>
          <t>337215</t>
        </is>
      </c>
      <c r="B261" t="inlineStr">
        <is>
          <t>Showcase, partition, shelving, and locker manufacturing</t>
        </is>
      </c>
      <c r="C261" t="inlineStr">
        <is>
          <t>ISIC 31T33</t>
        </is>
      </c>
    </row>
    <row r="262">
      <c r="A262" t="inlineStr">
        <is>
          <t>33721A</t>
        </is>
      </c>
      <c r="B262" t="inlineStr">
        <is>
          <t>Office furniture and custom architectural woodwork and millwork manufacturing</t>
        </is>
      </c>
      <c r="C262" t="inlineStr">
        <is>
          <t>ISIC 31T33</t>
        </is>
      </c>
    </row>
    <row r="263">
      <c r="A263" t="inlineStr">
        <is>
          <t>337900</t>
        </is>
      </c>
      <c r="B263" t="inlineStr">
        <is>
          <t>Other furniture related product manufacturing</t>
        </is>
      </c>
      <c r="C263" t="inlineStr">
        <is>
          <t>ISIC 31T33</t>
        </is>
      </c>
    </row>
    <row r="264">
      <c r="A264" t="inlineStr">
        <is>
          <t>339112</t>
        </is>
      </c>
      <c r="B264" t="inlineStr">
        <is>
          <t>Surgical and medical instrument manufacturing</t>
        </is>
      </c>
      <c r="C264" t="inlineStr">
        <is>
          <t>ISIC 31T33</t>
        </is>
      </c>
    </row>
    <row r="265">
      <c r="A265" t="inlineStr">
        <is>
          <t>339113</t>
        </is>
      </c>
      <c r="B265" t="inlineStr">
        <is>
          <t>Surgical appliance and supplies manufacturing</t>
        </is>
      </c>
      <c r="C265" t="inlineStr">
        <is>
          <t>ISIC 31T33</t>
        </is>
      </c>
    </row>
    <row r="266">
      <c r="A266" t="inlineStr">
        <is>
          <t>339114</t>
        </is>
      </c>
      <c r="B266" t="inlineStr">
        <is>
          <t>Dental equipment and supplies manufacturing</t>
        </is>
      </c>
      <c r="C266" t="inlineStr">
        <is>
          <t>ISIC 31T33</t>
        </is>
      </c>
    </row>
    <row r="267">
      <c r="A267" t="inlineStr">
        <is>
          <t>339115</t>
        </is>
      </c>
      <c r="B267" t="inlineStr">
        <is>
          <t>Ophthalmic goods manufacturing</t>
        </is>
      </c>
      <c r="C267" t="inlineStr">
        <is>
          <t>ISIC 31T33</t>
        </is>
      </c>
    </row>
    <row r="268">
      <c r="A268" t="inlineStr">
        <is>
          <t>339116</t>
        </is>
      </c>
      <c r="B268" t="inlineStr">
        <is>
          <t>Dental laboratories</t>
        </is>
      </c>
      <c r="C268" t="inlineStr">
        <is>
          <t>ISIC 31T33</t>
        </is>
      </c>
    </row>
    <row r="269">
      <c r="A269" t="inlineStr">
        <is>
          <t>339910</t>
        </is>
      </c>
      <c r="B269" t="inlineStr">
        <is>
          <t>Jewelry and silverware manufacturing</t>
        </is>
      </c>
      <c r="C269" t="inlineStr">
        <is>
          <t>ISIC 31T33</t>
        </is>
      </c>
    </row>
    <row r="270">
      <c r="A270" t="inlineStr">
        <is>
          <t>339920</t>
        </is>
      </c>
      <c r="B270" t="inlineStr">
        <is>
          <t>Sporting and athletic goods manufacturing</t>
        </is>
      </c>
      <c r="C270" t="inlineStr">
        <is>
          <t>ISIC 31T33</t>
        </is>
      </c>
    </row>
    <row r="271">
      <c r="A271" t="inlineStr">
        <is>
          <t>339930</t>
        </is>
      </c>
      <c r="B271" t="inlineStr">
        <is>
          <t>Doll, toy, and game manufacturing</t>
        </is>
      </c>
      <c r="C271" t="inlineStr">
        <is>
          <t>ISIC 31T33</t>
        </is>
      </c>
    </row>
    <row r="272">
      <c r="A272" t="inlineStr">
        <is>
          <t>339940</t>
        </is>
      </c>
      <c r="B272" t="inlineStr">
        <is>
          <t>Office supplies (except paper) manufacturing</t>
        </is>
      </c>
      <c r="C272" t="inlineStr">
        <is>
          <t>ISIC 31T33</t>
        </is>
      </c>
    </row>
    <row r="273">
      <c r="A273" t="inlineStr">
        <is>
          <t>339950</t>
        </is>
      </c>
      <c r="B273" t="inlineStr">
        <is>
          <t>Sign manufacturing</t>
        </is>
      </c>
      <c r="C273" t="inlineStr">
        <is>
          <t>ISIC 31T33</t>
        </is>
      </c>
    </row>
    <row r="274">
      <c r="A274" t="inlineStr">
        <is>
          <t>339990</t>
        </is>
      </c>
      <c r="B274" t="inlineStr">
        <is>
          <t>All other miscellaneous manufacturing</t>
        </is>
      </c>
      <c r="C274" t="inlineStr">
        <is>
          <t>ISIC 31T33</t>
        </is>
      </c>
    </row>
    <row r="275">
      <c r="A275" t="inlineStr">
        <is>
          <t>4200ID</t>
        </is>
      </c>
      <c r="B275" t="inlineStr">
        <is>
          <t>Customs duties</t>
        </is>
      </c>
      <c r="C275" t="inlineStr">
        <is>
          <t>ISIC 45T47</t>
        </is>
      </c>
    </row>
    <row r="276">
      <c r="A276" t="inlineStr">
        <is>
          <t>423100</t>
        </is>
      </c>
      <c r="B276" t="inlineStr">
        <is>
          <t>Motor vehicle and motor vehicle parts and supplies</t>
        </is>
      </c>
      <c r="C276" t="inlineStr">
        <is>
          <t>ISIC 45T47</t>
        </is>
      </c>
    </row>
    <row r="277">
      <c r="A277" t="inlineStr">
        <is>
          <t>423400</t>
        </is>
      </c>
      <c r="B277" t="inlineStr">
        <is>
          <t>Professional and commercial equipment and supplies</t>
        </is>
      </c>
      <c r="C277" t="inlineStr">
        <is>
          <t>ISIC 45T47</t>
        </is>
      </c>
    </row>
    <row r="278">
      <c r="A278" t="inlineStr">
        <is>
          <t>423600</t>
        </is>
      </c>
      <c r="B278" t="inlineStr">
        <is>
          <t>Household appliances and electrical and electronic goods</t>
        </is>
      </c>
      <c r="C278" t="inlineStr">
        <is>
          <t>ISIC 45T47</t>
        </is>
      </c>
    </row>
    <row r="279">
      <c r="A279" t="inlineStr">
        <is>
          <t>423800</t>
        </is>
      </c>
      <c r="B279" t="inlineStr">
        <is>
          <t>Machinery, equipment, and supplies</t>
        </is>
      </c>
      <c r="C279" t="inlineStr">
        <is>
          <t>ISIC 45T47</t>
        </is>
      </c>
    </row>
    <row r="280">
      <c r="A280" t="inlineStr">
        <is>
          <t>423A00</t>
        </is>
      </c>
      <c r="B280" t="inlineStr">
        <is>
          <t>Other durable goods merchant wholesalers</t>
        </is>
      </c>
      <c r="C280" t="inlineStr">
        <is>
          <t>ISIC 45T47</t>
        </is>
      </c>
    </row>
    <row r="281">
      <c r="A281" t="inlineStr">
        <is>
          <t>424200</t>
        </is>
      </c>
      <c r="B281" t="inlineStr">
        <is>
          <t>Drugs and druggists’ sundries</t>
        </is>
      </c>
      <c r="C281" t="inlineStr">
        <is>
          <t>ISIC 45T47</t>
        </is>
      </c>
    </row>
    <row r="282">
      <c r="A282" t="inlineStr">
        <is>
          <t>424400</t>
        </is>
      </c>
      <c r="B282" t="inlineStr">
        <is>
          <t>Grocery and related product wholesalers</t>
        </is>
      </c>
      <c r="C282" t="inlineStr">
        <is>
          <t>ISIC 45T47</t>
        </is>
      </c>
    </row>
    <row r="283">
      <c r="A283" t="inlineStr">
        <is>
          <t>424700</t>
        </is>
      </c>
      <c r="B283" t="inlineStr">
        <is>
          <t>Petroleum and petroleum products</t>
        </is>
      </c>
      <c r="C283" t="inlineStr">
        <is>
          <t>ISIC 45T47</t>
        </is>
      </c>
    </row>
    <row r="284">
      <c r="A284" t="inlineStr">
        <is>
          <t>424A00</t>
        </is>
      </c>
      <c r="B284" t="inlineStr">
        <is>
          <t>Other nondurable goods merchant wholesalers</t>
        </is>
      </c>
      <c r="C284" t="inlineStr">
        <is>
          <t>ISIC 45T47</t>
        </is>
      </c>
    </row>
    <row r="285">
      <c r="A285" t="inlineStr">
        <is>
          <t>425000</t>
        </is>
      </c>
      <c r="B285" t="inlineStr">
        <is>
          <t>Wholesale electronic markets and agents and brokers</t>
        </is>
      </c>
      <c r="C285" t="inlineStr">
        <is>
          <t>ISIC 45T47</t>
        </is>
      </c>
    </row>
    <row r="286">
      <c r="A286" t="inlineStr">
        <is>
          <t>441000</t>
        </is>
      </c>
      <c r="B286" t="inlineStr">
        <is>
          <t>Motor vehicle and parts dealers</t>
        </is>
      </c>
      <c r="C286" t="inlineStr">
        <is>
          <t>ISIC 45T47</t>
        </is>
      </c>
    </row>
    <row r="287">
      <c r="A287" t="inlineStr">
        <is>
          <t>444000</t>
        </is>
      </c>
      <c r="B287" t="inlineStr">
        <is>
          <t>Building material and garden equipment and supplies dealers</t>
        </is>
      </c>
      <c r="C287" t="inlineStr">
        <is>
          <t>ISIC 45T47</t>
        </is>
      </c>
    </row>
    <row r="288">
      <c r="A288" t="inlineStr">
        <is>
          <t>445000</t>
        </is>
      </c>
      <c r="B288" t="inlineStr">
        <is>
          <t>Food and beverage stores</t>
        </is>
      </c>
      <c r="C288" t="inlineStr">
        <is>
          <t>ISIC 45T47</t>
        </is>
      </c>
    </row>
    <row r="289">
      <c r="A289" t="inlineStr">
        <is>
          <t>446000</t>
        </is>
      </c>
      <c r="B289" t="inlineStr">
        <is>
          <t>Health and personal care stores</t>
        </is>
      </c>
      <c r="C289" t="inlineStr">
        <is>
          <t>ISIC 45T47</t>
        </is>
      </c>
    </row>
    <row r="290">
      <c r="A290" t="inlineStr">
        <is>
          <t>447000</t>
        </is>
      </c>
      <c r="B290" t="inlineStr">
        <is>
          <t>Gasoline stations</t>
        </is>
      </c>
      <c r="C290" t="inlineStr">
        <is>
          <t>ISIC 45T47</t>
        </is>
      </c>
    </row>
    <row r="291">
      <c r="A291" t="inlineStr">
        <is>
          <t>448000</t>
        </is>
      </c>
      <c r="B291" t="inlineStr">
        <is>
          <t>Clothing and clothing accessories stores</t>
        </is>
      </c>
      <c r="C291" t="inlineStr">
        <is>
          <t>ISIC 45T47</t>
        </is>
      </c>
    </row>
    <row r="292">
      <c r="A292" t="inlineStr">
        <is>
          <t>452000</t>
        </is>
      </c>
      <c r="B292" t="inlineStr">
        <is>
          <t>General merchandise stores</t>
        </is>
      </c>
      <c r="C292" t="inlineStr">
        <is>
          <t>ISIC 45T47</t>
        </is>
      </c>
    </row>
    <row r="293">
      <c r="A293" t="inlineStr">
        <is>
          <t>454000</t>
        </is>
      </c>
      <c r="B293" t="inlineStr">
        <is>
          <t>Nonstore retailers</t>
        </is>
      </c>
      <c r="C293" t="inlineStr">
        <is>
          <t>ISIC 45T47</t>
        </is>
      </c>
    </row>
    <row r="294">
      <c r="A294" t="inlineStr">
        <is>
          <t>481000</t>
        </is>
      </c>
      <c r="B294" t="inlineStr">
        <is>
          <t>Air transportation</t>
        </is>
      </c>
      <c r="C294" t="inlineStr">
        <is>
          <t>ISIC 51</t>
        </is>
      </c>
    </row>
    <row r="295">
      <c r="A295" t="inlineStr">
        <is>
          <t>482000</t>
        </is>
      </c>
      <c r="B295" t="inlineStr">
        <is>
          <t>Rail transportation</t>
        </is>
      </c>
      <c r="C295" t="inlineStr">
        <is>
          <t>ISIC 49</t>
        </is>
      </c>
    </row>
    <row r="296">
      <c r="A296" t="inlineStr">
        <is>
          <t>483000</t>
        </is>
      </c>
      <c r="B296" t="inlineStr">
        <is>
          <t>Water transportation</t>
        </is>
      </c>
      <c r="C296" t="inlineStr">
        <is>
          <t>ISIC 50</t>
        </is>
      </c>
    </row>
    <row r="297">
      <c r="A297" t="inlineStr">
        <is>
          <t>484000</t>
        </is>
      </c>
      <c r="B297" t="inlineStr">
        <is>
          <t>Truck transportation</t>
        </is>
      </c>
      <c r="C297" t="inlineStr">
        <is>
          <t>ISIC 49</t>
        </is>
      </c>
    </row>
    <row r="298">
      <c r="A298" t="inlineStr">
        <is>
          <t>485000</t>
        </is>
      </c>
      <c r="B298" t="inlineStr">
        <is>
          <t>Transit and ground passenger transportation</t>
        </is>
      </c>
      <c r="C298" t="inlineStr">
        <is>
          <t>ISIC 49</t>
        </is>
      </c>
    </row>
    <row r="299">
      <c r="A299" t="inlineStr">
        <is>
          <t>486000</t>
        </is>
      </c>
      <c r="B299" t="inlineStr">
        <is>
          <t>Pipeline transportation</t>
        </is>
      </c>
      <c r="C299" t="inlineStr">
        <is>
          <t>ISIC 49</t>
        </is>
      </c>
    </row>
    <row r="300">
      <c r="A300" t="inlineStr">
        <is>
          <t>48A000</t>
        </is>
      </c>
      <c r="B300" t="inlineStr">
        <is>
          <t>Scenic and sightseeing transportation and support activities for transportation</t>
        </is>
      </c>
      <c r="C300" t="inlineStr">
        <is>
          <t>ISIC 52</t>
        </is>
      </c>
    </row>
    <row r="301">
      <c r="A301" t="inlineStr">
        <is>
          <t>491000</t>
        </is>
      </c>
      <c r="B301" t="inlineStr">
        <is>
          <t>Postal service</t>
        </is>
      </c>
      <c r="C301" t="inlineStr">
        <is>
          <t>ISIC 84</t>
        </is>
      </c>
    </row>
    <row r="302">
      <c r="A302" t="inlineStr">
        <is>
          <t>492000</t>
        </is>
      </c>
      <c r="B302" t="inlineStr">
        <is>
          <t>Couriers and messengers</t>
        </is>
      </c>
      <c r="C302" t="inlineStr">
        <is>
          <t>ISIC 53</t>
        </is>
      </c>
    </row>
    <row r="303">
      <c r="A303" t="inlineStr">
        <is>
          <t>493000</t>
        </is>
      </c>
      <c r="B303" t="inlineStr">
        <is>
          <t>Warehousing and storage</t>
        </is>
      </c>
      <c r="C303" t="inlineStr">
        <is>
          <t>ISIC 52</t>
        </is>
      </c>
    </row>
    <row r="304">
      <c r="A304" t="inlineStr">
        <is>
          <t>4B0000</t>
        </is>
      </c>
      <c r="B304" t="inlineStr">
        <is>
          <t>All other retail</t>
        </is>
      </c>
      <c r="C304" t="inlineStr">
        <is>
          <t>ISIC 45T47</t>
        </is>
      </c>
    </row>
    <row r="305">
      <c r="A305" t="inlineStr">
        <is>
          <t>511110</t>
        </is>
      </c>
      <c r="B305" t="inlineStr">
        <is>
          <t>Newspaper publishers</t>
        </is>
      </c>
      <c r="C305" t="inlineStr">
        <is>
          <t>ISIC 58T60</t>
        </is>
      </c>
    </row>
    <row r="306">
      <c r="A306" t="inlineStr">
        <is>
          <t>511120</t>
        </is>
      </c>
      <c r="B306" t="inlineStr">
        <is>
          <t>Periodical Publishers</t>
        </is>
      </c>
      <c r="C306" t="inlineStr">
        <is>
          <t>ISIC 58T60</t>
        </is>
      </c>
    </row>
    <row r="307">
      <c r="A307" t="inlineStr">
        <is>
          <t>511130</t>
        </is>
      </c>
      <c r="B307" t="inlineStr">
        <is>
          <t>Book publishers</t>
        </is>
      </c>
      <c r="C307" t="inlineStr">
        <is>
          <t>ISIC 58T60</t>
        </is>
      </c>
    </row>
    <row r="308">
      <c r="A308" t="inlineStr">
        <is>
          <t>5111A0</t>
        </is>
      </c>
      <c r="B308" t="inlineStr">
        <is>
          <t>Directory, mailing list, and other publishers</t>
        </is>
      </c>
      <c r="C308" t="inlineStr">
        <is>
          <t>ISIC 58T60</t>
        </is>
      </c>
    </row>
    <row r="309">
      <c r="A309" t="inlineStr">
        <is>
          <t>511200</t>
        </is>
      </c>
      <c r="B309" t="inlineStr">
        <is>
          <t>Software publishers</t>
        </is>
      </c>
      <c r="C309" t="inlineStr">
        <is>
          <t>ISIC 58T60</t>
        </is>
      </c>
    </row>
    <row r="310">
      <c r="A310" t="inlineStr">
        <is>
          <t>512100</t>
        </is>
      </c>
      <c r="B310" t="inlineStr">
        <is>
          <t>Motion picture and video industries</t>
        </is>
      </c>
      <c r="C310" t="inlineStr">
        <is>
          <t>ISIC 58T60</t>
        </is>
      </c>
    </row>
    <row r="311">
      <c r="A311" t="inlineStr">
        <is>
          <t>512200</t>
        </is>
      </c>
      <c r="B311" t="inlineStr">
        <is>
          <t>Sound recording industries</t>
        </is>
      </c>
      <c r="C311" t="inlineStr">
        <is>
          <t>ISIC 58T60</t>
        </is>
      </c>
    </row>
    <row r="312">
      <c r="A312" t="inlineStr">
        <is>
          <t>515100</t>
        </is>
      </c>
      <c r="B312" t="inlineStr">
        <is>
          <t>Radio and television broadcasting</t>
        </is>
      </c>
      <c r="C312" t="inlineStr">
        <is>
          <t>ISIC 58T60</t>
        </is>
      </c>
    </row>
    <row r="313">
      <c r="A313" t="inlineStr">
        <is>
          <t>515200</t>
        </is>
      </c>
      <c r="B313" t="inlineStr">
        <is>
          <t>Cable and other subscription programming</t>
        </is>
      </c>
      <c r="C313" t="inlineStr">
        <is>
          <t>ISIC 58T60</t>
        </is>
      </c>
    </row>
    <row r="314">
      <c r="A314" t="inlineStr">
        <is>
          <t>517110</t>
        </is>
      </c>
      <c r="B314" t="inlineStr">
        <is>
          <t>Wired telecommunications carriers</t>
        </is>
      </c>
      <c r="C314" t="inlineStr">
        <is>
          <t>ISIC 61</t>
        </is>
      </c>
    </row>
    <row r="315">
      <c r="A315" t="inlineStr">
        <is>
          <t>517210</t>
        </is>
      </c>
      <c r="B315" t="inlineStr">
        <is>
          <t>Wireless telecommunications carriers (except satellite)</t>
        </is>
      </c>
      <c r="C315" t="inlineStr">
        <is>
          <t>ISIC 61</t>
        </is>
      </c>
    </row>
    <row r="316">
      <c r="A316" t="inlineStr">
        <is>
          <t>517A00</t>
        </is>
      </c>
      <c r="B316" t="inlineStr">
        <is>
          <t>Satellite, telecommunications resellers, and all other telecommunications</t>
        </is>
      </c>
      <c r="C316" t="inlineStr">
        <is>
          <t>ISIC 61</t>
        </is>
      </c>
    </row>
    <row r="317">
      <c r="A317" t="inlineStr">
        <is>
          <t>518200</t>
        </is>
      </c>
      <c r="B317" t="inlineStr">
        <is>
          <t>Data processing, hosting, and related services</t>
        </is>
      </c>
      <c r="C317" t="inlineStr">
        <is>
          <t>ISIC 62T63</t>
        </is>
      </c>
    </row>
    <row r="318">
      <c r="A318" t="inlineStr">
        <is>
          <t>519130</t>
        </is>
      </c>
      <c r="B318" t="inlineStr">
        <is>
          <t>Internet publishing and broadcasting and Web search portals</t>
        </is>
      </c>
      <c r="C318" t="inlineStr">
        <is>
          <t>ISIC 62T63</t>
        </is>
      </c>
    </row>
    <row r="319">
      <c r="A319" t="inlineStr">
        <is>
          <t>5191A0</t>
        </is>
      </c>
      <c r="B319" t="inlineStr">
        <is>
          <t>News syndicates, libraries, archives and all other information services</t>
        </is>
      </c>
      <c r="C319" t="inlineStr">
        <is>
          <t>ISIC 62T63</t>
        </is>
      </c>
    </row>
    <row r="320">
      <c r="A320" t="inlineStr">
        <is>
          <t>522A00</t>
        </is>
      </c>
      <c r="B320" t="inlineStr">
        <is>
          <t>Nondepository credit intermediation and related activities</t>
        </is>
      </c>
      <c r="C320" t="inlineStr">
        <is>
          <t>ISIC 64T66</t>
        </is>
      </c>
    </row>
    <row r="321">
      <c r="A321" t="inlineStr">
        <is>
          <t>523900</t>
        </is>
      </c>
      <c r="B321" t="inlineStr">
        <is>
          <t>Other financial investment activities</t>
        </is>
      </c>
      <c r="C321" t="inlineStr">
        <is>
          <t>ISIC 64T66</t>
        </is>
      </c>
    </row>
    <row r="322">
      <c r="A322" t="inlineStr">
        <is>
          <t>523A00</t>
        </is>
      </c>
      <c r="B322" t="inlineStr">
        <is>
          <t>Securities and commodity contracts intermediation and brokerage</t>
        </is>
      </c>
      <c r="C322" t="inlineStr">
        <is>
          <t>ISIC 64T66</t>
        </is>
      </c>
    </row>
    <row r="323">
      <c r="A323" t="inlineStr">
        <is>
          <t>524113</t>
        </is>
      </c>
      <c r="B323" t="inlineStr">
        <is>
          <t>Direct life insurance carriers</t>
        </is>
      </c>
      <c r="C323" t="inlineStr">
        <is>
          <t>ISIC 64T66</t>
        </is>
      </c>
    </row>
    <row r="324">
      <c r="A324" t="inlineStr">
        <is>
          <t>5241XX</t>
        </is>
      </c>
      <c r="B324" t="inlineStr">
        <is>
          <t>Insurance carriers, except direct life</t>
        </is>
      </c>
      <c r="C324" t="inlineStr">
        <is>
          <t>ISIC 64T66</t>
        </is>
      </c>
    </row>
    <row r="325">
      <c r="A325" t="inlineStr">
        <is>
          <t>524200</t>
        </is>
      </c>
      <c r="B325" t="inlineStr">
        <is>
          <t>Insurance agencies, brokerages, and related activities</t>
        </is>
      </c>
      <c r="C325" t="inlineStr">
        <is>
          <t>ISIC 64T66</t>
        </is>
      </c>
    </row>
    <row r="326">
      <c r="A326" t="inlineStr">
        <is>
          <t>525000</t>
        </is>
      </c>
      <c r="B326" t="inlineStr">
        <is>
          <t>Funds, trusts, and other financial vehicles</t>
        </is>
      </c>
      <c r="C326" t="inlineStr">
        <is>
          <t>ISIC 64T66</t>
        </is>
      </c>
    </row>
    <row r="327">
      <c r="A327" t="inlineStr">
        <is>
          <t>52A000</t>
        </is>
      </c>
      <c r="B327" t="inlineStr">
        <is>
          <t>Monetary authorities and depository credit intermediation</t>
        </is>
      </c>
      <c r="C327" t="inlineStr">
        <is>
          <t>ISIC 64T66</t>
        </is>
      </c>
    </row>
    <row r="328">
      <c r="A328" t="inlineStr">
        <is>
          <t>531HSO</t>
        </is>
      </c>
      <c r="B328" t="inlineStr">
        <is>
          <t>Owner-occupied housing</t>
        </is>
      </c>
      <c r="C328" t="inlineStr">
        <is>
          <t>ISIC 68</t>
        </is>
      </c>
    </row>
    <row r="329">
      <c r="A329" t="inlineStr">
        <is>
          <t>531HST</t>
        </is>
      </c>
      <c r="B329" t="inlineStr">
        <is>
          <t>Tenant-occupied housing</t>
        </is>
      </c>
      <c r="C329" t="inlineStr">
        <is>
          <t>ISIC 68</t>
        </is>
      </c>
    </row>
    <row r="330">
      <c r="A330" t="inlineStr">
        <is>
          <t>531ORE</t>
        </is>
      </c>
      <c r="B330" t="inlineStr">
        <is>
          <t>Other real estate</t>
        </is>
      </c>
      <c r="C330" t="inlineStr">
        <is>
          <t>ISIC 68</t>
        </is>
      </c>
    </row>
    <row r="331">
      <c r="A331" t="inlineStr">
        <is>
          <t>532100</t>
        </is>
      </c>
      <c r="B331" t="inlineStr">
        <is>
          <t>Automotive equipment rental and leasing</t>
        </is>
      </c>
      <c r="C331" t="inlineStr">
        <is>
          <t>ISIC 68</t>
        </is>
      </c>
    </row>
    <row r="332">
      <c r="A332" t="inlineStr">
        <is>
          <t>532400</t>
        </is>
      </c>
      <c r="B332" t="inlineStr">
        <is>
          <t>Commercial and industrial machinery and equipment rental and leasing</t>
        </is>
      </c>
      <c r="C332" t="inlineStr">
        <is>
          <t>ISIC 68</t>
        </is>
      </c>
    </row>
    <row r="333">
      <c r="A333" t="inlineStr">
        <is>
          <t>532A00</t>
        </is>
      </c>
      <c r="B333" t="inlineStr">
        <is>
          <t>General and consumer goods rental</t>
        </is>
      </c>
      <c r="C333" t="inlineStr">
        <is>
          <t>ISIC 68</t>
        </is>
      </c>
    </row>
    <row r="334">
      <c r="A334" t="inlineStr">
        <is>
          <t>533000</t>
        </is>
      </c>
      <c r="B334" t="inlineStr">
        <is>
          <t>Lessors of nonfinancial intangible assets</t>
        </is>
      </c>
      <c r="C334" t="inlineStr">
        <is>
          <t>ISIC 68</t>
        </is>
      </c>
    </row>
    <row r="335">
      <c r="A335" t="inlineStr">
        <is>
          <t>541100</t>
        </is>
      </c>
      <c r="B335" t="inlineStr">
        <is>
          <t>Legal services</t>
        </is>
      </c>
      <c r="C335" t="inlineStr">
        <is>
          <t>ISIC 69T75</t>
        </is>
      </c>
    </row>
    <row r="336">
      <c r="A336" t="inlineStr">
        <is>
          <t>541200</t>
        </is>
      </c>
      <c r="B336" t="inlineStr">
        <is>
          <t>Accounting, tax preparation, bookkeeping, and payroll services</t>
        </is>
      </c>
      <c r="C336" t="inlineStr">
        <is>
          <t>ISIC 69T75</t>
        </is>
      </c>
    </row>
    <row r="337">
      <c r="A337" t="inlineStr">
        <is>
          <t>541300</t>
        </is>
      </c>
      <c r="B337" t="inlineStr">
        <is>
          <t>Architectural, engineering, and related services</t>
        </is>
      </c>
      <c r="C337" t="inlineStr">
        <is>
          <t>ISIC 69T75</t>
        </is>
      </c>
    </row>
    <row r="338">
      <c r="A338" t="inlineStr">
        <is>
          <t>541400</t>
        </is>
      </c>
      <c r="B338" t="inlineStr">
        <is>
          <t>Specialized design services</t>
        </is>
      </c>
      <c r="C338" t="inlineStr">
        <is>
          <t>ISIC 69T75</t>
        </is>
      </c>
    </row>
    <row r="339">
      <c r="A339" t="inlineStr">
        <is>
          <t>541511</t>
        </is>
      </c>
      <c r="B339" t="inlineStr">
        <is>
          <t>Custom computer programming services</t>
        </is>
      </c>
      <c r="C339" t="inlineStr">
        <is>
          <t>ISIC 62T63</t>
        </is>
      </c>
    </row>
    <row r="340">
      <c r="A340" t="inlineStr">
        <is>
          <t>541512</t>
        </is>
      </c>
      <c r="B340" t="inlineStr">
        <is>
          <t>Computer systems design services</t>
        </is>
      </c>
      <c r="C340" t="inlineStr">
        <is>
          <t>ISIC 62T63</t>
        </is>
      </c>
    </row>
    <row r="341">
      <c r="A341" t="inlineStr">
        <is>
          <t>54151A</t>
        </is>
      </c>
      <c r="B341" t="inlineStr">
        <is>
          <t>Other computer related services, including facilities management</t>
        </is>
      </c>
      <c r="C341" t="inlineStr">
        <is>
          <t>ISIC 62T63</t>
        </is>
      </c>
    </row>
    <row r="342">
      <c r="A342" t="inlineStr">
        <is>
          <t>541610</t>
        </is>
      </c>
      <c r="B342" t="inlineStr">
        <is>
          <t>Management consulting services</t>
        </is>
      </c>
      <c r="C342" t="inlineStr">
        <is>
          <t>ISIC 69T75</t>
        </is>
      </c>
    </row>
    <row r="343">
      <c r="A343" t="inlineStr">
        <is>
          <t>5416A0</t>
        </is>
      </c>
      <c r="B343" t="inlineStr">
        <is>
          <t>Environmental and other technical consulting services</t>
        </is>
      </c>
      <c r="C343" t="inlineStr">
        <is>
          <t>ISIC 69T75</t>
        </is>
      </c>
    </row>
    <row r="344">
      <c r="A344" t="inlineStr">
        <is>
          <t>541700</t>
        </is>
      </c>
      <c r="B344" t="inlineStr">
        <is>
          <t>Scientific research and development services</t>
        </is>
      </c>
      <c r="C344" t="inlineStr">
        <is>
          <t>ISIC 69T75</t>
        </is>
      </c>
    </row>
    <row r="345">
      <c r="A345" t="inlineStr">
        <is>
          <t>541800</t>
        </is>
      </c>
      <c r="B345" t="inlineStr">
        <is>
          <t>Advertising, public relations, and related services</t>
        </is>
      </c>
      <c r="C345" t="inlineStr">
        <is>
          <t>ISIC 69T75</t>
        </is>
      </c>
    </row>
    <row r="346">
      <c r="A346" t="inlineStr">
        <is>
          <t>541920</t>
        </is>
      </c>
      <c r="B346" t="inlineStr">
        <is>
          <t>Photographic services</t>
        </is>
      </c>
      <c r="C346" t="inlineStr">
        <is>
          <t>ISIC 69T75</t>
        </is>
      </c>
    </row>
    <row r="347">
      <c r="A347" t="inlineStr">
        <is>
          <t>541940</t>
        </is>
      </c>
      <c r="B347" t="inlineStr">
        <is>
          <t>Veterinary services</t>
        </is>
      </c>
      <c r="C347" t="inlineStr">
        <is>
          <t>ISIC 69T75</t>
        </is>
      </c>
    </row>
    <row r="348">
      <c r="A348" t="inlineStr">
        <is>
          <t>5419A0</t>
        </is>
      </c>
      <c r="B348" t="inlineStr">
        <is>
          <t>All other miscellaneous professional, scientific, and technical services</t>
        </is>
      </c>
      <c r="C348" t="inlineStr">
        <is>
          <t>ISIC 69T75</t>
        </is>
      </c>
    </row>
    <row r="349">
      <c r="A349" t="inlineStr">
        <is>
          <t>550000</t>
        </is>
      </c>
      <c r="B349" t="inlineStr">
        <is>
          <t>Management of companies and enterprises</t>
        </is>
      </c>
      <c r="C349" t="inlineStr">
        <is>
          <t>ISIC 69T75</t>
        </is>
      </c>
    </row>
    <row r="350">
      <c r="A350" t="inlineStr">
        <is>
          <t>561100</t>
        </is>
      </c>
      <c r="B350" t="inlineStr">
        <is>
          <t>Office administrative services</t>
        </is>
      </c>
      <c r="C350" t="inlineStr">
        <is>
          <t>ISIC 77T82</t>
        </is>
      </c>
    </row>
    <row r="351">
      <c r="A351" t="inlineStr">
        <is>
          <t>561200</t>
        </is>
      </c>
      <c r="B351" t="inlineStr">
        <is>
          <t>Facilities support services</t>
        </is>
      </c>
      <c r="C351" t="inlineStr">
        <is>
          <t>ISIC 77T82</t>
        </is>
      </c>
    </row>
    <row r="352">
      <c r="A352" t="inlineStr">
        <is>
          <t>561300</t>
        </is>
      </c>
      <c r="B352" t="inlineStr">
        <is>
          <t>Employment services</t>
        </is>
      </c>
      <c r="C352" t="inlineStr">
        <is>
          <t>ISIC 77T82</t>
        </is>
      </c>
    </row>
    <row r="353">
      <c r="A353" t="inlineStr">
        <is>
          <t>561400</t>
        </is>
      </c>
      <c r="B353" t="inlineStr">
        <is>
          <t>Business support services</t>
        </is>
      </c>
      <c r="C353" t="inlineStr">
        <is>
          <t>ISIC 77T82</t>
        </is>
      </c>
    </row>
    <row r="354">
      <c r="A354" t="inlineStr">
        <is>
          <t>561500</t>
        </is>
      </c>
      <c r="B354" t="inlineStr">
        <is>
          <t>Travel arrangement and reservation services</t>
        </is>
      </c>
      <c r="C354" t="inlineStr">
        <is>
          <t>ISIC 77T82</t>
        </is>
      </c>
    </row>
    <row r="355">
      <c r="A355" t="inlineStr">
        <is>
          <t>561600</t>
        </is>
      </c>
      <c r="B355" t="inlineStr">
        <is>
          <t>Investigation and security services</t>
        </is>
      </c>
      <c r="C355" t="inlineStr">
        <is>
          <t>ISIC 77T82</t>
        </is>
      </c>
    </row>
    <row r="356">
      <c r="A356" t="inlineStr">
        <is>
          <t>561700</t>
        </is>
      </c>
      <c r="B356" t="inlineStr">
        <is>
          <t>Services to buildings and dwellings</t>
        </is>
      </c>
      <c r="C356" t="inlineStr">
        <is>
          <t>ISIC 77T82</t>
        </is>
      </c>
    </row>
    <row r="357">
      <c r="A357" t="inlineStr">
        <is>
          <t>561900</t>
        </is>
      </c>
      <c r="B357" t="inlineStr">
        <is>
          <t>Other support services</t>
        </is>
      </c>
      <c r="C357" t="inlineStr">
        <is>
          <t>ISIC 77T82</t>
        </is>
      </c>
    </row>
    <row r="358">
      <c r="A358" t="inlineStr">
        <is>
          <t>562000</t>
        </is>
      </c>
      <c r="B358" t="inlineStr">
        <is>
          <t>Waste management and remediation services</t>
        </is>
      </c>
      <c r="C358" t="inlineStr">
        <is>
          <t>ISIC 36T39</t>
        </is>
      </c>
    </row>
    <row r="359">
      <c r="A359" t="inlineStr">
        <is>
          <t>611100</t>
        </is>
      </c>
      <c r="B359" t="inlineStr">
        <is>
          <t>Elementary and secondary schools</t>
        </is>
      </c>
      <c r="C359" t="inlineStr">
        <is>
          <t>ISIC 85</t>
        </is>
      </c>
    </row>
    <row r="360">
      <c r="A360" t="inlineStr">
        <is>
          <t>611A00</t>
        </is>
      </c>
      <c r="B360" t="inlineStr">
        <is>
          <t>Junior colleges, colleges, universities, and professional schools</t>
        </is>
      </c>
      <c r="C360" t="inlineStr">
        <is>
          <t>ISIC 85</t>
        </is>
      </c>
    </row>
    <row r="361">
      <c r="A361" t="inlineStr">
        <is>
          <t>611B00</t>
        </is>
      </c>
      <c r="B361" t="inlineStr">
        <is>
          <t>Other educational services</t>
        </is>
      </c>
      <c r="C361" t="inlineStr">
        <is>
          <t>ISIC 85</t>
        </is>
      </c>
    </row>
    <row r="362">
      <c r="A362" t="inlineStr">
        <is>
          <t>621100</t>
        </is>
      </c>
      <c r="B362" t="inlineStr">
        <is>
          <t>Offices of physicians</t>
        </is>
      </c>
      <c r="C362" t="inlineStr">
        <is>
          <t>ISIC 86T88</t>
        </is>
      </c>
    </row>
    <row r="363">
      <c r="A363" t="inlineStr">
        <is>
          <t>621200</t>
        </is>
      </c>
      <c r="B363" t="inlineStr">
        <is>
          <t>Offices of dentists</t>
        </is>
      </c>
      <c r="C363" t="inlineStr">
        <is>
          <t>ISIC 86T88</t>
        </is>
      </c>
    </row>
    <row r="364">
      <c r="A364" t="inlineStr">
        <is>
          <t>621300</t>
        </is>
      </c>
      <c r="B364" t="inlineStr">
        <is>
          <t>Offices of other health practitioners</t>
        </is>
      </c>
      <c r="C364" t="inlineStr">
        <is>
          <t>ISIC 86T88</t>
        </is>
      </c>
    </row>
    <row r="365">
      <c r="A365" t="inlineStr">
        <is>
          <t>621400</t>
        </is>
      </c>
      <c r="B365" t="inlineStr">
        <is>
          <t>Outpatient care centers</t>
        </is>
      </c>
      <c r="C365" t="inlineStr">
        <is>
          <t>ISIC 86T88</t>
        </is>
      </c>
    </row>
    <row r="366">
      <c r="A366" t="inlineStr">
        <is>
          <t>621500</t>
        </is>
      </c>
      <c r="B366" t="inlineStr">
        <is>
          <t>Medical and diagnostic laboratories</t>
        </is>
      </c>
      <c r="C366" t="inlineStr">
        <is>
          <t>ISIC 86T88</t>
        </is>
      </c>
    </row>
    <row r="367">
      <c r="A367" t="inlineStr">
        <is>
          <t>621600</t>
        </is>
      </c>
      <c r="B367" t="inlineStr">
        <is>
          <t>Home health care services</t>
        </is>
      </c>
      <c r="C367" t="inlineStr">
        <is>
          <t>ISIC 86T88</t>
        </is>
      </c>
    </row>
    <row r="368">
      <c r="A368" t="inlineStr">
        <is>
          <t>621900</t>
        </is>
      </c>
      <c r="B368" t="inlineStr">
        <is>
          <t>Other ambulatory health care services</t>
        </is>
      </c>
      <c r="C368" t="inlineStr">
        <is>
          <t>ISIC 86T88</t>
        </is>
      </c>
    </row>
    <row r="369">
      <c r="A369" t="inlineStr">
        <is>
          <t>622000</t>
        </is>
      </c>
      <c r="B369" t="inlineStr">
        <is>
          <t>Hospitals</t>
        </is>
      </c>
      <c r="C369" t="inlineStr">
        <is>
          <t>ISIC 86T88</t>
        </is>
      </c>
    </row>
    <row r="370">
      <c r="A370" t="inlineStr">
        <is>
          <t>623A00</t>
        </is>
      </c>
      <c r="B370" t="inlineStr">
        <is>
          <t>Nursing and community care facilities</t>
        </is>
      </c>
      <c r="C370" t="inlineStr">
        <is>
          <t>ISIC 86T88</t>
        </is>
      </c>
    </row>
    <row r="371">
      <c r="A371" t="inlineStr">
        <is>
          <t>623B00</t>
        </is>
      </c>
      <c r="B371" t="inlineStr">
        <is>
          <t>Residential mental health, substance abuse, and other residential care facilities</t>
        </is>
      </c>
      <c r="C371" t="inlineStr">
        <is>
          <t>ISIC 86T88</t>
        </is>
      </c>
    </row>
    <row r="372">
      <c r="A372" t="inlineStr">
        <is>
          <t>624100</t>
        </is>
      </c>
      <c r="B372" t="inlineStr">
        <is>
          <t>Individual and family services</t>
        </is>
      </c>
      <c r="C372" t="inlineStr">
        <is>
          <t>ISIC 86T88</t>
        </is>
      </c>
    </row>
    <row r="373">
      <c r="A373" t="inlineStr">
        <is>
          <t>624400</t>
        </is>
      </c>
      <c r="B373" t="inlineStr">
        <is>
          <t>Child day care services</t>
        </is>
      </c>
      <c r="C373" t="inlineStr">
        <is>
          <t>ISIC 86T88</t>
        </is>
      </c>
    </row>
    <row r="374">
      <c r="A374" t="inlineStr">
        <is>
          <t>624A00</t>
        </is>
      </c>
      <c r="B374" t="inlineStr">
        <is>
          <t>Community food, housing, and other relief services, including rehabilitation services</t>
        </is>
      </c>
      <c r="C374" t="inlineStr">
        <is>
          <t>ISIC 86T88</t>
        </is>
      </c>
    </row>
    <row r="375">
      <c r="A375" t="inlineStr">
        <is>
          <t>711100</t>
        </is>
      </c>
      <c r="B375" t="inlineStr">
        <is>
          <t>Performing arts companies</t>
        </is>
      </c>
      <c r="C375" t="inlineStr">
        <is>
          <t>ISIC 90T93</t>
        </is>
      </c>
    </row>
    <row r="376">
      <c r="A376" t="inlineStr">
        <is>
          <t>711200</t>
        </is>
      </c>
      <c r="B376" t="inlineStr">
        <is>
          <t>Spectator sports</t>
        </is>
      </c>
      <c r="C376" t="inlineStr">
        <is>
          <t>ISIC 90T93</t>
        </is>
      </c>
    </row>
    <row r="377">
      <c r="A377" t="inlineStr">
        <is>
          <t>711500</t>
        </is>
      </c>
      <c r="B377" t="inlineStr">
        <is>
          <t>Independent artists, writers, and performers</t>
        </is>
      </c>
      <c r="C377" t="inlineStr">
        <is>
          <t>ISIC 90T93</t>
        </is>
      </c>
    </row>
    <row r="378">
      <c r="A378" t="inlineStr">
        <is>
          <t>711A00</t>
        </is>
      </c>
      <c r="B378" t="inlineStr">
        <is>
          <t>Promoters of performing arts and sports and agents for public figures</t>
        </is>
      </c>
      <c r="C378" t="inlineStr">
        <is>
          <t>ISIC 90T93</t>
        </is>
      </c>
    </row>
    <row r="379">
      <c r="A379" t="inlineStr">
        <is>
          <t>712000</t>
        </is>
      </c>
      <c r="B379" t="inlineStr">
        <is>
          <t>Museums, historical sites, zoos, and parks</t>
        </is>
      </c>
      <c r="C379" t="inlineStr">
        <is>
          <t>ISIC 90T93</t>
        </is>
      </c>
    </row>
    <row r="380">
      <c r="A380" t="inlineStr">
        <is>
          <t>713100</t>
        </is>
      </c>
      <c r="B380" t="inlineStr">
        <is>
          <t>Amusement parks and arcades</t>
        </is>
      </c>
      <c r="C380" t="inlineStr">
        <is>
          <t>ISIC 90T93</t>
        </is>
      </c>
    </row>
    <row r="381">
      <c r="A381" t="inlineStr">
        <is>
          <t>713200</t>
        </is>
      </c>
      <c r="B381" t="inlineStr">
        <is>
          <t>Gambling industries (except casino hotels)</t>
        </is>
      </c>
      <c r="C381" t="inlineStr">
        <is>
          <t>ISIC 90T93</t>
        </is>
      </c>
    </row>
    <row r="382">
      <c r="A382" t="inlineStr">
        <is>
          <t>713900</t>
        </is>
      </c>
      <c r="B382" t="inlineStr">
        <is>
          <t>Other amusement and recreation industries</t>
        </is>
      </c>
      <c r="C382" t="inlineStr">
        <is>
          <t>ISIC 90T93</t>
        </is>
      </c>
    </row>
    <row r="383">
      <c r="A383" t="inlineStr">
        <is>
          <t>721000</t>
        </is>
      </c>
      <c r="B383" t="inlineStr">
        <is>
          <t>Accommodation</t>
        </is>
      </c>
      <c r="C383" t="inlineStr">
        <is>
          <t>ISIC 55T56</t>
        </is>
      </c>
    </row>
    <row r="384">
      <c r="A384" t="inlineStr">
        <is>
          <t>722110</t>
        </is>
      </c>
      <c r="B384" t="inlineStr">
        <is>
          <t>Full-service restaurants</t>
        </is>
      </c>
      <c r="C384" t="inlineStr">
        <is>
          <t>ISIC 55T56</t>
        </is>
      </c>
    </row>
    <row r="385">
      <c r="A385" t="inlineStr">
        <is>
          <t>722211</t>
        </is>
      </c>
      <c r="B385" t="inlineStr">
        <is>
          <t>Limited-service restaurants</t>
        </is>
      </c>
      <c r="C385" t="inlineStr">
        <is>
          <t>ISIC 55T56</t>
        </is>
      </c>
    </row>
    <row r="386">
      <c r="A386" t="inlineStr">
        <is>
          <t>722A00</t>
        </is>
      </c>
      <c r="B386" t="inlineStr">
        <is>
          <t>All other food and drinking places</t>
        </is>
      </c>
      <c r="C386" t="inlineStr">
        <is>
          <t>ISIC 55T56</t>
        </is>
      </c>
    </row>
    <row r="387">
      <c r="A387" t="inlineStr">
        <is>
          <t>811100</t>
        </is>
      </c>
      <c r="B387" t="inlineStr">
        <is>
          <t>Automotive repair and maintenance (including car washes)</t>
        </is>
      </c>
      <c r="C387" t="inlineStr">
        <is>
          <t>ISIC 45T47</t>
        </is>
      </c>
    </row>
    <row r="388">
      <c r="A388" t="inlineStr">
        <is>
          <t>811200</t>
        </is>
      </c>
      <c r="B388" t="inlineStr">
        <is>
          <t>Electronic and precision equipment repair and maintenance</t>
        </is>
      </c>
      <c r="C388" t="inlineStr">
        <is>
          <t>ISIC 94T96</t>
        </is>
      </c>
    </row>
    <row r="389">
      <c r="A389" t="inlineStr">
        <is>
          <t>811300</t>
        </is>
      </c>
      <c r="B389" t="inlineStr">
        <is>
          <t>Commercial and industrial machinery and equipment repair and maintenance</t>
        </is>
      </c>
      <c r="C389" t="inlineStr">
        <is>
          <t>ISIC 31T33</t>
        </is>
      </c>
    </row>
    <row r="390">
      <c r="A390" t="inlineStr">
        <is>
          <t>811400</t>
        </is>
      </c>
      <c r="B390" t="inlineStr">
        <is>
          <t>Personal and household goods repair and maintenance</t>
        </is>
      </c>
      <c r="C390" t="inlineStr">
        <is>
          <t>ISIC 94T96</t>
        </is>
      </c>
    </row>
    <row r="391">
      <c r="A391" t="inlineStr">
        <is>
          <t>812100</t>
        </is>
      </c>
      <c r="B391" t="inlineStr">
        <is>
          <t>Personal care services</t>
        </is>
      </c>
      <c r="C391" t="inlineStr">
        <is>
          <t>ISIC 94T96</t>
        </is>
      </c>
    </row>
    <row r="392">
      <c r="A392" t="inlineStr">
        <is>
          <t>812200</t>
        </is>
      </c>
      <c r="B392" t="inlineStr">
        <is>
          <t>Death care services</t>
        </is>
      </c>
      <c r="C392" t="inlineStr">
        <is>
          <t>ISIC 94T96</t>
        </is>
      </c>
    </row>
    <row r="393">
      <c r="A393" t="inlineStr">
        <is>
          <t>812300</t>
        </is>
      </c>
      <c r="B393" t="inlineStr">
        <is>
          <t>Dry-cleaning and laundry services</t>
        </is>
      </c>
      <c r="C393" t="inlineStr">
        <is>
          <t>ISIC 94T96</t>
        </is>
      </c>
    </row>
    <row r="394">
      <c r="A394" t="inlineStr">
        <is>
          <t>812900</t>
        </is>
      </c>
      <c r="B394" t="inlineStr">
        <is>
          <t>Other personal services</t>
        </is>
      </c>
      <c r="C394" t="inlineStr">
        <is>
          <t>ISIC 94T96</t>
        </is>
      </c>
    </row>
    <row r="395">
      <c r="A395" t="inlineStr">
        <is>
          <t>813100</t>
        </is>
      </c>
      <c r="B395" t="inlineStr">
        <is>
          <t>Religious organizations</t>
        </is>
      </c>
      <c r="C395" t="inlineStr">
        <is>
          <t>ISIC 94T96</t>
        </is>
      </c>
    </row>
    <row r="396">
      <c r="A396" t="inlineStr">
        <is>
          <t>813A00</t>
        </is>
      </c>
      <c r="B396" t="inlineStr">
        <is>
          <t>Grantmaking, giving, and social advocacy organizations</t>
        </is>
      </c>
      <c r="C396" t="inlineStr">
        <is>
          <t>ISIC 94T96</t>
        </is>
      </c>
    </row>
    <row r="397">
      <c r="A397" t="inlineStr">
        <is>
          <t>813B00</t>
        </is>
      </c>
      <c r="B397" t="inlineStr">
        <is>
          <t>Civic, social, professional, and similar organizations</t>
        </is>
      </c>
      <c r="C397" t="inlineStr">
        <is>
          <t>ISIC 94T96</t>
        </is>
      </c>
    </row>
    <row r="398">
      <c r="A398" t="inlineStr">
        <is>
          <t>814000</t>
        </is>
      </c>
      <c r="B398" t="inlineStr">
        <is>
          <t>Private households</t>
        </is>
      </c>
      <c r="C398" t="inlineStr">
        <is>
          <t>ISIC 97T98</t>
        </is>
      </c>
    </row>
    <row r="399">
      <c r="A399" t="inlineStr">
        <is>
          <t>GSLGE</t>
        </is>
      </c>
      <c r="B399" t="inlineStr">
        <is>
          <t>State and local government (educational services)</t>
        </is>
      </c>
      <c r="C399" t="inlineStr">
        <is>
          <t>ISIC 84</t>
        </is>
      </c>
    </row>
    <row r="400">
      <c r="A400" t="inlineStr">
        <is>
          <t>GSLGH</t>
        </is>
      </c>
      <c r="B400" t="inlineStr">
        <is>
          <t>State and local government (hospitals and health services)</t>
        </is>
      </c>
      <c r="C400" t="inlineStr">
        <is>
          <t>ISIC 84</t>
        </is>
      </c>
    </row>
    <row r="401">
      <c r="A401" t="inlineStr">
        <is>
          <t>GSLGO</t>
        </is>
      </c>
      <c r="B401" t="inlineStr">
        <is>
          <t>State and local government (other services)</t>
        </is>
      </c>
      <c r="C401" t="inlineStr">
        <is>
          <t>ISIC 84</t>
        </is>
      </c>
    </row>
    <row r="402">
      <c r="A402" t="inlineStr">
        <is>
          <t>S00101</t>
        </is>
      </c>
      <c r="B402" t="inlineStr">
        <is>
          <t>Federal electric utilities</t>
        </is>
      </c>
      <c r="C402" t="inlineStr">
        <is>
          <t>ISIC 84</t>
        </is>
      </c>
    </row>
    <row r="403">
      <c r="A403" t="inlineStr">
        <is>
          <t>S00102</t>
        </is>
      </c>
      <c r="B403" t="inlineStr">
        <is>
          <t>Other federal government enterprises</t>
        </is>
      </c>
      <c r="C403" t="inlineStr">
        <is>
          <t>ISIC 84</t>
        </is>
      </c>
    </row>
    <row r="404">
      <c r="A404" t="inlineStr">
        <is>
          <t>S00201</t>
        </is>
      </c>
      <c r="B404" t="inlineStr">
        <is>
          <t>State and local government passenger transit</t>
        </is>
      </c>
      <c r="C404" t="inlineStr">
        <is>
          <t>ISIC 84</t>
        </is>
      </c>
    </row>
    <row r="405">
      <c r="A405" t="inlineStr">
        <is>
          <t>S00202</t>
        </is>
      </c>
      <c r="B405" t="inlineStr">
        <is>
          <t>State and local government electric utilities</t>
        </is>
      </c>
      <c r="C405" t="inlineStr">
        <is>
          <t>ISIC 84</t>
        </is>
      </c>
    </row>
    <row r="406">
      <c r="A406" t="inlineStr">
        <is>
          <t>S00203</t>
        </is>
      </c>
      <c r="B406" t="inlineStr">
        <is>
          <t>Other state and local government enterprises</t>
        </is>
      </c>
      <c r="C406" t="inlineStr">
        <is>
          <t>ISIC 84</t>
        </is>
      </c>
    </row>
    <row r="407">
      <c r="A407" t="inlineStr">
        <is>
          <t>S00401</t>
        </is>
      </c>
      <c r="B407" t="inlineStr">
        <is>
          <t>Scrap</t>
        </is>
      </c>
      <c r="C407" t="inlineStr">
        <is>
          <t>ISIC 45T47</t>
        </is>
      </c>
    </row>
    <row r="408">
      <c r="A408" t="inlineStr">
        <is>
          <t>S00402</t>
        </is>
      </c>
      <c r="B408" t="inlineStr">
        <is>
          <t>Used and secondhand goods</t>
        </is>
      </c>
      <c r="C408" t="inlineStr">
        <is>
          <t>ISIC 45T47</t>
        </is>
      </c>
    </row>
    <row r="409">
      <c r="A409" t="inlineStr">
        <is>
          <t>S00500</t>
        </is>
      </c>
      <c r="B409" t="inlineStr">
        <is>
          <t>Federal general government (defense)</t>
        </is>
      </c>
      <c r="C409" t="inlineStr">
        <is>
          <t>ISIC 84</t>
        </is>
      </c>
    </row>
    <row r="410">
      <c r="A410" t="inlineStr">
        <is>
          <t>S00600</t>
        </is>
      </c>
      <c r="B410" t="inlineStr">
        <is>
          <t>Federal general government (nondefense)</t>
        </is>
      </c>
      <c r="C410" t="inlineStr">
        <is>
          <t>ISIC 84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Table 2.11 Employment and output by industry (Employment in thousands; Output in billion of chained 2017 dollars)</t>
        </is>
      </c>
    </row>
    <row r="2">
      <c r="A2" t="inlineStr">
        <is>
          <t>2024 National Employment Matrix title</t>
        </is>
      </c>
      <c r="B2" t="inlineStr">
        <is>
          <t>2024 National Employment Matrix code</t>
        </is>
      </c>
      <c r="C2" t="inlineStr">
        <is>
          <t>Industry type</t>
        </is>
      </c>
      <c r="D2" t="inlineStr">
        <is>
          <t>Employment, 2024</t>
        </is>
      </c>
      <c r="E2" t="inlineStr">
        <is>
          <t>Employment, 2034</t>
        </is>
      </c>
      <c r="F2" t="inlineStr">
        <is>
          <t xml:space="preserve">Employment change, numeric, 2024–34 </t>
        </is>
      </c>
      <c r="G2" t="inlineStr">
        <is>
          <t xml:space="preserve">Employment change, percent, 2024–34 </t>
        </is>
      </c>
      <c r="H2" t="inlineStr">
        <is>
          <t xml:space="preserve">Compound annual rate of change, employment, 2024–34 </t>
        </is>
      </c>
      <c r="I2" t="inlineStr">
        <is>
          <t>Output, 2024</t>
        </is>
      </c>
      <c r="J2" t="inlineStr">
        <is>
          <t>Output, 2034</t>
        </is>
      </c>
      <c r="K2" t="inlineStr">
        <is>
          <t xml:space="preserve">Compound annual rate of change, output, 2024–34 </t>
        </is>
      </c>
      <c r="L2" s="5" t="inlineStr">
        <is>
          <t>Assigned ISIC Code (editable)</t>
        </is>
      </c>
    </row>
    <row r="3">
      <c r="A3" t="inlineStr">
        <is>
          <t>Total, all industries</t>
        </is>
      </c>
      <c r="B3" t="inlineStr">
        <is>
          <t>TE1000</t>
        </is>
      </c>
      <c r="C3" t="inlineStr">
        <is>
          <t>Summary</t>
        </is>
      </c>
      <c r="D3" t="n">
        <v>169956.1</v>
      </c>
      <c r="E3" t="n">
        <v>175167.9</v>
      </c>
      <c r="F3" t="n">
        <v>5211.8</v>
      </c>
      <c r="G3" t="n">
        <v>3.1</v>
      </c>
      <c r="H3" t="n">
        <v>0.3</v>
      </c>
      <c r="I3" t="n">
        <v>40174.8</v>
      </c>
      <c r="J3" t="n">
        <v>48622.4</v>
      </c>
      <c r="K3" t="n">
        <v>1.9</v>
      </c>
    </row>
    <row r="4">
      <c r="A4" t="inlineStr">
        <is>
          <t xml:space="preserve">  Self-employed workers</t>
        </is>
      </c>
      <c r="B4" t="inlineStr">
        <is>
          <t>TE1100</t>
        </is>
      </c>
      <c r="C4" t="inlineStr">
        <is>
          <t>Line item</t>
        </is>
      </c>
      <c r="D4" t="n">
        <v>9906.4</v>
      </c>
      <c r="E4" t="n">
        <v>10122.8</v>
      </c>
      <c r="F4" t="n">
        <v>216.4</v>
      </c>
      <c r="G4" t="n">
        <v>2.2</v>
      </c>
      <c r="H4" t="n">
        <v>0.2</v>
      </c>
      <c r="I4" t="inlineStr">
        <is>
          <t>—</t>
        </is>
      </c>
      <c r="J4" t="inlineStr">
        <is>
          <t>—</t>
        </is>
      </c>
      <c r="K4" t="inlineStr">
        <is>
          <t>—</t>
        </is>
      </c>
    </row>
    <row r="5">
      <c r="A5" t="inlineStr">
        <is>
          <t xml:space="preserve">  Total wage and salary employment</t>
        </is>
      </c>
      <c r="B5" t="inlineStr">
        <is>
          <t>TE1200</t>
        </is>
      </c>
      <c r="C5" t="inlineStr">
        <is>
          <t>Summary</t>
        </is>
      </c>
      <c r="D5" t="n">
        <v>160049.7</v>
      </c>
      <c r="E5" t="n">
        <v>165045.1</v>
      </c>
      <c r="F5" t="n">
        <v>4995.4</v>
      </c>
      <c r="G5" t="n">
        <v>3.1</v>
      </c>
      <c r="H5" t="n">
        <v>0.3</v>
      </c>
      <c r="I5" t="inlineStr">
        <is>
          <t>—</t>
        </is>
      </c>
      <c r="J5" t="inlineStr">
        <is>
          <t>—</t>
        </is>
      </c>
      <c r="K5" t="inlineStr">
        <is>
          <t>—</t>
        </is>
      </c>
    </row>
    <row r="6">
      <c r="A6" t="inlineStr">
        <is>
          <t xml:space="preserve">    Agriculture, forestry, fishing, and hunting</t>
        </is>
      </c>
      <c r="B6" t="inlineStr">
        <is>
          <t>110000</t>
        </is>
      </c>
      <c r="C6" t="inlineStr">
        <is>
          <t>Summary</t>
        </is>
      </c>
      <c r="D6" t="n">
        <v>1480.7</v>
      </c>
      <c r="E6" t="n">
        <v>1482.1</v>
      </c>
      <c r="F6" t="n">
        <v>1.4</v>
      </c>
      <c r="G6" t="n">
        <v>0.1</v>
      </c>
      <c r="H6" t="n">
        <v>0</v>
      </c>
      <c r="I6" t="n">
        <v>447.9</v>
      </c>
      <c r="J6" t="n">
        <v>538.8</v>
      </c>
      <c r="K6" t="n">
        <v>1.9</v>
      </c>
    </row>
    <row r="7">
      <c r="A7" t="inlineStr">
        <is>
          <t xml:space="preserve">      Crop production</t>
        </is>
      </c>
      <c r="B7" t="inlineStr">
        <is>
          <t>111000</t>
        </is>
      </c>
      <c r="C7" t="inlineStr">
        <is>
          <t>Line item</t>
        </is>
      </c>
      <c r="D7" t="n">
        <v>863.9</v>
      </c>
      <c r="E7" t="n">
        <v>881.2</v>
      </c>
      <c r="F7" t="n">
        <v>17.3</v>
      </c>
      <c r="G7" t="n">
        <v>2</v>
      </c>
      <c r="H7" t="n">
        <v>0.2</v>
      </c>
      <c r="I7" t="n">
        <v>175.8</v>
      </c>
      <c r="J7" t="n">
        <v>201.8</v>
      </c>
      <c r="K7" t="n">
        <v>1.4</v>
      </c>
      <c r="L7" t="inlineStr">
        <is>
          <t>ISIC 01</t>
        </is>
      </c>
    </row>
    <row r="8">
      <c r="A8" t="inlineStr">
        <is>
          <t xml:space="preserve">      Animal production and aquaculture</t>
        </is>
      </c>
      <c r="B8" t="inlineStr">
        <is>
          <t>112000</t>
        </is>
      </c>
      <c r="C8" t="inlineStr">
        <is>
          <t>Line item</t>
        </is>
      </c>
      <c r="D8" t="n">
        <v>442.4</v>
      </c>
      <c r="E8" t="n">
        <v>427.6</v>
      </c>
      <c r="F8" t="n">
        <v>-14.8</v>
      </c>
      <c r="G8" t="n">
        <v>-3.3</v>
      </c>
      <c r="H8" t="n">
        <v>-0.3</v>
      </c>
      <c r="I8" t="n">
        <v>220</v>
      </c>
      <c r="J8" t="n">
        <v>277.6</v>
      </c>
      <c r="K8" t="n">
        <v>2.4</v>
      </c>
      <c r="L8" t="inlineStr">
        <is>
          <t>ISIC 01</t>
        </is>
      </c>
    </row>
    <row r="9">
      <c r="A9" t="inlineStr">
        <is>
          <t xml:space="preserve">      Forestry and logging</t>
        </is>
      </c>
      <c r="B9" t="inlineStr">
        <is>
          <t>113000</t>
        </is>
      </c>
      <c r="C9" t="inlineStr">
        <is>
          <t>Summary</t>
        </is>
      </c>
      <c r="D9" t="n">
        <v>47.2</v>
      </c>
      <c r="E9" t="n">
        <v>45.1</v>
      </c>
      <c r="F9" t="n">
        <v>-2.1</v>
      </c>
      <c r="G9" t="n">
        <v>-4.4</v>
      </c>
      <c r="H9" t="n">
        <v>-0.5</v>
      </c>
      <c r="I9" t="inlineStr">
        <is>
          <t>—</t>
        </is>
      </c>
      <c r="J9" t="inlineStr">
        <is>
          <t>—</t>
        </is>
      </c>
      <c r="K9" t="inlineStr">
        <is>
          <t>—</t>
        </is>
      </c>
    </row>
    <row r="10">
      <c r="A10" t="inlineStr">
        <is>
          <t xml:space="preserve">        Forestry</t>
        </is>
      </c>
      <c r="B10" t="inlineStr">
        <is>
          <t>1131-2</t>
        </is>
      </c>
      <c r="C10" t="inlineStr">
        <is>
          <t>Line item</t>
        </is>
      </c>
      <c r="D10" t="n">
        <v>7</v>
      </c>
      <c r="E10" t="n">
        <v>6.9</v>
      </c>
      <c r="F10" t="n">
        <v>-0.1</v>
      </c>
      <c r="G10" t="n">
        <v>-2</v>
      </c>
      <c r="H10" t="n">
        <v>-0.1</v>
      </c>
      <c r="I10" t="n">
        <v>3.9</v>
      </c>
      <c r="J10" t="n">
        <v>4.6</v>
      </c>
      <c r="K10" t="n">
        <v>1.6</v>
      </c>
      <c r="L10" t="inlineStr">
        <is>
          <t>ISIC 02</t>
        </is>
      </c>
    </row>
    <row r="11">
      <c r="A11" t="inlineStr">
        <is>
          <t xml:space="preserve">        Logging</t>
        </is>
      </c>
      <c r="B11" t="inlineStr">
        <is>
          <t>113300</t>
        </is>
      </c>
      <c r="C11" t="inlineStr">
        <is>
          <t>Line item</t>
        </is>
      </c>
      <c r="D11" t="n">
        <v>40.2</v>
      </c>
      <c r="E11" t="n">
        <v>38.2</v>
      </c>
      <c r="F11" t="n">
        <v>-2</v>
      </c>
      <c r="G11" t="n">
        <v>-4.9</v>
      </c>
      <c r="H11" t="n">
        <v>-0.5</v>
      </c>
      <c r="I11" t="n">
        <v>18.9</v>
      </c>
      <c r="J11" t="n">
        <v>22.1</v>
      </c>
      <c r="K11" t="n">
        <v>1.6</v>
      </c>
      <c r="L11" t="inlineStr">
        <is>
          <t>ISIC 02</t>
        </is>
      </c>
    </row>
    <row r="12">
      <c r="A12" t="inlineStr">
        <is>
          <t xml:space="preserve">      Fishing, hunting and trapping</t>
        </is>
      </c>
      <c r="B12" t="inlineStr">
        <is>
          <t>114000</t>
        </is>
      </c>
      <c r="C12" t="inlineStr">
        <is>
          <t>Line item</t>
        </is>
      </c>
      <c r="D12" t="n">
        <v>20.9</v>
      </c>
      <c r="E12" t="n">
        <v>20.8</v>
      </c>
      <c r="F12" t="n">
        <v>-0.1</v>
      </c>
      <c r="G12" t="n">
        <v>-0.3</v>
      </c>
      <c r="H12" t="n">
        <v>0</v>
      </c>
      <c r="I12" t="n">
        <v>7.4</v>
      </c>
      <c r="J12" t="n">
        <v>8.6</v>
      </c>
      <c r="K12" t="n">
        <v>1.5</v>
      </c>
      <c r="L12" t="inlineStr">
        <is>
          <t>ISIC 03</t>
        </is>
      </c>
    </row>
    <row r="13">
      <c r="A13" t="inlineStr">
        <is>
          <t xml:space="preserve">      Support activities for agriculture and forestry</t>
        </is>
      </c>
      <c r="B13" t="inlineStr">
        <is>
          <t>115000</t>
        </is>
      </c>
      <c r="C13" t="inlineStr">
        <is>
          <t>Line item</t>
        </is>
      </c>
      <c r="D13" t="n">
        <v>106.2</v>
      </c>
      <c r="E13" t="n">
        <v>107.3</v>
      </c>
      <c r="F13" t="n">
        <v>1.1</v>
      </c>
      <c r="G13" t="n">
        <v>1</v>
      </c>
      <c r="H13" t="n">
        <v>0.1</v>
      </c>
      <c r="I13" t="n">
        <v>23.6</v>
      </c>
      <c r="J13" t="n">
        <v>27.6</v>
      </c>
      <c r="K13" t="n">
        <v>1.6</v>
      </c>
      <c r="L13" t="inlineStr">
        <is>
          <t>ISIC 01</t>
        </is>
      </c>
    </row>
    <row r="14">
      <c r="A14" t="inlineStr">
        <is>
          <t xml:space="preserve">    Mining, quarrying, and oil and gas extraction</t>
        </is>
      </c>
      <c r="B14" t="inlineStr">
        <is>
          <t>210000</t>
        </is>
      </c>
      <c r="C14" t="inlineStr">
        <is>
          <t>Summary</t>
        </is>
      </c>
      <c r="D14" t="n">
        <v>586.1</v>
      </c>
      <c r="E14" t="n">
        <v>576.8</v>
      </c>
      <c r="F14" t="n">
        <v>-9.300000000000001</v>
      </c>
      <c r="G14" t="n">
        <v>-1.6</v>
      </c>
      <c r="H14" t="n">
        <v>-0.2</v>
      </c>
      <c r="I14" t="n">
        <v>564.6</v>
      </c>
      <c r="J14" t="n">
        <v>634.5</v>
      </c>
      <c r="K14" t="n">
        <v>1.2</v>
      </c>
    </row>
    <row r="15">
      <c r="A15" t="inlineStr">
        <is>
          <t xml:space="preserve">      Oil and gas extraction</t>
        </is>
      </c>
      <c r="B15" t="inlineStr">
        <is>
          <t>211000</t>
        </is>
      </c>
      <c r="C15" t="inlineStr">
        <is>
          <t>Line item</t>
        </is>
      </c>
      <c r="D15" t="n">
        <v>122.5</v>
      </c>
      <c r="E15" t="n">
        <v>115.7</v>
      </c>
      <c r="F15" t="n">
        <v>-6.8</v>
      </c>
      <c r="G15" t="n">
        <v>-5.5</v>
      </c>
      <c r="H15" t="n">
        <v>-0.6</v>
      </c>
      <c r="I15" t="n">
        <v>383.8</v>
      </c>
      <c r="J15" t="n">
        <v>450.7</v>
      </c>
      <c r="K15" t="n">
        <v>1.6</v>
      </c>
      <c r="L15" t="inlineStr">
        <is>
          <t>ISIC 06</t>
        </is>
      </c>
    </row>
    <row r="16">
      <c r="A16" t="inlineStr">
        <is>
          <t xml:space="preserve">      Mining (except oil and gas)</t>
        </is>
      </c>
      <c r="B16" t="inlineStr">
        <is>
          <t>212000</t>
        </is>
      </c>
      <c r="C16" t="inlineStr">
        <is>
          <t>Summary</t>
        </is>
      </c>
      <c r="D16" t="n">
        <v>191.7</v>
      </c>
      <c r="E16" t="n">
        <v>182.6</v>
      </c>
      <c r="F16" t="n">
        <v>-9.1</v>
      </c>
      <c r="G16" t="n">
        <v>-4.7</v>
      </c>
      <c r="H16" t="n">
        <v>-0.5</v>
      </c>
      <c r="I16" t="n">
        <v>92.8</v>
      </c>
      <c r="J16" t="n">
        <v>99.90000000000001</v>
      </c>
      <c r="K16" t="n">
        <v>0.7</v>
      </c>
    </row>
    <row r="17">
      <c r="A17" t="inlineStr">
        <is>
          <t xml:space="preserve">        Coal mining</t>
        </is>
      </c>
      <c r="B17" t="inlineStr">
        <is>
          <t>212100</t>
        </is>
      </c>
      <c r="C17" t="inlineStr">
        <is>
          <t>Line item</t>
        </is>
      </c>
      <c r="D17" t="n">
        <v>42.5</v>
      </c>
      <c r="E17" t="n">
        <v>23.2</v>
      </c>
      <c r="F17" t="n">
        <v>-19.3</v>
      </c>
      <c r="G17" t="n">
        <v>-45.3</v>
      </c>
      <c r="H17" t="n">
        <v>-5.9</v>
      </c>
      <c r="I17" t="n">
        <v>29.8</v>
      </c>
      <c r="J17" t="n">
        <v>24.6</v>
      </c>
      <c r="K17" t="n">
        <v>-1.9</v>
      </c>
      <c r="L17" t="inlineStr">
        <is>
          <t>ISIC 05</t>
        </is>
      </c>
    </row>
    <row r="18">
      <c r="A18" t="inlineStr">
        <is>
          <t xml:space="preserve">        Metal ore mining</t>
        </is>
      </c>
      <c r="B18" t="inlineStr">
        <is>
          <t>212200</t>
        </is>
      </c>
      <c r="C18" t="inlineStr">
        <is>
          <t>Line item</t>
        </is>
      </c>
      <c r="D18" t="n">
        <v>44.9</v>
      </c>
      <c r="E18" t="n">
        <v>48.4</v>
      </c>
      <c r="F18" t="n">
        <v>3.5</v>
      </c>
      <c r="G18" t="n">
        <v>7.9</v>
      </c>
      <c r="H18" t="n">
        <v>0.8</v>
      </c>
      <c r="I18" t="n">
        <v>26</v>
      </c>
      <c r="J18" t="n">
        <v>33.5</v>
      </c>
      <c r="K18" t="n">
        <v>2.6</v>
      </c>
      <c r="L18" t="inlineStr">
        <is>
          <t>ISIC 07</t>
        </is>
      </c>
    </row>
    <row r="19">
      <c r="A19" t="inlineStr">
        <is>
          <t xml:space="preserve">        Nonmetallic mineral mining and quarrying</t>
        </is>
      </c>
      <c r="B19" t="inlineStr">
        <is>
          <t>212300</t>
        </is>
      </c>
      <c r="C19" t="inlineStr">
        <is>
          <t>Line item</t>
        </is>
      </c>
      <c r="D19" t="n">
        <v>104.3</v>
      </c>
      <c r="E19" t="n">
        <v>111</v>
      </c>
      <c r="F19" t="n">
        <v>6.7</v>
      </c>
      <c r="G19" t="n">
        <v>6.4</v>
      </c>
      <c r="H19" t="n">
        <v>0.6</v>
      </c>
      <c r="I19" t="n">
        <v>36.9</v>
      </c>
      <c r="J19" t="n">
        <v>41.5</v>
      </c>
      <c r="K19" t="n">
        <v>1.2</v>
      </c>
      <c r="L19" t="inlineStr">
        <is>
          <t>ISIC 08</t>
        </is>
      </c>
    </row>
    <row r="20">
      <c r="A20" t="inlineStr">
        <is>
          <t xml:space="preserve">      Support activities for mining</t>
        </is>
      </c>
      <c r="B20" t="inlineStr">
        <is>
          <t>213000</t>
        </is>
      </c>
      <c r="C20" t="inlineStr">
        <is>
          <t>Line item</t>
        </is>
      </c>
      <c r="D20" t="n">
        <v>271.9</v>
      </c>
      <c r="E20" t="n">
        <v>278.4</v>
      </c>
      <c r="F20" t="n">
        <v>6.5</v>
      </c>
      <c r="G20" t="n">
        <v>2.4</v>
      </c>
      <c r="H20" t="n">
        <v>0.2</v>
      </c>
      <c r="I20" t="n">
        <v>95.59999999999999</v>
      </c>
      <c r="J20" t="n">
        <v>90.59999999999999</v>
      </c>
      <c r="K20" t="n">
        <v>-0.5</v>
      </c>
      <c r="L20" t="inlineStr">
        <is>
          <t>ISIC 09</t>
        </is>
      </c>
    </row>
    <row r="21">
      <c r="A21" t="inlineStr">
        <is>
          <t xml:space="preserve">    Utilities</t>
        </is>
      </c>
      <c r="B21" t="inlineStr">
        <is>
          <t>220000</t>
        </is>
      </c>
      <c r="C21" t="inlineStr">
        <is>
          <t>Summary</t>
        </is>
      </c>
      <c r="D21" t="n">
        <v>591.3</v>
      </c>
      <c r="E21" t="n">
        <v>620</v>
      </c>
      <c r="F21" t="n">
        <v>28.7</v>
      </c>
      <c r="G21" t="n">
        <v>4.9</v>
      </c>
      <c r="H21" t="n">
        <v>0.5</v>
      </c>
      <c r="I21" t="n">
        <v>507.1</v>
      </c>
      <c r="J21" t="n">
        <v>602.2</v>
      </c>
      <c r="K21" t="n">
        <v>1.7</v>
      </c>
    </row>
    <row r="22">
      <c r="A22" t="inlineStr">
        <is>
          <t xml:space="preserve">      Utilities</t>
        </is>
      </c>
      <c r="B22" t="inlineStr">
        <is>
          <t>221000</t>
        </is>
      </c>
      <c r="C22" t="inlineStr">
        <is>
          <t>Summary</t>
        </is>
      </c>
      <c r="D22" t="n">
        <v>591.3</v>
      </c>
      <c r="E22" t="n">
        <v>620</v>
      </c>
      <c r="F22" t="n">
        <v>28.7</v>
      </c>
      <c r="G22" t="n">
        <v>4.9</v>
      </c>
      <c r="H22" t="n">
        <v>0.5</v>
      </c>
      <c r="I22" t="n">
        <v>507.1</v>
      </c>
      <c r="J22" t="n">
        <v>602.2</v>
      </c>
      <c r="K22" t="n">
        <v>1.7</v>
      </c>
    </row>
    <row r="23">
      <c r="A23" t="inlineStr">
        <is>
          <t xml:space="preserve">        Electric power generation, transmission and distribution</t>
        </is>
      </c>
      <c r="B23" t="inlineStr">
        <is>
          <t>221100</t>
        </is>
      </c>
      <c r="C23" t="inlineStr">
        <is>
          <t>Summary</t>
        </is>
      </c>
      <c r="D23" t="n">
        <v>413.1</v>
      </c>
      <c r="E23" t="n">
        <v>445.6</v>
      </c>
      <c r="F23" t="n">
        <v>32.5</v>
      </c>
      <c r="G23" t="n">
        <v>7.9</v>
      </c>
      <c r="H23" t="n">
        <v>0.8</v>
      </c>
      <c r="I23" t="n">
        <v>411.4</v>
      </c>
      <c r="J23" t="n">
        <v>501.2</v>
      </c>
      <c r="K23" t="n">
        <v>2</v>
      </c>
      <c r="L23" t="inlineStr">
        <is>
          <t>ISIC 351</t>
        </is>
      </c>
    </row>
    <row r="24">
      <c r="A24" t="inlineStr">
        <is>
          <t xml:space="preserve">          Electric power generation</t>
        </is>
      </c>
      <c r="B24" t="inlineStr">
        <is>
          <t>221110</t>
        </is>
      </c>
      <c r="C24" t="inlineStr">
        <is>
          <t>Summary</t>
        </is>
      </c>
      <c r="D24" t="n">
        <v>157.3</v>
      </c>
      <c r="E24" t="n">
        <v>169.2</v>
      </c>
      <c r="F24" t="n">
        <v>11.9</v>
      </c>
      <c r="G24" t="n">
        <v>7.6</v>
      </c>
      <c r="H24" t="n">
        <v>0.7</v>
      </c>
      <c r="I24" t="inlineStr">
        <is>
          <t>—</t>
        </is>
      </c>
      <c r="J24" t="inlineStr">
        <is>
          <t>—</t>
        </is>
      </c>
      <c r="K24" t="inlineStr">
        <is>
          <t>—</t>
        </is>
      </c>
    </row>
    <row r="25">
      <c r="A25" t="inlineStr">
        <is>
          <t xml:space="preserve">            Hydroelectric power generation</t>
        </is>
      </c>
      <c r="B25" t="inlineStr">
        <is>
          <t>221111</t>
        </is>
      </c>
      <c r="C25" t="inlineStr">
        <is>
          <t>Line item</t>
        </is>
      </c>
      <c r="D25" t="n">
        <v>8.199999999999999</v>
      </c>
      <c r="E25" t="n">
        <v>8.199999999999999</v>
      </c>
      <c r="F25" t="n">
        <v>0</v>
      </c>
      <c r="G25" t="n">
        <v>0.4</v>
      </c>
      <c r="H25" t="n">
        <v>0</v>
      </c>
      <c r="I25" t="inlineStr">
        <is>
          <t>—</t>
        </is>
      </c>
      <c r="J25" t="inlineStr">
        <is>
          <t>—</t>
        </is>
      </c>
      <c r="K25" t="inlineStr">
        <is>
          <t>—</t>
        </is>
      </c>
    </row>
    <row r="26">
      <c r="A26" t="inlineStr">
        <is>
          <t xml:space="preserve">            Fossil fuel electric power generation</t>
        </is>
      </c>
      <c r="B26" t="inlineStr">
        <is>
          <t>221112</t>
        </is>
      </c>
      <c r="C26" t="inlineStr">
        <is>
          <t>Line item</t>
        </is>
      </c>
      <c r="D26" t="n">
        <v>74.5</v>
      </c>
      <c r="E26" t="n">
        <v>51.5</v>
      </c>
      <c r="F26" t="n">
        <v>-23</v>
      </c>
      <c r="G26" t="n">
        <v>-30.9</v>
      </c>
      <c r="H26" t="n">
        <v>-3.6</v>
      </c>
      <c r="I26" t="inlineStr">
        <is>
          <t>—</t>
        </is>
      </c>
      <c r="J26" t="inlineStr">
        <is>
          <t>—</t>
        </is>
      </c>
      <c r="K26" t="inlineStr">
        <is>
          <t>—</t>
        </is>
      </c>
    </row>
    <row r="27">
      <c r="A27" t="inlineStr">
        <is>
          <t xml:space="preserve">            Nuclear electric power generation</t>
        </is>
      </c>
      <c r="B27" t="inlineStr">
        <is>
          <t>221113</t>
        </is>
      </c>
      <c r="C27" t="inlineStr">
        <is>
          <t>Line item</t>
        </is>
      </c>
      <c r="D27" t="n">
        <v>38.2</v>
      </c>
      <c r="E27" t="n">
        <v>31.5</v>
      </c>
      <c r="F27" t="n">
        <v>-6.7</v>
      </c>
      <c r="G27" t="n">
        <v>-17.6</v>
      </c>
      <c r="H27" t="n">
        <v>-1.9</v>
      </c>
      <c r="I27" t="inlineStr">
        <is>
          <t>—</t>
        </is>
      </c>
      <c r="J27" t="inlineStr">
        <is>
          <t>—</t>
        </is>
      </c>
      <c r="K27" t="inlineStr">
        <is>
          <t>—</t>
        </is>
      </c>
    </row>
    <row r="28">
      <c r="A28" t="inlineStr">
        <is>
          <t xml:space="preserve">            Solar electric power generation</t>
        </is>
      </c>
      <c r="B28" t="inlineStr">
        <is>
          <t>221114</t>
        </is>
      </c>
      <c r="C28" t="inlineStr">
        <is>
          <t>Line item</t>
        </is>
      </c>
      <c r="D28" t="n">
        <v>16.9</v>
      </c>
      <c r="E28" t="n">
        <v>47.2</v>
      </c>
      <c r="F28" t="n">
        <v>30.4</v>
      </c>
      <c r="G28" t="n">
        <v>180.2</v>
      </c>
      <c r="H28" t="n">
        <v>10.8</v>
      </c>
      <c r="I28" t="inlineStr">
        <is>
          <t>—</t>
        </is>
      </c>
      <c r="J28" t="inlineStr">
        <is>
          <t>—</t>
        </is>
      </c>
      <c r="K28" t="inlineStr">
        <is>
          <t>—</t>
        </is>
      </c>
    </row>
    <row r="29">
      <c r="A29" t="inlineStr">
        <is>
          <t xml:space="preserve">            Wind electric power generation</t>
        </is>
      </c>
      <c r="B29" t="inlineStr">
        <is>
          <t>221115</t>
        </is>
      </c>
      <c r="C29" t="inlineStr">
        <is>
          <t>Line item</t>
        </is>
      </c>
      <c r="D29" t="n">
        <v>11.2</v>
      </c>
      <c r="E29" t="n">
        <v>20.4</v>
      </c>
      <c r="F29" t="n">
        <v>9.199999999999999</v>
      </c>
      <c r="G29" t="n">
        <v>81.40000000000001</v>
      </c>
      <c r="H29" t="n">
        <v>6.2</v>
      </c>
      <c r="I29" t="inlineStr">
        <is>
          <t>—</t>
        </is>
      </c>
      <c r="J29" t="inlineStr">
        <is>
          <t>—</t>
        </is>
      </c>
      <c r="K29" t="inlineStr">
        <is>
          <t>—</t>
        </is>
      </c>
    </row>
    <row r="30">
      <c r="A30" t="inlineStr">
        <is>
          <t xml:space="preserve">            Geothermal electric power generation</t>
        </is>
      </c>
      <c r="B30" t="inlineStr">
        <is>
          <t>221116</t>
        </is>
      </c>
      <c r="C30" t="inlineStr">
        <is>
          <t>Line item</t>
        </is>
      </c>
      <c r="D30" t="n">
        <v>1.2</v>
      </c>
      <c r="E30" t="n">
        <v>1.6</v>
      </c>
      <c r="F30" t="n">
        <v>0.5</v>
      </c>
      <c r="G30" t="n">
        <v>41.4</v>
      </c>
      <c r="H30" t="n">
        <v>2.9</v>
      </c>
      <c r="I30" t="inlineStr">
        <is>
          <t>—</t>
        </is>
      </c>
      <c r="J30" t="inlineStr">
        <is>
          <t>—</t>
        </is>
      </c>
      <c r="K30" t="inlineStr">
        <is>
          <t>—</t>
        </is>
      </c>
    </row>
    <row r="31">
      <c r="A31" t="inlineStr">
        <is>
          <t xml:space="preserve">            Biomass electric power generation</t>
        </is>
      </c>
      <c r="B31" t="inlineStr">
        <is>
          <t>221117</t>
        </is>
      </c>
      <c r="C31" t="inlineStr">
        <is>
          <t>Line item</t>
        </is>
      </c>
      <c r="D31" t="n">
        <v>2.4</v>
      </c>
      <c r="E31" t="n">
        <v>2.5</v>
      </c>
      <c r="F31" t="n">
        <v>0</v>
      </c>
      <c r="G31" t="n">
        <v>1.9</v>
      </c>
      <c r="H31" t="n">
        <v>0.4</v>
      </c>
      <c r="I31" t="inlineStr">
        <is>
          <t>—</t>
        </is>
      </c>
      <c r="J31" t="inlineStr">
        <is>
          <t>—</t>
        </is>
      </c>
      <c r="K31" t="inlineStr">
        <is>
          <t>—</t>
        </is>
      </c>
    </row>
    <row r="32">
      <c r="A32" t="inlineStr">
        <is>
          <t xml:space="preserve">            Other electric power generation</t>
        </is>
      </c>
      <c r="B32" t="inlineStr">
        <is>
          <t>221118</t>
        </is>
      </c>
      <c r="C32" t="inlineStr">
        <is>
          <t>Line item</t>
        </is>
      </c>
      <c r="D32" t="n">
        <v>4.7</v>
      </c>
      <c r="E32" t="n">
        <v>6.2</v>
      </c>
      <c r="F32" t="n">
        <v>1.5</v>
      </c>
      <c r="G32" t="n">
        <v>32.9</v>
      </c>
      <c r="H32" t="n">
        <v>2.8</v>
      </c>
      <c r="I32" t="inlineStr">
        <is>
          <t>—</t>
        </is>
      </c>
      <c r="J32" t="inlineStr">
        <is>
          <t>—</t>
        </is>
      </c>
      <c r="K32" t="inlineStr">
        <is>
          <t>—</t>
        </is>
      </c>
    </row>
    <row r="33">
      <c r="A33" t="inlineStr">
        <is>
          <t xml:space="preserve">        Natural gas distribution</t>
        </is>
      </c>
      <c r="B33" t="inlineStr">
        <is>
          <t>221200</t>
        </is>
      </c>
      <c r="C33" t="inlineStr">
        <is>
          <t>Line item</t>
        </is>
      </c>
      <c r="D33" t="n">
        <v>116.1</v>
      </c>
      <c r="E33" t="n">
        <v>112.4</v>
      </c>
      <c r="F33" t="n">
        <v>-3.7</v>
      </c>
      <c r="G33" t="n">
        <v>-3.2</v>
      </c>
      <c r="H33" t="n">
        <v>-0.3</v>
      </c>
      <c r="I33" t="n">
        <v>80.40000000000001</v>
      </c>
      <c r="J33" t="n">
        <v>86.5</v>
      </c>
      <c r="K33" t="n">
        <v>0.7</v>
      </c>
      <c r="L33" t="inlineStr">
        <is>
          <t>ISIC 352T353</t>
        </is>
      </c>
    </row>
    <row r="34">
      <c r="A34" t="inlineStr">
        <is>
          <t xml:space="preserve">        Water, sewage and other systems</t>
        </is>
      </c>
      <c r="B34" t="inlineStr">
        <is>
          <t>221300</t>
        </is>
      </c>
      <c r="C34" t="inlineStr">
        <is>
          <t>Line item</t>
        </is>
      </c>
      <c r="D34" t="n">
        <v>62.1</v>
      </c>
      <c r="E34" t="n">
        <v>62</v>
      </c>
      <c r="F34" t="n">
        <v>-0.1</v>
      </c>
      <c r="G34" t="n">
        <v>-0.1</v>
      </c>
      <c r="H34" t="n">
        <v>0</v>
      </c>
      <c r="I34" t="n">
        <v>15.6</v>
      </c>
      <c r="J34" t="n">
        <v>16.3</v>
      </c>
      <c r="K34" t="n">
        <v>0.5</v>
      </c>
      <c r="L34" t="inlineStr">
        <is>
          <t>ISIC 36T39</t>
        </is>
      </c>
    </row>
    <row r="35">
      <c r="A35" t="inlineStr">
        <is>
          <t xml:space="preserve">    Construction</t>
        </is>
      </c>
      <c r="B35" t="inlineStr">
        <is>
          <t>230000</t>
        </is>
      </c>
      <c r="C35" t="inlineStr">
        <is>
          <t>Summary</t>
        </is>
      </c>
      <c r="D35" t="n">
        <v>8211.700000000001</v>
      </c>
      <c r="E35" t="n">
        <v>8572.200000000001</v>
      </c>
      <c r="F35" t="n">
        <v>360.5</v>
      </c>
      <c r="G35" t="n">
        <v>4.4</v>
      </c>
      <c r="H35" t="n">
        <v>0.4</v>
      </c>
      <c r="I35" t="n">
        <v>1720.9</v>
      </c>
      <c r="J35" t="n">
        <v>1874.7</v>
      </c>
      <c r="K35" t="n">
        <v>0.9</v>
      </c>
      <c r="L35" t="inlineStr">
        <is>
          <t>ISIC 41T43</t>
        </is>
      </c>
    </row>
    <row r="36">
      <c r="A36" t="inlineStr">
        <is>
          <t xml:space="preserve">      Construction of buildings</t>
        </is>
      </c>
      <c r="B36" t="inlineStr">
        <is>
          <t>236000</t>
        </is>
      </c>
      <c r="C36" t="inlineStr">
        <is>
          <t>Summary</t>
        </is>
      </c>
      <c r="D36" t="n">
        <v>1853.6</v>
      </c>
      <c r="E36" t="n">
        <v>1938.2</v>
      </c>
      <c r="F36" t="n">
        <v>84.59999999999999</v>
      </c>
      <c r="G36" t="n">
        <v>4.6</v>
      </c>
      <c r="H36" t="n">
        <v>0.4</v>
      </c>
      <c r="I36" t="inlineStr">
        <is>
          <t>—</t>
        </is>
      </c>
      <c r="J36" t="inlineStr">
        <is>
          <t>—</t>
        </is>
      </c>
      <c r="K36" t="inlineStr">
        <is>
          <t>—</t>
        </is>
      </c>
    </row>
    <row r="37">
      <c r="A37" t="inlineStr">
        <is>
          <t xml:space="preserve">        Residential building construction</t>
        </is>
      </c>
      <c r="B37" t="inlineStr">
        <is>
          <t>236100</t>
        </is>
      </c>
      <c r="C37" t="inlineStr">
        <is>
          <t>Line item</t>
        </is>
      </c>
      <c r="D37" t="n">
        <v>943.1</v>
      </c>
      <c r="E37" t="n">
        <v>982.4</v>
      </c>
      <c r="F37" t="n">
        <v>39.3</v>
      </c>
      <c r="G37" t="n">
        <v>4.2</v>
      </c>
      <c r="H37" t="n">
        <v>0.4</v>
      </c>
      <c r="I37" t="inlineStr">
        <is>
          <t>—</t>
        </is>
      </c>
      <c r="J37" t="inlineStr">
        <is>
          <t>—</t>
        </is>
      </c>
      <c r="K37" t="inlineStr">
        <is>
          <t>—</t>
        </is>
      </c>
    </row>
    <row r="38">
      <c r="A38" t="inlineStr">
        <is>
          <t xml:space="preserve">        Nonresidential building construction</t>
        </is>
      </c>
      <c r="B38" t="inlineStr">
        <is>
          <t>236200</t>
        </is>
      </c>
      <c r="C38" t="inlineStr">
        <is>
          <t>Line item</t>
        </is>
      </c>
      <c r="D38" t="n">
        <v>910.5</v>
      </c>
      <c r="E38" t="n">
        <v>955.8</v>
      </c>
      <c r="F38" t="n">
        <v>45.3</v>
      </c>
      <c r="G38" t="n">
        <v>5</v>
      </c>
      <c r="H38" t="n">
        <v>0.5</v>
      </c>
      <c r="I38" t="inlineStr">
        <is>
          <t>—</t>
        </is>
      </c>
      <c r="J38" t="inlineStr">
        <is>
          <t>—</t>
        </is>
      </c>
      <c r="K38" t="inlineStr">
        <is>
          <t>—</t>
        </is>
      </c>
    </row>
    <row r="39">
      <c r="A39" t="inlineStr">
        <is>
          <t xml:space="preserve">      Heavy and civil engineering construction</t>
        </is>
      </c>
      <c r="B39" t="inlineStr">
        <is>
          <t>237000</t>
        </is>
      </c>
      <c r="C39" t="inlineStr">
        <is>
          <t>Summary</t>
        </is>
      </c>
      <c r="D39" t="n">
        <v>1154.4</v>
      </c>
      <c r="E39" t="n">
        <v>1206.1</v>
      </c>
      <c r="F39" t="n">
        <v>51.7</v>
      </c>
      <c r="G39" t="n">
        <v>4.5</v>
      </c>
      <c r="H39" t="n">
        <v>0.4</v>
      </c>
      <c r="I39" t="inlineStr">
        <is>
          <t>—</t>
        </is>
      </c>
      <c r="J39" t="inlineStr">
        <is>
          <t>—</t>
        </is>
      </c>
      <c r="K39" t="inlineStr">
        <is>
          <t>—</t>
        </is>
      </c>
    </row>
    <row r="40">
      <c r="A40" t="inlineStr">
        <is>
          <t xml:space="preserve">        Utility system construction</t>
        </is>
      </c>
      <c r="B40" t="inlineStr">
        <is>
          <t>237100</t>
        </is>
      </c>
      <c r="C40" t="inlineStr">
        <is>
          <t>Summary</t>
        </is>
      </c>
      <c r="D40" t="n">
        <v>602.8</v>
      </c>
      <c r="E40" t="n">
        <v>634.3</v>
      </c>
      <c r="F40" t="n">
        <v>31.5</v>
      </c>
      <c r="G40" t="n">
        <v>5.2</v>
      </c>
      <c r="H40" t="n">
        <v>0.5</v>
      </c>
      <c r="I40" t="inlineStr">
        <is>
          <t>—</t>
        </is>
      </c>
      <c r="J40" t="inlineStr">
        <is>
          <t>—</t>
        </is>
      </c>
      <c r="K40" t="inlineStr">
        <is>
          <t>—</t>
        </is>
      </c>
    </row>
    <row r="41">
      <c r="A41" t="inlineStr">
        <is>
          <t xml:space="preserve">          Power and communication line and related structures construction</t>
        </is>
      </c>
      <c r="B41" t="inlineStr">
        <is>
          <t>237130</t>
        </is>
      </c>
      <c r="C41" t="inlineStr">
        <is>
          <t>Line item</t>
        </is>
      </c>
      <c r="D41" t="n">
        <v>238.4</v>
      </c>
      <c r="E41" t="n">
        <v>257.2</v>
      </c>
      <c r="F41" t="n">
        <v>18.8</v>
      </c>
      <c r="G41" t="n">
        <v>7.9</v>
      </c>
      <c r="H41" t="n">
        <v>0.8</v>
      </c>
      <c r="I41" t="inlineStr">
        <is>
          <t>—</t>
        </is>
      </c>
      <c r="J41" t="inlineStr">
        <is>
          <t>—</t>
        </is>
      </c>
      <c r="K41" t="inlineStr">
        <is>
          <t>—</t>
        </is>
      </c>
    </row>
    <row r="42">
      <c r="A42" t="inlineStr">
        <is>
          <t xml:space="preserve">        Land subdivision</t>
        </is>
      </c>
      <c r="B42" t="inlineStr">
        <is>
          <t>237200</t>
        </is>
      </c>
      <c r="C42" t="inlineStr">
        <is>
          <t>Line item</t>
        </is>
      </c>
      <c r="D42" t="n">
        <v>37.1</v>
      </c>
      <c r="E42" t="n">
        <v>37.7</v>
      </c>
      <c r="F42" t="n">
        <v>0.6</v>
      </c>
      <c r="G42" t="n">
        <v>1.7</v>
      </c>
      <c r="H42" t="n">
        <v>0.2</v>
      </c>
      <c r="I42" t="inlineStr">
        <is>
          <t>—</t>
        </is>
      </c>
      <c r="J42" t="inlineStr">
        <is>
          <t>—</t>
        </is>
      </c>
      <c r="K42" t="inlineStr">
        <is>
          <t>—</t>
        </is>
      </c>
    </row>
    <row r="43">
      <c r="A43" t="inlineStr">
        <is>
          <t xml:space="preserve">        Highway, street, and bridge construction</t>
        </is>
      </c>
      <c r="B43" t="inlineStr">
        <is>
          <t>237300</t>
        </is>
      </c>
      <c r="C43" t="inlineStr">
        <is>
          <t>Line item</t>
        </is>
      </c>
      <c r="D43" t="n">
        <v>377.9</v>
      </c>
      <c r="E43" t="n">
        <v>390.9</v>
      </c>
      <c r="F43" t="n">
        <v>13</v>
      </c>
      <c r="G43" t="n">
        <v>3.4</v>
      </c>
      <c r="H43" t="n">
        <v>0.3</v>
      </c>
      <c r="I43" t="inlineStr">
        <is>
          <t>—</t>
        </is>
      </c>
      <c r="J43" t="inlineStr">
        <is>
          <t>—</t>
        </is>
      </c>
      <c r="K43" t="inlineStr">
        <is>
          <t>—</t>
        </is>
      </c>
    </row>
    <row r="44">
      <c r="A44" t="inlineStr">
        <is>
          <t xml:space="preserve">        Other heavy and civil engineering construction</t>
        </is>
      </c>
      <c r="B44" t="inlineStr">
        <is>
          <t>237900</t>
        </is>
      </c>
      <c r="C44" t="inlineStr">
        <is>
          <t>Line item</t>
        </is>
      </c>
      <c r="D44" t="n">
        <v>136.6</v>
      </c>
      <c r="E44" t="n">
        <v>143.2</v>
      </c>
      <c r="F44" t="n">
        <v>6.6</v>
      </c>
      <c r="G44" t="n">
        <v>4.8</v>
      </c>
      <c r="H44" t="n">
        <v>0.5</v>
      </c>
      <c r="I44" t="inlineStr">
        <is>
          <t>—</t>
        </is>
      </c>
      <c r="J44" t="inlineStr">
        <is>
          <t>—</t>
        </is>
      </c>
      <c r="K44" t="inlineStr">
        <is>
          <t>—</t>
        </is>
      </c>
    </row>
    <row r="45">
      <c r="A45" t="inlineStr">
        <is>
          <t xml:space="preserve">      Specialty trade contractors</t>
        </is>
      </c>
      <c r="B45" t="inlineStr">
        <is>
          <t>238000</t>
        </is>
      </c>
      <c r="C45" t="inlineStr">
        <is>
          <t>Summary</t>
        </is>
      </c>
      <c r="D45" t="n">
        <v>5203.7</v>
      </c>
      <c r="E45" t="n">
        <v>5427.9</v>
      </c>
      <c r="F45" t="n">
        <v>224.2</v>
      </c>
      <c r="G45" t="n">
        <v>4.3</v>
      </c>
      <c r="H45" t="n">
        <v>0.4</v>
      </c>
      <c r="I45" t="inlineStr">
        <is>
          <t>—</t>
        </is>
      </c>
      <c r="J45" t="inlineStr">
        <is>
          <t>—</t>
        </is>
      </c>
      <c r="K45" t="inlineStr">
        <is>
          <t>—</t>
        </is>
      </c>
    </row>
    <row r="46">
      <c r="A46" t="inlineStr">
        <is>
          <t xml:space="preserve">        Foundation, structure, and building exterior contractors</t>
        </is>
      </c>
      <c r="B46" t="inlineStr">
        <is>
          <t>238100</t>
        </is>
      </c>
      <c r="C46" t="inlineStr">
        <is>
          <t>Summary</t>
        </is>
      </c>
      <c r="D46" t="n">
        <v>992.5</v>
      </c>
      <c r="E46" t="n">
        <v>1032.1</v>
      </c>
      <c r="F46" t="n">
        <v>39.6</v>
      </c>
      <c r="G46" t="n">
        <v>4</v>
      </c>
      <c r="H46" t="n">
        <v>0.4</v>
      </c>
      <c r="I46" t="inlineStr">
        <is>
          <t>—</t>
        </is>
      </c>
      <c r="J46" t="inlineStr">
        <is>
          <t>—</t>
        </is>
      </c>
      <c r="K46" t="inlineStr">
        <is>
          <t>—</t>
        </is>
      </c>
    </row>
    <row r="47">
      <c r="A47" t="inlineStr">
        <is>
          <t xml:space="preserve">          Poured concrete foundation and structure contractors</t>
        </is>
      </c>
      <c r="B47" t="inlineStr">
        <is>
          <t>238110</t>
        </is>
      </c>
      <c r="C47" t="inlineStr">
        <is>
          <t>Line item</t>
        </is>
      </c>
      <c r="D47" t="n">
        <v>258.2</v>
      </c>
      <c r="E47" t="n">
        <v>273.5</v>
      </c>
      <c r="F47" t="n">
        <v>15.3</v>
      </c>
      <c r="G47" t="n">
        <v>5.9</v>
      </c>
      <c r="H47" t="n">
        <v>0.6</v>
      </c>
      <c r="I47" t="inlineStr">
        <is>
          <t>—</t>
        </is>
      </c>
      <c r="J47" t="inlineStr">
        <is>
          <t>—</t>
        </is>
      </c>
      <c r="K47" t="inlineStr">
        <is>
          <t>—</t>
        </is>
      </c>
    </row>
    <row r="48">
      <c r="A48" t="inlineStr">
        <is>
          <t xml:space="preserve">          Masonry contractors</t>
        </is>
      </c>
      <c r="B48" t="inlineStr">
        <is>
          <t>238140</t>
        </is>
      </c>
      <c r="C48" t="inlineStr">
        <is>
          <t>Line item</t>
        </is>
      </c>
      <c r="D48" t="n">
        <v>146.1</v>
      </c>
      <c r="E48" t="n">
        <v>150</v>
      </c>
      <c r="F48" t="n">
        <v>3.9</v>
      </c>
      <c r="G48" t="n">
        <v>2.7</v>
      </c>
      <c r="H48" t="n">
        <v>0.3</v>
      </c>
      <c r="I48" t="inlineStr">
        <is>
          <t>—</t>
        </is>
      </c>
      <c r="J48" t="inlineStr">
        <is>
          <t>—</t>
        </is>
      </c>
      <c r="K48" t="inlineStr">
        <is>
          <t>—</t>
        </is>
      </c>
    </row>
    <row r="49">
      <c r="A49" t="inlineStr">
        <is>
          <t xml:space="preserve">          Roofing contractors</t>
        </is>
      </c>
      <c r="B49" t="inlineStr">
        <is>
          <t>238160</t>
        </is>
      </c>
      <c r="C49" t="inlineStr">
        <is>
          <t>Line item</t>
        </is>
      </c>
      <c r="D49" t="n">
        <v>249.8</v>
      </c>
      <c r="E49" t="n">
        <v>261.5</v>
      </c>
      <c r="F49" t="n">
        <v>11.7</v>
      </c>
      <c r="G49" t="n">
        <v>4.7</v>
      </c>
      <c r="H49" t="n">
        <v>0.5</v>
      </c>
      <c r="I49" t="inlineStr">
        <is>
          <t>—</t>
        </is>
      </c>
      <c r="J49" t="inlineStr">
        <is>
          <t>—</t>
        </is>
      </c>
      <c r="K49" t="inlineStr">
        <is>
          <t>—</t>
        </is>
      </c>
    </row>
    <row r="50">
      <c r="A50" t="inlineStr">
        <is>
          <t xml:space="preserve">        Building equipment contractors</t>
        </is>
      </c>
      <c r="B50" t="inlineStr">
        <is>
          <t>238200</t>
        </is>
      </c>
      <c r="C50" t="inlineStr">
        <is>
          <t>Summary</t>
        </is>
      </c>
      <c r="D50" t="n">
        <v>2556.3</v>
      </c>
      <c r="E50" t="n">
        <v>2688.2</v>
      </c>
      <c r="F50" t="n">
        <v>131.9</v>
      </c>
      <c r="G50" t="n">
        <v>5.2</v>
      </c>
      <c r="H50" t="n">
        <v>0.5</v>
      </c>
      <c r="I50" t="inlineStr">
        <is>
          <t>—</t>
        </is>
      </c>
      <c r="J50" t="inlineStr">
        <is>
          <t>—</t>
        </is>
      </c>
      <c r="K50" t="inlineStr">
        <is>
          <t>—</t>
        </is>
      </c>
    </row>
    <row r="51">
      <c r="A51" t="inlineStr">
        <is>
          <t xml:space="preserve">          Electrical contractors and other wiring installation contractors</t>
        </is>
      </c>
      <c r="B51" t="inlineStr">
        <is>
          <t>238210</t>
        </is>
      </c>
      <c r="C51" t="inlineStr">
        <is>
          <t>Line item</t>
        </is>
      </c>
      <c r="D51" t="n">
        <v>1095.2</v>
      </c>
      <c r="E51" t="n">
        <v>1156.4</v>
      </c>
      <c r="F51" t="n">
        <v>61.2</v>
      </c>
      <c r="G51" t="n">
        <v>5.6</v>
      </c>
      <c r="H51" t="n">
        <v>0.5</v>
      </c>
      <c r="I51" t="inlineStr">
        <is>
          <t>—</t>
        </is>
      </c>
      <c r="J51" t="inlineStr">
        <is>
          <t>—</t>
        </is>
      </c>
      <c r="K51" t="inlineStr">
        <is>
          <t>—</t>
        </is>
      </c>
    </row>
    <row r="52">
      <c r="A52" t="inlineStr">
        <is>
          <t xml:space="preserve">          Plumbing, heating, and air-conditioning contractors</t>
        </is>
      </c>
      <c r="B52" t="inlineStr">
        <is>
          <t>238220</t>
        </is>
      </c>
      <c r="C52" t="inlineStr">
        <is>
          <t>Line item</t>
        </is>
      </c>
      <c r="D52" t="n">
        <v>1298.3</v>
      </c>
      <c r="E52" t="n">
        <v>1361.3</v>
      </c>
      <c r="F52" t="n">
        <v>63</v>
      </c>
      <c r="G52" t="n">
        <v>4.8</v>
      </c>
      <c r="H52" t="n">
        <v>0.5</v>
      </c>
      <c r="I52" t="inlineStr">
        <is>
          <t>—</t>
        </is>
      </c>
      <c r="J52" t="inlineStr">
        <is>
          <t>—</t>
        </is>
      </c>
      <c r="K52" t="inlineStr">
        <is>
          <t>—</t>
        </is>
      </c>
    </row>
    <row r="53">
      <c r="A53" t="inlineStr">
        <is>
          <t xml:space="preserve">          Other building equipment contractors</t>
        </is>
      </c>
      <c r="B53" t="inlineStr">
        <is>
          <t>238290</t>
        </is>
      </c>
      <c r="C53" t="inlineStr">
        <is>
          <t>Line item</t>
        </is>
      </c>
      <c r="D53" t="n">
        <v>162.8</v>
      </c>
      <c r="E53" t="n">
        <v>170.6</v>
      </c>
      <c r="F53" t="n">
        <v>7.8</v>
      </c>
      <c r="G53" t="n">
        <v>4.8</v>
      </c>
      <c r="H53" t="n">
        <v>0.5</v>
      </c>
      <c r="I53" t="inlineStr">
        <is>
          <t>—</t>
        </is>
      </c>
      <c r="J53" t="inlineStr">
        <is>
          <t>—</t>
        </is>
      </c>
      <c r="K53" t="inlineStr">
        <is>
          <t>—</t>
        </is>
      </c>
    </row>
    <row r="54">
      <c r="A54" t="inlineStr">
        <is>
          <t xml:space="preserve">        Building finishing contractors</t>
        </is>
      </c>
      <c r="B54" t="inlineStr">
        <is>
          <t>238300</t>
        </is>
      </c>
      <c r="C54" t="inlineStr">
        <is>
          <t>Summary</t>
        </is>
      </c>
      <c r="D54" t="n">
        <v>849.3</v>
      </c>
      <c r="E54" t="n">
        <v>858.9</v>
      </c>
      <c r="F54" t="n">
        <v>9.6</v>
      </c>
      <c r="G54" t="n">
        <v>1.1</v>
      </c>
      <c r="H54" t="n">
        <v>0.1</v>
      </c>
      <c r="I54" t="inlineStr">
        <is>
          <t>—</t>
        </is>
      </c>
      <c r="J54" t="inlineStr">
        <is>
          <t>—</t>
        </is>
      </c>
      <c r="K54" t="inlineStr">
        <is>
          <t>—</t>
        </is>
      </c>
    </row>
    <row r="55">
      <c r="A55" t="inlineStr">
        <is>
          <t xml:space="preserve">          Drywall and insulation contractors</t>
        </is>
      </c>
      <c r="B55" t="inlineStr">
        <is>
          <t>238310</t>
        </is>
      </c>
      <c r="C55" t="inlineStr">
        <is>
          <t>Line item</t>
        </is>
      </c>
      <c r="D55" t="n">
        <v>247.5</v>
      </c>
      <c r="E55" t="n">
        <v>253.7</v>
      </c>
      <c r="F55" t="n">
        <v>6.2</v>
      </c>
      <c r="G55" t="n">
        <v>2.5</v>
      </c>
      <c r="H55" t="n">
        <v>0.2</v>
      </c>
      <c r="I55" t="inlineStr">
        <is>
          <t>—</t>
        </is>
      </c>
      <c r="J55" t="inlineStr">
        <is>
          <t>—</t>
        </is>
      </c>
      <c r="K55" t="inlineStr">
        <is>
          <t>—</t>
        </is>
      </c>
    </row>
    <row r="56">
      <c r="A56" t="inlineStr">
        <is>
          <t xml:space="preserve">          Painting and wall covering contractors</t>
        </is>
      </c>
      <c r="B56" t="inlineStr">
        <is>
          <t>238320</t>
        </is>
      </c>
      <c r="C56" t="inlineStr">
        <is>
          <t>Line item</t>
        </is>
      </c>
      <c r="D56" t="n">
        <v>210.3</v>
      </c>
      <c r="E56" t="n">
        <v>211.7</v>
      </c>
      <c r="F56" t="n">
        <v>1.4</v>
      </c>
      <c r="G56" t="n">
        <v>0.7</v>
      </c>
      <c r="H56" t="n">
        <v>0.1</v>
      </c>
      <c r="I56" t="inlineStr">
        <is>
          <t>—</t>
        </is>
      </c>
      <c r="J56" t="inlineStr">
        <is>
          <t>—</t>
        </is>
      </c>
      <c r="K56" t="inlineStr">
        <is>
          <t>—</t>
        </is>
      </c>
    </row>
    <row r="57">
      <c r="A57" t="inlineStr">
        <is>
          <t xml:space="preserve">        Other specialty trade contractors</t>
        </is>
      </c>
      <c r="B57" t="inlineStr">
        <is>
          <t>238900</t>
        </is>
      </c>
      <c r="C57" t="inlineStr">
        <is>
          <t>Line item</t>
        </is>
      </c>
      <c r="D57" t="n">
        <v>805.6</v>
      </c>
      <c r="E57" t="n">
        <v>848.6</v>
      </c>
      <c r="F57" t="n">
        <v>43</v>
      </c>
      <c r="G57" t="n">
        <v>5.3</v>
      </c>
      <c r="H57" t="n">
        <v>0.5</v>
      </c>
      <c r="I57" t="inlineStr">
        <is>
          <t>—</t>
        </is>
      </c>
      <c r="J57" t="inlineStr">
        <is>
          <t>—</t>
        </is>
      </c>
      <c r="K57" t="inlineStr">
        <is>
          <t>—</t>
        </is>
      </c>
    </row>
    <row r="58">
      <c r="A58" t="inlineStr">
        <is>
          <t xml:space="preserve">    Manufacturing</t>
        </is>
      </c>
      <c r="B58" t="inlineStr">
        <is>
          <t>31-330</t>
        </is>
      </c>
      <c r="C58" t="inlineStr">
        <is>
          <t>Summary</t>
        </is>
      </c>
      <c r="D58" t="n">
        <v>12817.2</v>
      </c>
      <c r="E58" t="n">
        <v>12816.8</v>
      </c>
      <c r="F58" t="n">
        <v>-0.4</v>
      </c>
      <c r="G58" t="n">
        <v>0</v>
      </c>
      <c r="H58" t="n">
        <v>0</v>
      </c>
      <c r="I58" t="n">
        <v>5696.8</v>
      </c>
      <c r="J58" t="n">
        <v>6486.2</v>
      </c>
      <c r="K58" t="n">
        <v>1.3</v>
      </c>
    </row>
    <row r="59">
      <c r="A59" t="inlineStr">
        <is>
          <t xml:space="preserve">      Food manufacturing</t>
        </is>
      </c>
      <c r="B59" t="inlineStr">
        <is>
          <t>311000</t>
        </is>
      </c>
      <c r="C59" t="inlineStr">
        <is>
          <t>Summary</t>
        </is>
      </c>
      <c r="D59" t="n">
        <v>1767.6</v>
      </c>
      <c r="E59" t="n">
        <v>1860.1</v>
      </c>
      <c r="F59" t="n">
        <v>92.5</v>
      </c>
      <c r="G59" t="n">
        <v>5.2</v>
      </c>
      <c r="H59" t="n">
        <v>0.5</v>
      </c>
      <c r="I59" t="n">
        <v>757.1</v>
      </c>
      <c r="J59" t="n">
        <v>910.3</v>
      </c>
      <c r="K59" t="n">
        <v>1.9</v>
      </c>
      <c r="L59" t="inlineStr">
        <is>
          <t>ISIC 10T12</t>
        </is>
      </c>
    </row>
    <row r="60">
      <c r="A60" t="inlineStr">
        <is>
          <t xml:space="preserve">        Animal food manufacturing</t>
        </is>
      </c>
      <c r="B60" t="inlineStr">
        <is>
          <t>311100</t>
        </is>
      </c>
      <c r="C60" t="inlineStr">
        <is>
          <t>Line item</t>
        </is>
      </c>
      <c r="D60" t="n">
        <v>75.40000000000001</v>
      </c>
      <c r="E60" t="n">
        <v>80.59999999999999</v>
      </c>
      <c r="F60" t="n">
        <v>5.2</v>
      </c>
      <c r="G60" t="n">
        <v>6.9</v>
      </c>
      <c r="H60" t="n">
        <v>0.7</v>
      </c>
      <c r="I60" t="n">
        <v>50.8</v>
      </c>
      <c r="J60" t="n">
        <v>60.7</v>
      </c>
      <c r="K60" t="n">
        <v>1.8</v>
      </c>
    </row>
    <row r="61">
      <c r="A61" t="inlineStr">
        <is>
          <t xml:space="preserve">        Grain and oilseed milling</t>
        </is>
      </c>
      <c r="B61" t="inlineStr">
        <is>
          <t>311200</t>
        </is>
      </c>
      <c r="C61" t="inlineStr">
        <is>
          <t>Line item</t>
        </is>
      </c>
      <c r="D61" t="n">
        <v>67.40000000000001</v>
      </c>
      <c r="E61" t="n">
        <v>67.7</v>
      </c>
      <c r="F61" t="n">
        <v>0.3</v>
      </c>
      <c r="G61" t="n">
        <v>0.5</v>
      </c>
      <c r="H61" t="n">
        <v>0</v>
      </c>
      <c r="I61" t="n">
        <v>81.2</v>
      </c>
      <c r="J61" t="n">
        <v>93.90000000000001</v>
      </c>
      <c r="K61" t="n">
        <v>1.5</v>
      </c>
    </row>
    <row r="62">
      <c r="A62" t="inlineStr">
        <is>
          <t xml:space="preserve">        Sugar and confectionery product manufacturing</t>
        </is>
      </c>
      <c r="B62" t="inlineStr">
        <is>
          <t>311300</t>
        </is>
      </c>
      <c r="C62" t="inlineStr">
        <is>
          <t>Line item</t>
        </is>
      </c>
      <c r="D62" t="n">
        <v>82.2</v>
      </c>
      <c r="E62" t="n">
        <v>84.2</v>
      </c>
      <c r="F62" t="n">
        <v>2</v>
      </c>
      <c r="G62" t="n">
        <v>2.4</v>
      </c>
      <c r="H62" t="n">
        <v>0.2</v>
      </c>
      <c r="I62" t="n">
        <v>32.6</v>
      </c>
      <c r="J62" t="n">
        <v>35.8</v>
      </c>
      <c r="K62" t="n">
        <v>0.9</v>
      </c>
    </row>
    <row r="63">
      <c r="A63" t="inlineStr">
        <is>
          <t xml:space="preserve">        Fruit and vegetable preserving and specialty food manufacturing</t>
        </is>
      </c>
      <c r="B63" t="inlineStr">
        <is>
          <t>311400</t>
        </is>
      </c>
      <c r="C63" t="inlineStr">
        <is>
          <t>Line item</t>
        </is>
      </c>
      <c r="D63" t="n">
        <v>173.8</v>
      </c>
      <c r="E63" t="n">
        <v>172.6</v>
      </c>
      <c r="F63" t="n">
        <v>-1.2</v>
      </c>
      <c r="G63" t="n">
        <v>-0.7</v>
      </c>
      <c r="H63" t="n">
        <v>-0.1</v>
      </c>
      <c r="I63" t="n">
        <v>57.1</v>
      </c>
      <c r="J63" t="n">
        <v>65.90000000000001</v>
      </c>
      <c r="K63" t="n">
        <v>1.4</v>
      </c>
    </row>
    <row r="64">
      <c r="A64" t="inlineStr">
        <is>
          <t xml:space="preserve">        Dairy product manufacturing</t>
        </is>
      </c>
      <c r="B64" t="inlineStr">
        <is>
          <t>311500</t>
        </is>
      </c>
      <c r="C64" t="inlineStr">
        <is>
          <t>Line item</t>
        </is>
      </c>
      <c r="D64" t="n">
        <v>168</v>
      </c>
      <c r="E64" t="n">
        <v>178.8</v>
      </c>
      <c r="F64" t="n">
        <v>10.8</v>
      </c>
      <c r="G64" t="n">
        <v>6.4</v>
      </c>
      <c r="H64" t="n">
        <v>0.6</v>
      </c>
      <c r="I64" t="n">
        <v>130.4</v>
      </c>
      <c r="J64" t="n">
        <v>171.1</v>
      </c>
      <c r="K64" t="n">
        <v>2.8</v>
      </c>
    </row>
    <row r="65">
      <c r="A65" t="inlineStr">
        <is>
          <t xml:space="preserve">        Animal slaughtering and processing</t>
        </is>
      </c>
      <c r="B65" t="inlineStr">
        <is>
          <t>311600</t>
        </is>
      </c>
      <c r="C65" t="inlineStr">
        <is>
          <t>Line item</t>
        </is>
      </c>
      <c r="D65" t="n">
        <v>556.4</v>
      </c>
      <c r="E65" t="n">
        <v>591.8</v>
      </c>
      <c r="F65" t="n">
        <v>35.4</v>
      </c>
      <c r="G65" t="n">
        <v>6.4</v>
      </c>
      <c r="H65" t="n">
        <v>0.6</v>
      </c>
      <c r="I65" t="n">
        <v>221.4</v>
      </c>
      <c r="J65" t="n">
        <v>265.1</v>
      </c>
      <c r="K65" t="n">
        <v>1.8</v>
      </c>
    </row>
    <row r="66">
      <c r="A66" t="inlineStr">
        <is>
          <t xml:space="preserve">        Seafood product preparation and packaging</t>
        </is>
      </c>
      <c r="B66" t="inlineStr">
        <is>
          <t>311700</t>
        </is>
      </c>
      <c r="C66" t="inlineStr">
        <is>
          <t>Line item</t>
        </is>
      </c>
      <c r="D66" t="n">
        <v>31.5</v>
      </c>
      <c r="E66" t="n">
        <v>30.7</v>
      </c>
      <c r="F66" t="n">
        <v>-0.8</v>
      </c>
      <c r="G66" t="n">
        <v>-2.5</v>
      </c>
      <c r="H66" t="n">
        <v>-0.3</v>
      </c>
      <c r="I66" t="n">
        <v>12.2</v>
      </c>
      <c r="J66" t="n">
        <v>14</v>
      </c>
      <c r="K66" t="n">
        <v>1.3</v>
      </c>
    </row>
    <row r="67">
      <c r="A67" t="inlineStr">
        <is>
          <t xml:space="preserve">        Bakeries and tortilla manufacturing</t>
        </is>
      </c>
      <c r="B67" t="inlineStr">
        <is>
          <t>311800</t>
        </is>
      </c>
      <c r="C67" t="inlineStr">
        <is>
          <t>Line item</t>
        </is>
      </c>
      <c r="D67" t="n">
        <v>350.4</v>
      </c>
      <c r="E67" t="n">
        <v>369.2</v>
      </c>
      <c r="F67" t="n">
        <v>18.8</v>
      </c>
      <c r="G67" t="n">
        <v>5.4</v>
      </c>
      <c r="H67" t="n">
        <v>0.5</v>
      </c>
      <c r="I67" t="n">
        <v>62.1</v>
      </c>
      <c r="J67" t="n">
        <v>74.40000000000001</v>
      </c>
      <c r="K67" t="n">
        <v>1.8</v>
      </c>
    </row>
    <row r="68">
      <c r="A68" t="inlineStr">
        <is>
          <t xml:space="preserve">        Other food manufacturing</t>
        </is>
      </c>
      <c r="B68" t="inlineStr">
        <is>
          <t>311900</t>
        </is>
      </c>
      <c r="C68" t="inlineStr">
        <is>
          <t>Line item</t>
        </is>
      </c>
      <c r="D68" t="n">
        <v>262.5</v>
      </c>
      <c r="E68" t="n">
        <v>284.4</v>
      </c>
      <c r="F68" t="n">
        <v>21.9</v>
      </c>
      <c r="G68" t="n">
        <v>8.4</v>
      </c>
      <c r="H68" t="n">
        <v>0.8</v>
      </c>
      <c r="I68" t="n">
        <v>109</v>
      </c>
      <c r="J68" t="n">
        <v>131</v>
      </c>
      <c r="K68" t="n">
        <v>1.9</v>
      </c>
    </row>
    <row r="69">
      <c r="A69" t="inlineStr">
        <is>
          <t xml:space="preserve">      Beverage and tobacco product manufacturing</t>
        </is>
      </c>
      <c r="B69" t="inlineStr">
        <is>
          <t>312000</t>
        </is>
      </c>
      <c r="C69" t="inlineStr">
        <is>
          <t>Summary</t>
        </is>
      </c>
      <c r="D69" t="n">
        <v>343.4</v>
      </c>
      <c r="E69" t="n">
        <v>379.7</v>
      </c>
      <c r="F69" t="n">
        <v>36.3</v>
      </c>
      <c r="G69" t="n">
        <v>10.6</v>
      </c>
      <c r="H69" t="n">
        <v>1</v>
      </c>
      <c r="I69" t="n">
        <v>181.9</v>
      </c>
      <c r="J69" t="n">
        <v>203</v>
      </c>
      <c r="K69" t="n">
        <v>1.1</v>
      </c>
      <c r="L69" t="inlineStr">
        <is>
          <t>ISIC 10T12</t>
        </is>
      </c>
    </row>
    <row r="70">
      <c r="A70" t="inlineStr">
        <is>
          <t xml:space="preserve">        Beverage manufacturing</t>
        </is>
      </c>
      <c r="B70" t="inlineStr">
        <is>
          <t>312100</t>
        </is>
      </c>
      <c r="C70" t="inlineStr">
        <is>
          <t>Line item</t>
        </is>
      </c>
      <c r="D70" t="n">
        <v>333</v>
      </c>
      <c r="E70" t="n">
        <v>370.8</v>
      </c>
      <c r="F70" t="n">
        <v>37.8</v>
      </c>
      <c r="G70" t="n">
        <v>11.4</v>
      </c>
      <c r="H70" t="n">
        <v>1.1</v>
      </c>
      <c r="I70" t="n">
        <v>115.7</v>
      </c>
      <c r="J70" t="n">
        <v>150.5</v>
      </c>
      <c r="K70" t="n">
        <v>2.7</v>
      </c>
    </row>
    <row r="71">
      <c r="A71" t="inlineStr">
        <is>
          <t xml:space="preserve">        Tobacco manufacturing</t>
        </is>
      </c>
      <c r="B71" t="inlineStr">
        <is>
          <t>312200</t>
        </is>
      </c>
      <c r="C71" t="inlineStr">
        <is>
          <t>Line item</t>
        </is>
      </c>
      <c r="D71" t="n">
        <v>10.4</v>
      </c>
      <c r="E71" t="n">
        <v>8.800000000000001</v>
      </c>
      <c r="F71" t="n">
        <v>-1.6</v>
      </c>
      <c r="G71" t="n">
        <v>-15</v>
      </c>
      <c r="H71" t="n">
        <v>-1.7</v>
      </c>
      <c r="I71" t="n">
        <v>65.2</v>
      </c>
      <c r="J71" t="n">
        <v>54.6</v>
      </c>
      <c r="K71" t="n">
        <v>-1.8</v>
      </c>
    </row>
    <row r="72">
      <c r="A72" t="inlineStr">
        <is>
          <t xml:space="preserve">      Textile mills</t>
        </is>
      </c>
      <c r="B72" t="inlineStr">
        <is>
          <t>313000</t>
        </is>
      </c>
      <c r="C72" t="inlineStr">
        <is>
          <t>Line item</t>
        </is>
      </c>
      <c r="D72" t="n">
        <v>86.59999999999999</v>
      </c>
      <c r="E72" t="n">
        <v>78.3</v>
      </c>
      <c r="F72" t="n">
        <v>-8.300000000000001</v>
      </c>
      <c r="G72" t="n">
        <v>-9.5</v>
      </c>
      <c r="H72" t="n">
        <v>-1</v>
      </c>
      <c r="I72" t="n">
        <v>19.4</v>
      </c>
      <c r="J72" t="n">
        <v>20</v>
      </c>
      <c r="K72" t="n">
        <v>0.3</v>
      </c>
      <c r="L72" t="inlineStr">
        <is>
          <t>ISIC 13T15</t>
        </is>
      </c>
    </row>
    <row r="73">
      <c r="A73" t="inlineStr">
        <is>
          <t xml:space="preserve">      Textile product mills</t>
        </is>
      </c>
      <c r="B73" t="inlineStr">
        <is>
          <t>314000</t>
        </is>
      </c>
      <c r="C73" t="inlineStr">
        <is>
          <t>Line item</t>
        </is>
      </c>
      <c r="D73" t="n">
        <v>99.5</v>
      </c>
      <c r="E73" t="n">
        <v>89</v>
      </c>
      <c r="F73" t="n">
        <v>-10.5</v>
      </c>
      <c r="G73" t="n">
        <v>-10.5</v>
      </c>
      <c r="H73" t="n">
        <v>-1.1</v>
      </c>
      <c r="I73" t="n">
        <v>21</v>
      </c>
      <c r="J73" t="n">
        <v>21.9</v>
      </c>
      <c r="K73" t="n">
        <v>0.4</v>
      </c>
      <c r="L73" t="inlineStr">
        <is>
          <t>ISIC 13T15</t>
        </is>
      </c>
    </row>
    <row r="74">
      <c r="A74" t="inlineStr">
        <is>
          <t xml:space="preserve">      Apparel manufacturing</t>
        </is>
      </c>
      <c r="B74" t="inlineStr">
        <is>
          <t>315000</t>
        </is>
      </c>
      <c r="C74" t="inlineStr">
        <is>
          <t>Line item</t>
        </is>
      </c>
      <c r="D74" t="n">
        <v>84.5</v>
      </c>
      <c r="E74" t="n">
        <v>58.8</v>
      </c>
      <c r="F74" t="n">
        <v>-25.7</v>
      </c>
      <c r="G74" t="n">
        <v>-30.4</v>
      </c>
      <c r="H74" t="n">
        <v>-3.6</v>
      </c>
      <c r="I74" t="n">
        <v>12.3</v>
      </c>
      <c r="J74" t="n">
        <v>10.1</v>
      </c>
      <c r="K74" t="n">
        <v>-1.9</v>
      </c>
      <c r="L74" t="inlineStr">
        <is>
          <t>ISIC 13T15</t>
        </is>
      </c>
    </row>
    <row r="75">
      <c r="A75" t="inlineStr">
        <is>
          <t xml:space="preserve">      Leather and allied product manufacturing</t>
        </is>
      </c>
      <c r="B75" t="inlineStr">
        <is>
          <t>316000</t>
        </is>
      </c>
      <c r="C75" t="inlineStr">
        <is>
          <t>Line item</t>
        </is>
      </c>
      <c r="D75" t="n">
        <v>25.1</v>
      </c>
      <c r="E75" t="n">
        <v>23.8</v>
      </c>
      <c r="F75" t="n">
        <v>-1.3</v>
      </c>
      <c r="G75" t="n">
        <v>-5.2</v>
      </c>
      <c r="H75" t="n">
        <v>-0.5</v>
      </c>
      <c r="I75" t="n">
        <v>11.9</v>
      </c>
      <c r="J75" t="n">
        <v>14.2</v>
      </c>
      <c r="K75" t="n">
        <v>1.8</v>
      </c>
      <c r="L75" t="inlineStr">
        <is>
          <t>ISIC 13T15</t>
        </is>
      </c>
    </row>
    <row r="76">
      <c r="A76" t="inlineStr">
        <is>
          <t xml:space="preserve">      Wood product manufacturing</t>
        </is>
      </c>
      <c r="B76" t="inlineStr">
        <is>
          <t>321000</t>
        </is>
      </c>
      <c r="C76" t="inlineStr">
        <is>
          <t>Summary</t>
        </is>
      </c>
      <c r="D76" t="n">
        <v>417</v>
      </c>
      <c r="E76" t="n">
        <v>417.6</v>
      </c>
      <c r="F76" t="n">
        <v>0.6</v>
      </c>
      <c r="G76" t="n">
        <v>0.1</v>
      </c>
      <c r="H76" t="n">
        <v>0</v>
      </c>
      <c r="I76" t="n">
        <v>126.5</v>
      </c>
      <c r="J76" t="n">
        <v>150.1</v>
      </c>
      <c r="K76" t="n">
        <v>1.7</v>
      </c>
      <c r="L76" t="inlineStr">
        <is>
          <t>ISIC 16</t>
        </is>
      </c>
    </row>
    <row r="77">
      <c r="A77" t="inlineStr">
        <is>
          <t xml:space="preserve">        Sawmills and wood preservation</t>
        </is>
      </c>
      <c r="B77" t="inlineStr">
        <is>
          <t>321100</t>
        </is>
      </c>
      <c r="C77" t="inlineStr">
        <is>
          <t>Line item</t>
        </is>
      </c>
      <c r="D77" t="n">
        <v>90.59999999999999</v>
      </c>
      <c r="E77" t="n">
        <v>89.2</v>
      </c>
      <c r="F77" t="n">
        <v>-1.4</v>
      </c>
      <c r="G77" t="n">
        <v>-1.6</v>
      </c>
      <c r="H77" t="n">
        <v>-0.2</v>
      </c>
      <c r="I77" t="n">
        <v>47.2</v>
      </c>
      <c r="J77" t="n">
        <v>56.4</v>
      </c>
      <c r="K77" t="n">
        <v>1.8</v>
      </c>
    </row>
    <row r="78">
      <c r="A78" t="inlineStr">
        <is>
          <t xml:space="preserve">        Veneer, plywood, and engineered wood product manufacturing</t>
        </is>
      </c>
      <c r="B78" t="inlineStr">
        <is>
          <t>321200</t>
        </is>
      </c>
      <c r="C78" t="inlineStr">
        <is>
          <t>Line item</t>
        </is>
      </c>
      <c r="D78" t="n">
        <v>82.2</v>
      </c>
      <c r="E78" t="n">
        <v>81.3</v>
      </c>
      <c r="F78" t="n">
        <v>-0.9</v>
      </c>
      <c r="G78" t="n">
        <v>-1.1</v>
      </c>
      <c r="H78" t="n">
        <v>-0.1</v>
      </c>
      <c r="I78" t="n">
        <v>24.3</v>
      </c>
      <c r="J78" t="n">
        <v>28.6</v>
      </c>
      <c r="K78" t="n">
        <v>1.7</v>
      </c>
    </row>
    <row r="79">
      <c r="A79" t="inlineStr">
        <is>
          <t xml:space="preserve">        Other wood product manufacturing</t>
        </is>
      </c>
      <c r="B79" t="inlineStr">
        <is>
          <t>321900</t>
        </is>
      </c>
      <c r="C79" t="inlineStr">
        <is>
          <t>Line item</t>
        </is>
      </c>
      <c r="D79" t="n">
        <v>244.2</v>
      </c>
      <c r="E79" t="n">
        <v>247.1</v>
      </c>
      <c r="F79" t="n">
        <v>2.9</v>
      </c>
      <c r="G79" t="n">
        <v>1.2</v>
      </c>
      <c r="H79" t="n">
        <v>0.1</v>
      </c>
      <c r="I79" t="n">
        <v>56.8</v>
      </c>
      <c r="J79" t="n">
        <v>67.3</v>
      </c>
      <c r="K79" t="n">
        <v>1.7</v>
      </c>
    </row>
    <row r="80">
      <c r="A80" t="inlineStr">
        <is>
          <t xml:space="preserve">      Paper manufacturing</t>
        </is>
      </c>
      <c r="B80" t="inlineStr">
        <is>
          <t>322000</t>
        </is>
      </c>
      <c r="C80" t="inlineStr">
        <is>
          <t>Summary</t>
        </is>
      </c>
      <c r="D80" t="n">
        <v>354.6</v>
      </c>
      <c r="E80" t="n">
        <v>328.9</v>
      </c>
      <c r="F80" t="n">
        <v>-25.7</v>
      </c>
      <c r="G80" t="n">
        <v>-7.3</v>
      </c>
      <c r="H80" t="n">
        <v>-0.7</v>
      </c>
      <c r="I80" t="n">
        <v>163</v>
      </c>
      <c r="J80" t="n">
        <v>180.2</v>
      </c>
      <c r="K80" t="n">
        <v>1</v>
      </c>
      <c r="L80" t="inlineStr">
        <is>
          <t>ISIC 17T18</t>
        </is>
      </c>
    </row>
    <row r="81">
      <c r="A81" t="inlineStr">
        <is>
          <t xml:space="preserve">        Pulp, paper, and paperboard mills</t>
        </is>
      </c>
      <c r="B81" t="inlineStr">
        <is>
          <t>322100</t>
        </is>
      </c>
      <c r="C81" t="inlineStr">
        <is>
          <t>Line item</t>
        </is>
      </c>
      <c r="D81" t="n">
        <v>84.7</v>
      </c>
      <c r="E81" t="n">
        <v>73.59999999999999</v>
      </c>
      <c r="F81" t="n">
        <v>-11.1</v>
      </c>
      <c r="G81" t="n">
        <v>-13.1</v>
      </c>
      <c r="H81" t="n">
        <v>-1.4</v>
      </c>
      <c r="I81" t="n">
        <v>63.9</v>
      </c>
      <c r="J81" t="n">
        <v>63.1</v>
      </c>
      <c r="K81" t="n">
        <v>-0.1</v>
      </c>
    </row>
    <row r="82">
      <c r="A82" t="inlineStr">
        <is>
          <t xml:space="preserve">        Converted paper product manufacturing</t>
        </is>
      </c>
      <c r="B82" t="inlineStr">
        <is>
          <t>322200</t>
        </is>
      </c>
      <c r="C82" t="inlineStr">
        <is>
          <t>Line item</t>
        </is>
      </c>
      <c r="D82" t="n">
        <v>269.9</v>
      </c>
      <c r="E82" t="n">
        <v>255.3</v>
      </c>
      <c r="F82" t="n">
        <v>-14.6</v>
      </c>
      <c r="G82" t="n">
        <v>-5.4</v>
      </c>
      <c r="H82" t="n">
        <v>-0.6</v>
      </c>
      <c r="I82" t="n">
        <v>99</v>
      </c>
      <c r="J82" t="n">
        <v>116.9</v>
      </c>
      <c r="K82" t="n">
        <v>1.7</v>
      </c>
    </row>
    <row r="83">
      <c r="A83" t="inlineStr">
        <is>
          <t xml:space="preserve">      Printing and related support activities</t>
        </is>
      </c>
      <c r="B83" t="inlineStr">
        <is>
          <t>323000</t>
        </is>
      </c>
      <c r="C83" t="inlineStr">
        <is>
          <t>Line item</t>
        </is>
      </c>
      <c r="D83" t="n">
        <v>357.2</v>
      </c>
      <c r="E83" t="n">
        <v>301.9</v>
      </c>
      <c r="F83" t="n">
        <v>-55.3</v>
      </c>
      <c r="G83" t="n">
        <v>-15.5</v>
      </c>
      <c r="H83" t="n">
        <v>-1.7</v>
      </c>
      <c r="I83" t="n">
        <v>67</v>
      </c>
      <c r="J83" t="n">
        <v>71.09999999999999</v>
      </c>
      <c r="K83" t="n">
        <v>0.6</v>
      </c>
      <c r="L83" t="inlineStr">
        <is>
          <t>ISIC 17T18</t>
        </is>
      </c>
    </row>
    <row r="84">
      <c r="A84" t="inlineStr">
        <is>
          <t xml:space="preserve">      Petroleum and coal products manufacturing</t>
        </is>
      </c>
      <c r="B84" t="inlineStr">
        <is>
          <t>324000</t>
        </is>
      </c>
      <c r="C84" t="inlineStr">
        <is>
          <t>Line item</t>
        </is>
      </c>
      <c r="D84" t="n">
        <v>109.4</v>
      </c>
      <c r="E84" t="n">
        <v>106.2</v>
      </c>
      <c r="F84" t="n">
        <v>-3.2</v>
      </c>
      <c r="G84" t="n">
        <v>-3</v>
      </c>
      <c r="H84" t="n">
        <v>-0.3</v>
      </c>
      <c r="I84" t="n">
        <v>483.5</v>
      </c>
      <c r="J84" t="n">
        <v>535</v>
      </c>
      <c r="K84" t="n">
        <v>1</v>
      </c>
      <c r="L84" t="inlineStr">
        <is>
          <t>ISIC 19</t>
        </is>
      </c>
    </row>
    <row r="85">
      <c r="A85" t="inlineStr">
        <is>
          <t xml:space="preserve">      Chemical manufacturing</t>
        </is>
      </c>
      <c r="B85" t="inlineStr">
        <is>
          <t>325000</t>
        </is>
      </c>
      <c r="C85" t="inlineStr">
        <is>
          <t>Summary</t>
        </is>
      </c>
      <c r="D85" t="n">
        <v>897.9</v>
      </c>
      <c r="E85" t="n">
        <v>928.9</v>
      </c>
      <c r="F85" t="n">
        <v>31</v>
      </c>
      <c r="G85" t="n">
        <v>3.5</v>
      </c>
      <c r="H85" t="n">
        <v>0.3</v>
      </c>
      <c r="I85" t="n">
        <v>849.6</v>
      </c>
      <c r="J85" t="n">
        <v>1004</v>
      </c>
      <c r="K85" t="n">
        <v>1.7</v>
      </c>
    </row>
    <row r="86">
      <c r="A86" t="inlineStr">
        <is>
          <t xml:space="preserve">        Chemical manufacturing (3251,2,3,9)</t>
        </is>
      </c>
      <c r="B86" t="inlineStr">
        <is>
          <t>3250A1</t>
        </is>
      </c>
      <c r="C86" t="inlineStr">
        <is>
          <t>Line item</t>
        </is>
      </c>
      <c r="D86" t="n">
        <v>368.7</v>
      </c>
      <c r="E86" t="n">
        <v>376.7</v>
      </c>
      <c r="F86" t="n">
        <v>8</v>
      </c>
      <c r="G86" t="n">
        <v>2.2</v>
      </c>
      <c r="H86" t="n">
        <v>0.2</v>
      </c>
      <c r="I86" t="n">
        <v>390.8</v>
      </c>
      <c r="J86" t="n">
        <v>431.5</v>
      </c>
      <c r="K86" t="n">
        <v>1</v>
      </c>
      <c r="L86" t="inlineStr">
        <is>
          <t>ISIC 20</t>
        </is>
      </c>
    </row>
    <row r="87">
      <c r="A87" t="inlineStr">
        <is>
          <t xml:space="preserve">        Chemical manufacturing (3255,6)</t>
        </is>
      </c>
      <c r="B87" t="inlineStr">
        <is>
          <t>3250A2</t>
        </is>
      </c>
      <c r="C87" t="inlineStr">
        <is>
          <t>Line item</t>
        </is>
      </c>
      <c r="D87" t="n">
        <v>178.7</v>
      </c>
      <c r="E87" t="n">
        <v>182.7</v>
      </c>
      <c r="F87" t="n">
        <v>4</v>
      </c>
      <c r="G87" t="n">
        <v>2.3</v>
      </c>
      <c r="H87" t="n">
        <v>0.2</v>
      </c>
      <c r="I87" t="n">
        <v>114.5</v>
      </c>
      <c r="J87" t="n">
        <v>139.5</v>
      </c>
      <c r="K87" t="n">
        <v>2</v>
      </c>
      <c r="L87" t="inlineStr">
        <is>
          <t>ISIC 20</t>
        </is>
      </c>
    </row>
    <row r="88">
      <c r="A88" t="inlineStr">
        <is>
          <t xml:space="preserve">        Pharmaceutical and medicine manufacturing</t>
        </is>
      </c>
      <c r="B88" t="inlineStr">
        <is>
          <t>325400</t>
        </is>
      </c>
      <c r="C88" t="inlineStr">
        <is>
          <t>Line item</t>
        </is>
      </c>
      <c r="D88" t="n">
        <v>350.5</v>
      </c>
      <c r="E88" t="n">
        <v>369.5</v>
      </c>
      <c r="F88" t="n">
        <v>19</v>
      </c>
      <c r="G88" t="n">
        <v>5.4</v>
      </c>
      <c r="H88" t="n">
        <v>0.5</v>
      </c>
      <c r="I88" t="n">
        <v>346.7</v>
      </c>
      <c r="J88" t="n">
        <v>438.5</v>
      </c>
      <c r="K88" t="n">
        <v>2.4</v>
      </c>
      <c r="L88" t="inlineStr">
        <is>
          <t>ISIC 21</t>
        </is>
      </c>
    </row>
    <row r="89">
      <c r="A89" t="inlineStr">
        <is>
          <t xml:space="preserve">      Plastics and rubber products manufacturing</t>
        </is>
      </c>
      <c r="B89" t="inlineStr">
        <is>
          <t>326000</t>
        </is>
      </c>
      <c r="C89" t="inlineStr">
        <is>
          <t>Summary</t>
        </is>
      </c>
      <c r="D89" t="n">
        <v>725.1</v>
      </c>
      <c r="E89" t="n">
        <v>753.4</v>
      </c>
      <c r="F89" t="n">
        <v>28.3</v>
      </c>
      <c r="G89" t="n">
        <v>3.9</v>
      </c>
      <c r="H89" t="n">
        <v>0.4</v>
      </c>
      <c r="I89" t="n">
        <v>229.7</v>
      </c>
      <c r="J89" t="n">
        <v>252.1</v>
      </c>
      <c r="K89" t="n">
        <v>0.9</v>
      </c>
      <c r="L89" t="inlineStr">
        <is>
          <t>ISIC 22</t>
        </is>
      </c>
    </row>
    <row r="90">
      <c r="A90" t="inlineStr">
        <is>
          <t xml:space="preserve">        Plastics product manufacturing</t>
        </is>
      </c>
      <c r="B90" t="inlineStr">
        <is>
          <t>326100</t>
        </is>
      </c>
      <c r="C90" t="inlineStr">
        <is>
          <t>Line item</t>
        </is>
      </c>
      <c r="D90" t="n">
        <v>592.5</v>
      </c>
      <c r="E90" t="n">
        <v>618.8</v>
      </c>
      <c r="F90" t="n">
        <v>26.3</v>
      </c>
      <c r="G90" t="n">
        <v>4.4</v>
      </c>
      <c r="H90" t="n">
        <v>0.4</v>
      </c>
      <c r="I90" t="n">
        <v>190.7</v>
      </c>
      <c r="J90" t="n">
        <v>212.4</v>
      </c>
      <c r="K90" t="n">
        <v>1.1</v>
      </c>
    </row>
    <row r="91">
      <c r="A91" t="inlineStr">
        <is>
          <t xml:space="preserve">        Rubber product manufacturing</t>
        </is>
      </c>
      <c r="B91" t="inlineStr">
        <is>
          <t>326200</t>
        </is>
      </c>
      <c r="C91" t="inlineStr">
        <is>
          <t>Line item</t>
        </is>
      </c>
      <c r="D91" t="n">
        <v>132.6</v>
      </c>
      <c r="E91" t="n">
        <v>134.6</v>
      </c>
      <c r="F91" t="n">
        <v>2</v>
      </c>
      <c r="G91" t="n">
        <v>1.5</v>
      </c>
      <c r="H91" t="n">
        <v>0.1</v>
      </c>
      <c r="I91" t="n">
        <v>39.1</v>
      </c>
      <c r="J91" t="n">
        <v>39.7</v>
      </c>
      <c r="K91" t="n">
        <v>0.2</v>
      </c>
    </row>
    <row r="92">
      <c r="A92" t="inlineStr">
        <is>
          <t xml:space="preserve">      Nonmetallic mineral product manufacturing</t>
        </is>
      </c>
      <c r="B92" t="inlineStr">
        <is>
          <t>327000</t>
        </is>
      </c>
      <c r="C92" t="inlineStr">
        <is>
          <t>Line item</t>
        </is>
      </c>
      <c r="D92" t="n">
        <v>422.3</v>
      </c>
      <c r="E92" t="n">
        <v>429</v>
      </c>
      <c r="F92" t="n">
        <v>6.7</v>
      </c>
      <c r="G92" t="n">
        <v>1.6</v>
      </c>
      <c r="H92" t="n">
        <v>0.2</v>
      </c>
      <c r="I92" t="n">
        <v>113.5</v>
      </c>
      <c r="J92" t="n">
        <v>132.3</v>
      </c>
      <c r="K92" t="n">
        <v>1.5</v>
      </c>
      <c r="L92" t="inlineStr">
        <is>
          <t>ISIC 239</t>
        </is>
      </c>
    </row>
    <row r="93">
      <c r="A93" t="inlineStr">
        <is>
          <t xml:space="preserve">      Primary metal manufacturing</t>
        </is>
      </c>
      <c r="B93" t="inlineStr">
        <is>
          <t>331000</t>
        </is>
      </c>
      <c r="C93" t="inlineStr">
        <is>
          <t>Summary</t>
        </is>
      </c>
      <c r="D93" t="n">
        <v>373.2</v>
      </c>
      <c r="E93" t="n">
        <v>360.2</v>
      </c>
      <c r="F93" t="n">
        <v>-13</v>
      </c>
      <c r="G93" t="n">
        <v>-3.5</v>
      </c>
      <c r="H93" t="n">
        <v>-0.4</v>
      </c>
      <c r="I93" t="n">
        <v>246.6</v>
      </c>
      <c r="J93" t="n">
        <v>287.3</v>
      </c>
      <c r="K93" t="n">
        <v>1.5</v>
      </c>
    </row>
    <row r="94">
      <c r="A94" t="inlineStr">
        <is>
          <t xml:space="preserve">        Iron and steel mills and ferroalloy manufacturing</t>
        </is>
      </c>
      <c r="B94" t="inlineStr">
        <is>
          <t>331100</t>
        </is>
      </c>
      <c r="C94" t="inlineStr">
        <is>
          <t>Line item</t>
        </is>
      </c>
      <c r="D94" t="n">
        <v>85.59999999999999</v>
      </c>
      <c r="E94" t="n">
        <v>86.90000000000001</v>
      </c>
      <c r="F94" t="n">
        <v>1.3</v>
      </c>
      <c r="G94" t="n">
        <v>1.5</v>
      </c>
      <c r="H94" t="n">
        <v>0.2</v>
      </c>
      <c r="I94" t="n">
        <v>103.9</v>
      </c>
      <c r="J94" t="n">
        <v>124.3</v>
      </c>
      <c r="K94" t="n">
        <v>1.8</v>
      </c>
      <c r="L94" t="inlineStr">
        <is>
          <t>ISIC 241</t>
        </is>
      </c>
    </row>
    <row r="95">
      <c r="A95" t="inlineStr">
        <is>
          <t xml:space="preserve">        Steel product manufacturing from purchased steel</t>
        </is>
      </c>
      <c r="B95" t="inlineStr">
        <is>
          <t>331200</t>
        </is>
      </c>
      <c r="C95" t="inlineStr">
        <is>
          <t>Line item</t>
        </is>
      </c>
      <c r="D95" t="n">
        <v>59.8</v>
      </c>
      <c r="E95" t="n">
        <v>60.9</v>
      </c>
      <c r="F95" t="n">
        <v>1.1</v>
      </c>
      <c r="G95" t="n">
        <v>1.9</v>
      </c>
      <c r="H95" t="n">
        <v>0.2</v>
      </c>
      <c r="I95" t="n">
        <v>25.6</v>
      </c>
      <c r="J95" t="n">
        <v>30.9</v>
      </c>
      <c r="K95" t="n">
        <v>1.9</v>
      </c>
      <c r="L95" t="inlineStr">
        <is>
          <t>ISIC 241</t>
        </is>
      </c>
    </row>
    <row r="96">
      <c r="A96" t="inlineStr">
        <is>
          <t xml:space="preserve">        Alumina and aluminum production and processing</t>
        </is>
      </c>
      <c r="B96" t="inlineStr">
        <is>
          <t>331300</t>
        </is>
      </c>
      <c r="C96" t="inlineStr">
        <is>
          <t>Line item</t>
        </is>
      </c>
      <c r="D96" t="n">
        <v>59.3</v>
      </c>
      <c r="E96" t="n">
        <v>58.4</v>
      </c>
      <c r="F96" t="n">
        <v>-0.9</v>
      </c>
      <c r="G96" t="n">
        <v>-1.5</v>
      </c>
      <c r="H96" t="n">
        <v>-0.2</v>
      </c>
      <c r="I96" t="n">
        <v>38.1</v>
      </c>
      <c r="J96" t="n">
        <v>39.9</v>
      </c>
      <c r="K96" t="n">
        <v>0.5</v>
      </c>
      <c r="L96" t="inlineStr">
        <is>
          <t>ISIC 242</t>
        </is>
      </c>
    </row>
    <row r="97">
      <c r="A97" t="inlineStr">
        <is>
          <t xml:space="preserve">        Nonferrous metal (except aluminum) production and processing</t>
        </is>
      </c>
      <c r="B97" t="inlineStr">
        <is>
          <t>331400</t>
        </is>
      </c>
      <c r="C97" t="inlineStr">
        <is>
          <t>Line item</t>
        </is>
      </c>
      <c r="D97" t="n">
        <v>62.5</v>
      </c>
      <c r="E97" t="n">
        <v>63.6</v>
      </c>
      <c r="F97" t="n">
        <v>1.1</v>
      </c>
      <c r="G97" t="n">
        <v>1.8</v>
      </c>
      <c r="H97" t="n">
        <v>0.2</v>
      </c>
      <c r="I97" t="n">
        <v>50.3</v>
      </c>
      <c r="J97" t="n">
        <v>64.09999999999999</v>
      </c>
      <c r="K97" t="n">
        <v>2.4</v>
      </c>
      <c r="L97" t="inlineStr">
        <is>
          <t>ISIC 242</t>
        </is>
      </c>
    </row>
    <row r="98">
      <c r="A98" t="inlineStr">
        <is>
          <t xml:space="preserve">        Foundries</t>
        </is>
      </c>
      <c r="B98" t="inlineStr">
        <is>
          <t>331500</t>
        </is>
      </c>
      <c r="C98" t="inlineStr">
        <is>
          <t>Line item</t>
        </is>
      </c>
      <c r="D98" t="n">
        <v>106</v>
      </c>
      <c r="E98" t="n">
        <v>90.40000000000001</v>
      </c>
      <c r="F98" t="n">
        <v>-15.6</v>
      </c>
      <c r="G98" t="n">
        <v>-14.7</v>
      </c>
      <c r="H98" t="n">
        <v>-1.6</v>
      </c>
      <c r="I98" t="n">
        <v>26.9</v>
      </c>
      <c r="J98" t="n">
        <v>24.8</v>
      </c>
      <c r="K98" t="n">
        <v>-0.8</v>
      </c>
    </row>
    <row r="99">
      <c r="A99" t="inlineStr">
        <is>
          <t xml:space="preserve">      Fabricated metal product manufacturing</t>
        </is>
      </c>
      <c r="B99" t="inlineStr">
        <is>
          <t>332000</t>
        </is>
      </c>
      <c r="C99" t="inlineStr">
        <is>
          <t>Summary</t>
        </is>
      </c>
      <c r="D99" t="n">
        <v>1442.1</v>
      </c>
      <c r="E99" t="n">
        <v>1385.3</v>
      </c>
      <c r="F99" t="n">
        <v>-56.8</v>
      </c>
      <c r="G99" t="n">
        <v>-3.9</v>
      </c>
      <c r="H99" t="n">
        <v>-0.4</v>
      </c>
      <c r="I99" t="n">
        <v>303.5</v>
      </c>
      <c r="J99" t="n">
        <v>329.5</v>
      </c>
      <c r="K99" t="n">
        <v>0.8</v>
      </c>
      <c r="L99" t="inlineStr">
        <is>
          <t>ISIC 25</t>
        </is>
      </c>
    </row>
    <row r="100">
      <c r="A100" t="inlineStr">
        <is>
          <t xml:space="preserve">        Fabricated metal product manufacturing (3321,2,5,6,9)</t>
        </is>
      </c>
      <c r="B100" t="inlineStr">
        <is>
          <t>3320A1</t>
        </is>
      </c>
      <c r="C100" t="inlineStr">
        <is>
          <t>Line item</t>
        </is>
      </c>
      <c r="D100" t="n">
        <v>467.8</v>
      </c>
      <c r="E100" t="n">
        <v>423.2</v>
      </c>
      <c r="F100" t="n">
        <v>-44.6</v>
      </c>
      <c r="G100" t="n">
        <v>-9.5</v>
      </c>
      <c r="H100" t="n">
        <v>-1</v>
      </c>
      <c r="I100" t="n">
        <v>123.8</v>
      </c>
      <c r="J100" t="n">
        <v>129.6</v>
      </c>
      <c r="K100" t="n">
        <v>0.5</v>
      </c>
    </row>
    <row r="101">
      <c r="A101" t="inlineStr">
        <is>
          <t xml:space="preserve">        Fabricated metal product manufacturing (3323,4)</t>
        </is>
      </c>
      <c r="B101" t="inlineStr">
        <is>
          <t>3320A2</t>
        </is>
      </c>
      <c r="C101" t="inlineStr">
        <is>
          <t>Line item</t>
        </is>
      </c>
      <c r="D101" t="n">
        <v>511.5</v>
      </c>
      <c r="E101" t="n">
        <v>526.3</v>
      </c>
      <c r="F101" t="n">
        <v>14.8</v>
      </c>
      <c r="G101" t="n">
        <v>2.9</v>
      </c>
      <c r="H101" t="n">
        <v>0.3</v>
      </c>
      <c r="I101" t="n">
        <v>97.40000000000001</v>
      </c>
      <c r="J101" t="n">
        <v>109.1</v>
      </c>
      <c r="K101" t="n">
        <v>1.1</v>
      </c>
    </row>
    <row r="102">
      <c r="A102" t="inlineStr">
        <is>
          <t xml:space="preserve">        Machine shops; turned product; and screw, nut, and bolt manufacturing</t>
        </is>
      </c>
      <c r="B102" t="inlineStr">
        <is>
          <t>332700</t>
        </is>
      </c>
      <c r="C102" t="inlineStr">
        <is>
          <t>Summary</t>
        </is>
      </c>
      <c r="D102" t="n">
        <v>333.2</v>
      </c>
      <c r="E102" t="n">
        <v>319.8</v>
      </c>
      <c r="F102" t="n">
        <v>-13.4</v>
      </c>
      <c r="G102" t="n">
        <v>-4</v>
      </c>
      <c r="H102" t="n">
        <v>-0.4</v>
      </c>
      <c r="I102" t="n">
        <v>59.1</v>
      </c>
      <c r="J102" t="n">
        <v>65.90000000000001</v>
      </c>
      <c r="K102" t="n">
        <v>1.1</v>
      </c>
    </row>
    <row r="103">
      <c r="A103" t="inlineStr">
        <is>
          <t xml:space="preserve">          Machine shops</t>
        </is>
      </c>
      <c r="B103" t="inlineStr">
        <is>
          <t>332710</t>
        </is>
      </c>
      <c r="C103" t="inlineStr">
        <is>
          <t>Line item</t>
        </is>
      </c>
      <c r="D103" t="n">
        <v>259</v>
      </c>
      <c r="E103" t="n">
        <v>260.1</v>
      </c>
      <c r="F103" t="n">
        <v>1.1</v>
      </c>
      <c r="G103" t="n">
        <v>0.4</v>
      </c>
      <c r="H103" t="n">
        <v>0</v>
      </c>
      <c r="I103" t="n">
        <v>37.1</v>
      </c>
      <c r="J103" t="n">
        <v>41.3</v>
      </c>
      <c r="K103" t="n">
        <v>1.1</v>
      </c>
    </row>
    <row r="104">
      <c r="A104" t="inlineStr">
        <is>
          <t xml:space="preserve">          Turned product and screw, nut, and bolt manufacturing</t>
        </is>
      </c>
      <c r="B104" t="inlineStr">
        <is>
          <t>332720</t>
        </is>
      </c>
      <c r="C104" t="inlineStr">
        <is>
          <t>Line item</t>
        </is>
      </c>
      <c r="D104" t="n">
        <v>74.2</v>
      </c>
      <c r="E104" t="n">
        <v>59.8</v>
      </c>
      <c r="F104" t="n">
        <v>-14.4</v>
      </c>
      <c r="G104" t="n">
        <v>-19.5</v>
      </c>
      <c r="H104" t="n">
        <v>-2.1</v>
      </c>
      <c r="I104" t="n">
        <v>22.2</v>
      </c>
      <c r="J104" t="n">
        <v>24.7</v>
      </c>
      <c r="K104" t="n">
        <v>1.1</v>
      </c>
    </row>
    <row r="105">
      <c r="A105" t="inlineStr">
        <is>
          <t xml:space="preserve">        Coating, engraving, heat treating, and allied activities</t>
        </is>
      </c>
      <c r="B105" t="inlineStr">
        <is>
          <t>332800</t>
        </is>
      </c>
      <c r="C105" t="inlineStr">
        <is>
          <t>Line item</t>
        </is>
      </c>
      <c r="D105" t="n">
        <v>129.6</v>
      </c>
      <c r="E105" t="n">
        <v>115.9</v>
      </c>
      <c r="F105" t="n">
        <v>-13.7</v>
      </c>
      <c r="G105" t="n">
        <v>-10.6</v>
      </c>
      <c r="H105" t="n">
        <v>-1.1</v>
      </c>
      <c r="I105" t="n">
        <v>25.1</v>
      </c>
      <c r="J105" t="n">
        <v>26.1</v>
      </c>
      <c r="K105" t="n">
        <v>0.4</v>
      </c>
    </row>
    <row r="106">
      <c r="A106" t="inlineStr">
        <is>
          <t xml:space="preserve">      Machinery manufacturing</t>
        </is>
      </c>
      <c r="B106" t="inlineStr">
        <is>
          <t>333000</t>
        </is>
      </c>
      <c r="C106" t="inlineStr">
        <is>
          <t>Summary</t>
        </is>
      </c>
      <c r="D106" t="n">
        <v>1118.8</v>
      </c>
      <c r="E106" t="n">
        <v>1108.2</v>
      </c>
      <c r="F106" t="n">
        <v>-10.6</v>
      </c>
      <c r="G106" t="n">
        <v>-0.9</v>
      </c>
      <c r="H106" t="n">
        <v>-0.1</v>
      </c>
      <c r="I106" t="n">
        <v>330.1</v>
      </c>
      <c r="J106" t="n">
        <v>366.9</v>
      </c>
      <c r="K106" t="n">
        <v>1.1</v>
      </c>
      <c r="L106" t="inlineStr">
        <is>
          <t>ISIC 28</t>
        </is>
      </c>
    </row>
    <row r="107">
      <c r="A107" t="inlineStr">
        <is>
          <t xml:space="preserve">        Machinery manufacturing (3331,2,4,9)</t>
        </is>
      </c>
      <c r="B107" t="inlineStr">
        <is>
          <t>3330A1</t>
        </is>
      </c>
      <c r="C107" t="inlineStr">
        <is>
          <t>Line item</t>
        </is>
      </c>
      <c r="D107" t="n">
        <v>780.2</v>
      </c>
      <c r="E107" t="n">
        <v>782.8</v>
      </c>
      <c r="F107" t="n">
        <v>2.6</v>
      </c>
      <c r="G107" t="n">
        <v>0.3</v>
      </c>
      <c r="H107" t="n">
        <v>0</v>
      </c>
      <c r="I107" t="n">
        <v>241.2</v>
      </c>
      <c r="J107" t="n">
        <v>266.8</v>
      </c>
      <c r="K107" t="n">
        <v>1</v>
      </c>
    </row>
    <row r="108">
      <c r="A108" t="inlineStr">
        <is>
          <t xml:space="preserve">        Commercial and service industry machinery manufacturing</t>
        </is>
      </c>
      <c r="B108" t="inlineStr">
        <is>
          <t>333300</t>
        </is>
      </c>
      <c r="C108" t="inlineStr">
        <is>
          <t>Line item</t>
        </is>
      </c>
      <c r="D108" t="n">
        <v>88.7</v>
      </c>
      <c r="E108" t="n">
        <v>89.59999999999999</v>
      </c>
      <c r="F108" t="n">
        <v>0.9</v>
      </c>
      <c r="G108" t="n">
        <v>1</v>
      </c>
      <c r="H108" t="n">
        <v>0.1</v>
      </c>
      <c r="I108" t="n">
        <v>23.5</v>
      </c>
      <c r="J108" t="n">
        <v>26.4</v>
      </c>
      <c r="K108" t="n">
        <v>1.2</v>
      </c>
    </row>
    <row r="109">
      <c r="A109" t="inlineStr">
        <is>
          <t xml:space="preserve">        Metalworking machinery manufacturing</t>
        </is>
      </c>
      <c r="B109" t="inlineStr">
        <is>
          <t>333500</t>
        </is>
      </c>
      <c r="C109" t="inlineStr">
        <is>
          <t>Line item</t>
        </is>
      </c>
      <c r="D109" t="n">
        <v>157.1</v>
      </c>
      <c r="E109" t="n">
        <v>147.4</v>
      </c>
      <c r="F109" t="n">
        <v>-9.699999999999999</v>
      </c>
      <c r="G109" t="n">
        <v>-6.2</v>
      </c>
      <c r="H109" t="n">
        <v>-0.6</v>
      </c>
      <c r="I109" t="n">
        <v>27.3</v>
      </c>
      <c r="J109" t="n">
        <v>30.6</v>
      </c>
      <c r="K109" t="n">
        <v>1.1</v>
      </c>
    </row>
    <row r="110">
      <c r="A110" t="inlineStr">
        <is>
          <t xml:space="preserve">        Engine, turbine, and power transmission equipment manufacturing</t>
        </is>
      </c>
      <c r="B110" t="inlineStr">
        <is>
          <t>333600</t>
        </is>
      </c>
      <c r="C110" t="inlineStr">
        <is>
          <t>Line item</t>
        </is>
      </c>
      <c r="D110" t="n">
        <v>92.8</v>
      </c>
      <c r="E110" t="n">
        <v>88.40000000000001</v>
      </c>
      <c r="F110" t="n">
        <v>-4.4</v>
      </c>
      <c r="G110" t="n">
        <v>-4.8</v>
      </c>
      <c r="H110" t="n">
        <v>-0.5</v>
      </c>
      <c r="I110" t="n">
        <v>38</v>
      </c>
      <c r="J110" t="n">
        <v>43.1</v>
      </c>
      <c r="K110" t="n">
        <v>1.3</v>
      </c>
    </row>
    <row r="111">
      <c r="A111" t="inlineStr">
        <is>
          <t xml:space="preserve">      Computer and electronic product manufacturing</t>
        </is>
      </c>
      <c r="B111" t="inlineStr">
        <is>
          <t>334000</t>
        </is>
      </c>
      <c r="C111" t="inlineStr">
        <is>
          <t>Summary</t>
        </is>
      </c>
      <c r="D111" t="n">
        <v>1027.7</v>
      </c>
      <c r="E111" t="n">
        <v>1077.3</v>
      </c>
      <c r="F111" t="n">
        <v>49.6</v>
      </c>
      <c r="G111" t="n">
        <v>4.8</v>
      </c>
      <c r="H111" t="n">
        <v>0.5</v>
      </c>
      <c r="I111" t="n">
        <v>391.5</v>
      </c>
      <c r="J111" t="n">
        <v>488.4</v>
      </c>
      <c r="K111" t="n">
        <v>2.2</v>
      </c>
      <c r="L111" t="inlineStr">
        <is>
          <t>ISIC 26</t>
        </is>
      </c>
    </row>
    <row r="112">
      <c r="A112" t="inlineStr">
        <is>
          <t xml:space="preserve">        Computer and peripheral equipment manufacturing</t>
        </is>
      </c>
      <c r="B112" t="inlineStr">
        <is>
          <t>334100</t>
        </is>
      </c>
      <c r="C112" t="inlineStr">
        <is>
          <t>Line item</t>
        </is>
      </c>
      <c r="D112" t="n">
        <v>110.3</v>
      </c>
      <c r="E112" t="n">
        <v>111.8</v>
      </c>
      <c r="F112" t="n">
        <v>1.5</v>
      </c>
      <c r="G112" t="n">
        <v>1.4</v>
      </c>
      <c r="H112" t="n">
        <v>0.1</v>
      </c>
      <c r="I112" t="n">
        <v>43.5</v>
      </c>
      <c r="J112" t="n">
        <v>51</v>
      </c>
      <c r="K112" t="n">
        <v>1.6</v>
      </c>
    </row>
    <row r="113">
      <c r="A113" t="inlineStr">
        <is>
          <t xml:space="preserve">        Communications equipment manufacturing</t>
        </is>
      </c>
      <c r="B113" t="inlineStr">
        <is>
          <t>334200</t>
        </is>
      </c>
      <c r="C113" t="inlineStr">
        <is>
          <t>Line item</t>
        </is>
      </c>
      <c r="D113" t="n">
        <v>83</v>
      </c>
      <c r="E113" t="n">
        <v>77.5</v>
      </c>
      <c r="F113" t="n">
        <v>-5.5</v>
      </c>
      <c r="G113" t="n">
        <v>-6.6</v>
      </c>
      <c r="H113" t="n">
        <v>-0.7</v>
      </c>
      <c r="I113" t="n">
        <v>54.5</v>
      </c>
      <c r="J113" t="n">
        <v>66.5</v>
      </c>
      <c r="K113" t="n">
        <v>2</v>
      </c>
    </row>
    <row r="114">
      <c r="A114" t="inlineStr">
        <is>
          <t xml:space="preserve">        Audio and video equipment manufacturing</t>
        </is>
      </c>
      <c r="B114" t="inlineStr">
        <is>
          <t>334300</t>
        </is>
      </c>
      <c r="C114" t="inlineStr">
        <is>
          <t>Line item</t>
        </is>
      </c>
      <c r="D114" t="n">
        <v>19.1</v>
      </c>
      <c r="E114" t="n">
        <v>18.4</v>
      </c>
      <c r="F114" t="n">
        <v>-0.7</v>
      </c>
      <c r="G114" t="n">
        <v>-3.6</v>
      </c>
      <c r="H114" t="n">
        <v>-0.4</v>
      </c>
      <c r="I114" t="n">
        <v>4.2</v>
      </c>
      <c r="J114" t="n">
        <v>5.1</v>
      </c>
      <c r="K114" t="n">
        <v>2</v>
      </c>
    </row>
    <row r="115">
      <c r="A115" t="inlineStr">
        <is>
          <t xml:space="preserve">        Semiconductor and other electronic component manufacturing</t>
        </is>
      </c>
      <c r="B115" t="inlineStr">
        <is>
          <t>334400</t>
        </is>
      </c>
      <c r="C115" t="inlineStr">
        <is>
          <t>Line item</t>
        </is>
      </c>
      <c r="D115" t="n">
        <v>392.3</v>
      </c>
      <c r="E115" t="n">
        <v>436.8</v>
      </c>
      <c r="F115" t="n">
        <v>44.5</v>
      </c>
      <c r="G115" t="n">
        <v>11.4</v>
      </c>
      <c r="H115" t="n">
        <v>1.1</v>
      </c>
      <c r="I115" t="n">
        <v>140.2</v>
      </c>
      <c r="J115" t="n">
        <v>183</v>
      </c>
      <c r="K115" t="n">
        <v>2.7</v>
      </c>
    </row>
    <row r="116">
      <c r="A116" t="inlineStr">
        <is>
          <t xml:space="preserve">        Navigational, measuring, electromedical, and control instruments manufacturing</t>
        </is>
      </c>
      <c r="B116" t="inlineStr">
        <is>
          <t>334500</t>
        </is>
      </c>
      <c r="C116" t="inlineStr">
        <is>
          <t>Line item</t>
        </is>
      </c>
      <c r="D116" t="n">
        <v>412.5</v>
      </c>
      <c r="E116" t="n">
        <v>426.5</v>
      </c>
      <c r="F116" t="n">
        <v>14</v>
      </c>
      <c r="G116" t="n">
        <v>3.4</v>
      </c>
      <c r="H116" t="n">
        <v>0.3</v>
      </c>
      <c r="I116" t="n">
        <v>149.7</v>
      </c>
      <c r="J116" t="n">
        <v>184.7</v>
      </c>
      <c r="K116" t="n">
        <v>2.1</v>
      </c>
    </row>
    <row r="117">
      <c r="A117" t="inlineStr">
        <is>
          <t xml:space="preserve">        Manufacturing and reproducing magnetic and optical media</t>
        </is>
      </c>
      <c r="B117" t="inlineStr">
        <is>
          <t>334600</t>
        </is>
      </c>
      <c r="C117" t="inlineStr">
        <is>
          <t>Line item</t>
        </is>
      </c>
      <c r="D117" t="n">
        <v>10.5</v>
      </c>
      <c r="E117" t="n">
        <v>6.2</v>
      </c>
      <c r="F117" t="n">
        <v>-4.3</v>
      </c>
      <c r="G117" t="n">
        <v>-41.3</v>
      </c>
      <c r="H117" t="n">
        <v>-5.1</v>
      </c>
      <c r="I117" t="n">
        <v>1.7</v>
      </c>
      <c r="J117" t="n">
        <v>1.4</v>
      </c>
      <c r="K117" t="n">
        <v>-1.9</v>
      </c>
    </row>
    <row r="118">
      <c r="A118" t="inlineStr">
        <is>
          <t xml:space="preserve">      Electrical equipment, appliance, and component manufacturing</t>
        </is>
      </c>
      <c r="B118" t="inlineStr">
        <is>
          <t>335000</t>
        </is>
      </c>
      <c r="C118" t="inlineStr">
        <is>
          <t>Summary</t>
        </is>
      </c>
      <c r="D118" t="n">
        <v>413.3</v>
      </c>
      <c r="E118" t="n">
        <v>459.7</v>
      </c>
      <c r="F118" t="n">
        <v>46.4</v>
      </c>
      <c r="G118" t="n">
        <v>11.2</v>
      </c>
      <c r="H118" t="n">
        <v>1.1</v>
      </c>
      <c r="I118" t="n">
        <v>121.1</v>
      </c>
      <c r="J118" t="n">
        <v>143.8</v>
      </c>
      <c r="K118" t="n">
        <v>1.7</v>
      </c>
      <c r="L118" t="inlineStr">
        <is>
          <t>ISIC 27</t>
        </is>
      </c>
    </row>
    <row r="119">
      <c r="A119" t="inlineStr">
        <is>
          <t xml:space="preserve">        Electric lighting equipment manufacturing</t>
        </is>
      </c>
      <c r="B119" t="inlineStr">
        <is>
          <t>335100</t>
        </is>
      </c>
      <c r="C119" t="inlineStr">
        <is>
          <t>Line item</t>
        </is>
      </c>
      <c r="D119" t="n">
        <v>34.5</v>
      </c>
      <c r="E119" t="n">
        <v>30.2</v>
      </c>
      <c r="F119" t="n">
        <v>-4.3</v>
      </c>
      <c r="G119" t="n">
        <v>-12.3</v>
      </c>
      <c r="H119" t="n">
        <v>-1.3</v>
      </c>
      <c r="I119" t="n">
        <v>12.1</v>
      </c>
      <c r="J119" t="n">
        <v>10.6</v>
      </c>
      <c r="K119" t="n">
        <v>-1.3</v>
      </c>
    </row>
    <row r="120">
      <c r="A120" t="inlineStr">
        <is>
          <t xml:space="preserve">        Household appliance manufacturing</t>
        </is>
      </c>
      <c r="B120" t="inlineStr">
        <is>
          <t>335200</t>
        </is>
      </c>
      <c r="C120" t="inlineStr">
        <is>
          <t>Line item</t>
        </is>
      </c>
      <c r="D120" t="n">
        <v>60.1</v>
      </c>
      <c r="E120" t="n">
        <v>55.6</v>
      </c>
      <c r="F120" t="n">
        <v>-4.5</v>
      </c>
      <c r="G120" t="n">
        <v>-7.5</v>
      </c>
      <c r="H120" t="n">
        <v>-0.8</v>
      </c>
      <c r="I120" t="n">
        <v>21.9</v>
      </c>
      <c r="J120" t="n">
        <v>24.1</v>
      </c>
      <c r="K120" t="n">
        <v>1</v>
      </c>
    </row>
    <row r="121">
      <c r="A121" t="inlineStr">
        <is>
          <t xml:space="preserve">        Electrical equipment manufacturing</t>
        </is>
      </c>
      <c r="B121" t="inlineStr">
        <is>
          <t>335300</t>
        </is>
      </c>
      <c r="C121" t="inlineStr">
        <is>
          <t>Line item</t>
        </is>
      </c>
      <c r="D121" t="n">
        <v>153</v>
      </c>
      <c r="E121" t="n">
        <v>159.8</v>
      </c>
      <c r="F121" t="n">
        <v>6.8</v>
      </c>
      <c r="G121" t="n">
        <v>4.4</v>
      </c>
      <c r="H121" t="n">
        <v>0.4</v>
      </c>
      <c r="I121" t="n">
        <v>38.5</v>
      </c>
      <c r="J121" t="n">
        <v>44.6</v>
      </c>
      <c r="K121" t="n">
        <v>1.5</v>
      </c>
    </row>
    <row r="122">
      <c r="A122" t="inlineStr">
        <is>
          <t xml:space="preserve">        Other electrical equipment and component manufacturing</t>
        </is>
      </c>
      <c r="B122" t="inlineStr">
        <is>
          <t>335900</t>
        </is>
      </c>
      <c r="C122" t="inlineStr">
        <is>
          <t>Line item</t>
        </is>
      </c>
      <c r="D122" t="n">
        <v>165.7</v>
      </c>
      <c r="E122" t="n">
        <v>214.1</v>
      </c>
      <c r="F122" t="n">
        <v>48.4</v>
      </c>
      <c r="G122" t="n">
        <v>29.2</v>
      </c>
      <c r="H122" t="n">
        <v>2.6</v>
      </c>
      <c r="I122" t="n">
        <v>48.5</v>
      </c>
      <c r="J122" t="n">
        <v>64</v>
      </c>
      <c r="K122" t="n">
        <v>2.8</v>
      </c>
    </row>
    <row r="123">
      <c r="A123" t="inlineStr">
        <is>
          <t xml:space="preserve">      Transportation equipment manufacturing</t>
        </is>
      </c>
      <c r="B123" t="inlineStr">
        <is>
          <t>336000</t>
        </is>
      </c>
      <c r="C123" t="inlineStr">
        <is>
          <t>Summary</t>
        </is>
      </c>
      <c r="D123" t="n">
        <v>1793.2</v>
      </c>
      <c r="E123" t="n">
        <v>1718</v>
      </c>
      <c r="F123" t="n">
        <v>-75.2</v>
      </c>
      <c r="G123" t="n">
        <v>-4.2</v>
      </c>
      <c r="H123" t="n">
        <v>-0.4</v>
      </c>
      <c r="I123" t="n">
        <v>1054.5</v>
      </c>
      <c r="J123" t="n">
        <v>1122</v>
      </c>
      <c r="K123" t="n">
        <v>0.6</v>
      </c>
    </row>
    <row r="124">
      <c r="A124" t="inlineStr">
        <is>
          <t xml:space="preserve">        Motor vehicle manufacturing</t>
        </is>
      </c>
      <c r="B124" t="inlineStr">
        <is>
          <t>336100</t>
        </is>
      </c>
      <c r="C124" t="inlineStr">
        <is>
          <t>Line item</t>
        </is>
      </c>
      <c r="D124" t="n">
        <v>302</v>
      </c>
      <c r="E124" t="n">
        <v>318.2</v>
      </c>
      <c r="F124" t="n">
        <v>16.2</v>
      </c>
      <c r="G124" t="n">
        <v>5.4</v>
      </c>
      <c r="H124" t="n">
        <v>0.5</v>
      </c>
      <c r="I124" t="n">
        <v>396.7</v>
      </c>
      <c r="J124" t="n">
        <v>437.5</v>
      </c>
      <c r="K124" t="n">
        <v>1</v>
      </c>
      <c r="L124" t="inlineStr">
        <is>
          <t>ISIC 29</t>
        </is>
      </c>
    </row>
    <row r="125">
      <c r="A125" t="inlineStr">
        <is>
          <t xml:space="preserve">        Motor vehicle body and trailer manufacturing</t>
        </is>
      </c>
      <c r="B125" t="inlineStr">
        <is>
          <t>336200</t>
        </is>
      </c>
      <c r="C125" t="inlineStr">
        <is>
          <t>Line item</t>
        </is>
      </c>
      <c r="D125" t="n">
        <v>163.5</v>
      </c>
      <c r="E125" t="n">
        <v>169</v>
      </c>
      <c r="F125" t="n">
        <v>5.5</v>
      </c>
      <c r="G125" t="n">
        <v>3.4</v>
      </c>
      <c r="H125" t="n">
        <v>0.3</v>
      </c>
      <c r="I125" t="n">
        <v>55</v>
      </c>
      <c r="J125" t="n">
        <v>69.59999999999999</v>
      </c>
      <c r="K125" t="n">
        <v>2.4</v>
      </c>
      <c r="L125" t="inlineStr">
        <is>
          <t>ISIC 29</t>
        </is>
      </c>
    </row>
    <row r="126">
      <c r="A126" t="inlineStr">
        <is>
          <t xml:space="preserve">        Motor vehicle parts manufacturing</t>
        </is>
      </c>
      <c r="B126" t="inlineStr">
        <is>
          <t>336300</t>
        </is>
      </c>
      <c r="C126" t="inlineStr">
        <is>
          <t>Line item</t>
        </is>
      </c>
      <c r="D126" t="n">
        <v>553.3</v>
      </c>
      <c r="E126" t="n">
        <v>429.3</v>
      </c>
      <c r="F126" t="n">
        <v>-124</v>
      </c>
      <c r="G126" t="n">
        <v>-22.4</v>
      </c>
      <c r="H126" t="n">
        <v>-2.5</v>
      </c>
      <c r="I126" t="n">
        <v>250.8</v>
      </c>
      <c r="J126" t="n">
        <v>180.2</v>
      </c>
      <c r="K126" t="n">
        <v>-3.3</v>
      </c>
      <c r="L126" t="inlineStr">
        <is>
          <t>ISIC 29</t>
        </is>
      </c>
    </row>
    <row r="127">
      <c r="A127" t="inlineStr">
        <is>
          <t xml:space="preserve">        Aerospace product and parts manufacturing</t>
        </is>
      </c>
      <c r="B127" t="inlineStr">
        <is>
          <t>336400</t>
        </is>
      </c>
      <c r="C127" t="inlineStr">
        <is>
          <t>Line item</t>
        </is>
      </c>
      <c r="D127" t="n">
        <v>559.1</v>
      </c>
      <c r="E127" t="n">
        <v>589.2</v>
      </c>
      <c r="F127" t="n">
        <v>30.1</v>
      </c>
      <c r="G127" t="n">
        <v>5.4</v>
      </c>
      <c r="H127" t="n">
        <v>0.5</v>
      </c>
      <c r="I127" t="n">
        <v>281.6</v>
      </c>
      <c r="J127" t="n">
        <v>343.5</v>
      </c>
      <c r="K127" t="n">
        <v>2</v>
      </c>
      <c r="L127" t="inlineStr">
        <is>
          <t>ISIC 302T309</t>
        </is>
      </c>
    </row>
    <row r="128">
      <c r="A128" t="inlineStr">
        <is>
          <t xml:space="preserve">        Railroad rolling stock manufacturing</t>
        </is>
      </c>
      <c r="B128" t="inlineStr">
        <is>
          <t>336500</t>
        </is>
      </c>
      <c r="C128" t="inlineStr">
        <is>
          <t>Line item</t>
        </is>
      </c>
      <c r="D128" t="n">
        <v>23.4</v>
      </c>
      <c r="E128" t="n">
        <v>20.7</v>
      </c>
      <c r="F128" t="n">
        <v>-2.7</v>
      </c>
      <c r="G128" t="n">
        <v>-11.5</v>
      </c>
      <c r="H128" t="n">
        <v>-1.2</v>
      </c>
      <c r="I128" t="n">
        <v>10</v>
      </c>
      <c r="J128" t="n">
        <v>10.6</v>
      </c>
      <c r="K128" t="n">
        <v>0.6</v>
      </c>
      <c r="L128" t="inlineStr">
        <is>
          <t>ISIC 302T309</t>
        </is>
      </c>
    </row>
    <row r="129">
      <c r="A129" t="inlineStr">
        <is>
          <t xml:space="preserve">        Ship and boat building</t>
        </is>
      </c>
      <c r="B129" t="inlineStr">
        <is>
          <t>336600</t>
        </is>
      </c>
      <c r="C129" t="inlineStr">
        <is>
          <t>Line item</t>
        </is>
      </c>
      <c r="D129" t="n">
        <v>150.5</v>
      </c>
      <c r="E129" t="n">
        <v>154.1</v>
      </c>
      <c r="F129" t="n">
        <v>3.6</v>
      </c>
      <c r="G129" t="n">
        <v>2.4</v>
      </c>
      <c r="H129" t="n">
        <v>0.2</v>
      </c>
      <c r="I129" t="n">
        <v>40</v>
      </c>
      <c r="J129" t="n">
        <v>45.3</v>
      </c>
      <c r="K129" t="n">
        <v>1.3</v>
      </c>
      <c r="L129" t="inlineStr">
        <is>
          <t>ISIC 301</t>
        </is>
      </c>
    </row>
    <row r="130">
      <c r="A130" t="inlineStr">
        <is>
          <t xml:space="preserve">        Other transportation equipment manufacturing</t>
        </is>
      </c>
      <c r="B130" t="inlineStr">
        <is>
          <t>336900</t>
        </is>
      </c>
      <c r="C130" t="inlineStr">
        <is>
          <t>Line item</t>
        </is>
      </c>
      <c r="D130" t="n">
        <v>41.4</v>
      </c>
      <c r="E130" t="n">
        <v>37.5</v>
      </c>
      <c r="F130" t="n">
        <v>-3.9</v>
      </c>
      <c r="G130" t="n">
        <v>-9.4</v>
      </c>
      <c r="H130" t="n">
        <v>-1</v>
      </c>
      <c r="I130" t="n">
        <v>23.9</v>
      </c>
      <c r="J130" t="n">
        <v>30.9</v>
      </c>
      <c r="K130" t="n">
        <v>2.6</v>
      </c>
      <c r="L130" t="inlineStr">
        <is>
          <t>ISIC 302T309</t>
        </is>
      </c>
    </row>
    <row r="131">
      <c r="A131" t="inlineStr">
        <is>
          <t xml:space="preserve">      Furniture and related product manufacturing</t>
        </is>
      </c>
      <c r="B131" t="inlineStr">
        <is>
          <t>337000</t>
        </is>
      </c>
      <c r="C131" t="inlineStr">
        <is>
          <t>Summary</t>
        </is>
      </c>
      <c r="D131" t="n">
        <v>343.3</v>
      </c>
      <c r="E131" t="n">
        <v>325.4</v>
      </c>
      <c r="F131" t="n">
        <v>-17.9</v>
      </c>
      <c r="G131" t="n">
        <v>-5.2</v>
      </c>
      <c r="H131" t="n">
        <v>-0.5</v>
      </c>
      <c r="I131" t="n">
        <v>61.7</v>
      </c>
      <c r="J131" t="n">
        <v>68.40000000000001</v>
      </c>
      <c r="K131" t="n">
        <v>1</v>
      </c>
      <c r="L131" t="inlineStr">
        <is>
          <t>ISIC 31T33</t>
        </is>
      </c>
    </row>
    <row r="132">
      <c r="A132" t="inlineStr">
        <is>
          <t xml:space="preserve">        Furniture and related product manufacturing (3371,2)</t>
        </is>
      </c>
      <c r="B132" t="inlineStr">
        <is>
          <t>3370A1</t>
        </is>
      </c>
      <c r="C132" t="inlineStr">
        <is>
          <t>Line item</t>
        </is>
      </c>
      <c r="D132" t="n">
        <v>315.2</v>
      </c>
      <c r="E132" t="n">
        <v>297.7</v>
      </c>
      <c r="F132" t="n">
        <v>-17.5</v>
      </c>
      <c r="G132" t="n">
        <v>-5.6</v>
      </c>
      <c r="H132" t="n">
        <v>-0.6</v>
      </c>
      <c r="I132" t="n">
        <v>54</v>
      </c>
      <c r="J132" t="n">
        <v>59.4</v>
      </c>
      <c r="K132" t="n">
        <v>1</v>
      </c>
    </row>
    <row r="133">
      <c r="A133" t="inlineStr">
        <is>
          <t xml:space="preserve">        Other furniture related product manufacturing</t>
        </is>
      </c>
      <c r="B133" t="inlineStr">
        <is>
          <t>337900</t>
        </is>
      </c>
      <c r="C133" t="inlineStr">
        <is>
          <t>Line item</t>
        </is>
      </c>
      <c r="D133" t="n">
        <v>28.1</v>
      </c>
      <c r="E133" t="n">
        <v>27.7</v>
      </c>
      <c r="F133" t="n">
        <v>-0.4</v>
      </c>
      <c r="G133" t="n">
        <v>-1.3</v>
      </c>
      <c r="H133" t="n">
        <v>-0.1</v>
      </c>
      <c r="I133" t="n">
        <v>7.8</v>
      </c>
      <c r="J133" t="n">
        <v>9</v>
      </c>
      <c r="K133" t="n">
        <v>1.5</v>
      </c>
    </row>
    <row r="134">
      <c r="A134" t="inlineStr">
        <is>
          <t xml:space="preserve">      Miscellaneous manufacturing</t>
        </is>
      </c>
      <c r="B134" t="inlineStr">
        <is>
          <t>339000</t>
        </is>
      </c>
      <c r="C134" t="inlineStr">
        <is>
          <t>Summary</t>
        </is>
      </c>
      <c r="D134" t="n">
        <v>615.4</v>
      </c>
      <c r="E134" t="n">
        <v>626.9</v>
      </c>
      <c r="F134" t="n">
        <v>11.5</v>
      </c>
      <c r="G134" t="n">
        <v>1.9</v>
      </c>
      <c r="H134" t="n">
        <v>0.2</v>
      </c>
      <c r="I134" t="n">
        <v>162.6</v>
      </c>
      <c r="J134" t="n">
        <v>192.9</v>
      </c>
      <c r="K134" t="n">
        <v>1.7</v>
      </c>
      <c r="L134" t="inlineStr">
        <is>
          <t>ISIC 31T33</t>
        </is>
      </c>
    </row>
    <row r="135">
      <c r="A135" t="inlineStr">
        <is>
          <t xml:space="preserve">        Medical equipment and supplies manufacturing</t>
        </is>
      </c>
      <c r="B135" t="inlineStr">
        <is>
          <t>339100</t>
        </is>
      </c>
      <c r="C135" t="inlineStr">
        <is>
          <t>Line item</t>
        </is>
      </c>
      <c r="D135" t="n">
        <v>329.7</v>
      </c>
      <c r="E135" t="n">
        <v>345.5</v>
      </c>
      <c r="F135" t="n">
        <v>15.8</v>
      </c>
      <c r="G135" t="n">
        <v>4.8</v>
      </c>
      <c r="H135" t="n">
        <v>0.5</v>
      </c>
      <c r="I135" t="n">
        <v>101.1</v>
      </c>
      <c r="J135" t="n">
        <v>129.9</v>
      </c>
      <c r="K135" t="n">
        <v>2.5</v>
      </c>
    </row>
    <row r="136">
      <c r="A136" t="inlineStr">
        <is>
          <t xml:space="preserve">        Other miscellaneous manufacturing</t>
        </is>
      </c>
      <c r="B136" t="inlineStr">
        <is>
          <t>339900</t>
        </is>
      </c>
      <c r="C136" t="inlineStr">
        <is>
          <t>Summary</t>
        </is>
      </c>
      <c r="D136" t="n">
        <v>285.7</v>
      </c>
      <c r="E136" t="n">
        <v>281.5</v>
      </c>
      <c r="F136" t="n">
        <v>-4.2</v>
      </c>
      <c r="G136" t="n">
        <v>-1.5</v>
      </c>
      <c r="H136" t="n">
        <v>-0.1</v>
      </c>
      <c r="I136" t="n">
        <v>61.8</v>
      </c>
      <c r="J136" t="n">
        <v>64.09999999999999</v>
      </c>
      <c r="K136" t="n">
        <v>0.4</v>
      </c>
    </row>
    <row r="137">
      <c r="A137" t="inlineStr">
        <is>
          <t xml:space="preserve">          Jewelry and silverware manufacturing</t>
        </is>
      </c>
      <c r="B137" t="inlineStr">
        <is>
          <t>339910</t>
        </is>
      </c>
      <c r="C137" t="inlineStr">
        <is>
          <t>Line item</t>
        </is>
      </c>
      <c r="D137" t="n">
        <v>21</v>
      </c>
      <c r="E137" t="n">
        <v>15.7</v>
      </c>
      <c r="F137" t="n">
        <v>-5.3</v>
      </c>
      <c r="G137" t="n">
        <v>-25.3</v>
      </c>
      <c r="H137" t="n">
        <v>-2.9</v>
      </c>
      <c r="I137" t="n">
        <v>7.3</v>
      </c>
      <c r="J137" t="n">
        <v>7.7</v>
      </c>
      <c r="K137" t="n">
        <v>0.6</v>
      </c>
    </row>
    <row r="138">
      <c r="A138" t="inlineStr">
        <is>
          <t xml:space="preserve">    Wholesale trade</t>
        </is>
      </c>
      <c r="B138" t="inlineStr">
        <is>
          <t>420000</t>
        </is>
      </c>
      <c r="C138" t="inlineStr">
        <is>
          <t>Summary</t>
        </is>
      </c>
      <c r="D138" t="n">
        <v>6145.4</v>
      </c>
      <c r="E138" t="n">
        <v>6354</v>
      </c>
      <c r="F138" t="n">
        <v>208.6</v>
      </c>
      <c r="G138" t="n">
        <v>3.4</v>
      </c>
      <c r="H138" t="n">
        <v>0.3</v>
      </c>
      <c r="I138" t="n">
        <v>2177.5</v>
      </c>
      <c r="J138" t="n">
        <v>2833.4</v>
      </c>
      <c r="K138" t="n">
        <v>2.7</v>
      </c>
      <c r="L138" t="inlineStr">
        <is>
          <t>ISIC 45T47</t>
        </is>
      </c>
    </row>
    <row r="139">
      <c r="A139" t="inlineStr">
        <is>
          <t xml:space="preserve">      Merchant wholesalers, durable goods</t>
        </is>
      </c>
      <c r="B139" t="inlineStr">
        <is>
          <t>423000</t>
        </is>
      </c>
      <c r="C139" t="inlineStr">
        <is>
          <t>Summary</t>
        </is>
      </c>
      <c r="D139" t="n">
        <v>3439.6</v>
      </c>
      <c r="E139" t="n">
        <v>3583</v>
      </c>
      <c r="F139" t="n">
        <v>143.4</v>
      </c>
      <c r="G139" t="n">
        <v>4.2</v>
      </c>
      <c r="H139" t="n">
        <v>0.4</v>
      </c>
      <c r="I139" t="inlineStr">
        <is>
          <t>—</t>
        </is>
      </c>
      <c r="J139" t="inlineStr">
        <is>
          <t>—</t>
        </is>
      </c>
      <c r="K139" t="inlineStr">
        <is>
          <t>—</t>
        </is>
      </c>
    </row>
    <row r="140">
      <c r="A140" t="inlineStr">
        <is>
          <t xml:space="preserve">        Merchant wholesalers, durable goods (4232,3,5,6,7,9)</t>
        </is>
      </c>
      <c r="B140" t="inlineStr">
        <is>
          <t>4230A1</t>
        </is>
      </c>
      <c r="C140" t="inlineStr">
        <is>
          <t>Line item</t>
        </is>
      </c>
      <c r="D140" t="n">
        <v>1529.3</v>
      </c>
      <c r="E140" t="n">
        <v>1581.5</v>
      </c>
      <c r="F140" t="n">
        <v>52.2</v>
      </c>
      <c r="G140" t="n">
        <v>3.4</v>
      </c>
      <c r="H140" t="n">
        <v>0.3</v>
      </c>
      <c r="I140" t="inlineStr">
        <is>
          <t>—</t>
        </is>
      </c>
      <c r="J140" t="inlineStr">
        <is>
          <t>—</t>
        </is>
      </c>
      <c r="K140" t="inlineStr">
        <is>
          <t>—</t>
        </is>
      </c>
    </row>
    <row r="141">
      <c r="A141" t="inlineStr">
        <is>
          <t xml:space="preserve">        Motor vehicle and motor vehicle parts and supplies merchant wholesalers</t>
        </is>
      </c>
      <c r="B141" t="inlineStr">
        <is>
          <t>423100</t>
        </is>
      </c>
      <c r="C141" t="inlineStr">
        <is>
          <t>Line item</t>
        </is>
      </c>
      <c r="D141" t="n">
        <v>381.1</v>
      </c>
      <c r="E141" t="n">
        <v>398.4</v>
      </c>
      <c r="F141" t="n">
        <v>17.3</v>
      </c>
      <c r="G141" t="n">
        <v>4.5</v>
      </c>
      <c r="H141" t="n">
        <v>0.4</v>
      </c>
      <c r="I141" t="inlineStr">
        <is>
          <t>—</t>
        </is>
      </c>
      <c r="J141" t="inlineStr">
        <is>
          <t>—</t>
        </is>
      </c>
      <c r="K141" t="inlineStr">
        <is>
          <t>—</t>
        </is>
      </c>
    </row>
    <row r="142">
      <c r="A142" t="inlineStr">
        <is>
          <t xml:space="preserve">        Professional and commercial equipment and supplies merchant wholesalers</t>
        </is>
      </c>
      <c r="B142" t="inlineStr">
        <is>
          <t>423400</t>
        </is>
      </c>
      <c r="C142" t="inlineStr">
        <is>
          <t>Line item</t>
        </is>
      </c>
      <c r="D142" t="n">
        <v>751.7</v>
      </c>
      <c r="E142" t="n">
        <v>794.3</v>
      </c>
      <c r="F142" t="n">
        <v>42.6</v>
      </c>
      <c r="G142" t="n">
        <v>5.7</v>
      </c>
      <c r="H142" t="n">
        <v>0.6</v>
      </c>
      <c r="I142" t="inlineStr">
        <is>
          <t>—</t>
        </is>
      </c>
      <c r="J142" t="inlineStr">
        <is>
          <t>—</t>
        </is>
      </c>
      <c r="K142" t="inlineStr">
        <is>
          <t>—</t>
        </is>
      </c>
    </row>
    <row r="143">
      <c r="A143" t="inlineStr">
        <is>
          <t xml:space="preserve">        Machinery, equipment, and supplies merchant wholesalers</t>
        </is>
      </c>
      <c r="B143" t="inlineStr">
        <is>
          <t>423800</t>
        </is>
      </c>
      <c r="C143" t="inlineStr">
        <is>
          <t>Summary</t>
        </is>
      </c>
      <c r="D143" t="n">
        <v>777.5</v>
      </c>
      <c r="E143" t="n">
        <v>808.9</v>
      </c>
      <c r="F143" t="n">
        <v>31.4</v>
      </c>
      <c r="G143" t="n">
        <v>4</v>
      </c>
      <c r="H143" t="n">
        <v>0.4</v>
      </c>
      <c r="I143" t="inlineStr">
        <is>
          <t>—</t>
        </is>
      </c>
      <c r="J143" t="inlineStr">
        <is>
          <t>—</t>
        </is>
      </c>
      <c r="K143" t="inlineStr">
        <is>
          <t>—</t>
        </is>
      </c>
    </row>
    <row r="144">
      <c r="A144" t="inlineStr">
        <is>
          <t xml:space="preserve">          Farm and garden machinery and equipment merchant wholesalers</t>
        </is>
      </c>
      <c r="B144" t="inlineStr">
        <is>
          <t>423820</t>
        </is>
      </c>
      <c r="C144" t="inlineStr">
        <is>
          <t>Line item</t>
        </is>
      </c>
      <c r="D144" t="n">
        <v>116.7</v>
      </c>
      <c r="E144" t="n">
        <v>116.3</v>
      </c>
      <c r="F144" t="n">
        <v>-0.4</v>
      </c>
      <c r="G144" t="n">
        <v>-0.4</v>
      </c>
      <c r="H144" t="n">
        <v>0</v>
      </c>
      <c r="I144" t="inlineStr">
        <is>
          <t>—</t>
        </is>
      </c>
      <c r="J144" t="inlineStr">
        <is>
          <t>—</t>
        </is>
      </c>
      <c r="K144" t="inlineStr">
        <is>
          <t>—</t>
        </is>
      </c>
    </row>
    <row r="145">
      <c r="A145" t="inlineStr">
        <is>
          <t xml:space="preserve">      Merchant wholesalers, nondurable goods</t>
        </is>
      </c>
      <c r="B145" t="inlineStr">
        <is>
          <t>424000</t>
        </is>
      </c>
      <c r="C145" t="inlineStr">
        <is>
          <t>Summary</t>
        </is>
      </c>
      <c r="D145" t="n">
        <v>2212.9</v>
      </c>
      <c r="E145" t="n">
        <v>2271.6</v>
      </c>
      <c r="F145" t="n">
        <v>58.7</v>
      </c>
      <c r="G145" t="n">
        <v>2.7</v>
      </c>
      <c r="H145" t="n">
        <v>0.3</v>
      </c>
      <c r="I145" t="inlineStr">
        <is>
          <t>—</t>
        </is>
      </c>
      <c r="J145" t="inlineStr">
        <is>
          <t>—</t>
        </is>
      </c>
      <c r="K145" t="inlineStr">
        <is>
          <t>—</t>
        </is>
      </c>
    </row>
    <row r="146">
      <c r="A146" t="inlineStr">
        <is>
          <t xml:space="preserve">        Merchant wholesalers, nondurable goods (4244,8)</t>
        </is>
      </c>
      <c r="B146" t="inlineStr">
        <is>
          <t>4240A1</t>
        </is>
      </c>
      <c r="C146" t="inlineStr">
        <is>
          <t>Line item</t>
        </is>
      </c>
      <c r="D146" t="n">
        <v>1048.3</v>
      </c>
      <c r="E146" t="n">
        <v>1087.2</v>
      </c>
      <c r="F146" t="n">
        <v>38.9</v>
      </c>
      <c r="G146" t="n">
        <v>3.7</v>
      </c>
      <c r="H146" t="n">
        <v>0.4</v>
      </c>
      <c r="I146" t="inlineStr">
        <is>
          <t>—</t>
        </is>
      </c>
      <c r="J146" t="inlineStr">
        <is>
          <t>—</t>
        </is>
      </c>
      <c r="K146" t="inlineStr">
        <is>
          <t>—</t>
        </is>
      </c>
    </row>
    <row r="147">
      <c r="A147" t="inlineStr">
        <is>
          <t xml:space="preserve">        Merchant wholesalers, nondurable goods (4242,6)</t>
        </is>
      </c>
      <c r="B147" t="inlineStr">
        <is>
          <t>4240A2</t>
        </is>
      </c>
      <c r="C147" t="inlineStr">
        <is>
          <t>Line item</t>
        </is>
      </c>
      <c r="D147" t="n">
        <v>409.3</v>
      </c>
      <c r="E147" t="n">
        <v>423.8</v>
      </c>
      <c r="F147" t="n">
        <v>14.5</v>
      </c>
      <c r="G147" t="n">
        <v>3.5</v>
      </c>
      <c r="H147" t="n">
        <v>0.3</v>
      </c>
      <c r="I147" t="inlineStr">
        <is>
          <t>—</t>
        </is>
      </c>
      <c r="J147" t="inlineStr">
        <is>
          <t>—</t>
        </is>
      </c>
      <c r="K147" t="inlineStr">
        <is>
          <t>—</t>
        </is>
      </c>
    </row>
    <row r="148">
      <c r="A148" t="inlineStr">
        <is>
          <t xml:space="preserve">        Merchant wholesalers, nondurable goods (4241,7,9)</t>
        </is>
      </c>
      <c r="B148" t="inlineStr">
        <is>
          <t>4240A3</t>
        </is>
      </c>
      <c r="C148" t="inlineStr">
        <is>
          <t>Line item</t>
        </is>
      </c>
      <c r="D148" t="n">
        <v>540</v>
      </c>
      <c r="E148" t="n">
        <v>546.4</v>
      </c>
      <c r="F148" t="n">
        <v>6.4</v>
      </c>
      <c r="G148" t="n">
        <v>1.2</v>
      </c>
      <c r="H148" t="n">
        <v>0.1</v>
      </c>
      <c r="I148" t="inlineStr">
        <is>
          <t>—</t>
        </is>
      </c>
      <c r="J148" t="inlineStr">
        <is>
          <t>—</t>
        </is>
      </c>
      <c r="K148" t="inlineStr">
        <is>
          <t>—</t>
        </is>
      </c>
    </row>
    <row r="149">
      <c r="A149" t="inlineStr">
        <is>
          <t xml:space="preserve">        Apparel, piece goods, and notions merchant wholesalers</t>
        </is>
      </c>
      <c r="B149" t="inlineStr">
        <is>
          <t>424300</t>
        </is>
      </c>
      <c r="C149" t="inlineStr">
        <is>
          <t>Line item</t>
        </is>
      </c>
      <c r="D149" t="n">
        <v>141.5</v>
      </c>
      <c r="E149" t="n">
        <v>139.8</v>
      </c>
      <c r="F149" t="n">
        <v>-1.7</v>
      </c>
      <c r="G149" t="n">
        <v>-1.2</v>
      </c>
      <c r="H149" t="n">
        <v>-0.1</v>
      </c>
      <c r="I149" t="inlineStr">
        <is>
          <t>—</t>
        </is>
      </c>
      <c r="J149" t="inlineStr">
        <is>
          <t>—</t>
        </is>
      </c>
      <c r="K149" t="inlineStr">
        <is>
          <t>—</t>
        </is>
      </c>
    </row>
    <row r="150">
      <c r="A150" t="inlineStr">
        <is>
          <t xml:space="preserve">        Farm product raw material merchant wholesalers</t>
        </is>
      </c>
      <c r="B150" t="inlineStr">
        <is>
          <t>424500</t>
        </is>
      </c>
      <c r="C150" t="inlineStr">
        <is>
          <t>Line item</t>
        </is>
      </c>
      <c r="D150" t="n">
        <v>73.8</v>
      </c>
      <c r="E150" t="n">
        <v>74.3</v>
      </c>
      <c r="F150" t="n">
        <v>0.5</v>
      </c>
      <c r="G150" t="n">
        <v>0.7</v>
      </c>
      <c r="H150" t="n">
        <v>0.1</v>
      </c>
      <c r="I150" t="inlineStr">
        <is>
          <t>—</t>
        </is>
      </c>
      <c r="J150" t="inlineStr">
        <is>
          <t>—</t>
        </is>
      </c>
      <c r="K150" t="inlineStr">
        <is>
          <t>—</t>
        </is>
      </c>
    </row>
    <row r="151">
      <c r="A151" t="inlineStr">
        <is>
          <t xml:space="preserve">      Wholesale trade agents and brokers</t>
        </is>
      </c>
      <c r="B151" t="inlineStr">
        <is>
          <t>425000</t>
        </is>
      </c>
      <c r="C151" t="inlineStr">
        <is>
          <t>Line item</t>
        </is>
      </c>
      <c r="D151" t="n">
        <v>492.9</v>
      </c>
      <c r="E151" t="n">
        <v>499.4</v>
      </c>
      <c r="F151" t="n">
        <v>6.5</v>
      </c>
      <c r="G151" t="n">
        <v>1.3</v>
      </c>
      <c r="H151" t="n">
        <v>0.1</v>
      </c>
      <c r="I151" t="inlineStr">
        <is>
          <t>—</t>
        </is>
      </c>
      <c r="J151" t="inlineStr">
        <is>
          <t>—</t>
        </is>
      </c>
      <c r="K151" t="inlineStr">
        <is>
          <t>—</t>
        </is>
      </c>
    </row>
    <row r="152">
      <c r="A152" t="inlineStr">
        <is>
          <t xml:space="preserve">    Retail trade</t>
        </is>
      </c>
      <c r="B152" t="inlineStr">
        <is>
          <t>44-450</t>
        </is>
      </c>
      <c r="C152" t="inlineStr">
        <is>
          <t>Summary</t>
        </is>
      </c>
      <c r="D152" t="n">
        <v>15532</v>
      </c>
      <c r="E152" t="n">
        <v>15350.1</v>
      </c>
      <c r="F152" t="n">
        <v>-181.9</v>
      </c>
      <c r="G152" t="n">
        <v>-1.2</v>
      </c>
      <c r="H152" t="n">
        <v>-0.1</v>
      </c>
      <c r="I152" t="n">
        <v>2210.7</v>
      </c>
      <c r="J152" t="n">
        <v>2795.2</v>
      </c>
      <c r="K152" t="n">
        <v>2.4</v>
      </c>
      <c r="L152" t="inlineStr">
        <is>
          <t>ISIC 45T47</t>
        </is>
      </c>
    </row>
    <row r="153">
      <c r="A153" t="inlineStr">
        <is>
          <t xml:space="preserve">      Motor vehicle and parts dealers</t>
        </is>
      </c>
      <c r="B153" t="inlineStr">
        <is>
          <t>441000</t>
        </is>
      </c>
      <c r="C153" t="inlineStr">
        <is>
          <t>Summary</t>
        </is>
      </c>
      <c r="D153" t="n">
        <v>2050.4</v>
      </c>
      <c r="E153" t="n">
        <v>2111.6</v>
      </c>
      <c r="F153" t="n">
        <v>61.2</v>
      </c>
      <c r="G153" t="n">
        <v>3</v>
      </c>
      <c r="H153" t="n">
        <v>0.3</v>
      </c>
      <c r="I153" t="n">
        <v>380.8</v>
      </c>
      <c r="J153" t="n">
        <v>504.8</v>
      </c>
      <c r="K153" t="n">
        <v>2.9</v>
      </c>
    </row>
    <row r="154">
      <c r="A154" t="inlineStr">
        <is>
          <t xml:space="preserve">        Automobile dealers</t>
        </is>
      </c>
      <c r="B154" t="inlineStr">
        <is>
          <t>441100</t>
        </is>
      </c>
      <c r="C154" t="inlineStr">
        <is>
          <t>Line item</t>
        </is>
      </c>
      <c r="D154" t="n">
        <v>1287.3</v>
      </c>
      <c r="E154" t="n">
        <v>1322.5</v>
      </c>
      <c r="F154" t="n">
        <v>35.2</v>
      </c>
      <c r="G154" t="n">
        <v>2.7</v>
      </c>
      <c r="H154" t="n">
        <v>0.3</v>
      </c>
      <c r="I154" t="inlineStr">
        <is>
          <t>—</t>
        </is>
      </c>
      <c r="J154" t="inlineStr">
        <is>
          <t>—</t>
        </is>
      </c>
      <c r="K154" t="inlineStr">
        <is>
          <t>—</t>
        </is>
      </c>
    </row>
    <row r="155">
      <c r="A155" t="inlineStr">
        <is>
          <t xml:space="preserve">        Other motor vehicle dealers</t>
        </is>
      </c>
      <c r="B155" t="inlineStr">
        <is>
          <t>441200</t>
        </is>
      </c>
      <c r="C155" t="inlineStr">
        <is>
          <t>Line item</t>
        </is>
      </c>
      <c r="D155" t="n">
        <v>169</v>
      </c>
      <c r="E155" t="n">
        <v>177.4</v>
      </c>
      <c r="F155" t="n">
        <v>8.4</v>
      </c>
      <c r="G155" t="n">
        <v>5</v>
      </c>
      <c r="H155" t="n">
        <v>0.5</v>
      </c>
      <c r="I155" t="inlineStr">
        <is>
          <t>—</t>
        </is>
      </c>
      <c r="J155" t="inlineStr">
        <is>
          <t>—</t>
        </is>
      </c>
      <c r="K155" t="inlineStr">
        <is>
          <t>—</t>
        </is>
      </c>
    </row>
    <row r="156">
      <c r="A156" t="inlineStr">
        <is>
          <t xml:space="preserve">        Automotive parts, accessories, and tire retailers</t>
        </is>
      </c>
      <c r="B156" t="inlineStr">
        <is>
          <t>441300</t>
        </is>
      </c>
      <c r="C156" t="inlineStr">
        <is>
          <t>Line item</t>
        </is>
      </c>
      <c r="D156" t="n">
        <v>594.1</v>
      </c>
      <c r="E156" t="n">
        <v>611.7</v>
      </c>
      <c r="F156" t="n">
        <v>17.6</v>
      </c>
      <c r="G156" t="n">
        <v>3</v>
      </c>
      <c r="H156" t="n">
        <v>0.3</v>
      </c>
      <c r="I156" t="inlineStr">
        <is>
          <t>—</t>
        </is>
      </c>
      <c r="J156" t="inlineStr">
        <is>
          <t>—</t>
        </is>
      </c>
      <c r="K156" t="inlineStr">
        <is>
          <t>—</t>
        </is>
      </c>
    </row>
    <row r="157">
      <c r="A157" t="inlineStr">
        <is>
          <t xml:space="preserve">      Food and beverage retailers</t>
        </is>
      </c>
      <c r="B157" t="inlineStr">
        <is>
          <t>445000</t>
        </is>
      </c>
      <c r="C157" t="inlineStr">
        <is>
          <t>Summary</t>
        </is>
      </c>
      <c r="D157" t="n">
        <v>3224.5</v>
      </c>
      <c r="E157" t="n">
        <v>3189.7</v>
      </c>
      <c r="F157" t="n">
        <v>-34.8</v>
      </c>
      <c r="G157" t="n">
        <v>-1.1</v>
      </c>
      <c r="H157" t="n">
        <v>-0.1</v>
      </c>
      <c r="I157" t="n">
        <v>265.5</v>
      </c>
      <c r="J157" t="n">
        <v>286.4</v>
      </c>
      <c r="K157" t="n">
        <v>0.8</v>
      </c>
    </row>
    <row r="158">
      <c r="A158" t="inlineStr">
        <is>
          <t xml:space="preserve">        Grocery and specialty food retailers</t>
        </is>
      </c>
      <c r="B158" t="inlineStr">
        <is>
          <t>4450A1</t>
        </is>
      </c>
      <c r="C158" t="inlineStr">
        <is>
          <t>Line item</t>
        </is>
      </c>
      <c r="D158" t="n">
        <v>3052.4</v>
      </c>
      <c r="E158" t="n">
        <v>3021.6</v>
      </c>
      <c r="F158" t="n">
        <v>-30.8</v>
      </c>
      <c r="G158" t="n">
        <v>-1</v>
      </c>
      <c r="H158" t="n">
        <v>-0.1</v>
      </c>
      <c r="I158" t="inlineStr">
        <is>
          <t>—</t>
        </is>
      </c>
      <c r="J158" t="inlineStr">
        <is>
          <t>—</t>
        </is>
      </c>
      <c r="K158" t="inlineStr">
        <is>
          <t>—</t>
        </is>
      </c>
    </row>
    <row r="159">
      <c r="A159" t="inlineStr">
        <is>
          <t xml:space="preserve">        Beer, wine, and liquor retailers</t>
        </is>
      </c>
      <c r="B159" t="inlineStr">
        <is>
          <t>445300</t>
        </is>
      </c>
      <c r="C159" t="inlineStr">
        <is>
          <t>Line item</t>
        </is>
      </c>
      <c r="D159" t="n">
        <v>172.1</v>
      </c>
      <c r="E159" t="n">
        <v>168.1</v>
      </c>
      <c r="F159" t="n">
        <v>-4</v>
      </c>
      <c r="G159" t="n">
        <v>-2.3</v>
      </c>
      <c r="H159" t="n">
        <v>-0.2</v>
      </c>
      <c r="I159" t="inlineStr">
        <is>
          <t>—</t>
        </is>
      </c>
      <c r="J159" t="inlineStr">
        <is>
          <t>—</t>
        </is>
      </c>
      <c r="K159" t="inlineStr">
        <is>
          <t>—</t>
        </is>
      </c>
    </row>
    <row r="160">
      <c r="A160" t="inlineStr">
        <is>
          <t xml:space="preserve">      General merchandise retailers</t>
        </is>
      </c>
      <c r="B160" t="inlineStr">
        <is>
          <t>455000</t>
        </is>
      </c>
      <c r="C160" t="inlineStr">
        <is>
          <t>Line item</t>
        </is>
      </c>
      <c r="D160" t="n">
        <v>3265.5</v>
      </c>
      <c r="E160" t="n">
        <v>3341</v>
      </c>
      <c r="F160" t="n">
        <v>75.5</v>
      </c>
      <c r="G160" t="n">
        <v>2.3</v>
      </c>
      <c r="H160" t="n">
        <v>0.2</v>
      </c>
      <c r="I160" t="n">
        <v>252</v>
      </c>
      <c r="J160" t="n">
        <v>285</v>
      </c>
      <c r="K160" t="n">
        <v>1.2</v>
      </c>
    </row>
    <row r="161">
      <c r="A161" t="inlineStr">
        <is>
          <t xml:space="preserve">      All other retail trade (444, 449, 456-9)</t>
        </is>
      </c>
      <c r="B161" t="inlineStr">
        <is>
          <t>4445R0</t>
        </is>
      </c>
      <c r="C161" t="inlineStr">
        <is>
          <t>Summary</t>
        </is>
      </c>
      <c r="D161" t="n">
        <v>6991.6</v>
      </c>
      <c r="E161" t="n">
        <v>6707.7</v>
      </c>
      <c r="F161" t="n">
        <v>-283.9</v>
      </c>
      <c r="G161" t="n">
        <v>-4.1</v>
      </c>
      <c r="H161" t="n">
        <v>-0.4</v>
      </c>
      <c r="I161" t="n">
        <v>1317</v>
      </c>
      <c r="J161" t="n">
        <v>1732.5</v>
      </c>
      <c r="K161" t="n">
        <v>2.8</v>
      </c>
    </row>
    <row r="162">
      <c r="A162" t="inlineStr">
        <is>
          <t xml:space="preserve">        Building material and garden equipment and supplies dealers</t>
        </is>
      </c>
      <c r="B162" t="inlineStr">
        <is>
          <t>444000</t>
        </is>
      </c>
      <c r="C162" t="inlineStr">
        <is>
          <t>Summary</t>
        </is>
      </c>
      <c r="D162" t="n">
        <v>1398.9</v>
      </c>
      <c r="E162" t="n">
        <v>1427.4</v>
      </c>
      <c r="F162" t="n">
        <v>28.5</v>
      </c>
      <c r="G162" t="n">
        <v>2</v>
      </c>
      <c r="H162" t="n">
        <v>0.2</v>
      </c>
      <c r="I162" t="inlineStr">
        <is>
          <t>—</t>
        </is>
      </c>
      <c r="J162" t="inlineStr">
        <is>
          <t>—</t>
        </is>
      </c>
      <c r="K162" t="inlineStr">
        <is>
          <t>—</t>
        </is>
      </c>
    </row>
    <row r="163">
      <c r="A163" t="inlineStr">
        <is>
          <t xml:space="preserve">          Building material and supplies dealers</t>
        </is>
      </c>
      <c r="B163" t="inlineStr">
        <is>
          <t>444100</t>
        </is>
      </c>
      <c r="C163" t="inlineStr">
        <is>
          <t>Line item</t>
        </is>
      </c>
      <c r="D163" t="n">
        <v>1212.1</v>
      </c>
      <c r="E163" t="n">
        <v>1236.2</v>
      </c>
      <c r="F163" t="n">
        <v>24.1</v>
      </c>
      <c r="G163" t="n">
        <v>2</v>
      </c>
      <c r="H163" t="n">
        <v>0.2</v>
      </c>
      <c r="I163" t="inlineStr">
        <is>
          <t>—</t>
        </is>
      </c>
      <c r="J163" t="inlineStr">
        <is>
          <t>—</t>
        </is>
      </c>
      <c r="K163" t="inlineStr">
        <is>
          <t>—</t>
        </is>
      </c>
    </row>
    <row r="164">
      <c r="A164" t="inlineStr">
        <is>
          <t xml:space="preserve">          Lawn and garden equipment and supplies retailers</t>
        </is>
      </c>
      <c r="B164" t="inlineStr">
        <is>
          <t>444200</t>
        </is>
      </c>
      <c r="C164" t="inlineStr">
        <is>
          <t>Line item</t>
        </is>
      </c>
      <c r="D164" t="n">
        <v>186.8</v>
      </c>
      <c r="E164" t="n">
        <v>191.2</v>
      </c>
      <c r="F164" t="n">
        <v>4.4</v>
      </c>
      <c r="G164" t="n">
        <v>2.3</v>
      </c>
      <c r="H164" t="n">
        <v>0.2</v>
      </c>
      <c r="I164" t="inlineStr">
        <is>
          <t>—</t>
        </is>
      </c>
      <c r="J164" t="inlineStr">
        <is>
          <t>—</t>
        </is>
      </c>
      <c r="K164" t="inlineStr">
        <is>
          <t>—</t>
        </is>
      </c>
    </row>
    <row r="165">
      <c r="A165" t="inlineStr">
        <is>
          <t xml:space="preserve">        Furniture, home furnishings, electronics, and appliance retailers</t>
        </is>
      </c>
      <c r="B165" t="inlineStr">
        <is>
          <t>449000</t>
        </is>
      </c>
      <c r="C165" t="inlineStr">
        <is>
          <t>Summary</t>
        </is>
      </c>
      <c r="D165" t="n">
        <v>806.1</v>
      </c>
      <c r="E165" t="n">
        <v>771.4</v>
      </c>
      <c r="F165" t="n">
        <v>-34.7</v>
      </c>
      <c r="G165" t="n">
        <v>-4.3</v>
      </c>
      <c r="H165" t="n">
        <v>-0.4</v>
      </c>
      <c r="I165" t="inlineStr">
        <is>
          <t>—</t>
        </is>
      </c>
      <c r="J165" t="inlineStr">
        <is>
          <t>—</t>
        </is>
      </c>
      <c r="K165" t="inlineStr">
        <is>
          <t>—</t>
        </is>
      </c>
    </row>
    <row r="166">
      <c r="A166" t="inlineStr">
        <is>
          <t xml:space="preserve">          Furniture and home furnishings retailers</t>
        </is>
      </c>
      <c r="B166" t="inlineStr">
        <is>
          <t>449100</t>
        </is>
      </c>
      <c r="C166" t="inlineStr">
        <is>
          <t>Line item</t>
        </is>
      </c>
      <c r="D166" t="n">
        <v>409.1</v>
      </c>
      <c r="E166" t="n">
        <v>389</v>
      </c>
      <c r="F166" t="n">
        <v>-20.1</v>
      </c>
      <c r="G166" t="n">
        <v>-4.9</v>
      </c>
      <c r="H166" t="n">
        <v>-0.5</v>
      </c>
      <c r="I166" t="inlineStr">
        <is>
          <t>—</t>
        </is>
      </c>
      <c r="J166" t="inlineStr">
        <is>
          <t>—</t>
        </is>
      </c>
      <c r="K166" t="inlineStr">
        <is>
          <t>—</t>
        </is>
      </c>
    </row>
    <row r="167">
      <c r="A167" t="inlineStr">
        <is>
          <t xml:space="preserve">          Electronics and appliance retailers</t>
        </is>
      </c>
      <c r="B167" t="inlineStr">
        <is>
          <t>449200</t>
        </is>
      </c>
      <c r="C167" t="inlineStr">
        <is>
          <t>Line item</t>
        </is>
      </c>
      <c r="D167" t="n">
        <v>397</v>
      </c>
      <c r="E167" t="n">
        <v>382.3</v>
      </c>
      <c r="F167" t="n">
        <v>-14.7</v>
      </c>
      <c r="G167" t="n">
        <v>-3.7</v>
      </c>
      <c r="H167" t="n">
        <v>-0.4</v>
      </c>
      <c r="I167" t="inlineStr">
        <is>
          <t>—</t>
        </is>
      </c>
      <c r="J167" t="inlineStr">
        <is>
          <t>—</t>
        </is>
      </c>
      <c r="K167" t="inlineStr">
        <is>
          <t>—</t>
        </is>
      </c>
    </row>
    <row r="168">
      <c r="A168" t="inlineStr">
        <is>
          <t xml:space="preserve">        Health and personal care retailers</t>
        </is>
      </c>
      <c r="B168" t="inlineStr">
        <is>
          <t>456000</t>
        </is>
      </c>
      <c r="C168" t="inlineStr">
        <is>
          <t>Summary</t>
        </is>
      </c>
      <c r="D168" t="n">
        <v>1088.9</v>
      </c>
      <c r="E168" t="n">
        <v>1097.4</v>
      </c>
      <c r="F168" t="n">
        <v>8.5</v>
      </c>
      <c r="G168" t="n">
        <v>0.8</v>
      </c>
      <c r="H168" t="n">
        <v>0.1</v>
      </c>
      <c r="I168" t="inlineStr">
        <is>
          <t>—</t>
        </is>
      </c>
      <c r="J168" t="inlineStr">
        <is>
          <t>—</t>
        </is>
      </c>
      <c r="K168" t="inlineStr">
        <is>
          <t>—</t>
        </is>
      </c>
    </row>
    <row r="169">
      <c r="A169" t="inlineStr">
        <is>
          <t xml:space="preserve">          Health and personal care retailers</t>
        </is>
      </c>
      <c r="B169" t="inlineStr">
        <is>
          <t>456100</t>
        </is>
      </c>
      <c r="C169" t="inlineStr">
        <is>
          <t>Summary</t>
        </is>
      </c>
      <c r="D169" t="n">
        <v>1088.9</v>
      </c>
      <c r="E169" t="n">
        <v>1097.4</v>
      </c>
      <c r="F169" t="n">
        <v>8.5</v>
      </c>
      <c r="G169" t="n">
        <v>0.8</v>
      </c>
      <c r="H169" t="n">
        <v>0.1</v>
      </c>
      <c r="I169" t="inlineStr">
        <is>
          <t>—</t>
        </is>
      </c>
      <c r="J169" t="inlineStr">
        <is>
          <t>—</t>
        </is>
      </c>
      <c r="K169" t="inlineStr">
        <is>
          <t>—</t>
        </is>
      </c>
    </row>
    <row r="170">
      <c r="A170" t="inlineStr">
        <is>
          <t xml:space="preserve">            Pharmacies and drug retailers</t>
        </is>
      </c>
      <c r="B170" t="inlineStr">
        <is>
          <t>456110</t>
        </is>
      </c>
      <c r="C170" t="inlineStr">
        <is>
          <t>Line item</t>
        </is>
      </c>
      <c r="D170" t="n">
        <v>709.8</v>
      </c>
      <c r="E170" t="n">
        <v>698.3</v>
      </c>
      <c r="F170" t="n">
        <v>-11.5</v>
      </c>
      <c r="G170" t="n">
        <v>-1.6</v>
      </c>
      <c r="H170" t="n">
        <v>-0.2</v>
      </c>
      <c r="I170" t="inlineStr">
        <is>
          <t>—</t>
        </is>
      </c>
      <c r="J170" t="inlineStr">
        <is>
          <t>—</t>
        </is>
      </c>
      <c r="K170" t="inlineStr">
        <is>
          <t>—</t>
        </is>
      </c>
    </row>
    <row r="171">
      <c r="A171" t="inlineStr">
        <is>
          <t xml:space="preserve">        Gasoline stations and fuel dealers</t>
        </is>
      </c>
      <c r="B171" t="inlineStr">
        <is>
          <t>457000</t>
        </is>
      </c>
      <c r="C171" t="inlineStr">
        <is>
          <t>Summary</t>
        </is>
      </c>
      <c r="D171" t="n">
        <v>1053.7</v>
      </c>
      <c r="E171" t="n">
        <v>908.9</v>
      </c>
      <c r="F171" t="n">
        <v>-144.8</v>
      </c>
      <c r="G171" t="n">
        <v>-13.7</v>
      </c>
      <c r="H171" t="n">
        <v>-1.5</v>
      </c>
      <c r="I171" t="inlineStr">
        <is>
          <t>—</t>
        </is>
      </c>
      <c r="J171" t="inlineStr">
        <is>
          <t>—</t>
        </is>
      </c>
      <c r="K171" t="inlineStr">
        <is>
          <t>—</t>
        </is>
      </c>
    </row>
    <row r="172">
      <c r="A172" t="inlineStr">
        <is>
          <t xml:space="preserve">          Gasoline stations</t>
        </is>
      </c>
      <c r="B172" t="inlineStr">
        <is>
          <t>457100</t>
        </is>
      </c>
      <c r="C172" t="inlineStr">
        <is>
          <t>Line item</t>
        </is>
      </c>
      <c r="D172" t="n">
        <v>983.4</v>
      </c>
      <c r="E172" t="n">
        <v>845.2</v>
      </c>
      <c r="F172" t="n">
        <v>-138.2</v>
      </c>
      <c r="G172" t="n">
        <v>-14.1</v>
      </c>
      <c r="H172" t="n">
        <v>-1.5</v>
      </c>
      <c r="I172" t="inlineStr">
        <is>
          <t>—</t>
        </is>
      </c>
      <c r="J172" t="inlineStr">
        <is>
          <t>—</t>
        </is>
      </c>
      <c r="K172" t="inlineStr">
        <is>
          <t>—</t>
        </is>
      </c>
    </row>
    <row r="173">
      <c r="A173" t="inlineStr">
        <is>
          <t xml:space="preserve">          Fuel dealers</t>
        </is>
      </c>
      <c r="B173" t="inlineStr">
        <is>
          <t>457200</t>
        </is>
      </c>
      <c r="C173" t="inlineStr">
        <is>
          <t>Line item</t>
        </is>
      </c>
      <c r="D173" t="n">
        <v>70.3</v>
      </c>
      <c r="E173" t="n">
        <v>63.7</v>
      </c>
      <c r="F173" t="n">
        <v>-6.6</v>
      </c>
      <c r="G173" t="n">
        <v>-9.4</v>
      </c>
      <c r="H173" t="n">
        <v>-1</v>
      </c>
      <c r="I173" t="inlineStr">
        <is>
          <t>—</t>
        </is>
      </c>
      <c r="J173" t="inlineStr">
        <is>
          <t>—</t>
        </is>
      </c>
      <c r="K173" t="inlineStr">
        <is>
          <t>—</t>
        </is>
      </c>
    </row>
    <row r="174">
      <c r="A174" t="inlineStr">
        <is>
          <t xml:space="preserve">        Clothing, clothing accessories, shoe, and jewelry retailers</t>
        </is>
      </c>
      <c r="B174" t="inlineStr">
        <is>
          <t>458000</t>
        </is>
      </c>
      <c r="C174" t="inlineStr">
        <is>
          <t>Summary</t>
        </is>
      </c>
      <c r="D174" t="n">
        <v>1136.2</v>
      </c>
      <c r="E174" t="n">
        <v>1104.8</v>
      </c>
      <c r="F174" t="n">
        <v>-31.4</v>
      </c>
      <c r="G174" t="n">
        <v>-2.8</v>
      </c>
      <c r="H174" t="n">
        <v>-0.3</v>
      </c>
      <c r="I174" t="inlineStr">
        <is>
          <t>—</t>
        </is>
      </c>
      <c r="J174" t="inlineStr">
        <is>
          <t>—</t>
        </is>
      </c>
      <c r="K174" t="inlineStr">
        <is>
          <t>—</t>
        </is>
      </c>
    </row>
    <row r="175">
      <c r="A175" t="inlineStr">
        <is>
          <t xml:space="preserve">          Clothing and clothing accessories retailers</t>
        </is>
      </c>
      <c r="B175" t="inlineStr">
        <is>
          <t>458100</t>
        </is>
      </c>
      <c r="C175" t="inlineStr">
        <is>
          <t>Line item</t>
        </is>
      </c>
      <c r="D175" t="n">
        <v>841.3</v>
      </c>
      <c r="E175" t="n">
        <v>824.4</v>
      </c>
      <c r="F175" t="n">
        <v>-16.9</v>
      </c>
      <c r="G175" t="n">
        <v>-2</v>
      </c>
      <c r="H175" t="n">
        <v>-0.2</v>
      </c>
      <c r="I175" t="inlineStr">
        <is>
          <t>—</t>
        </is>
      </c>
      <c r="J175" t="inlineStr">
        <is>
          <t>—</t>
        </is>
      </c>
      <c r="K175" t="inlineStr">
        <is>
          <t>—</t>
        </is>
      </c>
    </row>
    <row r="176">
      <c r="A176" t="inlineStr">
        <is>
          <t xml:space="preserve">          Shoe retailers</t>
        </is>
      </c>
      <c r="B176" t="inlineStr">
        <is>
          <t>458200</t>
        </is>
      </c>
      <c r="C176" t="inlineStr">
        <is>
          <t>Line item</t>
        </is>
      </c>
      <c r="D176" t="n">
        <v>169.9</v>
      </c>
      <c r="E176" t="n">
        <v>163</v>
      </c>
      <c r="F176" t="n">
        <v>-6.9</v>
      </c>
      <c r="G176" t="n">
        <v>-4.1</v>
      </c>
      <c r="H176" t="n">
        <v>-0.4</v>
      </c>
      <c r="I176" t="inlineStr">
        <is>
          <t>—</t>
        </is>
      </c>
      <c r="J176" t="inlineStr">
        <is>
          <t>—</t>
        </is>
      </c>
      <c r="K176" t="inlineStr">
        <is>
          <t>—</t>
        </is>
      </c>
    </row>
    <row r="177">
      <c r="A177" t="inlineStr">
        <is>
          <t xml:space="preserve">          Jewelry, luggage, and leather goods retailers</t>
        </is>
      </c>
      <c r="B177" t="inlineStr">
        <is>
          <t>458300</t>
        </is>
      </c>
      <c r="C177" t="inlineStr">
        <is>
          <t>Line item</t>
        </is>
      </c>
      <c r="D177" t="n">
        <v>125</v>
      </c>
      <c r="E177" t="n">
        <v>117.4</v>
      </c>
      <c r="F177" t="n">
        <v>-7.6</v>
      </c>
      <c r="G177" t="n">
        <v>-6.1</v>
      </c>
      <c r="H177" t="n">
        <v>-0.6</v>
      </c>
      <c r="I177" t="inlineStr">
        <is>
          <t>—</t>
        </is>
      </c>
      <c r="J177" t="inlineStr">
        <is>
          <t>—</t>
        </is>
      </c>
      <c r="K177" t="inlineStr">
        <is>
          <t>—</t>
        </is>
      </c>
    </row>
    <row r="178">
      <c r="A178" t="inlineStr">
        <is>
          <t xml:space="preserve">        Sporting goods, hobby, musical instrument, book, and miscellaneous retailers</t>
        </is>
      </c>
      <c r="B178" t="inlineStr">
        <is>
          <t>459000</t>
        </is>
      </c>
      <c r="C178" t="inlineStr">
        <is>
          <t>Summary</t>
        </is>
      </c>
      <c r="D178" t="n">
        <v>1507.8</v>
      </c>
      <c r="E178" t="n">
        <v>1397.9</v>
      </c>
      <c r="F178" t="n">
        <v>-109.9</v>
      </c>
      <c r="G178" t="n">
        <v>-7.3</v>
      </c>
      <c r="H178" t="n">
        <v>-0.8</v>
      </c>
      <c r="I178" t="inlineStr">
        <is>
          <t>—</t>
        </is>
      </c>
      <c r="J178" t="inlineStr">
        <is>
          <t>—</t>
        </is>
      </c>
      <c r="K178" t="inlineStr">
        <is>
          <t>—</t>
        </is>
      </c>
    </row>
    <row r="179">
      <c r="A179" t="inlineStr">
        <is>
          <t xml:space="preserve">          Sporting goods retailers</t>
        </is>
      </c>
      <c r="B179" t="inlineStr">
        <is>
          <t>459110</t>
        </is>
      </c>
      <c r="C179" t="inlineStr">
        <is>
          <t>Line item</t>
        </is>
      </c>
      <c r="D179" t="n">
        <v>299.2</v>
      </c>
      <c r="E179" t="n">
        <v>281.7</v>
      </c>
      <c r="F179" t="n">
        <v>-17.5</v>
      </c>
      <c r="G179" t="n">
        <v>-5.8</v>
      </c>
      <c r="H179" t="n">
        <v>-0.6</v>
      </c>
      <c r="I179" t="inlineStr">
        <is>
          <t>—</t>
        </is>
      </c>
      <c r="J179" t="inlineStr">
        <is>
          <t>—</t>
        </is>
      </c>
      <c r="K179" t="inlineStr">
        <is>
          <t>—</t>
        </is>
      </c>
    </row>
    <row r="180">
      <c r="A180" t="inlineStr">
        <is>
          <t xml:space="preserve">          Book retailers and news dealers</t>
        </is>
      </c>
      <c r="B180" t="inlineStr">
        <is>
          <t>459200</t>
        </is>
      </c>
      <c r="C180" t="inlineStr">
        <is>
          <t>Line item</t>
        </is>
      </c>
      <c r="D180" t="n">
        <v>65.8</v>
      </c>
      <c r="E180" t="n">
        <v>57</v>
      </c>
      <c r="F180" t="n">
        <v>-8.800000000000001</v>
      </c>
      <c r="G180" t="n">
        <v>-13.4</v>
      </c>
      <c r="H180" t="n">
        <v>-1.4</v>
      </c>
      <c r="I180" t="inlineStr">
        <is>
          <t>—</t>
        </is>
      </c>
      <c r="J180" t="inlineStr">
        <is>
          <t>—</t>
        </is>
      </c>
      <c r="K180" t="inlineStr">
        <is>
          <t>—</t>
        </is>
      </c>
    </row>
    <row r="181">
      <c r="A181" t="inlineStr">
        <is>
          <t xml:space="preserve">          Florists</t>
        </is>
      </c>
      <c r="B181" t="inlineStr">
        <is>
          <t>459300</t>
        </is>
      </c>
      <c r="C181" t="inlineStr">
        <is>
          <t>Line item</t>
        </is>
      </c>
      <c r="D181" t="n">
        <v>59</v>
      </c>
      <c r="E181" t="n">
        <v>53.7</v>
      </c>
      <c r="F181" t="n">
        <v>-5.3</v>
      </c>
      <c r="G181" t="n">
        <v>-9</v>
      </c>
      <c r="H181" t="n">
        <v>-0.9</v>
      </c>
      <c r="I181" t="inlineStr">
        <is>
          <t>—</t>
        </is>
      </c>
      <c r="J181" t="inlineStr">
        <is>
          <t>—</t>
        </is>
      </c>
      <c r="K181" t="inlineStr">
        <is>
          <t>—</t>
        </is>
      </c>
    </row>
    <row r="182">
      <c r="A182" t="inlineStr">
        <is>
          <t xml:space="preserve">          Miscellaneous store retailers (4594 and 4595 only)</t>
        </is>
      </c>
      <c r="B182" t="inlineStr">
        <is>
          <t>4590A1</t>
        </is>
      </c>
      <c r="C182" t="inlineStr">
        <is>
          <t>Line item</t>
        </is>
      </c>
      <c r="D182" t="n">
        <v>406.4</v>
      </c>
      <c r="E182" t="n">
        <v>366.9</v>
      </c>
      <c r="F182" t="n">
        <v>-39.5</v>
      </c>
      <c r="G182" t="n">
        <v>-9.699999999999999</v>
      </c>
      <c r="H182" t="n">
        <v>-1</v>
      </c>
      <c r="I182" t="inlineStr">
        <is>
          <t>—</t>
        </is>
      </c>
      <c r="J182" t="inlineStr">
        <is>
          <t>—</t>
        </is>
      </c>
      <c r="K182" t="inlineStr">
        <is>
          <t>—</t>
        </is>
      </c>
    </row>
    <row r="183">
      <c r="A183" t="inlineStr">
        <is>
          <t xml:space="preserve">          Other miscellaneous retailers</t>
        </is>
      </c>
      <c r="B183" t="inlineStr">
        <is>
          <t>459900</t>
        </is>
      </c>
      <c r="C183" t="inlineStr">
        <is>
          <t>Line item</t>
        </is>
      </c>
      <c r="D183" t="n">
        <v>487.7</v>
      </c>
      <c r="E183" t="n">
        <v>474.2</v>
      </c>
      <c r="F183" t="n">
        <v>-13.5</v>
      </c>
      <c r="G183" t="n">
        <v>-2.8</v>
      </c>
      <c r="H183" t="n">
        <v>-0.3</v>
      </c>
      <c r="I183" t="inlineStr">
        <is>
          <t>—</t>
        </is>
      </c>
      <c r="J183" t="inlineStr">
        <is>
          <t>—</t>
        </is>
      </c>
      <c r="K183" t="inlineStr">
        <is>
          <t>—</t>
        </is>
      </c>
    </row>
    <row r="184">
      <c r="A184" t="inlineStr">
        <is>
          <t xml:space="preserve">    Transportation and warehousing</t>
        </is>
      </c>
      <c r="B184" t="inlineStr">
        <is>
          <t>48-490</t>
        </is>
      </c>
      <c r="C184" t="inlineStr">
        <is>
          <t>Summary</t>
        </is>
      </c>
      <c r="D184" t="n">
        <v>6654.5</v>
      </c>
      <c r="E184" t="n">
        <v>6853.3</v>
      </c>
      <c r="F184" t="n">
        <v>198.8</v>
      </c>
      <c r="G184" t="n">
        <v>3</v>
      </c>
      <c r="H184" t="n">
        <v>0.3</v>
      </c>
      <c r="I184" t="n">
        <v>1382</v>
      </c>
      <c r="J184" t="n">
        <v>1720.3</v>
      </c>
      <c r="K184" t="n">
        <v>2.2</v>
      </c>
    </row>
    <row r="185">
      <c r="A185" t="inlineStr">
        <is>
          <t xml:space="preserve">      Air transportation</t>
        </is>
      </c>
      <c r="B185" t="inlineStr">
        <is>
          <t>481000</t>
        </is>
      </c>
      <c r="C185" t="inlineStr">
        <is>
          <t>Summary</t>
        </is>
      </c>
      <c r="D185" t="n">
        <v>564.4</v>
      </c>
      <c r="E185" t="n">
        <v>589.9</v>
      </c>
      <c r="F185" t="n">
        <v>25.5</v>
      </c>
      <c r="G185" t="n">
        <v>4.5</v>
      </c>
      <c r="H185" t="n">
        <v>0.4</v>
      </c>
      <c r="I185" t="n">
        <v>281.6</v>
      </c>
      <c r="J185" t="n">
        <v>353.6</v>
      </c>
      <c r="K185" t="n">
        <v>2.3</v>
      </c>
      <c r="L185" t="inlineStr">
        <is>
          <t>ISIC 51</t>
        </is>
      </c>
    </row>
    <row r="186">
      <c r="A186" t="inlineStr">
        <is>
          <t xml:space="preserve">        Scheduled air transportation</t>
        </is>
      </c>
      <c r="B186" t="inlineStr">
        <is>
          <t>481100</t>
        </is>
      </c>
      <c r="C186" t="inlineStr">
        <is>
          <t>Line item</t>
        </is>
      </c>
      <c r="D186" t="n">
        <v>504.5</v>
      </c>
      <c r="E186" t="n">
        <v>526.4</v>
      </c>
      <c r="F186" t="n">
        <v>21.9</v>
      </c>
      <c r="G186" t="n">
        <v>4.3</v>
      </c>
      <c r="H186" t="n">
        <v>0.4</v>
      </c>
      <c r="I186" t="inlineStr">
        <is>
          <t>—</t>
        </is>
      </c>
      <c r="J186" t="inlineStr">
        <is>
          <t>—</t>
        </is>
      </c>
      <c r="K186" t="inlineStr">
        <is>
          <t>—</t>
        </is>
      </c>
    </row>
    <row r="187">
      <c r="A187" t="inlineStr">
        <is>
          <t xml:space="preserve">        Nonscheduled air transportation</t>
        </is>
      </c>
      <c r="B187" t="inlineStr">
        <is>
          <t>481200</t>
        </is>
      </c>
      <c r="C187" t="inlineStr">
        <is>
          <t>Line item</t>
        </is>
      </c>
      <c r="D187" t="n">
        <v>59.9</v>
      </c>
      <c r="E187" t="n">
        <v>63.4</v>
      </c>
      <c r="F187" t="n">
        <v>3.5</v>
      </c>
      <c r="G187" t="n">
        <v>5.9</v>
      </c>
      <c r="H187" t="n">
        <v>0.6</v>
      </c>
      <c r="I187" t="inlineStr">
        <is>
          <t>—</t>
        </is>
      </c>
      <c r="J187" t="inlineStr">
        <is>
          <t>—</t>
        </is>
      </c>
      <c r="K187" t="inlineStr">
        <is>
          <t>—</t>
        </is>
      </c>
    </row>
    <row r="188">
      <c r="A188" t="inlineStr">
        <is>
          <t xml:space="preserve">      Rail transportation</t>
        </is>
      </c>
      <c r="B188" t="inlineStr">
        <is>
          <t>482000</t>
        </is>
      </c>
      <c r="C188" t="inlineStr">
        <is>
          <t>Line item</t>
        </is>
      </c>
      <c r="D188" t="n">
        <v>156.4</v>
      </c>
      <c r="E188" t="n">
        <v>157.1</v>
      </c>
      <c r="F188" t="n">
        <v>0.7</v>
      </c>
      <c r="G188" t="n">
        <v>0.4</v>
      </c>
      <c r="H188" t="n">
        <v>0</v>
      </c>
      <c r="I188" t="n">
        <v>71.5</v>
      </c>
      <c r="J188" t="n">
        <v>81.2</v>
      </c>
      <c r="K188" t="n">
        <v>1.3</v>
      </c>
      <c r="L188" t="inlineStr">
        <is>
          <t>ISIC 49</t>
        </is>
      </c>
    </row>
    <row r="189">
      <c r="A189" t="inlineStr">
        <is>
          <t xml:space="preserve">      Water transportation</t>
        </is>
      </c>
      <c r="B189" t="inlineStr">
        <is>
          <t>483000</t>
        </is>
      </c>
      <c r="C189" t="inlineStr">
        <is>
          <t>Summary</t>
        </is>
      </c>
      <c r="D189" t="n">
        <v>70</v>
      </c>
      <c r="E189" t="n">
        <v>71.40000000000001</v>
      </c>
      <c r="F189" t="n">
        <v>1.4</v>
      </c>
      <c r="G189" t="n">
        <v>2</v>
      </c>
      <c r="H189" t="n">
        <v>0.2</v>
      </c>
      <c r="I189" t="n">
        <v>55.6</v>
      </c>
      <c r="J189" t="n">
        <v>68.5</v>
      </c>
      <c r="K189" t="n">
        <v>2.1</v>
      </c>
      <c r="L189" t="inlineStr">
        <is>
          <t>ISIC 50</t>
        </is>
      </c>
    </row>
    <row r="190">
      <c r="A190" t="inlineStr">
        <is>
          <t xml:space="preserve">        Deep sea, coastal, and great lakes water transportation</t>
        </is>
      </c>
      <c r="B190" t="inlineStr">
        <is>
          <t>483100</t>
        </is>
      </c>
      <c r="C190" t="inlineStr">
        <is>
          <t>Line item</t>
        </is>
      </c>
      <c r="D190" t="n">
        <v>41.5</v>
      </c>
      <c r="E190" t="n">
        <v>42.3</v>
      </c>
      <c r="F190" t="n">
        <v>0.8</v>
      </c>
      <c r="G190" t="n">
        <v>2</v>
      </c>
      <c r="H190" t="n">
        <v>0.2</v>
      </c>
      <c r="I190" t="inlineStr">
        <is>
          <t>—</t>
        </is>
      </c>
      <c r="J190" t="inlineStr">
        <is>
          <t>—</t>
        </is>
      </c>
      <c r="K190" t="inlineStr">
        <is>
          <t>—</t>
        </is>
      </c>
    </row>
    <row r="191">
      <c r="A191" t="inlineStr">
        <is>
          <t xml:space="preserve">        Inland water transportation</t>
        </is>
      </c>
      <c r="B191" t="inlineStr">
        <is>
          <t>483200</t>
        </is>
      </c>
      <c r="C191" t="inlineStr">
        <is>
          <t>Line item</t>
        </is>
      </c>
      <c r="D191" t="n">
        <v>28.5</v>
      </c>
      <c r="E191" t="n">
        <v>29</v>
      </c>
      <c r="F191" t="n">
        <v>0.5</v>
      </c>
      <c r="G191" t="n">
        <v>1.9</v>
      </c>
      <c r="H191" t="n">
        <v>0.2</v>
      </c>
      <c r="I191" t="inlineStr">
        <is>
          <t>—</t>
        </is>
      </c>
      <c r="J191" t="inlineStr">
        <is>
          <t>—</t>
        </is>
      </c>
      <c r="K191" t="inlineStr">
        <is>
          <t>—</t>
        </is>
      </c>
    </row>
    <row r="192">
      <c r="A192" t="inlineStr">
        <is>
          <t xml:space="preserve">      Truck transportation</t>
        </is>
      </c>
      <c r="B192" t="inlineStr">
        <is>
          <t>484000</t>
        </is>
      </c>
      <c r="C192" t="inlineStr">
        <is>
          <t>Line item</t>
        </is>
      </c>
      <c r="D192" t="n">
        <v>1522.1</v>
      </c>
      <c r="E192" t="n">
        <v>1543.1</v>
      </c>
      <c r="F192" t="n">
        <v>21</v>
      </c>
      <c r="G192" t="n">
        <v>1.4</v>
      </c>
      <c r="H192" t="n">
        <v>0.1</v>
      </c>
      <c r="I192" t="n">
        <v>391.5</v>
      </c>
      <c r="J192" t="n">
        <v>487.1</v>
      </c>
      <c r="K192" t="n">
        <v>2.2</v>
      </c>
      <c r="L192" t="inlineStr">
        <is>
          <t>ISIC 49</t>
        </is>
      </c>
    </row>
    <row r="193">
      <c r="A193" t="inlineStr">
        <is>
          <t xml:space="preserve">      Transit and ground passenger transportation</t>
        </is>
      </c>
      <c r="B193" t="inlineStr">
        <is>
          <t>485000</t>
        </is>
      </c>
      <c r="C193" t="inlineStr">
        <is>
          <t>Summary</t>
        </is>
      </c>
      <c r="D193" t="n">
        <v>472.6</v>
      </c>
      <c r="E193" t="n">
        <v>488.6</v>
      </c>
      <c r="F193" t="n">
        <v>16</v>
      </c>
      <c r="G193" t="n">
        <v>3.4</v>
      </c>
      <c r="H193" t="n">
        <v>0.3</v>
      </c>
      <c r="I193" t="n">
        <v>157.8</v>
      </c>
      <c r="J193" t="n">
        <v>178.6</v>
      </c>
      <c r="K193" t="n">
        <v>1.2</v>
      </c>
      <c r="L193" t="inlineStr">
        <is>
          <t>ISIC 49</t>
        </is>
      </c>
    </row>
    <row r="194">
      <c r="A194" t="inlineStr">
        <is>
          <t xml:space="preserve">        Urban transit systems</t>
        </is>
      </c>
      <c r="B194" t="inlineStr">
        <is>
          <t>485100</t>
        </is>
      </c>
      <c r="C194" t="inlineStr">
        <is>
          <t>Line item</t>
        </is>
      </c>
      <c r="D194" t="n">
        <v>48</v>
      </c>
      <c r="E194" t="n">
        <v>49.8</v>
      </c>
      <c r="F194" t="n">
        <v>1.9</v>
      </c>
      <c r="G194" t="n">
        <v>3.9</v>
      </c>
      <c r="H194" t="n">
        <v>0.4</v>
      </c>
      <c r="I194" t="inlineStr">
        <is>
          <t>—</t>
        </is>
      </c>
      <c r="J194" t="inlineStr">
        <is>
          <t>—</t>
        </is>
      </c>
      <c r="K194" t="inlineStr">
        <is>
          <t>—</t>
        </is>
      </c>
    </row>
    <row r="195">
      <c r="A195" t="inlineStr">
        <is>
          <t xml:space="preserve">        Interurban and rural bus transportation</t>
        </is>
      </c>
      <c r="B195" t="inlineStr">
        <is>
          <t>485200</t>
        </is>
      </c>
      <c r="C195" t="inlineStr">
        <is>
          <t>Line item</t>
        </is>
      </c>
      <c r="D195" t="n">
        <v>16.2</v>
      </c>
      <c r="E195" t="n">
        <v>16.6</v>
      </c>
      <c r="F195" t="n">
        <v>0.5</v>
      </c>
      <c r="G195" t="n">
        <v>2.8</v>
      </c>
      <c r="H195" t="n">
        <v>0.2</v>
      </c>
      <c r="I195" t="inlineStr">
        <is>
          <t>—</t>
        </is>
      </c>
      <c r="J195" t="inlineStr">
        <is>
          <t>—</t>
        </is>
      </c>
      <c r="K195" t="inlineStr">
        <is>
          <t>—</t>
        </is>
      </c>
    </row>
    <row r="196">
      <c r="A196" t="inlineStr">
        <is>
          <t xml:space="preserve">        Taxi and limousine service</t>
        </is>
      </c>
      <c r="B196" t="inlineStr">
        <is>
          <t>485300</t>
        </is>
      </c>
      <c r="C196" t="inlineStr">
        <is>
          <t>Line item</t>
        </is>
      </c>
      <c r="D196" t="n">
        <v>71.2</v>
      </c>
      <c r="E196" t="n">
        <v>67.90000000000001</v>
      </c>
      <c r="F196" t="n">
        <v>-3.3</v>
      </c>
      <c r="G196" t="n">
        <v>-4.6</v>
      </c>
      <c r="H196" t="n">
        <v>-0.5</v>
      </c>
      <c r="I196" t="inlineStr">
        <is>
          <t>—</t>
        </is>
      </c>
      <c r="J196" t="inlineStr">
        <is>
          <t>—</t>
        </is>
      </c>
      <c r="K196" t="inlineStr">
        <is>
          <t>—</t>
        </is>
      </c>
    </row>
    <row r="197">
      <c r="A197" t="inlineStr">
        <is>
          <t xml:space="preserve">        School and employee bus transportation</t>
        </is>
      </c>
      <c r="B197" t="inlineStr">
        <is>
          <t>485400</t>
        </is>
      </c>
      <c r="C197" t="inlineStr">
        <is>
          <t>Line item</t>
        </is>
      </c>
      <c r="D197" t="n">
        <v>203</v>
      </c>
      <c r="E197" t="n">
        <v>208.4</v>
      </c>
      <c r="F197" t="n">
        <v>5.4</v>
      </c>
      <c r="G197" t="n">
        <v>2.7</v>
      </c>
      <c r="H197" t="n">
        <v>0.3</v>
      </c>
      <c r="I197" t="inlineStr">
        <is>
          <t>—</t>
        </is>
      </c>
      <c r="J197" t="inlineStr">
        <is>
          <t>—</t>
        </is>
      </c>
      <c r="K197" t="inlineStr">
        <is>
          <t>—</t>
        </is>
      </c>
    </row>
    <row r="198">
      <c r="A198" t="inlineStr">
        <is>
          <t xml:space="preserve">        Charter bus industry</t>
        </is>
      </c>
      <c r="B198" t="inlineStr">
        <is>
          <t>485500</t>
        </is>
      </c>
      <c r="C198" t="inlineStr">
        <is>
          <t>Line item</t>
        </is>
      </c>
      <c r="D198" t="n">
        <v>24.1</v>
      </c>
      <c r="E198" t="n">
        <v>24.9</v>
      </c>
      <c r="F198" t="n">
        <v>0.9</v>
      </c>
      <c r="G198" t="n">
        <v>3.5</v>
      </c>
      <c r="H198" t="n">
        <v>0.3</v>
      </c>
      <c r="I198" t="inlineStr">
        <is>
          <t>—</t>
        </is>
      </c>
      <c r="J198" t="inlineStr">
        <is>
          <t>—</t>
        </is>
      </c>
      <c r="K198" t="inlineStr">
        <is>
          <t>—</t>
        </is>
      </c>
    </row>
    <row r="199">
      <c r="A199" t="inlineStr">
        <is>
          <t xml:space="preserve">        Other transit and ground passenger transportation</t>
        </is>
      </c>
      <c r="B199" t="inlineStr">
        <is>
          <t>485900</t>
        </is>
      </c>
      <c r="C199" t="inlineStr">
        <is>
          <t>Line item</t>
        </is>
      </c>
      <c r="D199" t="n">
        <v>110.2</v>
      </c>
      <c r="E199" t="n">
        <v>120.9</v>
      </c>
      <c r="F199" t="n">
        <v>10.7</v>
      </c>
      <c r="G199" t="n">
        <v>9.699999999999999</v>
      </c>
      <c r="H199" t="n">
        <v>0.9</v>
      </c>
      <c r="I199" t="inlineStr">
        <is>
          <t>—</t>
        </is>
      </c>
      <c r="J199" t="inlineStr">
        <is>
          <t>—</t>
        </is>
      </c>
      <c r="K199" t="inlineStr">
        <is>
          <t>—</t>
        </is>
      </c>
    </row>
    <row r="200">
      <c r="A200" t="inlineStr">
        <is>
          <t xml:space="preserve">      Pipeline transportation</t>
        </is>
      </c>
      <c r="B200" t="inlineStr">
        <is>
          <t>486000</t>
        </is>
      </c>
      <c r="C200" t="inlineStr">
        <is>
          <t>Summary</t>
        </is>
      </c>
      <c r="D200" t="n">
        <v>55.4</v>
      </c>
      <c r="E200" t="n">
        <v>57.9</v>
      </c>
      <c r="F200" t="n">
        <v>2.5</v>
      </c>
      <c r="G200" t="n">
        <v>4.4</v>
      </c>
      <c r="H200" t="n">
        <v>0.4</v>
      </c>
      <c r="I200" t="n">
        <v>52.8</v>
      </c>
      <c r="J200" t="n">
        <v>62.5</v>
      </c>
      <c r="K200" t="n">
        <v>1.7</v>
      </c>
      <c r="L200" t="inlineStr">
        <is>
          <t>ISIC 352T353</t>
        </is>
      </c>
    </row>
    <row r="201">
      <c r="A201" t="inlineStr">
        <is>
          <t xml:space="preserve">        Pipeline transportation of crude oil</t>
        </is>
      </c>
      <c r="B201" t="inlineStr">
        <is>
          <t>486100</t>
        </is>
      </c>
      <c r="C201" t="inlineStr">
        <is>
          <t>Line item</t>
        </is>
      </c>
      <c r="D201" t="n">
        <v>12.6</v>
      </c>
      <c r="E201" t="n">
        <v>13</v>
      </c>
      <c r="F201" t="n">
        <v>0.4</v>
      </c>
      <c r="G201" t="n">
        <v>3.2</v>
      </c>
      <c r="H201" t="n">
        <v>0.3</v>
      </c>
      <c r="I201" t="inlineStr">
        <is>
          <t>—</t>
        </is>
      </c>
      <c r="J201" t="inlineStr">
        <is>
          <t>—</t>
        </is>
      </c>
      <c r="K201" t="inlineStr">
        <is>
          <t>—</t>
        </is>
      </c>
    </row>
    <row r="202">
      <c r="A202" t="inlineStr">
        <is>
          <t xml:space="preserve">        Pipeline transportation of natural gas</t>
        </is>
      </c>
      <c r="B202" t="inlineStr">
        <is>
          <t>486200</t>
        </is>
      </c>
      <c r="C202" t="inlineStr">
        <is>
          <t>Line item</t>
        </is>
      </c>
      <c r="D202" t="n">
        <v>35.2</v>
      </c>
      <c r="E202" t="n">
        <v>37.1</v>
      </c>
      <c r="F202" t="n">
        <v>1.9</v>
      </c>
      <c r="G202" t="n">
        <v>5.5</v>
      </c>
      <c r="H202" t="n">
        <v>0.5</v>
      </c>
      <c r="I202" t="inlineStr">
        <is>
          <t>—</t>
        </is>
      </c>
      <c r="J202" t="inlineStr">
        <is>
          <t>—</t>
        </is>
      </c>
      <c r="K202" t="inlineStr">
        <is>
          <t>—</t>
        </is>
      </c>
    </row>
    <row r="203">
      <c r="A203" t="inlineStr">
        <is>
          <t xml:space="preserve">        Other pipeline transportation</t>
        </is>
      </c>
      <c r="B203" t="inlineStr">
        <is>
          <t>486900</t>
        </is>
      </c>
      <c r="C203" t="inlineStr">
        <is>
          <t>Line item</t>
        </is>
      </c>
      <c r="D203" t="n">
        <v>7.6</v>
      </c>
      <c r="E203" t="n">
        <v>7.8</v>
      </c>
      <c r="F203" t="n">
        <v>0.1</v>
      </c>
      <c r="G203" t="n">
        <v>1.5</v>
      </c>
      <c r="H203" t="n">
        <v>0.3</v>
      </c>
      <c r="I203" t="inlineStr">
        <is>
          <t>—</t>
        </is>
      </c>
      <c r="J203" t="inlineStr">
        <is>
          <t>—</t>
        </is>
      </c>
      <c r="K203" t="inlineStr">
        <is>
          <t>—</t>
        </is>
      </c>
    </row>
    <row r="204">
      <c r="A204" t="inlineStr">
        <is>
          <t xml:space="preserve">      Scenic and sightseeing transportation and support activities for transportation</t>
        </is>
      </c>
      <c r="B204" t="inlineStr">
        <is>
          <t>487-80</t>
        </is>
      </c>
      <c r="C204" t="inlineStr">
        <is>
          <t>Summary</t>
        </is>
      </c>
      <c r="D204" t="n">
        <v>868.1</v>
      </c>
      <c r="E204" t="n">
        <v>914.9</v>
      </c>
      <c r="F204" t="n">
        <v>46.8</v>
      </c>
      <c r="G204" t="n">
        <v>5.4</v>
      </c>
      <c r="H204" t="n">
        <v>0.5</v>
      </c>
      <c r="I204" t="n">
        <v>165.5</v>
      </c>
      <c r="J204" t="n">
        <v>218.6</v>
      </c>
      <c r="K204" t="n">
        <v>2.8</v>
      </c>
      <c r="L204" t="inlineStr">
        <is>
          <t>ISIC 52</t>
        </is>
      </c>
    </row>
    <row r="205">
      <c r="A205" t="inlineStr">
        <is>
          <t xml:space="preserve">        Scenic and sightseeing transportation</t>
        </is>
      </c>
      <c r="B205" t="inlineStr">
        <is>
          <t>487000</t>
        </is>
      </c>
      <c r="C205" t="inlineStr">
        <is>
          <t>Summary</t>
        </is>
      </c>
      <c r="D205" t="n">
        <v>31.1</v>
      </c>
      <c r="E205" t="n">
        <v>31.6</v>
      </c>
      <c r="F205" t="n">
        <v>0.5</v>
      </c>
      <c r="G205" t="n">
        <v>1.5</v>
      </c>
      <c r="H205" t="n">
        <v>0.2</v>
      </c>
      <c r="I205" t="inlineStr">
        <is>
          <t>—</t>
        </is>
      </c>
      <c r="J205" t="inlineStr">
        <is>
          <t>—</t>
        </is>
      </c>
      <c r="K205" t="inlineStr">
        <is>
          <t>—</t>
        </is>
      </c>
    </row>
    <row r="206">
      <c r="A206" t="inlineStr">
        <is>
          <t xml:space="preserve">          Scenic and sightseeing transportation, land</t>
        </is>
      </c>
      <c r="B206" t="inlineStr">
        <is>
          <t>487100</t>
        </is>
      </c>
      <c r="C206" t="inlineStr">
        <is>
          <t>Line item</t>
        </is>
      </c>
      <c r="D206" t="n">
        <v>10.8</v>
      </c>
      <c r="E206" t="n">
        <v>11</v>
      </c>
      <c r="F206" t="n">
        <v>0.2</v>
      </c>
      <c r="G206" t="n">
        <v>2</v>
      </c>
      <c r="H206" t="n">
        <v>0.2</v>
      </c>
      <c r="I206" t="inlineStr">
        <is>
          <t>—</t>
        </is>
      </c>
      <c r="J206" t="inlineStr">
        <is>
          <t>—</t>
        </is>
      </c>
      <c r="K206" t="inlineStr">
        <is>
          <t>—</t>
        </is>
      </c>
    </row>
    <row r="207">
      <c r="A207" t="inlineStr">
        <is>
          <t xml:space="preserve">          Scenic and sightseeing transportation, water</t>
        </is>
      </c>
      <c r="B207" t="inlineStr">
        <is>
          <t>487200</t>
        </is>
      </c>
      <c r="C207" t="inlineStr">
        <is>
          <t>Line item</t>
        </is>
      </c>
      <c r="D207" t="n">
        <v>17.6</v>
      </c>
      <c r="E207" t="n">
        <v>17.7</v>
      </c>
      <c r="F207" t="n">
        <v>0.2</v>
      </c>
      <c r="G207" t="n">
        <v>0.9</v>
      </c>
      <c r="H207" t="n">
        <v>0.1</v>
      </c>
      <c r="I207" t="inlineStr">
        <is>
          <t>—</t>
        </is>
      </c>
      <c r="J207" t="inlineStr">
        <is>
          <t>—</t>
        </is>
      </c>
      <c r="K207" t="inlineStr">
        <is>
          <t>—</t>
        </is>
      </c>
    </row>
    <row r="208">
      <c r="A208" t="inlineStr">
        <is>
          <t xml:space="preserve">          Scenic and sightseeing transportation, other</t>
        </is>
      </c>
      <c r="B208" t="inlineStr">
        <is>
          <t>487900</t>
        </is>
      </c>
      <c r="C208" t="inlineStr">
        <is>
          <t>Line item</t>
        </is>
      </c>
      <c r="D208" t="n">
        <v>2.8</v>
      </c>
      <c r="E208" t="n">
        <v>2.8</v>
      </c>
      <c r="F208" t="n">
        <v>0.1</v>
      </c>
      <c r="G208" t="n">
        <v>2.8</v>
      </c>
      <c r="H208" t="n">
        <v>0</v>
      </c>
      <c r="I208" t="inlineStr">
        <is>
          <t>—</t>
        </is>
      </c>
      <c r="J208" t="inlineStr">
        <is>
          <t>—</t>
        </is>
      </c>
      <c r="K208" t="inlineStr">
        <is>
          <t>—</t>
        </is>
      </c>
    </row>
    <row r="209">
      <c r="A209" t="inlineStr">
        <is>
          <t xml:space="preserve">        Support activities for transportation</t>
        </is>
      </c>
      <c r="B209" t="inlineStr">
        <is>
          <t>488000</t>
        </is>
      </c>
      <c r="C209" t="inlineStr">
        <is>
          <t>Summary</t>
        </is>
      </c>
      <c r="D209" t="n">
        <v>837</v>
      </c>
      <c r="E209" t="n">
        <v>883.3</v>
      </c>
      <c r="F209" t="n">
        <v>46.3</v>
      </c>
      <c r="G209" t="n">
        <v>5.5</v>
      </c>
      <c r="H209" t="n">
        <v>0.5</v>
      </c>
      <c r="I209" t="inlineStr">
        <is>
          <t>—</t>
        </is>
      </c>
      <c r="J209" t="inlineStr">
        <is>
          <t>—</t>
        </is>
      </c>
      <c r="K209" t="inlineStr">
        <is>
          <t>—</t>
        </is>
      </c>
    </row>
    <row r="210">
      <c r="A210" t="inlineStr">
        <is>
          <t xml:space="preserve">          Support activities for air transportation</t>
        </is>
      </c>
      <c r="B210" t="inlineStr">
        <is>
          <t>488100</t>
        </is>
      </c>
      <c r="C210" t="inlineStr">
        <is>
          <t>Line item</t>
        </is>
      </c>
      <c r="D210" t="n">
        <v>272.3</v>
      </c>
      <c r="E210" t="n">
        <v>283.6</v>
      </c>
      <c r="F210" t="n">
        <v>11.3</v>
      </c>
      <c r="G210" t="n">
        <v>4.2</v>
      </c>
      <c r="H210" t="n">
        <v>0.4</v>
      </c>
      <c r="I210" t="inlineStr">
        <is>
          <t>—</t>
        </is>
      </c>
      <c r="J210" t="inlineStr">
        <is>
          <t>—</t>
        </is>
      </c>
      <c r="K210" t="inlineStr">
        <is>
          <t>—</t>
        </is>
      </c>
    </row>
    <row r="211">
      <c r="A211" t="inlineStr">
        <is>
          <t xml:space="preserve">          Support activities for rail transportation</t>
        </is>
      </c>
      <c r="B211" t="inlineStr">
        <is>
          <t>488200</t>
        </is>
      </c>
      <c r="C211" t="inlineStr">
        <is>
          <t>Line item</t>
        </is>
      </c>
      <c r="D211" t="n">
        <v>43.6</v>
      </c>
      <c r="E211" t="n">
        <v>43.9</v>
      </c>
      <c r="F211" t="n">
        <v>0.3</v>
      </c>
      <c r="G211" t="n">
        <v>0.7</v>
      </c>
      <c r="H211" t="n">
        <v>0.1</v>
      </c>
      <c r="I211" t="inlineStr">
        <is>
          <t>—</t>
        </is>
      </c>
      <c r="J211" t="inlineStr">
        <is>
          <t>—</t>
        </is>
      </c>
      <c r="K211" t="inlineStr">
        <is>
          <t>—</t>
        </is>
      </c>
    </row>
    <row r="212">
      <c r="A212" t="inlineStr">
        <is>
          <t xml:space="preserve">          Support activities for water transportation</t>
        </is>
      </c>
      <c r="B212" t="inlineStr">
        <is>
          <t>488300</t>
        </is>
      </c>
      <c r="C212" t="inlineStr">
        <is>
          <t>Line item</t>
        </is>
      </c>
      <c r="D212" t="n">
        <v>97.59999999999999</v>
      </c>
      <c r="E212" t="n">
        <v>99.7</v>
      </c>
      <c r="F212" t="n">
        <v>2.1</v>
      </c>
      <c r="G212" t="n">
        <v>2.2</v>
      </c>
      <c r="H212" t="n">
        <v>0.2</v>
      </c>
      <c r="I212" t="inlineStr">
        <is>
          <t>—</t>
        </is>
      </c>
      <c r="J212" t="inlineStr">
        <is>
          <t>—</t>
        </is>
      </c>
      <c r="K212" t="inlineStr">
        <is>
          <t>—</t>
        </is>
      </c>
    </row>
    <row r="213">
      <c r="A213" t="inlineStr">
        <is>
          <t xml:space="preserve">          Support activities for road transportation</t>
        </is>
      </c>
      <c r="B213" t="inlineStr">
        <is>
          <t>488400</t>
        </is>
      </c>
      <c r="C213" t="inlineStr">
        <is>
          <t>Line item</t>
        </is>
      </c>
      <c r="D213" t="n">
        <v>114.7</v>
      </c>
      <c r="E213" t="n">
        <v>118.9</v>
      </c>
      <c r="F213" t="n">
        <v>4.2</v>
      </c>
      <c r="G213" t="n">
        <v>3.7</v>
      </c>
      <c r="H213" t="n">
        <v>0.4</v>
      </c>
      <c r="I213" t="inlineStr">
        <is>
          <t>—</t>
        </is>
      </c>
      <c r="J213" t="inlineStr">
        <is>
          <t>—</t>
        </is>
      </c>
      <c r="K213" t="inlineStr">
        <is>
          <t>—</t>
        </is>
      </c>
    </row>
    <row r="214">
      <c r="A214" t="inlineStr">
        <is>
          <t xml:space="preserve">          Freight transportation arrangement</t>
        </is>
      </c>
      <c r="B214" t="inlineStr">
        <is>
          <t>488500</t>
        </is>
      </c>
      <c r="C214" t="inlineStr">
        <is>
          <t>Line item</t>
        </is>
      </c>
      <c r="D214" t="n">
        <v>266.1</v>
      </c>
      <c r="E214" t="n">
        <v>292.8</v>
      </c>
      <c r="F214" t="n">
        <v>26.7</v>
      </c>
      <c r="G214" t="n">
        <v>10</v>
      </c>
      <c r="H214" t="n">
        <v>1</v>
      </c>
      <c r="I214" t="inlineStr">
        <is>
          <t>—</t>
        </is>
      </c>
      <c r="J214" t="inlineStr">
        <is>
          <t>—</t>
        </is>
      </c>
      <c r="K214" t="inlineStr">
        <is>
          <t>—</t>
        </is>
      </c>
    </row>
    <row r="215">
      <c r="A215" t="inlineStr">
        <is>
          <t xml:space="preserve">          Other support activities for transportation</t>
        </is>
      </c>
      <c r="B215" t="inlineStr">
        <is>
          <t>488900</t>
        </is>
      </c>
      <c r="C215" t="inlineStr">
        <is>
          <t>Line item</t>
        </is>
      </c>
      <c r="D215" t="n">
        <v>42.7</v>
      </c>
      <c r="E215" t="n">
        <v>44.4</v>
      </c>
      <c r="F215" t="n">
        <v>1.7</v>
      </c>
      <c r="G215" t="n">
        <v>3.9</v>
      </c>
      <c r="H215" t="n">
        <v>0.4</v>
      </c>
      <c r="I215" t="inlineStr">
        <is>
          <t>—</t>
        </is>
      </c>
      <c r="J215" t="inlineStr">
        <is>
          <t>—</t>
        </is>
      </c>
      <c r="K215" t="inlineStr">
        <is>
          <t>—</t>
        </is>
      </c>
    </row>
    <row r="216">
      <c r="A216" t="inlineStr">
        <is>
          <t xml:space="preserve">      Couriers and messengers</t>
        </is>
      </c>
      <c r="B216" t="inlineStr">
        <is>
          <t>492000</t>
        </is>
      </c>
      <c r="C216" t="inlineStr">
        <is>
          <t>Summary</t>
        </is>
      </c>
      <c r="D216" t="n">
        <v>1096.4</v>
      </c>
      <c r="E216" t="n">
        <v>1155.4</v>
      </c>
      <c r="F216" t="n">
        <v>59</v>
      </c>
      <c r="G216" t="n">
        <v>5.4</v>
      </c>
      <c r="H216" t="n">
        <v>0.5</v>
      </c>
      <c r="I216" t="n">
        <v>96.40000000000001</v>
      </c>
      <c r="J216" t="n">
        <v>126.7</v>
      </c>
      <c r="K216" t="n">
        <v>2.8</v>
      </c>
      <c r="L216" t="inlineStr">
        <is>
          <t>ISIC 53</t>
        </is>
      </c>
    </row>
    <row r="217">
      <c r="A217" t="inlineStr">
        <is>
          <t xml:space="preserve">        Couriers and express delivery services</t>
        </is>
      </c>
      <c r="B217" t="inlineStr">
        <is>
          <t>492100</t>
        </is>
      </c>
      <c r="C217" t="inlineStr">
        <is>
          <t>Line item</t>
        </is>
      </c>
      <c r="D217" t="n">
        <v>909.8</v>
      </c>
      <c r="E217" t="n">
        <v>953.2</v>
      </c>
      <c r="F217" t="n">
        <v>43.4</v>
      </c>
      <c r="G217" t="n">
        <v>4.8</v>
      </c>
      <c r="H217" t="n">
        <v>0.5</v>
      </c>
      <c r="I217" t="inlineStr">
        <is>
          <t>—</t>
        </is>
      </c>
      <c r="J217" t="inlineStr">
        <is>
          <t>—</t>
        </is>
      </c>
      <c r="K217" t="inlineStr">
        <is>
          <t>—</t>
        </is>
      </c>
    </row>
    <row r="218">
      <c r="A218" t="inlineStr">
        <is>
          <t xml:space="preserve">        Local messengers and local delivery</t>
        </is>
      </c>
      <c r="B218" t="inlineStr">
        <is>
          <t>492200</t>
        </is>
      </c>
      <c r="C218" t="inlineStr">
        <is>
          <t>Line item</t>
        </is>
      </c>
      <c r="D218" t="n">
        <v>186.6</v>
      </c>
      <c r="E218" t="n">
        <v>202.2</v>
      </c>
      <c r="F218" t="n">
        <v>15.6</v>
      </c>
      <c r="G218" t="n">
        <v>8.4</v>
      </c>
      <c r="H218" t="n">
        <v>0.8</v>
      </c>
      <c r="I218" t="inlineStr">
        <is>
          <t>—</t>
        </is>
      </c>
      <c r="J218" t="inlineStr">
        <is>
          <t>—</t>
        </is>
      </c>
      <c r="K218" t="inlineStr">
        <is>
          <t>—</t>
        </is>
      </c>
    </row>
    <row r="219">
      <c r="A219" t="inlineStr">
        <is>
          <t xml:space="preserve">      Warehousing and storage</t>
        </is>
      </c>
      <c r="B219" t="inlineStr">
        <is>
          <t>493000</t>
        </is>
      </c>
      <c r="C219" t="inlineStr">
        <is>
          <t>Line item</t>
        </is>
      </c>
      <c r="D219" t="n">
        <v>1849.1</v>
      </c>
      <c r="E219" t="n">
        <v>1875.1</v>
      </c>
      <c r="F219" t="n">
        <v>26</v>
      </c>
      <c r="G219" t="n">
        <v>1.4</v>
      </c>
      <c r="H219" t="n">
        <v>0.1</v>
      </c>
      <c r="I219" t="n">
        <v>134.7</v>
      </c>
      <c r="J219" t="n">
        <v>169.7</v>
      </c>
      <c r="K219" t="n">
        <v>2.3</v>
      </c>
      <c r="L219" t="inlineStr">
        <is>
          <t>ISIC 52</t>
        </is>
      </c>
    </row>
    <row r="220">
      <c r="A220" t="inlineStr">
        <is>
          <t xml:space="preserve">    Information</t>
        </is>
      </c>
      <c r="B220" t="inlineStr">
        <is>
          <t>510000</t>
        </is>
      </c>
      <c r="C220" t="inlineStr">
        <is>
          <t>Summary</t>
        </is>
      </c>
      <c r="D220" t="n">
        <v>2942.8</v>
      </c>
      <c r="E220" t="n">
        <v>3135.1</v>
      </c>
      <c r="F220" t="n">
        <v>192.3</v>
      </c>
      <c r="G220" t="n">
        <v>6.5</v>
      </c>
      <c r="H220" t="n">
        <v>0.6</v>
      </c>
      <c r="I220" t="n">
        <v>2565.5</v>
      </c>
      <c r="J220" t="n">
        <v>3565.6</v>
      </c>
      <c r="K220" t="n">
        <v>3.3</v>
      </c>
    </row>
    <row r="221">
      <c r="A221" t="inlineStr">
        <is>
          <t xml:space="preserve">      Motion picture and sound recording industries</t>
        </is>
      </c>
      <c r="B221" t="inlineStr">
        <is>
          <t>512000</t>
        </is>
      </c>
      <c r="C221" t="inlineStr">
        <is>
          <t>Summary</t>
        </is>
      </c>
      <c r="D221" t="n">
        <v>400.7</v>
      </c>
      <c r="E221" t="n">
        <v>421.9</v>
      </c>
      <c r="F221" t="n">
        <v>21.2</v>
      </c>
      <c r="G221" t="n">
        <v>5.3</v>
      </c>
      <c r="H221" t="n">
        <v>0.5</v>
      </c>
      <c r="I221" t="n">
        <v>190</v>
      </c>
      <c r="J221" t="n">
        <v>249.7</v>
      </c>
      <c r="K221" t="n">
        <v>2.8</v>
      </c>
      <c r="L221" t="inlineStr">
        <is>
          <t>ISIC 58T60</t>
        </is>
      </c>
    </row>
    <row r="222">
      <c r="A222" t="inlineStr">
        <is>
          <t xml:space="preserve">        Motion picture and video industries</t>
        </is>
      </c>
      <c r="B222" t="inlineStr">
        <is>
          <t>512100</t>
        </is>
      </c>
      <c r="C222" t="inlineStr">
        <is>
          <t>Summary</t>
        </is>
      </c>
      <c r="D222" t="n">
        <v>378.1</v>
      </c>
      <c r="E222" t="n">
        <v>398.5</v>
      </c>
      <c r="F222" t="n">
        <v>20.4</v>
      </c>
      <c r="G222" t="n">
        <v>5.4</v>
      </c>
      <c r="H222" t="n">
        <v>0.5</v>
      </c>
      <c r="I222" t="n">
        <v>159.1</v>
      </c>
      <c r="J222" t="n">
        <v>205.8</v>
      </c>
      <c r="K222" t="n">
        <v>2.6</v>
      </c>
    </row>
    <row r="223">
      <c r="A223" t="inlineStr">
        <is>
          <t xml:space="preserve">          Motion picture and video exhibition</t>
        </is>
      </c>
      <c r="B223" t="inlineStr">
        <is>
          <t>512130</t>
        </is>
      </c>
      <c r="C223" t="inlineStr">
        <is>
          <t>Line item</t>
        </is>
      </c>
      <c r="D223" t="n">
        <v>118.5</v>
      </c>
      <c r="E223" t="n">
        <v>120.3</v>
      </c>
      <c r="F223" t="n">
        <v>1.8</v>
      </c>
      <c r="G223" t="n">
        <v>1.6</v>
      </c>
      <c r="H223" t="n">
        <v>0.2</v>
      </c>
      <c r="I223" t="inlineStr">
        <is>
          <t>—</t>
        </is>
      </c>
      <c r="J223" t="inlineStr">
        <is>
          <t>—</t>
        </is>
      </c>
      <c r="K223" t="inlineStr">
        <is>
          <t>—</t>
        </is>
      </c>
    </row>
    <row r="224">
      <c r="A224" t="inlineStr">
        <is>
          <t xml:space="preserve">        Sound recording industries</t>
        </is>
      </c>
      <c r="B224" t="inlineStr">
        <is>
          <t>512200</t>
        </is>
      </c>
      <c r="C224" t="inlineStr">
        <is>
          <t>Line item</t>
        </is>
      </c>
      <c r="D224" t="n">
        <v>22.6</v>
      </c>
      <c r="E224" t="n">
        <v>23.4</v>
      </c>
      <c r="F224" t="n">
        <v>0.8</v>
      </c>
      <c r="G224" t="n">
        <v>3.4</v>
      </c>
      <c r="H224" t="n">
        <v>0.3</v>
      </c>
      <c r="I224" t="n">
        <v>31.4</v>
      </c>
      <c r="J224" t="n">
        <v>45.1</v>
      </c>
      <c r="K224" t="n">
        <v>3.7</v>
      </c>
    </row>
    <row r="225">
      <c r="A225" t="inlineStr">
        <is>
          <t xml:space="preserve">      Publishing, broadcasting, and content providers</t>
        </is>
      </c>
      <c r="B225" t="inlineStr">
        <is>
          <t>513-90</t>
        </is>
      </c>
      <c r="C225" t="inlineStr">
        <is>
          <t>Summary</t>
        </is>
      </c>
      <c r="D225" t="n">
        <v>2542.1</v>
      </c>
      <c r="E225" t="n">
        <v>2713.3</v>
      </c>
      <c r="F225" t="n">
        <v>171.2</v>
      </c>
      <c r="G225" t="n">
        <v>6.7</v>
      </c>
      <c r="H225" t="n">
        <v>0.7</v>
      </c>
      <c r="I225" t="n">
        <v>2375.8</v>
      </c>
      <c r="J225" t="n">
        <v>3317.5</v>
      </c>
      <c r="K225" t="n">
        <v>3.4</v>
      </c>
    </row>
    <row r="226">
      <c r="A226" t="inlineStr">
        <is>
          <t xml:space="preserve">        Software publishers</t>
        </is>
      </c>
      <c r="B226" t="inlineStr">
        <is>
          <t>513200</t>
        </is>
      </c>
      <c r="C226" t="inlineStr">
        <is>
          <t>Line item</t>
        </is>
      </c>
      <c r="D226" t="n">
        <v>645.7</v>
      </c>
      <c r="E226" t="n">
        <v>770.3</v>
      </c>
      <c r="F226" t="n">
        <v>124.6</v>
      </c>
      <c r="G226" t="n">
        <v>19.3</v>
      </c>
      <c r="H226" t="n">
        <v>1.8</v>
      </c>
      <c r="I226" t="n">
        <v>552.2</v>
      </c>
      <c r="J226" t="n">
        <v>896.1</v>
      </c>
      <c r="K226" t="n">
        <v>5</v>
      </c>
      <c r="L226" t="inlineStr">
        <is>
          <t>ISIC 58T60</t>
        </is>
      </c>
    </row>
    <row r="227">
      <c r="A227" t="inlineStr">
        <is>
          <t xml:space="preserve">        Miscellaneous information services (5131, 516, 519)</t>
        </is>
      </c>
      <c r="B227" t="inlineStr">
        <is>
          <t>5136A9</t>
        </is>
      </c>
      <c r="C227" t="inlineStr">
        <is>
          <t>Summary</t>
        </is>
      </c>
      <c r="D227" t="n">
        <v>792.5</v>
      </c>
      <c r="E227" t="n">
        <v>794.2</v>
      </c>
      <c r="F227" t="n">
        <v>1.7</v>
      </c>
      <c r="G227" t="n">
        <v>0.2</v>
      </c>
      <c r="H227" t="n">
        <v>0</v>
      </c>
      <c r="I227" t="n">
        <v>771.6</v>
      </c>
      <c r="J227" t="n">
        <v>1010.7</v>
      </c>
      <c r="K227" t="n">
        <v>2.7</v>
      </c>
      <c r="L227" t="inlineStr">
        <is>
          <t>ISIC 58T60</t>
        </is>
      </c>
    </row>
    <row r="228">
      <c r="A228" t="inlineStr">
        <is>
          <t xml:space="preserve">          Newspaper, Periodical, Book, and Directory Publishers</t>
        </is>
      </c>
      <c r="B228" t="inlineStr">
        <is>
          <t>513100</t>
        </is>
      </c>
      <c r="C228" t="inlineStr">
        <is>
          <t>Summary</t>
        </is>
      </c>
      <c r="D228" t="n">
        <v>268.5</v>
      </c>
      <c r="E228" t="n">
        <v>244.6</v>
      </c>
      <c r="F228" t="n">
        <v>-23.9</v>
      </c>
      <c r="G228" t="n">
        <v>-8.9</v>
      </c>
      <c r="H228" t="n">
        <v>-0.9</v>
      </c>
      <c r="I228" t="inlineStr">
        <is>
          <t>—</t>
        </is>
      </c>
      <c r="J228" t="inlineStr">
        <is>
          <t>—</t>
        </is>
      </c>
      <c r="K228" t="inlineStr">
        <is>
          <t>—</t>
        </is>
      </c>
    </row>
    <row r="229">
      <c r="A229" t="inlineStr">
        <is>
          <t xml:space="preserve">            Newspaper publishers</t>
        </is>
      </c>
      <c r="B229" t="inlineStr">
        <is>
          <t>513110</t>
        </is>
      </c>
      <c r="C229" t="inlineStr">
        <is>
          <t>Line item</t>
        </is>
      </c>
      <c r="D229" t="n">
        <v>89.40000000000001</v>
      </c>
      <c r="E229" t="n">
        <v>71.5</v>
      </c>
      <c r="F229" t="n">
        <v>-17.9</v>
      </c>
      <c r="G229" t="n">
        <v>-20</v>
      </c>
      <c r="H229" t="n">
        <v>-2.2</v>
      </c>
      <c r="I229" t="inlineStr">
        <is>
          <t>—</t>
        </is>
      </c>
      <c r="J229" t="inlineStr">
        <is>
          <t>—</t>
        </is>
      </c>
      <c r="K229" t="inlineStr">
        <is>
          <t>—</t>
        </is>
      </c>
    </row>
    <row r="230">
      <c r="A230" t="inlineStr">
        <is>
          <t xml:space="preserve">          Broadcasting and Content Providers</t>
        </is>
      </c>
      <c r="B230" t="inlineStr">
        <is>
          <t>516000</t>
        </is>
      </c>
      <c r="C230" t="inlineStr">
        <is>
          <t>Summary</t>
        </is>
      </c>
      <c r="D230" t="n">
        <v>340.2</v>
      </c>
      <c r="E230" t="n">
        <v>343.1</v>
      </c>
      <c r="F230" t="n">
        <v>2.9</v>
      </c>
      <c r="G230" t="n">
        <v>0.9</v>
      </c>
      <c r="H230" t="n">
        <v>0.1</v>
      </c>
      <c r="I230" t="inlineStr">
        <is>
          <t>—</t>
        </is>
      </c>
      <c r="J230" t="inlineStr">
        <is>
          <t>—</t>
        </is>
      </c>
      <c r="K230" t="inlineStr">
        <is>
          <t>—</t>
        </is>
      </c>
    </row>
    <row r="231">
      <c r="A231" t="inlineStr">
        <is>
          <t xml:space="preserve">            Radio and Television Broadcasting Stations</t>
        </is>
      </c>
      <c r="B231" t="inlineStr">
        <is>
          <t>516100</t>
        </is>
      </c>
      <c r="C231" t="inlineStr">
        <is>
          <t>Summary</t>
        </is>
      </c>
      <c r="D231" t="n">
        <v>118.1</v>
      </c>
      <c r="E231" t="n">
        <v>111.2</v>
      </c>
      <c r="F231" t="n">
        <v>-6.9</v>
      </c>
      <c r="G231" t="n">
        <v>-5.9</v>
      </c>
      <c r="H231" t="n">
        <v>-0.6</v>
      </c>
      <c r="I231" t="inlineStr">
        <is>
          <t>—</t>
        </is>
      </c>
      <c r="J231" t="inlineStr">
        <is>
          <t>—</t>
        </is>
      </c>
      <c r="K231" t="inlineStr">
        <is>
          <t>—</t>
        </is>
      </c>
    </row>
    <row r="232">
      <c r="A232" t="inlineStr">
        <is>
          <t xml:space="preserve">              Radio broadcasting stations</t>
        </is>
      </c>
      <c r="B232" t="inlineStr">
        <is>
          <t>516110</t>
        </is>
      </c>
      <c r="C232" t="inlineStr">
        <is>
          <t>Line item</t>
        </is>
      </c>
      <c r="D232" t="n">
        <v>51.2</v>
      </c>
      <c r="E232" t="n">
        <v>48</v>
      </c>
      <c r="F232" t="n">
        <v>-3.2</v>
      </c>
      <c r="G232" t="n">
        <v>-6.2</v>
      </c>
      <c r="H232" t="n">
        <v>-0.6</v>
      </c>
      <c r="I232" t="inlineStr">
        <is>
          <t>—</t>
        </is>
      </c>
      <c r="J232" t="inlineStr">
        <is>
          <t>—</t>
        </is>
      </c>
      <c r="K232" t="inlineStr">
        <is>
          <t>—</t>
        </is>
      </c>
    </row>
    <row r="233">
      <c r="A233" t="inlineStr">
        <is>
          <t xml:space="preserve">              Television broadcasting stations</t>
        </is>
      </c>
      <c r="B233" t="inlineStr">
        <is>
          <t>516120</t>
        </is>
      </c>
      <c r="C233" t="inlineStr">
        <is>
          <t>Line item</t>
        </is>
      </c>
      <c r="D233" t="n">
        <v>66.90000000000001</v>
      </c>
      <c r="E233" t="n">
        <v>63.1</v>
      </c>
      <c r="F233" t="n">
        <v>-3.8</v>
      </c>
      <c r="G233" t="n">
        <v>-5.6</v>
      </c>
      <c r="H233" t="n">
        <v>-0.6</v>
      </c>
      <c r="I233" t="inlineStr">
        <is>
          <t>—</t>
        </is>
      </c>
      <c r="J233" t="inlineStr">
        <is>
          <t>—</t>
        </is>
      </c>
      <c r="K233" t="inlineStr">
        <is>
          <t>—</t>
        </is>
      </c>
    </row>
    <row r="234">
      <c r="A234" t="inlineStr">
        <is>
          <t xml:space="preserve">            Media streaming distribution services, social networks, and other media networks and content providers</t>
        </is>
      </c>
      <c r="B234" t="inlineStr">
        <is>
          <t>516210</t>
        </is>
      </c>
      <c r="C234" t="inlineStr">
        <is>
          <t>Line item</t>
        </is>
      </c>
      <c r="D234" t="n">
        <v>222.1</v>
      </c>
      <c r="E234" t="n">
        <v>231.9</v>
      </c>
      <c r="F234" t="n">
        <v>9.800000000000001</v>
      </c>
      <c r="G234" t="n">
        <v>4.4</v>
      </c>
      <c r="H234" t="n">
        <v>0.4</v>
      </c>
      <c r="I234" t="inlineStr">
        <is>
          <t>—</t>
        </is>
      </c>
      <c r="J234" t="inlineStr">
        <is>
          <t>—</t>
        </is>
      </c>
      <c r="K234" t="inlineStr">
        <is>
          <t>—</t>
        </is>
      </c>
    </row>
    <row r="235">
      <c r="A235" t="inlineStr">
        <is>
          <t xml:space="preserve">          Web search portals, libraries, archives, and other information services</t>
        </is>
      </c>
      <c r="B235" t="inlineStr">
        <is>
          <t>519000</t>
        </is>
      </c>
      <c r="C235" t="inlineStr">
        <is>
          <t>Line item</t>
        </is>
      </c>
      <c r="D235" t="n">
        <v>183.8</v>
      </c>
      <c r="E235" t="n">
        <v>206.5</v>
      </c>
      <c r="F235" t="n">
        <v>22.7</v>
      </c>
      <c r="G235" t="n">
        <v>12.3</v>
      </c>
      <c r="H235" t="n">
        <v>1.2</v>
      </c>
      <c r="I235" t="inlineStr">
        <is>
          <t>—</t>
        </is>
      </c>
      <c r="J235" t="inlineStr">
        <is>
          <t>—</t>
        </is>
      </c>
      <c r="K235" t="inlineStr">
        <is>
          <t>—</t>
        </is>
      </c>
    </row>
    <row r="236">
      <c r="A236" t="inlineStr">
        <is>
          <t xml:space="preserve">        Telecommunications</t>
        </is>
      </c>
      <c r="B236" t="inlineStr">
        <is>
          <t>517000</t>
        </is>
      </c>
      <c r="C236" t="inlineStr">
        <is>
          <t>Line item</t>
        </is>
      </c>
      <c r="D236" t="n">
        <v>621.3</v>
      </c>
      <c r="E236" t="n">
        <v>568.3</v>
      </c>
      <c r="F236" t="n">
        <v>-53</v>
      </c>
      <c r="G236" t="n">
        <v>-8.5</v>
      </c>
      <c r="H236" t="n">
        <v>-0.9</v>
      </c>
      <c r="I236" t="n">
        <v>674.3</v>
      </c>
      <c r="J236" t="n">
        <v>876.8</v>
      </c>
      <c r="K236" t="n">
        <v>2.7</v>
      </c>
      <c r="L236" t="inlineStr">
        <is>
          <t>ISIC 61</t>
        </is>
      </c>
    </row>
    <row r="237">
      <c r="A237" t="inlineStr">
        <is>
          <t xml:space="preserve">        Computing infrastructure providers, data processing, web hosting, and related services</t>
        </is>
      </c>
      <c r="B237" t="inlineStr">
        <is>
          <t>518000</t>
        </is>
      </c>
      <c r="C237" t="inlineStr">
        <is>
          <t>Line item</t>
        </is>
      </c>
      <c r="D237" t="n">
        <v>482.6</v>
      </c>
      <c r="E237" t="n">
        <v>580.5</v>
      </c>
      <c r="F237" t="n">
        <v>97.90000000000001</v>
      </c>
      <c r="G237" t="n">
        <v>20.3</v>
      </c>
      <c r="H237" t="n">
        <v>1.9</v>
      </c>
      <c r="I237" t="n">
        <v>387.3</v>
      </c>
      <c r="J237" t="n">
        <v>564.8</v>
      </c>
      <c r="K237" t="n">
        <v>3.8</v>
      </c>
      <c r="L237" t="inlineStr">
        <is>
          <t>ISIC 62T63</t>
        </is>
      </c>
    </row>
    <row r="238">
      <c r="A238" t="inlineStr">
        <is>
          <t xml:space="preserve">    Finance and insurance</t>
        </is>
      </c>
      <c r="B238" t="inlineStr">
        <is>
          <t>520000</t>
        </is>
      </c>
      <c r="C238" t="inlineStr">
        <is>
          <t>Summary</t>
        </is>
      </c>
      <c r="D238" t="n">
        <v>6702.8</v>
      </c>
      <c r="E238" t="n">
        <v>6929.2</v>
      </c>
      <c r="F238" t="n">
        <v>226.4</v>
      </c>
      <c r="G238" t="n">
        <v>3.4</v>
      </c>
      <c r="H238" t="n">
        <v>0.3</v>
      </c>
      <c r="I238" t="n">
        <v>3139.5</v>
      </c>
      <c r="J238" t="n">
        <v>3825.4</v>
      </c>
      <c r="K238" t="n">
        <v>2</v>
      </c>
      <c r="L238" t="inlineStr">
        <is>
          <t>ISIC 64T66</t>
        </is>
      </c>
    </row>
    <row r="239">
      <c r="A239" t="inlineStr">
        <is>
          <t xml:space="preserve">      Monetary authorities - central bank, and credit intermediation and related activities</t>
        </is>
      </c>
      <c r="B239" t="inlineStr">
        <is>
          <t>521-20</t>
        </is>
      </c>
      <c r="C239" t="inlineStr">
        <is>
          <t>Summary</t>
        </is>
      </c>
      <c r="D239" t="n">
        <v>2586.3</v>
      </c>
      <c r="E239" t="n">
        <v>2634.9</v>
      </c>
      <c r="F239" t="n">
        <v>48.6</v>
      </c>
      <c r="G239" t="n">
        <v>1.9</v>
      </c>
      <c r="H239" t="n">
        <v>0.2</v>
      </c>
      <c r="I239" t="n">
        <v>1015</v>
      </c>
      <c r="J239" t="n">
        <v>1264.9</v>
      </c>
      <c r="K239" t="n">
        <v>2.2</v>
      </c>
    </row>
    <row r="240">
      <c r="A240" t="inlineStr">
        <is>
          <t xml:space="preserve">        Monetary authorities-central bank</t>
        </is>
      </c>
      <c r="B240" t="inlineStr">
        <is>
          <t>521000</t>
        </is>
      </c>
      <c r="C240" t="inlineStr">
        <is>
          <t>Line item</t>
        </is>
      </c>
      <c r="D240" t="n">
        <v>20.8</v>
      </c>
      <c r="E240" t="n">
        <v>21.3</v>
      </c>
      <c r="F240" t="n">
        <v>0.5</v>
      </c>
      <c r="G240" t="n">
        <v>2.6</v>
      </c>
      <c r="H240" t="n">
        <v>0.2</v>
      </c>
      <c r="I240" t="inlineStr">
        <is>
          <t>—</t>
        </is>
      </c>
      <c r="J240" t="inlineStr">
        <is>
          <t>—</t>
        </is>
      </c>
      <c r="K240" t="inlineStr">
        <is>
          <t>—</t>
        </is>
      </c>
    </row>
    <row r="241">
      <c r="A241" t="inlineStr">
        <is>
          <t xml:space="preserve">        Credit intermediation and related activities</t>
        </is>
      </c>
      <c r="B241" t="inlineStr">
        <is>
          <t>522000</t>
        </is>
      </c>
      <c r="C241" t="inlineStr">
        <is>
          <t>Summary</t>
        </is>
      </c>
      <c r="D241" t="n">
        <v>2565.5</v>
      </c>
      <c r="E241" t="n">
        <v>2613.6</v>
      </c>
      <c r="F241" t="n">
        <v>48.1</v>
      </c>
      <c r="G241" t="n">
        <v>1.9</v>
      </c>
      <c r="H241" t="n">
        <v>0.2</v>
      </c>
      <c r="I241" t="inlineStr">
        <is>
          <t>—</t>
        </is>
      </c>
      <c r="J241" t="inlineStr">
        <is>
          <t>—</t>
        </is>
      </c>
      <c r="K241" t="inlineStr">
        <is>
          <t>—</t>
        </is>
      </c>
    </row>
    <row r="242">
      <c r="A242" t="inlineStr">
        <is>
          <t xml:space="preserve">          Credit intermediation and related activities (5221,3)</t>
        </is>
      </c>
      <c r="B242" t="inlineStr">
        <is>
          <t>5220A1</t>
        </is>
      </c>
      <c r="C242" t="inlineStr">
        <is>
          <t>Line item</t>
        </is>
      </c>
      <c r="D242" t="n">
        <v>2059.3</v>
      </c>
      <c r="E242" t="n">
        <v>2110</v>
      </c>
      <c r="F242" t="n">
        <v>50.7</v>
      </c>
      <c r="G242" t="n">
        <v>2.5</v>
      </c>
      <c r="H242" t="n">
        <v>0.2</v>
      </c>
      <c r="I242" t="inlineStr">
        <is>
          <t>—</t>
        </is>
      </c>
      <c r="J242" t="inlineStr">
        <is>
          <t>—</t>
        </is>
      </c>
      <c r="K242" t="inlineStr">
        <is>
          <t>—</t>
        </is>
      </c>
    </row>
    <row r="243">
      <c r="A243" t="inlineStr">
        <is>
          <t xml:space="preserve">          Nondepository credit intermediation</t>
        </is>
      </c>
      <c r="B243" t="inlineStr">
        <is>
          <t>522200</t>
        </is>
      </c>
      <c r="C243" t="inlineStr">
        <is>
          <t>Summary</t>
        </is>
      </c>
      <c r="D243" t="n">
        <v>506.2</v>
      </c>
      <c r="E243" t="n">
        <v>503.5</v>
      </c>
      <c r="F243" t="n">
        <v>-2.7</v>
      </c>
      <c r="G243" t="n">
        <v>-0.5</v>
      </c>
      <c r="H243" t="n">
        <v>-0.1</v>
      </c>
      <c r="I243" t="inlineStr">
        <is>
          <t>—</t>
        </is>
      </c>
      <c r="J243" t="inlineStr">
        <is>
          <t>—</t>
        </is>
      </c>
      <c r="K243" t="inlineStr">
        <is>
          <t>—</t>
        </is>
      </c>
    </row>
    <row r="244">
      <c r="A244" t="inlineStr">
        <is>
          <t xml:space="preserve">            Other nondepository credit intermediation</t>
        </is>
      </c>
      <c r="B244" t="inlineStr">
        <is>
          <t>522290</t>
        </is>
      </c>
      <c r="C244" t="inlineStr">
        <is>
          <t>Line item</t>
        </is>
      </c>
      <c r="D244" t="n">
        <v>358.4</v>
      </c>
      <c r="E244" t="n">
        <v>355.7</v>
      </c>
      <c r="F244" t="n">
        <v>-2.7</v>
      </c>
      <c r="G244" t="n">
        <v>-0.7</v>
      </c>
      <c r="H244" t="n">
        <v>-0.1</v>
      </c>
      <c r="I244" t="inlineStr">
        <is>
          <t>—</t>
        </is>
      </c>
      <c r="J244" t="inlineStr">
        <is>
          <t>—</t>
        </is>
      </c>
      <c r="K244" t="inlineStr">
        <is>
          <t>—</t>
        </is>
      </c>
    </row>
    <row r="245">
      <c r="A245" t="inlineStr">
        <is>
          <t xml:space="preserve">      Securities, commodity contracts, and other financial investments and related activities</t>
        </is>
      </c>
      <c r="B245" t="inlineStr">
        <is>
          <t>523000</t>
        </is>
      </c>
      <c r="C245" t="inlineStr">
        <is>
          <t>Line item</t>
        </is>
      </c>
      <c r="D245" t="n">
        <v>1084.9</v>
      </c>
      <c r="E245" t="n">
        <v>1150.3</v>
      </c>
      <c r="F245" t="n">
        <v>65.40000000000001</v>
      </c>
      <c r="G245" t="n">
        <v>6</v>
      </c>
      <c r="H245" t="n">
        <v>0.6</v>
      </c>
      <c r="I245" t="n">
        <v>721.7</v>
      </c>
      <c r="J245" t="n">
        <v>892.4</v>
      </c>
      <c r="K245" t="n">
        <v>2.1</v>
      </c>
    </row>
    <row r="246">
      <c r="A246" t="inlineStr">
        <is>
          <t xml:space="preserve">      Insurance carriers and related activities</t>
        </is>
      </c>
      <c r="B246" t="inlineStr">
        <is>
          <t>524000</t>
        </is>
      </c>
      <c r="C246" t="inlineStr">
        <is>
          <t>Summary</t>
        </is>
      </c>
      <c r="D246" t="n">
        <v>3000.5</v>
      </c>
      <c r="E246" t="n">
        <v>3110.9</v>
      </c>
      <c r="F246" t="n">
        <v>110.4</v>
      </c>
      <c r="G246" t="n">
        <v>3.7</v>
      </c>
      <c r="H246" t="n">
        <v>0.4</v>
      </c>
      <c r="I246" t="n">
        <v>1253</v>
      </c>
      <c r="J246" t="n">
        <v>1511.3</v>
      </c>
      <c r="K246" t="n">
        <v>1.9</v>
      </c>
    </row>
    <row r="247">
      <c r="A247" t="inlineStr">
        <is>
          <t xml:space="preserve">        Insurance carriers</t>
        </is>
      </c>
      <c r="B247" t="inlineStr">
        <is>
          <t>524100</t>
        </is>
      </c>
      <c r="C247" t="inlineStr">
        <is>
          <t>Summary</t>
        </is>
      </c>
      <c r="D247" t="n">
        <v>1614</v>
      </c>
      <c r="E247" t="n">
        <v>1660.8</v>
      </c>
      <c r="F247" t="n">
        <v>46.8</v>
      </c>
      <c r="G247" t="n">
        <v>2.9</v>
      </c>
      <c r="H247" t="n">
        <v>0.3</v>
      </c>
      <c r="I247" t="n">
        <v>724</v>
      </c>
      <c r="J247" t="n">
        <v>870</v>
      </c>
      <c r="K247" t="n">
        <v>1.9</v>
      </c>
    </row>
    <row r="248">
      <c r="A248" t="inlineStr">
        <is>
          <t xml:space="preserve">          Direct health and medical insurance carriers</t>
        </is>
      </c>
      <c r="B248" t="inlineStr">
        <is>
          <t>524114</t>
        </is>
      </c>
      <c r="C248" t="inlineStr">
        <is>
          <t>Line item</t>
        </is>
      </c>
      <c r="D248" t="n">
        <v>611.1</v>
      </c>
      <c r="E248" t="n">
        <v>639.4</v>
      </c>
      <c r="F248" t="n">
        <v>28.3</v>
      </c>
      <c r="G248" t="n">
        <v>4.6</v>
      </c>
      <c r="H248" t="n">
        <v>0.5</v>
      </c>
      <c r="I248" t="inlineStr">
        <is>
          <t>—</t>
        </is>
      </c>
      <c r="J248" t="inlineStr">
        <is>
          <t>—</t>
        </is>
      </c>
      <c r="K248" t="inlineStr">
        <is>
          <t>—</t>
        </is>
      </c>
    </row>
    <row r="249">
      <c r="A249" t="inlineStr">
        <is>
          <t xml:space="preserve">          Direct insurance (except life, health, and medical) carriers</t>
        </is>
      </c>
      <c r="B249" t="inlineStr">
        <is>
          <t>524120</t>
        </is>
      </c>
      <c r="C249" t="inlineStr">
        <is>
          <t>Line item</t>
        </is>
      </c>
      <c r="D249" t="n">
        <v>678.5</v>
      </c>
      <c r="E249" t="n">
        <v>695.9</v>
      </c>
      <c r="F249" t="n">
        <v>17.4</v>
      </c>
      <c r="G249" t="n">
        <v>2.6</v>
      </c>
      <c r="H249" t="n">
        <v>0.3</v>
      </c>
      <c r="I249" t="inlineStr">
        <is>
          <t>—</t>
        </is>
      </c>
      <c r="J249" t="inlineStr">
        <is>
          <t>—</t>
        </is>
      </c>
      <c r="K249" t="inlineStr">
        <is>
          <t>—</t>
        </is>
      </c>
    </row>
    <row r="250">
      <c r="A250" t="inlineStr">
        <is>
          <t xml:space="preserve">        Agencies, brokerages, and other insurance related activities</t>
        </is>
      </c>
      <c r="B250" t="inlineStr">
        <is>
          <t>524200</t>
        </is>
      </c>
      <c r="C250" t="inlineStr">
        <is>
          <t>Summary</t>
        </is>
      </c>
      <c r="D250" t="n">
        <v>1386.5</v>
      </c>
      <c r="E250" t="n">
        <v>1450.1</v>
      </c>
      <c r="F250" t="n">
        <v>63.6</v>
      </c>
      <c r="G250" t="n">
        <v>4.6</v>
      </c>
      <c r="H250" t="n">
        <v>0.4</v>
      </c>
      <c r="I250" t="n">
        <v>535.2</v>
      </c>
      <c r="J250" t="n">
        <v>649.3</v>
      </c>
      <c r="K250" t="n">
        <v>2</v>
      </c>
    </row>
    <row r="251">
      <c r="A251" t="inlineStr">
        <is>
          <t xml:space="preserve">          Insurance agencies and brokerages</t>
        </is>
      </c>
      <c r="B251" t="inlineStr">
        <is>
          <t>524210</t>
        </is>
      </c>
      <c r="C251" t="inlineStr">
        <is>
          <t>Line item</t>
        </is>
      </c>
      <c r="D251" t="n">
        <v>1003.9</v>
      </c>
      <c r="E251" t="n">
        <v>1051.3</v>
      </c>
      <c r="F251" t="n">
        <v>47.4</v>
      </c>
      <c r="G251" t="n">
        <v>4.7</v>
      </c>
      <c r="H251" t="n">
        <v>0.5</v>
      </c>
      <c r="I251" t="inlineStr">
        <is>
          <t>—</t>
        </is>
      </c>
      <c r="J251" t="inlineStr">
        <is>
          <t>—</t>
        </is>
      </c>
      <c r="K251" t="inlineStr">
        <is>
          <t>—</t>
        </is>
      </c>
    </row>
    <row r="252">
      <c r="A252" t="inlineStr">
        <is>
          <t xml:space="preserve">          Other insurance related activities</t>
        </is>
      </c>
      <c r="B252" t="inlineStr">
        <is>
          <t>524290</t>
        </is>
      </c>
      <c r="C252" t="inlineStr">
        <is>
          <t>Line item</t>
        </is>
      </c>
      <c r="D252" t="n">
        <v>382.6</v>
      </c>
      <c r="E252" t="n">
        <v>398.8</v>
      </c>
      <c r="F252" t="n">
        <v>16.2</v>
      </c>
      <c r="G252" t="n">
        <v>4.2</v>
      </c>
      <c r="H252" t="n">
        <v>0.4</v>
      </c>
      <c r="I252" t="inlineStr">
        <is>
          <t>—</t>
        </is>
      </c>
      <c r="J252" t="inlineStr">
        <is>
          <t>—</t>
        </is>
      </c>
      <c r="K252" t="inlineStr">
        <is>
          <t>—</t>
        </is>
      </c>
    </row>
    <row r="253">
      <c r="A253" t="inlineStr">
        <is>
          <t xml:space="preserve">      Funds, trusts, and other financial vehicles</t>
        </is>
      </c>
      <c r="B253" t="inlineStr">
        <is>
          <t>525000</t>
        </is>
      </c>
      <c r="C253" t="inlineStr">
        <is>
          <t>Summary</t>
        </is>
      </c>
      <c r="D253" t="n">
        <v>31.1</v>
      </c>
      <c r="E253" t="n">
        <v>33.1</v>
      </c>
      <c r="F253" t="n">
        <v>2</v>
      </c>
      <c r="G253" t="n">
        <v>6.4</v>
      </c>
      <c r="H253" t="n">
        <v>0.6</v>
      </c>
      <c r="I253" t="n">
        <v>159.2</v>
      </c>
      <c r="J253" t="n">
        <v>165.8</v>
      </c>
      <c r="K253" t="n">
        <v>0.4</v>
      </c>
    </row>
    <row r="254">
      <c r="A254" t="inlineStr">
        <is>
          <t xml:space="preserve">        Insurance and employee benefit funds</t>
        </is>
      </c>
      <c r="B254" t="inlineStr">
        <is>
          <t>525100</t>
        </is>
      </c>
      <c r="C254" t="inlineStr">
        <is>
          <t>Line item</t>
        </is>
      </c>
      <c r="D254" t="n">
        <v>12.3</v>
      </c>
      <c r="E254" t="n">
        <v>12.9</v>
      </c>
      <c r="F254" t="n">
        <v>0.6</v>
      </c>
      <c r="G254" t="n">
        <v>4.6</v>
      </c>
      <c r="H254" t="n">
        <v>0.5</v>
      </c>
      <c r="I254" t="inlineStr">
        <is>
          <t>—</t>
        </is>
      </c>
      <c r="J254" t="inlineStr">
        <is>
          <t>—</t>
        </is>
      </c>
      <c r="K254" t="inlineStr">
        <is>
          <t>—</t>
        </is>
      </c>
    </row>
    <row r="255">
      <c r="A255" t="inlineStr">
        <is>
          <t xml:space="preserve">        Other investment pools and funds</t>
        </is>
      </c>
      <c r="B255" t="inlineStr">
        <is>
          <t>525900</t>
        </is>
      </c>
      <c r="C255" t="inlineStr">
        <is>
          <t>Line item</t>
        </is>
      </c>
      <c r="D255" t="n">
        <v>18.9</v>
      </c>
      <c r="E255" t="n">
        <v>20.3</v>
      </c>
      <c r="F255" t="n">
        <v>1.4</v>
      </c>
      <c r="G255" t="n">
        <v>7.5</v>
      </c>
      <c r="H255" t="n">
        <v>0.7</v>
      </c>
      <c r="I255" t="inlineStr">
        <is>
          <t>—</t>
        </is>
      </c>
      <c r="J255" t="inlineStr">
        <is>
          <t>—</t>
        </is>
      </c>
      <c r="K255" t="inlineStr">
        <is>
          <t>—</t>
        </is>
      </c>
    </row>
    <row r="256">
      <c r="A256" t="inlineStr">
        <is>
          <t xml:space="preserve">    Real estate and rental and leasing</t>
        </is>
      </c>
      <c r="B256" t="inlineStr">
        <is>
          <t>530000</t>
        </is>
      </c>
      <c r="C256" t="inlineStr">
        <is>
          <t>Summary</t>
        </is>
      </c>
      <c r="D256" t="n">
        <v>2465.8</v>
      </c>
      <c r="E256" t="n">
        <v>2547.6</v>
      </c>
      <c r="F256" t="n">
        <v>81.8</v>
      </c>
      <c r="G256" t="n">
        <v>3.3</v>
      </c>
      <c r="H256" t="n">
        <v>0.3</v>
      </c>
      <c r="I256" t="n">
        <v>2818.5</v>
      </c>
      <c r="J256" t="n">
        <v>3433.3</v>
      </c>
      <c r="K256" t="n">
        <v>2</v>
      </c>
    </row>
    <row r="257">
      <c r="A257" t="inlineStr">
        <is>
          <t xml:space="preserve">      Real estate</t>
        </is>
      </c>
      <c r="B257" t="inlineStr">
        <is>
          <t>531000</t>
        </is>
      </c>
      <c r="C257" t="inlineStr">
        <is>
          <t>Line item</t>
        </is>
      </c>
      <c r="D257" t="n">
        <v>1865.8</v>
      </c>
      <c r="E257" t="n">
        <v>1938.4</v>
      </c>
      <c r="F257" t="n">
        <v>72.59999999999999</v>
      </c>
      <c r="G257" t="n">
        <v>3.9</v>
      </c>
      <c r="H257" t="n">
        <v>0.4</v>
      </c>
      <c r="I257" t="n">
        <v>2258.7</v>
      </c>
      <c r="J257" t="n">
        <v>2721</v>
      </c>
      <c r="K257" t="n">
        <v>1.9</v>
      </c>
      <c r="L257" t="inlineStr">
        <is>
          <t>ISIC 68</t>
        </is>
      </c>
    </row>
    <row r="258">
      <c r="A258" t="inlineStr">
        <is>
          <t xml:space="preserve">      Rental and leasing services</t>
        </is>
      </c>
      <c r="B258" t="inlineStr">
        <is>
          <t>532000</t>
        </is>
      </c>
      <c r="C258" t="inlineStr">
        <is>
          <t>Summary</t>
        </is>
      </c>
      <c r="D258" t="n">
        <v>577.4</v>
      </c>
      <c r="E258" t="n">
        <v>588.3</v>
      </c>
      <c r="F258" t="n">
        <v>10.9</v>
      </c>
      <c r="G258" t="n">
        <v>1.9</v>
      </c>
      <c r="H258" t="n">
        <v>0.2</v>
      </c>
      <c r="I258" t="n">
        <v>237.4</v>
      </c>
      <c r="J258" t="n">
        <v>298.9</v>
      </c>
      <c r="K258" t="n">
        <v>2.3</v>
      </c>
      <c r="L258" t="inlineStr">
        <is>
          <t>ISIC 77T82</t>
        </is>
      </c>
    </row>
    <row r="259">
      <c r="A259" t="inlineStr">
        <is>
          <t xml:space="preserve">        Rental and leasing services (5322,3,4)</t>
        </is>
      </c>
      <c r="B259" t="inlineStr">
        <is>
          <t>5320A1</t>
        </is>
      </c>
      <c r="C259" t="inlineStr">
        <is>
          <t>Line item</t>
        </is>
      </c>
      <c r="D259" t="n">
        <v>362.3</v>
      </c>
      <c r="E259" t="n">
        <v>365.9</v>
      </c>
      <c r="F259" t="n">
        <v>3.6</v>
      </c>
      <c r="G259" t="n">
        <v>1</v>
      </c>
      <c r="H259" t="n">
        <v>0.1</v>
      </c>
      <c r="I259" t="n">
        <v>157.4</v>
      </c>
      <c r="J259" t="n">
        <v>192.8</v>
      </c>
      <c r="K259" t="n">
        <v>2.1</v>
      </c>
    </row>
    <row r="260">
      <c r="A260" t="inlineStr">
        <is>
          <t xml:space="preserve">        Automotive equipment rental and leasing</t>
        </is>
      </c>
      <c r="B260" t="inlineStr">
        <is>
          <t>532100</t>
        </is>
      </c>
      <c r="C260" t="inlineStr">
        <is>
          <t>Line item</t>
        </is>
      </c>
      <c r="D260" t="n">
        <v>215.1</v>
      </c>
      <c r="E260" t="n">
        <v>222.4</v>
      </c>
      <c r="F260" t="n">
        <v>7.3</v>
      </c>
      <c r="G260" t="n">
        <v>3.4</v>
      </c>
      <c r="H260" t="n">
        <v>0.3</v>
      </c>
      <c r="I260" t="n">
        <v>79.8</v>
      </c>
      <c r="J260" t="n">
        <v>105.3</v>
      </c>
      <c r="K260" t="n">
        <v>2.8</v>
      </c>
    </row>
    <row r="261">
      <c r="A261" t="inlineStr">
        <is>
          <t xml:space="preserve">      Lessors of nonfinancial intangible assets (except copyrighted works)</t>
        </is>
      </c>
      <c r="B261" t="inlineStr">
        <is>
          <t>533000</t>
        </is>
      </c>
      <c r="C261" t="inlineStr">
        <is>
          <t>Line item</t>
        </is>
      </c>
      <c r="D261" t="n">
        <v>22.6</v>
      </c>
      <c r="E261" t="n">
        <v>20.9</v>
      </c>
      <c r="F261" t="n">
        <v>-1.7</v>
      </c>
      <c r="G261" t="n">
        <v>-7.5</v>
      </c>
      <c r="H261" t="n">
        <v>-0.8</v>
      </c>
      <c r="I261" t="n">
        <v>323</v>
      </c>
      <c r="J261" t="n">
        <v>414.1</v>
      </c>
      <c r="K261" t="n">
        <v>2.5</v>
      </c>
    </row>
    <row r="262">
      <c r="A262" t="inlineStr">
        <is>
          <t xml:space="preserve">    Professional, scientific, and technical services</t>
        </is>
      </c>
      <c r="B262" t="inlineStr">
        <is>
          <t>540000</t>
        </is>
      </c>
      <c r="C262" t="inlineStr">
        <is>
          <t>Summary</t>
        </is>
      </c>
      <c r="D262" t="n">
        <v>10825.8</v>
      </c>
      <c r="E262" t="n">
        <v>11638.3</v>
      </c>
      <c r="F262" t="n">
        <v>812.5</v>
      </c>
      <c r="G262" t="n">
        <v>7.5</v>
      </c>
      <c r="H262" t="n">
        <v>0.7</v>
      </c>
      <c r="I262" t="n">
        <v>3093.9</v>
      </c>
      <c r="J262" t="n">
        <v>3880.7</v>
      </c>
      <c r="K262" t="n">
        <v>2.3</v>
      </c>
    </row>
    <row r="263">
      <c r="A263" t="inlineStr">
        <is>
          <t xml:space="preserve">      Professional, scientific, and technical services</t>
        </is>
      </c>
      <c r="B263" t="inlineStr">
        <is>
          <t>541000</t>
        </is>
      </c>
      <c r="C263" t="inlineStr">
        <is>
          <t>Summary</t>
        </is>
      </c>
      <c r="D263" t="n">
        <v>10825.8</v>
      </c>
      <c r="E263" t="n">
        <v>11638.3</v>
      </c>
      <c r="F263" t="n">
        <v>812.5</v>
      </c>
      <c r="G263" t="n">
        <v>7.5</v>
      </c>
      <c r="H263" t="n">
        <v>0.7</v>
      </c>
      <c r="I263" t="n">
        <v>3093.9</v>
      </c>
      <c r="J263" t="n">
        <v>3880.7</v>
      </c>
      <c r="K263" t="n">
        <v>2.3</v>
      </c>
    </row>
    <row r="264">
      <c r="A264" t="inlineStr">
        <is>
          <t xml:space="preserve">        Legal services</t>
        </is>
      </c>
      <c r="B264" t="inlineStr">
        <is>
          <t>541100</t>
        </is>
      </c>
      <c r="C264" t="inlineStr">
        <is>
          <t>Line item</t>
        </is>
      </c>
      <c r="D264" t="n">
        <v>1192.7</v>
      </c>
      <c r="E264" t="n">
        <v>1207.1</v>
      </c>
      <c r="F264" t="n">
        <v>14.4</v>
      </c>
      <c r="G264" t="n">
        <v>1.2</v>
      </c>
      <c r="H264" t="n">
        <v>0.1</v>
      </c>
      <c r="I264" t="n">
        <v>348.5</v>
      </c>
      <c r="J264" t="n">
        <v>408.9</v>
      </c>
      <c r="K264" t="n">
        <v>1.6</v>
      </c>
      <c r="L264" t="inlineStr">
        <is>
          <t>ISIC 69T75</t>
        </is>
      </c>
    </row>
    <row r="265">
      <c r="A265" t="inlineStr">
        <is>
          <t xml:space="preserve">        Accounting, tax preparation, bookkeeping, and payroll services</t>
        </is>
      </c>
      <c r="B265" t="inlineStr">
        <is>
          <t>541200</t>
        </is>
      </c>
      <c r="C265" t="inlineStr">
        <is>
          <t>Line item</t>
        </is>
      </c>
      <c r="D265" t="n">
        <v>1153.5</v>
      </c>
      <c r="E265" t="n">
        <v>1181.2</v>
      </c>
      <c r="F265" t="n">
        <v>27.7</v>
      </c>
      <c r="G265" t="n">
        <v>2.4</v>
      </c>
      <c r="H265" t="n">
        <v>0.2</v>
      </c>
      <c r="I265" t="n">
        <v>210</v>
      </c>
      <c r="J265" t="n">
        <v>258.6</v>
      </c>
      <c r="K265" t="n">
        <v>2.1</v>
      </c>
      <c r="L265" t="inlineStr">
        <is>
          <t>ISIC 69T75</t>
        </is>
      </c>
    </row>
    <row r="266">
      <c r="A266" t="inlineStr">
        <is>
          <t xml:space="preserve">        Architectural, engineering, and related services</t>
        </is>
      </c>
      <c r="B266" t="inlineStr">
        <is>
          <t>541300</t>
        </is>
      </c>
      <c r="C266" t="inlineStr">
        <is>
          <t>Summary</t>
        </is>
      </c>
      <c r="D266" t="n">
        <v>1703.6</v>
      </c>
      <c r="E266" t="n">
        <v>1770.7</v>
      </c>
      <c r="F266" t="n">
        <v>67.09999999999999</v>
      </c>
      <c r="G266" t="n">
        <v>3.9</v>
      </c>
      <c r="H266" t="n">
        <v>0.4</v>
      </c>
      <c r="I266" t="n">
        <v>407.3</v>
      </c>
      <c r="J266" t="n">
        <v>480.1</v>
      </c>
      <c r="K266" t="n">
        <v>1.7</v>
      </c>
      <c r="L266" t="inlineStr">
        <is>
          <t>ISIC 69T75</t>
        </is>
      </c>
    </row>
    <row r="267">
      <c r="A267" t="inlineStr">
        <is>
          <t xml:space="preserve">          Engineering services</t>
        </is>
      </c>
      <c r="B267" t="inlineStr">
        <is>
          <t>541330</t>
        </is>
      </c>
      <c r="C267" t="inlineStr">
        <is>
          <t>Line item</t>
        </is>
      </c>
      <c r="D267" t="n">
        <v>1179.6</v>
      </c>
      <c r="E267" t="n">
        <v>1228.9</v>
      </c>
      <c r="F267" t="n">
        <v>49.3</v>
      </c>
      <c r="G267" t="n">
        <v>4.2</v>
      </c>
      <c r="H267" t="n">
        <v>0.4</v>
      </c>
      <c r="I267" t="inlineStr">
        <is>
          <t>—</t>
        </is>
      </c>
      <c r="J267" t="inlineStr">
        <is>
          <t>—</t>
        </is>
      </c>
      <c r="K267" t="inlineStr">
        <is>
          <t>—</t>
        </is>
      </c>
    </row>
    <row r="268">
      <c r="A268" t="inlineStr">
        <is>
          <t xml:space="preserve">          Testing laboratories and services</t>
        </is>
      </c>
      <c r="B268" t="inlineStr">
        <is>
          <t>541380</t>
        </is>
      </c>
      <c r="C268" t="inlineStr">
        <is>
          <t>Line item</t>
        </is>
      </c>
      <c r="D268" t="n">
        <v>179.5</v>
      </c>
      <c r="E268" t="n">
        <v>186.5</v>
      </c>
      <c r="F268" t="n">
        <v>7</v>
      </c>
      <c r="G268" t="n">
        <v>3.9</v>
      </c>
      <c r="H268" t="n">
        <v>0.4</v>
      </c>
      <c r="I268" t="inlineStr">
        <is>
          <t>—</t>
        </is>
      </c>
      <c r="J268" t="inlineStr">
        <is>
          <t>—</t>
        </is>
      </c>
      <c r="K268" t="inlineStr">
        <is>
          <t>—</t>
        </is>
      </c>
    </row>
    <row r="269">
      <c r="A269" t="inlineStr">
        <is>
          <t xml:space="preserve">        Specialized design services</t>
        </is>
      </c>
      <c r="B269" t="inlineStr">
        <is>
          <t>541400</t>
        </is>
      </c>
      <c r="C269" t="inlineStr">
        <is>
          <t>Line item</t>
        </is>
      </c>
      <c r="D269" t="n">
        <v>151.1</v>
      </c>
      <c r="E269" t="n">
        <v>156.9</v>
      </c>
      <c r="F269" t="n">
        <v>5.8</v>
      </c>
      <c r="G269" t="n">
        <v>3.8</v>
      </c>
      <c r="H269" t="n">
        <v>0.4</v>
      </c>
      <c r="I269" t="n">
        <v>57.5</v>
      </c>
      <c r="J269" t="n">
        <v>70.3</v>
      </c>
      <c r="K269" t="n">
        <v>2</v>
      </c>
      <c r="L269" t="inlineStr">
        <is>
          <t>ISIC 69T75</t>
        </is>
      </c>
    </row>
    <row r="270">
      <c r="A270" t="inlineStr">
        <is>
          <t xml:space="preserve">        Computer systems design and related services</t>
        </is>
      </c>
      <c r="B270" t="inlineStr">
        <is>
          <t>541500</t>
        </is>
      </c>
      <c r="C270" t="inlineStr">
        <is>
          <t>Line item</t>
        </is>
      </c>
      <c r="D270" t="n">
        <v>2444.8</v>
      </c>
      <c r="E270" t="n">
        <v>2831.6</v>
      </c>
      <c r="F270" t="n">
        <v>386.8</v>
      </c>
      <c r="G270" t="n">
        <v>15.8</v>
      </c>
      <c r="H270" t="n">
        <v>1.5</v>
      </c>
      <c r="I270" t="n">
        <v>799</v>
      </c>
      <c r="J270" t="n">
        <v>1096.2</v>
      </c>
      <c r="K270" t="n">
        <v>3.2</v>
      </c>
      <c r="L270" t="inlineStr">
        <is>
          <t>ISIC 62T63</t>
        </is>
      </c>
    </row>
    <row r="271">
      <c r="A271" t="inlineStr">
        <is>
          <t xml:space="preserve">        Management, scientific, and technical consulting services</t>
        </is>
      </c>
      <c r="B271" t="inlineStr">
        <is>
          <t>541600</t>
        </is>
      </c>
      <c r="C271" t="inlineStr">
        <is>
          <t>Line item</t>
        </is>
      </c>
      <c r="D271" t="n">
        <v>1864.7</v>
      </c>
      <c r="E271" t="n">
        <v>2039.3</v>
      </c>
      <c r="F271" t="n">
        <v>174.6</v>
      </c>
      <c r="G271" t="n">
        <v>9.4</v>
      </c>
      <c r="H271" t="n">
        <v>0.9</v>
      </c>
      <c r="I271" t="n">
        <v>493.3</v>
      </c>
      <c r="J271" t="n">
        <v>639.7</v>
      </c>
      <c r="K271" t="n">
        <v>2.6</v>
      </c>
      <c r="L271" t="inlineStr">
        <is>
          <t>ISIC 69T75</t>
        </is>
      </c>
    </row>
    <row r="272">
      <c r="A272" t="inlineStr">
        <is>
          <t xml:space="preserve">        Scientific research and development services</t>
        </is>
      </c>
      <c r="B272" t="inlineStr">
        <is>
          <t>541700</t>
        </is>
      </c>
      <c r="C272" t="inlineStr">
        <is>
          <t>Summary</t>
        </is>
      </c>
      <c r="D272" t="n">
        <v>936.7</v>
      </c>
      <c r="E272" t="n">
        <v>1015.1</v>
      </c>
      <c r="F272" t="n">
        <v>78.40000000000001</v>
      </c>
      <c r="G272" t="n">
        <v>8.4</v>
      </c>
      <c r="H272" t="n">
        <v>0.8</v>
      </c>
      <c r="I272" t="n">
        <v>408.6</v>
      </c>
      <c r="J272" t="n">
        <v>499</v>
      </c>
      <c r="K272" t="n">
        <v>2</v>
      </c>
      <c r="L272" t="inlineStr">
        <is>
          <t>ISIC 69T75</t>
        </is>
      </c>
    </row>
    <row r="273">
      <c r="A273" t="inlineStr">
        <is>
          <t xml:space="preserve">          Research and development in the physical, engineering, and life sciences</t>
        </is>
      </c>
      <c r="B273" t="inlineStr">
        <is>
          <t>541710</t>
        </is>
      </c>
      <c r="C273" t="inlineStr">
        <is>
          <t>Line item</t>
        </is>
      </c>
      <c r="D273" t="n">
        <v>866.7</v>
      </c>
      <c r="E273" t="n">
        <v>942.5</v>
      </c>
      <c r="F273" t="n">
        <v>75.8</v>
      </c>
      <c r="G273" t="n">
        <v>8.699999999999999</v>
      </c>
      <c r="H273" t="n">
        <v>0.8</v>
      </c>
      <c r="I273" t="inlineStr">
        <is>
          <t>—</t>
        </is>
      </c>
      <c r="J273" t="inlineStr">
        <is>
          <t>—</t>
        </is>
      </c>
      <c r="K273" t="inlineStr">
        <is>
          <t>—</t>
        </is>
      </c>
    </row>
    <row r="274">
      <c r="A274" t="inlineStr">
        <is>
          <t xml:space="preserve">          Research and development in the social sciences and humanities</t>
        </is>
      </c>
      <c r="B274" t="inlineStr">
        <is>
          <t>541720</t>
        </is>
      </c>
      <c r="C274" t="inlineStr">
        <is>
          <t>Line item</t>
        </is>
      </c>
      <c r="D274" t="n">
        <v>70</v>
      </c>
      <c r="E274" t="n">
        <v>72.59999999999999</v>
      </c>
      <c r="F274" t="n">
        <v>2.6</v>
      </c>
      <c r="G274" t="n">
        <v>3.7</v>
      </c>
      <c r="H274" t="n">
        <v>0.4</v>
      </c>
      <c r="I274" t="inlineStr">
        <is>
          <t>—</t>
        </is>
      </c>
      <c r="J274" t="inlineStr">
        <is>
          <t>—</t>
        </is>
      </c>
      <c r="K274" t="inlineStr">
        <is>
          <t>—</t>
        </is>
      </c>
    </row>
    <row r="275">
      <c r="A275" t="inlineStr">
        <is>
          <t xml:space="preserve">        Advertising, public relations, and related services</t>
        </is>
      </c>
      <c r="B275" t="inlineStr">
        <is>
          <t>541800</t>
        </is>
      </c>
      <c r="C275" t="inlineStr">
        <is>
          <t>Line item</t>
        </is>
      </c>
      <c r="D275" t="n">
        <v>497.7</v>
      </c>
      <c r="E275" t="n">
        <v>509.6</v>
      </c>
      <c r="F275" t="n">
        <v>11.9</v>
      </c>
      <c r="G275" t="n">
        <v>2.4</v>
      </c>
      <c r="H275" t="n">
        <v>0.2</v>
      </c>
      <c r="I275" t="n">
        <v>197.3</v>
      </c>
      <c r="J275" t="n">
        <v>257.3</v>
      </c>
      <c r="K275" t="n">
        <v>2.7</v>
      </c>
      <c r="L275" t="inlineStr">
        <is>
          <t>ISIC 69T75</t>
        </is>
      </c>
    </row>
    <row r="276">
      <c r="A276" t="inlineStr">
        <is>
          <t xml:space="preserve">        Other professional, scientific, and technical services</t>
        </is>
      </c>
      <c r="B276" t="inlineStr">
        <is>
          <t>541900</t>
        </is>
      </c>
      <c r="C276" t="inlineStr">
        <is>
          <t>Summary</t>
        </is>
      </c>
      <c r="D276" t="n">
        <v>881</v>
      </c>
      <c r="E276" t="n">
        <v>926.8</v>
      </c>
      <c r="F276" t="n">
        <v>45.8</v>
      </c>
      <c r="G276" t="n">
        <v>5.2</v>
      </c>
      <c r="H276" t="n">
        <v>0.5</v>
      </c>
      <c r="I276" t="n">
        <v>200.2</v>
      </c>
      <c r="J276" t="n">
        <v>253.7</v>
      </c>
      <c r="K276" t="n">
        <v>2.4</v>
      </c>
      <c r="L276" t="inlineStr">
        <is>
          <t>ISIC 69T75</t>
        </is>
      </c>
    </row>
    <row r="277">
      <c r="A277" t="inlineStr">
        <is>
          <t xml:space="preserve">          Photographic services</t>
        </is>
      </c>
      <c r="B277" t="inlineStr">
        <is>
          <t>541920</t>
        </is>
      </c>
      <c r="C277" t="inlineStr">
        <is>
          <t>Line item</t>
        </is>
      </c>
      <c r="D277" t="n">
        <v>49</v>
      </c>
      <c r="E277" t="n">
        <v>44.8</v>
      </c>
      <c r="F277" t="n">
        <v>-4.2</v>
      </c>
      <c r="G277" t="n">
        <v>-8.5</v>
      </c>
      <c r="H277" t="n">
        <v>-0.9</v>
      </c>
      <c r="I277" t="n">
        <v>16.9</v>
      </c>
      <c r="J277" t="n">
        <v>21.4</v>
      </c>
      <c r="K277" t="n">
        <v>2.4</v>
      </c>
    </row>
    <row r="278">
      <c r="A278" t="inlineStr">
        <is>
          <t xml:space="preserve">          Veterinary services</t>
        </is>
      </c>
      <c r="B278" t="inlineStr">
        <is>
          <t>541940</t>
        </is>
      </c>
      <c r="C278" t="inlineStr">
        <is>
          <t>Line item</t>
        </is>
      </c>
      <c r="D278" t="n">
        <v>467</v>
      </c>
      <c r="E278" t="n">
        <v>504.1</v>
      </c>
      <c r="F278" t="n">
        <v>37.1</v>
      </c>
      <c r="G278" t="n">
        <v>7.9</v>
      </c>
      <c r="H278" t="n">
        <v>0.8</v>
      </c>
      <c r="I278" t="n">
        <v>54.9</v>
      </c>
      <c r="J278" t="n">
        <v>72.09999999999999</v>
      </c>
      <c r="K278" t="n">
        <v>2.8</v>
      </c>
    </row>
    <row r="279">
      <c r="A279" t="inlineStr">
        <is>
          <t xml:space="preserve">    Management of companies and enterprises</t>
        </is>
      </c>
      <c r="B279" t="inlineStr">
        <is>
          <t>550000</t>
        </is>
      </c>
      <c r="C279" t="inlineStr">
        <is>
          <t>Summary</t>
        </is>
      </c>
      <c r="D279" t="n">
        <v>2617.1</v>
      </c>
      <c r="E279" t="n">
        <v>2732</v>
      </c>
      <c r="F279" t="n">
        <v>114.9</v>
      </c>
      <c r="G279" t="n">
        <v>4.4</v>
      </c>
      <c r="H279" t="n">
        <v>0.4</v>
      </c>
      <c r="I279" t="n">
        <v>793.6</v>
      </c>
      <c r="J279" t="n">
        <v>1012.1</v>
      </c>
      <c r="K279" t="n">
        <v>2.5</v>
      </c>
      <c r="L279" t="inlineStr">
        <is>
          <t>ISIC 69T75</t>
        </is>
      </c>
    </row>
    <row r="280">
      <c r="A280" t="inlineStr">
        <is>
          <t xml:space="preserve">      Management of companies and enterprises</t>
        </is>
      </c>
      <c r="B280" t="inlineStr">
        <is>
          <t>551000</t>
        </is>
      </c>
      <c r="C280" t="inlineStr">
        <is>
          <t>Line item</t>
        </is>
      </c>
      <c r="D280" t="n">
        <v>2617.1</v>
      </c>
      <c r="E280" t="n">
        <v>2732</v>
      </c>
      <c r="F280" t="n">
        <v>114.9</v>
      </c>
      <c r="G280" t="n">
        <v>4.4</v>
      </c>
      <c r="H280" t="n">
        <v>0.4</v>
      </c>
      <c r="I280" t="n">
        <v>793.6</v>
      </c>
      <c r="J280" t="n">
        <v>1012.1</v>
      </c>
      <c r="K280" t="n">
        <v>2.5</v>
      </c>
    </row>
    <row r="281">
      <c r="A281" t="inlineStr">
        <is>
          <t xml:space="preserve">    Administrative and support and waste management and remediation services</t>
        </is>
      </c>
      <c r="B281" t="inlineStr">
        <is>
          <t>560000</t>
        </is>
      </c>
      <c r="C281" t="inlineStr">
        <is>
          <t>Summary</t>
        </is>
      </c>
      <c r="D281" t="n">
        <v>9177.799999999999</v>
      </c>
      <c r="E281" t="n">
        <v>9279.5</v>
      </c>
      <c r="F281" t="n">
        <v>101.7</v>
      </c>
      <c r="G281" t="n">
        <v>1.1</v>
      </c>
      <c r="H281" t="n">
        <v>0.1</v>
      </c>
      <c r="I281" t="n">
        <v>1238.1</v>
      </c>
      <c r="J281" t="n">
        <v>1548.7</v>
      </c>
      <c r="K281" t="n">
        <v>2.3</v>
      </c>
    </row>
    <row r="282">
      <c r="A282" t="inlineStr">
        <is>
          <t xml:space="preserve">      Administrative and support services</t>
        </is>
      </c>
      <c r="B282" t="inlineStr">
        <is>
          <t>561000</t>
        </is>
      </c>
      <c r="C282" t="inlineStr">
        <is>
          <t>Summary</t>
        </is>
      </c>
      <c r="D282" t="n">
        <v>8666.299999999999</v>
      </c>
      <c r="E282" t="n">
        <v>8738</v>
      </c>
      <c r="F282" t="n">
        <v>71.7</v>
      </c>
      <c r="G282" t="n">
        <v>0.8</v>
      </c>
      <c r="H282" t="n">
        <v>0.1</v>
      </c>
      <c r="I282" t="n">
        <v>1112.7</v>
      </c>
      <c r="J282" t="n">
        <v>1404.9</v>
      </c>
      <c r="K282" t="n">
        <v>2.4</v>
      </c>
      <c r="L282" t="inlineStr">
        <is>
          <t>ISIC 77T82</t>
        </is>
      </c>
    </row>
    <row r="283">
      <c r="A283" t="inlineStr">
        <is>
          <t xml:space="preserve">        Office administrative services</t>
        </is>
      </c>
      <c r="B283" t="inlineStr">
        <is>
          <t>561100</t>
        </is>
      </c>
      <c r="C283" t="inlineStr">
        <is>
          <t>Line item</t>
        </is>
      </c>
      <c r="D283" t="n">
        <v>619.2</v>
      </c>
      <c r="E283" t="n">
        <v>655.6</v>
      </c>
      <c r="F283" t="n">
        <v>36.4</v>
      </c>
      <c r="G283" t="n">
        <v>5.9</v>
      </c>
      <c r="H283" t="n">
        <v>0.6</v>
      </c>
      <c r="I283" t="n">
        <v>94.09999999999999</v>
      </c>
      <c r="J283" t="n">
        <v>119.1</v>
      </c>
      <c r="K283" t="n">
        <v>2.4</v>
      </c>
    </row>
    <row r="284">
      <c r="A284" t="inlineStr">
        <is>
          <t xml:space="preserve">        Facilities support services</t>
        </is>
      </c>
      <c r="B284" t="inlineStr">
        <is>
          <t>561200</t>
        </is>
      </c>
      <c r="C284" t="inlineStr">
        <is>
          <t>Line item</t>
        </is>
      </c>
      <c r="D284" t="n">
        <v>181.2</v>
      </c>
      <c r="E284" t="n">
        <v>191.9</v>
      </c>
      <c r="F284" t="n">
        <v>10.7</v>
      </c>
      <c r="G284" t="n">
        <v>5.9</v>
      </c>
      <c r="H284" t="n">
        <v>0.6</v>
      </c>
      <c r="I284" t="n">
        <v>28.4</v>
      </c>
      <c r="J284" t="n">
        <v>32.5</v>
      </c>
      <c r="K284" t="n">
        <v>1.4</v>
      </c>
    </row>
    <row r="285">
      <c r="A285" t="inlineStr">
        <is>
          <t xml:space="preserve">        Employment services</t>
        </is>
      </c>
      <c r="B285" t="inlineStr">
        <is>
          <t>561300</t>
        </is>
      </c>
      <c r="C285" t="inlineStr">
        <is>
          <t>Summary</t>
        </is>
      </c>
      <c r="D285" t="n">
        <v>3332.3</v>
      </c>
      <c r="E285" t="n">
        <v>3240</v>
      </c>
      <c r="F285" t="n">
        <v>-92.3</v>
      </c>
      <c r="G285" t="n">
        <v>-2.8</v>
      </c>
      <c r="H285" t="n">
        <v>-0.3</v>
      </c>
      <c r="I285" t="n">
        <v>424.6</v>
      </c>
      <c r="J285" t="n">
        <v>545.2</v>
      </c>
      <c r="K285" t="n">
        <v>2.5</v>
      </c>
    </row>
    <row r="286">
      <c r="A286" t="inlineStr">
        <is>
          <t xml:space="preserve">          Temporary help services</t>
        </is>
      </c>
      <c r="B286" t="inlineStr">
        <is>
          <t>561320</t>
        </is>
      </c>
      <c r="C286" t="inlineStr">
        <is>
          <t>Line item</t>
        </is>
      </c>
      <c r="D286" t="n">
        <v>2612.1</v>
      </c>
      <c r="E286" t="n">
        <v>2556.4</v>
      </c>
      <c r="F286" t="n">
        <v>-55.7</v>
      </c>
      <c r="G286" t="n">
        <v>-2.1</v>
      </c>
      <c r="H286" t="n">
        <v>-0.2</v>
      </c>
      <c r="I286" t="inlineStr">
        <is>
          <t>—</t>
        </is>
      </c>
      <c r="J286" t="inlineStr">
        <is>
          <t>—</t>
        </is>
      </c>
      <c r="K286" t="inlineStr">
        <is>
          <t>—</t>
        </is>
      </c>
    </row>
    <row r="287">
      <c r="A287" t="inlineStr">
        <is>
          <t xml:space="preserve">        Business support services</t>
        </is>
      </c>
      <c r="B287" t="inlineStr">
        <is>
          <t>561400</t>
        </is>
      </c>
      <c r="C287" t="inlineStr">
        <is>
          <t>Line item</t>
        </is>
      </c>
      <c r="D287" t="n">
        <v>691</v>
      </c>
      <c r="E287" t="n">
        <v>671.8</v>
      </c>
      <c r="F287" t="n">
        <v>-19.2</v>
      </c>
      <c r="G287" t="n">
        <v>-2.8</v>
      </c>
      <c r="H287" t="n">
        <v>-0.3</v>
      </c>
      <c r="I287" t="n">
        <v>87.40000000000001</v>
      </c>
      <c r="J287" t="n">
        <v>108.6</v>
      </c>
      <c r="K287" t="n">
        <v>2.2</v>
      </c>
    </row>
    <row r="288">
      <c r="A288" t="inlineStr">
        <is>
          <t xml:space="preserve">        Travel arrangement and reservation services</t>
        </is>
      </c>
      <c r="B288" t="inlineStr">
        <is>
          <t>561500</t>
        </is>
      </c>
      <c r="C288" t="inlineStr">
        <is>
          <t>Line item</t>
        </is>
      </c>
      <c r="D288" t="n">
        <v>189.3</v>
      </c>
      <c r="E288" t="n">
        <v>198.5</v>
      </c>
      <c r="F288" t="n">
        <v>9.199999999999999</v>
      </c>
      <c r="G288" t="n">
        <v>4.9</v>
      </c>
      <c r="H288" t="n">
        <v>0.5</v>
      </c>
      <c r="I288" t="n">
        <v>83.7</v>
      </c>
      <c r="J288" t="n">
        <v>107.2</v>
      </c>
      <c r="K288" t="n">
        <v>2.5</v>
      </c>
    </row>
    <row r="289">
      <c r="A289" t="inlineStr">
        <is>
          <t xml:space="preserve">        Investigation and security services</t>
        </is>
      </c>
      <c r="B289" t="inlineStr">
        <is>
          <t>561600</t>
        </is>
      </c>
      <c r="C289" t="inlineStr">
        <is>
          <t>Summary</t>
        </is>
      </c>
      <c r="D289" t="n">
        <v>1025.8</v>
      </c>
      <c r="E289" t="n">
        <v>1086.1</v>
      </c>
      <c r="F289" t="n">
        <v>60.3</v>
      </c>
      <c r="G289" t="n">
        <v>5.9</v>
      </c>
      <c r="H289" t="n">
        <v>0.6</v>
      </c>
      <c r="I289" t="n">
        <v>61.2</v>
      </c>
      <c r="J289" t="n">
        <v>74.59999999999999</v>
      </c>
      <c r="K289" t="n">
        <v>2</v>
      </c>
    </row>
    <row r="290">
      <c r="A290" t="inlineStr">
        <is>
          <t xml:space="preserve">          Investigation, guard, and armored car services</t>
        </is>
      </c>
      <c r="B290" t="inlineStr">
        <is>
          <t>561610</t>
        </is>
      </c>
      <c r="C290" t="inlineStr">
        <is>
          <t>Line item</t>
        </is>
      </c>
      <c r="D290" t="n">
        <v>868.6</v>
      </c>
      <c r="E290" t="n">
        <v>910.2</v>
      </c>
      <c r="F290" t="n">
        <v>41.6</v>
      </c>
      <c r="G290" t="n">
        <v>4.8</v>
      </c>
      <c r="H290" t="n">
        <v>0.5</v>
      </c>
      <c r="I290" t="inlineStr">
        <is>
          <t>—</t>
        </is>
      </c>
      <c r="J290" t="inlineStr">
        <is>
          <t>—</t>
        </is>
      </c>
      <c r="K290" t="inlineStr">
        <is>
          <t>—</t>
        </is>
      </c>
    </row>
    <row r="291">
      <c r="A291" t="inlineStr">
        <is>
          <t xml:space="preserve">          Security systems services</t>
        </is>
      </c>
      <c r="B291" t="inlineStr">
        <is>
          <t>561620</t>
        </is>
      </c>
      <c r="C291" t="inlineStr">
        <is>
          <t>Line item</t>
        </is>
      </c>
      <c r="D291" t="n">
        <v>157.2</v>
      </c>
      <c r="E291" t="n">
        <v>176</v>
      </c>
      <c r="F291" t="n">
        <v>18.8</v>
      </c>
      <c r="G291" t="n">
        <v>11.9</v>
      </c>
      <c r="H291" t="n">
        <v>1.1</v>
      </c>
      <c r="I291" t="inlineStr">
        <is>
          <t>—</t>
        </is>
      </c>
      <c r="J291" t="inlineStr">
        <is>
          <t>—</t>
        </is>
      </c>
      <c r="K291" t="inlineStr">
        <is>
          <t>—</t>
        </is>
      </c>
    </row>
    <row r="292">
      <c r="A292" t="inlineStr">
        <is>
          <t xml:space="preserve">        Services to buildings and dwellings</t>
        </is>
      </c>
      <c r="B292" t="inlineStr">
        <is>
          <t>561700</t>
        </is>
      </c>
      <c r="C292" t="inlineStr">
        <is>
          <t>Summary</t>
        </is>
      </c>
      <c r="D292" t="n">
        <v>2293.8</v>
      </c>
      <c r="E292" t="n">
        <v>2348.9</v>
      </c>
      <c r="F292" t="n">
        <v>55.1</v>
      </c>
      <c r="G292" t="n">
        <v>2.4</v>
      </c>
      <c r="H292" t="n">
        <v>0.2</v>
      </c>
      <c r="I292" t="n">
        <v>264.5</v>
      </c>
      <c r="J292" t="n">
        <v>331.3</v>
      </c>
      <c r="K292" t="n">
        <v>2.3</v>
      </c>
    </row>
    <row r="293">
      <c r="A293" t="inlineStr">
        <is>
          <t xml:space="preserve">          Exterminating and pest control services</t>
        </is>
      </c>
      <c r="B293" t="inlineStr">
        <is>
          <t>561710</t>
        </is>
      </c>
      <c r="C293" t="inlineStr">
        <is>
          <t>Line item</t>
        </is>
      </c>
      <c r="D293" t="n">
        <v>153.5</v>
      </c>
      <c r="E293" t="n">
        <v>158.5</v>
      </c>
      <c r="F293" t="n">
        <v>5</v>
      </c>
      <c r="G293" t="n">
        <v>3.3</v>
      </c>
      <c r="H293" t="n">
        <v>0.3</v>
      </c>
      <c r="I293" t="inlineStr">
        <is>
          <t>—</t>
        </is>
      </c>
      <c r="J293" t="inlineStr">
        <is>
          <t>—</t>
        </is>
      </c>
      <c r="K293" t="inlineStr">
        <is>
          <t>—</t>
        </is>
      </c>
    </row>
    <row r="294">
      <c r="A294" t="inlineStr">
        <is>
          <t xml:space="preserve">          Landscaping services</t>
        </is>
      </c>
      <c r="B294" t="inlineStr">
        <is>
          <t>561730</t>
        </is>
      </c>
      <c r="C294" t="inlineStr">
        <is>
          <t>Line item</t>
        </is>
      </c>
      <c r="D294" t="n">
        <v>911.2</v>
      </c>
      <c r="E294" t="n">
        <v>934.8</v>
      </c>
      <c r="F294" t="n">
        <v>23.6</v>
      </c>
      <c r="G294" t="n">
        <v>2.6</v>
      </c>
      <c r="H294" t="n">
        <v>0.3</v>
      </c>
      <c r="I294" t="inlineStr">
        <is>
          <t>—</t>
        </is>
      </c>
      <c r="J294" t="inlineStr">
        <is>
          <t>—</t>
        </is>
      </c>
      <c r="K294" t="inlineStr">
        <is>
          <t>—</t>
        </is>
      </c>
    </row>
    <row r="295">
      <c r="A295" t="inlineStr">
        <is>
          <t xml:space="preserve">        Other support services</t>
        </is>
      </c>
      <c r="B295" t="inlineStr">
        <is>
          <t>561900</t>
        </is>
      </c>
      <c r="C295" t="inlineStr">
        <is>
          <t>Line item</t>
        </is>
      </c>
      <c r="D295" t="n">
        <v>333.7</v>
      </c>
      <c r="E295" t="n">
        <v>345.2</v>
      </c>
      <c r="F295" t="n">
        <v>11.5</v>
      </c>
      <c r="G295" t="n">
        <v>3.4</v>
      </c>
      <c r="H295" t="n">
        <v>0.3</v>
      </c>
      <c r="I295" t="n">
        <v>72.2</v>
      </c>
      <c r="J295" t="n">
        <v>91.8</v>
      </c>
      <c r="K295" t="n">
        <v>2.4</v>
      </c>
    </row>
    <row r="296">
      <c r="A296" t="inlineStr">
        <is>
          <t xml:space="preserve">      Waste management and remediation services</t>
        </is>
      </c>
      <c r="B296" t="inlineStr">
        <is>
          <t>562000</t>
        </is>
      </c>
      <c r="C296" t="inlineStr">
        <is>
          <t>Summary</t>
        </is>
      </c>
      <c r="D296" t="n">
        <v>511.5</v>
      </c>
      <c r="E296" t="n">
        <v>541.5</v>
      </c>
      <c r="F296" t="n">
        <v>30</v>
      </c>
      <c r="G296" t="n">
        <v>5.9</v>
      </c>
      <c r="H296" t="n">
        <v>0.6</v>
      </c>
      <c r="I296" t="n">
        <v>125.4</v>
      </c>
      <c r="J296" t="n">
        <v>146.4</v>
      </c>
      <c r="K296" t="n">
        <v>1.6</v>
      </c>
      <c r="L296" t="inlineStr">
        <is>
          <t>ISIC 36T39</t>
        </is>
      </c>
    </row>
    <row r="297">
      <c r="A297" t="inlineStr">
        <is>
          <t xml:space="preserve">        Waste collection</t>
        </is>
      </c>
      <c r="B297" t="inlineStr">
        <is>
          <t>562100</t>
        </is>
      </c>
      <c r="C297" t="inlineStr">
        <is>
          <t>Line item</t>
        </is>
      </c>
      <c r="D297" t="n">
        <v>217.2</v>
      </c>
      <c r="E297" t="n">
        <v>230.2</v>
      </c>
      <c r="F297" t="n">
        <v>13</v>
      </c>
      <c r="G297" t="n">
        <v>6</v>
      </c>
      <c r="H297" t="n">
        <v>0.6</v>
      </c>
      <c r="I297" t="inlineStr">
        <is>
          <t>—</t>
        </is>
      </c>
      <c r="J297" t="inlineStr">
        <is>
          <t>—</t>
        </is>
      </c>
      <c r="K297" t="inlineStr">
        <is>
          <t>—</t>
        </is>
      </c>
    </row>
    <row r="298">
      <c r="A298" t="inlineStr">
        <is>
          <t xml:space="preserve">        Waste treatment and disposal</t>
        </is>
      </c>
      <c r="B298" t="inlineStr">
        <is>
          <t>562200</t>
        </is>
      </c>
      <c r="C298" t="inlineStr">
        <is>
          <t>Line item</t>
        </is>
      </c>
      <c r="D298" t="n">
        <v>108.4</v>
      </c>
      <c r="E298" t="n">
        <v>112.6</v>
      </c>
      <c r="F298" t="n">
        <v>4.2</v>
      </c>
      <c r="G298" t="n">
        <v>3.9</v>
      </c>
      <c r="H298" t="n">
        <v>0.4</v>
      </c>
      <c r="I298" t="inlineStr">
        <is>
          <t>—</t>
        </is>
      </c>
      <c r="J298" t="inlineStr">
        <is>
          <t>—</t>
        </is>
      </c>
      <c r="K298" t="inlineStr">
        <is>
          <t>—</t>
        </is>
      </c>
    </row>
    <row r="299">
      <c r="A299" t="inlineStr">
        <is>
          <t xml:space="preserve">        Remediation and other waste management services</t>
        </is>
      </c>
      <c r="B299" t="inlineStr">
        <is>
          <t>562900</t>
        </is>
      </c>
      <c r="C299" t="inlineStr">
        <is>
          <t>Line item</t>
        </is>
      </c>
      <c r="D299" t="n">
        <v>185.9</v>
      </c>
      <c r="E299" t="n">
        <v>198.7</v>
      </c>
      <c r="F299" t="n">
        <v>12.8</v>
      </c>
      <c r="G299" t="n">
        <v>6.9</v>
      </c>
      <c r="H299" t="n">
        <v>0.7</v>
      </c>
      <c r="I299" t="inlineStr">
        <is>
          <t>—</t>
        </is>
      </c>
      <c r="J299" t="inlineStr">
        <is>
          <t>—</t>
        </is>
      </c>
      <c r="K299" t="inlineStr">
        <is>
          <t>—</t>
        </is>
      </c>
    </row>
    <row r="300">
      <c r="A300" t="inlineStr">
        <is>
          <t xml:space="preserve">    Educational services; state, local, and private</t>
        </is>
      </c>
      <c r="B300" t="inlineStr">
        <is>
          <t>610000</t>
        </is>
      </c>
      <c r="C300" t="inlineStr">
        <is>
          <t>Summary</t>
        </is>
      </c>
      <c r="D300" t="n">
        <v>14704.4</v>
      </c>
      <c r="E300" t="n">
        <v>14716.3</v>
      </c>
      <c r="F300" t="n">
        <v>11.9</v>
      </c>
      <c r="G300" t="n">
        <v>0.1</v>
      </c>
      <c r="H300" t="n">
        <v>0</v>
      </c>
      <c r="I300" t="inlineStr">
        <is>
          <t>—</t>
        </is>
      </c>
      <c r="J300" t="inlineStr">
        <is>
          <t>—</t>
        </is>
      </c>
      <c r="K300" t="inlineStr">
        <is>
          <t>—</t>
        </is>
      </c>
    </row>
    <row r="301">
      <c r="A301" t="inlineStr">
        <is>
          <t xml:space="preserve">      Educational services; state, local, and private</t>
        </is>
      </c>
      <c r="B301" t="inlineStr">
        <is>
          <t>611000</t>
        </is>
      </c>
      <c r="C301" t="inlineStr">
        <is>
          <t>Summary</t>
        </is>
      </c>
      <c r="D301" t="n">
        <v>14704.4</v>
      </c>
      <c r="E301" t="n">
        <v>14716.3</v>
      </c>
      <c r="F301" t="n">
        <v>11.9</v>
      </c>
      <c r="G301" t="n">
        <v>0.1</v>
      </c>
      <c r="H301" t="n">
        <v>0</v>
      </c>
      <c r="I301" t="inlineStr">
        <is>
          <t>—</t>
        </is>
      </c>
      <c r="J301" t="inlineStr">
        <is>
          <t>—</t>
        </is>
      </c>
      <c r="K301" t="inlineStr">
        <is>
          <t>—</t>
        </is>
      </c>
    </row>
    <row r="302">
      <c r="A302" t="inlineStr">
        <is>
          <t xml:space="preserve">        Educational services; private</t>
        </is>
      </c>
      <c r="B302" t="inlineStr">
        <is>
          <t>6110P0</t>
        </is>
      </c>
      <c r="C302" t="inlineStr">
        <is>
          <t>Summary</t>
        </is>
      </c>
      <c r="D302" t="n">
        <v>3962.5</v>
      </c>
      <c r="E302" t="n">
        <v>4036.8</v>
      </c>
      <c r="F302" t="n">
        <v>74.3</v>
      </c>
      <c r="G302" t="n">
        <v>1.9</v>
      </c>
      <c r="H302" t="n">
        <v>0.2</v>
      </c>
      <c r="I302" t="n">
        <v>412.5</v>
      </c>
      <c r="J302" t="n">
        <v>475.5</v>
      </c>
      <c r="K302" t="n">
        <v>1.4</v>
      </c>
      <c r="L302" t="inlineStr">
        <is>
          <t>ISIC 85</t>
        </is>
      </c>
    </row>
    <row r="303">
      <c r="A303" t="inlineStr">
        <is>
          <t xml:space="preserve">          Elementary and secondary schools; private</t>
        </is>
      </c>
      <c r="B303" t="inlineStr">
        <is>
          <t>61110P</t>
        </is>
      </c>
      <c r="C303" t="inlineStr">
        <is>
          <t>Line item</t>
        </is>
      </c>
      <c r="D303" t="n">
        <v>1199.4</v>
      </c>
      <c r="E303" t="n">
        <v>1194.6</v>
      </c>
      <c r="F303" t="n">
        <v>-4.8</v>
      </c>
      <c r="G303" t="n">
        <v>-0.4</v>
      </c>
      <c r="H303" t="n">
        <v>0</v>
      </c>
      <c r="I303" t="n">
        <v>55.5</v>
      </c>
      <c r="J303" t="n">
        <v>58.5</v>
      </c>
      <c r="K303" t="n">
        <v>0.5</v>
      </c>
    </row>
    <row r="304">
      <c r="A304" t="inlineStr">
        <is>
          <t xml:space="preserve">          Junior colleges, colleges, universities, and professional schools; private (6112,3)</t>
        </is>
      </c>
      <c r="B304" t="inlineStr">
        <is>
          <t>6110P1</t>
        </is>
      </c>
      <c r="C304" t="inlineStr">
        <is>
          <t>Summary</t>
        </is>
      </c>
      <c r="D304" t="n">
        <v>1790.5</v>
      </c>
      <c r="E304" t="n">
        <v>1797.9</v>
      </c>
      <c r="F304" t="n">
        <v>7.4</v>
      </c>
      <c r="G304" t="n">
        <v>0.4</v>
      </c>
      <c r="H304" t="n">
        <v>0</v>
      </c>
      <c r="I304" t="n">
        <v>238.6</v>
      </c>
      <c r="J304" t="n">
        <v>267.5</v>
      </c>
      <c r="K304" t="n">
        <v>1.2</v>
      </c>
    </row>
    <row r="305">
      <c r="A305" t="inlineStr">
        <is>
          <t xml:space="preserve">            Junior colleges; private</t>
        </is>
      </c>
      <c r="B305" t="inlineStr">
        <is>
          <t>61120P</t>
        </is>
      </c>
      <c r="C305" t="inlineStr">
        <is>
          <t>Line item</t>
        </is>
      </c>
      <c r="D305" t="n">
        <v>27.5</v>
      </c>
      <c r="E305" t="n">
        <v>27.1</v>
      </c>
      <c r="F305" t="n">
        <v>-0.5</v>
      </c>
      <c r="G305" t="n">
        <v>-1.7</v>
      </c>
      <c r="H305" t="n">
        <v>-0.1</v>
      </c>
      <c r="I305" t="inlineStr">
        <is>
          <t>—</t>
        </is>
      </c>
      <c r="J305" t="inlineStr">
        <is>
          <t>—</t>
        </is>
      </c>
      <c r="K305" t="inlineStr">
        <is>
          <t>—</t>
        </is>
      </c>
    </row>
    <row r="306">
      <c r="A306" t="inlineStr">
        <is>
          <t xml:space="preserve">            Colleges, universities, and professional schools; private</t>
        </is>
      </c>
      <c r="B306" t="inlineStr">
        <is>
          <t>61130P</t>
        </is>
      </c>
      <c r="C306" t="inlineStr">
        <is>
          <t>Line item</t>
        </is>
      </c>
      <c r="D306" t="n">
        <v>1763</v>
      </c>
      <c r="E306" t="n">
        <v>1770.8</v>
      </c>
      <c r="F306" t="n">
        <v>7.9</v>
      </c>
      <c r="G306" t="n">
        <v>0.4</v>
      </c>
      <c r="H306" t="n">
        <v>0</v>
      </c>
      <c r="I306" t="inlineStr">
        <is>
          <t>—</t>
        </is>
      </c>
      <c r="J306" t="inlineStr">
        <is>
          <t>—</t>
        </is>
      </c>
      <c r="K306" t="inlineStr">
        <is>
          <t>—</t>
        </is>
      </c>
    </row>
    <row r="307">
      <c r="A307" t="inlineStr">
        <is>
          <t xml:space="preserve">          Other educational services; private (6114-7)</t>
        </is>
      </c>
      <c r="B307" t="inlineStr">
        <is>
          <t>6110P2</t>
        </is>
      </c>
      <c r="C307" t="inlineStr">
        <is>
          <t>Summary</t>
        </is>
      </c>
      <c r="D307" t="n">
        <v>972.6</v>
      </c>
      <c r="E307" t="n">
        <v>1044.3</v>
      </c>
      <c r="F307" t="n">
        <v>71.7</v>
      </c>
      <c r="G307" t="n">
        <v>7.4</v>
      </c>
      <c r="H307" t="n">
        <v>0.7</v>
      </c>
      <c r="I307" t="n">
        <v>119.4</v>
      </c>
      <c r="J307" t="n">
        <v>153.4</v>
      </c>
      <c r="K307" t="n">
        <v>2.5</v>
      </c>
    </row>
    <row r="308">
      <c r="A308" t="inlineStr">
        <is>
          <t xml:space="preserve">            Business schools and computer and management training; private</t>
        </is>
      </c>
      <c r="B308" t="inlineStr">
        <is>
          <t>61140P</t>
        </is>
      </c>
      <c r="C308" t="inlineStr">
        <is>
          <t>Line item</t>
        </is>
      </c>
      <c r="D308" t="n">
        <v>85.5</v>
      </c>
      <c r="E308" t="n">
        <v>94</v>
      </c>
      <c r="F308" t="n">
        <v>8.5</v>
      </c>
      <c r="G308" t="n">
        <v>9.9</v>
      </c>
      <c r="H308" t="n">
        <v>1</v>
      </c>
      <c r="I308" t="inlineStr">
        <is>
          <t>—</t>
        </is>
      </c>
      <c r="J308" t="inlineStr">
        <is>
          <t>—</t>
        </is>
      </c>
      <c r="K308" t="inlineStr">
        <is>
          <t>—</t>
        </is>
      </c>
    </row>
    <row r="309">
      <c r="A309" t="inlineStr">
        <is>
          <t xml:space="preserve">            Technical and trade schools; private</t>
        </is>
      </c>
      <c r="B309" t="inlineStr">
        <is>
          <t>61150P</t>
        </is>
      </c>
      <c r="C309" t="inlineStr">
        <is>
          <t>Line item</t>
        </is>
      </c>
      <c r="D309" t="n">
        <v>129.2</v>
      </c>
      <c r="E309" t="n">
        <v>134.7</v>
      </c>
      <c r="F309" t="n">
        <v>5.5</v>
      </c>
      <c r="G309" t="n">
        <v>4.3</v>
      </c>
      <c r="H309" t="n">
        <v>0.4</v>
      </c>
      <c r="I309" t="inlineStr">
        <is>
          <t>—</t>
        </is>
      </c>
      <c r="J309" t="inlineStr">
        <is>
          <t>—</t>
        </is>
      </c>
      <c r="K309" t="inlineStr">
        <is>
          <t>—</t>
        </is>
      </c>
    </row>
    <row r="310">
      <c r="A310" t="inlineStr">
        <is>
          <t xml:space="preserve">            Other schools and instruction; private</t>
        </is>
      </c>
      <c r="B310" t="inlineStr">
        <is>
          <t>61160P</t>
        </is>
      </c>
      <c r="C310" t="inlineStr">
        <is>
          <t>Line item</t>
        </is>
      </c>
      <c r="D310" t="n">
        <v>550.2</v>
      </c>
      <c r="E310" t="n">
        <v>588.5</v>
      </c>
      <c r="F310" t="n">
        <v>38.3</v>
      </c>
      <c r="G310" t="n">
        <v>7</v>
      </c>
      <c r="H310" t="n">
        <v>0.7</v>
      </c>
      <c r="I310" t="inlineStr">
        <is>
          <t>—</t>
        </is>
      </c>
      <c r="J310" t="inlineStr">
        <is>
          <t>—</t>
        </is>
      </c>
      <c r="K310" t="inlineStr">
        <is>
          <t>—</t>
        </is>
      </c>
    </row>
    <row r="311">
      <c r="A311" t="inlineStr">
        <is>
          <t xml:space="preserve">            Educational support services; private</t>
        </is>
      </c>
      <c r="B311" t="inlineStr">
        <is>
          <t>61170P</t>
        </is>
      </c>
      <c r="C311" t="inlineStr">
        <is>
          <t>Line item</t>
        </is>
      </c>
      <c r="D311" t="n">
        <v>207.7</v>
      </c>
      <c r="E311" t="n">
        <v>227.1</v>
      </c>
      <c r="F311" t="n">
        <v>19.4</v>
      </c>
      <c r="G311" t="n">
        <v>9.4</v>
      </c>
      <c r="H311" t="n">
        <v>0.9</v>
      </c>
      <c r="I311" t="inlineStr">
        <is>
          <t>—</t>
        </is>
      </c>
      <c r="J311" t="inlineStr">
        <is>
          <t>—</t>
        </is>
      </c>
      <c r="K311" t="inlineStr">
        <is>
          <t>—</t>
        </is>
      </c>
    </row>
    <row r="312">
      <c r="A312" t="inlineStr">
        <is>
          <t xml:space="preserve">        Educational services; state and local</t>
        </is>
      </c>
      <c r="B312" t="inlineStr">
        <is>
          <t>6110Y0</t>
        </is>
      </c>
      <c r="C312" t="inlineStr">
        <is>
          <t>Summary</t>
        </is>
      </c>
      <c r="D312" t="n">
        <v>10741.9</v>
      </c>
      <c r="E312" t="n">
        <v>10679.5</v>
      </c>
      <c r="F312" t="n">
        <v>-62.4</v>
      </c>
      <c r="G312" t="n">
        <v>-0.6</v>
      </c>
      <c r="H312" t="n">
        <v>-0.1</v>
      </c>
      <c r="I312" t="n">
        <v>1172.9</v>
      </c>
      <c r="J312" t="n">
        <v>1183.6</v>
      </c>
      <c r="K312" t="n">
        <v>0.1</v>
      </c>
      <c r="L312" t="inlineStr">
        <is>
          <t>ISIC 85</t>
        </is>
      </c>
    </row>
    <row r="313">
      <c r="A313" t="inlineStr">
        <is>
          <t xml:space="preserve">          Elementary and secondary schools; state</t>
        </is>
      </c>
      <c r="B313" t="inlineStr">
        <is>
          <t>61110S</t>
        </is>
      </c>
      <c r="C313" t="inlineStr">
        <is>
          <t>Line item</t>
        </is>
      </c>
      <c r="D313" t="n">
        <v>81.59999999999999</v>
      </c>
      <c r="E313" t="n">
        <v>77.59999999999999</v>
      </c>
      <c r="F313" t="n">
        <v>-4</v>
      </c>
      <c r="G313" t="n">
        <v>-4.9</v>
      </c>
      <c r="H313" t="n">
        <v>-0.5</v>
      </c>
      <c r="I313" t="inlineStr">
        <is>
          <t>—</t>
        </is>
      </c>
      <c r="J313" t="inlineStr">
        <is>
          <t>—</t>
        </is>
      </c>
      <c r="K313" t="inlineStr">
        <is>
          <t>—</t>
        </is>
      </c>
    </row>
    <row r="314">
      <c r="A314" t="inlineStr">
        <is>
          <t xml:space="preserve">          Elementary and secondary schools; local</t>
        </is>
      </c>
      <c r="B314" t="inlineStr">
        <is>
          <t>61110L</t>
        </is>
      </c>
      <c r="C314" t="inlineStr">
        <is>
          <t>Line item</t>
        </is>
      </c>
      <c r="D314" t="n">
        <v>7600.9</v>
      </c>
      <c r="E314" t="n">
        <v>7413</v>
      </c>
      <c r="F314" t="n">
        <v>-187.9</v>
      </c>
      <c r="G314" t="n">
        <v>-2.5</v>
      </c>
      <c r="H314" t="n">
        <v>-0.3</v>
      </c>
      <c r="I314" t="inlineStr">
        <is>
          <t>—</t>
        </is>
      </c>
      <c r="J314" t="inlineStr">
        <is>
          <t>—</t>
        </is>
      </c>
      <c r="K314" t="inlineStr">
        <is>
          <t>—</t>
        </is>
      </c>
    </row>
    <row r="315">
      <c r="A315" t="inlineStr">
        <is>
          <t xml:space="preserve">          Junior colleges, colleges, universities, and professional schools; state and local (6112,3)</t>
        </is>
      </c>
      <c r="B315" t="inlineStr">
        <is>
          <t>6110Y1</t>
        </is>
      </c>
      <c r="C315" t="inlineStr">
        <is>
          <t>Summary</t>
        </is>
      </c>
      <c r="D315" t="n">
        <v>2977.5</v>
      </c>
      <c r="E315" t="n">
        <v>3100.1</v>
      </c>
      <c r="F315" t="n">
        <v>122.5</v>
      </c>
      <c r="G315" t="n">
        <v>4.1</v>
      </c>
      <c r="H315" t="n">
        <v>0.4</v>
      </c>
      <c r="I315" t="inlineStr">
        <is>
          <t>—</t>
        </is>
      </c>
      <c r="J315" t="inlineStr">
        <is>
          <t>—</t>
        </is>
      </c>
      <c r="K315" t="inlineStr">
        <is>
          <t>—</t>
        </is>
      </c>
    </row>
    <row r="316">
      <c r="A316" t="inlineStr">
        <is>
          <t xml:space="preserve">            Junior colleges; state</t>
        </is>
      </c>
      <c r="B316" t="inlineStr">
        <is>
          <t>61120S</t>
        </is>
      </c>
      <c r="C316" t="inlineStr">
        <is>
          <t>Line item</t>
        </is>
      </c>
      <c r="D316" t="n">
        <v>260.7</v>
      </c>
      <c r="E316" t="n">
        <v>265.2</v>
      </c>
      <c r="F316" t="n">
        <v>4.5</v>
      </c>
      <c r="G316" t="n">
        <v>1.7</v>
      </c>
      <c r="H316" t="n">
        <v>0.2</v>
      </c>
      <c r="I316" t="inlineStr">
        <is>
          <t>—</t>
        </is>
      </c>
      <c r="J316" t="inlineStr">
        <is>
          <t>—</t>
        </is>
      </c>
      <c r="K316" t="inlineStr">
        <is>
          <t>—</t>
        </is>
      </c>
    </row>
    <row r="317">
      <c r="A317" t="inlineStr">
        <is>
          <t xml:space="preserve">            Junior colleges; local</t>
        </is>
      </c>
      <c r="B317" t="inlineStr">
        <is>
          <t>61120L</t>
        </is>
      </c>
      <c r="C317" t="inlineStr">
        <is>
          <t>Line item</t>
        </is>
      </c>
      <c r="D317" t="n">
        <v>399.1</v>
      </c>
      <c r="E317" t="n">
        <v>396.8</v>
      </c>
      <c r="F317" t="n">
        <v>-2.3</v>
      </c>
      <c r="G317" t="n">
        <v>-0.6</v>
      </c>
      <c r="H317" t="n">
        <v>-0.1</v>
      </c>
      <c r="I317" t="inlineStr">
        <is>
          <t>—</t>
        </is>
      </c>
      <c r="J317" t="inlineStr">
        <is>
          <t>—</t>
        </is>
      </c>
      <c r="K317" t="inlineStr">
        <is>
          <t>—</t>
        </is>
      </c>
    </row>
    <row r="318">
      <c r="A318" t="inlineStr">
        <is>
          <t xml:space="preserve">            Colleges, universities, and professional schools; state</t>
        </is>
      </c>
      <c r="B318" t="inlineStr">
        <is>
          <t>61130S</t>
        </is>
      </c>
      <c r="C318" t="inlineStr">
        <is>
          <t>Line item</t>
        </is>
      </c>
      <c r="D318" t="n">
        <v>2242.9</v>
      </c>
      <c r="E318" t="n">
        <v>2360.2</v>
      </c>
      <c r="F318" t="n">
        <v>117.3</v>
      </c>
      <c r="G318" t="n">
        <v>5.2</v>
      </c>
      <c r="H318" t="n">
        <v>0.5</v>
      </c>
      <c r="I318" t="inlineStr">
        <is>
          <t>—</t>
        </is>
      </c>
      <c r="J318" t="inlineStr">
        <is>
          <t>—</t>
        </is>
      </c>
      <c r="K318" t="inlineStr">
        <is>
          <t>—</t>
        </is>
      </c>
    </row>
    <row r="319">
      <c r="A319" t="inlineStr">
        <is>
          <t xml:space="preserve">            Colleges, universities, and professional schools; local</t>
        </is>
      </c>
      <c r="B319" t="inlineStr">
        <is>
          <t>61130L</t>
        </is>
      </c>
      <c r="C319" t="inlineStr">
        <is>
          <t>Line item</t>
        </is>
      </c>
      <c r="D319" t="n">
        <v>74.8</v>
      </c>
      <c r="E319" t="n">
        <v>78</v>
      </c>
      <c r="F319" t="n">
        <v>3.1</v>
      </c>
      <c r="G319" t="n">
        <v>4.2</v>
      </c>
      <c r="H319" t="n">
        <v>0.4</v>
      </c>
      <c r="I319" t="inlineStr">
        <is>
          <t>—</t>
        </is>
      </c>
      <c r="J319" t="inlineStr">
        <is>
          <t>—</t>
        </is>
      </c>
      <c r="K319" t="inlineStr">
        <is>
          <t>—</t>
        </is>
      </c>
    </row>
    <row r="320">
      <c r="A320" t="inlineStr">
        <is>
          <t xml:space="preserve">          Other educational services; state and local (6114-7)</t>
        </is>
      </c>
      <c r="B320" t="inlineStr">
        <is>
          <t>6110Y2</t>
        </is>
      </c>
      <c r="C320" t="inlineStr">
        <is>
          <t>Summary</t>
        </is>
      </c>
      <c r="D320" t="n">
        <v>81.90000000000001</v>
      </c>
      <c r="E320" t="n">
        <v>88.8</v>
      </c>
      <c r="F320" t="n">
        <v>6.9</v>
      </c>
      <c r="G320" t="n">
        <v>8.5</v>
      </c>
      <c r="H320" t="n">
        <v>0.8</v>
      </c>
      <c r="I320" t="inlineStr">
        <is>
          <t>—</t>
        </is>
      </c>
      <c r="J320" t="inlineStr">
        <is>
          <t>—</t>
        </is>
      </c>
      <c r="K320" t="inlineStr">
        <is>
          <t>—</t>
        </is>
      </c>
    </row>
    <row r="321">
      <c r="A321" t="inlineStr">
        <is>
          <t xml:space="preserve">            Business schools and computer and management training; state</t>
        </is>
      </c>
      <c r="B321" t="inlineStr">
        <is>
          <t>61140S</t>
        </is>
      </c>
      <c r="C321" t="inlineStr">
        <is>
          <t>Line item</t>
        </is>
      </c>
      <c r="D321" t="n">
        <v>2.9</v>
      </c>
      <c r="E321" t="n">
        <v>3.1</v>
      </c>
      <c r="F321" t="n">
        <v>0.2</v>
      </c>
      <c r="G321" t="n">
        <v>8.199999999999999</v>
      </c>
      <c r="H321" t="n">
        <v>0.7</v>
      </c>
      <c r="I321" t="inlineStr">
        <is>
          <t>—</t>
        </is>
      </c>
      <c r="J321" t="inlineStr">
        <is>
          <t>—</t>
        </is>
      </c>
      <c r="K321" t="inlineStr">
        <is>
          <t>—</t>
        </is>
      </c>
    </row>
    <row r="322">
      <c r="A322" t="inlineStr">
        <is>
          <t xml:space="preserve">            Business schools and computer and management training; local</t>
        </is>
      </c>
      <c r="B322" t="inlineStr">
        <is>
          <t>61140L</t>
        </is>
      </c>
      <c r="C322" t="inlineStr">
        <is>
          <t>Line item</t>
        </is>
      </c>
      <c r="D322" t="n">
        <v>2.3</v>
      </c>
      <c r="E322" t="n">
        <v>2.4</v>
      </c>
      <c r="F322" t="n">
        <v>0.1</v>
      </c>
      <c r="G322" t="n">
        <v>6.5</v>
      </c>
      <c r="H322" t="n">
        <v>0.4</v>
      </c>
      <c r="I322" t="inlineStr">
        <is>
          <t>—</t>
        </is>
      </c>
      <c r="J322" t="inlineStr">
        <is>
          <t>—</t>
        </is>
      </c>
      <c r="K322" t="inlineStr">
        <is>
          <t>—</t>
        </is>
      </c>
    </row>
    <row r="323">
      <c r="A323" t="inlineStr">
        <is>
          <t xml:space="preserve">            Technical and trade schools; state</t>
        </is>
      </c>
      <c r="B323" t="inlineStr">
        <is>
          <t>61150S</t>
        </is>
      </c>
      <c r="C323" t="inlineStr">
        <is>
          <t>Line item</t>
        </is>
      </c>
      <c r="D323" t="n">
        <v>14.7</v>
      </c>
      <c r="E323" t="n">
        <v>15.3</v>
      </c>
      <c r="F323" t="n">
        <v>0.6</v>
      </c>
      <c r="G323" t="n">
        <v>4.1</v>
      </c>
      <c r="H323" t="n">
        <v>0.4</v>
      </c>
      <c r="I323" t="inlineStr">
        <is>
          <t>—</t>
        </is>
      </c>
      <c r="J323" t="inlineStr">
        <is>
          <t>—</t>
        </is>
      </c>
      <c r="K323" t="inlineStr">
        <is>
          <t>—</t>
        </is>
      </c>
    </row>
    <row r="324">
      <c r="A324" t="inlineStr">
        <is>
          <t xml:space="preserve">            Technical and trade schools; local</t>
        </is>
      </c>
      <c r="B324" t="inlineStr">
        <is>
          <t>61150L</t>
        </is>
      </c>
      <c r="C324" t="inlineStr">
        <is>
          <t>Line item</t>
        </is>
      </c>
      <c r="D324" t="n">
        <v>10.6</v>
      </c>
      <c r="E324" t="n">
        <v>10.8</v>
      </c>
      <c r="F324" t="n">
        <v>0.3</v>
      </c>
      <c r="G324" t="n">
        <v>2.7</v>
      </c>
      <c r="H324" t="n">
        <v>0.2</v>
      </c>
      <c r="I324" t="inlineStr">
        <is>
          <t>—</t>
        </is>
      </c>
      <c r="J324" t="inlineStr">
        <is>
          <t>—</t>
        </is>
      </c>
      <c r="K324" t="inlineStr">
        <is>
          <t>—</t>
        </is>
      </c>
    </row>
    <row r="325">
      <c r="A325" t="inlineStr">
        <is>
          <t xml:space="preserve">            Other schools and instruction; state</t>
        </is>
      </c>
      <c r="B325" t="inlineStr">
        <is>
          <t>61160S</t>
        </is>
      </c>
      <c r="C325" t="inlineStr">
        <is>
          <t>Line item</t>
        </is>
      </c>
      <c r="D325" t="n">
        <v>1.6</v>
      </c>
      <c r="E325" t="n">
        <v>1.6</v>
      </c>
      <c r="F325" t="n">
        <v>0.1</v>
      </c>
      <c r="G325" t="n">
        <v>4.4</v>
      </c>
      <c r="H325" t="n">
        <v>0</v>
      </c>
      <c r="I325" t="inlineStr">
        <is>
          <t>—</t>
        </is>
      </c>
      <c r="J325" t="inlineStr">
        <is>
          <t>—</t>
        </is>
      </c>
      <c r="K325" t="inlineStr">
        <is>
          <t>—</t>
        </is>
      </c>
    </row>
    <row r="326">
      <c r="A326" t="inlineStr">
        <is>
          <t xml:space="preserve">            Other schools and instruction; local</t>
        </is>
      </c>
      <c r="B326" t="inlineStr">
        <is>
          <t>61160L</t>
        </is>
      </c>
      <c r="C326" t="inlineStr">
        <is>
          <t>Line item</t>
        </is>
      </c>
      <c r="D326" t="n">
        <v>8.800000000000001</v>
      </c>
      <c r="E326" t="n">
        <v>8.4</v>
      </c>
      <c r="F326" t="n">
        <v>-0.5</v>
      </c>
      <c r="G326" t="n">
        <v>-5.5</v>
      </c>
      <c r="H326" t="n">
        <v>-0.5</v>
      </c>
      <c r="I326" t="inlineStr">
        <is>
          <t>—</t>
        </is>
      </c>
      <c r="J326" t="inlineStr">
        <is>
          <t>—</t>
        </is>
      </c>
      <c r="K326" t="inlineStr">
        <is>
          <t>—</t>
        </is>
      </c>
    </row>
    <row r="327">
      <c r="A327" t="inlineStr">
        <is>
          <t xml:space="preserve">            Educational support services; local</t>
        </is>
      </c>
      <c r="B327" t="inlineStr">
        <is>
          <t>61170L</t>
        </is>
      </c>
      <c r="C327" t="inlineStr">
        <is>
          <t>Line item</t>
        </is>
      </c>
      <c r="D327" t="n">
        <v>40.9</v>
      </c>
      <c r="E327" t="n">
        <v>47</v>
      </c>
      <c r="F327" t="n">
        <v>6.1</v>
      </c>
      <c r="G327" t="n">
        <v>14.8</v>
      </c>
      <c r="H327" t="n">
        <v>1.4</v>
      </c>
      <c r="I327" t="inlineStr">
        <is>
          <t>—</t>
        </is>
      </c>
      <c r="J327" t="inlineStr">
        <is>
          <t>—</t>
        </is>
      </c>
      <c r="K327" t="inlineStr">
        <is>
          <t>—</t>
        </is>
      </c>
    </row>
    <row r="328">
      <c r="A328" t="inlineStr">
        <is>
          <t xml:space="preserve">    Healthcare and social assistance</t>
        </is>
      </c>
      <c r="B328" t="inlineStr">
        <is>
          <t>620000</t>
        </is>
      </c>
      <c r="C328" t="inlineStr">
        <is>
          <t>Summary</t>
        </is>
      </c>
      <c r="D328" t="n">
        <v>23692.2</v>
      </c>
      <c r="E328" t="n">
        <v>25674.9</v>
      </c>
      <c r="F328" t="n">
        <v>1982.7</v>
      </c>
      <c r="G328" t="n">
        <v>8.4</v>
      </c>
      <c r="H328" t="n">
        <v>0.8</v>
      </c>
      <c r="I328" t="inlineStr">
        <is>
          <t>—</t>
        </is>
      </c>
      <c r="J328" t="inlineStr">
        <is>
          <t>—</t>
        </is>
      </c>
      <c r="K328" t="inlineStr">
        <is>
          <t>—</t>
        </is>
      </c>
    </row>
    <row r="329">
      <c r="A329" t="inlineStr">
        <is>
          <t xml:space="preserve">      Ambulatory healthcare services</t>
        </is>
      </c>
      <c r="B329" t="inlineStr">
        <is>
          <t>621000</t>
        </is>
      </c>
      <c r="C329" t="inlineStr">
        <is>
          <t>Summary</t>
        </is>
      </c>
      <c r="D329" t="n">
        <v>8784.9</v>
      </c>
      <c r="E329" t="n">
        <v>9852.799999999999</v>
      </c>
      <c r="F329" t="n">
        <v>1067.9</v>
      </c>
      <c r="G329" t="n">
        <v>12.2</v>
      </c>
      <c r="H329" t="n">
        <v>1.2</v>
      </c>
      <c r="I329" t="n">
        <v>1417.6</v>
      </c>
      <c r="J329" t="n">
        <v>1929</v>
      </c>
      <c r="K329" t="n">
        <v>3.1</v>
      </c>
      <c r="L329" t="inlineStr">
        <is>
          <t>ISIC 86T88</t>
        </is>
      </c>
    </row>
    <row r="330">
      <c r="A330" t="inlineStr">
        <is>
          <t xml:space="preserve">        Offices of physicians</t>
        </is>
      </c>
      <c r="B330" t="inlineStr">
        <is>
          <t>621100</t>
        </is>
      </c>
      <c r="C330" t="inlineStr">
        <is>
          <t>Line item</t>
        </is>
      </c>
      <c r="D330" t="n">
        <v>2975.4</v>
      </c>
      <c r="E330" t="n">
        <v>3180</v>
      </c>
      <c r="F330" t="n">
        <v>204.6</v>
      </c>
      <c r="G330" t="n">
        <v>6.9</v>
      </c>
      <c r="H330" t="n">
        <v>0.7</v>
      </c>
      <c r="I330" t="n">
        <v>646.9</v>
      </c>
      <c r="J330" t="n">
        <v>893.9</v>
      </c>
      <c r="K330" t="n">
        <v>3.3</v>
      </c>
    </row>
    <row r="331">
      <c r="A331" t="inlineStr">
        <is>
          <t xml:space="preserve">        Offices of dentists</t>
        </is>
      </c>
      <c r="B331" t="inlineStr">
        <is>
          <t>621200</t>
        </is>
      </c>
      <c r="C331" t="inlineStr">
        <is>
          <t>Line item</t>
        </is>
      </c>
      <c r="D331" t="n">
        <v>1045.5</v>
      </c>
      <c r="E331" t="n">
        <v>1101.8</v>
      </c>
      <c r="F331" t="n">
        <v>56.3</v>
      </c>
      <c r="G331" t="n">
        <v>5.4</v>
      </c>
      <c r="H331" t="n">
        <v>0.5</v>
      </c>
      <c r="I331" t="n">
        <v>146.7</v>
      </c>
      <c r="J331" t="n">
        <v>164.3</v>
      </c>
      <c r="K331" t="n">
        <v>1.1</v>
      </c>
    </row>
    <row r="332">
      <c r="A332" t="inlineStr">
        <is>
          <t xml:space="preserve">        Offices of other health practitioners</t>
        </is>
      </c>
      <c r="B332" t="inlineStr">
        <is>
          <t>621300</t>
        </is>
      </c>
      <c r="C332" t="inlineStr">
        <is>
          <t>Summary</t>
        </is>
      </c>
      <c r="D332" t="n">
        <v>1232.2</v>
      </c>
      <c r="E332" t="n">
        <v>1457.8</v>
      </c>
      <c r="F332" t="n">
        <v>225.6</v>
      </c>
      <c r="G332" t="n">
        <v>18.3</v>
      </c>
      <c r="H332" t="n">
        <v>1.7</v>
      </c>
      <c r="I332" t="n">
        <v>164.6</v>
      </c>
      <c r="J332" t="n">
        <v>235.3</v>
      </c>
      <c r="K332" t="n">
        <v>3.6</v>
      </c>
    </row>
    <row r="333">
      <c r="A333" t="inlineStr">
        <is>
          <t xml:space="preserve">          Offices of chiropractors</t>
        </is>
      </c>
      <c r="B333" t="inlineStr">
        <is>
          <t>621310</t>
        </is>
      </c>
      <c r="C333" t="inlineStr">
        <is>
          <t>Line item</t>
        </is>
      </c>
      <c r="D333" t="n">
        <v>146.9</v>
      </c>
      <c r="E333" t="n">
        <v>156</v>
      </c>
      <c r="F333" t="n">
        <v>9.1</v>
      </c>
      <c r="G333" t="n">
        <v>6.2</v>
      </c>
      <c r="H333" t="n">
        <v>0.6</v>
      </c>
      <c r="I333" t="inlineStr">
        <is>
          <t>—</t>
        </is>
      </c>
      <c r="J333" t="inlineStr">
        <is>
          <t>—</t>
        </is>
      </c>
      <c r="K333" t="inlineStr">
        <is>
          <t>—</t>
        </is>
      </c>
    </row>
    <row r="334">
      <c r="A334" t="inlineStr">
        <is>
          <t xml:space="preserve">          Offices of optometrists</t>
        </is>
      </c>
      <c r="B334" t="inlineStr">
        <is>
          <t>621320</t>
        </is>
      </c>
      <c r="C334" t="inlineStr">
        <is>
          <t>Line item</t>
        </is>
      </c>
      <c r="D334" t="n">
        <v>154.5</v>
      </c>
      <c r="E334" t="n">
        <v>166.2</v>
      </c>
      <c r="F334" t="n">
        <v>11.7</v>
      </c>
      <c r="G334" t="n">
        <v>7.6</v>
      </c>
      <c r="H334" t="n">
        <v>0.7</v>
      </c>
      <c r="I334" t="inlineStr">
        <is>
          <t>—</t>
        </is>
      </c>
      <c r="J334" t="inlineStr">
        <is>
          <t>—</t>
        </is>
      </c>
      <c r="K334" t="inlineStr">
        <is>
          <t>—</t>
        </is>
      </c>
    </row>
    <row r="335">
      <c r="A335" t="inlineStr">
        <is>
          <t xml:space="preserve">          Offices of mental health practitioners (except physicians)</t>
        </is>
      </c>
      <c r="B335" t="inlineStr">
        <is>
          <t>621330</t>
        </is>
      </c>
      <c r="C335" t="inlineStr">
        <is>
          <t>Line item</t>
        </is>
      </c>
      <c r="D335" t="n">
        <v>247.9</v>
      </c>
      <c r="E335" t="n">
        <v>313.4</v>
      </c>
      <c r="F335" t="n">
        <v>65.5</v>
      </c>
      <c r="G335" t="n">
        <v>26.4</v>
      </c>
      <c r="H335" t="n">
        <v>2.4</v>
      </c>
      <c r="I335" t="inlineStr">
        <is>
          <t>—</t>
        </is>
      </c>
      <c r="J335" t="inlineStr">
        <is>
          <t>—</t>
        </is>
      </c>
      <c r="K335" t="inlineStr">
        <is>
          <t>—</t>
        </is>
      </c>
    </row>
    <row r="336">
      <c r="A336" t="inlineStr">
        <is>
          <t xml:space="preserve">          Offices of physical, occupational and speech therapists, and audiologists</t>
        </is>
      </c>
      <c r="B336" t="inlineStr">
        <is>
          <t>621340</t>
        </is>
      </c>
      <c r="C336" t="inlineStr">
        <is>
          <t>Line item</t>
        </is>
      </c>
      <c r="D336" t="n">
        <v>493.1</v>
      </c>
      <c r="E336" t="n">
        <v>607.9</v>
      </c>
      <c r="F336" t="n">
        <v>114.8</v>
      </c>
      <c r="G336" t="n">
        <v>23.3</v>
      </c>
      <c r="H336" t="n">
        <v>2.1</v>
      </c>
      <c r="I336" t="inlineStr">
        <is>
          <t>—</t>
        </is>
      </c>
      <c r="J336" t="inlineStr">
        <is>
          <t>—</t>
        </is>
      </c>
      <c r="K336" t="inlineStr">
        <is>
          <t>—</t>
        </is>
      </c>
    </row>
    <row r="337">
      <c r="A337" t="inlineStr">
        <is>
          <t xml:space="preserve">          Offices of all other health practitioners</t>
        </is>
      </c>
      <c r="B337" t="inlineStr">
        <is>
          <t>621390</t>
        </is>
      </c>
      <c r="C337" t="inlineStr">
        <is>
          <t>Line item</t>
        </is>
      </c>
      <c r="D337" t="n">
        <v>189.8</v>
      </c>
      <c r="E337" t="n">
        <v>214.3</v>
      </c>
      <c r="F337" t="n">
        <v>24.5</v>
      </c>
      <c r="G337" t="n">
        <v>12.9</v>
      </c>
      <c r="H337" t="n">
        <v>1.2</v>
      </c>
      <c r="I337" t="inlineStr">
        <is>
          <t>—</t>
        </is>
      </c>
      <c r="J337" t="inlineStr">
        <is>
          <t>—</t>
        </is>
      </c>
      <c r="K337" t="inlineStr">
        <is>
          <t>—</t>
        </is>
      </c>
    </row>
    <row r="338">
      <c r="A338" t="inlineStr">
        <is>
          <t xml:space="preserve">        Outpatient care centers</t>
        </is>
      </c>
      <c r="B338" t="inlineStr">
        <is>
          <t>621400</t>
        </is>
      </c>
      <c r="C338" t="inlineStr">
        <is>
          <t>Summary</t>
        </is>
      </c>
      <c r="D338" t="n">
        <v>1115.1</v>
      </c>
      <c r="E338" t="n">
        <v>1324.8</v>
      </c>
      <c r="F338" t="n">
        <v>209.7</v>
      </c>
      <c r="G338" t="n">
        <v>18.8</v>
      </c>
      <c r="H338" t="n">
        <v>1.7</v>
      </c>
      <c r="I338" t="n">
        <v>217.8</v>
      </c>
      <c r="J338" t="n">
        <v>307.4</v>
      </c>
      <c r="K338" t="n">
        <v>3.5</v>
      </c>
    </row>
    <row r="339">
      <c r="A339" t="inlineStr">
        <is>
          <t xml:space="preserve">          Outpatient mental health and substance abuse centers</t>
        </is>
      </c>
      <c r="B339" t="inlineStr">
        <is>
          <t>621420</t>
        </is>
      </c>
      <c r="C339" t="inlineStr">
        <is>
          <t>Line item</t>
        </is>
      </c>
      <c r="D339" t="n">
        <v>314.8</v>
      </c>
      <c r="E339" t="n">
        <v>377.6</v>
      </c>
      <c r="F339" t="n">
        <v>62.8</v>
      </c>
      <c r="G339" t="n">
        <v>19.9</v>
      </c>
      <c r="H339" t="n">
        <v>1.8</v>
      </c>
      <c r="I339" t="inlineStr">
        <is>
          <t>—</t>
        </is>
      </c>
      <c r="J339" t="inlineStr">
        <is>
          <t>—</t>
        </is>
      </c>
      <c r="K339" t="inlineStr">
        <is>
          <t>—</t>
        </is>
      </c>
    </row>
    <row r="340">
      <c r="A340" t="inlineStr">
        <is>
          <t xml:space="preserve">        Medical and diagnostic laboratories</t>
        </is>
      </c>
      <c r="B340" t="inlineStr">
        <is>
          <t>621500</t>
        </is>
      </c>
      <c r="C340" t="inlineStr">
        <is>
          <t>Line item</t>
        </is>
      </c>
      <c r="D340" t="n">
        <v>308</v>
      </c>
      <c r="E340" t="n">
        <v>327.7</v>
      </c>
      <c r="F340" t="n">
        <v>19.7</v>
      </c>
      <c r="G340" t="n">
        <v>6.4</v>
      </c>
      <c r="H340" t="n">
        <v>0.6</v>
      </c>
      <c r="I340" t="n">
        <v>75.90000000000001</v>
      </c>
      <c r="J340" t="n">
        <v>99.09999999999999</v>
      </c>
      <c r="K340" t="n">
        <v>2.7</v>
      </c>
    </row>
    <row r="341">
      <c r="A341" t="inlineStr">
        <is>
          <t xml:space="preserve">        Home healthcare services</t>
        </is>
      </c>
      <c r="B341" t="inlineStr">
        <is>
          <t>621600</t>
        </is>
      </c>
      <c r="C341" t="inlineStr">
        <is>
          <t>Line item</t>
        </is>
      </c>
      <c r="D341" t="n">
        <v>1750.8</v>
      </c>
      <c r="E341" t="n">
        <v>2076.6</v>
      </c>
      <c r="F341" t="n">
        <v>325.8</v>
      </c>
      <c r="G341" t="n">
        <v>18.6</v>
      </c>
      <c r="H341" t="n">
        <v>1.7</v>
      </c>
      <c r="I341" t="n">
        <v>120.6</v>
      </c>
      <c r="J341" t="n">
        <v>176.6</v>
      </c>
      <c r="K341" t="n">
        <v>3.9</v>
      </c>
    </row>
    <row r="342">
      <c r="A342" t="inlineStr">
        <is>
          <t xml:space="preserve">        Other ambulatory healthcare services</t>
        </is>
      </c>
      <c r="B342" t="inlineStr">
        <is>
          <t>621900</t>
        </is>
      </c>
      <c r="C342" t="inlineStr">
        <is>
          <t>Summary</t>
        </is>
      </c>
      <c r="D342" t="n">
        <v>357.9</v>
      </c>
      <c r="E342" t="n">
        <v>384.3</v>
      </c>
      <c r="F342" t="n">
        <v>26.4</v>
      </c>
      <c r="G342" t="n">
        <v>7.4</v>
      </c>
      <c r="H342" t="n">
        <v>0.7</v>
      </c>
      <c r="I342" t="n">
        <v>46.3</v>
      </c>
      <c r="J342" t="n">
        <v>61.5</v>
      </c>
      <c r="K342" t="n">
        <v>2.9</v>
      </c>
    </row>
    <row r="343">
      <c r="A343" t="inlineStr">
        <is>
          <t xml:space="preserve">          Ambulance services</t>
        </is>
      </c>
      <c r="B343" t="inlineStr">
        <is>
          <t>621910</t>
        </is>
      </c>
      <c r="C343" t="inlineStr">
        <is>
          <t>Line item</t>
        </is>
      </c>
      <c r="D343" t="n">
        <v>170.5</v>
      </c>
      <c r="E343" t="n">
        <v>176.8</v>
      </c>
      <c r="F343" t="n">
        <v>6.3</v>
      </c>
      <c r="G343" t="n">
        <v>3.7</v>
      </c>
      <c r="H343" t="n">
        <v>0.4</v>
      </c>
      <c r="I343" t="inlineStr">
        <is>
          <t>—</t>
        </is>
      </c>
      <c r="J343" t="inlineStr">
        <is>
          <t>—</t>
        </is>
      </c>
      <c r="K343" t="inlineStr">
        <is>
          <t>—</t>
        </is>
      </c>
    </row>
    <row r="344">
      <c r="A344" t="inlineStr">
        <is>
          <t xml:space="preserve">          All other ambulatory healthcare services</t>
        </is>
      </c>
      <c r="B344" t="inlineStr">
        <is>
          <t>621990</t>
        </is>
      </c>
      <c r="C344" t="inlineStr">
        <is>
          <t>Line item</t>
        </is>
      </c>
      <c r="D344" t="n">
        <v>187.4</v>
      </c>
      <c r="E344" t="n">
        <v>207.5</v>
      </c>
      <c r="F344" t="n">
        <v>20.1</v>
      </c>
      <c r="G344" t="n">
        <v>10.7</v>
      </c>
      <c r="H344" t="n">
        <v>1</v>
      </c>
      <c r="I344" t="inlineStr">
        <is>
          <t>—</t>
        </is>
      </c>
      <c r="J344" t="inlineStr">
        <is>
          <t>—</t>
        </is>
      </c>
      <c r="K344" t="inlineStr">
        <is>
          <t>—</t>
        </is>
      </c>
    </row>
    <row r="345">
      <c r="A345" t="inlineStr">
        <is>
          <t xml:space="preserve">      Hospitals; state, local, and private</t>
        </is>
      </c>
      <c r="B345" t="inlineStr">
        <is>
          <t>622000</t>
        </is>
      </c>
      <c r="C345" t="inlineStr">
        <is>
          <t>Summary</t>
        </is>
      </c>
      <c r="D345" t="n">
        <v>6715.9</v>
      </c>
      <c r="E345" t="n">
        <v>6980.7</v>
      </c>
      <c r="F345" t="n">
        <v>264.8</v>
      </c>
      <c r="G345" t="n">
        <v>3.9</v>
      </c>
      <c r="H345" t="n">
        <v>0.4</v>
      </c>
      <c r="I345" t="inlineStr">
        <is>
          <t>—</t>
        </is>
      </c>
      <c r="J345" t="inlineStr">
        <is>
          <t>—</t>
        </is>
      </c>
      <c r="K345" t="inlineStr">
        <is>
          <t>—</t>
        </is>
      </c>
    </row>
    <row r="346">
      <c r="A346" t="inlineStr">
        <is>
          <t xml:space="preserve">        Hospitals; private</t>
        </is>
      </c>
      <c r="B346" t="inlineStr">
        <is>
          <t>6220P0</t>
        </is>
      </c>
      <c r="C346" t="inlineStr">
        <is>
          <t>Summary</t>
        </is>
      </c>
      <c r="D346" t="n">
        <v>5551.1</v>
      </c>
      <c r="E346" t="n">
        <v>5794.8</v>
      </c>
      <c r="F346" t="n">
        <v>243.7</v>
      </c>
      <c r="G346" t="n">
        <v>4.4</v>
      </c>
      <c r="H346" t="n">
        <v>0.4</v>
      </c>
      <c r="I346" t="n">
        <v>1007.8</v>
      </c>
      <c r="J346" t="n">
        <v>1311</v>
      </c>
      <c r="K346" t="n">
        <v>2.7</v>
      </c>
      <c r="L346" t="inlineStr">
        <is>
          <t>ISIC 86T88</t>
        </is>
      </c>
    </row>
    <row r="347">
      <c r="A347" t="inlineStr">
        <is>
          <t xml:space="preserve">          General medical and surgical hospitals; private</t>
        </is>
      </c>
      <c r="B347" t="inlineStr">
        <is>
          <t>62210P</t>
        </is>
      </c>
      <c r="C347" t="inlineStr">
        <is>
          <t>Line item</t>
        </is>
      </c>
      <c r="D347" t="n">
        <v>5070.2</v>
      </c>
      <c r="E347" t="n">
        <v>5267.5</v>
      </c>
      <c r="F347" t="n">
        <v>197.3</v>
      </c>
      <c r="G347" t="n">
        <v>3.9</v>
      </c>
      <c r="H347" t="n">
        <v>0.4</v>
      </c>
      <c r="I347" t="inlineStr">
        <is>
          <t>—</t>
        </is>
      </c>
      <c r="J347" t="inlineStr">
        <is>
          <t>—</t>
        </is>
      </c>
      <c r="K347" t="inlineStr">
        <is>
          <t>—</t>
        </is>
      </c>
    </row>
    <row r="348">
      <c r="A348" t="inlineStr">
        <is>
          <t xml:space="preserve">          Psychiatric and substance abuse hospitals; private</t>
        </is>
      </c>
      <c r="B348" t="inlineStr">
        <is>
          <t>62220P</t>
        </is>
      </c>
      <c r="C348" t="inlineStr">
        <is>
          <t>Line item</t>
        </is>
      </c>
      <c r="D348" t="n">
        <v>165.2</v>
      </c>
      <c r="E348" t="n">
        <v>182.5</v>
      </c>
      <c r="F348" t="n">
        <v>17.3</v>
      </c>
      <c r="G348" t="n">
        <v>10.5</v>
      </c>
      <c r="H348" t="n">
        <v>1</v>
      </c>
      <c r="I348" t="inlineStr">
        <is>
          <t>—</t>
        </is>
      </c>
      <c r="J348" t="inlineStr">
        <is>
          <t>—</t>
        </is>
      </c>
      <c r="K348" t="inlineStr">
        <is>
          <t>—</t>
        </is>
      </c>
    </row>
    <row r="349">
      <c r="A349" t="inlineStr">
        <is>
          <t xml:space="preserve">          Specialty (except psychiatric and substance abuse) hospitals; private</t>
        </is>
      </c>
      <c r="B349" t="inlineStr">
        <is>
          <t>62230P</t>
        </is>
      </c>
      <c r="C349" t="inlineStr">
        <is>
          <t>Line item</t>
        </is>
      </c>
      <c r="D349" t="n">
        <v>315.7</v>
      </c>
      <c r="E349" t="n">
        <v>344.8</v>
      </c>
      <c r="F349" t="n">
        <v>29.1</v>
      </c>
      <c r="G349" t="n">
        <v>9.199999999999999</v>
      </c>
      <c r="H349" t="n">
        <v>0.9</v>
      </c>
      <c r="I349" t="inlineStr">
        <is>
          <t>—</t>
        </is>
      </c>
      <c r="J349" t="inlineStr">
        <is>
          <t>—</t>
        </is>
      </c>
      <c r="K349" t="inlineStr">
        <is>
          <t>—</t>
        </is>
      </c>
    </row>
    <row r="350">
      <c r="A350" t="inlineStr">
        <is>
          <t xml:space="preserve">        Hospitals; state and local</t>
        </is>
      </c>
      <c r="B350" t="inlineStr">
        <is>
          <t>6220Y0</t>
        </is>
      </c>
      <c r="C350" t="inlineStr">
        <is>
          <t>Summary</t>
        </is>
      </c>
      <c r="D350" t="n">
        <v>1164.8</v>
      </c>
      <c r="E350" t="n">
        <v>1185.9</v>
      </c>
      <c r="F350" t="n">
        <v>21.1</v>
      </c>
      <c r="G350" t="n">
        <v>1.8</v>
      </c>
      <c r="H350" t="n">
        <v>0.2</v>
      </c>
      <c r="I350" t="n">
        <v>379.1</v>
      </c>
      <c r="J350" t="n">
        <v>482</v>
      </c>
      <c r="K350" t="n">
        <v>2.4</v>
      </c>
      <c r="L350" t="inlineStr">
        <is>
          <t>ISIC 86T88</t>
        </is>
      </c>
    </row>
    <row r="351">
      <c r="A351" t="inlineStr">
        <is>
          <t xml:space="preserve">          General medical and surgical hospitals; state</t>
        </is>
      </c>
      <c r="B351" t="inlineStr">
        <is>
          <t>62210S</t>
        </is>
      </c>
      <c r="C351" t="inlineStr">
        <is>
          <t>Line item</t>
        </is>
      </c>
      <c r="D351" t="n">
        <v>305.1</v>
      </c>
      <c r="E351" t="n">
        <v>316.6</v>
      </c>
      <c r="F351" t="n">
        <v>11.5</v>
      </c>
      <c r="G351" t="n">
        <v>3.8</v>
      </c>
      <c r="H351" t="n">
        <v>0.4</v>
      </c>
      <c r="I351" t="inlineStr">
        <is>
          <t>—</t>
        </is>
      </c>
      <c r="J351" t="inlineStr">
        <is>
          <t>—</t>
        </is>
      </c>
      <c r="K351" t="inlineStr">
        <is>
          <t>—</t>
        </is>
      </c>
    </row>
    <row r="352">
      <c r="A352" t="inlineStr">
        <is>
          <t xml:space="preserve">          General medical and surgical hospitals; local</t>
        </is>
      </c>
      <c r="B352" t="inlineStr">
        <is>
          <t>62210L</t>
        </is>
      </c>
      <c r="C352" t="inlineStr">
        <is>
          <t>Line item</t>
        </is>
      </c>
      <c r="D352" t="n">
        <v>700.5</v>
      </c>
      <c r="E352" t="n">
        <v>717.4</v>
      </c>
      <c r="F352" t="n">
        <v>17</v>
      </c>
      <c r="G352" t="n">
        <v>2.4</v>
      </c>
      <c r="H352" t="n">
        <v>0.2</v>
      </c>
      <c r="I352" t="inlineStr">
        <is>
          <t>—</t>
        </is>
      </c>
      <c r="J352" t="inlineStr">
        <is>
          <t>—</t>
        </is>
      </c>
      <c r="K352" t="inlineStr">
        <is>
          <t>—</t>
        </is>
      </c>
    </row>
    <row r="353">
      <c r="A353" t="inlineStr">
        <is>
          <t xml:space="preserve">          Psychiatric and substance abuse hospitals; state</t>
        </is>
      </c>
      <c r="B353" t="inlineStr">
        <is>
          <t>62220S</t>
        </is>
      </c>
      <c r="C353" t="inlineStr">
        <is>
          <t>Line item</t>
        </is>
      </c>
      <c r="D353" t="n">
        <v>115.2</v>
      </c>
      <c r="E353" t="n">
        <v>106.7</v>
      </c>
      <c r="F353" t="n">
        <v>-8.5</v>
      </c>
      <c r="G353" t="n">
        <v>-7.4</v>
      </c>
      <c r="H353" t="n">
        <v>-0.8</v>
      </c>
      <c r="I353" t="inlineStr">
        <is>
          <t>—</t>
        </is>
      </c>
      <c r="J353" t="inlineStr">
        <is>
          <t>—</t>
        </is>
      </c>
      <c r="K353" t="inlineStr">
        <is>
          <t>—</t>
        </is>
      </c>
    </row>
    <row r="354">
      <c r="A354" t="inlineStr">
        <is>
          <t xml:space="preserve">          Psychiatric and substance abuse hospitals; local</t>
        </is>
      </c>
      <c r="B354" t="inlineStr">
        <is>
          <t>62220L</t>
        </is>
      </c>
      <c r="C354" t="inlineStr">
        <is>
          <t>Line item</t>
        </is>
      </c>
      <c r="D354" t="n">
        <v>3.1</v>
      </c>
      <c r="E354" t="n">
        <v>2.8</v>
      </c>
      <c r="F354" t="n">
        <v>-0.2</v>
      </c>
      <c r="G354" t="n">
        <v>-8</v>
      </c>
      <c r="H354" t="n">
        <v>-1</v>
      </c>
      <c r="I354" t="inlineStr">
        <is>
          <t>—</t>
        </is>
      </c>
      <c r="J354" t="inlineStr">
        <is>
          <t>—</t>
        </is>
      </c>
      <c r="K354" t="inlineStr">
        <is>
          <t>—</t>
        </is>
      </c>
    </row>
    <row r="355">
      <c r="A355" t="inlineStr">
        <is>
          <t xml:space="preserve">          Specialty (except psychiatric and substance abuse) hospitals; state</t>
        </is>
      </c>
      <c r="B355" t="inlineStr">
        <is>
          <t>62230S</t>
        </is>
      </c>
      <c r="C355" t="inlineStr">
        <is>
          <t>Line item</t>
        </is>
      </c>
      <c r="D355" t="n">
        <v>40.2</v>
      </c>
      <c r="E355" t="n">
        <v>41.5</v>
      </c>
      <c r="F355" t="n">
        <v>1.3</v>
      </c>
      <c r="G355" t="n">
        <v>3.3</v>
      </c>
      <c r="H355" t="n">
        <v>0.3</v>
      </c>
      <c r="I355" t="inlineStr">
        <is>
          <t>—</t>
        </is>
      </c>
      <c r="J355" t="inlineStr">
        <is>
          <t>—</t>
        </is>
      </c>
      <c r="K355" t="inlineStr">
        <is>
          <t>—</t>
        </is>
      </c>
    </row>
    <row r="356">
      <c r="A356" t="inlineStr">
        <is>
          <t xml:space="preserve">          Specialty (except psychiatric and substance abuse) hospitals; local</t>
        </is>
      </c>
      <c r="B356" t="inlineStr">
        <is>
          <t>62230L</t>
        </is>
      </c>
      <c r="C356" t="inlineStr">
        <is>
          <t>Line item</t>
        </is>
      </c>
      <c r="D356" t="n">
        <v>0.7</v>
      </c>
      <c r="E356" t="n">
        <v>0.7</v>
      </c>
      <c r="F356" t="n">
        <v>0</v>
      </c>
      <c r="G356" t="n">
        <v>-1.3</v>
      </c>
      <c r="H356" t="n">
        <v>0</v>
      </c>
      <c r="I356" t="inlineStr">
        <is>
          <t>—</t>
        </is>
      </c>
      <c r="J356" t="inlineStr">
        <is>
          <t>—</t>
        </is>
      </c>
      <c r="K356" t="inlineStr">
        <is>
          <t>—</t>
        </is>
      </c>
    </row>
    <row r="357">
      <c r="A357" t="inlineStr">
        <is>
          <t xml:space="preserve">      Nursing and residential care facilities</t>
        </is>
      </c>
      <c r="B357" t="inlineStr">
        <is>
          <t>623000</t>
        </is>
      </c>
      <c r="C357" t="inlineStr">
        <is>
          <t>Summary</t>
        </is>
      </c>
      <c r="D357" t="n">
        <v>3316.6</v>
      </c>
      <c r="E357" t="n">
        <v>3421.1</v>
      </c>
      <c r="F357" t="n">
        <v>104.5</v>
      </c>
      <c r="G357" t="n">
        <v>3.2</v>
      </c>
      <c r="H357" t="n">
        <v>0.3</v>
      </c>
      <c r="I357" t="n">
        <v>268.6</v>
      </c>
      <c r="J357" t="n">
        <v>317.6</v>
      </c>
      <c r="K357" t="n">
        <v>1.7</v>
      </c>
      <c r="L357" t="inlineStr">
        <is>
          <t>ISIC 86T88</t>
        </is>
      </c>
    </row>
    <row r="358">
      <c r="A358" t="inlineStr">
        <is>
          <t xml:space="preserve">          Nursing care facilities (skilled nursing facilities)</t>
        </is>
      </c>
      <c r="B358" t="inlineStr">
        <is>
          <t>623100</t>
        </is>
      </c>
      <c r="C358" t="inlineStr">
        <is>
          <t>Line item</t>
        </is>
      </c>
      <c r="D358" t="n">
        <v>1492.4</v>
      </c>
      <c r="E358" t="n">
        <v>1448.1</v>
      </c>
      <c r="F358" t="n">
        <v>-44.3</v>
      </c>
      <c r="G358" t="n">
        <v>-3</v>
      </c>
      <c r="H358" t="n">
        <v>-0.3</v>
      </c>
      <c r="I358" t="inlineStr">
        <is>
          <t>—</t>
        </is>
      </c>
      <c r="J358" t="inlineStr">
        <is>
          <t>—</t>
        </is>
      </c>
      <c r="K358" t="inlineStr">
        <is>
          <t>—</t>
        </is>
      </c>
    </row>
    <row r="359">
      <c r="A359" t="inlineStr">
        <is>
          <t xml:space="preserve">          Continuing care retirement communities and assisted living facilities for the elderly</t>
        </is>
      </c>
      <c r="B359" t="inlineStr">
        <is>
          <t>623300</t>
        </is>
      </c>
      <c r="C359" t="inlineStr">
        <is>
          <t>Line item</t>
        </is>
      </c>
      <c r="D359" t="n">
        <v>988.5</v>
      </c>
      <c r="E359" t="n">
        <v>1092.4</v>
      </c>
      <c r="F359" t="n">
        <v>103.9</v>
      </c>
      <c r="G359" t="n">
        <v>10.5</v>
      </c>
      <c r="H359" t="n">
        <v>1</v>
      </c>
      <c r="I359" t="inlineStr">
        <is>
          <t>—</t>
        </is>
      </c>
      <c r="J359" t="inlineStr">
        <is>
          <t>—</t>
        </is>
      </c>
      <c r="K359" t="inlineStr">
        <is>
          <t>—</t>
        </is>
      </c>
    </row>
    <row r="360">
      <c r="A360" t="inlineStr">
        <is>
          <t xml:space="preserve">          Residential intellectual and developmental disability, mental health, and substance abuse facilities</t>
        </is>
      </c>
      <c r="B360" t="inlineStr">
        <is>
          <t>623200</t>
        </is>
      </c>
      <c r="C360" t="inlineStr">
        <is>
          <t>Summary</t>
        </is>
      </c>
      <c r="D360" t="n">
        <v>669.9</v>
      </c>
      <c r="E360" t="n">
        <v>710.7</v>
      </c>
      <c r="F360" t="n">
        <v>40.8</v>
      </c>
      <c r="G360" t="n">
        <v>6.1</v>
      </c>
      <c r="H360" t="n">
        <v>0.6</v>
      </c>
      <c r="I360" t="inlineStr">
        <is>
          <t>—</t>
        </is>
      </c>
      <c r="J360" t="inlineStr">
        <is>
          <t>—</t>
        </is>
      </c>
      <c r="K360" t="inlineStr">
        <is>
          <t>—</t>
        </is>
      </c>
    </row>
    <row r="361">
      <c r="A361" t="inlineStr">
        <is>
          <t xml:space="preserve">            Residential intellectual and developmental disability facilities</t>
        </is>
      </c>
      <c r="B361" t="inlineStr">
        <is>
          <t>623210</t>
        </is>
      </c>
      <c r="C361" t="inlineStr">
        <is>
          <t>Line item</t>
        </is>
      </c>
      <c r="D361" t="n">
        <v>405.6</v>
      </c>
      <c r="E361" t="n">
        <v>418.3</v>
      </c>
      <c r="F361" t="n">
        <v>12.7</v>
      </c>
      <c r="G361" t="n">
        <v>3.1</v>
      </c>
      <c r="H361" t="n">
        <v>0.3</v>
      </c>
      <c r="I361" t="inlineStr">
        <is>
          <t>—</t>
        </is>
      </c>
      <c r="J361" t="inlineStr">
        <is>
          <t>—</t>
        </is>
      </c>
      <c r="K361" t="inlineStr">
        <is>
          <t>—</t>
        </is>
      </c>
    </row>
    <row r="362">
      <c r="A362" t="inlineStr">
        <is>
          <t xml:space="preserve">            Residential mental health and substance abuse facilities</t>
        </is>
      </c>
      <c r="B362" t="inlineStr">
        <is>
          <t>623220</t>
        </is>
      </c>
      <c r="C362" t="inlineStr">
        <is>
          <t>Line item</t>
        </is>
      </c>
      <c r="D362" t="n">
        <v>264.3</v>
      </c>
      <c r="E362" t="n">
        <v>292.4</v>
      </c>
      <c r="F362" t="n">
        <v>28.1</v>
      </c>
      <c r="G362" t="n">
        <v>10.6</v>
      </c>
      <c r="H362" t="n">
        <v>1</v>
      </c>
      <c r="I362" t="inlineStr">
        <is>
          <t>—</t>
        </is>
      </c>
      <c r="J362" t="inlineStr">
        <is>
          <t>—</t>
        </is>
      </c>
      <c r="K362" t="inlineStr">
        <is>
          <t>—</t>
        </is>
      </c>
    </row>
    <row r="363">
      <c r="A363" t="inlineStr">
        <is>
          <t xml:space="preserve">          Other residential care facilities</t>
        </is>
      </c>
      <c r="B363" t="inlineStr">
        <is>
          <t>623900</t>
        </is>
      </c>
      <c r="C363" t="inlineStr">
        <is>
          <t>Line item</t>
        </is>
      </c>
      <c r="D363" t="n">
        <v>165.8</v>
      </c>
      <c r="E363" t="n">
        <v>170</v>
      </c>
      <c r="F363" t="n">
        <v>4.2</v>
      </c>
      <c r="G363" t="n">
        <v>2.5</v>
      </c>
      <c r="H363" t="n">
        <v>0.3</v>
      </c>
      <c r="I363" t="inlineStr">
        <is>
          <t>—</t>
        </is>
      </c>
      <c r="J363" t="inlineStr">
        <is>
          <t>—</t>
        </is>
      </c>
      <c r="K363" t="inlineStr">
        <is>
          <t>—</t>
        </is>
      </c>
    </row>
    <row r="364">
      <c r="A364" t="inlineStr">
        <is>
          <t xml:space="preserve">      Social assistance</t>
        </is>
      </c>
      <c r="B364" t="inlineStr">
        <is>
          <t>624000</t>
        </is>
      </c>
      <c r="C364" t="inlineStr">
        <is>
          <t>Summary</t>
        </is>
      </c>
      <c r="D364" t="n">
        <v>4874.8</v>
      </c>
      <c r="E364" t="n">
        <v>5420.4</v>
      </c>
      <c r="F364" t="n">
        <v>545.6</v>
      </c>
      <c r="G364" t="n">
        <v>11.2</v>
      </c>
      <c r="H364" t="n">
        <v>1.1</v>
      </c>
      <c r="I364" t="n">
        <v>275.1</v>
      </c>
      <c r="J364" t="n">
        <v>359.2</v>
      </c>
      <c r="K364" t="n">
        <v>2.7</v>
      </c>
      <c r="L364" t="inlineStr">
        <is>
          <t>ISIC 86T88</t>
        </is>
      </c>
    </row>
    <row r="365">
      <c r="A365" t="inlineStr">
        <is>
          <t xml:space="preserve">        Individual and family services</t>
        </is>
      </c>
      <c r="B365" t="inlineStr">
        <is>
          <t>624100</t>
        </is>
      </c>
      <c r="C365" t="inlineStr">
        <is>
          <t>Summary</t>
        </is>
      </c>
      <c r="D365" t="n">
        <v>3264.5</v>
      </c>
      <c r="E365" t="n">
        <v>3829.7</v>
      </c>
      <c r="F365" t="n">
        <v>565.2</v>
      </c>
      <c r="G365" t="n">
        <v>17.3</v>
      </c>
      <c r="H365" t="n">
        <v>1.6</v>
      </c>
      <c r="I365" t="n">
        <v>150.9</v>
      </c>
      <c r="J365" t="n">
        <v>222.4</v>
      </c>
      <c r="K365" t="n">
        <v>4</v>
      </c>
    </row>
    <row r="366">
      <c r="A366" t="inlineStr">
        <is>
          <t xml:space="preserve">          Services for the elderly and persons with disabilities</t>
        </is>
      </c>
      <c r="B366" t="inlineStr">
        <is>
          <t>624120</t>
        </is>
      </c>
      <c r="C366" t="inlineStr">
        <is>
          <t>Line item</t>
        </is>
      </c>
      <c r="D366" t="n">
        <v>2512.3</v>
      </c>
      <c r="E366" t="n">
        <v>3040.8</v>
      </c>
      <c r="F366" t="n">
        <v>528.5</v>
      </c>
      <c r="G366" t="n">
        <v>21</v>
      </c>
      <c r="H366" t="n">
        <v>1.9</v>
      </c>
      <c r="I366" t="inlineStr">
        <is>
          <t>—</t>
        </is>
      </c>
      <c r="J366" t="inlineStr">
        <is>
          <t>—</t>
        </is>
      </c>
      <c r="K366" t="inlineStr">
        <is>
          <t>—</t>
        </is>
      </c>
    </row>
    <row r="367">
      <c r="A367" t="inlineStr">
        <is>
          <t xml:space="preserve">        Community food and housing, emergency and other relief services, and vocational rehabilitation services</t>
        </is>
      </c>
      <c r="B367" t="inlineStr">
        <is>
          <t>6242-3</t>
        </is>
      </c>
      <c r="C367" t="inlineStr">
        <is>
          <t>Summary</t>
        </is>
      </c>
      <c r="D367" t="n">
        <v>518.4</v>
      </c>
      <c r="E367" t="n">
        <v>505.1</v>
      </c>
      <c r="F367" t="n">
        <v>-13.3</v>
      </c>
      <c r="G367" t="n">
        <v>-2.6</v>
      </c>
      <c r="H367" t="n">
        <v>-0.3</v>
      </c>
      <c r="I367" t="n">
        <v>58.9</v>
      </c>
      <c r="J367" t="n">
        <v>69.40000000000001</v>
      </c>
      <c r="K367" t="n">
        <v>1.7</v>
      </c>
    </row>
    <row r="368">
      <c r="A368" t="inlineStr">
        <is>
          <t xml:space="preserve">          Community food and housing, and emergency and other relief services</t>
        </is>
      </c>
      <c r="B368" t="inlineStr">
        <is>
          <t>624200</t>
        </is>
      </c>
      <c r="C368" t="inlineStr">
        <is>
          <t>Line item</t>
        </is>
      </c>
      <c r="D368" t="n">
        <v>233.3</v>
      </c>
      <c r="E368" t="n">
        <v>252.5</v>
      </c>
      <c r="F368" t="n">
        <v>19.2</v>
      </c>
      <c r="G368" t="n">
        <v>8.199999999999999</v>
      </c>
      <c r="H368" t="n">
        <v>0.8</v>
      </c>
      <c r="I368" t="inlineStr">
        <is>
          <t>—</t>
        </is>
      </c>
      <c r="J368" t="inlineStr">
        <is>
          <t>—</t>
        </is>
      </c>
      <c r="K368" t="inlineStr">
        <is>
          <t>—</t>
        </is>
      </c>
    </row>
    <row r="369">
      <c r="A369" t="inlineStr">
        <is>
          <t xml:space="preserve">          Vocational rehabilitation services</t>
        </is>
      </c>
      <c r="B369" t="inlineStr">
        <is>
          <t>624300</t>
        </is>
      </c>
      <c r="C369" t="inlineStr">
        <is>
          <t>Line item</t>
        </is>
      </c>
      <c r="D369" t="n">
        <v>285.1</v>
      </c>
      <c r="E369" t="n">
        <v>252.5</v>
      </c>
      <c r="F369" t="n">
        <v>-32.6</v>
      </c>
      <c r="G369" t="n">
        <v>-11.4</v>
      </c>
      <c r="H369" t="n">
        <v>-1.2</v>
      </c>
      <c r="I369" t="inlineStr">
        <is>
          <t>—</t>
        </is>
      </c>
      <c r="J369" t="inlineStr">
        <is>
          <t>—</t>
        </is>
      </c>
      <c r="K369" t="inlineStr">
        <is>
          <t>—</t>
        </is>
      </c>
    </row>
    <row r="370">
      <c r="A370" t="inlineStr">
        <is>
          <t xml:space="preserve">        Child daycare services</t>
        </is>
      </c>
      <c r="B370" t="inlineStr">
        <is>
          <t>624400</t>
        </is>
      </c>
      <c r="C370" t="inlineStr">
        <is>
          <t>Line item</t>
        </is>
      </c>
      <c r="D370" t="n">
        <v>1091.9</v>
      </c>
      <c r="E370" t="n">
        <v>1085.6</v>
      </c>
      <c r="F370" t="n">
        <v>-6.3</v>
      </c>
      <c r="G370" t="n">
        <v>-0.6</v>
      </c>
      <c r="H370" t="n">
        <v>-0.1</v>
      </c>
      <c r="I370" t="n">
        <v>65.40000000000001</v>
      </c>
      <c r="J370" t="n">
        <v>66.40000000000001</v>
      </c>
      <c r="K370" t="n">
        <v>0.2</v>
      </c>
    </row>
    <row r="371">
      <c r="A371" t="inlineStr">
        <is>
          <t xml:space="preserve">    Arts, entertainment, and recreation</t>
        </is>
      </c>
      <c r="B371" t="inlineStr">
        <is>
          <t>710000</t>
        </is>
      </c>
      <c r="C371" t="inlineStr">
        <is>
          <t>Summary</t>
        </is>
      </c>
      <c r="D371" t="n">
        <v>2622.4</v>
      </c>
      <c r="E371" t="n">
        <v>2755</v>
      </c>
      <c r="F371" t="n">
        <v>132.6</v>
      </c>
      <c r="G371" t="n">
        <v>5.1</v>
      </c>
      <c r="H371" t="n">
        <v>0.5</v>
      </c>
      <c r="I371" t="n">
        <v>439.4</v>
      </c>
      <c r="J371" t="n">
        <v>545.7</v>
      </c>
      <c r="K371" t="n">
        <v>2.2</v>
      </c>
      <c r="L371" t="inlineStr">
        <is>
          <t>ISIC 90T93</t>
        </is>
      </c>
    </row>
    <row r="372">
      <c r="A372" t="inlineStr">
        <is>
          <t xml:space="preserve">      Performing arts, spectator sports, and related industries</t>
        </is>
      </c>
      <c r="B372" t="inlineStr">
        <is>
          <t>711000</t>
        </is>
      </c>
      <c r="C372" t="inlineStr">
        <is>
          <t>Summary</t>
        </is>
      </c>
      <c r="D372" t="n">
        <v>590.2</v>
      </c>
      <c r="E372" t="n">
        <v>618.1</v>
      </c>
      <c r="F372" t="n">
        <v>27.9</v>
      </c>
      <c r="G372" t="n">
        <v>4.7</v>
      </c>
      <c r="H372" t="n">
        <v>0.5</v>
      </c>
      <c r="I372" t="n">
        <v>231.5</v>
      </c>
      <c r="J372" t="n">
        <v>288.1</v>
      </c>
      <c r="K372" t="n">
        <v>2.2</v>
      </c>
    </row>
    <row r="373">
      <c r="A373" t="inlineStr">
        <is>
          <t xml:space="preserve">        Performing arts companies</t>
        </is>
      </c>
      <c r="B373" t="inlineStr">
        <is>
          <t>711100</t>
        </is>
      </c>
      <c r="C373" t="inlineStr">
        <is>
          <t>Summary</t>
        </is>
      </c>
      <c r="D373" t="n">
        <v>142.1</v>
      </c>
      <c r="E373" t="n">
        <v>147.2</v>
      </c>
      <c r="F373" t="n">
        <v>5.1</v>
      </c>
      <c r="G373" t="n">
        <v>3.6</v>
      </c>
      <c r="H373" t="n">
        <v>0.4</v>
      </c>
      <c r="I373" t="n">
        <v>29.8</v>
      </c>
      <c r="J373" t="n">
        <v>36.9</v>
      </c>
      <c r="K373" t="n">
        <v>2.1</v>
      </c>
    </row>
    <row r="374">
      <c r="A374" t="inlineStr">
        <is>
          <t xml:space="preserve">          Theater companies and dinner theaters</t>
        </is>
      </c>
      <c r="B374" t="inlineStr">
        <is>
          <t>711110</t>
        </is>
      </c>
      <c r="C374" t="inlineStr">
        <is>
          <t>Line item</t>
        </is>
      </c>
      <c r="D374" t="n">
        <v>76.3</v>
      </c>
      <c r="E374" t="n">
        <v>78.90000000000001</v>
      </c>
      <c r="F374" t="n">
        <v>2.6</v>
      </c>
      <c r="G374" t="n">
        <v>3.4</v>
      </c>
      <c r="H374" t="n">
        <v>0.3</v>
      </c>
      <c r="I374" t="inlineStr">
        <is>
          <t>—</t>
        </is>
      </c>
      <c r="J374" t="inlineStr">
        <is>
          <t>—</t>
        </is>
      </c>
      <c r="K374" t="inlineStr">
        <is>
          <t>—</t>
        </is>
      </c>
    </row>
    <row r="375">
      <c r="A375" t="inlineStr">
        <is>
          <t xml:space="preserve">        Spectator sports</t>
        </is>
      </c>
      <c r="B375" t="inlineStr">
        <is>
          <t>711200</t>
        </is>
      </c>
      <c r="C375" t="inlineStr">
        <is>
          <t>Line item</t>
        </is>
      </c>
      <c r="D375" t="n">
        <v>171.5</v>
      </c>
      <c r="E375" t="n">
        <v>179.6</v>
      </c>
      <c r="F375" t="n">
        <v>8.1</v>
      </c>
      <c r="G375" t="n">
        <v>4.7</v>
      </c>
      <c r="H375" t="n">
        <v>0.5</v>
      </c>
      <c r="I375" t="n">
        <v>63.9</v>
      </c>
      <c r="J375" t="n">
        <v>78.40000000000001</v>
      </c>
      <c r="K375" t="n">
        <v>2.1</v>
      </c>
    </row>
    <row r="376">
      <c r="A376" t="inlineStr">
        <is>
          <t xml:space="preserve">        Promoters of performing arts and sports, and agents for public figures</t>
        </is>
      </c>
      <c r="B376" t="inlineStr">
        <is>
          <t>7113-4</t>
        </is>
      </c>
      <c r="C376" t="inlineStr">
        <is>
          <t>Summary</t>
        </is>
      </c>
      <c r="D376" t="n">
        <v>214.4</v>
      </c>
      <c r="E376" t="n">
        <v>230.1</v>
      </c>
      <c r="F376" t="n">
        <v>15.7</v>
      </c>
      <c r="G376" t="n">
        <v>7.3</v>
      </c>
      <c r="H376" t="n">
        <v>0.7</v>
      </c>
      <c r="I376" t="n">
        <v>83.40000000000001</v>
      </c>
      <c r="J376" t="n">
        <v>103.6</v>
      </c>
      <c r="K376" t="n">
        <v>2.2</v>
      </c>
    </row>
    <row r="377">
      <c r="A377" t="inlineStr">
        <is>
          <t xml:space="preserve">          Promoters of performing arts, sports, and similar events</t>
        </is>
      </c>
      <c r="B377" t="inlineStr">
        <is>
          <t>711300</t>
        </is>
      </c>
      <c r="C377" t="inlineStr">
        <is>
          <t>Line item</t>
        </is>
      </c>
      <c r="D377" t="n">
        <v>183.3</v>
      </c>
      <c r="E377" t="n">
        <v>195.8</v>
      </c>
      <c r="F377" t="n">
        <v>12.5</v>
      </c>
      <c r="G377" t="n">
        <v>6.8</v>
      </c>
      <c r="H377" t="n">
        <v>0.7</v>
      </c>
      <c r="I377" t="inlineStr">
        <is>
          <t>—</t>
        </is>
      </c>
      <c r="J377" t="inlineStr">
        <is>
          <t>—</t>
        </is>
      </c>
      <c r="K377" t="inlineStr">
        <is>
          <t>—</t>
        </is>
      </c>
    </row>
    <row r="378">
      <c r="A378" t="inlineStr">
        <is>
          <t xml:space="preserve">          Agents and managers for artists, athletes, entertainers, and other public figures</t>
        </is>
      </c>
      <c r="B378" t="inlineStr">
        <is>
          <t>711400</t>
        </is>
      </c>
      <c r="C378" t="inlineStr">
        <is>
          <t>Line item</t>
        </is>
      </c>
      <c r="D378" t="n">
        <v>31.1</v>
      </c>
      <c r="E378" t="n">
        <v>34.3</v>
      </c>
      <c r="F378" t="n">
        <v>3.2</v>
      </c>
      <c r="G378" t="n">
        <v>10.3</v>
      </c>
      <c r="H378" t="n">
        <v>1</v>
      </c>
      <c r="I378" t="inlineStr">
        <is>
          <t>—</t>
        </is>
      </c>
      <c r="J378" t="inlineStr">
        <is>
          <t>—</t>
        </is>
      </c>
      <c r="K378" t="inlineStr">
        <is>
          <t>—</t>
        </is>
      </c>
    </row>
    <row r="379">
      <c r="A379" t="inlineStr">
        <is>
          <t xml:space="preserve">        Independent artists, writers, and performers</t>
        </is>
      </c>
      <c r="B379" t="inlineStr">
        <is>
          <t>711500</t>
        </is>
      </c>
      <c r="C379" t="inlineStr">
        <is>
          <t>Line item</t>
        </is>
      </c>
      <c r="D379" t="n">
        <v>62.2</v>
      </c>
      <c r="E379" t="n">
        <v>61.2</v>
      </c>
      <c r="F379" t="n">
        <v>-1</v>
      </c>
      <c r="G379" t="n">
        <v>-1.5</v>
      </c>
      <c r="H379" t="n">
        <v>-0.2</v>
      </c>
      <c r="I379" t="n">
        <v>55.2</v>
      </c>
      <c r="J379" t="n">
        <v>70.2</v>
      </c>
      <c r="K379" t="n">
        <v>2.4</v>
      </c>
    </row>
    <row r="380">
      <c r="A380" t="inlineStr">
        <is>
          <t xml:space="preserve">      Museums, historical sites, and similar institutions</t>
        </is>
      </c>
      <c r="B380" t="inlineStr">
        <is>
          <t>712000</t>
        </is>
      </c>
      <c r="C380" t="inlineStr">
        <is>
          <t>Line item</t>
        </is>
      </c>
      <c r="D380" t="n">
        <v>179</v>
      </c>
      <c r="E380" t="n">
        <v>194</v>
      </c>
      <c r="F380" t="n">
        <v>15</v>
      </c>
      <c r="G380" t="n">
        <v>8.4</v>
      </c>
      <c r="H380" t="n">
        <v>0.8</v>
      </c>
      <c r="I380" t="n">
        <v>20.6</v>
      </c>
      <c r="J380" t="n">
        <v>27.2</v>
      </c>
      <c r="K380" t="n">
        <v>2.9</v>
      </c>
    </row>
    <row r="381">
      <c r="A381" t="inlineStr">
        <is>
          <t xml:space="preserve">      Amusement, gambling, and recreation industries</t>
        </is>
      </c>
      <c r="B381" t="inlineStr">
        <is>
          <t>713000</t>
        </is>
      </c>
      <c r="C381" t="inlineStr">
        <is>
          <t>Summary</t>
        </is>
      </c>
      <c r="D381" t="n">
        <v>1853.2</v>
      </c>
      <c r="E381" t="n">
        <v>1942.9</v>
      </c>
      <c r="F381" t="n">
        <v>89.7</v>
      </c>
      <c r="G381" t="n">
        <v>4.8</v>
      </c>
      <c r="H381" t="n">
        <v>0.5</v>
      </c>
      <c r="I381" t="n">
        <v>188.3</v>
      </c>
      <c r="J381" t="n">
        <v>231.6</v>
      </c>
      <c r="K381" t="n">
        <v>2.1</v>
      </c>
    </row>
    <row r="382">
      <c r="A382" t="inlineStr">
        <is>
          <t xml:space="preserve">        Amusement parks and arcades</t>
        </is>
      </c>
      <c r="B382" t="inlineStr">
        <is>
          <t>713100</t>
        </is>
      </c>
      <c r="C382" t="inlineStr">
        <is>
          <t>Line item</t>
        </is>
      </c>
      <c r="D382" t="n">
        <v>232.7</v>
      </c>
      <c r="E382" t="n">
        <v>243</v>
      </c>
      <c r="F382" t="n">
        <v>10.3</v>
      </c>
      <c r="G382" t="n">
        <v>4.4</v>
      </c>
      <c r="H382" t="n">
        <v>0.4</v>
      </c>
      <c r="I382" t="n">
        <v>30.3</v>
      </c>
      <c r="J382" t="n">
        <v>37.8</v>
      </c>
      <c r="K382" t="n">
        <v>2.2</v>
      </c>
    </row>
    <row r="383">
      <c r="A383" t="inlineStr">
        <is>
          <t xml:space="preserve">        Gambling industries (except casino hotels)</t>
        </is>
      </c>
      <c r="B383" t="inlineStr">
        <is>
          <t>713200</t>
        </is>
      </c>
      <c r="C383" t="inlineStr">
        <is>
          <t>Line item</t>
        </is>
      </c>
      <c r="D383" t="n">
        <v>123.3</v>
      </c>
      <c r="E383" t="n">
        <v>104.2</v>
      </c>
      <c r="F383" t="n">
        <v>-19.1</v>
      </c>
      <c r="G383" t="n">
        <v>-15.5</v>
      </c>
      <c r="H383" t="n">
        <v>-1.7</v>
      </c>
      <c r="I383" t="n">
        <v>45.3</v>
      </c>
      <c r="J383" t="n">
        <v>53.1</v>
      </c>
      <c r="K383" t="n">
        <v>1.6</v>
      </c>
    </row>
    <row r="384">
      <c r="A384" t="inlineStr">
        <is>
          <t xml:space="preserve">        Other amusement and recreation industries</t>
        </is>
      </c>
      <c r="B384" t="inlineStr">
        <is>
          <t>713900</t>
        </is>
      </c>
      <c r="C384" t="inlineStr">
        <is>
          <t>Summary</t>
        </is>
      </c>
      <c r="D384" t="n">
        <v>1497.2</v>
      </c>
      <c r="E384" t="n">
        <v>1595.8</v>
      </c>
      <c r="F384" t="n">
        <v>98.59999999999999</v>
      </c>
      <c r="G384" t="n">
        <v>6.6</v>
      </c>
      <c r="H384" t="n">
        <v>0.6</v>
      </c>
      <c r="I384" t="n">
        <v>112.9</v>
      </c>
      <c r="J384" t="n">
        <v>140.9</v>
      </c>
      <c r="K384" t="n">
        <v>2.2</v>
      </c>
    </row>
    <row r="385">
      <c r="A385" t="inlineStr">
        <is>
          <t xml:space="preserve">          Fitness and recreational sports centers</t>
        </is>
      </c>
      <c r="B385" t="inlineStr">
        <is>
          <t>713940</t>
        </is>
      </c>
      <c r="C385" t="inlineStr">
        <is>
          <t>Line item</t>
        </is>
      </c>
      <c r="D385" t="n">
        <v>652</v>
      </c>
      <c r="E385" t="n">
        <v>718.1</v>
      </c>
      <c r="F385" t="n">
        <v>66.09999999999999</v>
      </c>
      <c r="G385" t="n">
        <v>10.1</v>
      </c>
      <c r="H385" t="n">
        <v>1</v>
      </c>
      <c r="I385" t="inlineStr">
        <is>
          <t>—</t>
        </is>
      </c>
      <c r="J385" t="inlineStr">
        <is>
          <t>—</t>
        </is>
      </c>
      <c r="K385" t="inlineStr">
        <is>
          <t>—</t>
        </is>
      </c>
    </row>
    <row r="386">
      <c r="A386" t="inlineStr">
        <is>
          <t xml:space="preserve">    Accommodation and food services</t>
        </is>
      </c>
      <c r="B386" t="inlineStr">
        <is>
          <t>720000</t>
        </is>
      </c>
      <c r="C386" t="inlineStr">
        <is>
          <t>Summary</t>
        </is>
      </c>
      <c r="D386" t="n">
        <v>14195.8</v>
      </c>
      <c r="E386" t="n">
        <v>14749.4</v>
      </c>
      <c r="F386" t="n">
        <v>553.6</v>
      </c>
      <c r="G386" t="n">
        <v>3.9</v>
      </c>
      <c r="H386" t="n">
        <v>0.4</v>
      </c>
      <c r="I386" t="n">
        <v>1303.7</v>
      </c>
      <c r="J386" t="n">
        <v>1639.9</v>
      </c>
      <c r="K386" t="n">
        <v>2.3</v>
      </c>
      <c r="L386" t="inlineStr">
        <is>
          <t>ISIC 55T56</t>
        </is>
      </c>
    </row>
    <row r="387">
      <c r="A387" t="inlineStr">
        <is>
          <t xml:space="preserve">      Accommodation</t>
        </is>
      </c>
      <c r="B387" t="inlineStr">
        <is>
          <t>721000</t>
        </is>
      </c>
      <c r="C387" t="inlineStr">
        <is>
          <t>Summary</t>
        </is>
      </c>
      <c r="D387" t="n">
        <v>1934.9</v>
      </c>
      <c r="E387" t="n">
        <v>2019.8</v>
      </c>
      <c r="F387" t="n">
        <v>84.90000000000001</v>
      </c>
      <c r="G387" t="n">
        <v>4.4</v>
      </c>
      <c r="H387" t="n">
        <v>0.4</v>
      </c>
      <c r="I387" t="n">
        <v>309.1</v>
      </c>
      <c r="J387" t="n">
        <v>411.1</v>
      </c>
      <c r="K387" t="n">
        <v>2.9</v>
      </c>
    </row>
    <row r="388">
      <c r="A388" t="inlineStr">
        <is>
          <t xml:space="preserve">        Traveler accommodation</t>
        </is>
      </c>
      <c r="B388" t="inlineStr">
        <is>
          <t>721100</t>
        </is>
      </c>
      <c r="C388" t="inlineStr">
        <is>
          <t>Summary</t>
        </is>
      </c>
      <c r="D388" t="n">
        <v>1851.3</v>
      </c>
      <c r="E388" t="n">
        <v>1935.7</v>
      </c>
      <c r="F388" t="n">
        <v>84.3</v>
      </c>
      <c r="G388" t="n">
        <v>4.6</v>
      </c>
      <c r="H388" t="n">
        <v>0.4</v>
      </c>
      <c r="I388" t="inlineStr">
        <is>
          <t>—</t>
        </is>
      </c>
      <c r="J388" t="inlineStr">
        <is>
          <t>—</t>
        </is>
      </c>
      <c r="K388" t="inlineStr">
        <is>
          <t>—</t>
        </is>
      </c>
    </row>
    <row r="389">
      <c r="A389" t="inlineStr">
        <is>
          <t xml:space="preserve">          Casino hotels</t>
        </is>
      </c>
      <c r="B389" t="inlineStr">
        <is>
          <t>721120</t>
        </is>
      </c>
      <c r="C389" t="inlineStr">
        <is>
          <t>Line item</t>
        </is>
      </c>
      <c r="D389" t="n">
        <v>252.8</v>
      </c>
      <c r="E389" t="n">
        <v>259.3</v>
      </c>
      <c r="F389" t="n">
        <v>6.5</v>
      </c>
      <c r="G389" t="n">
        <v>2.6</v>
      </c>
      <c r="H389" t="n">
        <v>0.3</v>
      </c>
      <c r="I389" t="inlineStr">
        <is>
          <t>—</t>
        </is>
      </c>
      <c r="J389" t="inlineStr">
        <is>
          <t>—</t>
        </is>
      </c>
      <c r="K389" t="inlineStr">
        <is>
          <t>—</t>
        </is>
      </c>
    </row>
    <row r="390">
      <c r="A390" t="inlineStr">
        <is>
          <t xml:space="preserve">        RV (recreational vehicle) parks and recreational camps</t>
        </is>
      </c>
      <c r="B390" t="inlineStr">
        <is>
          <t>721200</t>
        </is>
      </c>
      <c r="C390" t="inlineStr">
        <is>
          <t>Line item</t>
        </is>
      </c>
      <c r="D390" t="n">
        <v>73.2</v>
      </c>
      <c r="E390" t="n">
        <v>73.7</v>
      </c>
      <c r="F390" t="n">
        <v>0.5</v>
      </c>
      <c r="G390" t="n">
        <v>0.7</v>
      </c>
      <c r="H390" t="n">
        <v>0.1</v>
      </c>
      <c r="I390" t="inlineStr">
        <is>
          <t>—</t>
        </is>
      </c>
      <c r="J390" t="inlineStr">
        <is>
          <t>—</t>
        </is>
      </c>
      <c r="K390" t="inlineStr">
        <is>
          <t>—</t>
        </is>
      </c>
    </row>
    <row r="391">
      <c r="A391" t="inlineStr">
        <is>
          <t xml:space="preserve">        Rooming and boarding houses, dormitories, and workers' camps</t>
        </is>
      </c>
      <c r="B391" t="inlineStr">
        <is>
          <t>721300</t>
        </is>
      </c>
      <c r="C391" t="inlineStr">
        <is>
          <t>Line item</t>
        </is>
      </c>
      <c r="D391" t="n">
        <v>10.4</v>
      </c>
      <c r="E391" t="n">
        <v>10.4</v>
      </c>
      <c r="F391" t="n">
        <v>0</v>
      </c>
      <c r="G391" t="n">
        <v>0.5</v>
      </c>
      <c r="H391" t="n">
        <v>0</v>
      </c>
      <c r="I391" t="inlineStr">
        <is>
          <t>—</t>
        </is>
      </c>
      <c r="J391" t="inlineStr">
        <is>
          <t>—</t>
        </is>
      </c>
      <c r="K391" t="inlineStr">
        <is>
          <t>—</t>
        </is>
      </c>
    </row>
    <row r="392">
      <c r="A392" t="inlineStr">
        <is>
          <t xml:space="preserve">      Food services and drinking places</t>
        </is>
      </c>
      <c r="B392" t="inlineStr">
        <is>
          <t>722000</t>
        </is>
      </c>
      <c r="C392" t="inlineStr">
        <is>
          <t>Summary</t>
        </is>
      </c>
      <c r="D392" t="n">
        <v>12260.9</v>
      </c>
      <c r="E392" t="n">
        <v>12729.6</v>
      </c>
      <c r="F392" t="n">
        <v>468.7</v>
      </c>
      <c r="G392" t="n">
        <v>3.8</v>
      </c>
      <c r="H392" t="n">
        <v>0.4</v>
      </c>
      <c r="I392" t="n">
        <v>994.2</v>
      </c>
      <c r="J392" t="n">
        <v>1230.1</v>
      </c>
      <c r="K392" t="n">
        <v>2.2</v>
      </c>
    </row>
    <row r="393">
      <c r="A393" t="inlineStr">
        <is>
          <t xml:space="preserve">        Full-service restaurants</t>
        </is>
      </c>
      <c r="B393" t="inlineStr">
        <is>
          <t>722511</t>
        </is>
      </c>
      <c r="C393" t="inlineStr">
        <is>
          <t>Line item</t>
        </is>
      </c>
      <c r="D393" t="n">
        <v>5385.1</v>
      </c>
      <c r="E393" t="n">
        <v>5517.7</v>
      </c>
      <c r="F393" t="n">
        <v>132.6</v>
      </c>
      <c r="G393" t="n">
        <v>2.5</v>
      </c>
      <c r="H393" t="n">
        <v>0.2</v>
      </c>
      <c r="I393" t="n">
        <v>452.7</v>
      </c>
      <c r="J393" t="n">
        <v>550.2</v>
      </c>
      <c r="K393" t="n">
        <v>2</v>
      </c>
    </row>
    <row r="394">
      <c r="A394" t="inlineStr">
        <is>
          <t xml:space="preserve">          Special food services</t>
        </is>
      </c>
      <c r="B394" t="inlineStr">
        <is>
          <t>722300</t>
        </is>
      </c>
      <c r="C394" t="inlineStr">
        <is>
          <t>Line item</t>
        </is>
      </c>
      <c r="D394" t="n">
        <v>778.3</v>
      </c>
      <c r="E394" t="n">
        <v>822.1</v>
      </c>
      <c r="F394" t="n">
        <v>43.8</v>
      </c>
      <c r="G394" t="n">
        <v>5.6</v>
      </c>
      <c r="H394" t="n">
        <v>0.5</v>
      </c>
      <c r="I394" t="inlineStr">
        <is>
          <t>—</t>
        </is>
      </c>
      <c r="J394" t="inlineStr">
        <is>
          <t>—</t>
        </is>
      </c>
      <c r="K394" t="inlineStr">
        <is>
          <t>—</t>
        </is>
      </c>
    </row>
    <row r="395">
      <c r="A395" t="inlineStr">
        <is>
          <t xml:space="preserve">          Drinking places (alcoholic beverages)</t>
        </is>
      </c>
      <c r="B395" t="inlineStr">
        <is>
          <t>722400</t>
        </is>
      </c>
      <c r="C395" t="inlineStr">
        <is>
          <t>Line item</t>
        </is>
      </c>
      <c r="D395" t="n">
        <v>421.2</v>
      </c>
      <c r="E395" t="n">
        <v>439.9</v>
      </c>
      <c r="F395" t="n">
        <v>18.7</v>
      </c>
      <c r="G395" t="n">
        <v>4.4</v>
      </c>
      <c r="H395" t="n">
        <v>0.4</v>
      </c>
      <c r="I395" t="inlineStr">
        <is>
          <t>—</t>
        </is>
      </c>
      <c r="J395" t="inlineStr">
        <is>
          <t>—</t>
        </is>
      </c>
      <c r="K395" t="inlineStr">
        <is>
          <t>—</t>
        </is>
      </c>
    </row>
    <row r="396">
      <c r="A396" t="inlineStr">
        <is>
          <t xml:space="preserve">    Other services (except public administration)</t>
        </is>
      </c>
      <c r="B396" t="inlineStr">
        <is>
          <t>810000</t>
        </is>
      </c>
      <c r="C396" t="inlineStr">
        <is>
          <t>Summary</t>
        </is>
      </c>
      <c r="D396" t="n">
        <v>6615.9</v>
      </c>
      <c r="E396" t="n">
        <v>6808.5</v>
      </c>
      <c r="F396" t="n">
        <v>192.5</v>
      </c>
      <c r="G396" t="n">
        <v>2.9</v>
      </c>
      <c r="H396" t="n">
        <v>0.3</v>
      </c>
      <c r="I396" t="n">
        <v>786.2</v>
      </c>
      <c r="J396" t="n">
        <v>962.5</v>
      </c>
      <c r="K396" t="n">
        <v>2</v>
      </c>
    </row>
    <row r="397">
      <c r="A397" t="inlineStr">
        <is>
          <t xml:space="preserve">      Repair and maintenance</t>
        </is>
      </c>
      <c r="B397" t="inlineStr">
        <is>
          <t>811000</t>
        </is>
      </c>
      <c r="C397" t="inlineStr">
        <is>
          <t>Summary</t>
        </is>
      </c>
      <c r="D397" t="n">
        <v>1466.8</v>
      </c>
      <c r="E397" t="n">
        <v>1512</v>
      </c>
      <c r="F397" t="n">
        <v>45.2</v>
      </c>
      <c r="G397" t="n">
        <v>3.1</v>
      </c>
      <c r="H397" t="n">
        <v>0.3</v>
      </c>
      <c r="I397" t="n">
        <v>239.7</v>
      </c>
      <c r="J397" t="n">
        <v>287.3</v>
      </c>
      <c r="K397" t="n">
        <v>1.8</v>
      </c>
    </row>
    <row r="398">
      <c r="A398" t="inlineStr">
        <is>
          <t xml:space="preserve">        Automotive repair and maintenance</t>
        </is>
      </c>
      <c r="B398" t="inlineStr">
        <is>
          <t>811100</t>
        </is>
      </c>
      <c r="C398" t="inlineStr">
        <is>
          <t>Summary</t>
        </is>
      </c>
      <c r="D398" t="n">
        <v>1036</v>
      </c>
      <c r="E398" t="n">
        <v>1052</v>
      </c>
      <c r="F398" t="n">
        <v>16</v>
      </c>
      <c r="G398" t="n">
        <v>1.5</v>
      </c>
      <c r="H398" t="n">
        <v>0.2</v>
      </c>
      <c r="I398" t="n">
        <v>153.3</v>
      </c>
      <c r="J398" t="n">
        <v>183.5</v>
      </c>
      <c r="K398" t="n">
        <v>1.8</v>
      </c>
      <c r="L398" t="inlineStr">
        <is>
          <t>ISIC 45T47</t>
        </is>
      </c>
    </row>
    <row r="399">
      <c r="A399" t="inlineStr">
        <is>
          <t xml:space="preserve">          Automotive mechanical and electrical repair and maintenance</t>
        </is>
      </c>
      <c r="B399" t="inlineStr">
        <is>
          <t>811110</t>
        </is>
      </c>
      <c r="C399" t="inlineStr">
        <is>
          <t>Line item</t>
        </is>
      </c>
      <c r="D399" t="n">
        <v>444</v>
      </c>
      <c r="E399" t="n">
        <v>450.3</v>
      </c>
      <c r="F399" t="n">
        <v>6.3</v>
      </c>
      <c r="G399" t="n">
        <v>1.4</v>
      </c>
      <c r="H399" t="n">
        <v>0.1</v>
      </c>
      <c r="I399" t="inlineStr">
        <is>
          <t>—</t>
        </is>
      </c>
      <c r="J399" t="inlineStr">
        <is>
          <t>—</t>
        </is>
      </c>
      <c r="K399" t="inlineStr">
        <is>
          <t>—</t>
        </is>
      </c>
    </row>
    <row r="400">
      <c r="A400" t="inlineStr">
        <is>
          <t xml:space="preserve">          Automotive body, paint, interior, and glass repair</t>
        </is>
      </c>
      <c r="B400" t="inlineStr">
        <is>
          <t>811120</t>
        </is>
      </c>
      <c r="C400" t="inlineStr">
        <is>
          <t>Line item</t>
        </is>
      </c>
      <c r="D400" t="n">
        <v>297.5</v>
      </c>
      <c r="E400" t="n">
        <v>305.1</v>
      </c>
      <c r="F400" t="n">
        <v>7.6</v>
      </c>
      <c r="G400" t="n">
        <v>2.6</v>
      </c>
      <c r="H400" t="n">
        <v>0.3</v>
      </c>
      <c r="I400" t="inlineStr">
        <is>
          <t>—</t>
        </is>
      </c>
      <c r="J400" t="inlineStr">
        <is>
          <t>—</t>
        </is>
      </c>
      <c r="K400" t="inlineStr">
        <is>
          <t>—</t>
        </is>
      </c>
    </row>
    <row r="401">
      <c r="A401" t="inlineStr">
        <is>
          <t xml:space="preserve">          Other automotive repair and maintenance</t>
        </is>
      </c>
      <c r="B401" t="inlineStr">
        <is>
          <t>811190</t>
        </is>
      </c>
      <c r="C401" t="inlineStr">
        <is>
          <t>Line item</t>
        </is>
      </c>
      <c r="D401" t="n">
        <v>294.5</v>
      </c>
      <c r="E401" t="n">
        <v>296.7</v>
      </c>
      <c r="F401" t="n">
        <v>2.2</v>
      </c>
      <c r="G401" t="n">
        <v>0.7</v>
      </c>
      <c r="H401" t="n">
        <v>0.1</v>
      </c>
      <c r="I401" t="inlineStr">
        <is>
          <t>—</t>
        </is>
      </c>
      <c r="J401" t="inlineStr">
        <is>
          <t>—</t>
        </is>
      </c>
      <c r="K401" t="inlineStr">
        <is>
          <t>—</t>
        </is>
      </c>
    </row>
    <row r="402">
      <c r="A402" t="inlineStr">
        <is>
          <t xml:space="preserve">        Electronic and precision equipment repair and maintenance</t>
        </is>
      </c>
      <c r="B402" t="inlineStr">
        <is>
          <t>811200</t>
        </is>
      </c>
      <c r="C402" t="inlineStr">
        <is>
          <t>Line item</t>
        </is>
      </c>
      <c r="D402" t="n">
        <v>104.7</v>
      </c>
      <c r="E402" t="n">
        <v>109.6</v>
      </c>
      <c r="F402" t="n">
        <v>4.9</v>
      </c>
      <c r="G402" t="n">
        <v>4.7</v>
      </c>
      <c r="H402" t="n">
        <v>0.5</v>
      </c>
      <c r="I402" t="n">
        <v>19.9</v>
      </c>
      <c r="J402" t="n">
        <v>23.2</v>
      </c>
      <c r="K402" t="n">
        <v>1.5</v>
      </c>
      <c r="L402" t="inlineStr">
        <is>
          <t>ISIC 94T96</t>
        </is>
      </c>
    </row>
    <row r="403">
      <c r="A403" t="inlineStr">
        <is>
          <t xml:space="preserve">        Commercial and industrial machinery and equipment (except automotive and electronic) repair and maintenance</t>
        </is>
      </c>
      <c r="B403" t="inlineStr">
        <is>
          <t>811300</t>
        </is>
      </c>
      <c r="C403" t="inlineStr">
        <is>
          <t>Line item</t>
        </is>
      </c>
      <c r="D403" t="n">
        <v>243.6</v>
      </c>
      <c r="E403" t="n">
        <v>263</v>
      </c>
      <c r="F403" t="n">
        <v>19.4</v>
      </c>
      <c r="G403" t="n">
        <v>7.9</v>
      </c>
      <c r="H403" t="n">
        <v>0.8</v>
      </c>
      <c r="I403" t="n">
        <v>41.2</v>
      </c>
      <c r="J403" t="n">
        <v>49.2</v>
      </c>
      <c r="K403" t="n">
        <v>1.8</v>
      </c>
      <c r="L403" t="inlineStr">
        <is>
          <t>ISIC 31T33</t>
        </is>
      </c>
    </row>
    <row r="404">
      <c r="A404" t="inlineStr">
        <is>
          <t xml:space="preserve">        Personal and household goods repair and maintenance</t>
        </is>
      </c>
      <c r="B404" t="inlineStr">
        <is>
          <t>811400</t>
        </is>
      </c>
      <c r="C404" t="inlineStr">
        <is>
          <t>Line item</t>
        </is>
      </c>
      <c r="D404" t="n">
        <v>82.5</v>
      </c>
      <c r="E404" t="n">
        <v>87.40000000000001</v>
      </c>
      <c r="F404" t="n">
        <v>4.9</v>
      </c>
      <c r="G404" t="n">
        <v>5.9</v>
      </c>
      <c r="H404" t="n">
        <v>0.6</v>
      </c>
      <c r="I404" t="n">
        <v>25.3</v>
      </c>
      <c r="J404" t="n">
        <v>31.2</v>
      </c>
      <c r="K404" t="n">
        <v>2.1</v>
      </c>
      <c r="L404" t="inlineStr">
        <is>
          <t>ISIC 94T96</t>
        </is>
      </c>
    </row>
    <row r="405">
      <c r="A405" t="inlineStr">
        <is>
          <t xml:space="preserve">      Personal and laundry services</t>
        </is>
      </c>
      <c r="B405" t="inlineStr">
        <is>
          <t>812000</t>
        </is>
      </c>
      <c r="C405" t="inlineStr">
        <is>
          <t>Summary</t>
        </is>
      </c>
      <c r="D405" t="n">
        <v>1589.2</v>
      </c>
      <c r="E405" t="n">
        <v>1706.1</v>
      </c>
      <c r="F405" t="n">
        <v>116.9</v>
      </c>
      <c r="G405" t="n">
        <v>7.4</v>
      </c>
      <c r="H405" t="n">
        <v>0.7</v>
      </c>
      <c r="I405" t="n">
        <v>238.8</v>
      </c>
      <c r="J405" t="n">
        <v>307.2</v>
      </c>
      <c r="K405" t="n">
        <v>2.5</v>
      </c>
      <c r="L405" t="inlineStr">
        <is>
          <t>ISIC 94T96</t>
        </is>
      </c>
    </row>
    <row r="406">
      <c r="A406" t="inlineStr">
        <is>
          <t xml:space="preserve">        Personal care services</t>
        </is>
      </c>
      <c r="B406" t="inlineStr">
        <is>
          <t>812100</t>
        </is>
      </c>
      <c r="C406" t="inlineStr">
        <is>
          <t>Line item</t>
        </is>
      </c>
      <c r="D406" t="n">
        <v>766.9</v>
      </c>
      <c r="E406" t="n">
        <v>835.1</v>
      </c>
      <c r="F406" t="n">
        <v>68.2</v>
      </c>
      <c r="G406" t="n">
        <v>8.9</v>
      </c>
      <c r="H406" t="n">
        <v>0.9</v>
      </c>
      <c r="I406" t="n">
        <v>87.7</v>
      </c>
      <c r="J406" t="n">
        <v>117.8</v>
      </c>
      <c r="K406" t="n">
        <v>3</v>
      </c>
    </row>
    <row r="407">
      <c r="A407" t="inlineStr">
        <is>
          <t xml:space="preserve">        Death care services</t>
        </is>
      </c>
      <c r="B407" t="inlineStr">
        <is>
          <t>812200</t>
        </is>
      </c>
      <c r="C407" t="inlineStr">
        <is>
          <t>Line item</t>
        </is>
      </c>
      <c r="D407" t="n">
        <v>136.4</v>
      </c>
      <c r="E407" t="n">
        <v>137.2</v>
      </c>
      <c r="F407" t="n">
        <v>0.8</v>
      </c>
      <c r="G407" t="n">
        <v>0.6</v>
      </c>
      <c r="H407" t="n">
        <v>0.1</v>
      </c>
      <c r="I407" t="n">
        <v>24.3</v>
      </c>
      <c r="J407" t="n">
        <v>26.6</v>
      </c>
      <c r="K407" t="n">
        <v>0.9</v>
      </c>
    </row>
    <row r="408">
      <c r="A408" t="inlineStr">
        <is>
          <t xml:space="preserve">        Drycleaning and laundry services</t>
        </is>
      </c>
      <c r="B408" t="inlineStr">
        <is>
          <t>812300</t>
        </is>
      </c>
      <c r="C408" t="inlineStr">
        <is>
          <t>Line item</t>
        </is>
      </c>
      <c r="D408" t="n">
        <v>261.6</v>
      </c>
      <c r="E408" t="n">
        <v>266.5</v>
      </c>
      <c r="F408" t="n">
        <v>4.9</v>
      </c>
      <c r="G408" t="n">
        <v>1.9</v>
      </c>
      <c r="H408" t="n">
        <v>0.2</v>
      </c>
      <c r="I408" t="n">
        <v>29.4</v>
      </c>
      <c r="J408" t="n">
        <v>34.5</v>
      </c>
      <c r="K408" t="n">
        <v>1.6</v>
      </c>
    </row>
    <row r="409">
      <c r="A409" t="inlineStr">
        <is>
          <t xml:space="preserve">        Other personal services</t>
        </is>
      </c>
      <c r="B409" t="inlineStr">
        <is>
          <t>812900</t>
        </is>
      </c>
      <c r="C409" t="inlineStr">
        <is>
          <t>Line item</t>
        </is>
      </c>
      <c r="D409" t="n">
        <v>424.3</v>
      </c>
      <c r="E409" t="n">
        <v>467.3</v>
      </c>
      <c r="F409" t="n">
        <v>43</v>
      </c>
      <c r="G409" t="n">
        <v>10.1</v>
      </c>
      <c r="H409" t="n">
        <v>1</v>
      </c>
      <c r="I409" t="n">
        <v>97</v>
      </c>
      <c r="J409" t="n">
        <v>127.6</v>
      </c>
      <c r="K409" t="n">
        <v>2.8</v>
      </c>
    </row>
    <row r="410">
      <c r="A410" t="inlineStr">
        <is>
          <t xml:space="preserve">      Religious, grantmaking, civic, professional, and similar organizations</t>
        </is>
      </c>
      <c r="B410" t="inlineStr">
        <is>
          <t>813000</t>
        </is>
      </c>
      <c r="C410" t="inlineStr">
        <is>
          <t>Summary</t>
        </is>
      </c>
      <c r="D410" t="n">
        <v>2909.5</v>
      </c>
      <c r="E410" t="n">
        <v>2937.3</v>
      </c>
      <c r="F410" t="n">
        <v>27.8</v>
      </c>
      <c r="G410" t="n">
        <v>1</v>
      </c>
      <c r="H410" t="n">
        <v>0.1</v>
      </c>
      <c r="I410" t="n">
        <v>289.9</v>
      </c>
      <c r="J410" t="n">
        <v>346.5</v>
      </c>
      <c r="K410" t="n">
        <v>1.8</v>
      </c>
      <c r="L410" t="inlineStr">
        <is>
          <t>ISIC 94T96</t>
        </is>
      </c>
    </row>
    <row r="411">
      <c r="A411" t="inlineStr">
        <is>
          <t xml:space="preserve">        Grantmaking and giving services and social advocacy organizations</t>
        </is>
      </c>
      <c r="B411" t="inlineStr">
        <is>
          <t>8132-3</t>
        </is>
      </c>
      <c r="C411" t="inlineStr">
        <is>
          <t>Summary</t>
        </is>
      </c>
      <c r="D411" t="n">
        <v>488.5</v>
      </c>
      <c r="E411" t="n">
        <v>519.7</v>
      </c>
      <c r="F411" t="n">
        <v>31.2</v>
      </c>
      <c r="G411" t="n">
        <v>6.4</v>
      </c>
      <c r="H411" t="n">
        <v>0.6</v>
      </c>
      <c r="I411" t="n">
        <v>82.40000000000001</v>
      </c>
      <c r="J411" t="n">
        <v>109.4</v>
      </c>
      <c r="K411" t="n">
        <v>2.9</v>
      </c>
    </row>
    <row r="412">
      <c r="A412" t="inlineStr">
        <is>
          <t xml:space="preserve">          Grantmaking and giving services</t>
        </is>
      </c>
      <c r="B412" t="inlineStr">
        <is>
          <t>813200</t>
        </is>
      </c>
      <c r="C412" t="inlineStr">
        <is>
          <t>Line item</t>
        </is>
      </c>
      <c r="D412" t="n">
        <v>203.7</v>
      </c>
      <c r="E412" t="n">
        <v>215.1</v>
      </c>
      <c r="F412" t="n">
        <v>11.4</v>
      </c>
      <c r="G412" t="n">
        <v>5.6</v>
      </c>
      <c r="H412" t="n">
        <v>0.5</v>
      </c>
      <c r="I412" t="inlineStr">
        <is>
          <t>—</t>
        </is>
      </c>
      <c r="J412" t="inlineStr">
        <is>
          <t>—</t>
        </is>
      </c>
      <c r="K412" t="inlineStr">
        <is>
          <t>—</t>
        </is>
      </c>
    </row>
    <row r="413">
      <c r="A413" t="inlineStr">
        <is>
          <t xml:space="preserve">          Social advocacy organizations</t>
        </is>
      </c>
      <c r="B413" t="inlineStr">
        <is>
          <t>813300</t>
        </is>
      </c>
      <c r="C413" t="inlineStr">
        <is>
          <t>Line item</t>
        </is>
      </c>
      <c r="D413" t="n">
        <v>284.8</v>
      </c>
      <c r="E413" t="n">
        <v>304.5</v>
      </c>
      <c r="F413" t="n">
        <v>19.7</v>
      </c>
      <c r="G413" t="n">
        <v>6.9</v>
      </c>
      <c r="H413" t="n">
        <v>0.7</v>
      </c>
      <c r="I413" t="inlineStr">
        <is>
          <t>—</t>
        </is>
      </c>
      <c r="J413" t="inlineStr">
        <is>
          <t>—</t>
        </is>
      </c>
      <c r="K413" t="inlineStr">
        <is>
          <t>—</t>
        </is>
      </c>
    </row>
    <row r="414">
      <c r="A414" t="inlineStr">
        <is>
          <t xml:space="preserve">        Civic, social, professional, and similar organizations</t>
        </is>
      </c>
      <c r="B414" t="inlineStr">
        <is>
          <t>8134-9</t>
        </is>
      </c>
      <c r="C414" t="inlineStr">
        <is>
          <t>Summary</t>
        </is>
      </c>
      <c r="D414" t="n">
        <v>847.6</v>
      </c>
      <c r="E414" t="n">
        <v>863.7</v>
      </c>
      <c r="F414" t="n">
        <v>16.1</v>
      </c>
      <c r="G414" t="n">
        <v>1.9</v>
      </c>
      <c r="H414" t="n">
        <v>0.2</v>
      </c>
      <c r="I414" t="n">
        <v>115.6</v>
      </c>
      <c r="J414" t="n">
        <v>141.5</v>
      </c>
      <c r="K414" t="n">
        <v>2</v>
      </c>
    </row>
    <row r="415">
      <c r="A415" t="inlineStr">
        <is>
          <t xml:space="preserve">          Civic and social organizations</t>
        </is>
      </c>
      <c r="B415" t="inlineStr">
        <is>
          <t>813400</t>
        </is>
      </c>
      <c r="C415" t="inlineStr">
        <is>
          <t>Line item</t>
        </is>
      </c>
      <c r="D415" t="n">
        <v>364.4</v>
      </c>
      <c r="E415" t="n">
        <v>375.7</v>
      </c>
      <c r="F415" t="n">
        <v>11.3</v>
      </c>
      <c r="G415" t="n">
        <v>3.1</v>
      </c>
      <c r="H415" t="n">
        <v>0.3</v>
      </c>
      <c r="I415" t="inlineStr">
        <is>
          <t>—</t>
        </is>
      </c>
      <c r="J415" t="inlineStr">
        <is>
          <t>—</t>
        </is>
      </c>
      <c r="K415" t="inlineStr">
        <is>
          <t>—</t>
        </is>
      </c>
    </row>
    <row r="416">
      <c r="A416" t="inlineStr">
        <is>
          <t xml:space="preserve">          Business, professional, labor, political, and similar organizations</t>
        </is>
      </c>
      <c r="B416" t="inlineStr">
        <is>
          <t>813900</t>
        </is>
      </c>
      <c r="C416" t="inlineStr">
        <is>
          <t>Summary</t>
        </is>
      </c>
      <c r="D416" t="n">
        <v>483.2</v>
      </c>
      <c r="E416" t="n">
        <v>488</v>
      </c>
      <c r="F416" t="n">
        <v>4.8</v>
      </c>
      <c r="G416" t="n">
        <v>1</v>
      </c>
      <c r="H416" t="n">
        <v>0.1</v>
      </c>
      <c r="I416" t="inlineStr">
        <is>
          <t>—</t>
        </is>
      </c>
      <c r="J416" t="inlineStr">
        <is>
          <t>—</t>
        </is>
      </c>
      <c r="K416" t="inlineStr">
        <is>
          <t>—</t>
        </is>
      </c>
    </row>
    <row r="417">
      <c r="A417" t="inlineStr">
        <is>
          <t xml:space="preserve">            Labor unions and similar labor organizations</t>
        </is>
      </c>
      <c r="B417" t="inlineStr">
        <is>
          <t>813930</t>
        </is>
      </c>
      <c r="C417" t="inlineStr">
        <is>
          <t>Line item</t>
        </is>
      </c>
      <c r="D417" t="n">
        <v>107.2</v>
      </c>
      <c r="E417" t="n">
        <v>103.6</v>
      </c>
      <c r="F417" t="n">
        <v>-3.6</v>
      </c>
      <c r="G417" t="n">
        <v>-3.3</v>
      </c>
      <c r="H417" t="n">
        <v>-0.3</v>
      </c>
      <c r="I417" t="inlineStr">
        <is>
          <t>—</t>
        </is>
      </c>
      <c r="J417" t="inlineStr">
        <is>
          <t>—</t>
        </is>
      </c>
      <c r="K417" t="inlineStr">
        <is>
          <t>—</t>
        </is>
      </c>
    </row>
    <row r="418">
      <c r="A418" t="inlineStr">
        <is>
          <t xml:space="preserve">      Private households</t>
        </is>
      </c>
      <c r="B418" t="inlineStr">
        <is>
          <t>814000</t>
        </is>
      </c>
      <c r="C418" t="inlineStr">
        <is>
          <t>Line item</t>
        </is>
      </c>
      <c r="D418" t="n">
        <v>650.4</v>
      </c>
      <c r="E418" t="n">
        <v>653</v>
      </c>
      <c r="F418" t="n">
        <v>2.6</v>
      </c>
      <c r="G418" t="n">
        <v>0.4</v>
      </c>
      <c r="H418" t="n">
        <v>0</v>
      </c>
      <c r="I418" t="n">
        <v>19.2</v>
      </c>
      <c r="J418" t="n">
        <v>23</v>
      </c>
      <c r="K418" t="n">
        <v>1.8</v>
      </c>
      <c r="L418" t="inlineStr">
        <is>
          <t>ISIC 97T98</t>
        </is>
      </c>
    </row>
    <row r="419">
      <c r="A419" t="inlineStr">
        <is>
          <t xml:space="preserve">    Government, excluding state and local education and hospitals</t>
        </is>
      </c>
      <c r="B419" t="inlineStr">
        <is>
          <t>900000</t>
        </is>
      </c>
      <c r="C419" t="inlineStr">
        <is>
          <t>Summary</t>
        </is>
      </c>
      <c r="D419" t="n">
        <v>11468</v>
      </c>
      <c r="E419" t="n">
        <v>11453.9</v>
      </c>
      <c r="F419" t="n">
        <v>-14.1</v>
      </c>
      <c r="G419" t="n">
        <v>-0.1</v>
      </c>
      <c r="H419" t="n">
        <v>0</v>
      </c>
      <c r="I419" t="inlineStr">
        <is>
          <t>—</t>
        </is>
      </c>
      <c r="J419" t="inlineStr">
        <is>
          <t>—</t>
        </is>
      </c>
      <c r="K419" t="inlineStr">
        <is>
          <t>—</t>
        </is>
      </c>
    </row>
    <row r="420">
      <c r="A420" t="inlineStr">
        <is>
          <t xml:space="preserve">      Federal government</t>
        </is>
      </c>
      <c r="B420" t="inlineStr">
        <is>
          <t>910000</t>
        </is>
      </c>
      <c r="C420" t="inlineStr">
        <is>
          <t>Summary</t>
        </is>
      </c>
      <c r="D420" t="n">
        <v>2999.5</v>
      </c>
      <c r="E420" t="n">
        <v>2862.9</v>
      </c>
      <c r="F420" t="n">
        <v>-136.6</v>
      </c>
      <c r="G420" t="n">
        <v>-4.6</v>
      </c>
      <c r="H420" t="n">
        <v>-0.5</v>
      </c>
      <c r="I420" t="n">
        <v>1278.1</v>
      </c>
      <c r="J420" t="n">
        <v>1325.2</v>
      </c>
      <c r="K420" t="n">
        <v>0.4</v>
      </c>
      <c r="L420" t="inlineStr">
        <is>
          <t>ISIC 84</t>
        </is>
      </c>
    </row>
    <row r="421">
      <c r="A421" t="inlineStr">
        <is>
          <t xml:space="preserve">        Postal service</t>
        </is>
      </c>
      <c r="B421" t="inlineStr">
        <is>
          <t>491000</t>
        </is>
      </c>
      <c r="C421" t="inlineStr">
        <is>
          <t>Line item</t>
        </is>
      </c>
      <c r="D421" t="n">
        <v>605.7</v>
      </c>
      <c r="E421" t="n">
        <v>578.2</v>
      </c>
      <c r="F421" t="n">
        <v>-27.5</v>
      </c>
      <c r="G421" t="n">
        <v>-4.5</v>
      </c>
      <c r="H421" t="n">
        <v>-0.5</v>
      </c>
      <c r="I421" t="n">
        <v>61.9</v>
      </c>
      <c r="J421" t="n">
        <v>69.8</v>
      </c>
      <c r="K421" t="n">
        <v>1.2</v>
      </c>
    </row>
    <row r="422">
      <c r="A422" t="inlineStr">
        <is>
          <t xml:space="preserve">        Federal government, excluding postal service</t>
        </is>
      </c>
      <c r="B422" t="inlineStr">
        <is>
          <t>999100</t>
        </is>
      </c>
      <c r="C422" t="inlineStr">
        <is>
          <t>Line item</t>
        </is>
      </c>
      <c r="D422" t="n">
        <v>2393.8</v>
      </c>
      <c r="E422" t="n">
        <v>2284.6</v>
      </c>
      <c r="F422" t="n">
        <v>-109.2</v>
      </c>
      <c r="G422" t="n">
        <v>-4.6</v>
      </c>
      <c r="H422" t="n">
        <v>-0.5</v>
      </c>
      <c r="I422" t="n">
        <v>1216.5</v>
      </c>
      <c r="J422" t="n">
        <v>1255.2</v>
      </c>
      <c r="K422" t="n">
        <v>0.3</v>
      </c>
    </row>
    <row r="423">
      <c r="A423" t="inlineStr">
        <is>
          <t xml:space="preserve">      State and local government, excluding education and hospitals</t>
        </is>
      </c>
      <c r="B423" t="inlineStr">
        <is>
          <t>9992-3</t>
        </is>
      </c>
      <c r="C423" t="inlineStr">
        <is>
          <t>Summary</t>
        </is>
      </c>
      <c r="D423" t="n">
        <v>8468.5</v>
      </c>
      <c r="E423" t="n">
        <v>8591.1</v>
      </c>
      <c r="F423" t="n">
        <v>122.6</v>
      </c>
      <c r="G423" t="n">
        <v>1.4</v>
      </c>
      <c r="H423" t="n">
        <v>0.1</v>
      </c>
      <c r="I423" t="n">
        <v>1420.6</v>
      </c>
      <c r="J423" t="n">
        <v>1510.1</v>
      </c>
      <c r="K423" t="n">
        <v>0.6</v>
      </c>
      <c r="L423" t="inlineStr">
        <is>
          <t>ISIC 84</t>
        </is>
      </c>
    </row>
    <row r="424">
      <c r="A424" t="inlineStr">
        <is>
          <t xml:space="preserve">        State government, excluding education and hospitals</t>
        </is>
      </c>
      <c r="B424" t="inlineStr">
        <is>
          <t>999200</t>
        </is>
      </c>
      <c r="C424" t="inlineStr">
        <is>
          <t>Line item</t>
        </is>
      </c>
      <c r="D424" t="n">
        <v>2380.3</v>
      </c>
      <c r="E424" t="n">
        <v>2388.3</v>
      </c>
      <c r="F424" t="n">
        <v>8</v>
      </c>
      <c r="G424" t="n">
        <v>0.3</v>
      </c>
      <c r="H424" t="n">
        <v>0</v>
      </c>
      <c r="I424" t="inlineStr">
        <is>
          <t>—</t>
        </is>
      </c>
      <c r="J424" t="inlineStr">
        <is>
          <t>—</t>
        </is>
      </c>
      <c r="K424" t="inlineStr">
        <is>
          <t>—</t>
        </is>
      </c>
    </row>
    <row r="425">
      <c r="A425" t="inlineStr">
        <is>
          <t xml:space="preserve">        Local government, excluding education and hospitals</t>
        </is>
      </c>
      <c r="B425" t="inlineStr">
        <is>
          <t>999300</t>
        </is>
      </c>
      <c r="C425" t="inlineStr">
        <is>
          <t>Line item</t>
        </is>
      </c>
      <c r="D425" t="n">
        <v>6088.2</v>
      </c>
      <c r="E425" t="n">
        <v>6202.8</v>
      </c>
      <c r="F425" t="n">
        <v>114.6</v>
      </c>
      <c r="G425" t="n">
        <v>1.9</v>
      </c>
      <c r="H425" t="n">
        <v>0.2</v>
      </c>
      <c r="I425" t="inlineStr">
        <is>
          <t>—</t>
        </is>
      </c>
      <c r="J425" t="inlineStr">
        <is>
          <t>—</t>
        </is>
      </c>
      <c r="K425" t="inlineStr">
        <is>
          <t>—</t>
        </is>
      </c>
    </row>
    <row r="426">
      <c r="A426" t="inlineStr">
        <is>
          <t>Source: Employment Projections program, U.S. Bureau of Labor Statistics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C1" t="inlineStr">
        <is>
          <t>Table 23.  Industrial Sector Macroeconomic Indicators</t>
        </is>
      </c>
    </row>
    <row r="2">
      <c r="C2" t="inlineStr">
        <is>
          <t>https://www.eia.gov/outlooks/aeo/data/browser/#/?id=34-AEO2025&amp;cases=highZTC&amp;sourcekey=0</t>
        </is>
      </c>
    </row>
    <row r="3">
      <c r="C3" t="inlineStr">
        <is>
          <t>Tue Dec 02 2025 13:21:59 GMT-0800 (Pacific Standard Time)</t>
        </is>
      </c>
    </row>
    <row r="4">
      <c r="C4" t="inlineStr">
        <is>
          <t>Source: U.S. Energy Information Administration</t>
        </is>
      </c>
    </row>
    <row r="5">
      <c r="B5" s="5" t="inlineStr">
        <is>
          <t>ISIC assignment (editable)</t>
        </is>
      </c>
      <c r="D5" t="inlineStr">
        <is>
          <t>full name</t>
        </is>
      </c>
      <c r="E5" t="inlineStr">
        <is>
          <t>api key</t>
        </is>
      </c>
      <c r="F5" t="inlineStr">
        <is>
          <t>units</t>
        </is>
      </c>
      <c r="G5" t="n">
        <v>2023</v>
      </c>
      <c r="H5" t="n">
        <v>2024</v>
      </c>
      <c r="I5" t="n">
        <v>2025</v>
      </c>
      <c r="J5" t="n">
        <v>2026</v>
      </c>
      <c r="K5" t="n">
        <v>2027</v>
      </c>
      <c r="L5" t="n">
        <v>2028</v>
      </c>
      <c r="M5" t="n">
        <v>2029</v>
      </c>
      <c r="N5" t="n">
        <v>2030</v>
      </c>
      <c r="O5" t="n">
        <v>2031</v>
      </c>
      <c r="P5" t="n">
        <v>2032</v>
      </c>
      <c r="Q5" t="n">
        <v>2033</v>
      </c>
      <c r="R5" t="n">
        <v>2034</v>
      </c>
      <c r="S5" t="n">
        <v>2035</v>
      </c>
      <c r="T5" t="n">
        <v>2036</v>
      </c>
      <c r="U5" t="n">
        <v>2037</v>
      </c>
      <c r="V5" t="n">
        <v>2038</v>
      </c>
      <c r="W5" t="n">
        <v>2039</v>
      </c>
      <c r="X5" t="n">
        <v>2040</v>
      </c>
      <c r="Y5" t="n">
        <v>2041</v>
      </c>
      <c r="Z5" t="n">
        <v>2042</v>
      </c>
      <c r="AA5" t="n">
        <v>2043</v>
      </c>
      <c r="AB5" t="n">
        <v>2044</v>
      </c>
      <c r="AC5" t="n">
        <v>2045</v>
      </c>
      <c r="AD5" t="n">
        <v>2046</v>
      </c>
      <c r="AE5" t="n">
        <v>2047</v>
      </c>
      <c r="AF5" t="n">
        <v>2048</v>
      </c>
      <c r="AG5" t="n">
        <v>2049</v>
      </c>
      <c r="AH5" t="n">
        <v>2050</v>
      </c>
      <c r="AI5" t="inlineStr">
        <is>
          <t>Growth (2024-2050)</t>
        </is>
      </c>
    </row>
    <row r="6">
      <c r="A6" t="inlineStr">
        <is>
          <t>ISM000:ba_GDP(billionm_</t>
        </is>
      </c>
      <c r="C6" t="inlineStr">
        <is>
          <t>Gross Domestic Product (billion 2012 dollars)</t>
        </is>
      </c>
      <c r="D6" t="inlineStr">
        <is>
          <t>Industrial Macroeconomic: Gross Domestic Product: High Zero-Carbon Technology Cost</t>
        </is>
      </c>
      <c r="E6" t="inlineStr">
        <is>
          <t>AEO.2025.HIGHZTC.ECI_GDP_NA_NA_NA_NA_NA_BLNY09DLR.A</t>
        </is>
      </c>
      <c r="F6" t="inlineStr">
        <is>
          <t>billion 2012 $</t>
        </is>
      </c>
      <c r="H6" t="n">
        <v>21699.671875</v>
      </c>
      <c r="I6" t="n">
        <v>22171.929688</v>
      </c>
      <c r="J6" t="n">
        <v>22685.953125</v>
      </c>
      <c r="K6" t="n">
        <v>23162.595703</v>
      </c>
      <c r="L6" t="n">
        <v>23590.015625</v>
      </c>
      <c r="M6" t="n">
        <v>24042.869141</v>
      </c>
      <c r="N6" t="n">
        <v>24479.318359</v>
      </c>
      <c r="O6" t="n">
        <v>24877.939453</v>
      </c>
      <c r="P6" t="n">
        <v>25299.824219</v>
      </c>
      <c r="Q6" t="n">
        <v>25731.902344</v>
      </c>
      <c r="R6" t="n">
        <v>26166.296875</v>
      </c>
      <c r="S6" t="n">
        <v>26621.835938</v>
      </c>
      <c r="T6" t="n">
        <v>27077.875</v>
      </c>
      <c r="U6" t="n">
        <v>27546.341797</v>
      </c>
      <c r="V6" t="n">
        <v>28018.710938</v>
      </c>
      <c r="W6" t="n">
        <v>28503.035156</v>
      </c>
      <c r="X6" t="n">
        <v>29003.939453</v>
      </c>
      <c r="Y6" t="n">
        <v>29486.919922</v>
      </c>
      <c r="Z6" t="n">
        <v>29991.914062</v>
      </c>
      <c r="AA6" t="n">
        <v>30494.671875</v>
      </c>
      <c r="AB6" t="n">
        <v>30998.292969</v>
      </c>
      <c r="AC6" t="n">
        <v>31501.849609</v>
      </c>
      <c r="AD6" t="n">
        <v>32021.367188</v>
      </c>
      <c r="AE6" t="n">
        <v>32546.509766</v>
      </c>
      <c r="AF6" t="n">
        <v>33074.625</v>
      </c>
      <c r="AG6" t="n">
        <v>33617.65625</v>
      </c>
      <c r="AH6" t="n">
        <v>34162.722656</v>
      </c>
      <c r="AI6" t="n">
        <v>0.018</v>
      </c>
    </row>
    <row r="7">
      <c r="A7" t="inlineStr">
        <is>
          <t>ISM000:ca_NonfarmEmploy</t>
        </is>
      </c>
      <c r="C7" t="inlineStr">
        <is>
          <t>Nonfarm Employment (millions)</t>
        </is>
      </c>
      <c r="D7" t="inlineStr">
        <is>
          <t>Industrial Macroeconomic: Employment, Nonfarm: High Zero-Carbon Technology Cost</t>
        </is>
      </c>
      <c r="E7" t="inlineStr">
        <is>
          <t>AEO.2025.HIGHZTC.ECI_NFE_NA_NA_NA_NA_NA_MILL.A</t>
        </is>
      </c>
      <c r="F7" t="inlineStr">
        <is>
          <t>millions</t>
        </is>
      </c>
      <c r="H7" t="n">
        <v>159.545197</v>
      </c>
      <c r="I7" t="n">
        <v>160.898468</v>
      </c>
      <c r="J7" t="n">
        <v>161.430664</v>
      </c>
      <c r="K7" t="n">
        <v>161.697113</v>
      </c>
      <c r="L7" t="n">
        <v>161.99791</v>
      </c>
      <c r="M7" t="n">
        <v>162.531403</v>
      </c>
      <c r="N7" t="n">
        <v>163.241547</v>
      </c>
      <c r="O7" t="n">
        <v>163.926712</v>
      </c>
      <c r="P7" t="n">
        <v>164.54892</v>
      </c>
      <c r="Q7" t="n">
        <v>164.984772</v>
      </c>
      <c r="R7" t="n">
        <v>165.29776</v>
      </c>
      <c r="S7" t="n">
        <v>165.565933</v>
      </c>
      <c r="T7" t="n">
        <v>166.083389</v>
      </c>
      <c r="U7" t="n">
        <v>166.791397</v>
      </c>
      <c r="V7" t="n">
        <v>167.531403</v>
      </c>
      <c r="W7" t="n">
        <v>168.186554</v>
      </c>
      <c r="X7" t="n">
        <v>169.003845</v>
      </c>
      <c r="Y7" t="n">
        <v>169.658646</v>
      </c>
      <c r="Z7" t="n">
        <v>170.297318</v>
      </c>
      <c r="AA7" t="n">
        <v>170.740448</v>
      </c>
      <c r="AB7" t="n">
        <v>171.206131</v>
      </c>
      <c r="AC7" t="n">
        <v>171.654968</v>
      </c>
      <c r="AD7" t="n">
        <v>172.127533</v>
      </c>
      <c r="AE7" t="n">
        <v>172.641632</v>
      </c>
      <c r="AF7" t="n">
        <v>173.163284</v>
      </c>
      <c r="AG7" t="n">
        <v>173.717438</v>
      </c>
      <c r="AH7" t="n">
        <v>174.287827</v>
      </c>
      <c r="AI7" t="n">
        <v>0.003</v>
      </c>
    </row>
    <row r="8">
      <c r="C8" t="inlineStr">
        <is>
          <t>Value of Shipments (billion 2012 dollars)</t>
        </is>
      </c>
    </row>
    <row r="9">
      <c r="C9" t="inlineStr">
        <is>
          <t>Nonmanufacturing Sector</t>
        </is>
      </c>
    </row>
    <row r="10">
      <c r="A10" t="inlineStr">
        <is>
          <t>ISM000:ea_Agricultural</t>
        </is>
      </c>
      <c r="B10" t="inlineStr">
        <is>
          <t>,ISIC 01,</t>
        </is>
      </c>
      <c r="C10" t="inlineStr">
        <is>
          <t>Agriculture/Forestry/Fishing/Hunting</t>
        </is>
      </c>
      <c r="D10" t="inlineStr">
        <is>
          <t>Industrial Macroeconomic: Nonmanufacturing: Agriculture/Forestry/Fishing/Hunting: High Zero-Carbon Technology Cost</t>
        </is>
      </c>
      <c r="E10" t="inlineStr">
        <is>
          <t>AEO.2025.HIGHZTC.ECI_VOS_NMFG_AFF_NA_NA_NA_BLNY09DLR.A</t>
        </is>
      </c>
      <c r="F10" t="inlineStr">
        <is>
          <t>billion 2012 $</t>
        </is>
      </c>
      <c r="H10" t="n">
        <v>538.826599</v>
      </c>
      <c r="I10" t="n">
        <v>544.768066</v>
      </c>
      <c r="J10" t="n">
        <v>552.019348</v>
      </c>
      <c r="K10" t="n">
        <v>559.253113</v>
      </c>
      <c r="L10" t="n">
        <v>565.518921</v>
      </c>
      <c r="M10" t="n">
        <v>573.795471</v>
      </c>
      <c r="N10" t="n">
        <v>581.47052</v>
      </c>
      <c r="O10" t="n">
        <v>587.561462</v>
      </c>
      <c r="P10" t="n">
        <v>593.569092</v>
      </c>
      <c r="Q10" t="n">
        <v>599.282349</v>
      </c>
      <c r="R10" t="n">
        <v>606.56781</v>
      </c>
      <c r="S10" t="n">
        <v>614.138733</v>
      </c>
      <c r="T10" t="n">
        <v>623.177429</v>
      </c>
      <c r="U10" t="n">
        <v>630.447266</v>
      </c>
      <c r="V10" t="n">
        <v>636.679871</v>
      </c>
      <c r="W10" t="n">
        <v>643.489014</v>
      </c>
      <c r="X10" t="n">
        <v>649.694031</v>
      </c>
      <c r="Y10" t="n">
        <v>654.328003</v>
      </c>
      <c r="Z10" t="n">
        <v>659.783386</v>
      </c>
      <c r="AA10" t="n">
        <v>665.283447</v>
      </c>
      <c r="AB10" t="n">
        <v>671.343628</v>
      </c>
      <c r="AC10" t="n">
        <v>678.9600830000001</v>
      </c>
      <c r="AD10" t="n">
        <v>686.825134</v>
      </c>
      <c r="AE10" t="n">
        <v>694.616272</v>
      </c>
      <c r="AF10" t="n">
        <v>702.28125</v>
      </c>
      <c r="AG10" t="n">
        <v>710.255798</v>
      </c>
      <c r="AH10" t="n">
        <v>718.014893</v>
      </c>
      <c r="AI10" t="n">
        <v>0.011</v>
      </c>
    </row>
    <row r="11">
      <c r="A11" t="inlineStr">
        <is>
          <t>ISM000:ea_Mining</t>
        </is>
      </c>
      <c r="B11" t="inlineStr">
        <is>
          <t>,ISIC 05,ISIC 06,ISIC 08,</t>
        </is>
      </c>
      <c r="C11" t="inlineStr">
        <is>
          <t>Mining</t>
        </is>
      </c>
      <c r="D11" t="inlineStr">
        <is>
          <t>Industrial Macroeconomic: Nonmanufacturing: Mining: High Zero-Carbon Technology Cost</t>
        </is>
      </c>
      <c r="E11" t="inlineStr">
        <is>
          <t>AEO.2025.HIGHZTC.ECI_VOS_NMFG_MING_NA_NA_NA_BLNY09DLR.A</t>
        </is>
      </c>
      <c r="F11" t="inlineStr">
        <is>
          <t>billion 2012 $</t>
        </is>
      </c>
      <c r="H11" t="n">
        <v>738.626099</v>
      </c>
      <c r="I11" t="n">
        <v>800.092712</v>
      </c>
      <c r="J11" t="n">
        <v>807.262756</v>
      </c>
      <c r="K11" t="n">
        <v>812.871582</v>
      </c>
      <c r="L11" t="n">
        <v>822.885315</v>
      </c>
      <c r="M11" t="n">
        <v>830.664001</v>
      </c>
      <c r="N11" t="n">
        <v>837.446838</v>
      </c>
      <c r="O11" t="n">
        <v>834.118469</v>
      </c>
      <c r="P11" t="n">
        <v>842.656616</v>
      </c>
      <c r="Q11" t="n">
        <v>842.878845</v>
      </c>
      <c r="R11" t="n">
        <v>843.774536</v>
      </c>
      <c r="S11" t="n">
        <v>839.434753</v>
      </c>
      <c r="T11" t="n">
        <v>833.558167</v>
      </c>
      <c r="U11" t="n">
        <v>824.762329</v>
      </c>
      <c r="V11" t="n">
        <v>820.582458</v>
      </c>
      <c r="W11" t="n">
        <v>815.211426</v>
      </c>
      <c r="X11" t="n">
        <v>817.202637</v>
      </c>
      <c r="Y11" t="n">
        <v>820.17926</v>
      </c>
      <c r="Z11" t="n">
        <v>823.919983</v>
      </c>
      <c r="AA11" t="n">
        <v>823.7770389999999</v>
      </c>
      <c r="AB11" t="n">
        <v>825.681152</v>
      </c>
      <c r="AC11" t="n">
        <v>828.091492</v>
      </c>
      <c r="AD11" t="n">
        <v>834.330933</v>
      </c>
      <c r="AE11" t="n">
        <v>835.119141</v>
      </c>
      <c r="AF11" t="n">
        <v>834.696716</v>
      </c>
      <c r="AG11" t="n">
        <v>836.806152</v>
      </c>
      <c r="AH11" t="n">
        <v>839.4102779999999</v>
      </c>
      <c r="AI11" t="n">
        <v>0.005</v>
      </c>
    </row>
    <row r="12">
      <c r="A12" t="inlineStr">
        <is>
          <t>ISM000:ea_Construction</t>
        </is>
      </c>
      <c r="B12" t="inlineStr">
        <is>
          <t>,ISIC 41T43,</t>
        </is>
      </c>
      <c r="C12" t="inlineStr">
        <is>
          <t>Construction</t>
        </is>
      </c>
      <c r="D12" t="inlineStr">
        <is>
          <t>Industrial Macroeconomic: Nonmanufacturing: Construction: High Zero-Carbon Technology Cost</t>
        </is>
      </c>
      <c r="E12" t="inlineStr">
        <is>
          <t>AEO.2025.HIGHZTC.ECI_VOS_NMFG_CNS_NA_NA_NA_BLNY09DLR.A</t>
        </is>
      </c>
      <c r="F12" t="inlineStr">
        <is>
          <t>billion 2012 $</t>
        </is>
      </c>
      <c r="H12" t="n">
        <v>1440.797729</v>
      </c>
      <c r="I12" t="n">
        <v>1433.057251</v>
      </c>
      <c r="J12" t="n">
        <v>1444.22644</v>
      </c>
      <c r="K12" t="n">
        <v>1467.153198</v>
      </c>
      <c r="L12" t="n">
        <v>1502.783447</v>
      </c>
      <c r="M12" t="n">
        <v>1544.019775</v>
      </c>
      <c r="N12" t="n">
        <v>1573.192505</v>
      </c>
      <c r="O12" t="n">
        <v>1598.660034</v>
      </c>
      <c r="P12" t="n">
        <v>1617.260254</v>
      </c>
      <c r="Q12" t="n">
        <v>1624.038696</v>
      </c>
      <c r="R12" t="n">
        <v>1624.389282</v>
      </c>
      <c r="S12" t="n">
        <v>1639.516479</v>
      </c>
      <c r="T12" t="n">
        <v>1660.512451</v>
      </c>
      <c r="U12" t="n">
        <v>1673.635742</v>
      </c>
      <c r="V12" t="n">
        <v>1687.702271</v>
      </c>
      <c r="W12" t="n">
        <v>1700.453979</v>
      </c>
      <c r="X12" t="n">
        <v>1710.27478</v>
      </c>
      <c r="Y12" t="n">
        <v>1717.300293</v>
      </c>
      <c r="Z12" t="n">
        <v>1728.816284</v>
      </c>
      <c r="AA12" t="n">
        <v>1737.110474</v>
      </c>
      <c r="AB12" t="n">
        <v>1744.956787</v>
      </c>
      <c r="AC12" t="n">
        <v>1762.098999</v>
      </c>
      <c r="AD12" t="n">
        <v>1781.256226</v>
      </c>
      <c r="AE12" t="n">
        <v>1803.246948</v>
      </c>
      <c r="AF12" t="n">
        <v>1826.451538</v>
      </c>
      <c r="AG12" t="n">
        <v>1851.138794</v>
      </c>
      <c r="AH12" t="n">
        <v>1872.746948</v>
      </c>
      <c r="AI12" t="n">
        <v>0.01</v>
      </c>
    </row>
    <row r="13">
      <c r="C13" t="inlineStr">
        <is>
          <t>Manufacturing Sector</t>
        </is>
      </c>
    </row>
    <row r="14">
      <c r="A14" t="inlineStr">
        <is>
          <t>ISM000:fa_FoodandKindre</t>
        </is>
      </c>
      <c r="B14" t="inlineStr">
        <is>
          <t>,ISIC 10T12,</t>
        </is>
      </c>
      <c r="C14" t="inlineStr">
        <is>
          <t>Food Products</t>
        </is>
      </c>
      <c r="D14" t="inlineStr">
        <is>
          <t>Industrial Macroeconomic: Manufacturing: Food Products: High Zero-Carbon Technology Cost</t>
        </is>
      </c>
      <c r="E14" t="inlineStr">
        <is>
          <t>AEO.2025.HIGHZTC.ECI_VOS_MANF_FPA_NA_NA_NA_BLNY09DLR.A</t>
        </is>
      </c>
      <c r="F14" t="inlineStr">
        <is>
          <t>billion 2012 $</t>
        </is>
      </c>
      <c r="H14" t="n">
        <v>821.565002</v>
      </c>
      <c r="I14" t="n">
        <v>826.256287</v>
      </c>
      <c r="J14" t="n">
        <v>829.6024169999999</v>
      </c>
      <c r="K14" t="n">
        <v>837.906738</v>
      </c>
      <c r="L14" t="n">
        <v>844.650085</v>
      </c>
      <c r="M14" t="n">
        <v>853.047974</v>
      </c>
      <c r="N14" t="n">
        <v>861.582275</v>
      </c>
      <c r="O14" t="n">
        <v>869.489197</v>
      </c>
      <c r="P14" t="n">
        <v>877.761536</v>
      </c>
      <c r="Q14" t="n">
        <v>885.73114</v>
      </c>
      <c r="R14" t="n">
        <v>894.016113</v>
      </c>
      <c r="S14" t="n">
        <v>901.545471</v>
      </c>
      <c r="T14" t="n">
        <v>911.374939</v>
      </c>
      <c r="U14" t="n">
        <v>920.41272</v>
      </c>
      <c r="V14" t="n">
        <v>929.094971</v>
      </c>
      <c r="W14" t="n">
        <v>938.252808</v>
      </c>
      <c r="X14" t="n">
        <v>947.329895</v>
      </c>
      <c r="Y14" t="n">
        <v>956.443298</v>
      </c>
      <c r="Z14" t="n">
        <v>965.737</v>
      </c>
      <c r="AA14" t="n">
        <v>974.68512</v>
      </c>
      <c r="AB14" t="n">
        <v>983.6879269999999</v>
      </c>
      <c r="AC14" t="n">
        <v>992.500061</v>
      </c>
      <c r="AD14" t="n">
        <v>1001.497559</v>
      </c>
      <c r="AE14" t="n">
        <v>1010.571472</v>
      </c>
      <c r="AF14" t="n">
        <v>1019.670227</v>
      </c>
      <c r="AG14" t="n">
        <v>1029.158447</v>
      </c>
      <c r="AH14" t="n">
        <v>1038.471802</v>
      </c>
      <c r="AI14" t="n">
        <v>0.008999999999999999</v>
      </c>
    </row>
    <row r="15">
      <c r="A15" t="inlineStr">
        <is>
          <t>ISM000:fa_BeveragesandT</t>
        </is>
      </c>
      <c r="B15" t="inlineStr">
        <is>
          <t>,ISIC 10T12,</t>
        </is>
      </c>
      <c r="C15" t="inlineStr">
        <is>
          <t>Beverages and Tobacco Products</t>
        </is>
      </c>
      <c r="D15" t="inlineStr">
        <is>
          <t>Industrial Macroeconomic: Manufacturing: Beverages and Tobacco Products: High Zero-Carbon Technology Cost</t>
        </is>
      </c>
      <c r="E15" t="inlineStr">
        <is>
          <t>AEO.2025.HIGHZTC.ECI_VOS_MANF_BVTP_NA_NA_NA_BLNY09DLR.A</t>
        </is>
      </c>
      <c r="F15" t="inlineStr">
        <is>
          <t>billion 2012 $</t>
        </is>
      </c>
      <c r="H15" t="n">
        <v>141.906082</v>
      </c>
      <c r="I15" t="n">
        <v>139.8526</v>
      </c>
      <c r="J15" t="n">
        <v>138.711395</v>
      </c>
      <c r="K15" t="n">
        <v>138.033768</v>
      </c>
      <c r="L15" t="n">
        <v>137.527145</v>
      </c>
      <c r="M15" t="n">
        <v>136.838623</v>
      </c>
      <c r="N15" t="n">
        <v>136.098373</v>
      </c>
      <c r="O15" t="n">
        <v>135.327225</v>
      </c>
      <c r="P15" t="n">
        <v>134.486893</v>
      </c>
      <c r="Q15" t="n">
        <v>133.751328</v>
      </c>
      <c r="R15" t="n">
        <v>133.0681</v>
      </c>
      <c r="S15" t="n">
        <v>132.550552</v>
      </c>
      <c r="T15" t="n">
        <v>131.986618</v>
      </c>
      <c r="U15" t="n">
        <v>131.448853</v>
      </c>
      <c r="V15" t="n">
        <v>130.934769</v>
      </c>
      <c r="W15" t="n">
        <v>130.426331</v>
      </c>
      <c r="X15" t="n">
        <v>129.932602</v>
      </c>
      <c r="Y15" t="n">
        <v>129.437927</v>
      </c>
      <c r="Z15" t="n">
        <v>128.931274</v>
      </c>
      <c r="AA15" t="n">
        <v>128.378098</v>
      </c>
      <c r="AB15" t="n">
        <v>127.794327</v>
      </c>
      <c r="AC15" t="n">
        <v>127.174377</v>
      </c>
      <c r="AD15" t="n">
        <v>126.600021</v>
      </c>
      <c r="AE15" t="n">
        <v>126.074577</v>
      </c>
      <c r="AF15" t="n">
        <v>125.574326</v>
      </c>
      <c r="AG15" t="n">
        <v>125.095772</v>
      </c>
      <c r="AH15" t="n">
        <v>124.58905</v>
      </c>
      <c r="AI15" t="n">
        <v>-0.005</v>
      </c>
    </row>
    <row r="16">
      <c r="A16" t="inlineStr">
        <is>
          <t>ISM000:fa_TextileMillPr</t>
        </is>
      </c>
      <c r="B16" t="inlineStr">
        <is>
          <t>,ISIC 13T15,</t>
        </is>
      </c>
      <c r="C16" t="inlineStr">
        <is>
          <t>Textile Mills and Products</t>
        </is>
      </c>
      <c r="D16" t="inlineStr">
        <is>
          <t>Industrial Macroeconomic: Manufacturing: Textile Mills and Products: High Zero-Carbon Technology Cost</t>
        </is>
      </c>
      <c r="E16" t="inlineStr">
        <is>
          <t>AEO.2025.HIGHZTC.ECI_VOS_MANF_TMP_NA_NA_NA_BLNY09DLR.A</t>
        </is>
      </c>
      <c r="F16" t="inlineStr">
        <is>
          <t>billion 2012 $</t>
        </is>
      </c>
      <c r="H16" t="n">
        <v>66.08916499999999</v>
      </c>
      <c r="I16" t="n">
        <v>66.53851299999999</v>
      </c>
      <c r="J16" t="n">
        <v>65.89919999999999</v>
      </c>
      <c r="K16" t="n">
        <v>65.924271</v>
      </c>
      <c r="L16" t="n">
        <v>64.83783</v>
      </c>
      <c r="M16" t="n">
        <v>64.16680100000001</v>
      </c>
      <c r="N16" t="n">
        <v>63.704239</v>
      </c>
      <c r="O16" t="n">
        <v>63.158009</v>
      </c>
      <c r="P16" t="n">
        <v>62.414116</v>
      </c>
      <c r="Q16" t="n">
        <v>61.727993</v>
      </c>
      <c r="R16" t="n">
        <v>61.319778</v>
      </c>
      <c r="S16" t="n">
        <v>60.568184</v>
      </c>
      <c r="T16" t="n">
        <v>59.831409</v>
      </c>
      <c r="U16" t="n">
        <v>59.532326</v>
      </c>
      <c r="V16" t="n">
        <v>59.14883</v>
      </c>
      <c r="W16" t="n">
        <v>58.90044</v>
      </c>
      <c r="X16" t="n">
        <v>58.791424</v>
      </c>
      <c r="Y16" t="n">
        <v>58.565128</v>
      </c>
      <c r="Z16" t="n">
        <v>58.345596</v>
      </c>
      <c r="AA16" t="n">
        <v>57.977749</v>
      </c>
      <c r="AB16" t="n">
        <v>57.632816</v>
      </c>
      <c r="AC16" t="n">
        <v>57.247356</v>
      </c>
      <c r="AD16" t="n">
        <v>56.93322</v>
      </c>
      <c r="AE16" t="n">
        <v>56.724243</v>
      </c>
      <c r="AF16" t="n">
        <v>56.464836</v>
      </c>
      <c r="AG16" t="n">
        <v>56.23605</v>
      </c>
      <c r="AH16" t="n">
        <v>55.887161</v>
      </c>
      <c r="AI16" t="n">
        <v>-0.006</v>
      </c>
    </row>
    <row r="17">
      <c r="A17" t="inlineStr">
        <is>
          <t>ISM000:fa_LumberandWood</t>
        </is>
      </c>
      <c r="B17" t="inlineStr">
        <is>
          <t>,ISIC 16,</t>
        </is>
      </c>
      <c r="C17" t="inlineStr">
        <is>
          <t>Wood Products</t>
        </is>
      </c>
      <c r="D17" t="inlineStr">
        <is>
          <t>Industrial Macroeconomic: Manufacturing: Wood Products: High Zero-Carbon Technology Cost</t>
        </is>
      </c>
      <c r="E17" t="inlineStr">
        <is>
          <t>AEO.2025.HIGHZTC.ECI_VOS_MANF_WDP_NA_NA_NA_BLNY09DLR.A</t>
        </is>
      </c>
      <c r="F17" t="inlineStr">
        <is>
          <t>billion 2012 $</t>
        </is>
      </c>
      <c r="H17" t="n">
        <v>98.40712000000001</v>
      </c>
      <c r="I17" t="n">
        <v>99.04071</v>
      </c>
      <c r="J17" t="n">
        <v>101.040649</v>
      </c>
      <c r="K17" t="n">
        <v>102.246925</v>
      </c>
      <c r="L17" t="n">
        <v>103.987923</v>
      </c>
      <c r="M17" t="n">
        <v>107.2435</v>
      </c>
      <c r="N17" t="n">
        <v>109.763878</v>
      </c>
      <c r="O17" t="n">
        <v>111.444023</v>
      </c>
      <c r="P17" t="n">
        <v>112.569977</v>
      </c>
      <c r="Q17" t="n">
        <v>112.379074</v>
      </c>
      <c r="R17" t="n">
        <v>113.57045</v>
      </c>
      <c r="S17" t="n">
        <v>115.056473</v>
      </c>
      <c r="T17" t="n">
        <v>118.327522</v>
      </c>
      <c r="U17" t="n">
        <v>120.524979</v>
      </c>
      <c r="V17" t="n">
        <v>121.295052</v>
      </c>
      <c r="W17" t="n">
        <v>122.199997</v>
      </c>
      <c r="X17" t="n">
        <v>122.039398</v>
      </c>
      <c r="Y17" t="n">
        <v>119.662926</v>
      </c>
      <c r="Z17" t="n">
        <v>118.093803</v>
      </c>
      <c r="AA17" t="n">
        <v>115.158073</v>
      </c>
      <c r="AB17" t="n">
        <v>113.127899</v>
      </c>
      <c r="AC17" t="n">
        <v>113.014549</v>
      </c>
      <c r="AD17" t="n">
        <v>113.406578</v>
      </c>
      <c r="AE17" t="n">
        <v>114.637749</v>
      </c>
      <c r="AF17" t="n">
        <v>115.775826</v>
      </c>
      <c r="AG17" t="n">
        <v>117.229729</v>
      </c>
      <c r="AH17" t="n">
        <v>118.126198</v>
      </c>
      <c r="AI17" t="n">
        <v>0.007</v>
      </c>
    </row>
    <row r="18">
      <c r="A18" t="inlineStr">
        <is>
          <t>ISM000:fa_FurnitureandF</t>
        </is>
      </c>
      <c r="B18" t="inlineStr">
        <is>
          <t>,ISIC 31T33,</t>
        </is>
      </c>
      <c r="C18" t="inlineStr">
        <is>
          <t>Furniture and Related Products</t>
        </is>
      </c>
      <c r="D18" t="inlineStr">
        <is>
          <t>Industrial Macroeconomic: Manufacturing: Furniture and Related Products: High Zero-Carbon Technology Cost</t>
        </is>
      </c>
      <c r="E18" t="inlineStr">
        <is>
          <t>AEO.2025.HIGHZTC.ECI_VOS_MANF_FRP_NA_NA_NA_BLNY09DLR.A</t>
        </is>
      </c>
      <c r="F18" t="inlineStr">
        <is>
          <t>billion 2012 $</t>
        </is>
      </c>
      <c r="H18" t="n">
        <v>53.271854</v>
      </c>
      <c r="I18" t="n">
        <v>52.269444</v>
      </c>
      <c r="J18" t="n">
        <v>53.980427</v>
      </c>
      <c r="K18" t="n">
        <v>55.926292</v>
      </c>
      <c r="L18" t="n">
        <v>56.093472</v>
      </c>
      <c r="M18" t="n">
        <v>56.599045</v>
      </c>
      <c r="N18" t="n">
        <v>58.34198</v>
      </c>
      <c r="O18" t="n">
        <v>58.92627</v>
      </c>
      <c r="P18" t="n">
        <v>59.556118</v>
      </c>
      <c r="Q18" t="n">
        <v>59.890476</v>
      </c>
      <c r="R18" t="n">
        <v>61.148804</v>
      </c>
      <c r="S18" t="n">
        <v>61.658676</v>
      </c>
      <c r="T18" t="n">
        <v>62.141407</v>
      </c>
      <c r="U18" t="n">
        <v>63.414036</v>
      </c>
      <c r="V18" t="n">
        <v>64.38812299999999</v>
      </c>
      <c r="W18" t="n">
        <v>65.33425099999999</v>
      </c>
      <c r="X18" t="n">
        <v>66.700745</v>
      </c>
      <c r="Y18" t="n">
        <v>67.73155199999999</v>
      </c>
      <c r="Z18" t="n">
        <v>68.640739</v>
      </c>
      <c r="AA18" t="n">
        <v>69.67757400000001</v>
      </c>
      <c r="AB18" t="n">
        <v>70.93280799999999</v>
      </c>
      <c r="AC18" t="n">
        <v>71.80574799999999</v>
      </c>
      <c r="AD18" t="n">
        <v>72.81534600000001</v>
      </c>
      <c r="AE18" t="n">
        <v>74.18843099999999</v>
      </c>
      <c r="AF18" t="n">
        <v>74.879402</v>
      </c>
      <c r="AG18" t="n">
        <v>76.066422</v>
      </c>
      <c r="AH18" t="n">
        <v>76.886627</v>
      </c>
      <c r="AI18" t="n">
        <v>0.014</v>
      </c>
    </row>
    <row r="19">
      <c r="A19" t="inlineStr">
        <is>
          <t>ISM000:fa_PaperandAllie</t>
        </is>
      </c>
      <c r="B19" t="inlineStr">
        <is>
          <t>,ISIC 17T18,</t>
        </is>
      </c>
      <c r="C19" t="inlineStr">
        <is>
          <t>Paper Products</t>
        </is>
      </c>
      <c r="D19" t="inlineStr">
        <is>
          <t>Industrial Macroeconomic: Manufacturing: Paper Products: High Zero-Carbon Technology Cost</t>
        </is>
      </c>
      <c r="E19" t="inlineStr">
        <is>
          <t>AEO.2025.HIGHZTC.ECI_VOS_MANF_PPM_NA_NA_NA_BLNY09DLR.A</t>
        </is>
      </c>
      <c r="F19" t="inlineStr">
        <is>
          <t>billion 2012 $</t>
        </is>
      </c>
      <c r="H19" t="n">
        <v>161.469193</v>
      </c>
      <c r="I19" t="n">
        <v>162.769196</v>
      </c>
      <c r="J19" t="n">
        <v>164.025757</v>
      </c>
      <c r="K19" t="n">
        <v>162.470276</v>
      </c>
      <c r="L19" t="n">
        <v>161.556381</v>
      </c>
      <c r="M19" t="n">
        <v>161.470718</v>
      </c>
      <c r="N19" t="n">
        <v>161.809799</v>
      </c>
      <c r="O19" t="n">
        <v>162.977753</v>
      </c>
      <c r="P19" t="n">
        <v>163.752823</v>
      </c>
      <c r="Q19" t="n">
        <v>164.066971</v>
      </c>
      <c r="R19" t="n">
        <v>165.191055</v>
      </c>
      <c r="S19" t="n">
        <v>166.252869</v>
      </c>
      <c r="T19" t="n">
        <v>167.39653</v>
      </c>
      <c r="U19" t="n">
        <v>168.348846</v>
      </c>
      <c r="V19" t="n">
        <v>169.471603</v>
      </c>
      <c r="W19" t="n">
        <v>171.078369</v>
      </c>
      <c r="X19" t="n">
        <v>172.765427</v>
      </c>
      <c r="Y19" t="n">
        <v>174.022369</v>
      </c>
      <c r="Z19" t="n">
        <v>175.348923</v>
      </c>
      <c r="AA19" t="n">
        <v>176.498169</v>
      </c>
      <c r="AB19" t="n">
        <v>178.14328</v>
      </c>
      <c r="AC19" t="n">
        <v>179.318451</v>
      </c>
      <c r="AD19" t="n">
        <v>180.706772</v>
      </c>
      <c r="AE19" t="n">
        <v>182.094498</v>
      </c>
      <c r="AF19" t="n">
        <v>183.340454</v>
      </c>
      <c r="AG19" t="n">
        <v>184.407928</v>
      </c>
      <c r="AH19" t="n">
        <v>185.493958</v>
      </c>
      <c r="AI19" t="n">
        <v>0.005</v>
      </c>
    </row>
    <row r="20">
      <c r="A20" t="inlineStr">
        <is>
          <t>ISM000:fa_PrintingandPu</t>
        </is>
      </c>
      <c r="B20" t="inlineStr">
        <is>
          <t>,ISIC 17T18,</t>
        </is>
      </c>
      <c r="C20" t="inlineStr">
        <is>
          <t>Printing</t>
        </is>
      </c>
      <c r="D20" t="inlineStr">
        <is>
          <t>Industrial Macroeconomic: Manufacturing: Printing: High Zero-Carbon Technology Cost</t>
        </is>
      </c>
      <c r="E20" t="inlineStr">
        <is>
          <t>AEO.2025.HIGHZTC.ECI_VOS_MANF_PRN_NA_NA_NA_BLNY09DLR.A</t>
        </is>
      </c>
      <c r="F20" t="inlineStr">
        <is>
          <t>billion 2012 $</t>
        </is>
      </c>
      <c r="H20" t="n">
        <v>60.525852</v>
      </c>
      <c r="I20" t="n">
        <v>57.448959</v>
      </c>
      <c r="J20" t="n">
        <v>56.292637</v>
      </c>
      <c r="K20" t="n">
        <v>54.877972</v>
      </c>
      <c r="L20" t="n">
        <v>53.651821</v>
      </c>
      <c r="M20" t="n">
        <v>52.613571</v>
      </c>
      <c r="N20" t="n">
        <v>51.594307</v>
      </c>
      <c r="O20" t="n">
        <v>50.581692</v>
      </c>
      <c r="P20" t="n">
        <v>49.633221</v>
      </c>
      <c r="Q20" t="n">
        <v>48.66946</v>
      </c>
      <c r="R20" t="n">
        <v>47.801643</v>
      </c>
      <c r="S20" t="n">
        <v>46.996117</v>
      </c>
      <c r="T20" t="n">
        <v>46.399475</v>
      </c>
      <c r="U20" t="n">
        <v>45.814659</v>
      </c>
      <c r="V20" t="n">
        <v>45.239269</v>
      </c>
      <c r="W20" t="n">
        <v>44.861446</v>
      </c>
      <c r="X20" t="n">
        <v>44.471886</v>
      </c>
      <c r="Y20" t="n">
        <v>44.081989</v>
      </c>
      <c r="Z20" t="n">
        <v>43.735256</v>
      </c>
      <c r="AA20" t="n">
        <v>43.354687</v>
      </c>
      <c r="AB20" t="n">
        <v>43.027943</v>
      </c>
      <c r="AC20" t="n">
        <v>42.731819</v>
      </c>
      <c r="AD20" t="n">
        <v>42.579571</v>
      </c>
      <c r="AE20" t="n">
        <v>42.327194</v>
      </c>
      <c r="AF20" t="n">
        <v>42.10128</v>
      </c>
      <c r="AG20" t="n">
        <v>41.857502</v>
      </c>
      <c r="AH20" t="n">
        <v>41.633499</v>
      </c>
      <c r="AI20" t="n">
        <v>-0.014</v>
      </c>
    </row>
    <row r="21">
      <c r="A21" t="inlineStr">
        <is>
          <t>ISM000:fa_ChemicalandAl</t>
        </is>
      </c>
      <c r="B21" t="inlineStr">
        <is>
          <t>,ISIC 20,</t>
        </is>
      </c>
      <c r="C21" t="inlineStr">
        <is>
          <t>Chemical Manufacturing</t>
        </is>
      </c>
      <c r="D21" t="inlineStr">
        <is>
          <t>Industrial Macroeconomic: Manufacturing: Chemical Manufacturing: High Zero-Carbon Technology Cost</t>
        </is>
      </c>
      <c r="E21" t="inlineStr">
        <is>
          <t>AEO.2025.HIGHZTC.ECI_VOS_MANF_CHE_NA_NA_NA_BLNY09DLR.A</t>
        </is>
      </c>
      <c r="F21" t="inlineStr">
        <is>
          <t>billion 2012 $</t>
        </is>
      </c>
      <c r="H21" t="n">
        <v>808.2136839999999</v>
      </c>
      <c r="I21" t="n">
        <v>812.3893430000001</v>
      </c>
      <c r="J21" t="n">
        <v>806.690735</v>
      </c>
      <c r="K21" t="n">
        <v>804.931763</v>
      </c>
      <c r="L21" t="n">
        <v>803.349426</v>
      </c>
      <c r="M21" t="n">
        <v>806.0986329999999</v>
      </c>
      <c r="N21" t="n">
        <v>813.568115</v>
      </c>
      <c r="O21" t="n">
        <v>823.251343</v>
      </c>
      <c r="P21" t="n">
        <v>834.164551</v>
      </c>
      <c r="Q21" t="n">
        <v>843.791748</v>
      </c>
      <c r="R21" t="n">
        <v>855.429565</v>
      </c>
      <c r="S21" t="n">
        <v>865.728149</v>
      </c>
      <c r="T21" t="n">
        <v>874.201355</v>
      </c>
      <c r="U21" t="n">
        <v>885.517822</v>
      </c>
      <c r="V21" t="n">
        <v>896.985718</v>
      </c>
      <c r="W21" t="n">
        <v>909.449463</v>
      </c>
      <c r="X21" t="n">
        <v>923.436829</v>
      </c>
      <c r="Y21" t="n">
        <v>936.806641</v>
      </c>
      <c r="Z21" t="n">
        <v>950.8414310000001</v>
      </c>
      <c r="AA21" t="n">
        <v>963.143188</v>
      </c>
      <c r="AB21" t="n">
        <v>974.985901</v>
      </c>
      <c r="AC21" t="n">
        <v>984.6070560000001</v>
      </c>
      <c r="AD21" t="n">
        <v>994.838989</v>
      </c>
      <c r="AE21" t="n">
        <v>1008.811035</v>
      </c>
      <c r="AF21" t="n">
        <v>1020.661987</v>
      </c>
      <c r="AG21" t="n">
        <v>1031.750244</v>
      </c>
      <c r="AH21" t="n">
        <v>1041.1604</v>
      </c>
      <c r="AI21" t="n">
        <v>0.01</v>
      </c>
    </row>
    <row r="22">
      <c r="A22" t="inlineStr">
        <is>
          <t>ISM000:fa_BulkChemicals</t>
        </is>
      </c>
      <c r="C22" t="inlineStr">
        <is>
          <t>Bulk Chemicals</t>
        </is>
      </c>
      <c r="D22" t="inlineStr">
        <is>
          <t>Industrial Macroeconomic: Manufacturing: Chemicals: Bulk Chemicals: High Zero-Carbon Technology Cost</t>
        </is>
      </c>
      <c r="E22" t="inlineStr">
        <is>
          <t>AEO.2025.HIGHZTC.ECI_VOS_MANF_BCH_NA_NA_NA_BLNY09DLR.A</t>
        </is>
      </c>
      <c r="F22" t="inlineStr">
        <is>
          <t>billion 2012 $</t>
        </is>
      </c>
      <c r="H22" t="n">
        <v>367.322174</v>
      </c>
      <c r="I22" t="n">
        <v>372.954346</v>
      </c>
      <c r="J22" t="n">
        <v>365.470062</v>
      </c>
      <c r="K22" t="n">
        <v>360.027527</v>
      </c>
      <c r="L22" t="n">
        <v>354.244965</v>
      </c>
      <c r="M22" t="n">
        <v>352.824768</v>
      </c>
      <c r="N22" t="n">
        <v>355.281525</v>
      </c>
      <c r="O22" t="n">
        <v>359.698914</v>
      </c>
      <c r="P22" t="n">
        <v>364.245941</v>
      </c>
      <c r="Q22" t="n">
        <v>367.190613</v>
      </c>
      <c r="R22" t="n">
        <v>373.40387</v>
      </c>
      <c r="S22" t="n">
        <v>379.885864</v>
      </c>
      <c r="T22" t="n">
        <v>384.065918</v>
      </c>
      <c r="U22" t="n">
        <v>389.134827</v>
      </c>
      <c r="V22" t="n">
        <v>394.534912</v>
      </c>
      <c r="W22" t="n">
        <v>400.990601</v>
      </c>
      <c r="X22" t="n">
        <v>408.143433</v>
      </c>
      <c r="Y22" t="n">
        <v>414.301453</v>
      </c>
      <c r="Z22" t="n">
        <v>420.513336</v>
      </c>
      <c r="AA22" t="n">
        <v>425.350372</v>
      </c>
      <c r="AB22" t="n">
        <v>430.832703</v>
      </c>
      <c r="AC22" t="n">
        <v>435.236176</v>
      </c>
      <c r="AD22" t="n">
        <v>439.595734</v>
      </c>
      <c r="AE22" t="n">
        <v>446.340973</v>
      </c>
      <c r="AF22" t="n">
        <v>451.72757</v>
      </c>
      <c r="AG22" t="n">
        <v>456.244598</v>
      </c>
      <c r="AH22" t="n">
        <v>460.802155</v>
      </c>
      <c r="AI22" t="n">
        <v>0.008999999999999999</v>
      </c>
    </row>
    <row r="23">
      <c r="A23" t="inlineStr">
        <is>
          <t>ISM000:fa_Inorganic</t>
        </is>
      </c>
      <c r="C23" t="inlineStr">
        <is>
          <t>Inorganic</t>
        </is>
      </c>
      <c r="D23" t="inlineStr">
        <is>
          <t>Industrial Macroeconomic: Manufacturing: Chemicals: Bulk Chemicals: Inorganic: High Zero-Carbon Technology Cost</t>
        </is>
      </c>
      <c r="E23" t="inlineStr">
        <is>
          <t>AEO.2025.HIGHZTC.ECI_VOS_MANF_CHEIN_NA_NA_NA_BLNY09DLR.A</t>
        </is>
      </c>
      <c r="F23" t="inlineStr">
        <is>
          <t>billion 2012 $</t>
        </is>
      </c>
      <c r="H23" t="n">
        <v>50.760822</v>
      </c>
      <c r="I23" t="n">
        <v>51.478336</v>
      </c>
      <c r="J23" t="n">
        <v>52.328194</v>
      </c>
      <c r="K23" t="n">
        <v>52.508663</v>
      </c>
      <c r="L23" t="n">
        <v>52.006046</v>
      </c>
      <c r="M23" t="n">
        <v>51.169857</v>
      </c>
      <c r="N23" t="n">
        <v>51.473831</v>
      </c>
      <c r="O23" t="n">
        <v>51.551136</v>
      </c>
      <c r="P23" t="n">
        <v>51.466038</v>
      </c>
      <c r="Q23" t="n">
        <v>51.676189</v>
      </c>
      <c r="R23" t="n">
        <v>51.725769</v>
      </c>
      <c r="S23" t="n">
        <v>52.104076</v>
      </c>
      <c r="T23" t="n">
        <v>52.200466</v>
      </c>
      <c r="U23" t="n">
        <v>51.96347</v>
      </c>
      <c r="V23" t="n">
        <v>52.269703</v>
      </c>
      <c r="W23" t="n">
        <v>52.373104</v>
      </c>
      <c r="X23" t="n">
        <v>52.339554</v>
      </c>
      <c r="Y23" t="n">
        <v>52.473537</v>
      </c>
      <c r="Z23" t="n">
        <v>52.384289</v>
      </c>
      <c r="AA23" t="n">
        <v>52.293137</v>
      </c>
      <c r="AB23" t="n">
        <v>52.097511</v>
      </c>
      <c r="AC23" t="n">
        <v>51.880245</v>
      </c>
      <c r="AD23" t="n">
        <v>51.748787</v>
      </c>
      <c r="AE23" t="n">
        <v>51.814064</v>
      </c>
      <c r="AF23" t="n">
        <v>51.907967</v>
      </c>
      <c r="AG23" t="n">
        <v>51.836624</v>
      </c>
      <c r="AH23" t="n">
        <v>51.954746</v>
      </c>
      <c r="AI23" t="n">
        <v>0.001</v>
      </c>
    </row>
    <row r="24">
      <c r="A24" t="inlineStr">
        <is>
          <t>ISM000:fa_Organic</t>
        </is>
      </c>
      <c r="C24" t="inlineStr">
        <is>
          <t>Organic</t>
        </is>
      </c>
      <c r="D24" t="inlineStr">
        <is>
          <t>Industrial Macroeconomic: Manufacturing: Chemicals: Bulk Chemicals: Organic: High Zero-Carbon Technology Cost</t>
        </is>
      </c>
      <c r="E24" t="inlineStr">
        <is>
          <t>AEO.2025.HIGHZTC.ECI_VOS_MANF_CHEOR_NA_NA_NA_BLNY09DLR.A</t>
        </is>
      </c>
      <c r="F24" t="inlineStr">
        <is>
          <t>billion 2012 $</t>
        </is>
      </c>
      <c r="H24" t="n">
        <v>179.648499</v>
      </c>
      <c r="I24" t="n">
        <v>184.153397</v>
      </c>
      <c r="J24" t="n">
        <v>172.360718</v>
      </c>
      <c r="K24" t="n">
        <v>167.715881</v>
      </c>
      <c r="L24" t="n">
        <v>163.974594</v>
      </c>
      <c r="M24" t="n">
        <v>162.341644</v>
      </c>
      <c r="N24" t="n">
        <v>162.018326</v>
      </c>
      <c r="O24" t="n">
        <v>164.700974</v>
      </c>
      <c r="P24" t="n">
        <v>167.635681</v>
      </c>
      <c r="Q24" t="n">
        <v>169.28833</v>
      </c>
      <c r="R24" t="n">
        <v>172.177399</v>
      </c>
      <c r="S24" t="n">
        <v>176.190979</v>
      </c>
      <c r="T24" t="n">
        <v>179.034775</v>
      </c>
      <c r="U24" t="n">
        <v>181.718399</v>
      </c>
      <c r="V24" t="n">
        <v>185.004654</v>
      </c>
      <c r="W24" t="n">
        <v>189.101746</v>
      </c>
      <c r="X24" t="n">
        <v>193.481354</v>
      </c>
      <c r="Y24" t="n">
        <v>197.500076</v>
      </c>
      <c r="Z24" t="n">
        <v>201.285721</v>
      </c>
      <c r="AA24" t="n">
        <v>205.213623</v>
      </c>
      <c r="AB24" t="n">
        <v>209.589371</v>
      </c>
      <c r="AC24" t="n">
        <v>213.815353</v>
      </c>
      <c r="AD24" t="n">
        <v>216.956268</v>
      </c>
      <c r="AE24" t="n">
        <v>221.063828</v>
      </c>
      <c r="AF24" t="n">
        <v>224.531143</v>
      </c>
      <c r="AG24" t="n">
        <v>227.097778</v>
      </c>
      <c r="AH24" t="n">
        <v>230.2061</v>
      </c>
      <c r="AI24" t="n">
        <v>0.01</v>
      </c>
    </row>
    <row r="25">
      <c r="A25" t="inlineStr">
        <is>
          <t>ISM000:fa_Resins</t>
        </is>
      </c>
      <c r="C25" t="inlineStr">
        <is>
          <t>Resin</t>
        </is>
      </c>
      <c r="D25" t="inlineStr">
        <is>
          <t xml:space="preserve"> Synthetic Rubber</t>
        </is>
      </c>
      <c r="E25" t="inlineStr">
        <is>
          <t xml:space="preserve"> and Fibers</t>
        </is>
      </c>
      <c r="F25" t="inlineStr">
        <is>
          <t>Industrial Macroeconomic: Manufacturing: Chemicals: Bulk Chemicals: Resin, Synthetic Rubber, and Fibers: High Zero-Carbon Technology Cost</t>
        </is>
      </c>
      <c r="G25" t="inlineStr">
        <is>
          <t>AEO.2025.HIGHZTC.ECI_VOS_MANF_CHEBR_NA_NA_NA_BLNY09DLR.A</t>
        </is>
      </c>
      <c r="H25" t="n">
        <v>98.834442</v>
      </c>
      <c r="I25" t="n">
        <v>97.966858</v>
      </c>
      <c r="J25" t="n">
        <v>99.32622499999999</v>
      </c>
      <c r="K25" t="n">
        <v>97.665497</v>
      </c>
      <c r="L25" t="n">
        <v>95.804192</v>
      </c>
      <c r="M25" t="n">
        <v>96.423264</v>
      </c>
      <c r="N25" t="n">
        <v>98.262207</v>
      </c>
      <c r="O25" t="n">
        <v>99.258095</v>
      </c>
      <c r="P25" t="n">
        <v>100.284996</v>
      </c>
      <c r="Q25" t="n">
        <v>100.911903</v>
      </c>
      <c r="R25" t="n">
        <v>103.31385</v>
      </c>
      <c r="S25" t="n">
        <v>104.717003</v>
      </c>
      <c r="T25" t="n">
        <v>105.349876</v>
      </c>
      <c r="U25" t="n">
        <v>107.174423</v>
      </c>
      <c r="V25" t="n">
        <v>108.362297</v>
      </c>
      <c r="W25" t="n">
        <v>110.005051</v>
      </c>
      <c r="X25" t="n">
        <v>112.154022</v>
      </c>
      <c r="Y25" t="n">
        <v>113.590202</v>
      </c>
      <c r="Z25" t="n">
        <v>115.539803</v>
      </c>
      <c r="AA25" t="n">
        <v>116.007896</v>
      </c>
      <c r="AB25" t="n">
        <v>116.684151</v>
      </c>
      <c r="AC25" t="n">
        <v>116.623276</v>
      </c>
      <c r="AD25" t="n">
        <v>117.464996</v>
      </c>
      <c r="AE25" t="n">
        <v>119.548798</v>
      </c>
      <c r="AF25" t="n">
        <v>120.945053</v>
      </c>
      <c r="AG25" t="n">
        <v>122.551376</v>
      </c>
      <c r="AH25" t="n">
        <v>123.52005</v>
      </c>
      <c r="AI25" t="n">
        <v>0.008999999999999999</v>
      </c>
    </row>
    <row r="26">
      <c r="A26" t="inlineStr">
        <is>
          <t>ISM000:fa_AgriculturalC</t>
        </is>
      </c>
      <c r="C26" t="inlineStr">
        <is>
          <t>Agricultural Chemicals</t>
        </is>
      </c>
      <c r="D26" t="inlineStr">
        <is>
          <t>Industrial Macroeconomic: Manufacturing: Chemicals: Bulk Chemicals: Agricultural Chemicals: High Zero-Carbon Technology Cost</t>
        </is>
      </c>
      <c r="E26" t="inlineStr">
        <is>
          <t>AEO.2025.HIGHZTC.ECI_VOS_MANF_AGC_NA_NA_NA_BLNY09DLR.A</t>
        </is>
      </c>
      <c r="F26" t="inlineStr">
        <is>
          <t>billion 2012 $</t>
        </is>
      </c>
      <c r="H26" t="n">
        <v>38.078388</v>
      </c>
      <c r="I26" t="n">
        <v>39.355778</v>
      </c>
      <c r="J26" t="n">
        <v>41.454929</v>
      </c>
      <c r="K26" t="n">
        <v>42.137497</v>
      </c>
      <c r="L26" t="n">
        <v>42.460148</v>
      </c>
      <c r="M26" t="n">
        <v>42.890003</v>
      </c>
      <c r="N26" t="n">
        <v>43.527168</v>
      </c>
      <c r="O26" t="n">
        <v>44.188728</v>
      </c>
      <c r="P26" t="n">
        <v>44.859222</v>
      </c>
      <c r="Q26" t="n">
        <v>45.314175</v>
      </c>
      <c r="R26" t="n">
        <v>46.186852</v>
      </c>
      <c r="S26" t="n">
        <v>46.873821</v>
      </c>
      <c r="T26" t="n">
        <v>47.480816</v>
      </c>
      <c r="U26" t="n">
        <v>48.278534</v>
      </c>
      <c r="V26" t="n">
        <v>48.898262</v>
      </c>
      <c r="W26" t="n">
        <v>49.510666</v>
      </c>
      <c r="X26" t="n">
        <v>50.168533</v>
      </c>
      <c r="Y26" t="n">
        <v>50.737656</v>
      </c>
      <c r="Z26" t="n">
        <v>51.303539</v>
      </c>
      <c r="AA26" t="n">
        <v>51.835686</v>
      </c>
      <c r="AB26" t="n">
        <v>52.461685</v>
      </c>
      <c r="AC26" t="n">
        <v>52.917336</v>
      </c>
      <c r="AD26" t="n">
        <v>53.425697</v>
      </c>
      <c r="AE26" t="n">
        <v>53.914276</v>
      </c>
      <c r="AF26" t="n">
        <v>54.343407</v>
      </c>
      <c r="AG26" t="n">
        <v>54.758823</v>
      </c>
      <c r="AH26" t="n">
        <v>55.121239</v>
      </c>
      <c r="AI26" t="n">
        <v>0.014</v>
      </c>
    </row>
    <row r="27">
      <c r="A27" t="inlineStr">
        <is>
          <t>ISM000:fa_OtherChemical</t>
        </is>
      </c>
      <c r="C27" t="inlineStr">
        <is>
          <t>Other Chemical Products</t>
        </is>
      </c>
      <c r="D27" t="inlineStr">
        <is>
          <t>Industrial Macroeconomic: Manufacturing: Chemicals: Other Chemical Products: High Zero-Carbon Technology Cost</t>
        </is>
      </c>
      <c r="E27" t="inlineStr">
        <is>
          <t>AEO.2025.HIGHZTC.ECI_VOS_MANF_CHEO_NA_NA_NA_BLNY09DLR.A</t>
        </is>
      </c>
      <c r="F27" t="inlineStr">
        <is>
          <t>billion 2012 $</t>
        </is>
      </c>
      <c r="H27" t="n">
        <v>440.89151</v>
      </c>
      <c r="I27" t="n">
        <v>439.434998</v>
      </c>
      <c r="J27" t="n">
        <v>441.220673</v>
      </c>
      <c r="K27" t="n">
        <v>444.904205</v>
      </c>
      <c r="L27" t="n">
        <v>449.104462</v>
      </c>
      <c r="M27" t="n">
        <v>453.273834</v>
      </c>
      <c r="N27" t="n">
        <v>458.28656</v>
      </c>
      <c r="O27" t="n">
        <v>463.552399</v>
      </c>
      <c r="P27" t="n">
        <v>469.91864</v>
      </c>
      <c r="Q27" t="n">
        <v>476.601135</v>
      </c>
      <c r="R27" t="n">
        <v>482.025665</v>
      </c>
      <c r="S27" t="n">
        <v>485.842255</v>
      </c>
      <c r="T27" t="n">
        <v>490.135437</v>
      </c>
      <c r="U27" t="n">
        <v>496.382996</v>
      </c>
      <c r="V27" t="n">
        <v>502.450836</v>
      </c>
      <c r="W27" t="n">
        <v>508.458862</v>
      </c>
      <c r="X27" t="n">
        <v>515.293396</v>
      </c>
      <c r="Y27" t="n">
        <v>522.505188</v>
      </c>
      <c r="Z27" t="n">
        <v>530.328064</v>
      </c>
      <c r="AA27" t="n">
        <v>537.792786</v>
      </c>
      <c r="AB27" t="n">
        <v>544.153198</v>
      </c>
      <c r="AC27" t="n">
        <v>549.37085</v>
      </c>
      <c r="AD27" t="n">
        <v>555.2432250000001</v>
      </c>
      <c r="AE27" t="n">
        <v>562.4700319999999</v>
      </c>
      <c r="AF27" t="n">
        <v>568.934448</v>
      </c>
      <c r="AG27" t="n">
        <v>575.505615</v>
      </c>
      <c r="AH27" t="n">
        <v>580.358276</v>
      </c>
      <c r="AI27" t="n">
        <v>0.011</v>
      </c>
    </row>
    <row r="28">
      <c r="A28" t="inlineStr">
        <is>
          <t>ISM000:fa_PetroleumandC</t>
        </is>
      </c>
      <c r="C28" t="inlineStr">
        <is>
          <t>Petroleum and Coal Products</t>
        </is>
      </c>
      <c r="D28" t="inlineStr">
        <is>
          <t>Industrial Macroeconomic: Manufacturing: Petroleum and Coal Products: High Zero-Carbon Technology Cost</t>
        </is>
      </c>
      <c r="E28" t="inlineStr">
        <is>
          <t>AEO.2025.HIGHZTC.ECI_VOS_MANF_PCL_NA_NA_NA_BLNY09DLR.A</t>
        </is>
      </c>
      <c r="F28" t="inlineStr">
        <is>
          <t>billion 2012 $</t>
        </is>
      </c>
      <c r="H28" t="n">
        <v>816.096008</v>
      </c>
      <c r="I28" t="n">
        <v>829.730652</v>
      </c>
      <c r="J28" t="n">
        <v>826.3580930000001</v>
      </c>
      <c r="K28" t="n">
        <v>822.635254</v>
      </c>
      <c r="L28" t="n">
        <v>818.113647</v>
      </c>
      <c r="M28" t="n">
        <v>811.789795</v>
      </c>
      <c r="N28" t="n">
        <v>801.8726810000001</v>
      </c>
      <c r="O28" t="n">
        <v>790.940002</v>
      </c>
      <c r="P28" t="n">
        <v>777.927734</v>
      </c>
      <c r="Q28" t="n">
        <v>764.579773</v>
      </c>
      <c r="R28" t="n">
        <v>753.0217290000001</v>
      </c>
      <c r="S28" t="n">
        <v>741.509338</v>
      </c>
      <c r="T28" t="n">
        <v>729.787598</v>
      </c>
      <c r="U28" t="n">
        <v>718.640503</v>
      </c>
      <c r="V28" t="n">
        <v>709.417236</v>
      </c>
      <c r="W28" t="n">
        <v>702.529297</v>
      </c>
      <c r="X28" t="n">
        <v>697.514648</v>
      </c>
      <c r="Y28" t="n">
        <v>692.160339</v>
      </c>
      <c r="Z28" t="n">
        <v>686.876709</v>
      </c>
      <c r="AA28" t="n">
        <v>682.1292110000001</v>
      </c>
      <c r="AB28" t="n">
        <v>678.856873</v>
      </c>
      <c r="AC28" t="n">
        <v>674.431702</v>
      </c>
      <c r="AD28" t="n">
        <v>672.459167</v>
      </c>
      <c r="AE28" t="n">
        <v>673.334656</v>
      </c>
      <c r="AF28" t="n">
        <v>671.36792</v>
      </c>
      <c r="AG28" t="n">
        <v>672.131042</v>
      </c>
      <c r="AH28" t="n">
        <v>673.045044</v>
      </c>
      <c r="AI28" t="n">
        <v>-0.007</v>
      </c>
    </row>
    <row r="29">
      <c r="A29" t="inlineStr">
        <is>
          <t>ISM000:fa_PetroleumRefi</t>
        </is>
      </c>
      <c r="B29" t="inlineStr">
        <is>
          <t>,ISIC 19,</t>
        </is>
      </c>
      <c r="C29" t="inlineStr">
        <is>
          <t>Petroleum Refineries</t>
        </is>
      </c>
      <c r="D29" t="inlineStr">
        <is>
          <t>Industrial Macroeconomic: Manufacturing: Petroleum and Coal: Petroleum Refineries: High Zero-Carbon Technology Cost</t>
        </is>
      </c>
      <c r="E29" t="inlineStr">
        <is>
          <t>AEO.2025.HIGHZTC.ECI_VOS_MANF_REF_NA_NA_NA_BLNY09DLR.A</t>
        </is>
      </c>
      <c r="F29" t="inlineStr">
        <is>
          <t>billion 2012 $</t>
        </is>
      </c>
      <c r="H29" t="n">
        <v>773.821899</v>
      </c>
      <c r="I29" t="n">
        <v>786.618408</v>
      </c>
      <c r="J29" t="n">
        <v>783.183228</v>
      </c>
      <c r="K29" t="n">
        <v>779.689026</v>
      </c>
      <c r="L29" t="n">
        <v>775.450012</v>
      </c>
      <c r="M29" t="n">
        <v>769.398071</v>
      </c>
      <c r="N29" t="n">
        <v>759.902161</v>
      </c>
      <c r="O29" t="n">
        <v>749.353149</v>
      </c>
      <c r="P29" t="n">
        <v>736.87854</v>
      </c>
      <c r="Q29" t="n">
        <v>724.180664</v>
      </c>
      <c r="R29" t="n">
        <v>713.244385</v>
      </c>
      <c r="S29" t="n">
        <v>702.289001</v>
      </c>
      <c r="T29" t="n">
        <v>691.018555</v>
      </c>
      <c r="U29" t="n">
        <v>680.328491</v>
      </c>
      <c r="V29" t="n">
        <v>671.508911</v>
      </c>
      <c r="W29" t="n">
        <v>664.934265</v>
      </c>
      <c r="X29" t="n">
        <v>660.106567</v>
      </c>
      <c r="Y29" t="n">
        <v>654.973938</v>
      </c>
      <c r="Z29" t="n">
        <v>650.0242919999999</v>
      </c>
      <c r="AA29" t="n">
        <v>645.5703119999999</v>
      </c>
      <c r="AB29" t="n">
        <v>642.489502</v>
      </c>
      <c r="AC29" t="n">
        <v>638.272705</v>
      </c>
      <c r="AD29" t="n">
        <v>636.511536</v>
      </c>
      <c r="AE29" t="n">
        <v>637.533508</v>
      </c>
      <c r="AF29" t="n">
        <v>635.757263</v>
      </c>
      <c r="AG29" t="n">
        <v>636.629944</v>
      </c>
      <c r="AH29" t="n">
        <v>637.633301</v>
      </c>
      <c r="AI29" t="n">
        <v>-0.007</v>
      </c>
    </row>
    <row r="30">
      <c r="A30" t="inlineStr">
        <is>
          <t>ISM000:fa_OtherPetroleu</t>
        </is>
      </c>
      <c r="B30" t="inlineStr">
        <is>
          <t>,ISIC 241,</t>
        </is>
      </c>
      <c r="C30" t="inlineStr">
        <is>
          <t>Other Petroleum and Coal Products</t>
        </is>
      </c>
      <c r="D30" t="inlineStr">
        <is>
          <t>Industrial Macroeconomic: Manufacturing: Petroleum and Coal: Other Petroleum &amp; Coal Products: High Zero-Carbon Technology Cost</t>
        </is>
      </c>
      <c r="E30" t="inlineStr">
        <is>
          <t>AEO.2025.HIGHZTC.ECI_VOS_MANF_PCLO_NA_NA_NA_BLNY09DLR.A</t>
        </is>
      </c>
      <c r="F30" t="inlineStr">
        <is>
          <t>billion 2012 $</t>
        </is>
      </c>
      <c r="H30" t="n">
        <v>42.27409</v>
      </c>
      <c r="I30" t="n">
        <v>43.112217</v>
      </c>
      <c r="J30" t="n">
        <v>43.174866</v>
      </c>
      <c r="K30" t="n">
        <v>42.94622</v>
      </c>
      <c r="L30" t="n">
        <v>42.663628</v>
      </c>
      <c r="M30" t="n">
        <v>42.391701</v>
      </c>
      <c r="N30" t="n">
        <v>41.970547</v>
      </c>
      <c r="O30" t="n">
        <v>41.586861</v>
      </c>
      <c r="P30" t="n">
        <v>41.049202</v>
      </c>
      <c r="Q30" t="n">
        <v>40.399086</v>
      </c>
      <c r="R30" t="n">
        <v>39.777332</v>
      </c>
      <c r="S30" t="n">
        <v>39.220341</v>
      </c>
      <c r="T30" t="n">
        <v>38.769024</v>
      </c>
      <c r="U30" t="n">
        <v>38.312031</v>
      </c>
      <c r="V30" t="n">
        <v>37.90834</v>
      </c>
      <c r="W30" t="n">
        <v>37.595055</v>
      </c>
      <c r="X30" t="n">
        <v>37.408058</v>
      </c>
      <c r="Y30" t="n">
        <v>37.186394</v>
      </c>
      <c r="Z30" t="n">
        <v>36.85239</v>
      </c>
      <c r="AA30" t="n">
        <v>36.558922</v>
      </c>
      <c r="AB30" t="n">
        <v>36.367348</v>
      </c>
      <c r="AC30" t="n">
        <v>36.158981</v>
      </c>
      <c r="AD30" t="n">
        <v>35.947632</v>
      </c>
      <c r="AE30" t="n">
        <v>35.801125</v>
      </c>
      <c r="AF30" t="n">
        <v>35.610645</v>
      </c>
      <c r="AG30" t="n">
        <v>35.501125</v>
      </c>
      <c r="AH30" t="n">
        <v>35.411743</v>
      </c>
      <c r="AI30" t="n">
        <v>-0.007</v>
      </c>
    </row>
    <row r="31">
      <c r="A31" t="inlineStr">
        <is>
          <t>ISM000:fa_RubberandMisc</t>
        </is>
      </c>
      <c r="B31" t="inlineStr">
        <is>
          <t>,ISIC 22,</t>
        </is>
      </c>
      <c r="C31" t="inlineStr">
        <is>
          <t>Plastics and Rubber Products</t>
        </is>
      </c>
      <c r="D31" t="inlineStr">
        <is>
          <t>Industrial Macroeconomic: Manufacturing: Plastics and Rubber Products: High Zero-Carbon Technology Cost</t>
        </is>
      </c>
      <c r="E31" t="inlineStr">
        <is>
          <t>AEO.2025.HIGHZTC.ECI_VOS_MANF_PRP_NA_NA_NA_BLNY09DLR.A</t>
        </is>
      </c>
      <c r="F31" t="inlineStr">
        <is>
          <t>billion 2012 $</t>
        </is>
      </c>
      <c r="H31" t="n">
        <v>212.329132</v>
      </c>
      <c r="I31" t="n">
        <v>217.696106</v>
      </c>
      <c r="J31" t="n">
        <v>224.714172</v>
      </c>
      <c r="K31" t="n">
        <v>228.998383</v>
      </c>
      <c r="L31" t="n">
        <v>231.000732</v>
      </c>
      <c r="M31" t="n">
        <v>233.928268</v>
      </c>
      <c r="N31" t="n">
        <v>237.692154</v>
      </c>
      <c r="O31" t="n">
        <v>241.49115</v>
      </c>
      <c r="P31" t="n">
        <v>245.098969</v>
      </c>
      <c r="Q31" t="n">
        <v>248.243774</v>
      </c>
      <c r="R31" t="n">
        <v>252.306168</v>
      </c>
      <c r="S31" t="n">
        <v>255.406128</v>
      </c>
      <c r="T31" t="n">
        <v>257.668365</v>
      </c>
      <c r="U31" t="n">
        <v>260.664551</v>
      </c>
      <c r="V31" t="n">
        <v>263.215424</v>
      </c>
      <c r="W31" t="n">
        <v>265.90036</v>
      </c>
      <c r="X31" t="n">
        <v>268.942963</v>
      </c>
      <c r="Y31" t="n">
        <v>271.580078</v>
      </c>
      <c r="Z31" t="n">
        <v>274.435425</v>
      </c>
      <c r="AA31" t="n">
        <v>276.424652</v>
      </c>
      <c r="AB31" t="n">
        <v>278.511597</v>
      </c>
      <c r="AC31" t="n">
        <v>280.172211</v>
      </c>
      <c r="AD31" t="n">
        <v>282.027313</v>
      </c>
      <c r="AE31" t="n">
        <v>284.194641</v>
      </c>
      <c r="AF31" t="n">
        <v>286.123779</v>
      </c>
      <c r="AG31" t="n">
        <v>288.19809</v>
      </c>
      <c r="AH31" t="n">
        <v>289.852631</v>
      </c>
      <c r="AI31" t="n">
        <v>0.012</v>
      </c>
    </row>
    <row r="32">
      <c r="A32" t="inlineStr">
        <is>
          <t>ISM000:fa_Stone,Clay,an</t>
        </is>
      </c>
      <c r="C32" t="inlineStr">
        <is>
          <t>Non-metallic minerals</t>
        </is>
      </c>
      <c r="D32" t="inlineStr">
        <is>
          <t>Industrial Macroeconomic: Manufacturing: Stone, Clay, and Glass Products: High Zero-Carbon Technology Cost</t>
        </is>
      </c>
      <c r="E32" t="inlineStr">
        <is>
          <t>AEO.2025.HIGHZTC.ECI_VOS_MANF_SCG_NA_NA_NA_BLNY09DLR.A</t>
        </is>
      </c>
      <c r="F32" t="inlineStr">
        <is>
          <t>billion 2012 $</t>
        </is>
      </c>
      <c r="H32" t="n">
        <v>111.547691</v>
      </c>
      <c r="I32" t="n">
        <v>111.646118</v>
      </c>
      <c r="J32" t="n">
        <v>111.83931</v>
      </c>
      <c r="K32" t="n">
        <v>112.530006</v>
      </c>
      <c r="L32" t="n">
        <v>113.191704</v>
      </c>
      <c r="M32" t="n">
        <v>113.502251</v>
      </c>
      <c r="N32" t="n">
        <v>114.455154</v>
      </c>
      <c r="O32" t="n">
        <v>115.922195</v>
      </c>
      <c r="P32" t="n">
        <v>117.233231</v>
      </c>
      <c r="Q32" t="n">
        <v>118.135986</v>
      </c>
      <c r="R32" t="n">
        <v>118.882309</v>
      </c>
      <c r="S32" t="n">
        <v>119.855042</v>
      </c>
      <c r="T32" t="n">
        <v>120.868042</v>
      </c>
      <c r="U32" t="n">
        <v>121.951553</v>
      </c>
      <c r="V32" t="n">
        <v>123.172432</v>
      </c>
      <c r="W32" t="n">
        <v>124.29541</v>
      </c>
      <c r="X32" t="n">
        <v>125.051186</v>
      </c>
      <c r="Y32" t="n">
        <v>125.540993</v>
      </c>
      <c r="Z32" t="n">
        <v>125.832672</v>
      </c>
      <c r="AA32" t="n">
        <v>125.669724</v>
      </c>
      <c r="AB32" t="n">
        <v>125.183174</v>
      </c>
      <c r="AC32" t="n">
        <v>125.382446</v>
      </c>
      <c r="AD32" t="n">
        <v>126.047348</v>
      </c>
      <c r="AE32" t="n">
        <v>126.827301</v>
      </c>
      <c r="AF32" t="n">
        <v>127.722153</v>
      </c>
      <c r="AG32" t="n">
        <v>128.639481</v>
      </c>
      <c r="AH32" t="n">
        <v>129.612427</v>
      </c>
      <c r="AI32" t="n">
        <v>0.006</v>
      </c>
    </row>
    <row r="33">
      <c r="A33" t="inlineStr">
        <is>
          <t>ISM000:fa_GlassandGlass</t>
        </is>
      </c>
      <c r="B33" t="inlineStr">
        <is>
          <t>,ISIC 231,</t>
        </is>
      </c>
      <c r="C33" t="inlineStr">
        <is>
          <t>Glass and Glass Products</t>
        </is>
      </c>
      <c r="D33" t="inlineStr">
        <is>
          <t>Industrial Macroeconomic: Manufacturing: Stone, Clay, and Glass: Glass and Glass Products: High Zero-Carbon Technology Cost</t>
        </is>
      </c>
      <c r="E33" t="inlineStr">
        <is>
          <t>AEO.2025.HIGHZTC.ECI_VOS_MANF_SCGG_NA_NA_NA_BLNY09DLR.A</t>
        </is>
      </c>
      <c r="F33" t="inlineStr">
        <is>
          <t>billion 2012 $</t>
        </is>
      </c>
      <c r="H33" t="n">
        <v>21.45093</v>
      </c>
      <c r="I33" t="n">
        <v>21.290245</v>
      </c>
      <c r="J33" t="n">
        <v>21.242983</v>
      </c>
      <c r="K33" t="n">
        <v>21.230724</v>
      </c>
      <c r="L33" t="n">
        <v>21.263985</v>
      </c>
      <c r="M33" t="n">
        <v>21.310061</v>
      </c>
      <c r="N33" t="n">
        <v>21.371811</v>
      </c>
      <c r="O33" t="n">
        <v>21.476692</v>
      </c>
      <c r="P33" t="n">
        <v>21.61256</v>
      </c>
      <c r="Q33" t="n">
        <v>21.745703</v>
      </c>
      <c r="R33" t="n">
        <v>21.89089</v>
      </c>
      <c r="S33" t="n">
        <v>22.055412</v>
      </c>
      <c r="T33" t="n">
        <v>22.216677</v>
      </c>
      <c r="U33" t="n">
        <v>22.39768</v>
      </c>
      <c r="V33" t="n">
        <v>22.595711</v>
      </c>
      <c r="W33" t="n">
        <v>22.798956</v>
      </c>
      <c r="X33" t="n">
        <v>23.015873</v>
      </c>
      <c r="Y33" t="n">
        <v>23.23588</v>
      </c>
      <c r="Z33" t="n">
        <v>23.452274</v>
      </c>
      <c r="AA33" t="n">
        <v>23.653669</v>
      </c>
      <c r="AB33" t="n">
        <v>23.834209</v>
      </c>
      <c r="AC33" t="n">
        <v>23.998465</v>
      </c>
      <c r="AD33" t="n">
        <v>24.153</v>
      </c>
      <c r="AE33" t="n">
        <v>24.320282</v>
      </c>
      <c r="AF33" t="n">
        <v>24.498272</v>
      </c>
      <c r="AG33" t="n">
        <v>24.677088</v>
      </c>
      <c r="AH33" t="n">
        <v>24.843611</v>
      </c>
      <c r="AI33" t="n">
        <v>0.006</v>
      </c>
    </row>
    <row r="34">
      <c r="A34" t="inlineStr">
        <is>
          <t>ISM000:fa_CementandHydr</t>
        </is>
      </c>
      <c r="B34" t="inlineStr">
        <is>
          <t>,ISIC 239,</t>
        </is>
      </c>
      <c r="C34" t="inlineStr">
        <is>
          <t>Cement and Lime</t>
        </is>
      </c>
      <c r="D34" t="inlineStr">
        <is>
          <t>Industrial Macroeconomic: Manufacturing: Stone, Clay, and Glass: Cement and Lime: High Zero-Carbon Technology Cost</t>
        </is>
      </c>
      <c r="E34" t="inlineStr">
        <is>
          <t>AEO.2025.HIGHZTC.ECI_VOS_MANF_SCGCL_NA_NA_NA_BLNY09DLR.A</t>
        </is>
      </c>
      <c r="F34" t="inlineStr">
        <is>
          <t>billion 2012 $</t>
        </is>
      </c>
      <c r="H34" t="n">
        <v>9.305412</v>
      </c>
      <c r="I34" t="n">
        <v>9.341552</v>
      </c>
      <c r="J34" t="n">
        <v>9.271191999999999</v>
      </c>
      <c r="K34" t="n">
        <v>9.279629</v>
      </c>
      <c r="L34" t="n">
        <v>9.351248</v>
      </c>
      <c r="M34" t="n">
        <v>9.433073</v>
      </c>
      <c r="N34" t="n">
        <v>9.557518999999999</v>
      </c>
      <c r="O34" t="n">
        <v>9.703685999999999</v>
      </c>
      <c r="P34" t="n">
        <v>9.855732</v>
      </c>
      <c r="Q34" t="n">
        <v>9.999584</v>
      </c>
      <c r="R34" t="n">
        <v>10.13154</v>
      </c>
      <c r="S34" t="n">
        <v>10.260571</v>
      </c>
      <c r="T34" t="n">
        <v>10.38773</v>
      </c>
      <c r="U34" t="n">
        <v>10.523909</v>
      </c>
      <c r="V34" t="n">
        <v>10.673493</v>
      </c>
      <c r="W34" t="n">
        <v>10.821849</v>
      </c>
      <c r="X34" t="n">
        <v>10.946848</v>
      </c>
      <c r="Y34" t="n">
        <v>11.046646</v>
      </c>
      <c r="Z34" t="n">
        <v>11.118332</v>
      </c>
      <c r="AA34" t="n">
        <v>11.14825</v>
      </c>
      <c r="AB34" t="n">
        <v>11.14453</v>
      </c>
      <c r="AC34" t="n">
        <v>11.16645</v>
      </c>
      <c r="AD34" t="n">
        <v>11.222955</v>
      </c>
      <c r="AE34" t="n">
        <v>11.310638</v>
      </c>
      <c r="AF34" t="n">
        <v>11.422865</v>
      </c>
      <c r="AG34" t="n">
        <v>11.550447</v>
      </c>
      <c r="AH34" t="n">
        <v>11.685319</v>
      </c>
      <c r="AI34" t="n">
        <v>0.008999999999999999</v>
      </c>
    </row>
    <row r="35">
      <c r="A35" t="inlineStr">
        <is>
          <t>ISM000:fa_OtherStone,Cl</t>
        </is>
      </c>
      <c r="B35" t="inlineStr">
        <is>
          <t>,ISIC 239,</t>
        </is>
      </c>
      <c r="C35" t="inlineStr">
        <is>
          <t>Other Nonmetallic Mineral Products</t>
        </is>
      </c>
      <c r="D35" t="inlineStr">
        <is>
          <t>Industrial Macroeconomic: Manufacturing: Stone, Clay, and Glass: Other Nonmetallic Mineral Products: High Zero-Carbon Technology Cost</t>
        </is>
      </c>
      <c r="E35" t="inlineStr">
        <is>
          <t>AEO.2025.HIGHZTC.ECI_VOS_MANF_SCGOM_NA_NA_NA_BLNY09DLR.A</t>
        </is>
      </c>
      <c r="F35" t="inlineStr">
        <is>
          <t>billion 2012 $</t>
        </is>
      </c>
      <c r="H35" t="n">
        <v>80.79135100000001</v>
      </c>
      <c r="I35" t="n">
        <v>81.01432</v>
      </c>
      <c r="J35" t="n">
        <v>81.32513400000001</v>
      </c>
      <c r="K35" t="n">
        <v>82.01965300000001</v>
      </c>
      <c r="L35" t="n">
        <v>82.576469</v>
      </c>
      <c r="M35" t="n">
        <v>82.759117</v>
      </c>
      <c r="N35" t="n">
        <v>83.525826</v>
      </c>
      <c r="O35" t="n">
        <v>84.74181400000001</v>
      </c>
      <c r="P35" t="n">
        <v>85.764938</v>
      </c>
      <c r="Q35" t="n">
        <v>86.39070100000001</v>
      </c>
      <c r="R35" t="n">
        <v>86.85987900000001</v>
      </c>
      <c r="S35" t="n">
        <v>87.539062</v>
      </c>
      <c r="T35" t="n">
        <v>88.263634</v>
      </c>
      <c r="U35" t="n">
        <v>89.029968</v>
      </c>
      <c r="V35" t="n">
        <v>89.903229</v>
      </c>
      <c r="W35" t="n">
        <v>90.674606</v>
      </c>
      <c r="X35" t="n">
        <v>91.088463</v>
      </c>
      <c r="Y35" t="n">
        <v>91.25846900000001</v>
      </c>
      <c r="Z35" t="n">
        <v>91.26206999999999</v>
      </c>
      <c r="AA35" t="n">
        <v>90.867805</v>
      </c>
      <c r="AB35" t="n">
        <v>90.204437</v>
      </c>
      <c r="AC35" t="n">
        <v>90.217529</v>
      </c>
      <c r="AD35" t="n">
        <v>90.67139400000001</v>
      </c>
      <c r="AE35" t="n">
        <v>91.196381</v>
      </c>
      <c r="AF35" t="n">
        <v>91.801018</v>
      </c>
      <c r="AG35" t="n">
        <v>92.41194900000001</v>
      </c>
      <c r="AH35" t="n">
        <v>93.083488</v>
      </c>
      <c r="AI35" t="n">
        <v>0.005</v>
      </c>
    </row>
    <row r="36">
      <c r="A36" t="inlineStr">
        <is>
          <t>ISM000:ga_PrimaryMetals</t>
        </is>
      </c>
      <c r="C36" t="inlineStr">
        <is>
          <t>Primary Metals Industry</t>
        </is>
      </c>
      <c r="D36" t="inlineStr">
        <is>
          <t>Industrial Macroeconomic: Manufacturing: Primary Metals Industry: High Zero-Carbon Technology Cost</t>
        </is>
      </c>
      <c r="E36" t="inlineStr">
        <is>
          <t>AEO.2025.HIGHZTC.ECI_VOS_MANF_PMM_NA_NA_NA_BLNY09DLR.A</t>
        </is>
      </c>
      <c r="F36" t="inlineStr">
        <is>
          <t>billion 2012 $</t>
        </is>
      </c>
      <c r="H36" t="n">
        <v>244.865036</v>
      </c>
      <c r="I36" t="n">
        <v>248.52803</v>
      </c>
      <c r="J36" t="n">
        <v>255.542496</v>
      </c>
      <c r="K36" t="n">
        <v>258.274902</v>
      </c>
      <c r="L36" t="n">
        <v>258.450531</v>
      </c>
      <c r="M36" t="n">
        <v>259.364136</v>
      </c>
      <c r="N36" t="n">
        <v>262.413971</v>
      </c>
      <c r="O36" t="n">
        <v>266.268433</v>
      </c>
      <c r="P36" t="n">
        <v>270.278839</v>
      </c>
      <c r="Q36" t="n">
        <v>271.53186</v>
      </c>
      <c r="R36" t="n">
        <v>274.663147</v>
      </c>
      <c r="S36" t="n">
        <v>277.693695</v>
      </c>
      <c r="T36" t="n">
        <v>280.427246</v>
      </c>
      <c r="U36" t="n">
        <v>284.756256</v>
      </c>
      <c r="V36" t="n">
        <v>288.452942</v>
      </c>
      <c r="W36" t="n">
        <v>292.013855</v>
      </c>
      <c r="X36" t="n">
        <v>297.006897</v>
      </c>
      <c r="Y36" t="n">
        <v>300.80423</v>
      </c>
      <c r="Z36" t="n">
        <v>303.972198</v>
      </c>
      <c r="AA36" t="n">
        <v>308.312378</v>
      </c>
      <c r="AB36" t="n">
        <v>311.885468</v>
      </c>
      <c r="AC36" t="n">
        <v>314.560791</v>
      </c>
      <c r="AD36" t="n">
        <v>316.644135</v>
      </c>
      <c r="AE36" t="n">
        <v>319.675537</v>
      </c>
      <c r="AF36" t="n">
        <v>321.567108</v>
      </c>
      <c r="AG36" t="n">
        <v>322.922424</v>
      </c>
      <c r="AH36" t="n">
        <v>324.232117</v>
      </c>
      <c r="AI36" t="n">
        <v>0.011</v>
      </c>
    </row>
    <row r="37">
      <c r="A37" t="inlineStr">
        <is>
          <t>ISM000:ga_BlastFurnacea</t>
        </is>
      </c>
      <c r="B37" t="inlineStr">
        <is>
          <t>,ISIC 241,</t>
        </is>
      </c>
      <c r="C37" t="inlineStr">
        <is>
          <t>Iron and Steel Mills and Products</t>
        </is>
      </c>
      <c r="D37" t="inlineStr">
        <is>
          <t>Industrial Macroeconomic: Manufacturing: Primary Metals: Iron and Steel Mills and Products: High Zero-Carbon Technology Cost</t>
        </is>
      </c>
      <c r="E37" t="inlineStr">
        <is>
          <t>AEO.2025.HIGHZTC.ECI_VOS_MANF_ISM_NA_NA_NA_BLNY09DLR.A</t>
        </is>
      </c>
      <c r="F37" t="inlineStr">
        <is>
          <t>billion 2012 $</t>
        </is>
      </c>
      <c r="H37" t="n">
        <v>131.325729</v>
      </c>
      <c r="I37" t="n">
        <v>134.934113</v>
      </c>
      <c r="J37" t="n">
        <v>141.459885</v>
      </c>
      <c r="K37" t="n">
        <v>142.773773</v>
      </c>
      <c r="L37" t="n">
        <v>141.887939</v>
      </c>
      <c r="M37" t="n">
        <v>141.749786</v>
      </c>
      <c r="N37" t="n">
        <v>143.738235</v>
      </c>
      <c r="O37" t="n">
        <v>146.534988</v>
      </c>
      <c r="P37" t="n">
        <v>149.384964</v>
      </c>
      <c r="Q37" t="n">
        <v>149.455109</v>
      </c>
      <c r="R37" t="n">
        <v>151.378143</v>
      </c>
      <c r="S37" t="n">
        <v>153.106293</v>
      </c>
      <c r="T37" t="n">
        <v>154.536301</v>
      </c>
      <c r="U37" t="n">
        <v>157.535034</v>
      </c>
      <c r="V37" t="n">
        <v>159.873383</v>
      </c>
      <c r="W37" t="n">
        <v>162.084717</v>
      </c>
      <c r="X37" t="n">
        <v>165.732437</v>
      </c>
      <c r="Y37" t="n">
        <v>168.196808</v>
      </c>
      <c r="Z37" t="n">
        <v>170.064301</v>
      </c>
      <c r="AA37" t="n">
        <v>173.142654</v>
      </c>
      <c r="AB37" t="n">
        <v>175.508896</v>
      </c>
      <c r="AC37" t="n">
        <v>177.0495</v>
      </c>
      <c r="AD37" t="n">
        <v>178.078873</v>
      </c>
      <c r="AE37" t="n">
        <v>180.097672</v>
      </c>
      <c r="AF37" t="n">
        <v>181.03627</v>
      </c>
      <c r="AG37" t="n">
        <v>181.499786</v>
      </c>
      <c r="AH37" t="n">
        <v>181.988113</v>
      </c>
      <c r="AI37" t="n">
        <v>0.013</v>
      </c>
    </row>
    <row r="38">
      <c r="A38" t="inlineStr">
        <is>
          <t>ISM000:ga_Aluminum</t>
        </is>
      </c>
      <c r="B38" t="inlineStr">
        <is>
          <t>,ISIC 242,</t>
        </is>
      </c>
      <c r="C38" t="inlineStr">
        <is>
          <t>Alumina and Aluminum Products</t>
        </is>
      </c>
      <c r="D38" t="inlineStr">
        <is>
          <t>Industrial Macroeconomic: Manufacturing: Primary Metals: Alumina and Aluminum Products: High Zero-Carbon Technology Cost</t>
        </is>
      </c>
      <c r="E38" t="inlineStr">
        <is>
          <t>AEO.2025.HIGHZTC.ECI_VOS_MANF_AAP_NA_NA_NA_BLNY09DLR.A</t>
        </is>
      </c>
      <c r="F38" t="inlineStr">
        <is>
          <t>billion 2012 $</t>
        </is>
      </c>
      <c r="H38" t="n">
        <v>34.597599</v>
      </c>
      <c r="I38" t="n">
        <v>34.167324</v>
      </c>
      <c r="J38" t="n">
        <v>34.714939</v>
      </c>
      <c r="K38" t="n">
        <v>35.325741</v>
      </c>
      <c r="L38" t="n">
        <v>35.804806</v>
      </c>
      <c r="M38" t="n">
        <v>36.362534</v>
      </c>
      <c r="N38" t="n">
        <v>36.869461</v>
      </c>
      <c r="O38" t="n">
        <v>37.424278</v>
      </c>
      <c r="P38" t="n">
        <v>38.041748</v>
      </c>
      <c r="Q38" t="n">
        <v>38.662601</v>
      </c>
      <c r="R38" t="n">
        <v>39.322857</v>
      </c>
      <c r="S38" t="n">
        <v>40.049435</v>
      </c>
      <c r="T38" t="n">
        <v>40.793427</v>
      </c>
      <c r="U38" t="n">
        <v>41.567074</v>
      </c>
      <c r="V38" t="n">
        <v>42.354301</v>
      </c>
      <c r="W38" t="n">
        <v>43.131817</v>
      </c>
      <c r="X38" t="n">
        <v>43.905979</v>
      </c>
      <c r="Y38" t="n">
        <v>44.671326</v>
      </c>
      <c r="Z38" t="n">
        <v>45.415844</v>
      </c>
      <c r="AA38" t="n">
        <v>46.116341</v>
      </c>
      <c r="AB38" t="n">
        <v>46.751091</v>
      </c>
      <c r="AC38" t="n">
        <v>47.299404</v>
      </c>
      <c r="AD38" t="n">
        <v>47.767883</v>
      </c>
      <c r="AE38" t="n">
        <v>48.191673</v>
      </c>
      <c r="AF38" t="n">
        <v>48.568092</v>
      </c>
      <c r="AG38" t="n">
        <v>48.904499</v>
      </c>
      <c r="AH38" t="n">
        <v>49.198971</v>
      </c>
      <c r="AI38" t="n">
        <v>0.014</v>
      </c>
    </row>
    <row r="39">
      <c r="A39" t="inlineStr">
        <is>
          <t>ISM000:ga_OtherPrimaryM</t>
        </is>
      </c>
      <c r="B39" t="inlineStr">
        <is>
          <t>,ISIC 242,</t>
        </is>
      </c>
      <c r="C39" t="inlineStr">
        <is>
          <t>Other Primary Metal Products</t>
        </is>
      </c>
      <c r="D39" t="inlineStr">
        <is>
          <t>Industrial Macroeconomic: Manufacturing: Primary Metals: Other Primary Metal Products: High Zero-Carbon Technology Cost</t>
        </is>
      </c>
      <c r="E39" t="inlineStr">
        <is>
          <t>AEO.2025.HIGHZTC.ECI_VOS_MANF_PMO_NA_NA_NA_BLNY09DLR.A</t>
        </is>
      </c>
      <c r="F39" t="inlineStr">
        <is>
          <t>billion 2012 $</t>
        </is>
      </c>
      <c r="H39" t="n">
        <v>78.941711</v>
      </c>
      <c r="I39" t="n">
        <v>79.426582</v>
      </c>
      <c r="J39" t="n">
        <v>79.36766799999999</v>
      </c>
      <c r="K39" t="n">
        <v>80.175369</v>
      </c>
      <c r="L39" t="n">
        <v>80.75779</v>
      </c>
      <c r="M39" t="n">
        <v>81.251801</v>
      </c>
      <c r="N39" t="n">
        <v>81.806282</v>
      </c>
      <c r="O39" t="n">
        <v>82.309166</v>
      </c>
      <c r="P39" t="n">
        <v>82.852135</v>
      </c>
      <c r="Q39" t="n">
        <v>83.414146</v>
      </c>
      <c r="R39" t="n">
        <v>83.962135</v>
      </c>
      <c r="S39" t="n">
        <v>84.53795599999999</v>
      </c>
      <c r="T39" t="n">
        <v>85.09751900000001</v>
      </c>
      <c r="U39" t="n">
        <v>85.654175</v>
      </c>
      <c r="V39" t="n">
        <v>86.225258</v>
      </c>
      <c r="W39" t="n">
        <v>86.797302</v>
      </c>
      <c r="X39" t="n">
        <v>87.368469</v>
      </c>
      <c r="Y39" t="n">
        <v>87.93609600000001</v>
      </c>
      <c r="Z39" t="n">
        <v>88.492043</v>
      </c>
      <c r="AA39" t="n">
        <v>89.053383</v>
      </c>
      <c r="AB39" t="n">
        <v>89.62550400000001</v>
      </c>
      <c r="AC39" t="n">
        <v>90.211868</v>
      </c>
      <c r="AD39" t="n">
        <v>90.797394</v>
      </c>
      <c r="AE39" t="n">
        <v>91.3862</v>
      </c>
      <c r="AF39" t="n">
        <v>91.962723</v>
      </c>
      <c r="AG39" t="n">
        <v>92.51812700000001</v>
      </c>
      <c r="AH39" t="n">
        <v>93.045013</v>
      </c>
      <c r="AI39" t="n">
        <v>0.006</v>
      </c>
    </row>
    <row r="40">
      <c r="A40" t="inlineStr">
        <is>
          <t>ISM000:ga_FabricatedMet</t>
        </is>
      </c>
      <c r="B40" t="inlineStr">
        <is>
          <t>,ISIC 25,</t>
        </is>
      </c>
      <c r="C40" t="inlineStr">
        <is>
          <t>Fabricated Metal Products</t>
        </is>
      </c>
      <c r="D40" t="inlineStr">
        <is>
          <t>Industrial Macroeconomic: Manufacturing: Fabricated Metal Products: High Zero-Carbon Technology Cost</t>
        </is>
      </c>
      <c r="E40" t="inlineStr">
        <is>
          <t>AEO.2025.HIGHZTC.ECI_VOS_MANF_FBP_NA_NA_NA_BLNY09DLR.A</t>
        </is>
      </c>
      <c r="F40" t="inlineStr">
        <is>
          <t>billion 2012 $</t>
        </is>
      </c>
      <c r="H40" t="n">
        <v>302.453583</v>
      </c>
      <c r="I40" t="n">
        <v>308.423645</v>
      </c>
      <c r="J40" t="n">
        <v>320.753296</v>
      </c>
      <c r="K40" t="n">
        <v>328.516968</v>
      </c>
      <c r="L40" t="n">
        <v>329.17981</v>
      </c>
      <c r="M40" t="n">
        <v>329.989777</v>
      </c>
      <c r="N40" t="n">
        <v>332.519562</v>
      </c>
      <c r="O40" t="n">
        <v>335.487305</v>
      </c>
      <c r="P40" t="n">
        <v>338.850281</v>
      </c>
      <c r="Q40" t="n">
        <v>339.641541</v>
      </c>
      <c r="R40" t="n">
        <v>343.304688</v>
      </c>
      <c r="S40" t="n">
        <v>344.994019</v>
      </c>
      <c r="T40" t="n">
        <v>347.506378</v>
      </c>
      <c r="U40" t="n">
        <v>351.450073</v>
      </c>
      <c r="V40" t="n">
        <v>354.346893</v>
      </c>
      <c r="W40" t="n">
        <v>357.362793</v>
      </c>
      <c r="X40" t="n">
        <v>361.169312</v>
      </c>
      <c r="Y40" t="n">
        <v>363.914948</v>
      </c>
      <c r="Z40" t="n">
        <v>366.687836</v>
      </c>
      <c r="AA40" t="n">
        <v>368.300964</v>
      </c>
      <c r="AB40" t="n">
        <v>371.019073</v>
      </c>
      <c r="AC40" t="n">
        <v>372.191315</v>
      </c>
      <c r="AD40" t="n">
        <v>374.320221</v>
      </c>
      <c r="AE40" t="n">
        <v>376.14328</v>
      </c>
      <c r="AF40" t="n">
        <v>377.552765</v>
      </c>
      <c r="AG40" t="n">
        <v>379.679962</v>
      </c>
      <c r="AH40" t="n">
        <v>379.721832</v>
      </c>
      <c r="AI40" t="n">
        <v>0.008999999999999999</v>
      </c>
    </row>
    <row r="41">
      <c r="A41" t="inlineStr">
        <is>
          <t>ISM000:ga_IndustrialMac</t>
        </is>
      </c>
      <c r="B41" t="inlineStr">
        <is>
          <t>,ISIC 28,</t>
        </is>
      </c>
      <c r="C41" t="inlineStr">
        <is>
          <t>Machinery</t>
        </is>
      </c>
      <c r="D41" t="inlineStr">
        <is>
          <t>Industrial Macroeconomic: Manufacturing: Machinery: High Zero-Carbon Technology Cost</t>
        </is>
      </c>
      <c r="E41" t="inlineStr">
        <is>
          <t>AEO.2025.HIGHZTC.ECI_VOS_MANF_MCHI_NA_NA_NA_BLNY09DLR.A</t>
        </is>
      </c>
      <c r="F41" t="inlineStr">
        <is>
          <t>billion 2012 $</t>
        </is>
      </c>
      <c r="H41" t="n">
        <v>298.007568</v>
      </c>
      <c r="I41" t="n">
        <v>301.467865</v>
      </c>
      <c r="J41" t="n">
        <v>307.617004</v>
      </c>
      <c r="K41" t="n">
        <v>319.366699</v>
      </c>
      <c r="L41" t="n">
        <v>326.129608</v>
      </c>
      <c r="M41" t="n">
        <v>331.912842</v>
      </c>
      <c r="N41" t="n">
        <v>338.646362</v>
      </c>
      <c r="O41" t="n">
        <v>343.727081</v>
      </c>
      <c r="P41" t="n">
        <v>348.294067</v>
      </c>
      <c r="Q41" t="n">
        <v>349.591461</v>
      </c>
      <c r="R41" t="n">
        <v>352.931213</v>
      </c>
      <c r="S41" t="n">
        <v>355.550873</v>
      </c>
      <c r="T41" t="n">
        <v>358.416809</v>
      </c>
      <c r="U41" t="n">
        <v>361.28418</v>
      </c>
      <c r="V41" t="n">
        <v>362.449188</v>
      </c>
      <c r="W41" t="n">
        <v>363.335358</v>
      </c>
      <c r="X41" t="n">
        <v>364.774994</v>
      </c>
      <c r="Y41" t="n">
        <v>365.611969</v>
      </c>
      <c r="Z41" t="n">
        <v>366.479584</v>
      </c>
      <c r="AA41" t="n">
        <v>366.931366</v>
      </c>
      <c r="AB41" t="n">
        <v>367.695129</v>
      </c>
      <c r="AC41" t="n">
        <v>367.918579</v>
      </c>
      <c r="AD41" t="n">
        <v>368.884979</v>
      </c>
      <c r="AE41" t="n">
        <v>370.444489</v>
      </c>
      <c r="AF41" t="n">
        <v>370.690857</v>
      </c>
      <c r="AG41" t="n">
        <v>371.664276</v>
      </c>
      <c r="AH41" t="n">
        <v>371.938568</v>
      </c>
      <c r="AI41" t="n">
        <v>0.008999999999999999</v>
      </c>
    </row>
    <row r="42">
      <c r="A42" t="inlineStr">
        <is>
          <t>ISM000:ga_Electronicand</t>
        </is>
      </c>
      <c r="B42" t="inlineStr">
        <is>
          <t>,ISIC 26,</t>
        </is>
      </c>
      <c r="C42" t="inlineStr">
        <is>
          <t>Computers and Electronics</t>
        </is>
      </c>
      <c r="D42" t="inlineStr">
        <is>
          <t>Industrial Macroeconomic: Manufacturing: Computers and Electronics: High Zero-Carbon Technology Cost</t>
        </is>
      </c>
      <c r="E42" t="inlineStr">
        <is>
          <t>AEO.2025.HIGHZTC.ECI_VOS_MANF_CMPEL_NA_NA_NA_BLNY09DLR.A</t>
        </is>
      </c>
      <c r="F42" t="inlineStr">
        <is>
          <t>billion 2012 $</t>
        </is>
      </c>
      <c r="H42" t="n">
        <v>440.022278</v>
      </c>
      <c r="I42" t="n">
        <v>457.773651</v>
      </c>
      <c r="J42" t="n">
        <v>467.248352</v>
      </c>
      <c r="K42" t="n">
        <v>485.610229</v>
      </c>
      <c r="L42" t="n">
        <v>505.605988</v>
      </c>
      <c r="M42" t="n">
        <v>521.779541</v>
      </c>
      <c r="N42" t="n">
        <v>537.289001</v>
      </c>
      <c r="O42" t="n">
        <v>552.0299680000001</v>
      </c>
      <c r="P42" t="n">
        <v>567.710876</v>
      </c>
      <c r="Q42" t="n">
        <v>579.988464</v>
      </c>
      <c r="R42" t="n">
        <v>593.5048829999999</v>
      </c>
      <c r="S42" t="n">
        <v>608.810791</v>
      </c>
      <c r="T42" t="n">
        <v>626.121765</v>
      </c>
      <c r="U42" t="n">
        <v>643.887878</v>
      </c>
      <c r="V42" t="n">
        <v>661.9784550000001</v>
      </c>
      <c r="W42" t="n">
        <v>681.56665</v>
      </c>
      <c r="X42" t="n">
        <v>702.596497</v>
      </c>
      <c r="Y42" t="n">
        <v>724.232178</v>
      </c>
      <c r="Z42" t="n">
        <v>746.6678470000001</v>
      </c>
      <c r="AA42" t="n">
        <v>768.786194</v>
      </c>
      <c r="AB42" t="n">
        <v>792.4130249999999</v>
      </c>
      <c r="AC42" t="n">
        <v>815.761902</v>
      </c>
      <c r="AD42" t="n">
        <v>841.444763</v>
      </c>
      <c r="AE42" t="n">
        <v>868.177612</v>
      </c>
      <c r="AF42" t="n">
        <v>895.317261</v>
      </c>
      <c r="AG42" t="n">
        <v>922.963257</v>
      </c>
      <c r="AH42" t="n">
        <v>950.849609</v>
      </c>
      <c r="AI42" t="n">
        <v>0.03</v>
      </c>
    </row>
    <row r="43">
      <c r="A43" t="inlineStr">
        <is>
          <t>ISM000:ga_Transportatio</t>
        </is>
      </c>
      <c r="B43" t="inlineStr">
        <is>
          <t>,ISIC 29,ISIC 302T309,</t>
        </is>
      </c>
      <c r="C43" t="inlineStr">
        <is>
          <t>Transportation Equipment</t>
        </is>
      </c>
      <c r="D43" t="inlineStr">
        <is>
          <t>Industrial Macroeconomic: Manufacturing: Transportation Equipment: High Zero-Carbon Technology Cost</t>
        </is>
      </c>
      <c r="E43" t="inlineStr">
        <is>
          <t>AEO.2025.HIGHZTC.ECI_VOS_MANF_TEQ_NA_NA_NA_BLNY09DLR.A</t>
        </is>
      </c>
      <c r="F43" t="inlineStr">
        <is>
          <t>billion 2012 $</t>
        </is>
      </c>
      <c r="H43" t="n">
        <v>1067.689941</v>
      </c>
      <c r="I43" t="n">
        <v>1135.095947</v>
      </c>
      <c r="J43" t="n">
        <v>1211.557495</v>
      </c>
      <c r="K43" t="n">
        <v>1234.713989</v>
      </c>
      <c r="L43" t="n">
        <v>1260.625977</v>
      </c>
      <c r="M43" t="n">
        <v>1284.185791</v>
      </c>
      <c r="N43" t="n">
        <v>1298.361694</v>
      </c>
      <c r="O43" t="n">
        <v>1299.627441</v>
      </c>
      <c r="P43" t="n">
        <v>1310.219727</v>
      </c>
      <c r="Q43" t="n">
        <v>1323.284302</v>
      </c>
      <c r="R43" t="n">
        <v>1352.747803</v>
      </c>
      <c r="S43" t="n">
        <v>1371.891479</v>
      </c>
      <c r="T43" t="n">
        <v>1384.062012</v>
      </c>
      <c r="U43" t="n">
        <v>1398.425537</v>
      </c>
      <c r="V43" t="n">
        <v>1415.861206</v>
      </c>
      <c r="W43" t="n">
        <v>1434.640503</v>
      </c>
      <c r="X43" t="n">
        <v>1452.193237</v>
      </c>
      <c r="Y43" t="n">
        <v>1466.641235</v>
      </c>
      <c r="Z43" t="n">
        <v>1482.19519</v>
      </c>
      <c r="AA43" t="n">
        <v>1494.682739</v>
      </c>
      <c r="AB43" t="n">
        <v>1508.628052</v>
      </c>
      <c r="AC43" t="n">
        <v>1524.234985</v>
      </c>
      <c r="AD43" t="n">
        <v>1539.355713</v>
      </c>
      <c r="AE43" t="n">
        <v>1554.106201</v>
      </c>
      <c r="AF43" t="n">
        <v>1568.6698</v>
      </c>
      <c r="AG43" t="n">
        <v>1581.38147</v>
      </c>
      <c r="AH43" t="n">
        <v>1589.390747</v>
      </c>
      <c r="AI43" t="n">
        <v>0.015</v>
      </c>
    </row>
    <row r="44">
      <c r="A44" t="inlineStr">
        <is>
          <t>ISM000:ga_Instrumentsan</t>
        </is>
      </c>
      <c r="B44" t="inlineStr">
        <is>
          <t>,ISIC 27,</t>
        </is>
      </c>
      <c r="C44" t="inlineStr">
        <is>
          <t>Electrical Equipment</t>
        </is>
      </c>
      <c r="D44" t="inlineStr">
        <is>
          <t>Industrial Macroeconomic: Manufacturing: Electrical Equipment: High Zero-Carbon Technology Cost</t>
        </is>
      </c>
      <c r="E44" t="inlineStr">
        <is>
          <t>AEO.2025.HIGHZTC.ECI_VOS_MANF_EEQ_NA_NA_NA_BLNY09DLR.A</t>
        </is>
      </c>
      <c r="F44" t="inlineStr">
        <is>
          <t>billion 2012 $</t>
        </is>
      </c>
      <c r="H44" t="n">
        <v>117.174522</v>
      </c>
      <c r="I44" t="n">
        <v>117.890251</v>
      </c>
      <c r="J44" t="n">
        <v>117.056648</v>
      </c>
      <c r="K44" t="n">
        <v>118.637428</v>
      </c>
      <c r="L44" t="n">
        <v>121.151604</v>
      </c>
      <c r="M44" t="n">
        <v>122.989899</v>
      </c>
      <c r="N44" t="n">
        <v>124.640625</v>
      </c>
      <c r="O44" t="n">
        <v>125.652847</v>
      </c>
      <c r="P44" t="n">
        <v>126.778503</v>
      </c>
      <c r="Q44" t="n">
        <v>126.760826</v>
      </c>
      <c r="R44" t="n">
        <v>126.979576</v>
      </c>
      <c r="S44" t="n">
        <v>127.534897</v>
      </c>
      <c r="T44" t="n">
        <v>128.186218</v>
      </c>
      <c r="U44" t="n">
        <v>128.977249</v>
      </c>
      <c r="V44" t="n">
        <v>129.602203</v>
      </c>
      <c r="W44" t="n">
        <v>130.39653</v>
      </c>
      <c r="X44" t="n">
        <v>131.375854</v>
      </c>
      <c r="Y44" t="n">
        <v>132.214798</v>
      </c>
      <c r="Z44" t="n">
        <v>133.019226</v>
      </c>
      <c r="AA44" t="n">
        <v>133.660675</v>
      </c>
      <c r="AB44" t="n">
        <v>134.388824</v>
      </c>
      <c r="AC44" t="n">
        <v>134.903046</v>
      </c>
      <c r="AD44" t="n">
        <v>135.610321</v>
      </c>
      <c r="AE44" t="n">
        <v>136.455154</v>
      </c>
      <c r="AF44" t="n">
        <v>137.008881</v>
      </c>
      <c r="AG44" t="n">
        <v>137.575974</v>
      </c>
      <c r="AH44" t="n">
        <v>137.962296</v>
      </c>
      <c r="AI44" t="n">
        <v>0.006</v>
      </c>
    </row>
    <row r="45">
      <c r="A45" t="inlineStr">
        <is>
          <t>ISM000:ga_Miscellaneous</t>
        </is>
      </c>
      <c r="B45" t="inlineStr">
        <is>
          <t>,ISIC 31T33,</t>
        </is>
      </c>
      <c r="C45" t="inlineStr">
        <is>
          <t>Miscellaneous Manufacturing</t>
        </is>
      </c>
      <c r="D45" t="inlineStr">
        <is>
          <t>Industrial Macroeconomic: Manufacturing: Miscellaneous Manufacturing: High Zero-Carbon Technology Cost</t>
        </is>
      </c>
      <c r="E45" t="inlineStr">
        <is>
          <t>AEO.2025.HIGHZTC.ECI_VOS_MANF_MISC_NA_NA_NA_BLNY09DLR.A</t>
        </is>
      </c>
      <c r="F45" t="inlineStr">
        <is>
          <t>billion 2012 $</t>
        </is>
      </c>
      <c r="H45" t="n">
        <v>153.330368</v>
      </c>
      <c r="I45" t="n">
        <v>157.286224</v>
      </c>
      <c r="J45" t="n">
        <v>161.451569</v>
      </c>
      <c r="K45" t="n">
        <v>166.086945</v>
      </c>
      <c r="L45" t="n">
        <v>170.003372</v>
      </c>
      <c r="M45" t="n">
        <v>172.204956</v>
      </c>
      <c r="N45" t="n">
        <v>174.938797</v>
      </c>
      <c r="O45" t="n">
        <v>177.685883</v>
      </c>
      <c r="P45" t="n">
        <v>181.157349</v>
      </c>
      <c r="Q45" t="n">
        <v>182.864746</v>
      </c>
      <c r="R45" t="n">
        <v>184.450928</v>
      </c>
      <c r="S45" t="n">
        <v>186.486755</v>
      </c>
      <c r="T45" t="n">
        <v>188.98085</v>
      </c>
      <c r="U45" t="n">
        <v>191.598297</v>
      </c>
      <c r="V45" t="n">
        <v>193.246002</v>
      </c>
      <c r="W45" t="n">
        <v>194.852448</v>
      </c>
      <c r="X45" t="n">
        <v>196.925156</v>
      </c>
      <c r="Y45" t="n">
        <v>199.009705</v>
      </c>
      <c r="Z45" t="n">
        <v>201.023148</v>
      </c>
      <c r="AA45" t="n">
        <v>202.837402</v>
      </c>
      <c r="AB45" t="n">
        <v>204.955948</v>
      </c>
      <c r="AC45" t="n">
        <v>206.374527</v>
      </c>
      <c r="AD45" t="n">
        <v>208.37825</v>
      </c>
      <c r="AE45" t="n">
        <v>210.468475</v>
      </c>
      <c r="AF45" t="n">
        <v>211.747971</v>
      </c>
      <c r="AG45" t="n">
        <v>214.569382</v>
      </c>
      <c r="AH45" t="n">
        <v>214.750275</v>
      </c>
      <c r="AI45" t="n">
        <v>0.013</v>
      </c>
    </row>
    <row r="46">
      <c r="A46" t="inlineStr">
        <is>
          <t>ISM000:ha_TotalIndustri</t>
        </is>
      </c>
      <c r="C46" t="inlineStr">
        <is>
          <t>Total Industrial Value of Shipments</t>
        </is>
      </c>
      <c r="D46" t="inlineStr">
        <is>
          <t>Industrial Macroeconomic: Total Industrial Value of Shipments: High Zero-Carbon Technology Cost</t>
        </is>
      </c>
      <c r="E46" t="inlineStr">
        <is>
          <t>AEO.2025.HIGHZTC.ECI_VOS_IDAL_NA_NA_NA_NA_BLNY09DLR.A</t>
        </is>
      </c>
      <c r="F46" t="inlineStr">
        <is>
          <t>billion 2012 $</t>
        </is>
      </c>
      <c r="H46" t="n">
        <v>8693.215819999999</v>
      </c>
      <c r="I46" t="n">
        <v>8880.021484000001</v>
      </c>
      <c r="J46" t="n">
        <v>9023.890625</v>
      </c>
      <c r="K46" t="n">
        <v>9136.966796999999</v>
      </c>
      <c r="L46" t="n">
        <v>9250.293944999999</v>
      </c>
      <c r="M46" t="n">
        <v>9368.206055000001</v>
      </c>
      <c r="N46" t="n">
        <v>9471.402344</v>
      </c>
      <c r="O46" t="n">
        <v>9544.327148</v>
      </c>
      <c r="P46" t="n">
        <v>9631.375</v>
      </c>
      <c r="Q46" t="n">
        <v>9680.830078000001</v>
      </c>
      <c r="R46" t="n">
        <v>9759.069336</v>
      </c>
      <c r="S46" t="n">
        <v>9833.179688</v>
      </c>
      <c r="T46" t="n">
        <v>9910.932617</v>
      </c>
      <c r="U46" t="n">
        <v>9985.496094</v>
      </c>
      <c r="V46" t="n">
        <v>10063.265625</v>
      </c>
      <c r="W46" t="n">
        <v>10146.550781</v>
      </c>
      <c r="X46" t="n">
        <v>10240.19043</v>
      </c>
      <c r="Y46" t="n">
        <v>10320.270508</v>
      </c>
      <c r="Z46" t="n">
        <v>10409.383789</v>
      </c>
      <c r="AA46" t="n">
        <v>10482.779297</v>
      </c>
      <c r="AB46" t="n">
        <v>10564.850586</v>
      </c>
      <c r="AC46" t="n">
        <v>10653.482422</v>
      </c>
      <c r="AD46" t="n">
        <v>10756.960938</v>
      </c>
      <c r="AE46" t="n">
        <v>10868.238281</v>
      </c>
      <c r="AF46" t="n">
        <v>10969.666016</v>
      </c>
      <c r="AG46" t="n">
        <v>11079.727539</v>
      </c>
      <c r="AH46" t="n">
        <v>11173.775391</v>
      </c>
      <c r="AI46" t="n">
        <v>0.01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C1" t="inlineStr">
        <is>
          <t>Table 23.  Industrial Sector Macroeconomic Indicators</t>
        </is>
      </c>
    </row>
    <row r="2">
      <c r="C2" t="inlineStr">
        <is>
          <t>https://www.eia.gov/outlooks/aeo/data/browser/#/?id=34-AEO2026&amp;cases=electrnp&amp;sourcekey=0</t>
        </is>
      </c>
    </row>
    <row r="3">
      <c r="C3" t="inlineStr">
        <is>
          <t>Thu Apr 23 2026 15:01:03 GMT-0700 (Pacific Daylight Time)</t>
        </is>
      </c>
    </row>
    <row r="4">
      <c r="C4" t="inlineStr">
        <is>
          <t>Source: U.S. Energy Information Administration</t>
        </is>
      </c>
    </row>
    <row r="5">
      <c r="B5" s="5" t="inlineStr">
        <is>
          <t>ISIC assignment (editable)</t>
        </is>
      </c>
      <c r="D5" t="inlineStr">
        <is>
          <t>full name</t>
        </is>
      </c>
      <c r="E5" t="inlineStr">
        <is>
          <t>api key</t>
        </is>
      </c>
      <c r="F5" t="inlineStr">
        <is>
          <t>units</t>
        </is>
      </c>
      <c r="G5" t="n">
        <v>2025</v>
      </c>
      <c r="H5" t="n">
        <v>2026</v>
      </c>
      <c r="I5" t="n">
        <v>2027</v>
      </c>
      <c r="J5" t="n">
        <v>2028</v>
      </c>
      <c r="K5" t="n">
        <v>2029</v>
      </c>
      <c r="L5" t="n">
        <v>2030</v>
      </c>
      <c r="M5" t="n">
        <v>2031</v>
      </c>
      <c r="N5" t="n">
        <v>2032</v>
      </c>
      <c r="O5" t="n">
        <v>2033</v>
      </c>
      <c r="P5" t="n">
        <v>2034</v>
      </c>
      <c r="Q5" t="n">
        <v>2035</v>
      </c>
      <c r="R5" t="n">
        <v>2036</v>
      </c>
      <c r="S5" t="n">
        <v>2037</v>
      </c>
      <c r="T5" t="n">
        <v>2038</v>
      </c>
      <c r="U5" t="n">
        <v>2039</v>
      </c>
      <c r="V5" t="n">
        <v>2040</v>
      </c>
      <c r="W5" t="n">
        <v>2041</v>
      </c>
      <c r="X5" t="n">
        <v>2042</v>
      </c>
      <c r="Y5" t="n">
        <v>2043</v>
      </c>
      <c r="Z5" t="n">
        <v>2044</v>
      </c>
      <c r="AA5" t="n">
        <v>2045</v>
      </c>
      <c r="AB5" t="n">
        <v>2046</v>
      </c>
      <c r="AC5" t="n">
        <v>2047</v>
      </c>
      <c r="AD5" t="n">
        <v>2048</v>
      </c>
      <c r="AE5" t="n">
        <v>2049</v>
      </c>
      <c r="AF5" t="n">
        <v>2050</v>
      </c>
      <c r="AG5" t="inlineStr">
        <is>
          <t>Growth (2025-2050)</t>
        </is>
      </c>
    </row>
    <row r="6">
      <c r="A6" t="inlineStr">
        <is>
          <t>ISM000:ba_GDP(billionm_</t>
        </is>
      </c>
      <c r="C6" t="inlineStr">
        <is>
          <t>Gross Domestic Product (billion 2012 dollars)</t>
        </is>
      </c>
      <c r="D6" t="inlineStr">
        <is>
          <t>Industrial Macroeconomic: Gross Domestic Product: Alternative Electricity and Transportation</t>
        </is>
      </c>
      <c r="E6" t="inlineStr">
        <is>
          <t>AEO.2026.ELECTRNP.ECI_GDP_NA_NA_NA_NA_NA_BLNY09DLR.A</t>
        </is>
      </c>
      <c r="F6" t="inlineStr">
        <is>
          <t>billion 2012 $</t>
        </is>
      </c>
      <c r="G6" t="n">
        <v>22086.083984</v>
      </c>
      <c r="H6" t="n">
        <v>22669.974609</v>
      </c>
      <c r="I6" t="n">
        <v>23095.640625</v>
      </c>
      <c r="J6" t="n">
        <v>23390.617188</v>
      </c>
      <c r="K6" t="n">
        <v>23750.759766</v>
      </c>
      <c r="L6" t="n">
        <v>24166.652344</v>
      </c>
      <c r="M6" t="n">
        <v>24572.644531</v>
      </c>
      <c r="N6" t="n">
        <v>25034.144531</v>
      </c>
      <c r="O6" t="n">
        <v>25522.300781</v>
      </c>
      <c r="P6" t="n">
        <v>26041.154297</v>
      </c>
      <c r="Q6" t="n">
        <v>26595.578125</v>
      </c>
      <c r="R6" t="n">
        <v>27063.660156</v>
      </c>
      <c r="S6" t="n">
        <v>27531.339844</v>
      </c>
      <c r="T6" t="n">
        <v>28000.277344</v>
      </c>
      <c r="U6" t="n">
        <v>28461.050781</v>
      </c>
      <c r="V6" t="n">
        <v>28925.544922</v>
      </c>
      <c r="W6" t="n">
        <v>29375.912109</v>
      </c>
      <c r="X6" t="n">
        <v>29841.964844</v>
      </c>
      <c r="Y6" t="n">
        <v>30321.671875</v>
      </c>
      <c r="Z6" t="n">
        <v>30806.214844</v>
      </c>
      <c r="AA6" t="n">
        <v>31294.171875</v>
      </c>
      <c r="AB6" t="n">
        <v>31769.9375</v>
      </c>
      <c r="AC6" t="n">
        <v>32226.466797</v>
      </c>
      <c r="AD6" t="n">
        <v>32681.023438</v>
      </c>
      <c r="AE6" t="n">
        <v>33125.082031</v>
      </c>
      <c r="AF6" t="n">
        <v>33582.949219</v>
      </c>
      <c r="AG6" t="n">
        <v>0.017</v>
      </c>
    </row>
    <row r="7">
      <c r="A7" t="inlineStr">
        <is>
          <t>ISM000:ca_NonfarmEmploy</t>
        </is>
      </c>
      <c r="C7" t="inlineStr">
        <is>
          <t>Nonfarm Employment (millions)</t>
        </is>
      </c>
      <c r="D7" t="inlineStr">
        <is>
          <t>Industrial Macroeconomic: Employment, Nonfarm: Alternative Electricity and Transportation</t>
        </is>
      </c>
      <c r="E7" t="inlineStr">
        <is>
          <t>AEO.2026.ELECTRNP.ECI_NFE_NA_NA_NA_NA_NA_MILL.A</t>
        </is>
      </c>
      <c r="F7" t="inlineStr">
        <is>
          <t>millions</t>
        </is>
      </c>
      <c r="G7" t="n">
        <v>160.340073</v>
      </c>
      <c r="H7" t="n">
        <v>161.281006</v>
      </c>
      <c r="I7" t="n">
        <v>162.170471</v>
      </c>
      <c r="J7" t="n">
        <v>162.608612</v>
      </c>
      <c r="K7" t="n">
        <v>163.086288</v>
      </c>
      <c r="L7" t="n">
        <v>163.62587</v>
      </c>
      <c r="M7" t="n">
        <v>164.116058</v>
      </c>
      <c r="N7" t="n">
        <v>164.787292</v>
      </c>
      <c r="O7" t="n">
        <v>165.462021</v>
      </c>
      <c r="P7" t="n">
        <v>166.1698</v>
      </c>
      <c r="Q7" t="n">
        <v>166.884872</v>
      </c>
      <c r="R7" t="n">
        <v>167.661987</v>
      </c>
      <c r="S7" t="n">
        <v>168.565765</v>
      </c>
      <c r="T7" t="n">
        <v>169.439774</v>
      </c>
      <c r="U7" t="n">
        <v>170.151398</v>
      </c>
      <c r="V7" t="n">
        <v>170.952469</v>
      </c>
      <c r="W7" t="n">
        <v>171.580383</v>
      </c>
      <c r="X7" t="n">
        <v>172.178421</v>
      </c>
      <c r="Y7" t="n">
        <v>172.706116</v>
      </c>
      <c r="Z7" t="n">
        <v>173.327744</v>
      </c>
      <c r="AA7" t="n">
        <v>174.001205</v>
      </c>
      <c r="AB7" t="n">
        <v>174.602432</v>
      </c>
      <c r="AC7" t="n">
        <v>175.097656</v>
      </c>
      <c r="AD7" t="n">
        <v>175.47995</v>
      </c>
      <c r="AE7" t="n">
        <v>175.778961</v>
      </c>
      <c r="AF7" t="n">
        <v>176.125061</v>
      </c>
      <c r="AG7" t="n">
        <v>0.004</v>
      </c>
    </row>
    <row r="8">
      <c r="C8" t="inlineStr">
        <is>
          <t>Value of Shipments (billion 2012 dollars)</t>
        </is>
      </c>
    </row>
    <row r="9">
      <c r="C9" t="inlineStr">
        <is>
          <t>Nonmanufacturing Sector</t>
        </is>
      </c>
    </row>
    <row r="10">
      <c r="A10" t="inlineStr">
        <is>
          <t>ISM000:ea_Agricultural</t>
        </is>
      </c>
      <c r="B10" t="inlineStr">
        <is>
          <t>,ISIC 01,</t>
        </is>
      </c>
      <c r="C10" t="inlineStr">
        <is>
          <t>Agriculture/Forestry/Fishing/Hunting</t>
        </is>
      </c>
      <c r="D10" t="inlineStr">
        <is>
          <t>Industrial Macroeconomic: Nonmanufacturing: Agriculture/Forestry/Fishing/Hunting: Alternative Electricity and Transportation</t>
        </is>
      </c>
      <c r="E10" t="inlineStr">
        <is>
          <t>AEO.2026.ELECTRNP.ECI_VOS_NMFG_AFF_NA_NA_NA_BLNY09DLR.A</t>
        </is>
      </c>
      <c r="F10" t="inlineStr">
        <is>
          <t>billion 2012 $</t>
        </is>
      </c>
      <c r="G10" t="n">
        <v>485.349976</v>
      </c>
      <c r="H10" t="n">
        <v>486.525574</v>
      </c>
      <c r="I10" t="n">
        <v>493.375366</v>
      </c>
      <c r="J10" t="n">
        <v>503.258575</v>
      </c>
      <c r="K10" t="n">
        <v>509.903961</v>
      </c>
      <c r="L10" t="n">
        <v>516.43335</v>
      </c>
      <c r="M10" t="n">
        <v>522.852539</v>
      </c>
      <c r="N10" t="n">
        <v>529.386108</v>
      </c>
      <c r="O10" t="n">
        <v>532.953369</v>
      </c>
      <c r="P10" t="n">
        <v>539.970764</v>
      </c>
      <c r="Q10" t="n">
        <v>547.718567</v>
      </c>
      <c r="R10" t="n">
        <v>555.45874</v>
      </c>
      <c r="S10" t="n">
        <v>562.9729</v>
      </c>
      <c r="T10" t="n">
        <v>570.922974</v>
      </c>
      <c r="U10" t="n">
        <v>579.125</v>
      </c>
      <c r="V10" t="n">
        <v>586.071716</v>
      </c>
      <c r="W10" t="n">
        <v>592.656189</v>
      </c>
      <c r="X10" t="n">
        <v>599.9951170000001</v>
      </c>
      <c r="Y10" t="n">
        <v>606.935852</v>
      </c>
      <c r="Z10" t="n">
        <v>614.492859</v>
      </c>
      <c r="AA10" t="n">
        <v>623.081543</v>
      </c>
      <c r="AB10" t="n">
        <v>632.104004</v>
      </c>
      <c r="AC10" t="n">
        <v>641.207092</v>
      </c>
      <c r="AD10" t="n">
        <v>650.440002</v>
      </c>
      <c r="AE10" t="n">
        <v>659.608276</v>
      </c>
      <c r="AF10" t="n">
        <v>668.854126</v>
      </c>
      <c r="AG10" t="n">
        <v>0.013</v>
      </c>
    </row>
    <row r="11">
      <c r="A11" t="inlineStr">
        <is>
          <t>ISM000:ea_Mining</t>
        </is>
      </c>
      <c r="B11" t="inlineStr">
        <is>
          <t>,ISIC 05,ISIC 06,ISIC 08,</t>
        </is>
      </c>
      <c r="C11" t="inlineStr">
        <is>
          <t>Mining</t>
        </is>
      </c>
      <c r="D11" t="inlineStr">
        <is>
          <t>Industrial Macroeconomic: Nonmanufacturing: Mining: Alternative Electricity and Transportation</t>
        </is>
      </c>
      <c r="E11" t="inlineStr">
        <is>
          <t>AEO.2026.ELECTRNP.ECI_VOS_NMFG_MING_NA_NA_NA_BLNY09DLR.A</t>
        </is>
      </c>
      <c r="F11" t="inlineStr">
        <is>
          <t>billion 2012 $</t>
        </is>
      </c>
      <c r="G11" t="n">
        <v>791.224121</v>
      </c>
      <c r="H11" t="n">
        <v>863.609741</v>
      </c>
      <c r="I11" t="n">
        <v>857.478638</v>
      </c>
      <c r="J11" t="n">
        <v>862.241821</v>
      </c>
      <c r="K11" t="n">
        <v>867.373169</v>
      </c>
      <c r="L11" t="n">
        <v>886.085205</v>
      </c>
      <c r="M11" t="n">
        <v>900.359436</v>
      </c>
      <c r="N11" t="n">
        <v>913.719971</v>
      </c>
      <c r="O11" t="n">
        <v>923.650269</v>
      </c>
      <c r="P11" t="n">
        <v>935.968262</v>
      </c>
      <c r="Q11" t="n">
        <v>939.371094</v>
      </c>
      <c r="R11" t="n">
        <v>943.469116</v>
      </c>
      <c r="S11" t="n">
        <v>948.6922</v>
      </c>
      <c r="T11" t="n">
        <v>953.503418</v>
      </c>
      <c r="U11" t="n">
        <v>959.692139</v>
      </c>
      <c r="V11" t="n">
        <v>971.0234380000001</v>
      </c>
      <c r="W11" t="n">
        <v>984.752441</v>
      </c>
      <c r="X11" t="n">
        <v>992.501953</v>
      </c>
      <c r="Y11" t="n">
        <v>1001.04248</v>
      </c>
      <c r="Z11" t="n">
        <v>1006.122925</v>
      </c>
      <c r="AA11" t="n">
        <v>1009.776611</v>
      </c>
      <c r="AB11" t="n">
        <v>1013.545105</v>
      </c>
      <c r="AC11" t="n">
        <v>1019.138367</v>
      </c>
      <c r="AD11" t="n">
        <v>1021.347168</v>
      </c>
      <c r="AE11" t="n">
        <v>1021.363525</v>
      </c>
      <c r="AF11" t="n">
        <v>1019.486755</v>
      </c>
      <c r="AG11" t="n">
        <v>0.01</v>
      </c>
    </row>
    <row r="12">
      <c r="A12" t="inlineStr">
        <is>
          <t>ISM000:ea_Construction</t>
        </is>
      </c>
      <c r="B12" t="inlineStr">
        <is>
          <t>,ISIC 41T43,</t>
        </is>
      </c>
      <c r="C12" t="inlineStr">
        <is>
          <t>Construction</t>
        </is>
      </c>
      <c r="D12" t="inlineStr">
        <is>
          <t>Industrial Macroeconomic: Nonmanufacturing: Construction: Alternative Electricity and Transportation</t>
        </is>
      </c>
      <c r="E12" t="inlineStr">
        <is>
          <t>AEO.2026.ELECTRNP.ECI_VOS_NMFG_CNS_NA_NA_NA_BLNY09DLR.A</t>
        </is>
      </c>
      <c r="F12" t="inlineStr">
        <is>
          <t>billion 2012 $</t>
        </is>
      </c>
      <c r="G12" t="n">
        <v>1526.77002</v>
      </c>
      <c r="H12" t="n">
        <v>1521.331299</v>
      </c>
      <c r="I12" t="n">
        <v>1530.459717</v>
      </c>
      <c r="J12" t="n">
        <v>1540.004761</v>
      </c>
      <c r="K12" t="n">
        <v>1565.405518</v>
      </c>
      <c r="L12" t="n">
        <v>1591.652954</v>
      </c>
      <c r="M12" t="n">
        <v>1615.953003</v>
      </c>
      <c r="N12" t="n">
        <v>1640.333496</v>
      </c>
      <c r="O12" t="n">
        <v>1660.849976</v>
      </c>
      <c r="P12" t="n">
        <v>1674.029053</v>
      </c>
      <c r="Q12" t="n">
        <v>1692.322266</v>
      </c>
      <c r="R12" t="n">
        <v>1708.327759</v>
      </c>
      <c r="S12" t="n">
        <v>1722.020752</v>
      </c>
      <c r="T12" t="n">
        <v>1733.716309</v>
      </c>
      <c r="U12" t="n">
        <v>1743.819946</v>
      </c>
      <c r="V12" t="n">
        <v>1750.116455</v>
      </c>
      <c r="W12" t="n">
        <v>1754.272217</v>
      </c>
      <c r="X12" t="n">
        <v>1764.618042</v>
      </c>
      <c r="Y12" t="n">
        <v>1772.140747</v>
      </c>
      <c r="Z12" t="n">
        <v>1781.164795</v>
      </c>
      <c r="AA12" t="n">
        <v>1798.493042</v>
      </c>
      <c r="AB12" t="n">
        <v>1816.645752</v>
      </c>
      <c r="AC12" t="n">
        <v>1833.321533</v>
      </c>
      <c r="AD12" t="n">
        <v>1850.2052</v>
      </c>
      <c r="AE12" t="n">
        <v>1869.44397</v>
      </c>
      <c r="AF12" t="n">
        <v>1891.598999</v>
      </c>
      <c r="AG12" t="n">
        <v>0.008999999999999999</v>
      </c>
    </row>
    <row r="13">
      <c r="C13" t="inlineStr">
        <is>
          <t>Manufacturing Sector</t>
        </is>
      </c>
    </row>
    <row r="14">
      <c r="A14" t="inlineStr">
        <is>
          <t>ISM000:fa_FoodandKindre</t>
        </is>
      </c>
      <c r="B14" t="inlineStr">
        <is>
          <t>,ISIC 10T12,</t>
        </is>
      </c>
      <c r="C14" t="inlineStr">
        <is>
          <t>Food Products</t>
        </is>
      </c>
      <c r="D14" t="inlineStr">
        <is>
          <t>Industrial Macroeconomic: Manufacturing: Food Products: Alternative Electricity and Transportation</t>
        </is>
      </c>
      <c r="E14" t="inlineStr">
        <is>
          <t>AEO.2026.ELECTRNP.ECI_VOS_MANF_FPA_NA_NA_NA_BLNY09DLR.A</t>
        </is>
      </c>
      <c r="F14" t="inlineStr">
        <is>
          <t>billion 2012 $</t>
        </is>
      </c>
      <c r="G14" t="n">
        <v>762.710022</v>
      </c>
      <c r="H14" t="n">
        <v>766.648804</v>
      </c>
      <c r="I14" t="n">
        <v>776.753235</v>
      </c>
      <c r="J14" t="n">
        <v>786.116455</v>
      </c>
      <c r="K14" t="n">
        <v>792.971313</v>
      </c>
      <c r="L14" t="n">
        <v>801.6843260000001</v>
      </c>
      <c r="M14" t="n">
        <v>810.9381100000001</v>
      </c>
      <c r="N14" t="n">
        <v>819.746887</v>
      </c>
      <c r="O14" t="n">
        <v>828.7248540000001</v>
      </c>
      <c r="P14" t="n">
        <v>838.038818</v>
      </c>
      <c r="Q14" t="n">
        <v>846.848877</v>
      </c>
      <c r="R14" t="n">
        <v>856.586609</v>
      </c>
      <c r="S14" t="n">
        <v>866.086487</v>
      </c>
      <c r="T14" t="n">
        <v>875.84137</v>
      </c>
      <c r="U14" t="n">
        <v>885.781311</v>
      </c>
      <c r="V14" t="n">
        <v>894.879639</v>
      </c>
      <c r="W14" t="n">
        <v>903.738525</v>
      </c>
      <c r="X14" t="n">
        <v>912.516663</v>
      </c>
      <c r="Y14" t="n">
        <v>921.0223999999999</v>
      </c>
      <c r="Z14" t="n">
        <v>929.5047</v>
      </c>
      <c r="AA14" t="n">
        <v>937.150269</v>
      </c>
      <c r="AB14" t="n">
        <v>945.1365970000001</v>
      </c>
      <c r="AC14" t="n">
        <v>953.131531</v>
      </c>
      <c r="AD14" t="n">
        <v>961.09613</v>
      </c>
      <c r="AE14" t="n">
        <v>969.418396</v>
      </c>
      <c r="AF14" t="n">
        <v>977.19104</v>
      </c>
      <c r="AG14" t="n">
        <v>0.01</v>
      </c>
    </row>
    <row r="15">
      <c r="A15" t="inlineStr">
        <is>
          <t>ISM000:fa_BeveragesandT</t>
        </is>
      </c>
      <c r="B15" t="inlineStr">
        <is>
          <t>,ISIC 10T12,</t>
        </is>
      </c>
      <c r="C15" t="inlineStr">
        <is>
          <t>Beverages and Tobacco Products</t>
        </is>
      </c>
      <c r="D15" t="inlineStr">
        <is>
          <t>Industrial Macroeconomic: Manufacturing: Beverages and Tobacco Products: Alternative Electricity and Transportation</t>
        </is>
      </c>
      <c r="E15" t="inlineStr">
        <is>
          <t>AEO.2026.ELECTRNP.ECI_VOS_MANF_BVTP_NA_NA_NA_BLNY09DLR.A</t>
        </is>
      </c>
      <c r="F15" t="inlineStr">
        <is>
          <t>billion 2012 $</t>
        </is>
      </c>
      <c r="G15" t="n">
        <v>145.139999</v>
      </c>
      <c r="H15" t="n">
        <v>143.296982</v>
      </c>
      <c r="I15" t="n">
        <v>141.078918</v>
      </c>
      <c r="J15" t="n">
        <v>139.880646</v>
      </c>
      <c r="K15" t="n">
        <v>138.8069</v>
      </c>
      <c r="L15" t="n">
        <v>137.827148</v>
      </c>
      <c r="M15" t="n">
        <v>136.892181</v>
      </c>
      <c r="N15" t="n">
        <v>136.199097</v>
      </c>
      <c r="O15" t="n">
        <v>135.471451</v>
      </c>
      <c r="P15" t="n">
        <v>134.654373</v>
      </c>
      <c r="Q15" t="n">
        <v>133.956329</v>
      </c>
      <c r="R15" t="n">
        <v>133.194199</v>
      </c>
      <c r="S15" t="n">
        <v>132.519043</v>
      </c>
      <c r="T15" t="n">
        <v>131.791122</v>
      </c>
      <c r="U15" t="n">
        <v>130.831894</v>
      </c>
      <c r="V15" t="n">
        <v>130.092133</v>
      </c>
      <c r="W15" t="n">
        <v>129.588699</v>
      </c>
      <c r="X15" t="n">
        <v>129.14653</v>
      </c>
      <c r="Y15" t="n">
        <v>128.575577</v>
      </c>
      <c r="Z15" t="n">
        <v>128.060776</v>
      </c>
      <c r="AA15" t="n">
        <v>127.763702</v>
      </c>
      <c r="AB15" t="n">
        <v>127.407951</v>
      </c>
      <c r="AC15" t="n">
        <v>126.890099</v>
      </c>
      <c r="AD15" t="n">
        <v>126.399101</v>
      </c>
      <c r="AE15" t="n">
        <v>125.874901</v>
      </c>
      <c r="AF15" t="n">
        <v>125.281326</v>
      </c>
      <c r="AG15" t="n">
        <v>-0.006</v>
      </c>
    </row>
    <row r="16">
      <c r="A16" t="inlineStr">
        <is>
          <t>ISM000:fa_TextileMillPr</t>
        </is>
      </c>
      <c r="B16" t="inlineStr">
        <is>
          <t>,ISIC 13T15,</t>
        </is>
      </c>
      <c r="C16" t="inlineStr">
        <is>
          <t>Textile Mills and Products</t>
        </is>
      </c>
      <c r="D16" t="inlineStr">
        <is>
          <t>Industrial Macroeconomic: Manufacturing: Textile Mills and Products: Alternative Electricity and Transportation</t>
        </is>
      </c>
      <c r="E16" t="inlineStr">
        <is>
          <t>AEO.2026.ELECTRNP.ECI_VOS_MANF_TMP_NA_NA_NA_BLNY09DLR.A</t>
        </is>
      </c>
      <c r="F16" t="inlineStr">
        <is>
          <t>billion 2012 $</t>
        </is>
      </c>
      <c r="G16" t="n">
        <v>58.60323</v>
      </c>
      <c r="H16" t="n">
        <v>59.344818</v>
      </c>
      <c r="I16" t="n">
        <v>60.159962</v>
      </c>
      <c r="J16" t="n">
        <v>58.416599</v>
      </c>
      <c r="K16" t="n">
        <v>56.206123</v>
      </c>
      <c r="L16" t="n">
        <v>55.21006</v>
      </c>
      <c r="M16" t="n">
        <v>54.903446</v>
      </c>
      <c r="N16" t="n">
        <v>54.746746</v>
      </c>
      <c r="O16" t="n">
        <v>54.889694</v>
      </c>
      <c r="P16" t="n">
        <v>55.283863</v>
      </c>
      <c r="Q16" t="n">
        <v>55.522114</v>
      </c>
      <c r="R16" t="n">
        <v>55.493893</v>
      </c>
      <c r="S16" t="n">
        <v>55.565697</v>
      </c>
      <c r="T16" t="n">
        <v>55.676113</v>
      </c>
      <c r="U16" t="n">
        <v>55.728962</v>
      </c>
      <c r="V16" t="n">
        <v>55.944988</v>
      </c>
      <c r="W16" t="n">
        <v>56.146873</v>
      </c>
      <c r="X16" t="n">
        <v>56.280396</v>
      </c>
      <c r="Y16" t="n">
        <v>56.407085</v>
      </c>
      <c r="Z16" t="n">
        <v>56.575737</v>
      </c>
      <c r="AA16" t="n">
        <v>56.78751</v>
      </c>
      <c r="AB16" t="n">
        <v>56.890766</v>
      </c>
      <c r="AC16" t="n">
        <v>56.785236</v>
      </c>
      <c r="AD16" t="n">
        <v>56.510384</v>
      </c>
      <c r="AE16" t="n">
        <v>56.437035</v>
      </c>
      <c r="AF16" t="n">
        <v>56.381992</v>
      </c>
      <c r="AG16" t="n">
        <v>-0.002</v>
      </c>
    </row>
    <row r="17">
      <c r="A17" t="inlineStr">
        <is>
          <t>ISM000:fa_LumberandWood</t>
        </is>
      </c>
      <c r="B17" t="inlineStr">
        <is>
          <t>,ISIC 16,</t>
        </is>
      </c>
      <c r="C17" t="inlineStr">
        <is>
          <t>Wood Products</t>
        </is>
      </c>
      <c r="D17" t="inlineStr">
        <is>
          <t>Industrial Macroeconomic: Manufacturing: Wood Products: Alternative Electricity and Transportation</t>
        </is>
      </c>
      <c r="E17" t="inlineStr">
        <is>
          <t>AEO.2026.ELECTRNP.ECI_VOS_MANF_WDP_NA_NA_NA_BLNY09DLR.A</t>
        </is>
      </c>
      <c r="F17" t="inlineStr">
        <is>
          <t>billion 2012 $</t>
        </is>
      </c>
      <c r="G17" t="n">
        <v>118.724998</v>
      </c>
      <c r="H17" t="n">
        <v>99.63253</v>
      </c>
      <c r="I17" t="n">
        <v>93.661903</v>
      </c>
      <c r="J17" t="n">
        <v>98.211769</v>
      </c>
      <c r="K17" t="n">
        <v>105.913048</v>
      </c>
      <c r="L17" t="n">
        <v>107.063103</v>
      </c>
      <c r="M17" t="n">
        <v>104.342751</v>
      </c>
      <c r="N17" t="n">
        <v>104.021378</v>
      </c>
      <c r="O17" t="n">
        <v>106.398071</v>
      </c>
      <c r="P17" t="n">
        <v>110.545998</v>
      </c>
      <c r="Q17" t="n">
        <v>113.7761</v>
      </c>
      <c r="R17" t="n">
        <v>117.102203</v>
      </c>
      <c r="S17" t="n">
        <v>119.568474</v>
      </c>
      <c r="T17" t="n">
        <v>122.233253</v>
      </c>
      <c r="U17" t="n">
        <v>124.190926</v>
      </c>
      <c r="V17" t="n">
        <v>124.834053</v>
      </c>
      <c r="W17" t="n">
        <v>122.585373</v>
      </c>
      <c r="X17" t="n">
        <v>121.283722</v>
      </c>
      <c r="Y17" t="n">
        <v>118.868103</v>
      </c>
      <c r="Z17" t="n">
        <v>117.277946</v>
      </c>
      <c r="AA17" t="n">
        <v>118.019348</v>
      </c>
      <c r="AB17" t="n">
        <v>118.727875</v>
      </c>
      <c r="AC17" t="n">
        <v>119.795547</v>
      </c>
      <c r="AD17" t="n">
        <v>120.763</v>
      </c>
      <c r="AE17" t="n">
        <v>122.421951</v>
      </c>
      <c r="AF17" t="n">
        <v>123.797501</v>
      </c>
      <c r="AG17" t="n">
        <v>0.002</v>
      </c>
    </row>
    <row r="18">
      <c r="A18" t="inlineStr">
        <is>
          <t>ISM000:fa_FurnitureandF</t>
        </is>
      </c>
      <c r="B18" t="inlineStr">
        <is>
          <t>,ISIC 31T33,</t>
        </is>
      </c>
      <c r="C18" t="inlineStr">
        <is>
          <t>Furniture and Related Products</t>
        </is>
      </c>
      <c r="D18" t="inlineStr">
        <is>
          <t>Industrial Macroeconomic: Manufacturing: Furniture and Related Products: Alternative Electricity and Transportation</t>
        </is>
      </c>
      <c r="E18" t="inlineStr">
        <is>
          <t>AEO.2026.ELECTRNP.ECI_VOS_MANF_FRP_NA_NA_NA_BLNY09DLR.A</t>
        </is>
      </c>
      <c r="F18" t="inlineStr">
        <is>
          <t>billion 2012 $</t>
        </is>
      </c>
      <c r="G18" t="n">
        <v>58.322498</v>
      </c>
      <c r="H18" t="n">
        <v>59.011951</v>
      </c>
      <c r="I18" t="n">
        <v>60.173313</v>
      </c>
      <c r="J18" t="n">
        <v>59.152695</v>
      </c>
      <c r="K18" t="n">
        <v>59.48531</v>
      </c>
      <c r="L18" t="n">
        <v>60.807999</v>
      </c>
      <c r="M18" t="n">
        <v>61.878868</v>
      </c>
      <c r="N18" t="n">
        <v>63.159161</v>
      </c>
      <c r="O18" t="n">
        <v>64.566895</v>
      </c>
      <c r="P18" t="n">
        <v>65.93828600000001</v>
      </c>
      <c r="Q18" t="n">
        <v>68.11844600000001</v>
      </c>
      <c r="R18" t="n">
        <v>69.331093</v>
      </c>
      <c r="S18" t="n">
        <v>70.475876</v>
      </c>
      <c r="T18" t="n">
        <v>72.192848</v>
      </c>
      <c r="U18" t="n">
        <v>73.15149700000001</v>
      </c>
      <c r="V18" t="n">
        <v>74.65935500000001</v>
      </c>
      <c r="W18" t="n">
        <v>76.165657</v>
      </c>
      <c r="X18" t="n">
        <v>77.67437700000001</v>
      </c>
      <c r="Y18" t="n">
        <v>79.193832</v>
      </c>
      <c r="Z18" t="n">
        <v>80.946732</v>
      </c>
      <c r="AA18" t="n">
        <v>83.448448</v>
      </c>
      <c r="AB18" t="n">
        <v>84.887985</v>
      </c>
      <c r="AC18" t="n">
        <v>86.415627</v>
      </c>
      <c r="AD18" t="n">
        <v>87.191368</v>
      </c>
      <c r="AE18" t="n">
        <v>88.336067</v>
      </c>
      <c r="AF18" t="n">
        <v>89.970726</v>
      </c>
      <c r="AG18" t="n">
        <v>0.017</v>
      </c>
    </row>
    <row r="19">
      <c r="A19" t="inlineStr">
        <is>
          <t>ISM000:fa_PaperandAllie</t>
        </is>
      </c>
      <c r="B19" t="inlineStr">
        <is>
          <t>,ISIC 17T18,</t>
        </is>
      </c>
      <c r="C19" t="inlineStr">
        <is>
          <t>Paper Products</t>
        </is>
      </c>
      <c r="D19" t="inlineStr">
        <is>
          <t>Industrial Macroeconomic: Manufacturing: Paper Products: Alternative Electricity and Transportation</t>
        </is>
      </c>
      <c r="E19" t="inlineStr">
        <is>
          <t>AEO.2026.ELECTRNP.ECI_VOS_MANF_PPM_NA_NA_NA_BLNY09DLR.A</t>
        </is>
      </c>
      <c r="F19" t="inlineStr">
        <is>
          <t>billion 2012 $</t>
        </is>
      </c>
      <c r="G19" t="n">
        <v>146.524994</v>
      </c>
      <c r="H19" t="n">
        <v>146.300095</v>
      </c>
      <c r="I19" t="n">
        <v>148.355103</v>
      </c>
      <c r="J19" t="n">
        <v>148.390045</v>
      </c>
      <c r="K19" t="n">
        <v>148.275146</v>
      </c>
      <c r="L19" t="n">
        <v>148.229797</v>
      </c>
      <c r="M19" t="n">
        <v>149.00885</v>
      </c>
      <c r="N19" t="n">
        <v>149.76033</v>
      </c>
      <c r="O19" t="n">
        <v>150.414368</v>
      </c>
      <c r="P19" t="n">
        <v>151.044525</v>
      </c>
      <c r="Q19" t="n">
        <v>151.765381</v>
      </c>
      <c r="R19" t="n">
        <v>152.443451</v>
      </c>
      <c r="S19" t="n">
        <v>152.84227</v>
      </c>
      <c r="T19" t="n">
        <v>153.868576</v>
      </c>
      <c r="U19" t="n">
        <v>155.214478</v>
      </c>
      <c r="V19" t="n">
        <v>156.889221</v>
      </c>
      <c r="W19" t="n">
        <v>158.345627</v>
      </c>
      <c r="X19" t="n">
        <v>159.918076</v>
      </c>
      <c r="Y19" t="n">
        <v>161.629044</v>
      </c>
      <c r="Z19" t="n">
        <v>163.462219</v>
      </c>
      <c r="AA19" t="n">
        <v>165.475052</v>
      </c>
      <c r="AB19" t="n">
        <v>167.213623</v>
      </c>
      <c r="AC19" t="n">
        <v>169.048172</v>
      </c>
      <c r="AD19" t="n">
        <v>170.649673</v>
      </c>
      <c r="AE19" t="n">
        <v>172.450027</v>
      </c>
      <c r="AF19" t="n">
        <v>174.190781</v>
      </c>
      <c r="AG19" t="n">
        <v>0.007</v>
      </c>
    </row>
    <row r="20">
      <c r="A20" t="inlineStr">
        <is>
          <t>ISM000:fa_PrintingandPu</t>
        </is>
      </c>
      <c r="B20" t="inlineStr">
        <is>
          <t>,ISIC 17T18,</t>
        </is>
      </c>
      <c r="C20" t="inlineStr">
        <is>
          <t>Printing</t>
        </is>
      </c>
      <c r="D20" t="inlineStr">
        <is>
          <t>Industrial Macroeconomic: Manufacturing: Printing: Alternative Electricity and Transportation</t>
        </is>
      </c>
      <c r="E20" t="inlineStr">
        <is>
          <t>AEO.2026.ELECTRNP.ECI_VOS_MANF_PRN_NA_NA_NA_BLNY09DLR.A</t>
        </is>
      </c>
      <c r="F20" t="inlineStr">
        <is>
          <t>billion 2012 $</t>
        </is>
      </c>
      <c r="G20" t="n">
        <v>64.35749800000001</v>
      </c>
      <c r="H20" t="n">
        <v>62.670582</v>
      </c>
      <c r="I20" t="n">
        <v>60.88274</v>
      </c>
      <c r="J20" t="n">
        <v>59.342823</v>
      </c>
      <c r="K20" t="n">
        <v>58.132961</v>
      </c>
      <c r="L20" t="n">
        <v>56.884991</v>
      </c>
      <c r="M20" t="n">
        <v>55.614899</v>
      </c>
      <c r="N20" t="n">
        <v>54.24551</v>
      </c>
      <c r="O20" t="n">
        <v>52.755295</v>
      </c>
      <c r="P20" t="n">
        <v>51.431721</v>
      </c>
      <c r="Q20" t="n">
        <v>50.014038</v>
      </c>
      <c r="R20" t="n">
        <v>48.692402</v>
      </c>
      <c r="S20" t="n">
        <v>47.663521</v>
      </c>
      <c r="T20" t="n">
        <v>46.690609</v>
      </c>
      <c r="U20" t="n">
        <v>46.016659</v>
      </c>
      <c r="V20" t="n">
        <v>45.447735</v>
      </c>
      <c r="W20" t="n">
        <v>44.834614</v>
      </c>
      <c r="X20" t="n">
        <v>44.365486</v>
      </c>
      <c r="Y20" t="n">
        <v>43.841122</v>
      </c>
      <c r="Z20" t="n">
        <v>43.243725</v>
      </c>
      <c r="AA20" t="n">
        <v>42.610481</v>
      </c>
      <c r="AB20" t="n">
        <v>42.079239</v>
      </c>
      <c r="AC20" t="n">
        <v>41.707779</v>
      </c>
      <c r="AD20" t="n">
        <v>41.560303</v>
      </c>
      <c r="AE20" t="n">
        <v>41.430828</v>
      </c>
      <c r="AF20" t="n">
        <v>41.002571</v>
      </c>
      <c r="AG20" t="n">
        <v>-0.018</v>
      </c>
    </row>
    <row r="21">
      <c r="A21" t="inlineStr">
        <is>
          <t>ISM000:fa_ChemicalandAl</t>
        </is>
      </c>
      <c r="B21" t="inlineStr">
        <is>
          <t>,ISIC 20,</t>
        </is>
      </c>
      <c r="C21" t="inlineStr">
        <is>
          <t>Chemical Manufacturing</t>
        </is>
      </c>
      <c r="D21" t="inlineStr">
        <is>
          <t>Industrial Macroeconomic: Manufacturing: Chemical Manufacturing: Alternative Electricity and Transportation</t>
        </is>
      </c>
      <c r="E21" t="inlineStr">
        <is>
          <t>AEO.2026.ELECTRNP.ECI_VOS_MANF_CHE_NA_NA_NA_BLNY09DLR.A</t>
        </is>
      </c>
      <c r="F21" t="inlineStr">
        <is>
          <t>billion 2012 $</t>
        </is>
      </c>
      <c r="G21" t="n">
        <v>866.14447</v>
      </c>
      <c r="H21" t="n">
        <v>854.605042</v>
      </c>
      <c r="I21" t="n">
        <v>844.643433</v>
      </c>
      <c r="J21" t="n">
        <v>841.278809</v>
      </c>
      <c r="K21" t="n">
        <v>834.162598</v>
      </c>
      <c r="L21" t="n">
        <v>833.864868</v>
      </c>
      <c r="M21" t="n">
        <v>837.7092290000001</v>
      </c>
      <c r="N21" t="n">
        <v>842.627686</v>
      </c>
      <c r="O21" t="n">
        <v>851.863525</v>
      </c>
      <c r="P21" t="n">
        <v>861.189331</v>
      </c>
      <c r="Q21" t="n">
        <v>871.220154</v>
      </c>
      <c r="R21" t="n">
        <v>881.649658</v>
      </c>
      <c r="S21" t="n">
        <v>893.154846</v>
      </c>
      <c r="T21" t="n">
        <v>904.770081</v>
      </c>
      <c r="U21" t="n">
        <v>918.347168</v>
      </c>
      <c r="V21" t="n">
        <v>932.809692</v>
      </c>
      <c r="W21" t="n">
        <v>949.002747</v>
      </c>
      <c r="X21" t="n">
        <v>967.69165</v>
      </c>
      <c r="Y21" t="n">
        <v>985.70813</v>
      </c>
      <c r="Z21" t="n">
        <v>1004.382019</v>
      </c>
      <c r="AA21" t="n">
        <v>1024.803711</v>
      </c>
      <c r="AB21" t="n">
        <v>1046.931396</v>
      </c>
      <c r="AC21" t="n">
        <v>1070.060059</v>
      </c>
      <c r="AD21" t="n">
        <v>1091.039185</v>
      </c>
      <c r="AE21" t="n">
        <v>1111.16748</v>
      </c>
      <c r="AF21" t="n">
        <v>1133.631836</v>
      </c>
      <c r="AG21" t="n">
        <v>0.011</v>
      </c>
    </row>
    <row r="22">
      <c r="A22" t="inlineStr">
        <is>
          <t>ISM000:fa_BulkChemicals</t>
        </is>
      </c>
      <c r="C22" t="inlineStr">
        <is>
          <t>Bulk Chemicals</t>
        </is>
      </c>
      <c r="D22" t="inlineStr">
        <is>
          <t>Industrial Macroeconomic: Manufacturing: Chemicals: Bulk Chemicals: Alternative Electricity and Transportation</t>
        </is>
      </c>
      <c r="E22" t="inlineStr">
        <is>
          <t>AEO.2026.ELECTRNP.ECI_VOS_MANF_BCH_NA_NA_NA_BLNY09DLR.A</t>
        </is>
      </c>
      <c r="F22" t="inlineStr">
        <is>
          <t>billion 2012 $</t>
        </is>
      </c>
      <c r="G22" t="n">
        <v>389.914459</v>
      </c>
      <c r="H22" t="n">
        <v>374.334625</v>
      </c>
      <c r="I22" t="n">
        <v>368.809448</v>
      </c>
      <c r="J22" t="n">
        <v>367.27594</v>
      </c>
      <c r="K22" t="n">
        <v>361.547424</v>
      </c>
      <c r="L22" t="n">
        <v>361.884399</v>
      </c>
      <c r="M22" t="n">
        <v>365.397369</v>
      </c>
      <c r="N22" t="n">
        <v>366.774536</v>
      </c>
      <c r="O22" t="n">
        <v>369.985901</v>
      </c>
      <c r="P22" t="n">
        <v>373.718048</v>
      </c>
      <c r="Q22" t="n">
        <v>378.386871</v>
      </c>
      <c r="R22" t="n">
        <v>383.467773</v>
      </c>
      <c r="S22" t="n">
        <v>388.052979</v>
      </c>
      <c r="T22" t="n">
        <v>392.619202</v>
      </c>
      <c r="U22" t="n">
        <v>399.434265</v>
      </c>
      <c r="V22" t="n">
        <v>406.024017</v>
      </c>
      <c r="W22" t="n">
        <v>412.861633</v>
      </c>
      <c r="X22" t="n">
        <v>420.913422</v>
      </c>
      <c r="Y22" t="n">
        <v>427.610382</v>
      </c>
      <c r="Z22" t="n">
        <v>434.302368</v>
      </c>
      <c r="AA22" t="n">
        <v>442.083435</v>
      </c>
      <c r="AB22" t="n">
        <v>450.44989</v>
      </c>
      <c r="AC22" t="n">
        <v>459.500702</v>
      </c>
      <c r="AD22" t="n">
        <v>467.66095</v>
      </c>
      <c r="AE22" t="n">
        <v>474.064636</v>
      </c>
      <c r="AF22" t="n">
        <v>482.12265</v>
      </c>
      <c r="AG22" t="n">
        <v>0.008999999999999999</v>
      </c>
    </row>
    <row r="23">
      <c r="A23" t="inlineStr">
        <is>
          <t>ISM000:fa_Inorganic</t>
        </is>
      </c>
      <c r="C23" t="inlineStr">
        <is>
          <t>Inorganic</t>
        </is>
      </c>
      <c r="D23" t="inlineStr">
        <is>
          <t>Industrial Macroeconomic: Manufacturing: Chemicals: Bulk Chemicals: Inorganic: Alternative Electricity and Transportation</t>
        </is>
      </c>
      <c r="E23" t="inlineStr">
        <is>
          <t>AEO.2026.ELECTRNP.ECI_VOS_MANF_CHEIN_NA_NA_NA_BLNY09DLR.A</t>
        </is>
      </c>
      <c r="F23" t="inlineStr">
        <is>
          <t>billion 2012 $</t>
        </is>
      </c>
      <c r="G23" t="n">
        <v>51.491623</v>
      </c>
      <c r="H23" t="n">
        <v>52.255329</v>
      </c>
      <c r="I23" t="n">
        <v>51.697498</v>
      </c>
      <c r="J23" t="n">
        <v>51.97789</v>
      </c>
      <c r="K23" t="n">
        <v>51.210506</v>
      </c>
      <c r="L23" t="n">
        <v>50.927029</v>
      </c>
      <c r="M23" t="n">
        <v>51.219692</v>
      </c>
      <c r="N23" t="n">
        <v>51.075771</v>
      </c>
      <c r="O23" t="n">
        <v>51.268539</v>
      </c>
      <c r="P23" t="n">
        <v>51.611919</v>
      </c>
      <c r="Q23" t="n">
        <v>51.78804</v>
      </c>
      <c r="R23" t="n">
        <v>51.978779</v>
      </c>
      <c r="S23" t="n">
        <v>51.913784</v>
      </c>
      <c r="T23" t="n">
        <v>51.978077</v>
      </c>
      <c r="U23" t="n">
        <v>52.200249</v>
      </c>
      <c r="V23" t="n">
        <v>52.240593</v>
      </c>
      <c r="W23" t="n">
        <v>52.3074</v>
      </c>
      <c r="X23" t="n">
        <v>52.404572</v>
      </c>
      <c r="Y23" t="n">
        <v>52.432655</v>
      </c>
      <c r="Z23" t="n">
        <v>52.335209</v>
      </c>
      <c r="AA23" t="n">
        <v>52.231144</v>
      </c>
      <c r="AB23" t="n">
        <v>52.381222</v>
      </c>
      <c r="AC23" t="n">
        <v>52.576962</v>
      </c>
      <c r="AD23" t="n">
        <v>52.698147</v>
      </c>
      <c r="AE23" t="n">
        <v>52.773537</v>
      </c>
      <c r="AF23" t="n">
        <v>52.96476</v>
      </c>
      <c r="AG23" t="n">
        <v>0.001</v>
      </c>
    </row>
    <row r="24">
      <c r="A24" t="inlineStr">
        <is>
          <t>ISM000:fa_Organic</t>
        </is>
      </c>
      <c r="C24" t="inlineStr">
        <is>
          <t>Organic</t>
        </is>
      </c>
      <c r="D24" t="inlineStr">
        <is>
          <t>Industrial Macroeconomic: Manufacturing: Chemicals: Bulk Chemicals: Organic: Alternative Electricity and Transportation</t>
        </is>
      </c>
      <c r="E24" t="inlineStr">
        <is>
          <t>AEO.2026.ELECTRNP.ECI_VOS_MANF_CHEOR_NA_NA_NA_BLNY09DLR.A</t>
        </is>
      </c>
      <c r="F24" t="inlineStr">
        <is>
          <t>billion 2012 $</t>
        </is>
      </c>
      <c r="G24" t="n">
        <v>184.63533</v>
      </c>
      <c r="H24" t="n">
        <v>169.545074</v>
      </c>
      <c r="I24" t="n">
        <v>162.997955</v>
      </c>
      <c r="J24" t="n">
        <v>163.280975</v>
      </c>
      <c r="K24" t="n">
        <v>159.475098</v>
      </c>
      <c r="L24" t="n">
        <v>158.518433</v>
      </c>
      <c r="M24" t="n">
        <v>160.615677</v>
      </c>
      <c r="N24" t="n">
        <v>162.619919</v>
      </c>
      <c r="O24" t="n">
        <v>165.466705</v>
      </c>
      <c r="P24" t="n">
        <v>168.747543</v>
      </c>
      <c r="Q24" t="n">
        <v>171.988846</v>
      </c>
      <c r="R24" t="n">
        <v>176.306595</v>
      </c>
      <c r="S24" t="n">
        <v>178.549179</v>
      </c>
      <c r="T24" t="n">
        <v>181.376526</v>
      </c>
      <c r="U24" t="n">
        <v>186.222549</v>
      </c>
      <c r="V24" t="n">
        <v>190.339157</v>
      </c>
      <c r="W24" t="n">
        <v>194.995026</v>
      </c>
      <c r="X24" t="n">
        <v>200.036819</v>
      </c>
      <c r="Y24" t="n">
        <v>205.301331</v>
      </c>
      <c r="Z24" t="n">
        <v>211.083527</v>
      </c>
      <c r="AA24" t="n">
        <v>217.316818</v>
      </c>
      <c r="AB24" t="n">
        <v>223.622421</v>
      </c>
      <c r="AC24" t="n">
        <v>229.466644</v>
      </c>
      <c r="AD24" t="n">
        <v>235.0215</v>
      </c>
      <c r="AE24" t="n">
        <v>239.404282</v>
      </c>
      <c r="AF24" t="n">
        <v>244.677795</v>
      </c>
      <c r="AG24" t="n">
        <v>0.011</v>
      </c>
    </row>
    <row r="25">
      <c r="A25" t="inlineStr">
        <is>
          <t>ISM000:fa_Resins</t>
        </is>
      </c>
      <c r="C25" t="inlineStr">
        <is>
          <t>Resin</t>
        </is>
      </c>
      <c r="D25" t="inlineStr">
        <is>
          <t xml:space="preserve"> Synthetic Rubber</t>
        </is>
      </c>
      <c r="E25" t="inlineStr">
        <is>
          <t xml:space="preserve"> and Fibers</t>
        </is>
      </c>
      <c r="F25" t="inlineStr">
        <is>
          <t>Industrial Macroeconomic: Manufacturing: Chemicals: Bulk Chemicals: Resin, Synthetic Rubber, and Fibers: Alternative Electricity and Transportation</t>
        </is>
      </c>
      <c r="G25" t="inlineStr">
        <is>
          <t>AEO.2026.ELECTRNP.ECI_VOS_MANF_CHEBR_NA_NA_NA_BLNY09DLR.A</t>
        </is>
      </c>
      <c r="H25" t="inlineStr">
        <is>
          <t>billion 2012 $</t>
        </is>
      </c>
      <c r="I25" t="n">
        <v>112.347504</v>
      </c>
      <c r="J25" t="n">
        <v>111.065125</v>
      </c>
      <c r="K25" t="n">
        <v>112.167877</v>
      </c>
      <c r="L25" t="n">
        <v>110.210426</v>
      </c>
      <c r="M25" t="n">
        <v>109.016777</v>
      </c>
      <c r="N25" t="n">
        <v>110.270576</v>
      </c>
      <c r="O25" t="n">
        <v>111.023552</v>
      </c>
      <c r="P25" t="n">
        <v>110.383377</v>
      </c>
      <c r="Q25" t="n">
        <v>110.300377</v>
      </c>
      <c r="R25" t="n">
        <v>110.13205</v>
      </c>
      <c r="S25" t="n">
        <v>110.979073</v>
      </c>
      <c r="T25" t="n">
        <v>111.196999</v>
      </c>
      <c r="U25" t="n">
        <v>113.116776</v>
      </c>
      <c r="V25" t="n">
        <v>114.378525</v>
      </c>
      <c r="W25" t="n">
        <v>115.730423</v>
      </c>
      <c r="X25" t="n">
        <v>117.687897</v>
      </c>
      <c r="Y25" t="n">
        <v>119.253349</v>
      </c>
      <c r="Z25" t="n">
        <v>121.622749</v>
      </c>
      <c r="AA25" t="n">
        <v>122.511253</v>
      </c>
      <c r="AB25" t="n">
        <v>123.042229</v>
      </c>
      <c r="AC25" t="n">
        <v>123.998947</v>
      </c>
      <c r="AD25" t="n">
        <v>125.264999</v>
      </c>
      <c r="AE25" t="n">
        <v>127.588448</v>
      </c>
      <c r="AF25" t="n">
        <v>129.466446</v>
      </c>
      <c r="AG25" t="n">
        <v>130.94455</v>
      </c>
      <c r="AH25" t="n">
        <v>132.972122</v>
      </c>
      <c r="AI25" t="n">
        <v>0.007</v>
      </c>
    </row>
    <row r="26">
      <c r="A26" t="inlineStr">
        <is>
          <t>ISM000:fa_AgriculturalC</t>
        </is>
      </c>
      <c r="C26" t="inlineStr">
        <is>
          <t>Agricultural Chemicals</t>
        </is>
      </c>
      <c r="D26" t="inlineStr">
        <is>
          <t>Industrial Macroeconomic: Manufacturing: Chemicals: Bulk Chemicals: Agricultural Chemicals: Alternative Electricity and Transportation</t>
        </is>
      </c>
      <c r="E26" t="inlineStr">
        <is>
          <t>AEO.2026.ELECTRNP.ECI_VOS_MANF_AGC_NA_NA_NA_BLNY09DLR.A</t>
        </is>
      </c>
      <c r="F26" t="inlineStr">
        <is>
          <t>billion 2012 $</t>
        </is>
      </c>
      <c r="G26" t="n">
        <v>41.439999</v>
      </c>
      <c r="H26" t="n">
        <v>41.469086</v>
      </c>
      <c r="I26" t="n">
        <v>41.946102</v>
      </c>
      <c r="J26" t="n">
        <v>41.806648</v>
      </c>
      <c r="K26" t="n">
        <v>41.845043</v>
      </c>
      <c r="L26" t="n">
        <v>42.168369</v>
      </c>
      <c r="M26" t="n">
        <v>42.538464</v>
      </c>
      <c r="N26" t="n">
        <v>42.695454</v>
      </c>
      <c r="O26" t="n">
        <v>42.950291</v>
      </c>
      <c r="P26" t="n">
        <v>43.226524</v>
      </c>
      <c r="Q26" t="n">
        <v>43.630913</v>
      </c>
      <c r="R26" t="n">
        <v>43.985401</v>
      </c>
      <c r="S26" t="n">
        <v>44.473221</v>
      </c>
      <c r="T26" t="n">
        <v>44.886093</v>
      </c>
      <c r="U26" t="n">
        <v>45.281067</v>
      </c>
      <c r="V26" t="n">
        <v>45.756378</v>
      </c>
      <c r="W26" t="n">
        <v>46.305859</v>
      </c>
      <c r="X26" t="n">
        <v>46.84927</v>
      </c>
      <c r="Y26" t="n">
        <v>47.365139</v>
      </c>
      <c r="Z26" t="n">
        <v>47.841415</v>
      </c>
      <c r="AA26" t="n">
        <v>48.536507</v>
      </c>
      <c r="AB26" t="n">
        <v>49.181259</v>
      </c>
      <c r="AC26" t="n">
        <v>49.868652</v>
      </c>
      <c r="AD26" t="n">
        <v>50.474846</v>
      </c>
      <c r="AE26" t="n">
        <v>50.942249</v>
      </c>
      <c r="AF26" t="n">
        <v>51.507961</v>
      </c>
      <c r="AG26" t="n">
        <v>0.008999999999999999</v>
      </c>
    </row>
    <row r="27">
      <c r="A27" t="inlineStr">
        <is>
          <t>ISM000:fa_OtherChemical</t>
        </is>
      </c>
      <c r="C27" t="inlineStr">
        <is>
          <t>Other Chemical Products</t>
        </is>
      </c>
      <c r="D27" t="inlineStr">
        <is>
          <t>Industrial Macroeconomic: Manufacturing: Chemicals: Other Chemical Products: Alternative Electricity and Transportation</t>
        </is>
      </c>
      <c r="E27" t="inlineStr">
        <is>
          <t>AEO.2026.ELECTRNP.ECI_VOS_MANF_CHEO_NA_NA_NA_BLNY09DLR.A</t>
        </is>
      </c>
      <c r="F27" t="inlineStr">
        <is>
          <t>billion 2012 $</t>
        </is>
      </c>
      <c r="G27" t="n">
        <v>476.230011</v>
      </c>
      <c r="H27" t="n">
        <v>480.270416</v>
      </c>
      <c r="I27" t="n">
        <v>475.834015</v>
      </c>
      <c r="J27" t="n">
        <v>474.002838</v>
      </c>
      <c r="K27" t="n">
        <v>472.615173</v>
      </c>
      <c r="L27" t="n">
        <v>471.980499</v>
      </c>
      <c r="M27" t="n">
        <v>472.31189</v>
      </c>
      <c r="N27" t="n">
        <v>475.85318</v>
      </c>
      <c r="O27" t="n">
        <v>481.877594</v>
      </c>
      <c r="P27" t="n">
        <v>487.471252</v>
      </c>
      <c r="Q27" t="n">
        <v>492.833282</v>
      </c>
      <c r="R27" t="n">
        <v>498.181854</v>
      </c>
      <c r="S27" t="n">
        <v>505.101868</v>
      </c>
      <c r="T27" t="n">
        <v>512.150879</v>
      </c>
      <c r="U27" t="n">
        <v>518.912903</v>
      </c>
      <c r="V27" t="n">
        <v>526.785706</v>
      </c>
      <c r="W27" t="n">
        <v>536.141113</v>
      </c>
      <c r="X27" t="n">
        <v>546.778198</v>
      </c>
      <c r="Y27" t="n">
        <v>558.097717</v>
      </c>
      <c r="Z27" t="n">
        <v>570.079651</v>
      </c>
      <c r="AA27" t="n">
        <v>582.720276</v>
      </c>
      <c r="AB27" t="n">
        <v>596.481506</v>
      </c>
      <c r="AC27" t="n">
        <v>610.5593260000001</v>
      </c>
      <c r="AD27" t="n">
        <v>623.378235</v>
      </c>
      <c r="AE27" t="n">
        <v>637.102844</v>
      </c>
      <c r="AF27" t="n">
        <v>651.509155</v>
      </c>
      <c r="AG27" t="n">
        <v>0.013</v>
      </c>
    </row>
    <row r="28">
      <c r="A28" t="inlineStr">
        <is>
          <t>ISM000:fa_PetroleumandC</t>
        </is>
      </c>
      <c r="C28" t="inlineStr">
        <is>
          <t>Petroleum and Coal Products</t>
        </is>
      </c>
      <c r="D28" t="inlineStr">
        <is>
          <t>Industrial Macroeconomic: Manufacturing: Petroleum and Coal Products: Alternative Electricity and Transportation</t>
        </is>
      </c>
      <c r="E28" t="inlineStr">
        <is>
          <t>AEO.2026.ELECTRNP.ECI_VOS_MANF_PCL_NA_NA_NA_BLNY09DLR.A</t>
        </is>
      </c>
      <c r="F28" t="inlineStr">
        <is>
          <t>billion 2012 $</t>
        </is>
      </c>
      <c r="G28" t="n">
        <v>812.46875</v>
      </c>
      <c r="H28" t="n">
        <v>815.599121</v>
      </c>
      <c r="I28" t="n">
        <v>814.629578</v>
      </c>
      <c r="J28" t="n">
        <v>812.4406739999999</v>
      </c>
      <c r="K28" t="n">
        <v>805.569824</v>
      </c>
      <c r="L28" t="n">
        <v>801.775452</v>
      </c>
      <c r="M28" t="n">
        <v>797.088501</v>
      </c>
      <c r="N28" t="n">
        <v>795.297058</v>
      </c>
      <c r="O28" t="n">
        <v>793.848999</v>
      </c>
      <c r="P28" t="n">
        <v>794.524231</v>
      </c>
      <c r="Q28" t="n">
        <v>795.751404</v>
      </c>
      <c r="R28" t="n">
        <v>793.120361</v>
      </c>
      <c r="S28" t="n">
        <v>787.339966</v>
      </c>
      <c r="T28" t="n">
        <v>781.713196</v>
      </c>
      <c r="U28" t="n">
        <v>778.870544</v>
      </c>
      <c r="V28" t="n">
        <v>777.977966</v>
      </c>
      <c r="W28" t="n">
        <v>779.204834</v>
      </c>
      <c r="X28" t="n">
        <v>777.897339</v>
      </c>
      <c r="Y28" t="n">
        <v>774.047607</v>
      </c>
      <c r="Z28" t="n">
        <v>769.8038330000001</v>
      </c>
      <c r="AA28" t="n">
        <v>765.906128</v>
      </c>
      <c r="AB28" t="n">
        <v>766.344543</v>
      </c>
      <c r="AC28" t="n">
        <v>767.629517</v>
      </c>
      <c r="AD28" t="n">
        <v>764.871216</v>
      </c>
      <c r="AE28" t="n">
        <v>763.110718</v>
      </c>
      <c r="AF28" t="n">
        <v>762.698486</v>
      </c>
      <c r="AG28" t="n">
        <v>-0.003</v>
      </c>
    </row>
    <row r="29">
      <c r="A29" t="inlineStr">
        <is>
          <t>ISM000:fa_PetroleumRefi</t>
        </is>
      </c>
      <c r="B29" t="inlineStr">
        <is>
          <t>,ISIC 19,</t>
        </is>
      </c>
      <c r="C29" t="inlineStr">
        <is>
          <t>Petroleum Refineries</t>
        </is>
      </c>
      <c r="D29" t="inlineStr">
        <is>
          <t>Industrial Macroeconomic: Manufacturing: Petroleum and Coal: Petroleum Refineries: Alternative Electricity and Transportation</t>
        </is>
      </c>
      <c r="E29" t="inlineStr">
        <is>
          <t>AEO.2026.ELECTRNP.ECI_VOS_MANF_REF_NA_NA_NA_BLNY09DLR.A</t>
        </is>
      </c>
      <c r="F29" t="inlineStr">
        <is>
          <t>billion 2012 $</t>
        </is>
      </c>
      <c r="G29" t="n">
        <v>774.539978</v>
      </c>
      <c r="H29" t="n">
        <v>777.5373540000001</v>
      </c>
      <c r="I29" t="n">
        <v>776.067749</v>
      </c>
      <c r="J29" t="n">
        <v>773.384399</v>
      </c>
      <c r="K29" t="n">
        <v>766.238708</v>
      </c>
      <c r="L29" t="n">
        <v>762.010864</v>
      </c>
      <c r="M29" t="n">
        <v>756.968933</v>
      </c>
      <c r="N29" t="n">
        <v>754.997803</v>
      </c>
      <c r="O29" t="n">
        <v>753.451904</v>
      </c>
      <c r="P29" t="n">
        <v>754.009399</v>
      </c>
      <c r="Q29" t="n">
        <v>755.11731</v>
      </c>
      <c r="R29" t="n">
        <v>752.423645</v>
      </c>
      <c r="S29" t="n">
        <v>746.491028</v>
      </c>
      <c r="T29" t="n">
        <v>740.768005</v>
      </c>
      <c r="U29" t="n">
        <v>737.8125</v>
      </c>
      <c r="V29" t="n">
        <v>736.7052</v>
      </c>
      <c r="W29" t="n">
        <v>737.79657</v>
      </c>
      <c r="X29" t="n">
        <v>736.509888</v>
      </c>
      <c r="Y29" t="n">
        <v>732.667786</v>
      </c>
      <c r="Z29" t="n">
        <v>728.454712</v>
      </c>
      <c r="AA29" t="n">
        <v>724.670837</v>
      </c>
      <c r="AB29" t="n">
        <v>725.172791</v>
      </c>
      <c r="AC29" t="n">
        <v>726.477966</v>
      </c>
      <c r="AD29" t="n">
        <v>723.8184199999999</v>
      </c>
      <c r="AE29" t="n">
        <v>722.17981</v>
      </c>
      <c r="AF29" t="n">
        <v>721.855103</v>
      </c>
      <c r="AG29" t="n">
        <v>-0.003</v>
      </c>
    </row>
    <row r="30">
      <c r="A30" t="inlineStr">
        <is>
          <t>ISM000:fa_OtherPetroleu</t>
        </is>
      </c>
      <c r="B30" t="inlineStr">
        <is>
          <t>,ISIC 241,</t>
        </is>
      </c>
      <c r="C30" t="inlineStr">
        <is>
          <t>Other Petroleum and Coal Products</t>
        </is>
      </c>
      <c r="D30" t="inlineStr">
        <is>
          <t>Industrial Macroeconomic: Manufacturing: Petroleum and Coal: Other Petroleum &amp; Coal Products: Alternative Electricity and Transportation</t>
        </is>
      </c>
      <c r="E30" t="inlineStr">
        <is>
          <t>AEO.2026.ELECTRNP.ECI_VOS_MANF_PCLO_NA_NA_NA_BLNY09DLR.A</t>
        </is>
      </c>
      <c r="F30" t="inlineStr">
        <is>
          <t>billion 2012 $</t>
        </is>
      </c>
      <c r="G30" t="n">
        <v>37.928802</v>
      </c>
      <c r="H30" t="n">
        <v>38.061752</v>
      </c>
      <c r="I30" t="n">
        <v>38.561806</v>
      </c>
      <c r="J30" t="n">
        <v>39.056305</v>
      </c>
      <c r="K30" t="n">
        <v>39.331112</v>
      </c>
      <c r="L30" t="n">
        <v>39.764568</v>
      </c>
      <c r="M30" t="n">
        <v>40.11956</v>
      </c>
      <c r="N30" t="n">
        <v>40.299236</v>
      </c>
      <c r="O30" t="n">
        <v>40.397125</v>
      </c>
      <c r="P30" t="n">
        <v>40.514839</v>
      </c>
      <c r="Q30" t="n">
        <v>40.634068</v>
      </c>
      <c r="R30" t="n">
        <v>40.696747</v>
      </c>
      <c r="S30" t="n">
        <v>40.848927</v>
      </c>
      <c r="T30" t="n">
        <v>40.945206</v>
      </c>
      <c r="U30" t="n">
        <v>41.058052</v>
      </c>
      <c r="V30" t="n">
        <v>41.272781</v>
      </c>
      <c r="W30" t="n">
        <v>41.408283</v>
      </c>
      <c r="X30" t="n">
        <v>41.387432</v>
      </c>
      <c r="Y30" t="n">
        <v>41.379841</v>
      </c>
      <c r="Z30" t="n">
        <v>41.349102</v>
      </c>
      <c r="AA30" t="n">
        <v>41.235302</v>
      </c>
      <c r="AB30" t="n">
        <v>41.17173</v>
      </c>
      <c r="AC30" t="n">
        <v>41.151543</v>
      </c>
      <c r="AD30" t="n">
        <v>41.052803</v>
      </c>
      <c r="AE30" t="n">
        <v>40.930908</v>
      </c>
      <c r="AF30" t="n">
        <v>40.843361</v>
      </c>
      <c r="AG30" t="n">
        <v>0.003</v>
      </c>
    </row>
    <row r="31">
      <c r="A31" t="inlineStr">
        <is>
          <t>ISM000:fa_RubberandMisc</t>
        </is>
      </c>
      <c r="B31" t="inlineStr">
        <is>
          <t>,ISIC 22,</t>
        </is>
      </c>
      <c r="C31" t="inlineStr">
        <is>
          <t>Plastics and Rubber Products</t>
        </is>
      </c>
      <c r="D31" t="inlineStr">
        <is>
          <t>Industrial Macroeconomic: Manufacturing: Plastics and Rubber Products: Alternative Electricity and Transportation</t>
        </is>
      </c>
      <c r="E31" t="inlineStr">
        <is>
          <t>AEO.2026.ELECTRNP.ECI_VOS_MANF_PRP_NA_NA_NA_BLNY09DLR.A</t>
        </is>
      </c>
      <c r="F31" t="inlineStr">
        <is>
          <t>billion 2012 $</t>
        </is>
      </c>
      <c r="G31" t="n">
        <v>216.092499</v>
      </c>
      <c r="H31" t="n">
        <v>214.823395</v>
      </c>
      <c r="I31" t="n">
        <v>219.677505</v>
      </c>
      <c r="J31" t="n">
        <v>222.330856</v>
      </c>
      <c r="K31" t="n">
        <v>223.295807</v>
      </c>
      <c r="L31" t="n">
        <v>225.648972</v>
      </c>
      <c r="M31" t="n">
        <v>228.338623</v>
      </c>
      <c r="N31" t="n">
        <v>229.98912</v>
      </c>
      <c r="O31" t="n">
        <v>231.525879</v>
      </c>
      <c r="P31" t="n">
        <v>232.555054</v>
      </c>
      <c r="Q31" t="n">
        <v>234.369232</v>
      </c>
      <c r="R31" t="n">
        <v>237.0793</v>
      </c>
      <c r="S31" t="n">
        <v>240.294846</v>
      </c>
      <c r="T31" t="n">
        <v>243.169006</v>
      </c>
      <c r="U31" t="n">
        <v>245.565353</v>
      </c>
      <c r="V31" t="n">
        <v>248.448929</v>
      </c>
      <c r="W31" t="n">
        <v>251.362656</v>
      </c>
      <c r="X31" t="n">
        <v>254.492828</v>
      </c>
      <c r="Y31" t="n">
        <v>257.412537</v>
      </c>
      <c r="Z31" t="n">
        <v>260.395477</v>
      </c>
      <c r="AA31" t="n">
        <v>263.662231</v>
      </c>
      <c r="AB31" t="n">
        <v>266.493835</v>
      </c>
      <c r="AC31" t="n">
        <v>269.102417</v>
      </c>
      <c r="AD31" t="n">
        <v>271.19577</v>
      </c>
      <c r="AE31" t="n">
        <v>274.129761</v>
      </c>
      <c r="AF31" t="n">
        <v>277.056915</v>
      </c>
      <c r="AG31" t="n">
        <v>0.01</v>
      </c>
    </row>
    <row r="32">
      <c r="A32" t="inlineStr">
        <is>
          <t>ISM000:fa_Stone,Clay,an</t>
        </is>
      </c>
      <c r="C32" t="inlineStr">
        <is>
          <t>Non-metallic minerals</t>
        </is>
      </c>
      <c r="D32" t="inlineStr">
        <is>
          <t>Industrial Macroeconomic: Manufacturing: Stone, Clay, and Glass Products: Alternative Electricity and Transportation</t>
        </is>
      </c>
      <c r="E32" t="inlineStr">
        <is>
          <t>AEO.2026.ELECTRNP.ECI_VOS_MANF_SCG_NA_NA_NA_BLNY09DLR.A</t>
        </is>
      </c>
      <c r="F32" t="inlineStr">
        <is>
          <t>billion 2012 $</t>
        </is>
      </c>
      <c r="G32" t="n">
        <v>111.717621</v>
      </c>
      <c r="H32" t="n">
        <v>110.275085</v>
      </c>
      <c r="I32" t="n">
        <v>108.786674</v>
      </c>
      <c r="J32" t="n">
        <v>108.493782</v>
      </c>
      <c r="K32" t="n">
        <v>108.214882</v>
      </c>
      <c r="L32" t="n">
        <v>108.480453</v>
      </c>
      <c r="M32" t="n">
        <v>109.168541</v>
      </c>
      <c r="N32" t="n">
        <v>109.853004</v>
      </c>
      <c r="O32" t="n">
        <v>110.825157</v>
      </c>
      <c r="P32" t="n">
        <v>111.884613</v>
      </c>
      <c r="Q32" t="n">
        <v>112.972191</v>
      </c>
      <c r="R32" t="n">
        <v>114.100296</v>
      </c>
      <c r="S32" t="n">
        <v>115.132263</v>
      </c>
      <c r="T32" t="n">
        <v>116.23027</v>
      </c>
      <c r="U32" t="n">
        <v>117.294624</v>
      </c>
      <c r="V32" t="n">
        <v>117.994339</v>
      </c>
      <c r="W32" t="n">
        <v>118.390892</v>
      </c>
      <c r="X32" t="n">
        <v>118.60862</v>
      </c>
      <c r="Y32" t="n">
        <v>118.440742</v>
      </c>
      <c r="Z32" t="n">
        <v>118.101471</v>
      </c>
      <c r="AA32" t="n">
        <v>118.495834</v>
      </c>
      <c r="AB32" t="n">
        <v>119.35685</v>
      </c>
      <c r="AC32" t="n">
        <v>120.240875</v>
      </c>
      <c r="AD32" t="n">
        <v>121.143654</v>
      </c>
      <c r="AE32" t="n">
        <v>122.017525</v>
      </c>
      <c r="AF32" t="n">
        <v>122.991974</v>
      </c>
      <c r="AG32" t="n">
        <v>0.004</v>
      </c>
    </row>
    <row r="33">
      <c r="A33" t="inlineStr">
        <is>
          <t>ISM000:fa_GlassandGlass</t>
        </is>
      </c>
      <c r="B33" t="inlineStr">
        <is>
          <t>,ISIC 231,</t>
        </is>
      </c>
      <c r="C33" t="inlineStr">
        <is>
          <t>Glass and Glass Products</t>
        </is>
      </c>
      <c r="D33" t="inlineStr">
        <is>
          <t>Industrial Macroeconomic: Manufacturing: Stone, Clay, and Glass: Glass and Glass Products: Alternative Electricity and Transportation</t>
        </is>
      </c>
      <c r="E33" t="inlineStr">
        <is>
          <t>AEO.2026.ELECTRNP.ECI_VOS_MANF_SCGG_NA_NA_NA_BLNY09DLR.A</t>
        </is>
      </c>
      <c r="F33" t="inlineStr">
        <is>
          <t>billion 2012 $</t>
        </is>
      </c>
      <c r="G33" t="n">
        <v>21.317434</v>
      </c>
      <c r="H33" t="n">
        <v>21.330378</v>
      </c>
      <c r="I33" t="n">
        <v>21.382898</v>
      </c>
      <c r="J33" t="n">
        <v>21.358</v>
      </c>
      <c r="K33" t="n">
        <v>21.324633</v>
      </c>
      <c r="L33" t="n">
        <v>21.333778</v>
      </c>
      <c r="M33" t="n">
        <v>21.370119</v>
      </c>
      <c r="N33" t="n">
        <v>21.456921</v>
      </c>
      <c r="O33" t="n">
        <v>21.599215</v>
      </c>
      <c r="P33" t="n">
        <v>21.778683</v>
      </c>
      <c r="Q33" t="n">
        <v>22.004484</v>
      </c>
      <c r="R33" t="n">
        <v>22.229578</v>
      </c>
      <c r="S33" t="n">
        <v>22.444937</v>
      </c>
      <c r="T33" t="n">
        <v>22.672058</v>
      </c>
      <c r="U33" t="n">
        <v>22.897127</v>
      </c>
      <c r="V33" t="n">
        <v>23.127674</v>
      </c>
      <c r="W33" t="n">
        <v>23.370462</v>
      </c>
      <c r="X33" t="n">
        <v>23.622248</v>
      </c>
      <c r="Y33" t="n">
        <v>23.883127</v>
      </c>
      <c r="Z33" t="n">
        <v>24.140699</v>
      </c>
      <c r="AA33" t="n">
        <v>24.406715</v>
      </c>
      <c r="AB33" t="n">
        <v>24.67695</v>
      </c>
      <c r="AC33" t="n">
        <v>24.94762</v>
      </c>
      <c r="AD33" t="n">
        <v>25.221365</v>
      </c>
      <c r="AE33" t="n">
        <v>25.484995</v>
      </c>
      <c r="AF33" t="n">
        <v>25.749542</v>
      </c>
      <c r="AG33" t="n">
        <v>0.008</v>
      </c>
    </row>
    <row r="34">
      <c r="A34" t="inlineStr">
        <is>
          <t>ISM000:fa_CementandHydr</t>
        </is>
      </c>
      <c r="B34" t="inlineStr">
        <is>
          <t>,ISIC 239,</t>
        </is>
      </c>
      <c r="C34" t="inlineStr">
        <is>
          <t>Cement and Lime</t>
        </is>
      </c>
      <c r="D34" t="inlineStr">
        <is>
          <t>Industrial Macroeconomic: Manufacturing: Stone, Clay, and Glass: Cement and Lime: Alternative Electricity and Transportation</t>
        </is>
      </c>
      <c r="E34" t="inlineStr">
        <is>
          <t>AEO.2026.ELECTRNP.ECI_VOS_MANF_SCGCL_NA_NA_NA_BLNY09DLR.A</t>
        </is>
      </c>
      <c r="F34" t="inlineStr">
        <is>
          <t>billion 2012 $</t>
        </is>
      </c>
      <c r="G34" t="n">
        <v>9.336027</v>
      </c>
      <c r="H34" t="n">
        <v>9.138749000000001</v>
      </c>
      <c r="I34" t="n">
        <v>8.976787</v>
      </c>
      <c r="J34" t="n">
        <v>8.899744</v>
      </c>
      <c r="K34" t="n">
        <v>8.858376</v>
      </c>
      <c r="L34" t="n">
        <v>8.879111</v>
      </c>
      <c r="M34" t="n">
        <v>8.939971</v>
      </c>
      <c r="N34" t="n">
        <v>9.02407</v>
      </c>
      <c r="O34" t="n">
        <v>9.135289</v>
      </c>
      <c r="P34" t="n">
        <v>9.258552999999999</v>
      </c>
      <c r="Q34" t="n">
        <v>9.389754</v>
      </c>
      <c r="R34" t="n">
        <v>9.524654</v>
      </c>
      <c r="S34" t="n">
        <v>9.657454</v>
      </c>
      <c r="T34" t="n">
        <v>9.793234</v>
      </c>
      <c r="U34" t="n">
        <v>9.925656</v>
      </c>
      <c r="V34" t="n">
        <v>10.036542</v>
      </c>
      <c r="W34" t="n">
        <v>10.121435</v>
      </c>
      <c r="X34" t="n">
        <v>10.178687</v>
      </c>
      <c r="Y34" t="n">
        <v>10.198941</v>
      </c>
      <c r="Z34" t="n">
        <v>10.195507</v>
      </c>
      <c r="AA34" t="n">
        <v>10.222628</v>
      </c>
      <c r="AB34" t="n">
        <v>10.289026</v>
      </c>
      <c r="AC34" t="n">
        <v>10.381219</v>
      </c>
      <c r="AD34" t="n">
        <v>10.489734</v>
      </c>
      <c r="AE34" t="n">
        <v>10.605895</v>
      </c>
      <c r="AF34" t="n">
        <v>10.7287</v>
      </c>
      <c r="AG34" t="n">
        <v>0.006</v>
      </c>
    </row>
    <row r="35">
      <c r="A35" t="inlineStr">
        <is>
          <t>ISM000:fa_OtherStone,Cl</t>
        </is>
      </c>
      <c r="B35" t="inlineStr">
        <is>
          <t>,ISIC 239,</t>
        </is>
      </c>
      <c r="C35" t="inlineStr">
        <is>
          <t>Other Nonmetallic Mineral Products</t>
        </is>
      </c>
      <c r="D35" t="inlineStr">
        <is>
          <t>Industrial Macroeconomic: Manufacturing: Stone, Clay, and Glass: Other Nonmetallic Mineral Products: Alternative Electricity and Transportation</t>
        </is>
      </c>
      <c r="E35" t="inlineStr">
        <is>
          <t>AEO.2026.ELECTRNP.ECI_VOS_MANF_SCGOM_NA_NA_NA_BLNY09DLR.A</t>
        </is>
      </c>
      <c r="F35" t="inlineStr">
        <is>
          <t>billion 2012 $</t>
        </is>
      </c>
      <c r="G35" t="n">
        <v>81.064156</v>
      </c>
      <c r="H35" t="n">
        <v>79.80596199999999</v>
      </c>
      <c r="I35" t="n">
        <v>78.426987</v>
      </c>
      <c r="J35" t="n">
        <v>78.23603799999999</v>
      </c>
      <c r="K35" t="n">
        <v>78.031876</v>
      </c>
      <c r="L35" t="n">
        <v>78.267563</v>
      </c>
      <c r="M35" t="n">
        <v>78.858452</v>
      </c>
      <c r="N35" t="n">
        <v>79.372017</v>
      </c>
      <c r="O35" t="n">
        <v>80.09065200000001</v>
      </c>
      <c r="P35" t="n">
        <v>80.847382</v>
      </c>
      <c r="Q35" t="n">
        <v>81.57795</v>
      </c>
      <c r="R35" t="n">
        <v>82.346069</v>
      </c>
      <c r="S35" t="n">
        <v>83.02986900000001</v>
      </c>
      <c r="T35" t="n">
        <v>83.764977</v>
      </c>
      <c r="U35" t="n">
        <v>84.47184</v>
      </c>
      <c r="V35" t="n">
        <v>84.830124</v>
      </c>
      <c r="W35" t="n">
        <v>84.898994</v>
      </c>
      <c r="X35" t="n">
        <v>84.807686</v>
      </c>
      <c r="Y35" t="n">
        <v>84.358673</v>
      </c>
      <c r="Z35" t="n">
        <v>83.765266</v>
      </c>
      <c r="AA35" t="n">
        <v>83.86648599999999</v>
      </c>
      <c r="AB35" t="n">
        <v>84.390877</v>
      </c>
      <c r="AC35" t="n">
        <v>84.91203299999999</v>
      </c>
      <c r="AD35" t="n">
        <v>85.43255600000001</v>
      </c>
      <c r="AE35" t="n">
        <v>85.926636</v>
      </c>
      <c r="AF35" t="n">
        <v>86.513733</v>
      </c>
      <c r="AG35" t="n">
        <v>0.003</v>
      </c>
    </row>
    <row r="36">
      <c r="A36" t="inlineStr">
        <is>
          <t>ISM000:ga_PrimaryMetals</t>
        </is>
      </c>
      <c r="C36" t="inlineStr">
        <is>
          <t>Primary Metals Industry</t>
        </is>
      </c>
      <c r="D36" t="inlineStr">
        <is>
          <t>Industrial Macroeconomic: Manufacturing: Primary Metals Industry: Alternative Electricity and Transportation</t>
        </is>
      </c>
      <c r="E36" t="inlineStr">
        <is>
          <t>AEO.2026.ELECTRNP.ECI_VOS_MANF_PMM_NA_NA_NA_BLNY09DLR.A</t>
        </is>
      </c>
      <c r="F36" t="inlineStr">
        <is>
          <t>billion 2012 $</t>
        </is>
      </c>
      <c r="G36" t="n">
        <v>246.755722</v>
      </c>
      <c r="H36" t="n">
        <v>250.087158</v>
      </c>
      <c r="I36" t="n">
        <v>255.740158</v>
      </c>
      <c r="J36" t="n">
        <v>255.595413</v>
      </c>
      <c r="K36" t="n">
        <v>257.121918</v>
      </c>
      <c r="L36" t="n">
        <v>260.644714</v>
      </c>
      <c r="M36" t="n">
        <v>263.586365</v>
      </c>
      <c r="N36" t="n">
        <v>267.570404</v>
      </c>
      <c r="O36" t="n">
        <v>271.298248</v>
      </c>
      <c r="P36" t="n">
        <v>273.569824</v>
      </c>
      <c r="Q36" t="n">
        <v>276.890106</v>
      </c>
      <c r="R36" t="n">
        <v>279.220032</v>
      </c>
      <c r="S36" t="n">
        <v>281.901062</v>
      </c>
      <c r="T36" t="n">
        <v>284.142548</v>
      </c>
      <c r="U36" t="n">
        <v>286.104187</v>
      </c>
      <c r="V36" t="n">
        <v>289.029602</v>
      </c>
      <c r="W36" t="n">
        <v>292.310883</v>
      </c>
      <c r="X36" t="n">
        <v>295.618896</v>
      </c>
      <c r="Y36" t="n">
        <v>298.473785</v>
      </c>
      <c r="Z36" t="n">
        <v>301.266174</v>
      </c>
      <c r="AA36" t="n">
        <v>305.139069</v>
      </c>
      <c r="AB36" t="n">
        <v>308.23111</v>
      </c>
      <c r="AC36" t="n">
        <v>311.825836</v>
      </c>
      <c r="AD36" t="n">
        <v>314.935364</v>
      </c>
      <c r="AE36" t="n">
        <v>316.969177</v>
      </c>
      <c r="AF36" t="n">
        <v>319.741119</v>
      </c>
      <c r="AG36" t="n">
        <v>0.01</v>
      </c>
    </row>
    <row r="37">
      <c r="A37" t="inlineStr">
        <is>
          <t>ISM000:ga_BlastFurnacea</t>
        </is>
      </c>
      <c r="B37" t="inlineStr">
        <is>
          <t>,ISIC 241,</t>
        </is>
      </c>
      <c r="C37" t="inlineStr">
        <is>
          <t>Iron and Steel Mills and Products</t>
        </is>
      </c>
      <c r="D37" t="inlineStr">
        <is>
          <t>Industrial Macroeconomic: Manufacturing: Primary Metals: Iron and Steel Mills and Products: Alternative Electricity and Transportation</t>
        </is>
      </c>
      <c r="E37" t="inlineStr">
        <is>
          <t>AEO.2026.ELECTRNP.ECI_VOS_MANF_ISM_NA_NA_NA_BLNY09DLR.A</t>
        </is>
      </c>
      <c r="F37" t="inlineStr">
        <is>
          <t>billion 2012 $</t>
        </is>
      </c>
      <c r="G37" t="n">
        <v>133.185272</v>
      </c>
      <c r="H37" t="n">
        <v>136.571045</v>
      </c>
      <c r="I37" t="n">
        <v>141.489243</v>
      </c>
      <c r="J37" t="n">
        <v>140.726959</v>
      </c>
      <c r="K37" t="n">
        <v>141.82077</v>
      </c>
      <c r="L37" t="n">
        <v>144.799606</v>
      </c>
      <c r="M37" t="n">
        <v>147.152618</v>
      </c>
      <c r="N37" t="n">
        <v>150.407516</v>
      </c>
      <c r="O37" t="n">
        <v>153.237595</v>
      </c>
      <c r="P37" t="n">
        <v>154.478958</v>
      </c>
      <c r="Q37" t="n">
        <v>156.598999</v>
      </c>
      <c r="R37" t="n">
        <v>157.666306</v>
      </c>
      <c r="S37" t="n">
        <v>159.091263</v>
      </c>
      <c r="T37" t="n">
        <v>160.069885</v>
      </c>
      <c r="U37" t="n">
        <v>160.77774</v>
      </c>
      <c r="V37" t="n">
        <v>162.439377</v>
      </c>
      <c r="W37" t="n">
        <v>164.433517</v>
      </c>
      <c r="X37" t="n">
        <v>166.445129</v>
      </c>
      <c r="Y37" t="n">
        <v>168.004395</v>
      </c>
      <c r="Z37" t="n">
        <v>169.520996</v>
      </c>
      <c r="AA37" t="n">
        <v>172.14064</v>
      </c>
      <c r="AB37" t="n">
        <v>174.01265</v>
      </c>
      <c r="AC37" t="n">
        <v>176.440125</v>
      </c>
      <c r="AD37" t="n">
        <v>178.451385</v>
      </c>
      <c r="AE37" t="n">
        <v>179.463089</v>
      </c>
      <c r="AF37" t="n">
        <v>181.260727</v>
      </c>
      <c r="AG37" t="n">
        <v>0.012</v>
      </c>
    </row>
    <row r="38">
      <c r="A38" t="inlineStr">
        <is>
          <t>ISM000:ga_Aluminum</t>
        </is>
      </c>
      <c r="B38" t="inlineStr">
        <is>
          <t>,ISIC 242,</t>
        </is>
      </c>
      <c r="C38" t="inlineStr">
        <is>
          <t>Alumina and Aluminum Products</t>
        </is>
      </c>
      <c r="D38" t="inlineStr">
        <is>
          <t>Industrial Macroeconomic: Manufacturing: Primary Metals: Alumina and Aluminum Products: Alternative Electricity and Transportation</t>
        </is>
      </c>
      <c r="E38" t="inlineStr">
        <is>
          <t>AEO.2026.ELECTRNP.ECI_VOS_MANF_AAP_NA_NA_NA_BLNY09DLR.A</t>
        </is>
      </c>
      <c r="F38" t="inlineStr">
        <is>
          <t>billion 2012 $</t>
        </is>
      </c>
      <c r="G38" t="n">
        <v>34.303463</v>
      </c>
      <c r="H38" t="n">
        <v>34.704796</v>
      </c>
      <c r="I38" t="n">
        <v>35.137936</v>
      </c>
      <c r="J38" t="n">
        <v>35.538319</v>
      </c>
      <c r="K38" t="n">
        <v>35.894688</v>
      </c>
      <c r="L38" t="n">
        <v>36.223057</v>
      </c>
      <c r="M38" t="n">
        <v>36.590855</v>
      </c>
      <c r="N38" t="n">
        <v>37.023113</v>
      </c>
      <c r="O38" t="n">
        <v>37.529774</v>
      </c>
      <c r="P38" t="n">
        <v>38.114296</v>
      </c>
      <c r="Q38" t="n">
        <v>38.792519</v>
      </c>
      <c r="R38" t="n">
        <v>39.503159</v>
      </c>
      <c r="S38" t="n">
        <v>40.215851</v>
      </c>
      <c r="T38" t="n">
        <v>40.931011</v>
      </c>
      <c r="U38" t="n">
        <v>41.635021</v>
      </c>
      <c r="V38" t="n">
        <v>42.331554</v>
      </c>
      <c r="W38" t="n">
        <v>43.032452</v>
      </c>
      <c r="X38" t="n">
        <v>43.73204</v>
      </c>
      <c r="Y38" t="n">
        <v>44.414871</v>
      </c>
      <c r="Z38" t="n">
        <v>45.054203</v>
      </c>
      <c r="AA38" t="n">
        <v>45.637836</v>
      </c>
      <c r="AB38" t="n">
        <v>46.167351</v>
      </c>
      <c r="AC38" t="n">
        <v>46.650509</v>
      </c>
      <c r="AD38" t="n">
        <v>47.085503</v>
      </c>
      <c r="AE38" t="n">
        <v>47.473671</v>
      </c>
      <c r="AF38" t="n">
        <v>47.835384</v>
      </c>
      <c r="AG38" t="n">
        <v>0.013</v>
      </c>
    </row>
    <row r="39">
      <c r="A39" t="inlineStr">
        <is>
          <t>ISM000:ga_OtherPrimaryM</t>
        </is>
      </c>
      <c r="B39" t="inlineStr">
        <is>
          <t>,ISIC 242,</t>
        </is>
      </c>
      <c r="C39" t="inlineStr">
        <is>
          <t>Other Primary Metal Products</t>
        </is>
      </c>
      <c r="D39" t="inlineStr">
        <is>
          <t>Industrial Macroeconomic: Manufacturing: Primary Metals: Other Primary Metal Products: Alternative Electricity and Transportation</t>
        </is>
      </c>
      <c r="E39" t="inlineStr">
        <is>
          <t>AEO.2026.ELECTRNP.ECI_VOS_MANF_PMO_NA_NA_NA_BLNY09DLR.A</t>
        </is>
      </c>
      <c r="F39" t="inlineStr">
        <is>
          <t>billion 2012 $</t>
        </is>
      </c>
      <c r="G39" t="n">
        <v>79.266983</v>
      </c>
      <c r="H39" t="n">
        <v>78.811302</v>
      </c>
      <c r="I39" t="n">
        <v>79.112976</v>
      </c>
      <c r="J39" t="n">
        <v>79.330147</v>
      </c>
      <c r="K39" t="n">
        <v>79.406471</v>
      </c>
      <c r="L39" t="n">
        <v>79.62204699999999</v>
      </c>
      <c r="M39" t="n">
        <v>79.842896</v>
      </c>
      <c r="N39" t="n">
        <v>80.139786</v>
      </c>
      <c r="O39" t="n">
        <v>80.530861</v>
      </c>
      <c r="P39" t="n">
        <v>80.976562</v>
      </c>
      <c r="Q39" t="n">
        <v>81.49857299999999</v>
      </c>
      <c r="R39" t="n">
        <v>82.050552</v>
      </c>
      <c r="S39" t="n">
        <v>82.593948</v>
      </c>
      <c r="T39" t="n">
        <v>83.14164700000001</v>
      </c>
      <c r="U39" t="n">
        <v>83.691399</v>
      </c>
      <c r="V39" t="n">
        <v>84.258675</v>
      </c>
      <c r="W39" t="n">
        <v>84.844894</v>
      </c>
      <c r="X39" t="n">
        <v>85.441742</v>
      </c>
      <c r="Y39" t="n">
        <v>86.05452</v>
      </c>
      <c r="Z39" t="n">
        <v>86.690979</v>
      </c>
      <c r="AA39" t="n">
        <v>87.36061100000001</v>
      </c>
      <c r="AB39" t="n">
        <v>88.051102</v>
      </c>
      <c r="AC39" t="n">
        <v>88.735176</v>
      </c>
      <c r="AD39" t="n">
        <v>89.398453</v>
      </c>
      <c r="AE39" t="n">
        <v>90.03241</v>
      </c>
      <c r="AF39" t="n">
        <v>90.644989</v>
      </c>
      <c r="AG39" t="n">
        <v>0.005</v>
      </c>
    </row>
    <row r="40">
      <c r="A40" t="inlineStr">
        <is>
          <t>ISM000:ga_FabricatedMet</t>
        </is>
      </c>
      <c r="B40" t="inlineStr">
        <is>
          <t>,ISIC 25,</t>
        </is>
      </c>
      <c r="C40" t="inlineStr">
        <is>
          <t>Fabricated Metal Products</t>
        </is>
      </c>
      <c r="D40" t="inlineStr">
        <is>
          <t>Industrial Macroeconomic: Manufacturing: Fabricated Metal Products: Alternative Electricity and Transportation</t>
        </is>
      </c>
      <c r="E40" t="inlineStr">
        <is>
          <t>AEO.2026.ELECTRNP.ECI_VOS_MANF_FBP_NA_NA_NA_BLNY09DLR.A</t>
        </is>
      </c>
      <c r="F40" t="inlineStr">
        <is>
          <t>billion 2012 $</t>
        </is>
      </c>
      <c r="G40" t="n">
        <v>310.267487</v>
      </c>
      <c r="H40" t="n">
        <v>316.877045</v>
      </c>
      <c r="I40" t="n">
        <v>322.389435</v>
      </c>
      <c r="J40" t="n">
        <v>319.584412</v>
      </c>
      <c r="K40" t="n">
        <v>318.392212</v>
      </c>
      <c r="L40" t="n">
        <v>318.325897</v>
      </c>
      <c r="M40" t="n">
        <v>318.722137</v>
      </c>
      <c r="N40" t="n">
        <v>321.753662</v>
      </c>
      <c r="O40" t="n">
        <v>324.085693</v>
      </c>
      <c r="P40" t="n">
        <v>328.128998</v>
      </c>
      <c r="Q40" t="n">
        <v>332.004303</v>
      </c>
      <c r="R40" t="n">
        <v>334.631134</v>
      </c>
      <c r="S40" t="n">
        <v>337.585022</v>
      </c>
      <c r="T40" t="n">
        <v>341.105255</v>
      </c>
      <c r="U40" t="n">
        <v>343.534821</v>
      </c>
      <c r="V40" t="n">
        <v>346.934143</v>
      </c>
      <c r="W40" t="n">
        <v>350.070038</v>
      </c>
      <c r="X40" t="n">
        <v>353.55838</v>
      </c>
      <c r="Y40" t="n">
        <v>357.13855</v>
      </c>
      <c r="Z40" t="n">
        <v>362.213501</v>
      </c>
      <c r="AA40" t="n">
        <v>367.135986</v>
      </c>
      <c r="AB40" t="n">
        <v>371.484283</v>
      </c>
      <c r="AC40" t="n">
        <v>373.76889</v>
      </c>
      <c r="AD40" t="n">
        <v>375.089203</v>
      </c>
      <c r="AE40" t="n">
        <v>379.121002</v>
      </c>
      <c r="AF40" t="n">
        <v>382.781158</v>
      </c>
      <c r="AG40" t="n">
        <v>0.008</v>
      </c>
    </row>
    <row r="41">
      <c r="A41" t="inlineStr">
        <is>
          <t>ISM000:ga_IndustrialMac</t>
        </is>
      </c>
      <c r="B41" t="inlineStr">
        <is>
          <t>,ISIC 28,</t>
        </is>
      </c>
      <c r="C41" t="inlineStr">
        <is>
          <t>Machinery</t>
        </is>
      </c>
      <c r="D41" t="inlineStr">
        <is>
          <t>Industrial Macroeconomic: Manufacturing: Machinery: Alternative Electricity and Transportation</t>
        </is>
      </c>
      <c r="E41" t="inlineStr">
        <is>
          <t>AEO.2026.ELECTRNP.ECI_VOS_MANF_MCHI_NA_NA_NA_BLNY09DLR.A</t>
        </is>
      </c>
      <c r="F41" t="inlineStr">
        <is>
          <t>billion 2012 $</t>
        </is>
      </c>
      <c r="G41" t="n">
        <v>305.26001</v>
      </c>
      <c r="H41" t="n">
        <v>299.013855</v>
      </c>
      <c r="I41" t="n">
        <v>306.222961</v>
      </c>
      <c r="J41" t="n">
        <v>311.988953</v>
      </c>
      <c r="K41" t="n">
        <v>318.057556</v>
      </c>
      <c r="L41" t="n">
        <v>322.155853</v>
      </c>
      <c r="M41" t="n">
        <v>328.441467</v>
      </c>
      <c r="N41" t="n">
        <v>333.775635</v>
      </c>
      <c r="O41" t="n">
        <v>334.120361</v>
      </c>
      <c r="P41" t="n">
        <v>336.719849</v>
      </c>
      <c r="Q41" t="n">
        <v>341.104828</v>
      </c>
      <c r="R41" t="n">
        <v>344.257172</v>
      </c>
      <c r="S41" t="n">
        <v>346.368835</v>
      </c>
      <c r="T41" t="n">
        <v>347.215332</v>
      </c>
      <c r="U41" t="n">
        <v>347.323059</v>
      </c>
      <c r="V41" t="n">
        <v>348.831635</v>
      </c>
      <c r="W41" t="n">
        <v>350.165375</v>
      </c>
      <c r="X41" t="n">
        <v>351.428162</v>
      </c>
      <c r="Y41" t="n">
        <v>352.080353</v>
      </c>
      <c r="Z41" t="n">
        <v>352.599304</v>
      </c>
      <c r="AA41" t="n">
        <v>353.708008</v>
      </c>
      <c r="AB41" t="n">
        <v>355.370605</v>
      </c>
      <c r="AC41" t="n">
        <v>357.263489</v>
      </c>
      <c r="AD41" t="n">
        <v>358.306305</v>
      </c>
      <c r="AE41" t="n">
        <v>358.593384</v>
      </c>
      <c r="AF41" t="n">
        <v>358.35907</v>
      </c>
      <c r="AG41" t="n">
        <v>0.006</v>
      </c>
    </row>
    <row r="42">
      <c r="A42" t="inlineStr">
        <is>
          <t>ISM000:ga_Electronicand</t>
        </is>
      </c>
      <c r="B42" t="inlineStr">
        <is>
          <t>,ISIC 26,</t>
        </is>
      </c>
      <c r="C42" t="inlineStr">
        <is>
          <t>Computers and Electronics</t>
        </is>
      </c>
      <c r="D42" t="inlineStr">
        <is>
          <t>Industrial Macroeconomic: Manufacturing: Computers and Electronics: Alternative Electricity and Transportation</t>
        </is>
      </c>
      <c r="E42" t="inlineStr">
        <is>
          <t>AEO.2026.ELECTRNP.ECI_VOS_MANF_CMPEL_NA_NA_NA_BLNY09DLR.A</t>
        </is>
      </c>
      <c r="F42" t="inlineStr">
        <is>
          <t>billion 2012 $</t>
        </is>
      </c>
      <c r="G42" t="n">
        <v>411.202515</v>
      </c>
      <c r="H42" t="n">
        <v>415.516998</v>
      </c>
      <c r="I42" t="n">
        <v>431.086823</v>
      </c>
      <c r="J42" t="n">
        <v>441.412354</v>
      </c>
      <c r="K42" t="n">
        <v>452.649292</v>
      </c>
      <c r="L42" t="n">
        <v>461.904633</v>
      </c>
      <c r="M42" t="n">
        <v>469.320007</v>
      </c>
      <c r="N42" t="n">
        <v>478.329987</v>
      </c>
      <c r="O42" t="n">
        <v>484.94519</v>
      </c>
      <c r="P42" t="n">
        <v>493.503387</v>
      </c>
      <c r="Q42" t="n">
        <v>503.609009</v>
      </c>
      <c r="R42" t="n">
        <v>513.616821</v>
      </c>
      <c r="S42" t="n">
        <v>524.408508</v>
      </c>
      <c r="T42" t="n">
        <v>535.191406</v>
      </c>
      <c r="U42" t="n">
        <v>546.870239</v>
      </c>
      <c r="V42" t="n">
        <v>559.026672</v>
      </c>
      <c r="W42" t="n">
        <v>570.980469</v>
      </c>
      <c r="X42" t="n">
        <v>583.860474</v>
      </c>
      <c r="Y42" t="n">
        <v>597.45813</v>
      </c>
      <c r="Z42" t="n">
        <v>612.4938959999999</v>
      </c>
      <c r="AA42" t="n">
        <v>628.377686</v>
      </c>
      <c r="AB42" t="n">
        <v>645.0931399999999</v>
      </c>
      <c r="AC42" t="n">
        <v>661.210693</v>
      </c>
      <c r="AD42" t="n">
        <v>677.411194</v>
      </c>
      <c r="AE42" t="n">
        <v>693.939575</v>
      </c>
      <c r="AF42" t="n">
        <v>708.702087</v>
      </c>
      <c r="AG42" t="n">
        <v>0.022</v>
      </c>
    </row>
    <row r="43">
      <c r="A43" t="inlineStr">
        <is>
          <t>ISM000:ga_Transportatio</t>
        </is>
      </c>
      <c r="B43" t="inlineStr">
        <is>
          <t>,ISIC 29,ISIC 302T309,</t>
        </is>
      </c>
      <c r="C43" t="inlineStr">
        <is>
          <t>Transportation Equipment</t>
        </is>
      </c>
      <c r="D43" t="inlineStr">
        <is>
          <t>Industrial Macroeconomic: Manufacturing: Transportation Equipment: Alternative Electricity and Transportation</t>
        </is>
      </c>
      <c r="E43" t="inlineStr">
        <is>
          <t>AEO.2026.ELECTRNP.ECI_VOS_MANF_TEQ_NA_NA_NA_BLNY09DLR.A</t>
        </is>
      </c>
      <c r="F43" t="inlineStr">
        <is>
          <t>billion 2012 $</t>
        </is>
      </c>
      <c r="G43" t="n">
        <v>1002.35498</v>
      </c>
      <c r="H43" t="n">
        <v>1005.299988</v>
      </c>
      <c r="I43" t="n">
        <v>1068.974976</v>
      </c>
      <c r="J43" t="n">
        <v>1089.931763</v>
      </c>
      <c r="K43" t="n">
        <v>1107.296997</v>
      </c>
      <c r="L43" t="n">
        <v>1125.723999</v>
      </c>
      <c r="M43" t="n">
        <v>1133.268799</v>
      </c>
      <c r="N43" t="n">
        <v>1151.268799</v>
      </c>
      <c r="O43" t="n">
        <v>1159.228271</v>
      </c>
      <c r="P43" t="n">
        <v>1162.536987</v>
      </c>
      <c r="Q43" t="n">
        <v>1167.008545</v>
      </c>
      <c r="R43" t="n">
        <v>1179.001953</v>
      </c>
      <c r="S43" t="n">
        <v>1203.256714</v>
      </c>
      <c r="T43" t="n">
        <v>1225.75769</v>
      </c>
      <c r="U43" t="n">
        <v>1248.692993</v>
      </c>
      <c r="V43" t="n">
        <v>1269.942505</v>
      </c>
      <c r="W43" t="n">
        <v>1288.689453</v>
      </c>
      <c r="X43" t="n">
        <v>1307.558716</v>
      </c>
      <c r="Y43" t="n">
        <v>1324.182495</v>
      </c>
      <c r="Z43" t="n">
        <v>1341.259521</v>
      </c>
      <c r="AA43" t="n">
        <v>1359.182983</v>
      </c>
      <c r="AB43" t="n">
        <v>1376.203247</v>
      </c>
      <c r="AC43" t="n">
        <v>1391.797729</v>
      </c>
      <c r="AD43" t="n">
        <v>1407.749756</v>
      </c>
      <c r="AE43" t="n">
        <v>1422.330811</v>
      </c>
      <c r="AF43" t="n">
        <v>1434.135742</v>
      </c>
      <c r="AG43" t="n">
        <v>0.014</v>
      </c>
    </row>
    <row r="44">
      <c r="A44" t="inlineStr">
        <is>
          <t>ISM000:ga_Instrumentsan</t>
        </is>
      </c>
      <c r="B44" t="inlineStr">
        <is>
          <t>,ISIC 27,</t>
        </is>
      </c>
      <c r="C44" t="inlineStr">
        <is>
          <t>Electrical Equipment</t>
        </is>
      </c>
      <c r="D44" t="inlineStr">
        <is>
          <t>Industrial Macroeconomic: Manufacturing: Electrical Equipment: Alternative Electricity and Transportation</t>
        </is>
      </c>
      <c r="E44" t="inlineStr">
        <is>
          <t>AEO.2026.ELECTRNP.ECI_VOS_MANF_EEQ_NA_NA_NA_BLNY09DLR.A</t>
        </is>
      </c>
      <c r="F44" t="inlineStr">
        <is>
          <t>billion 2012 $</t>
        </is>
      </c>
      <c r="G44" t="n">
        <v>118.297501</v>
      </c>
      <c r="H44" t="n">
        <v>116.738251</v>
      </c>
      <c r="I44" t="n">
        <v>116.096672</v>
      </c>
      <c r="J44" t="n">
        <v>114.278603</v>
      </c>
      <c r="K44" t="n">
        <v>113.856224</v>
      </c>
      <c r="L44" t="n">
        <v>115.909378</v>
      </c>
      <c r="M44" t="n">
        <v>117.778427</v>
      </c>
      <c r="N44" t="n">
        <v>119.758278</v>
      </c>
      <c r="O44" t="n">
        <v>120.4133</v>
      </c>
      <c r="P44" t="n">
        <v>120.946648</v>
      </c>
      <c r="Q44" t="n">
        <v>122.242722</v>
      </c>
      <c r="R44" t="n">
        <v>123.168228</v>
      </c>
      <c r="S44" t="n">
        <v>124.023949</v>
      </c>
      <c r="T44" t="n">
        <v>124.646446</v>
      </c>
      <c r="U44" t="n">
        <v>125.239227</v>
      </c>
      <c r="V44" t="n">
        <v>126.064003</v>
      </c>
      <c r="W44" t="n">
        <v>126.777603</v>
      </c>
      <c r="X44" t="n">
        <v>127.612022</v>
      </c>
      <c r="Y44" t="n">
        <v>128.323776</v>
      </c>
      <c r="Z44" t="n">
        <v>129.008896</v>
      </c>
      <c r="AA44" t="n">
        <v>129.821594</v>
      </c>
      <c r="AB44" t="n">
        <v>130.855392</v>
      </c>
      <c r="AC44" t="n">
        <v>131.880081</v>
      </c>
      <c r="AD44" t="n">
        <v>132.773621</v>
      </c>
      <c r="AE44" t="n">
        <v>133.500122</v>
      </c>
      <c r="AF44" t="n">
        <v>134.008026</v>
      </c>
      <c r="AG44" t="n">
        <v>0.005</v>
      </c>
    </row>
    <row r="45">
      <c r="A45" t="inlineStr">
        <is>
          <t>ISM000:ga_Miscellaneous</t>
        </is>
      </c>
      <c r="B45" t="inlineStr">
        <is>
          <t>,ISIC 31T33,</t>
        </is>
      </c>
      <c r="C45" t="inlineStr">
        <is>
          <t>Miscellaneous Manufacturing</t>
        </is>
      </c>
      <c r="D45" t="inlineStr">
        <is>
          <t>Industrial Macroeconomic: Manufacturing: Miscellaneous Manufacturing: Alternative Electricity and Transportation</t>
        </is>
      </c>
      <c r="E45" t="inlineStr">
        <is>
          <t>AEO.2026.ELECTRNP.ECI_VOS_MANF_MISC_NA_NA_NA_BLNY09DLR.A</t>
        </is>
      </c>
      <c r="F45" t="inlineStr">
        <is>
          <t>billion 2012 $</t>
        </is>
      </c>
      <c r="G45" t="n">
        <v>144.907501</v>
      </c>
      <c r="H45" t="n">
        <v>145.356125</v>
      </c>
      <c r="I45" t="n">
        <v>149.458694</v>
      </c>
      <c r="J45" t="n">
        <v>152.859497</v>
      </c>
      <c r="K45" t="n">
        <v>155.880325</v>
      </c>
      <c r="L45" t="n">
        <v>159.699677</v>
      </c>
      <c r="M45" t="n">
        <v>164.222504</v>
      </c>
      <c r="N45" t="n">
        <v>165.365555</v>
      </c>
      <c r="O45" t="n">
        <v>164.929428</v>
      </c>
      <c r="P45" t="n">
        <v>163.969254</v>
      </c>
      <c r="Q45" t="n">
        <v>163.580322</v>
      </c>
      <c r="R45" t="n">
        <v>164.353745</v>
      </c>
      <c r="S45" t="n">
        <v>165.490326</v>
      </c>
      <c r="T45" t="n">
        <v>166.505325</v>
      </c>
      <c r="U45" t="n">
        <v>166.727798</v>
      </c>
      <c r="V45" t="n">
        <v>167.809006</v>
      </c>
      <c r="W45" t="n">
        <v>168.991028</v>
      </c>
      <c r="X45" t="n">
        <v>169.767181</v>
      </c>
      <c r="Y45" t="n">
        <v>170.393799</v>
      </c>
      <c r="Z45" t="n">
        <v>171.006378</v>
      </c>
      <c r="AA45" t="n">
        <v>171.547394</v>
      </c>
      <c r="AB45" t="n">
        <v>172.194077</v>
      </c>
      <c r="AC45" t="n">
        <v>172.570618</v>
      </c>
      <c r="AD45" t="n">
        <v>172.609955</v>
      </c>
      <c r="AE45" t="n">
        <v>174.438751</v>
      </c>
      <c r="AF45" t="n">
        <v>173.48642</v>
      </c>
      <c r="AG45" t="n">
        <v>0.007</v>
      </c>
    </row>
    <row r="46">
      <c r="A46" t="inlineStr">
        <is>
          <t>ISM000:ha_TotalIndustri</t>
        </is>
      </c>
      <c r="C46" t="inlineStr">
        <is>
          <t>Total Industrial Value of Shipments</t>
        </is>
      </c>
      <c r="D46" t="inlineStr">
        <is>
          <t>Industrial Macroeconomic: Total Industrial Value of Shipments: Alternative Electricity and Transportation</t>
        </is>
      </c>
      <c r="E46" t="inlineStr">
        <is>
          <t>AEO.2026.ELECTRNP.ECI_VOS_IDAL_NA_NA_NA_NA_BLNY09DLR.A</t>
        </is>
      </c>
      <c r="F46" t="inlineStr">
        <is>
          <t>billion 2012 $</t>
        </is>
      </c>
      <c r="G46" t="n">
        <v>8703.197265999999</v>
      </c>
      <c r="H46" t="n">
        <v>8752.564453000001</v>
      </c>
      <c r="I46" t="n">
        <v>8860.086914</v>
      </c>
      <c r="J46" t="n">
        <v>8925.209961</v>
      </c>
      <c r="K46" t="n">
        <v>8996.970703000001</v>
      </c>
      <c r="L46" t="n">
        <v>9096.010742</v>
      </c>
      <c r="M46" t="n">
        <v>9180.387694999999</v>
      </c>
      <c r="N46" t="n">
        <v>9280.90625</v>
      </c>
      <c r="O46" t="n">
        <v>9357.758789</v>
      </c>
      <c r="P46" t="n">
        <v>9436.433594</v>
      </c>
      <c r="Q46" t="n">
        <v>9520.166992</v>
      </c>
      <c r="R46" t="n">
        <v>9604.296875</v>
      </c>
      <c r="S46" t="n">
        <v>9697.364258</v>
      </c>
      <c r="T46" t="n">
        <v>9786.883789</v>
      </c>
      <c r="U46" t="n">
        <v>9878.123046999999</v>
      </c>
      <c r="V46" t="n">
        <v>9974.826171999999</v>
      </c>
      <c r="W46" t="n">
        <v>10069.032227</v>
      </c>
      <c r="X46" t="n">
        <v>10166.395508</v>
      </c>
      <c r="Y46" t="n">
        <v>10253.317383</v>
      </c>
      <c r="Z46" t="n">
        <v>10343.382812</v>
      </c>
      <c r="AA46" t="n">
        <v>10450.386719</v>
      </c>
      <c r="AB46" t="n">
        <v>10563.197266</v>
      </c>
      <c r="AC46" t="n">
        <v>10674.791016</v>
      </c>
      <c r="AD46" t="n">
        <v>10773.288086</v>
      </c>
      <c r="AE46" t="n">
        <v>10876.103516</v>
      </c>
      <c r="AF46" t="n">
        <v>10975.348633</v>
      </c>
      <c r="AG46" t="n">
        <v>0.008999999999999999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A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2024-&gt;2025 output growth per code, derived LIVE from the raw sources (same machinery as the BPCiObIC workbook). Row 4 = BLS compound rate; row 5 = AEO 2025 rate (2026-edition ELECTRNP vs 2025-edition HIGHZTC base-year splice); row 6 = g2025.</t>
        </is>
      </c>
    </row>
    <row r="2">
      <c r="A2" s="1" t="inlineStr">
        <is>
          <t>f2025 (2025 GDP-fit factor — the ONE imported number; from the BPCiObIC workbook 'Rescale to Fit GDP Proj' row 5, col D. Repaste on BPCiObIC source updates.)</t>
        </is>
      </c>
      <c r="B2" t="n">
        <v>0.9150442485566026</v>
      </c>
    </row>
    <row r="3">
      <c r="A3" s="1" t="inlineStr">
        <is>
          <t>ISIC</t>
        </is>
      </c>
      <c r="B3" s="1" t="inlineStr">
        <is>
          <t>ISIC 01</t>
        </is>
      </c>
      <c r="C3" s="1" t="inlineStr">
        <is>
          <t>ISIC 02</t>
        </is>
      </c>
      <c r="D3" s="1" t="inlineStr">
        <is>
          <t>ISIC 03</t>
        </is>
      </c>
      <c r="E3" s="1" t="inlineStr">
        <is>
          <t>ISIC 05</t>
        </is>
      </c>
      <c r="F3" s="1" t="inlineStr">
        <is>
          <t>ISIC 06</t>
        </is>
      </c>
      <c r="G3" s="1" t="inlineStr">
        <is>
          <t>ISIC 07</t>
        </is>
      </c>
      <c r="H3" s="1" t="inlineStr">
        <is>
          <t>ISIC 08</t>
        </is>
      </c>
      <c r="I3" s="1" t="inlineStr">
        <is>
          <t>ISIC 09</t>
        </is>
      </c>
      <c r="J3" s="1" t="inlineStr">
        <is>
          <t>ISIC 10T12</t>
        </is>
      </c>
      <c r="K3" s="1" t="inlineStr">
        <is>
          <t>ISIC 13T15</t>
        </is>
      </c>
      <c r="L3" s="1" t="inlineStr">
        <is>
          <t>ISIC 16</t>
        </is>
      </c>
      <c r="M3" s="1" t="inlineStr">
        <is>
          <t>ISIC 17T18</t>
        </is>
      </c>
      <c r="N3" s="1" t="inlineStr">
        <is>
          <t>ISIC 19</t>
        </is>
      </c>
      <c r="O3" s="1" t="inlineStr">
        <is>
          <t>ISIC 20</t>
        </is>
      </c>
      <c r="P3" s="1" t="inlineStr">
        <is>
          <t>ISIC 21</t>
        </is>
      </c>
      <c r="Q3" s="1" t="inlineStr">
        <is>
          <t>ISIC 22</t>
        </is>
      </c>
      <c r="R3" s="1" t="inlineStr">
        <is>
          <t>ISIC 231</t>
        </is>
      </c>
      <c r="S3" s="1" t="inlineStr">
        <is>
          <t>ISIC 239</t>
        </is>
      </c>
      <c r="T3" s="1" t="inlineStr">
        <is>
          <t>ISIC 241</t>
        </is>
      </c>
      <c r="U3" s="1" t="inlineStr">
        <is>
          <t>ISIC 242</t>
        </is>
      </c>
      <c r="V3" s="1" t="inlineStr">
        <is>
          <t>ISIC 25</t>
        </is>
      </c>
      <c r="W3" s="1" t="inlineStr">
        <is>
          <t>ISIC 26</t>
        </is>
      </c>
      <c r="X3" s="1" t="inlineStr">
        <is>
          <t>ISIC 27</t>
        </is>
      </c>
      <c r="Y3" s="1" t="inlineStr">
        <is>
          <t>ISIC 28</t>
        </is>
      </c>
      <c r="Z3" s="1" t="inlineStr">
        <is>
          <t>ISIC 29</t>
        </is>
      </c>
      <c r="AA3" s="1" t="inlineStr">
        <is>
          <t>ISIC 301</t>
        </is>
      </c>
      <c r="AB3" s="1" t="inlineStr">
        <is>
          <t>ISIC 302T309</t>
        </is>
      </c>
      <c r="AC3" s="1" t="inlineStr">
        <is>
          <t>ISIC 31T33</t>
        </is>
      </c>
      <c r="AD3" s="1" t="inlineStr">
        <is>
          <t>ISIC 351</t>
        </is>
      </c>
      <c r="AE3" s="1" t="inlineStr">
        <is>
          <t>ISIC 352T353</t>
        </is>
      </c>
      <c r="AF3" s="1" t="inlineStr">
        <is>
          <t>ISIC 36T39</t>
        </is>
      </c>
      <c r="AG3" s="1" t="inlineStr">
        <is>
          <t>ISIC 41T43</t>
        </is>
      </c>
      <c r="AH3" s="1" t="inlineStr">
        <is>
          <t>ISIC 45T47</t>
        </is>
      </c>
      <c r="AI3" s="1" t="inlineStr">
        <is>
          <t>ISIC 49</t>
        </is>
      </c>
      <c r="AJ3" s="1" t="inlineStr">
        <is>
          <t>ISIC 50</t>
        </is>
      </c>
      <c r="AK3" s="1" t="inlineStr">
        <is>
          <t>ISIC 51</t>
        </is>
      </c>
      <c r="AL3" s="1" t="inlineStr">
        <is>
          <t>ISIC 52</t>
        </is>
      </c>
      <c r="AM3" s="1" t="inlineStr">
        <is>
          <t>ISIC 53</t>
        </is>
      </c>
      <c r="AN3" s="1" t="inlineStr">
        <is>
          <t>ISIC 55T56</t>
        </is>
      </c>
      <c r="AO3" s="1" t="inlineStr">
        <is>
          <t>ISIC 58T60</t>
        </is>
      </c>
      <c r="AP3" s="1" t="inlineStr">
        <is>
          <t>ISIC 61</t>
        </is>
      </c>
      <c r="AQ3" s="1" t="inlineStr">
        <is>
          <t>ISIC 62T63</t>
        </is>
      </c>
      <c r="AR3" s="1" t="inlineStr">
        <is>
          <t>ISIC 64T66</t>
        </is>
      </c>
      <c r="AS3" s="1" t="inlineStr">
        <is>
          <t>ISIC 68</t>
        </is>
      </c>
      <c r="AT3" s="1" t="inlineStr">
        <is>
          <t>ISIC 69T75</t>
        </is>
      </c>
      <c r="AU3" s="1" t="inlineStr">
        <is>
          <t>ISIC 77T82</t>
        </is>
      </c>
      <c r="AV3" s="1" t="inlineStr">
        <is>
          <t>ISIC 84</t>
        </is>
      </c>
      <c r="AW3" s="1" t="inlineStr">
        <is>
          <t>ISIC 85</t>
        </is>
      </c>
      <c r="AX3" s="1" t="inlineStr">
        <is>
          <t>ISIC 86T88</t>
        </is>
      </c>
      <c r="AY3" s="1" t="inlineStr">
        <is>
          <t>ISIC 90T93</t>
        </is>
      </c>
      <c r="AZ3" s="1" t="inlineStr">
        <is>
          <t>ISIC 94T96</t>
        </is>
      </c>
      <c r="BA3" s="1" t="inlineStr">
        <is>
          <t>ISIC 97T98</t>
        </is>
      </c>
    </row>
    <row r="4">
      <c r="A4" t="inlineStr">
        <is>
          <t>BLS compound rate</t>
        </is>
      </c>
      <c r="B4">
        <f>IFERROR(SUMPRODUCT(--('BLS Table 2.11'!$L$1:$L$426=B$3),'BLS Table 2.11'!$J$1:$J$426,'BLS Table 2.11'!$K$1:$K$426)/SUMIFS('BLS Table 2.11'!$J$1:$J$426,'BLS Table 2.11'!$L$1:$L$426,B$3)/100,0)</f>
        <v/>
      </c>
      <c r="C4">
        <f>IFERROR(SUMPRODUCT(--('BLS Table 2.11'!$L$1:$L$426=C$3),'BLS Table 2.11'!$J$1:$J$426,'BLS Table 2.11'!$K$1:$K$426)/SUMIFS('BLS Table 2.11'!$J$1:$J$426,'BLS Table 2.11'!$L$1:$L$426,C$3)/100,0)</f>
        <v/>
      </c>
      <c r="D4">
        <f>IFERROR(SUMPRODUCT(--('BLS Table 2.11'!$L$1:$L$426=D$3),'BLS Table 2.11'!$J$1:$J$426,'BLS Table 2.11'!$K$1:$K$426)/SUMIFS('BLS Table 2.11'!$J$1:$J$426,'BLS Table 2.11'!$L$1:$L$426,D$3)/100,0)</f>
        <v/>
      </c>
      <c r="E4">
        <f>IFERROR(SUMPRODUCT(--('BLS Table 2.11'!$L$1:$L$426=E$3),'BLS Table 2.11'!$J$1:$J$426,'BLS Table 2.11'!$K$1:$K$426)/SUMIFS('BLS Table 2.11'!$J$1:$J$426,'BLS Table 2.11'!$L$1:$L$426,E$3)/100,0)</f>
        <v/>
      </c>
      <c r="F4">
        <f>IFERROR(SUMPRODUCT(--('BLS Table 2.11'!$L$1:$L$426=F$3),'BLS Table 2.11'!$J$1:$J$426,'BLS Table 2.11'!$K$1:$K$426)/SUMIFS('BLS Table 2.11'!$J$1:$J$426,'BLS Table 2.11'!$L$1:$L$426,F$3)/100,0)</f>
        <v/>
      </c>
      <c r="G4">
        <f>IFERROR(SUMPRODUCT(--('BLS Table 2.11'!$L$1:$L$426=G$3),'BLS Table 2.11'!$J$1:$J$426,'BLS Table 2.11'!$K$1:$K$426)/SUMIFS('BLS Table 2.11'!$J$1:$J$426,'BLS Table 2.11'!$L$1:$L$426,G$3)/100,0)</f>
        <v/>
      </c>
      <c r="H4">
        <f>IFERROR(SUMPRODUCT(--('BLS Table 2.11'!$L$1:$L$426=H$3),'BLS Table 2.11'!$J$1:$J$426,'BLS Table 2.11'!$K$1:$K$426)/SUMIFS('BLS Table 2.11'!$J$1:$J$426,'BLS Table 2.11'!$L$1:$L$426,H$3)/100,0)</f>
        <v/>
      </c>
      <c r="I4">
        <f>IFERROR(SUMPRODUCT(--('BLS Table 2.11'!$L$1:$L$426=I$3),'BLS Table 2.11'!$J$1:$J$426,'BLS Table 2.11'!$K$1:$K$426)/SUMIFS('BLS Table 2.11'!$J$1:$J$426,'BLS Table 2.11'!$L$1:$L$426,I$3)/100,0)</f>
        <v/>
      </c>
      <c r="J4">
        <f>IFERROR(SUMPRODUCT(--('BLS Table 2.11'!$L$1:$L$426=J$3),'BLS Table 2.11'!$J$1:$J$426,'BLS Table 2.11'!$K$1:$K$426)/SUMIFS('BLS Table 2.11'!$J$1:$J$426,'BLS Table 2.11'!$L$1:$L$426,J$3)/100,0)</f>
        <v/>
      </c>
      <c r="K4">
        <f>IFERROR(SUMPRODUCT(--('BLS Table 2.11'!$L$1:$L$426=K$3),'BLS Table 2.11'!$J$1:$J$426,'BLS Table 2.11'!$K$1:$K$426)/SUMIFS('BLS Table 2.11'!$J$1:$J$426,'BLS Table 2.11'!$L$1:$L$426,K$3)/100,0)</f>
        <v/>
      </c>
      <c r="L4">
        <f>IFERROR(SUMPRODUCT(--('BLS Table 2.11'!$L$1:$L$426=L$3),'BLS Table 2.11'!$J$1:$J$426,'BLS Table 2.11'!$K$1:$K$426)/SUMIFS('BLS Table 2.11'!$J$1:$J$426,'BLS Table 2.11'!$L$1:$L$426,L$3)/100,0)</f>
        <v/>
      </c>
      <c r="M4">
        <f>IFERROR(SUMPRODUCT(--('BLS Table 2.11'!$L$1:$L$426=M$3),'BLS Table 2.11'!$J$1:$J$426,'BLS Table 2.11'!$K$1:$K$426)/SUMIFS('BLS Table 2.11'!$J$1:$J$426,'BLS Table 2.11'!$L$1:$L$426,M$3)/100,0)</f>
        <v/>
      </c>
      <c r="N4">
        <f>IFERROR(SUMPRODUCT(--('BLS Table 2.11'!$L$1:$L$426=N$3),'BLS Table 2.11'!$J$1:$J$426,'BLS Table 2.11'!$K$1:$K$426)/SUMIFS('BLS Table 2.11'!$J$1:$J$426,'BLS Table 2.11'!$L$1:$L$426,N$3)/100,0)</f>
        <v/>
      </c>
      <c r="O4">
        <f>IFERROR(SUMPRODUCT(--('BLS Table 2.11'!$L$1:$L$426=O$3),'BLS Table 2.11'!$J$1:$J$426,'BLS Table 2.11'!$K$1:$K$426)/SUMIFS('BLS Table 2.11'!$J$1:$J$426,'BLS Table 2.11'!$L$1:$L$426,O$3)/100,0)</f>
        <v/>
      </c>
      <c r="P4">
        <f>IFERROR(SUMPRODUCT(--('BLS Table 2.11'!$L$1:$L$426=P$3),'BLS Table 2.11'!$J$1:$J$426,'BLS Table 2.11'!$K$1:$K$426)/SUMIFS('BLS Table 2.11'!$J$1:$J$426,'BLS Table 2.11'!$L$1:$L$426,P$3)/100,0)</f>
        <v/>
      </c>
      <c r="Q4">
        <f>IFERROR(SUMPRODUCT(--('BLS Table 2.11'!$L$1:$L$426=Q$3),'BLS Table 2.11'!$J$1:$J$426,'BLS Table 2.11'!$K$1:$K$426)/SUMIFS('BLS Table 2.11'!$J$1:$J$426,'BLS Table 2.11'!$L$1:$L$426,Q$3)/100,0)</f>
        <v/>
      </c>
      <c r="R4">
        <f>IFERROR(SUMPRODUCT(--('BLS Table 2.11'!$L$1:$L$426=R$3),'BLS Table 2.11'!$J$1:$J$426,'BLS Table 2.11'!$K$1:$K$426)/SUMIFS('BLS Table 2.11'!$J$1:$J$426,'BLS Table 2.11'!$L$1:$L$426,R$3)/100,0)</f>
        <v/>
      </c>
      <c r="S4">
        <f>IFERROR(SUMPRODUCT(--('BLS Table 2.11'!$L$1:$L$426=S$3),'BLS Table 2.11'!$J$1:$J$426,'BLS Table 2.11'!$K$1:$K$426)/SUMIFS('BLS Table 2.11'!$J$1:$J$426,'BLS Table 2.11'!$L$1:$L$426,S$3)/100,0)</f>
        <v/>
      </c>
      <c r="T4">
        <f>IFERROR(SUMPRODUCT(--('BLS Table 2.11'!$L$1:$L$426=T$3),'BLS Table 2.11'!$J$1:$J$426,'BLS Table 2.11'!$K$1:$K$426)/SUMIFS('BLS Table 2.11'!$J$1:$J$426,'BLS Table 2.11'!$L$1:$L$426,T$3)/100,0)</f>
        <v/>
      </c>
      <c r="U4">
        <f>IFERROR(SUMPRODUCT(--('BLS Table 2.11'!$L$1:$L$426=U$3),'BLS Table 2.11'!$J$1:$J$426,'BLS Table 2.11'!$K$1:$K$426)/SUMIFS('BLS Table 2.11'!$J$1:$J$426,'BLS Table 2.11'!$L$1:$L$426,U$3)/100,0)</f>
        <v/>
      </c>
      <c r="V4">
        <f>IFERROR(SUMPRODUCT(--('BLS Table 2.11'!$L$1:$L$426=V$3),'BLS Table 2.11'!$J$1:$J$426,'BLS Table 2.11'!$K$1:$K$426)/SUMIFS('BLS Table 2.11'!$J$1:$J$426,'BLS Table 2.11'!$L$1:$L$426,V$3)/100,0)</f>
        <v/>
      </c>
      <c r="W4">
        <f>IFERROR(SUMPRODUCT(--('BLS Table 2.11'!$L$1:$L$426=W$3),'BLS Table 2.11'!$J$1:$J$426,'BLS Table 2.11'!$K$1:$K$426)/SUMIFS('BLS Table 2.11'!$J$1:$J$426,'BLS Table 2.11'!$L$1:$L$426,W$3)/100,0)</f>
        <v/>
      </c>
      <c r="X4">
        <f>IFERROR(SUMPRODUCT(--('BLS Table 2.11'!$L$1:$L$426=X$3),'BLS Table 2.11'!$J$1:$J$426,'BLS Table 2.11'!$K$1:$K$426)/SUMIFS('BLS Table 2.11'!$J$1:$J$426,'BLS Table 2.11'!$L$1:$L$426,X$3)/100,0)</f>
        <v/>
      </c>
      <c r="Y4">
        <f>IFERROR(SUMPRODUCT(--('BLS Table 2.11'!$L$1:$L$426=Y$3),'BLS Table 2.11'!$J$1:$J$426,'BLS Table 2.11'!$K$1:$K$426)/SUMIFS('BLS Table 2.11'!$J$1:$J$426,'BLS Table 2.11'!$L$1:$L$426,Y$3)/100,0)</f>
        <v/>
      </c>
      <c r="Z4">
        <f>IFERROR(SUMPRODUCT(--('BLS Table 2.11'!$L$1:$L$426=Z$3),'BLS Table 2.11'!$J$1:$J$426,'BLS Table 2.11'!$K$1:$K$426)/SUMIFS('BLS Table 2.11'!$J$1:$J$426,'BLS Table 2.11'!$L$1:$L$426,Z$3)/100,0)</f>
        <v/>
      </c>
      <c r="AA4">
        <f>IFERROR(SUMPRODUCT(--('BLS Table 2.11'!$L$1:$L$426=AA$3),'BLS Table 2.11'!$J$1:$J$426,'BLS Table 2.11'!$K$1:$K$426)/SUMIFS('BLS Table 2.11'!$J$1:$J$426,'BLS Table 2.11'!$L$1:$L$426,AA$3)/100,0)</f>
        <v/>
      </c>
      <c r="AB4">
        <f>IFERROR(SUMPRODUCT(--('BLS Table 2.11'!$L$1:$L$426=AB$3),'BLS Table 2.11'!$J$1:$J$426,'BLS Table 2.11'!$K$1:$K$426)/SUMIFS('BLS Table 2.11'!$J$1:$J$426,'BLS Table 2.11'!$L$1:$L$426,AB$3)/100,0)</f>
        <v/>
      </c>
      <c r="AC4">
        <f>IFERROR(SUMPRODUCT(--('BLS Table 2.11'!$L$1:$L$426=AC$3),'BLS Table 2.11'!$J$1:$J$426,'BLS Table 2.11'!$K$1:$K$426)/SUMIFS('BLS Table 2.11'!$J$1:$J$426,'BLS Table 2.11'!$L$1:$L$426,AC$3)/100,0)</f>
        <v/>
      </c>
      <c r="AD4">
        <f>IFERROR(SUMPRODUCT(--('BLS Table 2.11'!$L$1:$L$426=AD$3),'BLS Table 2.11'!$J$1:$J$426,'BLS Table 2.11'!$K$1:$K$426)/SUMIFS('BLS Table 2.11'!$J$1:$J$426,'BLS Table 2.11'!$L$1:$L$426,AD$3)/100,0)</f>
        <v/>
      </c>
      <c r="AE4">
        <f>IFERROR(SUMPRODUCT(--('BLS Table 2.11'!$L$1:$L$426=AE$3),'BLS Table 2.11'!$J$1:$J$426,'BLS Table 2.11'!$K$1:$K$426)/SUMIFS('BLS Table 2.11'!$J$1:$J$426,'BLS Table 2.11'!$L$1:$L$426,AE$3)/100,0)</f>
        <v/>
      </c>
      <c r="AF4">
        <f>IFERROR(SUMPRODUCT(--('BLS Table 2.11'!$L$1:$L$426=AF$3),'BLS Table 2.11'!$J$1:$J$426,'BLS Table 2.11'!$K$1:$K$426)/SUMIFS('BLS Table 2.11'!$J$1:$J$426,'BLS Table 2.11'!$L$1:$L$426,AF$3)/100,0)</f>
        <v/>
      </c>
      <c r="AG4">
        <f>IFERROR(SUMPRODUCT(--('BLS Table 2.11'!$L$1:$L$426=AG$3),'BLS Table 2.11'!$J$1:$J$426,'BLS Table 2.11'!$K$1:$K$426)/SUMIFS('BLS Table 2.11'!$J$1:$J$426,'BLS Table 2.11'!$L$1:$L$426,AG$3)/100,0)</f>
        <v/>
      </c>
      <c r="AH4">
        <f>IFERROR(SUMPRODUCT(--('BLS Table 2.11'!$L$1:$L$426=AH$3),'BLS Table 2.11'!$J$1:$J$426,'BLS Table 2.11'!$K$1:$K$426)/SUMIFS('BLS Table 2.11'!$J$1:$J$426,'BLS Table 2.11'!$L$1:$L$426,AH$3)/100,0)</f>
        <v/>
      </c>
      <c r="AI4">
        <f>IFERROR(SUMPRODUCT(--('BLS Table 2.11'!$L$1:$L$426=AI$3),'BLS Table 2.11'!$J$1:$J$426,'BLS Table 2.11'!$K$1:$K$426)/SUMIFS('BLS Table 2.11'!$J$1:$J$426,'BLS Table 2.11'!$L$1:$L$426,AI$3)/100,0)</f>
        <v/>
      </c>
      <c r="AJ4">
        <f>IFERROR(SUMPRODUCT(--('BLS Table 2.11'!$L$1:$L$426=AJ$3),'BLS Table 2.11'!$J$1:$J$426,'BLS Table 2.11'!$K$1:$K$426)/SUMIFS('BLS Table 2.11'!$J$1:$J$426,'BLS Table 2.11'!$L$1:$L$426,AJ$3)/100,0)</f>
        <v/>
      </c>
      <c r="AK4">
        <f>IFERROR(SUMPRODUCT(--('BLS Table 2.11'!$L$1:$L$426=AK$3),'BLS Table 2.11'!$J$1:$J$426,'BLS Table 2.11'!$K$1:$K$426)/SUMIFS('BLS Table 2.11'!$J$1:$J$426,'BLS Table 2.11'!$L$1:$L$426,AK$3)/100,0)</f>
        <v/>
      </c>
      <c r="AL4">
        <f>IFERROR(SUMPRODUCT(--('BLS Table 2.11'!$L$1:$L$426=AL$3),'BLS Table 2.11'!$J$1:$J$426,'BLS Table 2.11'!$K$1:$K$426)/SUMIFS('BLS Table 2.11'!$J$1:$J$426,'BLS Table 2.11'!$L$1:$L$426,AL$3)/100,0)</f>
        <v/>
      </c>
      <c r="AM4">
        <f>IFERROR(SUMPRODUCT(--('BLS Table 2.11'!$L$1:$L$426=AM$3),'BLS Table 2.11'!$J$1:$J$426,'BLS Table 2.11'!$K$1:$K$426)/SUMIFS('BLS Table 2.11'!$J$1:$J$426,'BLS Table 2.11'!$L$1:$L$426,AM$3)/100,0)</f>
        <v/>
      </c>
      <c r="AN4">
        <f>IFERROR(SUMPRODUCT(--('BLS Table 2.11'!$L$1:$L$426=AN$3),'BLS Table 2.11'!$J$1:$J$426,'BLS Table 2.11'!$K$1:$K$426)/SUMIFS('BLS Table 2.11'!$J$1:$J$426,'BLS Table 2.11'!$L$1:$L$426,AN$3)/100,0)</f>
        <v/>
      </c>
      <c r="AO4">
        <f>IFERROR(SUMPRODUCT(--('BLS Table 2.11'!$L$1:$L$426=AO$3),'BLS Table 2.11'!$J$1:$J$426,'BLS Table 2.11'!$K$1:$K$426)/SUMIFS('BLS Table 2.11'!$J$1:$J$426,'BLS Table 2.11'!$L$1:$L$426,AO$3)/100,0)</f>
        <v/>
      </c>
      <c r="AP4">
        <f>IFERROR(SUMPRODUCT(--('BLS Table 2.11'!$L$1:$L$426=AP$3),'BLS Table 2.11'!$J$1:$J$426,'BLS Table 2.11'!$K$1:$K$426)/SUMIFS('BLS Table 2.11'!$J$1:$J$426,'BLS Table 2.11'!$L$1:$L$426,AP$3)/100,0)</f>
        <v/>
      </c>
      <c r="AQ4">
        <f>IFERROR(SUMPRODUCT(--('BLS Table 2.11'!$L$1:$L$426=AQ$3),'BLS Table 2.11'!$J$1:$J$426,'BLS Table 2.11'!$K$1:$K$426)/SUMIFS('BLS Table 2.11'!$J$1:$J$426,'BLS Table 2.11'!$L$1:$L$426,AQ$3)/100,0)</f>
        <v/>
      </c>
      <c r="AR4">
        <f>IFERROR(SUMPRODUCT(--('BLS Table 2.11'!$L$1:$L$426=AR$3),'BLS Table 2.11'!$J$1:$J$426,'BLS Table 2.11'!$K$1:$K$426)/SUMIFS('BLS Table 2.11'!$J$1:$J$426,'BLS Table 2.11'!$L$1:$L$426,AR$3)/100,0)</f>
        <v/>
      </c>
      <c r="AS4">
        <f>IFERROR(SUMPRODUCT(--('BLS Table 2.11'!$L$1:$L$426=AS$3),'BLS Table 2.11'!$J$1:$J$426,'BLS Table 2.11'!$K$1:$K$426)/SUMIFS('BLS Table 2.11'!$J$1:$J$426,'BLS Table 2.11'!$L$1:$L$426,AS$3)/100,0)</f>
        <v/>
      </c>
      <c r="AT4">
        <f>IFERROR(SUMPRODUCT(--('BLS Table 2.11'!$L$1:$L$426=AT$3),'BLS Table 2.11'!$J$1:$J$426,'BLS Table 2.11'!$K$1:$K$426)/SUMIFS('BLS Table 2.11'!$J$1:$J$426,'BLS Table 2.11'!$L$1:$L$426,AT$3)/100,0)</f>
        <v/>
      </c>
      <c r="AU4">
        <f>IFERROR(SUMPRODUCT(--('BLS Table 2.11'!$L$1:$L$426=AU$3),'BLS Table 2.11'!$J$1:$J$426,'BLS Table 2.11'!$K$1:$K$426)/SUMIFS('BLS Table 2.11'!$J$1:$J$426,'BLS Table 2.11'!$L$1:$L$426,AU$3)/100,0)</f>
        <v/>
      </c>
      <c r="AV4">
        <f>IFERROR(SUMPRODUCT(--('BLS Table 2.11'!$L$1:$L$426=AV$3),'BLS Table 2.11'!$J$1:$J$426,'BLS Table 2.11'!$K$1:$K$426)/SUMIFS('BLS Table 2.11'!$J$1:$J$426,'BLS Table 2.11'!$L$1:$L$426,AV$3)/100,0)</f>
        <v/>
      </c>
      <c r="AW4">
        <f>IFERROR(SUMPRODUCT(--('BLS Table 2.11'!$L$1:$L$426=AW$3),'BLS Table 2.11'!$J$1:$J$426,'BLS Table 2.11'!$K$1:$K$426)/SUMIFS('BLS Table 2.11'!$J$1:$J$426,'BLS Table 2.11'!$L$1:$L$426,AW$3)/100,0)</f>
        <v/>
      </c>
      <c r="AX4">
        <f>IFERROR(SUMPRODUCT(--('BLS Table 2.11'!$L$1:$L$426=AX$3),'BLS Table 2.11'!$J$1:$J$426,'BLS Table 2.11'!$K$1:$K$426)/SUMIFS('BLS Table 2.11'!$J$1:$J$426,'BLS Table 2.11'!$L$1:$L$426,AX$3)/100,0)</f>
        <v/>
      </c>
      <c r="AY4">
        <f>IFERROR(SUMPRODUCT(--('BLS Table 2.11'!$L$1:$L$426=AY$3),'BLS Table 2.11'!$J$1:$J$426,'BLS Table 2.11'!$K$1:$K$426)/SUMIFS('BLS Table 2.11'!$J$1:$J$426,'BLS Table 2.11'!$L$1:$L$426,AY$3)/100,0)</f>
        <v/>
      </c>
      <c r="AZ4">
        <f>IFERROR(SUMPRODUCT(--('BLS Table 2.11'!$L$1:$L$426=AZ$3),'BLS Table 2.11'!$J$1:$J$426,'BLS Table 2.11'!$K$1:$K$426)/SUMIFS('BLS Table 2.11'!$J$1:$J$426,'BLS Table 2.11'!$L$1:$L$426,AZ$3)/100,0)</f>
        <v/>
      </c>
      <c r="BA4">
        <f>IFERROR(SUMPRODUCT(--('BLS Table 2.11'!$L$1:$L$426=BA$3),'BLS Table 2.11'!$J$1:$J$426,'BLS Table 2.11'!$K$1:$K$426)/SUMIFS('BLS Table 2.11'!$J$1:$J$426,'BLS Table 2.11'!$L$1:$L$426,BA$3)/100,0)</f>
        <v/>
      </c>
    </row>
    <row r="5">
      <c r="A5" t="inlineStr">
        <is>
          <t>AEO 2025 rate</t>
        </is>
      </c>
      <c r="B5">
        <f>IFERROR((SUMIFS('AEO 2026 Table 23 '!G:G,'AEO 2026 Table 23 '!$B:$B,"*,"&amp;B$3&amp;",*")-SUMIFS('AEO25 Table 23'!H:H,'AEO25 Table 23'!$B:$B,"*,"&amp;B$3&amp;",*"))/SUMIFS('AEO25 Table 23'!H:H,'AEO25 Table 23'!$B:$B,"*,"&amp;B$3&amp;",*"),"")</f>
        <v/>
      </c>
      <c r="C5">
        <f>IFERROR((SUMIFS('AEO 2026 Table 23 '!G:G,'AEO 2026 Table 23 '!$B:$B,"*,"&amp;C$3&amp;",*")-SUMIFS('AEO25 Table 23'!H:H,'AEO25 Table 23'!$B:$B,"*,"&amp;C$3&amp;",*"))/SUMIFS('AEO25 Table 23'!H:H,'AEO25 Table 23'!$B:$B,"*,"&amp;C$3&amp;",*"),"")</f>
        <v/>
      </c>
      <c r="D5">
        <f>IFERROR((SUMIFS('AEO 2026 Table 23 '!G:G,'AEO 2026 Table 23 '!$B:$B,"*,"&amp;D$3&amp;",*")-SUMIFS('AEO25 Table 23'!H:H,'AEO25 Table 23'!$B:$B,"*,"&amp;D$3&amp;",*"))/SUMIFS('AEO25 Table 23'!H:H,'AEO25 Table 23'!$B:$B,"*,"&amp;D$3&amp;",*"),"")</f>
        <v/>
      </c>
      <c r="E5">
        <f>IFERROR((SUMIFS('AEO 2026 Table 23 '!G:G,'AEO 2026 Table 23 '!$B:$B,"*,"&amp;E$3&amp;",*")-SUMIFS('AEO25 Table 23'!H:H,'AEO25 Table 23'!$B:$B,"*,"&amp;E$3&amp;",*"))/SUMIFS('AEO25 Table 23'!H:H,'AEO25 Table 23'!$B:$B,"*,"&amp;E$3&amp;",*"),"")</f>
        <v/>
      </c>
      <c r="F5">
        <f>IFERROR((SUMIFS('AEO 2026 Table 23 '!G:G,'AEO 2026 Table 23 '!$B:$B,"*,"&amp;F$3&amp;",*")-SUMIFS('AEO25 Table 23'!H:H,'AEO25 Table 23'!$B:$B,"*,"&amp;F$3&amp;",*"))/SUMIFS('AEO25 Table 23'!H:H,'AEO25 Table 23'!$B:$B,"*,"&amp;F$3&amp;",*"),"")</f>
        <v/>
      </c>
      <c r="G5">
        <f>IFERROR((SUMIFS('AEO 2026 Table 23 '!G:G,'AEO 2026 Table 23 '!$B:$B,"*,"&amp;G$3&amp;",*")-SUMIFS('AEO25 Table 23'!H:H,'AEO25 Table 23'!$B:$B,"*,"&amp;G$3&amp;",*"))/SUMIFS('AEO25 Table 23'!H:H,'AEO25 Table 23'!$B:$B,"*,"&amp;G$3&amp;",*"),"")</f>
        <v/>
      </c>
      <c r="H5">
        <f>IFERROR((SUMIFS('AEO 2026 Table 23 '!G:G,'AEO 2026 Table 23 '!$B:$B,"*,"&amp;H$3&amp;",*")-SUMIFS('AEO25 Table 23'!H:H,'AEO25 Table 23'!$B:$B,"*,"&amp;H$3&amp;",*"))/SUMIFS('AEO25 Table 23'!H:H,'AEO25 Table 23'!$B:$B,"*,"&amp;H$3&amp;",*"),"")</f>
        <v/>
      </c>
      <c r="I5">
        <f>IFERROR((SUMIFS('AEO 2026 Table 23 '!G:G,'AEO 2026 Table 23 '!$B:$B,"*,"&amp;I$3&amp;",*")-SUMIFS('AEO25 Table 23'!H:H,'AEO25 Table 23'!$B:$B,"*,"&amp;I$3&amp;",*"))/SUMIFS('AEO25 Table 23'!H:H,'AEO25 Table 23'!$B:$B,"*,"&amp;I$3&amp;",*"),"")</f>
        <v/>
      </c>
      <c r="J5">
        <f>IFERROR((SUMIFS('AEO 2026 Table 23 '!G:G,'AEO 2026 Table 23 '!$B:$B,"*,"&amp;J$3&amp;",*")-SUMIFS('AEO25 Table 23'!H:H,'AEO25 Table 23'!$B:$B,"*,"&amp;J$3&amp;",*"))/SUMIFS('AEO25 Table 23'!H:H,'AEO25 Table 23'!$B:$B,"*,"&amp;J$3&amp;",*"),"")</f>
        <v/>
      </c>
      <c r="K5">
        <f>IFERROR((SUMIFS('AEO 2026 Table 23 '!G:G,'AEO 2026 Table 23 '!$B:$B,"*,"&amp;K$3&amp;",*")-SUMIFS('AEO25 Table 23'!H:H,'AEO25 Table 23'!$B:$B,"*,"&amp;K$3&amp;",*"))/SUMIFS('AEO25 Table 23'!H:H,'AEO25 Table 23'!$B:$B,"*,"&amp;K$3&amp;",*"),"")</f>
        <v/>
      </c>
      <c r="L5">
        <f>IFERROR((SUMIFS('AEO 2026 Table 23 '!G:G,'AEO 2026 Table 23 '!$B:$B,"*,"&amp;L$3&amp;",*")-SUMIFS('AEO25 Table 23'!H:H,'AEO25 Table 23'!$B:$B,"*,"&amp;L$3&amp;",*"))/SUMIFS('AEO25 Table 23'!H:H,'AEO25 Table 23'!$B:$B,"*,"&amp;L$3&amp;",*"),"")</f>
        <v/>
      </c>
      <c r="M5">
        <f>IFERROR((SUMIFS('AEO 2026 Table 23 '!G:G,'AEO 2026 Table 23 '!$B:$B,"*,"&amp;M$3&amp;",*")-SUMIFS('AEO25 Table 23'!H:H,'AEO25 Table 23'!$B:$B,"*,"&amp;M$3&amp;",*"))/SUMIFS('AEO25 Table 23'!H:H,'AEO25 Table 23'!$B:$B,"*,"&amp;M$3&amp;",*"),"")</f>
        <v/>
      </c>
      <c r="N5">
        <f>IFERROR((SUMIFS('AEO 2026 Table 23 '!G:G,'AEO 2026 Table 23 '!$B:$B,"*,"&amp;N$3&amp;",*")-SUMIFS('AEO25 Table 23'!H:H,'AEO25 Table 23'!$B:$B,"*,"&amp;N$3&amp;",*"))/SUMIFS('AEO25 Table 23'!H:H,'AEO25 Table 23'!$B:$B,"*,"&amp;N$3&amp;",*"),"")</f>
        <v/>
      </c>
      <c r="O5">
        <f>IFERROR((SUMIFS('AEO 2026 Table 23 '!G:G,'AEO 2026 Table 23 '!$B:$B,"*,"&amp;O$3&amp;",*")-SUMIFS('AEO25 Table 23'!H:H,'AEO25 Table 23'!$B:$B,"*,"&amp;O$3&amp;",*"))/SUMIFS('AEO25 Table 23'!H:H,'AEO25 Table 23'!$B:$B,"*,"&amp;O$3&amp;",*"),"")</f>
        <v/>
      </c>
      <c r="P5">
        <f>IFERROR((SUMIFS('AEO 2026 Table 23 '!G:G,'AEO 2026 Table 23 '!$B:$B,"*,"&amp;P$3&amp;",*")-SUMIFS('AEO25 Table 23'!H:H,'AEO25 Table 23'!$B:$B,"*,"&amp;P$3&amp;",*"))/SUMIFS('AEO25 Table 23'!H:H,'AEO25 Table 23'!$B:$B,"*,"&amp;P$3&amp;",*"),"")</f>
        <v/>
      </c>
      <c r="Q5">
        <f>IFERROR((SUMIFS('AEO 2026 Table 23 '!G:G,'AEO 2026 Table 23 '!$B:$B,"*,"&amp;Q$3&amp;",*")-SUMIFS('AEO25 Table 23'!H:H,'AEO25 Table 23'!$B:$B,"*,"&amp;Q$3&amp;",*"))/SUMIFS('AEO25 Table 23'!H:H,'AEO25 Table 23'!$B:$B,"*,"&amp;Q$3&amp;",*"),"")</f>
        <v/>
      </c>
      <c r="R5">
        <f>IFERROR((SUMIFS('AEO 2026 Table 23 '!G:G,'AEO 2026 Table 23 '!$B:$B,"*,"&amp;R$3&amp;",*")-SUMIFS('AEO25 Table 23'!H:H,'AEO25 Table 23'!$B:$B,"*,"&amp;R$3&amp;",*"))/SUMIFS('AEO25 Table 23'!H:H,'AEO25 Table 23'!$B:$B,"*,"&amp;R$3&amp;",*"),"")</f>
        <v/>
      </c>
      <c r="S5">
        <f>IFERROR((SUMIFS('AEO 2026 Table 23 '!G:G,'AEO 2026 Table 23 '!$B:$B,"*,"&amp;S$3&amp;",*")-SUMIFS('AEO25 Table 23'!H:H,'AEO25 Table 23'!$B:$B,"*,"&amp;S$3&amp;",*"))/SUMIFS('AEO25 Table 23'!H:H,'AEO25 Table 23'!$B:$B,"*,"&amp;S$3&amp;",*"),"")</f>
        <v/>
      </c>
      <c r="T5">
        <f>IFERROR((SUMIFS('AEO 2026 Table 23 '!G:G,'AEO 2026 Table 23 '!$B:$B,"*,"&amp;T$3&amp;",*")-SUMIFS('AEO25 Table 23'!H:H,'AEO25 Table 23'!$B:$B,"*,"&amp;T$3&amp;",*"))/SUMIFS('AEO25 Table 23'!H:H,'AEO25 Table 23'!$B:$B,"*,"&amp;T$3&amp;",*"),"")</f>
        <v/>
      </c>
      <c r="U5">
        <f>IFERROR((SUMIFS('AEO 2026 Table 23 '!G:G,'AEO 2026 Table 23 '!$B:$B,"*,"&amp;U$3&amp;",*")-SUMIFS('AEO25 Table 23'!H:H,'AEO25 Table 23'!$B:$B,"*,"&amp;U$3&amp;",*"))/SUMIFS('AEO25 Table 23'!H:H,'AEO25 Table 23'!$B:$B,"*,"&amp;U$3&amp;",*"),"")</f>
        <v/>
      </c>
      <c r="V5">
        <f>IFERROR((SUMIFS('AEO 2026 Table 23 '!G:G,'AEO 2026 Table 23 '!$B:$B,"*,"&amp;V$3&amp;",*")-SUMIFS('AEO25 Table 23'!H:H,'AEO25 Table 23'!$B:$B,"*,"&amp;V$3&amp;",*"))/SUMIFS('AEO25 Table 23'!H:H,'AEO25 Table 23'!$B:$B,"*,"&amp;V$3&amp;",*"),"")</f>
        <v/>
      </c>
      <c r="W5">
        <f>IFERROR((SUMIFS('AEO 2026 Table 23 '!G:G,'AEO 2026 Table 23 '!$B:$B,"*,"&amp;W$3&amp;",*")-SUMIFS('AEO25 Table 23'!H:H,'AEO25 Table 23'!$B:$B,"*,"&amp;W$3&amp;",*"))/SUMIFS('AEO25 Table 23'!H:H,'AEO25 Table 23'!$B:$B,"*,"&amp;W$3&amp;",*"),"")</f>
        <v/>
      </c>
      <c r="X5">
        <f>IFERROR((SUMIFS('AEO 2026 Table 23 '!G:G,'AEO 2026 Table 23 '!$B:$B,"*,"&amp;X$3&amp;",*")-SUMIFS('AEO25 Table 23'!H:H,'AEO25 Table 23'!$B:$B,"*,"&amp;X$3&amp;",*"))/SUMIFS('AEO25 Table 23'!H:H,'AEO25 Table 23'!$B:$B,"*,"&amp;X$3&amp;",*"),"")</f>
        <v/>
      </c>
      <c r="Y5">
        <f>IFERROR((SUMIFS('AEO 2026 Table 23 '!G:G,'AEO 2026 Table 23 '!$B:$B,"*,"&amp;Y$3&amp;",*")-SUMIFS('AEO25 Table 23'!H:H,'AEO25 Table 23'!$B:$B,"*,"&amp;Y$3&amp;",*"))/SUMIFS('AEO25 Table 23'!H:H,'AEO25 Table 23'!$B:$B,"*,"&amp;Y$3&amp;",*"),"")</f>
        <v/>
      </c>
      <c r="Z5">
        <f>IFERROR((SUMIFS('AEO 2026 Table 23 '!G:G,'AEO 2026 Table 23 '!$B:$B,"*,"&amp;Z$3&amp;",*")-SUMIFS('AEO25 Table 23'!H:H,'AEO25 Table 23'!$B:$B,"*,"&amp;Z$3&amp;",*"))/SUMIFS('AEO25 Table 23'!H:H,'AEO25 Table 23'!$B:$B,"*,"&amp;Z$3&amp;",*"),"")</f>
        <v/>
      </c>
      <c r="AA5">
        <f>IFERROR((SUMIFS('AEO 2026 Table 23 '!G:G,'AEO 2026 Table 23 '!$B:$B,"*,"&amp;AA$3&amp;",*")-SUMIFS('AEO25 Table 23'!H:H,'AEO25 Table 23'!$B:$B,"*,"&amp;AA$3&amp;",*"))/SUMIFS('AEO25 Table 23'!H:H,'AEO25 Table 23'!$B:$B,"*,"&amp;AA$3&amp;",*"),"")</f>
        <v/>
      </c>
      <c r="AB5">
        <f>IFERROR((SUMIFS('AEO 2026 Table 23 '!G:G,'AEO 2026 Table 23 '!$B:$B,"*,"&amp;AB$3&amp;",*")-SUMIFS('AEO25 Table 23'!H:H,'AEO25 Table 23'!$B:$B,"*,"&amp;AB$3&amp;",*"))/SUMIFS('AEO25 Table 23'!H:H,'AEO25 Table 23'!$B:$B,"*,"&amp;AB$3&amp;",*"),"")</f>
        <v/>
      </c>
      <c r="AC5">
        <f>IFERROR((SUMIFS('AEO 2026 Table 23 '!G:G,'AEO 2026 Table 23 '!$B:$B,"*,"&amp;AC$3&amp;",*")-SUMIFS('AEO25 Table 23'!H:H,'AEO25 Table 23'!$B:$B,"*,"&amp;AC$3&amp;",*"))/SUMIFS('AEO25 Table 23'!H:H,'AEO25 Table 23'!$B:$B,"*,"&amp;AC$3&amp;",*"),"")</f>
        <v/>
      </c>
      <c r="AD5">
        <f>IFERROR((SUMIFS('AEO 2026 Table 23 '!G:G,'AEO 2026 Table 23 '!$B:$B,"*,"&amp;AD$3&amp;",*")-SUMIFS('AEO25 Table 23'!H:H,'AEO25 Table 23'!$B:$B,"*,"&amp;AD$3&amp;",*"))/SUMIFS('AEO25 Table 23'!H:H,'AEO25 Table 23'!$B:$B,"*,"&amp;AD$3&amp;",*"),"")</f>
        <v/>
      </c>
      <c r="AE5">
        <f>IFERROR((SUMIFS('AEO 2026 Table 23 '!G:G,'AEO 2026 Table 23 '!$B:$B,"*,"&amp;AE$3&amp;",*")-SUMIFS('AEO25 Table 23'!H:H,'AEO25 Table 23'!$B:$B,"*,"&amp;AE$3&amp;",*"))/SUMIFS('AEO25 Table 23'!H:H,'AEO25 Table 23'!$B:$B,"*,"&amp;AE$3&amp;",*"),"")</f>
        <v/>
      </c>
      <c r="AF5">
        <f>IFERROR((SUMIFS('AEO 2026 Table 23 '!G:G,'AEO 2026 Table 23 '!$B:$B,"*,"&amp;AF$3&amp;",*")-SUMIFS('AEO25 Table 23'!H:H,'AEO25 Table 23'!$B:$B,"*,"&amp;AF$3&amp;",*"))/SUMIFS('AEO25 Table 23'!H:H,'AEO25 Table 23'!$B:$B,"*,"&amp;AF$3&amp;",*"),"")</f>
        <v/>
      </c>
      <c r="AG5">
        <f>IFERROR((SUMIFS('AEO 2026 Table 23 '!G:G,'AEO 2026 Table 23 '!$B:$B,"*,"&amp;AG$3&amp;",*")-SUMIFS('AEO25 Table 23'!H:H,'AEO25 Table 23'!$B:$B,"*,"&amp;AG$3&amp;",*"))/SUMIFS('AEO25 Table 23'!H:H,'AEO25 Table 23'!$B:$B,"*,"&amp;AG$3&amp;",*"),"")</f>
        <v/>
      </c>
      <c r="AH5">
        <f>IFERROR((SUMIFS('AEO 2026 Table 23 '!G:G,'AEO 2026 Table 23 '!$B:$B,"*,"&amp;AH$3&amp;",*")-SUMIFS('AEO25 Table 23'!H:H,'AEO25 Table 23'!$B:$B,"*,"&amp;AH$3&amp;",*"))/SUMIFS('AEO25 Table 23'!H:H,'AEO25 Table 23'!$B:$B,"*,"&amp;AH$3&amp;",*"),"")</f>
        <v/>
      </c>
      <c r="AI5">
        <f>IFERROR((SUMIFS('AEO 2026 Table 23 '!G:G,'AEO 2026 Table 23 '!$B:$B,"*,"&amp;AI$3&amp;",*")-SUMIFS('AEO25 Table 23'!H:H,'AEO25 Table 23'!$B:$B,"*,"&amp;AI$3&amp;",*"))/SUMIFS('AEO25 Table 23'!H:H,'AEO25 Table 23'!$B:$B,"*,"&amp;AI$3&amp;",*"),"")</f>
        <v/>
      </c>
      <c r="AJ5">
        <f>IFERROR((SUMIFS('AEO 2026 Table 23 '!G:G,'AEO 2026 Table 23 '!$B:$B,"*,"&amp;AJ$3&amp;",*")-SUMIFS('AEO25 Table 23'!H:H,'AEO25 Table 23'!$B:$B,"*,"&amp;AJ$3&amp;",*"))/SUMIFS('AEO25 Table 23'!H:H,'AEO25 Table 23'!$B:$B,"*,"&amp;AJ$3&amp;",*"),"")</f>
        <v/>
      </c>
      <c r="AK5">
        <f>IFERROR((SUMIFS('AEO 2026 Table 23 '!G:G,'AEO 2026 Table 23 '!$B:$B,"*,"&amp;AK$3&amp;",*")-SUMIFS('AEO25 Table 23'!H:H,'AEO25 Table 23'!$B:$B,"*,"&amp;AK$3&amp;",*"))/SUMIFS('AEO25 Table 23'!H:H,'AEO25 Table 23'!$B:$B,"*,"&amp;AK$3&amp;",*"),"")</f>
        <v/>
      </c>
      <c r="AL5">
        <f>IFERROR((SUMIFS('AEO 2026 Table 23 '!G:G,'AEO 2026 Table 23 '!$B:$B,"*,"&amp;AL$3&amp;",*")-SUMIFS('AEO25 Table 23'!H:H,'AEO25 Table 23'!$B:$B,"*,"&amp;AL$3&amp;",*"))/SUMIFS('AEO25 Table 23'!H:H,'AEO25 Table 23'!$B:$B,"*,"&amp;AL$3&amp;",*"),"")</f>
        <v/>
      </c>
      <c r="AM5">
        <f>IFERROR((SUMIFS('AEO 2026 Table 23 '!G:G,'AEO 2026 Table 23 '!$B:$B,"*,"&amp;AM$3&amp;",*")-SUMIFS('AEO25 Table 23'!H:H,'AEO25 Table 23'!$B:$B,"*,"&amp;AM$3&amp;",*"))/SUMIFS('AEO25 Table 23'!H:H,'AEO25 Table 23'!$B:$B,"*,"&amp;AM$3&amp;",*"),"")</f>
        <v/>
      </c>
      <c r="AN5">
        <f>IFERROR((SUMIFS('AEO 2026 Table 23 '!G:G,'AEO 2026 Table 23 '!$B:$B,"*,"&amp;AN$3&amp;",*")-SUMIFS('AEO25 Table 23'!H:H,'AEO25 Table 23'!$B:$B,"*,"&amp;AN$3&amp;",*"))/SUMIFS('AEO25 Table 23'!H:H,'AEO25 Table 23'!$B:$B,"*,"&amp;AN$3&amp;",*"),"")</f>
        <v/>
      </c>
      <c r="AO5">
        <f>IFERROR((SUMIFS('AEO 2026 Table 23 '!G:G,'AEO 2026 Table 23 '!$B:$B,"*,"&amp;AO$3&amp;",*")-SUMIFS('AEO25 Table 23'!H:H,'AEO25 Table 23'!$B:$B,"*,"&amp;AO$3&amp;",*"))/SUMIFS('AEO25 Table 23'!H:H,'AEO25 Table 23'!$B:$B,"*,"&amp;AO$3&amp;",*"),"")</f>
        <v/>
      </c>
      <c r="AP5">
        <f>IFERROR((SUMIFS('AEO 2026 Table 23 '!G:G,'AEO 2026 Table 23 '!$B:$B,"*,"&amp;AP$3&amp;",*")-SUMIFS('AEO25 Table 23'!H:H,'AEO25 Table 23'!$B:$B,"*,"&amp;AP$3&amp;",*"))/SUMIFS('AEO25 Table 23'!H:H,'AEO25 Table 23'!$B:$B,"*,"&amp;AP$3&amp;",*"),"")</f>
        <v/>
      </c>
      <c r="AQ5">
        <f>IFERROR((SUMIFS('AEO 2026 Table 23 '!G:G,'AEO 2026 Table 23 '!$B:$B,"*,"&amp;AQ$3&amp;",*")-SUMIFS('AEO25 Table 23'!H:H,'AEO25 Table 23'!$B:$B,"*,"&amp;AQ$3&amp;",*"))/SUMIFS('AEO25 Table 23'!H:H,'AEO25 Table 23'!$B:$B,"*,"&amp;AQ$3&amp;",*"),"")</f>
        <v/>
      </c>
      <c r="AR5">
        <f>IFERROR((SUMIFS('AEO 2026 Table 23 '!G:G,'AEO 2026 Table 23 '!$B:$B,"*,"&amp;AR$3&amp;",*")-SUMIFS('AEO25 Table 23'!H:H,'AEO25 Table 23'!$B:$B,"*,"&amp;AR$3&amp;",*"))/SUMIFS('AEO25 Table 23'!H:H,'AEO25 Table 23'!$B:$B,"*,"&amp;AR$3&amp;",*"),"")</f>
        <v/>
      </c>
      <c r="AS5">
        <f>IFERROR((SUMIFS('AEO 2026 Table 23 '!G:G,'AEO 2026 Table 23 '!$B:$B,"*,"&amp;AS$3&amp;",*")-SUMIFS('AEO25 Table 23'!H:H,'AEO25 Table 23'!$B:$B,"*,"&amp;AS$3&amp;",*"))/SUMIFS('AEO25 Table 23'!H:H,'AEO25 Table 23'!$B:$B,"*,"&amp;AS$3&amp;",*"),"")</f>
        <v/>
      </c>
      <c r="AT5">
        <f>IFERROR((SUMIFS('AEO 2026 Table 23 '!G:G,'AEO 2026 Table 23 '!$B:$B,"*,"&amp;AT$3&amp;",*")-SUMIFS('AEO25 Table 23'!H:H,'AEO25 Table 23'!$B:$B,"*,"&amp;AT$3&amp;",*"))/SUMIFS('AEO25 Table 23'!H:H,'AEO25 Table 23'!$B:$B,"*,"&amp;AT$3&amp;",*"),"")</f>
        <v/>
      </c>
      <c r="AU5">
        <f>IFERROR((SUMIFS('AEO 2026 Table 23 '!G:G,'AEO 2026 Table 23 '!$B:$B,"*,"&amp;AU$3&amp;",*")-SUMIFS('AEO25 Table 23'!H:H,'AEO25 Table 23'!$B:$B,"*,"&amp;AU$3&amp;",*"))/SUMIFS('AEO25 Table 23'!H:H,'AEO25 Table 23'!$B:$B,"*,"&amp;AU$3&amp;",*"),"")</f>
        <v/>
      </c>
      <c r="AV5">
        <f>IFERROR((SUMIFS('AEO 2026 Table 23 '!G:G,'AEO 2026 Table 23 '!$B:$B,"*,"&amp;AV$3&amp;",*")-SUMIFS('AEO25 Table 23'!H:H,'AEO25 Table 23'!$B:$B,"*,"&amp;AV$3&amp;",*"))/SUMIFS('AEO25 Table 23'!H:H,'AEO25 Table 23'!$B:$B,"*,"&amp;AV$3&amp;",*"),"")</f>
        <v/>
      </c>
      <c r="AW5">
        <f>IFERROR((SUMIFS('AEO 2026 Table 23 '!G:G,'AEO 2026 Table 23 '!$B:$B,"*,"&amp;AW$3&amp;",*")-SUMIFS('AEO25 Table 23'!H:H,'AEO25 Table 23'!$B:$B,"*,"&amp;AW$3&amp;",*"))/SUMIFS('AEO25 Table 23'!H:H,'AEO25 Table 23'!$B:$B,"*,"&amp;AW$3&amp;",*"),"")</f>
        <v/>
      </c>
      <c r="AX5">
        <f>IFERROR((SUMIFS('AEO 2026 Table 23 '!G:G,'AEO 2026 Table 23 '!$B:$B,"*,"&amp;AX$3&amp;",*")-SUMIFS('AEO25 Table 23'!H:H,'AEO25 Table 23'!$B:$B,"*,"&amp;AX$3&amp;",*"))/SUMIFS('AEO25 Table 23'!H:H,'AEO25 Table 23'!$B:$B,"*,"&amp;AX$3&amp;",*"),"")</f>
        <v/>
      </c>
      <c r="AY5">
        <f>IFERROR((SUMIFS('AEO 2026 Table 23 '!G:G,'AEO 2026 Table 23 '!$B:$B,"*,"&amp;AY$3&amp;",*")-SUMIFS('AEO25 Table 23'!H:H,'AEO25 Table 23'!$B:$B,"*,"&amp;AY$3&amp;",*"))/SUMIFS('AEO25 Table 23'!H:H,'AEO25 Table 23'!$B:$B,"*,"&amp;AY$3&amp;",*"),"")</f>
        <v/>
      </c>
      <c r="AZ5">
        <f>IFERROR((SUMIFS('AEO 2026 Table 23 '!G:G,'AEO 2026 Table 23 '!$B:$B,"*,"&amp;AZ$3&amp;",*")-SUMIFS('AEO25 Table 23'!H:H,'AEO25 Table 23'!$B:$B,"*,"&amp;AZ$3&amp;",*"))/SUMIFS('AEO25 Table 23'!H:H,'AEO25 Table 23'!$B:$B,"*,"&amp;AZ$3&amp;",*"),"")</f>
        <v/>
      </c>
      <c r="BA5">
        <f>IFERROR((SUMIFS('AEO 2026 Table 23 '!G:G,'AEO 2026 Table 23 '!$B:$B,"*,"&amp;BA$3&amp;",*")-SUMIFS('AEO25 Table 23'!H:H,'AEO25 Table 23'!$B:$B,"*,"&amp;BA$3&amp;",*"))/SUMIFS('AEO25 Table 23'!H:H,'AEO25 Table 23'!$B:$B,"*,"&amp;BA$3&amp;",*"),"")</f>
        <v/>
      </c>
    </row>
    <row r="6">
      <c r="A6" s="1" t="inlineStr">
        <is>
          <t>g2025</t>
        </is>
      </c>
      <c r="B6">
        <f>IF(B5="",B4*$B$2,B5)</f>
        <v/>
      </c>
      <c r="C6">
        <f>IF(C5="",C4*$B$2,C5)</f>
        <v/>
      </c>
      <c r="D6">
        <f>IF(D5="",D4*$B$2,D5)</f>
        <v/>
      </c>
      <c r="E6">
        <f>IF(E5="",E4*$B$2,E5)</f>
        <v/>
      </c>
      <c r="F6">
        <f>IF(F5="",F4*$B$2,F5)</f>
        <v/>
      </c>
      <c r="G6">
        <f>IF(G5="",G4*$B$2,G5)</f>
        <v/>
      </c>
      <c r="H6">
        <f>IF(H5="",H4*$B$2,H5)</f>
        <v/>
      </c>
      <c r="I6">
        <f>IF(I5="",I4*$B$2,I5)</f>
        <v/>
      </c>
      <c r="J6">
        <f>IF(J5="",J4*$B$2,J5)</f>
        <v/>
      </c>
      <c r="K6">
        <f>IF(K5="",K4*$B$2,K5)</f>
        <v/>
      </c>
      <c r="L6">
        <f>IF(L5="",L4*$B$2,L5)</f>
        <v/>
      </c>
      <c r="M6">
        <f>IF(M5="",M4*$B$2,M5)</f>
        <v/>
      </c>
      <c r="N6">
        <f>IF(N5="",N4*$B$2,N5)</f>
        <v/>
      </c>
      <c r="O6">
        <f>IF(O5="",O4*$B$2,O5)</f>
        <v/>
      </c>
      <c r="P6">
        <f>IF(P5="",P4*$B$2,P5)</f>
        <v/>
      </c>
      <c r="Q6">
        <f>IF(Q5="",Q4*$B$2,Q5)</f>
        <v/>
      </c>
      <c r="R6">
        <f>IF(R5="",R4*$B$2,R5)</f>
        <v/>
      </c>
      <c r="S6">
        <f>IF(S5="",S4*$B$2,S5)</f>
        <v/>
      </c>
      <c r="T6">
        <f>IF(T5="",T4*$B$2,T5)</f>
        <v/>
      </c>
      <c r="U6">
        <f>IF(U5="",U4*$B$2,U5)</f>
        <v/>
      </c>
      <c r="V6">
        <f>IF(V5="",V4*$B$2,V5)</f>
        <v/>
      </c>
      <c r="W6">
        <f>IF(W5="",W4*$B$2,W5)</f>
        <v/>
      </c>
      <c r="X6">
        <f>IF(X5="",X4*$B$2,X5)</f>
        <v/>
      </c>
      <c r="Y6">
        <f>IF(Y5="",Y4*$B$2,Y5)</f>
        <v/>
      </c>
      <c r="Z6">
        <f>IF(Z5="",Z4*$B$2,Z5)</f>
        <v/>
      </c>
      <c r="AA6">
        <f>IF(AA5="",AA4*$B$2,AA5)</f>
        <v/>
      </c>
      <c r="AB6">
        <f>IF(AB5="",AB4*$B$2,AB5)</f>
        <v/>
      </c>
      <c r="AC6">
        <f>IF(AC5="",AC4*$B$2,AC5)</f>
        <v/>
      </c>
      <c r="AD6">
        <f>IF(AD5="",AD4*$B$2,AD5)</f>
        <v/>
      </c>
      <c r="AE6">
        <f>IF(AE5="",AE4*$B$2,AE5)</f>
        <v/>
      </c>
      <c r="AF6">
        <f>IF(AF5="",AF4*$B$2,AF5)</f>
        <v/>
      </c>
      <c r="AG6">
        <f>IF(AG5="",AG4*$B$2,AG5)</f>
        <v/>
      </c>
      <c r="AH6">
        <f>IF(AH5="",AH4*$B$2,AH5)</f>
        <v/>
      </c>
      <c r="AI6">
        <f>IF(AI5="",AI4*$B$2,AI5)</f>
        <v/>
      </c>
      <c r="AJ6">
        <f>IF(AJ5="",AJ4*$B$2,AJ5)</f>
        <v/>
      </c>
      <c r="AK6">
        <f>IF(AK5="",AK4*$B$2,AK5)</f>
        <v/>
      </c>
      <c r="AL6">
        <f>IF(AL5="",AL4*$B$2,AL5)</f>
        <v/>
      </c>
      <c r="AM6">
        <f>IF(AM5="",AM4*$B$2,AM5)</f>
        <v/>
      </c>
      <c r="AN6">
        <f>IF(AN5="",AN4*$B$2,AN5)</f>
        <v/>
      </c>
      <c r="AO6">
        <f>IF(AO5="",AO4*$B$2,AO5)</f>
        <v/>
      </c>
      <c r="AP6">
        <f>IF(AP5="",AP4*$B$2,AP5)</f>
        <v/>
      </c>
      <c r="AQ6">
        <f>IF(AQ5="",AQ4*$B$2,AQ5)</f>
        <v/>
      </c>
      <c r="AR6">
        <f>IF(AR5="",AR4*$B$2,AR5)</f>
        <v/>
      </c>
      <c r="AS6">
        <f>IF(AS5="",AS4*$B$2,AS5)</f>
        <v/>
      </c>
      <c r="AT6">
        <f>IF(AT5="",AT4*$B$2,AT5)</f>
        <v/>
      </c>
      <c r="AU6">
        <f>IF(AU5="",AU4*$B$2,AU5)</f>
        <v/>
      </c>
      <c r="AV6">
        <f>IF(AV5="",AV4*$B$2,AV5)</f>
        <v/>
      </c>
      <c r="AW6">
        <f>IF(AW5="",AW4*$B$2,AW5)</f>
        <v/>
      </c>
      <c r="AX6">
        <f>IF(AX5="",AX4*$B$2,AX5)</f>
        <v/>
      </c>
      <c r="AY6">
        <f>IF(AY5="",AY4*$B$2,AY5)</f>
        <v/>
      </c>
      <c r="AZ6">
        <f>IF(AZ5="",AZ4*$B$2,AZ5)</f>
        <v/>
      </c>
      <c r="BA6">
        <f>IF(BA5="",BA4*$B$2,BA5)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B75"/>
  <sheetViews>
    <sheetView workbookViewId="0">
      <selection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Leaf values (compensation row = leaf row + 1)</t>
        </is>
      </c>
    </row>
    <row r="2">
      <c r="A2" s="1" t="inlineStr">
        <is>
          <t>Leaf ID</t>
        </is>
      </c>
      <c r="B2" s="1" t="inlineStr">
        <is>
          <t>value ($M 2024)</t>
        </is>
      </c>
      <c r="C2" s="1" t="inlineStr">
        <is>
          <t>Direct EPS code</t>
        </is>
      </c>
    </row>
    <row r="3">
      <c r="A3" t="inlineStr">
        <is>
          <t>Farms</t>
        </is>
      </c>
      <c r="B3">
        <f>INDEX('BEA Components 2024'!$C$1:$C$412,MATCH($A3,'BEA Components 2024'!$E$1:$E$412,0)+1)</f>
        <v/>
      </c>
      <c r="C3">
        <f>IFERROR(INDEX('BEA Components 2024'!$F$1:$F$412,MATCH($A3,'BEA Components 2024'!$E$1:$E$412,0)),"")</f>
        <v/>
      </c>
    </row>
    <row r="4">
      <c r="A4" t="inlineStr">
        <is>
          <t>Forestry, fishing, and related activities</t>
        </is>
      </c>
      <c r="B4">
        <f>INDEX('BEA Components 2024'!$C$1:$C$412,MATCH($A4,'BEA Components 2024'!$E$1:$E$412,0)+1)</f>
        <v/>
      </c>
      <c r="C4">
        <f>IFERROR(INDEX('BEA Components 2024'!$F$1:$F$412,MATCH($A4,'BEA Components 2024'!$E$1:$E$412,0)),"")</f>
        <v/>
      </c>
    </row>
    <row r="5">
      <c r="A5" t="inlineStr">
        <is>
          <t>Oil and gas extraction</t>
        </is>
      </c>
      <c r="B5">
        <f>INDEX('BEA Components 2024'!$C$1:$C$412,MATCH($A5,'BEA Components 2024'!$E$1:$E$412,0)+1)</f>
        <v/>
      </c>
      <c r="C5">
        <f>IFERROR(INDEX('BEA Components 2024'!$F$1:$F$412,MATCH($A5,'BEA Components 2024'!$E$1:$E$412,0)),"")</f>
        <v/>
      </c>
    </row>
    <row r="6">
      <c r="A6" t="inlineStr">
        <is>
          <t>Mining, except oil and gas</t>
        </is>
      </c>
      <c r="B6">
        <f>INDEX('BEA Components 2024'!$C$1:$C$412,MATCH($A6,'BEA Components 2024'!$E$1:$E$412,0)+1)</f>
        <v/>
      </c>
      <c r="C6">
        <f>IFERROR(INDEX('BEA Components 2024'!$F$1:$F$412,MATCH($A6,'BEA Components 2024'!$E$1:$E$412,0)),"")</f>
        <v/>
      </c>
    </row>
    <row r="7">
      <c r="A7" t="inlineStr">
        <is>
          <t>Support activities for mining</t>
        </is>
      </c>
      <c r="B7">
        <f>INDEX('BEA Components 2024'!$C$1:$C$412,MATCH($A7,'BEA Components 2024'!$E$1:$E$412,0)+1)</f>
        <v/>
      </c>
      <c r="C7">
        <f>IFERROR(INDEX('BEA Components 2024'!$F$1:$F$412,MATCH($A7,'BEA Components 2024'!$E$1:$E$412,0)),"")</f>
        <v/>
      </c>
    </row>
    <row r="8">
      <c r="A8" t="inlineStr">
        <is>
          <t>Utilities</t>
        </is>
      </c>
      <c r="B8">
        <f>INDEX('BEA Components 2024'!$C$1:$C$412,MATCH($A8,'BEA Components 2024'!$E$1:$E$412,0)+1)</f>
        <v/>
      </c>
      <c r="C8">
        <f>IFERROR(INDEX('BEA Components 2024'!$F$1:$F$412,MATCH($A8,'BEA Components 2024'!$E$1:$E$412,0)),"")</f>
        <v/>
      </c>
    </row>
    <row r="9">
      <c r="A9" t="inlineStr">
        <is>
          <t>Construction</t>
        </is>
      </c>
      <c r="B9">
        <f>INDEX('BEA Components 2024'!$C$1:$C$412,MATCH($A9,'BEA Components 2024'!$E$1:$E$412,0)+1)</f>
        <v/>
      </c>
      <c r="C9">
        <f>IFERROR(INDEX('BEA Components 2024'!$F$1:$F$412,MATCH($A9,'BEA Components 2024'!$E$1:$E$412,0)),"")</f>
        <v/>
      </c>
    </row>
    <row r="10">
      <c r="A10" t="inlineStr">
        <is>
          <t>Wood products</t>
        </is>
      </c>
      <c r="B10">
        <f>INDEX('BEA Components 2024'!$C$1:$C$412,MATCH($A10,'BEA Components 2024'!$E$1:$E$412,0)+1)</f>
        <v/>
      </c>
      <c r="C10">
        <f>IFERROR(INDEX('BEA Components 2024'!$F$1:$F$412,MATCH($A10,'BEA Components 2024'!$E$1:$E$412,0)),"")</f>
        <v/>
      </c>
    </row>
    <row r="11">
      <c r="A11" t="inlineStr">
        <is>
          <t>Nonmetallic mineral products</t>
        </is>
      </c>
      <c r="B11">
        <f>INDEX('BEA Components 2024'!$C$1:$C$412,MATCH($A11,'BEA Components 2024'!$E$1:$E$412,0)+1)</f>
        <v/>
      </c>
      <c r="C11">
        <f>IFERROR(INDEX('BEA Components 2024'!$F$1:$F$412,MATCH($A11,'BEA Components 2024'!$E$1:$E$412,0)),"")</f>
        <v/>
      </c>
    </row>
    <row r="12">
      <c r="A12" t="inlineStr">
        <is>
          <t>Primary metals</t>
        </is>
      </c>
      <c r="B12">
        <f>INDEX('BEA Components 2024'!$C$1:$C$412,MATCH($A12,'BEA Components 2024'!$E$1:$E$412,0)+1)</f>
        <v/>
      </c>
      <c r="C12">
        <f>IFERROR(INDEX('BEA Components 2024'!$F$1:$F$412,MATCH($A12,'BEA Components 2024'!$E$1:$E$412,0)),"")</f>
        <v/>
      </c>
    </row>
    <row r="13">
      <c r="A13" t="inlineStr">
        <is>
          <t>Fabricated metal products</t>
        </is>
      </c>
      <c r="B13">
        <f>INDEX('BEA Components 2024'!$C$1:$C$412,MATCH($A13,'BEA Components 2024'!$E$1:$E$412,0)+1)</f>
        <v/>
      </c>
      <c r="C13">
        <f>IFERROR(INDEX('BEA Components 2024'!$F$1:$F$412,MATCH($A13,'BEA Components 2024'!$E$1:$E$412,0)),"")</f>
        <v/>
      </c>
    </row>
    <row r="14">
      <c r="A14" t="inlineStr">
        <is>
          <t>Machinery</t>
        </is>
      </c>
      <c r="B14">
        <f>INDEX('BEA Components 2024'!$C$1:$C$412,MATCH($A14,'BEA Components 2024'!$E$1:$E$412,0)+1)</f>
        <v/>
      </c>
      <c r="C14">
        <f>IFERROR(INDEX('BEA Components 2024'!$F$1:$F$412,MATCH($A14,'BEA Components 2024'!$E$1:$E$412,0)),"")</f>
        <v/>
      </c>
    </row>
    <row r="15">
      <c r="A15" t="inlineStr">
        <is>
          <t>Computer and electronic products</t>
        </is>
      </c>
      <c r="B15">
        <f>INDEX('BEA Components 2024'!$C$1:$C$412,MATCH($A15,'BEA Components 2024'!$E$1:$E$412,0)+1)</f>
        <v/>
      </c>
      <c r="C15">
        <f>IFERROR(INDEX('BEA Components 2024'!$F$1:$F$412,MATCH($A15,'BEA Components 2024'!$E$1:$E$412,0)),"")</f>
        <v/>
      </c>
    </row>
    <row r="16">
      <c r="A16" t="inlineStr">
        <is>
          <t>Electrical equipment, appliances, and components</t>
        </is>
      </c>
      <c r="B16">
        <f>INDEX('BEA Components 2024'!$C$1:$C$412,MATCH($A16,'BEA Components 2024'!$E$1:$E$412,0)+1)</f>
        <v/>
      </c>
      <c r="C16">
        <f>IFERROR(INDEX('BEA Components 2024'!$F$1:$F$412,MATCH($A16,'BEA Components 2024'!$E$1:$E$412,0)),"")</f>
        <v/>
      </c>
    </row>
    <row r="17">
      <c r="A17" t="inlineStr">
        <is>
          <t>Motor vehicles, bodies and trailers, and parts</t>
        </is>
      </c>
      <c r="B17">
        <f>INDEX('BEA Components 2024'!$C$1:$C$412,MATCH($A17,'BEA Components 2024'!$E$1:$E$412,0)+1)</f>
        <v/>
      </c>
      <c r="C17">
        <f>IFERROR(INDEX('BEA Components 2024'!$F$1:$F$412,MATCH($A17,'BEA Components 2024'!$E$1:$E$412,0)),"")</f>
        <v/>
      </c>
    </row>
    <row r="18">
      <c r="A18" t="inlineStr">
        <is>
          <t>Other transportation equipment</t>
        </is>
      </c>
      <c r="B18">
        <f>INDEX('BEA Components 2024'!$C$1:$C$412,MATCH($A18,'BEA Components 2024'!$E$1:$E$412,0)+1)</f>
        <v/>
      </c>
      <c r="C18">
        <f>IFERROR(INDEX('BEA Components 2024'!$F$1:$F$412,MATCH($A18,'BEA Components 2024'!$E$1:$E$412,0)),"")</f>
        <v/>
      </c>
    </row>
    <row r="19">
      <c r="A19" t="inlineStr">
        <is>
          <t>Furniture and related products</t>
        </is>
      </c>
      <c r="B19">
        <f>INDEX('BEA Components 2024'!$C$1:$C$412,MATCH($A19,'BEA Components 2024'!$E$1:$E$412,0)+1)</f>
        <v/>
      </c>
      <c r="C19">
        <f>IFERROR(INDEX('BEA Components 2024'!$F$1:$F$412,MATCH($A19,'BEA Components 2024'!$E$1:$E$412,0)),"")</f>
        <v/>
      </c>
    </row>
    <row r="20">
      <c r="A20" t="inlineStr">
        <is>
          <t>Miscellaneous manufacturing</t>
        </is>
      </c>
      <c r="B20">
        <f>INDEX('BEA Components 2024'!$C$1:$C$412,MATCH($A20,'BEA Components 2024'!$E$1:$E$412,0)+1)</f>
        <v/>
      </c>
      <c r="C20">
        <f>IFERROR(INDEX('BEA Components 2024'!$F$1:$F$412,MATCH($A20,'BEA Components 2024'!$E$1:$E$412,0)),"")</f>
        <v/>
      </c>
    </row>
    <row r="21">
      <c r="A21" t="inlineStr">
        <is>
          <t>Food and beverage and tobacco products</t>
        </is>
      </c>
      <c r="B21">
        <f>INDEX('BEA Components 2024'!$C$1:$C$412,MATCH($A21,'BEA Components 2024'!$E$1:$E$412,0)+1)</f>
        <v/>
      </c>
      <c r="C21">
        <f>IFERROR(INDEX('BEA Components 2024'!$F$1:$F$412,MATCH($A21,'BEA Components 2024'!$E$1:$E$412,0)),"")</f>
        <v/>
      </c>
    </row>
    <row r="22">
      <c r="A22" t="inlineStr">
        <is>
          <t>Textile mills and textile product mills</t>
        </is>
      </c>
      <c r="B22">
        <f>INDEX('BEA Components 2024'!$C$1:$C$412,MATCH($A22,'BEA Components 2024'!$E$1:$E$412,0)+1)</f>
        <v/>
      </c>
      <c r="C22">
        <f>IFERROR(INDEX('BEA Components 2024'!$F$1:$F$412,MATCH($A22,'BEA Components 2024'!$E$1:$E$412,0)),"")</f>
        <v/>
      </c>
    </row>
    <row r="23">
      <c r="A23" t="inlineStr">
        <is>
          <t>Apparel and leather and allied products</t>
        </is>
      </c>
      <c r="B23">
        <f>INDEX('BEA Components 2024'!$C$1:$C$412,MATCH($A23,'BEA Components 2024'!$E$1:$E$412,0)+1)</f>
        <v/>
      </c>
      <c r="C23">
        <f>IFERROR(INDEX('BEA Components 2024'!$F$1:$F$412,MATCH($A23,'BEA Components 2024'!$E$1:$E$412,0)),"")</f>
        <v/>
      </c>
    </row>
    <row r="24">
      <c r="A24" t="inlineStr">
        <is>
          <t>Paper products</t>
        </is>
      </c>
      <c r="B24">
        <f>INDEX('BEA Components 2024'!$C$1:$C$412,MATCH($A24,'BEA Components 2024'!$E$1:$E$412,0)+1)</f>
        <v/>
      </c>
      <c r="C24">
        <f>IFERROR(INDEX('BEA Components 2024'!$F$1:$F$412,MATCH($A24,'BEA Components 2024'!$E$1:$E$412,0)),"")</f>
        <v/>
      </c>
    </row>
    <row r="25">
      <c r="A25" t="inlineStr">
        <is>
          <t>Printing and related support activities</t>
        </is>
      </c>
      <c r="B25">
        <f>INDEX('BEA Components 2024'!$C$1:$C$412,MATCH($A25,'BEA Components 2024'!$E$1:$E$412,0)+1)</f>
        <v/>
      </c>
      <c r="C25">
        <f>IFERROR(INDEX('BEA Components 2024'!$F$1:$F$412,MATCH($A25,'BEA Components 2024'!$E$1:$E$412,0)),"")</f>
        <v/>
      </c>
    </row>
    <row r="26">
      <c r="A26" t="inlineStr">
        <is>
          <t>Petroleum and coal products</t>
        </is>
      </c>
      <c r="B26">
        <f>INDEX('BEA Components 2024'!$C$1:$C$412,MATCH($A26,'BEA Components 2024'!$E$1:$E$412,0)+1)</f>
        <v/>
      </c>
      <c r="C26">
        <f>IFERROR(INDEX('BEA Components 2024'!$F$1:$F$412,MATCH($A26,'BEA Components 2024'!$E$1:$E$412,0)),"")</f>
        <v/>
      </c>
    </row>
    <row r="27">
      <c r="A27" t="inlineStr">
        <is>
          <t>Chemical products</t>
        </is>
      </c>
      <c r="B27">
        <f>INDEX('BEA Components 2024'!$C$1:$C$412,MATCH($A27,'BEA Components 2024'!$E$1:$E$412,0)+1)</f>
        <v/>
      </c>
      <c r="C27">
        <f>IFERROR(INDEX('BEA Components 2024'!$F$1:$F$412,MATCH($A27,'BEA Components 2024'!$E$1:$E$412,0)),"")</f>
        <v/>
      </c>
    </row>
    <row r="28">
      <c r="A28" t="inlineStr">
        <is>
          <t>Plastics and rubber products</t>
        </is>
      </c>
      <c r="B28">
        <f>INDEX('BEA Components 2024'!$C$1:$C$412,MATCH($A28,'BEA Components 2024'!$E$1:$E$412,0)+1)</f>
        <v/>
      </c>
      <c r="C28">
        <f>IFERROR(INDEX('BEA Components 2024'!$F$1:$F$412,MATCH($A28,'BEA Components 2024'!$E$1:$E$412,0)),"")</f>
        <v/>
      </c>
    </row>
    <row r="29">
      <c r="A29" t="inlineStr">
        <is>
          <t>Wholesale trade</t>
        </is>
      </c>
      <c r="B29">
        <f>INDEX('BEA Components 2024'!$C$1:$C$412,MATCH($A29,'BEA Components 2024'!$E$1:$E$412,0)+1)</f>
        <v/>
      </c>
      <c r="C29">
        <f>IFERROR(INDEX('BEA Components 2024'!$F$1:$F$412,MATCH($A29,'BEA Components 2024'!$E$1:$E$412,0)),"")</f>
        <v/>
      </c>
    </row>
    <row r="30">
      <c r="A30" t="inlineStr">
        <is>
          <t>Retail trade</t>
        </is>
      </c>
      <c r="B30">
        <f>INDEX('BEA Components 2024'!$C$1:$C$412,MATCH($A30,'BEA Components 2024'!$E$1:$E$412,0)+1)</f>
        <v/>
      </c>
      <c r="C30">
        <f>IFERROR(INDEX('BEA Components 2024'!$F$1:$F$412,MATCH($A30,'BEA Components 2024'!$E$1:$E$412,0)),"")</f>
        <v/>
      </c>
    </row>
    <row r="31">
      <c r="A31" t="inlineStr">
        <is>
          <t>Air transportation</t>
        </is>
      </c>
      <c r="B31">
        <f>INDEX('BEA Components 2024'!$C$1:$C$412,MATCH($A31,'BEA Components 2024'!$E$1:$E$412,0)+1)</f>
        <v/>
      </c>
      <c r="C31">
        <f>IFERROR(INDEX('BEA Components 2024'!$F$1:$F$412,MATCH($A31,'BEA Components 2024'!$E$1:$E$412,0)),"")</f>
        <v/>
      </c>
    </row>
    <row r="32">
      <c r="A32" t="inlineStr">
        <is>
          <t>Rail transportation</t>
        </is>
      </c>
      <c r="B32">
        <f>INDEX('BEA Components 2024'!$C$1:$C$412,MATCH($A32,'BEA Components 2024'!$E$1:$E$412,0)+1)</f>
        <v/>
      </c>
      <c r="C32">
        <f>IFERROR(INDEX('BEA Components 2024'!$F$1:$F$412,MATCH($A32,'BEA Components 2024'!$E$1:$E$412,0)),"")</f>
        <v/>
      </c>
    </row>
    <row r="33">
      <c r="A33" t="inlineStr">
        <is>
          <t>Water transportation</t>
        </is>
      </c>
      <c r="B33">
        <f>INDEX('BEA Components 2024'!$C$1:$C$412,MATCH($A33,'BEA Components 2024'!$E$1:$E$412,0)+1)</f>
        <v/>
      </c>
      <c r="C33">
        <f>IFERROR(INDEX('BEA Components 2024'!$F$1:$F$412,MATCH($A33,'BEA Components 2024'!$E$1:$E$412,0)),"")</f>
        <v/>
      </c>
    </row>
    <row r="34">
      <c r="A34" t="inlineStr">
        <is>
          <t>Truck transportation</t>
        </is>
      </c>
      <c r="B34">
        <f>INDEX('BEA Components 2024'!$C$1:$C$412,MATCH($A34,'BEA Components 2024'!$E$1:$E$412,0)+1)</f>
        <v/>
      </c>
      <c r="C34">
        <f>IFERROR(INDEX('BEA Components 2024'!$F$1:$F$412,MATCH($A34,'BEA Components 2024'!$E$1:$E$412,0)),"")</f>
        <v/>
      </c>
    </row>
    <row r="35">
      <c r="A35" t="inlineStr">
        <is>
          <t>Transit and ground passenger transportation</t>
        </is>
      </c>
      <c r="B35">
        <f>INDEX('BEA Components 2024'!$C$1:$C$412,MATCH($A35,'BEA Components 2024'!$E$1:$E$412,0)+1)</f>
        <v/>
      </c>
      <c r="C35">
        <f>IFERROR(INDEX('BEA Components 2024'!$F$1:$F$412,MATCH($A35,'BEA Components 2024'!$E$1:$E$412,0)),"")</f>
        <v/>
      </c>
    </row>
    <row r="36">
      <c r="A36" t="inlineStr">
        <is>
          <t>Pipeline transportation</t>
        </is>
      </c>
      <c r="B36">
        <f>INDEX('BEA Components 2024'!$C$1:$C$412,MATCH($A36,'BEA Components 2024'!$E$1:$E$412,0)+1)</f>
        <v/>
      </c>
      <c r="C36">
        <f>IFERROR(INDEX('BEA Components 2024'!$F$1:$F$412,MATCH($A36,'BEA Components 2024'!$E$1:$E$412,0)),"")</f>
        <v/>
      </c>
    </row>
    <row r="37">
      <c r="A37" t="inlineStr">
        <is>
          <t>Other transportation and support activities</t>
        </is>
      </c>
      <c r="B37">
        <f>INDEX('BEA Components 2024'!$C$1:$C$412,MATCH($A37,'BEA Components 2024'!$E$1:$E$412,0)+1)</f>
        <v/>
      </c>
      <c r="C37">
        <f>IFERROR(INDEX('BEA Components 2024'!$F$1:$F$412,MATCH($A37,'BEA Components 2024'!$E$1:$E$412,0)),"")</f>
        <v/>
      </c>
    </row>
    <row r="38">
      <c r="A38" t="inlineStr">
        <is>
          <t>Warehousing and storage</t>
        </is>
      </c>
      <c r="B38">
        <f>INDEX('BEA Components 2024'!$C$1:$C$412,MATCH($A38,'BEA Components 2024'!$E$1:$E$412,0)+1)</f>
        <v/>
      </c>
      <c r="C38">
        <f>IFERROR(INDEX('BEA Components 2024'!$F$1:$F$412,MATCH($A38,'BEA Components 2024'!$E$1:$E$412,0)),"")</f>
        <v/>
      </c>
    </row>
    <row r="39">
      <c r="A39" t="inlineStr">
        <is>
          <t>Publishing industries, except internet (includes software)</t>
        </is>
      </c>
      <c r="B39">
        <f>INDEX('BEA Components 2024'!$C$1:$C$412,MATCH($A39,'BEA Components 2024'!$E$1:$E$412,0)+1)</f>
        <v/>
      </c>
      <c r="C39">
        <f>IFERROR(INDEX('BEA Components 2024'!$F$1:$F$412,MATCH($A39,'BEA Components 2024'!$E$1:$E$412,0)),"")</f>
        <v/>
      </c>
    </row>
    <row r="40">
      <c r="A40" t="inlineStr">
        <is>
          <t>Motion picture and sound recording industries</t>
        </is>
      </c>
      <c r="B40">
        <f>INDEX('BEA Components 2024'!$C$1:$C$412,MATCH($A40,'BEA Components 2024'!$E$1:$E$412,0)+1)</f>
        <v/>
      </c>
      <c r="C40">
        <f>IFERROR(INDEX('BEA Components 2024'!$F$1:$F$412,MATCH($A40,'BEA Components 2024'!$E$1:$E$412,0)),"")</f>
        <v/>
      </c>
    </row>
    <row r="41">
      <c r="A41" t="inlineStr">
        <is>
          <t>Broadcasting and telecommunications</t>
        </is>
      </c>
      <c r="B41">
        <f>INDEX('BEA Components 2024'!$C$1:$C$412,MATCH($A41,'BEA Components 2024'!$E$1:$E$412,0)+1)</f>
        <v/>
      </c>
      <c r="C41">
        <f>IFERROR(INDEX('BEA Components 2024'!$F$1:$F$412,MATCH($A41,'BEA Components 2024'!$E$1:$E$412,0)),"")</f>
        <v/>
      </c>
    </row>
    <row r="42">
      <c r="A42" t="inlineStr">
        <is>
          <t>Data processing, internet publishing, and other information services</t>
        </is>
      </c>
      <c r="B42">
        <f>INDEX('BEA Components 2024'!$C$1:$C$412,MATCH($A42,'BEA Components 2024'!$E$1:$E$412,0)+1)</f>
        <v/>
      </c>
      <c r="C42">
        <f>IFERROR(INDEX('BEA Components 2024'!$F$1:$F$412,MATCH($A42,'BEA Components 2024'!$E$1:$E$412,0)),"")</f>
        <v/>
      </c>
    </row>
    <row r="43">
      <c r="A43" t="inlineStr">
        <is>
          <t>Finance and insurance</t>
        </is>
      </c>
      <c r="B43">
        <f>INDEX('BEA Components 2024'!$C$1:$C$412,MATCH($A43,'BEA Components 2024'!$E$1:$E$412,0)+1)</f>
        <v/>
      </c>
      <c r="C43">
        <f>IFERROR(INDEX('BEA Components 2024'!$F$1:$F$412,MATCH($A43,'BEA Components 2024'!$E$1:$E$412,0)),"")</f>
        <v/>
      </c>
    </row>
    <row r="44">
      <c r="A44" t="inlineStr">
        <is>
          <t>Real estate</t>
        </is>
      </c>
      <c r="B44">
        <f>INDEX('BEA Components 2024'!$C$1:$C$412,MATCH($A44,'BEA Components 2024'!$E$1:$E$412,0)+1)</f>
        <v/>
      </c>
      <c r="C44">
        <f>IFERROR(INDEX('BEA Components 2024'!$F$1:$F$412,MATCH($A44,'BEA Components 2024'!$E$1:$E$412,0)),"")</f>
        <v/>
      </c>
    </row>
    <row r="45">
      <c r="A45" t="inlineStr">
        <is>
          <t>Rental and leasing services and lessors of intangible assets</t>
        </is>
      </c>
      <c r="B45">
        <f>INDEX('BEA Components 2024'!$C$1:$C$412,MATCH($A45,'BEA Components 2024'!$E$1:$E$412,0)+1)</f>
        <v/>
      </c>
      <c r="C45">
        <f>IFERROR(INDEX('BEA Components 2024'!$F$1:$F$412,MATCH($A45,'BEA Components 2024'!$E$1:$E$412,0)),"")</f>
        <v/>
      </c>
    </row>
    <row r="46">
      <c r="A46" t="inlineStr">
        <is>
          <t>Legal services</t>
        </is>
      </c>
      <c r="B46">
        <f>INDEX('BEA Components 2024'!$C$1:$C$412,MATCH($A46,'BEA Components 2024'!$E$1:$E$412,0)+1)</f>
        <v/>
      </c>
      <c r="C46">
        <f>IFERROR(INDEX('BEA Components 2024'!$F$1:$F$412,MATCH($A46,'BEA Components 2024'!$E$1:$E$412,0)),"")</f>
        <v/>
      </c>
    </row>
    <row r="47">
      <c r="A47" t="inlineStr">
        <is>
          <t>Computer systems design and related services</t>
        </is>
      </c>
      <c r="B47">
        <f>INDEX('BEA Components 2024'!$C$1:$C$412,MATCH($A47,'BEA Components 2024'!$E$1:$E$412,0)+1)</f>
        <v/>
      </c>
      <c r="C47">
        <f>IFERROR(INDEX('BEA Components 2024'!$F$1:$F$412,MATCH($A47,'BEA Components 2024'!$E$1:$E$412,0)),"")</f>
        <v/>
      </c>
    </row>
    <row r="48">
      <c r="A48" t="inlineStr">
        <is>
          <t>Miscellaneous professional, scientific, and technical services</t>
        </is>
      </c>
      <c r="B48">
        <f>INDEX('BEA Components 2024'!$C$1:$C$412,MATCH($A48,'BEA Components 2024'!$E$1:$E$412,0)+1)</f>
        <v/>
      </c>
      <c r="C48">
        <f>IFERROR(INDEX('BEA Components 2024'!$F$1:$F$412,MATCH($A48,'BEA Components 2024'!$E$1:$E$412,0)),"")</f>
        <v/>
      </c>
    </row>
    <row r="49">
      <c r="A49" t="inlineStr">
        <is>
          <t>Management of companies and enterprises</t>
        </is>
      </c>
      <c r="B49">
        <f>INDEX('BEA Components 2024'!$C$1:$C$412,MATCH($A49,'BEA Components 2024'!$E$1:$E$412,0)+1)</f>
        <v/>
      </c>
      <c r="C49">
        <f>IFERROR(INDEX('BEA Components 2024'!$F$1:$F$412,MATCH($A49,'BEA Components 2024'!$E$1:$E$412,0)),"")</f>
        <v/>
      </c>
    </row>
    <row r="50">
      <c r="A50" t="inlineStr">
        <is>
          <t>Administrative and support services</t>
        </is>
      </c>
      <c r="B50">
        <f>INDEX('BEA Components 2024'!$C$1:$C$412,MATCH($A50,'BEA Components 2024'!$E$1:$E$412,0)+1)</f>
        <v/>
      </c>
      <c r="C50">
        <f>IFERROR(INDEX('BEA Components 2024'!$F$1:$F$412,MATCH($A50,'BEA Components 2024'!$E$1:$E$412,0)),"")</f>
        <v/>
      </c>
    </row>
    <row r="51">
      <c r="A51" t="inlineStr">
        <is>
          <t>Waste management and remediation services</t>
        </is>
      </c>
      <c r="B51">
        <f>INDEX('BEA Components 2024'!$C$1:$C$412,MATCH($A51,'BEA Components 2024'!$E$1:$E$412,0)+1)</f>
        <v/>
      </c>
      <c r="C51">
        <f>IFERROR(INDEX('BEA Components 2024'!$F$1:$F$412,MATCH($A51,'BEA Components 2024'!$E$1:$E$412,0)),"")</f>
        <v/>
      </c>
    </row>
    <row r="52">
      <c r="A52" t="inlineStr">
        <is>
          <t>Educational services</t>
        </is>
      </c>
      <c r="B52">
        <f>INDEX('BEA Components 2024'!$C$1:$C$412,MATCH($A52,'BEA Components 2024'!$E$1:$E$412,0)+1)</f>
        <v/>
      </c>
      <c r="C52">
        <f>IFERROR(INDEX('BEA Components 2024'!$F$1:$F$412,MATCH($A52,'BEA Components 2024'!$E$1:$E$412,0)),"")</f>
        <v/>
      </c>
    </row>
    <row r="53">
      <c r="A53" t="inlineStr">
        <is>
          <t>Health care and social assistance</t>
        </is>
      </c>
      <c r="B53">
        <f>INDEX('BEA Components 2024'!$C$1:$C$412,MATCH($A53,'BEA Components 2024'!$E$1:$E$412,0)+1)</f>
        <v/>
      </c>
      <c r="C53">
        <f>IFERROR(INDEX('BEA Components 2024'!$F$1:$F$412,MATCH($A53,'BEA Components 2024'!$E$1:$E$412,0)),"")</f>
        <v/>
      </c>
    </row>
    <row r="54">
      <c r="A54" t="inlineStr">
        <is>
          <t>Arts, entertainment, and recreation</t>
        </is>
      </c>
      <c r="B54">
        <f>INDEX('BEA Components 2024'!$C$1:$C$412,MATCH($A54,'BEA Components 2024'!$E$1:$E$412,0)+1)</f>
        <v/>
      </c>
      <c r="C54">
        <f>IFERROR(INDEX('BEA Components 2024'!$F$1:$F$412,MATCH($A54,'BEA Components 2024'!$E$1:$E$412,0)),"")</f>
        <v/>
      </c>
    </row>
    <row r="55">
      <c r="A55" t="inlineStr">
        <is>
          <t>Accommodation and food services</t>
        </is>
      </c>
      <c r="B55">
        <f>INDEX('BEA Components 2024'!$C$1:$C$412,MATCH($A55,'BEA Components 2024'!$E$1:$E$412,0)+1)</f>
        <v/>
      </c>
      <c r="C55">
        <f>IFERROR(INDEX('BEA Components 2024'!$F$1:$F$412,MATCH($A55,'BEA Components 2024'!$E$1:$E$412,0)),"")</f>
        <v/>
      </c>
    </row>
    <row r="56">
      <c r="A56" t="inlineStr">
        <is>
          <t>Other services, except government</t>
        </is>
      </c>
      <c r="B56">
        <f>INDEX('BEA Components 2024'!$C$1:$C$412,MATCH($A56,'BEA Components 2024'!$E$1:$E$412,0)+1)</f>
        <v/>
      </c>
      <c r="C56">
        <f>IFERROR(INDEX('BEA Components 2024'!$F$1:$F$412,MATCH($A56,'BEA Components 2024'!$E$1:$E$412,0)),"")</f>
        <v/>
      </c>
    </row>
    <row r="57">
      <c r="A57" t="inlineStr">
        <is>
          <t>General government#1</t>
        </is>
      </c>
      <c r="B57">
        <f>INDEX('BEA Components 2024'!$C$1:$C$412,MATCH($A57,'BEA Components 2024'!$E$1:$E$412,0)+1)</f>
        <v/>
      </c>
      <c r="C57">
        <f>IFERROR(INDEX('BEA Components 2024'!$F$1:$F$412,MATCH($A57,'BEA Components 2024'!$E$1:$E$412,0)),"")</f>
        <v/>
      </c>
    </row>
    <row r="58">
      <c r="A58" t="inlineStr">
        <is>
          <t>Government enterprises#1</t>
        </is>
      </c>
      <c r="B58">
        <f>INDEX('BEA Components 2024'!$C$1:$C$412,MATCH($A58,'BEA Components 2024'!$E$1:$E$412,0)+1)</f>
        <v/>
      </c>
      <c r="C58">
        <f>IFERROR(INDEX('BEA Components 2024'!$F$1:$F$412,MATCH($A58,'BEA Components 2024'!$E$1:$E$412,0)),"")</f>
        <v/>
      </c>
    </row>
    <row r="59">
      <c r="A59" t="inlineStr">
        <is>
          <t>General government#2</t>
        </is>
      </c>
      <c r="B59">
        <f>INDEX('BEA Components 2024'!$C$1:$C$412,MATCH($A59,'BEA Components 2024'!$E$1:$E$412,0)+1)</f>
        <v/>
      </c>
      <c r="C59">
        <f>IFERROR(INDEX('BEA Components 2024'!$F$1:$F$412,MATCH($A59,'BEA Components 2024'!$E$1:$E$412,0)),"")</f>
        <v/>
      </c>
    </row>
    <row r="60">
      <c r="A60" t="inlineStr">
        <is>
          <t>Government enterprises#2</t>
        </is>
      </c>
      <c r="B60">
        <f>INDEX('BEA Components 2024'!$C$1:$C$412,MATCH($A60,'BEA Components 2024'!$E$1:$E$412,0)+1)</f>
        <v/>
      </c>
      <c r="C60">
        <f>IFERROR(INDEX('BEA Components 2024'!$F$1:$F$412,MATCH($A60,'BEA Components 2024'!$E$1:$E$412,0)),"")</f>
        <v/>
      </c>
    </row>
    <row r="62">
      <c r="A62" s="1" t="inlineStr">
        <is>
          <t>Mixed-leaf VABAS weights (rows sum to 1)</t>
        </is>
      </c>
    </row>
    <row r="63">
      <c r="A63" s="1" t="inlineStr">
        <is>
          <t>Leaf ID</t>
        </is>
      </c>
      <c r="B63" s="1" t="inlineStr">
        <is>
          <t>value ($M 2024)</t>
        </is>
      </c>
      <c r="C63" s="1" t="inlineStr">
        <is>
          <t>ISIC 01</t>
        </is>
      </c>
      <c r="D63" s="1" t="inlineStr">
        <is>
          <t>ISIC 02</t>
        </is>
      </c>
      <c r="E63" s="1" t="inlineStr">
        <is>
          <t>ISIC 03</t>
        </is>
      </c>
      <c r="F63" s="1" t="inlineStr">
        <is>
          <t>ISIC 05</t>
        </is>
      </c>
      <c r="G63" s="1" t="inlineStr">
        <is>
          <t>ISIC 06</t>
        </is>
      </c>
      <c r="H63" s="1" t="inlineStr">
        <is>
          <t>ISIC 07</t>
        </is>
      </c>
      <c r="I63" s="1" t="inlineStr">
        <is>
          <t>ISIC 08</t>
        </is>
      </c>
      <c r="J63" s="1" t="inlineStr">
        <is>
          <t>ISIC 09</t>
        </is>
      </c>
      <c r="K63" s="1" t="inlineStr">
        <is>
          <t>ISIC 10T12</t>
        </is>
      </c>
      <c r="L63" s="1" t="inlineStr">
        <is>
          <t>ISIC 13T15</t>
        </is>
      </c>
      <c r="M63" s="1" t="inlineStr">
        <is>
          <t>ISIC 16</t>
        </is>
      </c>
      <c r="N63" s="1" t="inlineStr">
        <is>
          <t>ISIC 17T18</t>
        </is>
      </c>
      <c r="O63" s="1" t="inlineStr">
        <is>
          <t>ISIC 19</t>
        </is>
      </c>
      <c r="P63" s="1" t="inlineStr">
        <is>
          <t>ISIC 20</t>
        </is>
      </c>
      <c r="Q63" s="1" t="inlineStr">
        <is>
          <t>ISIC 21</t>
        </is>
      </c>
      <c r="R63" s="1" t="inlineStr">
        <is>
          <t>ISIC 22</t>
        </is>
      </c>
      <c r="S63" s="1" t="inlineStr">
        <is>
          <t>ISIC 231</t>
        </is>
      </c>
      <c r="T63" s="1" t="inlineStr">
        <is>
          <t>ISIC 239</t>
        </is>
      </c>
      <c r="U63" s="1" t="inlineStr">
        <is>
          <t>ISIC 241</t>
        </is>
      </c>
      <c r="V63" s="1" t="inlineStr">
        <is>
          <t>ISIC 242</t>
        </is>
      </c>
      <c r="W63" s="1" t="inlineStr">
        <is>
          <t>ISIC 25</t>
        </is>
      </c>
      <c r="X63" s="1" t="inlineStr">
        <is>
          <t>ISIC 26</t>
        </is>
      </c>
      <c r="Y63" s="1" t="inlineStr">
        <is>
          <t>ISIC 27</t>
        </is>
      </c>
      <c r="Z63" s="1" t="inlineStr">
        <is>
          <t>ISIC 28</t>
        </is>
      </c>
      <c r="AA63" s="1" t="inlineStr">
        <is>
          <t>ISIC 29</t>
        </is>
      </c>
      <c r="AB63" s="1" t="inlineStr">
        <is>
          <t>ISIC 301</t>
        </is>
      </c>
      <c r="AC63" s="1" t="inlineStr">
        <is>
          <t>ISIC 302T309</t>
        </is>
      </c>
      <c r="AD63" s="1" t="inlineStr">
        <is>
          <t>ISIC 31T33</t>
        </is>
      </c>
      <c r="AE63" s="1" t="inlineStr">
        <is>
          <t>ISIC 351</t>
        </is>
      </c>
      <c r="AF63" s="1" t="inlineStr">
        <is>
          <t>ISIC 352T353</t>
        </is>
      </c>
      <c r="AG63" s="1" t="inlineStr">
        <is>
          <t>ISIC 36T39</t>
        </is>
      </c>
      <c r="AH63" s="1" t="inlineStr">
        <is>
          <t>ISIC 41T43</t>
        </is>
      </c>
      <c r="AI63" s="1" t="inlineStr">
        <is>
          <t>ISIC 45T47</t>
        </is>
      </c>
      <c r="AJ63" s="1" t="inlineStr">
        <is>
          <t>ISIC 49</t>
        </is>
      </c>
      <c r="AK63" s="1" t="inlineStr">
        <is>
          <t>ISIC 50</t>
        </is>
      </c>
      <c r="AL63" s="1" t="inlineStr">
        <is>
          <t>ISIC 51</t>
        </is>
      </c>
      <c r="AM63" s="1" t="inlineStr">
        <is>
          <t>ISIC 52</t>
        </is>
      </c>
      <c r="AN63" s="1" t="inlineStr">
        <is>
          <t>ISIC 53</t>
        </is>
      </c>
      <c r="AO63" s="1" t="inlineStr">
        <is>
          <t>ISIC 55T56</t>
        </is>
      </c>
      <c r="AP63" s="1" t="inlineStr">
        <is>
          <t>ISIC 58T60</t>
        </is>
      </c>
      <c r="AQ63" s="1" t="inlineStr">
        <is>
          <t>ISIC 61</t>
        </is>
      </c>
      <c r="AR63" s="1" t="inlineStr">
        <is>
          <t>ISIC 62T63</t>
        </is>
      </c>
      <c r="AS63" s="1" t="inlineStr">
        <is>
          <t>ISIC 64T66</t>
        </is>
      </c>
      <c r="AT63" s="1" t="inlineStr">
        <is>
          <t>ISIC 68</t>
        </is>
      </c>
      <c r="AU63" s="1" t="inlineStr">
        <is>
          <t>ISIC 69T75</t>
        </is>
      </c>
      <c r="AV63" s="1" t="inlineStr">
        <is>
          <t>ISIC 77T82</t>
        </is>
      </c>
      <c r="AW63" s="1" t="inlineStr">
        <is>
          <t>ISIC 84</t>
        </is>
      </c>
      <c r="AX63" s="1" t="inlineStr">
        <is>
          <t>ISIC 85</t>
        </is>
      </c>
      <c r="AY63" s="1" t="inlineStr">
        <is>
          <t>ISIC 86T88</t>
        </is>
      </c>
      <c r="AZ63" s="1" t="inlineStr">
        <is>
          <t>ISIC 90T93</t>
        </is>
      </c>
      <c r="BA63" s="1" t="inlineStr">
        <is>
          <t>ISIC 94T96</t>
        </is>
      </c>
      <c r="BB63" s="1" t="inlineStr">
        <is>
          <t>ISIC 97T98</t>
        </is>
      </c>
    </row>
    <row r="64">
      <c r="A64" t="inlineStr">
        <is>
          <t>Forestry, fishing, and related activities</t>
        </is>
      </c>
      <c r="B64">
        <f>INDEX($B$3:$B$60,MATCH($A64,$A$3:$A$60,0))</f>
        <v/>
      </c>
      <c r="C64">
        <f>SUMIFS('BEA VABAS 2017'!$C$4:$PK$4,'BEA VABAS 2017'!$C$6:$PK$6,$A64,'BEA VABAS 2017'!$C$5:$PK$5,C$63)/SUMIFS('BEA VABAS 2017'!$C$4:$PK$4,'BEA VABAS 2017'!$C$6:$PK$6,$A64)</f>
        <v/>
      </c>
      <c r="D64">
        <f>SUMIFS('BEA VABAS 2017'!$C$4:$PK$4,'BEA VABAS 2017'!$C$6:$PK$6,$A64,'BEA VABAS 2017'!$C$5:$PK$5,D$63)/SUMIFS('BEA VABAS 2017'!$C$4:$PK$4,'BEA VABAS 2017'!$C$6:$PK$6,$A64)</f>
        <v/>
      </c>
      <c r="E64">
        <f>SUMIFS('BEA VABAS 2017'!$C$4:$PK$4,'BEA VABAS 2017'!$C$6:$PK$6,$A64,'BEA VABAS 2017'!$C$5:$PK$5,E$63)/SUMIFS('BEA VABAS 2017'!$C$4:$PK$4,'BEA VABAS 2017'!$C$6:$PK$6,$A64)</f>
        <v/>
      </c>
      <c r="F64">
        <f>SUMIFS('BEA VABAS 2017'!$C$4:$PK$4,'BEA VABAS 2017'!$C$6:$PK$6,$A64,'BEA VABAS 2017'!$C$5:$PK$5,F$63)/SUMIFS('BEA VABAS 2017'!$C$4:$PK$4,'BEA VABAS 2017'!$C$6:$PK$6,$A64)</f>
        <v/>
      </c>
      <c r="G64">
        <f>SUMIFS('BEA VABAS 2017'!$C$4:$PK$4,'BEA VABAS 2017'!$C$6:$PK$6,$A64,'BEA VABAS 2017'!$C$5:$PK$5,G$63)/SUMIFS('BEA VABAS 2017'!$C$4:$PK$4,'BEA VABAS 2017'!$C$6:$PK$6,$A64)</f>
        <v/>
      </c>
      <c r="H64">
        <f>SUMIFS('BEA VABAS 2017'!$C$4:$PK$4,'BEA VABAS 2017'!$C$6:$PK$6,$A64,'BEA VABAS 2017'!$C$5:$PK$5,H$63)/SUMIFS('BEA VABAS 2017'!$C$4:$PK$4,'BEA VABAS 2017'!$C$6:$PK$6,$A64)</f>
        <v/>
      </c>
      <c r="I64">
        <f>SUMIFS('BEA VABAS 2017'!$C$4:$PK$4,'BEA VABAS 2017'!$C$6:$PK$6,$A64,'BEA VABAS 2017'!$C$5:$PK$5,I$63)/SUMIFS('BEA VABAS 2017'!$C$4:$PK$4,'BEA VABAS 2017'!$C$6:$PK$6,$A64)</f>
        <v/>
      </c>
      <c r="J64">
        <f>SUMIFS('BEA VABAS 2017'!$C$4:$PK$4,'BEA VABAS 2017'!$C$6:$PK$6,$A64,'BEA VABAS 2017'!$C$5:$PK$5,J$63)/SUMIFS('BEA VABAS 2017'!$C$4:$PK$4,'BEA VABAS 2017'!$C$6:$PK$6,$A64)</f>
        <v/>
      </c>
      <c r="K64">
        <f>SUMIFS('BEA VABAS 2017'!$C$4:$PK$4,'BEA VABAS 2017'!$C$6:$PK$6,$A64,'BEA VABAS 2017'!$C$5:$PK$5,K$63)/SUMIFS('BEA VABAS 2017'!$C$4:$PK$4,'BEA VABAS 2017'!$C$6:$PK$6,$A64)</f>
        <v/>
      </c>
      <c r="L64">
        <f>SUMIFS('BEA VABAS 2017'!$C$4:$PK$4,'BEA VABAS 2017'!$C$6:$PK$6,$A64,'BEA VABAS 2017'!$C$5:$PK$5,L$63)/SUMIFS('BEA VABAS 2017'!$C$4:$PK$4,'BEA VABAS 2017'!$C$6:$PK$6,$A64)</f>
        <v/>
      </c>
      <c r="M64">
        <f>SUMIFS('BEA VABAS 2017'!$C$4:$PK$4,'BEA VABAS 2017'!$C$6:$PK$6,$A64,'BEA VABAS 2017'!$C$5:$PK$5,M$63)/SUMIFS('BEA VABAS 2017'!$C$4:$PK$4,'BEA VABAS 2017'!$C$6:$PK$6,$A64)</f>
        <v/>
      </c>
      <c r="N64">
        <f>SUMIFS('BEA VABAS 2017'!$C$4:$PK$4,'BEA VABAS 2017'!$C$6:$PK$6,$A64,'BEA VABAS 2017'!$C$5:$PK$5,N$63)/SUMIFS('BEA VABAS 2017'!$C$4:$PK$4,'BEA VABAS 2017'!$C$6:$PK$6,$A64)</f>
        <v/>
      </c>
      <c r="O64">
        <f>SUMIFS('BEA VABAS 2017'!$C$4:$PK$4,'BEA VABAS 2017'!$C$6:$PK$6,$A64,'BEA VABAS 2017'!$C$5:$PK$5,O$63)/SUMIFS('BEA VABAS 2017'!$C$4:$PK$4,'BEA VABAS 2017'!$C$6:$PK$6,$A64)</f>
        <v/>
      </c>
      <c r="P64">
        <f>SUMIFS('BEA VABAS 2017'!$C$4:$PK$4,'BEA VABAS 2017'!$C$6:$PK$6,$A64,'BEA VABAS 2017'!$C$5:$PK$5,P$63)/SUMIFS('BEA VABAS 2017'!$C$4:$PK$4,'BEA VABAS 2017'!$C$6:$PK$6,$A64)</f>
        <v/>
      </c>
      <c r="Q64">
        <f>SUMIFS('BEA VABAS 2017'!$C$4:$PK$4,'BEA VABAS 2017'!$C$6:$PK$6,$A64,'BEA VABAS 2017'!$C$5:$PK$5,Q$63)/SUMIFS('BEA VABAS 2017'!$C$4:$PK$4,'BEA VABAS 2017'!$C$6:$PK$6,$A64)</f>
        <v/>
      </c>
      <c r="R64">
        <f>SUMIFS('BEA VABAS 2017'!$C$4:$PK$4,'BEA VABAS 2017'!$C$6:$PK$6,$A64,'BEA VABAS 2017'!$C$5:$PK$5,R$63)/SUMIFS('BEA VABAS 2017'!$C$4:$PK$4,'BEA VABAS 2017'!$C$6:$PK$6,$A64)</f>
        <v/>
      </c>
      <c r="S64">
        <f>SUMIFS('BEA VABAS 2017'!$C$4:$PK$4,'BEA VABAS 2017'!$C$6:$PK$6,$A64,'BEA VABAS 2017'!$C$5:$PK$5,S$63)/SUMIFS('BEA VABAS 2017'!$C$4:$PK$4,'BEA VABAS 2017'!$C$6:$PK$6,$A64)</f>
        <v/>
      </c>
      <c r="T64">
        <f>SUMIFS('BEA VABAS 2017'!$C$4:$PK$4,'BEA VABAS 2017'!$C$6:$PK$6,$A64,'BEA VABAS 2017'!$C$5:$PK$5,T$63)/SUMIFS('BEA VABAS 2017'!$C$4:$PK$4,'BEA VABAS 2017'!$C$6:$PK$6,$A64)</f>
        <v/>
      </c>
      <c r="U64">
        <f>SUMIFS('BEA VABAS 2017'!$C$4:$PK$4,'BEA VABAS 2017'!$C$6:$PK$6,$A64,'BEA VABAS 2017'!$C$5:$PK$5,U$63)/SUMIFS('BEA VABAS 2017'!$C$4:$PK$4,'BEA VABAS 2017'!$C$6:$PK$6,$A64)</f>
        <v/>
      </c>
      <c r="V64">
        <f>SUMIFS('BEA VABAS 2017'!$C$4:$PK$4,'BEA VABAS 2017'!$C$6:$PK$6,$A64,'BEA VABAS 2017'!$C$5:$PK$5,V$63)/SUMIFS('BEA VABAS 2017'!$C$4:$PK$4,'BEA VABAS 2017'!$C$6:$PK$6,$A64)</f>
        <v/>
      </c>
      <c r="W64">
        <f>SUMIFS('BEA VABAS 2017'!$C$4:$PK$4,'BEA VABAS 2017'!$C$6:$PK$6,$A64,'BEA VABAS 2017'!$C$5:$PK$5,W$63)/SUMIFS('BEA VABAS 2017'!$C$4:$PK$4,'BEA VABAS 2017'!$C$6:$PK$6,$A64)</f>
        <v/>
      </c>
      <c r="X64">
        <f>SUMIFS('BEA VABAS 2017'!$C$4:$PK$4,'BEA VABAS 2017'!$C$6:$PK$6,$A64,'BEA VABAS 2017'!$C$5:$PK$5,X$63)/SUMIFS('BEA VABAS 2017'!$C$4:$PK$4,'BEA VABAS 2017'!$C$6:$PK$6,$A64)</f>
        <v/>
      </c>
      <c r="Y64">
        <f>SUMIFS('BEA VABAS 2017'!$C$4:$PK$4,'BEA VABAS 2017'!$C$6:$PK$6,$A64,'BEA VABAS 2017'!$C$5:$PK$5,Y$63)/SUMIFS('BEA VABAS 2017'!$C$4:$PK$4,'BEA VABAS 2017'!$C$6:$PK$6,$A64)</f>
        <v/>
      </c>
      <c r="Z64">
        <f>SUMIFS('BEA VABAS 2017'!$C$4:$PK$4,'BEA VABAS 2017'!$C$6:$PK$6,$A64,'BEA VABAS 2017'!$C$5:$PK$5,Z$63)/SUMIFS('BEA VABAS 2017'!$C$4:$PK$4,'BEA VABAS 2017'!$C$6:$PK$6,$A64)</f>
        <v/>
      </c>
      <c r="AA64">
        <f>SUMIFS('BEA VABAS 2017'!$C$4:$PK$4,'BEA VABAS 2017'!$C$6:$PK$6,$A64,'BEA VABAS 2017'!$C$5:$PK$5,AA$63)/SUMIFS('BEA VABAS 2017'!$C$4:$PK$4,'BEA VABAS 2017'!$C$6:$PK$6,$A64)</f>
        <v/>
      </c>
      <c r="AB64">
        <f>SUMIFS('BEA VABAS 2017'!$C$4:$PK$4,'BEA VABAS 2017'!$C$6:$PK$6,$A64,'BEA VABAS 2017'!$C$5:$PK$5,AB$63)/SUMIFS('BEA VABAS 2017'!$C$4:$PK$4,'BEA VABAS 2017'!$C$6:$PK$6,$A64)</f>
        <v/>
      </c>
      <c r="AC64">
        <f>SUMIFS('BEA VABAS 2017'!$C$4:$PK$4,'BEA VABAS 2017'!$C$6:$PK$6,$A64,'BEA VABAS 2017'!$C$5:$PK$5,AC$63)/SUMIFS('BEA VABAS 2017'!$C$4:$PK$4,'BEA VABAS 2017'!$C$6:$PK$6,$A64)</f>
        <v/>
      </c>
      <c r="AD64">
        <f>SUMIFS('BEA VABAS 2017'!$C$4:$PK$4,'BEA VABAS 2017'!$C$6:$PK$6,$A64,'BEA VABAS 2017'!$C$5:$PK$5,AD$63)/SUMIFS('BEA VABAS 2017'!$C$4:$PK$4,'BEA VABAS 2017'!$C$6:$PK$6,$A64)</f>
        <v/>
      </c>
      <c r="AE64">
        <f>SUMIFS('BEA VABAS 2017'!$C$4:$PK$4,'BEA VABAS 2017'!$C$6:$PK$6,$A64,'BEA VABAS 2017'!$C$5:$PK$5,AE$63)/SUMIFS('BEA VABAS 2017'!$C$4:$PK$4,'BEA VABAS 2017'!$C$6:$PK$6,$A64)</f>
        <v/>
      </c>
      <c r="AF64">
        <f>SUMIFS('BEA VABAS 2017'!$C$4:$PK$4,'BEA VABAS 2017'!$C$6:$PK$6,$A64,'BEA VABAS 2017'!$C$5:$PK$5,AF$63)/SUMIFS('BEA VABAS 2017'!$C$4:$PK$4,'BEA VABAS 2017'!$C$6:$PK$6,$A64)</f>
        <v/>
      </c>
      <c r="AG64">
        <f>SUMIFS('BEA VABAS 2017'!$C$4:$PK$4,'BEA VABAS 2017'!$C$6:$PK$6,$A64,'BEA VABAS 2017'!$C$5:$PK$5,AG$63)/SUMIFS('BEA VABAS 2017'!$C$4:$PK$4,'BEA VABAS 2017'!$C$6:$PK$6,$A64)</f>
        <v/>
      </c>
      <c r="AH64">
        <f>SUMIFS('BEA VABAS 2017'!$C$4:$PK$4,'BEA VABAS 2017'!$C$6:$PK$6,$A64,'BEA VABAS 2017'!$C$5:$PK$5,AH$63)/SUMIFS('BEA VABAS 2017'!$C$4:$PK$4,'BEA VABAS 2017'!$C$6:$PK$6,$A64)</f>
        <v/>
      </c>
      <c r="AI64">
        <f>SUMIFS('BEA VABAS 2017'!$C$4:$PK$4,'BEA VABAS 2017'!$C$6:$PK$6,$A64,'BEA VABAS 2017'!$C$5:$PK$5,AI$63)/SUMIFS('BEA VABAS 2017'!$C$4:$PK$4,'BEA VABAS 2017'!$C$6:$PK$6,$A64)</f>
        <v/>
      </c>
      <c r="AJ64">
        <f>SUMIFS('BEA VABAS 2017'!$C$4:$PK$4,'BEA VABAS 2017'!$C$6:$PK$6,$A64,'BEA VABAS 2017'!$C$5:$PK$5,AJ$63)/SUMIFS('BEA VABAS 2017'!$C$4:$PK$4,'BEA VABAS 2017'!$C$6:$PK$6,$A64)</f>
        <v/>
      </c>
      <c r="AK64">
        <f>SUMIFS('BEA VABAS 2017'!$C$4:$PK$4,'BEA VABAS 2017'!$C$6:$PK$6,$A64,'BEA VABAS 2017'!$C$5:$PK$5,AK$63)/SUMIFS('BEA VABAS 2017'!$C$4:$PK$4,'BEA VABAS 2017'!$C$6:$PK$6,$A64)</f>
        <v/>
      </c>
      <c r="AL64">
        <f>SUMIFS('BEA VABAS 2017'!$C$4:$PK$4,'BEA VABAS 2017'!$C$6:$PK$6,$A64,'BEA VABAS 2017'!$C$5:$PK$5,AL$63)/SUMIFS('BEA VABAS 2017'!$C$4:$PK$4,'BEA VABAS 2017'!$C$6:$PK$6,$A64)</f>
        <v/>
      </c>
      <c r="AM64">
        <f>SUMIFS('BEA VABAS 2017'!$C$4:$PK$4,'BEA VABAS 2017'!$C$6:$PK$6,$A64,'BEA VABAS 2017'!$C$5:$PK$5,AM$63)/SUMIFS('BEA VABAS 2017'!$C$4:$PK$4,'BEA VABAS 2017'!$C$6:$PK$6,$A64)</f>
        <v/>
      </c>
      <c r="AN64">
        <f>SUMIFS('BEA VABAS 2017'!$C$4:$PK$4,'BEA VABAS 2017'!$C$6:$PK$6,$A64,'BEA VABAS 2017'!$C$5:$PK$5,AN$63)/SUMIFS('BEA VABAS 2017'!$C$4:$PK$4,'BEA VABAS 2017'!$C$6:$PK$6,$A64)</f>
        <v/>
      </c>
      <c r="AO64">
        <f>SUMIFS('BEA VABAS 2017'!$C$4:$PK$4,'BEA VABAS 2017'!$C$6:$PK$6,$A64,'BEA VABAS 2017'!$C$5:$PK$5,AO$63)/SUMIFS('BEA VABAS 2017'!$C$4:$PK$4,'BEA VABAS 2017'!$C$6:$PK$6,$A64)</f>
        <v/>
      </c>
      <c r="AP64">
        <f>SUMIFS('BEA VABAS 2017'!$C$4:$PK$4,'BEA VABAS 2017'!$C$6:$PK$6,$A64,'BEA VABAS 2017'!$C$5:$PK$5,AP$63)/SUMIFS('BEA VABAS 2017'!$C$4:$PK$4,'BEA VABAS 2017'!$C$6:$PK$6,$A64)</f>
        <v/>
      </c>
      <c r="AQ64">
        <f>SUMIFS('BEA VABAS 2017'!$C$4:$PK$4,'BEA VABAS 2017'!$C$6:$PK$6,$A64,'BEA VABAS 2017'!$C$5:$PK$5,AQ$63)/SUMIFS('BEA VABAS 2017'!$C$4:$PK$4,'BEA VABAS 2017'!$C$6:$PK$6,$A64)</f>
        <v/>
      </c>
      <c r="AR64">
        <f>SUMIFS('BEA VABAS 2017'!$C$4:$PK$4,'BEA VABAS 2017'!$C$6:$PK$6,$A64,'BEA VABAS 2017'!$C$5:$PK$5,AR$63)/SUMIFS('BEA VABAS 2017'!$C$4:$PK$4,'BEA VABAS 2017'!$C$6:$PK$6,$A64)</f>
        <v/>
      </c>
      <c r="AS64">
        <f>SUMIFS('BEA VABAS 2017'!$C$4:$PK$4,'BEA VABAS 2017'!$C$6:$PK$6,$A64,'BEA VABAS 2017'!$C$5:$PK$5,AS$63)/SUMIFS('BEA VABAS 2017'!$C$4:$PK$4,'BEA VABAS 2017'!$C$6:$PK$6,$A64)</f>
        <v/>
      </c>
      <c r="AT64">
        <f>SUMIFS('BEA VABAS 2017'!$C$4:$PK$4,'BEA VABAS 2017'!$C$6:$PK$6,$A64,'BEA VABAS 2017'!$C$5:$PK$5,AT$63)/SUMIFS('BEA VABAS 2017'!$C$4:$PK$4,'BEA VABAS 2017'!$C$6:$PK$6,$A64)</f>
        <v/>
      </c>
      <c r="AU64">
        <f>SUMIFS('BEA VABAS 2017'!$C$4:$PK$4,'BEA VABAS 2017'!$C$6:$PK$6,$A64,'BEA VABAS 2017'!$C$5:$PK$5,AU$63)/SUMIFS('BEA VABAS 2017'!$C$4:$PK$4,'BEA VABAS 2017'!$C$6:$PK$6,$A64)</f>
        <v/>
      </c>
      <c r="AV64">
        <f>SUMIFS('BEA VABAS 2017'!$C$4:$PK$4,'BEA VABAS 2017'!$C$6:$PK$6,$A64,'BEA VABAS 2017'!$C$5:$PK$5,AV$63)/SUMIFS('BEA VABAS 2017'!$C$4:$PK$4,'BEA VABAS 2017'!$C$6:$PK$6,$A64)</f>
        <v/>
      </c>
      <c r="AW64">
        <f>SUMIFS('BEA VABAS 2017'!$C$4:$PK$4,'BEA VABAS 2017'!$C$6:$PK$6,$A64,'BEA VABAS 2017'!$C$5:$PK$5,AW$63)/SUMIFS('BEA VABAS 2017'!$C$4:$PK$4,'BEA VABAS 2017'!$C$6:$PK$6,$A64)</f>
        <v/>
      </c>
      <c r="AX64">
        <f>SUMIFS('BEA VABAS 2017'!$C$4:$PK$4,'BEA VABAS 2017'!$C$6:$PK$6,$A64,'BEA VABAS 2017'!$C$5:$PK$5,AX$63)/SUMIFS('BEA VABAS 2017'!$C$4:$PK$4,'BEA VABAS 2017'!$C$6:$PK$6,$A64)</f>
        <v/>
      </c>
      <c r="AY64">
        <f>SUMIFS('BEA VABAS 2017'!$C$4:$PK$4,'BEA VABAS 2017'!$C$6:$PK$6,$A64,'BEA VABAS 2017'!$C$5:$PK$5,AY$63)/SUMIFS('BEA VABAS 2017'!$C$4:$PK$4,'BEA VABAS 2017'!$C$6:$PK$6,$A64)</f>
        <v/>
      </c>
      <c r="AZ64">
        <f>SUMIFS('BEA VABAS 2017'!$C$4:$PK$4,'BEA VABAS 2017'!$C$6:$PK$6,$A64,'BEA VABAS 2017'!$C$5:$PK$5,AZ$63)/SUMIFS('BEA VABAS 2017'!$C$4:$PK$4,'BEA VABAS 2017'!$C$6:$PK$6,$A64)</f>
        <v/>
      </c>
      <c r="BA64">
        <f>SUMIFS('BEA VABAS 2017'!$C$4:$PK$4,'BEA VABAS 2017'!$C$6:$PK$6,$A64,'BEA VABAS 2017'!$C$5:$PK$5,BA$63)/SUMIFS('BEA VABAS 2017'!$C$4:$PK$4,'BEA VABAS 2017'!$C$6:$PK$6,$A64)</f>
        <v/>
      </c>
      <c r="BB64">
        <f>SUMIFS('BEA VABAS 2017'!$C$4:$PK$4,'BEA VABAS 2017'!$C$6:$PK$6,$A64,'BEA VABAS 2017'!$C$5:$PK$5,BB$63)/SUMIFS('BEA VABAS 2017'!$C$4:$PK$4,'BEA VABAS 2017'!$C$6:$PK$6,$A64)</f>
        <v/>
      </c>
    </row>
    <row r="65">
      <c r="A65" t="inlineStr">
        <is>
          <t>Mining, except oil and gas</t>
        </is>
      </c>
      <c r="B65">
        <f>INDEX($B$3:$B$60,MATCH($A65,$A$3:$A$60,0))</f>
        <v/>
      </c>
      <c r="C65">
        <f>SUMIFS('BEA VABAS 2017'!$C$4:$PK$4,'BEA VABAS 2017'!$C$6:$PK$6,$A65,'BEA VABAS 2017'!$C$5:$PK$5,C$63)/SUMIFS('BEA VABAS 2017'!$C$4:$PK$4,'BEA VABAS 2017'!$C$6:$PK$6,$A65)</f>
        <v/>
      </c>
      <c r="D65">
        <f>SUMIFS('BEA VABAS 2017'!$C$4:$PK$4,'BEA VABAS 2017'!$C$6:$PK$6,$A65,'BEA VABAS 2017'!$C$5:$PK$5,D$63)/SUMIFS('BEA VABAS 2017'!$C$4:$PK$4,'BEA VABAS 2017'!$C$6:$PK$6,$A65)</f>
        <v/>
      </c>
      <c r="E65">
        <f>SUMIFS('BEA VABAS 2017'!$C$4:$PK$4,'BEA VABAS 2017'!$C$6:$PK$6,$A65,'BEA VABAS 2017'!$C$5:$PK$5,E$63)/SUMIFS('BEA VABAS 2017'!$C$4:$PK$4,'BEA VABAS 2017'!$C$6:$PK$6,$A65)</f>
        <v/>
      </c>
      <c r="F65">
        <f>SUMIFS('BEA VABAS 2017'!$C$4:$PK$4,'BEA VABAS 2017'!$C$6:$PK$6,$A65,'BEA VABAS 2017'!$C$5:$PK$5,F$63)/SUMIFS('BEA VABAS 2017'!$C$4:$PK$4,'BEA VABAS 2017'!$C$6:$PK$6,$A65)</f>
        <v/>
      </c>
      <c r="G65">
        <f>SUMIFS('BEA VABAS 2017'!$C$4:$PK$4,'BEA VABAS 2017'!$C$6:$PK$6,$A65,'BEA VABAS 2017'!$C$5:$PK$5,G$63)/SUMIFS('BEA VABAS 2017'!$C$4:$PK$4,'BEA VABAS 2017'!$C$6:$PK$6,$A65)</f>
        <v/>
      </c>
      <c r="H65">
        <f>SUMIFS('BEA VABAS 2017'!$C$4:$PK$4,'BEA VABAS 2017'!$C$6:$PK$6,$A65,'BEA VABAS 2017'!$C$5:$PK$5,H$63)/SUMIFS('BEA VABAS 2017'!$C$4:$PK$4,'BEA VABAS 2017'!$C$6:$PK$6,$A65)</f>
        <v/>
      </c>
      <c r="I65">
        <f>SUMIFS('BEA VABAS 2017'!$C$4:$PK$4,'BEA VABAS 2017'!$C$6:$PK$6,$A65,'BEA VABAS 2017'!$C$5:$PK$5,I$63)/SUMIFS('BEA VABAS 2017'!$C$4:$PK$4,'BEA VABAS 2017'!$C$6:$PK$6,$A65)</f>
        <v/>
      </c>
      <c r="J65">
        <f>SUMIFS('BEA VABAS 2017'!$C$4:$PK$4,'BEA VABAS 2017'!$C$6:$PK$6,$A65,'BEA VABAS 2017'!$C$5:$PK$5,J$63)/SUMIFS('BEA VABAS 2017'!$C$4:$PK$4,'BEA VABAS 2017'!$C$6:$PK$6,$A65)</f>
        <v/>
      </c>
      <c r="K65">
        <f>SUMIFS('BEA VABAS 2017'!$C$4:$PK$4,'BEA VABAS 2017'!$C$6:$PK$6,$A65,'BEA VABAS 2017'!$C$5:$PK$5,K$63)/SUMIFS('BEA VABAS 2017'!$C$4:$PK$4,'BEA VABAS 2017'!$C$6:$PK$6,$A65)</f>
        <v/>
      </c>
      <c r="L65">
        <f>SUMIFS('BEA VABAS 2017'!$C$4:$PK$4,'BEA VABAS 2017'!$C$6:$PK$6,$A65,'BEA VABAS 2017'!$C$5:$PK$5,L$63)/SUMIFS('BEA VABAS 2017'!$C$4:$PK$4,'BEA VABAS 2017'!$C$6:$PK$6,$A65)</f>
        <v/>
      </c>
      <c r="M65">
        <f>SUMIFS('BEA VABAS 2017'!$C$4:$PK$4,'BEA VABAS 2017'!$C$6:$PK$6,$A65,'BEA VABAS 2017'!$C$5:$PK$5,M$63)/SUMIFS('BEA VABAS 2017'!$C$4:$PK$4,'BEA VABAS 2017'!$C$6:$PK$6,$A65)</f>
        <v/>
      </c>
      <c r="N65">
        <f>SUMIFS('BEA VABAS 2017'!$C$4:$PK$4,'BEA VABAS 2017'!$C$6:$PK$6,$A65,'BEA VABAS 2017'!$C$5:$PK$5,N$63)/SUMIFS('BEA VABAS 2017'!$C$4:$PK$4,'BEA VABAS 2017'!$C$6:$PK$6,$A65)</f>
        <v/>
      </c>
      <c r="O65">
        <f>SUMIFS('BEA VABAS 2017'!$C$4:$PK$4,'BEA VABAS 2017'!$C$6:$PK$6,$A65,'BEA VABAS 2017'!$C$5:$PK$5,O$63)/SUMIFS('BEA VABAS 2017'!$C$4:$PK$4,'BEA VABAS 2017'!$C$6:$PK$6,$A65)</f>
        <v/>
      </c>
      <c r="P65">
        <f>SUMIFS('BEA VABAS 2017'!$C$4:$PK$4,'BEA VABAS 2017'!$C$6:$PK$6,$A65,'BEA VABAS 2017'!$C$5:$PK$5,P$63)/SUMIFS('BEA VABAS 2017'!$C$4:$PK$4,'BEA VABAS 2017'!$C$6:$PK$6,$A65)</f>
        <v/>
      </c>
      <c r="Q65">
        <f>SUMIFS('BEA VABAS 2017'!$C$4:$PK$4,'BEA VABAS 2017'!$C$6:$PK$6,$A65,'BEA VABAS 2017'!$C$5:$PK$5,Q$63)/SUMIFS('BEA VABAS 2017'!$C$4:$PK$4,'BEA VABAS 2017'!$C$6:$PK$6,$A65)</f>
        <v/>
      </c>
      <c r="R65">
        <f>SUMIFS('BEA VABAS 2017'!$C$4:$PK$4,'BEA VABAS 2017'!$C$6:$PK$6,$A65,'BEA VABAS 2017'!$C$5:$PK$5,R$63)/SUMIFS('BEA VABAS 2017'!$C$4:$PK$4,'BEA VABAS 2017'!$C$6:$PK$6,$A65)</f>
        <v/>
      </c>
      <c r="S65">
        <f>SUMIFS('BEA VABAS 2017'!$C$4:$PK$4,'BEA VABAS 2017'!$C$6:$PK$6,$A65,'BEA VABAS 2017'!$C$5:$PK$5,S$63)/SUMIFS('BEA VABAS 2017'!$C$4:$PK$4,'BEA VABAS 2017'!$C$6:$PK$6,$A65)</f>
        <v/>
      </c>
      <c r="T65">
        <f>SUMIFS('BEA VABAS 2017'!$C$4:$PK$4,'BEA VABAS 2017'!$C$6:$PK$6,$A65,'BEA VABAS 2017'!$C$5:$PK$5,T$63)/SUMIFS('BEA VABAS 2017'!$C$4:$PK$4,'BEA VABAS 2017'!$C$6:$PK$6,$A65)</f>
        <v/>
      </c>
      <c r="U65">
        <f>SUMIFS('BEA VABAS 2017'!$C$4:$PK$4,'BEA VABAS 2017'!$C$6:$PK$6,$A65,'BEA VABAS 2017'!$C$5:$PK$5,U$63)/SUMIFS('BEA VABAS 2017'!$C$4:$PK$4,'BEA VABAS 2017'!$C$6:$PK$6,$A65)</f>
        <v/>
      </c>
      <c r="V65">
        <f>SUMIFS('BEA VABAS 2017'!$C$4:$PK$4,'BEA VABAS 2017'!$C$6:$PK$6,$A65,'BEA VABAS 2017'!$C$5:$PK$5,V$63)/SUMIFS('BEA VABAS 2017'!$C$4:$PK$4,'BEA VABAS 2017'!$C$6:$PK$6,$A65)</f>
        <v/>
      </c>
      <c r="W65">
        <f>SUMIFS('BEA VABAS 2017'!$C$4:$PK$4,'BEA VABAS 2017'!$C$6:$PK$6,$A65,'BEA VABAS 2017'!$C$5:$PK$5,W$63)/SUMIFS('BEA VABAS 2017'!$C$4:$PK$4,'BEA VABAS 2017'!$C$6:$PK$6,$A65)</f>
        <v/>
      </c>
      <c r="X65">
        <f>SUMIFS('BEA VABAS 2017'!$C$4:$PK$4,'BEA VABAS 2017'!$C$6:$PK$6,$A65,'BEA VABAS 2017'!$C$5:$PK$5,X$63)/SUMIFS('BEA VABAS 2017'!$C$4:$PK$4,'BEA VABAS 2017'!$C$6:$PK$6,$A65)</f>
        <v/>
      </c>
      <c r="Y65">
        <f>SUMIFS('BEA VABAS 2017'!$C$4:$PK$4,'BEA VABAS 2017'!$C$6:$PK$6,$A65,'BEA VABAS 2017'!$C$5:$PK$5,Y$63)/SUMIFS('BEA VABAS 2017'!$C$4:$PK$4,'BEA VABAS 2017'!$C$6:$PK$6,$A65)</f>
        <v/>
      </c>
      <c r="Z65">
        <f>SUMIFS('BEA VABAS 2017'!$C$4:$PK$4,'BEA VABAS 2017'!$C$6:$PK$6,$A65,'BEA VABAS 2017'!$C$5:$PK$5,Z$63)/SUMIFS('BEA VABAS 2017'!$C$4:$PK$4,'BEA VABAS 2017'!$C$6:$PK$6,$A65)</f>
        <v/>
      </c>
      <c r="AA65">
        <f>SUMIFS('BEA VABAS 2017'!$C$4:$PK$4,'BEA VABAS 2017'!$C$6:$PK$6,$A65,'BEA VABAS 2017'!$C$5:$PK$5,AA$63)/SUMIFS('BEA VABAS 2017'!$C$4:$PK$4,'BEA VABAS 2017'!$C$6:$PK$6,$A65)</f>
        <v/>
      </c>
      <c r="AB65">
        <f>SUMIFS('BEA VABAS 2017'!$C$4:$PK$4,'BEA VABAS 2017'!$C$6:$PK$6,$A65,'BEA VABAS 2017'!$C$5:$PK$5,AB$63)/SUMIFS('BEA VABAS 2017'!$C$4:$PK$4,'BEA VABAS 2017'!$C$6:$PK$6,$A65)</f>
        <v/>
      </c>
      <c r="AC65">
        <f>SUMIFS('BEA VABAS 2017'!$C$4:$PK$4,'BEA VABAS 2017'!$C$6:$PK$6,$A65,'BEA VABAS 2017'!$C$5:$PK$5,AC$63)/SUMIFS('BEA VABAS 2017'!$C$4:$PK$4,'BEA VABAS 2017'!$C$6:$PK$6,$A65)</f>
        <v/>
      </c>
      <c r="AD65">
        <f>SUMIFS('BEA VABAS 2017'!$C$4:$PK$4,'BEA VABAS 2017'!$C$6:$PK$6,$A65,'BEA VABAS 2017'!$C$5:$PK$5,AD$63)/SUMIFS('BEA VABAS 2017'!$C$4:$PK$4,'BEA VABAS 2017'!$C$6:$PK$6,$A65)</f>
        <v/>
      </c>
      <c r="AE65">
        <f>SUMIFS('BEA VABAS 2017'!$C$4:$PK$4,'BEA VABAS 2017'!$C$6:$PK$6,$A65,'BEA VABAS 2017'!$C$5:$PK$5,AE$63)/SUMIFS('BEA VABAS 2017'!$C$4:$PK$4,'BEA VABAS 2017'!$C$6:$PK$6,$A65)</f>
        <v/>
      </c>
      <c r="AF65">
        <f>SUMIFS('BEA VABAS 2017'!$C$4:$PK$4,'BEA VABAS 2017'!$C$6:$PK$6,$A65,'BEA VABAS 2017'!$C$5:$PK$5,AF$63)/SUMIFS('BEA VABAS 2017'!$C$4:$PK$4,'BEA VABAS 2017'!$C$6:$PK$6,$A65)</f>
        <v/>
      </c>
      <c r="AG65">
        <f>SUMIFS('BEA VABAS 2017'!$C$4:$PK$4,'BEA VABAS 2017'!$C$6:$PK$6,$A65,'BEA VABAS 2017'!$C$5:$PK$5,AG$63)/SUMIFS('BEA VABAS 2017'!$C$4:$PK$4,'BEA VABAS 2017'!$C$6:$PK$6,$A65)</f>
        <v/>
      </c>
      <c r="AH65">
        <f>SUMIFS('BEA VABAS 2017'!$C$4:$PK$4,'BEA VABAS 2017'!$C$6:$PK$6,$A65,'BEA VABAS 2017'!$C$5:$PK$5,AH$63)/SUMIFS('BEA VABAS 2017'!$C$4:$PK$4,'BEA VABAS 2017'!$C$6:$PK$6,$A65)</f>
        <v/>
      </c>
      <c r="AI65">
        <f>SUMIFS('BEA VABAS 2017'!$C$4:$PK$4,'BEA VABAS 2017'!$C$6:$PK$6,$A65,'BEA VABAS 2017'!$C$5:$PK$5,AI$63)/SUMIFS('BEA VABAS 2017'!$C$4:$PK$4,'BEA VABAS 2017'!$C$6:$PK$6,$A65)</f>
        <v/>
      </c>
      <c r="AJ65">
        <f>SUMIFS('BEA VABAS 2017'!$C$4:$PK$4,'BEA VABAS 2017'!$C$6:$PK$6,$A65,'BEA VABAS 2017'!$C$5:$PK$5,AJ$63)/SUMIFS('BEA VABAS 2017'!$C$4:$PK$4,'BEA VABAS 2017'!$C$6:$PK$6,$A65)</f>
        <v/>
      </c>
      <c r="AK65">
        <f>SUMIFS('BEA VABAS 2017'!$C$4:$PK$4,'BEA VABAS 2017'!$C$6:$PK$6,$A65,'BEA VABAS 2017'!$C$5:$PK$5,AK$63)/SUMIFS('BEA VABAS 2017'!$C$4:$PK$4,'BEA VABAS 2017'!$C$6:$PK$6,$A65)</f>
        <v/>
      </c>
      <c r="AL65">
        <f>SUMIFS('BEA VABAS 2017'!$C$4:$PK$4,'BEA VABAS 2017'!$C$6:$PK$6,$A65,'BEA VABAS 2017'!$C$5:$PK$5,AL$63)/SUMIFS('BEA VABAS 2017'!$C$4:$PK$4,'BEA VABAS 2017'!$C$6:$PK$6,$A65)</f>
        <v/>
      </c>
      <c r="AM65">
        <f>SUMIFS('BEA VABAS 2017'!$C$4:$PK$4,'BEA VABAS 2017'!$C$6:$PK$6,$A65,'BEA VABAS 2017'!$C$5:$PK$5,AM$63)/SUMIFS('BEA VABAS 2017'!$C$4:$PK$4,'BEA VABAS 2017'!$C$6:$PK$6,$A65)</f>
        <v/>
      </c>
      <c r="AN65">
        <f>SUMIFS('BEA VABAS 2017'!$C$4:$PK$4,'BEA VABAS 2017'!$C$6:$PK$6,$A65,'BEA VABAS 2017'!$C$5:$PK$5,AN$63)/SUMIFS('BEA VABAS 2017'!$C$4:$PK$4,'BEA VABAS 2017'!$C$6:$PK$6,$A65)</f>
        <v/>
      </c>
      <c r="AO65">
        <f>SUMIFS('BEA VABAS 2017'!$C$4:$PK$4,'BEA VABAS 2017'!$C$6:$PK$6,$A65,'BEA VABAS 2017'!$C$5:$PK$5,AO$63)/SUMIFS('BEA VABAS 2017'!$C$4:$PK$4,'BEA VABAS 2017'!$C$6:$PK$6,$A65)</f>
        <v/>
      </c>
      <c r="AP65">
        <f>SUMIFS('BEA VABAS 2017'!$C$4:$PK$4,'BEA VABAS 2017'!$C$6:$PK$6,$A65,'BEA VABAS 2017'!$C$5:$PK$5,AP$63)/SUMIFS('BEA VABAS 2017'!$C$4:$PK$4,'BEA VABAS 2017'!$C$6:$PK$6,$A65)</f>
        <v/>
      </c>
      <c r="AQ65">
        <f>SUMIFS('BEA VABAS 2017'!$C$4:$PK$4,'BEA VABAS 2017'!$C$6:$PK$6,$A65,'BEA VABAS 2017'!$C$5:$PK$5,AQ$63)/SUMIFS('BEA VABAS 2017'!$C$4:$PK$4,'BEA VABAS 2017'!$C$6:$PK$6,$A65)</f>
        <v/>
      </c>
      <c r="AR65">
        <f>SUMIFS('BEA VABAS 2017'!$C$4:$PK$4,'BEA VABAS 2017'!$C$6:$PK$6,$A65,'BEA VABAS 2017'!$C$5:$PK$5,AR$63)/SUMIFS('BEA VABAS 2017'!$C$4:$PK$4,'BEA VABAS 2017'!$C$6:$PK$6,$A65)</f>
        <v/>
      </c>
      <c r="AS65">
        <f>SUMIFS('BEA VABAS 2017'!$C$4:$PK$4,'BEA VABAS 2017'!$C$6:$PK$6,$A65,'BEA VABAS 2017'!$C$5:$PK$5,AS$63)/SUMIFS('BEA VABAS 2017'!$C$4:$PK$4,'BEA VABAS 2017'!$C$6:$PK$6,$A65)</f>
        <v/>
      </c>
      <c r="AT65">
        <f>SUMIFS('BEA VABAS 2017'!$C$4:$PK$4,'BEA VABAS 2017'!$C$6:$PK$6,$A65,'BEA VABAS 2017'!$C$5:$PK$5,AT$63)/SUMIFS('BEA VABAS 2017'!$C$4:$PK$4,'BEA VABAS 2017'!$C$6:$PK$6,$A65)</f>
        <v/>
      </c>
      <c r="AU65">
        <f>SUMIFS('BEA VABAS 2017'!$C$4:$PK$4,'BEA VABAS 2017'!$C$6:$PK$6,$A65,'BEA VABAS 2017'!$C$5:$PK$5,AU$63)/SUMIFS('BEA VABAS 2017'!$C$4:$PK$4,'BEA VABAS 2017'!$C$6:$PK$6,$A65)</f>
        <v/>
      </c>
      <c r="AV65">
        <f>SUMIFS('BEA VABAS 2017'!$C$4:$PK$4,'BEA VABAS 2017'!$C$6:$PK$6,$A65,'BEA VABAS 2017'!$C$5:$PK$5,AV$63)/SUMIFS('BEA VABAS 2017'!$C$4:$PK$4,'BEA VABAS 2017'!$C$6:$PK$6,$A65)</f>
        <v/>
      </c>
      <c r="AW65">
        <f>SUMIFS('BEA VABAS 2017'!$C$4:$PK$4,'BEA VABAS 2017'!$C$6:$PK$6,$A65,'BEA VABAS 2017'!$C$5:$PK$5,AW$63)/SUMIFS('BEA VABAS 2017'!$C$4:$PK$4,'BEA VABAS 2017'!$C$6:$PK$6,$A65)</f>
        <v/>
      </c>
      <c r="AX65">
        <f>SUMIFS('BEA VABAS 2017'!$C$4:$PK$4,'BEA VABAS 2017'!$C$6:$PK$6,$A65,'BEA VABAS 2017'!$C$5:$PK$5,AX$63)/SUMIFS('BEA VABAS 2017'!$C$4:$PK$4,'BEA VABAS 2017'!$C$6:$PK$6,$A65)</f>
        <v/>
      </c>
      <c r="AY65">
        <f>SUMIFS('BEA VABAS 2017'!$C$4:$PK$4,'BEA VABAS 2017'!$C$6:$PK$6,$A65,'BEA VABAS 2017'!$C$5:$PK$5,AY$63)/SUMIFS('BEA VABAS 2017'!$C$4:$PK$4,'BEA VABAS 2017'!$C$6:$PK$6,$A65)</f>
        <v/>
      </c>
      <c r="AZ65">
        <f>SUMIFS('BEA VABAS 2017'!$C$4:$PK$4,'BEA VABAS 2017'!$C$6:$PK$6,$A65,'BEA VABAS 2017'!$C$5:$PK$5,AZ$63)/SUMIFS('BEA VABAS 2017'!$C$4:$PK$4,'BEA VABAS 2017'!$C$6:$PK$6,$A65)</f>
        <v/>
      </c>
      <c r="BA65">
        <f>SUMIFS('BEA VABAS 2017'!$C$4:$PK$4,'BEA VABAS 2017'!$C$6:$PK$6,$A65,'BEA VABAS 2017'!$C$5:$PK$5,BA$63)/SUMIFS('BEA VABAS 2017'!$C$4:$PK$4,'BEA VABAS 2017'!$C$6:$PK$6,$A65)</f>
        <v/>
      </c>
      <c r="BB65">
        <f>SUMIFS('BEA VABAS 2017'!$C$4:$PK$4,'BEA VABAS 2017'!$C$6:$PK$6,$A65,'BEA VABAS 2017'!$C$5:$PK$5,BB$63)/SUMIFS('BEA VABAS 2017'!$C$4:$PK$4,'BEA VABAS 2017'!$C$6:$PK$6,$A65)</f>
        <v/>
      </c>
    </row>
    <row r="66">
      <c r="A66" t="inlineStr">
        <is>
          <t>Utilities</t>
        </is>
      </c>
      <c r="B66">
        <f>INDEX($B$3:$B$60,MATCH($A66,$A$3:$A$60,0))</f>
        <v/>
      </c>
      <c r="C66">
        <f>SUMIFS('BEA VABAS 2017'!$C$4:$PK$4,'BEA VABAS 2017'!$C$6:$PK$6,$A66,'BEA VABAS 2017'!$C$5:$PK$5,C$63)/SUMIFS('BEA VABAS 2017'!$C$4:$PK$4,'BEA VABAS 2017'!$C$6:$PK$6,$A66)</f>
        <v/>
      </c>
      <c r="D66">
        <f>SUMIFS('BEA VABAS 2017'!$C$4:$PK$4,'BEA VABAS 2017'!$C$6:$PK$6,$A66,'BEA VABAS 2017'!$C$5:$PK$5,D$63)/SUMIFS('BEA VABAS 2017'!$C$4:$PK$4,'BEA VABAS 2017'!$C$6:$PK$6,$A66)</f>
        <v/>
      </c>
      <c r="E66">
        <f>SUMIFS('BEA VABAS 2017'!$C$4:$PK$4,'BEA VABAS 2017'!$C$6:$PK$6,$A66,'BEA VABAS 2017'!$C$5:$PK$5,E$63)/SUMIFS('BEA VABAS 2017'!$C$4:$PK$4,'BEA VABAS 2017'!$C$6:$PK$6,$A66)</f>
        <v/>
      </c>
      <c r="F66">
        <f>SUMIFS('BEA VABAS 2017'!$C$4:$PK$4,'BEA VABAS 2017'!$C$6:$PK$6,$A66,'BEA VABAS 2017'!$C$5:$PK$5,F$63)/SUMIFS('BEA VABAS 2017'!$C$4:$PK$4,'BEA VABAS 2017'!$C$6:$PK$6,$A66)</f>
        <v/>
      </c>
      <c r="G66">
        <f>SUMIFS('BEA VABAS 2017'!$C$4:$PK$4,'BEA VABAS 2017'!$C$6:$PK$6,$A66,'BEA VABAS 2017'!$C$5:$PK$5,G$63)/SUMIFS('BEA VABAS 2017'!$C$4:$PK$4,'BEA VABAS 2017'!$C$6:$PK$6,$A66)</f>
        <v/>
      </c>
      <c r="H66">
        <f>SUMIFS('BEA VABAS 2017'!$C$4:$PK$4,'BEA VABAS 2017'!$C$6:$PK$6,$A66,'BEA VABAS 2017'!$C$5:$PK$5,H$63)/SUMIFS('BEA VABAS 2017'!$C$4:$PK$4,'BEA VABAS 2017'!$C$6:$PK$6,$A66)</f>
        <v/>
      </c>
      <c r="I66">
        <f>SUMIFS('BEA VABAS 2017'!$C$4:$PK$4,'BEA VABAS 2017'!$C$6:$PK$6,$A66,'BEA VABAS 2017'!$C$5:$PK$5,I$63)/SUMIFS('BEA VABAS 2017'!$C$4:$PK$4,'BEA VABAS 2017'!$C$6:$PK$6,$A66)</f>
        <v/>
      </c>
      <c r="J66">
        <f>SUMIFS('BEA VABAS 2017'!$C$4:$PK$4,'BEA VABAS 2017'!$C$6:$PK$6,$A66,'BEA VABAS 2017'!$C$5:$PK$5,J$63)/SUMIFS('BEA VABAS 2017'!$C$4:$PK$4,'BEA VABAS 2017'!$C$6:$PK$6,$A66)</f>
        <v/>
      </c>
      <c r="K66">
        <f>SUMIFS('BEA VABAS 2017'!$C$4:$PK$4,'BEA VABAS 2017'!$C$6:$PK$6,$A66,'BEA VABAS 2017'!$C$5:$PK$5,K$63)/SUMIFS('BEA VABAS 2017'!$C$4:$PK$4,'BEA VABAS 2017'!$C$6:$PK$6,$A66)</f>
        <v/>
      </c>
      <c r="L66">
        <f>SUMIFS('BEA VABAS 2017'!$C$4:$PK$4,'BEA VABAS 2017'!$C$6:$PK$6,$A66,'BEA VABAS 2017'!$C$5:$PK$5,L$63)/SUMIFS('BEA VABAS 2017'!$C$4:$PK$4,'BEA VABAS 2017'!$C$6:$PK$6,$A66)</f>
        <v/>
      </c>
      <c r="M66">
        <f>SUMIFS('BEA VABAS 2017'!$C$4:$PK$4,'BEA VABAS 2017'!$C$6:$PK$6,$A66,'BEA VABAS 2017'!$C$5:$PK$5,M$63)/SUMIFS('BEA VABAS 2017'!$C$4:$PK$4,'BEA VABAS 2017'!$C$6:$PK$6,$A66)</f>
        <v/>
      </c>
      <c r="N66">
        <f>SUMIFS('BEA VABAS 2017'!$C$4:$PK$4,'BEA VABAS 2017'!$C$6:$PK$6,$A66,'BEA VABAS 2017'!$C$5:$PK$5,N$63)/SUMIFS('BEA VABAS 2017'!$C$4:$PK$4,'BEA VABAS 2017'!$C$6:$PK$6,$A66)</f>
        <v/>
      </c>
      <c r="O66">
        <f>SUMIFS('BEA VABAS 2017'!$C$4:$PK$4,'BEA VABAS 2017'!$C$6:$PK$6,$A66,'BEA VABAS 2017'!$C$5:$PK$5,O$63)/SUMIFS('BEA VABAS 2017'!$C$4:$PK$4,'BEA VABAS 2017'!$C$6:$PK$6,$A66)</f>
        <v/>
      </c>
      <c r="P66">
        <f>SUMIFS('BEA VABAS 2017'!$C$4:$PK$4,'BEA VABAS 2017'!$C$6:$PK$6,$A66,'BEA VABAS 2017'!$C$5:$PK$5,P$63)/SUMIFS('BEA VABAS 2017'!$C$4:$PK$4,'BEA VABAS 2017'!$C$6:$PK$6,$A66)</f>
        <v/>
      </c>
      <c r="Q66">
        <f>SUMIFS('BEA VABAS 2017'!$C$4:$PK$4,'BEA VABAS 2017'!$C$6:$PK$6,$A66,'BEA VABAS 2017'!$C$5:$PK$5,Q$63)/SUMIFS('BEA VABAS 2017'!$C$4:$PK$4,'BEA VABAS 2017'!$C$6:$PK$6,$A66)</f>
        <v/>
      </c>
      <c r="R66">
        <f>SUMIFS('BEA VABAS 2017'!$C$4:$PK$4,'BEA VABAS 2017'!$C$6:$PK$6,$A66,'BEA VABAS 2017'!$C$5:$PK$5,R$63)/SUMIFS('BEA VABAS 2017'!$C$4:$PK$4,'BEA VABAS 2017'!$C$6:$PK$6,$A66)</f>
        <v/>
      </c>
      <c r="S66">
        <f>SUMIFS('BEA VABAS 2017'!$C$4:$PK$4,'BEA VABAS 2017'!$C$6:$PK$6,$A66,'BEA VABAS 2017'!$C$5:$PK$5,S$63)/SUMIFS('BEA VABAS 2017'!$C$4:$PK$4,'BEA VABAS 2017'!$C$6:$PK$6,$A66)</f>
        <v/>
      </c>
      <c r="T66">
        <f>SUMIFS('BEA VABAS 2017'!$C$4:$PK$4,'BEA VABAS 2017'!$C$6:$PK$6,$A66,'BEA VABAS 2017'!$C$5:$PK$5,T$63)/SUMIFS('BEA VABAS 2017'!$C$4:$PK$4,'BEA VABAS 2017'!$C$6:$PK$6,$A66)</f>
        <v/>
      </c>
      <c r="U66">
        <f>SUMIFS('BEA VABAS 2017'!$C$4:$PK$4,'BEA VABAS 2017'!$C$6:$PK$6,$A66,'BEA VABAS 2017'!$C$5:$PK$5,U$63)/SUMIFS('BEA VABAS 2017'!$C$4:$PK$4,'BEA VABAS 2017'!$C$6:$PK$6,$A66)</f>
        <v/>
      </c>
      <c r="V66">
        <f>SUMIFS('BEA VABAS 2017'!$C$4:$PK$4,'BEA VABAS 2017'!$C$6:$PK$6,$A66,'BEA VABAS 2017'!$C$5:$PK$5,V$63)/SUMIFS('BEA VABAS 2017'!$C$4:$PK$4,'BEA VABAS 2017'!$C$6:$PK$6,$A66)</f>
        <v/>
      </c>
      <c r="W66">
        <f>SUMIFS('BEA VABAS 2017'!$C$4:$PK$4,'BEA VABAS 2017'!$C$6:$PK$6,$A66,'BEA VABAS 2017'!$C$5:$PK$5,W$63)/SUMIFS('BEA VABAS 2017'!$C$4:$PK$4,'BEA VABAS 2017'!$C$6:$PK$6,$A66)</f>
        <v/>
      </c>
      <c r="X66">
        <f>SUMIFS('BEA VABAS 2017'!$C$4:$PK$4,'BEA VABAS 2017'!$C$6:$PK$6,$A66,'BEA VABAS 2017'!$C$5:$PK$5,X$63)/SUMIFS('BEA VABAS 2017'!$C$4:$PK$4,'BEA VABAS 2017'!$C$6:$PK$6,$A66)</f>
        <v/>
      </c>
      <c r="Y66">
        <f>SUMIFS('BEA VABAS 2017'!$C$4:$PK$4,'BEA VABAS 2017'!$C$6:$PK$6,$A66,'BEA VABAS 2017'!$C$5:$PK$5,Y$63)/SUMIFS('BEA VABAS 2017'!$C$4:$PK$4,'BEA VABAS 2017'!$C$6:$PK$6,$A66)</f>
        <v/>
      </c>
      <c r="Z66">
        <f>SUMIFS('BEA VABAS 2017'!$C$4:$PK$4,'BEA VABAS 2017'!$C$6:$PK$6,$A66,'BEA VABAS 2017'!$C$5:$PK$5,Z$63)/SUMIFS('BEA VABAS 2017'!$C$4:$PK$4,'BEA VABAS 2017'!$C$6:$PK$6,$A66)</f>
        <v/>
      </c>
      <c r="AA66">
        <f>SUMIFS('BEA VABAS 2017'!$C$4:$PK$4,'BEA VABAS 2017'!$C$6:$PK$6,$A66,'BEA VABAS 2017'!$C$5:$PK$5,AA$63)/SUMIFS('BEA VABAS 2017'!$C$4:$PK$4,'BEA VABAS 2017'!$C$6:$PK$6,$A66)</f>
        <v/>
      </c>
      <c r="AB66">
        <f>SUMIFS('BEA VABAS 2017'!$C$4:$PK$4,'BEA VABAS 2017'!$C$6:$PK$6,$A66,'BEA VABAS 2017'!$C$5:$PK$5,AB$63)/SUMIFS('BEA VABAS 2017'!$C$4:$PK$4,'BEA VABAS 2017'!$C$6:$PK$6,$A66)</f>
        <v/>
      </c>
      <c r="AC66">
        <f>SUMIFS('BEA VABAS 2017'!$C$4:$PK$4,'BEA VABAS 2017'!$C$6:$PK$6,$A66,'BEA VABAS 2017'!$C$5:$PK$5,AC$63)/SUMIFS('BEA VABAS 2017'!$C$4:$PK$4,'BEA VABAS 2017'!$C$6:$PK$6,$A66)</f>
        <v/>
      </c>
      <c r="AD66">
        <f>SUMIFS('BEA VABAS 2017'!$C$4:$PK$4,'BEA VABAS 2017'!$C$6:$PK$6,$A66,'BEA VABAS 2017'!$C$5:$PK$5,AD$63)/SUMIFS('BEA VABAS 2017'!$C$4:$PK$4,'BEA VABAS 2017'!$C$6:$PK$6,$A66)</f>
        <v/>
      </c>
      <c r="AE66">
        <f>SUMIFS('BEA VABAS 2017'!$C$4:$PK$4,'BEA VABAS 2017'!$C$6:$PK$6,$A66,'BEA VABAS 2017'!$C$5:$PK$5,AE$63)/SUMIFS('BEA VABAS 2017'!$C$4:$PK$4,'BEA VABAS 2017'!$C$6:$PK$6,$A66)</f>
        <v/>
      </c>
      <c r="AF66">
        <f>SUMIFS('BEA VABAS 2017'!$C$4:$PK$4,'BEA VABAS 2017'!$C$6:$PK$6,$A66,'BEA VABAS 2017'!$C$5:$PK$5,AF$63)/SUMIFS('BEA VABAS 2017'!$C$4:$PK$4,'BEA VABAS 2017'!$C$6:$PK$6,$A66)</f>
        <v/>
      </c>
      <c r="AG66">
        <f>SUMIFS('BEA VABAS 2017'!$C$4:$PK$4,'BEA VABAS 2017'!$C$6:$PK$6,$A66,'BEA VABAS 2017'!$C$5:$PK$5,AG$63)/SUMIFS('BEA VABAS 2017'!$C$4:$PK$4,'BEA VABAS 2017'!$C$6:$PK$6,$A66)</f>
        <v/>
      </c>
      <c r="AH66">
        <f>SUMIFS('BEA VABAS 2017'!$C$4:$PK$4,'BEA VABAS 2017'!$C$6:$PK$6,$A66,'BEA VABAS 2017'!$C$5:$PK$5,AH$63)/SUMIFS('BEA VABAS 2017'!$C$4:$PK$4,'BEA VABAS 2017'!$C$6:$PK$6,$A66)</f>
        <v/>
      </c>
      <c r="AI66">
        <f>SUMIFS('BEA VABAS 2017'!$C$4:$PK$4,'BEA VABAS 2017'!$C$6:$PK$6,$A66,'BEA VABAS 2017'!$C$5:$PK$5,AI$63)/SUMIFS('BEA VABAS 2017'!$C$4:$PK$4,'BEA VABAS 2017'!$C$6:$PK$6,$A66)</f>
        <v/>
      </c>
      <c r="AJ66">
        <f>SUMIFS('BEA VABAS 2017'!$C$4:$PK$4,'BEA VABAS 2017'!$C$6:$PK$6,$A66,'BEA VABAS 2017'!$C$5:$PK$5,AJ$63)/SUMIFS('BEA VABAS 2017'!$C$4:$PK$4,'BEA VABAS 2017'!$C$6:$PK$6,$A66)</f>
        <v/>
      </c>
      <c r="AK66">
        <f>SUMIFS('BEA VABAS 2017'!$C$4:$PK$4,'BEA VABAS 2017'!$C$6:$PK$6,$A66,'BEA VABAS 2017'!$C$5:$PK$5,AK$63)/SUMIFS('BEA VABAS 2017'!$C$4:$PK$4,'BEA VABAS 2017'!$C$6:$PK$6,$A66)</f>
        <v/>
      </c>
      <c r="AL66">
        <f>SUMIFS('BEA VABAS 2017'!$C$4:$PK$4,'BEA VABAS 2017'!$C$6:$PK$6,$A66,'BEA VABAS 2017'!$C$5:$PK$5,AL$63)/SUMIFS('BEA VABAS 2017'!$C$4:$PK$4,'BEA VABAS 2017'!$C$6:$PK$6,$A66)</f>
        <v/>
      </c>
      <c r="AM66">
        <f>SUMIFS('BEA VABAS 2017'!$C$4:$PK$4,'BEA VABAS 2017'!$C$6:$PK$6,$A66,'BEA VABAS 2017'!$C$5:$PK$5,AM$63)/SUMIFS('BEA VABAS 2017'!$C$4:$PK$4,'BEA VABAS 2017'!$C$6:$PK$6,$A66)</f>
        <v/>
      </c>
      <c r="AN66">
        <f>SUMIFS('BEA VABAS 2017'!$C$4:$PK$4,'BEA VABAS 2017'!$C$6:$PK$6,$A66,'BEA VABAS 2017'!$C$5:$PK$5,AN$63)/SUMIFS('BEA VABAS 2017'!$C$4:$PK$4,'BEA VABAS 2017'!$C$6:$PK$6,$A66)</f>
        <v/>
      </c>
      <c r="AO66">
        <f>SUMIFS('BEA VABAS 2017'!$C$4:$PK$4,'BEA VABAS 2017'!$C$6:$PK$6,$A66,'BEA VABAS 2017'!$C$5:$PK$5,AO$63)/SUMIFS('BEA VABAS 2017'!$C$4:$PK$4,'BEA VABAS 2017'!$C$6:$PK$6,$A66)</f>
        <v/>
      </c>
      <c r="AP66">
        <f>SUMIFS('BEA VABAS 2017'!$C$4:$PK$4,'BEA VABAS 2017'!$C$6:$PK$6,$A66,'BEA VABAS 2017'!$C$5:$PK$5,AP$63)/SUMIFS('BEA VABAS 2017'!$C$4:$PK$4,'BEA VABAS 2017'!$C$6:$PK$6,$A66)</f>
        <v/>
      </c>
      <c r="AQ66">
        <f>SUMIFS('BEA VABAS 2017'!$C$4:$PK$4,'BEA VABAS 2017'!$C$6:$PK$6,$A66,'BEA VABAS 2017'!$C$5:$PK$5,AQ$63)/SUMIFS('BEA VABAS 2017'!$C$4:$PK$4,'BEA VABAS 2017'!$C$6:$PK$6,$A66)</f>
        <v/>
      </c>
      <c r="AR66">
        <f>SUMIFS('BEA VABAS 2017'!$C$4:$PK$4,'BEA VABAS 2017'!$C$6:$PK$6,$A66,'BEA VABAS 2017'!$C$5:$PK$5,AR$63)/SUMIFS('BEA VABAS 2017'!$C$4:$PK$4,'BEA VABAS 2017'!$C$6:$PK$6,$A66)</f>
        <v/>
      </c>
      <c r="AS66">
        <f>SUMIFS('BEA VABAS 2017'!$C$4:$PK$4,'BEA VABAS 2017'!$C$6:$PK$6,$A66,'BEA VABAS 2017'!$C$5:$PK$5,AS$63)/SUMIFS('BEA VABAS 2017'!$C$4:$PK$4,'BEA VABAS 2017'!$C$6:$PK$6,$A66)</f>
        <v/>
      </c>
      <c r="AT66">
        <f>SUMIFS('BEA VABAS 2017'!$C$4:$PK$4,'BEA VABAS 2017'!$C$6:$PK$6,$A66,'BEA VABAS 2017'!$C$5:$PK$5,AT$63)/SUMIFS('BEA VABAS 2017'!$C$4:$PK$4,'BEA VABAS 2017'!$C$6:$PK$6,$A66)</f>
        <v/>
      </c>
      <c r="AU66">
        <f>SUMIFS('BEA VABAS 2017'!$C$4:$PK$4,'BEA VABAS 2017'!$C$6:$PK$6,$A66,'BEA VABAS 2017'!$C$5:$PK$5,AU$63)/SUMIFS('BEA VABAS 2017'!$C$4:$PK$4,'BEA VABAS 2017'!$C$6:$PK$6,$A66)</f>
        <v/>
      </c>
      <c r="AV66">
        <f>SUMIFS('BEA VABAS 2017'!$C$4:$PK$4,'BEA VABAS 2017'!$C$6:$PK$6,$A66,'BEA VABAS 2017'!$C$5:$PK$5,AV$63)/SUMIFS('BEA VABAS 2017'!$C$4:$PK$4,'BEA VABAS 2017'!$C$6:$PK$6,$A66)</f>
        <v/>
      </c>
      <c r="AW66">
        <f>SUMIFS('BEA VABAS 2017'!$C$4:$PK$4,'BEA VABAS 2017'!$C$6:$PK$6,$A66,'BEA VABAS 2017'!$C$5:$PK$5,AW$63)/SUMIFS('BEA VABAS 2017'!$C$4:$PK$4,'BEA VABAS 2017'!$C$6:$PK$6,$A66)</f>
        <v/>
      </c>
      <c r="AX66">
        <f>SUMIFS('BEA VABAS 2017'!$C$4:$PK$4,'BEA VABAS 2017'!$C$6:$PK$6,$A66,'BEA VABAS 2017'!$C$5:$PK$5,AX$63)/SUMIFS('BEA VABAS 2017'!$C$4:$PK$4,'BEA VABAS 2017'!$C$6:$PK$6,$A66)</f>
        <v/>
      </c>
      <c r="AY66">
        <f>SUMIFS('BEA VABAS 2017'!$C$4:$PK$4,'BEA VABAS 2017'!$C$6:$PK$6,$A66,'BEA VABAS 2017'!$C$5:$PK$5,AY$63)/SUMIFS('BEA VABAS 2017'!$C$4:$PK$4,'BEA VABAS 2017'!$C$6:$PK$6,$A66)</f>
        <v/>
      </c>
      <c r="AZ66">
        <f>SUMIFS('BEA VABAS 2017'!$C$4:$PK$4,'BEA VABAS 2017'!$C$6:$PK$6,$A66,'BEA VABAS 2017'!$C$5:$PK$5,AZ$63)/SUMIFS('BEA VABAS 2017'!$C$4:$PK$4,'BEA VABAS 2017'!$C$6:$PK$6,$A66)</f>
        <v/>
      </c>
      <c r="BA66">
        <f>SUMIFS('BEA VABAS 2017'!$C$4:$PK$4,'BEA VABAS 2017'!$C$6:$PK$6,$A66,'BEA VABAS 2017'!$C$5:$PK$5,BA$63)/SUMIFS('BEA VABAS 2017'!$C$4:$PK$4,'BEA VABAS 2017'!$C$6:$PK$6,$A66)</f>
        <v/>
      </c>
      <c r="BB66">
        <f>SUMIFS('BEA VABAS 2017'!$C$4:$PK$4,'BEA VABAS 2017'!$C$6:$PK$6,$A66,'BEA VABAS 2017'!$C$5:$PK$5,BB$63)/SUMIFS('BEA VABAS 2017'!$C$4:$PK$4,'BEA VABAS 2017'!$C$6:$PK$6,$A66)</f>
        <v/>
      </c>
    </row>
    <row r="67">
      <c r="A67" t="inlineStr">
        <is>
          <t>Nonmetallic mineral products</t>
        </is>
      </c>
      <c r="B67">
        <f>INDEX($B$3:$B$60,MATCH($A67,$A$3:$A$60,0))</f>
        <v/>
      </c>
      <c r="C67">
        <f>SUMIFS('BEA VABAS 2017'!$C$4:$PK$4,'BEA VABAS 2017'!$C$6:$PK$6,$A67,'BEA VABAS 2017'!$C$5:$PK$5,C$63)/SUMIFS('BEA VABAS 2017'!$C$4:$PK$4,'BEA VABAS 2017'!$C$6:$PK$6,$A67)</f>
        <v/>
      </c>
      <c r="D67">
        <f>SUMIFS('BEA VABAS 2017'!$C$4:$PK$4,'BEA VABAS 2017'!$C$6:$PK$6,$A67,'BEA VABAS 2017'!$C$5:$PK$5,D$63)/SUMIFS('BEA VABAS 2017'!$C$4:$PK$4,'BEA VABAS 2017'!$C$6:$PK$6,$A67)</f>
        <v/>
      </c>
      <c r="E67">
        <f>SUMIFS('BEA VABAS 2017'!$C$4:$PK$4,'BEA VABAS 2017'!$C$6:$PK$6,$A67,'BEA VABAS 2017'!$C$5:$PK$5,E$63)/SUMIFS('BEA VABAS 2017'!$C$4:$PK$4,'BEA VABAS 2017'!$C$6:$PK$6,$A67)</f>
        <v/>
      </c>
      <c r="F67">
        <f>SUMIFS('BEA VABAS 2017'!$C$4:$PK$4,'BEA VABAS 2017'!$C$6:$PK$6,$A67,'BEA VABAS 2017'!$C$5:$PK$5,F$63)/SUMIFS('BEA VABAS 2017'!$C$4:$PK$4,'BEA VABAS 2017'!$C$6:$PK$6,$A67)</f>
        <v/>
      </c>
      <c r="G67">
        <f>SUMIFS('BEA VABAS 2017'!$C$4:$PK$4,'BEA VABAS 2017'!$C$6:$PK$6,$A67,'BEA VABAS 2017'!$C$5:$PK$5,G$63)/SUMIFS('BEA VABAS 2017'!$C$4:$PK$4,'BEA VABAS 2017'!$C$6:$PK$6,$A67)</f>
        <v/>
      </c>
      <c r="H67">
        <f>SUMIFS('BEA VABAS 2017'!$C$4:$PK$4,'BEA VABAS 2017'!$C$6:$PK$6,$A67,'BEA VABAS 2017'!$C$5:$PK$5,H$63)/SUMIFS('BEA VABAS 2017'!$C$4:$PK$4,'BEA VABAS 2017'!$C$6:$PK$6,$A67)</f>
        <v/>
      </c>
      <c r="I67">
        <f>SUMIFS('BEA VABAS 2017'!$C$4:$PK$4,'BEA VABAS 2017'!$C$6:$PK$6,$A67,'BEA VABAS 2017'!$C$5:$PK$5,I$63)/SUMIFS('BEA VABAS 2017'!$C$4:$PK$4,'BEA VABAS 2017'!$C$6:$PK$6,$A67)</f>
        <v/>
      </c>
      <c r="J67">
        <f>SUMIFS('BEA VABAS 2017'!$C$4:$PK$4,'BEA VABAS 2017'!$C$6:$PK$6,$A67,'BEA VABAS 2017'!$C$5:$PK$5,J$63)/SUMIFS('BEA VABAS 2017'!$C$4:$PK$4,'BEA VABAS 2017'!$C$6:$PK$6,$A67)</f>
        <v/>
      </c>
      <c r="K67">
        <f>SUMIFS('BEA VABAS 2017'!$C$4:$PK$4,'BEA VABAS 2017'!$C$6:$PK$6,$A67,'BEA VABAS 2017'!$C$5:$PK$5,K$63)/SUMIFS('BEA VABAS 2017'!$C$4:$PK$4,'BEA VABAS 2017'!$C$6:$PK$6,$A67)</f>
        <v/>
      </c>
      <c r="L67">
        <f>SUMIFS('BEA VABAS 2017'!$C$4:$PK$4,'BEA VABAS 2017'!$C$6:$PK$6,$A67,'BEA VABAS 2017'!$C$5:$PK$5,L$63)/SUMIFS('BEA VABAS 2017'!$C$4:$PK$4,'BEA VABAS 2017'!$C$6:$PK$6,$A67)</f>
        <v/>
      </c>
      <c r="M67">
        <f>SUMIFS('BEA VABAS 2017'!$C$4:$PK$4,'BEA VABAS 2017'!$C$6:$PK$6,$A67,'BEA VABAS 2017'!$C$5:$PK$5,M$63)/SUMIFS('BEA VABAS 2017'!$C$4:$PK$4,'BEA VABAS 2017'!$C$6:$PK$6,$A67)</f>
        <v/>
      </c>
      <c r="N67">
        <f>SUMIFS('BEA VABAS 2017'!$C$4:$PK$4,'BEA VABAS 2017'!$C$6:$PK$6,$A67,'BEA VABAS 2017'!$C$5:$PK$5,N$63)/SUMIFS('BEA VABAS 2017'!$C$4:$PK$4,'BEA VABAS 2017'!$C$6:$PK$6,$A67)</f>
        <v/>
      </c>
      <c r="O67">
        <f>SUMIFS('BEA VABAS 2017'!$C$4:$PK$4,'BEA VABAS 2017'!$C$6:$PK$6,$A67,'BEA VABAS 2017'!$C$5:$PK$5,O$63)/SUMIFS('BEA VABAS 2017'!$C$4:$PK$4,'BEA VABAS 2017'!$C$6:$PK$6,$A67)</f>
        <v/>
      </c>
      <c r="P67">
        <f>SUMIFS('BEA VABAS 2017'!$C$4:$PK$4,'BEA VABAS 2017'!$C$6:$PK$6,$A67,'BEA VABAS 2017'!$C$5:$PK$5,P$63)/SUMIFS('BEA VABAS 2017'!$C$4:$PK$4,'BEA VABAS 2017'!$C$6:$PK$6,$A67)</f>
        <v/>
      </c>
      <c r="Q67">
        <f>SUMIFS('BEA VABAS 2017'!$C$4:$PK$4,'BEA VABAS 2017'!$C$6:$PK$6,$A67,'BEA VABAS 2017'!$C$5:$PK$5,Q$63)/SUMIFS('BEA VABAS 2017'!$C$4:$PK$4,'BEA VABAS 2017'!$C$6:$PK$6,$A67)</f>
        <v/>
      </c>
      <c r="R67">
        <f>SUMIFS('BEA VABAS 2017'!$C$4:$PK$4,'BEA VABAS 2017'!$C$6:$PK$6,$A67,'BEA VABAS 2017'!$C$5:$PK$5,R$63)/SUMIFS('BEA VABAS 2017'!$C$4:$PK$4,'BEA VABAS 2017'!$C$6:$PK$6,$A67)</f>
        <v/>
      </c>
      <c r="S67">
        <f>SUMIFS('BEA VABAS 2017'!$C$4:$PK$4,'BEA VABAS 2017'!$C$6:$PK$6,$A67,'BEA VABAS 2017'!$C$5:$PK$5,S$63)/SUMIFS('BEA VABAS 2017'!$C$4:$PK$4,'BEA VABAS 2017'!$C$6:$PK$6,$A67)</f>
        <v/>
      </c>
      <c r="T67">
        <f>SUMIFS('BEA VABAS 2017'!$C$4:$PK$4,'BEA VABAS 2017'!$C$6:$PK$6,$A67,'BEA VABAS 2017'!$C$5:$PK$5,T$63)/SUMIFS('BEA VABAS 2017'!$C$4:$PK$4,'BEA VABAS 2017'!$C$6:$PK$6,$A67)</f>
        <v/>
      </c>
      <c r="U67">
        <f>SUMIFS('BEA VABAS 2017'!$C$4:$PK$4,'BEA VABAS 2017'!$C$6:$PK$6,$A67,'BEA VABAS 2017'!$C$5:$PK$5,U$63)/SUMIFS('BEA VABAS 2017'!$C$4:$PK$4,'BEA VABAS 2017'!$C$6:$PK$6,$A67)</f>
        <v/>
      </c>
      <c r="V67">
        <f>SUMIFS('BEA VABAS 2017'!$C$4:$PK$4,'BEA VABAS 2017'!$C$6:$PK$6,$A67,'BEA VABAS 2017'!$C$5:$PK$5,V$63)/SUMIFS('BEA VABAS 2017'!$C$4:$PK$4,'BEA VABAS 2017'!$C$6:$PK$6,$A67)</f>
        <v/>
      </c>
      <c r="W67">
        <f>SUMIFS('BEA VABAS 2017'!$C$4:$PK$4,'BEA VABAS 2017'!$C$6:$PK$6,$A67,'BEA VABAS 2017'!$C$5:$PK$5,W$63)/SUMIFS('BEA VABAS 2017'!$C$4:$PK$4,'BEA VABAS 2017'!$C$6:$PK$6,$A67)</f>
        <v/>
      </c>
      <c r="X67">
        <f>SUMIFS('BEA VABAS 2017'!$C$4:$PK$4,'BEA VABAS 2017'!$C$6:$PK$6,$A67,'BEA VABAS 2017'!$C$5:$PK$5,X$63)/SUMIFS('BEA VABAS 2017'!$C$4:$PK$4,'BEA VABAS 2017'!$C$6:$PK$6,$A67)</f>
        <v/>
      </c>
      <c r="Y67">
        <f>SUMIFS('BEA VABAS 2017'!$C$4:$PK$4,'BEA VABAS 2017'!$C$6:$PK$6,$A67,'BEA VABAS 2017'!$C$5:$PK$5,Y$63)/SUMIFS('BEA VABAS 2017'!$C$4:$PK$4,'BEA VABAS 2017'!$C$6:$PK$6,$A67)</f>
        <v/>
      </c>
      <c r="Z67">
        <f>SUMIFS('BEA VABAS 2017'!$C$4:$PK$4,'BEA VABAS 2017'!$C$6:$PK$6,$A67,'BEA VABAS 2017'!$C$5:$PK$5,Z$63)/SUMIFS('BEA VABAS 2017'!$C$4:$PK$4,'BEA VABAS 2017'!$C$6:$PK$6,$A67)</f>
        <v/>
      </c>
      <c r="AA67">
        <f>SUMIFS('BEA VABAS 2017'!$C$4:$PK$4,'BEA VABAS 2017'!$C$6:$PK$6,$A67,'BEA VABAS 2017'!$C$5:$PK$5,AA$63)/SUMIFS('BEA VABAS 2017'!$C$4:$PK$4,'BEA VABAS 2017'!$C$6:$PK$6,$A67)</f>
        <v/>
      </c>
      <c r="AB67">
        <f>SUMIFS('BEA VABAS 2017'!$C$4:$PK$4,'BEA VABAS 2017'!$C$6:$PK$6,$A67,'BEA VABAS 2017'!$C$5:$PK$5,AB$63)/SUMIFS('BEA VABAS 2017'!$C$4:$PK$4,'BEA VABAS 2017'!$C$6:$PK$6,$A67)</f>
        <v/>
      </c>
      <c r="AC67">
        <f>SUMIFS('BEA VABAS 2017'!$C$4:$PK$4,'BEA VABAS 2017'!$C$6:$PK$6,$A67,'BEA VABAS 2017'!$C$5:$PK$5,AC$63)/SUMIFS('BEA VABAS 2017'!$C$4:$PK$4,'BEA VABAS 2017'!$C$6:$PK$6,$A67)</f>
        <v/>
      </c>
      <c r="AD67">
        <f>SUMIFS('BEA VABAS 2017'!$C$4:$PK$4,'BEA VABAS 2017'!$C$6:$PK$6,$A67,'BEA VABAS 2017'!$C$5:$PK$5,AD$63)/SUMIFS('BEA VABAS 2017'!$C$4:$PK$4,'BEA VABAS 2017'!$C$6:$PK$6,$A67)</f>
        <v/>
      </c>
      <c r="AE67">
        <f>SUMIFS('BEA VABAS 2017'!$C$4:$PK$4,'BEA VABAS 2017'!$C$6:$PK$6,$A67,'BEA VABAS 2017'!$C$5:$PK$5,AE$63)/SUMIFS('BEA VABAS 2017'!$C$4:$PK$4,'BEA VABAS 2017'!$C$6:$PK$6,$A67)</f>
        <v/>
      </c>
      <c r="AF67">
        <f>SUMIFS('BEA VABAS 2017'!$C$4:$PK$4,'BEA VABAS 2017'!$C$6:$PK$6,$A67,'BEA VABAS 2017'!$C$5:$PK$5,AF$63)/SUMIFS('BEA VABAS 2017'!$C$4:$PK$4,'BEA VABAS 2017'!$C$6:$PK$6,$A67)</f>
        <v/>
      </c>
      <c r="AG67">
        <f>SUMIFS('BEA VABAS 2017'!$C$4:$PK$4,'BEA VABAS 2017'!$C$6:$PK$6,$A67,'BEA VABAS 2017'!$C$5:$PK$5,AG$63)/SUMIFS('BEA VABAS 2017'!$C$4:$PK$4,'BEA VABAS 2017'!$C$6:$PK$6,$A67)</f>
        <v/>
      </c>
      <c r="AH67">
        <f>SUMIFS('BEA VABAS 2017'!$C$4:$PK$4,'BEA VABAS 2017'!$C$6:$PK$6,$A67,'BEA VABAS 2017'!$C$5:$PK$5,AH$63)/SUMIFS('BEA VABAS 2017'!$C$4:$PK$4,'BEA VABAS 2017'!$C$6:$PK$6,$A67)</f>
        <v/>
      </c>
      <c r="AI67">
        <f>SUMIFS('BEA VABAS 2017'!$C$4:$PK$4,'BEA VABAS 2017'!$C$6:$PK$6,$A67,'BEA VABAS 2017'!$C$5:$PK$5,AI$63)/SUMIFS('BEA VABAS 2017'!$C$4:$PK$4,'BEA VABAS 2017'!$C$6:$PK$6,$A67)</f>
        <v/>
      </c>
      <c r="AJ67">
        <f>SUMIFS('BEA VABAS 2017'!$C$4:$PK$4,'BEA VABAS 2017'!$C$6:$PK$6,$A67,'BEA VABAS 2017'!$C$5:$PK$5,AJ$63)/SUMIFS('BEA VABAS 2017'!$C$4:$PK$4,'BEA VABAS 2017'!$C$6:$PK$6,$A67)</f>
        <v/>
      </c>
      <c r="AK67">
        <f>SUMIFS('BEA VABAS 2017'!$C$4:$PK$4,'BEA VABAS 2017'!$C$6:$PK$6,$A67,'BEA VABAS 2017'!$C$5:$PK$5,AK$63)/SUMIFS('BEA VABAS 2017'!$C$4:$PK$4,'BEA VABAS 2017'!$C$6:$PK$6,$A67)</f>
        <v/>
      </c>
      <c r="AL67">
        <f>SUMIFS('BEA VABAS 2017'!$C$4:$PK$4,'BEA VABAS 2017'!$C$6:$PK$6,$A67,'BEA VABAS 2017'!$C$5:$PK$5,AL$63)/SUMIFS('BEA VABAS 2017'!$C$4:$PK$4,'BEA VABAS 2017'!$C$6:$PK$6,$A67)</f>
        <v/>
      </c>
      <c r="AM67">
        <f>SUMIFS('BEA VABAS 2017'!$C$4:$PK$4,'BEA VABAS 2017'!$C$6:$PK$6,$A67,'BEA VABAS 2017'!$C$5:$PK$5,AM$63)/SUMIFS('BEA VABAS 2017'!$C$4:$PK$4,'BEA VABAS 2017'!$C$6:$PK$6,$A67)</f>
        <v/>
      </c>
      <c r="AN67">
        <f>SUMIFS('BEA VABAS 2017'!$C$4:$PK$4,'BEA VABAS 2017'!$C$6:$PK$6,$A67,'BEA VABAS 2017'!$C$5:$PK$5,AN$63)/SUMIFS('BEA VABAS 2017'!$C$4:$PK$4,'BEA VABAS 2017'!$C$6:$PK$6,$A67)</f>
        <v/>
      </c>
      <c r="AO67">
        <f>SUMIFS('BEA VABAS 2017'!$C$4:$PK$4,'BEA VABAS 2017'!$C$6:$PK$6,$A67,'BEA VABAS 2017'!$C$5:$PK$5,AO$63)/SUMIFS('BEA VABAS 2017'!$C$4:$PK$4,'BEA VABAS 2017'!$C$6:$PK$6,$A67)</f>
        <v/>
      </c>
      <c r="AP67">
        <f>SUMIFS('BEA VABAS 2017'!$C$4:$PK$4,'BEA VABAS 2017'!$C$6:$PK$6,$A67,'BEA VABAS 2017'!$C$5:$PK$5,AP$63)/SUMIFS('BEA VABAS 2017'!$C$4:$PK$4,'BEA VABAS 2017'!$C$6:$PK$6,$A67)</f>
        <v/>
      </c>
      <c r="AQ67">
        <f>SUMIFS('BEA VABAS 2017'!$C$4:$PK$4,'BEA VABAS 2017'!$C$6:$PK$6,$A67,'BEA VABAS 2017'!$C$5:$PK$5,AQ$63)/SUMIFS('BEA VABAS 2017'!$C$4:$PK$4,'BEA VABAS 2017'!$C$6:$PK$6,$A67)</f>
        <v/>
      </c>
      <c r="AR67">
        <f>SUMIFS('BEA VABAS 2017'!$C$4:$PK$4,'BEA VABAS 2017'!$C$6:$PK$6,$A67,'BEA VABAS 2017'!$C$5:$PK$5,AR$63)/SUMIFS('BEA VABAS 2017'!$C$4:$PK$4,'BEA VABAS 2017'!$C$6:$PK$6,$A67)</f>
        <v/>
      </c>
      <c r="AS67">
        <f>SUMIFS('BEA VABAS 2017'!$C$4:$PK$4,'BEA VABAS 2017'!$C$6:$PK$6,$A67,'BEA VABAS 2017'!$C$5:$PK$5,AS$63)/SUMIFS('BEA VABAS 2017'!$C$4:$PK$4,'BEA VABAS 2017'!$C$6:$PK$6,$A67)</f>
        <v/>
      </c>
      <c r="AT67">
        <f>SUMIFS('BEA VABAS 2017'!$C$4:$PK$4,'BEA VABAS 2017'!$C$6:$PK$6,$A67,'BEA VABAS 2017'!$C$5:$PK$5,AT$63)/SUMIFS('BEA VABAS 2017'!$C$4:$PK$4,'BEA VABAS 2017'!$C$6:$PK$6,$A67)</f>
        <v/>
      </c>
      <c r="AU67">
        <f>SUMIFS('BEA VABAS 2017'!$C$4:$PK$4,'BEA VABAS 2017'!$C$6:$PK$6,$A67,'BEA VABAS 2017'!$C$5:$PK$5,AU$63)/SUMIFS('BEA VABAS 2017'!$C$4:$PK$4,'BEA VABAS 2017'!$C$6:$PK$6,$A67)</f>
        <v/>
      </c>
      <c r="AV67">
        <f>SUMIFS('BEA VABAS 2017'!$C$4:$PK$4,'BEA VABAS 2017'!$C$6:$PK$6,$A67,'BEA VABAS 2017'!$C$5:$PK$5,AV$63)/SUMIFS('BEA VABAS 2017'!$C$4:$PK$4,'BEA VABAS 2017'!$C$6:$PK$6,$A67)</f>
        <v/>
      </c>
      <c r="AW67">
        <f>SUMIFS('BEA VABAS 2017'!$C$4:$PK$4,'BEA VABAS 2017'!$C$6:$PK$6,$A67,'BEA VABAS 2017'!$C$5:$PK$5,AW$63)/SUMIFS('BEA VABAS 2017'!$C$4:$PK$4,'BEA VABAS 2017'!$C$6:$PK$6,$A67)</f>
        <v/>
      </c>
      <c r="AX67">
        <f>SUMIFS('BEA VABAS 2017'!$C$4:$PK$4,'BEA VABAS 2017'!$C$6:$PK$6,$A67,'BEA VABAS 2017'!$C$5:$PK$5,AX$63)/SUMIFS('BEA VABAS 2017'!$C$4:$PK$4,'BEA VABAS 2017'!$C$6:$PK$6,$A67)</f>
        <v/>
      </c>
      <c r="AY67">
        <f>SUMIFS('BEA VABAS 2017'!$C$4:$PK$4,'BEA VABAS 2017'!$C$6:$PK$6,$A67,'BEA VABAS 2017'!$C$5:$PK$5,AY$63)/SUMIFS('BEA VABAS 2017'!$C$4:$PK$4,'BEA VABAS 2017'!$C$6:$PK$6,$A67)</f>
        <v/>
      </c>
      <c r="AZ67">
        <f>SUMIFS('BEA VABAS 2017'!$C$4:$PK$4,'BEA VABAS 2017'!$C$6:$PK$6,$A67,'BEA VABAS 2017'!$C$5:$PK$5,AZ$63)/SUMIFS('BEA VABAS 2017'!$C$4:$PK$4,'BEA VABAS 2017'!$C$6:$PK$6,$A67)</f>
        <v/>
      </c>
      <c r="BA67">
        <f>SUMIFS('BEA VABAS 2017'!$C$4:$PK$4,'BEA VABAS 2017'!$C$6:$PK$6,$A67,'BEA VABAS 2017'!$C$5:$PK$5,BA$63)/SUMIFS('BEA VABAS 2017'!$C$4:$PK$4,'BEA VABAS 2017'!$C$6:$PK$6,$A67)</f>
        <v/>
      </c>
      <c r="BB67">
        <f>SUMIFS('BEA VABAS 2017'!$C$4:$PK$4,'BEA VABAS 2017'!$C$6:$PK$6,$A67,'BEA VABAS 2017'!$C$5:$PK$5,BB$63)/SUMIFS('BEA VABAS 2017'!$C$4:$PK$4,'BEA VABAS 2017'!$C$6:$PK$6,$A67)</f>
        <v/>
      </c>
    </row>
    <row r="68">
      <c r="A68" t="inlineStr">
        <is>
          <t>Primary metals</t>
        </is>
      </c>
      <c r="B68">
        <f>INDEX($B$3:$B$60,MATCH($A68,$A$3:$A$60,0))</f>
        <v/>
      </c>
      <c r="C68">
        <f>SUMIFS('BEA VABAS 2017'!$C$4:$PK$4,'BEA VABAS 2017'!$C$6:$PK$6,$A68,'BEA VABAS 2017'!$C$5:$PK$5,C$63)/SUMIFS('BEA VABAS 2017'!$C$4:$PK$4,'BEA VABAS 2017'!$C$6:$PK$6,$A68)</f>
        <v/>
      </c>
      <c r="D68">
        <f>SUMIFS('BEA VABAS 2017'!$C$4:$PK$4,'BEA VABAS 2017'!$C$6:$PK$6,$A68,'BEA VABAS 2017'!$C$5:$PK$5,D$63)/SUMIFS('BEA VABAS 2017'!$C$4:$PK$4,'BEA VABAS 2017'!$C$6:$PK$6,$A68)</f>
        <v/>
      </c>
      <c r="E68">
        <f>SUMIFS('BEA VABAS 2017'!$C$4:$PK$4,'BEA VABAS 2017'!$C$6:$PK$6,$A68,'BEA VABAS 2017'!$C$5:$PK$5,E$63)/SUMIFS('BEA VABAS 2017'!$C$4:$PK$4,'BEA VABAS 2017'!$C$6:$PK$6,$A68)</f>
        <v/>
      </c>
      <c r="F68">
        <f>SUMIFS('BEA VABAS 2017'!$C$4:$PK$4,'BEA VABAS 2017'!$C$6:$PK$6,$A68,'BEA VABAS 2017'!$C$5:$PK$5,F$63)/SUMIFS('BEA VABAS 2017'!$C$4:$PK$4,'BEA VABAS 2017'!$C$6:$PK$6,$A68)</f>
        <v/>
      </c>
      <c r="G68">
        <f>SUMIFS('BEA VABAS 2017'!$C$4:$PK$4,'BEA VABAS 2017'!$C$6:$PK$6,$A68,'BEA VABAS 2017'!$C$5:$PK$5,G$63)/SUMIFS('BEA VABAS 2017'!$C$4:$PK$4,'BEA VABAS 2017'!$C$6:$PK$6,$A68)</f>
        <v/>
      </c>
      <c r="H68">
        <f>SUMIFS('BEA VABAS 2017'!$C$4:$PK$4,'BEA VABAS 2017'!$C$6:$PK$6,$A68,'BEA VABAS 2017'!$C$5:$PK$5,H$63)/SUMIFS('BEA VABAS 2017'!$C$4:$PK$4,'BEA VABAS 2017'!$C$6:$PK$6,$A68)</f>
        <v/>
      </c>
      <c r="I68">
        <f>SUMIFS('BEA VABAS 2017'!$C$4:$PK$4,'BEA VABAS 2017'!$C$6:$PK$6,$A68,'BEA VABAS 2017'!$C$5:$PK$5,I$63)/SUMIFS('BEA VABAS 2017'!$C$4:$PK$4,'BEA VABAS 2017'!$C$6:$PK$6,$A68)</f>
        <v/>
      </c>
      <c r="J68">
        <f>SUMIFS('BEA VABAS 2017'!$C$4:$PK$4,'BEA VABAS 2017'!$C$6:$PK$6,$A68,'BEA VABAS 2017'!$C$5:$PK$5,J$63)/SUMIFS('BEA VABAS 2017'!$C$4:$PK$4,'BEA VABAS 2017'!$C$6:$PK$6,$A68)</f>
        <v/>
      </c>
      <c r="K68">
        <f>SUMIFS('BEA VABAS 2017'!$C$4:$PK$4,'BEA VABAS 2017'!$C$6:$PK$6,$A68,'BEA VABAS 2017'!$C$5:$PK$5,K$63)/SUMIFS('BEA VABAS 2017'!$C$4:$PK$4,'BEA VABAS 2017'!$C$6:$PK$6,$A68)</f>
        <v/>
      </c>
      <c r="L68">
        <f>SUMIFS('BEA VABAS 2017'!$C$4:$PK$4,'BEA VABAS 2017'!$C$6:$PK$6,$A68,'BEA VABAS 2017'!$C$5:$PK$5,L$63)/SUMIFS('BEA VABAS 2017'!$C$4:$PK$4,'BEA VABAS 2017'!$C$6:$PK$6,$A68)</f>
        <v/>
      </c>
      <c r="M68">
        <f>SUMIFS('BEA VABAS 2017'!$C$4:$PK$4,'BEA VABAS 2017'!$C$6:$PK$6,$A68,'BEA VABAS 2017'!$C$5:$PK$5,M$63)/SUMIFS('BEA VABAS 2017'!$C$4:$PK$4,'BEA VABAS 2017'!$C$6:$PK$6,$A68)</f>
        <v/>
      </c>
      <c r="N68">
        <f>SUMIFS('BEA VABAS 2017'!$C$4:$PK$4,'BEA VABAS 2017'!$C$6:$PK$6,$A68,'BEA VABAS 2017'!$C$5:$PK$5,N$63)/SUMIFS('BEA VABAS 2017'!$C$4:$PK$4,'BEA VABAS 2017'!$C$6:$PK$6,$A68)</f>
        <v/>
      </c>
      <c r="O68">
        <f>SUMIFS('BEA VABAS 2017'!$C$4:$PK$4,'BEA VABAS 2017'!$C$6:$PK$6,$A68,'BEA VABAS 2017'!$C$5:$PK$5,O$63)/SUMIFS('BEA VABAS 2017'!$C$4:$PK$4,'BEA VABAS 2017'!$C$6:$PK$6,$A68)</f>
        <v/>
      </c>
      <c r="P68">
        <f>SUMIFS('BEA VABAS 2017'!$C$4:$PK$4,'BEA VABAS 2017'!$C$6:$PK$6,$A68,'BEA VABAS 2017'!$C$5:$PK$5,P$63)/SUMIFS('BEA VABAS 2017'!$C$4:$PK$4,'BEA VABAS 2017'!$C$6:$PK$6,$A68)</f>
        <v/>
      </c>
      <c r="Q68">
        <f>SUMIFS('BEA VABAS 2017'!$C$4:$PK$4,'BEA VABAS 2017'!$C$6:$PK$6,$A68,'BEA VABAS 2017'!$C$5:$PK$5,Q$63)/SUMIFS('BEA VABAS 2017'!$C$4:$PK$4,'BEA VABAS 2017'!$C$6:$PK$6,$A68)</f>
        <v/>
      </c>
      <c r="R68">
        <f>SUMIFS('BEA VABAS 2017'!$C$4:$PK$4,'BEA VABAS 2017'!$C$6:$PK$6,$A68,'BEA VABAS 2017'!$C$5:$PK$5,R$63)/SUMIFS('BEA VABAS 2017'!$C$4:$PK$4,'BEA VABAS 2017'!$C$6:$PK$6,$A68)</f>
        <v/>
      </c>
      <c r="S68">
        <f>SUMIFS('BEA VABAS 2017'!$C$4:$PK$4,'BEA VABAS 2017'!$C$6:$PK$6,$A68,'BEA VABAS 2017'!$C$5:$PK$5,S$63)/SUMIFS('BEA VABAS 2017'!$C$4:$PK$4,'BEA VABAS 2017'!$C$6:$PK$6,$A68)</f>
        <v/>
      </c>
      <c r="T68">
        <f>SUMIFS('BEA VABAS 2017'!$C$4:$PK$4,'BEA VABAS 2017'!$C$6:$PK$6,$A68,'BEA VABAS 2017'!$C$5:$PK$5,T$63)/SUMIFS('BEA VABAS 2017'!$C$4:$PK$4,'BEA VABAS 2017'!$C$6:$PK$6,$A68)</f>
        <v/>
      </c>
      <c r="U68">
        <f>SUMIFS('BEA VABAS 2017'!$C$4:$PK$4,'BEA VABAS 2017'!$C$6:$PK$6,$A68,'BEA VABAS 2017'!$C$5:$PK$5,U$63)/SUMIFS('BEA VABAS 2017'!$C$4:$PK$4,'BEA VABAS 2017'!$C$6:$PK$6,$A68)</f>
        <v/>
      </c>
      <c r="V68">
        <f>SUMIFS('BEA VABAS 2017'!$C$4:$PK$4,'BEA VABAS 2017'!$C$6:$PK$6,$A68,'BEA VABAS 2017'!$C$5:$PK$5,V$63)/SUMIFS('BEA VABAS 2017'!$C$4:$PK$4,'BEA VABAS 2017'!$C$6:$PK$6,$A68)</f>
        <v/>
      </c>
      <c r="W68">
        <f>SUMIFS('BEA VABAS 2017'!$C$4:$PK$4,'BEA VABAS 2017'!$C$6:$PK$6,$A68,'BEA VABAS 2017'!$C$5:$PK$5,W$63)/SUMIFS('BEA VABAS 2017'!$C$4:$PK$4,'BEA VABAS 2017'!$C$6:$PK$6,$A68)</f>
        <v/>
      </c>
      <c r="X68">
        <f>SUMIFS('BEA VABAS 2017'!$C$4:$PK$4,'BEA VABAS 2017'!$C$6:$PK$6,$A68,'BEA VABAS 2017'!$C$5:$PK$5,X$63)/SUMIFS('BEA VABAS 2017'!$C$4:$PK$4,'BEA VABAS 2017'!$C$6:$PK$6,$A68)</f>
        <v/>
      </c>
      <c r="Y68">
        <f>SUMIFS('BEA VABAS 2017'!$C$4:$PK$4,'BEA VABAS 2017'!$C$6:$PK$6,$A68,'BEA VABAS 2017'!$C$5:$PK$5,Y$63)/SUMIFS('BEA VABAS 2017'!$C$4:$PK$4,'BEA VABAS 2017'!$C$6:$PK$6,$A68)</f>
        <v/>
      </c>
      <c r="Z68">
        <f>SUMIFS('BEA VABAS 2017'!$C$4:$PK$4,'BEA VABAS 2017'!$C$6:$PK$6,$A68,'BEA VABAS 2017'!$C$5:$PK$5,Z$63)/SUMIFS('BEA VABAS 2017'!$C$4:$PK$4,'BEA VABAS 2017'!$C$6:$PK$6,$A68)</f>
        <v/>
      </c>
      <c r="AA68">
        <f>SUMIFS('BEA VABAS 2017'!$C$4:$PK$4,'BEA VABAS 2017'!$C$6:$PK$6,$A68,'BEA VABAS 2017'!$C$5:$PK$5,AA$63)/SUMIFS('BEA VABAS 2017'!$C$4:$PK$4,'BEA VABAS 2017'!$C$6:$PK$6,$A68)</f>
        <v/>
      </c>
      <c r="AB68">
        <f>SUMIFS('BEA VABAS 2017'!$C$4:$PK$4,'BEA VABAS 2017'!$C$6:$PK$6,$A68,'BEA VABAS 2017'!$C$5:$PK$5,AB$63)/SUMIFS('BEA VABAS 2017'!$C$4:$PK$4,'BEA VABAS 2017'!$C$6:$PK$6,$A68)</f>
        <v/>
      </c>
      <c r="AC68">
        <f>SUMIFS('BEA VABAS 2017'!$C$4:$PK$4,'BEA VABAS 2017'!$C$6:$PK$6,$A68,'BEA VABAS 2017'!$C$5:$PK$5,AC$63)/SUMIFS('BEA VABAS 2017'!$C$4:$PK$4,'BEA VABAS 2017'!$C$6:$PK$6,$A68)</f>
        <v/>
      </c>
      <c r="AD68">
        <f>SUMIFS('BEA VABAS 2017'!$C$4:$PK$4,'BEA VABAS 2017'!$C$6:$PK$6,$A68,'BEA VABAS 2017'!$C$5:$PK$5,AD$63)/SUMIFS('BEA VABAS 2017'!$C$4:$PK$4,'BEA VABAS 2017'!$C$6:$PK$6,$A68)</f>
        <v/>
      </c>
      <c r="AE68">
        <f>SUMIFS('BEA VABAS 2017'!$C$4:$PK$4,'BEA VABAS 2017'!$C$6:$PK$6,$A68,'BEA VABAS 2017'!$C$5:$PK$5,AE$63)/SUMIFS('BEA VABAS 2017'!$C$4:$PK$4,'BEA VABAS 2017'!$C$6:$PK$6,$A68)</f>
        <v/>
      </c>
      <c r="AF68">
        <f>SUMIFS('BEA VABAS 2017'!$C$4:$PK$4,'BEA VABAS 2017'!$C$6:$PK$6,$A68,'BEA VABAS 2017'!$C$5:$PK$5,AF$63)/SUMIFS('BEA VABAS 2017'!$C$4:$PK$4,'BEA VABAS 2017'!$C$6:$PK$6,$A68)</f>
        <v/>
      </c>
      <c r="AG68">
        <f>SUMIFS('BEA VABAS 2017'!$C$4:$PK$4,'BEA VABAS 2017'!$C$6:$PK$6,$A68,'BEA VABAS 2017'!$C$5:$PK$5,AG$63)/SUMIFS('BEA VABAS 2017'!$C$4:$PK$4,'BEA VABAS 2017'!$C$6:$PK$6,$A68)</f>
        <v/>
      </c>
      <c r="AH68">
        <f>SUMIFS('BEA VABAS 2017'!$C$4:$PK$4,'BEA VABAS 2017'!$C$6:$PK$6,$A68,'BEA VABAS 2017'!$C$5:$PK$5,AH$63)/SUMIFS('BEA VABAS 2017'!$C$4:$PK$4,'BEA VABAS 2017'!$C$6:$PK$6,$A68)</f>
        <v/>
      </c>
      <c r="AI68">
        <f>SUMIFS('BEA VABAS 2017'!$C$4:$PK$4,'BEA VABAS 2017'!$C$6:$PK$6,$A68,'BEA VABAS 2017'!$C$5:$PK$5,AI$63)/SUMIFS('BEA VABAS 2017'!$C$4:$PK$4,'BEA VABAS 2017'!$C$6:$PK$6,$A68)</f>
        <v/>
      </c>
      <c r="AJ68">
        <f>SUMIFS('BEA VABAS 2017'!$C$4:$PK$4,'BEA VABAS 2017'!$C$6:$PK$6,$A68,'BEA VABAS 2017'!$C$5:$PK$5,AJ$63)/SUMIFS('BEA VABAS 2017'!$C$4:$PK$4,'BEA VABAS 2017'!$C$6:$PK$6,$A68)</f>
        <v/>
      </c>
      <c r="AK68">
        <f>SUMIFS('BEA VABAS 2017'!$C$4:$PK$4,'BEA VABAS 2017'!$C$6:$PK$6,$A68,'BEA VABAS 2017'!$C$5:$PK$5,AK$63)/SUMIFS('BEA VABAS 2017'!$C$4:$PK$4,'BEA VABAS 2017'!$C$6:$PK$6,$A68)</f>
        <v/>
      </c>
      <c r="AL68">
        <f>SUMIFS('BEA VABAS 2017'!$C$4:$PK$4,'BEA VABAS 2017'!$C$6:$PK$6,$A68,'BEA VABAS 2017'!$C$5:$PK$5,AL$63)/SUMIFS('BEA VABAS 2017'!$C$4:$PK$4,'BEA VABAS 2017'!$C$6:$PK$6,$A68)</f>
        <v/>
      </c>
      <c r="AM68">
        <f>SUMIFS('BEA VABAS 2017'!$C$4:$PK$4,'BEA VABAS 2017'!$C$6:$PK$6,$A68,'BEA VABAS 2017'!$C$5:$PK$5,AM$63)/SUMIFS('BEA VABAS 2017'!$C$4:$PK$4,'BEA VABAS 2017'!$C$6:$PK$6,$A68)</f>
        <v/>
      </c>
      <c r="AN68">
        <f>SUMIFS('BEA VABAS 2017'!$C$4:$PK$4,'BEA VABAS 2017'!$C$6:$PK$6,$A68,'BEA VABAS 2017'!$C$5:$PK$5,AN$63)/SUMIFS('BEA VABAS 2017'!$C$4:$PK$4,'BEA VABAS 2017'!$C$6:$PK$6,$A68)</f>
        <v/>
      </c>
      <c r="AO68">
        <f>SUMIFS('BEA VABAS 2017'!$C$4:$PK$4,'BEA VABAS 2017'!$C$6:$PK$6,$A68,'BEA VABAS 2017'!$C$5:$PK$5,AO$63)/SUMIFS('BEA VABAS 2017'!$C$4:$PK$4,'BEA VABAS 2017'!$C$6:$PK$6,$A68)</f>
        <v/>
      </c>
      <c r="AP68">
        <f>SUMIFS('BEA VABAS 2017'!$C$4:$PK$4,'BEA VABAS 2017'!$C$6:$PK$6,$A68,'BEA VABAS 2017'!$C$5:$PK$5,AP$63)/SUMIFS('BEA VABAS 2017'!$C$4:$PK$4,'BEA VABAS 2017'!$C$6:$PK$6,$A68)</f>
        <v/>
      </c>
      <c r="AQ68">
        <f>SUMIFS('BEA VABAS 2017'!$C$4:$PK$4,'BEA VABAS 2017'!$C$6:$PK$6,$A68,'BEA VABAS 2017'!$C$5:$PK$5,AQ$63)/SUMIFS('BEA VABAS 2017'!$C$4:$PK$4,'BEA VABAS 2017'!$C$6:$PK$6,$A68)</f>
        <v/>
      </c>
      <c r="AR68">
        <f>SUMIFS('BEA VABAS 2017'!$C$4:$PK$4,'BEA VABAS 2017'!$C$6:$PK$6,$A68,'BEA VABAS 2017'!$C$5:$PK$5,AR$63)/SUMIFS('BEA VABAS 2017'!$C$4:$PK$4,'BEA VABAS 2017'!$C$6:$PK$6,$A68)</f>
        <v/>
      </c>
      <c r="AS68">
        <f>SUMIFS('BEA VABAS 2017'!$C$4:$PK$4,'BEA VABAS 2017'!$C$6:$PK$6,$A68,'BEA VABAS 2017'!$C$5:$PK$5,AS$63)/SUMIFS('BEA VABAS 2017'!$C$4:$PK$4,'BEA VABAS 2017'!$C$6:$PK$6,$A68)</f>
        <v/>
      </c>
      <c r="AT68">
        <f>SUMIFS('BEA VABAS 2017'!$C$4:$PK$4,'BEA VABAS 2017'!$C$6:$PK$6,$A68,'BEA VABAS 2017'!$C$5:$PK$5,AT$63)/SUMIFS('BEA VABAS 2017'!$C$4:$PK$4,'BEA VABAS 2017'!$C$6:$PK$6,$A68)</f>
        <v/>
      </c>
      <c r="AU68">
        <f>SUMIFS('BEA VABAS 2017'!$C$4:$PK$4,'BEA VABAS 2017'!$C$6:$PK$6,$A68,'BEA VABAS 2017'!$C$5:$PK$5,AU$63)/SUMIFS('BEA VABAS 2017'!$C$4:$PK$4,'BEA VABAS 2017'!$C$6:$PK$6,$A68)</f>
        <v/>
      </c>
      <c r="AV68">
        <f>SUMIFS('BEA VABAS 2017'!$C$4:$PK$4,'BEA VABAS 2017'!$C$6:$PK$6,$A68,'BEA VABAS 2017'!$C$5:$PK$5,AV$63)/SUMIFS('BEA VABAS 2017'!$C$4:$PK$4,'BEA VABAS 2017'!$C$6:$PK$6,$A68)</f>
        <v/>
      </c>
      <c r="AW68">
        <f>SUMIFS('BEA VABAS 2017'!$C$4:$PK$4,'BEA VABAS 2017'!$C$6:$PK$6,$A68,'BEA VABAS 2017'!$C$5:$PK$5,AW$63)/SUMIFS('BEA VABAS 2017'!$C$4:$PK$4,'BEA VABAS 2017'!$C$6:$PK$6,$A68)</f>
        <v/>
      </c>
      <c r="AX68">
        <f>SUMIFS('BEA VABAS 2017'!$C$4:$PK$4,'BEA VABAS 2017'!$C$6:$PK$6,$A68,'BEA VABAS 2017'!$C$5:$PK$5,AX$63)/SUMIFS('BEA VABAS 2017'!$C$4:$PK$4,'BEA VABAS 2017'!$C$6:$PK$6,$A68)</f>
        <v/>
      </c>
      <c r="AY68">
        <f>SUMIFS('BEA VABAS 2017'!$C$4:$PK$4,'BEA VABAS 2017'!$C$6:$PK$6,$A68,'BEA VABAS 2017'!$C$5:$PK$5,AY$63)/SUMIFS('BEA VABAS 2017'!$C$4:$PK$4,'BEA VABAS 2017'!$C$6:$PK$6,$A68)</f>
        <v/>
      </c>
      <c r="AZ68">
        <f>SUMIFS('BEA VABAS 2017'!$C$4:$PK$4,'BEA VABAS 2017'!$C$6:$PK$6,$A68,'BEA VABAS 2017'!$C$5:$PK$5,AZ$63)/SUMIFS('BEA VABAS 2017'!$C$4:$PK$4,'BEA VABAS 2017'!$C$6:$PK$6,$A68)</f>
        <v/>
      </c>
      <c r="BA68">
        <f>SUMIFS('BEA VABAS 2017'!$C$4:$PK$4,'BEA VABAS 2017'!$C$6:$PK$6,$A68,'BEA VABAS 2017'!$C$5:$PK$5,BA$63)/SUMIFS('BEA VABAS 2017'!$C$4:$PK$4,'BEA VABAS 2017'!$C$6:$PK$6,$A68)</f>
        <v/>
      </c>
      <c r="BB68">
        <f>SUMIFS('BEA VABAS 2017'!$C$4:$PK$4,'BEA VABAS 2017'!$C$6:$PK$6,$A68,'BEA VABAS 2017'!$C$5:$PK$5,BB$63)/SUMIFS('BEA VABAS 2017'!$C$4:$PK$4,'BEA VABAS 2017'!$C$6:$PK$6,$A68)</f>
        <v/>
      </c>
    </row>
    <row r="69">
      <c r="A69" t="inlineStr">
        <is>
          <t>Chemical products</t>
        </is>
      </c>
      <c r="B69">
        <f>INDEX($B$3:$B$60,MATCH($A69,$A$3:$A$60,0))</f>
        <v/>
      </c>
      <c r="C69">
        <f>SUMIFS('BEA VABAS 2017'!$C$4:$PK$4,'BEA VABAS 2017'!$C$6:$PK$6,$A69,'BEA VABAS 2017'!$C$5:$PK$5,C$63)/SUMIFS('BEA VABAS 2017'!$C$4:$PK$4,'BEA VABAS 2017'!$C$6:$PK$6,$A69)</f>
        <v/>
      </c>
      <c r="D69">
        <f>SUMIFS('BEA VABAS 2017'!$C$4:$PK$4,'BEA VABAS 2017'!$C$6:$PK$6,$A69,'BEA VABAS 2017'!$C$5:$PK$5,D$63)/SUMIFS('BEA VABAS 2017'!$C$4:$PK$4,'BEA VABAS 2017'!$C$6:$PK$6,$A69)</f>
        <v/>
      </c>
      <c r="E69">
        <f>SUMIFS('BEA VABAS 2017'!$C$4:$PK$4,'BEA VABAS 2017'!$C$6:$PK$6,$A69,'BEA VABAS 2017'!$C$5:$PK$5,E$63)/SUMIFS('BEA VABAS 2017'!$C$4:$PK$4,'BEA VABAS 2017'!$C$6:$PK$6,$A69)</f>
        <v/>
      </c>
      <c r="F69">
        <f>SUMIFS('BEA VABAS 2017'!$C$4:$PK$4,'BEA VABAS 2017'!$C$6:$PK$6,$A69,'BEA VABAS 2017'!$C$5:$PK$5,F$63)/SUMIFS('BEA VABAS 2017'!$C$4:$PK$4,'BEA VABAS 2017'!$C$6:$PK$6,$A69)</f>
        <v/>
      </c>
      <c r="G69">
        <f>SUMIFS('BEA VABAS 2017'!$C$4:$PK$4,'BEA VABAS 2017'!$C$6:$PK$6,$A69,'BEA VABAS 2017'!$C$5:$PK$5,G$63)/SUMIFS('BEA VABAS 2017'!$C$4:$PK$4,'BEA VABAS 2017'!$C$6:$PK$6,$A69)</f>
        <v/>
      </c>
      <c r="H69">
        <f>SUMIFS('BEA VABAS 2017'!$C$4:$PK$4,'BEA VABAS 2017'!$C$6:$PK$6,$A69,'BEA VABAS 2017'!$C$5:$PK$5,H$63)/SUMIFS('BEA VABAS 2017'!$C$4:$PK$4,'BEA VABAS 2017'!$C$6:$PK$6,$A69)</f>
        <v/>
      </c>
      <c r="I69">
        <f>SUMIFS('BEA VABAS 2017'!$C$4:$PK$4,'BEA VABAS 2017'!$C$6:$PK$6,$A69,'BEA VABAS 2017'!$C$5:$PK$5,I$63)/SUMIFS('BEA VABAS 2017'!$C$4:$PK$4,'BEA VABAS 2017'!$C$6:$PK$6,$A69)</f>
        <v/>
      </c>
      <c r="J69">
        <f>SUMIFS('BEA VABAS 2017'!$C$4:$PK$4,'BEA VABAS 2017'!$C$6:$PK$6,$A69,'BEA VABAS 2017'!$C$5:$PK$5,J$63)/SUMIFS('BEA VABAS 2017'!$C$4:$PK$4,'BEA VABAS 2017'!$C$6:$PK$6,$A69)</f>
        <v/>
      </c>
      <c r="K69">
        <f>SUMIFS('BEA VABAS 2017'!$C$4:$PK$4,'BEA VABAS 2017'!$C$6:$PK$6,$A69,'BEA VABAS 2017'!$C$5:$PK$5,K$63)/SUMIFS('BEA VABAS 2017'!$C$4:$PK$4,'BEA VABAS 2017'!$C$6:$PK$6,$A69)</f>
        <v/>
      </c>
      <c r="L69">
        <f>SUMIFS('BEA VABAS 2017'!$C$4:$PK$4,'BEA VABAS 2017'!$C$6:$PK$6,$A69,'BEA VABAS 2017'!$C$5:$PK$5,L$63)/SUMIFS('BEA VABAS 2017'!$C$4:$PK$4,'BEA VABAS 2017'!$C$6:$PK$6,$A69)</f>
        <v/>
      </c>
      <c r="M69">
        <f>SUMIFS('BEA VABAS 2017'!$C$4:$PK$4,'BEA VABAS 2017'!$C$6:$PK$6,$A69,'BEA VABAS 2017'!$C$5:$PK$5,M$63)/SUMIFS('BEA VABAS 2017'!$C$4:$PK$4,'BEA VABAS 2017'!$C$6:$PK$6,$A69)</f>
        <v/>
      </c>
      <c r="N69">
        <f>SUMIFS('BEA VABAS 2017'!$C$4:$PK$4,'BEA VABAS 2017'!$C$6:$PK$6,$A69,'BEA VABAS 2017'!$C$5:$PK$5,N$63)/SUMIFS('BEA VABAS 2017'!$C$4:$PK$4,'BEA VABAS 2017'!$C$6:$PK$6,$A69)</f>
        <v/>
      </c>
      <c r="O69">
        <f>SUMIFS('BEA VABAS 2017'!$C$4:$PK$4,'BEA VABAS 2017'!$C$6:$PK$6,$A69,'BEA VABAS 2017'!$C$5:$PK$5,O$63)/SUMIFS('BEA VABAS 2017'!$C$4:$PK$4,'BEA VABAS 2017'!$C$6:$PK$6,$A69)</f>
        <v/>
      </c>
      <c r="P69">
        <f>SUMIFS('BEA VABAS 2017'!$C$4:$PK$4,'BEA VABAS 2017'!$C$6:$PK$6,$A69,'BEA VABAS 2017'!$C$5:$PK$5,P$63)/SUMIFS('BEA VABAS 2017'!$C$4:$PK$4,'BEA VABAS 2017'!$C$6:$PK$6,$A69)</f>
        <v/>
      </c>
      <c r="Q69">
        <f>SUMIFS('BEA VABAS 2017'!$C$4:$PK$4,'BEA VABAS 2017'!$C$6:$PK$6,$A69,'BEA VABAS 2017'!$C$5:$PK$5,Q$63)/SUMIFS('BEA VABAS 2017'!$C$4:$PK$4,'BEA VABAS 2017'!$C$6:$PK$6,$A69)</f>
        <v/>
      </c>
      <c r="R69">
        <f>SUMIFS('BEA VABAS 2017'!$C$4:$PK$4,'BEA VABAS 2017'!$C$6:$PK$6,$A69,'BEA VABAS 2017'!$C$5:$PK$5,R$63)/SUMIFS('BEA VABAS 2017'!$C$4:$PK$4,'BEA VABAS 2017'!$C$6:$PK$6,$A69)</f>
        <v/>
      </c>
      <c r="S69">
        <f>SUMIFS('BEA VABAS 2017'!$C$4:$PK$4,'BEA VABAS 2017'!$C$6:$PK$6,$A69,'BEA VABAS 2017'!$C$5:$PK$5,S$63)/SUMIFS('BEA VABAS 2017'!$C$4:$PK$4,'BEA VABAS 2017'!$C$6:$PK$6,$A69)</f>
        <v/>
      </c>
      <c r="T69">
        <f>SUMIFS('BEA VABAS 2017'!$C$4:$PK$4,'BEA VABAS 2017'!$C$6:$PK$6,$A69,'BEA VABAS 2017'!$C$5:$PK$5,T$63)/SUMIFS('BEA VABAS 2017'!$C$4:$PK$4,'BEA VABAS 2017'!$C$6:$PK$6,$A69)</f>
        <v/>
      </c>
      <c r="U69">
        <f>SUMIFS('BEA VABAS 2017'!$C$4:$PK$4,'BEA VABAS 2017'!$C$6:$PK$6,$A69,'BEA VABAS 2017'!$C$5:$PK$5,U$63)/SUMIFS('BEA VABAS 2017'!$C$4:$PK$4,'BEA VABAS 2017'!$C$6:$PK$6,$A69)</f>
        <v/>
      </c>
      <c r="V69">
        <f>SUMIFS('BEA VABAS 2017'!$C$4:$PK$4,'BEA VABAS 2017'!$C$6:$PK$6,$A69,'BEA VABAS 2017'!$C$5:$PK$5,V$63)/SUMIFS('BEA VABAS 2017'!$C$4:$PK$4,'BEA VABAS 2017'!$C$6:$PK$6,$A69)</f>
        <v/>
      </c>
      <c r="W69">
        <f>SUMIFS('BEA VABAS 2017'!$C$4:$PK$4,'BEA VABAS 2017'!$C$6:$PK$6,$A69,'BEA VABAS 2017'!$C$5:$PK$5,W$63)/SUMIFS('BEA VABAS 2017'!$C$4:$PK$4,'BEA VABAS 2017'!$C$6:$PK$6,$A69)</f>
        <v/>
      </c>
      <c r="X69">
        <f>SUMIFS('BEA VABAS 2017'!$C$4:$PK$4,'BEA VABAS 2017'!$C$6:$PK$6,$A69,'BEA VABAS 2017'!$C$5:$PK$5,X$63)/SUMIFS('BEA VABAS 2017'!$C$4:$PK$4,'BEA VABAS 2017'!$C$6:$PK$6,$A69)</f>
        <v/>
      </c>
      <c r="Y69">
        <f>SUMIFS('BEA VABAS 2017'!$C$4:$PK$4,'BEA VABAS 2017'!$C$6:$PK$6,$A69,'BEA VABAS 2017'!$C$5:$PK$5,Y$63)/SUMIFS('BEA VABAS 2017'!$C$4:$PK$4,'BEA VABAS 2017'!$C$6:$PK$6,$A69)</f>
        <v/>
      </c>
      <c r="Z69">
        <f>SUMIFS('BEA VABAS 2017'!$C$4:$PK$4,'BEA VABAS 2017'!$C$6:$PK$6,$A69,'BEA VABAS 2017'!$C$5:$PK$5,Z$63)/SUMIFS('BEA VABAS 2017'!$C$4:$PK$4,'BEA VABAS 2017'!$C$6:$PK$6,$A69)</f>
        <v/>
      </c>
      <c r="AA69">
        <f>SUMIFS('BEA VABAS 2017'!$C$4:$PK$4,'BEA VABAS 2017'!$C$6:$PK$6,$A69,'BEA VABAS 2017'!$C$5:$PK$5,AA$63)/SUMIFS('BEA VABAS 2017'!$C$4:$PK$4,'BEA VABAS 2017'!$C$6:$PK$6,$A69)</f>
        <v/>
      </c>
      <c r="AB69">
        <f>SUMIFS('BEA VABAS 2017'!$C$4:$PK$4,'BEA VABAS 2017'!$C$6:$PK$6,$A69,'BEA VABAS 2017'!$C$5:$PK$5,AB$63)/SUMIFS('BEA VABAS 2017'!$C$4:$PK$4,'BEA VABAS 2017'!$C$6:$PK$6,$A69)</f>
        <v/>
      </c>
      <c r="AC69">
        <f>SUMIFS('BEA VABAS 2017'!$C$4:$PK$4,'BEA VABAS 2017'!$C$6:$PK$6,$A69,'BEA VABAS 2017'!$C$5:$PK$5,AC$63)/SUMIFS('BEA VABAS 2017'!$C$4:$PK$4,'BEA VABAS 2017'!$C$6:$PK$6,$A69)</f>
        <v/>
      </c>
      <c r="AD69">
        <f>SUMIFS('BEA VABAS 2017'!$C$4:$PK$4,'BEA VABAS 2017'!$C$6:$PK$6,$A69,'BEA VABAS 2017'!$C$5:$PK$5,AD$63)/SUMIFS('BEA VABAS 2017'!$C$4:$PK$4,'BEA VABAS 2017'!$C$6:$PK$6,$A69)</f>
        <v/>
      </c>
      <c r="AE69">
        <f>SUMIFS('BEA VABAS 2017'!$C$4:$PK$4,'BEA VABAS 2017'!$C$6:$PK$6,$A69,'BEA VABAS 2017'!$C$5:$PK$5,AE$63)/SUMIFS('BEA VABAS 2017'!$C$4:$PK$4,'BEA VABAS 2017'!$C$6:$PK$6,$A69)</f>
        <v/>
      </c>
      <c r="AF69">
        <f>SUMIFS('BEA VABAS 2017'!$C$4:$PK$4,'BEA VABAS 2017'!$C$6:$PK$6,$A69,'BEA VABAS 2017'!$C$5:$PK$5,AF$63)/SUMIFS('BEA VABAS 2017'!$C$4:$PK$4,'BEA VABAS 2017'!$C$6:$PK$6,$A69)</f>
        <v/>
      </c>
      <c r="AG69">
        <f>SUMIFS('BEA VABAS 2017'!$C$4:$PK$4,'BEA VABAS 2017'!$C$6:$PK$6,$A69,'BEA VABAS 2017'!$C$5:$PK$5,AG$63)/SUMIFS('BEA VABAS 2017'!$C$4:$PK$4,'BEA VABAS 2017'!$C$6:$PK$6,$A69)</f>
        <v/>
      </c>
      <c r="AH69">
        <f>SUMIFS('BEA VABAS 2017'!$C$4:$PK$4,'BEA VABAS 2017'!$C$6:$PK$6,$A69,'BEA VABAS 2017'!$C$5:$PK$5,AH$63)/SUMIFS('BEA VABAS 2017'!$C$4:$PK$4,'BEA VABAS 2017'!$C$6:$PK$6,$A69)</f>
        <v/>
      </c>
      <c r="AI69">
        <f>SUMIFS('BEA VABAS 2017'!$C$4:$PK$4,'BEA VABAS 2017'!$C$6:$PK$6,$A69,'BEA VABAS 2017'!$C$5:$PK$5,AI$63)/SUMIFS('BEA VABAS 2017'!$C$4:$PK$4,'BEA VABAS 2017'!$C$6:$PK$6,$A69)</f>
        <v/>
      </c>
      <c r="AJ69">
        <f>SUMIFS('BEA VABAS 2017'!$C$4:$PK$4,'BEA VABAS 2017'!$C$6:$PK$6,$A69,'BEA VABAS 2017'!$C$5:$PK$5,AJ$63)/SUMIFS('BEA VABAS 2017'!$C$4:$PK$4,'BEA VABAS 2017'!$C$6:$PK$6,$A69)</f>
        <v/>
      </c>
      <c r="AK69">
        <f>SUMIFS('BEA VABAS 2017'!$C$4:$PK$4,'BEA VABAS 2017'!$C$6:$PK$6,$A69,'BEA VABAS 2017'!$C$5:$PK$5,AK$63)/SUMIFS('BEA VABAS 2017'!$C$4:$PK$4,'BEA VABAS 2017'!$C$6:$PK$6,$A69)</f>
        <v/>
      </c>
      <c r="AL69">
        <f>SUMIFS('BEA VABAS 2017'!$C$4:$PK$4,'BEA VABAS 2017'!$C$6:$PK$6,$A69,'BEA VABAS 2017'!$C$5:$PK$5,AL$63)/SUMIFS('BEA VABAS 2017'!$C$4:$PK$4,'BEA VABAS 2017'!$C$6:$PK$6,$A69)</f>
        <v/>
      </c>
      <c r="AM69">
        <f>SUMIFS('BEA VABAS 2017'!$C$4:$PK$4,'BEA VABAS 2017'!$C$6:$PK$6,$A69,'BEA VABAS 2017'!$C$5:$PK$5,AM$63)/SUMIFS('BEA VABAS 2017'!$C$4:$PK$4,'BEA VABAS 2017'!$C$6:$PK$6,$A69)</f>
        <v/>
      </c>
      <c r="AN69">
        <f>SUMIFS('BEA VABAS 2017'!$C$4:$PK$4,'BEA VABAS 2017'!$C$6:$PK$6,$A69,'BEA VABAS 2017'!$C$5:$PK$5,AN$63)/SUMIFS('BEA VABAS 2017'!$C$4:$PK$4,'BEA VABAS 2017'!$C$6:$PK$6,$A69)</f>
        <v/>
      </c>
      <c r="AO69">
        <f>SUMIFS('BEA VABAS 2017'!$C$4:$PK$4,'BEA VABAS 2017'!$C$6:$PK$6,$A69,'BEA VABAS 2017'!$C$5:$PK$5,AO$63)/SUMIFS('BEA VABAS 2017'!$C$4:$PK$4,'BEA VABAS 2017'!$C$6:$PK$6,$A69)</f>
        <v/>
      </c>
      <c r="AP69">
        <f>SUMIFS('BEA VABAS 2017'!$C$4:$PK$4,'BEA VABAS 2017'!$C$6:$PK$6,$A69,'BEA VABAS 2017'!$C$5:$PK$5,AP$63)/SUMIFS('BEA VABAS 2017'!$C$4:$PK$4,'BEA VABAS 2017'!$C$6:$PK$6,$A69)</f>
        <v/>
      </c>
      <c r="AQ69">
        <f>SUMIFS('BEA VABAS 2017'!$C$4:$PK$4,'BEA VABAS 2017'!$C$6:$PK$6,$A69,'BEA VABAS 2017'!$C$5:$PK$5,AQ$63)/SUMIFS('BEA VABAS 2017'!$C$4:$PK$4,'BEA VABAS 2017'!$C$6:$PK$6,$A69)</f>
        <v/>
      </c>
      <c r="AR69">
        <f>SUMIFS('BEA VABAS 2017'!$C$4:$PK$4,'BEA VABAS 2017'!$C$6:$PK$6,$A69,'BEA VABAS 2017'!$C$5:$PK$5,AR$63)/SUMIFS('BEA VABAS 2017'!$C$4:$PK$4,'BEA VABAS 2017'!$C$6:$PK$6,$A69)</f>
        <v/>
      </c>
      <c r="AS69">
        <f>SUMIFS('BEA VABAS 2017'!$C$4:$PK$4,'BEA VABAS 2017'!$C$6:$PK$6,$A69,'BEA VABAS 2017'!$C$5:$PK$5,AS$63)/SUMIFS('BEA VABAS 2017'!$C$4:$PK$4,'BEA VABAS 2017'!$C$6:$PK$6,$A69)</f>
        <v/>
      </c>
      <c r="AT69">
        <f>SUMIFS('BEA VABAS 2017'!$C$4:$PK$4,'BEA VABAS 2017'!$C$6:$PK$6,$A69,'BEA VABAS 2017'!$C$5:$PK$5,AT$63)/SUMIFS('BEA VABAS 2017'!$C$4:$PK$4,'BEA VABAS 2017'!$C$6:$PK$6,$A69)</f>
        <v/>
      </c>
      <c r="AU69">
        <f>SUMIFS('BEA VABAS 2017'!$C$4:$PK$4,'BEA VABAS 2017'!$C$6:$PK$6,$A69,'BEA VABAS 2017'!$C$5:$PK$5,AU$63)/SUMIFS('BEA VABAS 2017'!$C$4:$PK$4,'BEA VABAS 2017'!$C$6:$PK$6,$A69)</f>
        <v/>
      </c>
      <c r="AV69">
        <f>SUMIFS('BEA VABAS 2017'!$C$4:$PK$4,'BEA VABAS 2017'!$C$6:$PK$6,$A69,'BEA VABAS 2017'!$C$5:$PK$5,AV$63)/SUMIFS('BEA VABAS 2017'!$C$4:$PK$4,'BEA VABAS 2017'!$C$6:$PK$6,$A69)</f>
        <v/>
      </c>
      <c r="AW69">
        <f>SUMIFS('BEA VABAS 2017'!$C$4:$PK$4,'BEA VABAS 2017'!$C$6:$PK$6,$A69,'BEA VABAS 2017'!$C$5:$PK$5,AW$63)/SUMIFS('BEA VABAS 2017'!$C$4:$PK$4,'BEA VABAS 2017'!$C$6:$PK$6,$A69)</f>
        <v/>
      </c>
      <c r="AX69">
        <f>SUMIFS('BEA VABAS 2017'!$C$4:$PK$4,'BEA VABAS 2017'!$C$6:$PK$6,$A69,'BEA VABAS 2017'!$C$5:$PK$5,AX$63)/SUMIFS('BEA VABAS 2017'!$C$4:$PK$4,'BEA VABAS 2017'!$C$6:$PK$6,$A69)</f>
        <v/>
      </c>
      <c r="AY69">
        <f>SUMIFS('BEA VABAS 2017'!$C$4:$PK$4,'BEA VABAS 2017'!$C$6:$PK$6,$A69,'BEA VABAS 2017'!$C$5:$PK$5,AY$63)/SUMIFS('BEA VABAS 2017'!$C$4:$PK$4,'BEA VABAS 2017'!$C$6:$PK$6,$A69)</f>
        <v/>
      </c>
      <c r="AZ69">
        <f>SUMIFS('BEA VABAS 2017'!$C$4:$PK$4,'BEA VABAS 2017'!$C$6:$PK$6,$A69,'BEA VABAS 2017'!$C$5:$PK$5,AZ$63)/SUMIFS('BEA VABAS 2017'!$C$4:$PK$4,'BEA VABAS 2017'!$C$6:$PK$6,$A69)</f>
        <v/>
      </c>
      <c r="BA69">
        <f>SUMIFS('BEA VABAS 2017'!$C$4:$PK$4,'BEA VABAS 2017'!$C$6:$PK$6,$A69,'BEA VABAS 2017'!$C$5:$PK$5,BA$63)/SUMIFS('BEA VABAS 2017'!$C$4:$PK$4,'BEA VABAS 2017'!$C$6:$PK$6,$A69)</f>
        <v/>
      </c>
      <c r="BB69">
        <f>SUMIFS('BEA VABAS 2017'!$C$4:$PK$4,'BEA VABAS 2017'!$C$6:$PK$6,$A69,'BEA VABAS 2017'!$C$5:$PK$5,BB$63)/SUMIFS('BEA VABAS 2017'!$C$4:$PK$4,'BEA VABAS 2017'!$C$6:$PK$6,$A69)</f>
        <v/>
      </c>
    </row>
    <row r="70">
      <c r="A70" t="inlineStr">
        <is>
          <t>Other transportation equipment</t>
        </is>
      </c>
      <c r="B70">
        <f>INDEX($B$3:$B$60,MATCH($A70,$A$3:$A$60,0))</f>
        <v/>
      </c>
      <c r="C70">
        <f>SUMIFS('BEA VABAS 2017'!$C$4:$PK$4,'BEA VABAS 2017'!$C$6:$PK$6,$A70,'BEA VABAS 2017'!$C$5:$PK$5,C$63)/SUMIFS('BEA VABAS 2017'!$C$4:$PK$4,'BEA VABAS 2017'!$C$6:$PK$6,$A70)</f>
        <v/>
      </c>
      <c r="D70">
        <f>SUMIFS('BEA VABAS 2017'!$C$4:$PK$4,'BEA VABAS 2017'!$C$6:$PK$6,$A70,'BEA VABAS 2017'!$C$5:$PK$5,D$63)/SUMIFS('BEA VABAS 2017'!$C$4:$PK$4,'BEA VABAS 2017'!$C$6:$PK$6,$A70)</f>
        <v/>
      </c>
      <c r="E70">
        <f>SUMIFS('BEA VABAS 2017'!$C$4:$PK$4,'BEA VABAS 2017'!$C$6:$PK$6,$A70,'BEA VABAS 2017'!$C$5:$PK$5,E$63)/SUMIFS('BEA VABAS 2017'!$C$4:$PK$4,'BEA VABAS 2017'!$C$6:$PK$6,$A70)</f>
        <v/>
      </c>
      <c r="F70">
        <f>SUMIFS('BEA VABAS 2017'!$C$4:$PK$4,'BEA VABAS 2017'!$C$6:$PK$6,$A70,'BEA VABAS 2017'!$C$5:$PK$5,F$63)/SUMIFS('BEA VABAS 2017'!$C$4:$PK$4,'BEA VABAS 2017'!$C$6:$PK$6,$A70)</f>
        <v/>
      </c>
      <c r="G70">
        <f>SUMIFS('BEA VABAS 2017'!$C$4:$PK$4,'BEA VABAS 2017'!$C$6:$PK$6,$A70,'BEA VABAS 2017'!$C$5:$PK$5,G$63)/SUMIFS('BEA VABAS 2017'!$C$4:$PK$4,'BEA VABAS 2017'!$C$6:$PK$6,$A70)</f>
        <v/>
      </c>
      <c r="H70">
        <f>SUMIFS('BEA VABAS 2017'!$C$4:$PK$4,'BEA VABAS 2017'!$C$6:$PK$6,$A70,'BEA VABAS 2017'!$C$5:$PK$5,H$63)/SUMIFS('BEA VABAS 2017'!$C$4:$PK$4,'BEA VABAS 2017'!$C$6:$PK$6,$A70)</f>
        <v/>
      </c>
      <c r="I70">
        <f>SUMIFS('BEA VABAS 2017'!$C$4:$PK$4,'BEA VABAS 2017'!$C$6:$PK$6,$A70,'BEA VABAS 2017'!$C$5:$PK$5,I$63)/SUMIFS('BEA VABAS 2017'!$C$4:$PK$4,'BEA VABAS 2017'!$C$6:$PK$6,$A70)</f>
        <v/>
      </c>
      <c r="J70">
        <f>SUMIFS('BEA VABAS 2017'!$C$4:$PK$4,'BEA VABAS 2017'!$C$6:$PK$6,$A70,'BEA VABAS 2017'!$C$5:$PK$5,J$63)/SUMIFS('BEA VABAS 2017'!$C$4:$PK$4,'BEA VABAS 2017'!$C$6:$PK$6,$A70)</f>
        <v/>
      </c>
      <c r="K70">
        <f>SUMIFS('BEA VABAS 2017'!$C$4:$PK$4,'BEA VABAS 2017'!$C$6:$PK$6,$A70,'BEA VABAS 2017'!$C$5:$PK$5,K$63)/SUMIFS('BEA VABAS 2017'!$C$4:$PK$4,'BEA VABAS 2017'!$C$6:$PK$6,$A70)</f>
        <v/>
      </c>
      <c r="L70">
        <f>SUMIFS('BEA VABAS 2017'!$C$4:$PK$4,'BEA VABAS 2017'!$C$6:$PK$6,$A70,'BEA VABAS 2017'!$C$5:$PK$5,L$63)/SUMIFS('BEA VABAS 2017'!$C$4:$PK$4,'BEA VABAS 2017'!$C$6:$PK$6,$A70)</f>
        <v/>
      </c>
      <c r="M70">
        <f>SUMIFS('BEA VABAS 2017'!$C$4:$PK$4,'BEA VABAS 2017'!$C$6:$PK$6,$A70,'BEA VABAS 2017'!$C$5:$PK$5,M$63)/SUMIFS('BEA VABAS 2017'!$C$4:$PK$4,'BEA VABAS 2017'!$C$6:$PK$6,$A70)</f>
        <v/>
      </c>
      <c r="N70">
        <f>SUMIFS('BEA VABAS 2017'!$C$4:$PK$4,'BEA VABAS 2017'!$C$6:$PK$6,$A70,'BEA VABAS 2017'!$C$5:$PK$5,N$63)/SUMIFS('BEA VABAS 2017'!$C$4:$PK$4,'BEA VABAS 2017'!$C$6:$PK$6,$A70)</f>
        <v/>
      </c>
      <c r="O70">
        <f>SUMIFS('BEA VABAS 2017'!$C$4:$PK$4,'BEA VABAS 2017'!$C$6:$PK$6,$A70,'BEA VABAS 2017'!$C$5:$PK$5,O$63)/SUMIFS('BEA VABAS 2017'!$C$4:$PK$4,'BEA VABAS 2017'!$C$6:$PK$6,$A70)</f>
        <v/>
      </c>
      <c r="P70">
        <f>SUMIFS('BEA VABAS 2017'!$C$4:$PK$4,'BEA VABAS 2017'!$C$6:$PK$6,$A70,'BEA VABAS 2017'!$C$5:$PK$5,P$63)/SUMIFS('BEA VABAS 2017'!$C$4:$PK$4,'BEA VABAS 2017'!$C$6:$PK$6,$A70)</f>
        <v/>
      </c>
      <c r="Q70">
        <f>SUMIFS('BEA VABAS 2017'!$C$4:$PK$4,'BEA VABAS 2017'!$C$6:$PK$6,$A70,'BEA VABAS 2017'!$C$5:$PK$5,Q$63)/SUMIFS('BEA VABAS 2017'!$C$4:$PK$4,'BEA VABAS 2017'!$C$6:$PK$6,$A70)</f>
        <v/>
      </c>
      <c r="R70">
        <f>SUMIFS('BEA VABAS 2017'!$C$4:$PK$4,'BEA VABAS 2017'!$C$6:$PK$6,$A70,'BEA VABAS 2017'!$C$5:$PK$5,R$63)/SUMIFS('BEA VABAS 2017'!$C$4:$PK$4,'BEA VABAS 2017'!$C$6:$PK$6,$A70)</f>
        <v/>
      </c>
      <c r="S70">
        <f>SUMIFS('BEA VABAS 2017'!$C$4:$PK$4,'BEA VABAS 2017'!$C$6:$PK$6,$A70,'BEA VABAS 2017'!$C$5:$PK$5,S$63)/SUMIFS('BEA VABAS 2017'!$C$4:$PK$4,'BEA VABAS 2017'!$C$6:$PK$6,$A70)</f>
        <v/>
      </c>
      <c r="T70">
        <f>SUMIFS('BEA VABAS 2017'!$C$4:$PK$4,'BEA VABAS 2017'!$C$6:$PK$6,$A70,'BEA VABAS 2017'!$C$5:$PK$5,T$63)/SUMIFS('BEA VABAS 2017'!$C$4:$PK$4,'BEA VABAS 2017'!$C$6:$PK$6,$A70)</f>
        <v/>
      </c>
      <c r="U70">
        <f>SUMIFS('BEA VABAS 2017'!$C$4:$PK$4,'BEA VABAS 2017'!$C$6:$PK$6,$A70,'BEA VABAS 2017'!$C$5:$PK$5,U$63)/SUMIFS('BEA VABAS 2017'!$C$4:$PK$4,'BEA VABAS 2017'!$C$6:$PK$6,$A70)</f>
        <v/>
      </c>
      <c r="V70">
        <f>SUMIFS('BEA VABAS 2017'!$C$4:$PK$4,'BEA VABAS 2017'!$C$6:$PK$6,$A70,'BEA VABAS 2017'!$C$5:$PK$5,V$63)/SUMIFS('BEA VABAS 2017'!$C$4:$PK$4,'BEA VABAS 2017'!$C$6:$PK$6,$A70)</f>
        <v/>
      </c>
      <c r="W70">
        <f>SUMIFS('BEA VABAS 2017'!$C$4:$PK$4,'BEA VABAS 2017'!$C$6:$PK$6,$A70,'BEA VABAS 2017'!$C$5:$PK$5,W$63)/SUMIFS('BEA VABAS 2017'!$C$4:$PK$4,'BEA VABAS 2017'!$C$6:$PK$6,$A70)</f>
        <v/>
      </c>
      <c r="X70">
        <f>SUMIFS('BEA VABAS 2017'!$C$4:$PK$4,'BEA VABAS 2017'!$C$6:$PK$6,$A70,'BEA VABAS 2017'!$C$5:$PK$5,X$63)/SUMIFS('BEA VABAS 2017'!$C$4:$PK$4,'BEA VABAS 2017'!$C$6:$PK$6,$A70)</f>
        <v/>
      </c>
      <c r="Y70">
        <f>SUMIFS('BEA VABAS 2017'!$C$4:$PK$4,'BEA VABAS 2017'!$C$6:$PK$6,$A70,'BEA VABAS 2017'!$C$5:$PK$5,Y$63)/SUMIFS('BEA VABAS 2017'!$C$4:$PK$4,'BEA VABAS 2017'!$C$6:$PK$6,$A70)</f>
        <v/>
      </c>
      <c r="Z70">
        <f>SUMIFS('BEA VABAS 2017'!$C$4:$PK$4,'BEA VABAS 2017'!$C$6:$PK$6,$A70,'BEA VABAS 2017'!$C$5:$PK$5,Z$63)/SUMIFS('BEA VABAS 2017'!$C$4:$PK$4,'BEA VABAS 2017'!$C$6:$PK$6,$A70)</f>
        <v/>
      </c>
      <c r="AA70">
        <f>SUMIFS('BEA VABAS 2017'!$C$4:$PK$4,'BEA VABAS 2017'!$C$6:$PK$6,$A70,'BEA VABAS 2017'!$C$5:$PK$5,AA$63)/SUMIFS('BEA VABAS 2017'!$C$4:$PK$4,'BEA VABAS 2017'!$C$6:$PK$6,$A70)</f>
        <v/>
      </c>
      <c r="AB70">
        <f>SUMIFS('BEA VABAS 2017'!$C$4:$PK$4,'BEA VABAS 2017'!$C$6:$PK$6,$A70,'BEA VABAS 2017'!$C$5:$PK$5,AB$63)/SUMIFS('BEA VABAS 2017'!$C$4:$PK$4,'BEA VABAS 2017'!$C$6:$PK$6,$A70)</f>
        <v/>
      </c>
      <c r="AC70">
        <f>SUMIFS('BEA VABAS 2017'!$C$4:$PK$4,'BEA VABAS 2017'!$C$6:$PK$6,$A70,'BEA VABAS 2017'!$C$5:$PK$5,AC$63)/SUMIFS('BEA VABAS 2017'!$C$4:$PK$4,'BEA VABAS 2017'!$C$6:$PK$6,$A70)</f>
        <v/>
      </c>
      <c r="AD70">
        <f>SUMIFS('BEA VABAS 2017'!$C$4:$PK$4,'BEA VABAS 2017'!$C$6:$PK$6,$A70,'BEA VABAS 2017'!$C$5:$PK$5,AD$63)/SUMIFS('BEA VABAS 2017'!$C$4:$PK$4,'BEA VABAS 2017'!$C$6:$PK$6,$A70)</f>
        <v/>
      </c>
      <c r="AE70">
        <f>SUMIFS('BEA VABAS 2017'!$C$4:$PK$4,'BEA VABAS 2017'!$C$6:$PK$6,$A70,'BEA VABAS 2017'!$C$5:$PK$5,AE$63)/SUMIFS('BEA VABAS 2017'!$C$4:$PK$4,'BEA VABAS 2017'!$C$6:$PK$6,$A70)</f>
        <v/>
      </c>
      <c r="AF70">
        <f>SUMIFS('BEA VABAS 2017'!$C$4:$PK$4,'BEA VABAS 2017'!$C$6:$PK$6,$A70,'BEA VABAS 2017'!$C$5:$PK$5,AF$63)/SUMIFS('BEA VABAS 2017'!$C$4:$PK$4,'BEA VABAS 2017'!$C$6:$PK$6,$A70)</f>
        <v/>
      </c>
      <c r="AG70">
        <f>SUMIFS('BEA VABAS 2017'!$C$4:$PK$4,'BEA VABAS 2017'!$C$6:$PK$6,$A70,'BEA VABAS 2017'!$C$5:$PK$5,AG$63)/SUMIFS('BEA VABAS 2017'!$C$4:$PK$4,'BEA VABAS 2017'!$C$6:$PK$6,$A70)</f>
        <v/>
      </c>
      <c r="AH70">
        <f>SUMIFS('BEA VABAS 2017'!$C$4:$PK$4,'BEA VABAS 2017'!$C$6:$PK$6,$A70,'BEA VABAS 2017'!$C$5:$PK$5,AH$63)/SUMIFS('BEA VABAS 2017'!$C$4:$PK$4,'BEA VABAS 2017'!$C$6:$PK$6,$A70)</f>
        <v/>
      </c>
      <c r="AI70">
        <f>SUMIFS('BEA VABAS 2017'!$C$4:$PK$4,'BEA VABAS 2017'!$C$6:$PK$6,$A70,'BEA VABAS 2017'!$C$5:$PK$5,AI$63)/SUMIFS('BEA VABAS 2017'!$C$4:$PK$4,'BEA VABAS 2017'!$C$6:$PK$6,$A70)</f>
        <v/>
      </c>
      <c r="AJ70">
        <f>SUMIFS('BEA VABAS 2017'!$C$4:$PK$4,'BEA VABAS 2017'!$C$6:$PK$6,$A70,'BEA VABAS 2017'!$C$5:$PK$5,AJ$63)/SUMIFS('BEA VABAS 2017'!$C$4:$PK$4,'BEA VABAS 2017'!$C$6:$PK$6,$A70)</f>
        <v/>
      </c>
      <c r="AK70">
        <f>SUMIFS('BEA VABAS 2017'!$C$4:$PK$4,'BEA VABAS 2017'!$C$6:$PK$6,$A70,'BEA VABAS 2017'!$C$5:$PK$5,AK$63)/SUMIFS('BEA VABAS 2017'!$C$4:$PK$4,'BEA VABAS 2017'!$C$6:$PK$6,$A70)</f>
        <v/>
      </c>
      <c r="AL70">
        <f>SUMIFS('BEA VABAS 2017'!$C$4:$PK$4,'BEA VABAS 2017'!$C$6:$PK$6,$A70,'BEA VABAS 2017'!$C$5:$PK$5,AL$63)/SUMIFS('BEA VABAS 2017'!$C$4:$PK$4,'BEA VABAS 2017'!$C$6:$PK$6,$A70)</f>
        <v/>
      </c>
      <c r="AM70">
        <f>SUMIFS('BEA VABAS 2017'!$C$4:$PK$4,'BEA VABAS 2017'!$C$6:$PK$6,$A70,'BEA VABAS 2017'!$C$5:$PK$5,AM$63)/SUMIFS('BEA VABAS 2017'!$C$4:$PK$4,'BEA VABAS 2017'!$C$6:$PK$6,$A70)</f>
        <v/>
      </c>
      <c r="AN70">
        <f>SUMIFS('BEA VABAS 2017'!$C$4:$PK$4,'BEA VABAS 2017'!$C$6:$PK$6,$A70,'BEA VABAS 2017'!$C$5:$PK$5,AN$63)/SUMIFS('BEA VABAS 2017'!$C$4:$PK$4,'BEA VABAS 2017'!$C$6:$PK$6,$A70)</f>
        <v/>
      </c>
      <c r="AO70">
        <f>SUMIFS('BEA VABAS 2017'!$C$4:$PK$4,'BEA VABAS 2017'!$C$6:$PK$6,$A70,'BEA VABAS 2017'!$C$5:$PK$5,AO$63)/SUMIFS('BEA VABAS 2017'!$C$4:$PK$4,'BEA VABAS 2017'!$C$6:$PK$6,$A70)</f>
        <v/>
      </c>
      <c r="AP70">
        <f>SUMIFS('BEA VABAS 2017'!$C$4:$PK$4,'BEA VABAS 2017'!$C$6:$PK$6,$A70,'BEA VABAS 2017'!$C$5:$PK$5,AP$63)/SUMIFS('BEA VABAS 2017'!$C$4:$PK$4,'BEA VABAS 2017'!$C$6:$PK$6,$A70)</f>
        <v/>
      </c>
      <c r="AQ70">
        <f>SUMIFS('BEA VABAS 2017'!$C$4:$PK$4,'BEA VABAS 2017'!$C$6:$PK$6,$A70,'BEA VABAS 2017'!$C$5:$PK$5,AQ$63)/SUMIFS('BEA VABAS 2017'!$C$4:$PK$4,'BEA VABAS 2017'!$C$6:$PK$6,$A70)</f>
        <v/>
      </c>
      <c r="AR70">
        <f>SUMIFS('BEA VABAS 2017'!$C$4:$PK$4,'BEA VABAS 2017'!$C$6:$PK$6,$A70,'BEA VABAS 2017'!$C$5:$PK$5,AR$63)/SUMIFS('BEA VABAS 2017'!$C$4:$PK$4,'BEA VABAS 2017'!$C$6:$PK$6,$A70)</f>
        <v/>
      </c>
      <c r="AS70">
        <f>SUMIFS('BEA VABAS 2017'!$C$4:$PK$4,'BEA VABAS 2017'!$C$6:$PK$6,$A70,'BEA VABAS 2017'!$C$5:$PK$5,AS$63)/SUMIFS('BEA VABAS 2017'!$C$4:$PK$4,'BEA VABAS 2017'!$C$6:$PK$6,$A70)</f>
        <v/>
      </c>
      <c r="AT70">
        <f>SUMIFS('BEA VABAS 2017'!$C$4:$PK$4,'BEA VABAS 2017'!$C$6:$PK$6,$A70,'BEA VABAS 2017'!$C$5:$PK$5,AT$63)/SUMIFS('BEA VABAS 2017'!$C$4:$PK$4,'BEA VABAS 2017'!$C$6:$PK$6,$A70)</f>
        <v/>
      </c>
      <c r="AU70">
        <f>SUMIFS('BEA VABAS 2017'!$C$4:$PK$4,'BEA VABAS 2017'!$C$6:$PK$6,$A70,'BEA VABAS 2017'!$C$5:$PK$5,AU$63)/SUMIFS('BEA VABAS 2017'!$C$4:$PK$4,'BEA VABAS 2017'!$C$6:$PK$6,$A70)</f>
        <v/>
      </c>
      <c r="AV70">
        <f>SUMIFS('BEA VABAS 2017'!$C$4:$PK$4,'BEA VABAS 2017'!$C$6:$PK$6,$A70,'BEA VABAS 2017'!$C$5:$PK$5,AV$63)/SUMIFS('BEA VABAS 2017'!$C$4:$PK$4,'BEA VABAS 2017'!$C$6:$PK$6,$A70)</f>
        <v/>
      </c>
      <c r="AW70">
        <f>SUMIFS('BEA VABAS 2017'!$C$4:$PK$4,'BEA VABAS 2017'!$C$6:$PK$6,$A70,'BEA VABAS 2017'!$C$5:$PK$5,AW$63)/SUMIFS('BEA VABAS 2017'!$C$4:$PK$4,'BEA VABAS 2017'!$C$6:$PK$6,$A70)</f>
        <v/>
      </c>
      <c r="AX70">
        <f>SUMIFS('BEA VABAS 2017'!$C$4:$PK$4,'BEA VABAS 2017'!$C$6:$PK$6,$A70,'BEA VABAS 2017'!$C$5:$PK$5,AX$63)/SUMIFS('BEA VABAS 2017'!$C$4:$PK$4,'BEA VABAS 2017'!$C$6:$PK$6,$A70)</f>
        <v/>
      </c>
      <c r="AY70">
        <f>SUMIFS('BEA VABAS 2017'!$C$4:$PK$4,'BEA VABAS 2017'!$C$6:$PK$6,$A70,'BEA VABAS 2017'!$C$5:$PK$5,AY$63)/SUMIFS('BEA VABAS 2017'!$C$4:$PK$4,'BEA VABAS 2017'!$C$6:$PK$6,$A70)</f>
        <v/>
      </c>
      <c r="AZ70">
        <f>SUMIFS('BEA VABAS 2017'!$C$4:$PK$4,'BEA VABAS 2017'!$C$6:$PK$6,$A70,'BEA VABAS 2017'!$C$5:$PK$5,AZ$63)/SUMIFS('BEA VABAS 2017'!$C$4:$PK$4,'BEA VABAS 2017'!$C$6:$PK$6,$A70)</f>
        <v/>
      </c>
      <c r="BA70">
        <f>SUMIFS('BEA VABAS 2017'!$C$4:$PK$4,'BEA VABAS 2017'!$C$6:$PK$6,$A70,'BEA VABAS 2017'!$C$5:$PK$5,BA$63)/SUMIFS('BEA VABAS 2017'!$C$4:$PK$4,'BEA VABAS 2017'!$C$6:$PK$6,$A70)</f>
        <v/>
      </c>
      <c r="BB70">
        <f>SUMIFS('BEA VABAS 2017'!$C$4:$PK$4,'BEA VABAS 2017'!$C$6:$PK$6,$A70,'BEA VABAS 2017'!$C$5:$PK$5,BB$63)/SUMIFS('BEA VABAS 2017'!$C$4:$PK$4,'BEA VABAS 2017'!$C$6:$PK$6,$A70)</f>
        <v/>
      </c>
    </row>
    <row r="71">
      <c r="A71" t="inlineStr">
        <is>
          <t>Other transportation and support activities</t>
        </is>
      </c>
      <c r="B71">
        <f>INDEX($B$3:$B$60,MATCH($A71,$A$3:$A$60,0))</f>
        <v/>
      </c>
      <c r="C71">
        <f>SUMIFS('BEA VABAS 2017'!$C$4:$PK$4,'BEA VABAS 2017'!$C$6:$PK$6,$A71,'BEA VABAS 2017'!$C$5:$PK$5,C$63)/SUMIFS('BEA VABAS 2017'!$C$4:$PK$4,'BEA VABAS 2017'!$C$6:$PK$6,$A71)</f>
        <v/>
      </c>
      <c r="D71">
        <f>SUMIFS('BEA VABAS 2017'!$C$4:$PK$4,'BEA VABAS 2017'!$C$6:$PK$6,$A71,'BEA VABAS 2017'!$C$5:$PK$5,D$63)/SUMIFS('BEA VABAS 2017'!$C$4:$PK$4,'BEA VABAS 2017'!$C$6:$PK$6,$A71)</f>
        <v/>
      </c>
      <c r="E71">
        <f>SUMIFS('BEA VABAS 2017'!$C$4:$PK$4,'BEA VABAS 2017'!$C$6:$PK$6,$A71,'BEA VABAS 2017'!$C$5:$PK$5,E$63)/SUMIFS('BEA VABAS 2017'!$C$4:$PK$4,'BEA VABAS 2017'!$C$6:$PK$6,$A71)</f>
        <v/>
      </c>
      <c r="F71">
        <f>SUMIFS('BEA VABAS 2017'!$C$4:$PK$4,'BEA VABAS 2017'!$C$6:$PK$6,$A71,'BEA VABAS 2017'!$C$5:$PK$5,F$63)/SUMIFS('BEA VABAS 2017'!$C$4:$PK$4,'BEA VABAS 2017'!$C$6:$PK$6,$A71)</f>
        <v/>
      </c>
      <c r="G71">
        <f>SUMIFS('BEA VABAS 2017'!$C$4:$PK$4,'BEA VABAS 2017'!$C$6:$PK$6,$A71,'BEA VABAS 2017'!$C$5:$PK$5,G$63)/SUMIFS('BEA VABAS 2017'!$C$4:$PK$4,'BEA VABAS 2017'!$C$6:$PK$6,$A71)</f>
        <v/>
      </c>
      <c r="H71">
        <f>SUMIFS('BEA VABAS 2017'!$C$4:$PK$4,'BEA VABAS 2017'!$C$6:$PK$6,$A71,'BEA VABAS 2017'!$C$5:$PK$5,H$63)/SUMIFS('BEA VABAS 2017'!$C$4:$PK$4,'BEA VABAS 2017'!$C$6:$PK$6,$A71)</f>
        <v/>
      </c>
      <c r="I71">
        <f>SUMIFS('BEA VABAS 2017'!$C$4:$PK$4,'BEA VABAS 2017'!$C$6:$PK$6,$A71,'BEA VABAS 2017'!$C$5:$PK$5,I$63)/SUMIFS('BEA VABAS 2017'!$C$4:$PK$4,'BEA VABAS 2017'!$C$6:$PK$6,$A71)</f>
        <v/>
      </c>
      <c r="J71">
        <f>SUMIFS('BEA VABAS 2017'!$C$4:$PK$4,'BEA VABAS 2017'!$C$6:$PK$6,$A71,'BEA VABAS 2017'!$C$5:$PK$5,J$63)/SUMIFS('BEA VABAS 2017'!$C$4:$PK$4,'BEA VABAS 2017'!$C$6:$PK$6,$A71)</f>
        <v/>
      </c>
      <c r="K71">
        <f>SUMIFS('BEA VABAS 2017'!$C$4:$PK$4,'BEA VABAS 2017'!$C$6:$PK$6,$A71,'BEA VABAS 2017'!$C$5:$PK$5,K$63)/SUMIFS('BEA VABAS 2017'!$C$4:$PK$4,'BEA VABAS 2017'!$C$6:$PK$6,$A71)</f>
        <v/>
      </c>
      <c r="L71">
        <f>SUMIFS('BEA VABAS 2017'!$C$4:$PK$4,'BEA VABAS 2017'!$C$6:$PK$6,$A71,'BEA VABAS 2017'!$C$5:$PK$5,L$63)/SUMIFS('BEA VABAS 2017'!$C$4:$PK$4,'BEA VABAS 2017'!$C$6:$PK$6,$A71)</f>
        <v/>
      </c>
      <c r="M71">
        <f>SUMIFS('BEA VABAS 2017'!$C$4:$PK$4,'BEA VABAS 2017'!$C$6:$PK$6,$A71,'BEA VABAS 2017'!$C$5:$PK$5,M$63)/SUMIFS('BEA VABAS 2017'!$C$4:$PK$4,'BEA VABAS 2017'!$C$6:$PK$6,$A71)</f>
        <v/>
      </c>
      <c r="N71">
        <f>SUMIFS('BEA VABAS 2017'!$C$4:$PK$4,'BEA VABAS 2017'!$C$6:$PK$6,$A71,'BEA VABAS 2017'!$C$5:$PK$5,N$63)/SUMIFS('BEA VABAS 2017'!$C$4:$PK$4,'BEA VABAS 2017'!$C$6:$PK$6,$A71)</f>
        <v/>
      </c>
      <c r="O71">
        <f>SUMIFS('BEA VABAS 2017'!$C$4:$PK$4,'BEA VABAS 2017'!$C$6:$PK$6,$A71,'BEA VABAS 2017'!$C$5:$PK$5,O$63)/SUMIFS('BEA VABAS 2017'!$C$4:$PK$4,'BEA VABAS 2017'!$C$6:$PK$6,$A71)</f>
        <v/>
      </c>
      <c r="P71">
        <f>SUMIFS('BEA VABAS 2017'!$C$4:$PK$4,'BEA VABAS 2017'!$C$6:$PK$6,$A71,'BEA VABAS 2017'!$C$5:$PK$5,P$63)/SUMIFS('BEA VABAS 2017'!$C$4:$PK$4,'BEA VABAS 2017'!$C$6:$PK$6,$A71)</f>
        <v/>
      </c>
      <c r="Q71">
        <f>SUMIFS('BEA VABAS 2017'!$C$4:$PK$4,'BEA VABAS 2017'!$C$6:$PK$6,$A71,'BEA VABAS 2017'!$C$5:$PK$5,Q$63)/SUMIFS('BEA VABAS 2017'!$C$4:$PK$4,'BEA VABAS 2017'!$C$6:$PK$6,$A71)</f>
        <v/>
      </c>
      <c r="R71">
        <f>SUMIFS('BEA VABAS 2017'!$C$4:$PK$4,'BEA VABAS 2017'!$C$6:$PK$6,$A71,'BEA VABAS 2017'!$C$5:$PK$5,R$63)/SUMIFS('BEA VABAS 2017'!$C$4:$PK$4,'BEA VABAS 2017'!$C$6:$PK$6,$A71)</f>
        <v/>
      </c>
      <c r="S71">
        <f>SUMIFS('BEA VABAS 2017'!$C$4:$PK$4,'BEA VABAS 2017'!$C$6:$PK$6,$A71,'BEA VABAS 2017'!$C$5:$PK$5,S$63)/SUMIFS('BEA VABAS 2017'!$C$4:$PK$4,'BEA VABAS 2017'!$C$6:$PK$6,$A71)</f>
        <v/>
      </c>
      <c r="T71">
        <f>SUMIFS('BEA VABAS 2017'!$C$4:$PK$4,'BEA VABAS 2017'!$C$6:$PK$6,$A71,'BEA VABAS 2017'!$C$5:$PK$5,T$63)/SUMIFS('BEA VABAS 2017'!$C$4:$PK$4,'BEA VABAS 2017'!$C$6:$PK$6,$A71)</f>
        <v/>
      </c>
      <c r="U71">
        <f>SUMIFS('BEA VABAS 2017'!$C$4:$PK$4,'BEA VABAS 2017'!$C$6:$PK$6,$A71,'BEA VABAS 2017'!$C$5:$PK$5,U$63)/SUMIFS('BEA VABAS 2017'!$C$4:$PK$4,'BEA VABAS 2017'!$C$6:$PK$6,$A71)</f>
        <v/>
      </c>
      <c r="V71">
        <f>SUMIFS('BEA VABAS 2017'!$C$4:$PK$4,'BEA VABAS 2017'!$C$6:$PK$6,$A71,'BEA VABAS 2017'!$C$5:$PK$5,V$63)/SUMIFS('BEA VABAS 2017'!$C$4:$PK$4,'BEA VABAS 2017'!$C$6:$PK$6,$A71)</f>
        <v/>
      </c>
      <c r="W71">
        <f>SUMIFS('BEA VABAS 2017'!$C$4:$PK$4,'BEA VABAS 2017'!$C$6:$PK$6,$A71,'BEA VABAS 2017'!$C$5:$PK$5,W$63)/SUMIFS('BEA VABAS 2017'!$C$4:$PK$4,'BEA VABAS 2017'!$C$6:$PK$6,$A71)</f>
        <v/>
      </c>
      <c r="X71">
        <f>SUMIFS('BEA VABAS 2017'!$C$4:$PK$4,'BEA VABAS 2017'!$C$6:$PK$6,$A71,'BEA VABAS 2017'!$C$5:$PK$5,X$63)/SUMIFS('BEA VABAS 2017'!$C$4:$PK$4,'BEA VABAS 2017'!$C$6:$PK$6,$A71)</f>
        <v/>
      </c>
      <c r="Y71">
        <f>SUMIFS('BEA VABAS 2017'!$C$4:$PK$4,'BEA VABAS 2017'!$C$6:$PK$6,$A71,'BEA VABAS 2017'!$C$5:$PK$5,Y$63)/SUMIFS('BEA VABAS 2017'!$C$4:$PK$4,'BEA VABAS 2017'!$C$6:$PK$6,$A71)</f>
        <v/>
      </c>
      <c r="Z71">
        <f>SUMIFS('BEA VABAS 2017'!$C$4:$PK$4,'BEA VABAS 2017'!$C$6:$PK$6,$A71,'BEA VABAS 2017'!$C$5:$PK$5,Z$63)/SUMIFS('BEA VABAS 2017'!$C$4:$PK$4,'BEA VABAS 2017'!$C$6:$PK$6,$A71)</f>
        <v/>
      </c>
      <c r="AA71">
        <f>SUMIFS('BEA VABAS 2017'!$C$4:$PK$4,'BEA VABAS 2017'!$C$6:$PK$6,$A71,'BEA VABAS 2017'!$C$5:$PK$5,AA$63)/SUMIFS('BEA VABAS 2017'!$C$4:$PK$4,'BEA VABAS 2017'!$C$6:$PK$6,$A71)</f>
        <v/>
      </c>
      <c r="AB71">
        <f>SUMIFS('BEA VABAS 2017'!$C$4:$PK$4,'BEA VABAS 2017'!$C$6:$PK$6,$A71,'BEA VABAS 2017'!$C$5:$PK$5,AB$63)/SUMIFS('BEA VABAS 2017'!$C$4:$PK$4,'BEA VABAS 2017'!$C$6:$PK$6,$A71)</f>
        <v/>
      </c>
      <c r="AC71">
        <f>SUMIFS('BEA VABAS 2017'!$C$4:$PK$4,'BEA VABAS 2017'!$C$6:$PK$6,$A71,'BEA VABAS 2017'!$C$5:$PK$5,AC$63)/SUMIFS('BEA VABAS 2017'!$C$4:$PK$4,'BEA VABAS 2017'!$C$6:$PK$6,$A71)</f>
        <v/>
      </c>
      <c r="AD71">
        <f>SUMIFS('BEA VABAS 2017'!$C$4:$PK$4,'BEA VABAS 2017'!$C$6:$PK$6,$A71,'BEA VABAS 2017'!$C$5:$PK$5,AD$63)/SUMIFS('BEA VABAS 2017'!$C$4:$PK$4,'BEA VABAS 2017'!$C$6:$PK$6,$A71)</f>
        <v/>
      </c>
      <c r="AE71">
        <f>SUMIFS('BEA VABAS 2017'!$C$4:$PK$4,'BEA VABAS 2017'!$C$6:$PK$6,$A71,'BEA VABAS 2017'!$C$5:$PK$5,AE$63)/SUMIFS('BEA VABAS 2017'!$C$4:$PK$4,'BEA VABAS 2017'!$C$6:$PK$6,$A71)</f>
        <v/>
      </c>
      <c r="AF71">
        <f>SUMIFS('BEA VABAS 2017'!$C$4:$PK$4,'BEA VABAS 2017'!$C$6:$PK$6,$A71,'BEA VABAS 2017'!$C$5:$PK$5,AF$63)/SUMIFS('BEA VABAS 2017'!$C$4:$PK$4,'BEA VABAS 2017'!$C$6:$PK$6,$A71)</f>
        <v/>
      </c>
      <c r="AG71">
        <f>SUMIFS('BEA VABAS 2017'!$C$4:$PK$4,'BEA VABAS 2017'!$C$6:$PK$6,$A71,'BEA VABAS 2017'!$C$5:$PK$5,AG$63)/SUMIFS('BEA VABAS 2017'!$C$4:$PK$4,'BEA VABAS 2017'!$C$6:$PK$6,$A71)</f>
        <v/>
      </c>
      <c r="AH71">
        <f>SUMIFS('BEA VABAS 2017'!$C$4:$PK$4,'BEA VABAS 2017'!$C$6:$PK$6,$A71,'BEA VABAS 2017'!$C$5:$PK$5,AH$63)/SUMIFS('BEA VABAS 2017'!$C$4:$PK$4,'BEA VABAS 2017'!$C$6:$PK$6,$A71)</f>
        <v/>
      </c>
      <c r="AI71">
        <f>SUMIFS('BEA VABAS 2017'!$C$4:$PK$4,'BEA VABAS 2017'!$C$6:$PK$6,$A71,'BEA VABAS 2017'!$C$5:$PK$5,AI$63)/SUMIFS('BEA VABAS 2017'!$C$4:$PK$4,'BEA VABAS 2017'!$C$6:$PK$6,$A71)</f>
        <v/>
      </c>
      <c r="AJ71">
        <f>SUMIFS('BEA VABAS 2017'!$C$4:$PK$4,'BEA VABAS 2017'!$C$6:$PK$6,$A71,'BEA VABAS 2017'!$C$5:$PK$5,AJ$63)/SUMIFS('BEA VABAS 2017'!$C$4:$PK$4,'BEA VABAS 2017'!$C$6:$PK$6,$A71)</f>
        <v/>
      </c>
      <c r="AK71">
        <f>SUMIFS('BEA VABAS 2017'!$C$4:$PK$4,'BEA VABAS 2017'!$C$6:$PK$6,$A71,'BEA VABAS 2017'!$C$5:$PK$5,AK$63)/SUMIFS('BEA VABAS 2017'!$C$4:$PK$4,'BEA VABAS 2017'!$C$6:$PK$6,$A71)</f>
        <v/>
      </c>
      <c r="AL71">
        <f>SUMIFS('BEA VABAS 2017'!$C$4:$PK$4,'BEA VABAS 2017'!$C$6:$PK$6,$A71,'BEA VABAS 2017'!$C$5:$PK$5,AL$63)/SUMIFS('BEA VABAS 2017'!$C$4:$PK$4,'BEA VABAS 2017'!$C$6:$PK$6,$A71)</f>
        <v/>
      </c>
      <c r="AM71">
        <f>SUMIFS('BEA VABAS 2017'!$C$4:$PK$4,'BEA VABAS 2017'!$C$6:$PK$6,$A71,'BEA VABAS 2017'!$C$5:$PK$5,AM$63)/SUMIFS('BEA VABAS 2017'!$C$4:$PK$4,'BEA VABAS 2017'!$C$6:$PK$6,$A71)</f>
        <v/>
      </c>
      <c r="AN71">
        <f>SUMIFS('BEA VABAS 2017'!$C$4:$PK$4,'BEA VABAS 2017'!$C$6:$PK$6,$A71,'BEA VABAS 2017'!$C$5:$PK$5,AN$63)/SUMIFS('BEA VABAS 2017'!$C$4:$PK$4,'BEA VABAS 2017'!$C$6:$PK$6,$A71)</f>
        <v/>
      </c>
      <c r="AO71">
        <f>SUMIFS('BEA VABAS 2017'!$C$4:$PK$4,'BEA VABAS 2017'!$C$6:$PK$6,$A71,'BEA VABAS 2017'!$C$5:$PK$5,AO$63)/SUMIFS('BEA VABAS 2017'!$C$4:$PK$4,'BEA VABAS 2017'!$C$6:$PK$6,$A71)</f>
        <v/>
      </c>
      <c r="AP71">
        <f>SUMIFS('BEA VABAS 2017'!$C$4:$PK$4,'BEA VABAS 2017'!$C$6:$PK$6,$A71,'BEA VABAS 2017'!$C$5:$PK$5,AP$63)/SUMIFS('BEA VABAS 2017'!$C$4:$PK$4,'BEA VABAS 2017'!$C$6:$PK$6,$A71)</f>
        <v/>
      </c>
      <c r="AQ71">
        <f>SUMIFS('BEA VABAS 2017'!$C$4:$PK$4,'BEA VABAS 2017'!$C$6:$PK$6,$A71,'BEA VABAS 2017'!$C$5:$PK$5,AQ$63)/SUMIFS('BEA VABAS 2017'!$C$4:$PK$4,'BEA VABAS 2017'!$C$6:$PK$6,$A71)</f>
        <v/>
      </c>
      <c r="AR71">
        <f>SUMIFS('BEA VABAS 2017'!$C$4:$PK$4,'BEA VABAS 2017'!$C$6:$PK$6,$A71,'BEA VABAS 2017'!$C$5:$PK$5,AR$63)/SUMIFS('BEA VABAS 2017'!$C$4:$PK$4,'BEA VABAS 2017'!$C$6:$PK$6,$A71)</f>
        <v/>
      </c>
      <c r="AS71">
        <f>SUMIFS('BEA VABAS 2017'!$C$4:$PK$4,'BEA VABAS 2017'!$C$6:$PK$6,$A71,'BEA VABAS 2017'!$C$5:$PK$5,AS$63)/SUMIFS('BEA VABAS 2017'!$C$4:$PK$4,'BEA VABAS 2017'!$C$6:$PK$6,$A71)</f>
        <v/>
      </c>
      <c r="AT71">
        <f>SUMIFS('BEA VABAS 2017'!$C$4:$PK$4,'BEA VABAS 2017'!$C$6:$PK$6,$A71,'BEA VABAS 2017'!$C$5:$PK$5,AT$63)/SUMIFS('BEA VABAS 2017'!$C$4:$PK$4,'BEA VABAS 2017'!$C$6:$PK$6,$A71)</f>
        <v/>
      </c>
      <c r="AU71">
        <f>SUMIFS('BEA VABAS 2017'!$C$4:$PK$4,'BEA VABAS 2017'!$C$6:$PK$6,$A71,'BEA VABAS 2017'!$C$5:$PK$5,AU$63)/SUMIFS('BEA VABAS 2017'!$C$4:$PK$4,'BEA VABAS 2017'!$C$6:$PK$6,$A71)</f>
        <v/>
      </c>
      <c r="AV71">
        <f>SUMIFS('BEA VABAS 2017'!$C$4:$PK$4,'BEA VABAS 2017'!$C$6:$PK$6,$A71,'BEA VABAS 2017'!$C$5:$PK$5,AV$63)/SUMIFS('BEA VABAS 2017'!$C$4:$PK$4,'BEA VABAS 2017'!$C$6:$PK$6,$A71)</f>
        <v/>
      </c>
      <c r="AW71">
        <f>SUMIFS('BEA VABAS 2017'!$C$4:$PK$4,'BEA VABAS 2017'!$C$6:$PK$6,$A71,'BEA VABAS 2017'!$C$5:$PK$5,AW$63)/SUMIFS('BEA VABAS 2017'!$C$4:$PK$4,'BEA VABAS 2017'!$C$6:$PK$6,$A71)</f>
        <v/>
      </c>
      <c r="AX71">
        <f>SUMIFS('BEA VABAS 2017'!$C$4:$PK$4,'BEA VABAS 2017'!$C$6:$PK$6,$A71,'BEA VABAS 2017'!$C$5:$PK$5,AX$63)/SUMIFS('BEA VABAS 2017'!$C$4:$PK$4,'BEA VABAS 2017'!$C$6:$PK$6,$A71)</f>
        <v/>
      </c>
      <c r="AY71">
        <f>SUMIFS('BEA VABAS 2017'!$C$4:$PK$4,'BEA VABAS 2017'!$C$6:$PK$6,$A71,'BEA VABAS 2017'!$C$5:$PK$5,AY$63)/SUMIFS('BEA VABAS 2017'!$C$4:$PK$4,'BEA VABAS 2017'!$C$6:$PK$6,$A71)</f>
        <v/>
      </c>
      <c r="AZ71">
        <f>SUMIFS('BEA VABAS 2017'!$C$4:$PK$4,'BEA VABAS 2017'!$C$6:$PK$6,$A71,'BEA VABAS 2017'!$C$5:$PK$5,AZ$63)/SUMIFS('BEA VABAS 2017'!$C$4:$PK$4,'BEA VABAS 2017'!$C$6:$PK$6,$A71)</f>
        <v/>
      </c>
      <c r="BA71">
        <f>SUMIFS('BEA VABAS 2017'!$C$4:$PK$4,'BEA VABAS 2017'!$C$6:$PK$6,$A71,'BEA VABAS 2017'!$C$5:$PK$5,BA$63)/SUMIFS('BEA VABAS 2017'!$C$4:$PK$4,'BEA VABAS 2017'!$C$6:$PK$6,$A71)</f>
        <v/>
      </c>
      <c r="BB71">
        <f>SUMIFS('BEA VABAS 2017'!$C$4:$PK$4,'BEA VABAS 2017'!$C$6:$PK$6,$A71,'BEA VABAS 2017'!$C$5:$PK$5,BB$63)/SUMIFS('BEA VABAS 2017'!$C$4:$PK$4,'BEA VABAS 2017'!$C$6:$PK$6,$A71)</f>
        <v/>
      </c>
    </row>
    <row r="72">
      <c r="A72" t="inlineStr">
        <is>
          <t>Broadcasting and telecommunications</t>
        </is>
      </c>
      <c r="B72">
        <f>INDEX($B$3:$B$60,MATCH($A72,$A$3:$A$60,0))</f>
        <v/>
      </c>
      <c r="C72">
        <f>SUMIFS('BEA VABAS 2017'!$C$4:$PK$4,'BEA VABAS 2017'!$C$6:$PK$6,$A72,'BEA VABAS 2017'!$C$5:$PK$5,C$63)/SUMIFS('BEA VABAS 2017'!$C$4:$PK$4,'BEA VABAS 2017'!$C$6:$PK$6,$A72)</f>
        <v/>
      </c>
      <c r="D72">
        <f>SUMIFS('BEA VABAS 2017'!$C$4:$PK$4,'BEA VABAS 2017'!$C$6:$PK$6,$A72,'BEA VABAS 2017'!$C$5:$PK$5,D$63)/SUMIFS('BEA VABAS 2017'!$C$4:$PK$4,'BEA VABAS 2017'!$C$6:$PK$6,$A72)</f>
        <v/>
      </c>
      <c r="E72">
        <f>SUMIFS('BEA VABAS 2017'!$C$4:$PK$4,'BEA VABAS 2017'!$C$6:$PK$6,$A72,'BEA VABAS 2017'!$C$5:$PK$5,E$63)/SUMIFS('BEA VABAS 2017'!$C$4:$PK$4,'BEA VABAS 2017'!$C$6:$PK$6,$A72)</f>
        <v/>
      </c>
      <c r="F72">
        <f>SUMIFS('BEA VABAS 2017'!$C$4:$PK$4,'BEA VABAS 2017'!$C$6:$PK$6,$A72,'BEA VABAS 2017'!$C$5:$PK$5,F$63)/SUMIFS('BEA VABAS 2017'!$C$4:$PK$4,'BEA VABAS 2017'!$C$6:$PK$6,$A72)</f>
        <v/>
      </c>
      <c r="G72">
        <f>SUMIFS('BEA VABAS 2017'!$C$4:$PK$4,'BEA VABAS 2017'!$C$6:$PK$6,$A72,'BEA VABAS 2017'!$C$5:$PK$5,G$63)/SUMIFS('BEA VABAS 2017'!$C$4:$PK$4,'BEA VABAS 2017'!$C$6:$PK$6,$A72)</f>
        <v/>
      </c>
      <c r="H72">
        <f>SUMIFS('BEA VABAS 2017'!$C$4:$PK$4,'BEA VABAS 2017'!$C$6:$PK$6,$A72,'BEA VABAS 2017'!$C$5:$PK$5,H$63)/SUMIFS('BEA VABAS 2017'!$C$4:$PK$4,'BEA VABAS 2017'!$C$6:$PK$6,$A72)</f>
        <v/>
      </c>
      <c r="I72">
        <f>SUMIFS('BEA VABAS 2017'!$C$4:$PK$4,'BEA VABAS 2017'!$C$6:$PK$6,$A72,'BEA VABAS 2017'!$C$5:$PK$5,I$63)/SUMIFS('BEA VABAS 2017'!$C$4:$PK$4,'BEA VABAS 2017'!$C$6:$PK$6,$A72)</f>
        <v/>
      </c>
      <c r="J72">
        <f>SUMIFS('BEA VABAS 2017'!$C$4:$PK$4,'BEA VABAS 2017'!$C$6:$PK$6,$A72,'BEA VABAS 2017'!$C$5:$PK$5,J$63)/SUMIFS('BEA VABAS 2017'!$C$4:$PK$4,'BEA VABAS 2017'!$C$6:$PK$6,$A72)</f>
        <v/>
      </c>
      <c r="K72">
        <f>SUMIFS('BEA VABAS 2017'!$C$4:$PK$4,'BEA VABAS 2017'!$C$6:$PK$6,$A72,'BEA VABAS 2017'!$C$5:$PK$5,K$63)/SUMIFS('BEA VABAS 2017'!$C$4:$PK$4,'BEA VABAS 2017'!$C$6:$PK$6,$A72)</f>
        <v/>
      </c>
      <c r="L72">
        <f>SUMIFS('BEA VABAS 2017'!$C$4:$PK$4,'BEA VABAS 2017'!$C$6:$PK$6,$A72,'BEA VABAS 2017'!$C$5:$PK$5,L$63)/SUMIFS('BEA VABAS 2017'!$C$4:$PK$4,'BEA VABAS 2017'!$C$6:$PK$6,$A72)</f>
        <v/>
      </c>
      <c r="M72">
        <f>SUMIFS('BEA VABAS 2017'!$C$4:$PK$4,'BEA VABAS 2017'!$C$6:$PK$6,$A72,'BEA VABAS 2017'!$C$5:$PK$5,M$63)/SUMIFS('BEA VABAS 2017'!$C$4:$PK$4,'BEA VABAS 2017'!$C$6:$PK$6,$A72)</f>
        <v/>
      </c>
      <c r="N72">
        <f>SUMIFS('BEA VABAS 2017'!$C$4:$PK$4,'BEA VABAS 2017'!$C$6:$PK$6,$A72,'BEA VABAS 2017'!$C$5:$PK$5,N$63)/SUMIFS('BEA VABAS 2017'!$C$4:$PK$4,'BEA VABAS 2017'!$C$6:$PK$6,$A72)</f>
        <v/>
      </c>
      <c r="O72">
        <f>SUMIFS('BEA VABAS 2017'!$C$4:$PK$4,'BEA VABAS 2017'!$C$6:$PK$6,$A72,'BEA VABAS 2017'!$C$5:$PK$5,O$63)/SUMIFS('BEA VABAS 2017'!$C$4:$PK$4,'BEA VABAS 2017'!$C$6:$PK$6,$A72)</f>
        <v/>
      </c>
      <c r="P72">
        <f>SUMIFS('BEA VABAS 2017'!$C$4:$PK$4,'BEA VABAS 2017'!$C$6:$PK$6,$A72,'BEA VABAS 2017'!$C$5:$PK$5,P$63)/SUMIFS('BEA VABAS 2017'!$C$4:$PK$4,'BEA VABAS 2017'!$C$6:$PK$6,$A72)</f>
        <v/>
      </c>
      <c r="Q72">
        <f>SUMIFS('BEA VABAS 2017'!$C$4:$PK$4,'BEA VABAS 2017'!$C$6:$PK$6,$A72,'BEA VABAS 2017'!$C$5:$PK$5,Q$63)/SUMIFS('BEA VABAS 2017'!$C$4:$PK$4,'BEA VABAS 2017'!$C$6:$PK$6,$A72)</f>
        <v/>
      </c>
      <c r="R72">
        <f>SUMIFS('BEA VABAS 2017'!$C$4:$PK$4,'BEA VABAS 2017'!$C$6:$PK$6,$A72,'BEA VABAS 2017'!$C$5:$PK$5,R$63)/SUMIFS('BEA VABAS 2017'!$C$4:$PK$4,'BEA VABAS 2017'!$C$6:$PK$6,$A72)</f>
        <v/>
      </c>
      <c r="S72">
        <f>SUMIFS('BEA VABAS 2017'!$C$4:$PK$4,'BEA VABAS 2017'!$C$6:$PK$6,$A72,'BEA VABAS 2017'!$C$5:$PK$5,S$63)/SUMIFS('BEA VABAS 2017'!$C$4:$PK$4,'BEA VABAS 2017'!$C$6:$PK$6,$A72)</f>
        <v/>
      </c>
      <c r="T72">
        <f>SUMIFS('BEA VABAS 2017'!$C$4:$PK$4,'BEA VABAS 2017'!$C$6:$PK$6,$A72,'BEA VABAS 2017'!$C$5:$PK$5,T$63)/SUMIFS('BEA VABAS 2017'!$C$4:$PK$4,'BEA VABAS 2017'!$C$6:$PK$6,$A72)</f>
        <v/>
      </c>
      <c r="U72">
        <f>SUMIFS('BEA VABAS 2017'!$C$4:$PK$4,'BEA VABAS 2017'!$C$6:$PK$6,$A72,'BEA VABAS 2017'!$C$5:$PK$5,U$63)/SUMIFS('BEA VABAS 2017'!$C$4:$PK$4,'BEA VABAS 2017'!$C$6:$PK$6,$A72)</f>
        <v/>
      </c>
      <c r="V72">
        <f>SUMIFS('BEA VABAS 2017'!$C$4:$PK$4,'BEA VABAS 2017'!$C$6:$PK$6,$A72,'BEA VABAS 2017'!$C$5:$PK$5,V$63)/SUMIFS('BEA VABAS 2017'!$C$4:$PK$4,'BEA VABAS 2017'!$C$6:$PK$6,$A72)</f>
        <v/>
      </c>
      <c r="W72">
        <f>SUMIFS('BEA VABAS 2017'!$C$4:$PK$4,'BEA VABAS 2017'!$C$6:$PK$6,$A72,'BEA VABAS 2017'!$C$5:$PK$5,W$63)/SUMIFS('BEA VABAS 2017'!$C$4:$PK$4,'BEA VABAS 2017'!$C$6:$PK$6,$A72)</f>
        <v/>
      </c>
      <c r="X72">
        <f>SUMIFS('BEA VABAS 2017'!$C$4:$PK$4,'BEA VABAS 2017'!$C$6:$PK$6,$A72,'BEA VABAS 2017'!$C$5:$PK$5,X$63)/SUMIFS('BEA VABAS 2017'!$C$4:$PK$4,'BEA VABAS 2017'!$C$6:$PK$6,$A72)</f>
        <v/>
      </c>
      <c r="Y72">
        <f>SUMIFS('BEA VABAS 2017'!$C$4:$PK$4,'BEA VABAS 2017'!$C$6:$PK$6,$A72,'BEA VABAS 2017'!$C$5:$PK$5,Y$63)/SUMIFS('BEA VABAS 2017'!$C$4:$PK$4,'BEA VABAS 2017'!$C$6:$PK$6,$A72)</f>
        <v/>
      </c>
      <c r="Z72">
        <f>SUMIFS('BEA VABAS 2017'!$C$4:$PK$4,'BEA VABAS 2017'!$C$6:$PK$6,$A72,'BEA VABAS 2017'!$C$5:$PK$5,Z$63)/SUMIFS('BEA VABAS 2017'!$C$4:$PK$4,'BEA VABAS 2017'!$C$6:$PK$6,$A72)</f>
        <v/>
      </c>
      <c r="AA72">
        <f>SUMIFS('BEA VABAS 2017'!$C$4:$PK$4,'BEA VABAS 2017'!$C$6:$PK$6,$A72,'BEA VABAS 2017'!$C$5:$PK$5,AA$63)/SUMIFS('BEA VABAS 2017'!$C$4:$PK$4,'BEA VABAS 2017'!$C$6:$PK$6,$A72)</f>
        <v/>
      </c>
      <c r="AB72">
        <f>SUMIFS('BEA VABAS 2017'!$C$4:$PK$4,'BEA VABAS 2017'!$C$6:$PK$6,$A72,'BEA VABAS 2017'!$C$5:$PK$5,AB$63)/SUMIFS('BEA VABAS 2017'!$C$4:$PK$4,'BEA VABAS 2017'!$C$6:$PK$6,$A72)</f>
        <v/>
      </c>
      <c r="AC72">
        <f>SUMIFS('BEA VABAS 2017'!$C$4:$PK$4,'BEA VABAS 2017'!$C$6:$PK$6,$A72,'BEA VABAS 2017'!$C$5:$PK$5,AC$63)/SUMIFS('BEA VABAS 2017'!$C$4:$PK$4,'BEA VABAS 2017'!$C$6:$PK$6,$A72)</f>
        <v/>
      </c>
      <c r="AD72">
        <f>SUMIFS('BEA VABAS 2017'!$C$4:$PK$4,'BEA VABAS 2017'!$C$6:$PK$6,$A72,'BEA VABAS 2017'!$C$5:$PK$5,AD$63)/SUMIFS('BEA VABAS 2017'!$C$4:$PK$4,'BEA VABAS 2017'!$C$6:$PK$6,$A72)</f>
        <v/>
      </c>
      <c r="AE72">
        <f>SUMIFS('BEA VABAS 2017'!$C$4:$PK$4,'BEA VABAS 2017'!$C$6:$PK$6,$A72,'BEA VABAS 2017'!$C$5:$PK$5,AE$63)/SUMIFS('BEA VABAS 2017'!$C$4:$PK$4,'BEA VABAS 2017'!$C$6:$PK$6,$A72)</f>
        <v/>
      </c>
      <c r="AF72">
        <f>SUMIFS('BEA VABAS 2017'!$C$4:$PK$4,'BEA VABAS 2017'!$C$6:$PK$6,$A72,'BEA VABAS 2017'!$C$5:$PK$5,AF$63)/SUMIFS('BEA VABAS 2017'!$C$4:$PK$4,'BEA VABAS 2017'!$C$6:$PK$6,$A72)</f>
        <v/>
      </c>
      <c r="AG72">
        <f>SUMIFS('BEA VABAS 2017'!$C$4:$PK$4,'BEA VABAS 2017'!$C$6:$PK$6,$A72,'BEA VABAS 2017'!$C$5:$PK$5,AG$63)/SUMIFS('BEA VABAS 2017'!$C$4:$PK$4,'BEA VABAS 2017'!$C$6:$PK$6,$A72)</f>
        <v/>
      </c>
      <c r="AH72">
        <f>SUMIFS('BEA VABAS 2017'!$C$4:$PK$4,'BEA VABAS 2017'!$C$6:$PK$6,$A72,'BEA VABAS 2017'!$C$5:$PK$5,AH$63)/SUMIFS('BEA VABAS 2017'!$C$4:$PK$4,'BEA VABAS 2017'!$C$6:$PK$6,$A72)</f>
        <v/>
      </c>
      <c r="AI72">
        <f>SUMIFS('BEA VABAS 2017'!$C$4:$PK$4,'BEA VABAS 2017'!$C$6:$PK$6,$A72,'BEA VABAS 2017'!$C$5:$PK$5,AI$63)/SUMIFS('BEA VABAS 2017'!$C$4:$PK$4,'BEA VABAS 2017'!$C$6:$PK$6,$A72)</f>
        <v/>
      </c>
      <c r="AJ72">
        <f>SUMIFS('BEA VABAS 2017'!$C$4:$PK$4,'BEA VABAS 2017'!$C$6:$PK$6,$A72,'BEA VABAS 2017'!$C$5:$PK$5,AJ$63)/SUMIFS('BEA VABAS 2017'!$C$4:$PK$4,'BEA VABAS 2017'!$C$6:$PK$6,$A72)</f>
        <v/>
      </c>
      <c r="AK72">
        <f>SUMIFS('BEA VABAS 2017'!$C$4:$PK$4,'BEA VABAS 2017'!$C$6:$PK$6,$A72,'BEA VABAS 2017'!$C$5:$PK$5,AK$63)/SUMIFS('BEA VABAS 2017'!$C$4:$PK$4,'BEA VABAS 2017'!$C$6:$PK$6,$A72)</f>
        <v/>
      </c>
      <c r="AL72">
        <f>SUMIFS('BEA VABAS 2017'!$C$4:$PK$4,'BEA VABAS 2017'!$C$6:$PK$6,$A72,'BEA VABAS 2017'!$C$5:$PK$5,AL$63)/SUMIFS('BEA VABAS 2017'!$C$4:$PK$4,'BEA VABAS 2017'!$C$6:$PK$6,$A72)</f>
        <v/>
      </c>
      <c r="AM72">
        <f>SUMIFS('BEA VABAS 2017'!$C$4:$PK$4,'BEA VABAS 2017'!$C$6:$PK$6,$A72,'BEA VABAS 2017'!$C$5:$PK$5,AM$63)/SUMIFS('BEA VABAS 2017'!$C$4:$PK$4,'BEA VABAS 2017'!$C$6:$PK$6,$A72)</f>
        <v/>
      </c>
      <c r="AN72">
        <f>SUMIFS('BEA VABAS 2017'!$C$4:$PK$4,'BEA VABAS 2017'!$C$6:$PK$6,$A72,'BEA VABAS 2017'!$C$5:$PK$5,AN$63)/SUMIFS('BEA VABAS 2017'!$C$4:$PK$4,'BEA VABAS 2017'!$C$6:$PK$6,$A72)</f>
        <v/>
      </c>
      <c r="AO72">
        <f>SUMIFS('BEA VABAS 2017'!$C$4:$PK$4,'BEA VABAS 2017'!$C$6:$PK$6,$A72,'BEA VABAS 2017'!$C$5:$PK$5,AO$63)/SUMIFS('BEA VABAS 2017'!$C$4:$PK$4,'BEA VABAS 2017'!$C$6:$PK$6,$A72)</f>
        <v/>
      </c>
      <c r="AP72">
        <f>SUMIFS('BEA VABAS 2017'!$C$4:$PK$4,'BEA VABAS 2017'!$C$6:$PK$6,$A72,'BEA VABAS 2017'!$C$5:$PK$5,AP$63)/SUMIFS('BEA VABAS 2017'!$C$4:$PK$4,'BEA VABAS 2017'!$C$6:$PK$6,$A72)</f>
        <v/>
      </c>
      <c r="AQ72">
        <f>SUMIFS('BEA VABAS 2017'!$C$4:$PK$4,'BEA VABAS 2017'!$C$6:$PK$6,$A72,'BEA VABAS 2017'!$C$5:$PK$5,AQ$63)/SUMIFS('BEA VABAS 2017'!$C$4:$PK$4,'BEA VABAS 2017'!$C$6:$PK$6,$A72)</f>
        <v/>
      </c>
      <c r="AR72">
        <f>SUMIFS('BEA VABAS 2017'!$C$4:$PK$4,'BEA VABAS 2017'!$C$6:$PK$6,$A72,'BEA VABAS 2017'!$C$5:$PK$5,AR$63)/SUMIFS('BEA VABAS 2017'!$C$4:$PK$4,'BEA VABAS 2017'!$C$6:$PK$6,$A72)</f>
        <v/>
      </c>
      <c r="AS72">
        <f>SUMIFS('BEA VABAS 2017'!$C$4:$PK$4,'BEA VABAS 2017'!$C$6:$PK$6,$A72,'BEA VABAS 2017'!$C$5:$PK$5,AS$63)/SUMIFS('BEA VABAS 2017'!$C$4:$PK$4,'BEA VABAS 2017'!$C$6:$PK$6,$A72)</f>
        <v/>
      </c>
      <c r="AT72">
        <f>SUMIFS('BEA VABAS 2017'!$C$4:$PK$4,'BEA VABAS 2017'!$C$6:$PK$6,$A72,'BEA VABAS 2017'!$C$5:$PK$5,AT$63)/SUMIFS('BEA VABAS 2017'!$C$4:$PK$4,'BEA VABAS 2017'!$C$6:$PK$6,$A72)</f>
        <v/>
      </c>
      <c r="AU72">
        <f>SUMIFS('BEA VABAS 2017'!$C$4:$PK$4,'BEA VABAS 2017'!$C$6:$PK$6,$A72,'BEA VABAS 2017'!$C$5:$PK$5,AU$63)/SUMIFS('BEA VABAS 2017'!$C$4:$PK$4,'BEA VABAS 2017'!$C$6:$PK$6,$A72)</f>
        <v/>
      </c>
      <c r="AV72">
        <f>SUMIFS('BEA VABAS 2017'!$C$4:$PK$4,'BEA VABAS 2017'!$C$6:$PK$6,$A72,'BEA VABAS 2017'!$C$5:$PK$5,AV$63)/SUMIFS('BEA VABAS 2017'!$C$4:$PK$4,'BEA VABAS 2017'!$C$6:$PK$6,$A72)</f>
        <v/>
      </c>
      <c r="AW72">
        <f>SUMIFS('BEA VABAS 2017'!$C$4:$PK$4,'BEA VABAS 2017'!$C$6:$PK$6,$A72,'BEA VABAS 2017'!$C$5:$PK$5,AW$63)/SUMIFS('BEA VABAS 2017'!$C$4:$PK$4,'BEA VABAS 2017'!$C$6:$PK$6,$A72)</f>
        <v/>
      </c>
      <c r="AX72">
        <f>SUMIFS('BEA VABAS 2017'!$C$4:$PK$4,'BEA VABAS 2017'!$C$6:$PK$6,$A72,'BEA VABAS 2017'!$C$5:$PK$5,AX$63)/SUMIFS('BEA VABAS 2017'!$C$4:$PK$4,'BEA VABAS 2017'!$C$6:$PK$6,$A72)</f>
        <v/>
      </c>
      <c r="AY72">
        <f>SUMIFS('BEA VABAS 2017'!$C$4:$PK$4,'BEA VABAS 2017'!$C$6:$PK$6,$A72,'BEA VABAS 2017'!$C$5:$PK$5,AY$63)/SUMIFS('BEA VABAS 2017'!$C$4:$PK$4,'BEA VABAS 2017'!$C$6:$PK$6,$A72)</f>
        <v/>
      </c>
      <c r="AZ72">
        <f>SUMIFS('BEA VABAS 2017'!$C$4:$PK$4,'BEA VABAS 2017'!$C$6:$PK$6,$A72,'BEA VABAS 2017'!$C$5:$PK$5,AZ$63)/SUMIFS('BEA VABAS 2017'!$C$4:$PK$4,'BEA VABAS 2017'!$C$6:$PK$6,$A72)</f>
        <v/>
      </c>
      <c r="BA72">
        <f>SUMIFS('BEA VABAS 2017'!$C$4:$PK$4,'BEA VABAS 2017'!$C$6:$PK$6,$A72,'BEA VABAS 2017'!$C$5:$PK$5,BA$63)/SUMIFS('BEA VABAS 2017'!$C$4:$PK$4,'BEA VABAS 2017'!$C$6:$PK$6,$A72)</f>
        <v/>
      </c>
      <c r="BB72">
        <f>SUMIFS('BEA VABAS 2017'!$C$4:$PK$4,'BEA VABAS 2017'!$C$6:$PK$6,$A72,'BEA VABAS 2017'!$C$5:$PK$5,BB$63)/SUMIFS('BEA VABAS 2017'!$C$4:$PK$4,'BEA VABAS 2017'!$C$6:$PK$6,$A72)</f>
        <v/>
      </c>
    </row>
    <row r="73">
      <c r="A73" t="inlineStr">
        <is>
          <t>Other services, except government</t>
        </is>
      </c>
      <c r="B73">
        <f>INDEX($B$3:$B$60,MATCH($A73,$A$3:$A$60,0))</f>
        <v/>
      </c>
      <c r="C73">
        <f>SUMIFS('BEA VABAS 2017'!$C$4:$PK$4,'BEA VABAS 2017'!$C$6:$PK$6,$A73,'BEA VABAS 2017'!$C$5:$PK$5,C$63)/SUMIFS('BEA VABAS 2017'!$C$4:$PK$4,'BEA VABAS 2017'!$C$6:$PK$6,$A73)</f>
        <v/>
      </c>
      <c r="D73">
        <f>SUMIFS('BEA VABAS 2017'!$C$4:$PK$4,'BEA VABAS 2017'!$C$6:$PK$6,$A73,'BEA VABAS 2017'!$C$5:$PK$5,D$63)/SUMIFS('BEA VABAS 2017'!$C$4:$PK$4,'BEA VABAS 2017'!$C$6:$PK$6,$A73)</f>
        <v/>
      </c>
      <c r="E73">
        <f>SUMIFS('BEA VABAS 2017'!$C$4:$PK$4,'BEA VABAS 2017'!$C$6:$PK$6,$A73,'BEA VABAS 2017'!$C$5:$PK$5,E$63)/SUMIFS('BEA VABAS 2017'!$C$4:$PK$4,'BEA VABAS 2017'!$C$6:$PK$6,$A73)</f>
        <v/>
      </c>
      <c r="F73">
        <f>SUMIFS('BEA VABAS 2017'!$C$4:$PK$4,'BEA VABAS 2017'!$C$6:$PK$6,$A73,'BEA VABAS 2017'!$C$5:$PK$5,F$63)/SUMIFS('BEA VABAS 2017'!$C$4:$PK$4,'BEA VABAS 2017'!$C$6:$PK$6,$A73)</f>
        <v/>
      </c>
      <c r="G73">
        <f>SUMIFS('BEA VABAS 2017'!$C$4:$PK$4,'BEA VABAS 2017'!$C$6:$PK$6,$A73,'BEA VABAS 2017'!$C$5:$PK$5,G$63)/SUMIFS('BEA VABAS 2017'!$C$4:$PK$4,'BEA VABAS 2017'!$C$6:$PK$6,$A73)</f>
        <v/>
      </c>
      <c r="H73">
        <f>SUMIFS('BEA VABAS 2017'!$C$4:$PK$4,'BEA VABAS 2017'!$C$6:$PK$6,$A73,'BEA VABAS 2017'!$C$5:$PK$5,H$63)/SUMIFS('BEA VABAS 2017'!$C$4:$PK$4,'BEA VABAS 2017'!$C$6:$PK$6,$A73)</f>
        <v/>
      </c>
      <c r="I73">
        <f>SUMIFS('BEA VABAS 2017'!$C$4:$PK$4,'BEA VABAS 2017'!$C$6:$PK$6,$A73,'BEA VABAS 2017'!$C$5:$PK$5,I$63)/SUMIFS('BEA VABAS 2017'!$C$4:$PK$4,'BEA VABAS 2017'!$C$6:$PK$6,$A73)</f>
        <v/>
      </c>
      <c r="J73">
        <f>SUMIFS('BEA VABAS 2017'!$C$4:$PK$4,'BEA VABAS 2017'!$C$6:$PK$6,$A73,'BEA VABAS 2017'!$C$5:$PK$5,J$63)/SUMIFS('BEA VABAS 2017'!$C$4:$PK$4,'BEA VABAS 2017'!$C$6:$PK$6,$A73)</f>
        <v/>
      </c>
      <c r="K73">
        <f>SUMIFS('BEA VABAS 2017'!$C$4:$PK$4,'BEA VABAS 2017'!$C$6:$PK$6,$A73,'BEA VABAS 2017'!$C$5:$PK$5,K$63)/SUMIFS('BEA VABAS 2017'!$C$4:$PK$4,'BEA VABAS 2017'!$C$6:$PK$6,$A73)</f>
        <v/>
      </c>
      <c r="L73">
        <f>SUMIFS('BEA VABAS 2017'!$C$4:$PK$4,'BEA VABAS 2017'!$C$6:$PK$6,$A73,'BEA VABAS 2017'!$C$5:$PK$5,L$63)/SUMIFS('BEA VABAS 2017'!$C$4:$PK$4,'BEA VABAS 2017'!$C$6:$PK$6,$A73)</f>
        <v/>
      </c>
      <c r="M73">
        <f>SUMIFS('BEA VABAS 2017'!$C$4:$PK$4,'BEA VABAS 2017'!$C$6:$PK$6,$A73,'BEA VABAS 2017'!$C$5:$PK$5,M$63)/SUMIFS('BEA VABAS 2017'!$C$4:$PK$4,'BEA VABAS 2017'!$C$6:$PK$6,$A73)</f>
        <v/>
      </c>
      <c r="N73">
        <f>SUMIFS('BEA VABAS 2017'!$C$4:$PK$4,'BEA VABAS 2017'!$C$6:$PK$6,$A73,'BEA VABAS 2017'!$C$5:$PK$5,N$63)/SUMIFS('BEA VABAS 2017'!$C$4:$PK$4,'BEA VABAS 2017'!$C$6:$PK$6,$A73)</f>
        <v/>
      </c>
      <c r="O73">
        <f>SUMIFS('BEA VABAS 2017'!$C$4:$PK$4,'BEA VABAS 2017'!$C$6:$PK$6,$A73,'BEA VABAS 2017'!$C$5:$PK$5,O$63)/SUMIFS('BEA VABAS 2017'!$C$4:$PK$4,'BEA VABAS 2017'!$C$6:$PK$6,$A73)</f>
        <v/>
      </c>
      <c r="P73">
        <f>SUMIFS('BEA VABAS 2017'!$C$4:$PK$4,'BEA VABAS 2017'!$C$6:$PK$6,$A73,'BEA VABAS 2017'!$C$5:$PK$5,P$63)/SUMIFS('BEA VABAS 2017'!$C$4:$PK$4,'BEA VABAS 2017'!$C$6:$PK$6,$A73)</f>
        <v/>
      </c>
      <c r="Q73">
        <f>SUMIFS('BEA VABAS 2017'!$C$4:$PK$4,'BEA VABAS 2017'!$C$6:$PK$6,$A73,'BEA VABAS 2017'!$C$5:$PK$5,Q$63)/SUMIFS('BEA VABAS 2017'!$C$4:$PK$4,'BEA VABAS 2017'!$C$6:$PK$6,$A73)</f>
        <v/>
      </c>
      <c r="R73">
        <f>SUMIFS('BEA VABAS 2017'!$C$4:$PK$4,'BEA VABAS 2017'!$C$6:$PK$6,$A73,'BEA VABAS 2017'!$C$5:$PK$5,R$63)/SUMIFS('BEA VABAS 2017'!$C$4:$PK$4,'BEA VABAS 2017'!$C$6:$PK$6,$A73)</f>
        <v/>
      </c>
      <c r="S73">
        <f>SUMIFS('BEA VABAS 2017'!$C$4:$PK$4,'BEA VABAS 2017'!$C$6:$PK$6,$A73,'BEA VABAS 2017'!$C$5:$PK$5,S$63)/SUMIFS('BEA VABAS 2017'!$C$4:$PK$4,'BEA VABAS 2017'!$C$6:$PK$6,$A73)</f>
        <v/>
      </c>
      <c r="T73">
        <f>SUMIFS('BEA VABAS 2017'!$C$4:$PK$4,'BEA VABAS 2017'!$C$6:$PK$6,$A73,'BEA VABAS 2017'!$C$5:$PK$5,T$63)/SUMIFS('BEA VABAS 2017'!$C$4:$PK$4,'BEA VABAS 2017'!$C$6:$PK$6,$A73)</f>
        <v/>
      </c>
      <c r="U73">
        <f>SUMIFS('BEA VABAS 2017'!$C$4:$PK$4,'BEA VABAS 2017'!$C$6:$PK$6,$A73,'BEA VABAS 2017'!$C$5:$PK$5,U$63)/SUMIFS('BEA VABAS 2017'!$C$4:$PK$4,'BEA VABAS 2017'!$C$6:$PK$6,$A73)</f>
        <v/>
      </c>
      <c r="V73">
        <f>SUMIFS('BEA VABAS 2017'!$C$4:$PK$4,'BEA VABAS 2017'!$C$6:$PK$6,$A73,'BEA VABAS 2017'!$C$5:$PK$5,V$63)/SUMIFS('BEA VABAS 2017'!$C$4:$PK$4,'BEA VABAS 2017'!$C$6:$PK$6,$A73)</f>
        <v/>
      </c>
      <c r="W73">
        <f>SUMIFS('BEA VABAS 2017'!$C$4:$PK$4,'BEA VABAS 2017'!$C$6:$PK$6,$A73,'BEA VABAS 2017'!$C$5:$PK$5,W$63)/SUMIFS('BEA VABAS 2017'!$C$4:$PK$4,'BEA VABAS 2017'!$C$6:$PK$6,$A73)</f>
        <v/>
      </c>
      <c r="X73">
        <f>SUMIFS('BEA VABAS 2017'!$C$4:$PK$4,'BEA VABAS 2017'!$C$6:$PK$6,$A73,'BEA VABAS 2017'!$C$5:$PK$5,X$63)/SUMIFS('BEA VABAS 2017'!$C$4:$PK$4,'BEA VABAS 2017'!$C$6:$PK$6,$A73)</f>
        <v/>
      </c>
      <c r="Y73">
        <f>SUMIFS('BEA VABAS 2017'!$C$4:$PK$4,'BEA VABAS 2017'!$C$6:$PK$6,$A73,'BEA VABAS 2017'!$C$5:$PK$5,Y$63)/SUMIFS('BEA VABAS 2017'!$C$4:$PK$4,'BEA VABAS 2017'!$C$6:$PK$6,$A73)</f>
        <v/>
      </c>
      <c r="Z73">
        <f>SUMIFS('BEA VABAS 2017'!$C$4:$PK$4,'BEA VABAS 2017'!$C$6:$PK$6,$A73,'BEA VABAS 2017'!$C$5:$PK$5,Z$63)/SUMIFS('BEA VABAS 2017'!$C$4:$PK$4,'BEA VABAS 2017'!$C$6:$PK$6,$A73)</f>
        <v/>
      </c>
      <c r="AA73">
        <f>SUMIFS('BEA VABAS 2017'!$C$4:$PK$4,'BEA VABAS 2017'!$C$6:$PK$6,$A73,'BEA VABAS 2017'!$C$5:$PK$5,AA$63)/SUMIFS('BEA VABAS 2017'!$C$4:$PK$4,'BEA VABAS 2017'!$C$6:$PK$6,$A73)</f>
        <v/>
      </c>
      <c r="AB73">
        <f>SUMIFS('BEA VABAS 2017'!$C$4:$PK$4,'BEA VABAS 2017'!$C$6:$PK$6,$A73,'BEA VABAS 2017'!$C$5:$PK$5,AB$63)/SUMIFS('BEA VABAS 2017'!$C$4:$PK$4,'BEA VABAS 2017'!$C$6:$PK$6,$A73)</f>
        <v/>
      </c>
      <c r="AC73">
        <f>SUMIFS('BEA VABAS 2017'!$C$4:$PK$4,'BEA VABAS 2017'!$C$6:$PK$6,$A73,'BEA VABAS 2017'!$C$5:$PK$5,AC$63)/SUMIFS('BEA VABAS 2017'!$C$4:$PK$4,'BEA VABAS 2017'!$C$6:$PK$6,$A73)</f>
        <v/>
      </c>
      <c r="AD73">
        <f>SUMIFS('BEA VABAS 2017'!$C$4:$PK$4,'BEA VABAS 2017'!$C$6:$PK$6,$A73,'BEA VABAS 2017'!$C$5:$PK$5,AD$63)/SUMIFS('BEA VABAS 2017'!$C$4:$PK$4,'BEA VABAS 2017'!$C$6:$PK$6,$A73)</f>
        <v/>
      </c>
      <c r="AE73">
        <f>SUMIFS('BEA VABAS 2017'!$C$4:$PK$4,'BEA VABAS 2017'!$C$6:$PK$6,$A73,'BEA VABAS 2017'!$C$5:$PK$5,AE$63)/SUMIFS('BEA VABAS 2017'!$C$4:$PK$4,'BEA VABAS 2017'!$C$6:$PK$6,$A73)</f>
        <v/>
      </c>
      <c r="AF73">
        <f>SUMIFS('BEA VABAS 2017'!$C$4:$PK$4,'BEA VABAS 2017'!$C$6:$PK$6,$A73,'BEA VABAS 2017'!$C$5:$PK$5,AF$63)/SUMIFS('BEA VABAS 2017'!$C$4:$PK$4,'BEA VABAS 2017'!$C$6:$PK$6,$A73)</f>
        <v/>
      </c>
      <c r="AG73">
        <f>SUMIFS('BEA VABAS 2017'!$C$4:$PK$4,'BEA VABAS 2017'!$C$6:$PK$6,$A73,'BEA VABAS 2017'!$C$5:$PK$5,AG$63)/SUMIFS('BEA VABAS 2017'!$C$4:$PK$4,'BEA VABAS 2017'!$C$6:$PK$6,$A73)</f>
        <v/>
      </c>
      <c r="AH73">
        <f>SUMIFS('BEA VABAS 2017'!$C$4:$PK$4,'BEA VABAS 2017'!$C$6:$PK$6,$A73,'BEA VABAS 2017'!$C$5:$PK$5,AH$63)/SUMIFS('BEA VABAS 2017'!$C$4:$PK$4,'BEA VABAS 2017'!$C$6:$PK$6,$A73)</f>
        <v/>
      </c>
      <c r="AI73">
        <f>SUMIFS('BEA VABAS 2017'!$C$4:$PK$4,'BEA VABAS 2017'!$C$6:$PK$6,$A73,'BEA VABAS 2017'!$C$5:$PK$5,AI$63)/SUMIFS('BEA VABAS 2017'!$C$4:$PK$4,'BEA VABAS 2017'!$C$6:$PK$6,$A73)</f>
        <v/>
      </c>
      <c r="AJ73">
        <f>SUMIFS('BEA VABAS 2017'!$C$4:$PK$4,'BEA VABAS 2017'!$C$6:$PK$6,$A73,'BEA VABAS 2017'!$C$5:$PK$5,AJ$63)/SUMIFS('BEA VABAS 2017'!$C$4:$PK$4,'BEA VABAS 2017'!$C$6:$PK$6,$A73)</f>
        <v/>
      </c>
      <c r="AK73">
        <f>SUMIFS('BEA VABAS 2017'!$C$4:$PK$4,'BEA VABAS 2017'!$C$6:$PK$6,$A73,'BEA VABAS 2017'!$C$5:$PK$5,AK$63)/SUMIFS('BEA VABAS 2017'!$C$4:$PK$4,'BEA VABAS 2017'!$C$6:$PK$6,$A73)</f>
        <v/>
      </c>
      <c r="AL73">
        <f>SUMIFS('BEA VABAS 2017'!$C$4:$PK$4,'BEA VABAS 2017'!$C$6:$PK$6,$A73,'BEA VABAS 2017'!$C$5:$PK$5,AL$63)/SUMIFS('BEA VABAS 2017'!$C$4:$PK$4,'BEA VABAS 2017'!$C$6:$PK$6,$A73)</f>
        <v/>
      </c>
      <c r="AM73">
        <f>SUMIFS('BEA VABAS 2017'!$C$4:$PK$4,'BEA VABAS 2017'!$C$6:$PK$6,$A73,'BEA VABAS 2017'!$C$5:$PK$5,AM$63)/SUMIFS('BEA VABAS 2017'!$C$4:$PK$4,'BEA VABAS 2017'!$C$6:$PK$6,$A73)</f>
        <v/>
      </c>
      <c r="AN73">
        <f>SUMIFS('BEA VABAS 2017'!$C$4:$PK$4,'BEA VABAS 2017'!$C$6:$PK$6,$A73,'BEA VABAS 2017'!$C$5:$PK$5,AN$63)/SUMIFS('BEA VABAS 2017'!$C$4:$PK$4,'BEA VABAS 2017'!$C$6:$PK$6,$A73)</f>
        <v/>
      </c>
      <c r="AO73">
        <f>SUMIFS('BEA VABAS 2017'!$C$4:$PK$4,'BEA VABAS 2017'!$C$6:$PK$6,$A73,'BEA VABAS 2017'!$C$5:$PK$5,AO$63)/SUMIFS('BEA VABAS 2017'!$C$4:$PK$4,'BEA VABAS 2017'!$C$6:$PK$6,$A73)</f>
        <v/>
      </c>
      <c r="AP73">
        <f>SUMIFS('BEA VABAS 2017'!$C$4:$PK$4,'BEA VABAS 2017'!$C$6:$PK$6,$A73,'BEA VABAS 2017'!$C$5:$PK$5,AP$63)/SUMIFS('BEA VABAS 2017'!$C$4:$PK$4,'BEA VABAS 2017'!$C$6:$PK$6,$A73)</f>
        <v/>
      </c>
      <c r="AQ73">
        <f>SUMIFS('BEA VABAS 2017'!$C$4:$PK$4,'BEA VABAS 2017'!$C$6:$PK$6,$A73,'BEA VABAS 2017'!$C$5:$PK$5,AQ$63)/SUMIFS('BEA VABAS 2017'!$C$4:$PK$4,'BEA VABAS 2017'!$C$6:$PK$6,$A73)</f>
        <v/>
      </c>
      <c r="AR73">
        <f>SUMIFS('BEA VABAS 2017'!$C$4:$PK$4,'BEA VABAS 2017'!$C$6:$PK$6,$A73,'BEA VABAS 2017'!$C$5:$PK$5,AR$63)/SUMIFS('BEA VABAS 2017'!$C$4:$PK$4,'BEA VABAS 2017'!$C$6:$PK$6,$A73)</f>
        <v/>
      </c>
      <c r="AS73">
        <f>SUMIFS('BEA VABAS 2017'!$C$4:$PK$4,'BEA VABAS 2017'!$C$6:$PK$6,$A73,'BEA VABAS 2017'!$C$5:$PK$5,AS$63)/SUMIFS('BEA VABAS 2017'!$C$4:$PK$4,'BEA VABAS 2017'!$C$6:$PK$6,$A73)</f>
        <v/>
      </c>
      <c r="AT73">
        <f>SUMIFS('BEA VABAS 2017'!$C$4:$PK$4,'BEA VABAS 2017'!$C$6:$PK$6,$A73,'BEA VABAS 2017'!$C$5:$PK$5,AT$63)/SUMIFS('BEA VABAS 2017'!$C$4:$PK$4,'BEA VABAS 2017'!$C$6:$PK$6,$A73)</f>
        <v/>
      </c>
      <c r="AU73">
        <f>SUMIFS('BEA VABAS 2017'!$C$4:$PK$4,'BEA VABAS 2017'!$C$6:$PK$6,$A73,'BEA VABAS 2017'!$C$5:$PK$5,AU$63)/SUMIFS('BEA VABAS 2017'!$C$4:$PK$4,'BEA VABAS 2017'!$C$6:$PK$6,$A73)</f>
        <v/>
      </c>
      <c r="AV73">
        <f>SUMIFS('BEA VABAS 2017'!$C$4:$PK$4,'BEA VABAS 2017'!$C$6:$PK$6,$A73,'BEA VABAS 2017'!$C$5:$PK$5,AV$63)/SUMIFS('BEA VABAS 2017'!$C$4:$PK$4,'BEA VABAS 2017'!$C$6:$PK$6,$A73)</f>
        <v/>
      </c>
      <c r="AW73">
        <f>SUMIFS('BEA VABAS 2017'!$C$4:$PK$4,'BEA VABAS 2017'!$C$6:$PK$6,$A73,'BEA VABAS 2017'!$C$5:$PK$5,AW$63)/SUMIFS('BEA VABAS 2017'!$C$4:$PK$4,'BEA VABAS 2017'!$C$6:$PK$6,$A73)</f>
        <v/>
      </c>
      <c r="AX73">
        <f>SUMIFS('BEA VABAS 2017'!$C$4:$PK$4,'BEA VABAS 2017'!$C$6:$PK$6,$A73,'BEA VABAS 2017'!$C$5:$PK$5,AX$63)/SUMIFS('BEA VABAS 2017'!$C$4:$PK$4,'BEA VABAS 2017'!$C$6:$PK$6,$A73)</f>
        <v/>
      </c>
      <c r="AY73">
        <f>SUMIFS('BEA VABAS 2017'!$C$4:$PK$4,'BEA VABAS 2017'!$C$6:$PK$6,$A73,'BEA VABAS 2017'!$C$5:$PK$5,AY$63)/SUMIFS('BEA VABAS 2017'!$C$4:$PK$4,'BEA VABAS 2017'!$C$6:$PK$6,$A73)</f>
        <v/>
      </c>
      <c r="AZ73">
        <f>SUMIFS('BEA VABAS 2017'!$C$4:$PK$4,'BEA VABAS 2017'!$C$6:$PK$6,$A73,'BEA VABAS 2017'!$C$5:$PK$5,AZ$63)/SUMIFS('BEA VABAS 2017'!$C$4:$PK$4,'BEA VABAS 2017'!$C$6:$PK$6,$A73)</f>
        <v/>
      </c>
      <c r="BA73">
        <f>SUMIFS('BEA VABAS 2017'!$C$4:$PK$4,'BEA VABAS 2017'!$C$6:$PK$6,$A73,'BEA VABAS 2017'!$C$5:$PK$5,BA$63)/SUMIFS('BEA VABAS 2017'!$C$4:$PK$4,'BEA VABAS 2017'!$C$6:$PK$6,$A73)</f>
        <v/>
      </c>
      <c r="BB73">
        <f>SUMIFS('BEA VABAS 2017'!$C$4:$PK$4,'BEA VABAS 2017'!$C$6:$PK$6,$A73,'BEA VABAS 2017'!$C$5:$PK$5,BB$63)/SUMIFS('BEA VABAS 2017'!$C$4:$PK$4,'BEA VABAS 2017'!$C$6:$PK$6,$A73)</f>
        <v/>
      </c>
    </row>
    <row r="74">
      <c r="A74" t="inlineStr">
        <is>
          <t>Government enterprises#1</t>
        </is>
      </c>
      <c r="B74">
        <f>INDEX($B$3:$B$60,MATCH($A74,$A$3:$A$60,0))</f>
        <v/>
      </c>
      <c r="C74">
        <f>SUMIFS('BEA VABAS 2017'!$C$4:$PK$4,'BEA VABAS 2017'!$C$6:$PK$6,$A74,'BEA VABAS 2017'!$C$5:$PK$5,C$63)/SUMIFS('BEA VABAS 2017'!$C$4:$PK$4,'BEA VABAS 2017'!$C$6:$PK$6,$A74)</f>
        <v/>
      </c>
      <c r="D74">
        <f>SUMIFS('BEA VABAS 2017'!$C$4:$PK$4,'BEA VABAS 2017'!$C$6:$PK$6,$A74,'BEA VABAS 2017'!$C$5:$PK$5,D$63)/SUMIFS('BEA VABAS 2017'!$C$4:$PK$4,'BEA VABAS 2017'!$C$6:$PK$6,$A74)</f>
        <v/>
      </c>
      <c r="E74">
        <f>SUMIFS('BEA VABAS 2017'!$C$4:$PK$4,'BEA VABAS 2017'!$C$6:$PK$6,$A74,'BEA VABAS 2017'!$C$5:$PK$5,E$63)/SUMIFS('BEA VABAS 2017'!$C$4:$PK$4,'BEA VABAS 2017'!$C$6:$PK$6,$A74)</f>
        <v/>
      </c>
      <c r="F74">
        <f>SUMIFS('BEA VABAS 2017'!$C$4:$PK$4,'BEA VABAS 2017'!$C$6:$PK$6,$A74,'BEA VABAS 2017'!$C$5:$PK$5,F$63)/SUMIFS('BEA VABAS 2017'!$C$4:$PK$4,'BEA VABAS 2017'!$C$6:$PK$6,$A74)</f>
        <v/>
      </c>
      <c r="G74">
        <f>SUMIFS('BEA VABAS 2017'!$C$4:$PK$4,'BEA VABAS 2017'!$C$6:$PK$6,$A74,'BEA VABAS 2017'!$C$5:$PK$5,G$63)/SUMIFS('BEA VABAS 2017'!$C$4:$PK$4,'BEA VABAS 2017'!$C$6:$PK$6,$A74)</f>
        <v/>
      </c>
      <c r="H74">
        <f>SUMIFS('BEA VABAS 2017'!$C$4:$PK$4,'BEA VABAS 2017'!$C$6:$PK$6,$A74,'BEA VABAS 2017'!$C$5:$PK$5,H$63)/SUMIFS('BEA VABAS 2017'!$C$4:$PK$4,'BEA VABAS 2017'!$C$6:$PK$6,$A74)</f>
        <v/>
      </c>
      <c r="I74">
        <f>SUMIFS('BEA VABAS 2017'!$C$4:$PK$4,'BEA VABAS 2017'!$C$6:$PK$6,$A74,'BEA VABAS 2017'!$C$5:$PK$5,I$63)/SUMIFS('BEA VABAS 2017'!$C$4:$PK$4,'BEA VABAS 2017'!$C$6:$PK$6,$A74)</f>
        <v/>
      </c>
      <c r="J74">
        <f>SUMIFS('BEA VABAS 2017'!$C$4:$PK$4,'BEA VABAS 2017'!$C$6:$PK$6,$A74,'BEA VABAS 2017'!$C$5:$PK$5,J$63)/SUMIFS('BEA VABAS 2017'!$C$4:$PK$4,'BEA VABAS 2017'!$C$6:$PK$6,$A74)</f>
        <v/>
      </c>
      <c r="K74">
        <f>SUMIFS('BEA VABAS 2017'!$C$4:$PK$4,'BEA VABAS 2017'!$C$6:$PK$6,$A74,'BEA VABAS 2017'!$C$5:$PK$5,K$63)/SUMIFS('BEA VABAS 2017'!$C$4:$PK$4,'BEA VABAS 2017'!$C$6:$PK$6,$A74)</f>
        <v/>
      </c>
      <c r="L74">
        <f>SUMIFS('BEA VABAS 2017'!$C$4:$PK$4,'BEA VABAS 2017'!$C$6:$PK$6,$A74,'BEA VABAS 2017'!$C$5:$PK$5,L$63)/SUMIFS('BEA VABAS 2017'!$C$4:$PK$4,'BEA VABAS 2017'!$C$6:$PK$6,$A74)</f>
        <v/>
      </c>
      <c r="M74">
        <f>SUMIFS('BEA VABAS 2017'!$C$4:$PK$4,'BEA VABAS 2017'!$C$6:$PK$6,$A74,'BEA VABAS 2017'!$C$5:$PK$5,M$63)/SUMIFS('BEA VABAS 2017'!$C$4:$PK$4,'BEA VABAS 2017'!$C$6:$PK$6,$A74)</f>
        <v/>
      </c>
      <c r="N74">
        <f>SUMIFS('BEA VABAS 2017'!$C$4:$PK$4,'BEA VABAS 2017'!$C$6:$PK$6,$A74,'BEA VABAS 2017'!$C$5:$PK$5,N$63)/SUMIFS('BEA VABAS 2017'!$C$4:$PK$4,'BEA VABAS 2017'!$C$6:$PK$6,$A74)</f>
        <v/>
      </c>
      <c r="O74">
        <f>SUMIFS('BEA VABAS 2017'!$C$4:$PK$4,'BEA VABAS 2017'!$C$6:$PK$6,$A74,'BEA VABAS 2017'!$C$5:$PK$5,O$63)/SUMIFS('BEA VABAS 2017'!$C$4:$PK$4,'BEA VABAS 2017'!$C$6:$PK$6,$A74)</f>
        <v/>
      </c>
      <c r="P74">
        <f>SUMIFS('BEA VABAS 2017'!$C$4:$PK$4,'BEA VABAS 2017'!$C$6:$PK$6,$A74,'BEA VABAS 2017'!$C$5:$PK$5,P$63)/SUMIFS('BEA VABAS 2017'!$C$4:$PK$4,'BEA VABAS 2017'!$C$6:$PK$6,$A74)</f>
        <v/>
      </c>
      <c r="Q74">
        <f>SUMIFS('BEA VABAS 2017'!$C$4:$PK$4,'BEA VABAS 2017'!$C$6:$PK$6,$A74,'BEA VABAS 2017'!$C$5:$PK$5,Q$63)/SUMIFS('BEA VABAS 2017'!$C$4:$PK$4,'BEA VABAS 2017'!$C$6:$PK$6,$A74)</f>
        <v/>
      </c>
      <c r="R74">
        <f>SUMIFS('BEA VABAS 2017'!$C$4:$PK$4,'BEA VABAS 2017'!$C$6:$PK$6,$A74,'BEA VABAS 2017'!$C$5:$PK$5,R$63)/SUMIFS('BEA VABAS 2017'!$C$4:$PK$4,'BEA VABAS 2017'!$C$6:$PK$6,$A74)</f>
        <v/>
      </c>
      <c r="S74">
        <f>SUMIFS('BEA VABAS 2017'!$C$4:$PK$4,'BEA VABAS 2017'!$C$6:$PK$6,$A74,'BEA VABAS 2017'!$C$5:$PK$5,S$63)/SUMIFS('BEA VABAS 2017'!$C$4:$PK$4,'BEA VABAS 2017'!$C$6:$PK$6,$A74)</f>
        <v/>
      </c>
      <c r="T74">
        <f>SUMIFS('BEA VABAS 2017'!$C$4:$PK$4,'BEA VABAS 2017'!$C$6:$PK$6,$A74,'BEA VABAS 2017'!$C$5:$PK$5,T$63)/SUMIFS('BEA VABAS 2017'!$C$4:$PK$4,'BEA VABAS 2017'!$C$6:$PK$6,$A74)</f>
        <v/>
      </c>
      <c r="U74">
        <f>SUMIFS('BEA VABAS 2017'!$C$4:$PK$4,'BEA VABAS 2017'!$C$6:$PK$6,$A74,'BEA VABAS 2017'!$C$5:$PK$5,U$63)/SUMIFS('BEA VABAS 2017'!$C$4:$PK$4,'BEA VABAS 2017'!$C$6:$PK$6,$A74)</f>
        <v/>
      </c>
      <c r="V74">
        <f>SUMIFS('BEA VABAS 2017'!$C$4:$PK$4,'BEA VABAS 2017'!$C$6:$PK$6,$A74,'BEA VABAS 2017'!$C$5:$PK$5,V$63)/SUMIFS('BEA VABAS 2017'!$C$4:$PK$4,'BEA VABAS 2017'!$C$6:$PK$6,$A74)</f>
        <v/>
      </c>
      <c r="W74">
        <f>SUMIFS('BEA VABAS 2017'!$C$4:$PK$4,'BEA VABAS 2017'!$C$6:$PK$6,$A74,'BEA VABAS 2017'!$C$5:$PK$5,W$63)/SUMIFS('BEA VABAS 2017'!$C$4:$PK$4,'BEA VABAS 2017'!$C$6:$PK$6,$A74)</f>
        <v/>
      </c>
      <c r="X74">
        <f>SUMIFS('BEA VABAS 2017'!$C$4:$PK$4,'BEA VABAS 2017'!$C$6:$PK$6,$A74,'BEA VABAS 2017'!$C$5:$PK$5,X$63)/SUMIFS('BEA VABAS 2017'!$C$4:$PK$4,'BEA VABAS 2017'!$C$6:$PK$6,$A74)</f>
        <v/>
      </c>
      <c r="Y74">
        <f>SUMIFS('BEA VABAS 2017'!$C$4:$PK$4,'BEA VABAS 2017'!$C$6:$PK$6,$A74,'BEA VABAS 2017'!$C$5:$PK$5,Y$63)/SUMIFS('BEA VABAS 2017'!$C$4:$PK$4,'BEA VABAS 2017'!$C$6:$PK$6,$A74)</f>
        <v/>
      </c>
      <c r="Z74">
        <f>SUMIFS('BEA VABAS 2017'!$C$4:$PK$4,'BEA VABAS 2017'!$C$6:$PK$6,$A74,'BEA VABAS 2017'!$C$5:$PK$5,Z$63)/SUMIFS('BEA VABAS 2017'!$C$4:$PK$4,'BEA VABAS 2017'!$C$6:$PK$6,$A74)</f>
        <v/>
      </c>
      <c r="AA74">
        <f>SUMIFS('BEA VABAS 2017'!$C$4:$PK$4,'BEA VABAS 2017'!$C$6:$PK$6,$A74,'BEA VABAS 2017'!$C$5:$PK$5,AA$63)/SUMIFS('BEA VABAS 2017'!$C$4:$PK$4,'BEA VABAS 2017'!$C$6:$PK$6,$A74)</f>
        <v/>
      </c>
      <c r="AB74">
        <f>SUMIFS('BEA VABAS 2017'!$C$4:$PK$4,'BEA VABAS 2017'!$C$6:$PK$6,$A74,'BEA VABAS 2017'!$C$5:$PK$5,AB$63)/SUMIFS('BEA VABAS 2017'!$C$4:$PK$4,'BEA VABAS 2017'!$C$6:$PK$6,$A74)</f>
        <v/>
      </c>
      <c r="AC74">
        <f>SUMIFS('BEA VABAS 2017'!$C$4:$PK$4,'BEA VABAS 2017'!$C$6:$PK$6,$A74,'BEA VABAS 2017'!$C$5:$PK$5,AC$63)/SUMIFS('BEA VABAS 2017'!$C$4:$PK$4,'BEA VABAS 2017'!$C$6:$PK$6,$A74)</f>
        <v/>
      </c>
      <c r="AD74">
        <f>SUMIFS('BEA VABAS 2017'!$C$4:$PK$4,'BEA VABAS 2017'!$C$6:$PK$6,$A74,'BEA VABAS 2017'!$C$5:$PK$5,AD$63)/SUMIFS('BEA VABAS 2017'!$C$4:$PK$4,'BEA VABAS 2017'!$C$6:$PK$6,$A74)</f>
        <v/>
      </c>
      <c r="AE74">
        <f>SUMIFS('BEA VABAS 2017'!$C$4:$PK$4,'BEA VABAS 2017'!$C$6:$PK$6,$A74,'BEA VABAS 2017'!$C$5:$PK$5,AE$63)/SUMIFS('BEA VABAS 2017'!$C$4:$PK$4,'BEA VABAS 2017'!$C$6:$PK$6,$A74)</f>
        <v/>
      </c>
      <c r="AF74">
        <f>SUMIFS('BEA VABAS 2017'!$C$4:$PK$4,'BEA VABAS 2017'!$C$6:$PK$6,$A74,'BEA VABAS 2017'!$C$5:$PK$5,AF$63)/SUMIFS('BEA VABAS 2017'!$C$4:$PK$4,'BEA VABAS 2017'!$C$6:$PK$6,$A74)</f>
        <v/>
      </c>
      <c r="AG74">
        <f>SUMIFS('BEA VABAS 2017'!$C$4:$PK$4,'BEA VABAS 2017'!$C$6:$PK$6,$A74,'BEA VABAS 2017'!$C$5:$PK$5,AG$63)/SUMIFS('BEA VABAS 2017'!$C$4:$PK$4,'BEA VABAS 2017'!$C$6:$PK$6,$A74)</f>
        <v/>
      </c>
      <c r="AH74">
        <f>SUMIFS('BEA VABAS 2017'!$C$4:$PK$4,'BEA VABAS 2017'!$C$6:$PK$6,$A74,'BEA VABAS 2017'!$C$5:$PK$5,AH$63)/SUMIFS('BEA VABAS 2017'!$C$4:$PK$4,'BEA VABAS 2017'!$C$6:$PK$6,$A74)</f>
        <v/>
      </c>
      <c r="AI74">
        <f>SUMIFS('BEA VABAS 2017'!$C$4:$PK$4,'BEA VABAS 2017'!$C$6:$PK$6,$A74,'BEA VABAS 2017'!$C$5:$PK$5,AI$63)/SUMIFS('BEA VABAS 2017'!$C$4:$PK$4,'BEA VABAS 2017'!$C$6:$PK$6,$A74)</f>
        <v/>
      </c>
      <c r="AJ74">
        <f>SUMIFS('BEA VABAS 2017'!$C$4:$PK$4,'BEA VABAS 2017'!$C$6:$PK$6,$A74,'BEA VABAS 2017'!$C$5:$PK$5,AJ$63)/SUMIFS('BEA VABAS 2017'!$C$4:$PK$4,'BEA VABAS 2017'!$C$6:$PK$6,$A74)</f>
        <v/>
      </c>
      <c r="AK74">
        <f>SUMIFS('BEA VABAS 2017'!$C$4:$PK$4,'BEA VABAS 2017'!$C$6:$PK$6,$A74,'BEA VABAS 2017'!$C$5:$PK$5,AK$63)/SUMIFS('BEA VABAS 2017'!$C$4:$PK$4,'BEA VABAS 2017'!$C$6:$PK$6,$A74)</f>
        <v/>
      </c>
      <c r="AL74">
        <f>SUMIFS('BEA VABAS 2017'!$C$4:$PK$4,'BEA VABAS 2017'!$C$6:$PK$6,$A74,'BEA VABAS 2017'!$C$5:$PK$5,AL$63)/SUMIFS('BEA VABAS 2017'!$C$4:$PK$4,'BEA VABAS 2017'!$C$6:$PK$6,$A74)</f>
        <v/>
      </c>
      <c r="AM74">
        <f>SUMIFS('BEA VABAS 2017'!$C$4:$PK$4,'BEA VABAS 2017'!$C$6:$PK$6,$A74,'BEA VABAS 2017'!$C$5:$PK$5,AM$63)/SUMIFS('BEA VABAS 2017'!$C$4:$PK$4,'BEA VABAS 2017'!$C$6:$PK$6,$A74)</f>
        <v/>
      </c>
      <c r="AN74">
        <f>SUMIFS('BEA VABAS 2017'!$C$4:$PK$4,'BEA VABAS 2017'!$C$6:$PK$6,$A74,'BEA VABAS 2017'!$C$5:$PK$5,AN$63)/SUMIFS('BEA VABAS 2017'!$C$4:$PK$4,'BEA VABAS 2017'!$C$6:$PK$6,$A74)</f>
        <v/>
      </c>
      <c r="AO74">
        <f>SUMIFS('BEA VABAS 2017'!$C$4:$PK$4,'BEA VABAS 2017'!$C$6:$PK$6,$A74,'BEA VABAS 2017'!$C$5:$PK$5,AO$63)/SUMIFS('BEA VABAS 2017'!$C$4:$PK$4,'BEA VABAS 2017'!$C$6:$PK$6,$A74)</f>
        <v/>
      </c>
      <c r="AP74">
        <f>SUMIFS('BEA VABAS 2017'!$C$4:$PK$4,'BEA VABAS 2017'!$C$6:$PK$6,$A74,'BEA VABAS 2017'!$C$5:$PK$5,AP$63)/SUMIFS('BEA VABAS 2017'!$C$4:$PK$4,'BEA VABAS 2017'!$C$6:$PK$6,$A74)</f>
        <v/>
      </c>
      <c r="AQ74">
        <f>SUMIFS('BEA VABAS 2017'!$C$4:$PK$4,'BEA VABAS 2017'!$C$6:$PK$6,$A74,'BEA VABAS 2017'!$C$5:$PK$5,AQ$63)/SUMIFS('BEA VABAS 2017'!$C$4:$PK$4,'BEA VABAS 2017'!$C$6:$PK$6,$A74)</f>
        <v/>
      </c>
      <c r="AR74">
        <f>SUMIFS('BEA VABAS 2017'!$C$4:$PK$4,'BEA VABAS 2017'!$C$6:$PK$6,$A74,'BEA VABAS 2017'!$C$5:$PK$5,AR$63)/SUMIFS('BEA VABAS 2017'!$C$4:$PK$4,'BEA VABAS 2017'!$C$6:$PK$6,$A74)</f>
        <v/>
      </c>
      <c r="AS74">
        <f>SUMIFS('BEA VABAS 2017'!$C$4:$PK$4,'BEA VABAS 2017'!$C$6:$PK$6,$A74,'BEA VABAS 2017'!$C$5:$PK$5,AS$63)/SUMIFS('BEA VABAS 2017'!$C$4:$PK$4,'BEA VABAS 2017'!$C$6:$PK$6,$A74)</f>
        <v/>
      </c>
      <c r="AT74">
        <f>SUMIFS('BEA VABAS 2017'!$C$4:$PK$4,'BEA VABAS 2017'!$C$6:$PK$6,$A74,'BEA VABAS 2017'!$C$5:$PK$5,AT$63)/SUMIFS('BEA VABAS 2017'!$C$4:$PK$4,'BEA VABAS 2017'!$C$6:$PK$6,$A74)</f>
        <v/>
      </c>
      <c r="AU74">
        <f>SUMIFS('BEA VABAS 2017'!$C$4:$PK$4,'BEA VABAS 2017'!$C$6:$PK$6,$A74,'BEA VABAS 2017'!$C$5:$PK$5,AU$63)/SUMIFS('BEA VABAS 2017'!$C$4:$PK$4,'BEA VABAS 2017'!$C$6:$PK$6,$A74)</f>
        <v/>
      </c>
      <c r="AV74">
        <f>SUMIFS('BEA VABAS 2017'!$C$4:$PK$4,'BEA VABAS 2017'!$C$6:$PK$6,$A74,'BEA VABAS 2017'!$C$5:$PK$5,AV$63)/SUMIFS('BEA VABAS 2017'!$C$4:$PK$4,'BEA VABAS 2017'!$C$6:$PK$6,$A74)</f>
        <v/>
      </c>
      <c r="AW74">
        <f>SUMIFS('BEA VABAS 2017'!$C$4:$PK$4,'BEA VABAS 2017'!$C$6:$PK$6,$A74,'BEA VABAS 2017'!$C$5:$PK$5,AW$63)/SUMIFS('BEA VABAS 2017'!$C$4:$PK$4,'BEA VABAS 2017'!$C$6:$PK$6,$A74)</f>
        <v/>
      </c>
      <c r="AX74">
        <f>SUMIFS('BEA VABAS 2017'!$C$4:$PK$4,'BEA VABAS 2017'!$C$6:$PK$6,$A74,'BEA VABAS 2017'!$C$5:$PK$5,AX$63)/SUMIFS('BEA VABAS 2017'!$C$4:$PK$4,'BEA VABAS 2017'!$C$6:$PK$6,$A74)</f>
        <v/>
      </c>
      <c r="AY74">
        <f>SUMIFS('BEA VABAS 2017'!$C$4:$PK$4,'BEA VABAS 2017'!$C$6:$PK$6,$A74,'BEA VABAS 2017'!$C$5:$PK$5,AY$63)/SUMIFS('BEA VABAS 2017'!$C$4:$PK$4,'BEA VABAS 2017'!$C$6:$PK$6,$A74)</f>
        <v/>
      </c>
      <c r="AZ74">
        <f>SUMIFS('BEA VABAS 2017'!$C$4:$PK$4,'BEA VABAS 2017'!$C$6:$PK$6,$A74,'BEA VABAS 2017'!$C$5:$PK$5,AZ$63)/SUMIFS('BEA VABAS 2017'!$C$4:$PK$4,'BEA VABAS 2017'!$C$6:$PK$6,$A74)</f>
        <v/>
      </c>
      <c r="BA74">
        <f>SUMIFS('BEA VABAS 2017'!$C$4:$PK$4,'BEA VABAS 2017'!$C$6:$PK$6,$A74,'BEA VABAS 2017'!$C$5:$PK$5,BA$63)/SUMIFS('BEA VABAS 2017'!$C$4:$PK$4,'BEA VABAS 2017'!$C$6:$PK$6,$A74)</f>
        <v/>
      </c>
      <c r="BB74">
        <f>SUMIFS('BEA VABAS 2017'!$C$4:$PK$4,'BEA VABAS 2017'!$C$6:$PK$6,$A74,'BEA VABAS 2017'!$C$5:$PK$5,BB$63)/SUMIFS('BEA VABAS 2017'!$C$4:$PK$4,'BEA VABAS 2017'!$C$6:$PK$6,$A74)</f>
        <v/>
      </c>
    </row>
    <row r="75">
      <c r="A75" t="inlineStr">
        <is>
          <t>Government enterprises#2</t>
        </is>
      </c>
      <c r="B75">
        <f>INDEX($B$3:$B$60,MATCH($A75,$A$3:$A$60,0))</f>
        <v/>
      </c>
      <c r="C75">
        <f>SUMIFS('BEA VABAS 2017'!$C$4:$PK$4,'BEA VABAS 2017'!$C$6:$PK$6,$A75,'BEA VABAS 2017'!$C$5:$PK$5,C$63)/SUMIFS('BEA VABAS 2017'!$C$4:$PK$4,'BEA VABAS 2017'!$C$6:$PK$6,$A75)</f>
        <v/>
      </c>
      <c r="D75">
        <f>SUMIFS('BEA VABAS 2017'!$C$4:$PK$4,'BEA VABAS 2017'!$C$6:$PK$6,$A75,'BEA VABAS 2017'!$C$5:$PK$5,D$63)/SUMIFS('BEA VABAS 2017'!$C$4:$PK$4,'BEA VABAS 2017'!$C$6:$PK$6,$A75)</f>
        <v/>
      </c>
      <c r="E75">
        <f>SUMIFS('BEA VABAS 2017'!$C$4:$PK$4,'BEA VABAS 2017'!$C$6:$PK$6,$A75,'BEA VABAS 2017'!$C$5:$PK$5,E$63)/SUMIFS('BEA VABAS 2017'!$C$4:$PK$4,'BEA VABAS 2017'!$C$6:$PK$6,$A75)</f>
        <v/>
      </c>
      <c r="F75">
        <f>SUMIFS('BEA VABAS 2017'!$C$4:$PK$4,'BEA VABAS 2017'!$C$6:$PK$6,$A75,'BEA VABAS 2017'!$C$5:$PK$5,F$63)/SUMIFS('BEA VABAS 2017'!$C$4:$PK$4,'BEA VABAS 2017'!$C$6:$PK$6,$A75)</f>
        <v/>
      </c>
      <c r="G75">
        <f>SUMIFS('BEA VABAS 2017'!$C$4:$PK$4,'BEA VABAS 2017'!$C$6:$PK$6,$A75,'BEA VABAS 2017'!$C$5:$PK$5,G$63)/SUMIFS('BEA VABAS 2017'!$C$4:$PK$4,'BEA VABAS 2017'!$C$6:$PK$6,$A75)</f>
        <v/>
      </c>
      <c r="H75">
        <f>SUMIFS('BEA VABAS 2017'!$C$4:$PK$4,'BEA VABAS 2017'!$C$6:$PK$6,$A75,'BEA VABAS 2017'!$C$5:$PK$5,H$63)/SUMIFS('BEA VABAS 2017'!$C$4:$PK$4,'BEA VABAS 2017'!$C$6:$PK$6,$A75)</f>
        <v/>
      </c>
      <c r="I75">
        <f>SUMIFS('BEA VABAS 2017'!$C$4:$PK$4,'BEA VABAS 2017'!$C$6:$PK$6,$A75,'BEA VABAS 2017'!$C$5:$PK$5,I$63)/SUMIFS('BEA VABAS 2017'!$C$4:$PK$4,'BEA VABAS 2017'!$C$6:$PK$6,$A75)</f>
        <v/>
      </c>
      <c r="J75">
        <f>SUMIFS('BEA VABAS 2017'!$C$4:$PK$4,'BEA VABAS 2017'!$C$6:$PK$6,$A75,'BEA VABAS 2017'!$C$5:$PK$5,J$63)/SUMIFS('BEA VABAS 2017'!$C$4:$PK$4,'BEA VABAS 2017'!$C$6:$PK$6,$A75)</f>
        <v/>
      </c>
      <c r="K75">
        <f>SUMIFS('BEA VABAS 2017'!$C$4:$PK$4,'BEA VABAS 2017'!$C$6:$PK$6,$A75,'BEA VABAS 2017'!$C$5:$PK$5,K$63)/SUMIFS('BEA VABAS 2017'!$C$4:$PK$4,'BEA VABAS 2017'!$C$6:$PK$6,$A75)</f>
        <v/>
      </c>
      <c r="L75">
        <f>SUMIFS('BEA VABAS 2017'!$C$4:$PK$4,'BEA VABAS 2017'!$C$6:$PK$6,$A75,'BEA VABAS 2017'!$C$5:$PK$5,L$63)/SUMIFS('BEA VABAS 2017'!$C$4:$PK$4,'BEA VABAS 2017'!$C$6:$PK$6,$A75)</f>
        <v/>
      </c>
      <c r="M75">
        <f>SUMIFS('BEA VABAS 2017'!$C$4:$PK$4,'BEA VABAS 2017'!$C$6:$PK$6,$A75,'BEA VABAS 2017'!$C$5:$PK$5,M$63)/SUMIFS('BEA VABAS 2017'!$C$4:$PK$4,'BEA VABAS 2017'!$C$6:$PK$6,$A75)</f>
        <v/>
      </c>
      <c r="N75">
        <f>SUMIFS('BEA VABAS 2017'!$C$4:$PK$4,'BEA VABAS 2017'!$C$6:$PK$6,$A75,'BEA VABAS 2017'!$C$5:$PK$5,N$63)/SUMIFS('BEA VABAS 2017'!$C$4:$PK$4,'BEA VABAS 2017'!$C$6:$PK$6,$A75)</f>
        <v/>
      </c>
      <c r="O75">
        <f>SUMIFS('BEA VABAS 2017'!$C$4:$PK$4,'BEA VABAS 2017'!$C$6:$PK$6,$A75,'BEA VABAS 2017'!$C$5:$PK$5,O$63)/SUMIFS('BEA VABAS 2017'!$C$4:$PK$4,'BEA VABAS 2017'!$C$6:$PK$6,$A75)</f>
        <v/>
      </c>
      <c r="P75">
        <f>SUMIFS('BEA VABAS 2017'!$C$4:$PK$4,'BEA VABAS 2017'!$C$6:$PK$6,$A75,'BEA VABAS 2017'!$C$5:$PK$5,P$63)/SUMIFS('BEA VABAS 2017'!$C$4:$PK$4,'BEA VABAS 2017'!$C$6:$PK$6,$A75)</f>
        <v/>
      </c>
      <c r="Q75">
        <f>SUMIFS('BEA VABAS 2017'!$C$4:$PK$4,'BEA VABAS 2017'!$C$6:$PK$6,$A75,'BEA VABAS 2017'!$C$5:$PK$5,Q$63)/SUMIFS('BEA VABAS 2017'!$C$4:$PK$4,'BEA VABAS 2017'!$C$6:$PK$6,$A75)</f>
        <v/>
      </c>
      <c r="R75">
        <f>SUMIFS('BEA VABAS 2017'!$C$4:$PK$4,'BEA VABAS 2017'!$C$6:$PK$6,$A75,'BEA VABAS 2017'!$C$5:$PK$5,R$63)/SUMIFS('BEA VABAS 2017'!$C$4:$PK$4,'BEA VABAS 2017'!$C$6:$PK$6,$A75)</f>
        <v/>
      </c>
      <c r="S75">
        <f>SUMIFS('BEA VABAS 2017'!$C$4:$PK$4,'BEA VABAS 2017'!$C$6:$PK$6,$A75,'BEA VABAS 2017'!$C$5:$PK$5,S$63)/SUMIFS('BEA VABAS 2017'!$C$4:$PK$4,'BEA VABAS 2017'!$C$6:$PK$6,$A75)</f>
        <v/>
      </c>
      <c r="T75">
        <f>SUMIFS('BEA VABAS 2017'!$C$4:$PK$4,'BEA VABAS 2017'!$C$6:$PK$6,$A75,'BEA VABAS 2017'!$C$5:$PK$5,T$63)/SUMIFS('BEA VABAS 2017'!$C$4:$PK$4,'BEA VABAS 2017'!$C$6:$PK$6,$A75)</f>
        <v/>
      </c>
      <c r="U75">
        <f>SUMIFS('BEA VABAS 2017'!$C$4:$PK$4,'BEA VABAS 2017'!$C$6:$PK$6,$A75,'BEA VABAS 2017'!$C$5:$PK$5,U$63)/SUMIFS('BEA VABAS 2017'!$C$4:$PK$4,'BEA VABAS 2017'!$C$6:$PK$6,$A75)</f>
        <v/>
      </c>
      <c r="V75">
        <f>SUMIFS('BEA VABAS 2017'!$C$4:$PK$4,'BEA VABAS 2017'!$C$6:$PK$6,$A75,'BEA VABAS 2017'!$C$5:$PK$5,V$63)/SUMIFS('BEA VABAS 2017'!$C$4:$PK$4,'BEA VABAS 2017'!$C$6:$PK$6,$A75)</f>
        <v/>
      </c>
      <c r="W75">
        <f>SUMIFS('BEA VABAS 2017'!$C$4:$PK$4,'BEA VABAS 2017'!$C$6:$PK$6,$A75,'BEA VABAS 2017'!$C$5:$PK$5,W$63)/SUMIFS('BEA VABAS 2017'!$C$4:$PK$4,'BEA VABAS 2017'!$C$6:$PK$6,$A75)</f>
        <v/>
      </c>
      <c r="X75">
        <f>SUMIFS('BEA VABAS 2017'!$C$4:$PK$4,'BEA VABAS 2017'!$C$6:$PK$6,$A75,'BEA VABAS 2017'!$C$5:$PK$5,X$63)/SUMIFS('BEA VABAS 2017'!$C$4:$PK$4,'BEA VABAS 2017'!$C$6:$PK$6,$A75)</f>
        <v/>
      </c>
      <c r="Y75">
        <f>SUMIFS('BEA VABAS 2017'!$C$4:$PK$4,'BEA VABAS 2017'!$C$6:$PK$6,$A75,'BEA VABAS 2017'!$C$5:$PK$5,Y$63)/SUMIFS('BEA VABAS 2017'!$C$4:$PK$4,'BEA VABAS 2017'!$C$6:$PK$6,$A75)</f>
        <v/>
      </c>
      <c r="Z75">
        <f>SUMIFS('BEA VABAS 2017'!$C$4:$PK$4,'BEA VABAS 2017'!$C$6:$PK$6,$A75,'BEA VABAS 2017'!$C$5:$PK$5,Z$63)/SUMIFS('BEA VABAS 2017'!$C$4:$PK$4,'BEA VABAS 2017'!$C$6:$PK$6,$A75)</f>
        <v/>
      </c>
      <c r="AA75">
        <f>SUMIFS('BEA VABAS 2017'!$C$4:$PK$4,'BEA VABAS 2017'!$C$6:$PK$6,$A75,'BEA VABAS 2017'!$C$5:$PK$5,AA$63)/SUMIFS('BEA VABAS 2017'!$C$4:$PK$4,'BEA VABAS 2017'!$C$6:$PK$6,$A75)</f>
        <v/>
      </c>
      <c r="AB75">
        <f>SUMIFS('BEA VABAS 2017'!$C$4:$PK$4,'BEA VABAS 2017'!$C$6:$PK$6,$A75,'BEA VABAS 2017'!$C$5:$PK$5,AB$63)/SUMIFS('BEA VABAS 2017'!$C$4:$PK$4,'BEA VABAS 2017'!$C$6:$PK$6,$A75)</f>
        <v/>
      </c>
      <c r="AC75">
        <f>SUMIFS('BEA VABAS 2017'!$C$4:$PK$4,'BEA VABAS 2017'!$C$6:$PK$6,$A75,'BEA VABAS 2017'!$C$5:$PK$5,AC$63)/SUMIFS('BEA VABAS 2017'!$C$4:$PK$4,'BEA VABAS 2017'!$C$6:$PK$6,$A75)</f>
        <v/>
      </c>
      <c r="AD75">
        <f>SUMIFS('BEA VABAS 2017'!$C$4:$PK$4,'BEA VABAS 2017'!$C$6:$PK$6,$A75,'BEA VABAS 2017'!$C$5:$PK$5,AD$63)/SUMIFS('BEA VABAS 2017'!$C$4:$PK$4,'BEA VABAS 2017'!$C$6:$PK$6,$A75)</f>
        <v/>
      </c>
      <c r="AE75">
        <f>SUMIFS('BEA VABAS 2017'!$C$4:$PK$4,'BEA VABAS 2017'!$C$6:$PK$6,$A75,'BEA VABAS 2017'!$C$5:$PK$5,AE$63)/SUMIFS('BEA VABAS 2017'!$C$4:$PK$4,'BEA VABAS 2017'!$C$6:$PK$6,$A75)</f>
        <v/>
      </c>
      <c r="AF75">
        <f>SUMIFS('BEA VABAS 2017'!$C$4:$PK$4,'BEA VABAS 2017'!$C$6:$PK$6,$A75,'BEA VABAS 2017'!$C$5:$PK$5,AF$63)/SUMIFS('BEA VABAS 2017'!$C$4:$PK$4,'BEA VABAS 2017'!$C$6:$PK$6,$A75)</f>
        <v/>
      </c>
      <c r="AG75">
        <f>SUMIFS('BEA VABAS 2017'!$C$4:$PK$4,'BEA VABAS 2017'!$C$6:$PK$6,$A75,'BEA VABAS 2017'!$C$5:$PK$5,AG$63)/SUMIFS('BEA VABAS 2017'!$C$4:$PK$4,'BEA VABAS 2017'!$C$6:$PK$6,$A75)</f>
        <v/>
      </c>
      <c r="AH75">
        <f>SUMIFS('BEA VABAS 2017'!$C$4:$PK$4,'BEA VABAS 2017'!$C$6:$PK$6,$A75,'BEA VABAS 2017'!$C$5:$PK$5,AH$63)/SUMIFS('BEA VABAS 2017'!$C$4:$PK$4,'BEA VABAS 2017'!$C$6:$PK$6,$A75)</f>
        <v/>
      </c>
      <c r="AI75">
        <f>SUMIFS('BEA VABAS 2017'!$C$4:$PK$4,'BEA VABAS 2017'!$C$6:$PK$6,$A75,'BEA VABAS 2017'!$C$5:$PK$5,AI$63)/SUMIFS('BEA VABAS 2017'!$C$4:$PK$4,'BEA VABAS 2017'!$C$6:$PK$6,$A75)</f>
        <v/>
      </c>
      <c r="AJ75">
        <f>SUMIFS('BEA VABAS 2017'!$C$4:$PK$4,'BEA VABAS 2017'!$C$6:$PK$6,$A75,'BEA VABAS 2017'!$C$5:$PK$5,AJ$63)/SUMIFS('BEA VABAS 2017'!$C$4:$PK$4,'BEA VABAS 2017'!$C$6:$PK$6,$A75)</f>
        <v/>
      </c>
      <c r="AK75">
        <f>SUMIFS('BEA VABAS 2017'!$C$4:$PK$4,'BEA VABAS 2017'!$C$6:$PK$6,$A75,'BEA VABAS 2017'!$C$5:$PK$5,AK$63)/SUMIFS('BEA VABAS 2017'!$C$4:$PK$4,'BEA VABAS 2017'!$C$6:$PK$6,$A75)</f>
        <v/>
      </c>
      <c r="AL75">
        <f>SUMIFS('BEA VABAS 2017'!$C$4:$PK$4,'BEA VABAS 2017'!$C$6:$PK$6,$A75,'BEA VABAS 2017'!$C$5:$PK$5,AL$63)/SUMIFS('BEA VABAS 2017'!$C$4:$PK$4,'BEA VABAS 2017'!$C$6:$PK$6,$A75)</f>
        <v/>
      </c>
      <c r="AM75">
        <f>SUMIFS('BEA VABAS 2017'!$C$4:$PK$4,'BEA VABAS 2017'!$C$6:$PK$6,$A75,'BEA VABAS 2017'!$C$5:$PK$5,AM$63)/SUMIFS('BEA VABAS 2017'!$C$4:$PK$4,'BEA VABAS 2017'!$C$6:$PK$6,$A75)</f>
        <v/>
      </c>
      <c r="AN75">
        <f>SUMIFS('BEA VABAS 2017'!$C$4:$PK$4,'BEA VABAS 2017'!$C$6:$PK$6,$A75,'BEA VABAS 2017'!$C$5:$PK$5,AN$63)/SUMIFS('BEA VABAS 2017'!$C$4:$PK$4,'BEA VABAS 2017'!$C$6:$PK$6,$A75)</f>
        <v/>
      </c>
      <c r="AO75">
        <f>SUMIFS('BEA VABAS 2017'!$C$4:$PK$4,'BEA VABAS 2017'!$C$6:$PK$6,$A75,'BEA VABAS 2017'!$C$5:$PK$5,AO$63)/SUMIFS('BEA VABAS 2017'!$C$4:$PK$4,'BEA VABAS 2017'!$C$6:$PK$6,$A75)</f>
        <v/>
      </c>
      <c r="AP75">
        <f>SUMIFS('BEA VABAS 2017'!$C$4:$PK$4,'BEA VABAS 2017'!$C$6:$PK$6,$A75,'BEA VABAS 2017'!$C$5:$PK$5,AP$63)/SUMIFS('BEA VABAS 2017'!$C$4:$PK$4,'BEA VABAS 2017'!$C$6:$PK$6,$A75)</f>
        <v/>
      </c>
      <c r="AQ75">
        <f>SUMIFS('BEA VABAS 2017'!$C$4:$PK$4,'BEA VABAS 2017'!$C$6:$PK$6,$A75,'BEA VABAS 2017'!$C$5:$PK$5,AQ$63)/SUMIFS('BEA VABAS 2017'!$C$4:$PK$4,'BEA VABAS 2017'!$C$6:$PK$6,$A75)</f>
        <v/>
      </c>
      <c r="AR75">
        <f>SUMIFS('BEA VABAS 2017'!$C$4:$PK$4,'BEA VABAS 2017'!$C$6:$PK$6,$A75,'BEA VABAS 2017'!$C$5:$PK$5,AR$63)/SUMIFS('BEA VABAS 2017'!$C$4:$PK$4,'BEA VABAS 2017'!$C$6:$PK$6,$A75)</f>
        <v/>
      </c>
      <c r="AS75">
        <f>SUMIFS('BEA VABAS 2017'!$C$4:$PK$4,'BEA VABAS 2017'!$C$6:$PK$6,$A75,'BEA VABAS 2017'!$C$5:$PK$5,AS$63)/SUMIFS('BEA VABAS 2017'!$C$4:$PK$4,'BEA VABAS 2017'!$C$6:$PK$6,$A75)</f>
        <v/>
      </c>
      <c r="AT75">
        <f>SUMIFS('BEA VABAS 2017'!$C$4:$PK$4,'BEA VABAS 2017'!$C$6:$PK$6,$A75,'BEA VABAS 2017'!$C$5:$PK$5,AT$63)/SUMIFS('BEA VABAS 2017'!$C$4:$PK$4,'BEA VABAS 2017'!$C$6:$PK$6,$A75)</f>
        <v/>
      </c>
      <c r="AU75">
        <f>SUMIFS('BEA VABAS 2017'!$C$4:$PK$4,'BEA VABAS 2017'!$C$6:$PK$6,$A75,'BEA VABAS 2017'!$C$5:$PK$5,AU$63)/SUMIFS('BEA VABAS 2017'!$C$4:$PK$4,'BEA VABAS 2017'!$C$6:$PK$6,$A75)</f>
        <v/>
      </c>
      <c r="AV75">
        <f>SUMIFS('BEA VABAS 2017'!$C$4:$PK$4,'BEA VABAS 2017'!$C$6:$PK$6,$A75,'BEA VABAS 2017'!$C$5:$PK$5,AV$63)/SUMIFS('BEA VABAS 2017'!$C$4:$PK$4,'BEA VABAS 2017'!$C$6:$PK$6,$A75)</f>
        <v/>
      </c>
      <c r="AW75">
        <f>SUMIFS('BEA VABAS 2017'!$C$4:$PK$4,'BEA VABAS 2017'!$C$6:$PK$6,$A75,'BEA VABAS 2017'!$C$5:$PK$5,AW$63)/SUMIFS('BEA VABAS 2017'!$C$4:$PK$4,'BEA VABAS 2017'!$C$6:$PK$6,$A75)</f>
        <v/>
      </c>
      <c r="AX75">
        <f>SUMIFS('BEA VABAS 2017'!$C$4:$PK$4,'BEA VABAS 2017'!$C$6:$PK$6,$A75,'BEA VABAS 2017'!$C$5:$PK$5,AX$63)/SUMIFS('BEA VABAS 2017'!$C$4:$PK$4,'BEA VABAS 2017'!$C$6:$PK$6,$A75)</f>
        <v/>
      </c>
      <c r="AY75">
        <f>SUMIFS('BEA VABAS 2017'!$C$4:$PK$4,'BEA VABAS 2017'!$C$6:$PK$6,$A75,'BEA VABAS 2017'!$C$5:$PK$5,AY$63)/SUMIFS('BEA VABAS 2017'!$C$4:$PK$4,'BEA VABAS 2017'!$C$6:$PK$6,$A75)</f>
        <v/>
      </c>
      <c r="AZ75">
        <f>SUMIFS('BEA VABAS 2017'!$C$4:$PK$4,'BEA VABAS 2017'!$C$6:$PK$6,$A75,'BEA VABAS 2017'!$C$5:$PK$5,AZ$63)/SUMIFS('BEA VABAS 2017'!$C$4:$PK$4,'BEA VABAS 2017'!$C$6:$PK$6,$A75)</f>
        <v/>
      </c>
      <c r="BA75">
        <f>SUMIFS('BEA VABAS 2017'!$C$4:$PK$4,'BEA VABAS 2017'!$C$6:$PK$6,$A75,'BEA VABAS 2017'!$C$5:$PK$5,BA$63)/SUMIFS('BEA VABAS 2017'!$C$4:$PK$4,'BEA VABAS 2017'!$C$6:$PK$6,$A75)</f>
        <v/>
      </c>
      <c r="BB75">
        <f>SUMIFS('BEA VABAS 2017'!$C$4:$PK$4,'BEA VABAS 2017'!$C$6:$PK$6,$A75,'BEA VABAS 2017'!$C$5:$PK$5,BB$63)/SUMIFS('BEA VABAS 2017'!$C$4:$PK$4,'BEA VABAS 2017'!$C$6:$PK$6,$A75)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52" customWidth="1" min="1" max="1"/>
  </cols>
  <sheetData>
    <row r="1">
      <c r="A1" s="1" t="inlineStr">
        <is>
          <t>Validation checks</t>
        </is>
      </c>
    </row>
    <row r="3">
      <c r="A3" t="inlineStr">
        <is>
          <t>Coverage: sum of outputs vs GDP total x 1e6 x deflator - 1 (should be ~+2%: the 2025 projection; catches unmapped leaves)</t>
        </is>
      </c>
    </row>
    <row r="4">
      <c r="B4">
        <f>SUM('BECbIC'!B2:BA2)/(INDEX('BEA Components 2024'!$C:$C,MATCH("Gross domestic product",'BEA Components 2024'!$E:$E,0)+1)*10^6*About!$A$22)-1</f>
        <v/>
      </c>
      <c r="C4" s="1">
        <f>IF(ABS(B4-0.0217)&lt;0.01,"PASS","INSPECT")</f>
        <v/>
      </c>
    </row>
    <row r="6">
      <c r="A6" t="inlineStr">
        <is>
          <t>Mixed-leaf weight rows sum to 1</t>
        </is>
      </c>
    </row>
    <row r="7">
      <c r="A7" t="inlineStr">
        <is>
          <t>Forestry, fishing, and related activities</t>
        </is>
      </c>
      <c r="B7">
        <f>SUM(Calculations!C64:BB64)</f>
        <v/>
      </c>
      <c r="C7" s="1">
        <f>IF(ABS(B7-1)&lt;0.000000001,"PASS","FAIL")</f>
        <v/>
      </c>
    </row>
    <row r="8">
      <c r="A8" t="inlineStr">
        <is>
          <t>Mining, except oil and gas</t>
        </is>
      </c>
      <c r="B8">
        <f>SUM(Calculations!C65:BB65)</f>
        <v/>
      </c>
      <c r="C8" s="1">
        <f>IF(ABS(B8-1)&lt;0.000000001,"PASS","FAIL")</f>
        <v/>
      </c>
    </row>
    <row r="9">
      <c r="A9" t="inlineStr">
        <is>
          <t>Utilities</t>
        </is>
      </c>
      <c r="B9">
        <f>SUM(Calculations!C66:BB66)</f>
        <v/>
      </c>
      <c r="C9" s="1">
        <f>IF(ABS(B9-1)&lt;0.000000001,"PASS","FAIL")</f>
        <v/>
      </c>
    </row>
    <row r="10">
      <c r="A10" t="inlineStr">
        <is>
          <t>Nonmetallic mineral products</t>
        </is>
      </c>
      <c r="B10">
        <f>SUM(Calculations!C67:BB67)</f>
        <v/>
      </c>
      <c r="C10" s="1">
        <f>IF(ABS(B10-1)&lt;0.000000001,"PASS","FAIL")</f>
        <v/>
      </c>
    </row>
    <row r="11">
      <c r="A11" t="inlineStr">
        <is>
          <t>Primary metals</t>
        </is>
      </c>
      <c r="B11">
        <f>SUM(Calculations!C68:BB68)</f>
        <v/>
      </c>
      <c r="C11" s="1">
        <f>IF(ABS(B11-1)&lt;0.000000001,"PASS","FAIL")</f>
        <v/>
      </c>
    </row>
    <row r="12">
      <c r="A12" t="inlineStr">
        <is>
          <t>Chemical products</t>
        </is>
      </c>
      <c r="B12">
        <f>SUM(Calculations!C69:BB69)</f>
        <v/>
      </c>
      <c r="C12" s="1">
        <f>IF(ABS(B12-1)&lt;0.000000001,"PASS","FAIL")</f>
        <v/>
      </c>
    </row>
    <row r="13">
      <c r="A13" t="inlineStr">
        <is>
          <t>Other transportation equipment</t>
        </is>
      </c>
      <c r="B13">
        <f>SUM(Calculations!C70:BB70)</f>
        <v/>
      </c>
      <c r="C13" s="1">
        <f>IF(ABS(B13-1)&lt;0.000000001,"PASS","FAIL")</f>
        <v/>
      </c>
    </row>
    <row r="14">
      <c r="A14" t="inlineStr">
        <is>
          <t>Other transportation and support activities</t>
        </is>
      </c>
      <c r="B14">
        <f>SUM(Calculations!C71:BB71)</f>
        <v/>
      </c>
      <c r="C14" s="1">
        <f>IF(ABS(B14-1)&lt;0.000000001,"PASS","FAIL")</f>
        <v/>
      </c>
    </row>
    <row r="15">
      <c r="A15" t="inlineStr">
        <is>
          <t>Broadcasting and telecommunications</t>
        </is>
      </c>
      <c r="B15">
        <f>SUM(Calculations!C72:BB72)</f>
        <v/>
      </c>
      <c r="C15" s="1">
        <f>IF(ABS(B15-1)&lt;0.000000001,"PASS","FAIL")</f>
        <v/>
      </c>
    </row>
    <row r="16">
      <c r="A16" t="inlineStr">
        <is>
          <t>Other services, except government</t>
        </is>
      </c>
      <c r="B16">
        <f>SUM(Calculations!C73:BB73)</f>
        <v/>
      </c>
      <c r="C16" s="1">
        <f>IF(ABS(B16-1)&lt;0.000000001,"PASS","FAIL")</f>
        <v/>
      </c>
    </row>
    <row r="17">
      <c r="A17" t="inlineStr">
        <is>
          <t>Government enterprises#1</t>
        </is>
      </c>
      <c r="B17">
        <f>SUM(Calculations!C74:BB74)</f>
        <v/>
      </c>
      <c r="C17" s="1">
        <f>IF(ABS(B17-1)&lt;0.000000001,"PASS","FAIL")</f>
        <v/>
      </c>
    </row>
    <row r="18">
      <c r="A18" t="inlineStr">
        <is>
          <t>Government enterprises#2</t>
        </is>
      </c>
      <c r="B18">
        <f>SUM(Calculations!C75:BB75)</f>
        <v/>
      </c>
      <c r="C18" s="1">
        <f>IF(ABS(B18-1)&lt;0.000000001,"PASS","FAIL")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B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Unit: $</t>
        </is>
      </c>
      <c r="B1" s="1" t="inlineStr">
        <is>
          <t>ISIC 01</t>
        </is>
      </c>
      <c r="C1" s="1" t="inlineStr">
        <is>
          <t>ISIC 02</t>
        </is>
      </c>
      <c r="D1" s="1" t="inlineStr">
        <is>
          <t>ISIC 03</t>
        </is>
      </c>
      <c r="E1" s="1" t="inlineStr">
        <is>
          <t>ISIC 05</t>
        </is>
      </c>
      <c r="F1" s="1" t="inlineStr">
        <is>
          <t>ISIC 06</t>
        </is>
      </c>
      <c r="G1" s="1" t="inlineStr">
        <is>
          <t>ISIC 07</t>
        </is>
      </c>
      <c r="H1" s="1" t="inlineStr">
        <is>
          <t>ISIC 08</t>
        </is>
      </c>
      <c r="I1" s="1" t="inlineStr">
        <is>
          <t>ISIC 09</t>
        </is>
      </c>
      <c r="J1" s="1" t="inlineStr">
        <is>
          <t>ISIC 10T12</t>
        </is>
      </c>
      <c r="K1" s="1" t="inlineStr">
        <is>
          <t>ISIC 13T15</t>
        </is>
      </c>
      <c r="L1" s="1" t="inlineStr">
        <is>
          <t>ISIC 16</t>
        </is>
      </c>
      <c r="M1" s="1" t="inlineStr">
        <is>
          <t>ISIC 17T18</t>
        </is>
      </c>
      <c r="N1" s="1" t="inlineStr">
        <is>
          <t>ISIC 19</t>
        </is>
      </c>
      <c r="O1" s="1" t="inlineStr">
        <is>
          <t>ISIC 20</t>
        </is>
      </c>
      <c r="P1" s="1" t="inlineStr">
        <is>
          <t>ISIC 21</t>
        </is>
      </c>
      <c r="Q1" s="1" t="inlineStr">
        <is>
          <t>ISIC 22</t>
        </is>
      </c>
      <c r="R1" s="1" t="inlineStr">
        <is>
          <t>ISIC 231</t>
        </is>
      </c>
      <c r="S1" s="1" t="inlineStr">
        <is>
          <t>ISIC 239</t>
        </is>
      </c>
      <c r="T1" s="1" t="inlineStr">
        <is>
          <t>ISIC 241</t>
        </is>
      </c>
      <c r="U1" s="1" t="inlineStr">
        <is>
          <t>ISIC 242</t>
        </is>
      </c>
      <c r="V1" s="1" t="inlineStr">
        <is>
          <t>ISIC 25</t>
        </is>
      </c>
      <c r="W1" s="1" t="inlineStr">
        <is>
          <t>ISIC 26</t>
        </is>
      </c>
      <c r="X1" s="1" t="inlineStr">
        <is>
          <t>ISIC 27</t>
        </is>
      </c>
      <c r="Y1" s="1" t="inlineStr">
        <is>
          <t>ISIC 28</t>
        </is>
      </c>
      <c r="Z1" s="1" t="inlineStr">
        <is>
          <t>ISIC 29</t>
        </is>
      </c>
      <c r="AA1" s="1" t="inlineStr">
        <is>
          <t>ISIC 301</t>
        </is>
      </c>
      <c r="AB1" s="1" t="inlineStr">
        <is>
          <t>ISIC 302T309</t>
        </is>
      </c>
      <c r="AC1" s="1" t="inlineStr">
        <is>
          <t>ISIC 31T33</t>
        </is>
      </c>
      <c r="AD1" s="1" t="inlineStr">
        <is>
          <t>ISIC 351</t>
        </is>
      </c>
      <c r="AE1" s="1" t="inlineStr">
        <is>
          <t>ISIC 352T353</t>
        </is>
      </c>
      <c r="AF1" s="1" t="inlineStr">
        <is>
          <t>ISIC 36T39</t>
        </is>
      </c>
      <c r="AG1" s="1" t="inlineStr">
        <is>
          <t>ISIC 41T43</t>
        </is>
      </c>
      <c r="AH1" s="1" t="inlineStr">
        <is>
          <t>ISIC 45T47</t>
        </is>
      </c>
      <c r="AI1" s="1" t="inlineStr">
        <is>
          <t>ISIC 49</t>
        </is>
      </c>
      <c r="AJ1" s="1" t="inlineStr">
        <is>
          <t>ISIC 50</t>
        </is>
      </c>
      <c r="AK1" s="1" t="inlineStr">
        <is>
          <t>ISIC 51</t>
        </is>
      </c>
      <c r="AL1" s="1" t="inlineStr">
        <is>
          <t>ISIC 52</t>
        </is>
      </c>
      <c r="AM1" s="1" t="inlineStr">
        <is>
          <t>ISIC 53</t>
        </is>
      </c>
      <c r="AN1" s="1" t="inlineStr">
        <is>
          <t>ISIC 55T56</t>
        </is>
      </c>
      <c r="AO1" s="1" t="inlineStr">
        <is>
          <t>ISIC 58T60</t>
        </is>
      </c>
      <c r="AP1" s="1" t="inlineStr">
        <is>
          <t>ISIC 61</t>
        </is>
      </c>
      <c r="AQ1" s="1" t="inlineStr">
        <is>
          <t>ISIC 62T63</t>
        </is>
      </c>
      <c r="AR1" s="1" t="inlineStr">
        <is>
          <t>ISIC 64T66</t>
        </is>
      </c>
      <c r="AS1" s="1" t="inlineStr">
        <is>
          <t>ISIC 68</t>
        </is>
      </c>
      <c r="AT1" s="1" t="inlineStr">
        <is>
          <t>ISIC 69T75</t>
        </is>
      </c>
      <c r="AU1" s="1" t="inlineStr">
        <is>
          <t>ISIC 77T82</t>
        </is>
      </c>
      <c r="AV1" s="1" t="inlineStr">
        <is>
          <t>ISIC 84</t>
        </is>
      </c>
      <c r="AW1" s="1" t="inlineStr">
        <is>
          <t>ISIC 85</t>
        </is>
      </c>
      <c r="AX1" s="1" t="inlineStr">
        <is>
          <t>ISIC 86T88</t>
        </is>
      </c>
      <c r="AY1" s="1" t="inlineStr">
        <is>
          <t>ISIC 90T93</t>
        </is>
      </c>
      <c r="AZ1" s="1" t="inlineStr">
        <is>
          <t>ISIC 94T96</t>
        </is>
      </c>
      <c r="BA1" s="1" t="inlineStr">
        <is>
          <t>ISIC 97T98</t>
        </is>
      </c>
    </row>
    <row r="2">
      <c r="A2" t="inlineStr">
        <is>
          <t>Employee Compensation</t>
        </is>
      </c>
      <c r="B2">
        <f>(SUMIFS(Calculations!$B$3:$B$60,Calculations!$C$3:$C$60,B$1)+SUMPRODUCT(Calculations!$B$64:$B$75,Calculations!C64:C75))*10^6*About!$A$22*(1+'g2025 derivation'!B$6)</f>
        <v/>
      </c>
      <c r="C2">
        <f>(SUMIFS(Calculations!$B$3:$B$60,Calculations!$C$3:$C$60,C$1)+SUMPRODUCT(Calculations!$B$64:$B$75,Calculations!D64:D75))*10^6*About!$A$22*(1+'g2025 derivation'!C$6)</f>
        <v/>
      </c>
      <c r="D2">
        <f>(SUMIFS(Calculations!$B$3:$B$60,Calculations!$C$3:$C$60,D$1)+SUMPRODUCT(Calculations!$B$64:$B$75,Calculations!E64:E75))*10^6*About!$A$22*(1+'g2025 derivation'!D$6)</f>
        <v/>
      </c>
      <c r="E2">
        <f>(SUMIFS(Calculations!$B$3:$B$60,Calculations!$C$3:$C$60,E$1)+SUMPRODUCT(Calculations!$B$64:$B$75,Calculations!F64:F75))*10^6*About!$A$22*(1+'g2025 derivation'!E$6)</f>
        <v/>
      </c>
      <c r="F2">
        <f>(SUMIFS(Calculations!$B$3:$B$60,Calculations!$C$3:$C$60,F$1)+SUMPRODUCT(Calculations!$B$64:$B$75,Calculations!G64:G75))*10^6*About!$A$22*(1+'g2025 derivation'!F$6)</f>
        <v/>
      </c>
      <c r="G2">
        <f>(SUMIFS(Calculations!$B$3:$B$60,Calculations!$C$3:$C$60,G$1)+SUMPRODUCT(Calculations!$B$64:$B$75,Calculations!H64:H75))*10^6*About!$A$22*(1+'g2025 derivation'!G$6)</f>
        <v/>
      </c>
      <c r="H2">
        <f>(SUMIFS(Calculations!$B$3:$B$60,Calculations!$C$3:$C$60,H$1)+SUMPRODUCT(Calculations!$B$64:$B$75,Calculations!I64:I75))*10^6*About!$A$22*(1+'g2025 derivation'!H$6)</f>
        <v/>
      </c>
      <c r="I2">
        <f>(SUMIFS(Calculations!$B$3:$B$60,Calculations!$C$3:$C$60,I$1)+SUMPRODUCT(Calculations!$B$64:$B$75,Calculations!J64:J75))*10^6*About!$A$22*(1+'g2025 derivation'!I$6)</f>
        <v/>
      </c>
      <c r="J2">
        <f>(SUMIFS(Calculations!$B$3:$B$60,Calculations!$C$3:$C$60,J$1)+SUMPRODUCT(Calculations!$B$64:$B$75,Calculations!K64:K75))*10^6*About!$A$22*(1+'g2025 derivation'!J$6)</f>
        <v/>
      </c>
      <c r="K2">
        <f>(SUMIFS(Calculations!$B$3:$B$60,Calculations!$C$3:$C$60,K$1)+SUMPRODUCT(Calculations!$B$64:$B$75,Calculations!L64:L75))*10^6*About!$A$22*(1+'g2025 derivation'!K$6)</f>
        <v/>
      </c>
      <c r="L2">
        <f>(SUMIFS(Calculations!$B$3:$B$60,Calculations!$C$3:$C$60,L$1)+SUMPRODUCT(Calculations!$B$64:$B$75,Calculations!M64:M75))*10^6*About!$A$22*(1+'g2025 derivation'!L$6)</f>
        <v/>
      </c>
      <c r="M2">
        <f>(SUMIFS(Calculations!$B$3:$B$60,Calculations!$C$3:$C$60,M$1)+SUMPRODUCT(Calculations!$B$64:$B$75,Calculations!N64:N75))*10^6*About!$A$22*(1+'g2025 derivation'!M$6)</f>
        <v/>
      </c>
      <c r="N2">
        <f>(SUMIFS(Calculations!$B$3:$B$60,Calculations!$C$3:$C$60,N$1)+SUMPRODUCT(Calculations!$B$64:$B$75,Calculations!O64:O75))*10^6*About!$A$22*(1+'g2025 derivation'!N$6)</f>
        <v/>
      </c>
      <c r="O2">
        <f>(SUMIFS(Calculations!$B$3:$B$60,Calculations!$C$3:$C$60,O$1)+SUMPRODUCT(Calculations!$B$64:$B$75,Calculations!P64:P75))*10^6*About!$A$22*(1+'g2025 derivation'!O$6)</f>
        <v/>
      </c>
      <c r="P2">
        <f>(SUMIFS(Calculations!$B$3:$B$60,Calculations!$C$3:$C$60,P$1)+SUMPRODUCT(Calculations!$B$64:$B$75,Calculations!Q64:Q75))*10^6*About!$A$22*(1+'g2025 derivation'!P$6)</f>
        <v/>
      </c>
      <c r="Q2">
        <f>(SUMIFS(Calculations!$B$3:$B$60,Calculations!$C$3:$C$60,Q$1)+SUMPRODUCT(Calculations!$B$64:$B$75,Calculations!R64:R75))*10^6*About!$A$22*(1+'g2025 derivation'!Q$6)</f>
        <v/>
      </c>
      <c r="R2">
        <f>(SUMIFS(Calculations!$B$3:$B$60,Calculations!$C$3:$C$60,R$1)+SUMPRODUCT(Calculations!$B$64:$B$75,Calculations!S64:S75))*10^6*About!$A$22*(1+'g2025 derivation'!R$6)</f>
        <v/>
      </c>
      <c r="S2">
        <f>(SUMIFS(Calculations!$B$3:$B$60,Calculations!$C$3:$C$60,S$1)+SUMPRODUCT(Calculations!$B$64:$B$75,Calculations!T64:T75))*10^6*About!$A$22*(1+'g2025 derivation'!S$6)</f>
        <v/>
      </c>
      <c r="T2">
        <f>(SUMIFS(Calculations!$B$3:$B$60,Calculations!$C$3:$C$60,T$1)+SUMPRODUCT(Calculations!$B$64:$B$75,Calculations!U64:U75))*10^6*About!$A$22*(1+'g2025 derivation'!T$6)</f>
        <v/>
      </c>
      <c r="U2">
        <f>(SUMIFS(Calculations!$B$3:$B$60,Calculations!$C$3:$C$60,U$1)+SUMPRODUCT(Calculations!$B$64:$B$75,Calculations!V64:V75))*10^6*About!$A$22*(1+'g2025 derivation'!U$6)</f>
        <v/>
      </c>
      <c r="V2">
        <f>(SUMIFS(Calculations!$B$3:$B$60,Calculations!$C$3:$C$60,V$1)+SUMPRODUCT(Calculations!$B$64:$B$75,Calculations!W64:W75))*10^6*About!$A$22*(1+'g2025 derivation'!V$6)</f>
        <v/>
      </c>
      <c r="W2">
        <f>(SUMIFS(Calculations!$B$3:$B$60,Calculations!$C$3:$C$60,W$1)+SUMPRODUCT(Calculations!$B$64:$B$75,Calculations!X64:X75))*10^6*About!$A$22*(1+'g2025 derivation'!W$6)</f>
        <v/>
      </c>
      <c r="X2">
        <f>(SUMIFS(Calculations!$B$3:$B$60,Calculations!$C$3:$C$60,X$1)+SUMPRODUCT(Calculations!$B$64:$B$75,Calculations!Y64:Y75))*10^6*About!$A$22*(1+'g2025 derivation'!X$6)</f>
        <v/>
      </c>
      <c r="Y2">
        <f>(SUMIFS(Calculations!$B$3:$B$60,Calculations!$C$3:$C$60,Y$1)+SUMPRODUCT(Calculations!$B$64:$B$75,Calculations!Z64:Z75))*10^6*About!$A$22*(1+'g2025 derivation'!Y$6)</f>
        <v/>
      </c>
      <c r="Z2">
        <f>(SUMIFS(Calculations!$B$3:$B$60,Calculations!$C$3:$C$60,Z$1)+SUMPRODUCT(Calculations!$B$64:$B$75,Calculations!AA64:AA75))*10^6*About!$A$22*(1+'g2025 derivation'!Z$6)</f>
        <v/>
      </c>
      <c r="AA2">
        <f>(SUMIFS(Calculations!$B$3:$B$60,Calculations!$C$3:$C$60,AA$1)+SUMPRODUCT(Calculations!$B$64:$B$75,Calculations!AB64:AB75))*10^6*About!$A$22*(1+'g2025 derivation'!AA$6)</f>
        <v/>
      </c>
      <c r="AB2">
        <f>(SUMIFS(Calculations!$B$3:$B$60,Calculations!$C$3:$C$60,AB$1)+SUMPRODUCT(Calculations!$B$64:$B$75,Calculations!AC64:AC75))*10^6*About!$A$22*(1+'g2025 derivation'!AB$6)</f>
        <v/>
      </c>
      <c r="AC2">
        <f>(SUMIFS(Calculations!$B$3:$B$60,Calculations!$C$3:$C$60,AC$1)+SUMPRODUCT(Calculations!$B$64:$B$75,Calculations!AD64:AD75))*10^6*About!$A$22*(1+'g2025 derivation'!AC$6)</f>
        <v/>
      </c>
      <c r="AD2">
        <f>(SUMIFS(Calculations!$B$3:$B$60,Calculations!$C$3:$C$60,AD$1)+SUMPRODUCT(Calculations!$B$64:$B$75,Calculations!AE64:AE75))*10^6*About!$A$22*(1+'g2025 derivation'!AD$6)</f>
        <v/>
      </c>
      <c r="AE2">
        <f>(SUMIFS(Calculations!$B$3:$B$60,Calculations!$C$3:$C$60,AE$1)+SUMPRODUCT(Calculations!$B$64:$B$75,Calculations!AF64:AF75))*10^6*About!$A$22*(1+'g2025 derivation'!AE$6)</f>
        <v/>
      </c>
      <c r="AF2">
        <f>(SUMIFS(Calculations!$B$3:$B$60,Calculations!$C$3:$C$60,AF$1)+SUMPRODUCT(Calculations!$B$64:$B$75,Calculations!AG64:AG75))*10^6*About!$A$22*(1+'g2025 derivation'!AF$6)</f>
        <v/>
      </c>
      <c r="AG2">
        <f>(SUMIFS(Calculations!$B$3:$B$60,Calculations!$C$3:$C$60,AG$1)+SUMPRODUCT(Calculations!$B$64:$B$75,Calculations!AH64:AH75))*10^6*About!$A$22*(1+'g2025 derivation'!AG$6)</f>
        <v/>
      </c>
      <c r="AH2">
        <f>(SUMIFS(Calculations!$B$3:$B$60,Calculations!$C$3:$C$60,AH$1)+SUMPRODUCT(Calculations!$B$64:$B$75,Calculations!AI64:AI75))*10^6*About!$A$22*(1+'g2025 derivation'!AH$6)</f>
        <v/>
      </c>
      <c r="AI2">
        <f>(SUMIFS(Calculations!$B$3:$B$60,Calculations!$C$3:$C$60,AI$1)+SUMPRODUCT(Calculations!$B$64:$B$75,Calculations!AJ64:AJ75))*10^6*About!$A$22*(1+'g2025 derivation'!AI$6)</f>
        <v/>
      </c>
      <c r="AJ2">
        <f>(SUMIFS(Calculations!$B$3:$B$60,Calculations!$C$3:$C$60,AJ$1)+SUMPRODUCT(Calculations!$B$64:$B$75,Calculations!AK64:AK75))*10^6*About!$A$22*(1+'g2025 derivation'!AJ$6)</f>
        <v/>
      </c>
      <c r="AK2">
        <f>(SUMIFS(Calculations!$B$3:$B$60,Calculations!$C$3:$C$60,AK$1)+SUMPRODUCT(Calculations!$B$64:$B$75,Calculations!AL64:AL75))*10^6*About!$A$22*(1+'g2025 derivation'!AK$6)</f>
        <v/>
      </c>
      <c r="AL2">
        <f>(SUMIFS(Calculations!$B$3:$B$60,Calculations!$C$3:$C$60,AL$1)+SUMPRODUCT(Calculations!$B$64:$B$75,Calculations!AM64:AM75))*10^6*About!$A$22*(1+'g2025 derivation'!AL$6)</f>
        <v/>
      </c>
      <c r="AM2">
        <f>(SUMIFS(Calculations!$B$3:$B$60,Calculations!$C$3:$C$60,AM$1)+SUMPRODUCT(Calculations!$B$64:$B$75,Calculations!AN64:AN75))*10^6*About!$A$22*(1+'g2025 derivation'!AM$6)</f>
        <v/>
      </c>
      <c r="AN2">
        <f>(SUMIFS(Calculations!$B$3:$B$60,Calculations!$C$3:$C$60,AN$1)+SUMPRODUCT(Calculations!$B$64:$B$75,Calculations!AO64:AO75))*10^6*About!$A$22*(1+'g2025 derivation'!AN$6)</f>
        <v/>
      </c>
      <c r="AO2">
        <f>(SUMIFS(Calculations!$B$3:$B$60,Calculations!$C$3:$C$60,AO$1)+SUMPRODUCT(Calculations!$B$64:$B$75,Calculations!AP64:AP75))*10^6*About!$A$22*(1+'g2025 derivation'!AO$6)</f>
        <v/>
      </c>
      <c r="AP2">
        <f>(SUMIFS(Calculations!$B$3:$B$60,Calculations!$C$3:$C$60,AP$1)+SUMPRODUCT(Calculations!$B$64:$B$75,Calculations!AQ64:AQ75))*10^6*About!$A$22*(1+'g2025 derivation'!AP$6)</f>
        <v/>
      </c>
      <c r="AQ2">
        <f>(SUMIFS(Calculations!$B$3:$B$60,Calculations!$C$3:$C$60,AQ$1)+SUMPRODUCT(Calculations!$B$64:$B$75,Calculations!AR64:AR75))*10^6*About!$A$22*(1+'g2025 derivation'!AQ$6)</f>
        <v/>
      </c>
      <c r="AR2">
        <f>(SUMIFS(Calculations!$B$3:$B$60,Calculations!$C$3:$C$60,AR$1)+SUMPRODUCT(Calculations!$B$64:$B$75,Calculations!AS64:AS75))*10^6*About!$A$22*(1+'g2025 derivation'!AR$6)</f>
        <v/>
      </c>
      <c r="AS2">
        <f>(SUMIFS(Calculations!$B$3:$B$60,Calculations!$C$3:$C$60,AS$1)+SUMPRODUCT(Calculations!$B$64:$B$75,Calculations!AT64:AT75))*10^6*About!$A$22*(1+'g2025 derivation'!AS$6)</f>
        <v/>
      </c>
      <c r="AT2">
        <f>(SUMIFS(Calculations!$B$3:$B$60,Calculations!$C$3:$C$60,AT$1)+SUMPRODUCT(Calculations!$B$64:$B$75,Calculations!AU64:AU75))*10^6*About!$A$22*(1+'g2025 derivation'!AT$6)</f>
        <v/>
      </c>
      <c r="AU2">
        <f>(SUMIFS(Calculations!$B$3:$B$60,Calculations!$C$3:$C$60,AU$1)+SUMPRODUCT(Calculations!$B$64:$B$75,Calculations!AV64:AV75))*10^6*About!$A$22*(1+'g2025 derivation'!AU$6)</f>
        <v/>
      </c>
      <c r="AV2">
        <f>(SUMIFS(Calculations!$B$3:$B$60,Calculations!$C$3:$C$60,AV$1)+SUMPRODUCT(Calculations!$B$64:$B$75,Calculations!AW64:AW75))*10^6*About!$A$22*(1+'g2025 derivation'!AV$6)</f>
        <v/>
      </c>
      <c r="AW2">
        <f>(SUMIFS(Calculations!$B$3:$B$60,Calculations!$C$3:$C$60,AW$1)+SUMPRODUCT(Calculations!$B$64:$B$75,Calculations!AX64:AX75))*10^6*About!$A$22*(1+'g2025 derivation'!AW$6)</f>
        <v/>
      </c>
      <c r="AX2">
        <f>(SUMIFS(Calculations!$B$3:$B$60,Calculations!$C$3:$C$60,AX$1)+SUMPRODUCT(Calculations!$B$64:$B$75,Calculations!AY64:AY75))*10^6*About!$A$22*(1+'g2025 derivation'!AX$6)</f>
        <v/>
      </c>
      <c r="AY2">
        <f>(SUMIFS(Calculations!$B$3:$B$60,Calculations!$C$3:$C$60,AY$1)+SUMPRODUCT(Calculations!$B$64:$B$75,Calculations!AZ64:AZ75))*10^6*About!$A$22*(1+'g2025 derivation'!AY$6)</f>
        <v/>
      </c>
      <c r="AZ2">
        <f>(SUMIFS(Calculations!$B$3:$B$60,Calculations!$C$3:$C$60,AZ$1)+SUMPRODUCT(Calculations!$B$64:$B$75,Calculations!BA64:BA75))*10^6*About!$A$22*(1+'g2025 derivation'!AZ$6)</f>
        <v/>
      </c>
      <c r="BA2">
        <f>(SUMIFS(Calculations!$B$3:$B$60,Calculations!$C$3:$C$60,BA$1)+SUMPRODUCT(Calculations!$B$64:$B$75,Calculations!BB64:BB75))*10^6*About!$A$22*(1+'g2025 derivation'!BA$6)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2026-07-21T17:03:05Z</dcterms:created>
  <dcterms:modified xmlns:dcterms="http://purl.org/dc/terms/" xmlns:xsi="http://www.w3.org/2001/XMLSchema-instance" xsi:type="dcterms:W3CDTF">2026-07-21T17:03:09Z</dcterms:modified>
</cp:coreProperties>
</file>