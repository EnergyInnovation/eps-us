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o-model\BECbIC\"/>
    </mc:Choice>
  </mc:AlternateContent>
  <xr:revisionPtr revIDLastSave="0" documentId="13_ncr:1_{82F4D3B3-F6F0-483B-9CC6-8B9FFD7C5366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About" sheetId="1" r:id="rId1"/>
    <sheet name="OECD VAL" sheetId="7" r:id="rId2"/>
    <sheet name="U.S. Data for ISIC Splits" sheetId="12" r:id="rId3"/>
    <sheet name="BEA Data" sheetId="13" r:id="rId4"/>
    <sheet name="BECbIC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Q2" i="2" l="1"/>
  <c r="AP2" i="2"/>
  <c r="AO2" i="2"/>
  <c r="AH2" i="2"/>
  <c r="AG2" i="2"/>
  <c r="AD2" i="2"/>
  <c r="Y2" i="2"/>
  <c r="V2" i="2"/>
  <c r="U2" i="2"/>
  <c r="T2" i="2"/>
  <c r="K2" i="2"/>
  <c r="Q2" i="2"/>
  <c r="U7" i="12"/>
  <c r="T7" i="12"/>
  <c r="R2" i="2"/>
  <c r="S2" i="2"/>
  <c r="O7" i="12"/>
  <c r="F7" i="12"/>
  <c r="P7" i="12"/>
  <c r="S7" i="12" s="1"/>
  <c r="V9" i="12" a="1"/>
  <c r="U6" i="12"/>
  <c r="T6" i="12"/>
  <c r="M7" i="12"/>
  <c r="L7" i="12"/>
  <c r="I12" i="12"/>
  <c r="I11" i="12"/>
  <c r="I10" i="12"/>
  <c r="I9" i="12"/>
  <c r="K117" i="12"/>
  <c r="K116" i="12"/>
  <c r="K115" i="12"/>
  <c r="K114" i="12"/>
  <c r="K113" i="12"/>
  <c r="K112" i="12"/>
  <c r="K111" i="12"/>
  <c r="K110" i="12"/>
  <c r="K109" i="12"/>
  <c r="K108" i="12"/>
  <c r="K107" i="12"/>
  <c r="K106" i="12"/>
  <c r="K105" i="12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E9" i="12"/>
  <c r="F9" i="12"/>
  <c r="S9" i="12"/>
  <c r="L9" i="12"/>
  <c r="O9" i="12"/>
  <c r="K21" i="12"/>
  <c r="G7" i="12"/>
  <c r="H7" i="12"/>
  <c r="E7" i="12"/>
  <c r="D7" i="12"/>
  <c r="N117" i="12" a="1"/>
  <c r="N117" i="12" s="1"/>
  <c r="N116" i="12" a="1"/>
  <c r="N116" i="12" s="1"/>
  <c r="N115" i="12" a="1"/>
  <c r="N115" i="12" s="1"/>
  <c r="N114" i="12" a="1"/>
  <c r="N114" i="12" s="1"/>
  <c r="N113" i="12" a="1"/>
  <c r="N113" i="12" s="1"/>
  <c r="N112" i="12" a="1"/>
  <c r="N112" i="12" s="1"/>
  <c r="N111" i="12" a="1"/>
  <c r="N111" i="12" s="1"/>
  <c r="N110" i="12" a="1"/>
  <c r="N110" i="12" s="1"/>
  <c r="N109" i="12" a="1"/>
  <c r="N109" i="12" s="1"/>
  <c r="N108" i="12" a="1"/>
  <c r="N108" i="12" s="1"/>
  <c r="N107" i="12" a="1"/>
  <c r="N107" i="12" s="1"/>
  <c r="N106" i="12" a="1"/>
  <c r="N106" i="12" s="1"/>
  <c r="N105" i="12" a="1"/>
  <c r="N105" i="12" s="1"/>
  <c r="N104" i="12" a="1"/>
  <c r="N104" i="12" s="1"/>
  <c r="N103" i="12" a="1"/>
  <c r="N103" i="12" s="1"/>
  <c r="N102" i="12" a="1"/>
  <c r="N102" i="12" s="1"/>
  <c r="N101" i="12" a="1"/>
  <c r="N101" i="12" s="1"/>
  <c r="N100" i="12" a="1"/>
  <c r="N100" i="12" s="1"/>
  <c r="N99" i="12" a="1"/>
  <c r="N99" i="12" s="1"/>
  <c r="N98" i="12" a="1"/>
  <c r="N98" i="12" s="1"/>
  <c r="N97" i="12" a="1"/>
  <c r="N97" i="12" s="1"/>
  <c r="N96" i="12" a="1"/>
  <c r="N96" i="12" s="1"/>
  <c r="N95" i="12" a="1"/>
  <c r="N95" i="12" s="1"/>
  <c r="N94" i="12" a="1"/>
  <c r="N94" i="12"/>
  <c r="N93" i="12" a="1"/>
  <c r="N93" i="12"/>
  <c r="N92" i="12" a="1"/>
  <c r="N92" i="12"/>
  <c r="N91" i="12" a="1"/>
  <c r="N91" i="12" s="1"/>
  <c r="N90" i="12" a="1"/>
  <c r="N90" i="12" s="1"/>
  <c r="N89" i="12" a="1"/>
  <c r="N89" i="12" s="1"/>
  <c r="N88" i="12" a="1"/>
  <c r="N88" i="12" s="1"/>
  <c r="N87" i="12" a="1"/>
  <c r="N87" i="12" s="1"/>
  <c r="N86" i="12" a="1"/>
  <c r="N86" i="12" s="1"/>
  <c r="N85" i="12" a="1"/>
  <c r="N85" i="12" s="1"/>
  <c r="N84" i="12" a="1"/>
  <c r="N84" i="12" s="1"/>
  <c r="N83" i="12" a="1"/>
  <c r="N83" i="12" s="1"/>
  <c r="N82" i="12" a="1"/>
  <c r="N82" i="12" s="1"/>
  <c r="N81" i="12" a="1"/>
  <c r="N81" i="12" s="1"/>
  <c r="N80" i="12" a="1"/>
  <c r="N80" i="12" s="1"/>
  <c r="N79" i="12" a="1"/>
  <c r="N79" i="12" s="1"/>
  <c r="N78" i="12" a="1"/>
  <c r="N78" i="12" s="1"/>
  <c r="N77" i="12" a="1"/>
  <c r="N77" i="12" s="1"/>
  <c r="N76" i="12" a="1"/>
  <c r="N76" i="12" s="1"/>
  <c r="N75" i="12" a="1"/>
  <c r="N75" i="12" s="1"/>
  <c r="N74" i="12" a="1"/>
  <c r="N74" i="12" s="1"/>
  <c r="N73" i="12" a="1"/>
  <c r="N73" i="12" s="1"/>
  <c r="N72" i="12" a="1"/>
  <c r="N72" i="12" s="1"/>
  <c r="N71" i="12" a="1"/>
  <c r="N71" i="12" s="1"/>
  <c r="N70" i="12" a="1"/>
  <c r="N70" i="12" s="1"/>
  <c r="N69" i="12" a="1"/>
  <c r="N69" i="12" s="1"/>
  <c r="N68" i="12" a="1"/>
  <c r="N68" i="12" s="1"/>
  <c r="N67" i="12" a="1"/>
  <c r="N67" i="12" s="1"/>
  <c r="N66" i="12" a="1"/>
  <c r="N66" i="12" s="1"/>
  <c r="N65" i="12" a="1"/>
  <c r="N65" i="12" s="1"/>
  <c r="N64" i="12" a="1"/>
  <c r="N64" i="12" s="1"/>
  <c r="N63" i="12" a="1"/>
  <c r="N63" i="12" s="1"/>
  <c r="N62" i="12" a="1"/>
  <c r="N62" i="12" s="1"/>
  <c r="N61" i="12" a="1"/>
  <c r="N61" i="12" s="1"/>
  <c r="N60" i="12" a="1"/>
  <c r="N60" i="12" s="1"/>
  <c r="N59" i="12" a="1"/>
  <c r="N59" i="12" s="1"/>
  <c r="N58" i="12" a="1"/>
  <c r="N58" i="12" s="1"/>
  <c r="N57" i="12" a="1"/>
  <c r="N57" i="12" s="1"/>
  <c r="N56" i="12" a="1"/>
  <c r="N56" i="12" s="1"/>
  <c r="N55" i="12" a="1"/>
  <c r="N55" i="12" s="1"/>
  <c r="N30" i="12" a="1"/>
  <c r="N30" i="12" s="1"/>
  <c r="M114" i="12" a="1"/>
  <c r="M114" i="12" s="1"/>
  <c r="M113" i="12" a="1"/>
  <c r="M113" i="12" s="1"/>
  <c r="M112" i="12" a="1"/>
  <c r="M112" i="12" s="1"/>
  <c r="M111" i="12" a="1"/>
  <c r="M111" i="12" s="1"/>
  <c r="M110" i="12" a="1"/>
  <c r="M110" i="12" s="1"/>
  <c r="M109" i="12" a="1"/>
  <c r="M109" i="12" s="1"/>
  <c r="M108" i="12" a="1"/>
  <c r="M108" i="12" s="1"/>
  <c r="M107" i="12" a="1"/>
  <c r="M107" i="12" s="1"/>
  <c r="M106" i="12" a="1"/>
  <c r="M106" i="12" s="1"/>
  <c r="M105" i="12" a="1"/>
  <c r="M105" i="12" s="1"/>
  <c r="M104" i="12" a="1"/>
  <c r="M104" i="12" s="1"/>
  <c r="M103" i="12" a="1"/>
  <c r="M103" i="12" s="1"/>
  <c r="M102" i="12" a="1"/>
  <c r="M102" i="12" s="1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8" i="13"/>
  <c r="C12" i="12"/>
  <c r="C11" i="12"/>
  <c r="C10" i="12"/>
  <c r="C9" i="12"/>
  <c r="R7" i="12"/>
  <c r="Q7" i="12"/>
  <c r="N7" i="12"/>
  <c r="K7" i="12"/>
  <c r="J7" i="12"/>
  <c r="N6" i="12"/>
  <c r="M6" i="12"/>
  <c r="K6" i="12"/>
  <c r="G6" i="12"/>
  <c r="V9" i="12" l="1"/>
  <c r="V7" i="12"/>
  <c r="U9" i="12" s="1"/>
  <c r="D9" i="12"/>
  <c r="I7" i="12"/>
  <c r="G9" i="12" s="1"/>
  <c r="N54" i="12" a="1"/>
  <c r="N54" i="12" s="1"/>
  <c r="N53" i="12" a="1"/>
  <c r="N53" i="12" s="1"/>
  <c r="N52" i="12" a="1"/>
  <c r="N52" i="12" s="1"/>
  <c r="N51" i="12" a="1"/>
  <c r="N51" i="12" s="1"/>
  <c r="N50" i="12" a="1"/>
  <c r="N50" i="12" s="1"/>
  <c r="N49" i="12" a="1"/>
  <c r="N49" i="12" s="1"/>
  <c r="N48" i="12" a="1"/>
  <c r="N48" i="12" s="1"/>
  <c r="N47" i="12" a="1"/>
  <c r="N47" i="12" s="1"/>
  <c r="N46" i="12" a="1"/>
  <c r="N46" i="12" s="1"/>
  <c r="N45" i="12" a="1"/>
  <c r="N45" i="12" s="1"/>
  <c r="N44" i="12" a="1"/>
  <c r="N44" i="12" s="1"/>
  <c r="N43" i="12" a="1"/>
  <c r="N43" i="12" s="1"/>
  <c r="N42" i="12" a="1"/>
  <c r="N42" i="12" s="1"/>
  <c r="N41" i="12" a="1"/>
  <c r="N41" i="12" s="1"/>
  <c r="N40" i="12" a="1"/>
  <c r="N40" i="12" s="1"/>
  <c r="N39" i="12" a="1"/>
  <c r="N39" i="12" s="1"/>
  <c r="N38" i="12" a="1"/>
  <c r="N38" i="12" s="1"/>
  <c r="N37" i="12" a="1"/>
  <c r="N37" i="12" s="1"/>
  <c r="N36" i="12" a="1"/>
  <c r="N36" i="12" s="1"/>
  <c r="N35" i="12" a="1"/>
  <c r="N35" i="12" s="1"/>
  <c r="N34" i="12" a="1"/>
  <c r="N34" i="12" s="1"/>
  <c r="N33" i="12" a="1"/>
  <c r="N33" i="12" s="1"/>
  <c r="N32" i="12" a="1"/>
  <c r="N32" i="12" s="1"/>
  <c r="N31" i="12" a="1"/>
  <c r="N31" i="12" s="1"/>
  <c r="N29" i="12" a="1"/>
  <c r="N29" i="12" s="1"/>
  <c r="N28" i="12" a="1"/>
  <c r="N28" i="12" s="1"/>
  <c r="N27" i="12" a="1"/>
  <c r="N27" i="12" s="1"/>
  <c r="N26" i="12" a="1"/>
  <c r="N26" i="12" s="1"/>
  <c r="N25" i="12" a="1"/>
  <c r="N25" i="12" s="1"/>
  <c r="N24" i="12" a="1"/>
  <c r="N24" i="12" s="1"/>
  <c r="N23" i="12" a="1"/>
  <c r="N23" i="12" s="1"/>
  <c r="N22" i="12" a="1"/>
  <c r="N22" i="12" s="1"/>
  <c r="N21" i="12" a="1"/>
  <c r="N21" i="12" s="1"/>
  <c r="M117" i="12" a="1"/>
  <c r="M117" i="12" s="1"/>
  <c r="M116" i="12" a="1"/>
  <c r="M116" i="12" s="1"/>
  <c r="M115" i="12" a="1"/>
  <c r="M115" i="12" s="1"/>
  <c r="M101" i="12" a="1"/>
  <c r="M101" i="12" s="1"/>
  <c r="M100" i="12" a="1"/>
  <c r="M100" i="12" s="1"/>
  <c r="M99" i="12" a="1"/>
  <c r="M99" i="12" s="1"/>
  <c r="M98" i="12" a="1"/>
  <c r="M98" i="12" s="1"/>
  <c r="M97" i="12" a="1"/>
  <c r="M97" i="12" s="1"/>
  <c r="M96" i="12" a="1"/>
  <c r="M96" i="12" s="1"/>
  <c r="M95" i="12" a="1"/>
  <c r="M95" i="12" s="1"/>
  <c r="M94" i="12" a="1"/>
  <c r="M94" i="12" s="1"/>
  <c r="M93" i="12" a="1"/>
  <c r="M93" i="12" s="1"/>
  <c r="M92" i="12" a="1"/>
  <c r="M92" i="12" s="1"/>
  <c r="M91" i="12" a="1"/>
  <c r="M91" i="12" s="1"/>
  <c r="M90" i="12" a="1"/>
  <c r="M90" i="12" s="1"/>
  <c r="M89" i="12" a="1"/>
  <c r="M89" i="12" s="1"/>
  <c r="M88" i="12" a="1"/>
  <c r="M88" i="12" s="1"/>
  <c r="M87" i="12" a="1"/>
  <c r="M87" i="12" s="1"/>
  <c r="M86" i="12" a="1"/>
  <c r="M86" i="12" s="1"/>
  <c r="M85" i="12" a="1"/>
  <c r="M85" i="12" s="1"/>
  <c r="M84" i="12" a="1"/>
  <c r="M84" i="12" s="1"/>
  <c r="M83" i="12" a="1"/>
  <c r="M83" i="12" s="1"/>
  <c r="M82" i="12" a="1"/>
  <c r="M82" i="12" s="1"/>
  <c r="M81" i="12" a="1"/>
  <c r="M81" i="12" s="1"/>
  <c r="M80" i="12" a="1"/>
  <c r="M80" i="12" s="1"/>
  <c r="M79" i="12" a="1"/>
  <c r="M79" i="12" s="1"/>
  <c r="M78" i="12" a="1"/>
  <c r="M78" i="12" s="1"/>
  <c r="M77" i="12" a="1"/>
  <c r="M77" i="12" s="1"/>
  <c r="M76" i="12" a="1"/>
  <c r="M76" i="12" s="1"/>
  <c r="M75" i="12" a="1"/>
  <c r="M75" i="12" s="1"/>
  <c r="M74" i="12" a="1"/>
  <c r="M74" i="12" s="1"/>
  <c r="M73" i="12" a="1"/>
  <c r="M73" i="12" s="1"/>
  <c r="M72" i="12" a="1"/>
  <c r="M72" i="12" s="1"/>
  <c r="M71" i="12" a="1"/>
  <c r="M71" i="12" s="1"/>
  <c r="M70" i="12" a="1"/>
  <c r="M70" i="12" s="1"/>
  <c r="M69" i="12" a="1"/>
  <c r="M69" i="12" s="1"/>
  <c r="M68" i="12" a="1"/>
  <c r="M68" i="12" s="1"/>
  <c r="M67" i="12" a="1"/>
  <c r="M67" i="12" s="1"/>
  <c r="M66" i="12" a="1"/>
  <c r="M66" i="12" s="1"/>
  <c r="M65" i="12" a="1"/>
  <c r="M65" i="12" s="1"/>
  <c r="M64" i="12" a="1"/>
  <c r="M64" i="12" s="1"/>
  <c r="M63" i="12" a="1"/>
  <c r="M63" i="12" s="1"/>
  <c r="M62" i="12" a="1"/>
  <c r="M62" i="12" s="1"/>
  <c r="M61" i="12" a="1"/>
  <c r="M61" i="12" s="1"/>
  <c r="M60" i="12" a="1"/>
  <c r="M60" i="12" s="1"/>
  <c r="M59" i="12" a="1"/>
  <c r="M59" i="12" s="1"/>
  <c r="M58" i="12" a="1"/>
  <c r="M58" i="12" s="1"/>
  <c r="M57" i="12" a="1"/>
  <c r="M57" i="12" s="1"/>
  <c r="M56" i="12" a="1"/>
  <c r="M56" i="12" s="1"/>
  <c r="M55" i="12" a="1"/>
  <c r="M55" i="12" s="1"/>
  <c r="M54" i="12" a="1"/>
  <c r="M54" i="12" s="1"/>
  <c r="M53" i="12" a="1"/>
  <c r="M53" i="12" s="1"/>
  <c r="M52" i="12" a="1"/>
  <c r="M52" i="12" s="1"/>
  <c r="M51" i="12" a="1"/>
  <c r="M51" i="12" s="1"/>
  <c r="M50" i="12" a="1"/>
  <c r="M50" i="12" s="1"/>
  <c r="M49" i="12" a="1"/>
  <c r="M49" i="12" s="1"/>
  <c r="M48" i="12" a="1"/>
  <c r="M48" i="12" s="1"/>
  <c r="M47" i="12" a="1"/>
  <c r="M47" i="12" s="1"/>
  <c r="M46" i="12" a="1"/>
  <c r="M46" i="12" s="1"/>
  <c r="M45" i="12" a="1"/>
  <c r="M45" i="12" s="1"/>
  <c r="M44" i="12" a="1"/>
  <c r="M44" i="12" s="1"/>
  <c r="M43" i="12" a="1"/>
  <c r="M43" i="12" s="1"/>
  <c r="M42" i="12" a="1"/>
  <c r="M42" i="12" s="1"/>
  <c r="M41" i="12" a="1"/>
  <c r="M41" i="12" s="1"/>
  <c r="M40" i="12" a="1"/>
  <c r="M40" i="12" s="1"/>
  <c r="M39" i="12" a="1"/>
  <c r="M39" i="12" s="1"/>
  <c r="M38" i="12" a="1"/>
  <c r="M38" i="12" s="1"/>
  <c r="M37" i="12" a="1"/>
  <c r="M37" i="12" s="1"/>
  <c r="M36" i="12" a="1"/>
  <c r="M36" i="12" s="1"/>
  <c r="O11" i="12" s="1"/>
  <c r="M35" i="12" a="1"/>
  <c r="M35" i="12" s="1"/>
  <c r="L11" i="12" s="1"/>
  <c r="M34" i="12" a="1"/>
  <c r="M34" i="12" s="1"/>
  <c r="M33" i="12" a="1"/>
  <c r="M33" i="12" s="1"/>
  <c r="M32" i="12" a="1"/>
  <c r="M32" i="12" s="1"/>
  <c r="M31" i="12" a="1"/>
  <c r="M31" i="12" s="1"/>
  <c r="M30" i="12" a="1"/>
  <c r="M30" i="12" s="1"/>
  <c r="S11" i="12" s="1"/>
  <c r="M29" i="12" a="1"/>
  <c r="M29" i="12" s="1"/>
  <c r="M28" i="12" a="1"/>
  <c r="M28" i="12" s="1"/>
  <c r="F11" i="12" s="1"/>
  <c r="D11" i="12" s="1"/>
  <c r="M27" i="12" a="1"/>
  <c r="M27" i="12" s="1"/>
  <c r="E11" i="12" s="1"/>
  <c r="M26" i="12" a="1"/>
  <c r="M26" i="12" s="1"/>
  <c r="M25" i="12" a="1"/>
  <c r="M25" i="12" s="1"/>
  <c r="M24" i="12" a="1"/>
  <c r="M24" i="12" s="1"/>
  <c r="M23" i="12" a="1"/>
  <c r="M23" i="12" s="1"/>
  <c r="M22" i="12" a="1"/>
  <c r="M22" i="12" s="1"/>
  <c r="O12" i="12"/>
  <c r="L12" i="12"/>
  <c r="S12" i="12"/>
  <c r="F12" i="12"/>
  <c r="D12" i="12" s="1"/>
  <c r="L114" i="12" a="1"/>
  <c r="L114" i="12" s="1"/>
  <c r="L109" i="12" a="1"/>
  <c r="L109" i="12" s="1"/>
  <c r="AM2" i="2" s="1"/>
  <c r="L60" i="12" a="1"/>
  <c r="L60" i="12" s="1"/>
  <c r="L53" i="12" a="1"/>
  <c r="L53" i="12" s="1"/>
  <c r="N2" i="2" s="1"/>
  <c r="L48" i="12" a="1"/>
  <c r="L48" i="12" s="1"/>
  <c r="E12" i="12"/>
  <c r="M21" i="12" a="1"/>
  <c r="M21" i="12" s="1"/>
  <c r="L113" i="12" a="1"/>
  <c r="L113" i="12" s="1"/>
  <c r="L108" i="12" a="1"/>
  <c r="L108" i="12" s="1"/>
  <c r="L57" i="12" a="1"/>
  <c r="L57" i="12" s="1"/>
  <c r="L50" i="12" a="1"/>
  <c r="L50" i="12" s="1"/>
  <c r="L115" i="12" a="1"/>
  <c r="L115" i="12" s="1"/>
  <c r="L110" i="12" a="1"/>
  <c r="L110" i="12" s="1"/>
  <c r="L59" i="12" a="1"/>
  <c r="L59" i="12" s="1"/>
  <c r="L54" i="12" a="1"/>
  <c r="L54" i="12" s="1"/>
  <c r="L116" i="12" a="1"/>
  <c r="L116" i="12" s="1"/>
  <c r="L111" i="12" a="1"/>
  <c r="L111" i="12" s="1"/>
  <c r="L106" i="12" a="1"/>
  <c r="L106" i="12" s="1"/>
  <c r="L55" i="12" a="1"/>
  <c r="L55" i="12" s="1"/>
  <c r="L51" i="12" a="1"/>
  <c r="L51" i="12" s="1"/>
  <c r="L117" i="12" a="1"/>
  <c r="L117" i="12" s="1"/>
  <c r="L112" i="12" a="1"/>
  <c r="L112" i="12" s="1"/>
  <c r="L107" i="12" a="1"/>
  <c r="L107" i="12" s="1"/>
  <c r="L56" i="12" a="1"/>
  <c r="L56" i="12" s="1"/>
  <c r="L49" i="12" a="1"/>
  <c r="L49" i="12" s="1"/>
  <c r="L105" i="12" a="1"/>
  <c r="L105" i="12" s="1"/>
  <c r="AF2" i="2" s="1"/>
  <c r="L104" i="12" a="1"/>
  <c r="L104" i="12" s="1"/>
  <c r="L103" i="12" a="1"/>
  <c r="L103" i="12" s="1"/>
  <c r="L102" i="12" a="1"/>
  <c r="L102" i="12" s="1"/>
  <c r="L101" i="12" a="1"/>
  <c r="L101" i="12" s="1"/>
  <c r="L100" i="12" a="1"/>
  <c r="L100" i="12" s="1"/>
  <c r="L99" i="12" a="1"/>
  <c r="L99" i="12" s="1"/>
  <c r="L98" i="12" a="1"/>
  <c r="L98" i="12" s="1"/>
  <c r="L97" i="12" a="1"/>
  <c r="L97" i="12" s="1"/>
  <c r="L96" i="12" a="1"/>
  <c r="L96" i="12" s="1"/>
  <c r="L95" i="12" a="1"/>
  <c r="L95" i="12" s="1"/>
  <c r="AN2" i="2" s="1"/>
  <c r="L94" i="12" a="1"/>
  <c r="L94" i="12" s="1"/>
  <c r="L93" i="12" a="1"/>
  <c r="L93" i="12" s="1"/>
  <c r="L92" i="12" a="1"/>
  <c r="L92" i="12" s="1"/>
  <c r="L91" i="12" a="1"/>
  <c r="L91" i="12" s="1"/>
  <c r="L90" i="12" a="1"/>
  <c r="L90" i="12" s="1"/>
  <c r="L89" i="12" a="1"/>
  <c r="L89" i="12" s="1"/>
  <c r="L88" i="12" a="1"/>
  <c r="L88" i="12" s="1"/>
  <c r="L87" i="12" a="1"/>
  <c r="L87" i="12" s="1"/>
  <c r="L86" i="12" a="1"/>
  <c r="L86" i="12" s="1"/>
  <c r="L85" i="12" a="1"/>
  <c r="L85" i="12" s="1"/>
  <c r="L84" i="12" a="1"/>
  <c r="L84" i="12" s="1"/>
  <c r="L83" i="12" a="1"/>
  <c r="L83" i="12" s="1"/>
  <c r="L82" i="12" a="1"/>
  <c r="L82" i="12" s="1"/>
  <c r="L81" i="12" a="1"/>
  <c r="L81" i="12" s="1"/>
  <c r="L80" i="12" a="1"/>
  <c r="L80" i="12" s="1"/>
  <c r="AK2" i="2" s="1"/>
  <c r="L79" i="12" a="1"/>
  <c r="L79" i="12" s="1"/>
  <c r="L78" i="12" a="1"/>
  <c r="L78" i="12" s="1"/>
  <c r="L77" i="12" a="1"/>
  <c r="L77" i="12" s="1"/>
  <c r="L76" i="12" a="1"/>
  <c r="L76" i="12" s="1"/>
  <c r="L75" i="12" a="1"/>
  <c r="L75" i="12" s="1"/>
  <c r="AJ2" i="2" s="1"/>
  <c r="L74" i="12" a="1"/>
  <c r="L74" i="12" s="1"/>
  <c r="L73" i="12" a="1"/>
  <c r="L73" i="12" s="1"/>
  <c r="L72" i="12" a="1"/>
  <c r="L72" i="12" s="1"/>
  <c r="L71" i="12" a="1"/>
  <c r="L71" i="12" s="1"/>
  <c r="L70" i="12" a="1"/>
  <c r="L70" i="12" s="1"/>
  <c r="L69" i="12" a="1"/>
  <c r="L69" i="12" s="1"/>
  <c r="L68" i="12" a="1"/>
  <c r="L68" i="12" s="1"/>
  <c r="L67" i="12" a="1"/>
  <c r="L67" i="12" s="1"/>
  <c r="L66" i="12" a="1"/>
  <c r="L66" i="12" s="1"/>
  <c r="L65" i="12" a="1"/>
  <c r="L65" i="12" s="1"/>
  <c r="L64" i="12" a="1"/>
  <c r="L64" i="12" s="1"/>
  <c r="L63" i="12" a="1"/>
  <c r="L63" i="12" s="1"/>
  <c r="L62" i="12" a="1"/>
  <c r="L62" i="12" s="1"/>
  <c r="L61" i="12" a="1"/>
  <c r="L61" i="12" s="1"/>
  <c r="L58" i="12" a="1"/>
  <c r="L58" i="12" s="1"/>
  <c r="L52" i="12" a="1"/>
  <c r="L52" i="12" s="1"/>
  <c r="L47" i="12" a="1"/>
  <c r="L47" i="12" s="1"/>
  <c r="L46" i="12" a="1"/>
  <c r="L46" i="12" s="1"/>
  <c r="G2" i="2" s="1"/>
  <c r="L45" i="12" a="1"/>
  <c r="L45" i="12" s="1"/>
  <c r="L44" i="12" a="1"/>
  <c r="L44" i="12" s="1"/>
  <c r="L43" i="12" a="1"/>
  <c r="L43" i="12" s="1"/>
  <c r="L42" i="12" a="1"/>
  <c r="L42" i="12" s="1"/>
  <c r="X2" i="2" s="1"/>
  <c r="L41" i="12" a="1"/>
  <c r="L41" i="12" s="1"/>
  <c r="L40" i="12" a="1"/>
  <c r="L40" i="12" s="1"/>
  <c r="L39" i="12" a="1"/>
  <c r="L39" i="12" s="1"/>
  <c r="L38" i="12" a="1"/>
  <c r="L38" i="12" s="1"/>
  <c r="L37" i="12" a="1"/>
  <c r="L37" i="12" s="1"/>
  <c r="L36" i="12" a="1"/>
  <c r="L36" i="12" s="1"/>
  <c r="L35" i="12" a="1"/>
  <c r="L35" i="12" s="1"/>
  <c r="L10" i="12" s="1"/>
  <c r="L34" i="12" a="1"/>
  <c r="L34" i="12" s="1"/>
  <c r="I2" i="2" s="1"/>
  <c r="L33" i="12" a="1"/>
  <c r="L33" i="12" s="1"/>
  <c r="L32" i="12" a="1"/>
  <c r="L32" i="12" s="1"/>
  <c r="L31" i="12" a="1"/>
  <c r="L31" i="12" s="1"/>
  <c r="AC2" i="2" s="1"/>
  <c r="L30" i="12" a="1"/>
  <c r="L30" i="12" s="1"/>
  <c r="S10" i="12" s="1"/>
  <c r="L29" i="12" a="1"/>
  <c r="L29" i="12" s="1"/>
  <c r="F2" i="2" s="1"/>
  <c r="L28" i="12" a="1"/>
  <c r="L28" i="12" s="1"/>
  <c r="F10" i="12" s="1"/>
  <c r="D10" i="12" s="1"/>
  <c r="L27" i="12" a="1"/>
  <c r="L27" i="12" s="1"/>
  <c r="L26" i="12" a="1"/>
  <c r="L26" i="12" s="1"/>
  <c r="L25" i="12" a="1"/>
  <c r="L25" i="12" s="1"/>
  <c r="L24" i="12" a="1"/>
  <c r="L24" i="12" s="1"/>
  <c r="L23" i="12" a="1"/>
  <c r="L23" i="12" s="1"/>
  <c r="L22" i="12" a="1"/>
  <c r="L22" i="12" s="1"/>
  <c r="L21" i="12" a="1"/>
  <c r="L21" i="12" s="1"/>
  <c r="N9" i="12"/>
  <c r="M9" i="12"/>
  <c r="R9" i="12"/>
  <c r="Q9" i="12"/>
  <c r="P9" i="12"/>
  <c r="W2" i="2"/>
  <c r="B2" i="2"/>
  <c r="U12" i="12" l="1"/>
  <c r="T9" i="12"/>
  <c r="U11" i="12"/>
  <c r="T11" i="12"/>
  <c r="U10" i="12"/>
  <c r="T10" i="12"/>
  <c r="T12" i="12"/>
  <c r="K9" i="12"/>
  <c r="J9" i="12"/>
  <c r="H12" i="12"/>
  <c r="M11" i="12"/>
  <c r="N11" i="12"/>
  <c r="AI2" i="2"/>
  <c r="AL2" i="2"/>
  <c r="AE2" i="2"/>
  <c r="G11" i="12"/>
  <c r="H11" i="12"/>
  <c r="K11" i="12"/>
  <c r="J11" i="12"/>
  <c r="O10" i="12"/>
  <c r="K10" i="12"/>
  <c r="J10" i="12"/>
  <c r="P10" i="12"/>
  <c r="Z2" i="2" s="1"/>
  <c r="R10" i="12"/>
  <c r="AB2" i="2" s="1"/>
  <c r="Q10" i="12"/>
  <c r="AA2" i="2" s="1"/>
  <c r="E10" i="12"/>
  <c r="D2" i="2"/>
  <c r="N12" i="12"/>
  <c r="M12" i="12"/>
  <c r="J12" i="12"/>
  <c r="K12" i="12"/>
  <c r="Q12" i="12"/>
  <c r="R12" i="12"/>
  <c r="P12" i="12"/>
  <c r="J2" i="2"/>
  <c r="H2" i="2"/>
  <c r="G12" i="12"/>
  <c r="R11" i="12"/>
  <c r="Q11" i="12"/>
  <c r="P11" i="12"/>
  <c r="G10" i="12"/>
  <c r="L2" i="2" s="1"/>
  <c r="H10" i="12"/>
  <c r="M2" i="2" s="1"/>
  <c r="H9" i="12"/>
  <c r="N10" i="12" l="1"/>
  <c r="M10" i="12"/>
  <c r="P2" i="2"/>
  <c r="O2" i="2"/>
  <c r="E2" i="2"/>
  <c r="C2" i="2"/>
  <c r="A1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<sst xmlns="http://schemas.openxmlformats.org/spreadsheetml/2006/main" count="2167" uniqueCount="1223">
  <si>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</si>
  <si>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</si>
  <si>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</si>
  <si>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</si>
  <si>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</si>
  <si>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USA: United States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</si>
  <si>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</si>
  <si>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</si>
  <si>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</si>
  <si>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</si>
  <si>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</si>
  <si>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</si>
  <si>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</si>
  <si>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</si>
  <si>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</si>
  <si>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</si>
  <si>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</si>
  <si>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</si>
  <si>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</si>
  <si>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</si>
  <si>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</si>
  <si>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</si>
  <si>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</si>
  <si>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</si>
  <si>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</si>
  <si>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</si>
  <si>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</si>
  <si>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</si>
  <si>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</si>
  <si>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</si>
  <si>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</si>
  <si>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</si>
  <si>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</si>
  <si>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</si>
  <si>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</si>
  <si>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</si>
  <si>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</si>
  <si>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</si>
  <si>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</si>
  <si>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</si>
  <si>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</si>
  <si>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</si>
  <si>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</si>
  <si>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VAL: Value added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</si>
  <si>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</si>
  <si>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</si>
  <si>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</si>
  <si>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</si>
  <si>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</si>
  <si>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</si>
  <si>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</si>
  <si>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</si>
  <si>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</si>
  <si>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</si>
  <si>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</si>
  <si>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</si>
  <si>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</si>
  <si>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</si>
  <si>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</si>
  <si>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</si>
  <si>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</si>
  <si>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</si>
  <si>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</si>
  <si>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</si>
  <si>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</si>
  <si>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</si>
  <si>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</si>
  <si>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</si>
  <si>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</si>
  <si>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</si>
  <si>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</si>
  <si>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</si>
  <si>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</si>
  <si>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</si>
  <si>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</si>
  <si>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</si>
  <si>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</si>
  <si>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</si>
  <si>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</si>
  <si>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</si>
  <si>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</si>
  <si>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</si>
  <si>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From: (sector in row)</t>
  </si>
  <si>
    <t>LABR: Compensation of employees</t>
  </si>
  <si>
    <t>OTXS: Other taxes less subsidies on production</t>
  </si>
  <si>
    <t>GOPS: Gross operating surplus and mixed income</t>
  </si>
  <si>
    <t>Data extracted on 03 Jun 2020 20:52 UTC (GMT) from OECD.Stat</t>
  </si>
  <si>
    <t>Employee Compensation</t>
  </si>
  <si>
    <t>Unit: $</t>
  </si>
  <si>
    <t>Input-Output Tables 2018 Edition (ISIC Rev. 4)</t>
  </si>
  <si>
    <t>Variable: VAL</t>
  </si>
  <si>
    <t>In the OECD dataset, employee compensation includes not just salary and bonuses</t>
  </si>
  <si>
    <t>but also employer-paid benefits and employer-paid retirement plan contributions.</t>
  </si>
  <si>
    <t>BECbIC BAU Employee Compensation by ISIC Code</t>
  </si>
  <si>
    <t>ISIC 20</t>
  </si>
  <si>
    <t>ISIC 21</t>
  </si>
  <si>
    <t>Most Industries</t>
  </si>
  <si>
    <t>https://stats.oecd.org/Index.aspx?DataSetCode=IOTSI4_2018</t>
  </si>
  <si>
    <t>https://stats.oecd.org/Index.aspx?DataSetCode=STANI4_2020</t>
  </si>
  <si>
    <t>Oil and gas extraction</t>
  </si>
  <si>
    <t>211</t>
  </si>
  <si>
    <t>ISIC 05</t>
  </si>
  <si>
    <t>ISIC 06</t>
  </si>
  <si>
    <t>Coal Mining</t>
  </si>
  <si>
    <t>NAICS Code</t>
  </si>
  <si>
    <t>2121</t>
  </si>
  <si>
    <t>ISIC Code</t>
  </si>
  <si>
    <t>05</t>
  </si>
  <si>
    <t>06</t>
  </si>
  <si>
    <t>Employment (EEs)</t>
  </si>
  <si>
    <t>BEA</t>
  </si>
  <si>
    <t>Gross Output</t>
  </si>
  <si>
    <t>Value Added</t>
  </si>
  <si>
    <t>Compensation of employees</t>
  </si>
  <si>
    <t>Gross operating surplus</t>
  </si>
  <si>
    <t>U.S. Bureau of Labor Statistics</t>
  </si>
  <si>
    <t>Table B-1a</t>
  </si>
  <si>
    <t>Industry File Download</t>
  </si>
  <si>
    <t>Gross Output by Industry</t>
  </si>
  <si>
    <t>Underlying Detail: Gross Output by Industry</t>
  </si>
  <si>
    <t>Components of Value Added</t>
  </si>
  <si>
    <t>Calculated values are italicized.  Non-italicized values come directly from source documents.</t>
  </si>
  <si>
    <t>Metric</t>
  </si>
  <si>
    <t>Source URL</t>
  </si>
  <si>
    <t>Source table</t>
  </si>
  <si>
    <t>All Mining other than Oil and Gas (inc. Coal)</t>
  </si>
  <si>
    <t>Chemicals</t>
  </si>
  <si>
    <t>Pharmaceuticals</t>
  </si>
  <si>
    <t>Chemicals and Pharmaceuticals</t>
  </si>
  <si>
    <t>Glass</t>
  </si>
  <si>
    <t>Cement and Other Nometallic Minerals</t>
  </si>
  <si>
    <t>All Nonmetallic Minerals</t>
  </si>
  <si>
    <t>Iron and steel</t>
  </si>
  <si>
    <t>Other metals</t>
  </si>
  <si>
    <t>All primary metals</t>
  </si>
  <si>
    <t>Electricity generation and distribution</t>
  </si>
  <si>
    <t>Energy pipelines and gas processing</t>
  </si>
  <si>
    <t>Water and waste</t>
  </si>
  <si>
    <t>All Utilities</t>
  </si>
  <si>
    <t>3251-3253, 3255-3259</t>
  </si>
  <si>
    <t>327 excl. 3272</t>
  </si>
  <si>
    <t>05 + 07T08</t>
  </si>
  <si>
    <t>20T21</t>
  </si>
  <si>
    <t>352T353</t>
  </si>
  <si>
    <t>36T39</t>
  </si>
  <si>
    <t>35T39</t>
  </si>
  <si>
    <t>B-1a</t>
  </si>
  <si>
    <t>Gross Output (detail level)</t>
  </si>
  <si>
    <t>U.Gross Output by Industry - Detail Level</t>
  </si>
  <si>
    <t>Taxes on production and imports, less subsidies</t>
  </si>
  <si>
    <t>[Millions of dollars]</t>
  </si>
  <si>
    <t>Bureau of Economic Analysis</t>
  </si>
  <si>
    <t>Line</t>
  </si>
  <si>
    <t>EPS Industry Category</t>
  </si>
  <si>
    <t>Compensation of EEs</t>
  </si>
  <si>
    <t>1</t>
  </si>
  <si>
    <t>Oilseed farming</t>
  </si>
  <si>
    <t>2</t>
  </si>
  <si>
    <t>Grain farming</t>
  </si>
  <si>
    <t>3</t>
  </si>
  <si>
    <t>Vegetable and melon farming</t>
  </si>
  <si>
    <t>4</t>
  </si>
  <si>
    <t>Fruit and tree nut farming</t>
  </si>
  <si>
    <t>5</t>
  </si>
  <si>
    <t>Greenhouse, nursery, and floriculture production</t>
  </si>
  <si>
    <t>6</t>
  </si>
  <si>
    <t>Other crop farming</t>
  </si>
  <si>
    <t>7</t>
  </si>
  <si>
    <t>Dairy cattle and milk production</t>
  </si>
  <si>
    <t>8</t>
  </si>
  <si>
    <t>Beef cattle ranching and farming, including feedlots and dual-purpose ranching and farming</t>
  </si>
  <si>
    <t>9</t>
  </si>
  <si>
    <t>Poultry and egg production</t>
  </si>
  <si>
    <t>10</t>
  </si>
  <si>
    <t>Animal production, except cattle and poultry and eggs</t>
  </si>
  <si>
    <t>11</t>
  </si>
  <si>
    <t>Forestry and logging</t>
  </si>
  <si>
    <t>12</t>
  </si>
  <si>
    <t>Fishing, hunting and trapping</t>
  </si>
  <si>
    <t>13</t>
  </si>
  <si>
    <t>Support activities for agriculture and forestry</t>
  </si>
  <si>
    <t>14</t>
  </si>
  <si>
    <t>oil and gas extraction</t>
  </si>
  <si>
    <t>15</t>
  </si>
  <si>
    <t>Coal mining</t>
  </si>
  <si>
    <t>coal mining</t>
  </si>
  <si>
    <t>16</t>
  </si>
  <si>
    <t>Copper, nickel, lead, and zinc mining</t>
  </si>
  <si>
    <t>17</t>
  </si>
  <si>
    <t>Iron, gold, silver, and other metal ore mining</t>
  </si>
  <si>
    <t>18</t>
  </si>
  <si>
    <t>Stone mining and quarrying</t>
  </si>
  <si>
    <t>19</t>
  </si>
  <si>
    <t>Other nonmetallic mineral mining and quarrying</t>
  </si>
  <si>
    <t>20</t>
  </si>
  <si>
    <t>Drilling oil and gas wells</t>
  </si>
  <si>
    <t>21</t>
  </si>
  <si>
    <t>Other support activities for mining</t>
  </si>
  <si>
    <t>22</t>
  </si>
  <si>
    <t>Hydroelectric power generation</t>
  </si>
  <si>
    <t>electricity generation and distribution</t>
  </si>
  <si>
    <t>23</t>
  </si>
  <si>
    <t>Fossil fuel electric power generation</t>
  </si>
  <si>
    <t>24</t>
  </si>
  <si>
    <t>Nuclear electric power generation</t>
  </si>
  <si>
    <t>25</t>
  </si>
  <si>
    <t>Solar electric power generation</t>
  </si>
  <si>
    <t>26</t>
  </si>
  <si>
    <t>Wind electric power generation</t>
  </si>
  <si>
    <t>27</t>
  </si>
  <si>
    <t>Geothermal electric power generation</t>
  </si>
  <si>
    <t>28</t>
  </si>
  <si>
    <t>Biomass electric power generation</t>
  </si>
  <si>
    <t>29</t>
  </si>
  <si>
    <t>Other electric power generation</t>
  </si>
  <si>
    <t>30</t>
  </si>
  <si>
    <t>Electric bulk power transmission and control</t>
  </si>
  <si>
    <t>31</t>
  </si>
  <si>
    <t>Electric power distribution</t>
  </si>
  <si>
    <t>32</t>
  </si>
  <si>
    <t>Natural gas distribution</t>
  </si>
  <si>
    <t>energy pipelines and gas processing</t>
  </si>
  <si>
    <t>33</t>
  </si>
  <si>
    <t>Water, sewage and other systems</t>
  </si>
  <si>
    <t>water and waste</t>
  </si>
  <si>
    <t>34</t>
  </si>
  <si>
    <t>Health care structures</t>
  </si>
  <si>
    <t>35</t>
  </si>
  <si>
    <t>Educational and vocational structures</t>
  </si>
  <si>
    <t>36</t>
  </si>
  <si>
    <t>Nonresidential maintenance and repair</t>
  </si>
  <si>
    <t>37</t>
  </si>
  <si>
    <t>Residential maintenance and repair</t>
  </si>
  <si>
    <t>38</t>
  </si>
  <si>
    <t>Office and commercial structures</t>
  </si>
  <si>
    <t>39</t>
  </si>
  <si>
    <t>Multifamily residential structures</t>
  </si>
  <si>
    <t>40</t>
  </si>
  <si>
    <t>Other residential structures</t>
  </si>
  <si>
    <t>41</t>
  </si>
  <si>
    <t>Manufacturing structures</t>
  </si>
  <si>
    <t>42</t>
  </si>
  <si>
    <t>Other nonresidential structures</t>
  </si>
  <si>
    <t>43</t>
  </si>
  <si>
    <t>Power and communication structures</t>
  </si>
  <si>
    <t>44</t>
  </si>
  <si>
    <t>Single-family residential structures</t>
  </si>
  <si>
    <t>45</t>
  </si>
  <si>
    <t>Transportation structures and highways and streets</t>
  </si>
  <si>
    <t>46</t>
  </si>
  <si>
    <t>Sawmills and wood preservation</t>
  </si>
  <si>
    <t>47</t>
  </si>
  <si>
    <t>Veneer, plywood, and engineered wood product manufacturing</t>
  </si>
  <si>
    <t>48</t>
  </si>
  <si>
    <t>Millwork</t>
  </si>
  <si>
    <t>49</t>
  </si>
  <si>
    <t>All other wood product manufacturing</t>
  </si>
  <si>
    <t>50</t>
  </si>
  <si>
    <t>Clay product and refractory manufacturing</t>
  </si>
  <si>
    <t>other non-metallic minerals</t>
  </si>
  <si>
    <t>51</t>
  </si>
  <si>
    <t>Glass and glass product manufacturing</t>
  </si>
  <si>
    <t>glass</t>
  </si>
  <si>
    <t>52</t>
  </si>
  <si>
    <t>Cement manufacturing</t>
  </si>
  <si>
    <t>53</t>
  </si>
  <si>
    <t>Ready-mix concrete manufacturing</t>
  </si>
  <si>
    <t>54</t>
  </si>
  <si>
    <t>Concrete pipe, brick, and block manufacturing</t>
  </si>
  <si>
    <t>55</t>
  </si>
  <si>
    <t>Other concrete product manufacturing</t>
  </si>
  <si>
    <t>56</t>
  </si>
  <si>
    <t>Lime and gypsum product manufacturing</t>
  </si>
  <si>
    <t>57</t>
  </si>
  <si>
    <t>Abrasive product manufacturing</t>
  </si>
  <si>
    <t>58</t>
  </si>
  <si>
    <t>Cut stone and stone product manufacturing</t>
  </si>
  <si>
    <t>59</t>
  </si>
  <si>
    <t>Ground or treated mineral and earth manufacturing</t>
  </si>
  <si>
    <t>60</t>
  </si>
  <si>
    <t>Mineral wool manufacturing</t>
  </si>
  <si>
    <t>61</t>
  </si>
  <si>
    <t>Miscellaneous nonmetallic mineral products</t>
  </si>
  <si>
    <t>62</t>
  </si>
  <si>
    <t>Iron and steel mills and ferroalloy manufacturing</t>
  </si>
  <si>
    <t>iron and steel</t>
  </si>
  <si>
    <t>63</t>
  </si>
  <si>
    <t>Steel product manufacturing from purchased steel</t>
  </si>
  <si>
    <t>64</t>
  </si>
  <si>
    <t>Secondary smelting and alloying of aluminum</t>
  </si>
  <si>
    <t>other metals</t>
  </si>
  <si>
    <t>65</t>
  </si>
  <si>
    <t>Alumina refining and primary aluminum production</t>
  </si>
  <si>
    <t>66</t>
  </si>
  <si>
    <t>Aluminum product manufacturing from purchased aluminum</t>
  </si>
  <si>
    <t>67</t>
  </si>
  <si>
    <t>68</t>
  </si>
  <si>
    <t>Copper rolling, drawing, extruding and alloying</t>
  </si>
  <si>
    <t>69</t>
  </si>
  <si>
    <t>Nonferrous metal (except copper and aluminum) rolling, drawing, extruding and alloying</t>
  </si>
  <si>
    <t>70</t>
  </si>
  <si>
    <t>Ferrous metal foundries</t>
  </si>
  <si>
    <t>71</t>
  </si>
  <si>
    <t>Nonferrous metal foundries</t>
  </si>
  <si>
    <t>72</t>
  </si>
  <si>
    <t>Custom roll forming</t>
  </si>
  <si>
    <t>73</t>
  </si>
  <si>
    <t>All other forging, stamping, and sintering</t>
  </si>
  <si>
    <t>74</t>
  </si>
  <si>
    <t>Metal crown, closure, and other metal stamping (except automotive)</t>
  </si>
  <si>
    <t>75</t>
  </si>
  <si>
    <t>Cutlery and handtool manufacturing</t>
  </si>
  <si>
    <t>76</t>
  </si>
  <si>
    <t>Plate work and fabricated structural product manufacturing</t>
  </si>
  <si>
    <t>77</t>
  </si>
  <si>
    <t>Ornamental and architectural metal products manufacturing</t>
  </si>
  <si>
    <t>78</t>
  </si>
  <si>
    <t>Power boiler and heat exchanger manufacturing</t>
  </si>
  <si>
    <t>79</t>
  </si>
  <si>
    <t>Metal tank (heavy gauge) manufacturing</t>
  </si>
  <si>
    <t>80</t>
  </si>
  <si>
    <t>Metal can, box, and other metal container (light gauge) manufacturing</t>
  </si>
  <si>
    <t>81</t>
  </si>
  <si>
    <t>Hardware manufacturing</t>
  </si>
  <si>
    <t>82</t>
  </si>
  <si>
    <t>Spring and wire product manufacturing</t>
  </si>
  <si>
    <t>83</t>
  </si>
  <si>
    <t>Machine shops</t>
  </si>
  <si>
    <t>84</t>
  </si>
  <si>
    <t>Turned product and screw, nut, and bolt manufacturing</t>
  </si>
  <si>
    <t>85</t>
  </si>
  <si>
    <t>Coating, engraving, heat treating and allied activities</t>
  </si>
  <si>
    <t>86</t>
  </si>
  <si>
    <t>Plumbing fixture fitting and trim manufacturing</t>
  </si>
  <si>
    <t>87</t>
  </si>
  <si>
    <t>Valve and fittings other than plumbing</t>
  </si>
  <si>
    <t>88</t>
  </si>
  <si>
    <t>Ball and roller bearing manufacturing</t>
  </si>
  <si>
    <t>89</t>
  </si>
  <si>
    <t>Fabricated pipe and pipe fitting manufacturing</t>
  </si>
  <si>
    <t>90</t>
  </si>
  <si>
    <t>Ammunition, arms, ordnance, and accessories manufacturing</t>
  </si>
  <si>
    <t>91</t>
  </si>
  <si>
    <t>Other fabricated metal manufacturing</t>
  </si>
  <si>
    <t>92</t>
  </si>
  <si>
    <t>Farm machinery and equipment manufacturing</t>
  </si>
  <si>
    <t>93</t>
  </si>
  <si>
    <t>Lawn and garden equipment manufacturing</t>
  </si>
  <si>
    <t>94</t>
  </si>
  <si>
    <t>Construction machinery manufacturing</t>
  </si>
  <si>
    <t>95</t>
  </si>
  <si>
    <t>Mining and oil and gas field machinery manufacturing</t>
  </si>
  <si>
    <t>96</t>
  </si>
  <si>
    <t>Semiconductor machinery manufacturing</t>
  </si>
  <si>
    <t>97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</si>
  <si>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</si>
  <si>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</si>
  <si>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</si>
  <si>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</si>
  <si>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</si>
  <si>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</si>
  <si>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</si>
  <si>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</si>
  <si>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</si>
  <si>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</si>
  <si>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</si>
  <si>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</si>
  <si>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</si>
  <si>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</si>
  <si>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</si>
  <si>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</si>
  <si>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</si>
  <si>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</si>
  <si>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</si>
  <si>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</si>
  <si>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</si>
  <si>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</si>
  <si>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</si>
  <si>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</si>
  <si>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</si>
  <si>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</si>
  <si>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</si>
  <si>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</si>
  <si>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</si>
  <si>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</si>
  <si>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</si>
  <si>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</si>
  <si>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</si>
  <si>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</si>
  <si>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</si>
  <si>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</si>
  <si>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</si>
  <si>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</si>
  <si>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</si>
  <si>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</si>
  <si>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</si>
  <si>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</si>
  <si>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</si>
  <si>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</si>
  <si>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</si>
  <si>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</si>
  <si>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</si>
  <si>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</si>
  <si>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</si>
  <si>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</si>
  <si>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</si>
  <si>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</si>
  <si>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</si>
  <si>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</si>
  <si>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</si>
  <si>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</si>
  <si>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</si>
  <si>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</si>
  <si>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</si>
  <si>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</si>
  <si>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</si>
  <si>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</si>
  <si>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</si>
  <si>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</si>
  <si>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</si>
  <si>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</si>
  <si>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</si>
  <si>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</si>
  <si>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</si>
  <si>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</si>
  <si>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</si>
  <si>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</si>
  <si>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</si>
  <si>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</si>
  <si>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</si>
  <si>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</si>
  <si>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</si>
  <si>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</si>
  <si>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</si>
  <si>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</si>
  <si>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</si>
  <si>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</si>
  <si>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</si>
  <si>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</si>
  <si>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</si>
  <si>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</si>
  <si>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</si>
  <si>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</si>
  <si>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</si>
  <si>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</si>
  <si>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</si>
  <si>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</si>
  <si>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</si>
  <si>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</si>
  <si>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</si>
  <si>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</si>
  <si>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</si>
  <si>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</si>
  <si>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</si>
  <si>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</si>
  <si>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</si>
  <si>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</si>
  <si>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</si>
  <si>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</si>
  <si>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</si>
  <si>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</si>
  <si>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</si>
  <si>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</si>
  <si>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</si>
  <si>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</si>
  <si>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</si>
  <si>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</si>
  <si>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</si>
  <si>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</si>
  <si>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</si>
  <si>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</si>
  <si>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</si>
  <si>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</si>
  <si>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</si>
  <si>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</si>
  <si>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</si>
  <si>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</si>
  <si>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</si>
  <si>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</si>
  <si>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</si>
  <si>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</si>
  <si>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</si>
  <si>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</si>
  <si>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</si>
  <si>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</si>
  <si>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</si>
  <si>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</si>
  <si>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</si>
  <si>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</si>
  <si>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</si>
  <si>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</si>
  <si>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</si>
  <si>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</si>
  <si>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</si>
  <si>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</si>
  <si>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</si>
  <si>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</si>
  <si>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</si>
  <si>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</si>
  <si>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</si>
  <si>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</si>
  <si>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</si>
  <si>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</si>
  <si>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</si>
  <si>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</si>
  <si>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</si>
  <si>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</si>
  <si>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</si>
  <si>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</si>
  <si>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</si>
  <si>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</si>
  <si>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</si>
  <si>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</si>
  <si>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</si>
  <si>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</si>
  <si>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</si>
  <si>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</si>
  <si>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</si>
  <si>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</si>
  <si>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</si>
  <si>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</si>
  <si>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</si>
  <si>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</si>
  <si>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</si>
  <si>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</si>
  <si>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</si>
  <si>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</si>
  <si>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</si>
  <si>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</si>
  <si>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</si>
  <si>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</si>
  <si>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</si>
  <si>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>Household appliances and electrical and electronic goods</t>
  </si>
  <si>
    <t>Machinery, equipment, and supplies</t>
  </si>
  <si>
    <t>Other durable goods merchant wholesalers</t>
  </si>
  <si>
    <t>Drugs and druggists' sundries</t>
  </si>
  <si>
    <t>Grocery and related product wholesalers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</si>
  <si>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</si>
  <si>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</si>
  <si>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</si>
  <si>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</si>
  <si>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</si>
  <si>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</si>
  <si>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</si>
  <si>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</si>
  <si>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</si>
  <si>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</si>
  <si>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</si>
  <si>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</si>
  <si>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Furniture and home furnishings stores</t>
  </si>
  <si>
    <t>Electronics and appliance stores</t>
  </si>
  <si>
    <t>Sporting goods, hobby, book, and music stores</t>
  </si>
  <si>
    <t>Miscellaneous store retailers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</si>
  <si>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</si>
  <si>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</si>
  <si>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</si>
  <si>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</si>
  <si>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</si>
  <si>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</si>
  <si>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</si>
  <si>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</si>
  <si>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</si>
  <si>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</si>
  <si>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</si>
  <si>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</si>
  <si>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</si>
  <si>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</si>
  <si>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</si>
  <si>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</si>
  <si>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</si>
  <si>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</si>
  <si>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</si>
  <si>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</si>
  <si>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</si>
  <si>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</si>
  <si>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</si>
  <si>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</si>
  <si>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</si>
  <si>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</si>
  <si>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</si>
  <si>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</si>
  <si>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</si>
  <si>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 insurance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</si>
  <si>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</si>
  <si>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</si>
  <si>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</si>
  <si>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</si>
  <si>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</si>
  <si>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</si>
  <si>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</si>
  <si>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</si>
  <si>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</si>
  <si>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</si>
  <si>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</si>
  <si>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</si>
  <si>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</si>
  <si>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</si>
  <si>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</si>
  <si>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</si>
  <si>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</si>
  <si>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</si>
  <si>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</si>
  <si>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</si>
  <si>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</si>
  <si>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</si>
  <si>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>All other miscellaneous professional, scientific, and technical services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</si>
  <si>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</si>
  <si>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</si>
  <si>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</si>
  <si>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</si>
  <si>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</si>
  <si>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</si>
  <si>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</si>
  <si>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</si>
  <si>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</si>
  <si>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</si>
  <si>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</si>
  <si>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</si>
  <si>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</si>
  <si>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</si>
  <si>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</si>
  <si>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</si>
  <si>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</si>
  <si>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</si>
  <si>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</si>
  <si>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</si>
  <si>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</si>
  <si>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</si>
  <si>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</si>
  <si>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</si>
  <si>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</si>
  <si>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</si>
  <si>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</si>
  <si>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</si>
  <si>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</si>
  <si>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</si>
  <si>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</si>
  <si>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</si>
  <si>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</si>
  <si>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</si>
  <si>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</si>
  <si>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</si>
  <si>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</si>
  <si>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</si>
  <si>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</si>
  <si>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</si>
  <si>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</si>
  <si>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</si>
  <si>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</si>
  <si>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</si>
  <si>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</si>
  <si>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</si>
  <si>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</si>
  <si>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</si>
  <si>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</si>
  <si>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</si>
  <si>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</si>
  <si>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</si>
  <si>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</si>
  <si>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</si>
  <si>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</si>
  <si>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passenger transit</t>
  </si>
  <si>
    <t>State and local government electric utilities</t>
  </si>
  <si>
    <t>Other state and local government enterprises</t>
  </si>
  <si>
    <t>ISIC 231</t>
  </si>
  <si>
    <t>ISIC 239</t>
  </si>
  <si>
    <t>ISIC 241</t>
  </si>
  <si>
    <t>ISIC 242</t>
  </si>
  <si>
    <t>ISIC 351</t>
  </si>
  <si>
    <t>ISIC 352T353</t>
  </si>
  <si>
    <t>ISIC 36T39</t>
  </si>
  <si>
    <t>ISIC Code Splits</t>
  </si>
  <si>
    <t>We divide up various ISIC codes that need to be disaggregated in the EPS using data</t>
  </si>
  <si>
    <t>from BLS and BEA publications for the U.S.  Data for various other countries that can</t>
  </si>
  <si>
    <t>help with some of these splits, such as chemicals (ISIC 20) and pharmaceuticals (ISIC 21),</t>
  </si>
  <si>
    <t>can be found in the OECD's "STAN Database for Structural Analysis," variable EMPN, at:</t>
  </si>
  <si>
    <t>https://www.bls.gov/ces/data/employment-and-earnings/2021/table1a_202112.htm</t>
  </si>
  <si>
    <t>https://apps.bea.gov/iTable/?isuri=1&amp;reqid=151&amp;step=1</t>
  </si>
  <si>
    <t>U.Real Gross Output by Industry - Detail Level</t>
  </si>
  <si>
    <t xml:space="preserve">    Gross domestic product</t>
  </si>
  <si>
    <t>Private industries</t>
  </si>
  <si>
    <t xml:space="preserve">  Agriculture, forestry, fishing, and hunting</t>
  </si>
  <si>
    <t xml:space="preserve">    Farms</t>
  </si>
  <si>
    <t xml:space="preserve">    Forestry, fishing, and related activities</t>
  </si>
  <si>
    <t xml:space="preserve">  Mining</t>
  </si>
  <si>
    <t xml:space="preserve">    Oil and gas extraction</t>
  </si>
  <si>
    <t xml:space="preserve">    Mining, except oil and gas</t>
  </si>
  <si>
    <t>ISIC 05, ISIC 07T08</t>
  </si>
  <si>
    <t xml:space="preserve">    Support activities for mining</t>
  </si>
  <si>
    <t xml:space="preserve">  Utilities</t>
  </si>
  <si>
    <t xml:space="preserve">  Construction</t>
  </si>
  <si>
    <t xml:space="preserve">  Manufacturing</t>
  </si>
  <si>
    <t xml:space="preserve">    Durable goods</t>
  </si>
  <si>
    <t xml:space="preserve">      Wood products</t>
  </si>
  <si>
    <t xml:space="preserve">      Nonmetallic mineral products</t>
  </si>
  <si>
    <t>ISIC 239; ISIC 231</t>
  </si>
  <si>
    <t xml:space="preserve">      Primary metals</t>
  </si>
  <si>
    <t xml:space="preserve">      Fabricated metal products</t>
  </si>
  <si>
    <t>ISIC 241; ISIC 242</t>
  </si>
  <si>
    <t xml:space="preserve">      Machinery</t>
  </si>
  <si>
    <t xml:space="preserve">      Computer and electronic products</t>
  </si>
  <si>
    <t xml:space="preserve">      Electrical equipment, appliances, and components</t>
  </si>
  <si>
    <t xml:space="preserve">      Motor vehicles, bodies and trailers, and parts</t>
  </si>
  <si>
    <t xml:space="preserve">      Other transportation equipment</t>
  </si>
  <si>
    <t xml:space="preserve">      Furniture and related products</t>
  </si>
  <si>
    <t xml:space="preserve">      Miscellaneous manufacturing</t>
  </si>
  <si>
    <t xml:space="preserve">    Nondurable goods</t>
  </si>
  <si>
    <t xml:space="preserve">      Food and beverage and tobacco products</t>
  </si>
  <si>
    <t xml:space="preserve">      Textile mills and textile product mills</t>
  </si>
  <si>
    <t xml:space="preserve">      Apparel and leather and allied products</t>
  </si>
  <si>
    <t xml:space="preserve">      Paper products</t>
  </si>
  <si>
    <t xml:space="preserve">      Printing and related support activities</t>
  </si>
  <si>
    <t xml:space="preserve">      Petroleum and coal products</t>
  </si>
  <si>
    <t xml:space="preserve">      Chemical products</t>
  </si>
  <si>
    <t>ISIC 20; ISIC 21</t>
  </si>
  <si>
    <t xml:space="preserve">      Plastics and rubber products</t>
  </si>
  <si>
    <t xml:space="preserve">  Wholesale trade</t>
  </si>
  <si>
    <t xml:space="preserve">  Retail trade</t>
  </si>
  <si>
    <t xml:space="preserve">    Motor vehicle and parts dealers</t>
  </si>
  <si>
    <t xml:space="preserve">    Food and beverage stores</t>
  </si>
  <si>
    <t xml:space="preserve">    General merchandise stores</t>
  </si>
  <si>
    <t xml:space="preserve">    Other retail</t>
  </si>
  <si>
    <t xml:space="preserve">  Transportation and warehousing</t>
  </si>
  <si>
    <t xml:space="preserve">    Air transportation</t>
  </si>
  <si>
    <t xml:space="preserve">    Rail transportation</t>
  </si>
  <si>
    <t xml:space="preserve">    Water transportation</t>
  </si>
  <si>
    <t xml:space="preserve">    Truck transportation</t>
  </si>
  <si>
    <t xml:space="preserve">    Transit and ground passenger transportation</t>
  </si>
  <si>
    <t xml:space="preserve">    Pipeline transportation</t>
  </si>
  <si>
    <t xml:space="preserve">    Other transportation and support activities</t>
  </si>
  <si>
    <t xml:space="preserve">    Warehousing and storage</t>
  </si>
  <si>
    <t xml:space="preserve">  Information</t>
  </si>
  <si>
    <t xml:space="preserve">    Publishing industries, except internet (includes software)</t>
  </si>
  <si>
    <t xml:space="preserve">    Motion picture and sound recording industries</t>
  </si>
  <si>
    <t xml:space="preserve">    Broadcasting and telecommunications</t>
  </si>
  <si>
    <t>ISIC 58T60; ISIC 61</t>
  </si>
  <si>
    <t xml:space="preserve">    Data processing, internet publishing, and other information services</t>
  </si>
  <si>
    <t xml:space="preserve">  Finance, insurance, real estate, rental, and leasing</t>
  </si>
  <si>
    <t xml:space="preserve">    Finance and insurance</t>
  </si>
  <si>
    <t xml:space="preserve">      Federal Reserve banks, credit intermediation, and related activities</t>
  </si>
  <si>
    <t xml:space="preserve">      Securities, commodity contracts, and investments</t>
  </si>
  <si>
    <t xml:space="preserve">      Insurance carriers and related activities</t>
  </si>
  <si>
    <t xml:space="preserve">      Funds, trusts, and other financial vehicles</t>
  </si>
  <si>
    <t xml:space="preserve">    Real estate and rental and leasing</t>
  </si>
  <si>
    <t xml:space="preserve">      Real estate</t>
  </si>
  <si>
    <t xml:space="preserve">        Housing</t>
  </si>
  <si>
    <t xml:space="preserve">        Other real estate</t>
  </si>
  <si>
    <t xml:space="preserve">      Rental and leasing services and lessors of intangible assets</t>
  </si>
  <si>
    <t xml:space="preserve">  Professional and business services</t>
  </si>
  <si>
    <t xml:space="preserve">    Professional, scientific, and technical services</t>
  </si>
  <si>
    <t xml:space="preserve">      Legal services</t>
  </si>
  <si>
    <t xml:space="preserve">      Computer systems design and related services</t>
  </si>
  <si>
    <t xml:space="preserve">      Miscellaneous professional, scientific, and technical services</t>
  </si>
  <si>
    <t xml:space="preserve">    Management of companies and enterprises</t>
  </si>
  <si>
    <t xml:space="preserve">    Administrative and waste management services</t>
  </si>
  <si>
    <t xml:space="preserve">      Administrative and support services</t>
  </si>
  <si>
    <t xml:space="preserve">      Waste management and remediation services</t>
  </si>
  <si>
    <t xml:space="preserve">  Educational services, health care, and social assistance</t>
  </si>
  <si>
    <t xml:space="preserve">    Educational services</t>
  </si>
  <si>
    <t xml:space="preserve">    Health care and social assistance</t>
  </si>
  <si>
    <t xml:space="preserve">      Ambulatory health care services</t>
  </si>
  <si>
    <t xml:space="preserve">      Hospitals</t>
  </si>
  <si>
    <t xml:space="preserve">      Nursing and residential care facilities</t>
  </si>
  <si>
    <t xml:space="preserve">      Social assistance</t>
  </si>
  <si>
    <t xml:space="preserve">  Arts, entertainment, recreation, accommodation, and food services</t>
  </si>
  <si>
    <t xml:space="preserve">    Arts, entertainment, and recreation</t>
  </si>
  <si>
    <t xml:space="preserve">      Performing arts, spectator sports, museums, and related activities</t>
  </si>
  <si>
    <t xml:space="preserve">      Amusements, gambling, and recreation industries</t>
  </si>
  <si>
    <t xml:space="preserve">    Accommodation and food services</t>
  </si>
  <si>
    <t xml:space="preserve">      Accommodation</t>
  </si>
  <si>
    <t xml:space="preserve">      Food services and drinking places</t>
  </si>
  <si>
    <t xml:space="preserve">  Other services, except government</t>
  </si>
  <si>
    <t>Government</t>
  </si>
  <si>
    <t xml:space="preserve">  Federal</t>
  </si>
  <si>
    <t xml:space="preserve">    General government</t>
  </si>
  <si>
    <t xml:space="preserve">      National defense</t>
  </si>
  <si>
    <t xml:space="preserve">      Nondefense</t>
  </si>
  <si>
    <t xml:space="preserve">    Government enterprises</t>
  </si>
  <si>
    <t xml:space="preserve">  State and local</t>
  </si>
  <si>
    <t xml:space="preserve">Current Employment Statistics </t>
  </si>
  <si>
    <t>ISIC 351; ISIC 352T353; ISIC 36T39</t>
  </si>
  <si>
    <t>2024</t>
  </si>
  <si>
    <t xml:space="preserve">            Compensation of employees</t>
  </si>
  <si>
    <t xml:space="preserve">        Finance and insurance</t>
  </si>
  <si>
    <t xml:space="preserve">            Federal Reserve banks, credit intermediation, and related activities</t>
  </si>
  <si>
    <t xml:space="preserve">            Securities, commodity contracts, and investments</t>
  </si>
  <si>
    <t xml:space="preserve">            Insurance carriers and related activities</t>
  </si>
  <si>
    <t xml:space="preserve">            Funds, trusts, and other financial vehicles</t>
  </si>
  <si>
    <t xml:space="preserve">        Real estate and rental and leasing</t>
  </si>
  <si>
    <t xml:space="preserve">            Real estate</t>
  </si>
  <si>
    <t xml:space="preserve">        Professional, scientific, and technical services</t>
  </si>
  <si>
    <t xml:space="preserve">            Legal services</t>
  </si>
  <si>
    <t xml:space="preserve">            Computer systems design and related services</t>
  </si>
  <si>
    <t xml:space="preserve">        Administrative and waste management services</t>
  </si>
  <si>
    <t xml:space="preserve">            Administrative and support services</t>
  </si>
  <si>
    <t xml:space="preserve">            Waste management and remediation services</t>
  </si>
  <si>
    <t xml:space="preserve">        Educational services</t>
  </si>
  <si>
    <t xml:space="preserve">        Health care and social assistance</t>
  </si>
  <si>
    <t xml:space="preserve">            Ambulatory health care services</t>
  </si>
  <si>
    <t xml:space="preserve">            Hospitals</t>
  </si>
  <si>
    <t xml:space="preserve">            Nursing and residential care facilities</t>
  </si>
  <si>
    <t xml:space="preserve">            Social assistance</t>
  </si>
  <si>
    <t xml:space="preserve">        Arts, entertainment, and recreation</t>
  </si>
  <si>
    <t xml:space="preserve">            Performing arts, spectator sports, museums, and related activities</t>
  </si>
  <si>
    <t xml:space="preserve">            Amusements, gambling, and recreation industries</t>
  </si>
  <si>
    <t xml:space="preserve">        Accommodation and food services</t>
  </si>
  <si>
    <t xml:space="preserve">            Accommodation</t>
  </si>
  <si>
    <t xml:space="preserve">            Food services and drinking places</t>
  </si>
  <si>
    <t>98</t>
  </si>
  <si>
    <t>99</t>
  </si>
  <si>
    <t>Legend / Footnotes:</t>
  </si>
  <si>
    <t>Components of Value Added by Industry</t>
  </si>
  <si>
    <t>Last Revised on: September 25, 2025</t>
  </si>
  <si>
    <t xml:space="preserve">        Gross domestic product</t>
  </si>
  <si>
    <t xml:space="preserve">            Taxes on production and imports less subsidies</t>
  </si>
  <si>
    <t xml:space="preserve">            Gross operating surplus</t>
  </si>
  <si>
    <t xml:space="preserve">    Compensation of employees</t>
  </si>
  <si>
    <t xml:space="preserve">    Taxes on production and imports less subsidies</t>
  </si>
  <si>
    <t xml:space="preserve">    Gross operating surplus</t>
  </si>
  <si>
    <t xml:space="preserve">    Agriculture, forestry, fishing, and hunting</t>
  </si>
  <si>
    <t xml:space="preserve">        Compensation of employees</t>
  </si>
  <si>
    <t xml:space="preserve">        Taxes on production and imports less subsidies</t>
  </si>
  <si>
    <t xml:space="preserve">        Gross operating surplus</t>
  </si>
  <si>
    <t xml:space="preserve">        Farms</t>
  </si>
  <si>
    <t xml:space="preserve">        Forestry, fishing, and related activities</t>
  </si>
  <si>
    <t xml:space="preserve">    Mining</t>
  </si>
  <si>
    <t xml:space="preserve">        Oil and gas extraction</t>
  </si>
  <si>
    <t xml:space="preserve">        Mining, except oil and gas</t>
  </si>
  <si>
    <t xml:space="preserve">        Support activities for mining</t>
  </si>
  <si>
    <t xml:space="preserve">    Utilities</t>
  </si>
  <si>
    <t xml:space="preserve">    Construction</t>
  </si>
  <si>
    <t xml:space="preserve">    Manufacturing</t>
  </si>
  <si>
    <t xml:space="preserve">        Durable goods</t>
  </si>
  <si>
    <t xml:space="preserve">            Wood products</t>
  </si>
  <si>
    <t xml:space="preserve">                Compensation of employees</t>
  </si>
  <si>
    <t xml:space="preserve">                Taxes on production and imports less subsidies</t>
  </si>
  <si>
    <t xml:space="preserve">                Gross operating surplus</t>
  </si>
  <si>
    <t xml:space="preserve">            Nonmetallic mineral products</t>
  </si>
  <si>
    <t xml:space="preserve">            Primary metals</t>
  </si>
  <si>
    <t xml:space="preserve">            Fabricated metal products</t>
  </si>
  <si>
    <t xml:space="preserve">            Machinery</t>
  </si>
  <si>
    <t xml:space="preserve">            Computer and electronic products</t>
  </si>
  <si>
    <t xml:space="preserve">            Electrical equipment, appliances, and components</t>
  </si>
  <si>
    <t xml:space="preserve">            Motor vehicles, bodies and trailers, and parts</t>
  </si>
  <si>
    <t xml:space="preserve">            Other transportation equipment</t>
  </si>
  <si>
    <t xml:space="preserve">            Furniture and related products</t>
  </si>
  <si>
    <t xml:space="preserve">            Miscellaneous manufacturing</t>
  </si>
  <si>
    <t xml:space="preserve">        Nondurable goods</t>
  </si>
  <si>
    <t>100</t>
  </si>
  <si>
    <t>101</t>
  </si>
  <si>
    <t xml:space="preserve">            Food and beverage and tobacco products</t>
  </si>
  <si>
    <t>102</t>
  </si>
  <si>
    <t>103</t>
  </si>
  <si>
    <t>104</t>
  </si>
  <si>
    <t>105</t>
  </si>
  <si>
    <t xml:space="preserve">            Textile mills and textile product mills</t>
  </si>
  <si>
    <t>106</t>
  </si>
  <si>
    <t>107</t>
  </si>
  <si>
    <t>108</t>
  </si>
  <si>
    <t>109</t>
  </si>
  <si>
    <t xml:space="preserve">            Apparel and leather and allied products</t>
  </si>
  <si>
    <t>110</t>
  </si>
  <si>
    <t>111</t>
  </si>
  <si>
    <t>112</t>
  </si>
  <si>
    <t>113</t>
  </si>
  <si>
    <t xml:space="preserve">            Paper products</t>
  </si>
  <si>
    <t>114</t>
  </si>
  <si>
    <t>115</t>
  </si>
  <si>
    <t>116</t>
  </si>
  <si>
    <t>117</t>
  </si>
  <si>
    <t xml:space="preserve">            Printing and related support activities</t>
  </si>
  <si>
    <t>118</t>
  </si>
  <si>
    <t>119</t>
  </si>
  <si>
    <t>120</t>
  </si>
  <si>
    <t>121</t>
  </si>
  <si>
    <t xml:space="preserve">            Petroleum and coal products</t>
  </si>
  <si>
    <t>122</t>
  </si>
  <si>
    <t>123</t>
  </si>
  <si>
    <t>124</t>
  </si>
  <si>
    <t>125</t>
  </si>
  <si>
    <t xml:space="preserve">            Chemical products</t>
  </si>
  <si>
    <t>126</t>
  </si>
  <si>
    <t>127</t>
  </si>
  <si>
    <t>128</t>
  </si>
  <si>
    <t>129</t>
  </si>
  <si>
    <t xml:space="preserve">            Plastics and rubber products</t>
  </si>
  <si>
    <t>130</t>
  </si>
  <si>
    <t>131</t>
  </si>
  <si>
    <t>132</t>
  </si>
  <si>
    <t>133</t>
  </si>
  <si>
    <t xml:space="preserve">    Wholesale trade</t>
  </si>
  <si>
    <t>134</t>
  </si>
  <si>
    <t>135</t>
  </si>
  <si>
    <t>136</t>
  </si>
  <si>
    <t>137</t>
  </si>
  <si>
    <t xml:space="preserve">    Retail trade</t>
  </si>
  <si>
    <t>138</t>
  </si>
  <si>
    <t>139</t>
  </si>
  <si>
    <t>140</t>
  </si>
  <si>
    <t>141</t>
  </si>
  <si>
    <t xml:space="preserve">        Motor vehicle and parts dealers</t>
  </si>
  <si>
    <t>142</t>
  </si>
  <si>
    <t>143</t>
  </si>
  <si>
    <t>144</t>
  </si>
  <si>
    <t>145</t>
  </si>
  <si>
    <t xml:space="preserve">        Food and beverage stores</t>
  </si>
  <si>
    <t>146</t>
  </si>
  <si>
    <t>147</t>
  </si>
  <si>
    <t>148</t>
  </si>
  <si>
    <t>149</t>
  </si>
  <si>
    <t xml:space="preserve">        General merchandise stores</t>
  </si>
  <si>
    <t>150</t>
  </si>
  <si>
    <t>151</t>
  </si>
  <si>
    <t>152</t>
  </si>
  <si>
    <t>153</t>
  </si>
  <si>
    <t xml:space="preserve">        Other retail</t>
  </si>
  <si>
    <t>154</t>
  </si>
  <si>
    <t>155</t>
  </si>
  <si>
    <t>156</t>
  </si>
  <si>
    <t>157</t>
  </si>
  <si>
    <t xml:space="preserve">    Transportation and warehousing</t>
  </si>
  <si>
    <t>158</t>
  </si>
  <si>
    <t>159</t>
  </si>
  <si>
    <t>160</t>
  </si>
  <si>
    <t>161</t>
  </si>
  <si>
    <t xml:space="preserve">        Air transportation</t>
  </si>
  <si>
    <t>162</t>
  </si>
  <si>
    <t>163</t>
  </si>
  <si>
    <t>164</t>
  </si>
  <si>
    <t>165</t>
  </si>
  <si>
    <t xml:space="preserve">        Rail transportation</t>
  </si>
  <si>
    <t>166</t>
  </si>
  <si>
    <t>167</t>
  </si>
  <si>
    <t>168</t>
  </si>
  <si>
    <t>169</t>
  </si>
  <si>
    <t xml:space="preserve">        Water transportation</t>
  </si>
  <si>
    <t>170</t>
  </si>
  <si>
    <t>171</t>
  </si>
  <si>
    <t>172</t>
  </si>
  <si>
    <t>173</t>
  </si>
  <si>
    <t xml:space="preserve">        Truck transportation</t>
  </si>
  <si>
    <t>174</t>
  </si>
  <si>
    <t>175</t>
  </si>
  <si>
    <t>176</t>
  </si>
  <si>
    <t>177</t>
  </si>
  <si>
    <t xml:space="preserve">        Transit and ground passenger transportation</t>
  </si>
  <si>
    <t>178</t>
  </si>
  <si>
    <t>179</t>
  </si>
  <si>
    <t>180</t>
  </si>
  <si>
    <t>181</t>
  </si>
  <si>
    <t xml:space="preserve">        Pipeline transportation</t>
  </si>
  <si>
    <t>182</t>
  </si>
  <si>
    <t>183</t>
  </si>
  <si>
    <t>184</t>
  </si>
  <si>
    <t>185</t>
  </si>
  <si>
    <t xml:space="preserve">        Other transportation and support activities</t>
  </si>
  <si>
    <t>186</t>
  </si>
  <si>
    <t>187</t>
  </si>
  <si>
    <t>188</t>
  </si>
  <si>
    <t>189</t>
  </si>
  <si>
    <t xml:space="preserve">        Warehousing and storage</t>
  </si>
  <si>
    <t>190</t>
  </si>
  <si>
    <t>191</t>
  </si>
  <si>
    <t>192</t>
  </si>
  <si>
    <t>193</t>
  </si>
  <si>
    <t xml:space="preserve">    Information</t>
  </si>
  <si>
    <t>194</t>
  </si>
  <si>
    <t>195</t>
  </si>
  <si>
    <t>196</t>
  </si>
  <si>
    <t>197</t>
  </si>
  <si>
    <t xml:space="preserve">        Publishing industries, except internet (includes software)</t>
  </si>
  <si>
    <t>198</t>
  </si>
  <si>
    <t>199</t>
  </si>
  <si>
    <t>200</t>
  </si>
  <si>
    <t>201</t>
  </si>
  <si>
    <t xml:space="preserve">        Motion picture and sound recording industries</t>
  </si>
  <si>
    <t>202</t>
  </si>
  <si>
    <t>203</t>
  </si>
  <si>
    <t>204</t>
  </si>
  <si>
    <t>205</t>
  </si>
  <si>
    <t xml:space="preserve">        Broadcasting and telecommunications</t>
  </si>
  <si>
    <t>206</t>
  </si>
  <si>
    <t>207</t>
  </si>
  <si>
    <t>208</t>
  </si>
  <si>
    <t>209</t>
  </si>
  <si>
    <t xml:space="preserve">        Data processing, internet publishing, and other information services</t>
  </si>
  <si>
    <t>210</t>
  </si>
  <si>
    <t>212</t>
  </si>
  <si>
    <t>213</t>
  </si>
  <si>
    <t xml:space="preserve">    Finance, insurance, real estate, rental, and leasing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</si>
  <si>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</si>
  <si>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</si>
  <si>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</si>
  <si>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</si>
  <si>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</si>
  <si>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</si>
  <si>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</si>
  <si>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</si>
  <si>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</si>
  <si>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</si>
  <si>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</si>
  <si>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</si>
  <si>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</si>
  <si>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</si>
  <si>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</si>
  <si>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</si>
  <si>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</si>
  <si>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</si>
  <si>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</si>
  <si>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</si>
  <si>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</si>
  <si>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</si>
  <si>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</si>
  <si>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</si>
  <si>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</si>
  <si>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</si>
  <si>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</si>
  <si>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</si>
  <si>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</si>
  <si>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</si>
  <si>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</si>
  <si>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</si>
  <si>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 xml:space="preserve">                Housing</t>
  </si>
  <si>
    <t>246</t>
  </si>
  <si>
    <t xml:space="preserve">                    Compensation of employees</t>
  </si>
  <si>
    <t>247</t>
  </si>
  <si>
    <t xml:space="preserve">                    Taxes on production and imports less subsidies</t>
  </si>
  <si>
    <t>248</t>
  </si>
  <si>
    <t xml:space="preserve">                    Gross operating surplus</t>
  </si>
  <si>
    <t>249</t>
  </si>
  <si>
    <t xml:space="preserve">                Other real estate</t>
  </si>
  <si>
    <t>250</t>
  </si>
  <si>
    <t>251</t>
  </si>
  <si>
    <t>252</t>
  </si>
  <si>
    <t>253</t>
  </si>
  <si>
    <t xml:space="preserve">            Rental and leasing services and lessors of intangible assets</t>
  </si>
  <si>
    <t>254</t>
  </si>
  <si>
    <t>255</t>
  </si>
  <si>
    <t>256</t>
  </si>
  <si>
    <t>257</t>
  </si>
  <si>
    <t xml:space="preserve">    Professional and business services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</si>
  <si>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</si>
  <si>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</si>
  <si>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</si>
  <si>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</si>
  <si>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</si>
  <si>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</si>
  <si>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</si>
  <si>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</si>
  <si>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</si>
  <si>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</si>
  <si>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</si>
  <si>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</si>
  <si>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</si>
  <si>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</si>
  <si>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</si>
  <si>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</si>
  <si>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 xml:space="preserve">            Miscellaneous professional, scientific, and technical services</t>
  </si>
  <si>
    <t>274</t>
  </si>
  <si>
    <t>275</t>
  </si>
  <si>
    <t>276</t>
  </si>
  <si>
    <t>277</t>
  </si>
  <si>
    <t xml:space="preserve">        Management of companies and enterprises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</si>
  <si>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</si>
  <si>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</si>
  <si>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</si>
  <si>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</si>
  <si>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</si>
  <si>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</si>
  <si>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</si>
  <si>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</si>
  <si>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</si>
  <si>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</si>
  <si>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</si>
  <si>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</si>
  <si>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</si>
  <si>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</si>
  <si>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</si>
  <si>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</si>
  <si>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 xml:space="preserve">    Educational services, health care, and social assistance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</si>
  <si>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</si>
  <si>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</si>
  <si>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</si>
  <si>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</si>
  <si>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</si>
  <si>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</si>
  <si>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</si>
  <si>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</si>
  <si>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</si>
  <si>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</si>
  <si>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</si>
  <si>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</si>
  <si>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</si>
  <si>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</si>
  <si>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</si>
  <si>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</si>
  <si>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</si>
  <si>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</si>
  <si>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</si>
  <si>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</si>
  <si>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</si>
  <si>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</si>
  <si>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</si>
  <si>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</si>
  <si>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</si>
  <si>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</si>
  <si>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</si>
  <si>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</si>
  <si>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 xml:space="preserve">    Arts, entertainment, recreation, accommodation, and food services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</si>
  <si>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</si>
  <si>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</si>
  <si>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</si>
  <si>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</si>
  <si>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</si>
  <si>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</si>
  <si>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</si>
  <si>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</si>
  <si>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</si>
  <si>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</si>
  <si>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</si>
  <si>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</si>
  <si>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</si>
  <si>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</si>
  <si>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</si>
  <si>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</si>
  <si>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</si>
  <si>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</si>
  <si>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</si>
  <si>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</si>
  <si>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</si>
  <si>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</si>
  <si>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</si>
  <si>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</si>
  <si>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</si>
  <si>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</si>
  <si>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</si>
  <si>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</si>
  <si>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 xml:space="preserve">    Other services, except government</t>
  </si>
  <si>
    <t>350</t>
  </si>
  <si>
    <t>351</t>
  </si>
  <si>
    <t>352</t>
  </si>
  <si>
    <t>353</t>
  </si>
  <si>
    <t>354</t>
  </si>
  <si>
    <t>355</t>
  </si>
  <si>
    <t>356</t>
  </si>
  <si>
    <t>357</t>
  </si>
  <si>
    <t xml:space="preserve">    Federal</t>
  </si>
  <si>
    <t>358</t>
  </si>
  <si>
    <t>359</t>
  </si>
  <si>
    <t>360</t>
  </si>
  <si>
    <t>361</t>
  </si>
  <si>
    <t xml:space="preserve">        General government</t>
  </si>
  <si>
    <t>362</t>
  </si>
  <si>
    <t>363</t>
  </si>
  <si>
    <t>---</t>
  </si>
  <si>
    <t>364</t>
  </si>
  <si>
    <t>365</t>
  </si>
  <si>
    <t xml:space="preserve">            National defense</t>
  </si>
  <si>
    <t>366</t>
  </si>
  <si>
    <t>367</t>
  </si>
  <si>
    <t>368</t>
  </si>
  <si>
    <t>369</t>
  </si>
  <si>
    <t xml:space="preserve">            Nondefense</t>
  </si>
  <si>
    <t>370</t>
  </si>
  <si>
    <t>371</t>
  </si>
  <si>
    <t>372</t>
  </si>
  <si>
    <t>373</t>
  </si>
  <si>
    <t xml:space="preserve">        Government enterprises</t>
  </si>
  <si>
    <t>374</t>
  </si>
  <si>
    <t>375</t>
  </si>
  <si>
    <t>376</t>
  </si>
  <si>
    <t>377</t>
  </si>
  <si>
    <t xml:space="preserve">    State and local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</si>
  <si>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</si>
  <si>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</si>
  <si>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</si>
  <si>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</si>
  <si>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</si>
  <si>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</si>
  <si>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</si>
  <si>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</si>
  <si>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</si>
  <si>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</si>
  <si>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</si>
  <si>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</si>
  <si>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Addenda:</t>
  </si>
  <si>
    <t>390</t>
  </si>
  <si>
    <t xml:space="preserve">        Private goods-producing industries 1</t>
  </si>
  <si>
    <t>391</t>
  </si>
  <si>
    <t>392</t>
  </si>
  <si>
    <t>393</t>
  </si>
  <si>
    <t>394</t>
  </si>
  <si>
    <t xml:space="preserve">        Private services-producing industries 2</t>
  </si>
  <si>
    <t>395</t>
  </si>
  <si>
    <t>396</t>
  </si>
  <si>
    <t>397</t>
  </si>
  <si>
    <t>398</t>
  </si>
  <si>
    <t xml:space="preserve">        Information-communications-technology-producing industries 3</t>
  </si>
  <si>
    <t>399</t>
  </si>
  <si>
    <t>400</t>
  </si>
  <si>
    <t>401</t>
  </si>
  <si>
    <t>1. Consists of agriculture, forestry, fishing, and hunting; mining; construction; and manufacturing.</t>
  </si>
  <si>
    <t>2. Consists of utilities; wholesale trade; retail trade; transportation and warehousing; information; finance, insurance, real estate, rental, and leasing; professional and business services; educational services, health care, and social assistance; arts, entertainment, recreation, accommodation, and food services; and other services, except government.</t>
  </si>
  <si>
    <t>3. Consists of computer and electronic product manufacturing (excluding navigational, measuring, electromedical, and control instruments manufacturing); software publishers; broadcasting and telecommunications; data processing, hosting and related services; internet publishing and broadcasting and web search portals; and computer systems design and related services.</t>
  </si>
  <si>
    <t>2024 Data:</t>
  </si>
  <si>
    <t>Data for Year 2024</t>
  </si>
  <si>
    <r>
      <t>Suggested citation:</t>
    </r>
    <r>
      <rPr>
        <sz val="10"/>
        <color rgb="FF212529"/>
        <rFont val="Segoe UI"/>
        <family val="2"/>
      </rPr>
      <t> U.S. Bureau of Economic Analysis, "</t>
    </r>
    <r>
      <rPr>
        <sz val="10"/>
        <color rgb="FF007BFF"/>
        <rFont val="Segoe UI"/>
        <family val="2"/>
      </rPr>
      <t>U.Gross Output by Industry - Detail Level</t>
    </r>
    <r>
      <rPr>
        <sz val="10"/>
        <color rgb="FF212529"/>
        <rFont val="Segoe UI"/>
        <family val="2"/>
      </rPr>
      <t>" (accessed Wednesday, January 7, 2026).</t>
    </r>
  </si>
  <si>
    <t>Nonferrous metal (except aluminum) smelting and refining</t>
  </si>
  <si>
    <t>Measuring, dispensing, and other pumping equipment manufacturing</t>
  </si>
  <si>
    <t>Major household appliance manufacturing</t>
  </si>
  <si>
    <t>Other motor vehicle parts manufacturing</t>
  </si>
  <si>
    <t>Tobacco manufacturing</t>
  </si>
  <si>
    <t>Paper bag and coated and treated paper manufacturing</t>
  </si>
  <si>
    <t>Other basic inorganic chemical manufacturing</t>
  </si>
  <si>
    <t>State and local government (educational services)</t>
  </si>
  <si>
    <t>State and local government (hospitals and health services)</t>
  </si>
  <si>
    <t>State and local government (other services)</t>
  </si>
  <si>
    <t>Petroleum Products</t>
  </si>
  <si>
    <t>*NEMS IDM includes NAICS 324199 under iron &amp; steel</t>
  </si>
  <si>
    <t>All refined petroleum products</t>
  </si>
  <si>
    <t>ISIC 45T47; ISIC 31T33; ISIC 90T96; ISIC 97T98</t>
  </si>
  <si>
    <t>2012 USD per 2024 USD</t>
  </si>
  <si>
    <t>We convert 2024 USD to 2012 USD with the following conversion factor: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</si>
</sst>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_ ;\-#,##0.0\ "/>
    <numFmt numFmtId="165" formatCode="0.000"/>
    <numFmt numFmtId="166" formatCode="0.0000E+00"/>
    <numFmt numFmtId="167" formatCode="0.000E+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</font>
    <font>
      <sz val="13"/>
      <name val="Calibri"/>
      <family val="2"/>
    </font>
    <font>
      <b/>
      <sz val="11"/>
      <color indexed="9"/>
      <name val="Calibri"/>
      <family val="2"/>
    </font>
    <font>
      <b/>
      <sz val="11"/>
      <name val="Calibri"/>
      <family val="2"/>
    </font>
    <font>
      <b/>
      <i/>
      <sz val="15"/>
      <name val="Calibri"/>
      <family val="2"/>
    </font>
    <font>
      <i/>
      <sz val="11"/>
      <name val="Calibri"/>
      <family val="2"/>
    </font>
    <font>
      <b/>
      <sz val="10"/>
      <color rgb="FF212529"/>
      <name val="Segoe UI"/>
      <family val="2"/>
    </font>
    <font>
      <sz val="10"/>
      <color rgb="FF212529"/>
      <name val="Segoe UI"/>
      <family val="2"/>
    </font>
    <font>
      <sz val="10"/>
      <color rgb="FF007BFF"/>
      <name val="Segoe UI"/>
      <family val="2"/>
    </font>
    <font>
      <i/>
      <sz val="11"/>
      <color theme="0" tint="-0.3499862666707357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indexed="12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</cellStyleXfs>
  <cellXfs count="8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0" fontId="13" fillId="0" borderId="0" xfId="0" applyFont="1" applyAlignment="1">
      <alignment horizontal="left"/>
    </xf>
    <xf numFmtId="165" fontId="0" fillId="0" borderId="0" xfId="0" applyNumberFormat="1"/>
    <xf numFmtId="0" fontId="0" fillId="7" borderId="0" xfId="0" applyFill="1"/>
    <xf numFmtId="0" fontId="1" fillId="8" borderId="0" xfId="0" applyFont="1" applyFill="1"/>
    <xf numFmtId="11" fontId="0" fillId="0" borderId="0" xfId="0" applyNumberFormat="1"/>
    <xf numFmtId="0" fontId="0" fillId="0" borderId="0" xfId="0" quotePrefix="1" applyAlignment="1">
      <alignment horizontal="right"/>
    </xf>
    <xf numFmtId="11" fontId="0" fillId="0" borderId="0" xfId="0" applyNumberFormat="1" applyAlignment="1">
      <alignment horizontal="right"/>
    </xf>
    <xf numFmtId="11" fontId="13" fillId="0" borderId="0" xfId="0" applyNumberFormat="1" applyFont="1"/>
    <xf numFmtId="0" fontId="13" fillId="0" borderId="0" xfId="0" applyFont="1"/>
    <xf numFmtId="0" fontId="1" fillId="8" borderId="5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1" fillId="8" borderId="6" xfId="0" applyFont="1" applyFill="1" applyBorder="1" applyAlignment="1">
      <alignment horizontal="right" wrapText="1"/>
    </xf>
    <xf numFmtId="0" fontId="1" fillId="8" borderId="5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7" xfId="0" applyBorder="1"/>
    <xf numFmtId="0" fontId="0" fillId="0" borderId="7" xfId="0" quotePrefix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left"/>
    </xf>
    <xf numFmtId="166" fontId="0" fillId="0" borderId="0" xfId="0" applyNumberFormat="1"/>
    <xf numFmtId="11" fontId="0" fillId="0" borderId="7" xfId="0" applyNumberFormat="1" applyBorder="1" applyAlignment="1">
      <alignment horizontal="right"/>
    </xf>
    <xf numFmtId="11" fontId="0" fillId="0" borderId="7" xfId="0" applyNumberFormat="1" applyBorder="1"/>
    <xf numFmtId="11" fontId="13" fillId="0" borderId="0" xfId="0" applyNumberFormat="1" applyFont="1" applyAlignment="1">
      <alignment horizontal="right"/>
    </xf>
    <xf numFmtId="0" fontId="0" fillId="0" borderId="7" xfId="0" applyBorder="1" applyAlignment="1">
      <alignment horizontal="left" indent="2"/>
    </xf>
    <xf numFmtId="0" fontId="0" fillId="8" borderId="0" xfId="0" applyFill="1"/>
    <xf numFmtId="0" fontId="1" fillId="8" borderId="0" xfId="0" applyFont="1" applyFill="1" applyAlignment="1">
      <alignment horizontal="right"/>
    </xf>
    <xf numFmtId="0" fontId="1" fillId="8" borderId="0" xfId="0" applyFont="1" applyFill="1" applyAlignment="1">
      <alignment horizontal="right" wrapText="1"/>
    </xf>
    <xf numFmtId="0" fontId="1" fillId="8" borderId="0" xfId="0" applyFont="1" applyFill="1" applyAlignment="1">
      <alignment horizontal="right" wrapText="1" indent="2"/>
    </xf>
    <xf numFmtId="3" fontId="0" fillId="0" borderId="0" xfId="0" applyNumberFormat="1" applyAlignment="1">
      <alignment horizontal="right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11" fontId="0" fillId="7" borderId="10" xfId="0" applyNumberFormat="1" applyFill="1" applyBorder="1"/>
    <xf numFmtId="11" fontId="0" fillId="7" borderId="11" xfId="0" applyNumberFormat="1" applyFill="1" applyBorder="1"/>
    <xf numFmtId="0" fontId="0" fillId="0" borderId="0" xfId="0" applyAlignment="1">
      <alignment horizontal="left" indent="1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2" xfId="0" applyBorder="1" applyAlignment="1">
      <alignment horizontal="right"/>
    </xf>
    <xf numFmtId="11" fontId="0" fillId="0" borderId="11" xfId="0" applyNumberFormat="1" applyBorder="1"/>
    <xf numFmtId="11" fontId="0" fillId="7" borderId="0" xfId="0" applyNumberFormat="1" applyFill="1"/>
    <xf numFmtId="166" fontId="0" fillId="0" borderId="7" xfId="0" applyNumberFormat="1" applyBorder="1"/>
    <xf numFmtId="11" fontId="15" fillId="0" borderId="0" xfId="0" applyNumberFormat="1" applyFont="1" applyAlignment="1">
      <alignment horizontal="right"/>
    </xf>
    <xf numFmtId="11" fontId="15" fillId="0" borderId="7" xfId="0" applyNumberFormat="1" applyFont="1" applyBorder="1" applyAlignment="1">
      <alignment horizontal="right"/>
    </xf>
    <xf numFmtId="3" fontId="0" fillId="0" borderId="0" xfId="0" applyNumberFormat="1"/>
    <xf numFmtId="0" fontId="14" fillId="0" borderId="0" xfId="3"/>
    <xf numFmtId="0" fontId="18" fillId="16" borderId="13" xfId="3" applyFont="1" applyFill="1" applyBorder="1" applyAlignment="1">
      <alignment horizontal="center" vertical="center"/>
    </xf>
    <xf numFmtId="0" fontId="19" fillId="0" borderId="0" xfId="3" applyFont="1"/>
    <xf numFmtId="0" fontId="20" fillId="0" borderId="0" xfId="3" applyFont="1" applyAlignment="1">
      <alignment wrapText="1"/>
    </xf>
    <xf numFmtId="0" fontId="21" fillId="0" borderId="0" xfId="3" applyFont="1" applyAlignment="1">
      <alignment wrapText="1"/>
    </xf>
    <xf numFmtId="0" fontId="16" fillId="0" borderId="0" xfId="3" applyFont="1"/>
    <xf numFmtId="0" fontId="17" fillId="0" borderId="0" xfId="3" applyFont="1"/>
    <xf numFmtId="0" fontId="22" fillId="0" borderId="0" xfId="0" applyFont="1"/>
    <xf numFmtId="11" fontId="0" fillId="7" borderId="7" xfId="0" applyNumberFormat="1" applyFill="1" applyBorder="1" applyAlignment="1">
      <alignment horizontal="right"/>
    </xf>
    <xf numFmtId="11" fontId="0" fillId="7" borderId="7" xfId="0" applyNumberFormat="1" applyFill="1" applyBorder="1"/>
    <xf numFmtId="0" fontId="25" fillId="0" borderId="0" xfId="0" applyFont="1"/>
    <xf numFmtId="167" fontId="0" fillId="0" borderId="0" xfId="0" applyNumberFormat="1"/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2" xfId="2" applyFont="1" applyFill="1" applyBorder="1" applyAlignment="1">
      <alignment horizontal="right" vertical="center" wrapText="1"/>
    </xf>
    <xf numFmtId="0" fontId="6" fillId="3" borderId="3" xfId="2" applyFont="1" applyFill="1" applyBorder="1" applyAlignment="1">
      <alignment horizontal="right" vertical="center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</cellXfs>
  <cellStyles count="4">
    <cellStyle name="Hyperlink" xfId="1" builtinId="8"/>
    <cellStyle name="Normal" xfId="0" builtinId="0"/>
    <cellStyle name="Normal 2" xfId="2" xr:uid="{3ADF3FF5-E4D2-4BC8-9960-7408DCCB591E}"/>
    <cellStyle name="Normal 3" xfId="3" xr:uid="{EC7586F6-9038-4498-85FD-BEB0422CDD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s.oecd.org/Index.aspx?DataSetCode=STANI4_2020" TargetMode="External"/><Relationship Id="rId1" Type="http://schemas.openxmlformats.org/officeDocument/2006/relationships/hyperlink" Target="https://stats.oecd.org/Index.aspx?DataSetCode=IOTSI4_201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VA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pps.bea.gov/iTable/?isuri=1&amp;reqid=151&amp;step=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B43" sqref="B43"/>
    </sheetView>
  </sheetViews>
  <sheetFormatPr defaultRowHeight="14.5" x14ac:dyDescent="0.35"/>
  <cols>
    <col min="2" max="2" width="77.54296875" customWidth="1"/>
  </cols>
  <sheetData>
    <row r="1" spans="1:2" x14ac:dyDescent="0.35">
      <c r="A1" s="1" t="s">
        <v>93</v>
      </c>
    </row>
    <row r="3" spans="1:2" x14ac:dyDescent="0.35">
      <c r="A3" s="1" t="s">
        <v>0</v>
      </c>
      <c r="B3" s="18" t="s">
        <v>96</v>
      </c>
    </row>
    <row r="4" spans="1:2" x14ac:dyDescent="0.35">
      <c r="B4" t="s">
        <v>1</v>
      </c>
    </row>
    <row r="5" spans="1:2" x14ac:dyDescent="0.35">
      <c r="B5" s="2">
        <v>2018</v>
      </c>
    </row>
    <row r="6" spans="1:2" x14ac:dyDescent="0.35">
      <c r="B6" t="s">
        <v>89</v>
      </c>
    </row>
    <row r="7" spans="1:2" x14ac:dyDescent="0.35">
      <c r="B7" s="3" t="s">
        <v>97</v>
      </c>
    </row>
    <row r="8" spans="1:2" x14ac:dyDescent="0.35">
      <c r="B8" t="s">
        <v>90</v>
      </c>
    </row>
    <row r="10" spans="1:2" x14ac:dyDescent="0.35">
      <c r="B10" s="18" t="s">
        <v>671</v>
      </c>
    </row>
    <row r="11" spans="1:2" x14ac:dyDescent="0.35">
      <c r="B11" t="s">
        <v>115</v>
      </c>
    </row>
    <row r="12" spans="1:2" x14ac:dyDescent="0.35">
      <c r="B12" s="2">
        <v>2021</v>
      </c>
    </row>
    <row r="13" spans="1:2" x14ac:dyDescent="0.35">
      <c r="B13" t="s">
        <v>779</v>
      </c>
    </row>
    <row r="14" spans="1:2" x14ac:dyDescent="0.35">
      <c r="B14" s="3" t="s">
        <v>676</v>
      </c>
    </row>
    <row r="15" spans="1:2" x14ac:dyDescent="0.35">
      <c r="B15" t="s">
        <v>116</v>
      </c>
    </row>
    <row r="17" spans="1:2" x14ac:dyDescent="0.35">
      <c r="B17" t="s">
        <v>110</v>
      </c>
    </row>
    <row r="18" spans="1:2" x14ac:dyDescent="0.35">
      <c r="B18" s="2">
        <v>2021</v>
      </c>
    </row>
    <row r="19" spans="1:2" x14ac:dyDescent="0.35">
      <c r="B19" t="s">
        <v>117</v>
      </c>
    </row>
    <row r="20" spans="1:2" x14ac:dyDescent="0.35">
      <c r="B20" s="3" t="s">
        <v>677</v>
      </c>
    </row>
    <row r="21" spans="1:2" x14ac:dyDescent="0.35">
      <c r="B21" s="52" t="s">
        <v>118</v>
      </c>
    </row>
    <row r="22" spans="1:2" x14ac:dyDescent="0.35">
      <c r="B22" s="52" t="s">
        <v>119</v>
      </c>
    </row>
    <row r="23" spans="1:2" x14ac:dyDescent="0.35">
      <c r="B23" s="52" t="s">
        <v>120</v>
      </c>
    </row>
    <row r="25" spans="1:2" x14ac:dyDescent="0.35">
      <c r="A25" s="1" t="s">
        <v>2</v>
      </c>
    </row>
    <row r="26" spans="1:2" x14ac:dyDescent="0.35">
      <c r="A26" t="s">
        <v>91</v>
      </c>
    </row>
    <row r="27" spans="1:2" x14ac:dyDescent="0.35">
      <c r="A27" t="s">
        <v>92</v>
      </c>
    </row>
    <row r="29" spans="1:2" x14ac:dyDescent="0.35">
      <c r="A29" t="s">
        <v>672</v>
      </c>
    </row>
    <row r="30" spans="1:2" x14ac:dyDescent="0.35">
      <c r="A30" t="s">
        <v>673</v>
      </c>
    </row>
    <row r="31" spans="1:2" x14ac:dyDescent="0.35">
      <c r="A31" t="s">
        <v>674</v>
      </c>
    </row>
    <row r="32" spans="1:2" x14ac:dyDescent="0.35">
      <c r="A32" t="s">
        <v>675</v>
      </c>
    </row>
    <row r="33" spans="1:2" x14ac:dyDescent="0.35">
      <c r="A33" s="3" t="s">
        <v>98</v>
      </c>
    </row>
    <row r="35" spans="1:2" x14ac:dyDescent="0.35">
      <c r="A35" t="s">
        <v>1222</v>
      </c>
    </row>
    <row r="36" spans="1:2" x14ac:dyDescent="0.35">
      <c r="A36" s="16">
        <v>0.73191600598044548</v>
      </c>
      <c r="B36" t="s">
        <v>1221</v>
      </c>
    </row>
  </sheetData>
  <hyperlinks>
    <hyperlink ref="B7" r:id="rId1" xr:uid="{676EE023-F1C0-4717-8897-C81C92D54826}"/>
    <hyperlink ref="A33" r:id="rId2" xr:uid="{FA67C1A9-C4AF-48C9-A962-7F886EC2F2DF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B116-01EC-4BC2-9D61-4219A6E9217A}">
  <dimension ref="A1:AL12"/>
  <sheetViews>
    <sheetView showGridLines="0" topLeftCell="A2" workbookViewId="0">
      <selection activeCell="A2" sqref="A2"/>
    </sheetView>
  </sheetViews>
  <sheetFormatPr defaultColWidth="9.1796875" defaultRowHeight="12.5" x14ac:dyDescent="0.25"/>
  <cols>
    <col min="1" max="1" width="27.453125" style="6" customWidth="1"/>
    <col min="2" max="2" width="2.453125" style="6" customWidth="1"/>
    <col min="3" max="24" width="9.26953125" style="6" bestFit="1" customWidth="1"/>
    <col min="25" max="25" width="9.54296875" style="6" bestFit="1" customWidth="1"/>
    <col min="26" max="31" width="9.26953125" style="6" bestFit="1" customWidth="1"/>
    <col min="32" max="34" width="9.54296875" style="6" bestFit="1" customWidth="1"/>
    <col min="35" max="35" width="9.26953125" style="6" bestFit="1" customWidth="1"/>
    <col min="36" max="36" width="9.54296875" style="6" bestFit="1" customWidth="1"/>
    <col min="37" max="38" width="9.26953125" style="6" bestFit="1" customWidth="1"/>
    <col min="39" max="16384" width="9.1796875" style="6"/>
  </cols>
  <sheetData>
    <row r="1" spans="1:38" hidden="1" x14ac:dyDescent="0.25">
      <c r="A1" s="5" t="e">
        <f ca="1">DotStatQuery(B1)</f>
        <v>#NAME?</v>
      </c>
      <c r="B1" s="5" t="s">
        <v>3</v>
      </c>
    </row>
    <row r="2" spans="1:38" ht="23" x14ac:dyDescent="0.25">
      <c r="A2" s="7" t="s">
        <v>41</v>
      </c>
    </row>
    <row r="3" spans="1:38" x14ac:dyDescent="0.25">
      <c r="A3" s="74" t="s">
        <v>42</v>
      </c>
      <c r="B3" s="75"/>
      <c r="C3" s="81" t="s">
        <v>43</v>
      </c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3"/>
    </row>
    <row r="4" spans="1:38" x14ac:dyDescent="0.25">
      <c r="A4" s="74" t="s">
        <v>4</v>
      </c>
      <c r="B4" s="75"/>
      <c r="C4" s="76" t="s">
        <v>5</v>
      </c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8"/>
    </row>
    <row r="5" spans="1:38" x14ac:dyDescent="0.25">
      <c r="A5" s="74" t="s">
        <v>6</v>
      </c>
      <c r="B5" s="75"/>
      <c r="C5" s="76" t="s">
        <v>7</v>
      </c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8"/>
    </row>
    <row r="6" spans="1:38" x14ac:dyDescent="0.25">
      <c r="A6" s="74" t="s">
        <v>8</v>
      </c>
      <c r="B6" s="75"/>
      <c r="C6" s="76" t="s">
        <v>44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8"/>
    </row>
    <row r="7" spans="1:38" ht="100" x14ac:dyDescent="0.25">
      <c r="A7" s="79" t="s">
        <v>45</v>
      </c>
      <c r="B7" s="80"/>
      <c r="C7" s="8" t="s">
        <v>46</v>
      </c>
      <c r="D7" s="8" t="s">
        <v>47</v>
      </c>
      <c r="E7" s="8" t="s">
        <v>48</v>
      </c>
      <c r="F7" s="8" t="s">
        <v>49</v>
      </c>
      <c r="G7" s="8" t="s">
        <v>50</v>
      </c>
      <c r="H7" s="8" t="s">
        <v>51</v>
      </c>
      <c r="I7" s="8" t="s">
        <v>52</v>
      </c>
      <c r="J7" s="8" t="s">
        <v>53</v>
      </c>
      <c r="K7" s="8" t="s">
        <v>54</v>
      </c>
      <c r="L7" s="8" t="s">
        <v>55</v>
      </c>
      <c r="M7" s="8" t="s">
        <v>56</v>
      </c>
      <c r="N7" s="8" t="s">
        <v>57</v>
      </c>
      <c r="O7" s="8" t="s">
        <v>58</v>
      </c>
      <c r="P7" s="8" t="s">
        <v>59</v>
      </c>
      <c r="Q7" s="8" t="s">
        <v>60</v>
      </c>
      <c r="R7" s="8" t="s">
        <v>61</v>
      </c>
      <c r="S7" s="8" t="s">
        <v>62</v>
      </c>
      <c r="T7" s="8" t="s">
        <v>63</v>
      </c>
      <c r="U7" s="8" t="s">
        <v>64</v>
      </c>
      <c r="V7" s="8" t="s">
        <v>65</v>
      </c>
      <c r="W7" s="8" t="s">
        <v>66</v>
      </c>
      <c r="X7" s="8" t="s">
        <v>67</v>
      </c>
      <c r="Y7" s="8" t="s">
        <v>68</v>
      </c>
      <c r="Z7" s="8" t="s">
        <v>69</v>
      </c>
      <c r="AA7" s="8" t="s">
        <v>70</v>
      </c>
      <c r="AB7" s="8" t="s">
        <v>71</v>
      </c>
      <c r="AC7" s="8" t="s">
        <v>72</v>
      </c>
      <c r="AD7" s="8" t="s">
        <v>73</v>
      </c>
      <c r="AE7" s="8" t="s">
        <v>74</v>
      </c>
      <c r="AF7" s="8" t="s">
        <v>75</v>
      </c>
      <c r="AG7" s="8" t="s">
        <v>76</v>
      </c>
      <c r="AH7" s="8" t="s">
        <v>77</v>
      </c>
      <c r="AI7" s="8" t="s">
        <v>78</v>
      </c>
      <c r="AJ7" s="8" t="s">
        <v>79</v>
      </c>
      <c r="AK7" s="8" t="s">
        <v>80</v>
      </c>
      <c r="AL7" s="8" t="s">
        <v>81</v>
      </c>
    </row>
    <row r="8" spans="1:38" ht="13" x14ac:dyDescent="0.3">
      <c r="A8" s="9" t="s">
        <v>82</v>
      </c>
      <c r="B8" s="10" t="s">
        <v>9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0" t="s">
        <v>9</v>
      </c>
      <c r="J8" s="10" t="s">
        <v>9</v>
      </c>
      <c r="K8" s="10" t="s">
        <v>9</v>
      </c>
      <c r="L8" s="10" t="s">
        <v>9</v>
      </c>
      <c r="M8" s="10" t="s">
        <v>9</v>
      </c>
      <c r="N8" s="10" t="s">
        <v>9</v>
      </c>
      <c r="O8" s="10" t="s">
        <v>9</v>
      </c>
      <c r="P8" s="10" t="s">
        <v>9</v>
      </c>
      <c r="Q8" s="10" t="s">
        <v>9</v>
      </c>
      <c r="R8" s="10" t="s">
        <v>9</v>
      </c>
      <c r="S8" s="10" t="s">
        <v>9</v>
      </c>
      <c r="T8" s="10" t="s">
        <v>9</v>
      </c>
      <c r="U8" s="10" t="s">
        <v>9</v>
      </c>
      <c r="V8" s="10" t="s">
        <v>9</v>
      </c>
      <c r="W8" s="10" t="s">
        <v>9</v>
      </c>
      <c r="X8" s="10" t="s">
        <v>9</v>
      </c>
      <c r="Y8" s="10" t="s">
        <v>9</v>
      </c>
      <c r="Z8" s="10" t="s">
        <v>9</v>
      </c>
      <c r="AA8" s="10" t="s">
        <v>9</v>
      </c>
      <c r="AB8" s="10" t="s">
        <v>9</v>
      </c>
      <c r="AC8" s="10" t="s">
        <v>9</v>
      </c>
      <c r="AD8" s="10" t="s">
        <v>9</v>
      </c>
      <c r="AE8" s="10" t="s">
        <v>9</v>
      </c>
      <c r="AF8" s="10" t="s">
        <v>9</v>
      </c>
      <c r="AG8" s="10" t="s">
        <v>9</v>
      </c>
      <c r="AH8" s="10" t="s">
        <v>9</v>
      </c>
      <c r="AI8" s="10" t="s">
        <v>9</v>
      </c>
      <c r="AJ8" s="10" t="s">
        <v>9</v>
      </c>
      <c r="AK8" s="10" t="s">
        <v>9</v>
      </c>
      <c r="AL8" s="10" t="s">
        <v>9</v>
      </c>
    </row>
    <row r="9" spans="1:38" ht="20" x14ac:dyDescent="0.3">
      <c r="A9" s="11" t="s">
        <v>83</v>
      </c>
      <c r="B9" s="10" t="s">
        <v>9</v>
      </c>
      <c r="C9" s="12">
        <v>55762.913999999997</v>
      </c>
      <c r="D9" s="12">
        <v>43448.684999999998</v>
      </c>
      <c r="E9" s="12">
        <v>13619.199000000001</v>
      </c>
      <c r="F9" s="12">
        <v>32724.688999999998</v>
      </c>
      <c r="G9" s="12">
        <v>107945.851</v>
      </c>
      <c r="H9" s="12">
        <v>19871.938999999998</v>
      </c>
      <c r="I9" s="12">
        <v>19701.955999999998</v>
      </c>
      <c r="J9" s="12">
        <v>55695.152000000002</v>
      </c>
      <c r="K9" s="12">
        <v>18474.415000000001</v>
      </c>
      <c r="L9" s="12">
        <v>101057.93399999999</v>
      </c>
      <c r="M9" s="12">
        <v>49588.167000000001</v>
      </c>
      <c r="N9" s="12">
        <v>28867.79</v>
      </c>
      <c r="O9" s="12">
        <v>31522.32</v>
      </c>
      <c r="P9" s="12">
        <v>96161.3</v>
      </c>
      <c r="Q9" s="12">
        <v>138134.10399999999</v>
      </c>
      <c r="R9" s="12">
        <v>34122.231</v>
      </c>
      <c r="S9" s="12">
        <v>90491.687000000005</v>
      </c>
      <c r="T9" s="12">
        <v>68236.228000000003</v>
      </c>
      <c r="U9" s="12">
        <v>79237.048999999999</v>
      </c>
      <c r="V9" s="12">
        <v>73046.581000000006</v>
      </c>
      <c r="W9" s="12">
        <v>102871.541</v>
      </c>
      <c r="X9" s="12">
        <v>457892.09399999998</v>
      </c>
      <c r="Y9" s="12">
        <v>1128200.969</v>
      </c>
      <c r="Z9" s="12">
        <v>370328.18099999998</v>
      </c>
      <c r="AA9" s="12">
        <v>340904.28499999997</v>
      </c>
      <c r="AB9" s="12">
        <v>204032.84700000001</v>
      </c>
      <c r="AC9" s="12">
        <v>85985.093999999997</v>
      </c>
      <c r="AD9" s="12">
        <v>295720.277</v>
      </c>
      <c r="AE9" s="12">
        <v>750363.10699999996</v>
      </c>
      <c r="AF9" s="12">
        <v>102329.803</v>
      </c>
      <c r="AG9" s="12">
        <v>1362903.388</v>
      </c>
      <c r="AH9" s="12">
        <v>1221115.0360000001</v>
      </c>
      <c r="AI9" s="12">
        <v>865699.73199999996</v>
      </c>
      <c r="AJ9" s="12">
        <v>1075469.9820000001</v>
      </c>
      <c r="AK9" s="12">
        <v>319976.05200000003</v>
      </c>
      <c r="AL9" s="12">
        <v>21351.7</v>
      </c>
    </row>
    <row r="10" spans="1:38" ht="20" x14ac:dyDescent="0.3">
      <c r="A10" s="11" t="s">
        <v>84</v>
      </c>
      <c r="B10" s="10" t="s">
        <v>9</v>
      </c>
      <c r="C10" s="13">
        <v>11926.959000000001</v>
      </c>
      <c r="D10" s="13">
        <v>22236.446</v>
      </c>
      <c r="E10" s="13">
        <v>2311.3110000000001</v>
      </c>
      <c r="F10" s="13">
        <v>2083.9670000000001</v>
      </c>
      <c r="G10" s="13">
        <v>8024.6</v>
      </c>
      <c r="H10" s="13">
        <v>879.298</v>
      </c>
      <c r="I10" s="13">
        <v>685.69600000000003</v>
      </c>
      <c r="J10" s="13">
        <v>2510.3229999999999</v>
      </c>
      <c r="K10" s="13">
        <v>3395.3620000000001</v>
      </c>
      <c r="L10" s="13">
        <v>13100.214</v>
      </c>
      <c r="M10" s="13">
        <v>1731.2860000000001</v>
      </c>
      <c r="N10" s="13">
        <v>1464.0450000000001</v>
      </c>
      <c r="O10" s="13">
        <v>2420.8139999999999</v>
      </c>
      <c r="P10" s="13">
        <v>2833.9189999999999</v>
      </c>
      <c r="Q10" s="13">
        <v>7170.7039999999997</v>
      </c>
      <c r="R10" s="13">
        <v>1134.489</v>
      </c>
      <c r="S10" s="13">
        <v>3331.6779999999999</v>
      </c>
      <c r="T10" s="13">
        <v>2995.89</v>
      </c>
      <c r="U10" s="13">
        <v>2412.7809999999999</v>
      </c>
      <c r="V10" s="13">
        <v>2228.652</v>
      </c>
      <c r="W10" s="13">
        <v>40723.43</v>
      </c>
      <c r="X10" s="13">
        <v>8240.8019999999997</v>
      </c>
      <c r="Y10" s="13">
        <v>54949.025999999998</v>
      </c>
      <c r="Z10" s="13">
        <v>14802.977999999999</v>
      </c>
      <c r="AA10" s="13">
        <v>23748.665000000001</v>
      </c>
      <c r="AB10" s="13">
        <v>8516.9699999999993</v>
      </c>
      <c r="AC10" s="13">
        <v>8862.1890000000003</v>
      </c>
      <c r="AD10" s="13">
        <v>3501.547</v>
      </c>
      <c r="AE10" s="13">
        <v>41900.949000000001</v>
      </c>
      <c r="AF10" s="13">
        <v>238841.57800000001</v>
      </c>
      <c r="AG10" s="13">
        <v>30684.764999999999</v>
      </c>
      <c r="AH10" s="13">
        <v>11907.353999999999</v>
      </c>
      <c r="AI10" s="13">
        <v>35650.364000000001</v>
      </c>
      <c r="AJ10" s="13">
        <v>25367.348000000002</v>
      </c>
      <c r="AK10" s="13">
        <v>13906.24</v>
      </c>
      <c r="AL10" s="13">
        <v>0</v>
      </c>
    </row>
    <row r="11" spans="1:38" ht="20" x14ac:dyDescent="0.3">
      <c r="A11" s="11" t="s">
        <v>85</v>
      </c>
      <c r="B11" s="10" t="s">
        <v>9</v>
      </c>
      <c r="C11" s="12">
        <v>126190.226</v>
      </c>
      <c r="D11" s="12">
        <v>158772.66899999999</v>
      </c>
      <c r="E11" s="12">
        <v>25249.19</v>
      </c>
      <c r="F11" s="12">
        <v>17093.544000000002</v>
      </c>
      <c r="G11" s="12">
        <v>132476.84899999999</v>
      </c>
      <c r="H11" s="12">
        <v>6881.4629999999997</v>
      </c>
      <c r="I11" s="12">
        <v>8716.348</v>
      </c>
      <c r="J11" s="12">
        <v>38432.625</v>
      </c>
      <c r="K11" s="12">
        <v>136601.02299999999</v>
      </c>
      <c r="L11" s="12">
        <v>261826.25099999999</v>
      </c>
      <c r="M11" s="12">
        <v>28535.546999999999</v>
      </c>
      <c r="N11" s="12">
        <v>21073.465</v>
      </c>
      <c r="O11" s="12">
        <v>21699.766</v>
      </c>
      <c r="P11" s="12">
        <v>47785.78</v>
      </c>
      <c r="Q11" s="12">
        <v>133207.19099999999</v>
      </c>
      <c r="R11" s="12">
        <v>21061.68</v>
      </c>
      <c r="S11" s="12">
        <v>53386.635000000002</v>
      </c>
      <c r="T11" s="12">
        <v>89287.180999999997</v>
      </c>
      <c r="U11" s="12">
        <v>52498.97</v>
      </c>
      <c r="V11" s="12">
        <v>37863.368000000002</v>
      </c>
      <c r="W11" s="12">
        <v>162146.12899999999</v>
      </c>
      <c r="X11" s="12">
        <v>273780.80300000001</v>
      </c>
      <c r="Y11" s="12">
        <v>661673.90500000003</v>
      </c>
      <c r="Z11" s="12">
        <v>192958.041</v>
      </c>
      <c r="AA11" s="12">
        <v>120207.05</v>
      </c>
      <c r="AB11" s="12">
        <v>222554.883</v>
      </c>
      <c r="AC11" s="12">
        <v>186381.41699999999</v>
      </c>
      <c r="AD11" s="12">
        <v>74944.076000000001</v>
      </c>
      <c r="AE11" s="12">
        <v>538286.24399999995</v>
      </c>
      <c r="AF11" s="12">
        <v>1835216.919</v>
      </c>
      <c r="AG11" s="12">
        <v>643188.54799999995</v>
      </c>
      <c r="AH11" s="12">
        <v>317682.31</v>
      </c>
      <c r="AI11" s="12">
        <v>66144.604000000007</v>
      </c>
      <c r="AJ11" s="12">
        <v>183358.17</v>
      </c>
      <c r="AK11" s="12">
        <v>133749.90900000001</v>
      </c>
      <c r="AL11" s="12">
        <v>0</v>
      </c>
    </row>
    <row r="12" spans="1:38" x14ac:dyDescent="0.25">
      <c r="A12" s="14" t="s">
        <v>86</v>
      </c>
    </row>
  </sheetData>
  <mergeCells count="9">
    <mergeCell ref="A6:B6"/>
    <mergeCell ref="C6:AL6"/>
    <mergeCell ref="A7:B7"/>
    <mergeCell ref="A3:B3"/>
    <mergeCell ref="C3:AL3"/>
    <mergeCell ref="A4:B4"/>
    <mergeCell ref="C4:AL4"/>
    <mergeCell ref="A5:B5"/>
    <mergeCell ref="C5:AL5"/>
  </mergeCells>
  <hyperlinks>
    <hyperlink ref="A2" r:id="rId1" display="http://localhost/OECDStat_Metadata/ShowMetadata.ashx?Dataset=IOTSI4_2018&amp;ShowOnWeb=true&amp;Lang=en" xr:uid="{7A9908BF-E2DD-4D69-BCE4-1F9CB14D94BB}"/>
    <hyperlink ref="C3" r:id="rId2" display="http://localhost/OECDStat_Metadata/ShowMetadata.ashx?Dataset=IOTSI4_2018&amp;Coords=[VAR].[VAL]&amp;ShowOnWeb=true&amp;Lang=en" xr:uid="{0966C450-36F9-4126-A82E-9D08BE3AF7A9}"/>
    <hyperlink ref="A12" r:id="rId3" display="https://stats-3.oecd.org/index.aspx?DatasetCode=IOTSI4_2018" xr:uid="{1C840AFB-BA5E-4F85-81DB-82D64D9AAE22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587C-7426-4416-B5D2-4CE6749008D1}">
  <dimension ref="A1:V449"/>
  <sheetViews>
    <sheetView zoomScale="70" zoomScaleNormal="70" workbookViewId="0">
      <pane xSplit="1" ySplit="3" topLeftCell="B12" activePane="bottomRight" state="frozen"/>
      <selection pane="topRight" activeCell="B1" sqref="B1"/>
      <selection pane="bottomLeft" activeCell="A4" sqref="A4"/>
      <selection pane="bottomRight" activeCell="K17" sqref="K17"/>
    </sheetView>
  </sheetViews>
  <sheetFormatPr defaultRowHeight="14.5" x14ac:dyDescent="0.35"/>
  <cols>
    <col min="1" max="1" width="31.90625" customWidth="1"/>
    <col min="2" max="2" width="27.08984375" customWidth="1"/>
    <col min="3" max="3" width="28.7265625" customWidth="1"/>
    <col min="4" max="4" width="20.26953125" customWidth="1"/>
    <col min="5" max="5" width="24.1796875" customWidth="1"/>
    <col min="6" max="6" width="21.453125" customWidth="1"/>
    <col min="7" max="8" width="20.81640625" customWidth="1"/>
    <col min="9" max="9" width="48.1796875" customWidth="1"/>
    <col min="10" max="10" width="19.81640625" customWidth="1"/>
    <col min="11" max="11" width="23.453125" customWidth="1"/>
    <col min="12" max="12" width="22.453125" customWidth="1"/>
    <col min="13" max="13" width="20.26953125" customWidth="1"/>
    <col min="14" max="15" width="18.453125" customWidth="1"/>
    <col min="16" max="16" width="23" customWidth="1"/>
    <col min="17" max="17" width="20.81640625" customWidth="1"/>
    <col min="18" max="18" width="19.1796875" customWidth="1"/>
    <col min="19" max="19" width="16.54296875" customWidth="1"/>
    <col min="20" max="22" width="18.81640625" customWidth="1"/>
  </cols>
  <sheetData>
    <row r="1" spans="1:22" x14ac:dyDescent="0.35">
      <c r="A1" s="1" t="s">
        <v>1205</v>
      </c>
    </row>
    <row r="2" spans="1:22" x14ac:dyDescent="0.35">
      <c r="A2" s="23" t="s">
        <v>121</v>
      </c>
      <c r="M2" t="s">
        <v>666</v>
      </c>
    </row>
    <row r="3" spans="1:22" s="28" customFormat="1" ht="60" customHeight="1" thickBot="1" x14ac:dyDescent="0.4">
      <c r="A3" s="24" t="s">
        <v>122</v>
      </c>
      <c r="B3" s="25" t="s">
        <v>123</v>
      </c>
      <c r="C3" s="24" t="s">
        <v>124</v>
      </c>
      <c r="D3" s="26" t="s">
        <v>103</v>
      </c>
      <c r="E3" s="26" t="s">
        <v>99</v>
      </c>
      <c r="F3" s="27" t="s">
        <v>125</v>
      </c>
      <c r="G3" s="26" t="s">
        <v>126</v>
      </c>
      <c r="H3" s="26" t="s">
        <v>127</v>
      </c>
      <c r="I3" s="27" t="s">
        <v>128</v>
      </c>
      <c r="J3" s="26" t="s">
        <v>129</v>
      </c>
      <c r="K3" s="26" t="s">
        <v>130</v>
      </c>
      <c r="L3" s="27" t="s">
        <v>131</v>
      </c>
      <c r="M3" s="26" t="s">
        <v>132</v>
      </c>
      <c r="N3" s="26" t="s">
        <v>133</v>
      </c>
      <c r="O3" s="27" t="s">
        <v>134</v>
      </c>
      <c r="P3" s="26" t="s">
        <v>135</v>
      </c>
      <c r="Q3" s="26" t="s">
        <v>136</v>
      </c>
      <c r="R3" s="26" t="s">
        <v>137</v>
      </c>
      <c r="S3" s="27" t="s">
        <v>138</v>
      </c>
      <c r="T3" s="26" t="s">
        <v>1217</v>
      </c>
      <c r="U3" s="26" t="s">
        <v>501</v>
      </c>
      <c r="V3" s="27" t="s">
        <v>1219</v>
      </c>
    </row>
    <row r="4" spans="1:22" ht="15" thickTop="1" x14ac:dyDescent="0.35">
      <c r="A4" s="29" t="s">
        <v>104</v>
      </c>
      <c r="C4" s="29"/>
      <c r="D4" s="20" t="s">
        <v>105</v>
      </c>
      <c r="E4" s="20" t="s">
        <v>100</v>
      </c>
      <c r="F4" s="30">
        <v>212</v>
      </c>
      <c r="G4" s="20" t="s">
        <v>139</v>
      </c>
      <c r="H4" s="20">
        <v>3254</v>
      </c>
      <c r="I4" s="30">
        <v>325</v>
      </c>
      <c r="J4" s="4">
        <v>3272</v>
      </c>
      <c r="K4" s="4" t="s">
        <v>140</v>
      </c>
      <c r="L4" s="31"/>
      <c r="O4" s="29"/>
      <c r="S4" s="29"/>
      <c r="V4" s="29"/>
    </row>
    <row r="5" spans="1:22" x14ac:dyDescent="0.35">
      <c r="A5" s="29" t="s">
        <v>106</v>
      </c>
      <c r="C5" s="29"/>
      <c r="D5" s="20" t="s">
        <v>107</v>
      </c>
      <c r="E5" s="20" t="s">
        <v>108</v>
      </c>
      <c r="F5" s="30" t="s">
        <v>141</v>
      </c>
      <c r="G5" s="20">
        <v>20</v>
      </c>
      <c r="H5" s="20">
        <v>21</v>
      </c>
      <c r="I5" s="30" t="s">
        <v>142</v>
      </c>
      <c r="J5" s="4">
        <v>231</v>
      </c>
      <c r="K5" s="4">
        <v>239</v>
      </c>
      <c r="L5" s="31">
        <v>23</v>
      </c>
      <c r="M5">
        <v>241</v>
      </c>
      <c r="N5">
        <v>242</v>
      </c>
      <c r="O5" s="29">
        <v>24</v>
      </c>
      <c r="P5" s="4">
        <v>351</v>
      </c>
      <c r="Q5" s="4" t="s">
        <v>143</v>
      </c>
      <c r="R5" s="4" t="s">
        <v>144</v>
      </c>
      <c r="S5" s="31" t="s">
        <v>145</v>
      </c>
      <c r="T5">
        <v>19</v>
      </c>
      <c r="U5">
        <v>241</v>
      </c>
      <c r="V5" s="29"/>
    </row>
    <row r="6" spans="1:22" x14ac:dyDescent="0.35">
      <c r="A6" s="29" t="s">
        <v>109</v>
      </c>
      <c r="B6" s="3" t="s">
        <v>676</v>
      </c>
      <c r="C6" s="29" t="s">
        <v>146</v>
      </c>
      <c r="D6">
        <v>42400</v>
      </c>
      <c r="E6">
        <v>142700</v>
      </c>
      <c r="F6" s="29"/>
      <c r="G6">
        <f>863800-327800</f>
        <v>536000</v>
      </c>
      <c r="H6">
        <v>327800</v>
      </c>
      <c r="I6" s="29"/>
      <c r="J6">
        <v>79200</v>
      </c>
      <c r="K6">
        <f>401000-79200</f>
        <v>321800</v>
      </c>
      <c r="L6" s="29"/>
      <c r="M6">
        <f>82400+51500+57200</f>
        <v>191100</v>
      </c>
      <c r="N6">
        <f>60400+57900+49300</f>
        <v>167600</v>
      </c>
      <c r="O6" s="29"/>
      <c r="P6">
        <v>375900</v>
      </c>
      <c r="Q6">
        <v>106300</v>
      </c>
      <c r="R6">
        <v>54300</v>
      </c>
      <c r="S6" s="29"/>
      <c r="T6">
        <f>82400+51500+57200</f>
        <v>191100</v>
      </c>
      <c r="U6">
        <f>60400+57900+49300</f>
        <v>167600</v>
      </c>
      <c r="V6" s="29"/>
    </row>
    <row r="7" spans="1:22" x14ac:dyDescent="0.35">
      <c r="A7" s="32" t="s">
        <v>147</v>
      </c>
      <c r="B7" s="3" t="s">
        <v>677</v>
      </c>
      <c r="C7" s="29" t="s">
        <v>148</v>
      </c>
      <c r="D7" s="19">
        <f>D35*10^6</f>
        <v>46019000000</v>
      </c>
      <c r="E7" s="19">
        <f>D34*10^6</f>
        <v>455994000000</v>
      </c>
      <c r="F7" s="19">
        <f>SUM(D35,D36:D39)*10^6</f>
        <v>139852000000</v>
      </c>
      <c r="G7">
        <f>SUM(D269:D275,D280:D287)*10^6</f>
        <v>662432000000</v>
      </c>
      <c r="H7">
        <f>SUM(D276:D279)*10^6</f>
        <v>333392000000</v>
      </c>
      <c r="I7" s="29">
        <f>SUM(G7:H7)</f>
        <v>995824000000</v>
      </c>
      <c r="J7" s="33">
        <f>D71*10^6</f>
        <v>33702000000</v>
      </c>
      <c r="K7" s="33">
        <f>SUM(D70,D72:D81)*10^6</f>
        <v>141586000000</v>
      </c>
      <c r="L7" s="58">
        <f>SUM(J7:K7)</f>
        <v>175288000000</v>
      </c>
      <c r="M7" s="33">
        <f>SUMIFS(D:D,E:E,M2)*10^6</f>
        <v>213917000000</v>
      </c>
      <c r="N7">
        <f>SUM(D84:D89,D91)*10^6</f>
        <v>112877000000</v>
      </c>
      <c r="O7" s="58">
        <f>SUM(M7:N7)</f>
        <v>326794000000</v>
      </c>
      <c r="P7" s="33">
        <f>SUM(D42:D51)*10^6</f>
        <v>502911000000</v>
      </c>
      <c r="Q7" s="33">
        <f>D52*10^6</f>
        <v>118202000000</v>
      </c>
      <c r="R7" s="33">
        <f>SUM(D53)*10^6</f>
        <v>22159000000</v>
      </c>
      <c r="S7" s="58">
        <f>SUM(P7:R7)</f>
        <v>643272000000</v>
      </c>
      <c r="T7" s="33">
        <f>SUM(D265:D267)</f>
        <v>625936</v>
      </c>
      <c r="U7" s="61">
        <f>D268</f>
        <v>24695</v>
      </c>
      <c r="V7" s="58">
        <f>SUM(T7:U7)</f>
        <v>650631</v>
      </c>
    </row>
    <row r="8" spans="1:22" x14ac:dyDescent="0.35">
      <c r="A8" s="32" t="s">
        <v>111</v>
      </c>
      <c r="B8" s="3" t="s">
        <v>677</v>
      </c>
      <c r="C8" s="29" t="s">
        <v>118</v>
      </c>
      <c r="D8" s="19"/>
      <c r="E8" s="59"/>
      <c r="F8" s="60"/>
      <c r="G8" s="21"/>
      <c r="H8" s="21"/>
      <c r="I8" s="70">
        <v>847284000000</v>
      </c>
      <c r="J8" s="17"/>
      <c r="K8" s="17"/>
      <c r="L8" s="71">
        <v>146318000000</v>
      </c>
      <c r="M8" s="17"/>
      <c r="N8" s="17"/>
      <c r="O8" s="71">
        <v>262538000000</v>
      </c>
      <c r="P8" s="17"/>
      <c r="Q8" s="17"/>
      <c r="R8" s="17"/>
      <c r="S8" s="71">
        <v>643958000000</v>
      </c>
      <c r="T8" s="17"/>
      <c r="U8" s="17"/>
      <c r="V8" s="71">
        <v>262538000000</v>
      </c>
    </row>
    <row r="9" spans="1:22" x14ac:dyDescent="0.35">
      <c r="A9" s="32" t="s">
        <v>112</v>
      </c>
      <c r="B9" s="3" t="s">
        <v>677</v>
      </c>
      <c r="C9" s="29" t="str">
        <f>A9</f>
        <v>Value Added</v>
      </c>
      <c r="D9" s="22">
        <f>$F9*($D$7/$F$7)</f>
        <v>26587315025.884506</v>
      </c>
      <c r="E9" s="21">
        <f>K27*10^6</f>
        <v>252608000000</v>
      </c>
      <c r="F9" s="34">
        <f>K28*10^6</f>
        <v>80799000000</v>
      </c>
      <c r="G9" s="36">
        <f>$I9*(G$7/$I$7)</f>
        <v>368540263211.16986</v>
      </c>
      <c r="H9" s="36">
        <f t="shared" ref="G9:H12" si="0">$I9*(H$7/$I$7)</f>
        <v>185480736788.83014</v>
      </c>
      <c r="I9" s="34">
        <f>K52*10^6</f>
        <v>554021000000</v>
      </c>
      <c r="J9" s="36">
        <f>$L9*(J$7/$L$7)</f>
        <v>14903725480.352333</v>
      </c>
      <c r="K9" s="36">
        <f>$L9*(K$7/$L$7)</f>
        <v>62612274519.647667</v>
      </c>
      <c r="L9" s="35">
        <f>K35*10^6</f>
        <v>77516000000</v>
      </c>
      <c r="M9" s="36">
        <f t="shared" ref="M9:N12" si="1">$O9*(M$7/$O$7)</f>
        <v>50086822805.804268</v>
      </c>
      <c r="N9" s="36">
        <f t="shared" si="1"/>
        <v>26429177194.195728</v>
      </c>
      <c r="O9" s="35">
        <f>K36*10^6</f>
        <v>76516000000</v>
      </c>
      <c r="P9" s="36">
        <f>$S9*(P$7/$S$7)</f>
        <v>355216973888.18414</v>
      </c>
      <c r="Q9" s="36">
        <f t="shared" ref="Q9:R9" si="2">$S9*(Q$7/$S$7)</f>
        <v>83488642617.741791</v>
      </c>
      <c r="R9" s="36">
        <f t="shared" si="2"/>
        <v>15651383494.074045</v>
      </c>
      <c r="S9" s="35">
        <f>K30*10^6</f>
        <v>454357000000</v>
      </c>
      <c r="T9" s="36">
        <f>$V9*(T$7/$V$7)</f>
        <v>188283660680.17047</v>
      </c>
      <c r="U9" s="36">
        <f>$V9*(U$7/$V$7)</f>
        <v>7428339319.8295193</v>
      </c>
      <c r="V9" s="35" cm="1">
        <f t="array" ref="V9:V12">TRANSPOSE(K51:N51)*10^6</f>
        <v>195712000000</v>
      </c>
    </row>
    <row r="10" spans="1:22" x14ac:dyDescent="0.35">
      <c r="A10" s="37" t="s">
        <v>113</v>
      </c>
      <c r="C10" s="29" t="str">
        <f t="shared" ref="C10:C12" si="3">A10</f>
        <v>Compensation of employees</v>
      </c>
      <c r="D10" s="22">
        <f>$F10*($D$7/$F$7)</f>
        <v>7784783213.6830368</v>
      </c>
      <c r="E10" s="21">
        <f>L27*10^6</f>
        <v>31824000000</v>
      </c>
      <c r="F10" s="34">
        <f>L28*10^6</f>
        <v>23658000000</v>
      </c>
      <c r="G10" s="36">
        <f t="shared" si="0"/>
        <v>91116463117.980682</v>
      </c>
      <c r="H10" s="36">
        <f t="shared" si="0"/>
        <v>45857536882.01931</v>
      </c>
      <c r="I10" s="34">
        <f>L52*10^6</f>
        <v>136974000000</v>
      </c>
      <c r="J10" s="36">
        <f>$L10*(J$7/$L$7)</f>
        <v>7487239765.4146318</v>
      </c>
      <c r="K10" s="36">
        <f t="shared" ref="K10:K12" si="4">$L10*(K$7/$L$8)</f>
        <v>37682595524.815811</v>
      </c>
      <c r="L10" s="35">
        <f>L35*10^6</f>
        <v>38942000000</v>
      </c>
      <c r="M10" s="36">
        <f t="shared" si="1"/>
        <v>27019627070.876457</v>
      </c>
      <c r="N10" s="36">
        <f t="shared" si="1"/>
        <v>14257372929.123545</v>
      </c>
      <c r="O10" s="35">
        <f>L36*10^6</f>
        <v>41277000000</v>
      </c>
      <c r="P10" s="36">
        <f>$S10*(P$7/$S$7)</f>
        <v>80862508613.774582</v>
      </c>
      <c r="Q10" s="36">
        <f t="shared" ref="Q10:R12" si="5">$S10*(Q$7/$S$7)</f>
        <v>19005570057.456253</v>
      </c>
      <c r="R10" s="36">
        <f t="shared" si="5"/>
        <v>3562921328.7691674</v>
      </c>
      <c r="S10" s="35">
        <f>L30*10^6</f>
        <v>103431000000</v>
      </c>
      <c r="T10" s="36">
        <f t="shared" ref="T10:U12" si="6">$V10*(T$7/$V$7)</f>
        <v>21826866484.996872</v>
      </c>
      <c r="U10" s="36">
        <f t="shared" si="6"/>
        <v>861133515.00312769</v>
      </c>
      <c r="V10" s="35">
        <v>22688000000</v>
      </c>
    </row>
    <row r="11" spans="1:22" x14ac:dyDescent="0.35">
      <c r="A11" s="37" t="s">
        <v>149</v>
      </c>
      <c r="C11" s="29" t="str">
        <f t="shared" si="3"/>
        <v>Taxes on production and imports, less subsidies</v>
      </c>
      <c r="D11" s="22">
        <f>$F11*($D$7/$F$7)</f>
        <v>2624871742.9854417</v>
      </c>
      <c r="E11" s="21">
        <f>M27*10^6</f>
        <v>49110000000</v>
      </c>
      <c r="F11" s="34">
        <f>M28*10^6</f>
        <v>7977000000</v>
      </c>
      <c r="G11" s="36">
        <f t="shared" si="0"/>
        <v>16418045951.895115</v>
      </c>
      <c r="H11" s="36">
        <f t="shared" si="0"/>
        <v>8262954048.1048861</v>
      </c>
      <c r="I11" s="34">
        <f>M52*10^6</f>
        <v>24681000000</v>
      </c>
      <c r="J11" s="36">
        <f>$L11*(J$7/$L$7)</f>
        <v>424716569.30308974</v>
      </c>
      <c r="K11" s="36">
        <f t="shared" si="4"/>
        <v>2137559794.420372</v>
      </c>
      <c r="L11" s="35">
        <f>M35*10^6</f>
        <v>2209000000</v>
      </c>
      <c r="M11" s="36">
        <f t="shared" si="1"/>
        <v>2325768224.0188007</v>
      </c>
      <c r="N11" s="36">
        <f t="shared" si="1"/>
        <v>1227231775.981199</v>
      </c>
      <c r="O11" s="35">
        <f>M36*10^6</f>
        <v>3553000000</v>
      </c>
      <c r="P11" s="36">
        <f>$S11*(P$7/$S$7)</f>
        <v>66626685510.950264</v>
      </c>
      <c r="Q11" s="36">
        <f t="shared" si="5"/>
        <v>15659644511.186558</v>
      </c>
      <c r="R11" s="36">
        <f t="shared" si="5"/>
        <v>2935669977.8631744</v>
      </c>
      <c r="S11" s="35">
        <f>M30*10^6</f>
        <v>85222000000</v>
      </c>
      <c r="T11" s="36">
        <f t="shared" si="6"/>
        <v>6035867433.3070507</v>
      </c>
      <c r="U11" s="36">
        <f>$V11*(U$7/$V$7)</f>
        <v>238132566.69294882</v>
      </c>
      <c r="V11" s="35">
        <v>6274000000</v>
      </c>
    </row>
    <row r="12" spans="1:22" x14ac:dyDescent="0.35">
      <c r="A12" s="37" t="s">
        <v>114</v>
      </c>
      <c r="C12" s="29" t="str">
        <f t="shared" si="3"/>
        <v>Gross operating surplus</v>
      </c>
      <c r="D12" s="22">
        <f>$F12*($D$7/$F$7)</f>
        <v>16177989124.21703</v>
      </c>
      <c r="E12" s="21">
        <f>N27*10^6</f>
        <v>171675000000</v>
      </c>
      <c r="F12" s="34">
        <f>N28*10^6</f>
        <v>49165000000</v>
      </c>
      <c r="G12" s="36">
        <f t="shared" si="0"/>
        <v>261005754141.29404</v>
      </c>
      <c r="H12" s="36">
        <f t="shared" si="0"/>
        <v>131360245858.70595</v>
      </c>
      <c r="I12" s="34">
        <f>N52*10^6</f>
        <v>392366000000</v>
      </c>
      <c r="J12" s="36">
        <f>$L12*(J$7/$L$7)</f>
        <v>6991769145.6346121</v>
      </c>
      <c r="K12" s="36">
        <f t="shared" si="4"/>
        <v>35188937041.238945</v>
      </c>
      <c r="L12" s="35">
        <f>N35*10^6</f>
        <v>36365000000</v>
      </c>
      <c r="M12" s="36">
        <f t="shared" si="1"/>
        <v>20741427510.909016</v>
      </c>
      <c r="N12" s="36">
        <f t="shared" si="1"/>
        <v>10944572489.090986</v>
      </c>
      <c r="O12" s="35">
        <f>N36*10^6</f>
        <v>31686000000</v>
      </c>
      <c r="P12" s="36">
        <f>$S12*(P$7/$S$7)</f>
        <v>207728561564.93677</v>
      </c>
      <c r="Q12" s="36">
        <f t="shared" si="5"/>
        <v>48823611800.295982</v>
      </c>
      <c r="R12" s="36">
        <f t="shared" si="5"/>
        <v>9152826634.767252</v>
      </c>
      <c r="S12" s="35">
        <f>N30*10^6</f>
        <v>265705000000</v>
      </c>
      <c r="T12" s="36">
        <f t="shared" si="6"/>
        <v>160420926761.86655</v>
      </c>
      <c r="U12" s="36">
        <f t="shared" si="6"/>
        <v>6329073238.1334419</v>
      </c>
      <c r="V12" s="35">
        <v>166750000000</v>
      </c>
    </row>
    <row r="13" spans="1:22" x14ac:dyDescent="0.35">
      <c r="T13" s="23" t="s">
        <v>1218</v>
      </c>
    </row>
    <row r="16" spans="1:22" x14ac:dyDescent="0.35">
      <c r="B16" s="1" t="s">
        <v>678</v>
      </c>
    </row>
    <row r="17" spans="2:14" x14ac:dyDescent="0.35">
      <c r="B17" t="s">
        <v>812</v>
      </c>
    </row>
    <row r="18" spans="2:14" ht="16" x14ac:dyDescent="0.45">
      <c r="B18" s="69" t="s">
        <v>1206</v>
      </c>
    </row>
    <row r="19" spans="2:14" x14ac:dyDescent="0.35">
      <c r="H19" s="1" t="s">
        <v>1204</v>
      </c>
      <c r="I19" s="1" t="s">
        <v>150</v>
      </c>
    </row>
    <row r="20" spans="2:14" ht="43.5" x14ac:dyDescent="0.35">
      <c r="B20" s="18" t="s">
        <v>152</v>
      </c>
      <c r="C20" s="38"/>
      <c r="D20" s="39">
        <v>2024</v>
      </c>
      <c r="E20" s="39" t="s">
        <v>106</v>
      </c>
      <c r="F20" s="18" t="s">
        <v>153</v>
      </c>
      <c r="H20" s="38" t="s">
        <v>152</v>
      </c>
      <c r="I20" s="38"/>
      <c r="J20" s="18" t="s">
        <v>106</v>
      </c>
      <c r="K20" s="40" t="s">
        <v>112</v>
      </c>
      <c r="L20" s="40" t="s">
        <v>154</v>
      </c>
      <c r="M20" s="40" t="s">
        <v>149</v>
      </c>
      <c r="N20" s="41" t="s">
        <v>114</v>
      </c>
    </row>
    <row r="21" spans="2:14" x14ac:dyDescent="0.35">
      <c r="B21">
        <v>1</v>
      </c>
      <c r="C21" t="s">
        <v>156</v>
      </c>
      <c r="D21" s="42">
        <v>50014</v>
      </c>
      <c r="E21" s="42" t="s">
        <v>10</v>
      </c>
      <c r="H21" t="s">
        <v>155</v>
      </c>
      <c r="I21" t="s">
        <v>679</v>
      </c>
      <c r="K21" s="42">
        <f>INDEX('BEA Data'!C:C,MATCH(TRIM('U.S. Data for ISIC Splits'!I21),'BEA Data'!E:E,0))</f>
        <v>29298013</v>
      </c>
      <c r="L21" s="42" cm="1">
        <f t="array" ref="L21">INDEX('BEA Data'!C:C,MATCH(TRIM('U.S. Data for ISIC Splits'!I21),'BEA Data'!E:E,0)+1)</f>
        <v>15049121</v>
      </c>
      <c r="M21" s="42" cm="1">
        <f t="array" ref="M21">INDEX('BEA Data'!C:C,MATCH(TRIM('U.S. Data for ISIC Splits'!I21),'BEA Data'!E:E,0)+2)</f>
        <v>1860444</v>
      </c>
      <c r="N21" s="42" cm="1">
        <f t="array" ref="N21">INDEX('BEA Data'!C:C,MATCH(TRIM('U.S. Data for ISIC Splits'!I21),'BEA Data'!E:E,0)+3)</f>
        <v>12388448</v>
      </c>
    </row>
    <row r="22" spans="2:14" x14ac:dyDescent="0.35">
      <c r="B22">
        <v>2</v>
      </c>
      <c r="C22" t="s">
        <v>158</v>
      </c>
      <c r="D22" s="42">
        <v>82647</v>
      </c>
      <c r="E22" s="42" t="s">
        <v>10</v>
      </c>
      <c r="H22" t="s">
        <v>157</v>
      </c>
      <c r="I22" t="s">
        <v>680</v>
      </c>
      <c r="K22" s="42">
        <f>INDEX('BEA Data'!C:C,MATCH(TRIM('U.S. Data for ISIC Splits'!I22),'BEA Data'!E:E,0))</f>
        <v>26001672</v>
      </c>
      <c r="L22" s="42" cm="1">
        <f t="array" ref="L22">INDEX('BEA Data'!C:C,MATCH(TRIM('U.S. Data for ISIC Splits'!I22),'BEA Data'!E:E,0)+1)</f>
        <v>12463662</v>
      </c>
      <c r="M22" s="42" cm="1">
        <f t="array" ref="M22">INDEX('BEA Data'!C:C,MATCH(TRIM('U.S. Data for ISIC Splits'!I22),'BEA Data'!E:E,0)+2)</f>
        <v>1905894</v>
      </c>
      <c r="N22" s="42" cm="1">
        <f t="array" ref="N22">INDEX('BEA Data'!C:C,MATCH(TRIM('U.S. Data for ISIC Splits'!I22),'BEA Data'!E:E,0)+3)</f>
        <v>11632115</v>
      </c>
    </row>
    <row r="23" spans="2:14" x14ac:dyDescent="0.35">
      <c r="B23">
        <v>3</v>
      </c>
      <c r="C23" t="s">
        <v>160</v>
      </c>
      <c r="D23" s="42">
        <v>26862</v>
      </c>
      <c r="E23" s="42" t="s">
        <v>10</v>
      </c>
      <c r="H23" t="s">
        <v>159</v>
      </c>
      <c r="I23" t="s">
        <v>681</v>
      </c>
      <c r="J23" t="s">
        <v>10</v>
      </c>
      <c r="K23" s="42">
        <f>INDEX('BEA Data'!C:C,MATCH(TRIM('U.S. Data for ISIC Splits'!I23),'BEA Data'!E:E,0))</f>
        <v>269686</v>
      </c>
      <c r="L23" s="42" cm="1">
        <f t="array" ref="L23">INDEX('BEA Data'!C:C,MATCH(TRIM('U.S. Data for ISIC Splits'!I23),'BEA Data'!E:E,0)+1)</f>
        <v>80082</v>
      </c>
      <c r="M23" s="42" cm="1">
        <f t="array" ref="M23">INDEX('BEA Data'!C:C,MATCH(TRIM('U.S. Data for ISIC Splits'!I23),'BEA Data'!E:E,0)+2)</f>
        <v>8148</v>
      </c>
      <c r="N23" s="42" cm="1">
        <f t="array" ref="N23">INDEX('BEA Data'!C:C,MATCH(TRIM('U.S. Data for ISIC Splits'!I23),'BEA Data'!E:E,0)+3)</f>
        <v>181456</v>
      </c>
    </row>
    <row r="24" spans="2:14" x14ac:dyDescent="0.35">
      <c r="B24">
        <v>4</v>
      </c>
      <c r="C24" t="s">
        <v>162</v>
      </c>
      <c r="D24" s="42">
        <v>30307</v>
      </c>
      <c r="E24" s="42" t="s">
        <v>10</v>
      </c>
      <c r="H24" t="s">
        <v>161</v>
      </c>
      <c r="I24" t="s">
        <v>682</v>
      </c>
      <c r="K24" s="42">
        <f>INDEX('BEA Data'!C:C,MATCH(TRIM('U.S. Data for ISIC Splits'!I24),'BEA Data'!E:E,0))</f>
        <v>215830</v>
      </c>
      <c r="L24" s="42" cm="1">
        <f t="array" ref="L24">INDEX('BEA Data'!C:C,MATCH(TRIM('U.S. Data for ISIC Splits'!I24),'BEA Data'!E:E,0)+1)</f>
        <v>44527</v>
      </c>
      <c r="M24" s="42" cm="1">
        <f t="array" ref="M24">INDEX('BEA Data'!C:C,MATCH(TRIM('U.S. Data for ISIC Splits'!I24),'BEA Data'!E:E,0)+2)</f>
        <v>5548</v>
      </c>
      <c r="N24" s="42" cm="1">
        <f t="array" ref="N24">INDEX('BEA Data'!C:C,MATCH(TRIM('U.S. Data for ISIC Splits'!I24),'BEA Data'!E:E,0)+3)</f>
        <v>165755</v>
      </c>
    </row>
    <row r="25" spans="2:14" x14ac:dyDescent="0.35">
      <c r="B25">
        <v>5</v>
      </c>
      <c r="C25" t="s">
        <v>164</v>
      </c>
      <c r="D25" s="42">
        <v>31895</v>
      </c>
      <c r="E25" s="42" t="s">
        <v>10</v>
      </c>
      <c r="H25" t="s">
        <v>163</v>
      </c>
      <c r="I25" t="s">
        <v>683</v>
      </c>
      <c r="K25" s="42">
        <f>INDEX('BEA Data'!C:C,MATCH(TRIM('U.S. Data for ISIC Splits'!I25),'BEA Data'!E:E,0))</f>
        <v>53856</v>
      </c>
      <c r="L25" s="42" cm="1">
        <f t="array" ref="L25">INDEX('BEA Data'!C:C,MATCH(TRIM('U.S. Data for ISIC Splits'!I25),'BEA Data'!E:E,0)+1)</f>
        <v>35555</v>
      </c>
      <c r="M25" s="42" cm="1">
        <f t="array" ref="M25">INDEX('BEA Data'!C:C,MATCH(TRIM('U.S. Data for ISIC Splits'!I25),'BEA Data'!E:E,0)+2)</f>
        <v>2600</v>
      </c>
      <c r="N25" s="42" cm="1">
        <f t="array" ref="N25">INDEX('BEA Data'!C:C,MATCH(TRIM('U.S. Data for ISIC Splits'!I25),'BEA Data'!E:E,0)+3)</f>
        <v>15701</v>
      </c>
    </row>
    <row r="26" spans="2:14" x14ac:dyDescent="0.35">
      <c r="B26">
        <v>6</v>
      </c>
      <c r="C26" t="s">
        <v>166</v>
      </c>
      <c r="D26" s="42">
        <v>29353</v>
      </c>
      <c r="E26" s="42" t="s">
        <v>10</v>
      </c>
      <c r="H26" t="s">
        <v>165</v>
      </c>
      <c r="I26" t="s">
        <v>684</v>
      </c>
      <c r="K26" s="42">
        <f>INDEX('BEA Data'!C:C,MATCH(TRIM('U.S. Data for ISIC Splits'!I26),'BEA Data'!E:E,0))</f>
        <v>404248</v>
      </c>
      <c r="L26" s="42" cm="1">
        <f t="array" ref="L26">INDEX('BEA Data'!C:C,MATCH(TRIM('U.S. Data for ISIC Splits'!I26),'BEA Data'!E:E,0)+1)</f>
        <v>92465</v>
      </c>
      <c r="M26" s="42" cm="1">
        <f t="array" ref="M26">INDEX('BEA Data'!C:C,MATCH(TRIM('U.S. Data for ISIC Splits'!I26),'BEA Data'!E:E,0)+2)</f>
        <v>60004</v>
      </c>
      <c r="N26" s="42" cm="1">
        <f t="array" ref="N26">INDEX('BEA Data'!C:C,MATCH(TRIM('U.S. Data for ISIC Splits'!I26),'BEA Data'!E:E,0)+3)</f>
        <v>251778</v>
      </c>
    </row>
    <row r="27" spans="2:14" x14ac:dyDescent="0.35">
      <c r="B27">
        <v>7</v>
      </c>
      <c r="C27" t="s">
        <v>168</v>
      </c>
      <c r="D27" s="42">
        <v>52126</v>
      </c>
      <c r="E27" s="42" t="s">
        <v>10</v>
      </c>
      <c r="H27" t="s">
        <v>167</v>
      </c>
      <c r="I27" t="s">
        <v>685</v>
      </c>
      <c r="J27" t="s">
        <v>102</v>
      </c>
      <c r="K27" s="42">
        <f>INDEX('BEA Data'!C:C,MATCH(TRIM('U.S. Data for ISIC Splits'!I27),'BEA Data'!E:E,0))</f>
        <v>252608</v>
      </c>
      <c r="L27" s="42" cm="1">
        <f t="array" ref="L27">INDEX('BEA Data'!C:C,MATCH(TRIM('U.S. Data for ISIC Splits'!I27),'BEA Data'!E:E,0)+1)</f>
        <v>31824</v>
      </c>
      <c r="M27" s="42" cm="1">
        <f t="array" ref="M27">INDEX('BEA Data'!C:C,MATCH(TRIM('U.S. Data for ISIC Splits'!I27),'BEA Data'!E:E,0)+2)</f>
        <v>49110</v>
      </c>
      <c r="N27" s="42" cm="1">
        <f t="array" ref="N27">INDEX('BEA Data'!C:C,MATCH(TRIM('U.S. Data for ISIC Splits'!I27),'BEA Data'!E:E,0)+3)</f>
        <v>171675</v>
      </c>
    </row>
    <row r="28" spans="2:14" x14ac:dyDescent="0.35">
      <c r="B28">
        <v>8</v>
      </c>
      <c r="C28" t="s">
        <v>170</v>
      </c>
      <c r="D28" s="42">
        <v>141304</v>
      </c>
      <c r="E28" s="42" t="s">
        <v>10</v>
      </c>
      <c r="H28" t="s">
        <v>169</v>
      </c>
      <c r="I28" t="s">
        <v>686</v>
      </c>
      <c r="J28" t="s">
        <v>687</v>
      </c>
      <c r="K28" s="42">
        <f>INDEX('BEA Data'!C:C,MATCH(TRIM('U.S. Data for ISIC Splits'!I28),'BEA Data'!E:E,0))</f>
        <v>80799</v>
      </c>
      <c r="L28" s="42" cm="1">
        <f t="array" ref="L28">INDEX('BEA Data'!C:C,MATCH(TRIM('U.S. Data for ISIC Splits'!I28),'BEA Data'!E:E,0)+1)</f>
        <v>23658</v>
      </c>
      <c r="M28" s="42" cm="1">
        <f t="array" ref="M28">INDEX('BEA Data'!C:C,MATCH(TRIM('U.S. Data for ISIC Splits'!I28),'BEA Data'!E:E,0)+2)</f>
        <v>7977</v>
      </c>
      <c r="N28" s="42" cm="1">
        <f t="array" ref="N28">INDEX('BEA Data'!C:C,MATCH(TRIM('U.S. Data for ISIC Splits'!I28),'BEA Data'!E:E,0)+3)</f>
        <v>49165</v>
      </c>
    </row>
    <row r="29" spans="2:14" x14ac:dyDescent="0.35">
      <c r="B29">
        <v>9</v>
      </c>
      <c r="C29" t="s">
        <v>172</v>
      </c>
      <c r="D29" s="42">
        <v>75391</v>
      </c>
      <c r="E29" s="42" t="s">
        <v>10</v>
      </c>
      <c r="H29" t="s">
        <v>171</v>
      </c>
      <c r="I29" t="s">
        <v>688</v>
      </c>
      <c r="J29" t="s">
        <v>12</v>
      </c>
      <c r="K29" s="42">
        <f>INDEX('BEA Data'!C:C,MATCH(TRIM('U.S. Data for ISIC Splits'!I29),'BEA Data'!E:E,0))</f>
        <v>70840</v>
      </c>
      <c r="L29" s="42" cm="1">
        <f t="array" ref="L29">INDEX('BEA Data'!C:C,MATCH(TRIM('U.S. Data for ISIC Splits'!I29),'BEA Data'!E:E,0)+1)</f>
        <v>36984</v>
      </c>
      <c r="M29" s="42" cm="1">
        <f t="array" ref="M29">INDEX('BEA Data'!C:C,MATCH(TRIM('U.S. Data for ISIC Splits'!I29),'BEA Data'!E:E,0)+2)</f>
        <v>2917</v>
      </c>
      <c r="N29" s="42" cm="1">
        <f t="array" ref="N29">INDEX('BEA Data'!C:C,MATCH(TRIM('U.S. Data for ISIC Splits'!I29),'BEA Data'!E:E,0)+3)</f>
        <v>30939</v>
      </c>
    </row>
    <row r="30" spans="2:14" x14ac:dyDescent="0.35">
      <c r="B30">
        <v>10</v>
      </c>
      <c r="C30" t="s">
        <v>174</v>
      </c>
      <c r="D30" s="42">
        <v>45807</v>
      </c>
      <c r="E30" s="42" t="s">
        <v>10</v>
      </c>
      <c r="H30" t="s">
        <v>173</v>
      </c>
      <c r="I30" t="s">
        <v>689</v>
      </c>
      <c r="J30" t="s">
        <v>780</v>
      </c>
      <c r="K30" s="42">
        <f>INDEX('BEA Data'!C:C,MATCH(TRIM('U.S. Data for ISIC Splits'!I30),'BEA Data'!E:E,0))</f>
        <v>454357</v>
      </c>
      <c r="L30" s="42" cm="1">
        <f t="array" ref="L30">INDEX('BEA Data'!C:C,MATCH(TRIM('U.S. Data for ISIC Splits'!I30),'BEA Data'!E:E,0)+1)</f>
        <v>103431</v>
      </c>
      <c r="M30" s="42" cm="1">
        <f t="array" ref="M30">INDEX('BEA Data'!C:C,MATCH(TRIM('U.S. Data for ISIC Splits'!I30),'BEA Data'!E:E,0)+2)</f>
        <v>85222</v>
      </c>
      <c r="N30" s="42" cm="1">
        <f t="array" ref="N30">INDEX('BEA Data'!C:C,MATCH(TRIM('U.S. Data for ISIC Splits'!I30),'BEA Data'!E:E,0)+3)</f>
        <v>265705</v>
      </c>
    </row>
    <row r="31" spans="2:14" x14ac:dyDescent="0.35">
      <c r="B31">
        <v>11</v>
      </c>
      <c r="C31" t="s">
        <v>176</v>
      </c>
      <c r="D31" s="42">
        <v>26473</v>
      </c>
      <c r="E31" s="42" t="s">
        <v>10</v>
      </c>
      <c r="H31" t="s">
        <v>175</v>
      </c>
      <c r="I31" t="s">
        <v>690</v>
      </c>
      <c r="J31" t="s">
        <v>26</v>
      </c>
      <c r="K31" s="42">
        <f>INDEX('BEA Data'!C:C,MATCH(TRIM('U.S. Data for ISIC Splits'!I31),'BEA Data'!E:E,0))</f>
        <v>1305402</v>
      </c>
      <c r="L31" s="42" cm="1">
        <f t="array" ref="L31">INDEX('BEA Data'!C:C,MATCH(TRIM('U.S. Data for ISIC Splits'!I31),'BEA Data'!E:E,0)+1)</f>
        <v>799308</v>
      </c>
      <c r="M31" s="42" cm="1">
        <f t="array" ref="M31">INDEX('BEA Data'!C:C,MATCH(TRIM('U.S. Data for ISIC Splits'!I31),'BEA Data'!E:E,0)+2)</f>
        <v>14907</v>
      </c>
      <c r="N31" s="42" cm="1">
        <f t="array" ref="N31">INDEX('BEA Data'!C:C,MATCH(TRIM('U.S. Data for ISIC Splits'!I31),'BEA Data'!E:E,0)+3)</f>
        <v>491187</v>
      </c>
    </row>
    <row r="32" spans="2:14" x14ac:dyDescent="0.35">
      <c r="B32">
        <v>12</v>
      </c>
      <c r="C32" t="s">
        <v>178</v>
      </c>
      <c r="D32" s="42">
        <v>9657</v>
      </c>
      <c r="E32" s="42" t="s">
        <v>10</v>
      </c>
      <c r="H32" t="s">
        <v>177</v>
      </c>
      <c r="I32" t="s">
        <v>691</v>
      </c>
      <c r="K32" s="42">
        <f>INDEX('BEA Data'!C:C,MATCH(TRIM('U.S. Data for ISIC Splits'!I32),'BEA Data'!E:E,0))</f>
        <v>2880724</v>
      </c>
      <c r="L32" s="42" cm="1">
        <f t="array" ref="L32">INDEX('BEA Data'!C:C,MATCH(TRIM('U.S. Data for ISIC Splits'!I32),'BEA Data'!E:E,0)+1)</f>
        <v>1359135</v>
      </c>
      <c r="M32" s="42" cm="1">
        <f t="array" ref="M32">INDEX('BEA Data'!C:C,MATCH(TRIM('U.S. Data for ISIC Splits'!I32),'BEA Data'!E:E,0)+2)</f>
        <v>106009</v>
      </c>
      <c r="N32" s="42" cm="1">
        <f t="array" ref="N32">INDEX('BEA Data'!C:C,MATCH(TRIM('U.S. Data for ISIC Splits'!I32),'BEA Data'!E:E,0)+3)</f>
        <v>1415581</v>
      </c>
    </row>
    <row r="33" spans="2:14" x14ac:dyDescent="0.35">
      <c r="B33">
        <v>13</v>
      </c>
      <c r="C33" t="s">
        <v>180</v>
      </c>
      <c r="D33" s="42">
        <v>32009</v>
      </c>
      <c r="E33" s="42" t="s">
        <v>10</v>
      </c>
      <c r="H33" t="s">
        <v>179</v>
      </c>
      <c r="I33" t="s">
        <v>692</v>
      </c>
      <c r="K33" s="42">
        <f>INDEX('BEA Data'!C:C,MATCH(TRIM('U.S. Data for ISIC Splits'!I33),'BEA Data'!E:E,0))</f>
        <v>1524841</v>
      </c>
      <c r="L33" s="42" cm="1">
        <f t="array" ref="L33">INDEX('BEA Data'!C:C,MATCH(TRIM('U.S. Data for ISIC Splits'!I33),'BEA Data'!E:E,0)+1)</f>
        <v>893038</v>
      </c>
      <c r="M33" s="42" cm="1">
        <f t="array" ref="M33">INDEX('BEA Data'!C:C,MATCH(TRIM('U.S. Data for ISIC Splits'!I33),'BEA Data'!E:E,0)+2)</f>
        <v>43401</v>
      </c>
      <c r="N33" s="42" cm="1">
        <f t="array" ref="N33">INDEX('BEA Data'!C:C,MATCH(TRIM('U.S. Data for ISIC Splits'!I33),'BEA Data'!E:E,0)+3)</f>
        <v>588402</v>
      </c>
    </row>
    <row r="34" spans="2:14" x14ac:dyDescent="0.35">
      <c r="B34">
        <v>14</v>
      </c>
      <c r="C34" s="44" t="s">
        <v>99</v>
      </c>
      <c r="D34" s="42">
        <v>455994</v>
      </c>
      <c r="E34" s="42" t="s">
        <v>102</v>
      </c>
      <c r="F34" t="s">
        <v>182</v>
      </c>
      <c r="H34" t="s">
        <v>181</v>
      </c>
      <c r="I34" t="s">
        <v>693</v>
      </c>
      <c r="J34" t="s">
        <v>15</v>
      </c>
      <c r="K34" s="42">
        <f>INDEX('BEA Data'!C:C,MATCH(TRIM('U.S. Data for ISIC Splits'!I34),'BEA Data'!E:E,0))</f>
        <v>60171</v>
      </c>
      <c r="L34" s="42" cm="1">
        <f t="array" ref="L34">INDEX('BEA Data'!C:C,MATCH(TRIM('U.S. Data for ISIC Splits'!I34),'BEA Data'!E:E,0)+1)</f>
        <v>32297</v>
      </c>
      <c r="M34" s="42" cm="1">
        <f t="array" ref="M34">INDEX('BEA Data'!C:C,MATCH(TRIM('U.S. Data for ISIC Splits'!I34),'BEA Data'!E:E,0)+2)</f>
        <v>1132</v>
      </c>
      <c r="N34" s="42" cm="1">
        <f t="array" ref="N34">INDEX('BEA Data'!C:C,MATCH(TRIM('U.S. Data for ISIC Splits'!I34),'BEA Data'!E:E,0)+3)</f>
        <v>26742</v>
      </c>
    </row>
    <row r="35" spans="2:14" x14ac:dyDescent="0.35">
      <c r="B35">
        <v>15</v>
      </c>
      <c r="C35" s="45" t="s">
        <v>184</v>
      </c>
      <c r="D35" s="42">
        <v>46019</v>
      </c>
      <c r="E35" s="42" t="s">
        <v>101</v>
      </c>
      <c r="F35" t="s">
        <v>185</v>
      </c>
      <c r="H35" t="s">
        <v>183</v>
      </c>
      <c r="I35" t="s">
        <v>694</v>
      </c>
      <c r="J35" t="s">
        <v>695</v>
      </c>
      <c r="K35" s="42">
        <f>INDEX('BEA Data'!C:C,MATCH(TRIM('U.S. Data for ISIC Splits'!I35),'BEA Data'!E:E,0))</f>
        <v>77516</v>
      </c>
      <c r="L35" s="42" cm="1">
        <f t="array" ref="L35">INDEX('BEA Data'!C:C,MATCH(TRIM('U.S. Data for ISIC Splits'!I35),'BEA Data'!E:E,0)+1)</f>
        <v>38942</v>
      </c>
      <c r="M35" s="42" cm="1">
        <f t="array" ref="M35">INDEX('BEA Data'!C:C,MATCH(TRIM('U.S. Data for ISIC Splits'!I35),'BEA Data'!E:E,0)+2)</f>
        <v>2209</v>
      </c>
      <c r="N35" s="42" cm="1">
        <f t="array" ref="N35">INDEX('BEA Data'!C:C,MATCH(TRIM('U.S. Data for ISIC Splits'!I35),'BEA Data'!E:E,0)+3)</f>
        <v>36365</v>
      </c>
    </row>
    <row r="36" spans="2:14" x14ac:dyDescent="0.35">
      <c r="B36">
        <v>16</v>
      </c>
      <c r="C36" t="s">
        <v>187</v>
      </c>
      <c r="D36" s="42">
        <v>17136</v>
      </c>
      <c r="E36" s="42" t="s">
        <v>11</v>
      </c>
      <c r="H36" t="s">
        <v>186</v>
      </c>
      <c r="I36" t="s">
        <v>696</v>
      </c>
      <c r="J36" t="s">
        <v>698</v>
      </c>
      <c r="K36" s="42">
        <f>INDEX('BEA Data'!C:C,MATCH(TRIM('U.S. Data for ISIC Splits'!I36),'BEA Data'!E:E,0))</f>
        <v>76516</v>
      </c>
      <c r="L36" s="42" cm="1">
        <f t="array" ref="L36">INDEX('BEA Data'!C:C,MATCH(TRIM('U.S. Data for ISIC Splits'!I36),'BEA Data'!E:E,0)+1)</f>
        <v>41277</v>
      </c>
      <c r="M36" s="42" cm="1">
        <f t="array" ref="M36">INDEX('BEA Data'!C:C,MATCH(TRIM('U.S. Data for ISIC Splits'!I36),'BEA Data'!E:E,0)+2)</f>
        <v>3553</v>
      </c>
      <c r="N36" s="42" cm="1">
        <f t="array" ref="N36">INDEX('BEA Data'!C:C,MATCH(TRIM('U.S. Data for ISIC Splits'!I36),'BEA Data'!E:E,0)+3)</f>
        <v>31686</v>
      </c>
    </row>
    <row r="37" spans="2:14" x14ac:dyDescent="0.35">
      <c r="B37">
        <v>17</v>
      </c>
      <c r="C37" t="s">
        <v>189</v>
      </c>
      <c r="D37" s="42">
        <v>23469</v>
      </c>
      <c r="E37" s="42" t="s">
        <v>11</v>
      </c>
      <c r="H37" t="s">
        <v>188</v>
      </c>
      <c r="I37" t="s">
        <v>697</v>
      </c>
      <c r="J37" t="s">
        <v>19</v>
      </c>
      <c r="K37" s="42">
        <f>INDEX('BEA Data'!C:C,MATCH(TRIM('U.S. Data for ISIC Splits'!I37),'BEA Data'!E:E,0))</f>
        <v>190535</v>
      </c>
      <c r="L37" s="42" cm="1">
        <f t="array" ref="L37">INDEX('BEA Data'!C:C,MATCH(TRIM('U.S. Data for ISIC Splits'!I37),'BEA Data'!E:E,0)+1)</f>
        <v>128099</v>
      </c>
      <c r="M37" s="42" cm="1">
        <f t="array" ref="M37">INDEX('BEA Data'!C:C,MATCH(TRIM('U.S. Data for ISIC Splits'!I37),'BEA Data'!E:E,0)+2)</f>
        <v>5721</v>
      </c>
      <c r="N37" s="42" cm="1">
        <f t="array" ref="N37">INDEX('BEA Data'!C:C,MATCH(TRIM('U.S. Data for ISIC Splits'!I37),'BEA Data'!E:E,0)+3)</f>
        <v>56715</v>
      </c>
    </row>
    <row r="38" spans="2:14" x14ac:dyDescent="0.35">
      <c r="B38">
        <v>18</v>
      </c>
      <c r="C38" t="s">
        <v>191</v>
      </c>
      <c r="D38" s="42">
        <v>27727</v>
      </c>
      <c r="E38" s="42" t="s">
        <v>11</v>
      </c>
      <c r="H38" t="s">
        <v>190</v>
      </c>
      <c r="I38" t="s">
        <v>699</v>
      </c>
      <c r="J38" t="s">
        <v>22</v>
      </c>
      <c r="K38" s="42">
        <f>INDEX('BEA Data'!C:C,MATCH(TRIM('U.S. Data for ISIC Splits'!I38),'BEA Data'!E:E,0))</f>
        <v>208621</v>
      </c>
      <c r="L38" s="42" cm="1">
        <f t="array" ref="L38">INDEX('BEA Data'!C:C,MATCH(TRIM('U.S. Data for ISIC Splits'!I38),'BEA Data'!E:E,0)+1)</f>
        <v>120012</v>
      </c>
      <c r="M38" s="42" cm="1">
        <f t="array" ref="M38">INDEX('BEA Data'!C:C,MATCH(TRIM('U.S. Data for ISIC Splits'!I38),'BEA Data'!E:E,0)+2)</f>
        <v>5159</v>
      </c>
      <c r="N38" s="42" cm="1">
        <f t="array" ref="N38">INDEX('BEA Data'!C:C,MATCH(TRIM('U.S. Data for ISIC Splits'!I38),'BEA Data'!E:E,0)+3)</f>
        <v>83450</v>
      </c>
    </row>
    <row r="39" spans="2:14" x14ac:dyDescent="0.35">
      <c r="B39">
        <v>19</v>
      </c>
      <c r="C39" t="s">
        <v>193</v>
      </c>
      <c r="D39" s="42">
        <v>25501</v>
      </c>
      <c r="E39" s="42" t="s">
        <v>11</v>
      </c>
      <c r="H39" t="s">
        <v>192</v>
      </c>
      <c r="I39" t="s">
        <v>700</v>
      </c>
      <c r="J39" t="s">
        <v>20</v>
      </c>
      <c r="K39" s="42">
        <f>INDEX('BEA Data'!C:C,MATCH(TRIM('U.S. Data for ISIC Splits'!I39),'BEA Data'!E:E,0))</f>
        <v>299783</v>
      </c>
      <c r="L39" s="42" cm="1">
        <f t="array" ref="L39">INDEX('BEA Data'!C:C,MATCH(TRIM('U.S. Data for ISIC Splits'!I39),'BEA Data'!E:E,0)+1)</f>
        <v>187376</v>
      </c>
      <c r="M39" s="42" cm="1">
        <f t="array" ref="M39">INDEX('BEA Data'!C:C,MATCH(TRIM('U.S. Data for ISIC Splits'!I39),'BEA Data'!E:E,0)+2)</f>
        <v>11837</v>
      </c>
      <c r="N39" s="42" cm="1">
        <f t="array" ref="N39">INDEX('BEA Data'!C:C,MATCH(TRIM('U.S. Data for ISIC Splits'!I39),'BEA Data'!E:E,0)+3)</f>
        <v>100569</v>
      </c>
    </row>
    <row r="40" spans="2:14" x14ac:dyDescent="0.35">
      <c r="B40">
        <v>20</v>
      </c>
      <c r="C40" t="s">
        <v>195</v>
      </c>
      <c r="D40" s="42">
        <v>18933</v>
      </c>
      <c r="E40" s="42" t="s">
        <v>12</v>
      </c>
      <c r="H40" t="s">
        <v>194</v>
      </c>
      <c r="I40" t="s">
        <v>701</v>
      </c>
      <c r="J40" t="s">
        <v>21</v>
      </c>
      <c r="K40" s="42">
        <f>INDEX('BEA Data'!C:C,MATCH(TRIM('U.S. Data for ISIC Splits'!I40),'BEA Data'!E:E,0))</f>
        <v>80171</v>
      </c>
      <c r="L40" s="42" cm="1">
        <f t="array" ref="L40">INDEX('BEA Data'!C:C,MATCH(TRIM('U.S. Data for ISIC Splits'!I40),'BEA Data'!E:E,0)+1)</f>
        <v>47290</v>
      </c>
      <c r="M40" s="42" cm="1">
        <f t="array" ref="M40">INDEX('BEA Data'!C:C,MATCH(TRIM('U.S. Data for ISIC Splits'!I40),'BEA Data'!E:E,0)+2)</f>
        <v>1139</v>
      </c>
      <c r="N40" s="42" cm="1">
        <f t="array" ref="N40">INDEX('BEA Data'!C:C,MATCH(TRIM('U.S. Data for ISIC Splits'!I40),'BEA Data'!E:E,0)+3)</f>
        <v>31742</v>
      </c>
    </row>
    <row r="41" spans="2:14" x14ac:dyDescent="0.35">
      <c r="B41">
        <v>21</v>
      </c>
      <c r="C41" t="s">
        <v>197</v>
      </c>
      <c r="D41" s="42">
        <v>91628</v>
      </c>
      <c r="E41" s="42" t="s">
        <v>12</v>
      </c>
      <c r="H41" t="s">
        <v>196</v>
      </c>
      <c r="I41" t="s">
        <v>702</v>
      </c>
      <c r="J41" t="s">
        <v>23</v>
      </c>
      <c r="K41" s="42">
        <f>INDEX('BEA Data'!C:C,MATCH(TRIM('U.S. Data for ISIC Splits'!I41),'BEA Data'!E:E,0))</f>
        <v>185854</v>
      </c>
      <c r="L41" s="42" cm="1">
        <f t="array" ref="L41">INDEX('BEA Data'!C:C,MATCH(TRIM('U.S. Data for ISIC Splits'!I41),'BEA Data'!E:E,0)+1)</f>
        <v>96593</v>
      </c>
      <c r="M41" s="42" cm="1">
        <f t="array" ref="M41">INDEX('BEA Data'!C:C,MATCH(TRIM('U.S. Data for ISIC Splits'!I41),'BEA Data'!E:E,0)+2)</f>
        <v>5277</v>
      </c>
      <c r="N41" s="42" cm="1">
        <f t="array" ref="N41">INDEX('BEA Data'!C:C,MATCH(TRIM('U.S. Data for ISIC Splits'!I41),'BEA Data'!E:E,0)+3)</f>
        <v>83984</v>
      </c>
    </row>
    <row r="42" spans="2:14" x14ac:dyDescent="0.35">
      <c r="B42">
        <v>22</v>
      </c>
      <c r="C42" s="46" t="s">
        <v>199</v>
      </c>
      <c r="D42" s="42">
        <v>4372</v>
      </c>
      <c r="E42" s="42" t="s">
        <v>668</v>
      </c>
      <c r="F42" t="s">
        <v>200</v>
      </c>
      <c r="H42" t="s">
        <v>198</v>
      </c>
      <c r="I42" t="s">
        <v>703</v>
      </c>
      <c r="J42" t="s">
        <v>24</v>
      </c>
      <c r="K42" s="42">
        <f>INDEX('BEA Data'!C:C,MATCH(TRIM('U.S. Data for ISIC Splits'!I42),'BEA Data'!E:E,0))</f>
        <v>197330</v>
      </c>
      <c r="L42" s="42" cm="1">
        <f t="array" ref="L42">INDEX('BEA Data'!C:C,MATCH(TRIM('U.S. Data for ISIC Splits'!I42),'BEA Data'!E:E,0)+1)</f>
        <v>106326</v>
      </c>
      <c r="M42" s="42" cm="1">
        <f t="array" ref="M42">INDEX('BEA Data'!C:C,MATCH(TRIM('U.S. Data for ISIC Splits'!I42),'BEA Data'!E:E,0)+2)</f>
        <v>4107</v>
      </c>
      <c r="N42" s="42" cm="1">
        <f t="array" ref="N42">INDEX('BEA Data'!C:C,MATCH(TRIM('U.S. Data for ISIC Splits'!I42),'BEA Data'!E:E,0)+3)</f>
        <v>86897</v>
      </c>
    </row>
    <row r="43" spans="2:14" x14ac:dyDescent="0.35">
      <c r="B43">
        <v>23</v>
      </c>
      <c r="C43" s="46" t="s">
        <v>202</v>
      </c>
      <c r="D43" s="42">
        <v>96665</v>
      </c>
      <c r="E43" s="42" t="s">
        <v>668</v>
      </c>
      <c r="F43" t="s">
        <v>200</v>
      </c>
      <c r="H43" t="s">
        <v>201</v>
      </c>
      <c r="I43" t="s">
        <v>704</v>
      </c>
      <c r="J43" t="s">
        <v>25</v>
      </c>
      <c r="K43" s="42">
        <f>INDEX('BEA Data'!C:C,MATCH(TRIM('U.S. Data for ISIC Splits'!I43),'BEA Data'!E:E,0))</f>
        <v>34448</v>
      </c>
      <c r="L43" s="42" cm="1">
        <f t="array" ref="L43">INDEX('BEA Data'!C:C,MATCH(TRIM('U.S. Data for ISIC Splits'!I43),'BEA Data'!E:E,0)+1)</f>
        <v>25178</v>
      </c>
      <c r="M43" s="42" cm="1">
        <f t="array" ref="M43">INDEX('BEA Data'!C:C,MATCH(TRIM('U.S. Data for ISIC Splits'!I43),'BEA Data'!E:E,0)+2)</f>
        <v>584</v>
      </c>
      <c r="N43" s="42" cm="1">
        <f t="array" ref="N43">INDEX('BEA Data'!C:C,MATCH(TRIM('U.S. Data for ISIC Splits'!I43),'BEA Data'!E:E,0)+3)</f>
        <v>8686</v>
      </c>
    </row>
    <row r="44" spans="2:14" x14ac:dyDescent="0.35">
      <c r="B44">
        <v>24</v>
      </c>
      <c r="C44" s="46" t="s">
        <v>204</v>
      </c>
      <c r="D44" s="42">
        <v>36967</v>
      </c>
      <c r="E44" s="42" t="s">
        <v>668</v>
      </c>
      <c r="F44" t="s">
        <v>200</v>
      </c>
      <c r="H44" t="s">
        <v>203</v>
      </c>
      <c r="I44" t="s">
        <v>705</v>
      </c>
      <c r="J44" t="s">
        <v>25</v>
      </c>
      <c r="K44" s="42">
        <f>INDEX('BEA Data'!C:C,MATCH(TRIM('U.S. Data for ISIC Splits'!I44),'BEA Data'!E:E,0))</f>
        <v>113897</v>
      </c>
      <c r="L44" s="42" cm="1">
        <f t="array" ref="L44">INDEX('BEA Data'!C:C,MATCH(TRIM('U.S. Data for ISIC Splits'!I44),'BEA Data'!E:E,0)+1)</f>
        <v>69647</v>
      </c>
      <c r="M44" s="42" cm="1">
        <f t="array" ref="M44">INDEX('BEA Data'!C:C,MATCH(TRIM('U.S. Data for ISIC Splits'!I44),'BEA Data'!E:E,0)+2)</f>
        <v>2683</v>
      </c>
      <c r="N44" s="42" cm="1">
        <f t="array" ref="N44">INDEX('BEA Data'!C:C,MATCH(TRIM('U.S. Data for ISIC Splits'!I44),'BEA Data'!E:E,0)+3)</f>
        <v>41566</v>
      </c>
    </row>
    <row r="45" spans="2:14" x14ac:dyDescent="0.35">
      <c r="B45">
        <v>25</v>
      </c>
      <c r="C45" s="46" t="s">
        <v>206</v>
      </c>
      <c r="D45" s="42">
        <v>2569</v>
      </c>
      <c r="E45" s="42" t="s">
        <v>668</v>
      </c>
      <c r="F45" t="s">
        <v>200</v>
      </c>
      <c r="H45" t="s">
        <v>205</v>
      </c>
      <c r="I45" t="s">
        <v>706</v>
      </c>
      <c r="K45" s="42">
        <f>INDEX('BEA Data'!C:C,MATCH(TRIM('U.S. Data for ISIC Splits'!I45),'BEA Data'!E:E,0))</f>
        <v>1355884</v>
      </c>
      <c r="L45" s="42" cm="1">
        <f t="array" ref="L45">INDEX('BEA Data'!C:C,MATCH(TRIM('U.S. Data for ISIC Splits'!I45),'BEA Data'!E:E,0)+1)</f>
        <v>466097</v>
      </c>
      <c r="M45" s="42" cm="1">
        <f t="array" ref="M45">INDEX('BEA Data'!C:C,MATCH(TRIM('U.S. Data for ISIC Splits'!I45),'BEA Data'!E:E,0)+2)</f>
        <v>62608</v>
      </c>
      <c r="N45" s="42" cm="1">
        <f t="array" ref="N45">INDEX('BEA Data'!C:C,MATCH(TRIM('U.S. Data for ISIC Splits'!I45),'BEA Data'!E:E,0)+3)</f>
        <v>827179</v>
      </c>
    </row>
    <row r="46" spans="2:14" x14ac:dyDescent="0.35">
      <c r="B46">
        <v>26</v>
      </c>
      <c r="C46" s="46" t="s">
        <v>208</v>
      </c>
      <c r="D46" s="42">
        <v>10114</v>
      </c>
      <c r="E46" s="42" t="s">
        <v>668</v>
      </c>
      <c r="F46" t="s">
        <v>200</v>
      </c>
      <c r="H46" t="s">
        <v>207</v>
      </c>
      <c r="I46" t="s">
        <v>707</v>
      </c>
      <c r="J46" t="s">
        <v>13</v>
      </c>
      <c r="K46" s="42">
        <f>INDEX('BEA Data'!C:C,MATCH(TRIM('U.S. Data for ISIC Splits'!I46),'BEA Data'!E:E,0))</f>
        <v>360176</v>
      </c>
      <c r="L46" s="42" cm="1">
        <f t="array" ref="L46">INDEX('BEA Data'!C:C,MATCH(TRIM('U.S. Data for ISIC Splits'!I46),'BEA Data'!E:E,0)+1)</f>
        <v>160356</v>
      </c>
      <c r="M46" s="42" cm="1">
        <f t="array" ref="M46">INDEX('BEA Data'!C:C,MATCH(TRIM('U.S. Data for ISIC Splits'!I46),'BEA Data'!E:E,0)+2)</f>
        <v>23601</v>
      </c>
      <c r="N46" s="42" cm="1">
        <f t="array" ref="N46">INDEX('BEA Data'!C:C,MATCH(TRIM('U.S. Data for ISIC Splits'!I46),'BEA Data'!E:E,0)+3)</f>
        <v>176219</v>
      </c>
    </row>
    <row r="47" spans="2:14" x14ac:dyDescent="0.35">
      <c r="B47">
        <v>27</v>
      </c>
      <c r="C47" s="46" t="s">
        <v>210</v>
      </c>
      <c r="D47" s="42">
        <v>1393</v>
      </c>
      <c r="E47" s="42" t="s">
        <v>668</v>
      </c>
      <c r="F47" t="s">
        <v>200</v>
      </c>
      <c r="H47" t="s">
        <v>209</v>
      </c>
      <c r="I47" t="s">
        <v>708</v>
      </c>
      <c r="J47" t="s">
        <v>14</v>
      </c>
      <c r="K47" s="42">
        <f>INDEX('BEA Data'!C:C,MATCH(TRIM('U.S. Data for ISIC Splits'!I47),'BEA Data'!E:E,0))</f>
        <v>16316</v>
      </c>
      <c r="L47" s="42" cm="1">
        <f t="array" ref="L47">INDEX('BEA Data'!C:C,MATCH(TRIM('U.S. Data for ISIC Splits'!I47),'BEA Data'!E:E,0)+1)</f>
        <v>12641</v>
      </c>
      <c r="M47" s="42" cm="1">
        <f t="array" ref="M47">INDEX('BEA Data'!C:C,MATCH(TRIM('U.S. Data for ISIC Splits'!I47),'BEA Data'!E:E,0)+2)</f>
        <v>810</v>
      </c>
      <c r="N47" s="42" cm="1">
        <f t="array" ref="N47">INDEX('BEA Data'!C:C,MATCH(TRIM('U.S. Data for ISIC Splits'!I47),'BEA Data'!E:E,0)+3)</f>
        <v>2865</v>
      </c>
    </row>
    <row r="48" spans="2:14" x14ac:dyDescent="0.35">
      <c r="B48">
        <v>28</v>
      </c>
      <c r="C48" s="46" t="s">
        <v>212</v>
      </c>
      <c r="D48" s="42">
        <v>1686</v>
      </c>
      <c r="E48" s="42" t="s">
        <v>668</v>
      </c>
      <c r="F48" t="s">
        <v>200</v>
      </c>
      <c r="H48" t="s">
        <v>211</v>
      </c>
      <c r="I48" t="s">
        <v>709</v>
      </c>
      <c r="J48" t="s">
        <v>14</v>
      </c>
      <c r="K48" s="42">
        <f>INDEX('BEA Data'!C:C,MATCH(TRIM('U.S. Data for ISIC Splits'!I48),'BEA Data'!E:E,0))</f>
        <v>12453</v>
      </c>
      <c r="L48" s="42" cm="1">
        <f t="array" ref="L48">INDEX('BEA Data'!C:C,MATCH(TRIM('U.S. Data for ISIC Splits'!I48),'BEA Data'!E:E,0)+1)</f>
        <v>7740</v>
      </c>
      <c r="M48" s="42" cm="1">
        <f t="array" ref="M48">INDEX('BEA Data'!C:C,MATCH(TRIM('U.S. Data for ISIC Splits'!I48),'BEA Data'!E:E,0)+2)</f>
        <v>403</v>
      </c>
      <c r="N48" s="42" cm="1">
        <f t="array" ref="N48">INDEX('BEA Data'!C:C,MATCH(TRIM('U.S. Data for ISIC Splits'!I48),'BEA Data'!E:E,0)+3)</f>
        <v>4310</v>
      </c>
    </row>
    <row r="49" spans="2:14" x14ac:dyDescent="0.35">
      <c r="B49">
        <v>29</v>
      </c>
      <c r="C49" s="46" t="s">
        <v>214</v>
      </c>
      <c r="D49" s="42">
        <v>197</v>
      </c>
      <c r="E49" s="42" t="s">
        <v>668</v>
      </c>
      <c r="F49" t="s">
        <v>200</v>
      </c>
      <c r="H49" t="s">
        <v>213</v>
      </c>
      <c r="I49" t="s">
        <v>710</v>
      </c>
      <c r="J49" t="s">
        <v>16</v>
      </c>
      <c r="K49" s="42">
        <f>INDEX('BEA Data'!C:C,MATCH(TRIM('U.S. Data for ISIC Splits'!I49),'BEA Data'!E:E,0))</f>
        <v>74433</v>
      </c>
      <c r="L49" s="42" cm="1">
        <f t="array" ref="L49">INDEX('BEA Data'!C:C,MATCH(TRIM('U.S. Data for ISIC Splits'!I49),'BEA Data'!E:E,0)+1)</f>
        <v>36515</v>
      </c>
      <c r="M49" s="42" cm="1">
        <f t="array" ref="M49">INDEX('BEA Data'!C:C,MATCH(TRIM('U.S. Data for ISIC Splits'!I49),'BEA Data'!E:E,0)+2)</f>
        <v>2505</v>
      </c>
      <c r="N49" s="42" cm="1">
        <f t="array" ref="N49">INDEX('BEA Data'!C:C,MATCH(TRIM('U.S. Data for ISIC Splits'!I49),'BEA Data'!E:E,0)+3)</f>
        <v>35413</v>
      </c>
    </row>
    <row r="50" spans="2:14" x14ac:dyDescent="0.35">
      <c r="B50">
        <v>30</v>
      </c>
      <c r="C50" s="46" t="s">
        <v>216</v>
      </c>
      <c r="D50" s="42">
        <v>21051</v>
      </c>
      <c r="E50" s="42" t="s">
        <v>668</v>
      </c>
      <c r="F50" t="s">
        <v>200</v>
      </c>
      <c r="H50" t="s">
        <v>215</v>
      </c>
      <c r="I50" t="s">
        <v>711</v>
      </c>
      <c r="J50" t="s">
        <v>16</v>
      </c>
      <c r="K50" s="42">
        <f>INDEX('BEA Data'!C:C,MATCH(TRIM('U.S. Data for ISIC Splits'!I50),'BEA Data'!E:E,0))</f>
        <v>41301</v>
      </c>
      <c r="L50" s="42" cm="1">
        <f t="array" ref="L50">INDEX('BEA Data'!C:C,MATCH(TRIM('U.S. Data for ISIC Splits'!I50),'BEA Data'!E:E,0)+1)</f>
        <v>26845</v>
      </c>
      <c r="M50" s="42" cm="1">
        <f t="array" ref="M50">INDEX('BEA Data'!C:C,MATCH(TRIM('U.S. Data for ISIC Splits'!I50),'BEA Data'!E:E,0)+2)</f>
        <v>1058</v>
      </c>
      <c r="N50" s="42" cm="1">
        <f t="array" ref="N50">INDEX('BEA Data'!C:C,MATCH(TRIM('U.S. Data for ISIC Splits'!I50),'BEA Data'!E:E,0)+3)</f>
        <v>13399</v>
      </c>
    </row>
    <row r="51" spans="2:14" x14ac:dyDescent="0.35">
      <c r="B51">
        <v>31</v>
      </c>
      <c r="C51" s="46" t="s">
        <v>218</v>
      </c>
      <c r="D51" s="42">
        <v>327897</v>
      </c>
      <c r="E51" s="42" t="s">
        <v>668</v>
      </c>
      <c r="F51" t="s">
        <v>200</v>
      </c>
      <c r="H51" t="s">
        <v>217</v>
      </c>
      <c r="I51" t="s">
        <v>712</v>
      </c>
      <c r="J51" t="s">
        <v>17</v>
      </c>
      <c r="K51" s="42">
        <f>INDEX('BEA Data'!C:C,MATCH(TRIM('U.S. Data for ISIC Splits'!I51),'BEA Data'!E:E,0))</f>
        <v>195712</v>
      </c>
      <c r="L51" s="42" cm="1">
        <f t="array" ref="L51">INDEX('BEA Data'!C:C,MATCH(TRIM('U.S. Data for ISIC Splits'!I51),'BEA Data'!E:E,0)+1)</f>
        <v>22688</v>
      </c>
      <c r="M51" s="42" cm="1">
        <f t="array" ref="M51">INDEX('BEA Data'!C:C,MATCH(TRIM('U.S. Data for ISIC Splits'!I51),'BEA Data'!E:E,0)+2)</f>
        <v>6274</v>
      </c>
      <c r="N51" s="42" cm="1">
        <f t="array" ref="N51">INDEX('BEA Data'!C:C,MATCH(TRIM('U.S. Data for ISIC Splits'!I51),'BEA Data'!E:E,0)+3)</f>
        <v>166750</v>
      </c>
    </row>
    <row r="52" spans="2:14" x14ac:dyDescent="0.35">
      <c r="B52">
        <v>32</v>
      </c>
      <c r="C52" s="47" t="s">
        <v>220</v>
      </c>
      <c r="D52" s="42">
        <v>118202</v>
      </c>
      <c r="E52" s="42" t="s">
        <v>669</v>
      </c>
      <c r="F52" t="s">
        <v>221</v>
      </c>
      <c r="H52" t="s">
        <v>219</v>
      </c>
      <c r="I52" t="s">
        <v>713</v>
      </c>
      <c r="J52" t="s">
        <v>714</v>
      </c>
      <c r="K52" s="42">
        <f>INDEX('BEA Data'!C:C,MATCH(TRIM('U.S. Data for ISIC Splits'!I52),'BEA Data'!E:E,0))</f>
        <v>554021</v>
      </c>
      <c r="L52" s="42" cm="1">
        <f t="array" ref="L52">INDEX('BEA Data'!C:C,MATCH(TRIM('U.S. Data for ISIC Splits'!I52),'BEA Data'!E:E,0)+1)</f>
        <v>136974</v>
      </c>
      <c r="M52" s="42" cm="1">
        <f t="array" ref="M52">INDEX('BEA Data'!C:C,MATCH(TRIM('U.S. Data for ISIC Splits'!I52),'BEA Data'!E:E,0)+2)</f>
        <v>24681</v>
      </c>
      <c r="N52" s="42" cm="1">
        <f t="array" ref="N52">INDEX('BEA Data'!C:C,MATCH(TRIM('U.S. Data for ISIC Splits'!I52),'BEA Data'!E:E,0)+3)</f>
        <v>392366</v>
      </c>
    </row>
    <row r="53" spans="2:14" x14ac:dyDescent="0.35">
      <c r="B53">
        <v>33</v>
      </c>
      <c r="C53" s="17" t="s">
        <v>223</v>
      </c>
      <c r="D53" s="42">
        <v>22159</v>
      </c>
      <c r="E53" s="42" t="s">
        <v>670</v>
      </c>
      <c r="F53" t="s">
        <v>224</v>
      </c>
      <c r="H53" t="s">
        <v>222</v>
      </c>
      <c r="I53" t="s">
        <v>715</v>
      </c>
      <c r="J53" t="s">
        <v>18</v>
      </c>
      <c r="K53" s="42">
        <f>INDEX('BEA Data'!C:C,MATCH(TRIM('U.S. Data for ISIC Splits'!I53),'BEA Data'!E:E,0))</f>
        <v>101471</v>
      </c>
      <c r="L53" s="42" cm="1">
        <f t="array" ref="L53">INDEX('BEA Data'!C:C,MATCH(TRIM('U.S. Data for ISIC Splits'!I53),'BEA Data'!E:E,0)+1)</f>
        <v>62338</v>
      </c>
      <c r="M53" s="42" cm="1">
        <f t="array" ref="M53">INDEX('BEA Data'!C:C,MATCH(TRIM('U.S. Data for ISIC Splits'!I53),'BEA Data'!E:E,0)+2)</f>
        <v>3276</v>
      </c>
      <c r="N53" s="42" cm="1">
        <f t="array" ref="N53">INDEX('BEA Data'!C:C,MATCH(TRIM('U.S. Data for ISIC Splits'!I53),'BEA Data'!E:E,0)+3)</f>
        <v>35857</v>
      </c>
    </row>
    <row r="54" spans="2:14" x14ac:dyDescent="0.35">
      <c r="B54">
        <v>34</v>
      </c>
      <c r="C54" t="s">
        <v>226</v>
      </c>
      <c r="D54" s="42">
        <v>73390</v>
      </c>
      <c r="E54" s="42" t="s">
        <v>26</v>
      </c>
      <c r="H54" t="s">
        <v>225</v>
      </c>
      <c r="I54" t="s">
        <v>716</v>
      </c>
      <c r="J54" t="s">
        <v>27</v>
      </c>
      <c r="K54" s="42">
        <f>INDEX('BEA Data'!C:C,MATCH(TRIM('U.S. Data for ISIC Splits'!I54),'BEA Data'!E:E,0))</f>
        <v>1706289</v>
      </c>
      <c r="L54" s="42" cm="1">
        <f t="array" ref="L54">INDEX('BEA Data'!C:C,MATCH(TRIM('U.S. Data for ISIC Splits'!I54),'BEA Data'!E:E,0)+1)</f>
        <v>733047</v>
      </c>
      <c r="M54" s="42" cm="1">
        <f t="array" ref="M54">INDEX('BEA Data'!C:C,MATCH(TRIM('U.S. Data for ISIC Splits'!I54),'BEA Data'!E:E,0)+2)</f>
        <v>328298</v>
      </c>
      <c r="N54" s="42" cm="1">
        <f t="array" ref="N54">INDEX('BEA Data'!C:C,MATCH(TRIM('U.S. Data for ISIC Splits'!I54),'BEA Data'!E:E,0)+3)</f>
        <v>644944</v>
      </c>
    </row>
    <row r="55" spans="2:14" x14ac:dyDescent="0.35">
      <c r="B55">
        <v>35</v>
      </c>
      <c r="C55" t="s">
        <v>228</v>
      </c>
      <c r="D55" s="42">
        <v>146059</v>
      </c>
      <c r="E55" s="42" t="s">
        <v>26</v>
      </c>
      <c r="H55" t="s">
        <v>227</v>
      </c>
      <c r="I55" t="s">
        <v>717</v>
      </c>
      <c r="K55" s="42">
        <f>INDEX('BEA Data'!C:C,MATCH(TRIM('U.S. Data for ISIC Splits'!I55),'BEA Data'!E:E,0))</f>
        <v>1849039</v>
      </c>
      <c r="L55" s="42" cm="1">
        <f t="array" ref="L55">INDEX('BEA Data'!C:C,MATCH(TRIM('U.S. Data for ISIC Splits'!I55),'BEA Data'!E:E,0)+1)</f>
        <v>846090</v>
      </c>
      <c r="M55" s="42" cm="1">
        <f t="array" ref="M55">INDEX('BEA Data'!C:C,MATCH(TRIM('U.S. Data for ISIC Splits'!I55),'BEA Data'!E:E,0)+2)</f>
        <v>338218</v>
      </c>
      <c r="N55" s="42" cm="1">
        <f t="array" ref="N55">INDEX('BEA Data'!C:C,MATCH(TRIM('U.S. Data for ISIC Splits'!I55),'BEA Data'!E:E,0)+3)</f>
        <v>664731</v>
      </c>
    </row>
    <row r="56" spans="2:14" x14ac:dyDescent="0.35">
      <c r="B56">
        <v>36</v>
      </c>
      <c r="C56" t="s">
        <v>230</v>
      </c>
      <c r="D56" s="42">
        <v>285660</v>
      </c>
      <c r="E56" s="42" t="s">
        <v>26</v>
      </c>
      <c r="H56" t="s">
        <v>229</v>
      </c>
      <c r="I56" t="s">
        <v>718</v>
      </c>
      <c r="J56" t="s">
        <v>27</v>
      </c>
      <c r="K56" s="42">
        <f>INDEX('BEA Data'!C:C,MATCH(TRIM('U.S. Data for ISIC Splits'!I56),'BEA Data'!E:E,0))</f>
        <v>356851</v>
      </c>
      <c r="L56" s="42" cm="1">
        <f t="array" ref="L56">INDEX('BEA Data'!C:C,MATCH(TRIM('U.S. Data for ISIC Splits'!I56),'BEA Data'!E:E,0)+1)</f>
        <v>172609</v>
      </c>
      <c r="M56" s="42" cm="1">
        <f t="array" ref="M56">INDEX('BEA Data'!C:C,MATCH(TRIM('U.S. Data for ISIC Splits'!I56),'BEA Data'!E:E,0)+2)</f>
        <v>70686</v>
      </c>
      <c r="N56" s="42" cm="1">
        <f t="array" ref="N56">INDEX('BEA Data'!C:C,MATCH(TRIM('U.S. Data for ISIC Splits'!I56),'BEA Data'!E:E,0)+3)</f>
        <v>113557</v>
      </c>
    </row>
    <row r="57" spans="2:14" x14ac:dyDescent="0.35">
      <c r="B57">
        <v>37</v>
      </c>
      <c r="C57" t="s">
        <v>232</v>
      </c>
      <c r="D57" s="42">
        <v>92630</v>
      </c>
      <c r="E57" s="42" t="s">
        <v>26</v>
      </c>
      <c r="H57" t="s">
        <v>231</v>
      </c>
      <c r="I57" t="s">
        <v>719</v>
      </c>
      <c r="J57" t="s">
        <v>27</v>
      </c>
      <c r="K57" s="42">
        <f>INDEX('BEA Data'!C:C,MATCH(TRIM('U.S. Data for ISIC Splits'!I57),'BEA Data'!E:E,0))</f>
        <v>236132</v>
      </c>
      <c r="L57" s="42" cm="1">
        <f t="array" ref="L57">INDEX('BEA Data'!C:C,MATCH(TRIM('U.S. Data for ISIC Splits'!I57),'BEA Data'!E:E,0)+1)</f>
        <v>138881</v>
      </c>
      <c r="M57" s="42" cm="1">
        <f t="array" ref="M57">INDEX('BEA Data'!C:C,MATCH(TRIM('U.S. Data for ISIC Splits'!I57),'BEA Data'!E:E,0)+2)</f>
        <v>37153</v>
      </c>
      <c r="N57" s="42" cm="1">
        <f t="array" ref="N57">INDEX('BEA Data'!C:C,MATCH(TRIM('U.S. Data for ISIC Splits'!I57),'BEA Data'!E:E,0)+3)</f>
        <v>60098</v>
      </c>
    </row>
    <row r="58" spans="2:14" x14ac:dyDescent="0.35">
      <c r="B58">
        <v>38</v>
      </c>
      <c r="C58" t="s">
        <v>234</v>
      </c>
      <c r="D58" s="42">
        <v>244750</v>
      </c>
      <c r="E58" s="42" t="s">
        <v>26</v>
      </c>
      <c r="H58" t="s">
        <v>233</v>
      </c>
      <c r="I58" t="s">
        <v>720</v>
      </c>
      <c r="J58" t="s">
        <v>27</v>
      </c>
      <c r="K58" s="42">
        <f>INDEX('BEA Data'!C:C,MATCH(TRIM('U.S. Data for ISIC Splits'!I58),'BEA Data'!E:E,0))</f>
        <v>224084</v>
      </c>
      <c r="L58" s="42" cm="1">
        <f t="array" ref="L58">INDEX('BEA Data'!C:C,MATCH(TRIM('U.S. Data for ISIC Splits'!I58),'BEA Data'!E:E,0)+1)</f>
        <v>126489</v>
      </c>
      <c r="M58" s="42" cm="1">
        <f t="array" ref="M58">INDEX('BEA Data'!C:C,MATCH(TRIM('U.S. Data for ISIC Splits'!I58),'BEA Data'!E:E,0)+2)</f>
        <v>57632</v>
      </c>
      <c r="N58" s="42" cm="1">
        <f t="array" ref="N58">INDEX('BEA Data'!C:C,MATCH(TRIM('U.S. Data for ISIC Splits'!I58),'BEA Data'!E:E,0)+3)</f>
        <v>39963</v>
      </c>
    </row>
    <row r="59" spans="2:14" x14ac:dyDescent="0.35">
      <c r="B59">
        <v>39</v>
      </c>
      <c r="C59" t="s">
        <v>236</v>
      </c>
      <c r="D59" s="42">
        <v>121220</v>
      </c>
      <c r="E59" s="42" t="s">
        <v>26</v>
      </c>
      <c r="H59" t="s">
        <v>235</v>
      </c>
      <c r="I59" t="s">
        <v>721</v>
      </c>
      <c r="J59" t="s">
        <v>27</v>
      </c>
      <c r="K59" s="42">
        <f>INDEX('BEA Data'!C:C,MATCH(TRIM('U.S. Data for ISIC Splits'!I59),'BEA Data'!E:E,0))</f>
        <v>1031973</v>
      </c>
      <c r="L59" s="42" cm="1">
        <f t="array" ref="L59">INDEX('BEA Data'!C:C,MATCH(TRIM('U.S. Data for ISIC Splits'!I59),'BEA Data'!E:E,0)+1)</f>
        <v>408112</v>
      </c>
      <c r="M59" s="42" cm="1">
        <f t="array" ref="M59">INDEX('BEA Data'!C:C,MATCH(TRIM('U.S. Data for ISIC Splits'!I59),'BEA Data'!E:E,0)+2)</f>
        <v>172747</v>
      </c>
      <c r="N59" s="42" cm="1">
        <f t="array" ref="N59">INDEX('BEA Data'!C:C,MATCH(TRIM('U.S. Data for ISIC Splits'!I59),'BEA Data'!E:E,0)+3)</f>
        <v>451114</v>
      </c>
    </row>
    <row r="60" spans="2:14" x14ac:dyDescent="0.35">
      <c r="B60">
        <v>40</v>
      </c>
      <c r="C60" t="s">
        <v>238</v>
      </c>
      <c r="D60" s="42">
        <v>420544</v>
      </c>
      <c r="E60" s="42" t="s">
        <v>26</v>
      </c>
      <c r="H60" t="s">
        <v>237</v>
      </c>
      <c r="I60" t="s">
        <v>722</v>
      </c>
      <c r="K60" s="42">
        <f>INDEX('BEA Data'!C:C,MATCH(TRIM('U.S. Data for ISIC Splits'!I60),'BEA Data'!E:E,0))</f>
        <v>987302</v>
      </c>
      <c r="L60" s="42" cm="1">
        <f t="array" ref="L60">INDEX('BEA Data'!C:C,MATCH(TRIM('U.S. Data for ISIC Splits'!I60),'BEA Data'!E:E,0)+1)</f>
        <v>577240</v>
      </c>
      <c r="M60" s="42" cm="1">
        <f t="array" ref="M60">INDEX('BEA Data'!C:C,MATCH(TRIM('U.S. Data for ISIC Splits'!I60),'BEA Data'!E:E,0)+2)</f>
        <v>54055</v>
      </c>
      <c r="N60" s="42" cm="1">
        <f t="array" ref="N60">INDEX('BEA Data'!C:C,MATCH(TRIM('U.S. Data for ISIC Splits'!I60),'BEA Data'!E:E,0)+3)</f>
        <v>356007</v>
      </c>
    </row>
    <row r="61" spans="2:14" x14ac:dyDescent="0.35">
      <c r="B61">
        <v>41</v>
      </c>
      <c r="C61" t="s">
        <v>240</v>
      </c>
      <c r="D61" s="42">
        <v>214762</v>
      </c>
      <c r="E61" s="42" t="s">
        <v>26</v>
      </c>
      <c r="H61" t="s">
        <v>239</v>
      </c>
      <c r="I61" t="s">
        <v>723</v>
      </c>
      <c r="J61" t="s">
        <v>28</v>
      </c>
      <c r="K61" s="42">
        <f>INDEX('BEA Data'!C:C,MATCH(TRIM('U.S. Data for ISIC Splits'!I61),'BEA Data'!E:E,0))</f>
        <v>175712</v>
      </c>
      <c r="L61" s="42" cm="1">
        <f t="array" ref="L61">INDEX('BEA Data'!C:C,MATCH(TRIM('U.S. Data for ISIC Splits'!I61),'BEA Data'!E:E,0)+1)</f>
        <v>88114</v>
      </c>
      <c r="M61" s="42" cm="1">
        <f t="array" ref="M61">INDEX('BEA Data'!C:C,MATCH(TRIM('U.S. Data for ISIC Splits'!I61),'BEA Data'!E:E,0)+2)</f>
        <v>34858</v>
      </c>
      <c r="N61" s="42" cm="1">
        <f t="array" ref="N61">INDEX('BEA Data'!C:C,MATCH(TRIM('U.S. Data for ISIC Splits'!I61),'BEA Data'!E:E,0)+3)</f>
        <v>52740</v>
      </c>
    </row>
    <row r="62" spans="2:14" x14ac:dyDescent="0.35">
      <c r="B62">
        <v>42</v>
      </c>
      <c r="C62" t="s">
        <v>242</v>
      </c>
      <c r="D62" s="42">
        <v>152595</v>
      </c>
      <c r="E62" s="42" t="s">
        <v>26</v>
      </c>
      <c r="H62" t="s">
        <v>241</v>
      </c>
      <c r="I62" t="s">
        <v>724</v>
      </c>
      <c r="J62" t="s">
        <v>28</v>
      </c>
      <c r="K62" s="42">
        <f>INDEX('BEA Data'!C:C,MATCH(TRIM('U.S. Data for ISIC Splits'!I62),'BEA Data'!E:E,0))</f>
        <v>53169</v>
      </c>
      <c r="L62" s="42" cm="1">
        <f t="array" ref="L62">INDEX('BEA Data'!C:C,MATCH(TRIM('U.S. Data for ISIC Splits'!I62),'BEA Data'!E:E,0)+1)</f>
        <v>26365</v>
      </c>
      <c r="M62" s="42" cm="1">
        <f t="array" ref="M62">INDEX('BEA Data'!C:C,MATCH(TRIM('U.S. Data for ISIC Splits'!I62),'BEA Data'!E:E,0)+2)</f>
        <v>-1855</v>
      </c>
      <c r="N62" s="42" cm="1">
        <f t="array" ref="N62">INDEX('BEA Data'!C:C,MATCH(TRIM('U.S. Data for ISIC Splits'!I62),'BEA Data'!E:E,0)+3)</f>
        <v>28659</v>
      </c>
    </row>
    <row r="63" spans="2:14" x14ac:dyDescent="0.35">
      <c r="B63">
        <v>43</v>
      </c>
      <c r="C63" t="s">
        <v>244</v>
      </c>
      <c r="D63" s="42">
        <v>149282</v>
      </c>
      <c r="E63" s="42" t="s">
        <v>26</v>
      </c>
      <c r="H63" t="s">
        <v>243</v>
      </c>
      <c r="I63" t="s">
        <v>725</v>
      </c>
      <c r="J63" t="s">
        <v>28</v>
      </c>
      <c r="K63" s="42">
        <f>INDEX('BEA Data'!C:C,MATCH(TRIM('U.S. Data for ISIC Splits'!I63),'BEA Data'!E:E,0))</f>
        <v>24335</v>
      </c>
      <c r="L63" s="42" cm="1">
        <f t="array" ref="L63">INDEX('BEA Data'!C:C,MATCH(TRIM('U.S. Data for ISIC Splits'!I63),'BEA Data'!E:E,0)+1)</f>
        <v>9882</v>
      </c>
      <c r="M63" s="42" cm="1">
        <f t="array" ref="M63">INDEX('BEA Data'!C:C,MATCH(TRIM('U.S. Data for ISIC Splits'!I63),'BEA Data'!E:E,0)+2)</f>
        <v>1529</v>
      </c>
      <c r="N63" s="42" cm="1">
        <f t="array" ref="N63">INDEX('BEA Data'!C:C,MATCH(TRIM('U.S. Data for ISIC Splits'!I63),'BEA Data'!E:E,0)+3)</f>
        <v>12924</v>
      </c>
    </row>
    <row r="64" spans="2:14" x14ac:dyDescent="0.35">
      <c r="B64">
        <v>44</v>
      </c>
      <c r="C64" t="s">
        <v>246</v>
      </c>
      <c r="D64" s="42">
        <v>415640</v>
      </c>
      <c r="E64" s="42" t="s">
        <v>26</v>
      </c>
      <c r="H64" t="s">
        <v>245</v>
      </c>
      <c r="I64" t="s">
        <v>726</v>
      </c>
      <c r="J64" t="s">
        <v>28</v>
      </c>
      <c r="K64" s="42">
        <f>INDEX('BEA Data'!C:C,MATCH(TRIM('U.S. Data for ISIC Splits'!I64),'BEA Data'!E:E,0))</f>
        <v>257356</v>
      </c>
      <c r="L64" s="42" cm="1">
        <f t="array" ref="L64">INDEX('BEA Data'!C:C,MATCH(TRIM('U.S. Data for ISIC Splits'!I64),'BEA Data'!E:E,0)+1)</f>
        <v>135191</v>
      </c>
      <c r="M64" s="42" cm="1">
        <f t="array" ref="M64">INDEX('BEA Data'!C:C,MATCH(TRIM('U.S. Data for ISIC Splits'!I64),'BEA Data'!E:E,0)+2)</f>
        <v>6408</v>
      </c>
      <c r="N64" s="42" cm="1">
        <f t="array" ref="N64">INDEX('BEA Data'!C:C,MATCH(TRIM('U.S. Data for ISIC Splits'!I64),'BEA Data'!E:E,0)+3)</f>
        <v>115757</v>
      </c>
    </row>
    <row r="65" spans="2:14" x14ac:dyDescent="0.35">
      <c r="B65">
        <v>45</v>
      </c>
      <c r="C65" t="s">
        <v>248</v>
      </c>
      <c r="D65" s="42">
        <v>194976</v>
      </c>
      <c r="E65" s="42" t="s">
        <v>26</v>
      </c>
      <c r="H65" t="s">
        <v>247</v>
      </c>
      <c r="I65" t="s">
        <v>727</v>
      </c>
      <c r="J65" t="s">
        <v>28</v>
      </c>
      <c r="K65" s="42">
        <f>INDEX('BEA Data'!C:C,MATCH(TRIM('U.S. Data for ISIC Splits'!I65),'BEA Data'!E:E,0))</f>
        <v>83850</v>
      </c>
      <c r="L65" s="42" cm="1">
        <f t="array" ref="L65">INDEX('BEA Data'!C:C,MATCH(TRIM('U.S. Data for ISIC Splits'!I65),'BEA Data'!E:E,0)+1)</f>
        <v>37736</v>
      </c>
      <c r="M65" s="42" cm="1">
        <f t="array" ref="M65">INDEX('BEA Data'!C:C,MATCH(TRIM('U.S. Data for ISIC Splits'!I65),'BEA Data'!E:E,0)+2)</f>
        <v>3057</v>
      </c>
      <c r="N65" s="42" cm="1">
        <f t="array" ref="N65">INDEX('BEA Data'!C:C,MATCH(TRIM('U.S. Data for ISIC Splits'!I65),'BEA Data'!E:E,0)+3)</f>
        <v>43057</v>
      </c>
    </row>
    <row r="66" spans="2:14" x14ac:dyDescent="0.35">
      <c r="B66">
        <v>46</v>
      </c>
      <c r="C66" t="s">
        <v>250</v>
      </c>
      <c r="D66" s="42">
        <v>48917</v>
      </c>
      <c r="E66" s="42" t="s">
        <v>15</v>
      </c>
      <c r="H66" t="s">
        <v>249</v>
      </c>
      <c r="I66" t="s">
        <v>728</v>
      </c>
      <c r="J66" t="s">
        <v>28</v>
      </c>
      <c r="K66" s="42">
        <f>INDEX('BEA Data'!C:C,MATCH(TRIM('U.S. Data for ISIC Splits'!I66),'BEA Data'!E:E,0))</f>
        <v>48501</v>
      </c>
      <c r="L66" s="42" cm="1">
        <f t="array" ref="L66">INDEX('BEA Data'!C:C,MATCH(TRIM('U.S. Data for ISIC Splits'!I66),'BEA Data'!E:E,0)+1)</f>
        <v>10719</v>
      </c>
      <c r="M66" s="42" cm="1">
        <f t="array" ref="M66">INDEX('BEA Data'!C:C,MATCH(TRIM('U.S. Data for ISIC Splits'!I66),'BEA Data'!E:E,0)+2)</f>
        <v>4919</v>
      </c>
      <c r="N66" s="42" cm="1">
        <f t="array" ref="N66">INDEX('BEA Data'!C:C,MATCH(TRIM('U.S. Data for ISIC Splits'!I66),'BEA Data'!E:E,0)+3)</f>
        <v>32862</v>
      </c>
    </row>
    <row r="67" spans="2:14" x14ac:dyDescent="0.35">
      <c r="B67">
        <v>47</v>
      </c>
      <c r="C67" t="s">
        <v>252</v>
      </c>
      <c r="D67" s="42">
        <v>38846</v>
      </c>
      <c r="E67" s="42" t="s">
        <v>15</v>
      </c>
      <c r="H67" t="s">
        <v>251</v>
      </c>
      <c r="I67" t="s">
        <v>729</v>
      </c>
      <c r="J67" t="s">
        <v>28</v>
      </c>
      <c r="K67" s="42">
        <f>INDEX('BEA Data'!C:C,MATCH(TRIM('U.S. Data for ISIC Splits'!I67),'BEA Data'!E:E,0))</f>
        <v>216231</v>
      </c>
      <c r="L67" s="42" cm="1">
        <f t="array" ref="L67">INDEX('BEA Data'!C:C,MATCH(TRIM('U.S. Data for ISIC Splits'!I67),'BEA Data'!E:E,0)+1)</f>
        <v>147652</v>
      </c>
      <c r="M67" s="42" cm="1">
        <f t="array" ref="M67">INDEX('BEA Data'!C:C,MATCH(TRIM('U.S. Data for ISIC Splits'!I67),'BEA Data'!E:E,0)+2)</f>
        <v>3695</v>
      </c>
      <c r="N67" s="42" cm="1">
        <f t="array" ref="N67">INDEX('BEA Data'!C:C,MATCH(TRIM('U.S. Data for ISIC Splits'!I67),'BEA Data'!E:E,0)+3)</f>
        <v>64884</v>
      </c>
    </row>
    <row r="68" spans="2:14" x14ac:dyDescent="0.35">
      <c r="B68">
        <v>48</v>
      </c>
      <c r="C68" t="s">
        <v>254</v>
      </c>
      <c r="D68" s="42">
        <v>38334</v>
      </c>
      <c r="E68" s="42" t="s">
        <v>15</v>
      </c>
      <c r="H68" t="s">
        <v>253</v>
      </c>
      <c r="I68" t="s">
        <v>730</v>
      </c>
      <c r="J68" t="s">
        <v>28</v>
      </c>
      <c r="K68" s="42">
        <f>INDEX('BEA Data'!C:C,MATCH(TRIM('U.S. Data for ISIC Splits'!I68),'BEA Data'!E:E,0))</f>
        <v>128148</v>
      </c>
      <c r="L68" s="42" cm="1">
        <f t="array" ref="L68">INDEX('BEA Data'!C:C,MATCH(TRIM('U.S. Data for ISIC Splits'!I68),'BEA Data'!E:E,0)+1)</f>
        <v>121581</v>
      </c>
      <c r="M68" s="42" cm="1">
        <f t="array" ref="M68">INDEX('BEA Data'!C:C,MATCH(TRIM('U.S. Data for ISIC Splits'!I68),'BEA Data'!E:E,0)+2)</f>
        <v>1443</v>
      </c>
      <c r="N68" s="42" cm="1">
        <f t="array" ref="N68">INDEX('BEA Data'!C:C,MATCH(TRIM('U.S. Data for ISIC Splits'!I68),'BEA Data'!E:E,0)+3)</f>
        <v>5124</v>
      </c>
    </row>
    <row r="69" spans="2:14" x14ac:dyDescent="0.35">
      <c r="B69">
        <v>49</v>
      </c>
      <c r="C69" t="s">
        <v>256</v>
      </c>
      <c r="D69" s="42">
        <v>48059</v>
      </c>
      <c r="E69" s="42" t="s">
        <v>15</v>
      </c>
      <c r="H69" t="s">
        <v>255</v>
      </c>
      <c r="I69" t="s">
        <v>731</v>
      </c>
      <c r="K69" s="42">
        <f>INDEX('BEA Data'!C:C,MATCH(TRIM('U.S. Data for ISIC Splits'!I69),'BEA Data'!E:E,0))</f>
        <v>1592692</v>
      </c>
      <c r="L69" s="42" cm="1">
        <f t="array" ref="L69">INDEX('BEA Data'!C:C,MATCH(TRIM('U.S. Data for ISIC Splits'!I69),'BEA Data'!E:E,0)+1)</f>
        <v>593157</v>
      </c>
      <c r="M69" s="42" cm="1">
        <f t="array" ref="M69">INDEX('BEA Data'!C:C,MATCH(TRIM('U.S. Data for ISIC Splits'!I69),'BEA Data'!E:E,0)+2)</f>
        <v>65934</v>
      </c>
      <c r="N69" s="42" cm="1">
        <f t="array" ref="N69">INDEX('BEA Data'!C:C,MATCH(TRIM('U.S. Data for ISIC Splits'!I69),'BEA Data'!E:E,0)+3)</f>
        <v>933601</v>
      </c>
    </row>
    <row r="70" spans="2:14" x14ac:dyDescent="0.35">
      <c r="B70">
        <v>50</v>
      </c>
      <c r="C70" s="48" t="s">
        <v>258</v>
      </c>
      <c r="D70" s="42">
        <v>10481</v>
      </c>
      <c r="E70" s="42" t="s">
        <v>665</v>
      </c>
      <c r="F70" t="s">
        <v>259</v>
      </c>
      <c r="H70" t="s">
        <v>257</v>
      </c>
      <c r="I70" t="s">
        <v>732</v>
      </c>
      <c r="J70" t="s">
        <v>30</v>
      </c>
      <c r="K70" s="42">
        <f>INDEX('BEA Data'!C:C,MATCH(TRIM('U.S. Data for ISIC Splits'!I70),'BEA Data'!E:E,0))</f>
        <v>442706</v>
      </c>
      <c r="L70" s="42" cm="1">
        <f t="array" ref="L70">INDEX('BEA Data'!C:C,MATCH(TRIM('U.S. Data for ISIC Splits'!I70),'BEA Data'!E:E,0)+1)</f>
        <v>184170</v>
      </c>
      <c r="M70" s="42" cm="1">
        <f t="array" ref="M70">INDEX('BEA Data'!C:C,MATCH(TRIM('U.S. Data for ISIC Splits'!I70),'BEA Data'!E:E,0)+2)</f>
        <v>8289</v>
      </c>
      <c r="N70" s="42" cm="1">
        <f t="array" ref="N70">INDEX('BEA Data'!C:C,MATCH(TRIM('U.S. Data for ISIC Splits'!I70),'BEA Data'!E:E,0)+3)</f>
        <v>250247</v>
      </c>
    </row>
    <row r="71" spans="2:14" x14ac:dyDescent="0.35">
      <c r="B71">
        <v>51</v>
      </c>
      <c r="C71" s="45" t="s">
        <v>261</v>
      </c>
      <c r="D71" s="42">
        <v>33702</v>
      </c>
      <c r="E71" s="42" t="s">
        <v>664</v>
      </c>
      <c r="F71" t="s">
        <v>262</v>
      </c>
      <c r="H71" t="s">
        <v>260</v>
      </c>
      <c r="I71" t="s">
        <v>733</v>
      </c>
      <c r="J71" t="s">
        <v>30</v>
      </c>
      <c r="K71" s="42">
        <f>INDEX('BEA Data'!C:C,MATCH(TRIM('U.S. Data for ISIC Splits'!I71),'BEA Data'!E:E,0))</f>
        <v>119385</v>
      </c>
      <c r="L71" s="42" cm="1">
        <f t="array" ref="L71">INDEX('BEA Data'!C:C,MATCH(TRIM('U.S. Data for ISIC Splits'!I71),'BEA Data'!E:E,0)+1)</f>
        <v>42580</v>
      </c>
      <c r="M71" s="42" cm="1">
        <f t="array" ref="M71">INDEX('BEA Data'!C:C,MATCH(TRIM('U.S. Data for ISIC Splits'!I71),'BEA Data'!E:E,0)+2)</f>
        <v>6792</v>
      </c>
      <c r="N71" s="42" cm="1">
        <f t="array" ref="N71">INDEX('BEA Data'!C:C,MATCH(TRIM('U.S. Data for ISIC Splits'!I71),'BEA Data'!E:E,0)+3)</f>
        <v>70014</v>
      </c>
    </row>
    <row r="72" spans="2:14" x14ac:dyDescent="0.35">
      <c r="B72">
        <v>52</v>
      </c>
      <c r="C72" s="48" t="s">
        <v>264</v>
      </c>
      <c r="D72" s="42">
        <v>12485</v>
      </c>
      <c r="E72" s="42" t="s">
        <v>665</v>
      </c>
      <c r="F72" t="s">
        <v>259</v>
      </c>
      <c r="H72" t="s">
        <v>263</v>
      </c>
      <c r="I72" t="s">
        <v>734</v>
      </c>
      <c r="J72" t="s">
        <v>735</v>
      </c>
      <c r="K72" s="42">
        <f>INDEX('BEA Data'!C:C,MATCH(TRIM('U.S. Data for ISIC Splits'!I72),'BEA Data'!E:E,0))</f>
        <v>501545</v>
      </c>
      <c r="L72" s="42" cm="1">
        <f t="array" ref="L72">INDEX('BEA Data'!C:C,MATCH(TRIM('U.S. Data for ISIC Splits'!I72),'BEA Data'!E:E,0)+1)</f>
        <v>129892</v>
      </c>
      <c r="M72" s="42" cm="1">
        <f t="array" ref="M72">INDEX('BEA Data'!C:C,MATCH(TRIM('U.S. Data for ISIC Splits'!I72),'BEA Data'!E:E,0)+2)</f>
        <v>42372</v>
      </c>
      <c r="N72" s="42" cm="1">
        <f t="array" ref="N72">INDEX('BEA Data'!C:C,MATCH(TRIM('U.S. Data for ISIC Splits'!I72),'BEA Data'!E:E,0)+3)</f>
        <v>329281</v>
      </c>
    </row>
    <row r="73" spans="2:14" x14ac:dyDescent="0.35">
      <c r="B73">
        <v>53</v>
      </c>
      <c r="C73" s="48" t="s">
        <v>266</v>
      </c>
      <c r="D73" s="42">
        <v>44436</v>
      </c>
      <c r="E73" s="42" t="s">
        <v>665</v>
      </c>
      <c r="F73" t="s">
        <v>259</v>
      </c>
      <c r="H73" t="s">
        <v>265</v>
      </c>
      <c r="I73" t="s">
        <v>736</v>
      </c>
      <c r="J73" t="s">
        <v>32</v>
      </c>
      <c r="K73" s="42">
        <f>INDEX('BEA Data'!C:C,MATCH(TRIM('U.S. Data for ISIC Splits'!I73),'BEA Data'!E:E,0))</f>
        <v>529056</v>
      </c>
      <c r="L73" s="42" cm="1">
        <f t="array" ref="L73">INDEX('BEA Data'!C:C,MATCH(TRIM('U.S. Data for ISIC Splits'!I73),'BEA Data'!E:E,0)+1)</f>
        <v>236515</v>
      </c>
      <c r="M73" s="42" cm="1">
        <f t="array" ref="M73">INDEX('BEA Data'!C:C,MATCH(TRIM('U.S. Data for ISIC Splits'!I73),'BEA Data'!E:E,0)+2)</f>
        <v>8482</v>
      </c>
      <c r="N73" s="42" cm="1">
        <f t="array" ref="N73">INDEX('BEA Data'!C:C,MATCH(TRIM('U.S. Data for ISIC Splits'!I73),'BEA Data'!E:E,0)+3)</f>
        <v>284059</v>
      </c>
    </row>
    <row r="74" spans="2:14" x14ac:dyDescent="0.35">
      <c r="B74">
        <v>54</v>
      </c>
      <c r="C74" s="48" t="s">
        <v>268</v>
      </c>
      <c r="D74" s="42">
        <v>8962</v>
      </c>
      <c r="E74" s="42" t="s">
        <v>665</v>
      </c>
      <c r="F74" t="s">
        <v>259</v>
      </c>
      <c r="H74" t="s">
        <v>267</v>
      </c>
      <c r="I74" t="s">
        <v>737</v>
      </c>
      <c r="K74" s="42">
        <f>INDEX('BEA Data'!C:C,MATCH(TRIM('U.S. Data for ISIC Splits'!I74),'BEA Data'!E:E,0))</f>
        <v>6281555</v>
      </c>
      <c r="L74" s="42" cm="1">
        <f t="array" ref="L74">INDEX('BEA Data'!C:C,MATCH(TRIM('U.S. Data for ISIC Splits'!I74),'BEA Data'!E:E,0)+1)</f>
        <v>1338953</v>
      </c>
      <c r="M74" s="42" cm="1">
        <f t="array" ref="M74">INDEX('BEA Data'!C:C,MATCH(TRIM('U.S. Data for ISIC Splits'!I74),'BEA Data'!E:E,0)+2)</f>
        <v>483266</v>
      </c>
      <c r="N74" s="42" cm="1">
        <f t="array" ref="N74">INDEX('BEA Data'!C:C,MATCH(TRIM('U.S. Data for ISIC Splits'!I74),'BEA Data'!E:E,0)+3)</f>
        <v>4459335</v>
      </c>
    </row>
    <row r="75" spans="2:14" x14ac:dyDescent="0.35">
      <c r="B75">
        <v>55</v>
      </c>
      <c r="C75" s="48" t="s">
        <v>270</v>
      </c>
      <c r="D75" s="42">
        <v>18579</v>
      </c>
      <c r="E75" s="42" t="s">
        <v>665</v>
      </c>
      <c r="F75" t="s">
        <v>259</v>
      </c>
      <c r="H75" t="s">
        <v>269</v>
      </c>
      <c r="I75" t="s">
        <v>738</v>
      </c>
      <c r="J75" t="s">
        <v>33</v>
      </c>
      <c r="K75" s="42">
        <f>INDEX('BEA Data'!C:C,MATCH(TRIM('U.S. Data for ISIC Splits'!I75),'BEA Data'!E:E,0))</f>
        <v>2229155</v>
      </c>
      <c r="L75" s="42" cm="1">
        <f t="array" ref="L75">INDEX('BEA Data'!C:C,MATCH(TRIM('U.S. Data for ISIC Splits'!I75),'BEA Data'!E:E,0)+1)</f>
        <v>1115372</v>
      </c>
      <c r="M75" s="42" cm="1">
        <f t="array" ref="M75">INDEX('BEA Data'!C:C,MATCH(TRIM('U.S. Data for ISIC Splits'!I75),'BEA Data'!E:E,0)+2)</f>
        <v>83485</v>
      </c>
      <c r="N75" s="42" cm="1">
        <f t="array" ref="N75">INDEX('BEA Data'!C:C,MATCH(TRIM('U.S. Data for ISIC Splits'!I75),'BEA Data'!E:E,0)+3)</f>
        <v>1030298</v>
      </c>
    </row>
    <row r="76" spans="2:14" x14ac:dyDescent="0.35">
      <c r="B76">
        <v>56</v>
      </c>
      <c r="C76" s="48" t="s">
        <v>272</v>
      </c>
      <c r="D76" s="42">
        <v>12494</v>
      </c>
      <c r="E76" s="42" t="s">
        <v>665</v>
      </c>
      <c r="F76" t="s">
        <v>259</v>
      </c>
      <c r="H76" t="s">
        <v>271</v>
      </c>
      <c r="I76" t="s">
        <v>739</v>
      </c>
      <c r="K76" s="42">
        <f>INDEX('BEA Data'!C:C,MATCH(TRIM('U.S. Data for ISIC Splits'!I76),'BEA Data'!E:E,0))</f>
        <v>1013285</v>
      </c>
      <c r="L76" s="42" cm="1">
        <f t="array" ref="L76">INDEX('BEA Data'!C:C,MATCH(TRIM('U.S. Data for ISIC Splits'!I76),'BEA Data'!E:E,0)+1)</f>
        <v>354009</v>
      </c>
      <c r="M76" s="42" cm="1">
        <f t="array" ref="M76">INDEX('BEA Data'!C:C,MATCH(TRIM('U.S. Data for ISIC Splits'!I76),'BEA Data'!E:E,0)+2)</f>
        <v>26036</v>
      </c>
      <c r="N76" s="42" cm="1">
        <f t="array" ref="N76">INDEX('BEA Data'!C:C,MATCH(TRIM('U.S. Data for ISIC Splits'!I76),'BEA Data'!E:E,0)+3)</f>
        <v>633241</v>
      </c>
    </row>
    <row r="77" spans="2:14" x14ac:dyDescent="0.35">
      <c r="B77">
        <v>57</v>
      </c>
      <c r="C77" s="48" t="s">
        <v>274</v>
      </c>
      <c r="D77" s="42">
        <v>3977</v>
      </c>
      <c r="E77" s="42" t="s">
        <v>665</v>
      </c>
      <c r="F77" t="s">
        <v>259</v>
      </c>
      <c r="H77" t="s">
        <v>273</v>
      </c>
      <c r="I77" t="s">
        <v>740</v>
      </c>
      <c r="K77" s="42">
        <f>INDEX('BEA Data'!C:C,MATCH(TRIM('U.S. Data for ISIC Splits'!I77),'BEA Data'!E:E,0))</f>
        <v>396082</v>
      </c>
      <c r="L77" s="42" cm="1">
        <f t="array" ref="L77">INDEX('BEA Data'!C:C,MATCH(TRIM('U.S. Data for ISIC Splits'!I77),'BEA Data'!E:E,0)+1)</f>
        <v>364518</v>
      </c>
      <c r="M77" s="42" cm="1">
        <f t="array" ref="M77">INDEX('BEA Data'!C:C,MATCH(TRIM('U.S. Data for ISIC Splits'!I77),'BEA Data'!E:E,0)+2)</f>
        <v>8296</v>
      </c>
      <c r="N77" s="42" cm="1">
        <f t="array" ref="N77">INDEX('BEA Data'!C:C,MATCH(TRIM('U.S. Data for ISIC Splits'!I77),'BEA Data'!E:E,0)+3)</f>
        <v>23268</v>
      </c>
    </row>
    <row r="78" spans="2:14" x14ac:dyDescent="0.35">
      <c r="B78">
        <v>58</v>
      </c>
      <c r="C78" s="48" t="s">
        <v>276</v>
      </c>
      <c r="D78" s="42">
        <v>7393</v>
      </c>
      <c r="E78" s="42" t="s">
        <v>665</v>
      </c>
      <c r="F78" t="s">
        <v>259</v>
      </c>
      <c r="H78" t="s">
        <v>275</v>
      </c>
      <c r="I78" t="s">
        <v>741</v>
      </c>
      <c r="K78" s="42">
        <f>INDEX('BEA Data'!C:C,MATCH(TRIM('U.S. Data for ISIC Splits'!I78),'BEA Data'!E:E,0))</f>
        <v>791806</v>
      </c>
      <c r="L78" s="42" cm="1">
        <f t="array" ref="L78">INDEX('BEA Data'!C:C,MATCH(TRIM('U.S. Data for ISIC Splits'!I78),'BEA Data'!E:E,0)+1)</f>
        <v>390088</v>
      </c>
      <c r="M78" s="42" cm="1">
        <f t="array" ref="M78">INDEX('BEA Data'!C:C,MATCH(TRIM('U.S. Data for ISIC Splits'!I78),'BEA Data'!E:E,0)+2)</f>
        <v>48317</v>
      </c>
      <c r="N78" s="42" cm="1">
        <f t="array" ref="N78">INDEX('BEA Data'!C:C,MATCH(TRIM('U.S. Data for ISIC Splits'!I78),'BEA Data'!E:E,0)+3)</f>
        <v>353401</v>
      </c>
    </row>
    <row r="79" spans="2:14" x14ac:dyDescent="0.35">
      <c r="B79">
        <v>59</v>
      </c>
      <c r="C79" s="48" t="s">
        <v>278</v>
      </c>
      <c r="D79" s="42">
        <v>5963</v>
      </c>
      <c r="E79" s="42" t="s">
        <v>665</v>
      </c>
      <c r="F79" t="s">
        <v>259</v>
      </c>
      <c r="H79" t="s">
        <v>277</v>
      </c>
      <c r="I79" t="s">
        <v>742</v>
      </c>
      <c r="K79" s="42">
        <f>INDEX('BEA Data'!C:C,MATCH(TRIM('U.S. Data for ISIC Splits'!I79),'BEA Data'!E:E,0))</f>
        <v>27981</v>
      </c>
      <c r="L79" s="42" cm="1">
        <f t="array" ref="L79">INDEX('BEA Data'!C:C,MATCH(TRIM('U.S. Data for ISIC Splits'!I79),'BEA Data'!E:E,0)+1)</f>
        <v>6758</v>
      </c>
      <c r="M79" s="42" cm="1">
        <f t="array" ref="M79">INDEX('BEA Data'!C:C,MATCH(TRIM('U.S. Data for ISIC Splits'!I79),'BEA Data'!E:E,0)+2)</f>
        <v>835</v>
      </c>
      <c r="N79" s="42" cm="1">
        <f t="array" ref="N79">INDEX('BEA Data'!C:C,MATCH(TRIM('U.S. Data for ISIC Splits'!I79),'BEA Data'!E:E,0)+3)</f>
        <v>20388</v>
      </c>
    </row>
    <row r="80" spans="2:14" x14ac:dyDescent="0.35">
      <c r="B80">
        <v>60</v>
      </c>
      <c r="C80" s="48" t="s">
        <v>280</v>
      </c>
      <c r="D80" s="42">
        <v>11488</v>
      </c>
      <c r="E80" s="42" t="s">
        <v>665</v>
      </c>
      <c r="F80" t="s">
        <v>259</v>
      </c>
      <c r="H80" t="s">
        <v>279</v>
      </c>
      <c r="I80" t="s">
        <v>743</v>
      </c>
      <c r="J80" t="s">
        <v>34</v>
      </c>
      <c r="K80" s="42">
        <f>INDEX('BEA Data'!C:C,MATCH(TRIM('U.S. Data for ISIC Splits'!I80),'BEA Data'!E:E,0))</f>
        <v>4052400</v>
      </c>
      <c r="L80" s="42" cm="1">
        <f t="array" ref="L80">INDEX('BEA Data'!C:C,MATCH(TRIM('U.S. Data for ISIC Splits'!I80),'BEA Data'!E:E,0)+1)</f>
        <v>223581</v>
      </c>
      <c r="M80" s="42" cm="1">
        <f t="array" ref="M80">INDEX('BEA Data'!C:C,MATCH(TRIM('U.S. Data for ISIC Splits'!I80),'BEA Data'!E:E,0)+2)</f>
        <v>399782</v>
      </c>
      <c r="N80" s="42" cm="1">
        <f t="array" ref="N80">INDEX('BEA Data'!C:C,MATCH(TRIM('U.S. Data for ISIC Splits'!I80),'BEA Data'!E:E,0)+3)</f>
        <v>3429038</v>
      </c>
    </row>
    <row r="81" spans="2:14" x14ac:dyDescent="0.35">
      <c r="B81">
        <v>61</v>
      </c>
      <c r="C81" s="48" t="s">
        <v>282</v>
      </c>
      <c r="D81" s="42">
        <v>5328</v>
      </c>
      <c r="E81" s="42" t="s">
        <v>665</v>
      </c>
      <c r="F81" t="s">
        <v>259</v>
      </c>
      <c r="H81" t="s">
        <v>281</v>
      </c>
      <c r="I81" t="s">
        <v>744</v>
      </c>
      <c r="K81" s="42">
        <f>INDEX('BEA Data'!C:C,MATCH(TRIM('U.S. Data for ISIC Splits'!I81),'BEA Data'!E:E,0))</f>
        <v>3684230</v>
      </c>
      <c r="L81" s="42" cm="1">
        <f t="array" ref="L81">INDEX('BEA Data'!C:C,MATCH(TRIM('U.S. Data for ISIC Splits'!I81),'BEA Data'!E:E,0)+1)</f>
        <v>172074</v>
      </c>
      <c r="M81" s="42" cm="1">
        <f t="array" ref="M81">INDEX('BEA Data'!C:C,MATCH(TRIM('U.S. Data for ISIC Splits'!I81),'BEA Data'!E:E,0)+2)</f>
        <v>367940</v>
      </c>
      <c r="N81" s="42" cm="1">
        <f t="array" ref="N81">INDEX('BEA Data'!C:C,MATCH(TRIM('U.S. Data for ISIC Splits'!I81),'BEA Data'!E:E,0)+3)</f>
        <v>3144216</v>
      </c>
    </row>
    <row r="82" spans="2:14" x14ac:dyDescent="0.35">
      <c r="B82">
        <v>62</v>
      </c>
      <c r="C82" s="43" t="s">
        <v>284</v>
      </c>
      <c r="D82" s="42">
        <v>128733</v>
      </c>
      <c r="E82" s="42" t="s">
        <v>666</v>
      </c>
      <c r="F82" t="s">
        <v>285</v>
      </c>
      <c r="H82" t="s">
        <v>283</v>
      </c>
      <c r="I82" t="s">
        <v>745</v>
      </c>
      <c r="K82" s="42">
        <f>INDEX('BEA Data'!C:C,MATCH(TRIM('U.S. Data for ISIC Splits'!I82),'BEA Data'!E:E,0))</f>
        <v>2853988</v>
      </c>
      <c r="L82" s="42" cm="1">
        <f t="array" ref="L82">INDEX('BEA Data'!C:C,MATCH(TRIM('U.S. Data for ISIC Splits'!I82),'BEA Data'!E:E,0)+1)</f>
        <v>28487</v>
      </c>
      <c r="M82" s="42" cm="1">
        <f t="array" ref="M82">INDEX('BEA Data'!C:C,MATCH(TRIM('U.S. Data for ISIC Splits'!I82),'BEA Data'!E:E,0)+2)</f>
        <v>327118</v>
      </c>
      <c r="N82" s="42" cm="1">
        <f t="array" ref="N82">INDEX('BEA Data'!C:C,MATCH(TRIM('U.S. Data for ISIC Splits'!I82),'BEA Data'!E:E,0)+3)</f>
        <v>2498383</v>
      </c>
    </row>
    <row r="83" spans="2:14" x14ac:dyDescent="0.35">
      <c r="B83">
        <v>63</v>
      </c>
      <c r="C83" s="43" t="s">
        <v>287</v>
      </c>
      <c r="D83" s="42">
        <v>40764</v>
      </c>
      <c r="E83" s="42" t="s">
        <v>666</v>
      </c>
      <c r="F83" t="s">
        <v>285</v>
      </c>
      <c r="H83" t="s">
        <v>286</v>
      </c>
      <c r="I83" t="s">
        <v>746</v>
      </c>
      <c r="K83" s="42">
        <f>INDEX('BEA Data'!C:C,MATCH(TRIM('U.S. Data for ISIC Splits'!I83),'BEA Data'!E:E,0))</f>
        <v>830242</v>
      </c>
      <c r="L83" s="42" cm="1">
        <f t="array" ref="L83">INDEX('BEA Data'!C:C,MATCH(TRIM('U.S. Data for ISIC Splits'!I83),'BEA Data'!E:E,0)+1)</f>
        <v>143587</v>
      </c>
      <c r="M83" s="42" cm="1">
        <f t="array" ref="M83">INDEX('BEA Data'!C:C,MATCH(TRIM('U.S. Data for ISIC Splits'!I83),'BEA Data'!E:E,0)+2)</f>
        <v>40822</v>
      </c>
      <c r="N83" s="42" cm="1">
        <f t="array" ref="N83">INDEX('BEA Data'!C:C,MATCH(TRIM('U.S. Data for ISIC Splits'!I83),'BEA Data'!E:E,0)+3)</f>
        <v>645833</v>
      </c>
    </row>
    <row r="84" spans="2:14" x14ac:dyDescent="0.35">
      <c r="B84">
        <v>64</v>
      </c>
      <c r="C84" s="17" t="s">
        <v>289</v>
      </c>
      <c r="D84" s="42">
        <v>7930</v>
      </c>
      <c r="E84" s="42" t="s">
        <v>667</v>
      </c>
      <c r="F84" t="s">
        <v>290</v>
      </c>
      <c r="H84" t="s">
        <v>288</v>
      </c>
      <c r="I84" t="s">
        <v>747</v>
      </c>
      <c r="K84" s="42">
        <f>INDEX('BEA Data'!C:C,MATCH(TRIM('U.S. Data for ISIC Splits'!I84),'BEA Data'!E:E,0))</f>
        <v>368169</v>
      </c>
      <c r="L84" s="42" cm="1">
        <f t="array" ref="L84">INDEX('BEA Data'!C:C,MATCH(TRIM('U.S. Data for ISIC Splits'!I84),'BEA Data'!E:E,0)+1)</f>
        <v>51506</v>
      </c>
      <c r="M84" s="42" cm="1">
        <f t="array" ref="M84">INDEX('BEA Data'!C:C,MATCH(TRIM('U.S. Data for ISIC Splits'!I84),'BEA Data'!E:E,0)+2)</f>
        <v>31841</v>
      </c>
      <c r="N84" s="42" cm="1">
        <f t="array" ref="N84">INDEX('BEA Data'!C:C,MATCH(TRIM('U.S. Data for ISIC Splits'!I84),'BEA Data'!E:E,0)+3)</f>
        <v>284822</v>
      </c>
    </row>
    <row r="85" spans="2:14" x14ac:dyDescent="0.35">
      <c r="B85">
        <v>65</v>
      </c>
      <c r="C85" s="17" t="s">
        <v>292</v>
      </c>
      <c r="D85" s="42">
        <v>2255</v>
      </c>
      <c r="E85" s="42" t="s">
        <v>667</v>
      </c>
      <c r="F85" t="s">
        <v>290</v>
      </c>
      <c r="H85" t="s">
        <v>291</v>
      </c>
      <c r="I85" t="s">
        <v>748</v>
      </c>
      <c r="K85" s="42">
        <f>INDEX('BEA Data'!C:C,MATCH(TRIM('U.S. Data for ISIC Splits'!I85),'BEA Data'!E:E,0))</f>
        <v>3811104</v>
      </c>
      <c r="L85" s="42" cm="1">
        <f t="array" ref="L85">INDEX('BEA Data'!C:C,MATCH(TRIM('U.S. Data for ISIC Splits'!I85),'BEA Data'!E:E,0)+1)</f>
        <v>2726576</v>
      </c>
      <c r="M85" s="42" cm="1">
        <f t="array" ref="M85">INDEX('BEA Data'!C:C,MATCH(TRIM('U.S. Data for ISIC Splits'!I85),'BEA Data'!E:E,0)+2)</f>
        <v>93608</v>
      </c>
      <c r="N85" s="42" cm="1">
        <f t="array" ref="N85">INDEX('BEA Data'!C:C,MATCH(TRIM('U.S. Data for ISIC Splits'!I85),'BEA Data'!E:E,0)+3)</f>
        <v>990920</v>
      </c>
    </row>
    <row r="86" spans="2:14" x14ac:dyDescent="0.35">
      <c r="B86">
        <v>66</v>
      </c>
      <c r="C86" s="17" t="s">
        <v>294</v>
      </c>
      <c r="D86" s="42">
        <v>35240</v>
      </c>
      <c r="E86" s="42" t="s">
        <v>667</v>
      </c>
      <c r="F86" t="s">
        <v>290</v>
      </c>
      <c r="H86" t="s">
        <v>293</v>
      </c>
      <c r="I86" t="s">
        <v>749</v>
      </c>
      <c r="K86" s="42">
        <f>INDEX('BEA Data'!C:C,MATCH(TRIM('U.S. Data for ISIC Splits'!I86),'BEA Data'!E:E,0))</f>
        <v>2355069</v>
      </c>
      <c r="L86" s="42" cm="1">
        <f t="array" ref="L86">INDEX('BEA Data'!C:C,MATCH(TRIM('U.S. Data for ISIC Splits'!I86),'BEA Data'!E:E,0)+1)</f>
        <v>1606279</v>
      </c>
      <c r="M86" s="42" cm="1">
        <f t="array" ref="M86">INDEX('BEA Data'!C:C,MATCH(TRIM('U.S. Data for ISIC Splits'!I86),'BEA Data'!E:E,0)+2)</f>
        <v>59386</v>
      </c>
      <c r="N86" s="42" cm="1">
        <f t="array" ref="N86">INDEX('BEA Data'!C:C,MATCH(TRIM('U.S. Data for ISIC Splits'!I86),'BEA Data'!E:E,0)+3)</f>
        <v>689404</v>
      </c>
    </row>
    <row r="87" spans="2:14" x14ac:dyDescent="0.35">
      <c r="B87">
        <v>67</v>
      </c>
      <c r="C87" s="17" t="s">
        <v>1207</v>
      </c>
      <c r="D87" s="42">
        <v>10489</v>
      </c>
      <c r="E87" s="42" t="s">
        <v>667</v>
      </c>
      <c r="F87" t="s">
        <v>290</v>
      </c>
      <c r="H87" t="s">
        <v>295</v>
      </c>
      <c r="I87" t="s">
        <v>750</v>
      </c>
      <c r="J87" t="s">
        <v>35</v>
      </c>
      <c r="K87" s="42">
        <f>INDEX('BEA Data'!C:C,MATCH(TRIM('U.S. Data for ISIC Splits'!I87),'BEA Data'!E:E,0))</f>
        <v>387719</v>
      </c>
      <c r="L87" s="42" cm="1">
        <f t="array" ref="L87">INDEX('BEA Data'!C:C,MATCH(TRIM('U.S. Data for ISIC Splits'!I87),'BEA Data'!E:E,0)+1)</f>
        <v>188351</v>
      </c>
      <c r="M87" s="42" cm="1">
        <f t="array" ref="M87">INDEX('BEA Data'!C:C,MATCH(TRIM('U.S. Data for ISIC Splits'!I87),'BEA Data'!E:E,0)+2)</f>
        <v>23296</v>
      </c>
      <c r="N87" s="42" cm="1">
        <f t="array" ref="N87">INDEX('BEA Data'!C:C,MATCH(TRIM('U.S. Data for ISIC Splits'!I87),'BEA Data'!E:E,0)+3)</f>
        <v>176072</v>
      </c>
    </row>
    <row r="88" spans="2:14" x14ac:dyDescent="0.35">
      <c r="B88">
        <v>68</v>
      </c>
      <c r="C88" s="17" t="s">
        <v>297</v>
      </c>
      <c r="D88" s="42">
        <v>30862</v>
      </c>
      <c r="E88" s="42" t="s">
        <v>667</v>
      </c>
      <c r="F88" t="s">
        <v>290</v>
      </c>
      <c r="H88" t="s">
        <v>296</v>
      </c>
      <c r="I88" t="s">
        <v>751</v>
      </c>
      <c r="J88" t="s">
        <v>32</v>
      </c>
      <c r="K88" s="42">
        <f>INDEX('BEA Data'!C:C,MATCH(TRIM('U.S. Data for ISIC Splits'!I88),'BEA Data'!E:E,0))</f>
        <v>522249</v>
      </c>
      <c r="L88" s="42" cm="1">
        <f t="array" ref="L88">INDEX('BEA Data'!C:C,MATCH(TRIM('U.S. Data for ISIC Splits'!I88),'BEA Data'!E:E,0)+1)</f>
        <v>445176</v>
      </c>
      <c r="M88" s="42" cm="1">
        <f t="array" ref="M88">INDEX('BEA Data'!C:C,MATCH(TRIM('U.S. Data for ISIC Splits'!I88),'BEA Data'!E:E,0)+2)</f>
        <v>12128</v>
      </c>
      <c r="N88" s="42" cm="1">
        <f t="array" ref="N88">INDEX('BEA Data'!C:C,MATCH(TRIM('U.S. Data for ISIC Splits'!I88),'BEA Data'!E:E,0)+3)</f>
        <v>64945</v>
      </c>
    </row>
    <row r="89" spans="2:14" x14ac:dyDescent="0.35">
      <c r="B89">
        <v>69</v>
      </c>
      <c r="C89" s="17" t="s">
        <v>299</v>
      </c>
      <c r="D89" s="42">
        <v>12637</v>
      </c>
      <c r="E89" s="42" t="s">
        <v>667</v>
      </c>
      <c r="F89" t="s">
        <v>290</v>
      </c>
      <c r="H89" t="s">
        <v>298</v>
      </c>
      <c r="I89" t="s">
        <v>752</v>
      </c>
      <c r="J89" t="s">
        <v>35</v>
      </c>
      <c r="K89" s="42">
        <f>INDEX('BEA Data'!C:C,MATCH(TRIM('U.S. Data for ISIC Splits'!I89),'BEA Data'!E:E,0))</f>
        <v>1445101</v>
      </c>
      <c r="L89" s="42" cm="1">
        <f t="array" ref="L89">INDEX('BEA Data'!C:C,MATCH(TRIM('U.S. Data for ISIC Splits'!I89),'BEA Data'!E:E,0)+1)</f>
        <v>972752</v>
      </c>
      <c r="M89" s="42" cm="1">
        <f t="array" ref="M89">INDEX('BEA Data'!C:C,MATCH(TRIM('U.S. Data for ISIC Splits'!I89),'BEA Data'!E:E,0)+2)</f>
        <v>23961</v>
      </c>
      <c r="N89" s="42" cm="1">
        <f t="array" ref="N89">INDEX('BEA Data'!C:C,MATCH(TRIM('U.S. Data for ISIC Splits'!I89),'BEA Data'!E:E,0)+3)</f>
        <v>448387</v>
      </c>
    </row>
    <row r="90" spans="2:14" x14ac:dyDescent="0.35">
      <c r="B90">
        <v>70</v>
      </c>
      <c r="C90" s="43" t="s">
        <v>301</v>
      </c>
      <c r="D90" s="42">
        <v>19725</v>
      </c>
      <c r="E90" s="42" t="s">
        <v>666</v>
      </c>
      <c r="F90" t="s">
        <v>285</v>
      </c>
      <c r="H90" t="s">
        <v>300</v>
      </c>
      <c r="I90" t="s">
        <v>753</v>
      </c>
      <c r="J90" t="s">
        <v>35</v>
      </c>
      <c r="K90" s="42">
        <f>INDEX('BEA Data'!C:C,MATCH(TRIM('U.S. Data for ISIC Splits'!I90),'BEA Data'!E:E,0))</f>
        <v>544333</v>
      </c>
      <c r="L90" s="42" cm="1">
        <f t="array" ref="L90">INDEX('BEA Data'!C:C,MATCH(TRIM('U.S. Data for ISIC Splits'!I90),'BEA Data'!E:E,0)+1)</f>
        <v>482843</v>
      </c>
      <c r="M90" s="42" cm="1">
        <f t="array" ref="M90">INDEX('BEA Data'!C:C,MATCH(TRIM('U.S. Data for ISIC Splits'!I90),'BEA Data'!E:E,0)+2)</f>
        <v>12879</v>
      </c>
      <c r="N90" s="42" cm="1">
        <f t="array" ref="N90">INDEX('BEA Data'!C:C,MATCH(TRIM('U.S. Data for ISIC Splits'!I90),'BEA Data'!E:E,0)+3)</f>
        <v>48611</v>
      </c>
    </row>
    <row r="91" spans="2:14" x14ac:dyDescent="0.35">
      <c r="B91">
        <v>71</v>
      </c>
      <c r="C91" s="17" t="s">
        <v>303</v>
      </c>
      <c r="D91" s="42">
        <v>13464</v>
      </c>
      <c r="E91" s="42" t="s">
        <v>667</v>
      </c>
      <c r="F91" t="s">
        <v>290</v>
      </c>
      <c r="H91" t="s">
        <v>302</v>
      </c>
      <c r="I91" t="s">
        <v>754</v>
      </c>
      <c r="K91" s="42">
        <f>INDEX('BEA Data'!C:C,MATCH(TRIM('U.S. Data for ISIC Splits'!I91),'BEA Data'!E:E,0))</f>
        <v>911703</v>
      </c>
      <c r="L91" s="42" cm="1">
        <f t="array" ref="L91">INDEX('BEA Data'!C:C,MATCH(TRIM('U.S. Data for ISIC Splits'!I91),'BEA Data'!E:E,0)+1)</f>
        <v>637453</v>
      </c>
      <c r="M91" s="42" cm="1">
        <f t="array" ref="M91">INDEX('BEA Data'!C:C,MATCH(TRIM('U.S. Data for ISIC Splits'!I91),'BEA Data'!E:E,0)+2)</f>
        <v>21344</v>
      </c>
      <c r="N91" s="42" cm="1">
        <f t="array" ref="N91">INDEX('BEA Data'!C:C,MATCH(TRIM('U.S. Data for ISIC Splits'!I91),'BEA Data'!E:E,0)+3)</f>
        <v>252905</v>
      </c>
    </row>
    <row r="92" spans="2:14" x14ac:dyDescent="0.35">
      <c r="B92">
        <v>72</v>
      </c>
      <c r="C92" t="s">
        <v>305</v>
      </c>
      <c r="D92" s="42">
        <v>7154</v>
      </c>
      <c r="E92" s="42" t="s">
        <v>19</v>
      </c>
      <c r="H92" t="s">
        <v>304</v>
      </c>
      <c r="I92" t="s">
        <v>755</v>
      </c>
      <c r="J92" t="s">
        <v>35</v>
      </c>
      <c r="K92" s="42">
        <f>INDEX('BEA Data'!C:C,MATCH(TRIM('U.S. Data for ISIC Splits'!I92),'BEA Data'!E:E,0))</f>
        <v>823102</v>
      </c>
      <c r="L92" s="42" cm="1">
        <f t="array" ref="L92">INDEX('BEA Data'!C:C,MATCH(TRIM('U.S. Data for ISIC Splits'!I92),'BEA Data'!E:E,0)+1)</f>
        <v>587967</v>
      </c>
      <c r="M92" s="42" cm="1">
        <f t="array" ref="M92">INDEX('BEA Data'!C:C,MATCH(TRIM('U.S. Data for ISIC Splits'!I92),'BEA Data'!E:E,0)+2)</f>
        <v>15842</v>
      </c>
      <c r="N92" s="42" cm="1">
        <f t="array" ref="N92">INDEX('BEA Data'!C:C,MATCH(TRIM('U.S. Data for ISIC Splits'!I92),'BEA Data'!E:E,0)+3)</f>
        <v>219292</v>
      </c>
    </row>
    <row r="93" spans="2:14" x14ac:dyDescent="0.35">
      <c r="B93">
        <v>73</v>
      </c>
      <c r="C93" t="s">
        <v>307</v>
      </c>
      <c r="D93" s="42">
        <v>11906</v>
      </c>
      <c r="E93" s="42" t="s">
        <v>19</v>
      </c>
      <c r="H93" t="s">
        <v>306</v>
      </c>
      <c r="I93" t="s">
        <v>756</v>
      </c>
      <c r="J93" t="s">
        <v>670</v>
      </c>
      <c r="K93" s="42">
        <f>INDEX('BEA Data'!C:C,MATCH(TRIM('U.S. Data for ISIC Splits'!I93),'BEA Data'!E:E,0))</f>
        <v>88601</v>
      </c>
      <c r="L93" s="42" cm="1">
        <f t="array" ref="L93">INDEX('BEA Data'!C:C,MATCH(TRIM('U.S. Data for ISIC Splits'!I93),'BEA Data'!E:E,0)+1)</f>
        <v>49486</v>
      </c>
      <c r="M93" s="42" cm="1">
        <f t="array" ref="M93">INDEX('BEA Data'!C:C,MATCH(TRIM('U.S. Data for ISIC Splits'!I93),'BEA Data'!E:E,0)+2)</f>
        <v>5501</v>
      </c>
      <c r="N93" s="42" cm="1">
        <f t="array" ref="N93">INDEX('BEA Data'!C:C,MATCH(TRIM('U.S. Data for ISIC Splits'!I93),'BEA Data'!E:E,0)+3)</f>
        <v>33613</v>
      </c>
    </row>
    <row r="94" spans="2:14" x14ac:dyDescent="0.35">
      <c r="B94">
        <v>74</v>
      </c>
      <c r="C94" t="s">
        <v>309</v>
      </c>
      <c r="D94" s="42">
        <v>15210</v>
      </c>
      <c r="E94" s="42" t="s">
        <v>19</v>
      </c>
      <c r="H94" t="s">
        <v>308</v>
      </c>
      <c r="I94" t="s">
        <v>757</v>
      </c>
      <c r="K94" s="42">
        <f>INDEX('BEA Data'!C:C,MATCH(TRIM('U.S. Data for ISIC Splits'!I94),'BEA Data'!E:E,0))</f>
        <v>2544166</v>
      </c>
      <c r="L94" s="42" cm="1">
        <f t="array" ref="L94">INDEX('BEA Data'!C:C,MATCH(TRIM('U.S. Data for ISIC Splits'!I94),'BEA Data'!E:E,0)+1)</f>
        <v>2039440</v>
      </c>
      <c r="M94" s="42" cm="1">
        <f t="array" ref="M94">INDEX('BEA Data'!C:C,MATCH(TRIM('U.S. Data for ISIC Splits'!I94),'BEA Data'!E:E,0)+2)</f>
        <v>57305</v>
      </c>
      <c r="N94" s="42" cm="1">
        <f t="array" ref="N94">INDEX('BEA Data'!C:C,MATCH(TRIM('U.S. Data for ISIC Splits'!I94),'BEA Data'!E:E,0)+3)</f>
        <v>447422</v>
      </c>
    </row>
    <row r="95" spans="2:14" x14ac:dyDescent="0.35">
      <c r="B95">
        <v>75</v>
      </c>
      <c r="C95" t="s">
        <v>311</v>
      </c>
      <c r="D95" s="42">
        <v>10305</v>
      </c>
      <c r="E95" s="42" t="s">
        <v>19</v>
      </c>
      <c r="H95" t="s">
        <v>310</v>
      </c>
      <c r="I95" t="s">
        <v>758</v>
      </c>
      <c r="J95" t="s">
        <v>37</v>
      </c>
      <c r="K95" s="42">
        <f>INDEX('BEA Data'!C:C,MATCH(TRIM('U.S. Data for ISIC Splits'!I95),'BEA Data'!E:E,0))</f>
        <v>334785</v>
      </c>
      <c r="L95" s="42" cm="1">
        <f t="array" ref="L95">INDEX('BEA Data'!C:C,MATCH(TRIM('U.S. Data for ISIC Splits'!I95),'BEA Data'!E:E,0)+1)</f>
        <v>268002</v>
      </c>
      <c r="M95" s="42" cm="1">
        <f t="array" ref="M95">INDEX('BEA Data'!C:C,MATCH(TRIM('U.S. Data for ISIC Splits'!I95),'BEA Data'!E:E,0)+2)</f>
        <v>13386</v>
      </c>
      <c r="N95" s="42" cm="1">
        <f t="array" ref="N95">INDEX('BEA Data'!C:C,MATCH(TRIM('U.S. Data for ISIC Splits'!I95),'BEA Data'!E:E,0)+3)</f>
        <v>53397</v>
      </c>
    </row>
    <row r="96" spans="2:14" x14ac:dyDescent="0.35">
      <c r="B96">
        <v>76</v>
      </c>
      <c r="C96" t="s">
        <v>313</v>
      </c>
      <c r="D96" s="42">
        <v>74843</v>
      </c>
      <c r="E96" s="42" t="s">
        <v>19</v>
      </c>
      <c r="H96" t="s">
        <v>312</v>
      </c>
      <c r="I96" t="s">
        <v>759</v>
      </c>
      <c r="J96" t="s">
        <v>38</v>
      </c>
      <c r="K96" s="42">
        <f>INDEX('BEA Data'!C:C,MATCH(TRIM('U.S. Data for ISIC Splits'!I96),'BEA Data'!E:E,0))</f>
        <v>2209381</v>
      </c>
      <c r="L96" s="42" cm="1">
        <f t="array" ref="L96">INDEX('BEA Data'!C:C,MATCH(TRIM('U.S. Data for ISIC Splits'!I96),'BEA Data'!E:E,0)+1)</f>
        <v>1771438</v>
      </c>
      <c r="M96" s="42" cm="1">
        <f t="array" ref="M96">INDEX('BEA Data'!C:C,MATCH(TRIM('U.S. Data for ISIC Splits'!I96),'BEA Data'!E:E,0)+2)</f>
        <v>43919</v>
      </c>
      <c r="N96" s="42" cm="1">
        <f t="array" ref="N96">INDEX('BEA Data'!C:C,MATCH(TRIM('U.S. Data for ISIC Splits'!I96),'BEA Data'!E:E,0)+3)</f>
        <v>394025</v>
      </c>
    </row>
    <row r="97" spans="2:14" x14ac:dyDescent="0.35">
      <c r="B97">
        <v>77</v>
      </c>
      <c r="C97" t="s">
        <v>315</v>
      </c>
      <c r="D97" s="42">
        <v>63070</v>
      </c>
      <c r="E97" s="42" t="s">
        <v>19</v>
      </c>
      <c r="H97" t="s">
        <v>314</v>
      </c>
      <c r="I97" t="s">
        <v>760</v>
      </c>
      <c r="K97" s="42">
        <f>INDEX('BEA Data'!C:C,MATCH(TRIM('U.S. Data for ISIC Splits'!I97),'BEA Data'!E:E,0))</f>
        <v>1078954</v>
      </c>
      <c r="L97" s="42" cm="1">
        <f t="array" ref="L97">INDEX('BEA Data'!C:C,MATCH(TRIM('U.S. Data for ISIC Splits'!I97),'BEA Data'!E:E,0)+1)</f>
        <v>816417</v>
      </c>
      <c r="M97" s="42" cm="1">
        <f t="array" ref="M97">INDEX('BEA Data'!C:C,MATCH(TRIM('U.S. Data for ISIC Splits'!I97),'BEA Data'!E:E,0)+2)</f>
        <v>13314</v>
      </c>
      <c r="N97" s="42" cm="1">
        <f t="array" ref="N97">INDEX('BEA Data'!C:C,MATCH(TRIM('U.S. Data for ISIC Splits'!I97),'BEA Data'!E:E,0)+3)</f>
        <v>249222</v>
      </c>
    </row>
    <row r="98" spans="2:14" x14ac:dyDescent="0.35">
      <c r="B98">
        <v>78</v>
      </c>
      <c r="C98" t="s">
        <v>317</v>
      </c>
      <c r="D98" s="42">
        <v>6027</v>
      </c>
      <c r="E98" s="42" t="s">
        <v>19</v>
      </c>
      <c r="H98" t="s">
        <v>316</v>
      </c>
      <c r="I98" t="s">
        <v>761</v>
      </c>
      <c r="K98" s="42">
        <f>INDEX('BEA Data'!C:C,MATCH(TRIM('U.S. Data for ISIC Splits'!I98),'BEA Data'!E:E,0))</f>
        <v>691481</v>
      </c>
      <c r="L98" s="42" cm="1">
        <f t="array" ref="L98">INDEX('BEA Data'!C:C,MATCH(TRIM('U.S. Data for ISIC Splits'!I98),'BEA Data'!E:E,0)+1)</f>
        <v>561566</v>
      </c>
      <c r="M98" s="42" cm="1">
        <f t="array" ref="M98">INDEX('BEA Data'!C:C,MATCH(TRIM('U.S. Data for ISIC Splits'!I98),'BEA Data'!E:E,0)+2)</f>
        <v>21070</v>
      </c>
      <c r="N98" s="42" cm="1">
        <f t="array" ref="N98">INDEX('BEA Data'!C:C,MATCH(TRIM('U.S. Data for ISIC Splits'!I98),'BEA Data'!E:E,0)+3)</f>
        <v>108844</v>
      </c>
    </row>
    <row r="99" spans="2:14" x14ac:dyDescent="0.35">
      <c r="B99">
        <v>79</v>
      </c>
      <c r="C99" t="s">
        <v>319</v>
      </c>
      <c r="D99" s="42">
        <v>10216</v>
      </c>
      <c r="E99" s="42" t="s">
        <v>19</v>
      </c>
      <c r="H99" t="s">
        <v>318</v>
      </c>
      <c r="I99" t="s">
        <v>762</v>
      </c>
      <c r="K99" s="42">
        <f>INDEX('BEA Data'!C:C,MATCH(TRIM('U.S. Data for ISIC Splits'!I99),'BEA Data'!E:E,0))</f>
        <v>212314</v>
      </c>
      <c r="L99" s="42" cm="1">
        <f t="array" ref="L99">INDEX('BEA Data'!C:C,MATCH(TRIM('U.S. Data for ISIC Splits'!I99),'BEA Data'!E:E,0)+1)</f>
        <v>188682</v>
      </c>
      <c r="M99" s="42" cm="1">
        <f t="array" ref="M99">INDEX('BEA Data'!C:C,MATCH(TRIM('U.S. Data for ISIC Splits'!I99),'BEA Data'!E:E,0)+2)</f>
        <v>9511</v>
      </c>
      <c r="N99" s="42" cm="1">
        <f t="array" ref="N99">INDEX('BEA Data'!C:C,MATCH(TRIM('U.S. Data for ISIC Splits'!I99),'BEA Data'!E:E,0)+3)</f>
        <v>14121</v>
      </c>
    </row>
    <row r="100" spans="2:14" x14ac:dyDescent="0.35">
      <c r="B100">
        <v>80</v>
      </c>
      <c r="C100" t="s">
        <v>321</v>
      </c>
      <c r="D100" s="42">
        <v>26116</v>
      </c>
      <c r="E100" s="42" t="s">
        <v>19</v>
      </c>
      <c r="H100" t="s">
        <v>320</v>
      </c>
      <c r="I100" t="s">
        <v>763</v>
      </c>
      <c r="K100" s="42">
        <f>INDEX('BEA Data'!C:C,MATCH(TRIM('U.S. Data for ISIC Splits'!I100),'BEA Data'!E:E,0))</f>
        <v>226633</v>
      </c>
      <c r="L100" s="42" cm="1">
        <f t="array" ref="L100">INDEX('BEA Data'!C:C,MATCH(TRIM('U.S. Data for ISIC Splits'!I100),'BEA Data'!E:E,0)+1)</f>
        <v>204772</v>
      </c>
      <c r="M100" s="42" cm="1">
        <f t="array" ref="M100">INDEX('BEA Data'!C:C,MATCH(TRIM('U.S. Data for ISIC Splits'!I100),'BEA Data'!E:E,0)+2)</f>
        <v>24</v>
      </c>
      <c r="N100" s="42" cm="1">
        <f t="array" ref="N100">INDEX('BEA Data'!C:C,MATCH(TRIM('U.S. Data for ISIC Splits'!I100),'BEA Data'!E:E,0)+3)</f>
        <v>21837</v>
      </c>
    </row>
    <row r="101" spans="2:14" x14ac:dyDescent="0.35">
      <c r="B101">
        <v>81</v>
      </c>
      <c r="C101" t="s">
        <v>323</v>
      </c>
      <c r="D101" s="42">
        <v>10520</v>
      </c>
      <c r="E101" s="42" t="s">
        <v>19</v>
      </c>
      <c r="H101" t="s">
        <v>322</v>
      </c>
      <c r="I101" t="s">
        <v>764</v>
      </c>
      <c r="K101" s="42">
        <f>INDEX('BEA Data'!C:C,MATCH(TRIM('U.S. Data for ISIC Splits'!I101),'BEA Data'!E:E,0))</f>
        <v>1287121</v>
      </c>
      <c r="L101" s="42" cm="1">
        <f t="array" ref="L101">INDEX('BEA Data'!C:C,MATCH(TRIM('U.S. Data for ISIC Splits'!I101),'BEA Data'!E:E,0)+1)</f>
        <v>737085</v>
      </c>
      <c r="M101" s="42" cm="1">
        <f t="array" ref="M101">INDEX('BEA Data'!C:C,MATCH(TRIM('U.S. Data for ISIC Splits'!I101),'BEA Data'!E:E,0)+2)</f>
        <v>175157</v>
      </c>
      <c r="N101" s="42" cm="1">
        <f t="array" ref="N101">INDEX('BEA Data'!C:C,MATCH(TRIM('U.S. Data for ISIC Splits'!I101),'BEA Data'!E:E,0)+3)</f>
        <v>374880</v>
      </c>
    </row>
    <row r="102" spans="2:14" x14ac:dyDescent="0.35">
      <c r="B102">
        <v>82</v>
      </c>
      <c r="C102" t="s">
        <v>325</v>
      </c>
      <c r="D102" s="42">
        <v>10643</v>
      </c>
      <c r="E102" s="42" t="s">
        <v>19</v>
      </c>
      <c r="H102" t="s">
        <v>324</v>
      </c>
      <c r="I102" t="s">
        <v>765</v>
      </c>
      <c r="J102" t="s">
        <v>39</v>
      </c>
      <c r="K102" s="42">
        <f>INDEX('BEA Data'!C:C,MATCH(TRIM('U.S. Data for ISIC Splits'!I102),'BEA Data'!E:E,0))</f>
        <v>326765</v>
      </c>
      <c r="L102" s="42" cm="1">
        <f t="array" ref="L102">INDEX('BEA Data'!C:C,MATCH(TRIM('U.S. Data for ISIC Splits'!I102),'BEA Data'!E:E,0)+1)</f>
        <v>170175</v>
      </c>
      <c r="M102" s="42" cm="1">
        <f t="array" ref="M102">INDEX('BEA Data'!C:C,MATCH(TRIM('U.S. Data for ISIC Splits'!I102),'BEA Data'!E:E,0)+2)</f>
        <v>38879</v>
      </c>
      <c r="N102" s="42" cm="1">
        <f t="array" ref="N102">INDEX('BEA Data'!C:C,MATCH(TRIM('U.S. Data for ISIC Splits'!I102),'BEA Data'!E:E,0)+3)</f>
        <v>117712</v>
      </c>
    </row>
    <row r="103" spans="2:14" x14ac:dyDescent="0.35">
      <c r="B103">
        <v>83</v>
      </c>
      <c r="C103" t="s">
        <v>327</v>
      </c>
      <c r="D103" s="42">
        <v>45342</v>
      </c>
      <c r="E103" s="42" t="s">
        <v>19</v>
      </c>
      <c r="H103" t="s">
        <v>326</v>
      </c>
      <c r="I103" t="s">
        <v>766</v>
      </c>
      <c r="K103" s="42">
        <f>INDEX('BEA Data'!C:C,MATCH(TRIM('U.S. Data for ISIC Splits'!I103),'BEA Data'!E:E,0))</f>
        <v>190761</v>
      </c>
      <c r="L103" s="42" cm="1">
        <f t="array" ref="L103">INDEX('BEA Data'!C:C,MATCH(TRIM('U.S. Data for ISIC Splits'!I103),'BEA Data'!E:E,0)+1)</f>
        <v>88859</v>
      </c>
      <c r="M103" s="42" cm="1">
        <f t="array" ref="M103">INDEX('BEA Data'!C:C,MATCH(TRIM('U.S. Data for ISIC Splits'!I103),'BEA Data'!E:E,0)+2)</f>
        <v>10595</v>
      </c>
      <c r="N103" s="42" cm="1">
        <f t="array" ref="N103">INDEX('BEA Data'!C:C,MATCH(TRIM('U.S. Data for ISIC Splits'!I103),'BEA Data'!E:E,0)+3)</f>
        <v>91307</v>
      </c>
    </row>
    <row r="104" spans="2:14" x14ac:dyDescent="0.35">
      <c r="B104">
        <v>84</v>
      </c>
      <c r="C104" t="s">
        <v>329</v>
      </c>
      <c r="D104" s="42">
        <v>33604</v>
      </c>
      <c r="E104" s="42" t="s">
        <v>19</v>
      </c>
      <c r="H104" t="s">
        <v>328</v>
      </c>
      <c r="I104" t="s">
        <v>767</v>
      </c>
      <c r="K104" s="42">
        <f>INDEX('BEA Data'!C:C,MATCH(TRIM('U.S. Data for ISIC Splits'!I104),'BEA Data'!E:E,0))</f>
        <v>136004</v>
      </c>
      <c r="L104" s="42" cm="1">
        <f t="array" ref="L104">INDEX('BEA Data'!C:C,MATCH(TRIM('U.S. Data for ISIC Splits'!I104),'BEA Data'!E:E,0)+1)</f>
        <v>81316</v>
      </c>
      <c r="M104" s="42" cm="1">
        <f t="array" ref="M104">INDEX('BEA Data'!C:C,MATCH(TRIM('U.S. Data for ISIC Splits'!I104),'BEA Data'!E:E,0)+2)</f>
        <v>28284</v>
      </c>
      <c r="N104" s="42" cm="1">
        <f t="array" ref="N104">INDEX('BEA Data'!C:C,MATCH(TRIM('U.S. Data for ISIC Splits'!I104),'BEA Data'!E:E,0)+3)</f>
        <v>26404</v>
      </c>
    </row>
    <row r="105" spans="2:14" x14ac:dyDescent="0.35">
      <c r="B105">
        <v>85</v>
      </c>
      <c r="C105" t="s">
        <v>331</v>
      </c>
      <c r="D105" s="42">
        <v>32129</v>
      </c>
      <c r="E105" s="42" t="s">
        <v>19</v>
      </c>
      <c r="H105" t="s">
        <v>330</v>
      </c>
      <c r="I105" t="s">
        <v>768</v>
      </c>
      <c r="J105" t="s">
        <v>29</v>
      </c>
      <c r="K105" s="42">
        <f>INDEX('BEA Data'!C:C,MATCH(TRIM('U.S. Data for ISIC Splits'!I105),'BEA Data'!E:E,0))</f>
        <v>960356</v>
      </c>
      <c r="L105" s="42" cm="1">
        <f t="array" ref="L105">INDEX('BEA Data'!C:C,MATCH(TRIM('U.S. Data for ISIC Splits'!I105),'BEA Data'!E:E,0)+1)</f>
        <v>566910</v>
      </c>
      <c r="M105" s="42" cm="1">
        <f t="array" ref="M105">INDEX('BEA Data'!C:C,MATCH(TRIM('U.S. Data for ISIC Splits'!I105),'BEA Data'!E:E,0)+2)</f>
        <v>136278</v>
      </c>
      <c r="N105" s="42" cm="1">
        <f t="array" ref="N105">INDEX('BEA Data'!C:C,MATCH(TRIM('U.S. Data for ISIC Splits'!I105),'BEA Data'!E:E,0)+3)</f>
        <v>257168</v>
      </c>
    </row>
    <row r="106" spans="2:14" x14ac:dyDescent="0.35">
      <c r="B106">
        <v>86</v>
      </c>
      <c r="C106" t="s">
        <v>333</v>
      </c>
      <c r="D106" s="42">
        <v>6559</v>
      </c>
      <c r="E106" s="42" t="s">
        <v>19</v>
      </c>
      <c r="H106" t="s">
        <v>332</v>
      </c>
      <c r="I106" t="s">
        <v>769</v>
      </c>
      <c r="K106" s="42">
        <f>INDEX('BEA Data'!C:C,MATCH(TRIM('U.S. Data for ISIC Splits'!I106),'BEA Data'!E:E,0))</f>
        <v>257248</v>
      </c>
      <c r="L106" s="42" cm="1">
        <f t="array" ref="L106">INDEX('BEA Data'!C:C,MATCH(TRIM('U.S. Data for ISIC Splits'!I106),'BEA Data'!E:E,0)+1)</f>
        <v>108160</v>
      </c>
      <c r="M106" s="42" cm="1">
        <f t="array" ref="M106">INDEX('BEA Data'!C:C,MATCH(TRIM('U.S. Data for ISIC Splits'!I106),'BEA Data'!E:E,0)+2)</f>
        <v>47232</v>
      </c>
      <c r="N106" s="42" cm="1">
        <f t="array" ref="N106">INDEX('BEA Data'!C:C,MATCH(TRIM('U.S. Data for ISIC Splits'!I106),'BEA Data'!E:E,0)+3)</f>
        <v>101857</v>
      </c>
    </row>
    <row r="107" spans="2:14" x14ac:dyDescent="0.35">
      <c r="B107">
        <v>87</v>
      </c>
      <c r="C107" t="s">
        <v>335</v>
      </c>
      <c r="D107" s="42">
        <v>32432</v>
      </c>
      <c r="E107" s="42" t="s">
        <v>19</v>
      </c>
      <c r="H107" t="s">
        <v>334</v>
      </c>
      <c r="I107" t="s">
        <v>770</v>
      </c>
      <c r="K107" s="42">
        <f>INDEX('BEA Data'!C:C,MATCH(TRIM('U.S. Data for ISIC Splits'!I107),'BEA Data'!E:E,0))</f>
        <v>703108</v>
      </c>
      <c r="L107" s="42" cm="1">
        <f t="array" ref="L107">INDEX('BEA Data'!C:C,MATCH(TRIM('U.S. Data for ISIC Splits'!I107),'BEA Data'!E:E,0)+1)</f>
        <v>458750</v>
      </c>
      <c r="M107" s="42" cm="1">
        <f t="array" ref="M107">INDEX('BEA Data'!C:C,MATCH(TRIM('U.S. Data for ISIC Splits'!I107),'BEA Data'!E:E,0)+2)</f>
        <v>89045</v>
      </c>
      <c r="N107" s="42" cm="1">
        <f t="array" ref="N107">INDEX('BEA Data'!C:C,MATCH(TRIM('U.S. Data for ISIC Splits'!I107),'BEA Data'!E:E,0)+3)</f>
        <v>155312</v>
      </c>
    </row>
    <row r="108" spans="2:14" x14ac:dyDescent="0.35">
      <c r="B108">
        <v>88</v>
      </c>
      <c r="C108" t="s">
        <v>337</v>
      </c>
      <c r="D108" s="42">
        <v>5847</v>
      </c>
      <c r="E108" s="42" t="s">
        <v>19</v>
      </c>
      <c r="H108" t="s">
        <v>336</v>
      </c>
      <c r="I108" t="s">
        <v>771</v>
      </c>
      <c r="J108" t="s">
        <v>1220</v>
      </c>
      <c r="K108" s="42">
        <f>INDEX('BEA Data'!C:C,MATCH(TRIM('U.S. Data for ISIC Splits'!I108),'BEA Data'!E:E,0))</f>
        <v>627985</v>
      </c>
      <c r="L108" s="42" cm="1">
        <f t="array" ref="L108">INDEX('BEA Data'!C:C,MATCH(TRIM('U.S. Data for ISIC Splits'!I108),'BEA Data'!E:E,0)+1)</f>
        <v>437654</v>
      </c>
      <c r="M108" s="42" cm="1">
        <f t="array" ref="M108">INDEX('BEA Data'!C:C,MATCH(TRIM('U.S. Data for ISIC Splits'!I108),'BEA Data'!E:E,0)+2)</f>
        <v>35764</v>
      </c>
      <c r="N108" s="42" cm="1">
        <f t="array" ref="N108">INDEX('BEA Data'!C:C,MATCH(TRIM('U.S. Data for ISIC Splits'!I108),'BEA Data'!E:E,0)+3)</f>
        <v>154567</v>
      </c>
    </row>
    <row r="109" spans="2:14" x14ac:dyDescent="0.35">
      <c r="B109">
        <v>89</v>
      </c>
      <c r="C109" t="s">
        <v>339</v>
      </c>
      <c r="D109" s="42">
        <v>7465</v>
      </c>
      <c r="E109" s="42" t="s">
        <v>19</v>
      </c>
      <c r="H109" t="s">
        <v>338</v>
      </c>
      <c r="I109" t="s">
        <v>772</v>
      </c>
      <c r="J109" t="s">
        <v>36</v>
      </c>
      <c r="K109" s="42">
        <f>INDEX('BEA Data'!C:C,MATCH(TRIM('U.S. Data for ISIC Splits'!I109),'BEA Data'!E:E,0))</f>
        <v>3296342</v>
      </c>
      <c r="L109" s="42" cm="1">
        <f t="array" ref="L109">INDEX('BEA Data'!C:C,MATCH(TRIM('U.S. Data for ISIC Splits'!I109),'BEA Data'!E:E,0)+1)</f>
        <v>2585459</v>
      </c>
      <c r="M109" s="42" cm="1">
        <f t="array" ref="M109">INDEX('BEA Data'!C:C,MATCH(TRIM('U.S. Data for ISIC Splits'!I109),'BEA Data'!E:E,0)+2)</f>
        <v>-45450</v>
      </c>
      <c r="N109" s="42" cm="1">
        <f t="array" ref="N109">INDEX('BEA Data'!C:C,MATCH(TRIM('U.S. Data for ISIC Splits'!I109),'BEA Data'!E:E,0)+3)</f>
        <v>756333</v>
      </c>
    </row>
    <row r="110" spans="2:14" x14ac:dyDescent="0.35">
      <c r="B110">
        <v>90</v>
      </c>
      <c r="C110" t="s">
        <v>341</v>
      </c>
      <c r="D110" s="42">
        <v>30598</v>
      </c>
      <c r="E110" s="42" t="s">
        <v>19</v>
      </c>
      <c r="H110" t="s">
        <v>340</v>
      </c>
      <c r="I110" t="s">
        <v>773</v>
      </c>
      <c r="K110" s="42">
        <f>INDEX('BEA Data'!C:C,MATCH(TRIM('U.S. Data for ISIC Splits'!I110),'BEA Data'!E:E,0))</f>
        <v>1064857</v>
      </c>
      <c r="L110" s="42" cm="1">
        <f t="array" ref="L110">INDEX('BEA Data'!C:C,MATCH(TRIM('U.S. Data for ISIC Splits'!I110),'BEA Data'!E:E,0)+1)</f>
        <v>680171</v>
      </c>
      <c r="M110" s="42" cm="1">
        <f t="array" ref="M110">INDEX('BEA Data'!C:C,MATCH(TRIM('U.S. Data for ISIC Splits'!I110),'BEA Data'!E:E,0)+2)</f>
        <v>-6847</v>
      </c>
      <c r="N110" s="42" cm="1">
        <f t="array" ref="N110">INDEX('BEA Data'!C:C,MATCH(TRIM('U.S. Data for ISIC Splits'!I110),'BEA Data'!E:E,0)+3)</f>
        <v>391533</v>
      </c>
    </row>
    <row r="111" spans="2:14" x14ac:dyDescent="0.35">
      <c r="B111">
        <v>91</v>
      </c>
      <c r="C111" t="s">
        <v>343</v>
      </c>
      <c r="D111" s="42">
        <v>20509</v>
      </c>
      <c r="E111" s="42" t="s">
        <v>19</v>
      </c>
      <c r="H111" t="s">
        <v>342</v>
      </c>
      <c r="I111" t="s">
        <v>774</v>
      </c>
      <c r="K111" s="42">
        <f>INDEX('BEA Data'!C:C,MATCH(TRIM('U.S. Data for ISIC Splits'!I111),'BEA Data'!E:E,0))</f>
        <v>986778</v>
      </c>
      <c r="L111" s="42" cm="1">
        <f t="array" ref="L111">INDEX('BEA Data'!C:C,MATCH(TRIM('U.S. Data for ISIC Splits'!I111),'BEA Data'!E:E,0)+1)</f>
        <v>607449</v>
      </c>
      <c r="M111" s="42" t="str" cm="1">
        <f t="array" ref="M111">INDEX('BEA Data'!C:C,MATCH(TRIM('U.S. Data for ISIC Splits'!I111),'BEA Data'!E:E,0)+2)</f>
        <v>---</v>
      </c>
      <c r="N111" s="42" cm="1">
        <f t="array" ref="N111">INDEX('BEA Data'!C:C,MATCH(TRIM('U.S. Data for ISIC Splits'!I111),'BEA Data'!E:E,0)+3)</f>
        <v>379329</v>
      </c>
    </row>
    <row r="112" spans="2:14" x14ac:dyDescent="0.35">
      <c r="B112">
        <v>92</v>
      </c>
      <c r="C112" t="s">
        <v>345</v>
      </c>
      <c r="D112" s="42">
        <v>34572</v>
      </c>
      <c r="E112" s="42" t="s">
        <v>22</v>
      </c>
      <c r="H112" t="s">
        <v>344</v>
      </c>
      <c r="I112" t="s">
        <v>775</v>
      </c>
      <c r="K112" s="42">
        <f>INDEX('BEA Data'!C:C,MATCH(TRIM('U.S. Data for ISIC Splits'!I112),'BEA Data'!E:E,0))</f>
        <v>549405</v>
      </c>
      <c r="L112" s="42" cm="1">
        <f t="array" ref="L112">INDEX('BEA Data'!C:C,MATCH(TRIM('U.S. Data for ISIC Splits'!I112),'BEA Data'!E:E,0)+1)</f>
        <v>339732</v>
      </c>
      <c r="M112" s="42" t="str" cm="1">
        <f t="array" ref="M112">INDEX('BEA Data'!C:C,MATCH(TRIM('U.S. Data for ISIC Splits'!I112),'BEA Data'!E:E,0)+2)</f>
        <v>---</v>
      </c>
      <c r="N112" s="42" cm="1">
        <f t="array" ref="N112">INDEX('BEA Data'!C:C,MATCH(TRIM('U.S. Data for ISIC Splits'!I112),'BEA Data'!E:E,0)+3)</f>
        <v>209673</v>
      </c>
    </row>
    <row r="113" spans="2:14" x14ac:dyDescent="0.35">
      <c r="B113">
        <v>93</v>
      </c>
      <c r="C113" t="s">
        <v>347</v>
      </c>
      <c r="D113" s="42">
        <v>11185</v>
      </c>
      <c r="E113" s="42" t="s">
        <v>22</v>
      </c>
      <c r="H113" t="s">
        <v>346</v>
      </c>
      <c r="I113" t="s">
        <v>776</v>
      </c>
      <c r="K113" s="42">
        <f>INDEX('BEA Data'!C:C,MATCH(TRIM('U.S. Data for ISIC Splits'!I113),'BEA Data'!E:E,0))</f>
        <v>437373</v>
      </c>
      <c r="L113" s="42" cm="1">
        <f t="array" ref="L113">INDEX('BEA Data'!C:C,MATCH(TRIM('U.S. Data for ISIC Splits'!I113),'BEA Data'!E:E,0)+1)</f>
        <v>267716</v>
      </c>
      <c r="M113" s="42" t="str" cm="1">
        <f t="array" ref="M113">INDEX('BEA Data'!C:C,MATCH(TRIM('U.S. Data for ISIC Splits'!I113),'BEA Data'!E:E,0)+2)</f>
        <v>---</v>
      </c>
      <c r="N113" s="42" cm="1">
        <f t="array" ref="N113">INDEX('BEA Data'!C:C,MATCH(TRIM('U.S. Data for ISIC Splits'!I113),'BEA Data'!E:E,0)+3)</f>
        <v>169656</v>
      </c>
    </row>
    <row r="114" spans="2:14" x14ac:dyDescent="0.35">
      <c r="B114">
        <v>94</v>
      </c>
      <c r="C114" t="s">
        <v>349</v>
      </c>
      <c r="D114" s="42">
        <v>42306</v>
      </c>
      <c r="E114" s="42" t="s">
        <v>22</v>
      </c>
      <c r="H114" t="s">
        <v>348</v>
      </c>
      <c r="I114" t="s">
        <v>777</v>
      </c>
      <c r="K114" s="42">
        <f>INDEX('BEA Data'!C:C,MATCH(TRIM('U.S. Data for ISIC Splits'!I114),'BEA Data'!E:E,0))</f>
        <v>78079</v>
      </c>
      <c r="L114" s="42" cm="1">
        <f t="array" ref="L114">INDEX('BEA Data'!C:C,MATCH(TRIM('U.S. Data for ISIC Splits'!I114),'BEA Data'!E:E,0)+1)</f>
        <v>72723</v>
      </c>
      <c r="M114" s="42" cm="1">
        <f t="array" ref="M114">INDEX('BEA Data'!C:C,MATCH(TRIM('U.S. Data for ISIC Splits'!I114),'BEA Data'!E:E,0)+2)</f>
        <v>-6847</v>
      </c>
      <c r="N114" s="42" cm="1">
        <f t="array" ref="N114">INDEX('BEA Data'!C:C,MATCH(TRIM('U.S. Data for ISIC Splits'!I114),'BEA Data'!E:E,0)+3)</f>
        <v>12204</v>
      </c>
    </row>
    <row r="115" spans="2:14" x14ac:dyDescent="0.35">
      <c r="B115">
        <v>95</v>
      </c>
      <c r="C115" t="s">
        <v>351</v>
      </c>
      <c r="D115" s="42">
        <v>15772</v>
      </c>
      <c r="E115" s="42" t="s">
        <v>22</v>
      </c>
      <c r="H115" t="s">
        <v>350</v>
      </c>
      <c r="I115" t="s">
        <v>778</v>
      </c>
      <c r="K115" s="42">
        <f>INDEX('BEA Data'!C:C,MATCH(TRIM('U.S. Data for ISIC Splits'!I115),'BEA Data'!E:E,0))</f>
        <v>2231485</v>
      </c>
      <c r="L115" s="42" cm="1">
        <f t="array" ref="L115">INDEX('BEA Data'!C:C,MATCH(TRIM('U.S. Data for ISIC Splits'!I115),'BEA Data'!E:E,0)+1)</f>
        <v>1905288</v>
      </c>
      <c r="M115" s="42" cm="1">
        <f t="array" ref="M115">INDEX('BEA Data'!C:C,MATCH(TRIM('U.S. Data for ISIC Splits'!I115),'BEA Data'!E:E,0)+2)</f>
        <v>-38603</v>
      </c>
      <c r="N115" s="42" cm="1">
        <f t="array" ref="N115">INDEX('BEA Data'!C:C,MATCH(TRIM('U.S. Data for ISIC Splits'!I115),'BEA Data'!E:E,0)+3)</f>
        <v>364800</v>
      </c>
    </row>
    <row r="116" spans="2:14" x14ac:dyDescent="0.35">
      <c r="B116">
        <v>96</v>
      </c>
      <c r="C116" t="s">
        <v>353</v>
      </c>
      <c r="D116" s="42">
        <v>12903</v>
      </c>
      <c r="E116" s="42" t="s">
        <v>22</v>
      </c>
      <c r="H116" t="s">
        <v>352</v>
      </c>
      <c r="I116" t="s">
        <v>774</v>
      </c>
      <c r="K116" s="42">
        <f>INDEX('BEA Data'!C:C,MATCH(TRIM('U.S. Data for ISIC Splits'!I116),'BEA Data'!E:E,0))</f>
        <v>986778</v>
      </c>
      <c r="L116" s="42" cm="1">
        <f t="array" ref="L116">INDEX('BEA Data'!C:C,MATCH(TRIM('U.S. Data for ISIC Splits'!I116),'BEA Data'!E:E,0)+1)</f>
        <v>607449</v>
      </c>
      <c r="M116" s="42" t="str" cm="1">
        <f t="array" ref="M116">INDEX('BEA Data'!C:C,MATCH(TRIM('U.S. Data for ISIC Splits'!I116),'BEA Data'!E:E,0)+2)</f>
        <v>---</v>
      </c>
      <c r="N116" s="42" cm="1">
        <f t="array" ref="N116">INDEX('BEA Data'!C:C,MATCH(TRIM('U.S. Data for ISIC Splits'!I116),'BEA Data'!E:E,0)+3)</f>
        <v>379329</v>
      </c>
    </row>
    <row r="117" spans="2:14" x14ac:dyDescent="0.35">
      <c r="B117">
        <v>97</v>
      </c>
      <c r="C117" t="s">
        <v>355</v>
      </c>
      <c r="D117" s="42">
        <v>26973</v>
      </c>
      <c r="E117" s="42" t="s">
        <v>22</v>
      </c>
      <c r="H117" t="s">
        <v>354</v>
      </c>
      <c r="I117" t="s">
        <v>777</v>
      </c>
      <c r="K117" s="42">
        <f>INDEX('BEA Data'!C:C,MATCH(TRIM('U.S. Data for ISIC Splits'!I117),'BEA Data'!E:E,0))</f>
        <v>78079</v>
      </c>
      <c r="L117" s="42" cm="1">
        <f t="array" ref="L117">INDEX('BEA Data'!C:C,MATCH(TRIM('U.S. Data for ISIC Splits'!I117),'BEA Data'!E:E,0)+1)</f>
        <v>72723</v>
      </c>
      <c r="M117" s="42" cm="1">
        <f t="array" ref="M117">INDEX('BEA Data'!C:C,MATCH(TRIM('U.S. Data for ISIC Splits'!I117),'BEA Data'!E:E,0)+2)</f>
        <v>-6847</v>
      </c>
      <c r="N117" s="42" cm="1">
        <f t="array" ref="N117">INDEX('BEA Data'!C:C,MATCH(TRIM('U.S. Data for ISIC Splits'!I117),'BEA Data'!E:E,0)+3)</f>
        <v>12204</v>
      </c>
    </row>
    <row r="118" spans="2:14" x14ac:dyDescent="0.35">
      <c r="B118">
        <v>98</v>
      </c>
      <c r="C118" t="s">
        <v>356</v>
      </c>
      <c r="D118" s="42">
        <v>7250</v>
      </c>
      <c r="E118" s="42" t="s">
        <v>22</v>
      </c>
    </row>
    <row r="119" spans="2:14" x14ac:dyDescent="0.35">
      <c r="B119">
        <v>99</v>
      </c>
      <c r="C119" t="s">
        <v>357</v>
      </c>
      <c r="D119" s="42">
        <v>1355</v>
      </c>
      <c r="E119" s="42" t="s">
        <v>22</v>
      </c>
    </row>
    <row r="120" spans="2:14" x14ac:dyDescent="0.35">
      <c r="B120">
        <v>100</v>
      </c>
      <c r="C120" t="s">
        <v>358</v>
      </c>
      <c r="D120" s="42">
        <v>19944</v>
      </c>
      <c r="E120" s="42" t="s">
        <v>22</v>
      </c>
    </row>
    <row r="121" spans="2:14" x14ac:dyDescent="0.35">
      <c r="B121">
        <v>101</v>
      </c>
      <c r="C121" t="s">
        <v>359</v>
      </c>
      <c r="D121" s="42">
        <v>7572</v>
      </c>
      <c r="E121" s="42" t="s">
        <v>22</v>
      </c>
    </row>
    <row r="122" spans="2:14" x14ac:dyDescent="0.35">
      <c r="B122">
        <v>102</v>
      </c>
      <c r="C122" t="s">
        <v>360</v>
      </c>
      <c r="D122" s="42">
        <v>45873</v>
      </c>
      <c r="E122" s="42" t="s">
        <v>22</v>
      </c>
    </row>
    <row r="123" spans="2:14" x14ac:dyDescent="0.35">
      <c r="B123">
        <v>103</v>
      </c>
      <c r="C123" t="s">
        <v>361</v>
      </c>
      <c r="D123" s="42">
        <v>10205</v>
      </c>
      <c r="E123" s="42" t="s">
        <v>22</v>
      </c>
    </row>
    <row r="124" spans="2:14" x14ac:dyDescent="0.35">
      <c r="B124">
        <v>104</v>
      </c>
      <c r="C124" t="s">
        <v>362</v>
      </c>
      <c r="D124" s="42">
        <v>6495</v>
      </c>
      <c r="E124" s="42" t="s">
        <v>22</v>
      </c>
    </row>
    <row r="125" spans="2:14" x14ac:dyDescent="0.35">
      <c r="B125">
        <v>105</v>
      </c>
      <c r="C125" t="s">
        <v>363</v>
      </c>
      <c r="D125" s="42">
        <v>9296</v>
      </c>
      <c r="E125" s="42" t="s">
        <v>22</v>
      </c>
    </row>
    <row r="126" spans="2:14" x14ac:dyDescent="0.35">
      <c r="B126">
        <v>106</v>
      </c>
      <c r="C126" t="s">
        <v>364</v>
      </c>
      <c r="D126" s="42">
        <v>9133</v>
      </c>
      <c r="E126" s="42" t="s">
        <v>22</v>
      </c>
    </row>
    <row r="127" spans="2:14" x14ac:dyDescent="0.35">
      <c r="B127">
        <v>107</v>
      </c>
      <c r="C127" t="s">
        <v>365</v>
      </c>
      <c r="D127" s="42">
        <v>8764</v>
      </c>
      <c r="E127" s="42" t="s">
        <v>22</v>
      </c>
    </row>
    <row r="128" spans="2:14" x14ac:dyDescent="0.35">
      <c r="B128">
        <v>108</v>
      </c>
      <c r="C128" t="s">
        <v>366</v>
      </c>
      <c r="D128" s="42">
        <v>11003</v>
      </c>
      <c r="E128" s="42" t="s">
        <v>22</v>
      </c>
    </row>
    <row r="129" spans="2:5" x14ac:dyDescent="0.35">
      <c r="B129">
        <v>109</v>
      </c>
      <c r="C129" t="s">
        <v>367</v>
      </c>
      <c r="D129" s="42">
        <v>4552</v>
      </c>
      <c r="E129" s="42" t="s">
        <v>22</v>
      </c>
    </row>
    <row r="130" spans="2:5" x14ac:dyDescent="0.35">
      <c r="B130">
        <v>110</v>
      </c>
      <c r="C130" t="s">
        <v>368</v>
      </c>
      <c r="D130" s="42">
        <v>5592</v>
      </c>
      <c r="E130" s="42" t="s">
        <v>22</v>
      </c>
    </row>
    <row r="131" spans="2:5" x14ac:dyDescent="0.35">
      <c r="B131">
        <v>111</v>
      </c>
      <c r="C131" t="s">
        <v>369</v>
      </c>
      <c r="D131" s="42">
        <v>30699</v>
      </c>
      <c r="E131" s="42" t="s">
        <v>22</v>
      </c>
    </row>
    <row r="132" spans="2:5" x14ac:dyDescent="0.35">
      <c r="B132">
        <v>112</v>
      </c>
      <c r="C132" t="s">
        <v>370</v>
      </c>
      <c r="D132" s="42">
        <v>9217</v>
      </c>
      <c r="E132" s="42" t="s">
        <v>22</v>
      </c>
    </row>
    <row r="133" spans="2:5" x14ac:dyDescent="0.35">
      <c r="B133">
        <v>113</v>
      </c>
      <c r="C133" t="s">
        <v>1208</v>
      </c>
      <c r="D133" s="42">
        <v>16519</v>
      </c>
      <c r="E133" s="42" t="s">
        <v>22</v>
      </c>
    </row>
    <row r="134" spans="2:5" x14ac:dyDescent="0.35">
      <c r="B134">
        <v>114</v>
      </c>
      <c r="C134" t="s">
        <v>371</v>
      </c>
      <c r="D134" s="42">
        <v>33966</v>
      </c>
      <c r="E134" s="42" t="s">
        <v>22</v>
      </c>
    </row>
    <row r="135" spans="2:5" x14ac:dyDescent="0.35">
      <c r="B135">
        <v>115</v>
      </c>
      <c r="C135" t="s">
        <v>372</v>
      </c>
      <c r="D135" s="42">
        <v>2886</v>
      </c>
      <c r="E135" s="42" t="s">
        <v>22</v>
      </c>
    </row>
    <row r="136" spans="2:5" x14ac:dyDescent="0.35">
      <c r="B136">
        <v>116</v>
      </c>
      <c r="C136" t="s">
        <v>373</v>
      </c>
      <c r="D136" s="42">
        <v>8975</v>
      </c>
      <c r="E136" s="42" t="s">
        <v>22</v>
      </c>
    </row>
    <row r="137" spans="2:5" x14ac:dyDescent="0.35">
      <c r="B137">
        <v>117</v>
      </c>
      <c r="C137" t="s">
        <v>374</v>
      </c>
      <c r="D137" s="42">
        <v>3558</v>
      </c>
      <c r="E137" s="42" t="s">
        <v>22</v>
      </c>
    </row>
    <row r="138" spans="2:5" x14ac:dyDescent="0.35">
      <c r="B138">
        <v>118</v>
      </c>
      <c r="C138" t="s">
        <v>375</v>
      </c>
      <c r="D138" s="42">
        <v>27091</v>
      </c>
      <c r="E138" s="42" t="s">
        <v>22</v>
      </c>
    </row>
    <row r="139" spans="2:5" x14ac:dyDescent="0.35">
      <c r="B139">
        <v>119</v>
      </c>
      <c r="C139" t="s">
        <v>376</v>
      </c>
      <c r="D139" s="42">
        <v>13068</v>
      </c>
      <c r="E139" s="42" t="s">
        <v>22</v>
      </c>
    </row>
    <row r="140" spans="2:5" x14ac:dyDescent="0.35">
      <c r="B140">
        <v>120</v>
      </c>
      <c r="C140" t="s">
        <v>377</v>
      </c>
      <c r="D140" s="42">
        <v>29563</v>
      </c>
      <c r="E140" s="42" t="s">
        <v>20</v>
      </c>
    </row>
    <row r="141" spans="2:5" x14ac:dyDescent="0.35">
      <c r="B141">
        <v>121</v>
      </c>
      <c r="C141" t="s">
        <v>378</v>
      </c>
      <c r="D141" s="42">
        <v>7751</v>
      </c>
      <c r="E141" s="42" t="s">
        <v>20</v>
      </c>
    </row>
    <row r="142" spans="2:5" x14ac:dyDescent="0.35">
      <c r="B142">
        <v>122</v>
      </c>
      <c r="C142" t="s">
        <v>379</v>
      </c>
      <c r="D142" s="42">
        <v>8786</v>
      </c>
      <c r="E142" s="42" t="s">
        <v>20</v>
      </c>
    </row>
    <row r="143" spans="2:5" x14ac:dyDescent="0.35">
      <c r="B143">
        <v>123</v>
      </c>
      <c r="C143" t="s">
        <v>380</v>
      </c>
      <c r="D143" s="42">
        <v>7479</v>
      </c>
      <c r="E143" s="42" t="s">
        <v>20</v>
      </c>
    </row>
    <row r="144" spans="2:5" x14ac:dyDescent="0.35">
      <c r="B144">
        <v>124</v>
      </c>
      <c r="C144" t="s">
        <v>381</v>
      </c>
      <c r="D144" s="42">
        <v>37746</v>
      </c>
      <c r="E144" s="42" t="s">
        <v>20</v>
      </c>
    </row>
    <row r="145" spans="2:5" x14ac:dyDescent="0.35">
      <c r="B145">
        <v>125</v>
      </c>
      <c r="C145" t="s">
        <v>382</v>
      </c>
      <c r="D145" s="42">
        <v>4928</v>
      </c>
      <c r="E145" s="42" t="s">
        <v>20</v>
      </c>
    </row>
    <row r="146" spans="2:5" x14ac:dyDescent="0.35">
      <c r="B146">
        <v>126</v>
      </c>
      <c r="C146" t="s">
        <v>383</v>
      </c>
      <c r="D146" s="42">
        <v>76111</v>
      </c>
      <c r="E146" s="42" t="s">
        <v>20</v>
      </c>
    </row>
    <row r="147" spans="2:5" x14ac:dyDescent="0.35">
      <c r="B147">
        <v>127</v>
      </c>
      <c r="C147" t="s">
        <v>384</v>
      </c>
      <c r="D147" s="42">
        <v>28409</v>
      </c>
      <c r="E147" s="42" t="s">
        <v>20</v>
      </c>
    </row>
    <row r="148" spans="2:5" x14ac:dyDescent="0.35">
      <c r="B148">
        <v>128</v>
      </c>
      <c r="C148" t="s">
        <v>385</v>
      </c>
      <c r="D148" s="42">
        <v>35732</v>
      </c>
      <c r="E148" s="42" t="s">
        <v>20</v>
      </c>
    </row>
    <row r="149" spans="2:5" x14ac:dyDescent="0.35">
      <c r="B149">
        <v>129</v>
      </c>
      <c r="C149" t="s">
        <v>386</v>
      </c>
      <c r="D149" s="42">
        <v>38687</v>
      </c>
      <c r="E149" s="42" t="s">
        <v>20</v>
      </c>
    </row>
    <row r="150" spans="2:5" x14ac:dyDescent="0.35">
      <c r="B150">
        <v>130</v>
      </c>
      <c r="C150" t="s">
        <v>387</v>
      </c>
      <c r="D150" s="42">
        <v>54919</v>
      </c>
      <c r="E150" s="42" t="s">
        <v>20</v>
      </c>
    </row>
    <row r="151" spans="2:5" x14ac:dyDescent="0.35">
      <c r="B151">
        <v>131</v>
      </c>
      <c r="C151" t="s">
        <v>388</v>
      </c>
      <c r="D151" s="42">
        <v>2603</v>
      </c>
      <c r="E151" s="42" t="s">
        <v>20</v>
      </c>
    </row>
    <row r="152" spans="2:5" x14ac:dyDescent="0.35">
      <c r="B152">
        <v>132</v>
      </c>
      <c r="C152" t="s">
        <v>389</v>
      </c>
      <c r="D152" s="42">
        <v>14161</v>
      </c>
      <c r="E152" s="42" t="s">
        <v>20</v>
      </c>
    </row>
    <row r="153" spans="2:5" x14ac:dyDescent="0.35">
      <c r="B153">
        <v>133</v>
      </c>
      <c r="C153" t="s">
        <v>390</v>
      </c>
      <c r="D153" s="42">
        <v>5419</v>
      </c>
      <c r="E153" s="42" t="s">
        <v>20</v>
      </c>
    </row>
    <row r="154" spans="2:5" x14ac:dyDescent="0.35">
      <c r="B154">
        <v>134</v>
      </c>
      <c r="C154" t="s">
        <v>391</v>
      </c>
      <c r="D154" s="42">
        <v>13082</v>
      </c>
      <c r="E154" s="42" t="s">
        <v>20</v>
      </c>
    </row>
    <row r="155" spans="2:5" x14ac:dyDescent="0.35">
      <c r="B155">
        <v>135</v>
      </c>
      <c r="C155" t="s">
        <v>392</v>
      </c>
      <c r="D155" s="42">
        <v>18044</v>
      </c>
      <c r="E155" s="42" t="s">
        <v>20</v>
      </c>
    </row>
    <row r="156" spans="2:5" x14ac:dyDescent="0.35">
      <c r="B156">
        <v>136</v>
      </c>
      <c r="C156" t="s">
        <v>393</v>
      </c>
      <c r="D156" s="42">
        <v>7731</v>
      </c>
      <c r="E156" s="42" t="s">
        <v>20</v>
      </c>
    </row>
    <row r="157" spans="2:5" x14ac:dyDescent="0.35">
      <c r="B157">
        <v>137</v>
      </c>
      <c r="C157" t="s">
        <v>394</v>
      </c>
      <c r="D157" s="42">
        <v>14823</v>
      </c>
      <c r="E157" s="42" t="s">
        <v>20</v>
      </c>
    </row>
    <row r="158" spans="2:5" x14ac:dyDescent="0.35">
      <c r="B158">
        <v>138</v>
      </c>
      <c r="C158" t="s">
        <v>395</v>
      </c>
      <c r="D158" s="42">
        <v>5104</v>
      </c>
      <c r="E158" s="42" t="s">
        <v>20</v>
      </c>
    </row>
    <row r="159" spans="2:5" x14ac:dyDescent="0.35">
      <c r="B159">
        <v>139</v>
      </c>
      <c r="C159" t="s">
        <v>396</v>
      </c>
      <c r="D159" s="42">
        <v>1513</v>
      </c>
      <c r="E159" s="42" t="s">
        <v>20</v>
      </c>
    </row>
    <row r="160" spans="2:5" x14ac:dyDescent="0.35">
      <c r="B160">
        <v>140</v>
      </c>
      <c r="C160" t="s">
        <v>397</v>
      </c>
      <c r="D160" s="42">
        <v>1003</v>
      </c>
      <c r="E160" s="42" t="s">
        <v>21</v>
      </c>
    </row>
    <row r="161" spans="2:5" x14ac:dyDescent="0.35">
      <c r="B161">
        <v>141</v>
      </c>
      <c r="C161" t="s">
        <v>398</v>
      </c>
      <c r="D161" s="42">
        <v>15453</v>
      </c>
      <c r="E161" s="42" t="s">
        <v>21</v>
      </c>
    </row>
    <row r="162" spans="2:5" x14ac:dyDescent="0.35">
      <c r="B162">
        <v>142</v>
      </c>
      <c r="C162" t="s">
        <v>399</v>
      </c>
      <c r="D162" s="42">
        <v>2949</v>
      </c>
      <c r="E162" s="42" t="s">
        <v>21</v>
      </c>
    </row>
    <row r="163" spans="2:5" x14ac:dyDescent="0.35">
      <c r="B163">
        <v>143</v>
      </c>
      <c r="C163" t="s">
        <v>1209</v>
      </c>
      <c r="D163" s="42">
        <v>23129</v>
      </c>
      <c r="E163" s="42" t="s">
        <v>21</v>
      </c>
    </row>
    <row r="164" spans="2:5" x14ac:dyDescent="0.35">
      <c r="B164">
        <v>144</v>
      </c>
      <c r="C164" t="s">
        <v>400</v>
      </c>
      <c r="D164" s="42">
        <v>9679</v>
      </c>
      <c r="E164" s="42" t="s">
        <v>21</v>
      </c>
    </row>
    <row r="165" spans="2:5" x14ac:dyDescent="0.35">
      <c r="B165">
        <v>145</v>
      </c>
      <c r="C165" t="s">
        <v>401</v>
      </c>
      <c r="D165" s="42">
        <v>15322</v>
      </c>
      <c r="E165" s="42" t="s">
        <v>21</v>
      </c>
    </row>
    <row r="166" spans="2:5" x14ac:dyDescent="0.35">
      <c r="B166">
        <v>146</v>
      </c>
      <c r="C166" t="s">
        <v>402</v>
      </c>
      <c r="D166" s="42">
        <v>16157</v>
      </c>
      <c r="E166" s="42" t="s">
        <v>21</v>
      </c>
    </row>
    <row r="167" spans="2:5" x14ac:dyDescent="0.35">
      <c r="B167">
        <v>147</v>
      </c>
      <c r="C167" t="s">
        <v>403</v>
      </c>
      <c r="D167" s="42">
        <v>11034</v>
      </c>
      <c r="E167" s="42" t="s">
        <v>21</v>
      </c>
    </row>
    <row r="168" spans="2:5" x14ac:dyDescent="0.35">
      <c r="B168">
        <v>148</v>
      </c>
      <c r="C168" t="s">
        <v>404</v>
      </c>
      <c r="D168" s="42">
        <v>35254</v>
      </c>
      <c r="E168" s="42" t="s">
        <v>21</v>
      </c>
    </row>
    <row r="169" spans="2:5" x14ac:dyDescent="0.35">
      <c r="B169">
        <v>149</v>
      </c>
      <c r="C169" t="s">
        <v>405</v>
      </c>
      <c r="D169" s="42">
        <v>11328</v>
      </c>
      <c r="E169" s="42" t="s">
        <v>21</v>
      </c>
    </row>
    <row r="170" spans="2:5" x14ac:dyDescent="0.35">
      <c r="B170">
        <v>150</v>
      </c>
      <c r="C170" t="s">
        <v>406</v>
      </c>
      <c r="D170" s="42">
        <v>13595</v>
      </c>
      <c r="E170" s="42" t="s">
        <v>21</v>
      </c>
    </row>
    <row r="171" spans="2:5" x14ac:dyDescent="0.35">
      <c r="B171">
        <v>151</v>
      </c>
      <c r="C171" t="s">
        <v>407</v>
      </c>
      <c r="D171" s="42">
        <v>17306</v>
      </c>
      <c r="E171" s="42" t="s">
        <v>21</v>
      </c>
    </row>
    <row r="172" spans="2:5" x14ac:dyDescent="0.35">
      <c r="B172">
        <v>152</v>
      </c>
      <c r="C172" t="s">
        <v>408</v>
      </c>
      <c r="D172" s="42">
        <v>3768</v>
      </c>
      <c r="E172" s="42" t="s">
        <v>21</v>
      </c>
    </row>
    <row r="173" spans="2:5" x14ac:dyDescent="0.35">
      <c r="B173">
        <v>153</v>
      </c>
      <c r="C173" t="s">
        <v>409</v>
      </c>
      <c r="D173" s="42">
        <v>16718</v>
      </c>
      <c r="E173" s="42" t="s">
        <v>21</v>
      </c>
    </row>
    <row r="174" spans="2:5" x14ac:dyDescent="0.35">
      <c r="B174">
        <v>154</v>
      </c>
      <c r="C174" t="s">
        <v>410</v>
      </c>
      <c r="D174" s="42">
        <v>28276</v>
      </c>
      <c r="E174" s="42" t="s">
        <v>23</v>
      </c>
    </row>
    <row r="175" spans="2:5" x14ac:dyDescent="0.35">
      <c r="B175">
        <v>155</v>
      </c>
      <c r="C175" t="s">
        <v>411</v>
      </c>
      <c r="D175" s="42">
        <v>347142</v>
      </c>
      <c r="E175" s="42" t="s">
        <v>23</v>
      </c>
    </row>
    <row r="176" spans="2:5" x14ac:dyDescent="0.35">
      <c r="B176">
        <v>156</v>
      </c>
      <c r="C176" t="s">
        <v>412</v>
      </c>
      <c r="D176" s="42">
        <v>39749</v>
      </c>
      <c r="E176" s="42" t="s">
        <v>23</v>
      </c>
    </row>
    <row r="177" spans="2:5" x14ac:dyDescent="0.35">
      <c r="B177">
        <v>157</v>
      </c>
      <c r="C177" t="s">
        <v>413</v>
      </c>
      <c r="D177" s="42">
        <v>18790</v>
      </c>
      <c r="E177" s="42" t="s">
        <v>23</v>
      </c>
    </row>
    <row r="178" spans="2:5" x14ac:dyDescent="0.35">
      <c r="B178">
        <v>158</v>
      </c>
      <c r="C178" t="s">
        <v>414</v>
      </c>
      <c r="D178" s="42">
        <v>15287</v>
      </c>
      <c r="E178" s="42" t="s">
        <v>23</v>
      </c>
    </row>
    <row r="179" spans="2:5" x14ac:dyDescent="0.35">
      <c r="B179">
        <v>159</v>
      </c>
      <c r="C179" t="s">
        <v>415</v>
      </c>
      <c r="D179" s="42">
        <v>7669</v>
      </c>
      <c r="E179" s="42" t="s">
        <v>23</v>
      </c>
    </row>
    <row r="180" spans="2:5" x14ac:dyDescent="0.35">
      <c r="B180">
        <v>160</v>
      </c>
      <c r="C180" t="s">
        <v>416</v>
      </c>
      <c r="D180" s="42">
        <v>28438</v>
      </c>
      <c r="E180" s="42" t="s">
        <v>23</v>
      </c>
    </row>
    <row r="181" spans="2:5" x14ac:dyDescent="0.35">
      <c r="B181">
        <v>161</v>
      </c>
      <c r="C181" t="s">
        <v>417</v>
      </c>
      <c r="D181" s="42">
        <v>38549</v>
      </c>
      <c r="E181" s="42" t="s">
        <v>23</v>
      </c>
    </row>
    <row r="182" spans="2:5" x14ac:dyDescent="0.35">
      <c r="B182">
        <v>162</v>
      </c>
      <c r="C182" t="s">
        <v>418</v>
      </c>
      <c r="D182" s="42">
        <v>29094</v>
      </c>
      <c r="E182" s="42" t="s">
        <v>23</v>
      </c>
    </row>
    <row r="183" spans="2:5" x14ac:dyDescent="0.35">
      <c r="B183">
        <v>163</v>
      </c>
      <c r="C183" t="s">
        <v>419</v>
      </c>
      <c r="D183" s="42">
        <v>48972</v>
      </c>
      <c r="E183" s="42" t="s">
        <v>23</v>
      </c>
    </row>
    <row r="184" spans="2:5" x14ac:dyDescent="0.35">
      <c r="B184">
        <v>164</v>
      </c>
      <c r="C184" t="s">
        <v>420</v>
      </c>
      <c r="D184" s="42">
        <v>30887</v>
      </c>
      <c r="E184" s="42" t="s">
        <v>23</v>
      </c>
    </row>
    <row r="185" spans="2:5" x14ac:dyDescent="0.35">
      <c r="B185">
        <v>165</v>
      </c>
      <c r="C185" t="s">
        <v>421</v>
      </c>
      <c r="D185" s="42">
        <v>43591</v>
      </c>
      <c r="E185" s="42" t="s">
        <v>23</v>
      </c>
    </row>
    <row r="186" spans="2:5" x14ac:dyDescent="0.35">
      <c r="B186">
        <v>166</v>
      </c>
      <c r="C186" t="s">
        <v>1210</v>
      </c>
      <c r="D186" s="42">
        <v>64775</v>
      </c>
      <c r="E186" s="42" t="s">
        <v>23</v>
      </c>
    </row>
    <row r="187" spans="2:5" x14ac:dyDescent="0.35">
      <c r="B187">
        <v>167</v>
      </c>
      <c r="C187" t="s">
        <v>422</v>
      </c>
      <c r="D187" s="42">
        <v>29748</v>
      </c>
      <c r="E187" s="42" t="s">
        <v>23</v>
      </c>
    </row>
    <row r="188" spans="2:5" x14ac:dyDescent="0.35">
      <c r="B188">
        <v>168</v>
      </c>
      <c r="C188" t="s">
        <v>423</v>
      </c>
      <c r="D188" s="42">
        <v>133065</v>
      </c>
      <c r="E188" s="42" t="s">
        <v>24</v>
      </c>
    </row>
    <row r="189" spans="2:5" x14ac:dyDescent="0.35">
      <c r="B189">
        <v>169</v>
      </c>
      <c r="C189" t="s">
        <v>424</v>
      </c>
      <c r="D189" s="42">
        <v>73199</v>
      </c>
      <c r="E189" s="42" t="s">
        <v>24</v>
      </c>
    </row>
    <row r="190" spans="2:5" x14ac:dyDescent="0.35">
      <c r="B190">
        <v>170</v>
      </c>
      <c r="C190" t="s">
        <v>425</v>
      </c>
      <c r="D190" s="42">
        <v>41882</v>
      </c>
      <c r="E190" s="42" t="s">
        <v>24</v>
      </c>
    </row>
    <row r="191" spans="2:5" x14ac:dyDescent="0.35">
      <c r="B191">
        <v>171</v>
      </c>
      <c r="C191" t="s">
        <v>426</v>
      </c>
      <c r="D191" s="42">
        <v>24793</v>
      </c>
      <c r="E191" s="42" t="s">
        <v>24</v>
      </c>
    </row>
    <row r="192" spans="2:5" x14ac:dyDescent="0.35">
      <c r="B192">
        <v>172</v>
      </c>
      <c r="C192" t="s">
        <v>427</v>
      </c>
      <c r="D192" s="42">
        <v>23078</v>
      </c>
      <c r="E192" s="42" t="s">
        <v>24</v>
      </c>
    </row>
    <row r="193" spans="2:5" x14ac:dyDescent="0.35">
      <c r="B193">
        <v>173</v>
      </c>
      <c r="C193" t="s">
        <v>428</v>
      </c>
      <c r="D193" s="42">
        <v>11960</v>
      </c>
      <c r="E193" s="42" t="s">
        <v>24</v>
      </c>
    </row>
    <row r="194" spans="2:5" x14ac:dyDescent="0.35">
      <c r="B194">
        <v>174</v>
      </c>
      <c r="C194" t="s">
        <v>429</v>
      </c>
      <c r="D194" s="42">
        <v>28157</v>
      </c>
      <c r="E194" s="42" t="s">
        <v>24</v>
      </c>
    </row>
    <row r="195" spans="2:5" x14ac:dyDescent="0.35">
      <c r="B195">
        <v>175</v>
      </c>
      <c r="C195" t="s">
        <v>430</v>
      </c>
      <c r="D195" s="42">
        <v>16020</v>
      </c>
      <c r="E195" s="42" t="s">
        <v>24</v>
      </c>
    </row>
    <row r="196" spans="2:5" x14ac:dyDescent="0.35">
      <c r="B196">
        <v>176</v>
      </c>
      <c r="C196" t="s">
        <v>431</v>
      </c>
      <c r="D196" s="42">
        <v>6342</v>
      </c>
      <c r="E196" s="42" t="s">
        <v>24</v>
      </c>
    </row>
    <row r="197" spans="2:5" x14ac:dyDescent="0.35">
      <c r="B197">
        <v>177</v>
      </c>
      <c r="C197" t="s">
        <v>432</v>
      </c>
      <c r="D197" s="42">
        <v>7109</v>
      </c>
      <c r="E197" s="42" t="s">
        <v>24</v>
      </c>
    </row>
    <row r="198" spans="2:5" x14ac:dyDescent="0.35">
      <c r="B198">
        <v>178</v>
      </c>
      <c r="C198" t="s">
        <v>433</v>
      </c>
      <c r="D198" s="42">
        <v>11535</v>
      </c>
      <c r="E198" s="42" t="s">
        <v>24</v>
      </c>
    </row>
    <row r="199" spans="2:5" x14ac:dyDescent="0.35">
      <c r="B199">
        <v>179</v>
      </c>
      <c r="C199" t="s">
        <v>434</v>
      </c>
      <c r="D199" s="42">
        <v>18907</v>
      </c>
      <c r="E199" s="42" t="s">
        <v>25</v>
      </c>
    </row>
    <row r="200" spans="2:5" x14ac:dyDescent="0.35">
      <c r="B200">
        <v>180</v>
      </c>
      <c r="C200" t="s">
        <v>435</v>
      </c>
      <c r="D200" s="42">
        <v>13026</v>
      </c>
      <c r="E200" s="42" t="s">
        <v>25</v>
      </c>
    </row>
    <row r="201" spans="2:5" x14ac:dyDescent="0.35">
      <c r="B201">
        <v>181</v>
      </c>
      <c r="C201" t="s">
        <v>436</v>
      </c>
      <c r="D201" s="42">
        <v>4036</v>
      </c>
      <c r="E201" s="42" t="s">
        <v>25</v>
      </c>
    </row>
    <row r="202" spans="2:5" x14ac:dyDescent="0.35">
      <c r="B202">
        <v>182</v>
      </c>
      <c r="C202" t="s">
        <v>437</v>
      </c>
      <c r="D202" s="42">
        <v>5528</v>
      </c>
      <c r="E202" s="42" t="s">
        <v>25</v>
      </c>
    </row>
    <row r="203" spans="2:5" x14ac:dyDescent="0.35">
      <c r="B203">
        <v>183</v>
      </c>
      <c r="C203" t="s">
        <v>438</v>
      </c>
      <c r="D203" s="42">
        <v>3549</v>
      </c>
      <c r="E203" s="42" t="s">
        <v>25</v>
      </c>
    </row>
    <row r="204" spans="2:5" x14ac:dyDescent="0.35">
      <c r="B204">
        <v>184</v>
      </c>
      <c r="C204" t="s">
        <v>439</v>
      </c>
      <c r="D204" s="42">
        <v>9895</v>
      </c>
      <c r="E204" s="42" t="s">
        <v>25</v>
      </c>
    </row>
    <row r="205" spans="2:5" x14ac:dyDescent="0.35">
      <c r="B205">
        <v>185</v>
      </c>
      <c r="C205" t="s">
        <v>440</v>
      </c>
      <c r="D205" s="42">
        <v>19221</v>
      </c>
      <c r="E205" s="42" t="s">
        <v>25</v>
      </c>
    </row>
    <row r="206" spans="2:5" x14ac:dyDescent="0.35">
      <c r="B206">
        <v>186</v>
      </c>
      <c r="C206" t="s">
        <v>441</v>
      </c>
      <c r="D206" s="42">
        <v>10447</v>
      </c>
      <c r="E206" s="42" t="s">
        <v>25</v>
      </c>
    </row>
    <row r="207" spans="2:5" x14ac:dyDescent="0.35">
      <c r="B207">
        <v>187</v>
      </c>
      <c r="C207" t="s">
        <v>442</v>
      </c>
      <c r="D207" s="42">
        <v>44053</v>
      </c>
      <c r="E207" s="42" t="s">
        <v>25</v>
      </c>
    </row>
    <row r="208" spans="2:5" x14ac:dyDescent="0.35">
      <c r="B208">
        <v>188</v>
      </c>
      <c r="C208" t="s">
        <v>443</v>
      </c>
      <c r="D208" s="42">
        <v>38273</v>
      </c>
      <c r="E208" s="42" t="s">
        <v>25</v>
      </c>
    </row>
    <row r="209" spans="2:5" x14ac:dyDescent="0.35">
      <c r="B209">
        <v>189</v>
      </c>
      <c r="C209" t="s">
        <v>444</v>
      </c>
      <c r="D209" s="42">
        <v>5984</v>
      </c>
      <c r="E209" s="42" t="s">
        <v>25</v>
      </c>
    </row>
    <row r="210" spans="2:5" x14ac:dyDescent="0.35">
      <c r="B210">
        <v>190</v>
      </c>
      <c r="C210" t="s">
        <v>445</v>
      </c>
      <c r="D210" s="42">
        <v>8816</v>
      </c>
      <c r="E210" s="42" t="s">
        <v>25</v>
      </c>
    </row>
    <row r="211" spans="2:5" x14ac:dyDescent="0.35">
      <c r="B211">
        <v>191</v>
      </c>
      <c r="C211" t="s">
        <v>446</v>
      </c>
      <c r="D211" s="42">
        <v>7031</v>
      </c>
      <c r="E211" s="42" t="s">
        <v>25</v>
      </c>
    </row>
    <row r="212" spans="2:5" x14ac:dyDescent="0.35">
      <c r="B212">
        <v>192</v>
      </c>
      <c r="C212" t="s">
        <v>447</v>
      </c>
      <c r="D212" s="42">
        <v>9344</v>
      </c>
      <c r="E212" s="42" t="s">
        <v>25</v>
      </c>
    </row>
    <row r="213" spans="2:5" x14ac:dyDescent="0.35">
      <c r="B213">
        <v>193</v>
      </c>
      <c r="C213" t="s">
        <v>448</v>
      </c>
      <c r="D213" s="42">
        <v>10794</v>
      </c>
      <c r="E213" s="42" t="s">
        <v>25</v>
      </c>
    </row>
    <row r="214" spans="2:5" x14ac:dyDescent="0.35">
      <c r="B214">
        <v>194</v>
      </c>
      <c r="C214" t="s">
        <v>449</v>
      </c>
      <c r="D214" s="42">
        <v>1532</v>
      </c>
      <c r="E214" s="42" t="s">
        <v>25</v>
      </c>
    </row>
    <row r="215" spans="2:5" x14ac:dyDescent="0.35">
      <c r="B215">
        <v>195</v>
      </c>
      <c r="C215" t="s">
        <v>450</v>
      </c>
      <c r="D215" s="42">
        <v>2896</v>
      </c>
      <c r="E215" s="42" t="s">
        <v>25</v>
      </c>
    </row>
    <row r="216" spans="2:5" x14ac:dyDescent="0.35">
      <c r="B216">
        <v>196</v>
      </c>
      <c r="C216" t="s">
        <v>451</v>
      </c>
      <c r="D216" s="42">
        <v>15817</v>
      </c>
      <c r="E216" s="42" t="s">
        <v>25</v>
      </c>
    </row>
    <row r="217" spans="2:5" x14ac:dyDescent="0.35">
      <c r="B217">
        <v>197</v>
      </c>
      <c r="C217" t="s">
        <v>452</v>
      </c>
      <c r="D217" s="42">
        <v>33634</v>
      </c>
      <c r="E217" s="42" t="s">
        <v>25</v>
      </c>
    </row>
    <row r="218" spans="2:5" x14ac:dyDescent="0.35">
      <c r="B218">
        <v>198</v>
      </c>
      <c r="C218" t="s">
        <v>453</v>
      </c>
      <c r="D218" s="42">
        <v>29547</v>
      </c>
      <c r="E218" s="42" t="s">
        <v>13</v>
      </c>
    </row>
    <row r="219" spans="2:5" x14ac:dyDescent="0.35">
      <c r="B219">
        <v>199</v>
      </c>
      <c r="C219" t="s">
        <v>454</v>
      </c>
      <c r="D219" s="42">
        <v>51236</v>
      </c>
      <c r="E219" s="42" t="s">
        <v>13</v>
      </c>
    </row>
    <row r="220" spans="2:5" x14ac:dyDescent="0.35">
      <c r="B220">
        <v>200</v>
      </c>
      <c r="C220" t="s">
        <v>455</v>
      </c>
      <c r="D220" s="42">
        <v>21058</v>
      </c>
      <c r="E220" s="42" t="s">
        <v>13</v>
      </c>
    </row>
    <row r="221" spans="2:5" x14ac:dyDescent="0.35">
      <c r="B221">
        <v>201</v>
      </c>
      <c r="C221" t="s">
        <v>456</v>
      </c>
      <c r="D221" s="42">
        <v>16316</v>
      </c>
      <c r="E221" s="42" t="s">
        <v>13</v>
      </c>
    </row>
    <row r="222" spans="2:5" x14ac:dyDescent="0.35">
      <c r="B222">
        <v>202</v>
      </c>
      <c r="C222" t="s">
        <v>457</v>
      </c>
      <c r="D222" s="42">
        <v>17421</v>
      </c>
      <c r="E222" s="42" t="s">
        <v>13</v>
      </c>
    </row>
    <row r="223" spans="2:5" x14ac:dyDescent="0.35">
      <c r="B223">
        <v>203</v>
      </c>
      <c r="C223" t="s">
        <v>458</v>
      </c>
      <c r="D223" s="42">
        <v>49161</v>
      </c>
      <c r="E223" s="42" t="s">
        <v>13</v>
      </c>
    </row>
    <row r="224" spans="2:5" x14ac:dyDescent="0.35">
      <c r="B224">
        <v>204</v>
      </c>
      <c r="C224" t="s">
        <v>459</v>
      </c>
      <c r="D224" s="42">
        <v>9910</v>
      </c>
      <c r="E224" s="42" t="s">
        <v>13</v>
      </c>
    </row>
    <row r="225" spans="2:5" x14ac:dyDescent="0.35">
      <c r="B225">
        <v>205</v>
      </c>
      <c r="C225" t="s">
        <v>460</v>
      </c>
      <c r="D225" s="42">
        <v>44612</v>
      </c>
      <c r="E225" s="42" t="s">
        <v>13</v>
      </c>
    </row>
    <row r="226" spans="2:5" x14ac:dyDescent="0.35">
      <c r="B226">
        <v>206</v>
      </c>
      <c r="C226" t="s">
        <v>461</v>
      </c>
      <c r="D226" s="42">
        <v>45944</v>
      </c>
      <c r="E226" s="42" t="s">
        <v>13</v>
      </c>
    </row>
    <row r="227" spans="2:5" x14ac:dyDescent="0.35">
      <c r="B227">
        <v>207</v>
      </c>
      <c r="C227" t="s">
        <v>462</v>
      </c>
      <c r="D227" s="42">
        <v>39515</v>
      </c>
      <c r="E227" s="42" t="s">
        <v>13</v>
      </c>
    </row>
    <row r="228" spans="2:5" x14ac:dyDescent="0.35">
      <c r="B228">
        <v>208</v>
      </c>
      <c r="C228" t="s">
        <v>463</v>
      </c>
      <c r="D228" s="42">
        <v>68417</v>
      </c>
      <c r="E228" s="42" t="s">
        <v>13</v>
      </c>
    </row>
    <row r="229" spans="2:5" x14ac:dyDescent="0.35">
      <c r="B229">
        <v>209</v>
      </c>
      <c r="C229" t="s">
        <v>464</v>
      </c>
      <c r="D229" s="42">
        <v>30465</v>
      </c>
      <c r="E229" s="42" t="s">
        <v>13</v>
      </c>
    </row>
    <row r="230" spans="2:5" x14ac:dyDescent="0.35">
      <c r="B230">
        <v>210</v>
      </c>
      <c r="C230" t="s">
        <v>465</v>
      </c>
      <c r="D230" s="42">
        <v>61149</v>
      </c>
      <c r="E230" s="42" t="s">
        <v>13</v>
      </c>
    </row>
    <row r="231" spans="2:5" x14ac:dyDescent="0.35">
      <c r="B231">
        <v>211</v>
      </c>
      <c r="C231" t="s">
        <v>466</v>
      </c>
      <c r="D231" s="42">
        <v>8979</v>
      </c>
      <c r="E231" s="42" t="s">
        <v>13</v>
      </c>
    </row>
    <row r="232" spans="2:5" x14ac:dyDescent="0.35">
      <c r="B232">
        <v>212</v>
      </c>
      <c r="C232" t="s">
        <v>467</v>
      </c>
      <c r="D232" s="42">
        <v>84243</v>
      </c>
      <c r="E232" s="42" t="s">
        <v>13</v>
      </c>
    </row>
    <row r="233" spans="2:5" x14ac:dyDescent="0.35">
      <c r="B233">
        <v>213</v>
      </c>
      <c r="C233" t="s">
        <v>468</v>
      </c>
      <c r="D233" s="42">
        <v>204880</v>
      </c>
      <c r="E233" s="42" t="s">
        <v>13</v>
      </c>
    </row>
    <row r="234" spans="2:5" x14ac:dyDescent="0.35">
      <c r="B234">
        <v>214</v>
      </c>
      <c r="C234" t="s">
        <v>469</v>
      </c>
      <c r="D234" s="42">
        <v>14247</v>
      </c>
      <c r="E234" s="42" t="s">
        <v>13</v>
      </c>
    </row>
    <row r="235" spans="2:5" x14ac:dyDescent="0.35">
      <c r="B235">
        <v>215</v>
      </c>
      <c r="C235" t="s">
        <v>470</v>
      </c>
      <c r="D235" s="42">
        <v>54822</v>
      </c>
      <c r="E235" s="42" t="s">
        <v>13</v>
      </c>
    </row>
    <row r="236" spans="2:5" x14ac:dyDescent="0.35">
      <c r="B236">
        <v>216</v>
      </c>
      <c r="C236" t="s">
        <v>471</v>
      </c>
      <c r="D236" s="42">
        <v>35687</v>
      </c>
      <c r="E236" s="42" t="s">
        <v>13</v>
      </c>
    </row>
    <row r="237" spans="2:5" x14ac:dyDescent="0.35">
      <c r="B237">
        <v>217</v>
      </c>
      <c r="C237" t="s">
        <v>472</v>
      </c>
      <c r="D237" s="42">
        <v>45626</v>
      </c>
      <c r="E237" s="42" t="s">
        <v>13</v>
      </c>
    </row>
    <row r="238" spans="2:5" x14ac:dyDescent="0.35">
      <c r="B238">
        <v>218</v>
      </c>
      <c r="C238" t="s">
        <v>473</v>
      </c>
      <c r="D238" s="42">
        <v>17069</v>
      </c>
      <c r="E238" s="42" t="s">
        <v>13</v>
      </c>
    </row>
    <row r="239" spans="2:5" x14ac:dyDescent="0.35">
      <c r="B239">
        <v>219</v>
      </c>
      <c r="C239" t="s">
        <v>474</v>
      </c>
      <c r="D239" s="42">
        <v>12849</v>
      </c>
      <c r="E239" s="42" t="s">
        <v>13</v>
      </c>
    </row>
    <row r="240" spans="2:5" x14ac:dyDescent="0.35">
      <c r="B240">
        <v>220</v>
      </c>
      <c r="C240" t="s">
        <v>475</v>
      </c>
      <c r="D240" s="42">
        <v>31183</v>
      </c>
      <c r="E240" s="42" t="s">
        <v>13</v>
      </c>
    </row>
    <row r="241" spans="2:5" x14ac:dyDescent="0.35">
      <c r="B241">
        <v>221</v>
      </c>
      <c r="C241" t="s">
        <v>476</v>
      </c>
      <c r="D241" s="42">
        <v>44462</v>
      </c>
      <c r="E241" s="42" t="s">
        <v>13</v>
      </c>
    </row>
    <row r="242" spans="2:5" x14ac:dyDescent="0.35">
      <c r="B242">
        <v>222</v>
      </c>
      <c r="C242" t="s">
        <v>477</v>
      </c>
      <c r="D242" s="42">
        <v>54906</v>
      </c>
      <c r="E242" s="42" t="s">
        <v>13</v>
      </c>
    </row>
    <row r="243" spans="2:5" x14ac:dyDescent="0.35">
      <c r="B243">
        <v>223</v>
      </c>
      <c r="C243" t="s">
        <v>478</v>
      </c>
      <c r="D243" s="42">
        <v>35330</v>
      </c>
      <c r="E243" s="42" t="s">
        <v>13</v>
      </c>
    </row>
    <row r="244" spans="2:5" x14ac:dyDescent="0.35">
      <c r="B244">
        <v>224</v>
      </c>
      <c r="C244" t="s">
        <v>479</v>
      </c>
      <c r="D244" s="42">
        <v>28260</v>
      </c>
      <c r="E244" s="42" t="s">
        <v>13</v>
      </c>
    </row>
    <row r="245" spans="2:5" x14ac:dyDescent="0.35">
      <c r="B245">
        <v>225</v>
      </c>
      <c r="C245" t="s">
        <v>480</v>
      </c>
      <c r="D245" s="42">
        <v>26403</v>
      </c>
      <c r="E245" s="42" t="s">
        <v>13</v>
      </c>
    </row>
    <row r="246" spans="2:5" x14ac:dyDescent="0.35">
      <c r="B246">
        <v>226</v>
      </c>
      <c r="C246" t="s">
        <v>1211</v>
      </c>
      <c r="D246" s="42">
        <v>69178</v>
      </c>
      <c r="E246" s="42" t="s">
        <v>13</v>
      </c>
    </row>
    <row r="247" spans="2:5" x14ac:dyDescent="0.35">
      <c r="B247">
        <v>227</v>
      </c>
      <c r="C247" t="s">
        <v>481</v>
      </c>
      <c r="D247" s="42">
        <v>6175</v>
      </c>
      <c r="E247" s="42" t="s">
        <v>14</v>
      </c>
    </row>
    <row r="248" spans="2:5" x14ac:dyDescent="0.35">
      <c r="B248">
        <v>228</v>
      </c>
      <c r="C248" t="s">
        <v>482</v>
      </c>
      <c r="D248" s="42">
        <v>12212</v>
      </c>
      <c r="E248" s="42" t="s">
        <v>14</v>
      </c>
    </row>
    <row r="249" spans="2:5" x14ac:dyDescent="0.35">
      <c r="B249">
        <v>229</v>
      </c>
      <c r="C249" t="s">
        <v>483</v>
      </c>
      <c r="D249" s="42">
        <v>6542</v>
      </c>
      <c r="E249" s="42" t="s">
        <v>14</v>
      </c>
    </row>
    <row r="250" spans="2:5" x14ac:dyDescent="0.35">
      <c r="B250">
        <v>230</v>
      </c>
      <c r="C250" t="s">
        <v>484</v>
      </c>
      <c r="D250" s="42">
        <v>8551</v>
      </c>
      <c r="E250" s="42" t="s">
        <v>14</v>
      </c>
    </row>
    <row r="251" spans="2:5" x14ac:dyDescent="0.35">
      <c r="B251">
        <v>231</v>
      </c>
      <c r="C251" t="s">
        <v>485</v>
      </c>
      <c r="D251" s="42">
        <v>3265</v>
      </c>
      <c r="E251" s="42" t="s">
        <v>14</v>
      </c>
    </row>
    <row r="252" spans="2:5" x14ac:dyDescent="0.35">
      <c r="B252">
        <v>232</v>
      </c>
      <c r="C252" t="s">
        <v>486</v>
      </c>
      <c r="D252" s="42">
        <v>10081</v>
      </c>
      <c r="E252" s="42" t="s">
        <v>14</v>
      </c>
    </row>
    <row r="253" spans="2:5" x14ac:dyDescent="0.35">
      <c r="B253">
        <v>233</v>
      </c>
      <c r="C253" t="s">
        <v>487</v>
      </c>
      <c r="D253" s="42">
        <v>11865</v>
      </c>
      <c r="E253" s="42" t="s">
        <v>14</v>
      </c>
    </row>
    <row r="254" spans="2:5" x14ac:dyDescent="0.35">
      <c r="B254">
        <v>234</v>
      </c>
      <c r="C254" t="s">
        <v>488</v>
      </c>
      <c r="D254" s="42">
        <v>10017</v>
      </c>
      <c r="E254" s="42" t="s">
        <v>14</v>
      </c>
    </row>
    <row r="255" spans="2:5" x14ac:dyDescent="0.35">
      <c r="B255">
        <v>235</v>
      </c>
      <c r="C255" t="s">
        <v>489</v>
      </c>
      <c r="D255" s="42">
        <v>7579</v>
      </c>
      <c r="E255" s="42" t="s">
        <v>16</v>
      </c>
    </row>
    <row r="256" spans="2:5" x14ac:dyDescent="0.35">
      <c r="B256">
        <v>236</v>
      </c>
      <c r="C256" t="s">
        <v>490</v>
      </c>
      <c r="D256" s="42">
        <v>32805</v>
      </c>
      <c r="E256" s="42" t="s">
        <v>16</v>
      </c>
    </row>
    <row r="257" spans="2:5" x14ac:dyDescent="0.35">
      <c r="B257">
        <v>237</v>
      </c>
      <c r="C257" t="s">
        <v>491</v>
      </c>
      <c r="D257" s="42">
        <v>39425</v>
      </c>
      <c r="E257" s="42" t="s">
        <v>16</v>
      </c>
    </row>
    <row r="258" spans="2:5" x14ac:dyDescent="0.35">
      <c r="B258">
        <v>238</v>
      </c>
      <c r="C258" t="s">
        <v>492</v>
      </c>
      <c r="D258" s="42">
        <v>86934</v>
      </c>
      <c r="E258" s="42" t="s">
        <v>16</v>
      </c>
    </row>
    <row r="259" spans="2:5" x14ac:dyDescent="0.35">
      <c r="B259">
        <v>239</v>
      </c>
      <c r="C259" t="s">
        <v>1212</v>
      </c>
      <c r="D259" s="42">
        <v>25121</v>
      </c>
      <c r="E259" s="42" t="s">
        <v>16</v>
      </c>
    </row>
    <row r="260" spans="2:5" x14ac:dyDescent="0.35">
      <c r="B260">
        <v>240</v>
      </c>
      <c r="C260" t="s">
        <v>493</v>
      </c>
      <c r="D260" s="42">
        <v>5883</v>
      </c>
      <c r="E260" s="42" t="s">
        <v>16</v>
      </c>
    </row>
    <row r="261" spans="2:5" x14ac:dyDescent="0.35">
      <c r="B261">
        <v>241</v>
      </c>
      <c r="C261" t="s">
        <v>494</v>
      </c>
      <c r="D261" s="42">
        <v>13959</v>
      </c>
      <c r="E261" s="42" t="s">
        <v>16</v>
      </c>
    </row>
    <row r="262" spans="2:5" x14ac:dyDescent="0.35">
      <c r="B262">
        <v>242</v>
      </c>
      <c r="C262" t="s">
        <v>495</v>
      </c>
      <c r="D262" s="42">
        <v>7128</v>
      </c>
      <c r="E262" s="42" t="s">
        <v>16</v>
      </c>
    </row>
    <row r="263" spans="2:5" x14ac:dyDescent="0.35">
      <c r="B263">
        <v>243</v>
      </c>
      <c r="C263" t="s">
        <v>496</v>
      </c>
      <c r="D263" s="42">
        <v>81430</v>
      </c>
      <c r="E263" s="42" t="s">
        <v>16</v>
      </c>
    </row>
    <row r="264" spans="2:5" x14ac:dyDescent="0.35">
      <c r="B264">
        <v>244</v>
      </c>
      <c r="C264" t="s">
        <v>497</v>
      </c>
      <c r="D264" s="42">
        <v>2982</v>
      </c>
      <c r="E264" s="42" t="s">
        <v>16</v>
      </c>
    </row>
    <row r="265" spans="2:5" x14ac:dyDescent="0.35">
      <c r="B265">
        <v>245</v>
      </c>
      <c r="C265" t="s">
        <v>498</v>
      </c>
      <c r="D265" s="42">
        <v>592319</v>
      </c>
      <c r="E265" s="42" t="s">
        <v>17</v>
      </c>
    </row>
    <row r="266" spans="2:5" x14ac:dyDescent="0.35">
      <c r="B266">
        <v>246</v>
      </c>
      <c r="C266" t="s">
        <v>499</v>
      </c>
      <c r="D266" s="42">
        <v>18352</v>
      </c>
      <c r="E266" s="42" t="s">
        <v>17</v>
      </c>
    </row>
    <row r="267" spans="2:5" x14ac:dyDescent="0.35">
      <c r="B267">
        <v>247</v>
      </c>
      <c r="C267" t="s">
        <v>500</v>
      </c>
      <c r="D267" s="42">
        <v>15265</v>
      </c>
      <c r="E267" s="42" t="s">
        <v>17</v>
      </c>
    </row>
    <row r="268" spans="2:5" x14ac:dyDescent="0.35">
      <c r="B268">
        <v>248</v>
      </c>
      <c r="C268" t="s">
        <v>501</v>
      </c>
      <c r="D268" s="42">
        <v>24695</v>
      </c>
      <c r="E268" s="42" t="s">
        <v>666</v>
      </c>
    </row>
    <row r="269" spans="2:5" x14ac:dyDescent="0.35">
      <c r="B269">
        <v>249</v>
      </c>
      <c r="C269" s="43" t="s">
        <v>502</v>
      </c>
      <c r="D269" s="42">
        <v>74900</v>
      </c>
      <c r="E269" s="42" t="s">
        <v>94</v>
      </c>
    </row>
    <row r="270" spans="2:5" x14ac:dyDescent="0.35">
      <c r="B270">
        <v>250</v>
      </c>
      <c r="C270" s="43" t="s">
        <v>503</v>
      </c>
      <c r="D270" s="42">
        <v>13703</v>
      </c>
      <c r="E270" s="42" t="s">
        <v>94</v>
      </c>
    </row>
    <row r="271" spans="2:5" x14ac:dyDescent="0.35">
      <c r="B271">
        <v>251</v>
      </c>
      <c r="C271" s="43" t="s">
        <v>504</v>
      </c>
      <c r="D271" s="42">
        <v>6194</v>
      </c>
      <c r="E271" s="42" t="s">
        <v>94</v>
      </c>
    </row>
    <row r="272" spans="2:5" x14ac:dyDescent="0.35">
      <c r="B272">
        <v>252</v>
      </c>
      <c r="C272" s="43" t="s">
        <v>1213</v>
      </c>
      <c r="D272" s="42">
        <v>40633</v>
      </c>
      <c r="E272" s="42" t="s">
        <v>94</v>
      </c>
    </row>
    <row r="273" spans="2:5" x14ac:dyDescent="0.35">
      <c r="B273">
        <v>253</v>
      </c>
      <c r="C273" s="43" t="s">
        <v>505</v>
      </c>
      <c r="D273" s="42">
        <v>150723</v>
      </c>
      <c r="E273" s="42" t="s">
        <v>94</v>
      </c>
    </row>
    <row r="274" spans="2:5" x14ac:dyDescent="0.35">
      <c r="B274">
        <v>254</v>
      </c>
      <c r="C274" s="43" t="s">
        <v>506</v>
      </c>
      <c r="D274" s="42">
        <v>114055</v>
      </c>
      <c r="E274" s="42" t="s">
        <v>94</v>
      </c>
    </row>
    <row r="275" spans="2:5" x14ac:dyDescent="0.35">
      <c r="B275">
        <v>255</v>
      </c>
      <c r="C275" s="43" t="s">
        <v>507</v>
      </c>
      <c r="D275" s="42">
        <v>15212</v>
      </c>
      <c r="E275" s="42" t="s">
        <v>94</v>
      </c>
    </row>
    <row r="276" spans="2:5" x14ac:dyDescent="0.35">
      <c r="B276">
        <v>256</v>
      </c>
      <c r="C276" s="49" t="s">
        <v>508</v>
      </c>
      <c r="D276" s="42">
        <v>21109</v>
      </c>
      <c r="E276" s="42" t="s">
        <v>95</v>
      </c>
    </row>
    <row r="277" spans="2:5" x14ac:dyDescent="0.35">
      <c r="B277">
        <v>257</v>
      </c>
      <c r="C277" s="49" t="s">
        <v>509</v>
      </c>
      <c r="D277" s="42">
        <v>232338</v>
      </c>
      <c r="E277" s="42" t="s">
        <v>95</v>
      </c>
    </row>
    <row r="278" spans="2:5" x14ac:dyDescent="0.35">
      <c r="B278">
        <v>258</v>
      </c>
      <c r="C278" s="49" t="s">
        <v>510</v>
      </c>
      <c r="D278" s="42">
        <v>28229</v>
      </c>
      <c r="E278" s="42" t="s">
        <v>95</v>
      </c>
    </row>
    <row r="279" spans="2:5" x14ac:dyDescent="0.35">
      <c r="B279">
        <v>259</v>
      </c>
      <c r="C279" s="49" t="s">
        <v>511</v>
      </c>
      <c r="D279" s="42">
        <v>51716</v>
      </c>
      <c r="E279" s="42" t="s">
        <v>95</v>
      </c>
    </row>
    <row r="280" spans="2:5" x14ac:dyDescent="0.35">
      <c r="B280">
        <v>260</v>
      </c>
      <c r="C280" s="43" t="s">
        <v>512</v>
      </c>
      <c r="D280" s="42">
        <v>32221</v>
      </c>
      <c r="E280" s="42" t="s">
        <v>94</v>
      </c>
    </row>
    <row r="281" spans="2:5" x14ac:dyDescent="0.35">
      <c r="B281">
        <v>261</v>
      </c>
      <c r="C281" s="43" t="s">
        <v>513</v>
      </c>
      <c r="D281" s="42">
        <v>21722</v>
      </c>
      <c r="E281" s="42" t="s">
        <v>94</v>
      </c>
    </row>
    <row r="282" spans="2:5" x14ac:dyDescent="0.35">
      <c r="B282">
        <v>262</v>
      </c>
      <c r="C282" s="43" t="s">
        <v>514</v>
      </c>
      <c r="D282" s="42">
        <v>33363</v>
      </c>
      <c r="E282" s="42" t="s">
        <v>94</v>
      </c>
    </row>
    <row r="283" spans="2:5" x14ac:dyDescent="0.35">
      <c r="B283">
        <v>263</v>
      </c>
      <c r="C283" s="43" t="s">
        <v>515</v>
      </c>
      <c r="D283" s="42">
        <v>19008</v>
      </c>
      <c r="E283" s="42" t="s">
        <v>94</v>
      </c>
    </row>
    <row r="284" spans="2:5" x14ac:dyDescent="0.35">
      <c r="B284">
        <v>264</v>
      </c>
      <c r="C284" s="43" t="s">
        <v>516</v>
      </c>
      <c r="D284" s="42">
        <v>45339</v>
      </c>
      <c r="E284" s="42" t="s">
        <v>94</v>
      </c>
    </row>
    <row r="285" spans="2:5" x14ac:dyDescent="0.35">
      <c r="B285">
        <v>265</v>
      </c>
      <c r="C285" s="43" t="s">
        <v>517</v>
      </c>
      <c r="D285" s="42">
        <v>41356</v>
      </c>
      <c r="E285" s="42" t="s">
        <v>94</v>
      </c>
    </row>
    <row r="286" spans="2:5" x14ac:dyDescent="0.35">
      <c r="B286">
        <v>266</v>
      </c>
      <c r="C286" s="43" t="s">
        <v>518</v>
      </c>
      <c r="D286" s="42">
        <v>4597</v>
      </c>
      <c r="E286" s="42" t="s">
        <v>94</v>
      </c>
    </row>
    <row r="287" spans="2:5" x14ac:dyDescent="0.35">
      <c r="B287">
        <v>267</v>
      </c>
      <c r="C287" s="43" t="s">
        <v>519</v>
      </c>
      <c r="D287" s="42">
        <v>49406</v>
      </c>
      <c r="E287" s="42" t="s">
        <v>94</v>
      </c>
    </row>
    <row r="288" spans="2:5" x14ac:dyDescent="0.35">
      <c r="B288">
        <v>268</v>
      </c>
      <c r="C288" t="s">
        <v>520</v>
      </c>
      <c r="D288" s="42">
        <v>49529</v>
      </c>
      <c r="E288" s="42" t="s">
        <v>18</v>
      </c>
    </row>
    <row r="289" spans="2:5" x14ac:dyDescent="0.35">
      <c r="B289">
        <v>269</v>
      </c>
      <c r="C289" t="s">
        <v>521</v>
      </c>
      <c r="D289" s="42">
        <v>27859</v>
      </c>
      <c r="E289" s="42" t="s">
        <v>18</v>
      </c>
    </row>
    <row r="290" spans="2:5" x14ac:dyDescent="0.35">
      <c r="B290">
        <v>270</v>
      </c>
      <c r="C290" t="s">
        <v>522</v>
      </c>
      <c r="D290" s="42">
        <v>4263</v>
      </c>
      <c r="E290" s="42" t="s">
        <v>18</v>
      </c>
    </row>
    <row r="291" spans="2:5" x14ac:dyDescent="0.35">
      <c r="B291">
        <v>271</v>
      </c>
      <c r="C291" t="s">
        <v>523</v>
      </c>
      <c r="D291" s="42">
        <v>11726</v>
      </c>
      <c r="E291" s="42" t="s">
        <v>18</v>
      </c>
    </row>
    <row r="292" spans="2:5" x14ac:dyDescent="0.35">
      <c r="B292">
        <v>272</v>
      </c>
      <c r="C292" t="s">
        <v>524</v>
      </c>
      <c r="D292" s="42">
        <v>13411</v>
      </c>
      <c r="E292" s="42" t="s">
        <v>18</v>
      </c>
    </row>
    <row r="293" spans="2:5" x14ac:dyDescent="0.35">
      <c r="B293">
        <v>273</v>
      </c>
      <c r="C293" t="s">
        <v>525</v>
      </c>
      <c r="D293" s="42">
        <v>16534</v>
      </c>
      <c r="E293" s="42" t="s">
        <v>18</v>
      </c>
    </row>
    <row r="294" spans="2:5" x14ac:dyDescent="0.35">
      <c r="B294">
        <v>274</v>
      </c>
      <c r="C294" t="s">
        <v>526</v>
      </c>
      <c r="D294" s="42">
        <v>127540</v>
      </c>
      <c r="E294" s="42" t="s">
        <v>18</v>
      </c>
    </row>
    <row r="295" spans="2:5" x14ac:dyDescent="0.35">
      <c r="B295">
        <v>275</v>
      </c>
      <c r="C295" t="s">
        <v>527</v>
      </c>
      <c r="D295" s="42">
        <v>21521</v>
      </c>
      <c r="E295" s="42" t="s">
        <v>18</v>
      </c>
    </row>
    <row r="296" spans="2:5" x14ac:dyDescent="0.35">
      <c r="B296">
        <v>276</v>
      </c>
      <c r="C296" t="s">
        <v>528</v>
      </c>
      <c r="D296" s="42">
        <v>6976</v>
      </c>
      <c r="E296" s="42" t="s">
        <v>18</v>
      </c>
    </row>
    <row r="297" spans="2:5" x14ac:dyDescent="0.35">
      <c r="B297">
        <v>277</v>
      </c>
      <c r="C297" t="s">
        <v>529</v>
      </c>
      <c r="D297" s="42">
        <v>19017</v>
      </c>
      <c r="E297" s="42" t="s">
        <v>18</v>
      </c>
    </row>
    <row r="298" spans="2:5" x14ac:dyDescent="0.35">
      <c r="B298">
        <v>278</v>
      </c>
      <c r="C298" t="s">
        <v>530</v>
      </c>
      <c r="D298" s="42">
        <v>228345</v>
      </c>
      <c r="E298" s="42" t="s">
        <v>27</v>
      </c>
    </row>
    <row r="299" spans="2:5" x14ac:dyDescent="0.35">
      <c r="B299">
        <v>279</v>
      </c>
      <c r="C299" t="s">
        <v>531</v>
      </c>
      <c r="D299" s="42">
        <v>270522</v>
      </c>
      <c r="E299" s="42" t="s">
        <v>27</v>
      </c>
    </row>
    <row r="300" spans="2:5" x14ac:dyDescent="0.35">
      <c r="B300">
        <v>280</v>
      </c>
      <c r="C300" t="s">
        <v>532</v>
      </c>
      <c r="D300" s="42">
        <v>371711</v>
      </c>
      <c r="E300" s="42" t="s">
        <v>27</v>
      </c>
    </row>
    <row r="301" spans="2:5" x14ac:dyDescent="0.35">
      <c r="B301">
        <v>281</v>
      </c>
      <c r="C301" t="s">
        <v>533</v>
      </c>
      <c r="D301" s="42">
        <v>274798</v>
      </c>
      <c r="E301" s="42" t="s">
        <v>27</v>
      </c>
    </row>
    <row r="302" spans="2:5" x14ac:dyDescent="0.35">
      <c r="B302">
        <v>282</v>
      </c>
      <c r="C302" t="s">
        <v>534</v>
      </c>
      <c r="D302" s="42">
        <v>411607</v>
      </c>
      <c r="E302" s="42" t="s">
        <v>27</v>
      </c>
    </row>
    <row r="303" spans="2:5" x14ac:dyDescent="0.35">
      <c r="B303">
        <v>283</v>
      </c>
      <c r="C303" t="s">
        <v>535</v>
      </c>
      <c r="D303" s="42">
        <v>338016</v>
      </c>
      <c r="E303" s="42" t="s">
        <v>27</v>
      </c>
    </row>
    <row r="304" spans="2:5" x14ac:dyDescent="0.35">
      <c r="B304">
        <v>284</v>
      </c>
      <c r="C304" t="s">
        <v>536</v>
      </c>
      <c r="D304" s="42">
        <v>248250</v>
      </c>
      <c r="E304" s="42" t="s">
        <v>27</v>
      </c>
    </row>
    <row r="305" spans="2:5" x14ac:dyDescent="0.35">
      <c r="B305">
        <v>285</v>
      </c>
      <c r="C305" t="s">
        <v>537</v>
      </c>
      <c r="D305" s="42">
        <v>204610</v>
      </c>
      <c r="E305" s="42" t="s">
        <v>27</v>
      </c>
    </row>
    <row r="306" spans="2:5" x14ac:dyDescent="0.35">
      <c r="B306">
        <v>286</v>
      </c>
      <c r="C306" t="s">
        <v>538</v>
      </c>
      <c r="D306" s="42">
        <v>440780</v>
      </c>
      <c r="E306" s="42" t="s">
        <v>27</v>
      </c>
    </row>
    <row r="307" spans="2:5" x14ac:dyDescent="0.35">
      <c r="B307">
        <v>287</v>
      </c>
      <c r="C307" t="s">
        <v>539</v>
      </c>
      <c r="D307" s="42">
        <v>67279</v>
      </c>
      <c r="E307" s="42" t="s">
        <v>27</v>
      </c>
    </row>
    <row r="308" spans="2:5" x14ac:dyDescent="0.35">
      <c r="B308">
        <v>288</v>
      </c>
      <c r="C308" t="s">
        <v>540</v>
      </c>
      <c r="D308" s="42">
        <v>83587</v>
      </c>
      <c r="E308" s="42" t="s">
        <v>27</v>
      </c>
    </row>
    <row r="309" spans="2:5" x14ac:dyDescent="0.35">
      <c r="B309">
        <v>289</v>
      </c>
      <c r="C309" t="s">
        <v>541</v>
      </c>
      <c r="D309" s="42">
        <v>551804</v>
      </c>
      <c r="E309" s="42" t="s">
        <v>27</v>
      </c>
    </row>
    <row r="310" spans="2:5" x14ac:dyDescent="0.35">
      <c r="B310">
        <v>290</v>
      </c>
      <c r="C310" t="s">
        <v>542</v>
      </c>
      <c r="D310" s="42">
        <v>350863</v>
      </c>
      <c r="E310" s="42" t="s">
        <v>27</v>
      </c>
    </row>
    <row r="311" spans="2:5" x14ac:dyDescent="0.35">
      <c r="B311">
        <v>291</v>
      </c>
      <c r="C311" t="s">
        <v>543</v>
      </c>
      <c r="D311" s="42">
        <v>308464</v>
      </c>
      <c r="E311" s="42" t="s">
        <v>27</v>
      </c>
    </row>
    <row r="312" spans="2:5" x14ac:dyDescent="0.35">
      <c r="B312">
        <v>292</v>
      </c>
      <c r="C312" t="s">
        <v>544</v>
      </c>
      <c r="D312" s="42">
        <v>199346</v>
      </c>
      <c r="E312" s="42" t="s">
        <v>27</v>
      </c>
    </row>
    <row r="313" spans="2:5" x14ac:dyDescent="0.35">
      <c r="B313">
        <v>293</v>
      </c>
      <c r="C313" t="s">
        <v>545</v>
      </c>
      <c r="D313" s="42">
        <v>157624</v>
      </c>
      <c r="E313" s="42" t="s">
        <v>27</v>
      </c>
    </row>
    <row r="314" spans="2:5" x14ac:dyDescent="0.35">
      <c r="B314">
        <v>294</v>
      </c>
      <c r="C314" t="s">
        <v>546</v>
      </c>
      <c r="D314" s="42">
        <v>149847</v>
      </c>
      <c r="E314" s="42" t="s">
        <v>27</v>
      </c>
    </row>
    <row r="315" spans="2:5" x14ac:dyDescent="0.35">
      <c r="B315">
        <v>295</v>
      </c>
      <c r="C315" t="s">
        <v>547</v>
      </c>
      <c r="D315" s="42">
        <v>181336</v>
      </c>
      <c r="E315" s="42" t="s">
        <v>27</v>
      </c>
    </row>
    <row r="316" spans="2:5" x14ac:dyDescent="0.35">
      <c r="B316">
        <v>296</v>
      </c>
      <c r="C316" t="s">
        <v>548</v>
      </c>
      <c r="D316" s="42">
        <v>668146</v>
      </c>
      <c r="E316" s="42" t="s">
        <v>27</v>
      </c>
    </row>
    <row r="317" spans="2:5" x14ac:dyDescent="0.35">
      <c r="B317">
        <v>297</v>
      </c>
      <c r="C317" t="s">
        <v>549</v>
      </c>
      <c r="D317" s="42">
        <v>76386</v>
      </c>
      <c r="E317" s="42" t="s">
        <v>27</v>
      </c>
    </row>
    <row r="318" spans="2:5" x14ac:dyDescent="0.35">
      <c r="B318">
        <v>298</v>
      </c>
      <c r="C318" t="s">
        <v>550</v>
      </c>
      <c r="D318" s="42">
        <v>34486</v>
      </c>
      <c r="E318" s="42" t="s">
        <v>27</v>
      </c>
    </row>
    <row r="319" spans="2:5" x14ac:dyDescent="0.35">
      <c r="B319">
        <v>299</v>
      </c>
      <c r="C319" t="s">
        <v>551</v>
      </c>
      <c r="D319" s="42">
        <v>51007</v>
      </c>
      <c r="E319" s="42" t="s">
        <v>27</v>
      </c>
    </row>
    <row r="320" spans="2:5" x14ac:dyDescent="0.35">
      <c r="B320">
        <v>300</v>
      </c>
      <c r="C320" t="s">
        <v>552</v>
      </c>
      <c r="D320" s="42">
        <v>104696</v>
      </c>
      <c r="E320" s="42" t="s">
        <v>27</v>
      </c>
    </row>
    <row r="321" spans="2:5" x14ac:dyDescent="0.35">
      <c r="B321">
        <v>301</v>
      </c>
      <c r="C321" t="s">
        <v>553</v>
      </c>
      <c r="D321" s="42">
        <v>329276</v>
      </c>
      <c r="E321" s="42" t="s">
        <v>28</v>
      </c>
    </row>
    <row r="322" spans="2:5" x14ac:dyDescent="0.35">
      <c r="B322">
        <v>302</v>
      </c>
      <c r="C322" t="s">
        <v>554</v>
      </c>
      <c r="D322" s="42">
        <v>92458</v>
      </c>
      <c r="E322" s="42" t="s">
        <v>28</v>
      </c>
    </row>
    <row r="323" spans="2:5" x14ac:dyDescent="0.35">
      <c r="B323">
        <v>303</v>
      </c>
      <c r="C323" t="s">
        <v>555</v>
      </c>
      <c r="D323" s="42">
        <v>77558</v>
      </c>
      <c r="E323" s="42" t="s">
        <v>28</v>
      </c>
    </row>
    <row r="324" spans="2:5" x14ac:dyDescent="0.35">
      <c r="B324">
        <v>304</v>
      </c>
      <c r="C324" t="s">
        <v>556</v>
      </c>
      <c r="D324" s="42">
        <v>526947</v>
      </c>
      <c r="E324" s="42" t="s">
        <v>28</v>
      </c>
    </row>
    <row r="325" spans="2:5" x14ac:dyDescent="0.35">
      <c r="B325">
        <v>305</v>
      </c>
      <c r="C325" t="s">
        <v>557</v>
      </c>
      <c r="D325" s="42">
        <v>178213</v>
      </c>
      <c r="E325" s="42" t="s">
        <v>28</v>
      </c>
    </row>
    <row r="326" spans="2:5" x14ac:dyDescent="0.35">
      <c r="B326">
        <v>306</v>
      </c>
      <c r="C326" t="s">
        <v>558</v>
      </c>
      <c r="D326" s="42">
        <v>73211</v>
      </c>
      <c r="E326" s="42" t="s">
        <v>28</v>
      </c>
    </row>
    <row r="327" spans="2:5" x14ac:dyDescent="0.35">
      <c r="B327">
        <v>307</v>
      </c>
      <c r="C327" t="s">
        <v>559</v>
      </c>
      <c r="D327" s="42">
        <v>200945</v>
      </c>
      <c r="E327" s="42" t="s">
        <v>28</v>
      </c>
    </row>
    <row r="328" spans="2:5" x14ac:dyDescent="0.35">
      <c r="B328">
        <v>308</v>
      </c>
      <c r="C328" t="s">
        <v>560</v>
      </c>
      <c r="D328" s="42">
        <v>153965</v>
      </c>
      <c r="E328" s="42" t="s">
        <v>28</v>
      </c>
    </row>
    <row r="329" spans="2:5" x14ac:dyDescent="0.35">
      <c r="B329">
        <v>309</v>
      </c>
      <c r="C329" t="s">
        <v>561</v>
      </c>
      <c r="D329" s="42">
        <v>188619</v>
      </c>
      <c r="E329" s="42" t="s">
        <v>28</v>
      </c>
    </row>
    <row r="330" spans="2:5" x14ac:dyDescent="0.35">
      <c r="B330">
        <v>310</v>
      </c>
      <c r="C330" t="s">
        <v>562</v>
      </c>
      <c r="D330" s="42">
        <v>23066</v>
      </c>
      <c r="E330" s="42" t="s">
        <v>30</v>
      </c>
    </row>
    <row r="331" spans="2:5" x14ac:dyDescent="0.35">
      <c r="B331">
        <v>311</v>
      </c>
      <c r="C331" t="s">
        <v>563</v>
      </c>
      <c r="D331" s="42">
        <v>29260</v>
      </c>
      <c r="E331" s="42" t="s">
        <v>30</v>
      </c>
    </row>
    <row r="332" spans="2:5" x14ac:dyDescent="0.35">
      <c r="B332">
        <v>312</v>
      </c>
      <c r="C332" t="s">
        <v>564</v>
      </c>
      <c r="D332" s="42">
        <v>40219</v>
      </c>
      <c r="E332" s="42" t="s">
        <v>30</v>
      </c>
    </row>
    <row r="333" spans="2:5" x14ac:dyDescent="0.35">
      <c r="B333">
        <v>313</v>
      </c>
      <c r="C333" t="s">
        <v>565</v>
      </c>
      <c r="D333" s="42">
        <v>9634</v>
      </c>
      <c r="E333" s="42" t="s">
        <v>30</v>
      </c>
    </row>
    <row r="334" spans="2:5" x14ac:dyDescent="0.35">
      <c r="B334">
        <v>314</v>
      </c>
      <c r="C334" t="s">
        <v>566</v>
      </c>
      <c r="D334" s="42">
        <v>549438</v>
      </c>
      <c r="E334" s="42" t="s">
        <v>30</v>
      </c>
    </row>
    <row r="335" spans="2:5" x14ac:dyDescent="0.35">
      <c r="B335">
        <v>315</v>
      </c>
      <c r="C335" t="s">
        <v>567</v>
      </c>
      <c r="D335" s="42">
        <v>175273</v>
      </c>
      <c r="E335" s="42" t="s">
        <v>30</v>
      </c>
    </row>
    <row r="336" spans="2:5" x14ac:dyDescent="0.35">
      <c r="B336">
        <v>316</v>
      </c>
      <c r="C336" t="s">
        <v>568</v>
      </c>
      <c r="D336" s="42">
        <v>31711</v>
      </c>
      <c r="E336" s="42" t="s">
        <v>30</v>
      </c>
    </row>
    <row r="337" spans="2:5" x14ac:dyDescent="0.35">
      <c r="B337">
        <v>317</v>
      </c>
      <c r="C337" t="s">
        <v>569</v>
      </c>
      <c r="D337" s="42">
        <v>121492</v>
      </c>
      <c r="E337" s="42" t="s">
        <v>30</v>
      </c>
    </row>
    <row r="338" spans="2:5" x14ac:dyDescent="0.35">
      <c r="B338">
        <v>318</v>
      </c>
      <c r="C338" t="s">
        <v>570</v>
      </c>
      <c r="D338" s="42">
        <v>110342</v>
      </c>
      <c r="E338" s="42" t="s">
        <v>30</v>
      </c>
    </row>
    <row r="339" spans="2:5" x14ac:dyDescent="0.35">
      <c r="B339">
        <v>319</v>
      </c>
      <c r="C339" t="s">
        <v>571</v>
      </c>
      <c r="D339" s="42">
        <v>327995</v>
      </c>
      <c r="E339" s="42" t="s">
        <v>31</v>
      </c>
    </row>
    <row r="340" spans="2:5" x14ac:dyDescent="0.35">
      <c r="B340">
        <v>320</v>
      </c>
      <c r="C340" t="s">
        <v>572</v>
      </c>
      <c r="D340" s="42">
        <v>320702</v>
      </c>
      <c r="E340" s="42" t="s">
        <v>31</v>
      </c>
    </row>
    <row r="341" spans="2:5" x14ac:dyDescent="0.35">
      <c r="B341">
        <v>321</v>
      </c>
      <c r="C341" t="s">
        <v>573</v>
      </c>
      <c r="D341" s="42">
        <v>58032</v>
      </c>
      <c r="E341" s="42" t="s">
        <v>31</v>
      </c>
    </row>
    <row r="342" spans="2:5" x14ac:dyDescent="0.35">
      <c r="B342">
        <v>322</v>
      </c>
      <c r="C342" t="s">
        <v>574</v>
      </c>
      <c r="D342" s="42">
        <v>425922</v>
      </c>
      <c r="E342" s="42" t="s">
        <v>32</v>
      </c>
    </row>
    <row r="343" spans="2:5" x14ac:dyDescent="0.35">
      <c r="B343">
        <v>323</v>
      </c>
      <c r="C343" t="s">
        <v>575</v>
      </c>
      <c r="D343" s="42">
        <v>449536</v>
      </c>
      <c r="E343" s="42" t="s">
        <v>32</v>
      </c>
    </row>
    <row r="344" spans="2:5" x14ac:dyDescent="0.35">
      <c r="B344">
        <v>324</v>
      </c>
      <c r="C344" t="s">
        <v>576</v>
      </c>
      <c r="D344" s="42">
        <v>14595</v>
      </c>
      <c r="E344" s="42" t="s">
        <v>32</v>
      </c>
    </row>
    <row r="345" spans="2:5" x14ac:dyDescent="0.35">
      <c r="B345">
        <v>325</v>
      </c>
      <c r="C345" t="s">
        <v>577</v>
      </c>
      <c r="D345" s="42">
        <v>415849</v>
      </c>
      <c r="E345" s="42" t="s">
        <v>33</v>
      </c>
    </row>
    <row r="346" spans="2:5" x14ac:dyDescent="0.35">
      <c r="B346">
        <v>326</v>
      </c>
      <c r="C346" t="s">
        <v>578</v>
      </c>
      <c r="D346" s="42">
        <v>1008046</v>
      </c>
      <c r="E346" s="42" t="s">
        <v>33</v>
      </c>
    </row>
    <row r="347" spans="2:5" x14ac:dyDescent="0.35">
      <c r="B347">
        <v>327</v>
      </c>
      <c r="C347" t="s">
        <v>579</v>
      </c>
      <c r="D347" s="42">
        <v>577488</v>
      </c>
      <c r="E347" s="42" t="s">
        <v>33</v>
      </c>
    </row>
    <row r="348" spans="2:5" x14ac:dyDescent="0.35">
      <c r="B348">
        <v>328</v>
      </c>
      <c r="C348" t="s">
        <v>580</v>
      </c>
      <c r="D348" s="42">
        <v>355168</v>
      </c>
      <c r="E348" s="42" t="s">
        <v>33</v>
      </c>
    </row>
    <row r="349" spans="2:5" x14ac:dyDescent="0.35">
      <c r="B349">
        <v>329</v>
      </c>
      <c r="C349" t="s">
        <v>581</v>
      </c>
      <c r="D349" s="42">
        <v>126350</v>
      </c>
      <c r="E349" s="42" t="s">
        <v>33</v>
      </c>
    </row>
    <row r="350" spans="2:5" x14ac:dyDescent="0.35">
      <c r="B350">
        <v>330</v>
      </c>
      <c r="C350" t="s">
        <v>582</v>
      </c>
      <c r="D350" s="42">
        <v>800638</v>
      </c>
      <c r="E350" s="42" t="s">
        <v>33</v>
      </c>
    </row>
    <row r="351" spans="2:5" x14ac:dyDescent="0.35">
      <c r="B351">
        <v>331</v>
      </c>
      <c r="C351" t="s">
        <v>583</v>
      </c>
      <c r="D351" s="42">
        <v>609011</v>
      </c>
      <c r="E351" s="42" t="s">
        <v>33</v>
      </c>
    </row>
    <row r="352" spans="2:5" x14ac:dyDescent="0.35">
      <c r="B352">
        <v>332</v>
      </c>
      <c r="C352" t="s">
        <v>584</v>
      </c>
      <c r="D352" s="42">
        <v>264739</v>
      </c>
      <c r="E352" s="42" t="s">
        <v>33</v>
      </c>
    </row>
    <row r="353" spans="2:5" x14ac:dyDescent="0.35">
      <c r="B353">
        <v>333</v>
      </c>
      <c r="C353" t="s">
        <v>585</v>
      </c>
      <c r="D353" s="42">
        <v>2402445</v>
      </c>
      <c r="E353" s="42" t="s">
        <v>34</v>
      </c>
    </row>
    <row r="354" spans="2:5" x14ac:dyDescent="0.35">
      <c r="B354">
        <v>334</v>
      </c>
      <c r="C354" t="s">
        <v>586</v>
      </c>
      <c r="D354" s="42">
        <v>761290</v>
      </c>
      <c r="E354" s="42" t="s">
        <v>34</v>
      </c>
    </row>
    <row r="355" spans="2:5" x14ac:dyDescent="0.35">
      <c r="B355">
        <v>335</v>
      </c>
      <c r="C355" t="s">
        <v>587</v>
      </c>
      <c r="D355" s="42">
        <v>2046947</v>
      </c>
      <c r="E355" s="42" t="s">
        <v>34</v>
      </c>
    </row>
    <row r="356" spans="2:5" x14ac:dyDescent="0.35">
      <c r="B356">
        <v>336</v>
      </c>
      <c r="C356" t="s">
        <v>588</v>
      </c>
      <c r="D356" s="42">
        <v>101557</v>
      </c>
      <c r="E356" s="42" t="s">
        <v>34</v>
      </c>
    </row>
    <row r="357" spans="2:5" x14ac:dyDescent="0.35">
      <c r="B357">
        <v>337</v>
      </c>
      <c r="C357" t="s">
        <v>589</v>
      </c>
      <c r="D357" s="42">
        <v>141457</v>
      </c>
      <c r="E357" s="42" t="s">
        <v>34</v>
      </c>
    </row>
    <row r="358" spans="2:5" x14ac:dyDescent="0.35">
      <c r="B358">
        <v>338</v>
      </c>
      <c r="C358" t="s">
        <v>590</v>
      </c>
      <c r="D358" s="42">
        <v>38280</v>
      </c>
      <c r="E358" s="42" t="s">
        <v>34</v>
      </c>
    </row>
    <row r="359" spans="2:5" x14ac:dyDescent="0.35">
      <c r="B359">
        <v>339</v>
      </c>
      <c r="C359" t="s">
        <v>591</v>
      </c>
      <c r="D359" s="42">
        <v>389050</v>
      </c>
      <c r="E359" s="42" t="s">
        <v>34</v>
      </c>
    </row>
    <row r="360" spans="2:5" x14ac:dyDescent="0.35">
      <c r="B360">
        <v>340</v>
      </c>
      <c r="C360" t="s">
        <v>592</v>
      </c>
      <c r="D360" s="42">
        <v>482885</v>
      </c>
      <c r="E360" s="42" t="s">
        <v>35</v>
      </c>
    </row>
    <row r="361" spans="2:5" x14ac:dyDescent="0.35">
      <c r="B361">
        <v>341</v>
      </c>
      <c r="C361" t="s">
        <v>593</v>
      </c>
      <c r="D361" s="42">
        <v>281141</v>
      </c>
      <c r="E361" s="42" t="s">
        <v>32</v>
      </c>
    </row>
    <row r="362" spans="2:5" x14ac:dyDescent="0.35">
      <c r="B362">
        <v>342</v>
      </c>
      <c r="C362" t="s">
        <v>594</v>
      </c>
      <c r="D362" s="42">
        <v>378412</v>
      </c>
      <c r="E362" s="42" t="s">
        <v>32</v>
      </c>
    </row>
    <row r="363" spans="2:5" x14ac:dyDescent="0.35">
      <c r="B363">
        <v>343</v>
      </c>
      <c r="C363" t="s">
        <v>595</v>
      </c>
      <c r="D363" s="42">
        <v>74688</v>
      </c>
      <c r="E363" s="42" t="s">
        <v>32</v>
      </c>
    </row>
    <row r="364" spans="2:5" x14ac:dyDescent="0.35">
      <c r="B364">
        <v>344</v>
      </c>
      <c r="C364" t="s">
        <v>596</v>
      </c>
      <c r="D364" s="42">
        <v>243033</v>
      </c>
      <c r="E364" s="42" t="s">
        <v>35</v>
      </c>
    </row>
    <row r="365" spans="2:5" x14ac:dyDescent="0.35">
      <c r="B365">
        <v>345</v>
      </c>
      <c r="C365" t="s">
        <v>597</v>
      </c>
      <c r="D365" s="42">
        <v>502889</v>
      </c>
      <c r="E365" s="42" t="s">
        <v>35</v>
      </c>
    </row>
    <row r="366" spans="2:5" x14ac:dyDescent="0.35">
      <c r="B366">
        <v>346</v>
      </c>
      <c r="C366" t="s">
        <v>598</v>
      </c>
      <c r="D366" s="42">
        <v>411001</v>
      </c>
      <c r="E366" s="42" t="s">
        <v>35</v>
      </c>
    </row>
    <row r="367" spans="2:5" x14ac:dyDescent="0.35">
      <c r="B367">
        <v>347</v>
      </c>
      <c r="C367" t="s">
        <v>599</v>
      </c>
      <c r="D367" s="42">
        <v>90414</v>
      </c>
      <c r="E367" s="42" t="s">
        <v>35</v>
      </c>
    </row>
    <row r="368" spans="2:5" x14ac:dyDescent="0.35">
      <c r="B368">
        <v>348</v>
      </c>
      <c r="C368" t="s">
        <v>600</v>
      </c>
      <c r="D368" s="42">
        <v>484104</v>
      </c>
      <c r="E368" s="42" t="s">
        <v>35</v>
      </c>
    </row>
    <row r="369" spans="2:6" x14ac:dyDescent="0.35">
      <c r="B369">
        <v>349</v>
      </c>
      <c r="C369" t="s">
        <v>601</v>
      </c>
      <c r="D369" s="42">
        <v>220452</v>
      </c>
      <c r="E369" s="42" t="s">
        <v>35</v>
      </c>
    </row>
    <row r="370" spans="2:6" x14ac:dyDescent="0.35">
      <c r="B370">
        <v>350</v>
      </c>
      <c r="C370" t="s">
        <v>602</v>
      </c>
      <c r="D370" s="42">
        <v>60874</v>
      </c>
      <c r="E370" s="42" t="s">
        <v>35</v>
      </c>
    </row>
    <row r="371" spans="2:6" x14ac:dyDescent="0.35">
      <c r="B371">
        <v>351</v>
      </c>
      <c r="C371" t="s">
        <v>603</v>
      </c>
      <c r="D371" s="42">
        <v>20000</v>
      </c>
      <c r="E371" s="42" t="s">
        <v>35</v>
      </c>
    </row>
    <row r="372" spans="2:6" x14ac:dyDescent="0.35">
      <c r="B372">
        <v>352</v>
      </c>
      <c r="C372" t="s">
        <v>604</v>
      </c>
      <c r="D372" s="42">
        <v>76582</v>
      </c>
      <c r="E372" s="42" t="s">
        <v>35</v>
      </c>
    </row>
    <row r="373" spans="2:6" x14ac:dyDescent="0.35">
      <c r="B373">
        <v>353</v>
      </c>
      <c r="C373" t="s">
        <v>605</v>
      </c>
      <c r="D373" s="42">
        <v>163023</v>
      </c>
      <c r="E373" s="42" t="s">
        <v>35</v>
      </c>
    </row>
    <row r="374" spans="2:6" x14ac:dyDescent="0.35">
      <c r="B374">
        <v>354</v>
      </c>
      <c r="C374" t="s">
        <v>606</v>
      </c>
      <c r="D374" s="42">
        <v>857963</v>
      </c>
      <c r="E374" s="42" t="s">
        <v>35</v>
      </c>
    </row>
    <row r="375" spans="2:6" x14ac:dyDescent="0.35">
      <c r="B375">
        <v>355</v>
      </c>
      <c r="C375" t="s">
        <v>607</v>
      </c>
      <c r="D375" s="42">
        <v>454789</v>
      </c>
      <c r="E375" s="42" t="s">
        <v>35</v>
      </c>
    </row>
    <row r="376" spans="2:6" x14ac:dyDescent="0.35">
      <c r="B376">
        <v>356</v>
      </c>
      <c r="C376" t="s">
        <v>608</v>
      </c>
      <c r="D376" s="42">
        <v>357845</v>
      </c>
      <c r="E376" s="42" t="s">
        <v>35</v>
      </c>
    </row>
    <row r="377" spans="2:6" x14ac:dyDescent="0.35">
      <c r="B377">
        <v>357</v>
      </c>
      <c r="C377" t="s">
        <v>609</v>
      </c>
      <c r="D377" s="42">
        <v>109702</v>
      </c>
      <c r="E377" s="42" t="s">
        <v>35</v>
      </c>
    </row>
    <row r="378" spans="2:6" x14ac:dyDescent="0.35">
      <c r="B378">
        <v>358</v>
      </c>
      <c r="C378" t="s">
        <v>610</v>
      </c>
      <c r="D378" s="42">
        <v>37068</v>
      </c>
      <c r="E378" s="42" t="s">
        <v>35</v>
      </c>
    </row>
    <row r="379" spans="2:6" x14ac:dyDescent="0.35">
      <c r="B379">
        <v>359</v>
      </c>
      <c r="C379" t="s">
        <v>611</v>
      </c>
      <c r="D379" s="42">
        <v>99658</v>
      </c>
      <c r="E379" s="42" t="s">
        <v>35</v>
      </c>
    </row>
    <row r="380" spans="2:6" x14ac:dyDescent="0.35">
      <c r="B380">
        <v>360</v>
      </c>
      <c r="C380" t="s">
        <v>612</v>
      </c>
      <c r="D380" s="42">
        <v>95287</v>
      </c>
      <c r="E380" s="42" t="s">
        <v>35</v>
      </c>
    </row>
    <row r="381" spans="2:6" x14ac:dyDescent="0.35">
      <c r="B381">
        <v>361</v>
      </c>
      <c r="C381" t="s">
        <v>613</v>
      </c>
      <c r="D381" s="42">
        <v>86455</v>
      </c>
      <c r="E381" s="42" t="s">
        <v>35</v>
      </c>
    </row>
    <row r="382" spans="2:6" x14ac:dyDescent="0.35">
      <c r="B382">
        <v>362</v>
      </c>
      <c r="C382" t="s">
        <v>614</v>
      </c>
      <c r="D382" s="42">
        <v>96800</v>
      </c>
      <c r="E382" s="42" t="s">
        <v>35</v>
      </c>
    </row>
    <row r="383" spans="2:6" x14ac:dyDescent="0.35">
      <c r="B383">
        <v>363</v>
      </c>
      <c r="C383" s="17" t="s">
        <v>615</v>
      </c>
      <c r="D383" s="42">
        <v>177538</v>
      </c>
      <c r="E383" s="42" t="s">
        <v>670</v>
      </c>
      <c r="F383" t="s">
        <v>224</v>
      </c>
    </row>
    <row r="384" spans="2:6" x14ac:dyDescent="0.35">
      <c r="B384">
        <v>364</v>
      </c>
      <c r="C384" t="s">
        <v>616</v>
      </c>
      <c r="D384" s="42">
        <v>70755</v>
      </c>
      <c r="E384" s="42" t="s">
        <v>37</v>
      </c>
    </row>
    <row r="385" spans="2:5" x14ac:dyDescent="0.35">
      <c r="B385">
        <v>365</v>
      </c>
      <c r="C385" t="s">
        <v>617</v>
      </c>
      <c r="D385" s="42">
        <v>290574</v>
      </c>
      <c r="E385" s="42" t="s">
        <v>37</v>
      </c>
    </row>
    <row r="386" spans="2:5" x14ac:dyDescent="0.35">
      <c r="B386">
        <v>366</v>
      </c>
      <c r="C386" t="s">
        <v>618</v>
      </c>
      <c r="D386" s="42">
        <v>134428</v>
      </c>
      <c r="E386" s="42" t="s">
        <v>37</v>
      </c>
    </row>
    <row r="387" spans="2:5" x14ac:dyDescent="0.35">
      <c r="B387">
        <v>367</v>
      </c>
      <c r="C387" t="s">
        <v>619</v>
      </c>
      <c r="D387" s="42">
        <v>709535</v>
      </c>
      <c r="E387" s="42" t="s">
        <v>38</v>
      </c>
    </row>
    <row r="388" spans="2:5" x14ac:dyDescent="0.35">
      <c r="B388">
        <v>368</v>
      </c>
      <c r="C388" t="s">
        <v>620</v>
      </c>
      <c r="D388" s="42">
        <v>186253</v>
      </c>
      <c r="E388" s="42" t="s">
        <v>38</v>
      </c>
    </row>
    <row r="389" spans="2:5" x14ac:dyDescent="0.35">
      <c r="B389">
        <v>369</v>
      </c>
      <c r="C389" t="s">
        <v>621</v>
      </c>
      <c r="D389" s="42">
        <v>189447</v>
      </c>
      <c r="E389" s="42" t="s">
        <v>38</v>
      </c>
    </row>
    <row r="390" spans="2:5" x14ac:dyDescent="0.35">
      <c r="B390">
        <v>370</v>
      </c>
      <c r="C390" t="s">
        <v>622</v>
      </c>
      <c r="D390" s="42">
        <v>255195</v>
      </c>
      <c r="E390" s="42" t="s">
        <v>38</v>
      </c>
    </row>
    <row r="391" spans="2:5" x14ac:dyDescent="0.35">
      <c r="B391">
        <v>371</v>
      </c>
      <c r="C391" t="s">
        <v>623</v>
      </c>
      <c r="D391" s="42">
        <v>74455</v>
      </c>
      <c r="E391" s="42" t="s">
        <v>38</v>
      </c>
    </row>
    <row r="392" spans="2:5" x14ac:dyDescent="0.35">
      <c r="B392">
        <v>372</v>
      </c>
      <c r="C392" t="s">
        <v>624</v>
      </c>
      <c r="D392" s="42">
        <v>152470</v>
      </c>
      <c r="E392" s="42" t="s">
        <v>38</v>
      </c>
    </row>
    <row r="393" spans="2:5" x14ac:dyDescent="0.35">
      <c r="B393">
        <v>373</v>
      </c>
      <c r="C393" t="s">
        <v>625</v>
      </c>
      <c r="D393" s="42">
        <v>58595</v>
      </c>
      <c r="E393" s="42" t="s">
        <v>38</v>
      </c>
    </row>
    <row r="394" spans="2:5" x14ac:dyDescent="0.35">
      <c r="B394">
        <v>374</v>
      </c>
      <c r="C394" t="s">
        <v>626</v>
      </c>
      <c r="D394" s="42">
        <v>1260793</v>
      </c>
      <c r="E394" s="42" t="s">
        <v>38</v>
      </c>
    </row>
    <row r="395" spans="2:5" x14ac:dyDescent="0.35">
      <c r="B395">
        <v>375</v>
      </c>
      <c r="C395" t="s">
        <v>627</v>
      </c>
      <c r="D395" s="42">
        <v>265155</v>
      </c>
      <c r="E395" s="42" t="s">
        <v>38</v>
      </c>
    </row>
    <row r="396" spans="2:5" x14ac:dyDescent="0.35">
      <c r="B396">
        <v>376</v>
      </c>
      <c r="C396" t="s">
        <v>628</v>
      </c>
      <c r="D396" s="42">
        <v>81862</v>
      </c>
      <c r="E396" s="42" t="s">
        <v>38</v>
      </c>
    </row>
    <row r="397" spans="2:5" x14ac:dyDescent="0.35">
      <c r="B397">
        <v>377</v>
      </c>
      <c r="C397" t="s">
        <v>629</v>
      </c>
      <c r="D397" s="42">
        <v>197760</v>
      </c>
      <c r="E397" s="42" t="s">
        <v>38</v>
      </c>
    </row>
    <row r="398" spans="2:5" x14ac:dyDescent="0.35">
      <c r="B398">
        <v>378</v>
      </c>
      <c r="C398" t="s">
        <v>630</v>
      </c>
      <c r="D398" s="42">
        <v>84581</v>
      </c>
      <c r="E398" s="42" t="s">
        <v>38</v>
      </c>
    </row>
    <row r="399" spans="2:5" x14ac:dyDescent="0.35">
      <c r="B399">
        <v>379</v>
      </c>
      <c r="C399" t="s">
        <v>631</v>
      </c>
      <c r="D399" s="42">
        <v>72091</v>
      </c>
      <c r="E399" s="42" t="s">
        <v>38</v>
      </c>
    </row>
    <row r="400" spans="2:5" x14ac:dyDescent="0.35">
      <c r="B400">
        <v>380</v>
      </c>
      <c r="C400" t="s">
        <v>632</v>
      </c>
      <c r="D400" s="42">
        <v>39438</v>
      </c>
      <c r="E400" s="42" t="s">
        <v>39</v>
      </c>
    </row>
    <row r="401" spans="2:5" x14ac:dyDescent="0.35">
      <c r="B401">
        <v>381</v>
      </c>
      <c r="C401" t="s">
        <v>633</v>
      </c>
      <c r="D401" s="42">
        <v>72032</v>
      </c>
      <c r="E401" s="42" t="s">
        <v>39</v>
      </c>
    </row>
    <row r="402" spans="2:5" x14ac:dyDescent="0.35">
      <c r="B402">
        <v>382</v>
      </c>
      <c r="C402" t="s">
        <v>634</v>
      </c>
      <c r="D402" s="42">
        <v>80522</v>
      </c>
      <c r="E402" s="42" t="s">
        <v>39</v>
      </c>
    </row>
    <row r="403" spans="2:5" x14ac:dyDescent="0.35">
      <c r="B403">
        <v>383</v>
      </c>
      <c r="C403" t="s">
        <v>635</v>
      </c>
      <c r="D403" s="42">
        <v>98282</v>
      </c>
      <c r="E403" s="42" t="s">
        <v>39</v>
      </c>
    </row>
    <row r="404" spans="2:5" x14ac:dyDescent="0.35">
      <c r="B404">
        <v>384</v>
      </c>
      <c r="C404" t="s">
        <v>636</v>
      </c>
      <c r="D404" s="42">
        <v>29328</v>
      </c>
      <c r="E404" s="42" t="s">
        <v>39</v>
      </c>
    </row>
    <row r="405" spans="2:5" x14ac:dyDescent="0.35">
      <c r="B405">
        <v>385</v>
      </c>
      <c r="C405" t="s">
        <v>637</v>
      </c>
      <c r="D405" s="42">
        <v>38539</v>
      </c>
      <c r="E405" s="42" t="s">
        <v>39</v>
      </c>
    </row>
    <row r="406" spans="2:5" x14ac:dyDescent="0.35">
      <c r="B406">
        <v>386</v>
      </c>
      <c r="C406" t="s">
        <v>638</v>
      </c>
      <c r="D406" s="42">
        <v>58161</v>
      </c>
      <c r="E406" s="42" t="s">
        <v>39</v>
      </c>
    </row>
    <row r="407" spans="2:5" x14ac:dyDescent="0.35">
      <c r="B407">
        <v>387</v>
      </c>
      <c r="C407" t="s">
        <v>639</v>
      </c>
      <c r="D407" s="42">
        <v>154520</v>
      </c>
      <c r="E407" s="42" t="s">
        <v>39</v>
      </c>
    </row>
    <row r="408" spans="2:5" x14ac:dyDescent="0.35">
      <c r="B408">
        <v>388</v>
      </c>
      <c r="C408" t="s">
        <v>640</v>
      </c>
      <c r="D408" s="42">
        <v>384400</v>
      </c>
      <c r="E408" s="42" t="s">
        <v>29</v>
      </c>
    </row>
    <row r="409" spans="2:5" x14ac:dyDescent="0.35">
      <c r="B409">
        <v>389</v>
      </c>
      <c r="C409" t="s">
        <v>641</v>
      </c>
      <c r="D409" s="42">
        <v>610266</v>
      </c>
      <c r="E409" s="42" t="s">
        <v>29</v>
      </c>
    </row>
    <row r="410" spans="2:5" x14ac:dyDescent="0.35">
      <c r="B410">
        <v>390</v>
      </c>
      <c r="C410" t="s">
        <v>642</v>
      </c>
      <c r="D410" s="42">
        <v>577136</v>
      </c>
      <c r="E410" s="42" t="s">
        <v>29</v>
      </c>
    </row>
    <row r="411" spans="2:5" x14ac:dyDescent="0.35">
      <c r="B411">
        <v>391</v>
      </c>
      <c r="C411" t="s">
        <v>643</v>
      </c>
      <c r="D411" s="42">
        <v>174570</v>
      </c>
      <c r="E411" s="42" t="s">
        <v>29</v>
      </c>
    </row>
    <row r="412" spans="2:5" x14ac:dyDescent="0.35">
      <c r="B412">
        <v>392</v>
      </c>
      <c r="C412" t="s">
        <v>644</v>
      </c>
      <c r="D412" s="42">
        <v>222830</v>
      </c>
      <c r="E412" s="42" t="s">
        <v>27</v>
      </c>
    </row>
    <row r="413" spans="2:5" x14ac:dyDescent="0.35">
      <c r="B413">
        <v>393</v>
      </c>
      <c r="C413" t="s">
        <v>645</v>
      </c>
      <c r="D413" s="42">
        <v>26448</v>
      </c>
      <c r="E413" s="42" t="s">
        <v>39</v>
      </c>
    </row>
    <row r="414" spans="2:5" x14ac:dyDescent="0.35">
      <c r="B414">
        <v>394</v>
      </c>
      <c r="C414" t="s">
        <v>646</v>
      </c>
      <c r="D414" s="42">
        <v>62196</v>
      </c>
      <c r="E414" s="42" t="s">
        <v>25</v>
      </c>
    </row>
    <row r="415" spans="2:5" x14ac:dyDescent="0.35">
      <c r="B415">
        <v>395</v>
      </c>
      <c r="C415" t="s">
        <v>647</v>
      </c>
      <c r="D415" s="42">
        <v>39064</v>
      </c>
      <c r="E415" s="42" t="s">
        <v>39</v>
      </c>
    </row>
    <row r="416" spans="2:5" x14ac:dyDescent="0.35">
      <c r="B416">
        <v>396</v>
      </c>
      <c r="C416" t="s">
        <v>648</v>
      </c>
      <c r="D416" s="42">
        <v>124412</v>
      </c>
      <c r="E416" s="42" t="s">
        <v>39</v>
      </c>
    </row>
    <row r="417" spans="2:5" x14ac:dyDescent="0.35">
      <c r="B417">
        <v>397</v>
      </c>
      <c r="C417" t="s">
        <v>649</v>
      </c>
      <c r="D417" s="42">
        <v>26472</v>
      </c>
      <c r="E417" s="42" t="s">
        <v>39</v>
      </c>
    </row>
    <row r="418" spans="2:5" x14ac:dyDescent="0.35">
      <c r="B418">
        <v>398</v>
      </c>
      <c r="C418" t="s">
        <v>650</v>
      </c>
      <c r="D418" s="42">
        <v>40354</v>
      </c>
      <c r="E418" s="42" t="s">
        <v>39</v>
      </c>
    </row>
    <row r="419" spans="2:5" x14ac:dyDescent="0.35">
      <c r="B419">
        <v>399</v>
      </c>
      <c r="C419" t="s">
        <v>651</v>
      </c>
      <c r="D419" s="42">
        <v>139743</v>
      </c>
      <c r="E419" s="42" t="s">
        <v>39</v>
      </c>
    </row>
    <row r="420" spans="2:5" x14ac:dyDescent="0.35">
      <c r="B420">
        <v>400</v>
      </c>
      <c r="C420" t="s">
        <v>652</v>
      </c>
      <c r="D420" s="42">
        <v>118995</v>
      </c>
      <c r="E420" s="42" t="s">
        <v>39</v>
      </c>
    </row>
    <row r="421" spans="2:5" x14ac:dyDescent="0.35">
      <c r="B421">
        <v>401</v>
      </c>
      <c r="C421" t="s">
        <v>653</v>
      </c>
      <c r="D421" s="42">
        <v>102641</v>
      </c>
      <c r="E421" s="42" t="s">
        <v>39</v>
      </c>
    </row>
    <row r="422" spans="2:5" x14ac:dyDescent="0.35">
      <c r="B422">
        <v>402</v>
      </c>
      <c r="C422" t="s">
        <v>654</v>
      </c>
      <c r="D422" s="42">
        <v>164911</v>
      </c>
      <c r="E422" s="42" t="s">
        <v>39</v>
      </c>
    </row>
    <row r="423" spans="2:5" x14ac:dyDescent="0.35">
      <c r="B423">
        <v>403</v>
      </c>
      <c r="C423" t="s">
        <v>655</v>
      </c>
      <c r="D423" s="42">
        <v>27382</v>
      </c>
      <c r="E423" s="42" t="s">
        <v>40</v>
      </c>
    </row>
    <row r="424" spans="2:5" x14ac:dyDescent="0.35">
      <c r="B424">
        <v>404</v>
      </c>
      <c r="C424" t="s">
        <v>656</v>
      </c>
      <c r="D424" s="42">
        <v>891867</v>
      </c>
      <c r="E424" s="42" t="s">
        <v>36</v>
      </c>
    </row>
    <row r="425" spans="2:5" x14ac:dyDescent="0.35">
      <c r="B425">
        <v>405</v>
      </c>
      <c r="C425" t="s">
        <v>657</v>
      </c>
      <c r="D425" s="42">
        <v>629608</v>
      </c>
      <c r="E425" s="42" t="s">
        <v>36</v>
      </c>
    </row>
    <row r="426" spans="2:5" x14ac:dyDescent="0.35">
      <c r="B426">
        <v>406</v>
      </c>
      <c r="C426" t="s">
        <v>658</v>
      </c>
      <c r="D426" s="42">
        <v>81469</v>
      </c>
      <c r="E426" s="42" t="s">
        <v>36</v>
      </c>
    </row>
    <row r="427" spans="2:5" x14ac:dyDescent="0.35">
      <c r="B427">
        <v>407</v>
      </c>
      <c r="C427" t="s">
        <v>659</v>
      </c>
      <c r="D427" s="42">
        <v>18283</v>
      </c>
      <c r="E427" s="42" t="s">
        <v>36</v>
      </c>
    </row>
    <row r="428" spans="2:5" x14ac:dyDescent="0.35">
      <c r="B428">
        <v>408</v>
      </c>
      <c r="C428" t="s">
        <v>660</v>
      </c>
      <c r="D428" s="42">
        <v>10927</v>
      </c>
      <c r="E428" s="42" t="s">
        <v>36</v>
      </c>
    </row>
    <row r="429" spans="2:5" x14ac:dyDescent="0.35">
      <c r="B429">
        <v>409</v>
      </c>
      <c r="C429" t="s">
        <v>1214</v>
      </c>
      <c r="D429" s="42">
        <v>1457648</v>
      </c>
      <c r="E429" s="42" t="s">
        <v>36</v>
      </c>
    </row>
    <row r="430" spans="2:5" x14ac:dyDescent="0.35">
      <c r="B430">
        <v>410</v>
      </c>
      <c r="C430" t="s">
        <v>1215</v>
      </c>
      <c r="D430" s="42">
        <v>462628</v>
      </c>
      <c r="E430" s="42" t="s">
        <v>36</v>
      </c>
    </row>
    <row r="431" spans="2:5" x14ac:dyDescent="0.35">
      <c r="B431">
        <v>411</v>
      </c>
      <c r="C431" t="s">
        <v>1216</v>
      </c>
      <c r="D431" s="42">
        <v>1376800</v>
      </c>
      <c r="E431" s="42" t="s">
        <v>36</v>
      </c>
    </row>
    <row r="432" spans="2:5" x14ac:dyDescent="0.35">
      <c r="B432">
        <v>412</v>
      </c>
      <c r="C432" t="s">
        <v>661</v>
      </c>
      <c r="D432" s="42">
        <v>14553</v>
      </c>
      <c r="E432" s="42" t="s">
        <v>36</v>
      </c>
    </row>
    <row r="433" spans="2:5" x14ac:dyDescent="0.35">
      <c r="B433">
        <v>413</v>
      </c>
      <c r="C433" t="s">
        <v>662</v>
      </c>
      <c r="D433" s="42">
        <v>85347</v>
      </c>
      <c r="E433" s="42" t="s">
        <v>36</v>
      </c>
    </row>
    <row r="434" spans="2:5" x14ac:dyDescent="0.35">
      <c r="B434">
        <v>414</v>
      </c>
      <c r="C434" t="s">
        <v>663</v>
      </c>
      <c r="D434" s="42">
        <v>398367</v>
      </c>
      <c r="E434" s="42" t="s">
        <v>36</v>
      </c>
    </row>
    <row r="435" spans="2:5" x14ac:dyDescent="0.35">
      <c r="D435" s="42"/>
      <c r="E435" s="42"/>
    </row>
    <row r="436" spans="2:5" x14ac:dyDescent="0.35">
      <c r="D436" s="42"/>
      <c r="E436" s="42"/>
    </row>
    <row r="437" spans="2:5" x14ac:dyDescent="0.35">
      <c r="D437" s="42"/>
      <c r="E437" s="42"/>
    </row>
    <row r="438" spans="2:5" x14ac:dyDescent="0.35">
      <c r="E438" s="42"/>
    </row>
    <row r="439" spans="2:5" x14ac:dyDescent="0.35">
      <c r="E439" s="42"/>
    </row>
    <row r="440" spans="2:5" x14ac:dyDescent="0.35">
      <c r="E440" s="42"/>
    </row>
    <row r="441" spans="2:5" x14ac:dyDescent="0.35">
      <c r="E441" s="42"/>
    </row>
    <row r="442" spans="2:5" x14ac:dyDescent="0.35">
      <c r="E442" s="42"/>
    </row>
    <row r="443" spans="2:5" x14ac:dyDescent="0.35">
      <c r="E443" s="42"/>
    </row>
    <row r="444" spans="2:5" x14ac:dyDescent="0.35">
      <c r="E444" s="42"/>
    </row>
    <row r="445" spans="2:5" x14ac:dyDescent="0.35">
      <c r="E445" s="42"/>
    </row>
    <row r="446" spans="2:5" x14ac:dyDescent="0.35">
      <c r="E446" s="42"/>
    </row>
    <row r="447" spans="2:5" x14ac:dyDescent="0.35">
      <c r="E447" s="42"/>
    </row>
    <row r="448" spans="2:5" x14ac:dyDescent="0.35">
      <c r="E448" s="42"/>
    </row>
    <row r="449" spans="5:5" x14ac:dyDescent="0.35">
      <c r="E449" s="42"/>
    </row>
  </sheetData>
  <hyperlinks>
    <hyperlink ref="B8" r:id="rId1" xr:uid="{BD28B7F2-9FF5-4121-9544-24D11A801EF7}"/>
  </hyperlinks>
  <pageMargins left="0.7" right="0.7" top="0.75" bottom="0.75" header="0.3" footer="0.3"/>
  <pageSetup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919C-BB97-46FD-AC01-6C4D23093079}">
  <dimension ref="A1:E412"/>
  <sheetViews>
    <sheetView topLeftCell="A330" workbookViewId="0">
      <selection activeCell="C372" sqref="C372"/>
    </sheetView>
  </sheetViews>
  <sheetFormatPr defaultColWidth="8.453125" defaultRowHeight="14.5" x14ac:dyDescent="0.35"/>
  <cols>
    <col min="1" max="1" width="4.36328125" style="62" bestFit="1" customWidth="1" collapsed="1"/>
    <col min="2" max="2" width="67.6328125" style="62" bestFit="1" customWidth="1" collapsed="1"/>
    <col min="3" max="3" width="9.6328125" style="62" bestFit="1" customWidth="1" collapsed="1"/>
    <col min="4" max="4" width="8.453125" style="62"/>
    <col min="5" max="5" width="13.36328125" customWidth="1"/>
    <col min="6" max="16384" width="8.453125" style="62"/>
  </cols>
  <sheetData>
    <row r="1" spans="1:5" ht="18.5" x14ac:dyDescent="0.45">
      <c r="A1" s="67" t="s">
        <v>811</v>
      </c>
    </row>
    <row r="2" spans="1:5" ht="17" x14ac:dyDescent="0.4">
      <c r="A2" s="68" t="s">
        <v>150</v>
      </c>
    </row>
    <row r="3" spans="1:5" x14ac:dyDescent="0.35">
      <c r="A3" s="62" t="s">
        <v>151</v>
      </c>
    </row>
    <row r="4" spans="1:5" x14ac:dyDescent="0.35">
      <c r="A4" s="62" t="s">
        <v>812</v>
      </c>
    </row>
    <row r="6" spans="1:5" x14ac:dyDescent="0.35">
      <c r="A6" s="63" t="s">
        <v>152</v>
      </c>
      <c r="B6" s="63" t="s">
        <v>9</v>
      </c>
      <c r="C6" s="63" t="s">
        <v>781</v>
      </c>
    </row>
    <row r="7" spans="1:5" x14ac:dyDescent="0.35">
      <c r="A7" s="62" t="s">
        <v>9</v>
      </c>
      <c r="B7" s="62" t="s">
        <v>9</v>
      </c>
      <c r="C7" s="62" t="s">
        <v>9</v>
      </c>
    </row>
    <row r="8" spans="1:5" x14ac:dyDescent="0.35">
      <c r="A8" s="62" t="s">
        <v>155</v>
      </c>
      <c r="B8" s="64" t="s">
        <v>813</v>
      </c>
      <c r="C8" s="64">
        <v>29298013</v>
      </c>
      <c r="E8" s="72" t="str">
        <f t="shared" ref="E8:E71" si="0">TRIM(B8)</f>
        <v>Gross domestic product</v>
      </c>
    </row>
    <row r="9" spans="1:5" x14ac:dyDescent="0.35">
      <c r="A9" s="62" t="s">
        <v>157</v>
      </c>
      <c r="B9" s="62" t="s">
        <v>782</v>
      </c>
      <c r="C9" s="62">
        <v>15049121</v>
      </c>
      <c r="E9" s="72" t="str">
        <f t="shared" si="0"/>
        <v>Compensation of employees</v>
      </c>
    </row>
    <row r="10" spans="1:5" x14ac:dyDescent="0.35">
      <c r="A10" s="62" t="s">
        <v>159</v>
      </c>
      <c r="B10" s="62" t="s">
        <v>814</v>
      </c>
      <c r="C10" s="62">
        <v>1860444</v>
      </c>
      <c r="E10" s="72" t="str">
        <f t="shared" si="0"/>
        <v>Taxes on production and imports less subsidies</v>
      </c>
    </row>
    <row r="11" spans="1:5" x14ac:dyDescent="0.35">
      <c r="A11" s="62" t="s">
        <v>161</v>
      </c>
      <c r="B11" s="62" t="s">
        <v>815</v>
      </c>
      <c r="C11" s="62">
        <v>12388448</v>
      </c>
      <c r="E11" s="72" t="str">
        <f t="shared" si="0"/>
        <v>Gross operating surplus</v>
      </c>
    </row>
    <row r="12" spans="1:5" x14ac:dyDescent="0.35">
      <c r="A12" s="62" t="s">
        <v>163</v>
      </c>
      <c r="B12" s="64" t="s">
        <v>680</v>
      </c>
      <c r="C12" s="64">
        <v>26001672</v>
      </c>
      <c r="E12" s="72" t="str">
        <f t="shared" si="0"/>
        <v>Private industries</v>
      </c>
    </row>
    <row r="13" spans="1:5" x14ac:dyDescent="0.35">
      <c r="A13" s="62" t="s">
        <v>165</v>
      </c>
      <c r="B13" s="62" t="s">
        <v>816</v>
      </c>
      <c r="C13" s="62">
        <v>12463662</v>
      </c>
      <c r="E13" s="72" t="str">
        <f t="shared" si="0"/>
        <v>Compensation of employees</v>
      </c>
    </row>
    <row r="14" spans="1:5" x14ac:dyDescent="0.35">
      <c r="A14" s="62" t="s">
        <v>167</v>
      </c>
      <c r="B14" s="62" t="s">
        <v>817</v>
      </c>
      <c r="C14" s="62">
        <v>1905894</v>
      </c>
      <c r="E14" s="72" t="str">
        <f t="shared" si="0"/>
        <v>Taxes on production and imports less subsidies</v>
      </c>
    </row>
    <row r="15" spans="1:5" x14ac:dyDescent="0.35">
      <c r="A15" s="62" t="s">
        <v>169</v>
      </c>
      <c r="B15" s="62" t="s">
        <v>818</v>
      </c>
      <c r="C15" s="62">
        <v>11632115</v>
      </c>
      <c r="E15" s="72" t="str">
        <f t="shared" si="0"/>
        <v>Gross operating surplus</v>
      </c>
    </row>
    <row r="16" spans="1:5" x14ac:dyDescent="0.35">
      <c r="A16" s="62" t="s">
        <v>171</v>
      </c>
      <c r="B16" s="64" t="s">
        <v>819</v>
      </c>
      <c r="C16" s="64">
        <v>269686</v>
      </c>
      <c r="E16" s="72" t="str">
        <f t="shared" si="0"/>
        <v>Agriculture, forestry, fishing, and hunting</v>
      </c>
    </row>
    <row r="17" spans="1:5" x14ac:dyDescent="0.35">
      <c r="A17" s="62" t="s">
        <v>173</v>
      </c>
      <c r="B17" s="62" t="s">
        <v>820</v>
      </c>
      <c r="C17" s="62">
        <v>80082</v>
      </c>
      <c r="E17" s="72" t="str">
        <f t="shared" si="0"/>
        <v>Compensation of employees</v>
      </c>
    </row>
    <row r="18" spans="1:5" x14ac:dyDescent="0.35">
      <c r="A18" s="62" t="s">
        <v>175</v>
      </c>
      <c r="B18" s="62" t="s">
        <v>821</v>
      </c>
      <c r="C18" s="62">
        <v>8148</v>
      </c>
      <c r="E18" s="72" t="str">
        <f t="shared" si="0"/>
        <v>Taxes on production and imports less subsidies</v>
      </c>
    </row>
    <row r="19" spans="1:5" x14ac:dyDescent="0.35">
      <c r="A19" s="62" t="s">
        <v>177</v>
      </c>
      <c r="B19" s="62" t="s">
        <v>822</v>
      </c>
      <c r="C19" s="62">
        <v>181456</v>
      </c>
      <c r="E19" s="72" t="str">
        <f t="shared" si="0"/>
        <v>Gross operating surplus</v>
      </c>
    </row>
    <row r="20" spans="1:5" x14ac:dyDescent="0.35">
      <c r="A20" s="62" t="s">
        <v>179</v>
      </c>
      <c r="B20" s="64" t="s">
        <v>823</v>
      </c>
      <c r="C20" s="64">
        <v>215830</v>
      </c>
      <c r="E20" s="72" t="str">
        <f t="shared" si="0"/>
        <v>Farms</v>
      </c>
    </row>
    <row r="21" spans="1:5" x14ac:dyDescent="0.35">
      <c r="A21" s="62" t="s">
        <v>181</v>
      </c>
      <c r="B21" s="62" t="s">
        <v>782</v>
      </c>
      <c r="C21" s="62">
        <v>44527</v>
      </c>
      <c r="E21" s="72" t="str">
        <f t="shared" si="0"/>
        <v>Compensation of employees</v>
      </c>
    </row>
    <row r="22" spans="1:5" x14ac:dyDescent="0.35">
      <c r="A22" s="62" t="s">
        <v>183</v>
      </c>
      <c r="B22" s="62" t="s">
        <v>814</v>
      </c>
      <c r="C22" s="62">
        <v>5548</v>
      </c>
      <c r="E22" s="72" t="str">
        <f t="shared" si="0"/>
        <v>Taxes on production and imports less subsidies</v>
      </c>
    </row>
    <row r="23" spans="1:5" x14ac:dyDescent="0.35">
      <c r="A23" s="62" t="s">
        <v>186</v>
      </c>
      <c r="B23" s="62" t="s">
        <v>815</v>
      </c>
      <c r="C23" s="62">
        <v>165755</v>
      </c>
      <c r="E23" s="72" t="str">
        <f t="shared" si="0"/>
        <v>Gross operating surplus</v>
      </c>
    </row>
    <row r="24" spans="1:5" x14ac:dyDescent="0.35">
      <c r="A24" s="62" t="s">
        <v>188</v>
      </c>
      <c r="B24" s="64" t="s">
        <v>824</v>
      </c>
      <c r="C24" s="64">
        <v>53856</v>
      </c>
      <c r="E24" s="72" t="str">
        <f t="shared" si="0"/>
        <v>Forestry, fishing, and related activities</v>
      </c>
    </row>
    <row r="25" spans="1:5" x14ac:dyDescent="0.35">
      <c r="A25" s="62" t="s">
        <v>190</v>
      </c>
      <c r="B25" s="62" t="s">
        <v>782</v>
      </c>
      <c r="C25" s="62">
        <v>35555</v>
      </c>
      <c r="E25" s="72" t="str">
        <f t="shared" si="0"/>
        <v>Compensation of employees</v>
      </c>
    </row>
    <row r="26" spans="1:5" x14ac:dyDescent="0.35">
      <c r="A26" s="62" t="s">
        <v>192</v>
      </c>
      <c r="B26" s="62" t="s">
        <v>814</v>
      </c>
      <c r="C26" s="62">
        <v>2600</v>
      </c>
      <c r="E26" s="72" t="str">
        <f t="shared" si="0"/>
        <v>Taxes on production and imports less subsidies</v>
      </c>
    </row>
    <row r="27" spans="1:5" x14ac:dyDescent="0.35">
      <c r="A27" s="62" t="s">
        <v>194</v>
      </c>
      <c r="B27" s="62" t="s">
        <v>815</v>
      </c>
      <c r="C27" s="62">
        <v>15701</v>
      </c>
      <c r="E27" s="72" t="str">
        <f t="shared" si="0"/>
        <v>Gross operating surplus</v>
      </c>
    </row>
    <row r="28" spans="1:5" x14ac:dyDescent="0.35">
      <c r="A28" s="62" t="s">
        <v>196</v>
      </c>
      <c r="B28" s="64" t="s">
        <v>825</v>
      </c>
      <c r="C28" s="64">
        <v>404248</v>
      </c>
      <c r="E28" s="72" t="str">
        <f t="shared" si="0"/>
        <v>Mining</v>
      </c>
    </row>
    <row r="29" spans="1:5" x14ac:dyDescent="0.35">
      <c r="A29" s="62" t="s">
        <v>198</v>
      </c>
      <c r="B29" s="62" t="s">
        <v>820</v>
      </c>
      <c r="C29" s="62">
        <v>92465</v>
      </c>
      <c r="E29" s="72" t="str">
        <f t="shared" si="0"/>
        <v>Compensation of employees</v>
      </c>
    </row>
    <row r="30" spans="1:5" x14ac:dyDescent="0.35">
      <c r="A30" s="62" t="s">
        <v>201</v>
      </c>
      <c r="B30" s="62" t="s">
        <v>821</v>
      </c>
      <c r="C30" s="62">
        <v>60004</v>
      </c>
      <c r="E30" s="72" t="str">
        <f t="shared" si="0"/>
        <v>Taxes on production and imports less subsidies</v>
      </c>
    </row>
    <row r="31" spans="1:5" x14ac:dyDescent="0.35">
      <c r="A31" s="62" t="s">
        <v>203</v>
      </c>
      <c r="B31" s="62" t="s">
        <v>822</v>
      </c>
      <c r="C31" s="62">
        <v>251778</v>
      </c>
      <c r="E31" s="72" t="str">
        <f t="shared" si="0"/>
        <v>Gross operating surplus</v>
      </c>
    </row>
    <row r="32" spans="1:5" x14ac:dyDescent="0.35">
      <c r="A32" s="62" t="s">
        <v>205</v>
      </c>
      <c r="B32" s="64" t="s">
        <v>826</v>
      </c>
      <c r="C32" s="64">
        <v>252608</v>
      </c>
      <c r="E32" s="72" t="str">
        <f t="shared" si="0"/>
        <v>Oil and gas extraction</v>
      </c>
    </row>
    <row r="33" spans="1:5" x14ac:dyDescent="0.35">
      <c r="A33" s="62" t="s">
        <v>207</v>
      </c>
      <c r="B33" s="62" t="s">
        <v>782</v>
      </c>
      <c r="C33" s="62">
        <v>31824</v>
      </c>
      <c r="E33" s="72" t="str">
        <f t="shared" si="0"/>
        <v>Compensation of employees</v>
      </c>
    </row>
    <row r="34" spans="1:5" x14ac:dyDescent="0.35">
      <c r="A34" s="62" t="s">
        <v>209</v>
      </c>
      <c r="B34" s="62" t="s">
        <v>814</v>
      </c>
      <c r="C34" s="62">
        <v>49110</v>
      </c>
      <c r="E34" s="72" t="str">
        <f t="shared" si="0"/>
        <v>Taxes on production and imports less subsidies</v>
      </c>
    </row>
    <row r="35" spans="1:5" x14ac:dyDescent="0.35">
      <c r="A35" s="62" t="s">
        <v>211</v>
      </c>
      <c r="B35" s="62" t="s">
        <v>815</v>
      </c>
      <c r="C35" s="62">
        <v>171675</v>
      </c>
      <c r="E35" s="72" t="str">
        <f t="shared" si="0"/>
        <v>Gross operating surplus</v>
      </c>
    </row>
    <row r="36" spans="1:5" x14ac:dyDescent="0.35">
      <c r="A36" s="62" t="s">
        <v>213</v>
      </c>
      <c r="B36" s="64" t="s">
        <v>827</v>
      </c>
      <c r="C36" s="64">
        <v>80799</v>
      </c>
      <c r="E36" s="72" t="str">
        <f t="shared" si="0"/>
        <v>Mining, except oil and gas</v>
      </c>
    </row>
    <row r="37" spans="1:5" x14ac:dyDescent="0.35">
      <c r="A37" s="62" t="s">
        <v>215</v>
      </c>
      <c r="B37" s="62" t="s">
        <v>782</v>
      </c>
      <c r="C37" s="62">
        <v>23658</v>
      </c>
      <c r="E37" s="72" t="str">
        <f t="shared" si="0"/>
        <v>Compensation of employees</v>
      </c>
    </row>
    <row r="38" spans="1:5" x14ac:dyDescent="0.35">
      <c r="A38" s="62" t="s">
        <v>217</v>
      </c>
      <c r="B38" s="62" t="s">
        <v>814</v>
      </c>
      <c r="C38" s="62">
        <v>7977</v>
      </c>
      <c r="E38" s="72" t="str">
        <f t="shared" si="0"/>
        <v>Taxes on production and imports less subsidies</v>
      </c>
    </row>
    <row r="39" spans="1:5" x14ac:dyDescent="0.35">
      <c r="A39" s="62" t="s">
        <v>219</v>
      </c>
      <c r="B39" s="62" t="s">
        <v>815</v>
      </c>
      <c r="C39" s="62">
        <v>49165</v>
      </c>
      <c r="E39" s="72" t="str">
        <f t="shared" si="0"/>
        <v>Gross operating surplus</v>
      </c>
    </row>
    <row r="40" spans="1:5" x14ac:dyDescent="0.35">
      <c r="A40" s="62" t="s">
        <v>222</v>
      </c>
      <c r="B40" s="64" t="s">
        <v>828</v>
      </c>
      <c r="C40" s="64">
        <v>70840</v>
      </c>
      <c r="E40" s="72" t="str">
        <f t="shared" si="0"/>
        <v>Support activities for mining</v>
      </c>
    </row>
    <row r="41" spans="1:5" x14ac:dyDescent="0.35">
      <c r="A41" s="62" t="s">
        <v>225</v>
      </c>
      <c r="B41" s="62" t="s">
        <v>782</v>
      </c>
      <c r="C41" s="62">
        <v>36984</v>
      </c>
      <c r="E41" s="72" t="str">
        <f t="shared" si="0"/>
        <v>Compensation of employees</v>
      </c>
    </row>
    <row r="42" spans="1:5" x14ac:dyDescent="0.35">
      <c r="A42" s="62" t="s">
        <v>227</v>
      </c>
      <c r="B42" s="62" t="s">
        <v>814</v>
      </c>
      <c r="C42" s="62">
        <v>2917</v>
      </c>
      <c r="E42" s="72" t="str">
        <f t="shared" si="0"/>
        <v>Taxes on production and imports less subsidies</v>
      </c>
    </row>
    <row r="43" spans="1:5" x14ac:dyDescent="0.35">
      <c r="A43" s="62" t="s">
        <v>229</v>
      </c>
      <c r="B43" s="62" t="s">
        <v>815</v>
      </c>
      <c r="C43" s="62">
        <v>30939</v>
      </c>
      <c r="E43" s="72" t="str">
        <f t="shared" si="0"/>
        <v>Gross operating surplus</v>
      </c>
    </row>
    <row r="44" spans="1:5" x14ac:dyDescent="0.35">
      <c r="A44" s="62" t="s">
        <v>231</v>
      </c>
      <c r="B44" s="64" t="s">
        <v>829</v>
      </c>
      <c r="C44" s="64">
        <v>454357</v>
      </c>
      <c r="E44" s="72" t="str">
        <f t="shared" si="0"/>
        <v>Utilities</v>
      </c>
    </row>
    <row r="45" spans="1:5" x14ac:dyDescent="0.35">
      <c r="A45" s="62" t="s">
        <v>233</v>
      </c>
      <c r="B45" s="62" t="s">
        <v>820</v>
      </c>
      <c r="C45" s="62">
        <v>103431</v>
      </c>
      <c r="E45" s="72" t="str">
        <f t="shared" si="0"/>
        <v>Compensation of employees</v>
      </c>
    </row>
    <row r="46" spans="1:5" x14ac:dyDescent="0.35">
      <c r="A46" s="62" t="s">
        <v>235</v>
      </c>
      <c r="B46" s="62" t="s">
        <v>821</v>
      </c>
      <c r="C46" s="62">
        <v>85222</v>
      </c>
      <c r="E46" s="72" t="str">
        <f t="shared" si="0"/>
        <v>Taxes on production and imports less subsidies</v>
      </c>
    </row>
    <row r="47" spans="1:5" x14ac:dyDescent="0.35">
      <c r="A47" s="62" t="s">
        <v>237</v>
      </c>
      <c r="B47" s="62" t="s">
        <v>822</v>
      </c>
      <c r="C47" s="62">
        <v>265705</v>
      </c>
      <c r="E47" s="72" t="str">
        <f t="shared" si="0"/>
        <v>Gross operating surplus</v>
      </c>
    </row>
    <row r="48" spans="1:5" x14ac:dyDescent="0.35">
      <c r="A48" s="62" t="s">
        <v>239</v>
      </c>
      <c r="B48" s="64" t="s">
        <v>830</v>
      </c>
      <c r="C48" s="64">
        <v>1305402</v>
      </c>
      <c r="E48" s="72" t="str">
        <f t="shared" si="0"/>
        <v>Construction</v>
      </c>
    </row>
    <row r="49" spans="1:5" x14ac:dyDescent="0.35">
      <c r="A49" s="62" t="s">
        <v>241</v>
      </c>
      <c r="B49" s="62" t="s">
        <v>820</v>
      </c>
      <c r="C49" s="62">
        <v>799308</v>
      </c>
      <c r="E49" s="72" t="str">
        <f t="shared" si="0"/>
        <v>Compensation of employees</v>
      </c>
    </row>
    <row r="50" spans="1:5" x14ac:dyDescent="0.35">
      <c r="A50" s="62" t="s">
        <v>243</v>
      </c>
      <c r="B50" s="62" t="s">
        <v>821</v>
      </c>
      <c r="C50" s="62">
        <v>14907</v>
      </c>
      <c r="E50" s="72" t="str">
        <f t="shared" si="0"/>
        <v>Taxes on production and imports less subsidies</v>
      </c>
    </row>
    <row r="51" spans="1:5" x14ac:dyDescent="0.35">
      <c r="A51" s="62" t="s">
        <v>245</v>
      </c>
      <c r="B51" s="62" t="s">
        <v>822</v>
      </c>
      <c r="C51" s="62">
        <v>491187</v>
      </c>
      <c r="E51" s="72" t="str">
        <f t="shared" si="0"/>
        <v>Gross operating surplus</v>
      </c>
    </row>
    <row r="52" spans="1:5" x14ac:dyDescent="0.35">
      <c r="A52" s="62" t="s">
        <v>247</v>
      </c>
      <c r="B52" s="64" t="s">
        <v>831</v>
      </c>
      <c r="C52" s="64">
        <v>2880724</v>
      </c>
      <c r="E52" s="72" t="str">
        <f t="shared" si="0"/>
        <v>Manufacturing</v>
      </c>
    </row>
    <row r="53" spans="1:5" x14ac:dyDescent="0.35">
      <c r="A53" s="62" t="s">
        <v>249</v>
      </c>
      <c r="B53" s="62" t="s">
        <v>820</v>
      </c>
      <c r="C53" s="62">
        <v>1359135</v>
      </c>
      <c r="E53" s="72" t="str">
        <f t="shared" si="0"/>
        <v>Compensation of employees</v>
      </c>
    </row>
    <row r="54" spans="1:5" x14ac:dyDescent="0.35">
      <c r="A54" s="62" t="s">
        <v>251</v>
      </c>
      <c r="B54" s="62" t="s">
        <v>821</v>
      </c>
      <c r="C54" s="62">
        <v>106009</v>
      </c>
      <c r="E54" s="72" t="str">
        <f t="shared" si="0"/>
        <v>Taxes on production and imports less subsidies</v>
      </c>
    </row>
    <row r="55" spans="1:5" x14ac:dyDescent="0.35">
      <c r="A55" s="62" t="s">
        <v>253</v>
      </c>
      <c r="B55" s="62" t="s">
        <v>822</v>
      </c>
      <c r="C55" s="62">
        <v>1415581</v>
      </c>
      <c r="E55" s="72" t="str">
        <f t="shared" si="0"/>
        <v>Gross operating surplus</v>
      </c>
    </row>
    <row r="56" spans="1:5" x14ac:dyDescent="0.35">
      <c r="A56" s="62" t="s">
        <v>255</v>
      </c>
      <c r="B56" s="64" t="s">
        <v>832</v>
      </c>
      <c r="C56" s="64">
        <v>1524841</v>
      </c>
      <c r="E56" s="72" t="str">
        <f t="shared" si="0"/>
        <v>Durable goods</v>
      </c>
    </row>
    <row r="57" spans="1:5" x14ac:dyDescent="0.35">
      <c r="A57" s="62" t="s">
        <v>257</v>
      </c>
      <c r="B57" s="62" t="s">
        <v>782</v>
      </c>
      <c r="C57" s="62">
        <v>893038</v>
      </c>
      <c r="E57" s="72" t="str">
        <f t="shared" si="0"/>
        <v>Compensation of employees</v>
      </c>
    </row>
    <row r="58" spans="1:5" x14ac:dyDescent="0.35">
      <c r="A58" s="62" t="s">
        <v>260</v>
      </c>
      <c r="B58" s="62" t="s">
        <v>814</v>
      </c>
      <c r="C58" s="62">
        <v>43401</v>
      </c>
      <c r="E58" s="72" t="str">
        <f t="shared" si="0"/>
        <v>Taxes on production and imports less subsidies</v>
      </c>
    </row>
    <row r="59" spans="1:5" x14ac:dyDescent="0.35">
      <c r="A59" s="62" t="s">
        <v>263</v>
      </c>
      <c r="B59" s="62" t="s">
        <v>815</v>
      </c>
      <c r="C59" s="62">
        <v>588402</v>
      </c>
      <c r="E59" s="72" t="str">
        <f t="shared" si="0"/>
        <v>Gross operating surplus</v>
      </c>
    </row>
    <row r="60" spans="1:5" x14ac:dyDescent="0.35">
      <c r="A60" s="62" t="s">
        <v>265</v>
      </c>
      <c r="B60" s="64" t="s">
        <v>833</v>
      </c>
      <c r="C60" s="64">
        <v>60171</v>
      </c>
      <c r="E60" s="72" t="str">
        <f t="shared" si="0"/>
        <v>Wood products</v>
      </c>
    </row>
    <row r="61" spans="1:5" x14ac:dyDescent="0.35">
      <c r="A61" s="62" t="s">
        <v>267</v>
      </c>
      <c r="B61" s="62" t="s">
        <v>834</v>
      </c>
      <c r="C61" s="62">
        <v>32297</v>
      </c>
      <c r="E61" s="72" t="str">
        <f t="shared" si="0"/>
        <v>Compensation of employees</v>
      </c>
    </row>
    <row r="62" spans="1:5" x14ac:dyDescent="0.35">
      <c r="A62" s="62" t="s">
        <v>269</v>
      </c>
      <c r="B62" s="62" t="s">
        <v>835</v>
      </c>
      <c r="C62" s="62">
        <v>1132</v>
      </c>
      <c r="E62" s="72" t="str">
        <f t="shared" si="0"/>
        <v>Taxes on production and imports less subsidies</v>
      </c>
    </row>
    <row r="63" spans="1:5" x14ac:dyDescent="0.35">
      <c r="A63" s="62" t="s">
        <v>271</v>
      </c>
      <c r="B63" s="62" t="s">
        <v>836</v>
      </c>
      <c r="C63" s="62">
        <v>26742</v>
      </c>
      <c r="E63" s="72" t="str">
        <f t="shared" si="0"/>
        <v>Gross operating surplus</v>
      </c>
    </row>
    <row r="64" spans="1:5" x14ac:dyDescent="0.35">
      <c r="A64" s="62" t="s">
        <v>273</v>
      </c>
      <c r="B64" s="64" t="s">
        <v>837</v>
      </c>
      <c r="C64" s="64">
        <v>77516</v>
      </c>
      <c r="E64" s="72" t="str">
        <f t="shared" si="0"/>
        <v>Nonmetallic mineral products</v>
      </c>
    </row>
    <row r="65" spans="1:5" x14ac:dyDescent="0.35">
      <c r="A65" s="62" t="s">
        <v>275</v>
      </c>
      <c r="B65" s="62" t="s">
        <v>834</v>
      </c>
      <c r="C65" s="62">
        <v>38942</v>
      </c>
      <c r="E65" s="72" t="str">
        <f t="shared" si="0"/>
        <v>Compensation of employees</v>
      </c>
    </row>
    <row r="66" spans="1:5" x14ac:dyDescent="0.35">
      <c r="A66" s="62" t="s">
        <v>277</v>
      </c>
      <c r="B66" s="62" t="s">
        <v>835</v>
      </c>
      <c r="C66" s="62">
        <v>2209</v>
      </c>
      <c r="E66" s="72" t="str">
        <f t="shared" si="0"/>
        <v>Taxes on production and imports less subsidies</v>
      </c>
    </row>
    <row r="67" spans="1:5" x14ac:dyDescent="0.35">
      <c r="A67" s="62" t="s">
        <v>279</v>
      </c>
      <c r="B67" s="62" t="s">
        <v>836</v>
      </c>
      <c r="C67" s="62">
        <v>36365</v>
      </c>
      <c r="E67" s="72" t="str">
        <f t="shared" si="0"/>
        <v>Gross operating surplus</v>
      </c>
    </row>
    <row r="68" spans="1:5" x14ac:dyDescent="0.35">
      <c r="A68" s="62" t="s">
        <v>281</v>
      </c>
      <c r="B68" s="64" t="s">
        <v>838</v>
      </c>
      <c r="C68" s="64">
        <v>76516</v>
      </c>
      <c r="E68" s="72" t="str">
        <f t="shared" si="0"/>
        <v>Primary metals</v>
      </c>
    </row>
    <row r="69" spans="1:5" x14ac:dyDescent="0.35">
      <c r="A69" s="62" t="s">
        <v>283</v>
      </c>
      <c r="B69" s="62" t="s">
        <v>834</v>
      </c>
      <c r="C69" s="62">
        <v>41277</v>
      </c>
      <c r="E69" s="72" t="str">
        <f t="shared" si="0"/>
        <v>Compensation of employees</v>
      </c>
    </row>
    <row r="70" spans="1:5" x14ac:dyDescent="0.35">
      <c r="A70" s="62" t="s">
        <v>286</v>
      </c>
      <c r="B70" s="62" t="s">
        <v>835</v>
      </c>
      <c r="C70" s="62">
        <v>3553</v>
      </c>
      <c r="E70" s="72" t="str">
        <f t="shared" si="0"/>
        <v>Taxes on production and imports less subsidies</v>
      </c>
    </row>
    <row r="71" spans="1:5" x14ac:dyDescent="0.35">
      <c r="A71" s="62" t="s">
        <v>288</v>
      </c>
      <c r="B71" s="62" t="s">
        <v>836</v>
      </c>
      <c r="C71" s="62">
        <v>31686</v>
      </c>
      <c r="E71" s="72" t="str">
        <f t="shared" si="0"/>
        <v>Gross operating surplus</v>
      </c>
    </row>
    <row r="72" spans="1:5" x14ac:dyDescent="0.35">
      <c r="A72" s="62" t="s">
        <v>291</v>
      </c>
      <c r="B72" s="64" t="s">
        <v>839</v>
      </c>
      <c r="C72" s="64">
        <v>190535</v>
      </c>
      <c r="E72" s="72" t="str">
        <f t="shared" ref="E72:E135" si="1">TRIM(B72)</f>
        <v>Fabricated metal products</v>
      </c>
    </row>
    <row r="73" spans="1:5" x14ac:dyDescent="0.35">
      <c r="A73" s="62" t="s">
        <v>293</v>
      </c>
      <c r="B73" s="62" t="s">
        <v>834</v>
      </c>
      <c r="C73" s="62">
        <v>128099</v>
      </c>
      <c r="E73" s="72" t="str">
        <f t="shared" si="1"/>
        <v>Compensation of employees</v>
      </c>
    </row>
    <row r="74" spans="1:5" x14ac:dyDescent="0.35">
      <c r="A74" s="62" t="s">
        <v>295</v>
      </c>
      <c r="B74" s="62" t="s">
        <v>835</v>
      </c>
      <c r="C74" s="62">
        <v>5721</v>
      </c>
      <c r="E74" s="72" t="str">
        <f t="shared" si="1"/>
        <v>Taxes on production and imports less subsidies</v>
      </c>
    </row>
    <row r="75" spans="1:5" x14ac:dyDescent="0.35">
      <c r="A75" s="62" t="s">
        <v>296</v>
      </c>
      <c r="B75" s="62" t="s">
        <v>836</v>
      </c>
      <c r="C75" s="62">
        <v>56715</v>
      </c>
      <c r="E75" s="72" t="str">
        <f t="shared" si="1"/>
        <v>Gross operating surplus</v>
      </c>
    </row>
    <row r="76" spans="1:5" x14ac:dyDescent="0.35">
      <c r="A76" s="62" t="s">
        <v>298</v>
      </c>
      <c r="B76" s="64" t="s">
        <v>840</v>
      </c>
      <c r="C76" s="64">
        <v>208621</v>
      </c>
      <c r="E76" s="72" t="str">
        <f t="shared" si="1"/>
        <v>Machinery</v>
      </c>
    </row>
    <row r="77" spans="1:5" x14ac:dyDescent="0.35">
      <c r="A77" s="62" t="s">
        <v>300</v>
      </c>
      <c r="B77" s="62" t="s">
        <v>834</v>
      </c>
      <c r="C77" s="62">
        <v>120012</v>
      </c>
      <c r="E77" s="72" t="str">
        <f t="shared" si="1"/>
        <v>Compensation of employees</v>
      </c>
    </row>
    <row r="78" spans="1:5" x14ac:dyDescent="0.35">
      <c r="A78" s="62" t="s">
        <v>302</v>
      </c>
      <c r="B78" s="62" t="s">
        <v>835</v>
      </c>
      <c r="C78" s="62">
        <v>5159</v>
      </c>
      <c r="E78" s="72" t="str">
        <f t="shared" si="1"/>
        <v>Taxes on production and imports less subsidies</v>
      </c>
    </row>
    <row r="79" spans="1:5" x14ac:dyDescent="0.35">
      <c r="A79" s="62" t="s">
        <v>304</v>
      </c>
      <c r="B79" s="62" t="s">
        <v>836</v>
      </c>
      <c r="C79" s="62">
        <v>83450</v>
      </c>
      <c r="E79" s="72" t="str">
        <f t="shared" si="1"/>
        <v>Gross operating surplus</v>
      </c>
    </row>
    <row r="80" spans="1:5" x14ac:dyDescent="0.35">
      <c r="A80" s="62" t="s">
        <v>306</v>
      </c>
      <c r="B80" s="64" t="s">
        <v>841</v>
      </c>
      <c r="C80" s="64">
        <v>299783</v>
      </c>
      <c r="E80" s="72" t="str">
        <f t="shared" si="1"/>
        <v>Computer and electronic products</v>
      </c>
    </row>
    <row r="81" spans="1:5" x14ac:dyDescent="0.35">
      <c r="A81" s="62" t="s">
        <v>308</v>
      </c>
      <c r="B81" s="62" t="s">
        <v>834</v>
      </c>
      <c r="C81" s="62">
        <v>187376</v>
      </c>
      <c r="E81" s="72" t="str">
        <f t="shared" si="1"/>
        <v>Compensation of employees</v>
      </c>
    </row>
    <row r="82" spans="1:5" x14ac:dyDescent="0.35">
      <c r="A82" s="62" t="s">
        <v>310</v>
      </c>
      <c r="B82" s="62" t="s">
        <v>835</v>
      </c>
      <c r="C82" s="62">
        <v>11837</v>
      </c>
      <c r="E82" s="72" t="str">
        <f t="shared" si="1"/>
        <v>Taxes on production and imports less subsidies</v>
      </c>
    </row>
    <row r="83" spans="1:5" x14ac:dyDescent="0.35">
      <c r="A83" s="62" t="s">
        <v>312</v>
      </c>
      <c r="B83" s="62" t="s">
        <v>836</v>
      </c>
      <c r="C83" s="62">
        <v>100569</v>
      </c>
      <c r="E83" s="72" t="str">
        <f t="shared" si="1"/>
        <v>Gross operating surplus</v>
      </c>
    </row>
    <row r="84" spans="1:5" x14ac:dyDescent="0.35">
      <c r="A84" s="62" t="s">
        <v>314</v>
      </c>
      <c r="B84" s="64" t="s">
        <v>842</v>
      </c>
      <c r="C84" s="64">
        <v>80171</v>
      </c>
      <c r="E84" s="72" t="str">
        <f t="shared" si="1"/>
        <v>Electrical equipment, appliances, and components</v>
      </c>
    </row>
    <row r="85" spans="1:5" x14ac:dyDescent="0.35">
      <c r="A85" s="62" t="s">
        <v>316</v>
      </c>
      <c r="B85" s="62" t="s">
        <v>834</v>
      </c>
      <c r="C85" s="62">
        <v>47290</v>
      </c>
      <c r="E85" s="72" t="str">
        <f t="shared" si="1"/>
        <v>Compensation of employees</v>
      </c>
    </row>
    <row r="86" spans="1:5" x14ac:dyDescent="0.35">
      <c r="A86" s="62" t="s">
        <v>318</v>
      </c>
      <c r="B86" s="62" t="s">
        <v>835</v>
      </c>
      <c r="C86" s="62">
        <v>1139</v>
      </c>
      <c r="E86" s="72" t="str">
        <f t="shared" si="1"/>
        <v>Taxes on production and imports less subsidies</v>
      </c>
    </row>
    <row r="87" spans="1:5" x14ac:dyDescent="0.35">
      <c r="A87" s="62" t="s">
        <v>320</v>
      </c>
      <c r="B87" s="62" t="s">
        <v>836</v>
      </c>
      <c r="C87" s="62">
        <v>31742</v>
      </c>
      <c r="E87" s="72" t="str">
        <f t="shared" si="1"/>
        <v>Gross operating surplus</v>
      </c>
    </row>
    <row r="88" spans="1:5" x14ac:dyDescent="0.35">
      <c r="A88" s="62" t="s">
        <v>322</v>
      </c>
      <c r="B88" s="64" t="s">
        <v>843</v>
      </c>
      <c r="C88" s="64">
        <v>185854</v>
      </c>
      <c r="E88" s="72" t="str">
        <f t="shared" si="1"/>
        <v>Motor vehicles, bodies and trailers, and parts</v>
      </c>
    </row>
    <row r="89" spans="1:5" x14ac:dyDescent="0.35">
      <c r="A89" s="62" t="s">
        <v>324</v>
      </c>
      <c r="B89" s="62" t="s">
        <v>834</v>
      </c>
      <c r="C89" s="62">
        <v>96593</v>
      </c>
      <c r="E89" s="72" t="str">
        <f t="shared" si="1"/>
        <v>Compensation of employees</v>
      </c>
    </row>
    <row r="90" spans="1:5" x14ac:dyDescent="0.35">
      <c r="A90" s="62" t="s">
        <v>326</v>
      </c>
      <c r="B90" s="62" t="s">
        <v>835</v>
      </c>
      <c r="C90" s="62">
        <v>5277</v>
      </c>
      <c r="E90" s="72" t="str">
        <f t="shared" si="1"/>
        <v>Taxes on production and imports less subsidies</v>
      </c>
    </row>
    <row r="91" spans="1:5" x14ac:dyDescent="0.35">
      <c r="A91" s="62" t="s">
        <v>328</v>
      </c>
      <c r="B91" s="62" t="s">
        <v>836</v>
      </c>
      <c r="C91" s="62">
        <v>83984</v>
      </c>
      <c r="E91" s="72" t="str">
        <f t="shared" si="1"/>
        <v>Gross operating surplus</v>
      </c>
    </row>
    <row r="92" spans="1:5" x14ac:dyDescent="0.35">
      <c r="A92" s="62" t="s">
        <v>330</v>
      </c>
      <c r="B92" s="64" t="s">
        <v>844</v>
      </c>
      <c r="C92" s="64">
        <v>197330</v>
      </c>
      <c r="E92" s="72" t="str">
        <f t="shared" si="1"/>
        <v>Other transportation equipment</v>
      </c>
    </row>
    <row r="93" spans="1:5" x14ac:dyDescent="0.35">
      <c r="A93" s="62" t="s">
        <v>332</v>
      </c>
      <c r="B93" s="62" t="s">
        <v>834</v>
      </c>
      <c r="C93" s="62">
        <v>106326</v>
      </c>
      <c r="E93" s="72" t="str">
        <f t="shared" si="1"/>
        <v>Compensation of employees</v>
      </c>
    </row>
    <row r="94" spans="1:5" x14ac:dyDescent="0.35">
      <c r="A94" s="62" t="s">
        <v>334</v>
      </c>
      <c r="B94" s="62" t="s">
        <v>835</v>
      </c>
      <c r="C94" s="62">
        <v>4107</v>
      </c>
      <c r="E94" s="72" t="str">
        <f t="shared" si="1"/>
        <v>Taxes on production and imports less subsidies</v>
      </c>
    </row>
    <row r="95" spans="1:5" x14ac:dyDescent="0.35">
      <c r="A95" s="62" t="s">
        <v>336</v>
      </c>
      <c r="B95" s="62" t="s">
        <v>836</v>
      </c>
      <c r="C95" s="62">
        <v>86897</v>
      </c>
      <c r="E95" s="72" t="str">
        <f t="shared" si="1"/>
        <v>Gross operating surplus</v>
      </c>
    </row>
    <row r="96" spans="1:5" x14ac:dyDescent="0.35">
      <c r="A96" s="62" t="s">
        <v>338</v>
      </c>
      <c r="B96" s="64" t="s">
        <v>845</v>
      </c>
      <c r="C96" s="64">
        <v>34448</v>
      </c>
      <c r="E96" s="72" t="str">
        <f t="shared" si="1"/>
        <v>Furniture and related products</v>
      </c>
    </row>
    <row r="97" spans="1:5" x14ac:dyDescent="0.35">
      <c r="A97" s="62" t="s">
        <v>340</v>
      </c>
      <c r="B97" s="62" t="s">
        <v>834</v>
      </c>
      <c r="C97" s="62">
        <v>25178</v>
      </c>
      <c r="E97" s="72" t="str">
        <f t="shared" si="1"/>
        <v>Compensation of employees</v>
      </c>
    </row>
    <row r="98" spans="1:5" x14ac:dyDescent="0.35">
      <c r="A98" s="62" t="s">
        <v>342</v>
      </c>
      <c r="B98" s="62" t="s">
        <v>835</v>
      </c>
      <c r="C98" s="62">
        <v>584</v>
      </c>
      <c r="E98" s="72" t="str">
        <f t="shared" si="1"/>
        <v>Taxes on production and imports less subsidies</v>
      </c>
    </row>
    <row r="99" spans="1:5" x14ac:dyDescent="0.35">
      <c r="A99" s="62" t="s">
        <v>344</v>
      </c>
      <c r="B99" s="62" t="s">
        <v>836</v>
      </c>
      <c r="C99" s="62">
        <v>8686</v>
      </c>
      <c r="E99" s="72" t="str">
        <f t="shared" si="1"/>
        <v>Gross operating surplus</v>
      </c>
    </row>
    <row r="100" spans="1:5" x14ac:dyDescent="0.35">
      <c r="A100" s="62" t="s">
        <v>346</v>
      </c>
      <c r="B100" s="64" t="s">
        <v>846</v>
      </c>
      <c r="C100" s="64">
        <v>113897</v>
      </c>
      <c r="E100" s="72" t="str">
        <f t="shared" si="1"/>
        <v>Miscellaneous manufacturing</v>
      </c>
    </row>
    <row r="101" spans="1:5" x14ac:dyDescent="0.35">
      <c r="A101" s="62" t="s">
        <v>348</v>
      </c>
      <c r="B101" s="62" t="s">
        <v>834</v>
      </c>
      <c r="C101" s="62">
        <v>69647</v>
      </c>
      <c r="E101" s="72" t="str">
        <f t="shared" si="1"/>
        <v>Compensation of employees</v>
      </c>
    </row>
    <row r="102" spans="1:5" x14ac:dyDescent="0.35">
      <c r="A102" s="62" t="s">
        <v>350</v>
      </c>
      <c r="B102" s="62" t="s">
        <v>835</v>
      </c>
      <c r="C102" s="62">
        <v>2683</v>
      </c>
      <c r="E102" s="72" t="str">
        <f t="shared" si="1"/>
        <v>Taxes on production and imports less subsidies</v>
      </c>
    </row>
    <row r="103" spans="1:5" x14ac:dyDescent="0.35">
      <c r="A103" s="62" t="s">
        <v>352</v>
      </c>
      <c r="B103" s="62" t="s">
        <v>836</v>
      </c>
      <c r="C103" s="62">
        <v>41566</v>
      </c>
      <c r="E103" s="72" t="str">
        <f t="shared" si="1"/>
        <v>Gross operating surplus</v>
      </c>
    </row>
    <row r="104" spans="1:5" x14ac:dyDescent="0.35">
      <c r="A104" s="62" t="s">
        <v>354</v>
      </c>
      <c r="B104" s="64" t="s">
        <v>847</v>
      </c>
      <c r="C104" s="64">
        <v>1355884</v>
      </c>
      <c r="E104" s="72" t="str">
        <f t="shared" si="1"/>
        <v>Nondurable goods</v>
      </c>
    </row>
    <row r="105" spans="1:5" x14ac:dyDescent="0.35">
      <c r="A105" s="62" t="s">
        <v>808</v>
      </c>
      <c r="B105" s="62" t="s">
        <v>782</v>
      </c>
      <c r="C105" s="62">
        <v>466097</v>
      </c>
      <c r="E105" s="72" t="str">
        <f t="shared" si="1"/>
        <v>Compensation of employees</v>
      </c>
    </row>
    <row r="106" spans="1:5" x14ac:dyDescent="0.35">
      <c r="A106" s="62" t="s">
        <v>809</v>
      </c>
      <c r="B106" s="62" t="s">
        <v>814</v>
      </c>
      <c r="C106" s="62">
        <v>62608</v>
      </c>
      <c r="E106" s="72" t="str">
        <f t="shared" si="1"/>
        <v>Taxes on production and imports less subsidies</v>
      </c>
    </row>
    <row r="107" spans="1:5" x14ac:dyDescent="0.35">
      <c r="A107" s="62" t="s">
        <v>848</v>
      </c>
      <c r="B107" s="62" t="s">
        <v>815</v>
      </c>
      <c r="C107" s="62">
        <v>827179</v>
      </c>
      <c r="E107" s="72" t="str">
        <f t="shared" si="1"/>
        <v>Gross operating surplus</v>
      </c>
    </row>
    <row r="108" spans="1:5" x14ac:dyDescent="0.35">
      <c r="A108" s="62" t="s">
        <v>849</v>
      </c>
      <c r="B108" s="64" t="s">
        <v>850</v>
      </c>
      <c r="C108" s="64">
        <v>360176</v>
      </c>
      <c r="E108" s="72" t="str">
        <f t="shared" si="1"/>
        <v>Food and beverage and tobacco products</v>
      </c>
    </row>
    <row r="109" spans="1:5" x14ac:dyDescent="0.35">
      <c r="A109" s="62" t="s">
        <v>851</v>
      </c>
      <c r="B109" s="62" t="s">
        <v>834</v>
      </c>
      <c r="C109" s="62">
        <v>160356</v>
      </c>
      <c r="E109" s="72" t="str">
        <f t="shared" si="1"/>
        <v>Compensation of employees</v>
      </c>
    </row>
    <row r="110" spans="1:5" x14ac:dyDescent="0.35">
      <c r="A110" s="62" t="s">
        <v>852</v>
      </c>
      <c r="B110" s="62" t="s">
        <v>835</v>
      </c>
      <c r="C110" s="62">
        <v>23601</v>
      </c>
      <c r="E110" s="72" t="str">
        <f t="shared" si="1"/>
        <v>Taxes on production and imports less subsidies</v>
      </c>
    </row>
    <row r="111" spans="1:5" x14ac:dyDescent="0.35">
      <c r="A111" s="62" t="s">
        <v>853</v>
      </c>
      <c r="B111" s="62" t="s">
        <v>836</v>
      </c>
      <c r="C111" s="62">
        <v>176219</v>
      </c>
      <c r="E111" s="72" t="str">
        <f t="shared" si="1"/>
        <v>Gross operating surplus</v>
      </c>
    </row>
    <row r="112" spans="1:5" x14ac:dyDescent="0.35">
      <c r="A112" s="62" t="s">
        <v>854</v>
      </c>
      <c r="B112" s="64" t="s">
        <v>855</v>
      </c>
      <c r="C112" s="64">
        <v>16316</v>
      </c>
      <c r="E112" s="72" t="str">
        <f t="shared" si="1"/>
        <v>Textile mills and textile product mills</v>
      </c>
    </row>
    <row r="113" spans="1:5" x14ac:dyDescent="0.35">
      <c r="A113" s="62" t="s">
        <v>856</v>
      </c>
      <c r="B113" s="62" t="s">
        <v>834</v>
      </c>
      <c r="C113" s="62">
        <v>12641</v>
      </c>
      <c r="E113" s="72" t="str">
        <f t="shared" si="1"/>
        <v>Compensation of employees</v>
      </c>
    </row>
    <row r="114" spans="1:5" x14ac:dyDescent="0.35">
      <c r="A114" s="62" t="s">
        <v>857</v>
      </c>
      <c r="B114" s="62" t="s">
        <v>835</v>
      </c>
      <c r="C114" s="62">
        <v>810</v>
      </c>
      <c r="E114" s="72" t="str">
        <f t="shared" si="1"/>
        <v>Taxes on production and imports less subsidies</v>
      </c>
    </row>
    <row r="115" spans="1:5" x14ac:dyDescent="0.35">
      <c r="A115" s="62" t="s">
        <v>858</v>
      </c>
      <c r="B115" s="62" t="s">
        <v>836</v>
      </c>
      <c r="C115" s="62">
        <v>2865</v>
      </c>
      <c r="E115" s="72" t="str">
        <f t="shared" si="1"/>
        <v>Gross operating surplus</v>
      </c>
    </row>
    <row r="116" spans="1:5" x14ac:dyDescent="0.35">
      <c r="A116" s="62" t="s">
        <v>859</v>
      </c>
      <c r="B116" s="64" t="s">
        <v>860</v>
      </c>
      <c r="C116" s="64">
        <v>12453</v>
      </c>
      <c r="E116" s="72" t="str">
        <f t="shared" si="1"/>
        <v>Apparel and leather and allied products</v>
      </c>
    </row>
    <row r="117" spans="1:5" x14ac:dyDescent="0.35">
      <c r="A117" s="62" t="s">
        <v>861</v>
      </c>
      <c r="B117" s="62" t="s">
        <v>834</v>
      </c>
      <c r="C117" s="62">
        <v>7740</v>
      </c>
      <c r="E117" s="72" t="str">
        <f t="shared" si="1"/>
        <v>Compensation of employees</v>
      </c>
    </row>
    <row r="118" spans="1:5" x14ac:dyDescent="0.35">
      <c r="A118" s="62" t="s">
        <v>862</v>
      </c>
      <c r="B118" s="62" t="s">
        <v>835</v>
      </c>
      <c r="C118" s="62">
        <v>403</v>
      </c>
      <c r="E118" s="72" t="str">
        <f t="shared" si="1"/>
        <v>Taxes on production and imports less subsidies</v>
      </c>
    </row>
    <row r="119" spans="1:5" x14ac:dyDescent="0.35">
      <c r="A119" s="62" t="s">
        <v>863</v>
      </c>
      <c r="B119" s="62" t="s">
        <v>836</v>
      </c>
      <c r="C119" s="62">
        <v>4310</v>
      </c>
      <c r="E119" s="72" t="str">
        <f t="shared" si="1"/>
        <v>Gross operating surplus</v>
      </c>
    </row>
    <row r="120" spans="1:5" x14ac:dyDescent="0.35">
      <c r="A120" s="62" t="s">
        <v>864</v>
      </c>
      <c r="B120" s="64" t="s">
        <v>865</v>
      </c>
      <c r="C120" s="64">
        <v>74433</v>
      </c>
      <c r="E120" s="72" t="str">
        <f t="shared" si="1"/>
        <v>Paper products</v>
      </c>
    </row>
    <row r="121" spans="1:5" x14ac:dyDescent="0.35">
      <c r="A121" s="62" t="s">
        <v>866</v>
      </c>
      <c r="B121" s="62" t="s">
        <v>834</v>
      </c>
      <c r="C121" s="62">
        <v>36515</v>
      </c>
      <c r="E121" s="72" t="str">
        <f t="shared" si="1"/>
        <v>Compensation of employees</v>
      </c>
    </row>
    <row r="122" spans="1:5" x14ac:dyDescent="0.35">
      <c r="A122" s="62" t="s">
        <v>867</v>
      </c>
      <c r="B122" s="62" t="s">
        <v>835</v>
      </c>
      <c r="C122" s="62">
        <v>2505</v>
      </c>
      <c r="E122" s="72" t="str">
        <f t="shared" si="1"/>
        <v>Taxes on production and imports less subsidies</v>
      </c>
    </row>
    <row r="123" spans="1:5" x14ac:dyDescent="0.35">
      <c r="A123" s="62" t="s">
        <v>868</v>
      </c>
      <c r="B123" s="62" t="s">
        <v>836</v>
      </c>
      <c r="C123" s="62">
        <v>35413</v>
      </c>
      <c r="E123" s="72" t="str">
        <f t="shared" si="1"/>
        <v>Gross operating surplus</v>
      </c>
    </row>
    <row r="124" spans="1:5" x14ac:dyDescent="0.35">
      <c r="A124" s="62" t="s">
        <v>869</v>
      </c>
      <c r="B124" s="64" t="s">
        <v>870</v>
      </c>
      <c r="C124" s="64">
        <v>41301</v>
      </c>
      <c r="E124" s="72" t="str">
        <f t="shared" si="1"/>
        <v>Printing and related support activities</v>
      </c>
    </row>
    <row r="125" spans="1:5" x14ac:dyDescent="0.35">
      <c r="A125" s="62" t="s">
        <v>871</v>
      </c>
      <c r="B125" s="62" t="s">
        <v>834</v>
      </c>
      <c r="C125" s="62">
        <v>26845</v>
      </c>
      <c r="E125" s="72" t="str">
        <f t="shared" si="1"/>
        <v>Compensation of employees</v>
      </c>
    </row>
    <row r="126" spans="1:5" x14ac:dyDescent="0.35">
      <c r="A126" s="62" t="s">
        <v>872</v>
      </c>
      <c r="B126" s="62" t="s">
        <v>835</v>
      </c>
      <c r="C126" s="62">
        <v>1058</v>
      </c>
      <c r="E126" s="72" t="str">
        <f t="shared" si="1"/>
        <v>Taxes on production and imports less subsidies</v>
      </c>
    </row>
    <row r="127" spans="1:5" x14ac:dyDescent="0.35">
      <c r="A127" s="62" t="s">
        <v>873</v>
      </c>
      <c r="B127" s="62" t="s">
        <v>836</v>
      </c>
      <c r="C127" s="62">
        <v>13399</v>
      </c>
      <c r="E127" s="72" t="str">
        <f t="shared" si="1"/>
        <v>Gross operating surplus</v>
      </c>
    </row>
    <row r="128" spans="1:5" x14ac:dyDescent="0.35">
      <c r="A128" s="62" t="s">
        <v>874</v>
      </c>
      <c r="B128" s="64" t="s">
        <v>875</v>
      </c>
      <c r="C128" s="64">
        <v>195712</v>
      </c>
      <c r="E128" s="72" t="str">
        <f t="shared" si="1"/>
        <v>Petroleum and coal products</v>
      </c>
    </row>
    <row r="129" spans="1:5" x14ac:dyDescent="0.35">
      <c r="A129" s="62" t="s">
        <v>876</v>
      </c>
      <c r="B129" s="62" t="s">
        <v>834</v>
      </c>
      <c r="C129" s="62">
        <v>22688</v>
      </c>
      <c r="E129" s="72" t="str">
        <f t="shared" si="1"/>
        <v>Compensation of employees</v>
      </c>
    </row>
    <row r="130" spans="1:5" x14ac:dyDescent="0.35">
      <c r="A130" s="62" t="s">
        <v>877</v>
      </c>
      <c r="B130" s="62" t="s">
        <v>835</v>
      </c>
      <c r="C130" s="62">
        <v>6274</v>
      </c>
      <c r="E130" s="72" t="str">
        <f t="shared" si="1"/>
        <v>Taxes on production and imports less subsidies</v>
      </c>
    </row>
    <row r="131" spans="1:5" x14ac:dyDescent="0.35">
      <c r="A131" s="62" t="s">
        <v>878</v>
      </c>
      <c r="B131" s="62" t="s">
        <v>836</v>
      </c>
      <c r="C131" s="62">
        <v>166750</v>
      </c>
      <c r="E131" s="72" t="str">
        <f t="shared" si="1"/>
        <v>Gross operating surplus</v>
      </c>
    </row>
    <row r="132" spans="1:5" x14ac:dyDescent="0.35">
      <c r="A132" s="62" t="s">
        <v>879</v>
      </c>
      <c r="B132" s="64" t="s">
        <v>880</v>
      </c>
      <c r="C132" s="64">
        <v>554021</v>
      </c>
      <c r="E132" s="72" t="str">
        <f t="shared" si="1"/>
        <v>Chemical products</v>
      </c>
    </row>
    <row r="133" spans="1:5" x14ac:dyDescent="0.35">
      <c r="A133" s="62" t="s">
        <v>881</v>
      </c>
      <c r="B133" s="62" t="s">
        <v>834</v>
      </c>
      <c r="C133" s="62">
        <v>136974</v>
      </c>
      <c r="E133" s="72" t="str">
        <f t="shared" si="1"/>
        <v>Compensation of employees</v>
      </c>
    </row>
    <row r="134" spans="1:5" x14ac:dyDescent="0.35">
      <c r="A134" s="62" t="s">
        <v>882</v>
      </c>
      <c r="B134" s="62" t="s">
        <v>835</v>
      </c>
      <c r="C134" s="62">
        <v>24681</v>
      </c>
      <c r="E134" s="72" t="str">
        <f t="shared" si="1"/>
        <v>Taxes on production and imports less subsidies</v>
      </c>
    </row>
    <row r="135" spans="1:5" x14ac:dyDescent="0.35">
      <c r="A135" s="62" t="s">
        <v>883</v>
      </c>
      <c r="B135" s="62" t="s">
        <v>836</v>
      </c>
      <c r="C135" s="62">
        <v>392366</v>
      </c>
      <c r="E135" s="72" t="str">
        <f t="shared" si="1"/>
        <v>Gross operating surplus</v>
      </c>
    </row>
    <row r="136" spans="1:5" x14ac:dyDescent="0.35">
      <c r="A136" s="62" t="s">
        <v>884</v>
      </c>
      <c r="B136" s="64" t="s">
        <v>885</v>
      </c>
      <c r="C136" s="64">
        <v>101471</v>
      </c>
      <c r="E136" s="72" t="str">
        <f t="shared" ref="E136:E199" si="2">TRIM(B136)</f>
        <v>Plastics and rubber products</v>
      </c>
    </row>
    <row r="137" spans="1:5" x14ac:dyDescent="0.35">
      <c r="A137" s="62" t="s">
        <v>886</v>
      </c>
      <c r="B137" s="62" t="s">
        <v>834</v>
      </c>
      <c r="C137" s="62">
        <v>62338</v>
      </c>
      <c r="E137" s="72" t="str">
        <f t="shared" si="2"/>
        <v>Compensation of employees</v>
      </c>
    </row>
    <row r="138" spans="1:5" x14ac:dyDescent="0.35">
      <c r="A138" s="62" t="s">
        <v>887</v>
      </c>
      <c r="B138" s="62" t="s">
        <v>835</v>
      </c>
      <c r="C138" s="62">
        <v>3276</v>
      </c>
      <c r="E138" s="72" t="str">
        <f t="shared" si="2"/>
        <v>Taxes on production and imports less subsidies</v>
      </c>
    </row>
    <row r="139" spans="1:5" x14ac:dyDescent="0.35">
      <c r="A139" s="62" t="s">
        <v>888</v>
      </c>
      <c r="B139" s="62" t="s">
        <v>836</v>
      </c>
      <c r="C139" s="62">
        <v>35857</v>
      </c>
      <c r="E139" s="72" t="str">
        <f t="shared" si="2"/>
        <v>Gross operating surplus</v>
      </c>
    </row>
    <row r="140" spans="1:5" x14ac:dyDescent="0.35">
      <c r="A140" s="62" t="s">
        <v>889</v>
      </c>
      <c r="B140" s="64" t="s">
        <v>890</v>
      </c>
      <c r="C140" s="64">
        <v>1706289</v>
      </c>
      <c r="E140" s="72" t="str">
        <f t="shared" si="2"/>
        <v>Wholesale trade</v>
      </c>
    </row>
    <row r="141" spans="1:5" x14ac:dyDescent="0.35">
      <c r="A141" s="62" t="s">
        <v>891</v>
      </c>
      <c r="B141" s="62" t="s">
        <v>820</v>
      </c>
      <c r="C141" s="62">
        <v>733047</v>
      </c>
      <c r="E141" s="72" t="str">
        <f t="shared" si="2"/>
        <v>Compensation of employees</v>
      </c>
    </row>
    <row r="142" spans="1:5" x14ac:dyDescent="0.35">
      <c r="A142" s="62" t="s">
        <v>892</v>
      </c>
      <c r="B142" s="62" t="s">
        <v>821</v>
      </c>
      <c r="C142" s="62">
        <v>328298</v>
      </c>
      <c r="E142" s="72" t="str">
        <f t="shared" si="2"/>
        <v>Taxes on production and imports less subsidies</v>
      </c>
    </row>
    <row r="143" spans="1:5" x14ac:dyDescent="0.35">
      <c r="A143" s="62" t="s">
        <v>893</v>
      </c>
      <c r="B143" s="62" t="s">
        <v>822</v>
      </c>
      <c r="C143" s="62">
        <v>644944</v>
      </c>
      <c r="E143" s="72" t="str">
        <f t="shared" si="2"/>
        <v>Gross operating surplus</v>
      </c>
    </row>
    <row r="144" spans="1:5" x14ac:dyDescent="0.35">
      <c r="A144" s="62" t="s">
        <v>894</v>
      </c>
      <c r="B144" s="64" t="s">
        <v>895</v>
      </c>
      <c r="C144" s="64">
        <v>1849039</v>
      </c>
      <c r="E144" s="72" t="str">
        <f t="shared" si="2"/>
        <v>Retail trade</v>
      </c>
    </row>
    <row r="145" spans="1:5" x14ac:dyDescent="0.35">
      <c r="A145" s="62" t="s">
        <v>896</v>
      </c>
      <c r="B145" s="62" t="s">
        <v>820</v>
      </c>
      <c r="C145" s="62">
        <v>846090</v>
      </c>
      <c r="E145" s="72" t="str">
        <f t="shared" si="2"/>
        <v>Compensation of employees</v>
      </c>
    </row>
    <row r="146" spans="1:5" x14ac:dyDescent="0.35">
      <c r="A146" s="62" t="s">
        <v>897</v>
      </c>
      <c r="B146" s="62" t="s">
        <v>821</v>
      </c>
      <c r="C146" s="62">
        <v>338218</v>
      </c>
      <c r="E146" s="72" t="str">
        <f t="shared" si="2"/>
        <v>Taxes on production and imports less subsidies</v>
      </c>
    </row>
    <row r="147" spans="1:5" x14ac:dyDescent="0.35">
      <c r="A147" s="62" t="s">
        <v>898</v>
      </c>
      <c r="B147" s="62" t="s">
        <v>822</v>
      </c>
      <c r="C147" s="62">
        <v>664731</v>
      </c>
      <c r="E147" s="72" t="str">
        <f t="shared" si="2"/>
        <v>Gross operating surplus</v>
      </c>
    </row>
    <row r="148" spans="1:5" x14ac:dyDescent="0.35">
      <c r="A148" s="62" t="s">
        <v>899</v>
      </c>
      <c r="B148" s="64" t="s">
        <v>900</v>
      </c>
      <c r="C148" s="64">
        <v>356851</v>
      </c>
      <c r="E148" s="72" t="str">
        <f t="shared" si="2"/>
        <v>Motor vehicle and parts dealers</v>
      </c>
    </row>
    <row r="149" spans="1:5" x14ac:dyDescent="0.35">
      <c r="A149" s="62" t="s">
        <v>901</v>
      </c>
      <c r="B149" s="62" t="s">
        <v>782</v>
      </c>
      <c r="C149" s="62">
        <v>172609</v>
      </c>
      <c r="E149" s="72" t="str">
        <f t="shared" si="2"/>
        <v>Compensation of employees</v>
      </c>
    </row>
    <row r="150" spans="1:5" x14ac:dyDescent="0.35">
      <c r="A150" s="62" t="s">
        <v>902</v>
      </c>
      <c r="B150" s="62" t="s">
        <v>814</v>
      </c>
      <c r="C150" s="62">
        <v>70686</v>
      </c>
      <c r="E150" s="72" t="str">
        <f t="shared" si="2"/>
        <v>Taxes on production and imports less subsidies</v>
      </c>
    </row>
    <row r="151" spans="1:5" x14ac:dyDescent="0.35">
      <c r="A151" s="62" t="s">
        <v>903</v>
      </c>
      <c r="B151" s="62" t="s">
        <v>815</v>
      </c>
      <c r="C151" s="62">
        <v>113557</v>
      </c>
      <c r="E151" s="72" t="str">
        <f t="shared" si="2"/>
        <v>Gross operating surplus</v>
      </c>
    </row>
    <row r="152" spans="1:5" x14ac:dyDescent="0.35">
      <c r="A152" s="62" t="s">
        <v>904</v>
      </c>
      <c r="B152" s="64" t="s">
        <v>905</v>
      </c>
      <c r="C152" s="64">
        <v>236132</v>
      </c>
      <c r="E152" s="72" t="str">
        <f t="shared" si="2"/>
        <v>Food and beverage stores</v>
      </c>
    </row>
    <row r="153" spans="1:5" x14ac:dyDescent="0.35">
      <c r="A153" s="62" t="s">
        <v>906</v>
      </c>
      <c r="B153" s="62" t="s">
        <v>782</v>
      </c>
      <c r="C153" s="62">
        <v>138881</v>
      </c>
      <c r="E153" s="72" t="str">
        <f t="shared" si="2"/>
        <v>Compensation of employees</v>
      </c>
    </row>
    <row r="154" spans="1:5" x14ac:dyDescent="0.35">
      <c r="A154" s="62" t="s">
        <v>907</v>
      </c>
      <c r="B154" s="62" t="s">
        <v>814</v>
      </c>
      <c r="C154" s="62">
        <v>37153</v>
      </c>
      <c r="E154" s="72" t="str">
        <f t="shared" si="2"/>
        <v>Taxes on production and imports less subsidies</v>
      </c>
    </row>
    <row r="155" spans="1:5" x14ac:dyDescent="0.35">
      <c r="A155" s="62" t="s">
        <v>908</v>
      </c>
      <c r="B155" s="62" t="s">
        <v>815</v>
      </c>
      <c r="C155" s="62">
        <v>60098</v>
      </c>
      <c r="E155" s="72" t="str">
        <f t="shared" si="2"/>
        <v>Gross operating surplus</v>
      </c>
    </row>
    <row r="156" spans="1:5" x14ac:dyDescent="0.35">
      <c r="A156" s="62" t="s">
        <v>909</v>
      </c>
      <c r="B156" s="64" t="s">
        <v>910</v>
      </c>
      <c r="C156" s="64">
        <v>224084</v>
      </c>
      <c r="E156" s="72" t="str">
        <f t="shared" si="2"/>
        <v>General merchandise stores</v>
      </c>
    </row>
    <row r="157" spans="1:5" x14ac:dyDescent="0.35">
      <c r="A157" s="62" t="s">
        <v>911</v>
      </c>
      <c r="B157" s="62" t="s">
        <v>782</v>
      </c>
      <c r="C157" s="62">
        <v>126489</v>
      </c>
      <c r="E157" s="72" t="str">
        <f t="shared" si="2"/>
        <v>Compensation of employees</v>
      </c>
    </row>
    <row r="158" spans="1:5" x14ac:dyDescent="0.35">
      <c r="A158" s="62" t="s">
        <v>912</v>
      </c>
      <c r="B158" s="62" t="s">
        <v>814</v>
      </c>
      <c r="C158" s="62">
        <v>57632</v>
      </c>
      <c r="E158" s="72" t="str">
        <f t="shared" si="2"/>
        <v>Taxes on production and imports less subsidies</v>
      </c>
    </row>
    <row r="159" spans="1:5" x14ac:dyDescent="0.35">
      <c r="A159" s="62" t="s">
        <v>913</v>
      </c>
      <c r="B159" s="62" t="s">
        <v>815</v>
      </c>
      <c r="C159" s="62">
        <v>39963</v>
      </c>
      <c r="E159" s="72" t="str">
        <f t="shared" si="2"/>
        <v>Gross operating surplus</v>
      </c>
    </row>
    <row r="160" spans="1:5" x14ac:dyDescent="0.35">
      <c r="A160" s="62" t="s">
        <v>914</v>
      </c>
      <c r="B160" s="64" t="s">
        <v>915</v>
      </c>
      <c r="C160" s="64">
        <v>1031973</v>
      </c>
      <c r="E160" s="72" t="str">
        <f t="shared" si="2"/>
        <v>Other retail</v>
      </c>
    </row>
    <row r="161" spans="1:5" x14ac:dyDescent="0.35">
      <c r="A161" s="62" t="s">
        <v>916</v>
      </c>
      <c r="B161" s="62" t="s">
        <v>782</v>
      </c>
      <c r="C161" s="62">
        <v>408112</v>
      </c>
      <c r="E161" s="72" t="str">
        <f t="shared" si="2"/>
        <v>Compensation of employees</v>
      </c>
    </row>
    <row r="162" spans="1:5" x14ac:dyDescent="0.35">
      <c r="A162" s="62" t="s">
        <v>917</v>
      </c>
      <c r="B162" s="62" t="s">
        <v>814</v>
      </c>
      <c r="C162" s="62">
        <v>172747</v>
      </c>
      <c r="E162" s="72" t="str">
        <f t="shared" si="2"/>
        <v>Taxes on production and imports less subsidies</v>
      </c>
    </row>
    <row r="163" spans="1:5" x14ac:dyDescent="0.35">
      <c r="A163" s="62" t="s">
        <v>918</v>
      </c>
      <c r="B163" s="62" t="s">
        <v>815</v>
      </c>
      <c r="C163" s="62">
        <v>451114</v>
      </c>
      <c r="E163" s="72" t="str">
        <f t="shared" si="2"/>
        <v>Gross operating surplus</v>
      </c>
    </row>
    <row r="164" spans="1:5" x14ac:dyDescent="0.35">
      <c r="A164" s="62" t="s">
        <v>919</v>
      </c>
      <c r="B164" s="64" t="s">
        <v>920</v>
      </c>
      <c r="C164" s="64">
        <v>987302</v>
      </c>
      <c r="E164" s="72" t="str">
        <f t="shared" si="2"/>
        <v>Transportation and warehousing</v>
      </c>
    </row>
    <row r="165" spans="1:5" x14ac:dyDescent="0.35">
      <c r="A165" s="62" t="s">
        <v>921</v>
      </c>
      <c r="B165" s="62" t="s">
        <v>820</v>
      </c>
      <c r="C165" s="62">
        <v>577240</v>
      </c>
      <c r="E165" s="72" t="str">
        <f t="shared" si="2"/>
        <v>Compensation of employees</v>
      </c>
    </row>
    <row r="166" spans="1:5" x14ac:dyDescent="0.35">
      <c r="A166" s="62" t="s">
        <v>922</v>
      </c>
      <c r="B166" s="62" t="s">
        <v>821</v>
      </c>
      <c r="C166" s="62">
        <v>54055</v>
      </c>
      <c r="E166" s="72" t="str">
        <f t="shared" si="2"/>
        <v>Taxes on production and imports less subsidies</v>
      </c>
    </row>
    <row r="167" spans="1:5" x14ac:dyDescent="0.35">
      <c r="A167" s="62" t="s">
        <v>923</v>
      </c>
      <c r="B167" s="62" t="s">
        <v>822</v>
      </c>
      <c r="C167" s="62">
        <v>356007</v>
      </c>
      <c r="E167" s="72" t="str">
        <f t="shared" si="2"/>
        <v>Gross operating surplus</v>
      </c>
    </row>
    <row r="168" spans="1:5" x14ac:dyDescent="0.35">
      <c r="A168" s="62" t="s">
        <v>924</v>
      </c>
      <c r="B168" s="64" t="s">
        <v>925</v>
      </c>
      <c r="C168" s="64">
        <v>175712</v>
      </c>
      <c r="E168" s="72" t="str">
        <f t="shared" si="2"/>
        <v>Air transportation</v>
      </c>
    </row>
    <row r="169" spans="1:5" x14ac:dyDescent="0.35">
      <c r="A169" s="62" t="s">
        <v>926</v>
      </c>
      <c r="B169" s="62" t="s">
        <v>782</v>
      </c>
      <c r="C169" s="62">
        <v>88114</v>
      </c>
      <c r="E169" s="72" t="str">
        <f t="shared" si="2"/>
        <v>Compensation of employees</v>
      </c>
    </row>
    <row r="170" spans="1:5" x14ac:dyDescent="0.35">
      <c r="A170" s="62" t="s">
        <v>927</v>
      </c>
      <c r="B170" s="62" t="s">
        <v>814</v>
      </c>
      <c r="C170" s="62">
        <v>34858</v>
      </c>
      <c r="E170" s="72" t="str">
        <f t="shared" si="2"/>
        <v>Taxes on production and imports less subsidies</v>
      </c>
    </row>
    <row r="171" spans="1:5" x14ac:dyDescent="0.35">
      <c r="A171" s="62" t="s">
        <v>928</v>
      </c>
      <c r="B171" s="62" t="s">
        <v>815</v>
      </c>
      <c r="C171" s="62">
        <v>52740</v>
      </c>
      <c r="E171" s="72" t="str">
        <f t="shared" si="2"/>
        <v>Gross operating surplus</v>
      </c>
    </row>
    <row r="172" spans="1:5" x14ac:dyDescent="0.35">
      <c r="A172" s="62" t="s">
        <v>929</v>
      </c>
      <c r="B172" s="64" t="s">
        <v>930</v>
      </c>
      <c r="C172" s="64">
        <v>53169</v>
      </c>
      <c r="E172" s="72" t="str">
        <f t="shared" si="2"/>
        <v>Rail transportation</v>
      </c>
    </row>
    <row r="173" spans="1:5" x14ac:dyDescent="0.35">
      <c r="A173" s="62" t="s">
        <v>931</v>
      </c>
      <c r="B173" s="62" t="s">
        <v>782</v>
      </c>
      <c r="C173" s="62">
        <v>26365</v>
      </c>
      <c r="E173" s="72" t="str">
        <f t="shared" si="2"/>
        <v>Compensation of employees</v>
      </c>
    </row>
    <row r="174" spans="1:5" x14ac:dyDescent="0.35">
      <c r="A174" s="62" t="s">
        <v>932</v>
      </c>
      <c r="B174" s="62" t="s">
        <v>814</v>
      </c>
      <c r="C174" s="62">
        <v>-1855</v>
      </c>
      <c r="E174" s="72" t="str">
        <f t="shared" si="2"/>
        <v>Taxes on production and imports less subsidies</v>
      </c>
    </row>
    <row r="175" spans="1:5" x14ac:dyDescent="0.35">
      <c r="A175" s="62" t="s">
        <v>933</v>
      </c>
      <c r="B175" s="62" t="s">
        <v>815</v>
      </c>
      <c r="C175" s="62">
        <v>28659</v>
      </c>
      <c r="E175" s="72" t="str">
        <f t="shared" si="2"/>
        <v>Gross operating surplus</v>
      </c>
    </row>
    <row r="176" spans="1:5" x14ac:dyDescent="0.35">
      <c r="A176" s="62" t="s">
        <v>934</v>
      </c>
      <c r="B176" s="64" t="s">
        <v>935</v>
      </c>
      <c r="C176" s="64">
        <v>24335</v>
      </c>
      <c r="E176" s="72" t="str">
        <f t="shared" si="2"/>
        <v>Water transportation</v>
      </c>
    </row>
    <row r="177" spans="1:5" x14ac:dyDescent="0.35">
      <c r="A177" s="62" t="s">
        <v>936</v>
      </c>
      <c r="B177" s="62" t="s">
        <v>782</v>
      </c>
      <c r="C177" s="62">
        <v>9882</v>
      </c>
      <c r="E177" s="72" t="str">
        <f t="shared" si="2"/>
        <v>Compensation of employees</v>
      </c>
    </row>
    <row r="178" spans="1:5" x14ac:dyDescent="0.35">
      <c r="A178" s="62" t="s">
        <v>937</v>
      </c>
      <c r="B178" s="62" t="s">
        <v>814</v>
      </c>
      <c r="C178" s="62">
        <v>1529</v>
      </c>
      <c r="E178" s="72" t="str">
        <f t="shared" si="2"/>
        <v>Taxes on production and imports less subsidies</v>
      </c>
    </row>
    <row r="179" spans="1:5" x14ac:dyDescent="0.35">
      <c r="A179" s="62" t="s">
        <v>938</v>
      </c>
      <c r="B179" s="62" t="s">
        <v>815</v>
      </c>
      <c r="C179" s="62">
        <v>12924</v>
      </c>
      <c r="E179" s="72" t="str">
        <f t="shared" si="2"/>
        <v>Gross operating surplus</v>
      </c>
    </row>
    <row r="180" spans="1:5" x14ac:dyDescent="0.35">
      <c r="A180" s="62" t="s">
        <v>939</v>
      </c>
      <c r="B180" s="64" t="s">
        <v>940</v>
      </c>
      <c r="C180" s="64">
        <v>257356</v>
      </c>
      <c r="E180" s="72" t="str">
        <f t="shared" si="2"/>
        <v>Truck transportation</v>
      </c>
    </row>
    <row r="181" spans="1:5" x14ac:dyDescent="0.35">
      <c r="A181" s="62" t="s">
        <v>941</v>
      </c>
      <c r="B181" s="62" t="s">
        <v>782</v>
      </c>
      <c r="C181" s="62">
        <v>135191</v>
      </c>
      <c r="E181" s="72" t="str">
        <f t="shared" si="2"/>
        <v>Compensation of employees</v>
      </c>
    </row>
    <row r="182" spans="1:5" x14ac:dyDescent="0.35">
      <c r="A182" s="62" t="s">
        <v>942</v>
      </c>
      <c r="B182" s="62" t="s">
        <v>814</v>
      </c>
      <c r="C182" s="62">
        <v>6408</v>
      </c>
      <c r="E182" s="72" t="str">
        <f t="shared" si="2"/>
        <v>Taxes on production and imports less subsidies</v>
      </c>
    </row>
    <row r="183" spans="1:5" x14ac:dyDescent="0.35">
      <c r="A183" s="62" t="s">
        <v>943</v>
      </c>
      <c r="B183" s="62" t="s">
        <v>815</v>
      </c>
      <c r="C183" s="62">
        <v>115757</v>
      </c>
      <c r="E183" s="72" t="str">
        <f t="shared" si="2"/>
        <v>Gross operating surplus</v>
      </c>
    </row>
    <row r="184" spans="1:5" x14ac:dyDescent="0.35">
      <c r="A184" s="62" t="s">
        <v>944</v>
      </c>
      <c r="B184" s="64" t="s">
        <v>945</v>
      </c>
      <c r="C184" s="64">
        <v>83850</v>
      </c>
      <c r="E184" s="72" t="str">
        <f t="shared" si="2"/>
        <v>Transit and ground passenger transportation</v>
      </c>
    </row>
    <row r="185" spans="1:5" x14ac:dyDescent="0.35">
      <c r="A185" s="62" t="s">
        <v>946</v>
      </c>
      <c r="B185" s="62" t="s">
        <v>782</v>
      </c>
      <c r="C185" s="62">
        <v>37736</v>
      </c>
      <c r="E185" s="72" t="str">
        <f t="shared" si="2"/>
        <v>Compensation of employees</v>
      </c>
    </row>
    <row r="186" spans="1:5" x14ac:dyDescent="0.35">
      <c r="A186" s="62" t="s">
        <v>947</v>
      </c>
      <c r="B186" s="62" t="s">
        <v>814</v>
      </c>
      <c r="C186" s="62">
        <v>3057</v>
      </c>
      <c r="E186" s="72" t="str">
        <f t="shared" si="2"/>
        <v>Taxes on production and imports less subsidies</v>
      </c>
    </row>
    <row r="187" spans="1:5" x14ac:dyDescent="0.35">
      <c r="A187" s="62" t="s">
        <v>948</v>
      </c>
      <c r="B187" s="62" t="s">
        <v>815</v>
      </c>
      <c r="C187" s="62">
        <v>43057</v>
      </c>
      <c r="E187" s="72" t="str">
        <f t="shared" si="2"/>
        <v>Gross operating surplus</v>
      </c>
    </row>
    <row r="188" spans="1:5" x14ac:dyDescent="0.35">
      <c r="A188" s="62" t="s">
        <v>949</v>
      </c>
      <c r="B188" s="64" t="s">
        <v>950</v>
      </c>
      <c r="C188" s="64">
        <v>48501</v>
      </c>
      <c r="E188" s="72" t="str">
        <f t="shared" si="2"/>
        <v>Pipeline transportation</v>
      </c>
    </row>
    <row r="189" spans="1:5" x14ac:dyDescent="0.35">
      <c r="A189" s="62" t="s">
        <v>951</v>
      </c>
      <c r="B189" s="62" t="s">
        <v>782</v>
      </c>
      <c r="C189" s="62">
        <v>10719</v>
      </c>
      <c r="E189" s="72" t="str">
        <f t="shared" si="2"/>
        <v>Compensation of employees</v>
      </c>
    </row>
    <row r="190" spans="1:5" x14ac:dyDescent="0.35">
      <c r="A190" s="62" t="s">
        <v>952</v>
      </c>
      <c r="B190" s="62" t="s">
        <v>814</v>
      </c>
      <c r="C190" s="62">
        <v>4919</v>
      </c>
      <c r="E190" s="72" t="str">
        <f t="shared" si="2"/>
        <v>Taxes on production and imports less subsidies</v>
      </c>
    </row>
    <row r="191" spans="1:5" x14ac:dyDescent="0.35">
      <c r="A191" s="62" t="s">
        <v>953</v>
      </c>
      <c r="B191" s="62" t="s">
        <v>815</v>
      </c>
      <c r="C191" s="62">
        <v>32862</v>
      </c>
      <c r="E191" s="72" t="str">
        <f t="shared" si="2"/>
        <v>Gross operating surplus</v>
      </c>
    </row>
    <row r="192" spans="1:5" x14ac:dyDescent="0.35">
      <c r="A192" s="62" t="s">
        <v>954</v>
      </c>
      <c r="B192" s="64" t="s">
        <v>955</v>
      </c>
      <c r="C192" s="64">
        <v>216231</v>
      </c>
      <c r="E192" s="72" t="str">
        <f t="shared" si="2"/>
        <v>Other transportation and support activities</v>
      </c>
    </row>
    <row r="193" spans="1:5" x14ac:dyDescent="0.35">
      <c r="A193" s="62" t="s">
        <v>956</v>
      </c>
      <c r="B193" s="62" t="s">
        <v>782</v>
      </c>
      <c r="C193" s="62">
        <v>147652</v>
      </c>
      <c r="E193" s="72" t="str">
        <f t="shared" si="2"/>
        <v>Compensation of employees</v>
      </c>
    </row>
    <row r="194" spans="1:5" x14ac:dyDescent="0.35">
      <c r="A194" s="62" t="s">
        <v>957</v>
      </c>
      <c r="B194" s="62" t="s">
        <v>814</v>
      </c>
      <c r="C194" s="62">
        <v>3695</v>
      </c>
      <c r="E194" s="72" t="str">
        <f t="shared" si="2"/>
        <v>Taxes on production and imports less subsidies</v>
      </c>
    </row>
    <row r="195" spans="1:5" x14ac:dyDescent="0.35">
      <c r="A195" s="62" t="s">
        <v>958</v>
      </c>
      <c r="B195" s="62" t="s">
        <v>815</v>
      </c>
      <c r="C195" s="62">
        <v>64884</v>
      </c>
      <c r="E195" s="72" t="str">
        <f t="shared" si="2"/>
        <v>Gross operating surplus</v>
      </c>
    </row>
    <row r="196" spans="1:5" x14ac:dyDescent="0.35">
      <c r="A196" s="62" t="s">
        <v>959</v>
      </c>
      <c r="B196" s="64" t="s">
        <v>960</v>
      </c>
      <c r="C196" s="64">
        <v>128148</v>
      </c>
      <c r="E196" s="72" t="str">
        <f t="shared" si="2"/>
        <v>Warehousing and storage</v>
      </c>
    </row>
    <row r="197" spans="1:5" x14ac:dyDescent="0.35">
      <c r="A197" s="62" t="s">
        <v>961</v>
      </c>
      <c r="B197" s="62" t="s">
        <v>782</v>
      </c>
      <c r="C197" s="62">
        <v>121581</v>
      </c>
      <c r="E197" s="72" t="str">
        <f t="shared" si="2"/>
        <v>Compensation of employees</v>
      </c>
    </row>
    <row r="198" spans="1:5" x14ac:dyDescent="0.35">
      <c r="A198" s="62" t="s">
        <v>962</v>
      </c>
      <c r="B198" s="62" t="s">
        <v>814</v>
      </c>
      <c r="C198" s="62">
        <v>1443</v>
      </c>
      <c r="E198" s="72" t="str">
        <f t="shared" si="2"/>
        <v>Taxes on production and imports less subsidies</v>
      </c>
    </row>
    <row r="199" spans="1:5" x14ac:dyDescent="0.35">
      <c r="A199" s="62" t="s">
        <v>963</v>
      </c>
      <c r="B199" s="62" t="s">
        <v>815</v>
      </c>
      <c r="C199" s="62">
        <v>5124</v>
      </c>
      <c r="E199" s="72" t="str">
        <f t="shared" si="2"/>
        <v>Gross operating surplus</v>
      </c>
    </row>
    <row r="200" spans="1:5" x14ac:dyDescent="0.35">
      <c r="A200" s="62" t="s">
        <v>964</v>
      </c>
      <c r="B200" s="64" t="s">
        <v>965</v>
      </c>
      <c r="C200" s="64">
        <v>1592692</v>
      </c>
      <c r="E200" s="72" t="str">
        <f t="shared" ref="E200:E263" si="3">TRIM(B200)</f>
        <v>Information</v>
      </c>
    </row>
    <row r="201" spans="1:5" x14ac:dyDescent="0.35">
      <c r="A201" s="62" t="s">
        <v>966</v>
      </c>
      <c r="B201" s="62" t="s">
        <v>820</v>
      </c>
      <c r="C201" s="62">
        <v>593157</v>
      </c>
      <c r="E201" s="72" t="str">
        <f t="shared" si="3"/>
        <v>Compensation of employees</v>
      </c>
    </row>
    <row r="202" spans="1:5" x14ac:dyDescent="0.35">
      <c r="A202" s="62" t="s">
        <v>967</v>
      </c>
      <c r="B202" s="62" t="s">
        <v>821</v>
      </c>
      <c r="C202" s="62">
        <v>65934</v>
      </c>
      <c r="E202" s="72" t="str">
        <f t="shared" si="3"/>
        <v>Taxes on production and imports less subsidies</v>
      </c>
    </row>
    <row r="203" spans="1:5" x14ac:dyDescent="0.35">
      <c r="A203" s="62" t="s">
        <v>968</v>
      </c>
      <c r="B203" s="62" t="s">
        <v>822</v>
      </c>
      <c r="C203" s="62">
        <v>933601</v>
      </c>
      <c r="E203" s="72" t="str">
        <f t="shared" si="3"/>
        <v>Gross operating surplus</v>
      </c>
    </row>
    <row r="204" spans="1:5" x14ac:dyDescent="0.35">
      <c r="A204" s="62" t="s">
        <v>969</v>
      </c>
      <c r="B204" s="64" t="s">
        <v>970</v>
      </c>
      <c r="C204" s="64">
        <v>442706</v>
      </c>
      <c r="E204" s="72" t="str">
        <f t="shared" si="3"/>
        <v>Publishing industries, except internet (includes software)</v>
      </c>
    </row>
    <row r="205" spans="1:5" x14ac:dyDescent="0.35">
      <c r="A205" s="62" t="s">
        <v>971</v>
      </c>
      <c r="B205" s="62" t="s">
        <v>782</v>
      </c>
      <c r="C205" s="62">
        <v>184170</v>
      </c>
      <c r="E205" s="72" t="str">
        <f t="shared" si="3"/>
        <v>Compensation of employees</v>
      </c>
    </row>
    <row r="206" spans="1:5" x14ac:dyDescent="0.35">
      <c r="A206" s="62" t="s">
        <v>972</v>
      </c>
      <c r="B206" s="62" t="s">
        <v>814</v>
      </c>
      <c r="C206" s="62">
        <v>8289</v>
      </c>
      <c r="E206" s="72" t="str">
        <f t="shared" si="3"/>
        <v>Taxes on production and imports less subsidies</v>
      </c>
    </row>
    <row r="207" spans="1:5" x14ac:dyDescent="0.35">
      <c r="A207" s="62" t="s">
        <v>973</v>
      </c>
      <c r="B207" s="62" t="s">
        <v>815</v>
      </c>
      <c r="C207" s="62">
        <v>250247</v>
      </c>
      <c r="E207" s="72" t="str">
        <f t="shared" si="3"/>
        <v>Gross operating surplus</v>
      </c>
    </row>
    <row r="208" spans="1:5" x14ac:dyDescent="0.35">
      <c r="A208" s="62" t="s">
        <v>974</v>
      </c>
      <c r="B208" s="64" t="s">
        <v>975</v>
      </c>
      <c r="C208" s="64">
        <v>119385</v>
      </c>
      <c r="E208" s="72" t="str">
        <f t="shared" si="3"/>
        <v>Motion picture and sound recording industries</v>
      </c>
    </row>
    <row r="209" spans="1:5" x14ac:dyDescent="0.35">
      <c r="A209" s="62" t="s">
        <v>976</v>
      </c>
      <c r="B209" s="62" t="s">
        <v>782</v>
      </c>
      <c r="C209" s="62">
        <v>42580</v>
      </c>
      <c r="E209" s="72" t="str">
        <f t="shared" si="3"/>
        <v>Compensation of employees</v>
      </c>
    </row>
    <row r="210" spans="1:5" x14ac:dyDescent="0.35">
      <c r="A210" s="62" t="s">
        <v>977</v>
      </c>
      <c r="B210" s="62" t="s">
        <v>814</v>
      </c>
      <c r="C210" s="62">
        <v>6792</v>
      </c>
      <c r="E210" s="72" t="str">
        <f t="shared" si="3"/>
        <v>Taxes on production and imports less subsidies</v>
      </c>
    </row>
    <row r="211" spans="1:5" x14ac:dyDescent="0.35">
      <c r="A211" s="62" t="s">
        <v>978</v>
      </c>
      <c r="B211" s="62" t="s">
        <v>815</v>
      </c>
      <c r="C211" s="62">
        <v>70014</v>
      </c>
      <c r="E211" s="72" t="str">
        <f t="shared" si="3"/>
        <v>Gross operating surplus</v>
      </c>
    </row>
    <row r="212" spans="1:5" x14ac:dyDescent="0.35">
      <c r="A212" s="62" t="s">
        <v>979</v>
      </c>
      <c r="B212" s="64" t="s">
        <v>980</v>
      </c>
      <c r="C212" s="64">
        <v>501545</v>
      </c>
      <c r="E212" s="72" t="str">
        <f t="shared" si="3"/>
        <v>Broadcasting and telecommunications</v>
      </c>
    </row>
    <row r="213" spans="1:5" x14ac:dyDescent="0.35">
      <c r="A213" s="62" t="s">
        <v>981</v>
      </c>
      <c r="B213" s="62" t="s">
        <v>782</v>
      </c>
      <c r="C213" s="62">
        <v>129892</v>
      </c>
      <c r="E213" s="72" t="str">
        <f t="shared" si="3"/>
        <v>Compensation of employees</v>
      </c>
    </row>
    <row r="214" spans="1:5" x14ac:dyDescent="0.35">
      <c r="A214" s="62" t="s">
        <v>982</v>
      </c>
      <c r="B214" s="62" t="s">
        <v>814</v>
      </c>
      <c r="C214" s="62">
        <v>42372</v>
      </c>
      <c r="E214" s="72" t="str">
        <f t="shared" si="3"/>
        <v>Taxes on production and imports less subsidies</v>
      </c>
    </row>
    <row r="215" spans="1:5" x14ac:dyDescent="0.35">
      <c r="A215" s="62" t="s">
        <v>983</v>
      </c>
      <c r="B215" s="62" t="s">
        <v>815</v>
      </c>
      <c r="C215" s="62">
        <v>329281</v>
      </c>
      <c r="E215" s="72" t="str">
        <f t="shared" si="3"/>
        <v>Gross operating surplus</v>
      </c>
    </row>
    <row r="216" spans="1:5" x14ac:dyDescent="0.35">
      <c r="A216" s="62" t="s">
        <v>984</v>
      </c>
      <c r="B216" s="64" t="s">
        <v>985</v>
      </c>
      <c r="C216" s="64">
        <v>529056</v>
      </c>
      <c r="E216" s="72" t="str">
        <f t="shared" si="3"/>
        <v>Data processing, internet publishing, and other information services</v>
      </c>
    </row>
    <row r="217" spans="1:5" x14ac:dyDescent="0.35">
      <c r="A217" s="62" t="s">
        <v>986</v>
      </c>
      <c r="B217" s="62" t="s">
        <v>782</v>
      </c>
      <c r="C217" s="62">
        <v>236515</v>
      </c>
      <c r="E217" s="72" t="str">
        <f t="shared" si="3"/>
        <v>Compensation of employees</v>
      </c>
    </row>
    <row r="218" spans="1:5" x14ac:dyDescent="0.35">
      <c r="A218" s="62" t="s">
        <v>100</v>
      </c>
      <c r="B218" s="62" t="s">
        <v>814</v>
      </c>
      <c r="C218" s="62">
        <v>8482</v>
      </c>
      <c r="E218" s="72" t="str">
        <f t="shared" si="3"/>
        <v>Taxes on production and imports less subsidies</v>
      </c>
    </row>
    <row r="219" spans="1:5" x14ac:dyDescent="0.35">
      <c r="A219" s="62" t="s">
        <v>987</v>
      </c>
      <c r="B219" s="62" t="s">
        <v>815</v>
      </c>
      <c r="C219" s="62">
        <v>284059</v>
      </c>
      <c r="E219" s="72" t="str">
        <f t="shared" si="3"/>
        <v>Gross operating surplus</v>
      </c>
    </row>
    <row r="220" spans="1:5" x14ac:dyDescent="0.35">
      <c r="A220" s="62" t="s">
        <v>988</v>
      </c>
      <c r="B220" s="64" t="s">
        <v>989</v>
      </c>
      <c r="C220" s="64">
        <v>6281555</v>
      </c>
      <c r="E220" s="72" t="str">
        <f t="shared" si="3"/>
        <v>Finance, insurance, real estate, rental, and leasing</v>
      </c>
    </row>
    <row r="221" spans="1:5" x14ac:dyDescent="0.35">
      <c r="A221" s="62" t="s">
        <v>990</v>
      </c>
      <c r="B221" s="62" t="s">
        <v>820</v>
      </c>
      <c r="C221" s="62">
        <v>1338953</v>
      </c>
      <c r="E221" s="72" t="str">
        <f t="shared" si="3"/>
        <v>Compensation of employees</v>
      </c>
    </row>
    <row r="222" spans="1:5" x14ac:dyDescent="0.35">
      <c r="A222" s="62" t="s">
        <v>991</v>
      </c>
      <c r="B222" s="62" t="s">
        <v>821</v>
      </c>
      <c r="C222" s="62">
        <v>483266</v>
      </c>
      <c r="E222" s="72" t="str">
        <f t="shared" si="3"/>
        <v>Taxes on production and imports less subsidies</v>
      </c>
    </row>
    <row r="223" spans="1:5" x14ac:dyDescent="0.35">
      <c r="A223" s="62" t="s">
        <v>992</v>
      </c>
      <c r="B223" s="62" t="s">
        <v>822</v>
      </c>
      <c r="C223" s="62">
        <v>4459335</v>
      </c>
      <c r="E223" s="72" t="str">
        <f t="shared" si="3"/>
        <v>Gross operating surplus</v>
      </c>
    </row>
    <row r="224" spans="1:5" x14ac:dyDescent="0.35">
      <c r="A224" s="62" t="s">
        <v>993</v>
      </c>
      <c r="B224" s="64" t="s">
        <v>783</v>
      </c>
      <c r="C224" s="64">
        <v>2229155</v>
      </c>
      <c r="E224" s="72" t="str">
        <f t="shared" si="3"/>
        <v>Finance and insurance</v>
      </c>
    </row>
    <row r="225" spans="1:5" x14ac:dyDescent="0.35">
      <c r="A225" s="62" t="s">
        <v>994</v>
      </c>
      <c r="B225" s="62" t="s">
        <v>782</v>
      </c>
      <c r="C225" s="62">
        <v>1115372</v>
      </c>
      <c r="E225" s="72" t="str">
        <f t="shared" si="3"/>
        <v>Compensation of employees</v>
      </c>
    </row>
    <row r="226" spans="1:5" x14ac:dyDescent="0.35">
      <c r="A226" s="62" t="s">
        <v>995</v>
      </c>
      <c r="B226" s="62" t="s">
        <v>814</v>
      </c>
      <c r="C226" s="62">
        <v>83485</v>
      </c>
      <c r="E226" s="72" t="str">
        <f t="shared" si="3"/>
        <v>Taxes on production and imports less subsidies</v>
      </c>
    </row>
    <row r="227" spans="1:5" x14ac:dyDescent="0.35">
      <c r="A227" s="62" t="s">
        <v>996</v>
      </c>
      <c r="B227" s="62" t="s">
        <v>815</v>
      </c>
      <c r="C227" s="62">
        <v>1030298</v>
      </c>
      <c r="E227" s="72" t="str">
        <f t="shared" si="3"/>
        <v>Gross operating surplus</v>
      </c>
    </row>
    <row r="228" spans="1:5" x14ac:dyDescent="0.35">
      <c r="A228" s="62" t="s">
        <v>997</v>
      </c>
      <c r="B228" s="64" t="s">
        <v>784</v>
      </c>
      <c r="C228" s="64">
        <v>1013285</v>
      </c>
      <c r="E228" s="72" t="str">
        <f t="shared" si="3"/>
        <v>Federal Reserve banks, credit intermediation, and related activities</v>
      </c>
    </row>
    <row r="229" spans="1:5" x14ac:dyDescent="0.35">
      <c r="A229" s="62" t="s">
        <v>998</v>
      </c>
      <c r="B229" s="62" t="s">
        <v>834</v>
      </c>
      <c r="C229" s="62">
        <v>354009</v>
      </c>
      <c r="E229" s="72" t="str">
        <f t="shared" si="3"/>
        <v>Compensation of employees</v>
      </c>
    </row>
    <row r="230" spans="1:5" x14ac:dyDescent="0.35">
      <c r="A230" s="62" t="s">
        <v>999</v>
      </c>
      <c r="B230" s="62" t="s">
        <v>835</v>
      </c>
      <c r="C230" s="62">
        <v>26036</v>
      </c>
      <c r="E230" s="72" t="str">
        <f t="shared" si="3"/>
        <v>Taxes on production and imports less subsidies</v>
      </c>
    </row>
    <row r="231" spans="1:5" x14ac:dyDescent="0.35">
      <c r="A231" s="62" t="s">
        <v>1000</v>
      </c>
      <c r="B231" s="62" t="s">
        <v>836</v>
      </c>
      <c r="C231" s="62">
        <v>633241</v>
      </c>
      <c r="E231" s="72" t="str">
        <f t="shared" si="3"/>
        <v>Gross operating surplus</v>
      </c>
    </row>
    <row r="232" spans="1:5" x14ac:dyDescent="0.35">
      <c r="A232" s="62" t="s">
        <v>1001</v>
      </c>
      <c r="B232" s="64" t="s">
        <v>785</v>
      </c>
      <c r="C232" s="64">
        <v>396082</v>
      </c>
      <c r="E232" s="72" t="str">
        <f t="shared" si="3"/>
        <v>Securities, commodity contracts, and investments</v>
      </c>
    </row>
    <row r="233" spans="1:5" x14ac:dyDescent="0.35">
      <c r="A233" s="62" t="s">
        <v>1002</v>
      </c>
      <c r="B233" s="62" t="s">
        <v>834</v>
      </c>
      <c r="C233" s="62">
        <v>364518</v>
      </c>
      <c r="E233" s="72" t="str">
        <f t="shared" si="3"/>
        <v>Compensation of employees</v>
      </c>
    </row>
    <row r="234" spans="1:5" x14ac:dyDescent="0.35">
      <c r="A234" s="62" t="s">
        <v>1003</v>
      </c>
      <c r="B234" s="62" t="s">
        <v>835</v>
      </c>
      <c r="C234" s="62">
        <v>8296</v>
      </c>
      <c r="E234" s="72" t="str">
        <f t="shared" si="3"/>
        <v>Taxes on production and imports less subsidies</v>
      </c>
    </row>
    <row r="235" spans="1:5" x14ac:dyDescent="0.35">
      <c r="A235" s="62" t="s">
        <v>1004</v>
      </c>
      <c r="B235" s="62" t="s">
        <v>836</v>
      </c>
      <c r="C235" s="62">
        <v>23268</v>
      </c>
      <c r="E235" s="72" t="str">
        <f t="shared" si="3"/>
        <v>Gross operating surplus</v>
      </c>
    </row>
    <row r="236" spans="1:5" x14ac:dyDescent="0.35">
      <c r="A236" s="62" t="s">
        <v>1005</v>
      </c>
      <c r="B236" s="64" t="s">
        <v>786</v>
      </c>
      <c r="C236" s="64">
        <v>791806</v>
      </c>
      <c r="E236" s="72" t="str">
        <f t="shared" si="3"/>
        <v>Insurance carriers and related activities</v>
      </c>
    </row>
    <row r="237" spans="1:5" x14ac:dyDescent="0.35">
      <c r="A237" s="62" t="s">
        <v>1006</v>
      </c>
      <c r="B237" s="62" t="s">
        <v>834</v>
      </c>
      <c r="C237" s="62">
        <v>390088</v>
      </c>
      <c r="E237" s="72" t="str">
        <f t="shared" si="3"/>
        <v>Compensation of employees</v>
      </c>
    </row>
    <row r="238" spans="1:5" x14ac:dyDescent="0.35">
      <c r="A238" s="62" t="s">
        <v>1007</v>
      </c>
      <c r="B238" s="62" t="s">
        <v>835</v>
      </c>
      <c r="C238" s="62">
        <v>48317</v>
      </c>
      <c r="E238" s="72" t="str">
        <f t="shared" si="3"/>
        <v>Taxes on production and imports less subsidies</v>
      </c>
    </row>
    <row r="239" spans="1:5" x14ac:dyDescent="0.35">
      <c r="A239" s="62" t="s">
        <v>1008</v>
      </c>
      <c r="B239" s="62" t="s">
        <v>836</v>
      </c>
      <c r="C239" s="62">
        <v>353401</v>
      </c>
      <c r="E239" s="72" t="str">
        <f t="shared" si="3"/>
        <v>Gross operating surplus</v>
      </c>
    </row>
    <row r="240" spans="1:5" x14ac:dyDescent="0.35">
      <c r="A240" s="62" t="s">
        <v>1009</v>
      </c>
      <c r="B240" s="64" t="s">
        <v>787</v>
      </c>
      <c r="C240" s="64">
        <v>27981</v>
      </c>
      <c r="E240" s="72" t="str">
        <f t="shared" si="3"/>
        <v>Funds, trusts, and other financial vehicles</v>
      </c>
    </row>
    <row r="241" spans="1:5" x14ac:dyDescent="0.35">
      <c r="A241" s="62" t="s">
        <v>1010</v>
      </c>
      <c r="B241" s="62" t="s">
        <v>834</v>
      </c>
      <c r="C241" s="62">
        <v>6758</v>
      </c>
      <c r="E241" s="72" t="str">
        <f t="shared" si="3"/>
        <v>Compensation of employees</v>
      </c>
    </row>
    <row r="242" spans="1:5" x14ac:dyDescent="0.35">
      <c r="A242" s="62" t="s">
        <v>1011</v>
      </c>
      <c r="B242" s="62" t="s">
        <v>835</v>
      </c>
      <c r="C242" s="62">
        <v>835</v>
      </c>
      <c r="E242" s="72" t="str">
        <f t="shared" si="3"/>
        <v>Taxes on production and imports less subsidies</v>
      </c>
    </row>
    <row r="243" spans="1:5" x14ac:dyDescent="0.35">
      <c r="A243" s="62" t="s">
        <v>1012</v>
      </c>
      <c r="B243" s="62" t="s">
        <v>836</v>
      </c>
      <c r="C243" s="62">
        <v>20388</v>
      </c>
      <c r="E243" s="72" t="str">
        <f t="shared" si="3"/>
        <v>Gross operating surplus</v>
      </c>
    </row>
    <row r="244" spans="1:5" x14ac:dyDescent="0.35">
      <c r="A244" s="62" t="s">
        <v>1013</v>
      </c>
      <c r="B244" s="64" t="s">
        <v>788</v>
      </c>
      <c r="C244" s="64">
        <v>4052400</v>
      </c>
      <c r="E244" s="72" t="str">
        <f t="shared" si="3"/>
        <v>Real estate and rental and leasing</v>
      </c>
    </row>
    <row r="245" spans="1:5" x14ac:dyDescent="0.35">
      <c r="A245" s="62" t="s">
        <v>1014</v>
      </c>
      <c r="B245" s="62" t="s">
        <v>782</v>
      </c>
      <c r="C245" s="62">
        <v>223581</v>
      </c>
      <c r="E245" s="72" t="str">
        <f t="shared" si="3"/>
        <v>Compensation of employees</v>
      </c>
    </row>
    <row r="246" spans="1:5" x14ac:dyDescent="0.35">
      <c r="A246" s="62" t="s">
        <v>1015</v>
      </c>
      <c r="B246" s="62" t="s">
        <v>814</v>
      </c>
      <c r="C246" s="62">
        <v>399782</v>
      </c>
      <c r="E246" s="72" t="str">
        <f t="shared" si="3"/>
        <v>Taxes on production and imports less subsidies</v>
      </c>
    </row>
    <row r="247" spans="1:5" x14ac:dyDescent="0.35">
      <c r="A247" s="62" t="s">
        <v>1016</v>
      </c>
      <c r="B247" s="62" t="s">
        <v>815</v>
      </c>
      <c r="C247" s="62">
        <v>3429038</v>
      </c>
      <c r="E247" s="72" t="str">
        <f t="shared" si="3"/>
        <v>Gross operating surplus</v>
      </c>
    </row>
    <row r="248" spans="1:5" x14ac:dyDescent="0.35">
      <c r="A248" s="62" t="s">
        <v>1017</v>
      </c>
      <c r="B248" s="64" t="s">
        <v>789</v>
      </c>
      <c r="C248" s="64">
        <v>3684230</v>
      </c>
      <c r="E248" s="72" t="str">
        <f t="shared" si="3"/>
        <v>Real estate</v>
      </c>
    </row>
    <row r="249" spans="1:5" x14ac:dyDescent="0.35">
      <c r="A249" s="62" t="s">
        <v>1018</v>
      </c>
      <c r="B249" s="62" t="s">
        <v>834</v>
      </c>
      <c r="C249" s="62">
        <v>172074</v>
      </c>
      <c r="E249" s="72" t="str">
        <f t="shared" si="3"/>
        <v>Compensation of employees</v>
      </c>
    </row>
    <row r="250" spans="1:5" x14ac:dyDescent="0.35">
      <c r="A250" s="62" t="s">
        <v>1019</v>
      </c>
      <c r="B250" s="62" t="s">
        <v>835</v>
      </c>
      <c r="C250" s="62">
        <v>367940</v>
      </c>
      <c r="E250" s="72" t="str">
        <f t="shared" si="3"/>
        <v>Taxes on production and imports less subsidies</v>
      </c>
    </row>
    <row r="251" spans="1:5" x14ac:dyDescent="0.35">
      <c r="A251" s="62" t="s">
        <v>1020</v>
      </c>
      <c r="B251" s="62" t="s">
        <v>836</v>
      </c>
      <c r="C251" s="62">
        <v>3144216</v>
      </c>
      <c r="E251" s="72" t="str">
        <f t="shared" si="3"/>
        <v>Gross operating surplus</v>
      </c>
    </row>
    <row r="252" spans="1:5" x14ac:dyDescent="0.35">
      <c r="A252" s="62" t="s">
        <v>1021</v>
      </c>
      <c r="B252" s="64" t="s">
        <v>1022</v>
      </c>
      <c r="C252" s="64">
        <v>2853988</v>
      </c>
      <c r="E252" s="72" t="str">
        <f t="shared" si="3"/>
        <v>Housing</v>
      </c>
    </row>
    <row r="253" spans="1:5" x14ac:dyDescent="0.35">
      <c r="A253" s="62" t="s">
        <v>1023</v>
      </c>
      <c r="B253" s="62" t="s">
        <v>1024</v>
      </c>
      <c r="C253" s="62">
        <v>28487</v>
      </c>
      <c r="E253" s="72" t="str">
        <f t="shared" si="3"/>
        <v>Compensation of employees</v>
      </c>
    </row>
    <row r="254" spans="1:5" x14ac:dyDescent="0.35">
      <c r="A254" s="62" t="s">
        <v>1025</v>
      </c>
      <c r="B254" s="62" t="s">
        <v>1026</v>
      </c>
      <c r="C254" s="62">
        <v>327118</v>
      </c>
      <c r="E254" s="72" t="str">
        <f t="shared" si="3"/>
        <v>Taxes on production and imports less subsidies</v>
      </c>
    </row>
    <row r="255" spans="1:5" x14ac:dyDescent="0.35">
      <c r="A255" s="62" t="s">
        <v>1027</v>
      </c>
      <c r="B255" s="62" t="s">
        <v>1028</v>
      </c>
      <c r="C255" s="62">
        <v>2498383</v>
      </c>
      <c r="E255" s="72" t="str">
        <f t="shared" si="3"/>
        <v>Gross operating surplus</v>
      </c>
    </row>
    <row r="256" spans="1:5" x14ac:dyDescent="0.35">
      <c r="A256" s="62" t="s">
        <v>1029</v>
      </c>
      <c r="B256" s="64" t="s">
        <v>1030</v>
      </c>
      <c r="C256" s="64">
        <v>830242</v>
      </c>
      <c r="E256" s="72" t="str">
        <f t="shared" si="3"/>
        <v>Other real estate</v>
      </c>
    </row>
    <row r="257" spans="1:5" x14ac:dyDescent="0.35">
      <c r="A257" s="62" t="s">
        <v>1031</v>
      </c>
      <c r="B257" s="62" t="s">
        <v>1024</v>
      </c>
      <c r="C257" s="62">
        <v>143587</v>
      </c>
      <c r="E257" s="72" t="str">
        <f t="shared" si="3"/>
        <v>Compensation of employees</v>
      </c>
    </row>
    <row r="258" spans="1:5" x14ac:dyDescent="0.35">
      <c r="A258" s="62" t="s">
        <v>1032</v>
      </c>
      <c r="B258" s="62" t="s">
        <v>1026</v>
      </c>
      <c r="C258" s="62">
        <v>40822</v>
      </c>
      <c r="E258" s="72" t="str">
        <f t="shared" si="3"/>
        <v>Taxes on production and imports less subsidies</v>
      </c>
    </row>
    <row r="259" spans="1:5" x14ac:dyDescent="0.35">
      <c r="A259" s="62" t="s">
        <v>1033</v>
      </c>
      <c r="B259" s="62" t="s">
        <v>1028</v>
      </c>
      <c r="C259" s="62">
        <v>645833</v>
      </c>
      <c r="E259" s="72" t="str">
        <f t="shared" si="3"/>
        <v>Gross operating surplus</v>
      </c>
    </row>
    <row r="260" spans="1:5" x14ac:dyDescent="0.35">
      <c r="A260" s="62" t="s">
        <v>1034</v>
      </c>
      <c r="B260" s="64" t="s">
        <v>1035</v>
      </c>
      <c r="C260" s="64">
        <v>368169</v>
      </c>
      <c r="E260" s="72" t="str">
        <f t="shared" si="3"/>
        <v>Rental and leasing services and lessors of intangible assets</v>
      </c>
    </row>
    <row r="261" spans="1:5" x14ac:dyDescent="0.35">
      <c r="A261" s="62" t="s">
        <v>1036</v>
      </c>
      <c r="B261" s="62" t="s">
        <v>834</v>
      </c>
      <c r="C261" s="62">
        <v>51506</v>
      </c>
      <c r="E261" s="72" t="str">
        <f t="shared" si="3"/>
        <v>Compensation of employees</v>
      </c>
    </row>
    <row r="262" spans="1:5" x14ac:dyDescent="0.35">
      <c r="A262" s="62" t="s">
        <v>1037</v>
      </c>
      <c r="B262" s="62" t="s">
        <v>835</v>
      </c>
      <c r="C262" s="62">
        <v>31841</v>
      </c>
      <c r="E262" s="72" t="str">
        <f t="shared" si="3"/>
        <v>Taxes on production and imports less subsidies</v>
      </c>
    </row>
    <row r="263" spans="1:5" x14ac:dyDescent="0.35">
      <c r="A263" s="62" t="s">
        <v>1038</v>
      </c>
      <c r="B263" s="62" t="s">
        <v>836</v>
      </c>
      <c r="C263" s="62">
        <v>284822</v>
      </c>
      <c r="E263" s="72" t="str">
        <f t="shared" si="3"/>
        <v>Gross operating surplus</v>
      </c>
    </row>
    <row r="264" spans="1:5" x14ac:dyDescent="0.35">
      <c r="A264" s="62" t="s">
        <v>1039</v>
      </c>
      <c r="B264" s="64" t="s">
        <v>1040</v>
      </c>
      <c r="C264" s="64">
        <v>3811104</v>
      </c>
      <c r="E264" s="72" t="str">
        <f t="shared" ref="E264:E327" si="4">TRIM(B264)</f>
        <v>Professional and business services</v>
      </c>
    </row>
    <row r="265" spans="1:5" x14ac:dyDescent="0.35">
      <c r="A265" s="62" t="s">
        <v>1041</v>
      </c>
      <c r="B265" s="62" t="s">
        <v>820</v>
      </c>
      <c r="C265" s="62">
        <v>2726576</v>
      </c>
      <c r="E265" s="72" t="str">
        <f t="shared" si="4"/>
        <v>Compensation of employees</v>
      </c>
    </row>
    <row r="266" spans="1:5" x14ac:dyDescent="0.35">
      <c r="A266" s="62" t="s">
        <v>1042</v>
      </c>
      <c r="B266" s="62" t="s">
        <v>821</v>
      </c>
      <c r="C266" s="62">
        <v>93608</v>
      </c>
      <c r="E266" s="72" t="str">
        <f t="shared" si="4"/>
        <v>Taxes on production and imports less subsidies</v>
      </c>
    </row>
    <row r="267" spans="1:5" x14ac:dyDescent="0.35">
      <c r="A267" s="62" t="s">
        <v>1043</v>
      </c>
      <c r="B267" s="62" t="s">
        <v>822</v>
      </c>
      <c r="C267" s="62">
        <v>990920</v>
      </c>
      <c r="E267" s="72" t="str">
        <f t="shared" si="4"/>
        <v>Gross operating surplus</v>
      </c>
    </row>
    <row r="268" spans="1:5" x14ac:dyDescent="0.35">
      <c r="A268" s="62" t="s">
        <v>1044</v>
      </c>
      <c r="B268" s="64" t="s">
        <v>790</v>
      </c>
      <c r="C268" s="64">
        <v>2355069</v>
      </c>
      <c r="E268" s="72" t="str">
        <f t="shared" si="4"/>
        <v>Professional, scientific, and technical services</v>
      </c>
    </row>
    <row r="269" spans="1:5" x14ac:dyDescent="0.35">
      <c r="A269" s="62" t="s">
        <v>1045</v>
      </c>
      <c r="B269" s="62" t="s">
        <v>782</v>
      </c>
      <c r="C269" s="62">
        <v>1606279</v>
      </c>
      <c r="E269" s="72" t="str">
        <f t="shared" si="4"/>
        <v>Compensation of employees</v>
      </c>
    </row>
    <row r="270" spans="1:5" x14ac:dyDescent="0.35">
      <c r="A270" s="62" t="s">
        <v>1046</v>
      </c>
      <c r="B270" s="62" t="s">
        <v>814</v>
      </c>
      <c r="C270" s="62">
        <v>59386</v>
      </c>
      <c r="E270" s="72" t="str">
        <f t="shared" si="4"/>
        <v>Taxes on production and imports less subsidies</v>
      </c>
    </row>
    <row r="271" spans="1:5" x14ac:dyDescent="0.35">
      <c r="A271" s="62" t="s">
        <v>1047</v>
      </c>
      <c r="B271" s="62" t="s">
        <v>815</v>
      </c>
      <c r="C271" s="62">
        <v>689404</v>
      </c>
      <c r="E271" s="72" t="str">
        <f t="shared" si="4"/>
        <v>Gross operating surplus</v>
      </c>
    </row>
    <row r="272" spans="1:5" x14ac:dyDescent="0.35">
      <c r="A272" s="62" t="s">
        <v>1048</v>
      </c>
      <c r="B272" s="64" t="s">
        <v>791</v>
      </c>
      <c r="C272" s="64">
        <v>387719</v>
      </c>
      <c r="E272" s="72" t="str">
        <f t="shared" si="4"/>
        <v>Legal services</v>
      </c>
    </row>
    <row r="273" spans="1:5" x14ac:dyDescent="0.35">
      <c r="A273" s="62" t="s">
        <v>1049</v>
      </c>
      <c r="B273" s="62" t="s">
        <v>834</v>
      </c>
      <c r="C273" s="62">
        <v>188351</v>
      </c>
      <c r="E273" s="72" t="str">
        <f t="shared" si="4"/>
        <v>Compensation of employees</v>
      </c>
    </row>
    <row r="274" spans="1:5" x14ac:dyDescent="0.35">
      <c r="A274" s="62" t="s">
        <v>1050</v>
      </c>
      <c r="B274" s="62" t="s">
        <v>835</v>
      </c>
      <c r="C274" s="62">
        <v>23296</v>
      </c>
      <c r="E274" s="72" t="str">
        <f t="shared" si="4"/>
        <v>Taxes on production and imports less subsidies</v>
      </c>
    </row>
    <row r="275" spans="1:5" x14ac:dyDescent="0.35">
      <c r="A275" s="62" t="s">
        <v>1051</v>
      </c>
      <c r="B275" s="62" t="s">
        <v>836</v>
      </c>
      <c r="C275" s="62">
        <v>176072</v>
      </c>
      <c r="E275" s="72" t="str">
        <f t="shared" si="4"/>
        <v>Gross operating surplus</v>
      </c>
    </row>
    <row r="276" spans="1:5" x14ac:dyDescent="0.35">
      <c r="A276" s="62" t="s">
        <v>1052</v>
      </c>
      <c r="B276" s="64" t="s">
        <v>792</v>
      </c>
      <c r="C276" s="64">
        <v>522249</v>
      </c>
      <c r="E276" s="72" t="str">
        <f t="shared" si="4"/>
        <v>Computer systems design and related services</v>
      </c>
    </row>
    <row r="277" spans="1:5" x14ac:dyDescent="0.35">
      <c r="A277" s="62" t="s">
        <v>1053</v>
      </c>
      <c r="B277" s="62" t="s">
        <v>834</v>
      </c>
      <c r="C277" s="62">
        <v>445176</v>
      </c>
      <c r="E277" s="72" t="str">
        <f t="shared" si="4"/>
        <v>Compensation of employees</v>
      </c>
    </row>
    <row r="278" spans="1:5" x14ac:dyDescent="0.35">
      <c r="A278" s="62" t="s">
        <v>1054</v>
      </c>
      <c r="B278" s="62" t="s">
        <v>835</v>
      </c>
      <c r="C278" s="62">
        <v>12128</v>
      </c>
      <c r="E278" s="72" t="str">
        <f t="shared" si="4"/>
        <v>Taxes on production and imports less subsidies</v>
      </c>
    </row>
    <row r="279" spans="1:5" x14ac:dyDescent="0.35">
      <c r="A279" s="62" t="s">
        <v>1055</v>
      </c>
      <c r="B279" s="62" t="s">
        <v>836</v>
      </c>
      <c r="C279" s="62">
        <v>64945</v>
      </c>
      <c r="E279" s="72" t="str">
        <f t="shared" si="4"/>
        <v>Gross operating surplus</v>
      </c>
    </row>
    <row r="280" spans="1:5" x14ac:dyDescent="0.35">
      <c r="A280" s="62" t="s">
        <v>1056</v>
      </c>
      <c r="B280" s="64" t="s">
        <v>1057</v>
      </c>
      <c r="C280" s="64">
        <v>1445101</v>
      </c>
      <c r="E280" s="72" t="str">
        <f t="shared" si="4"/>
        <v>Miscellaneous professional, scientific, and technical services</v>
      </c>
    </row>
    <row r="281" spans="1:5" x14ac:dyDescent="0.35">
      <c r="A281" s="62" t="s">
        <v>1058</v>
      </c>
      <c r="B281" s="62" t="s">
        <v>834</v>
      </c>
      <c r="C281" s="62">
        <v>972752</v>
      </c>
      <c r="E281" s="72" t="str">
        <f t="shared" si="4"/>
        <v>Compensation of employees</v>
      </c>
    </row>
    <row r="282" spans="1:5" x14ac:dyDescent="0.35">
      <c r="A282" s="62" t="s">
        <v>1059</v>
      </c>
      <c r="B282" s="62" t="s">
        <v>835</v>
      </c>
      <c r="C282" s="62">
        <v>23961</v>
      </c>
      <c r="E282" s="72" t="str">
        <f t="shared" si="4"/>
        <v>Taxes on production and imports less subsidies</v>
      </c>
    </row>
    <row r="283" spans="1:5" x14ac:dyDescent="0.35">
      <c r="A283" s="62" t="s">
        <v>1060</v>
      </c>
      <c r="B283" s="62" t="s">
        <v>836</v>
      </c>
      <c r="C283" s="62">
        <v>448387</v>
      </c>
      <c r="E283" s="72" t="str">
        <f t="shared" si="4"/>
        <v>Gross operating surplus</v>
      </c>
    </row>
    <row r="284" spans="1:5" x14ac:dyDescent="0.35">
      <c r="A284" s="62" t="s">
        <v>1061</v>
      </c>
      <c r="B284" s="64" t="s">
        <v>1062</v>
      </c>
      <c r="C284" s="64">
        <v>544333</v>
      </c>
      <c r="E284" s="72" t="str">
        <f t="shared" si="4"/>
        <v>Management of companies and enterprises</v>
      </c>
    </row>
    <row r="285" spans="1:5" x14ac:dyDescent="0.35">
      <c r="A285" s="62" t="s">
        <v>1063</v>
      </c>
      <c r="B285" s="62" t="s">
        <v>782</v>
      </c>
      <c r="C285" s="62">
        <v>482843</v>
      </c>
      <c r="E285" s="72" t="str">
        <f t="shared" si="4"/>
        <v>Compensation of employees</v>
      </c>
    </row>
    <row r="286" spans="1:5" x14ac:dyDescent="0.35">
      <c r="A286" s="62" t="s">
        <v>1064</v>
      </c>
      <c r="B286" s="62" t="s">
        <v>814</v>
      </c>
      <c r="C286" s="62">
        <v>12879</v>
      </c>
      <c r="E286" s="72" t="str">
        <f t="shared" si="4"/>
        <v>Taxes on production and imports less subsidies</v>
      </c>
    </row>
    <row r="287" spans="1:5" x14ac:dyDescent="0.35">
      <c r="A287" s="62" t="s">
        <v>1065</v>
      </c>
      <c r="B287" s="62" t="s">
        <v>815</v>
      </c>
      <c r="C287" s="62">
        <v>48611</v>
      </c>
      <c r="E287" s="72" t="str">
        <f t="shared" si="4"/>
        <v>Gross operating surplus</v>
      </c>
    </row>
    <row r="288" spans="1:5" x14ac:dyDescent="0.35">
      <c r="A288" s="62" t="s">
        <v>1066</v>
      </c>
      <c r="B288" s="64" t="s">
        <v>793</v>
      </c>
      <c r="C288" s="64">
        <v>911703</v>
      </c>
      <c r="E288" s="72" t="str">
        <f t="shared" si="4"/>
        <v>Administrative and waste management services</v>
      </c>
    </row>
    <row r="289" spans="1:5" x14ac:dyDescent="0.35">
      <c r="A289" s="62" t="s">
        <v>1067</v>
      </c>
      <c r="B289" s="62" t="s">
        <v>782</v>
      </c>
      <c r="C289" s="62">
        <v>637453</v>
      </c>
      <c r="E289" s="72" t="str">
        <f t="shared" si="4"/>
        <v>Compensation of employees</v>
      </c>
    </row>
    <row r="290" spans="1:5" x14ac:dyDescent="0.35">
      <c r="A290" s="62" t="s">
        <v>1068</v>
      </c>
      <c r="B290" s="62" t="s">
        <v>814</v>
      </c>
      <c r="C290" s="62">
        <v>21344</v>
      </c>
      <c r="E290" s="72" t="str">
        <f t="shared" si="4"/>
        <v>Taxes on production and imports less subsidies</v>
      </c>
    </row>
    <row r="291" spans="1:5" x14ac:dyDescent="0.35">
      <c r="A291" s="62" t="s">
        <v>1069</v>
      </c>
      <c r="B291" s="62" t="s">
        <v>815</v>
      </c>
      <c r="C291" s="62">
        <v>252905</v>
      </c>
      <c r="E291" s="72" t="str">
        <f t="shared" si="4"/>
        <v>Gross operating surplus</v>
      </c>
    </row>
    <row r="292" spans="1:5" x14ac:dyDescent="0.35">
      <c r="A292" s="62" t="s">
        <v>1070</v>
      </c>
      <c r="B292" s="64" t="s">
        <v>794</v>
      </c>
      <c r="C292" s="64">
        <v>823102</v>
      </c>
      <c r="E292" s="72" t="str">
        <f t="shared" si="4"/>
        <v>Administrative and support services</v>
      </c>
    </row>
    <row r="293" spans="1:5" x14ac:dyDescent="0.35">
      <c r="A293" s="62" t="s">
        <v>1071</v>
      </c>
      <c r="B293" s="62" t="s">
        <v>834</v>
      </c>
      <c r="C293" s="62">
        <v>587967</v>
      </c>
      <c r="E293" s="72" t="str">
        <f t="shared" si="4"/>
        <v>Compensation of employees</v>
      </c>
    </row>
    <row r="294" spans="1:5" x14ac:dyDescent="0.35">
      <c r="A294" s="62" t="s">
        <v>1072</v>
      </c>
      <c r="B294" s="62" t="s">
        <v>835</v>
      </c>
      <c r="C294" s="62">
        <v>15842</v>
      </c>
      <c r="E294" s="72" t="str">
        <f t="shared" si="4"/>
        <v>Taxes on production and imports less subsidies</v>
      </c>
    </row>
    <row r="295" spans="1:5" x14ac:dyDescent="0.35">
      <c r="A295" s="62" t="s">
        <v>1073</v>
      </c>
      <c r="B295" s="62" t="s">
        <v>836</v>
      </c>
      <c r="C295" s="62">
        <v>219292</v>
      </c>
      <c r="E295" s="72" t="str">
        <f t="shared" si="4"/>
        <v>Gross operating surplus</v>
      </c>
    </row>
    <row r="296" spans="1:5" x14ac:dyDescent="0.35">
      <c r="A296" s="62" t="s">
        <v>1074</v>
      </c>
      <c r="B296" s="64" t="s">
        <v>795</v>
      </c>
      <c r="C296" s="64">
        <v>88601</v>
      </c>
      <c r="E296" s="72" t="str">
        <f t="shared" si="4"/>
        <v>Waste management and remediation services</v>
      </c>
    </row>
    <row r="297" spans="1:5" x14ac:dyDescent="0.35">
      <c r="A297" s="62" t="s">
        <v>1075</v>
      </c>
      <c r="B297" s="62" t="s">
        <v>834</v>
      </c>
      <c r="C297" s="62">
        <v>49486</v>
      </c>
      <c r="E297" s="72" t="str">
        <f t="shared" si="4"/>
        <v>Compensation of employees</v>
      </c>
    </row>
    <row r="298" spans="1:5" x14ac:dyDescent="0.35">
      <c r="A298" s="62" t="s">
        <v>1076</v>
      </c>
      <c r="B298" s="62" t="s">
        <v>835</v>
      </c>
      <c r="C298" s="62">
        <v>5501</v>
      </c>
      <c r="E298" s="72" t="str">
        <f t="shared" si="4"/>
        <v>Taxes on production and imports less subsidies</v>
      </c>
    </row>
    <row r="299" spans="1:5" x14ac:dyDescent="0.35">
      <c r="A299" s="62" t="s">
        <v>1077</v>
      </c>
      <c r="B299" s="62" t="s">
        <v>836</v>
      </c>
      <c r="C299" s="62">
        <v>33613</v>
      </c>
      <c r="E299" s="72" t="str">
        <f t="shared" si="4"/>
        <v>Gross operating surplus</v>
      </c>
    </row>
    <row r="300" spans="1:5" x14ac:dyDescent="0.35">
      <c r="A300" s="62" t="s">
        <v>1078</v>
      </c>
      <c r="B300" s="64" t="s">
        <v>1079</v>
      </c>
      <c r="C300" s="64">
        <v>2544166</v>
      </c>
      <c r="E300" s="72" t="str">
        <f t="shared" si="4"/>
        <v>Educational services, health care, and social assistance</v>
      </c>
    </row>
    <row r="301" spans="1:5" x14ac:dyDescent="0.35">
      <c r="A301" s="62" t="s">
        <v>1080</v>
      </c>
      <c r="B301" s="62" t="s">
        <v>820</v>
      </c>
      <c r="C301" s="62">
        <v>2039440</v>
      </c>
      <c r="E301" s="72" t="str">
        <f t="shared" si="4"/>
        <v>Compensation of employees</v>
      </c>
    </row>
    <row r="302" spans="1:5" x14ac:dyDescent="0.35">
      <c r="A302" s="62" t="s">
        <v>1081</v>
      </c>
      <c r="B302" s="62" t="s">
        <v>821</v>
      </c>
      <c r="C302" s="62">
        <v>57305</v>
      </c>
      <c r="E302" s="72" t="str">
        <f t="shared" si="4"/>
        <v>Taxes on production and imports less subsidies</v>
      </c>
    </row>
    <row r="303" spans="1:5" x14ac:dyDescent="0.35">
      <c r="A303" s="62" t="s">
        <v>1082</v>
      </c>
      <c r="B303" s="62" t="s">
        <v>822</v>
      </c>
      <c r="C303" s="62">
        <v>447422</v>
      </c>
      <c r="E303" s="72" t="str">
        <f t="shared" si="4"/>
        <v>Gross operating surplus</v>
      </c>
    </row>
    <row r="304" spans="1:5" x14ac:dyDescent="0.35">
      <c r="A304" s="62" t="s">
        <v>1083</v>
      </c>
      <c r="B304" s="64" t="s">
        <v>796</v>
      </c>
      <c r="C304" s="64">
        <v>334785</v>
      </c>
      <c r="E304" s="72" t="str">
        <f t="shared" si="4"/>
        <v>Educational services</v>
      </c>
    </row>
    <row r="305" spans="1:5" x14ac:dyDescent="0.35">
      <c r="A305" s="62" t="s">
        <v>1084</v>
      </c>
      <c r="B305" s="62" t="s">
        <v>782</v>
      </c>
      <c r="C305" s="62">
        <v>268002</v>
      </c>
      <c r="E305" s="72" t="str">
        <f t="shared" si="4"/>
        <v>Compensation of employees</v>
      </c>
    </row>
    <row r="306" spans="1:5" x14ac:dyDescent="0.35">
      <c r="A306" s="62" t="s">
        <v>1085</v>
      </c>
      <c r="B306" s="62" t="s">
        <v>814</v>
      </c>
      <c r="C306" s="62">
        <v>13386</v>
      </c>
      <c r="E306" s="72" t="str">
        <f t="shared" si="4"/>
        <v>Taxes on production and imports less subsidies</v>
      </c>
    </row>
    <row r="307" spans="1:5" x14ac:dyDescent="0.35">
      <c r="A307" s="62" t="s">
        <v>1086</v>
      </c>
      <c r="B307" s="62" t="s">
        <v>815</v>
      </c>
      <c r="C307" s="62">
        <v>53397</v>
      </c>
      <c r="E307" s="72" t="str">
        <f t="shared" si="4"/>
        <v>Gross operating surplus</v>
      </c>
    </row>
    <row r="308" spans="1:5" x14ac:dyDescent="0.35">
      <c r="A308" s="62" t="s">
        <v>1087</v>
      </c>
      <c r="B308" s="64" t="s">
        <v>797</v>
      </c>
      <c r="C308" s="64">
        <v>2209381</v>
      </c>
      <c r="E308" s="72" t="str">
        <f t="shared" si="4"/>
        <v>Health care and social assistance</v>
      </c>
    </row>
    <row r="309" spans="1:5" x14ac:dyDescent="0.35">
      <c r="A309" s="62" t="s">
        <v>1088</v>
      </c>
      <c r="B309" s="62" t="s">
        <v>782</v>
      </c>
      <c r="C309" s="62">
        <v>1771438</v>
      </c>
      <c r="E309" s="72" t="str">
        <f t="shared" si="4"/>
        <v>Compensation of employees</v>
      </c>
    </row>
    <row r="310" spans="1:5" x14ac:dyDescent="0.35">
      <c r="A310" s="62" t="s">
        <v>1089</v>
      </c>
      <c r="B310" s="62" t="s">
        <v>814</v>
      </c>
      <c r="C310" s="62">
        <v>43919</v>
      </c>
      <c r="E310" s="72" t="str">
        <f t="shared" si="4"/>
        <v>Taxes on production and imports less subsidies</v>
      </c>
    </row>
    <row r="311" spans="1:5" x14ac:dyDescent="0.35">
      <c r="A311" s="62" t="s">
        <v>1090</v>
      </c>
      <c r="B311" s="62" t="s">
        <v>815</v>
      </c>
      <c r="C311" s="62">
        <v>394025</v>
      </c>
      <c r="E311" s="72" t="str">
        <f t="shared" si="4"/>
        <v>Gross operating surplus</v>
      </c>
    </row>
    <row r="312" spans="1:5" x14ac:dyDescent="0.35">
      <c r="A312" s="62" t="s">
        <v>1091</v>
      </c>
      <c r="B312" s="64" t="s">
        <v>798</v>
      </c>
      <c r="C312" s="64">
        <v>1078954</v>
      </c>
      <c r="E312" s="72" t="str">
        <f t="shared" si="4"/>
        <v>Ambulatory health care services</v>
      </c>
    </row>
    <row r="313" spans="1:5" x14ac:dyDescent="0.35">
      <c r="A313" s="62" t="s">
        <v>1092</v>
      </c>
      <c r="B313" s="62" t="s">
        <v>834</v>
      </c>
      <c r="C313" s="62">
        <v>816417</v>
      </c>
      <c r="E313" s="72" t="str">
        <f t="shared" si="4"/>
        <v>Compensation of employees</v>
      </c>
    </row>
    <row r="314" spans="1:5" x14ac:dyDescent="0.35">
      <c r="A314" s="62" t="s">
        <v>1093</v>
      </c>
      <c r="B314" s="62" t="s">
        <v>835</v>
      </c>
      <c r="C314" s="62">
        <v>13314</v>
      </c>
      <c r="E314" s="72" t="str">
        <f t="shared" si="4"/>
        <v>Taxes on production and imports less subsidies</v>
      </c>
    </row>
    <row r="315" spans="1:5" x14ac:dyDescent="0.35">
      <c r="A315" s="62" t="s">
        <v>1094</v>
      </c>
      <c r="B315" s="62" t="s">
        <v>836</v>
      </c>
      <c r="C315" s="62">
        <v>249222</v>
      </c>
      <c r="E315" s="72" t="str">
        <f t="shared" si="4"/>
        <v>Gross operating surplus</v>
      </c>
    </row>
    <row r="316" spans="1:5" x14ac:dyDescent="0.35">
      <c r="A316" s="62" t="s">
        <v>1095</v>
      </c>
      <c r="B316" s="64" t="s">
        <v>799</v>
      </c>
      <c r="C316" s="64">
        <v>691481</v>
      </c>
      <c r="E316" s="72" t="str">
        <f t="shared" si="4"/>
        <v>Hospitals</v>
      </c>
    </row>
    <row r="317" spans="1:5" x14ac:dyDescent="0.35">
      <c r="A317" s="62" t="s">
        <v>1096</v>
      </c>
      <c r="B317" s="62" t="s">
        <v>834</v>
      </c>
      <c r="C317" s="62">
        <v>561566</v>
      </c>
      <c r="E317" s="72" t="str">
        <f t="shared" si="4"/>
        <v>Compensation of employees</v>
      </c>
    </row>
    <row r="318" spans="1:5" x14ac:dyDescent="0.35">
      <c r="A318" s="62" t="s">
        <v>1097</v>
      </c>
      <c r="B318" s="62" t="s">
        <v>835</v>
      </c>
      <c r="C318" s="62">
        <v>21070</v>
      </c>
      <c r="E318" s="72" t="str">
        <f t="shared" si="4"/>
        <v>Taxes on production and imports less subsidies</v>
      </c>
    </row>
    <row r="319" spans="1:5" x14ac:dyDescent="0.35">
      <c r="A319" s="62" t="s">
        <v>1098</v>
      </c>
      <c r="B319" s="62" t="s">
        <v>836</v>
      </c>
      <c r="C319" s="62">
        <v>108844</v>
      </c>
      <c r="E319" s="72" t="str">
        <f t="shared" si="4"/>
        <v>Gross operating surplus</v>
      </c>
    </row>
    <row r="320" spans="1:5" x14ac:dyDescent="0.35">
      <c r="A320" s="62" t="s">
        <v>1099</v>
      </c>
      <c r="B320" s="64" t="s">
        <v>800</v>
      </c>
      <c r="C320" s="64">
        <v>212314</v>
      </c>
      <c r="E320" s="72" t="str">
        <f t="shared" si="4"/>
        <v>Nursing and residential care facilities</v>
      </c>
    </row>
    <row r="321" spans="1:5" x14ac:dyDescent="0.35">
      <c r="A321" s="62" t="s">
        <v>1100</v>
      </c>
      <c r="B321" s="62" t="s">
        <v>834</v>
      </c>
      <c r="C321" s="62">
        <v>188682</v>
      </c>
      <c r="E321" s="72" t="str">
        <f t="shared" si="4"/>
        <v>Compensation of employees</v>
      </c>
    </row>
    <row r="322" spans="1:5" x14ac:dyDescent="0.35">
      <c r="A322" s="62" t="s">
        <v>1101</v>
      </c>
      <c r="B322" s="62" t="s">
        <v>835</v>
      </c>
      <c r="C322" s="62">
        <v>9511</v>
      </c>
      <c r="E322" s="72" t="str">
        <f t="shared" si="4"/>
        <v>Taxes on production and imports less subsidies</v>
      </c>
    </row>
    <row r="323" spans="1:5" x14ac:dyDescent="0.35">
      <c r="A323" s="62" t="s">
        <v>1102</v>
      </c>
      <c r="B323" s="62" t="s">
        <v>836</v>
      </c>
      <c r="C323" s="62">
        <v>14121</v>
      </c>
      <c r="E323" s="72" t="str">
        <f t="shared" si="4"/>
        <v>Gross operating surplus</v>
      </c>
    </row>
    <row r="324" spans="1:5" x14ac:dyDescent="0.35">
      <c r="A324" s="62" t="s">
        <v>1103</v>
      </c>
      <c r="B324" s="64" t="s">
        <v>801</v>
      </c>
      <c r="C324" s="64">
        <v>226633</v>
      </c>
      <c r="E324" s="72" t="str">
        <f t="shared" si="4"/>
        <v>Social assistance</v>
      </c>
    </row>
    <row r="325" spans="1:5" x14ac:dyDescent="0.35">
      <c r="A325" s="62" t="s">
        <v>1104</v>
      </c>
      <c r="B325" s="62" t="s">
        <v>834</v>
      </c>
      <c r="C325" s="62">
        <v>204772</v>
      </c>
      <c r="E325" s="72" t="str">
        <f t="shared" si="4"/>
        <v>Compensation of employees</v>
      </c>
    </row>
    <row r="326" spans="1:5" x14ac:dyDescent="0.35">
      <c r="A326" s="62" t="s">
        <v>1105</v>
      </c>
      <c r="B326" s="62" t="s">
        <v>835</v>
      </c>
      <c r="C326" s="62">
        <v>24</v>
      </c>
      <c r="E326" s="72" t="str">
        <f t="shared" si="4"/>
        <v>Taxes on production and imports less subsidies</v>
      </c>
    </row>
    <row r="327" spans="1:5" x14ac:dyDescent="0.35">
      <c r="A327" s="62" t="s">
        <v>1106</v>
      </c>
      <c r="B327" s="62" t="s">
        <v>836</v>
      </c>
      <c r="C327" s="62">
        <v>21837</v>
      </c>
      <c r="E327" s="72" t="str">
        <f t="shared" si="4"/>
        <v>Gross operating surplus</v>
      </c>
    </row>
    <row r="328" spans="1:5" x14ac:dyDescent="0.35">
      <c r="A328" s="62" t="s">
        <v>1107</v>
      </c>
      <c r="B328" s="64" t="s">
        <v>1108</v>
      </c>
      <c r="C328" s="64">
        <v>1287121</v>
      </c>
      <c r="E328" s="72" t="str">
        <f t="shared" ref="E328:E391" si="5">TRIM(B328)</f>
        <v>Arts, entertainment, recreation, accommodation, and food services</v>
      </c>
    </row>
    <row r="329" spans="1:5" x14ac:dyDescent="0.35">
      <c r="A329" s="62" t="s">
        <v>1109</v>
      </c>
      <c r="B329" s="62" t="s">
        <v>820</v>
      </c>
      <c r="C329" s="62">
        <v>737085</v>
      </c>
      <c r="E329" s="72" t="str">
        <f t="shared" si="5"/>
        <v>Compensation of employees</v>
      </c>
    </row>
    <row r="330" spans="1:5" x14ac:dyDescent="0.35">
      <c r="A330" s="62" t="s">
        <v>1110</v>
      </c>
      <c r="B330" s="62" t="s">
        <v>821</v>
      </c>
      <c r="C330" s="62">
        <v>175157</v>
      </c>
      <c r="E330" s="72" t="str">
        <f t="shared" si="5"/>
        <v>Taxes on production and imports less subsidies</v>
      </c>
    </row>
    <row r="331" spans="1:5" x14ac:dyDescent="0.35">
      <c r="A331" s="62" t="s">
        <v>1111</v>
      </c>
      <c r="B331" s="62" t="s">
        <v>822</v>
      </c>
      <c r="C331" s="62">
        <v>374880</v>
      </c>
      <c r="E331" s="72" t="str">
        <f t="shared" si="5"/>
        <v>Gross operating surplus</v>
      </c>
    </row>
    <row r="332" spans="1:5" x14ac:dyDescent="0.35">
      <c r="A332" s="62" t="s">
        <v>1112</v>
      </c>
      <c r="B332" s="64" t="s">
        <v>802</v>
      </c>
      <c r="C332" s="64">
        <v>326765</v>
      </c>
      <c r="E332" s="72" t="str">
        <f t="shared" si="5"/>
        <v>Arts, entertainment, and recreation</v>
      </c>
    </row>
    <row r="333" spans="1:5" x14ac:dyDescent="0.35">
      <c r="A333" s="62" t="s">
        <v>1113</v>
      </c>
      <c r="B333" s="62" t="s">
        <v>782</v>
      </c>
      <c r="C333" s="62">
        <v>170175</v>
      </c>
      <c r="E333" s="72" t="str">
        <f t="shared" si="5"/>
        <v>Compensation of employees</v>
      </c>
    </row>
    <row r="334" spans="1:5" x14ac:dyDescent="0.35">
      <c r="A334" s="62" t="s">
        <v>1114</v>
      </c>
      <c r="B334" s="62" t="s">
        <v>814</v>
      </c>
      <c r="C334" s="62">
        <v>38879</v>
      </c>
      <c r="E334" s="72" t="str">
        <f t="shared" si="5"/>
        <v>Taxes on production and imports less subsidies</v>
      </c>
    </row>
    <row r="335" spans="1:5" x14ac:dyDescent="0.35">
      <c r="A335" s="62" t="s">
        <v>1115</v>
      </c>
      <c r="B335" s="62" t="s">
        <v>815</v>
      </c>
      <c r="C335" s="62">
        <v>117712</v>
      </c>
      <c r="E335" s="72" t="str">
        <f t="shared" si="5"/>
        <v>Gross operating surplus</v>
      </c>
    </row>
    <row r="336" spans="1:5" x14ac:dyDescent="0.35">
      <c r="A336" s="62" t="s">
        <v>1116</v>
      </c>
      <c r="B336" s="64" t="s">
        <v>803</v>
      </c>
      <c r="C336" s="64">
        <v>190761</v>
      </c>
      <c r="E336" s="72" t="str">
        <f t="shared" si="5"/>
        <v>Performing arts, spectator sports, museums, and related activities</v>
      </c>
    </row>
    <row r="337" spans="1:5" x14ac:dyDescent="0.35">
      <c r="A337" s="62" t="s">
        <v>1117</v>
      </c>
      <c r="B337" s="62" t="s">
        <v>834</v>
      </c>
      <c r="C337" s="62">
        <v>88859</v>
      </c>
      <c r="E337" s="72" t="str">
        <f t="shared" si="5"/>
        <v>Compensation of employees</v>
      </c>
    </row>
    <row r="338" spans="1:5" x14ac:dyDescent="0.35">
      <c r="A338" s="62" t="s">
        <v>1118</v>
      </c>
      <c r="B338" s="62" t="s">
        <v>835</v>
      </c>
      <c r="C338" s="62">
        <v>10595</v>
      </c>
      <c r="E338" s="72" t="str">
        <f t="shared" si="5"/>
        <v>Taxes on production and imports less subsidies</v>
      </c>
    </row>
    <row r="339" spans="1:5" x14ac:dyDescent="0.35">
      <c r="A339" s="62" t="s">
        <v>1119</v>
      </c>
      <c r="B339" s="62" t="s">
        <v>836</v>
      </c>
      <c r="C339" s="62">
        <v>91307</v>
      </c>
      <c r="E339" s="72" t="str">
        <f t="shared" si="5"/>
        <v>Gross operating surplus</v>
      </c>
    </row>
    <row r="340" spans="1:5" x14ac:dyDescent="0.35">
      <c r="A340" s="62" t="s">
        <v>1120</v>
      </c>
      <c r="B340" s="64" t="s">
        <v>804</v>
      </c>
      <c r="C340" s="64">
        <v>136004</v>
      </c>
      <c r="E340" s="72" t="str">
        <f t="shared" si="5"/>
        <v>Amusements, gambling, and recreation industries</v>
      </c>
    </row>
    <row r="341" spans="1:5" x14ac:dyDescent="0.35">
      <c r="A341" s="62" t="s">
        <v>1121</v>
      </c>
      <c r="B341" s="62" t="s">
        <v>834</v>
      </c>
      <c r="C341" s="62">
        <v>81316</v>
      </c>
      <c r="E341" s="72" t="str">
        <f t="shared" si="5"/>
        <v>Compensation of employees</v>
      </c>
    </row>
    <row r="342" spans="1:5" x14ac:dyDescent="0.35">
      <c r="A342" s="62" t="s">
        <v>1122</v>
      </c>
      <c r="B342" s="62" t="s">
        <v>835</v>
      </c>
      <c r="C342" s="62">
        <v>28284</v>
      </c>
      <c r="E342" s="72" t="str">
        <f t="shared" si="5"/>
        <v>Taxes on production and imports less subsidies</v>
      </c>
    </row>
    <row r="343" spans="1:5" x14ac:dyDescent="0.35">
      <c r="A343" s="62" t="s">
        <v>1123</v>
      </c>
      <c r="B343" s="62" t="s">
        <v>836</v>
      </c>
      <c r="C343" s="62">
        <v>26404</v>
      </c>
      <c r="E343" s="72" t="str">
        <f t="shared" si="5"/>
        <v>Gross operating surplus</v>
      </c>
    </row>
    <row r="344" spans="1:5" x14ac:dyDescent="0.35">
      <c r="A344" s="62" t="s">
        <v>1124</v>
      </c>
      <c r="B344" s="64" t="s">
        <v>805</v>
      </c>
      <c r="C344" s="64">
        <v>960356</v>
      </c>
      <c r="E344" s="72" t="str">
        <f t="shared" si="5"/>
        <v>Accommodation and food services</v>
      </c>
    </row>
    <row r="345" spans="1:5" x14ac:dyDescent="0.35">
      <c r="A345" s="62" t="s">
        <v>1125</v>
      </c>
      <c r="B345" s="62" t="s">
        <v>782</v>
      </c>
      <c r="C345" s="62">
        <v>566910</v>
      </c>
      <c r="E345" s="72" t="str">
        <f t="shared" si="5"/>
        <v>Compensation of employees</v>
      </c>
    </row>
    <row r="346" spans="1:5" x14ac:dyDescent="0.35">
      <c r="A346" s="62" t="s">
        <v>1126</v>
      </c>
      <c r="B346" s="62" t="s">
        <v>814</v>
      </c>
      <c r="C346" s="62">
        <v>136278</v>
      </c>
      <c r="E346" s="72" t="str">
        <f t="shared" si="5"/>
        <v>Taxes on production and imports less subsidies</v>
      </c>
    </row>
    <row r="347" spans="1:5" x14ac:dyDescent="0.35">
      <c r="A347" s="62" t="s">
        <v>1127</v>
      </c>
      <c r="B347" s="62" t="s">
        <v>815</v>
      </c>
      <c r="C347" s="62">
        <v>257168</v>
      </c>
      <c r="E347" s="72" t="str">
        <f t="shared" si="5"/>
        <v>Gross operating surplus</v>
      </c>
    </row>
    <row r="348" spans="1:5" x14ac:dyDescent="0.35">
      <c r="A348" s="62" t="s">
        <v>1128</v>
      </c>
      <c r="B348" s="64" t="s">
        <v>806</v>
      </c>
      <c r="C348" s="64">
        <v>257248</v>
      </c>
      <c r="E348" s="72" t="str">
        <f t="shared" si="5"/>
        <v>Accommodation</v>
      </c>
    </row>
    <row r="349" spans="1:5" x14ac:dyDescent="0.35">
      <c r="A349" s="62" t="s">
        <v>1129</v>
      </c>
      <c r="B349" s="62" t="s">
        <v>834</v>
      </c>
      <c r="C349" s="62">
        <v>108160</v>
      </c>
      <c r="E349" s="72" t="str">
        <f t="shared" si="5"/>
        <v>Compensation of employees</v>
      </c>
    </row>
    <row r="350" spans="1:5" x14ac:dyDescent="0.35">
      <c r="A350" s="62" t="s">
        <v>1130</v>
      </c>
      <c r="B350" s="62" t="s">
        <v>835</v>
      </c>
      <c r="C350" s="62">
        <v>47232</v>
      </c>
      <c r="E350" s="72" t="str">
        <f t="shared" si="5"/>
        <v>Taxes on production and imports less subsidies</v>
      </c>
    </row>
    <row r="351" spans="1:5" x14ac:dyDescent="0.35">
      <c r="A351" s="62" t="s">
        <v>1131</v>
      </c>
      <c r="B351" s="62" t="s">
        <v>836</v>
      </c>
      <c r="C351" s="62">
        <v>101857</v>
      </c>
      <c r="E351" s="72" t="str">
        <f t="shared" si="5"/>
        <v>Gross operating surplus</v>
      </c>
    </row>
    <row r="352" spans="1:5" x14ac:dyDescent="0.35">
      <c r="A352" s="62" t="s">
        <v>1132</v>
      </c>
      <c r="B352" s="64" t="s">
        <v>807</v>
      </c>
      <c r="C352" s="64">
        <v>703108</v>
      </c>
      <c r="E352" s="72" t="str">
        <f t="shared" si="5"/>
        <v>Food services and drinking places</v>
      </c>
    </row>
    <row r="353" spans="1:5" x14ac:dyDescent="0.35">
      <c r="A353" s="62" t="s">
        <v>1133</v>
      </c>
      <c r="B353" s="62" t="s">
        <v>834</v>
      </c>
      <c r="C353" s="62">
        <v>458750</v>
      </c>
      <c r="E353" s="72" t="str">
        <f t="shared" si="5"/>
        <v>Compensation of employees</v>
      </c>
    </row>
    <row r="354" spans="1:5" x14ac:dyDescent="0.35">
      <c r="A354" s="62" t="s">
        <v>1134</v>
      </c>
      <c r="B354" s="62" t="s">
        <v>835</v>
      </c>
      <c r="C354" s="62">
        <v>89045</v>
      </c>
      <c r="E354" s="72" t="str">
        <f t="shared" si="5"/>
        <v>Taxes on production and imports less subsidies</v>
      </c>
    </row>
    <row r="355" spans="1:5" x14ac:dyDescent="0.35">
      <c r="A355" s="62" t="s">
        <v>1135</v>
      </c>
      <c r="B355" s="62" t="s">
        <v>836</v>
      </c>
      <c r="C355" s="62">
        <v>155312</v>
      </c>
      <c r="E355" s="72" t="str">
        <f t="shared" si="5"/>
        <v>Gross operating surplus</v>
      </c>
    </row>
    <row r="356" spans="1:5" x14ac:dyDescent="0.35">
      <c r="A356" s="62" t="s">
        <v>1136</v>
      </c>
      <c r="B356" s="64" t="s">
        <v>1137</v>
      </c>
      <c r="C356" s="64">
        <v>627985</v>
      </c>
      <c r="E356" s="72" t="str">
        <f t="shared" si="5"/>
        <v>Other services, except government</v>
      </c>
    </row>
    <row r="357" spans="1:5" x14ac:dyDescent="0.35">
      <c r="A357" s="62" t="s">
        <v>1138</v>
      </c>
      <c r="B357" s="62" t="s">
        <v>820</v>
      </c>
      <c r="C357" s="62">
        <v>437654</v>
      </c>
      <c r="E357" s="72" t="str">
        <f t="shared" si="5"/>
        <v>Compensation of employees</v>
      </c>
    </row>
    <row r="358" spans="1:5" x14ac:dyDescent="0.35">
      <c r="A358" s="62" t="s">
        <v>1139</v>
      </c>
      <c r="B358" s="62" t="s">
        <v>821</v>
      </c>
      <c r="C358" s="62">
        <v>35764</v>
      </c>
      <c r="E358" s="72" t="str">
        <f t="shared" si="5"/>
        <v>Taxes on production and imports less subsidies</v>
      </c>
    </row>
    <row r="359" spans="1:5" x14ac:dyDescent="0.35">
      <c r="A359" s="62" t="s">
        <v>1140</v>
      </c>
      <c r="B359" s="62" t="s">
        <v>822</v>
      </c>
      <c r="C359" s="62">
        <v>154567</v>
      </c>
      <c r="E359" s="72" t="str">
        <f t="shared" si="5"/>
        <v>Gross operating surplus</v>
      </c>
    </row>
    <row r="360" spans="1:5" x14ac:dyDescent="0.35">
      <c r="A360" s="62" t="s">
        <v>1141</v>
      </c>
      <c r="B360" s="64" t="s">
        <v>772</v>
      </c>
      <c r="C360" s="64">
        <v>3296342</v>
      </c>
      <c r="E360" s="72" t="str">
        <f t="shared" si="5"/>
        <v>Government</v>
      </c>
    </row>
    <row r="361" spans="1:5" x14ac:dyDescent="0.35">
      <c r="A361" s="62" t="s">
        <v>1142</v>
      </c>
      <c r="B361" s="62" t="s">
        <v>816</v>
      </c>
      <c r="C361" s="62">
        <v>2585459</v>
      </c>
      <c r="E361" s="72" t="str">
        <f t="shared" si="5"/>
        <v>Compensation of employees</v>
      </c>
    </row>
    <row r="362" spans="1:5" x14ac:dyDescent="0.35">
      <c r="A362" s="62" t="s">
        <v>1143</v>
      </c>
      <c r="B362" s="62" t="s">
        <v>817</v>
      </c>
      <c r="C362" s="62">
        <v>-45450</v>
      </c>
      <c r="E362" s="72" t="str">
        <f t="shared" si="5"/>
        <v>Taxes on production and imports less subsidies</v>
      </c>
    </row>
    <row r="363" spans="1:5" x14ac:dyDescent="0.35">
      <c r="A363" s="62" t="s">
        <v>1144</v>
      </c>
      <c r="B363" s="62" t="s">
        <v>818</v>
      </c>
      <c r="C363" s="62">
        <v>756333</v>
      </c>
      <c r="E363" s="72" t="str">
        <f t="shared" si="5"/>
        <v>Gross operating surplus</v>
      </c>
    </row>
    <row r="364" spans="1:5" x14ac:dyDescent="0.35">
      <c r="A364" s="62" t="s">
        <v>1145</v>
      </c>
      <c r="B364" s="64" t="s">
        <v>1146</v>
      </c>
      <c r="C364" s="64">
        <v>1064857</v>
      </c>
      <c r="E364" s="72" t="str">
        <f t="shared" si="5"/>
        <v>Federal</v>
      </c>
    </row>
    <row r="365" spans="1:5" x14ac:dyDescent="0.35">
      <c r="A365" s="62" t="s">
        <v>1147</v>
      </c>
      <c r="B365" s="62" t="s">
        <v>820</v>
      </c>
      <c r="C365" s="62">
        <v>680171</v>
      </c>
      <c r="E365" s="72" t="str">
        <f t="shared" si="5"/>
        <v>Compensation of employees</v>
      </c>
    </row>
    <row r="366" spans="1:5" x14ac:dyDescent="0.35">
      <c r="A366" s="62" t="s">
        <v>1148</v>
      </c>
      <c r="B366" s="62" t="s">
        <v>821</v>
      </c>
      <c r="C366" s="62">
        <v>-6847</v>
      </c>
      <c r="E366" s="72" t="str">
        <f t="shared" si="5"/>
        <v>Taxes on production and imports less subsidies</v>
      </c>
    </row>
    <row r="367" spans="1:5" x14ac:dyDescent="0.35">
      <c r="A367" s="62" t="s">
        <v>1149</v>
      </c>
      <c r="B367" s="62" t="s">
        <v>822</v>
      </c>
      <c r="C367" s="62">
        <v>391533</v>
      </c>
      <c r="E367" s="72" t="str">
        <f t="shared" si="5"/>
        <v>Gross operating surplus</v>
      </c>
    </row>
    <row r="368" spans="1:5" x14ac:dyDescent="0.35">
      <c r="A368" s="62" t="s">
        <v>1150</v>
      </c>
      <c r="B368" s="64" t="s">
        <v>1151</v>
      </c>
      <c r="C368" s="64">
        <v>986778</v>
      </c>
      <c r="E368" s="72" t="str">
        <f t="shared" si="5"/>
        <v>General government</v>
      </c>
    </row>
    <row r="369" spans="1:5" x14ac:dyDescent="0.35">
      <c r="A369" s="62" t="s">
        <v>1152</v>
      </c>
      <c r="B369" s="62" t="s">
        <v>782</v>
      </c>
      <c r="C369" s="62">
        <v>607449</v>
      </c>
      <c r="E369" s="72" t="str">
        <f t="shared" si="5"/>
        <v>Compensation of employees</v>
      </c>
    </row>
    <row r="370" spans="1:5" x14ac:dyDescent="0.35">
      <c r="A370" s="62" t="s">
        <v>1153</v>
      </c>
      <c r="B370" s="62" t="s">
        <v>814</v>
      </c>
      <c r="C370" s="62" t="s">
        <v>1154</v>
      </c>
      <c r="E370" s="72" t="str">
        <f t="shared" si="5"/>
        <v>Taxes on production and imports less subsidies</v>
      </c>
    </row>
    <row r="371" spans="1:5" x14ac:dyDescent="0.35">
      <c r="A371" s="62" t="s">
        <v>1155</v>
      </c>
      <c r="B371" s="62" t="s">
        <v>815</v>
      </c>
      <c r="C371" s="62">
        <v>379329</v>
      </c>
      <c r="E371" s="72" t="str">
        <f t="shared" si="5"/>
        <v>Gross operating surplus</v>
      </c>
    </row>
    <row r="372" spans="1:5" x14ac:dyDescent="0.35">
      <c r="A372" s="62" t="s">
        <v>1156</v>
      </c>
      <c r="B372" s="64" t="s">
        <v>1157</v>
      </c>
      <c r="C372" s="64">
        <v>549405</v>
      </c>
      <c r="E372" s="72" t="str">
        <f t="shared" si="5"/>
        <v>National defense</v>
      </c>
    </row>
    <row r="373" spans="1:5" x14ac:dyDescent="0.35">
      <c r="A373" s="62" t="s">
        <v>1158</v>
      </c>
      <c r="B373" s="62" t="s">
        <v>834</v>
      </c>
      <c r="C373" s="62">
        <v>339732</v>
      </c>
      <c r="E373" s="72" t="str">
        <f t="shared" si="5"/>
        <v>Compensation of employees</v>
      </c>
    </row>
    <row r="374" spans="1:5" x14ac:dyDescent="0.35">
      <c r="A374" s="62" t="s">
        <v>1159</v>
      </c>
      <c r="B374" s="62" t="s">
        <v>835</v>
      </c>
      <c r="C374" s="62" t="s">
        <v>1154</v>
      </c>
      <c r="E374" s="72" t="str">
        <f t="shared" si="5"/>
        <v>Taxes on production and imports less subsidies</v>
      </c>
    </row>
    <row r="375" spans="1:5" x14ac:dyDescent="0.35">
      <c r="A375" s="62" t="s">
        <v>1160</v>
      </c>
      <c r="B375" s="62" t="s">
        <v>836</v>
      </c>
      <c r="C375" s="62">
        <v>209673</v>
      </c>
      <c r="E375" s="72" t="str">
        <f t="shared" si="5"/>
        <v>Gross operating surplus</v>
      </c>
    </row>
    <row r="376" spans="1:5" x14ac:dyDescent="0.35">
      <c r="A376" s="62" t="s">
        <v>1161</v>
      </c>
      <c r="B376" s="64" t="s">
        <v>1162</v>
      </c>
      <c r="C376" s="64">
        <v>437373</v>
      </c>
      <c r="E376" s="72" t="str">
        <f t="shared" si="5"/>
        <v>Nondefense</v>
      </c>
    </row>
    <row r="377" spans="1:5" x14ac:dyDescent="0.35">
      <c r="A377" s="62" t="s">
        <v>1163</v>
      </c>
      <c r="B377" s="62" t="s">
        <v>834</v>
      </c>
      <c r="C377" s="62">
        <v>267716</v>
      </c>
      <c r="E377" s="72" t="str">
        <f t="shared" si="5"/>
        <v>Compensation of employees</v>
      </c>
    </row>
    <row r="378" spans="1:5" x14ac:dyDescent="0.35">
      <c r="A378" s="62" t="s">
        <v>1164</v>
      </c>
      <c r="B378" s="62" t="s">
        <v>835</v>
      </c>
      <c r="C378" s="62" t="s">
        <v>1154</v>
      </c>
      <c r="E378" s="72" t="str">
        <f t="shared" si="5"/>
        <v>Taxes on production and imports less subsidies</v>
      </c>
    </row>
    <row r="379" spans="1:5" x14ac:dyDescent="0.35">
      <c r="A379" s="62" t="s">
        <v>1165</v>
      </c>
      <c r="B379" s="62" t="s">
        <v>836</v>
      </c>
      <c r="C379" s="62">
        <v>169656</v>
      </c>
      <c r="E379" s="72" t="str">
        <f t="shared" si="5"/>
        <v>Gross operating surplus</v>
      </c>
    </row>
    <row r="380" spans="1:5" x14ac:dyDescent="0.35">
      <c r="A380" s="62" t="s">
        <v>1166</v>
      </c>
      <c r="B380" s="64" t="s">
        <v>1167</v>
      </c>
      <c r="C380" s="64">
        <v>78079</v>
      </c>
      <c r="E380" s="72" t="str">
        <f t="shared" si="5"/>
        <v>Government enterprises</v>
      </c>
    </row>
    <row r="381" spans="1:5" x14ac:dyDescent="0.35">
      <c r="A381" s="62" t="s">
        <v>1168</v>
      </c>
      <c r="B381" s="62" t="s">
        <v>782</v>
      </c>
      <c r="C381" s="62">
        <v>72723</v>
      </c>
      <c r="E381" s="72" t="str">
        <f t="shared" si="5"/>
        <v>Compensation of employees</v>
      </c>
    </row>
    <row r="382" spans="1:5" x14ac:dyDescent="0.35">
      <c r="A382" s="62" t="s">
        <v>1169</v>
      </c>
      <c r="B382" s="62" t="s">
        <v>814</v>
      </c>
      <c r="C382" s="62">
        <v>-6847</v>
      </c>
      <c r="E382" s="72" t="str">
        <f t="shared" si="5"/>
        <v>Taxes on production and imports less subsidies</v>
      </c>
    </row>
    <row r="383" spans="1:5" x14ac:dyDescent="0.35">
      <c r="A383" s="62" t="s">
        <v>1170</v>
      </c>
      <c r="B383" s="62" t="s">
        <v>815</v>
      </c>
      <c r="C383" s="62">
        <v>12204</v>
      </c>
      <c r="E383" s="72" t="str">
        <f t="shared" si="5"/>
        <v>Gross operating surplus</v>
      </c>
    </row>
    <row r="384" spans="1:5" x14ac:dyDescent="0.35">
      <c r="A384" s="62" t="s">
        <v>1171</v>
      </c>
      <c r="B384" s="64" t="s">
        <v>1172</v>
      </c>
      <c r="C384" s="64">
        <v>2231485</v>
      </c>
      <c r="E384" s="72" t="str">
        <f t="shared" si="5"/>
        <v>State and local</v>
      </c>
    </row>
    <row r="385" spans="1:5" x14ac:dyDescent="0.35">
      <c r="A385" s="62" t="s">
        <v>1173</v>
      </c>
      <c r="B385" s="62" t="s">
        <v>820</v>
      </c>
      <c r="C385" s="62">
        <v>1905288</v>
      </c>
      <c r="E385" s="72" t="str">
        <f t="shared" si="5"/>
        <v>Compensation of employees</v>
      </c>
    </row>
    <row r="386" spans="1:5" x14ac:dyDescent="0.35">
      <c r="A386" s="62" t="s">
        <v>1174</v>
      </c>
      <c r="B386" s="62" t="s">
        <v>821</v>
      </c>
      <c r="C386" s="62">
        <v>-38603</v>
      </c>
      <c r="E386" s="72" t="str">
        <f t="shared" si="5"/>
        <v>Taxes on production and imports less subsidies</v>
      </c>
    </row>
    <row r="387" spans="1:5" x14ac:dyDescent="0.35">
      <c r="A387" s="62" t="s">
        <v>1175</v>
      </c>
      <c r="B387" s="62" t="s">
        <v>822</v>
      </c>
      <c r="C387" s="62">
        <v>364800</v>
      </c>
      <c r="E387" s="72" t="str">
        <f t="shared" si="5"/>
        <v>Gross operating surplus</v>
      </c>
    </row>
    <row r="388" spans="1:5" x14ac:dyDescent="0.35">
      <c r="A388" s="62" t="s">
        <v>1176</v>
      </c>
      <c r="B388" s="64" t="s">
        <v>1151</v>
      </c>
      <c r="C388" s="64">
        <v>2073333</v>
      </c>
      <c r="E388" s="72" t="str">
        <f t="shared" si="5"/>
        <v>General government</v>
      </c>
    </row>
    <row r="389" spans="1:5" x14ac:dyDescent="0.35">
      <c r="A389" s="62" t="s">
        <v>1177</v>
      </c>
      <c r="B389" s="62" t="s">
        <v>782</v>
      </c>
      <c r="C389" s="62">
        <v>1760774</v>
      </c>
      <c r="E389" s="72" t="str">
        <f t="shared" si="5"/>
        <v>Compensation of employees</v>
      </c>
    </row>
    <row r="390" spans="1:5" x14ac:dyDescent="0.35">
      <c r="A390" s="62" t="s">
        <v>1178</v>
      </c>
      <c r="B390" s="62" t="s">
        <v>814</v>
      </c>
      <c r="C390" s="62" t="s">
        <v>1154</v>
      </c>
      <c r="E390" s="72" t="str">
        <f t="shared" si="5"/>
        <v>Taxes on production and imports less subsidies</v>
      </c>
    </row>
    <row r="391" spans="1:5" x14ac:dyDescent="0.35">
      <c r="A391" s="62" t="s">
        <v>1179</v>
      </c>
      <c r="B391" s="62" t="s">
        <v>815</v>
      </c>
      <c r="C391" s="62">
        <v>312559</v>
      </c>
      <c r="E391" s="72" t="str">
        <f t="shared" si="5"/>
        <v>Gross operating surplus</v>
      </c>
    </row>
    <row r="392" spans="1:5" x14ac:dyDescent="0.35">
      <c r="A392" s="62" t="s">
        <v>1180</v>
      </c>
      <c r="B392" s="64" t="s">
        <v>1167</v>
      </c>
      <c r="C392" s="64">
        <v>158152</v>
      </c>
      <c r="E392" s="72" t="str">
        <f t="shared" ref="E392:E412" si="6">TRIM(B392)</f>
        <v>Government enterprises</v>
      </c>
    </row>
    <row r="393" spans="1:5" x14ac:dyDescent="0.35">
      <c r="A393" s="62" t="s">
        <v>1181</v>
      </c>
      <c r="B393" s="62" t="s">
        <v>782</v>
      </c>
      <c r="C393" s="62">
        <v>144514</v>
      </c>
      <c r="E393" s="72" t="str">
        <f t="shared" si="6"/>
        <v>Compensation of employees</v>
      </c>
    </row>
    <row r="394" spans="1:5" x14ac:dyDescent="0.35">
      <c r="A394" s="62" t="s">
        <v>1182</v>
      </c>
      <c r="B394" s="62" t="s">
        <v>814</v>
      </c>
      <c r="C394" s="62">
        <v>-38603</v>
      </c>
      <c r="E394" s="72" t="str">
        <f t="shared" si="6"/>
        <v>Taxes on production and imports less subsidies</v>
      </c>
    </row>
    <row r="395" spans="1:5" x14ac:dyDescent="0.35">
      <c r="A395" s="62" t="s">
        <v>1183</v>
      </c>
      <c r="B395" s="62" t="s">
        <v>815</v>
      </c>
      <c r="C395" s="62">
        <v>52241</v>
      </c>
      <c r="E395" s="72" t="str">
        <f t="shared" si="6"/>
        <v>Gross operating surplus</v>
      </c>
    </row>
    <row r="396" spans="1:5" x14ac:dyDescent="0.35">
      <c r="A396" s="62" t="s">
        <v>1184</v>
      </c>
      <c r="B396" s="62" t="s">
        <v>1185</v>
      </c>
      <c r="C396" s="62" t="s">
        <v>9</v>
      </c>
      <c r="E396" s="72" t="str">
        <f t="shared" si="6"/>
        <v>Addenda:</v>
      </c>
    </row>
    <row r="397" spans="1:5" x14ac:dyDescent="0.35">
      <c r="A397" s="62" t="s">
        <v>1186</v>
      </c>
      <c r="B397" s="64" t="s">
        <v>1187</v>
      </c>
      <c r="C397" s="64">
        <v>4860061</v>
      </c>
      <c r="E397" s="72" t="str">
        <f t="shared" si="6"/>
        <v>Private goods-producing industries 1</v>
      </c>
    </row>
    <row r="398" spans="1:5" x14ac:dyDescent="0.35">
      <c r="A398" s="62" t="s">
        <v>1188</v>
      </c>
      <c r="B398" s="62" t="s">
        <v>782</v>
      </c>
      <c r="C398" s="62">
        <v>2330991</v>
      </c>
      <c r="E398" s="72" t="str">
        <f t="shared" si="6"/>
        <v>Compensation of employees</v>
      </c>
    </row>
    <row r="399" spans="1:5" x14ac:dyDescent="0.35">
      <c r="A399" s="62" t="s">
        <v>1189</v>
      </c>
      <c r="B399" s="62" t="s">
        <v>814</v>
      </c>
      <c r="C399" s="62">
        <v>189067</v>
      </c>
      <c r="E399" s="72" t="str">
        <f t="shared" si="6"/>
        <v>Taxes on production and imports less subsidies</v>
      </c>
    </row>
    <row r="400" spans="1:5" x14ac:dyDescent="0.35">
      <c r="A400" s="62" t="s">
        <v>1190</v>
      </c>
      <c r="B400" s="62" t="s">
        <v>815</v>
      </c>
      <c r="C400" s="62">
        <v>2340002</v>
      </c>
      <c r="E400" s="72" t="str">
        <f t="shared" si="6"/>
        <v>Gross operating surplus</v>
      </c>
    </row>
    <row r="401" spans="1:5" x14ac:dyDescent="0.35">
      <c r="A401" s="62" t="s">
        <v>1191</v>
      </c>
      <c r="B401" s="64" t="s">
        <v>1192</v>
      </c>
      <c r="C401" s="64">
        <v>21141611</v>
      </c>
      <c r="E401" s="72" t="str">
        <f t="shared" si="6"/>
        <v>Private services-producing industries 2</v>
      </c>
    </row>
    <row r="402" spans="1:5" x14ac:dyDescent="0.35">
      <c r="A402" s="62" t="s">
        <v>1193</v>
      </c>
      <c r="B402" s="62" t="s">
        <v>782</v>
      </c>
      <c r="C402" s="62">
        <v>10132672</v>
      </c>
      <c r="E402" s="72" t="str">
        <f t="shared" si="6"/>
        <v>Compensation of employees</v>
      </c>
    </row>
    <row r="403" spans="1:5" x14ac:dyDescent="0.35">
      <c r="A403" s="62" t="s">
        <v>1194</v>
      </c>
      <c r="B403" s="62" t="s">
        <v>814</v>
      </c>
      <c r="C403" s="62">
        <v>1716827</v>
      </c>
      <c r="E403" s="72" t="str">
        <f t="shared" si="6"/>
        <v>Taxes on production and imports less subsidies</v>
      </c>
    </row>
    <row r="404" spans="1:5" x14ac:dyDescent="0.35">
      <c r="A404" s="62" t="s">
        <v>1195</v>
      </c>
      <c r="B404" s="62" t="s">
        <v>815</v>
      </c>
      <c r="C404" s="62">
        <v>9292113</v>
      </c>
      <c r="E404" s="72" t="str">
        <f t="shared" si="6"/>
        <v>Gross operating surplus</v>
      </c>
    </row>
    <row r="405" spans="1:5" x14ac:dyDescent="0.35">
      <c r="A405" s="62" t="s">
        <v>1196</v>
      </c>
      <c r="B405" s="64" t="s">
        <v>1197</v>
      </c>
      <c r="C405" s="64">
        <v>2086166</v>
      </c>
      <c r="E405" s="72" t="str">
        <f t="shared" si="6"/>
        <v>Information-communications-technology-producing industries 3</v>
      </c>
    </row>
    <row r="406" spans="1:5" x14ac:dyDescent="0.35">
      <c r="A406" s="62" t="s">
        <v>1198</v>
      </c>
      <c r="B406" s="62" t="s">
        <v>782</v>
      </c>
      <c r="C406" s="62">
        <v>1069020</v>
      </c>
      <c r="E406" s="72" t="str">
        <f t="shared" si="6"/>
        <v>Compensation of employees</v>
      </c>
    </row>
    <row r="407" spans="1:5" x14ac:dyDescent="0.35">
      <c r="A407" s="62" t="s">
        <v>1199</v>
      </c>
      <c r="B407" s="62" t="s">
        <v>814</v>
      </c>
      <c r="C407" s="62">
        <v>76843</v>
      </c>
      <c r="E407" s="72" t="str">
        <f t="shared" si="6"/>
        <v>Taxes on production and imports less subsidies</v>
      </c>
    </row>
    <row r="408" spans="1:5" x14ac:dyDescent="0.35">
      <c r="A408" s="62" t="s">
        <v>1200</v>
      </c>
      <c r="B408" s="62" t="s">
        <v>815</v>
      </c>
      <c r="C408" s="62">
        <v>940304</v>
      </c>
      <c r="E408" s="72" t="str">
        <f t="shared" si="6"/>
        <v>Gross operating surplus</v>
      </c>
    </row>
    <row r="409" spans="1:5" ht="15.5" customHeight="1" x14ac:dyDescent="0.45">
      <c r="A409" s="65" t="s">
        <v>810</v>
      </c>
      <c r="E409" s="72" t="str">
        <f t="shared" si="6"/>
        <v/>
      </c>
    </row>
    <row r="410" spans="1:5" ht="14.5" customHeight="1" x14ac:dyDescent="0.35">
      <c r="A410" s="66" t="s">
        <v>1201</v>
      </c>
      <c r="E410" s="72" t="str">
        <f t="shared" si="6"/>
        <v/>
      </c>
    </row>
    <row r="411" spans="1:5" ht="14.5" customHeight="1" x14ac:dyDescent="0.35">
      <c r="A411" s="66" t="s">
        <v>1202</v>
      </c>
      <c r="E411" s="72" t="str">
        <f t="shared" si="6"/>
        <v/>
      </c>
    </row>
    <row r="412" spans="1:5" ht="14.5" customHeight="1" x14ac:dyDescent="0.35">
      <c r="A412" s="66" t="s">
        <v>1203</v>
      </c>
      <c r="E412" s="72" t="str">
        <f t="shared" si="6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CX2"/>
  <sheetViews>
    <sheetView workbookViewId="0">
      <selection activeCell="D4" sqref="D4"/>
    </sheetView>
  </sheetViews>
  <sheetFormatPr defaultRowHeight="14.5" x14ac:dyDescent="0.35"/>
  <cols>
    <col min="1" max="1" width="24.81640625" customWidth="1"/>
    <col min="2" max="26" width="10.1796875" customWidth="1"/>
    <col min="27" max="27" width="13.54296875" customWidth="1"/>
    <col min="28" max="43" width="10.1796875" customWidth="1"/>
  </cols>
  <sheetData>
    <row r="1" spans="1:102" s="4" customFormat="1" x14ac:dyDescent="0.35">
      <c r="A1" s="15" t="s">
        <v>88</v>
      </c>
      <c r="B1" s="4" t="s">
        <v>10</v>
      </c>
      <c r="C1" s="53" t="s">
        <v>101</v>
      </c>
      <c r="D1" s="54" t="s">
        <v>102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53" t="s">
        <v>94</v>
      </c>
      <c r="M1" s="54" t="s">
        <v>95</v>
      </c>
      <c r="N1" s="4" t="s">
        <v>18</v>
      </c>
      <c r="O1" s="53" t="s">
        <v>664</v>
      </c>
      <c r="P1" s="54" t="s">
        <v>665</v>
      </c>
      <c r="Q1" s="53" t="s">
        <v>666</v>
      </c>
      <c r="R1" s="54" t="s">
        <v>667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53" t="s">
        <v>668</v>
      </c>
      <c r="AA1" s="55" t="s">
        <v>669</v>
      </c>
      <c r="AB1" s="54" t="s">
        <v>670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</row>
    <row r="2" spans="1:102" ht="15" thickBot="1" x14ac:dyDescent="0.4">
      <c r="A2" t="s">
        <v>87</v>
      </c>
      <c r="B2">
        <f>'U.S. Data for ISIC Splits'!L23*10^6*About!$A$36</f>
        <v>58613297590.926033</v>
      </c>
      <c r="C2" s="50">
        <f>'U.S. Data for ISIC Splits'!D10*About!$A$36</f>
        <v>5697807437.1825056</v>
      </c>
      <c r="D2" s="56">
        <f>'U.S. Data for ISIC Splits'!L27*10^6*About!$A$36</f>
        <v>23292494974.321697</v>
      </c>
      <c r="E2" s="57">
        <f>('U.S. Data for ISIC Splits'!F10-'U.S. Data for ISIC Splits'!D10)*About!$A$36</f>
        <v>11617861432.302874</v>
      </c>
      <c r="F2">
        <f>'U.S. Data for ISIC Splits'!L29*10^6*About!$A$36</f>
        <v>27069181565.180798</v>
      </c>
      <c r="G2">
        <f>'U.S. Data for ISIC Splits'!L46*10^6*About!$A$36</f>
        <v>117367123055.00032</v>
      </c>
      <c r="H2">
        <f>SUM('U.S. Data for ISIC Splits'!L47:L48)*10^6*About!$A$36</f>
        <v>14917180117.887459</v>
      </c>
      <c r="I2">
        <f>'U.S. Data for ISIC Splits'!L34*10^6*About!$A$36</f>
        <v>23638691245.150448</v>
      </c>
      <c r="J2">
        <f>SUM('U.S. Data for ISIC Splits'!L49:L50)*10^6*About!$A$36</f>
        <v>46374198138.921028</v>
      </c>
      <c r="K2" s="19">
        <f>'U.S. Data for ISIC Splits'!T10*About!$A$36</f>
        <v>15975432940.767355</v>
      </c>
      <c r="L2" s="50">
        <f>'U.S. Data for ISIC Splits'!G10*About!$A$36</f>
        <v>66689597764.376991</v>
      </c>
      <c r="M2" s="50">
        <f>'U.S. Data for ISIC Splits'!H10*About!$A$36</f>
        <v>33563865238.788544</v>
      </c>
      <c r="N2">
        <f>'U.S. Data for ISIC Splits'!L53*10^6*About!$A$36</f>
        <v>45626179980.809013</v>
      </c>
      <c r="O2" s="50">
        <f>'U.S. Data for ISIC Splits'!J10*About!$A$36</f>
        <v>5480030624.9202452</v>
      </c>
      <c r="P2" s="51">
        <f>('U.S. Data for ISIC Splits'!L10-'U.S. Data for ISIC Splits'!$J$10)*About!$A$36</f>
        <v>23022242479.970264</v>
      </c>
      <c r="Q2" s="50">
        <f>('U.S. Data for ISIC Splits'!U10+'U.S. Data for ISIC Splits'!M10)*About!$A$36</f>
        <v>20406374931.714012</v>
      </c>
      <c r="R2" s="51">
        <f>'U.S. Data for ISIC Splits'!N10*About!$A$36</f>
        <v>10435199450.057831</v>
      </c>
      <c r="S2" s="17">
        <f>'U.S. Data for ISIC Splits'!L37*10^6*About!$A$36</f>
        <v>93757708450.089081</v>
      </c>
      <c r="T2">
        <f>'U.S. Data for ISIC Splits'!L39*10^6*About!$A$36</f>
        <v>137143493536.59195</v>
      </c>
      <c r="U2">
        <f>'U.S. Data for ISIC Splits'!L40*10^6*About!$A$36</f>
        <v>34612307922.815269</v>
      </c>
      <c r="V2">
        <f>'U.S. Data for ISIC Splits'!L38*10^6*About!$A$36</f>
        <v>87838703709.72522</v>
      </c>
      <c r="W2">
        <f>'U.S. Data for ISIC Splits'!L41*10^6*About!$A$36</f>
        <v>70697962765.669174</v>
      </c>
      <c r="X2">
        <f>'U.S. Data for ISIC Splits'!L42*10^6*About!$A$36</f>
        <v>77821701251.876846</v>
      </c>
      <c r="Y2" s="17">
        <f>(SUM('U.S. Data for ISIC Splits'!L43:L44)+('U.S. Data for ISIC Splits'!L108*(SUM('U.S. Data for ISIC Splits'!D414)/SUM('U.S. Data for ISIC Splits'!D412:D423))))*10^6*About!$A$36</f>
        <v>87591009309.779861</v>
      </c>
      <c r="Z2" s="50">
        <f>'U.S. Data for ISIC Splits'!P10*About!$A$36</f>
        <v>59184564338.153259</v>
      </c>
      <c r="AA2" s="50">
        <f>'U.S. Data for ISIC Splits'!Q10*About!$A$36</f>
        <v>13910480927.834927</v>
      </c>
      <c r="AB2" s="50">
        <f>('U.S. Data for ISIC Splits'!R10+('U.S. Data for ISIC Splits'!L93*10^6))*About!$A$36</f>
        <v>38827354620.523598</v>
      </c>
      <c r="AC2">
        <f>'U.S. Data for ISIC Splits'!L31*10^6*About!$A$36</f>
        <v>585026318908.2179</v>
      </c>
      <c r="AD2" s="17">
        <f>(SUM('U.S. Data for ISIC Splits'!L54:L55)+('U.S. Data for ISIC Splits'!L108*(SUM('U.S. Data for ISIC Splits'!D412)/SUM('U.S. Data for ISIC Splits'!D412:D423))))*10^6*About!$A$36</f>
        <v>1220954590384.6421</v>
      </c>
      <c r="AE2">
        <f>SUM('U.S. Data for ISIC Splits'!L61:L68)*10^6*About!$A$36</f>
        <v>422491195292.15234</v>
      </c>
      <c r="AF2">
        <f>'U.S. Data for ISIC Splits'!L105*10^6*About!$A$36</f>
        <v>414930502950.37433</v>
      </c>
      <c r="AG2" s="17">
        <f>(SUM('U.S. Data for ISIC Splits'!L70:L71)+('U.S. Data for ISIC Splits'!L72*(SUM('U.S. Data for ISIC Splits'!D337:D338)/SUM('U.S. Data for ISIC Splits'!D337:D341))))*10^6*About!$A$36</f>
        <v>189445158176.48669</v>
      </c>
      <c r="AH2" s="17">
        <f>('U.S. Data for ISIC Splits'!L72*(SUM('U.S. Data for ISIC Splits'!D339:D341)/SUM('U.S. Data for ISIC Splits'!D337:D341)))*10^6*About!$A$36</f>
        <v>71586830028.391342</v>
      </c>
      <c r="AI2">
        <f>('U.S. Data for ISIC Splits'!L88+'U.S. Data for ISIC Splits'!L73)*10^6*About!$A$36</f>
        <v>498940554032.81586</v>
      </c>
      <c r="AJ2">
        <f>'U.S. Data for ISIC Splits'!L75*10^6*About!$A$36</f>
        <v>816358619422.42139</v>
      </c>
      <c r="AK2">
        <f>'U.S. Data for ISIC Splits'!L80*10^6*About!$A$36</f>
        <v>163642512533.11398</v>
      </c>
      <c r="AL2">
        <f>SUM('U.S. Data for ISIC Splits'!L87,'U.S. Data for ISIC Splits'!L89:L90,'U.S. Data for ISIC Splits'!L92)*10^6*About!$A$36</f>
        <v>1633572848655.834</v>
      </c>
      <c r="AM2">
        <f>'U.S. Data for ISIC Splits'!L109*10^6*About!$A$36</f>
        <v>1892338824906.1965</v>
      </c>
      <c r="AN2">
        <f>'U.S. Data for ISIC Splits'!L95*10^6*About!$A$36</f>
        <v>196154953434.77136</v>
      </c>
      <c r="AO2">
        <f>'U.S. Data for ISIC Splits'!L96*10^6*About!$A$36</f>
        <v>1296543825801.9883</v>
      </c>
      <c r="AP2">
        <f>('U.S. Data for ISIC Splits'!L102+('U.S. Data for ISIC Splits'!L108*(SUM('U.S. Data for ISIC Splits'!D413,'U.S. Data for ISIC Splits'!D415:D422)/SUM('U.S. Data for ISIC Splits'!D412:D423))))*10^6*About!$A$36</f>
        <v>353526834460.74396</v>
      </c>
      <c r="AQ2" s="73">
        <f>('U.S. Data for ISIC Splits'!L108*('U.S. Data for ISIC Splits'!D423/SUM('U.S. Data for ISIC Splits'!D412:D423)))*10^6*About!$A$36</f>
        <v>8006921046.9608421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OECD VAL</vt:lpstr>
      <vt:lpstr>U.S. Data for ISIC Splits</vt:lpstr>
      <vt:lpstr>BEA Data</vt:lpstr>
      <vt:lpstr>BECbIC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2019-12-02T22:49:06Z</dcterms:created>
  <dcterms:modified xsi:type="dcterms:W3CDTF">2026-01-22T16:09:17Z</dcterms:modified>
</cp:coreProperties>
</file>