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io-model\BPCiOaDCSbIC\"/>
    </mc:Choice>
  </mc:AlternateContent>
  <xr:revisionPtr revIDLastSave="0" documentId="11_8C15BA11E7A0F437B10424658C71D2CF1BA1B5FE" xr6:coauthVersionLast="47" xr6:coauthVersionMax="47" xr10:uidLastSave="{00000000-0000-0000-0000-000000000000}"/>
  <bookViews>
    <workbookView xWindow="1170" yWindow="1170" windowWidth="43200" windowHeight="17025" xr2:uid="{00000000-000D-0000-FFFF-FFFF00000000}"/>
  </bookViews>
  <sheets>
    <sheet name="About" sheetId="1" r:id="rId1"/>
    <sheet name="BLS Table 2.11" sheetId="2" r:id="rId2"/>
    <sheet name="AEO25 Table 23" sheetId="3" r:id="rId3"/>
    <sheet name="AEO 2026 Table 23 " sheetId="4" r:id="rId4"/>
    <sheet name="Data from BVAbIC" sheetId="5" r:id="rId5"/>
    <sheet name="GDP Forecast" sheetId="6" r:id="rId6"/>
    <sheet name="Growth Rates" sheetId="7" r:id="rId7"/>
    <sheet name="Rescale to Fit GDP Proj" sheetId="8" r:id="rId8"/>
    <sheet name="Checks" sheetId="9" r:id="rId9"/>
    <sheet name="BPCiObIC" sheetId="10" r:id="rId10"/>
    <sheet name="BPCiDCSbIC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0" l="1"/>
  <c r="C12" i="9"/>
  <c r="B12" i="9"/>
  <c r="D130" i="8"/>
  <c r="F96" i="8"/>
  <c r="X91" i="8"/>
  <c r="N87" i="8"/>
  <c r="S86" i="8"/>
  <c r="L86" i="8"/>
  <c r="P85" i="8"/>
  <c r="F85" i="8"/>
  <c r="N84" i="8"/>
  <c r="R82" i="8"/>
  <c r="P81" i="8"/>
  <c r="O81" i="8"/>
  <c r="D78" i="8"/>
  <c r="D134" i="8" s="1"/>
  <c r="T77" i="8"/>
  <c r="E77" i="8"/>
  <c r="Z76" i="8"/>
  <c r="V76" i="8"/>
  <c r="V75" i="8"/>
  <c r="E74" i="8"/>
  <c r="V71" i="8"/>
  <c r="K71" i="8"/>
  <c r="L68" i="8"/>
  <c r="H68" i="8"/>
  <c r="E65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D40" i="8"/>
  <c r="E40" i="8" s="1"/>
  <c r="F40" i="8" s="1"/>
  <c r="G40" i="8" s="1"/>
  <c r="H40" i="8" s="1"/>
  <c r="I40" i="8" s="1"/>
  <c r="J40" i="8" s="1"/>
  <c r="K40" i="8" s="1"/>
  <c r="L40" i="8" s="1"/>
  <c r="M40" i="8" s="1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D22" i="8" s="1"/>
  <c r="E22" i="8" s="1"/>
  <c r="F22" i="8" s="1"/>
  <c r="G22" i="8" s="1"/>
  <c r="H22" i="8" s="1"/>
  <c r="I22" i="8" s="1"/>
  <c r="J22" i="8" s="1"/>
  <c r="K22" i="8" s="1"/>
  <c r="L22" i="8" s="1"/>
  <c r="M22" i="8" s="1"/>
  <c r="N22" i="8" s="1"/>
  <c r="O22" i="8" s="1"/>
  <c r="P22" i="8" s="1"/>
  <c r="Q22" i="8" s="1"/>
  <c r="R22" i="8" s="1"/>
  <c r="S22" i="8" s="1"/>
  <c r="T22" i="8" s="1"/>
  <c r="U22" i="8" s="1"/>
  <c r="V22" i="8" s="1"/>
  <c r="W22" i="8" s="1"/>
  <c r="X22" i="8" s="1"/>
  <c r="Y22" i="8" s="1"/>
  <c r="Z22" i="8" s="1"/>
  <c r="AA22" i="8" s="1"/>
  <c r="AB22" i="8" s="1"/>
  <c r="AC22" i="8" s="1"/>
  <c r="D21" i="8"/>
  <c r="E21" i="8" s="1"/>
  <c r="F21" i="8" s="1"/>
  <c r="G21" i="8" s="1"/>
  <c r="H21" i="8" s="1"/>
  <c r="I21" i="8" s="1"/>
  <c r="C21" i="8"/>
  <c r="C20" i="8"/>
  <c r="C19" i="8"/>
  <c r="D18" i="8"/>
  <c r="C18" i="8"/>
  <c r="C17" i="8"/>
  <c r="C16" i="8"/>
  <c r="C15" i="8"/>
  <c r="C14" i="8"/>
  <c r="C13" i="8"/>
  <c r="C12" i="8"/>
  <c r="C11" i="8"/>
  <c r="C10" i="8"/>
  <c r="C9" i="8"/>
  <c r="AC112" i="7"/>
  <c r="AB112" i="7"/>
  <c r="W112" i="7"/>
  <c r="V112" i="7"/>
  <c r="T112" i="7"/>
  <c r="Q112" i="7"/>
  <c r="H112" i="7"/>
  <c r="AA111" i="7"/>
  <c r="Z111" i="7"/>
  <c r="Q111" i="7"/>
  <c r="O111" i="7"/>
  <c r="L111" i="7"/>
  <c r="F111" i="7"/>
  <c r="E111" i="7"/>
  <c r="D111" i="7"/>
  <c r="AC110" i="7"/>
  <c r="Y110" i="7"/>
  <c r="D110" i="7"/>
  <c r="Y108" i="7"/>
  <c r="L108" i="7"/>
  <c r="J108" i="7"/>
  <c r="E108" i="7"/>
  <c r="AC107" i="7"/>
  <c r="AB107" i="7"/>
  <c r="Y107" i="7"/>
  <c r="X107" i="7"/>
  <c r="V107" i="7"/>
  <c r="T107" i="7"/>
  <c r="O107" i="7"/>
  <c r="F107" i="7"/>
  <c r="D107" i="7"/>
  <c r="AA106" i="7"/>
  <c r="Y106" i="7"/>
  <c r="V106" i="7"/>
  <c r="T106" i="7"/>
  <c r="R106" i="7"/>
  <c r="P106" i="7"/>
  <c r="AC105" i="7"/>
  <c r="AB105" i="7"/>
  <c r="Q105" i="7"/>
  <c r="M105" i="7"/>
  <c r="H105" i="7"/>
  <c r="Z104" i="7"/>
  <c r="W104" i="7"/>
  <c r="S104" i="7"/>
  <c r="L104" i="7"/>
  <c r="K104" i="7"/>
  <c r="Y102" i="7"/>
  <c r="G102" i="7"/>
  <c r="P101" i="7"/>
  <c r="K101" i="7"/>
  <c r="F101" i="7"/>
  <c r="D101" i="7"/>
  <c r="AB100" i="7"/>
  <c r="Z100" i="7"/>
  <c r="J100" i="7"/>
  <c r="F100" i="7"/>
  <c r="Y99" i="7"/>
  <c r="Y97" i="7"/>
  <c r="X97" i="7"/>
  <c r="Q97" i="7"/>
  <c r="D97" i="7"/>
  <c r="O96" i="7"/>
  <c r="N96" i="7"/>
  <c r="K96" i="7"/>
  <c r="AA95" i="7"/>
  <c r="M95" i="7"/>
  <c r="H95" i="7"/>
  <c r="AB94" i="7"/>
  <c r="R92" i="7"/>
  <c r="R96" i="8" s="1"/>
  <c r="AB91" i="7"/>
  <c r="AA91" i="7"/>
  <c r="Z91" i="7"/>
  <c r="L91" i="7"/>
  <c r="M89" i="7"/>
  <c r="AC88" i="7"/>
  <c r="AC92" i="8" s="1"/>
  <c r="P88" i="7"/>
  <c r="P92" i="8" s="1"/>
  <c r="L88" i="7"/>
  <c r="L92" i="8" s="1"/>
  <c r="D88" i="7"/>
  <c r="AC87" i="7"/>
  <c r="AC91" i="8" s="1"/>
  <c r="Z85" i="7"/>
  <c r="Z89" i="8" s="1"/>
  <c r="R85" i="7"/>
  <c r="R89" i="8" s="1"/>
  <c r="Y84" i="7"/>
  <c r="Y88" i="8" s="1"/>
  <c r="X84" i="7"/>
  <c r="X88" i="8" s="1"/>
  <c r="W84" i="7"/>
  <c r="W88" i="8" s="1"/>
  <c r="V84" i="7"/>
  <c r="V88" i="8" s="1"/>
  <c r="T84" i="7"/>
  <c r="T88" i="8" s="1"/>
  <c r="S84" i="7"/>
  <c r="S88" i="8" s="1"/>
  <c r="AC83" i="7"/>
  <c r="AC87" i="8" s="1"/>
  <c r="V83" i="7"/>
  <c r="V87" i="8" s="1"/>
  <c r="T83" i="7"/>
  <c r="T87" i="8" s="1"/>
  <c r="W82" i="7"/>
  <c r="W86" i="8" s="1"/>
  <c r="J82" i="7"/>
  <c r="J86" i="8" s="1"/>
  <c r="H82" i="7"/>
  <c r="H86" i="8" s="1"/>
  <c r="F82" i="7"/>
  <c r="F86" i="8" s="1"/>
  <c r="O81" i="7"/>
  <c r="O85" i="8" s="1"/>
  <c r="I81" i="7"/>
  <c r="I85" i="8" s="1"/>
  <c r="T80" i="7"/>
  <c r="T84" i="8" s="1"/>
  <c r="R80" i="7"/>
  <c r="R84" i="8" s="1"/>
  <c r="P80" i="7"/>
  <c r="P84" i="8" s="1"/>
  <c r="O80" i="7"/>
  <c r="O84" i="8" s="1"/>
  <c r="Y79" i="7"/>
  <c r="Y83" i="8" s="1"/>
  <c r="P79" i="7"/>
  <c r="P83" i="8" s="1"/>
  <c r="F79" i="7"/>
  <c r="F83" i="8" s="1"/>
  <c r="H78" i="7"/>
  <c r="H82" i="8" s="1"/>
  <c r="F78" i="7"/>
  <c r="F82" i="8" s="1"/>
  <c r="D78" i="7"/>
  <c r="D82" i="8" s="1"/>
  <c r="D138" i="8" s="1"/>
  <c r="AC77" i="7"/>
  <c r="AC81" i="8" s="1"/>
  <c r="AB77" i="7"/>
  <c r="AB81" i="8" s="1"/>
  <c r="V77" i="7"/>
  <c r="V81" i="8" s="1"/>
  <c r="S77" i="7"/>
  <c r="S81" i="8" s="1"/>
  <c r="T76" i="7"/>
  <c r="T80" i="8" s="1"/>
  <c r="P75" i="7"/>
  <c r="X74" i="7"/>
  <c r="X78" i="8" s="1"/>
  <c r="W74" i="7"/>
  <c r="W78" i="8" s="1"/>
  <c r="T74" i="7"/>
  <c r="T78" i="8" s="1"/>
  <c r="Y73" i="7"/>
  <c r="Y77" i="8" s="1"/>
  <c r="X73" i="7"/>
  <c r="X77" i="8" s="1"/>
  <c r="R72" i="7"/>
  <c r="R76" i="8" s="1"/>
  <c r="Q72" i="7"/>
  <c r="Q76" i="8" s="1"/>
  <c r="L72" i="7"/>
  <c r="L76" i="8" s="1"/>
  <c r="O71" i="7"/>
  <c r="O75" i="8" s="1"/>
  <c r="AC70" i="7"/>
  <c r="AC74" i="8" s="1"/>
  <c r="V70" i="7"/>
  <c r="V74" i="8" s="1"/>
  <c r="R69" i="7"/>
  <c r="R73" i="8" s="1"/>
  <c r="L69" i="7"/>
  <c r="L73" i="8" s="1"/>
  <c r="J69" i="7"/>
  <c r="J73" i="8" s="1"/>
  <c r="I69" i="7"/>
  <c r="I73" i="8" s="1"/>
  <c r="L67" i="7"/>
  <c r="L71" i="8" s="1"/>
  <c r="AA66" i="7"/>
  <c r="S66" i="7"/>
  <c r="AC65" i="7"/>
  <c r="AC69" i="8" s="1"/>
  <c r="Z65" i="7"/>
  <c r="Z69" i="8" s="1"/>
  <c r="I65" i="7"/>
  <c r="I69" i="8" s="1"/>
  <c r="G65" i="7"/>
  <c r="G69" i="8" s="1"/>
  <c r="F64" i="7"/>
  <c r="F68" i="8" s="1"/>
  <c r="D64" i="7"/>
  <c r="M63" i="7"/>
  <c r="W62" i="7"/>
  <c r="U62" i="7"/>
  <c r="AB61" i="7"/>
  <c r="AB65" i="8" s="1"/>
  <c r="H61" i="7"/>
  <c r="H65" i="8" s="1"/>
  <c r="G61" i="7"/>
  <c r="G65" i="8" s="1"/>
  <c r="AC55" i="7"/>
  <c r="AB55" i="7"/>
  <c r="AA55" i="7"/>
  <c r="AA112" i="7" s="1"/>
  <c r="Z55" i="7"/>
  <c r="Z112" i="7" s="1"/>
  <c r="Y55" i="7"/>
  <c r="X55" i="7"/>
  <c r="X112" i="7" s="1"/>
  <c r="W55" i="7"/>
  <c r="V55" i="7"/>
  <c r="U55" i="7"/>
  <c r="U112" i="7" s="1"/>
  <c r="T55" i="7"/>
  <c r="S55" i="7"/>
  <c r="S112" i="7" s="1"/>
  <c r="R55" i="7"/>
  <c r="R112" i="7" s="1"/>
  <c r="Q55" i="7"/>
  <c r="P55" i="7"/>
  <c r="P112" i="7" s="1"/>
  <c r="O55" i="7"/>
  <c r="O112" i="7" s="1"/>
  <c r="N55" i="7"/>
  <c r="N112" i="7" s="1"/>
  <c r="M55" i="7"/>
  <c r="M112" i="7" s="1"/>
  <c r="L55" i="7"/>
  <c r="K55" i="7"/>
  <c r="K112" i="7" s="1"/>
  <c r="J55" i="7"/>
  <c r="J112" i="7" s="1"/>
  <c r="I55" i="7"/>
  <c r="H55" i="7"/>
  <c r="G55" i="7"/>
  <c r="G112" i="7" s="1"/>
  <c r="F55" i="7"/>
  <c r="F112" i="7" s="1"/>
  <c r="E55" i="7"/>
  <c r="D55" i="7"/>
  <c r="D112" i="7" s="1"/>
  <c r="B55" i="7"/>
  <c r="E112" i="7" s="1"/>
  <c r="AC54" i="7"/>
  <c r="AC111" i="7" s="1"/>
  <c r="AB54" i="7"/>
  <c r="AA54" i="7"/>
  <c r="Z54" i="7"/>
  <c r="Y54" i="7"/>
  <c r="X54" i="7"/>
  <c r="X111" i="7" s="1"/>
  <c r="W54" i="7"/>
  <c r="W111" i="7" s="1"/>
  <c r="V54" i="7"/>
  <c r="U54" i="7"/>
  <c r="U111" i="7" s="1"/>
  <c r="T54" i="7"/>
  <c r="T111" i="7" s="1"/>
  <c r="S54" i="7"/>
  <c r="S111" i="7" s="1"/>
  <c r="R54" i="7"/>
  <c r="Q54" i="7"/>
  <c r="P54" i="7"/>
  <c r="P111" i="7" s="1"/>
  <c r="O54" i="7"/>
  <c r="N54" i="7"/>
  <c r="M54" i="7"/>
  <c r="L54" i="7"/>
  <c r="K54" i="7"/>
  <c r="K111" i="7" s="1"/>
  <c r="J54" i="7"/>
  <c r="I54" i="7"/>
  <c r="I111" i="7" s="1"/>
  <c r="H54" i="7"/>
  <c r="H111" i="7" s="1"/>
  <c r="G54" i="7"/>
  <c r="G111" i="7" s="1"/>
  <c r="F54" i="7"/>
  <c r="E54" i="7"/>
  <c r="D54" i="7"/>
  <c r="B54" i="7"/>
  <c r="AB111" i="7" s="1"/>
  <c r="AC53" i="7"/>
  <c r="AB53" i="7"/>
  <c r="AB110" i="7" s="1"/>
  <c r="AA53" i="7"/>
  <c r="Z53" i="7"/>
  <c r="Y53" i="7"/>
  <c r="X53" i="7"/>
  <c r="W53" i="7"/>
  <c r="V53" i="7"/>
  <c r="U53" i="7"/>
  <c r="U110" i="7" s="1"/>
  <c r="T53" i="7"/>
  <c r="T110" i="7" s="1"/>
  <c r="S53" i="7"/>
  <c r="R53" i="7"/>
  <c r="Q53" i="7"/>
  <c r="Q110" i="7" s="1"/>
  <c r="P53" i="7"/>
  <c r="P110" i="7" s="1"/>
  <c r="O53" i="7"/>
  <c r="N53" i="7"/>
  <c r="M53" i="7"/>
  <c r="L53" i="7"/>
  <c r="L110" i="7" s="1"/>
  <c r="K53" i="7"/>
  <c r="J53" i="7"/>
  <c r="I53" i="7"/>
  <c r="H53" i="7"/>
  <c r="H110" i="7" s="1"/>
  <c r="G53" i="7"/>
  <c r="F53" i="7"/>
  <c r="F110" i="7" s="1"/>
  <c r="E53" i="7"/>
  <c r="D53" i="7"/>
  <c r="B53" i="7"/>
  <c r="J110" i="7" s="1"/>
  <c r="AC52" i="7"/>
  <c r="AB52" i="7"/>
  <c r="AA52" i="7"/>
  <c r="Z52" i="7"/>
  <c r="Y52" i="7"/>
  <c r="Y109" i="7" s="1"/>
  <c r="X52" i="7"/>
  <c r="W52" i="7"/>
  <c r="V52" i="7"/>
  <c r="V109" i="7" s="1"/>
  <c r="U52" i="7"/>
  <c r="U109" i="7" s="1"/>
  <c r="T52" i="7"/>
  <c r="S52" i="7"/>
  <c r="R52" i="7"/>
  <c r="Q52" i="7"/>
  <c r="Q109" i="7" s="1"/>
  <c r="P52" i="7"/>
  <c r="O52" i="7"/>
  <c r="N52" i="7"/>
  <c r="M52" i="7"/>
  <c r="M109" i="7" s="1"/>
  <c r="L52" i="7"/>
  <c r="L109" i="7" s="1"/>
  <c r="K52" i="7"/>
  <c r="K109" i="7" s="1"/>
  <c r="J52" i="7"/>
  <c r="I52" i="7"/>
  <c r="H52" i="7"/>
  <c r="G52" i="7"/>
  <c r="F52" i="7"/>
  <c r="E52" i="7"/>
  <c r="D52" i="7"/>
  <c r="B52" i="7"/>
  <c r="AC51" i="7"/>
  <c r="AC108" i="7" s="1"/>
  <c r="AB51" i="7"/>
  <c r="AB108" i="7" s="1"/>
  <c r="AA51" i="7"/>
  <c r="AA108" i="7" s="1"/>
  <c r="Z51" i="7"/>
  <c r="Z108" i="7" s="1"/>
  <c r="Y51" i="7"/>
  <c r="X51" i="7"/>
  <c r="X108" i="7" s="1"/>
  <c r="W51" i="7"/>
  <c r="W108" i="7" s="1"/>
  <c r="V51" i="7"/>
  <c r="V108" i="7" s="1"/>
  <c r="U51" i="7"/>
  <c r="U108" i="7" s="1"/>
  <c r="T51" i="7"/>
  <c r="S51" i="7"/>
  <c r="R51" i="7"/>
  <c r="R108" i="7" s="1"/>
  <c r="Q51" i="7"/>
  <c r="Q108" i="7" s="1"/>
  <c r="P51" i="7"/>
  <c r="P108" i="7" s="1"/>
  <c r="O51" i="7"/>
  <c r="O108" i="7" s="1"/>
  <c r="N51" i="7"/>
  <c r="N108" i="7" s="1"/>
  <c r="M51" i="7"/>
  <c r="M108" i="7" s="1"/>
  <c r="L51" i="7"/>
  <c r="K51" i="7"/>
  <c r="K108" i="7" s="1"/>
  <c r="J51" i="7"/>
  <c r="I51" i="7"/>
  <c r="I108" i="7" s="1"/>
  <c r="H51" i="7"/>
  <c r="H108" i="7" s="1"/>
  <c r="G51" i="7"/>
  <c r="G108" i="7" s="1"/>
  <c r="F51" i="7"/>
  <c r="F108" i="7" s="1"/>
  <c r="E51" i="7"/>
  <c r="D51" i="7"/>
  <c r="D108" i="7" s="1"/>
  <c r="B51" i="7"/>
  <c r="T108" i="7" s="1"/>
  <c r="AC50" i="7"/>
  <c r="AB50" i="7"/>
  <c r="AA50" i="7"/>
  <c r="AA107" i="7" s="1"/>
  <c r="Z50" i="7"/>
  <c r="Z107" i="7" s="1"/>
  <c r="Y50" i="7"/>
  <c r="X50" i="7"/>
  <c r="W50" i="7"/>
  <c r="W107" i="7" s="1"/>
  <c r="V50" i="7"/>
  <c r="U50" i="7"/>
  <c r="U107" i="7" s="1"/>
  <c r="T50" i="7"/>
  <c r="S50" i="7"/>
  <c r="S107" i="7" s="1"/>
  <c r="R50" i="7"/>
  <c r="R107" i="7" s="1"/>
  <c r="Q50" i="7"/>
  <c r="Q107" i="7" s="1"/>
  <c r="P50" i="7"/>
  <c r="P107" i="7" s="1"/>
  <c r="O50" i="7"/>
  <c r="N50" i="7"/>
  <c r="N107" i="7" s="1"/>
  <c r="M50" i="7"/>
  <c r="M107" i="7" s="1"/>
  <c r="L50" i="7"/>
  <c r="L107" i="7" s="1"/>
  <c r="K50" i="7"/>
  <c r="K107" i="7" s="1"/>
  <c r="J50" i="7"/>
  <c r="J107" i="7" s="1"/>
  <c r="I50" i="7"/>
  <c r="I107" i="7" s="1"/>
  <c r="H50" i="7"/>
  <c r="H107" i="7" s="1"/>
  <c r="G50" i="7"/>
  <c r="G107" i="7" s="1"/>
  <c r="F50" i="7"/>
  <c r="E50" i="7"/>
  <c r="E107" i="7" s="1"/>
  <c r="D50" i="7"/>
  <c r="B50" i="7"/>
  <c r="AC49" i="7"/>
  <c r="AC106" i="7" s="1"/>
  <c r="AB49" i="7"/>
  <c r="AB106" i="7" s="1"/>
  <c r="AA49" i="7"/>
  <c r="Z49" i="7"/>
  <c r="Z106" i="7" s="1"/>
  <c r="Y49" i="7"/>
  <c r="X49" i="7"/>
  <c r="X106" i="7" s="1"/>
  <c r="W49" i="7"/>
  <c r="W106" i="7" s="1"/>
  <c r="V49" i="7"/>
  <c r="U49" i="7"/>
  <c r="U106" i="7" s="1"/>
  <c r="T49" i="7"/>
  <c r="S49" i="7"/>
  <c r="S106" i="7" s="1"/>
  <c r="R49" i="7"/>
  <c r="Q49" i="7"/>
  <c r="Q106" i="7" s="1"/>
  <c r="P49" i="7"/>
  <c r="O49" i="7"/>
  <c r="O106" i="7" s="1"/>
  <c r="N49" i="7"/>
  <c r="N106" i="7" s="1"/>
  <c r="M49" i="7"/>
  <c r="M106" i="7" s="1"/>
  <c r="L49" i="7"/>
  <c r="L106" i="7" s="1"/>
  <c r="K49" i="7"/>
  <c r="K106" i="7" s="1"/>
  <c r="J49" i="7"/>
  <c r="J106" i="7" s="1"/>
  <c r="I49" i="7"/>
  <c r="I106" i="7" s="1"/>
  <c r="H49" i="7"/>
  <c r="H106" i="7" s="1"/>
  <c r="G49" i="7"/>
  <c r="G106" i="7" s="1"/>
  <c r="F49" i="7"/>
  <c r="F106" i="7" s="1"/>
  <c r="E49" i="7"/>
  <c r="E106" i="7" s="1"/>
  <c r="D49" i="7"/>
  <c r="D106" i="7" s="1"/>
  <c r="B49" i="7"/>
  <c r="AC48" i="7"/>
  <c r="AB48" i="7"/>
  <c r="AA48" i="7"/>
  <c r="AA105" i="7" s="1"/>
  <c r="Z48" i="7"/>
  <c r="Z105" i="7" s="1"/>
  <c r="Y48" i="7"/>
  <c r="X48" i="7"/>
  <c r="X105" i="7" s="1"/>
  <c r="W48" i="7"/>
  <c r="W105" i="7" s="1"/>
  <c r="V48" i="7"/>
  <c r="V105" i="7" s="1"/>
  <c r="U48" i="7"/>
  <c r="T48" i="7"/>
  <c r="T105" i="7" s="1"/>
  <c r="S48" i="7"/>
  <c r="S105" i="7" s="1"/>
  <c r="R48" i="7"/>
  <c r="Q48" i="7"/>
  <c r="P48" i="7"/>
  <c r="O48" i="7"/>
  <c r="O105" i="7" s="1"/>
  <c r="N48" i="7"/>
  <c r="M48" i="7"/>
  <c r="L48" i="7"/>
  <c r="L105" i="7" s="1"/>
  <c r="K48" i="7"/>
  <c r="K105" i="7" s="1"/>
  <c r="J48" i="7"/>
  <c r="J105" i="7" s="1"/>
  <c r="I48" i="7"/>
  <c r="I105" i="7" s="1"/>
  <c r="H48" i="7"/>
  <c r="G48" i="7"/>
  <c r="G105" i="7" s="1"/>
  <c r="F48" i="7"/>
  <c r="F105" i="7" s="1"/>
  <c r="E48" i="7"/>
  <c r="E105" i="7" s="1"/>
  <c r="D48" i="7"/>
  <c r="D105" i="7" s="1"/>
  <c r="B48" i="7"/>
  <c r="N105" i="7" s="1"/>
  <c r="AC47" i="7"/>
  <c r="AB47" i="7"/>
  <c r="AA47" i="7"/>
  <c r="Z47" i="7"/>
  <c r="Y47" i="7"/>
  <c r="X47" i="7"/>
  <c r="X104" i="7" s="1"/>
  <c r="W47" i="7"/>
  <c r="V47" i="7"/>
  <c r="U47" i="7"/>
  <c r="T47" i="7"/>
  <c r="T104" i="7" s="1"/>
  <c r="S47" i="7"/>
  <c r="R47" i="7"/>
  <c r="Q47" i="7"/>
  <c r="Q104" i="7" s="1"/>
  <c r="P47" i="7"/>
  <c r="P104" i="7" s="1"/>
  <c r="O47" i="7"/>
  <c r="O104" i="7" s="1"/>
  <c r="N47" i="7"/>
  <c r="N104" i="7" s="1"/>
  <c r="M47" i="7"/>
  <c r="M104" i="7" s="1"/>
  <c r="L47" i="7"/>
  <c r="K47" i="7"/>
  <c r="J47" i="7"/>
  <c r="I47" i="7"/>
  <c r="I104" i="7" s="1"/>
  <c r="H47" i="7"/>
  <c r="G47" i="7"/>
  <c r="F47" i="7"/>
  <c r="E47" i="7"/>
  <c r="D47" i="7"/>
  <c r="B47" i="7"/>
  <c r="AC46" i="7"/>
  <c r="AB46" i="7"/>
  <c r="AA46" i="7"/>
  <c r="Z46" i="7"/>
  <c r="Y46" i="7"/>
  <c r="X46" i="7"/>
  <c r="W46" i="7"/>
  <c r="V46" i="7"/>
  <c r="U46" i="7"/>
  <c r="U103" i="7" s="1"/>
  <c r="T46" i="7"/>
  <c r="S46" i="7"/>
  <c r="S103" i="7" s="1"/>
  <c r="R46" i="7"/>
  <c r="Q46" i="7"/>
  <c r="P46" i="7"/>
  <c r="O46" i="7"/>
  <c r="N46" i="7"/>
  <c r="M46" i="7"/>
  <c r="L46" i="7"/>
  <c r="L103" i="7" s="1"/>
  <c r="K46" i="7"/>
  <c r="J46" i="7"/>
  <c r="I46" i="7"/>
  <c r="H46" i="7"/>
  <c r="G46" i="7"/>
  <c r="F46" i="7"/>
  <c r="E46" i="7"/>
  <c r="D46" i="7"/>
  <c r="B46" i="7"/>
  <c r="AC45" i="7"/>
  <c r="AB45" i="7"/>
  <c r="AA45" i="7"/>
  <c r="AA102" i="7" s="1"/>
  <c r="Z45" i="7"/>
  <c r="Z102" i="7" s="1"/>
  <c r="Y45" i="7"/>
  <c r="X45" i="7"/>
  <c r="X102" i="7" s="1"/>
  <c r="W45" i="7"/>
  <c r="V45" i="7"/>
  <c r="U45" i="7"/>
  <c r="U102" i="7" s="1"/>
  <c r="T45" i="7"/>
  <c r="S45" i="7"/>
  <c r="S102" i="7" s="1"/>
  <c r="R45" i="7"/>
  <c r="R102" i="7" s="1"/>
  <c r="Q45" i="7"/>
  <c r="Q102" i="7" s="1"/>
  <c r="P45" i="7"/>
  <c r="P102" i="7" s="1"/>
  <c r="O45" i="7"/>
  <c r="O102" i="7" s="1"/>
  <c r="N45" i="7"/>
  <c r="N102" i="7" s="1"/>
  <c r="M45" i="7"/>
  <c r="M102" i="7" s="1"/>
  <c r="L45" i="7"/>
  <c r="L102" i="7" s="1"/>
  <c r="K45" i="7"/>
  <c r="J45" i="7"/>
  <c r="J102" i="7" s="1"/>
  <c r="I45" i="7"/>
  <c r="I102" i="7" s="1"/>
  <c r="H45" i="7"/>
  <c r="H102" i="7" s="1"/>
  <c r="G45" i="7"/>
  <c r="F45" i="7"/>
  <c r="E45" i="7"/>
  <c r="E102" i="7" s="1"/>
  <c r="D45" i="7"/>
  <c r="D102" i="7" s="1"/>
  <c r="B45" i="7"/>
  <c r="T102" i="7" s="1"/>
  <c r="AC44" i="7"/>
  <c r="AC101" i="7" s="1"/>
  <c r="AB44" i="7"/>
  <c r="AB101" i="7" s="1"/>
  <c r="AA44" i="7"/>
  <c r="Z44" i="7"/>
  <c r="Z101" i="7" s="1"/>
  <c r="Y44" i="7"/>
  <c r="X44" i="7"/>
  <c r="X101" i="7" s="1"/>
  <c r="W44" i="7"/>
  <c r="W101" i="7" s="1"/>
  <c r="V44" i="7"/>
  <c r="V101" i="7" s="1"/>
  <c r="U44" i="7"/>
  <c r="U101" i="7" s="1"/>
  <c r="T44" i="7"/>
  <c r="S44" i="7"/>
  <c r="S101" i="7" s="1"/>
  <c r="R44" i="7"/>
  <c r="R101" i="7" s="1"/>
  <c r="Q44" i="7"/>
  <c r="Q101" i="7" s="1"/>
  <c r="P44" i="7"/>
  <c r="O44" i="7"/>
  <c r="O101" i="7" s="1"/>
  <c r="N44" i="7"/>
  <c r="N101" i="7" s="1"/>
  <c r="M44" i="7"/>
  <c r="M101" i="7" s="1"/>
  <c r="L44" i="7"/>
  <c r="L101" i="7" s="1"/>
  <c r="K44" i="7"/>
  <c r="J44" i="7"/>
  <c r="J101" i="7" s="1"/>
  <c r="I44" i="7"/>
  <c r="I101" i="7" s="1"/>
  <c r="H44" i="7"/>
  <c r="H101" i="7" s="1"/>
  <c r="G44" i="7"/>
  <c r="G101" i="7" s="1"/>
  <c r="F44" i="7"/>
  <c r="E44" i="7"/>
  <c r="D44" i="7"/>
  <c r="B44" i="7"/>
  <c r="AC43" i="7"/>
  <c r="AC100" i="7" s="1"/>
  <c r="AB43" i="7"/>
  <c r="AA43" i="7"/>
  <c r="AA100" i="7" s="1"/>
  <c r="Z43" i="7"/>
  <c r="Y43" i="7"/>
  <c r="Y100" i="7" s="1"/>
  <c r="X43" i="7"/>
  <c r="X100" i="7" s="1"/>
  <c r="W43" i="7"/>
  <c r="W100" i="7" s="1"/>
  <c r="V43" i="7"/>
  <c r="V100" i="7" s="1"/>
  <c r="U43" i="7"/>
  <c r="U100" i="7" s="1"/>
  <c r="T43" i="7"/>
  <c r="T100" i="7" s="1"/>
  <c r="S43" i="7"/>
  <c r="S100" i="7" s="1"/>
  <c r="R43" i="7"/>
  <c r="R100" i="7" s="1"/>
  <c r="Q43" i="7"/>
  <c r="Q100" i="7" s="1"/>
  <c r="P43" i="7"/>
  <c r="P100" i="7" s="1"/>
  <c r="O43" i="7"/>
  <c r="O100" i="7" s="1"/>
  <c r="N43" i="7"/>
  <c r="N100" i="7" s="1"/>
  <c r="M43" i="7"/>
  <c r="M100" i="7" s="1"/>
  <c r="L43" i="7"/>
  <c r="L100" i="7" s="1"/>
  <c r="K43" i="7"/>
  <c r="K100" i="7" s="1"/>
  <c r="J43" i="7"/>
  <c r="I43" i="7"/>
  <c r="I100" i="7" s="1"/>
  <c r="H43" i="7"/>
  <c r="H100" i="7" s="1"/>
  <c r="G43" i="7"/>
  <c r="G100" i="7" s="1"/>
  <c r="F43" i="7"/>
  <c r="E43" i="7"/>
  <c r="E100" i="7" s="1"/>
  <c r="D43" i="7"/>
  <c r="D100" i="7" s="1"/>
  <c r="B43" i="7"/>
  <c r="AC42" i="7"/>
  <c r="AC99" i="7" s="1"/>
  <c r="AB42" i="7"/>
  <c r="AB99" i="7" s="1"/>
  <c r="AA42" i="7"/>
  <c r="AA99" i="7" s="1"/>
  <c r="Z42" i="7"/>
  <c r="Z99" i="7" s="1"/>
  <c r="Y42" i="7"/>
  <c r="X42" i="7"/>
  <c r="X99" i="7" s="1"/>
  <c r="W42" i="7"/>
  <c r="W99" i="7" s="1"/>
  <c r="V42" i="7"/>
  <c r="U42" i="7"/>
  <c r="T42" i="7"/>
  <c r="T99" i="7" s="1"/>
  <c r="S42" i="7"/>
  <c r="S99" i="7" s="1"/>
  <c r="R42" i="7"/>
  <c r="Q42" i="7"/>
  <c r="Q99" i="7" s="1"/>
  <c r="P42" i="7"/>
  <c r="P99" i="7" s="1"/>
  <c r="O42" i="7"/>
  <c r="N42" i="7"/>
  <c r="N99" i="7" s="1"/>
  <c r="M42" i="7"/>
  <c r="L42" i="7"/>
  <c r="L99" i="7" s="1"/>
  <c r="K42" i="7"/>
  <c r="K99" i="7" s="1"/>
  <c r="J42" i="7"/>
  <c r="J99" i="7" s="1"/>
  <c r="I42" i="7"/>
  <c r="I99" i="7" s="1"/>
  <c r="H42" i="7"/>
  <c r="G42" i="7"/>
  <c r="G99" i="7" s="1"/>
  <c r="F42" i="7"/>
  <c r="F99" i="7" s="1"/>
  <c r="E42" i="7"/>
  <c r="E99" i="7" s="1"/>
  <c r="D42" i="7"/>
  <c r="B42" i="7"/>
  <c r="U99" i="7" s="1"/>
  <c r="AC41" i="7"/>
  <c r="AB41" i="7"/>
  <c r="AB98" i="7" s="1"/>
  <c r="AA41" i="7"/>
  <c r="Z41" i="7"/>
  <c r="Y41" i="7"/>
  <c r="X41" i="7"/>
  <c r="X98" i="7" s="1"/>
  <c r="W41" i="7"/>
  <c r="V41" i="7"/>
  <c r="V98" i="7" s="1"/>
  <c r="U41" i="7"/>
  <c r="T41" i="7"/>
  <c r="S41" i="7"/>
  <c r="R41" i="7"/>
  <c r="Q41" i="7"/>
  <c r="P41" i="7"/>
  <c r="O41" i="7"/>
  <c r="O98" i="7" s="1"/>
  <c r="N41" i="7"/>
  <c r="M41" i="7"/>
  <c r="L41" i="7"/>
  <c r="K41" i="7"/>
  <c r="J41" i="7"/>
  <c r="I41" i="7"/>
  <c r="H41" i="7"/>
  <c r="G41" i="7"/>
  <c r="F41" i="7"/>
  <c r="F98" i="7" s="1"/>
  <c r="E41" i="7"/>
  <c r="D41" i="7"/>
  <c r="B41" i="7"/>
  <c r="AC40" i="7"/>
  <c r="AC97" i="7" s="1"/>
  <c r="AB40" i="7"/>
  <c r="AB97" i="7" s="1"/>
  <c r="AA40" i="7"/>
  <c r="AA97" i="7" s="1"/>
  <c r="Z40" i="7"/>
  <c r="Y40" i="7"/>
  <c r="X40" i="7"/>
  <c r="W40" i="7"/>
  <c r="W97" i="7" s="1"/>
  <c r="V40" i="7"/>
  <c r="V97" i="7" s="1"/>
  <c r="U40" i="7"/>
  <c r="U97" i="7" s="1"/>
  <c r="T40" i="7"/>
  <c r="T97" i="7" s="1"/>
  <c r="S40" i="7"/>
  <c r="S97" i="7" s="1"/>
  <c r="R40" i="7"/>
  <c r="Q40" i="7"/>
  <c r="P40" i="7"/>
  <c r="P97" i="7" s="1"/>
  <c r="O40" i="7"/>
  <c r="O97" i="7" s="1"/>
  <c r="N40" i="7"/>
  <c r="M40" i="7"/>
  <c r="M97" i="7" s="1"/>
  <c r="L40" i="7"/>
  <c r="L97" i="7" s="1"/>
  <c r="K40" i="7"/>
  <c r="K97" i="7" s="1"/>
  <c r="J40" i="7"/>
  <c r="J97" i="7" s="1"/>
  <c r="I40" i="7"/>
  <c r="I97" i="7" s="1"/>
  <c r="H40" i="7"/>
  <c r="H97" i="7" s="1"/>
  <c r="G40" i="7"/>
  <c r="G97" i="7" s="1"/>
  <c r="F40" i="7"/>
  <c r="F97" i="7" s="1"/>
  <c r="E40" i="7"/>
  <c r="E97" i="7" s="1"/>
  <c r="D40" i="7"/>
  <c r="B40" i="7"/>
  <c r="R97" i="7" s="1"/>
  <c r="AC39" i="7"/>
  <c r="AB39" i="7"/>
  <c r="AA39" i="7"/>
  <c r="AA96" i="7" s="1"/>
  <c r="Z39" i="7"/>
  <c r="Y39" i="7"/>
  <c r="X39" i="7"/>
  <c r="X96" i="7" s="1"/>
  <c r="W39" i="7"/>
  <c r="V39" i="7"/>
  <c r="U39" i="7"/>
  <c r="U96" i="7" s="1"/>
  <c r="T39" i="7"/>
  <c r="T96" i="7" s="1"/>
  <c r="S39" i="7"/>
  <c r="R39" i="7"/>
  <c r="Q39" i="7"/>
  <c r="Q96" i="7" s="1"/>
  <c r="P39" i="7"/>
  <c r="P96" i="7" s="1"/>
  <c r="O39" i="7"/>
  <c r="N39" i="7"/>
  <c r="M39" i="7"/>
  <c r="M96" i="7" s="1"/>
  <c r="L39" i="7"/>
  <c r="L96" i="7" s="1"/>
  <c r="K39" i="7"/>
  <c r="J39" i="7"/>
  <c r="J96" i="7" s="1"/>
  <c r="I39" i="7"/>
  <c r="H39" i="7"/>
  <c r="G39" i="7"/>
  <c r="F39" i="7"/>
  <c r="E39" i="7"/>
  <c r="E96" i="7" s="1"/>
  <c r="D39" i="7"/>
  <c r="B39" i="7"/>
  <c r="W96" i="7" s="1"/>
  <c r="AC38" i="7"/>
  <c r="AB38" i="7"/>
  <c r="AA38" i="7"/>
  <c r="Z38" i="7"/>
  <c r="Y38" i="7"/>
  <c r="X38" i="7"/>
  <c r="W38" i="7"/>
  <c r="V38" i="7"/>
  <c r="V95" i="7" s="1"/>
  <c r="U38" i="7"/>
  <c r="U95" i="7" s="1"/>
  <c r="T38" i="7"/>
  <c r="S38" i="7"/>
  <c r="R38" i="7"/>
  <c r="R95" i="7" s="1"/>
  <c r="Q38" i="7"/>
  <c r="Q95" i="7" s="1"/>
  <c r="P38" i="7"/>
  <c r="P95" i="7" s="1"/>
  <c r="O38" i="7"/>
  <c r="O95" i="7" s="1"/>
  <c r="N38" i="7"/>
  <c r="M38" i="7"/>
  <c r="L38" i="7"/>
  <c r="K38" i="7"/>
  <c r="J38" i="7"/>
  <c r="J95" i="7" s="1"/>
  <c r="I38" i="7"/>
  <c r="H38" i="7"/>
  <c r="G38" i="7"/>
  <c r="F38" i="7"/>
  <c r="E38" i="7"/>
  <c r="D38" i="7"/>
  <c r="B38" i="7"/>
  <c r="W95" i="7" s="1"/>
  <c r="AC37" i="7"/>
  <c r="AB37" i="7"/>
  <c r="AA37" i="7"/>
  <c r="AA94" i="7" s="1"/>
  <c r="Z37" i="7"/>
  <c r="Z94" i="7" s="1"/>
  <c r="Y37" i="7"/>
  <c r="X37" i="7"/>
  <c r="X94" i="7" s="1"/>
  <c r="W37" i="7"/>
  <c r="W94" i="7" s="1"/>
  <c r="V37" i="7"/>
  <c r="V94" i="7" s="1"/>
  <c r="U37" i="7"/>
  <c r="T37" i="7"/>
  <c r="T94" i="7" s="1"/>
  <c r="S37" i="7"/>
  <c r="R37" i="7"/>
  <c r="Q37" i="7"/>
  <c r="Q94" i="7" s="1"/>
  <c r="P37" i="7"/>
  <c r="O37" i="7"/>
  <c r="O94" i="7" s="1"/>
  <c r="N37" i="7"/>
  <c r="N94" i="7" s="1"/>
  <c r="M37" i="7"/>
  <c r="M94" i="7" s="1"/>
  <c r="L37" i="7"/>
  <c r="L94" i="7" s="1"/>
  <c r="K37" i="7"/>
  <c r="K94" i="7" s="1"/>
  <c r="J37" i="7"/>
  <c r="J94" i="7" s="1"/>
  <c r="I37" i="7"/>
  <c r="I94" i="7" s="1"/>
  <c r="H37" i="7"/>
  <c r="H94" i="7" s="1"/>
  <c r="G37" i="7"/>
  <c r="F37" i="7"/>
  <c r="F94" i="7" s="1"/>
  <c r="E37" i="7"/>
  <c r="E94" i="7" s="1"/>
  <c r="D37" i="7"/>
  <c r="D94" i="7" s="1"/>
  <c r="B37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B36" i="7"/>
  <c r="AC35" i="7"/>
  <c r="AC92" i="7" s="1"/>
  <c r="AC96" i="8" s="1"/>
  <c r="AB35" i="7"/>
  <c r="AB92" i="7" s="1"/>
  <c r="AB96" i="8" s="1"/>
  <c r="AA35" i="7"/>
  <c r="AA92" i="7" s="1"/>
  <c r="AA96" i="8" s="1"/>
  <c r="Z35" i="7"/>
  <c r="Z92" i="7" s="1"/>
  <c r="Z96" i="8" s="1"/>
  <c r="Y35" i="7"/>
  <c r="Y92" i="7" s="1"/>
  <c r="Y96" i="8" s="1"/>
  <c r="X35" i="7"/>
  <c r="X92" i="7" s="1"/>
  <c r="X96" i="8" s="1"/>
  <c r="W35" i="7"/>
  <c r="W92" i="7" s="1"/>
  <c r="W96" i="8" s="1"/>
  <c r="V35" i="7"/>
  <c r="V92" i="7" s="1"/>
  <c r="V96" i="8" s="1"/>
  <c r="U35" i="7"/>
  <c r="U92" i="7" s="1"/>
  <c r="U96" i="8" s="1"/>
  <c r="T35" i="7"/>
  <c r="T92" i="7" s="1"/>
  <c r="T96" i="8" s="1"/>
  <c r="S35" i="7"/>
  <c r="S92" i="7" s="1"/>
  <c r="S96" i="8" s="1"/>
  <c r="R35" i="7"/>
  <c r="Q35" i="7"/>
  <c r="Q92" i="7" s="1"/>
  <c r="Q96" i="8" s="1"/>
  <c r="P35" i="7"/>
  <c r="P92" i="7" s="1"/>
  <c r="P96" i="8" s="1"/>
  <c r="O35" i="7"/>
  <c r="O92" i="7" s="1"/>
  <c r="O96" i="8" s="1"/>
  <c r="N35" i="7"/>
  <c r="N92" i="7" s="1"/>
  <c r="N96" i="8" s="1"/>
  <c r="M35" i="7"/>
  <c r="M92" i="7" s="1"/>
  <c r="M96" i="8" s="1"/>
  <c r="L35" i="7"/>
  <c r="L92" i="7" s="1"/>
  <c r="L96" i="8" s="1"/>
  <c r="K35" i="7"/>
  <c r="K92" i="7" s="1"/>
  <c r="K96" i="8" s="1"/>
  <c r="J35" i="7"/>
  <c r="J92" i="7" s="1"/>
  <c r="J96" i="8" s="1"/>
  <c r="I35" i="7"/>
  <c r="I92" i="7" s="1"/>
  <c r="I96" i="8" s="1"/>
  <c r="H35" i="7"/>
  <c r="H92" i="7" s="1"/>
  <c r="H96" i="8" s="1"/>
  <c r="G35" i="7"/>
  <c r="G92" i="7" s="1"/>
  <c r="G96" i="8" s="1"/>
  <c r="F35" i="7"/>
  <c r="F92" i="7" s="1"/>
  <c r="E35" i="7"/>
  <c r="E92" i="7" s="1"/>
  <c r="E96" i="8" s="1"/>
  <c r="D35" i="7"/>
  <c r="D92" i="7" s="1"/>
  <c r="D96" i="8" s="1"/>
  <c r="D152" i="8" s="1"/>
  <c r="B35" i="7"/>
  <c r="AC34" i="7"/>
  <c r="AC91" i="7" s="1"/>
  <c r="AB34" i="7"/>
  <c r="AA34" i="7"/>
  <c r="Z34" i="7"/>
  <c r="Y34" i="7"/>
  <c r="X34" i="7"/>
  <c r="X91" i="7" s="1"/>
  <c r="W34" i="7"/>
  <c r="W91" i="7" s="1"/>
  <c r="V34" i="7"/>
  <c r="U34" i="7"/>
  <c r="T34" i="7"/>
  <c r="T91" i="7" s="1"/>
  <c r="S34" i="7"/>
  <c r="S91" i="7" s="1"/>
  <c r="R34" i="7"/>
  <c r="Q34" i="7"/>
  <c r="Q91" i="7" s="1"/>
  <c r="P34" i="7"/>
  <c r="P91" i="7" s="1"/>
  <c r="O34" i="7"/>
  <c r="O91" i="7" s="1"/>
  <c r="N34" i="7"/>
  <c r="M34" i="7"/>
  <c r="M91" i="7" s="1"/>
  <c r="L34" i="7"/>
  <c r="K34" i="7"/>
  <c r="J34" i="7"/>
  <c r="J91" i="7" s="1"/>
  <c r="I34" i="7"/>
  <c r="H34" i="7"/>
  <c r="H91" i="7" s="1"/>
  <c r="G34" i="7"/>
  <c r="G91" i="7" s="1"/>
  <c r="F34" i="7"/>
  <c r="F91" i="7" s="1"/>
  <c r="E34" i="7"/>
  <c r="E91" i="7" s="1"/>
  <c r="D34" i="7"/>
  <c r="D91" i="7" s="1"/>
  <c r="B34" i="7"/>
  <c r="V91" i="7" s="1"/>
  <c r="AC33" i="7"/>
  <c r="AB33" i="7"/>
  <c r="AA33" i="7"/>
  <c r="Z33" i="7"/>
  <c r="Y33" i="7"/>
  <c r="X33" i="7"/>
  <c r="X90" i="7" s="1"/>
  <c r="W33" i="7"/>
  <c r="V33" i="7"/>
  <c r="U33" i="7"/>
  <c r="U90" i="7" s="1"/>
  <c r="T33" i="7"/>
  <c r="T90" i="7" s="1"/>
  <c r="S33" i="7"/>
  <c r="S90" i="7" s="1"/>
  <c r="R33" i="7"/>
  <c r="R90" i="7" s="1"/>
  <c r="Q33" i="7"/>
  <c r="P33" i="7"/>
  <c r="O33" i="7"/>
  <c r="N33" i="7"/>
  <c r="M33" i="7"/>
  <c r="M90" i="7" s="1"/>
  <c r="L33" i="7"/>
  <c r="L90" i="7" s="1"/>
  <c r="K33" i="7"/>
  <c r="J33" i="7"/>
  <c r="I33" i="7"/>
  <c r="H33" i="7"/>
  <c r="G33" i="7"/>
  <c r="F33" i="7"/>
  <c r="E33" i="7"/>
  <c r="D33" i="7"/>
  <c r="B33" i="7"/>
  <c r="AC32" i="7"/>
  <c r="AB32" i="7"/>
  <c r="AA32" i="7"/>
  <c r="Z32" i="7"/>
  <c r="Y32" i="7"/>
  <c r="X32" i="7"/>
  <c r="W32" i="7"/>
  <c r="W89" i="7" s="1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G89" i="7" s="1"/>
  <c r="F32" i="7"/>
  <c r="E32" i="7"/>
  <c r="D32" i="7"/>
  <c r="B32" i="7"/>
  <c r="Q89" i="7" s="1"/>
  <c r="AC31" i="7"/>
  <c r="AB31" i="7"/>
  <c r="AB88" i="7" s="1"/>
  <c r="AB92" i="8" s="1"/>
  <c r="AA31" i="7"/>
  <c r="AA88" i="7" s="1"/>
  <c r="AA92" i="8" s="1"/>
  <c r="Z31" i="7"/>
  <c r="Z88" i="7" s="1"/>
  <c r="Z92" i="8" s="1"/>
  <c r="Y31" i="7"/>
  <c r="Y88" i="7" s="1"/>
  <c r="Y92" i="8" s="1"/>
  <c r="X31" i="7"/>
  <c r="X88" i="7" s="1"/>
  <c r="X92" i="8" s="1"/>
  <c r="W31" i="7"/>
  <c r="W88" i="7" s="1"/>
  <c r="W92" i="8" s="1"/>
  <c r="V31" i="7"/>
  <c r="V88" i="7" s="1"/>
  <c r="V92" i="8" s="1"/>
  <c r="U31" i="7"/>
  <c r="U88" i="7" s="1"/>
  <c r="U92" i="8" s="1"/>
  <c r="T31" i="7"/>
  <c r="T88" i="7" s="1"/>
  <c r="T92" i="8" s="1"/>
  <c r="S31" i="7"/>
  <c r="S88" i="7" s="1"/>
  <c r="S92" i="8" s="1"/>
  <c r="R31" i="7"/>
  <c r="R88" i="7" s="1"/>
  <c r="R92" i="8" s="1"/>
  <c r="Q31" i="7"/>
  <c r="Q88" i="7" s="1"/>
  <c r="Q92" i="8" s="1"/>
  <c r="P31" i="7"/>
  <c r="O31" i="7"/>
  <c r="O88" i="7" s="1"/>
  <c r="O92" i="8" s="1"/>
  <c r="N31" i="7"/>
  <c r="N88" i="7" s="1"/>
  <c r="N92" i="8" s="1"/>
  <c r="M31" i="7"/>
  <c r="M88" i="7" s="1"/>
  <c r="M92" i="8" s="1"/>
  <c r="L31" i="7"/>
  <c r="K31" i="7"/>
  <c r="K88" i="7" s="1"/>
  <c r="K92" i="8" s="1"/>
  <c r="J31" i="7"/>
  <c r="J88" i="7" s="1"/>
  <c r="J92" i="8" s="1"/>
  <c r="I31" i="7"/>
  <c r="I88" i="7" s="1"/>
  <c r="I92" i="8" s="1"/>
  <c r="H31" i="7"/>
  <c r="H88" i="7" s="1"/>
  <c r="H92" i="8" s="1"/>
  <c r="G31" i="7"/>
  <c r="G88" i="7" s="1"/>
  <c r="G92" i="8" s="1"/>
  <c r="F31" i="7"/>
  <c r="F88" i="7" s="1"/>
  <c r="F92" i="8" s="1"/>
  <c r="E31" i="7"/>
  <c r="E88" i="7" s="1"/>
  <c r="E92" i="8" s="1"/>
  <c r="D31" i="7"/>
  <c r="B31" i="7"/>
  <c r="AC30" i="7"/>
  <c r="AB30" i="7"/>
  <c r="AB87" i="7" s="1"/>
  <c r="AB91" i="8" s="1"/>
  <c r="AA30" i="7"/>
  <c r="AA87" i="7" s="1"/>
  <c r="AA91" i="8" s="1"/>
  <c r="Z30" i="7"/>
  <c r="Z87" i="7" s="1"/>
  <c r="Z91" i="8" s="1"/>
  <c r="Y30" i="7"/>
  <c r="Y87" i="7" s="1"/>
  <c r="Y91" i="8" s="1"/>
  <c r="X30" i="7"/>
  <c r="X87" i="7" s="1"/>
  <c r="W30" i="7"/>
  <c r="W87" i="7" s="1"/>
  <c r="W91" i="8" s="1"/>
  <c r="V30" i="7"/>
  <c r="V87" i="7" s="1"/>
  <c r="V91" i="8" s="1"/>
  <c r="U30" i="7"/>
  <c r="U87" i="7" s="1"/>
  <c r="U91" i="8" s="1"/>
  <c r="T30" i="7"/>
  <c r="T87" i="7" s="1"/>
  <c r="T91" i="8" s="1"/>
  <c r="S30" i="7"/>
  <c r="S87" i="7" s="1"/>
  <c r="S91" i="8" s="1"/>
  <c r="R30" i="7"/>
  <c r="R87" i="7" s="1"/>
  <c r="R91" i="8" s="1"/>
  <c r="Q30" i="7"/>
  <c r="Q87" i="7" s="1"/>
  <c r="Q91" i="8" s="1"/>
  <c r="P30" i="7"/>
  <c r="P87" i="7" s="1"/>
  <c r="P91" i="8" s="1"/>
  <c r="O30" i="7"/>
  <c r="O87" i="7" s="1"/>
  <c r="O91" i="8" s="1"/>
  <c r="N30" i="7"/>
  <c r="N87" i="7" s="1"/>
  <c r="N91" i="8" s="1"/>
  <c r="M30" i="7"/>
  <c r="M87" i="7" s="1"/>
  <c r="M91" i="8" s="1"/>
  <c r="L30" i="7"/>
  <c r="L87" i="7" s="1"/>
  <c r="L91" i="8" s="1"/>
  <c r="K30" i="7"/>
  <c r="K87" i="7" s="1"/>
  <c r="K91" i="8" s="1"/>
  <c r="J30" i="7"/>
  <c r="J87" i="7" s="1"/>
  <c r="J91" i="8" s="1"/>
  <c r="I30" i="7"/>
  <c r="I87" i="7" s="1"/>
  <c r="I91" i="8" s="1"/>
  <c r="H30" i="7"/>
  <c r="H87" i="7" s="1"/>
  <c r="H91" i="8" s="1"/>
  <c r="G30" i="7"/>
  <c r="G87" i="7" s="1"/>
  <c r="G91" i="8" s="1"/>
  <c r="F30" i="7"/>
  <c r="F87" i="7" s="1"/>
  <c r="F91" i="8" s="1"/>
  <c r="E30" i="7"/>
  <c r="E87" i="7" s="1"/>
  <c r="E91" i="8" s="1"/>
  <c r="D30" i="7"/>
  <c r="D87" i="7" s="1"/>
  <c r="B30" i="7"/>
  <c r="AC29" i="7"/>
  <c r="AC86" i="7" s="1"/>
  <c r="AB29" i="7"/>
  <c r="AB86" i="7" s="1"/>
  <c r="AA29" i="7"/>
  <c r="AA86" i="7" s="1"/>
  <c r="Z29" i="7"/>
  <c r="Z86" i="7" s="1"/>
  <c r="Y29" i="7"/>
  <c r="X29" i="7"/>
  <c r="X86" i="7" s="1"/>
  <c r="W29" i="7"/>
  <c r="W86" i="7" s="1"/>
  <c r="V29" i="7"/>
  <c r="V86" i="7" s="1"/>
  <c r="U29" i="7"/>
  <c r="U86" i="7" s="1"/>
  <c r="T29" i="7"/>
  <c r="T86" i="7" s="1"/>
  <c r="S29" i="7"/>
  <c r="S86" i="7" s="1"/>
  <c r="R29" i="7"/>
  <c r="R86" i="7" s="1"/>
  <c r="Q29" i="7"/>
  <c r="Q86" i="7" s="1"/>
  <c r="P29" i="7"/>
  <c r="P86" i="7" s="1"/>
  <c r="O29" i="7"/>
  <c r="N29" i="7"/>
  <c r="N86" i="7" s="1"/>
  <c r="M29" i="7"/>
  <c r="M86" i="7" s="1"/>
  <c r="L29" i="7"/>
  <c r="K29" i="7"/>
  <c r="K86" i="7" s="1"/>
  <c r="J29" i="7"/>
  <c r="J86" i="7" s="1"/>
  <c r="I29" i="7"/>
  <c r="I86" i="7" s="1"/>
  <c r="H29" i="7"/>
  <c r="H86" i="7" s="1"/>
  <c r="G29" i="7"/>
  <c r="G86" i="7" s="1"/>
  <c r="F29" i="7"/>
  <c r="F86" i="7" s="1"/>
  <c r="E29" i="7"/>
  <c r="E86" i="7" s="1"/>
  <c r="D29" i="7"/>
  <c r="D86" i="7" s="1"/>
  <c r="B29" i="7"/>
  <c r="AC28" i="7"/>
  <c r="AC85" i="7" s="1"/>
  <c r="AC89" i="8" s="1"/>
  <c r="AB28" i="7"/>
  <c r="AB85" i="7" s="1"/>
  <c r="AB89" i="8" s="1"/>
  <c r="AA28" i="7"/>
  <c r="AA85" i="7" s="1"/>
  <c r="AA89" i="8" s="1"/>
  <c r="Z28" i="7"/>
  <c r="Y28" i="7"/>
  <c r="Y85" i="7" s="1"/>
  <c r="Y89" i="8" s="1"/>
  <c r="X28" i="7"/>
  <c r="X85" i="7" s="1"/>
  <c r="X89" i="8" s="1"/>
  <c r="W28" i="7"/>
  <c r="W85" i="7" s="1"/>
  <c r="W89" i="8" s="1"/>
  <c r="V28" i="7"/>
  <c r="V85" i="7" s="1"/>
  <c r="V89" i="8" s="1"/>
  <c r="U28" i="7"/>
  <c r="U85" i="7" s="1"/>
  <c r="U89" i="8" s="1"/>
  <c r="T28" i="7"/>
  <c r="T85" i="7" s="1"/>
  <c r="T89" i="8" s="1"/>
  <c r="S28" i="7"/>
  <c r="S85" i="7" s="1"/>
  <c r="S89" i="8" s="1"/>
  <c r="R28" i="7"/>
  <c r="Q28" i="7"/>
  <c r="Q85" i="7" s="1"/>
  <c r="Q89" i="8" s="1"/>
  <c r="P28" i="7"/>
  <c r="P85" i="7" s="1"/>
  <c r="P89" i="8" s="1"/>
  <c r="O28" i="7"/>
  <c r="O85" i="7" s="1"/>
  <c r="O89" i="8" s="1"/>
  <c r="N28" i="7"/>
  <c r="N85" i="7" s="1"/>
  <c r="N89" i="8" s="1"/>
  <c r="M28" i="7"/>
  <c r="M85" i="7" s="1"/>
  <c r="M89" i="8" s="1"/>
  <c r="L28" i="7"/>
  <c r="L85" i="7" s="1"/>
  <c r="L89" i="8" s="1"/>
  <c r="K28" i="7"/>
  <c r="K85" i="7" s="1"/>
  <c r="K89" i="8" s="1"/>
  <c r="J28" i="7"/>
  <c r="J85" i="7" s="1"/>
  <c r="J89" i="8" s="1"/>
  <c r="I28" i="7"/>
  <c r="I85" i="7" s="1"/>
  <c r="I89" i="8" s="1"/>
  <c r="H28" i="7"/>
  <c r="H85" i="7" s="1"/>
  <c r="H89" i="8" s="1"/>
  <c r="G28" i="7"/>
  <c r="G85" i="7" s="1"/>
  <c r="G89" i="8" s="1"/>
  <c r="F28" i="7"/>
  <c r="F85" i="7" s="1"/>
  <c r="F89" i="8" s="1"/>
  <c r="E28" i="7"/>
  <c r="E85" i="7" s="1"/>
  <c r="E89" i="8" s="1"/>
  <c r="E145" i="8" s="1"/>
  <c r="D28" i="7"/>
  <c r="D85" i="7" s="1"/>
  <c r="D89" i="8" s="1"/>
  <c r="D145" i="8" s="1"/>
  <c r="C26" i="10" s="1"/>
  <c r="B28" i="7"/>
  <c r="AC27" i="7"/>
  <c r="AC84" i="7" s="1"/>
  <c r="AC88" i="8" s="1"/>
  <c r="AB27" i="7"/>
  <c r="AB84" i="7" s="1"/>
  <c r="AB88" i="8" s="1"/>
  <c r="AA27" i="7"/>
  <c r="AA84" i="7" s="1"/>
  <c r="AA88" i="8" s="1"/>
  <c r="Z27" i="7"/>
  <c r="Z84" i="7" s="1"/>
  <c r="Z88" i="8" s="1"/>
  <c r="Y27" i="7"/>
  <c r="X27" i="7"/>
  <c r="W27" i="7"/>
  <c r="V27" i="7"/>
  <c r="U27" i="7"/>
  <c r="U84" i="7" s="1"/>
  <c r="U88" i="8" s="1"/>
  <c r="T27" i="7"/>
  <c r="S27" i="7"/>
  <c r="R27" i="7"/>
  <c r="R84" i="7" s="1"/>
  <c r="R88" i="8" s="1"/>
  <c r="Q27" i="7"/>
  <c r="Q84" i="7" s="1"/>
  <c r="Q88" i="8" s="1"/>
  <c r="P27" i="7"/>
  <c r="P84" i="7" s="1"/>
  <c r="P88" i="8" s="1"/>
  <c r="O27" i="7"/>
  <c r="O84" i="7" s="1"/>
  <c r="O88" i="8" s="1"/>
  <c r="N27" i="7"/>
  <c r="N84" i="7" s="1"/>
  <c r="N88" i="8" s="1"/>
  <c r="M27" i="7"/>
  <c r="M84" i="7" s="1"/>
  <c r="M88" i="8" s="1"/>
  <c r="L27" i="7"/>
  <c r="L84" i="7" s="1"/>
  <c r="L88" i="8" s="1"/>
  <c r="K27" i="7"/>
  <c r="K84" i="7" s="1"/>
  <c r="K88" i="8" s="1"/>
  <c r="J27" i="7"/>
  <c r="J84" i="7" s="1"/>
  <c r="J88" i="8" s="1"/>
  <c r="I27" i="7"/>
  <c r="I84" i="7" s="1"/>
  <c r="I88" i="8" s="1"/>
  <c r="H27" i="7"/>
  <c r="H84" i="7" s="1"/>
  <c r="H88" i="8" s="1"/>
  <c r="G27" i="7"/>
  <c r="G84" i="7" s="1"/>
  <c r="G88" i="8" s="1"/>
  <c r="F27" i="7"/>
  <c r="F84" i="7" s="1"/>
  <c r="F88" i="8" s="1"/>
  <c r="E27" i="7"/>
  <c r="E84" i="7" s="1"/>
  <c r="E88" i="8" s="1"/>
  <c r="D27" i="7"/>
  <c r="D84" i="7" s="1"/>
  <c r="D88" i="8" s="1"/>
  <c r="D144" i="8" s="1"/>
  <c r="B27" i="7"/>
  <c r="AC26" i="7"/>
  <c r="AB26" i="7"/>
  <c r="AB83" i="7" s="1"/>
  <c r="AB87" i="8" s="1"/>
  <c r="AA26" i="7"/>
  <c r="AA83" i="7" s="1"/>
  <c r="AA87" i="8" s="1"/>
  <c r="Z26" i="7"/>
  <c r="Z83" i="7" s="1"/>
  <c r="Z87" i="8" s="1"/>
  <c r="Y26" i="7"/>
  <c r="Y83" i="7" s="1"/>
  <c r="Y87" i="8" s="1"/>
  <c r="X26" i="7"/>
  <c r="X83" i="7" s="1"/>
  <c r="X87" i="8" s="1"/>
  <c r="W26" i="7"/>
  <c r="W83" i="7" s="1"/>
  <c r="W87" i="8" s="1"/>
  <c r="V26" i="7"/>
  <c r="U26" i="7"/>
  <c r="U83" i="7" s="1"/>
  <c r="U87" i="8" s="1"/>
  <c r="T26" i="7"/>
  <c r="S26" i="7"/>
  <c r="S83" i="7" s="1"/>
  <c r="S87" i="8" s="1"/>
  <c r="R26" i="7"/>
  <c r="R83" i="7" s="1"/>
  <c r="R87" i="8" s="1"/>
  <c r="Q26" i="7"/>
  <c r="Q83" i="7" s="1"/>
  <c r="Q87" i="8" s="1"/>
  <c r="P26" i="7"/>
  <c r="P83" i="7" s="1"/>
  <c r="P87" i="8" s="1"/>
  <c r="O26" i="7"/>
  <c r="O83" i="7" s="1"/>
  <c r="O87" i="8" s="1"/>
  <c r="N26" i="7"/>
  <c r="N83" i="7" s="1"/>
  <c r="M26" i="7"/>
  <c r="M83" i="7" s="1"/>
  <c r="M87" i="8" s="1"/>
  <c r="L26" i="7"/>
  <c r="L83" i="7" s="1"/>
  <c r="L87" i="8" s="1"/>
  <c r="K26" i="7"/>
  <c r="K83" i="7" s="1"/>
  <c r="K87" i="8" s="1"/>
  <c r="J26" i="7"/>
  <c r="J83" i="7" s="1"/>
  <c r="J87" i="8" s="1"/>
  <c r="I26" i="7"/>
  <c r="I83" i="7" s="1"/>
  <c r="I87" i="8" s="1"/>
  <c r="H26" i="7"/>
  <c r="H83" i="7" s="1"/>
  <c r="H87" i="8" s="1"/>
  <c r="G26" i="7"/>
  <c r="G83" i="7" s="1"/>
  <c r="G87" i="8" s="1"/>
  <c r="F26" i="7"/>
  <c r="F83" i="7" s="1"/>
  <c r="F87" i="8" s="1"/>
  <c r="E26" i="7"/>
  <c r="E83" i="7" s="1"/>
  <c r="E87" i="8" s="1"/>
  <c r="D26" i="7"/>
  <c r="D83" i="7" s="1"/>
  <c r="D87" i="8" s="1"/>
  <c r="D143" i="8" s="1"/>
  <c r="B26" i="7"/>
  <c r="AC25" i="7"/>
  <c r="AC82" i="7" s="1"/>
  <c r="AC86" i="8" s="1"/>
  <c r="AB25" i="7"/>
  <c r="AB82" i="7" s="1"/>
  <c r="AB86" i="8" s="1"/>
  <c r="AA25" i="7"/>
  <c r="AA82" i="7" s="1"/>
  <c r="AA86" i="8" s="1"/>
  <c r="Z25" i="7"/>
  <c r="Z82" i="7" s="1"/>
  <c r="Z86" i="8" s="1"/>
  <c r="Y25" i="7"/>
  <c r="Y82" i="7" s="1"/>
  <c r="Y86" i="8" s="1"/>
  <c r="X25" i="7"/>
  <c r="X82" i="7" s="1"/>
  <c r="X86" i="8" s="1"/>
  <c r="W25" i="7"/>
  <c r="V25" i="7"/>
  <c r="V82" i="7" s="1"/>
  <c r="V86" i="8" s="1"/>
  <c r="U25" i="7"/>
  <c r="U82" i="7" s="1"/>
  <c r="U86" i="8" s="1"/>
  <c r="T25" i="7"/>
  <c r="T82" i="7" s="1"/>
  <c r="T86" i="8" s="1"/>
  <c r="S25" i="7"/>
  <c r="S82" i="7" s="1"/>
  <c r="R25" i="7"/>
  <c r="R82" i="7" s="1"/>
  <c r="R86" i="8" s="1"/>
  <c r="Q25" i="7"/>
  <c r="Q82" i="7" s="1"/>
  <c r="Q86" i="8" s="1"/>
  <c r="P25" i="7"/>
  <c r="P82" i="7" s="1"/>
  <c r="P86" i="8" s="1"/>
  <c r="O25" i="7"/>
  <c r="O82" i="7" s="1"/>
  <c r="O86" i="8" s="1"/>
  <c r="N25" i="7"/>
  <c r="N82" i="7" s="1"/>
  <c r="N86" i="8" s="1"/>
  <c r="M25" i="7"/>
  <c r="M82" i="7" s="1"/>
  <c r="M86" i="8" s="1"/>
  <c r="L25" i="7"/>
  <c r="L82" i="7" s="1"/>
  <c r="K25" i="7"/>
  <c r="K82" i="7" s="1"/>
  <c r="K86" i="8" s="1"/>
  <c r="J25" i="7"/>
  <c r="I25" i="7"/>
  <c r="I82" i="7" s="1"/>
  <c r="I86" i="8" s="1"/>
  <c r="H25" i="7"/>
  <c r="G25" i="7"/>
  <c r="G82" i="7" s="1"/>
  <c r="G86" i="8" s="1"/>
  <c r="F25" i="7"/>
  <c r="E25" i="7"/>
  <c r="E82" i="7" s="1"/>
  <c r="E86" i="8" s="1"/>
  <c r="D25" i="7"/>
  <c r="D82" i="7" s="1"/>
  <c r="B25" i="7"/>
  <c r="AC24" i="7"/>
  <c r="AC81" i="7" s="1"/>
  <c r="AC85" i="8" s="1"/>
  <c r="AB24" i="7"/>
  <c r="AB81" i="7" s="1"/>
  <c r="AB85" i="8" s="1"/>
  <c r="AA24" i="7"/>
  <c r="AA81" i="7" s="1"/>
  <c r="AA85" i="8" s="1"/>
  <c r="Z24" i="7"/>
  <c r="Z81" i="7" s="1"/>
  <c r="Z85" i="8" s="1"/>
  <c r="Y24" i="7"/>
  <c r="Y81" i="7" s="1"/>
  <c r="Y85" i="8" s="1"/>
  <c r="X24" i="7"/>
  <c r="X81" i="7" s="1"/>
  <c r="X85" i="8" s="1"/>
  <c r="W24" i="7"/>
  <c r="W81" i="7" s="1"/>
  <c r="W85" i="8" s="1"/>
  <c r="V24" i="7"/>
  <c r="V81" i="7" s="1"/>
  <c r="V85" i="8" s="1"/>
  <c r="U24" i="7"/>
  <c r="U81" i="7" s="1"/>
  <c r="U85" i="8" s="1"/>
  <c r="T24" i="7"/>
  <c r="T81" i="7" s="1"/>
  <c r="T85" i="8" s="1"/>
  <c r="S24" i="7"/>
  <c r="S81" i="7" s="1"/>
  <c r="S85" i="8" s="1"/>
  <c r="R24" i="7"/>
  <c r="R81" i="7" s="1"/>
  <c r="R85" i="8" s="1"/>
  <c r="Q24" i="7"/>
  <c r="Q81" i="7" s="1"/>
  <c r="Q85" i="8" s="1"/>
  <c r="P24" i="7"/>
  <c r="P81" i="7" s="1"/>
  <c r="O24" i="7"/>
  <c r="N24" i="7"/>
  <c r="N81" i="7" s="1"/>
  <c r="N85" i="8" s="1"/>
  <c r="M24" i="7"/>
  <c r="M81" i="7" s="1"/>
  <c r="M85" i="8" s="1"/>
  <c r="L24" i="7"/>
  <c r="L81" i="7" s="1"/>
  <c r="L85" i="8" s="1"/>
  <c r="K24" i="7"/>
  <c r="K81" i="7" s="1"/>
  <c r="K85" i="8" s="1"/>
  <c r="J24" i="7"/>
  <c r="J81" i="7" s="1"/>
  <c r="J85" i="8" s="1"/>
  <c r="I24" i="7"/>
  <c r="H24" i="7"/>
  <c r="H81" i="7" s="1"/>
  <c r="H85" i="8" s="1"/>
  <c r="G24" i="7"/>
  <c r="G81" i="7" s="1"/>
  <c r="G85" i="8" s="1"/>
  <c r="F24" i="7"/>
  <c r="F81" i="7" s="1"/>
  <c r="E24" i="7"/>
  <c r="E81" i="7" s="1"/>
  <c r="E85" i="8" s="1"/>
  <c r="D24" i="7"/>
  <c r="D81" i="7" s="1"/>
  <c r="D85" i="8" s="1"/>
  <c r="D141" i="8" s="1"/>
  <c r="B24" i="7"/>
  <c r="AC23" i="7"/>
  <c r="AC80" i="7" s="1"/>
  <c r="AC84" i="8" s="1"/>
  <c r="AB23" i="7"/>
  <c r="AB80" i="7" s="1"/>
  <c r="AB84" i="8" s="1"/>
  <c r="AA23" i="7"/>
  <c r="AA80" i="7" s="1"/>
  <c r="AA84" i="8" s="1"/>
  <c r="Z23" i="7"/>
  <c r="Z80" i="7" s="1"/>
  <c r="Z84" i="8" s="1"/>
  <c r="Y23" i="7"/>
  <c r="Y80" i="7" s="1"/>
  <c r="Y84" i="8" s="1"/>
  <c r="X23" i="7"/>
  <c r="X80" i="7" s="1"/>
  <c r="X84" i="8" s="1"/>
  <c r="W23" i="7"/>
  <c r="W80" i="7" s="1"/>
  <c r="W84" i="8" s="1"/>
  <c r="V23" i="7"/>
  <c r="V80" i="7" s="1"/>
  <c r="V84" i="8" s="1"/>
  <c r="U23" i="7"/>
  <c r="U80" i="7" s="1"/>
  <c r="U84" i="8" s="1"/>
  <c r="T23" i="7"/>
  <c r="S23" i="7"/>
  <c r="S80" i="7" s="1"/>
  <c r="S84" i="8" s="1"/>
  <c r="R23" i="7"/>
  <c r="Q23" i="7"/>
  <c r="Q80" i="7" s="1"/>
  <c r="Q84" i="8" s="1"/>
  <c r="P23" i="7"/>
  <c r="O23" i="7"/>
  <c r="N23" i="7"/>
  <c r="N80" i="7" s="1"/>
  <c r="M23" i="7"/>
  <c r="M80" i="7" s="1"/>
  <c r="M84" i="8" s="1"/>
  <c r="L23" i="7"/>
  <c r="L80" i="7" s="1"/>
  <c r="L84" i="8" s="1"/>
  <c r="K23" i="7"/>
  <c r="K80" i="7" s="1"/>
  <c r="K84" i="8" s="1"/>
  <c r="J23" i="7"/>
  <c r="J80" i="7" s="1"/>
  <c r="J84" i="8" s="1"/>
  <c r="I23" i="7"/>
  <c r="I80" i="7" s="1"/>
  <c r="I84" i="8" s="1"/>
  <c r="H23" i="7"/>
  <c r="H80" i="7" s="1"/>
  <c r="H84" i="8" s="1"/>
  <c r="G23" i="7"/>
  <c r="G80" i="7" s="1"/>
  <c r="G84" i="8" s="1"/>
  <c r="F23" i="7"/>
  <c r="F80" i="7" s="1"/>
  <c r="F84" i="8" s="1"/>
  <c r="E23" i="7"/>
  <c r="E80" i="7" s="1"/>
  <c r="E84" i="8" s="1"/>
  <c r="D23" i="7"/>
  <c r="D80" i="7" s="1"/>
  <c r="D84" i="8" s="1"/>
  <c r="D140" i="8" s="1"/>
  <c r="B23" i="7"/>
  <c r="AC22" i="7"/>
  <c r="AC79" i="7" s="1"/>
  <c r="AC83" i="8" s="1"/>
  <c r="AB22" i="7"/>
  <c r="AB79" i="7" s="1"/>
  <c r="AB83" i="8" s="1"/>
  <c r="AA22" i="7"/>
  <c r="AA79" i="7" s="1"/>
  <c r="AA83" i="8" s="1"/>
  <c r="Z22" i="7"/>
  <c r="Z79" i="7" s="1"/>
  <c r="Z83" i="8" s="1"/>
  <c r="Y22" i="7"/>
  <c r="X22" i="7"/>
  <c r="X79" i="7" s="1"/>
  <c r="X83" i="8" s="1"/>
  <c r="W22" i="7"/>
  <c r="W79" i="7" s="1"/>
  <c r="W83" i="8" s="1"/>
  <c r="V22" i="7"/>
  <c r="V79" i="7" s="1"/>
  <c r="V83" i="8" s="1"/>
  <c r="U22" i="7"/>
  <c r="U79" i="7" s="1"/>
  <c r="U83" i="8" s="1"/>
  <c r="T22" i="7"/>
  <c r="T79" i="7" s="1"/>
  <c r="T83" i="8" s="1"/>
  <c r="S22" i="7"/>
  <c r="S79" i="7" s="1"/>
  <c r="S83" i="8" s="1"/>
  <c r="R22" i="7"/>
  <c r="R79" i="7" s="1"/>
  <c r="R83" i="8" s="1"/>
  <c r="Q22" i="7"/>
  <c r="Q79" i="7" s="1"/>
  <c r="Q83" i="8" s="1"/>
  <c r="P22" i="7"/>
  <c r="O22" i="7"/>
  <c r="O79" i="7" s="1"/>
  <c r="O83" i="8" s="1"/>
  <c r="N22" i="7"/>
  <c r="N79" i="7" s="1"/>
  <c r="N83" i="8" s="1"/>
  <c r="M22" i="7"/>
  <c r="M79" i="7" s="1"/>
  <c r="M83" i="8" s="1"/>
  <c r="L22" i="7"/>
  <c r="L79" i="7" s="1"/>
  <c r="L83" i="8" s="1"/>
  <c r="K22" i="7"/>
  <c r="K79" i="7" s="1"/>
  <c r="K83" i="8" s="1"/>
  <c r="J22" i="7"/>
  <c r="J79" i="7" s="1"/>
  <c r="J83" i="8" s="1"/>
  <c r="I22" i="7"/>
  <c r="I79" i="7" s="1"/>
  <c r="I83" i="8" s="1"/>
  <c r="H22" i="7"/>
  <c r="H79" i="7" s="1"/>
  <c r="H83" i="8" s="1"/>
  <c r="G22" i="7"/>
  <c r="G79" i="7" s="1"/>
  <c r="G83" i="8" s="1"/>
  <c r="F22" i="7"/>
  <c r="E22" i="7"/>
  <c r="E79" i="7" s="1"/>
  <c r="E83" i="8" s="1"/>
  <c r="D22" i="7"/>
  <c r="D79" i="7" s="1"/>
  <c r="D83" i="8" s="1"/>
  <c r="D139" i="8" s="1"/>
  <c r="B22" i="7"/>
  <c r="AC21" i="7"/>
  <c r="AC78" i="7" s="1"/>
  <c r="AC82" i="8" s="1"/>
  <c r="AB21" i="7"/>
  <c r="AB78" i="7" s="1"/>
  <c r="AB82" i="8" s="1"/>
  <c r="AA21" i="7"/>
  <c r="AA78" i="7" s="1"/>
  <c r="AA82" i="8" s="1"/>
  <c r="Z21" i="7"/>
  <c r="Z78" i="7" s="1"/>
  <c r="Z82" i="8" s="1"/>
  <c r="Y21" i="7"/>
  <c r="Y78" i="7" s="1"/>
  <c r="Y82" i="8" s="1"/>
  <c r="X21" i="7"/>
  <c r="X78" i="7" s="1"/>
  <c r="X82" i="8" s="1"/>
  <c r="W21" i="7"/>
  <c r="W78" i="7" s="1"/>
  <c r="W82" i="8" s="1"/>
  <c r="V21" i="7"/>
  <c r="V78" i="7" s="1"/>
  <c r="V82" i="8" s="1"/>
  <c r="U21" i="7"/>
  <c r="U78" i="7" s="1"/>
  <c r="U82" i="8" s="1"/>
  <c r="T21" i="7"/>
  <c r="T78" i="7" s="1"/>
  <c r="T82" i="8" s="1"/>
  <c r="S21" i="7"/>
  <c r="S78" i="7" s="1"/>
  <c r="S82" i="8" s="1"/>
  <c r="R21" i="7"/>
  <c r="R78" i="7" s="1"/>
  <c r="Q21" i="7"/>
  <c r="Q78" i="7" s="1"/>
  <c r="Q82" i="8" s="1"/>
  <c r="P21" i="7"/>
  <c r="P78" i="7" s="1"/>
  <c r="P82" i="8" s="1"/>
  <c r="O21" i="7"/>
  <c r="O78" i="7" s="1"/>
  <c r="O82" i="8" s="1"/>
  <c r="N21" i="7"/>
  <c r="N78" i="7" s="1"/>
  <c r="N82" i="8" s="1"/>
  <c r="M21" i="7"/>
  <c r="M78" i="7" s="1"/>
  <c r="M82" i="8" s="1"/>
  <c r="L21" i="7"/>
  <c r="L78" i="7" s="1"/>
  <c r="L82" i="8" s="1"/>
  <c r="K21" i="7"/>
  <c r="K78" i="7" s="1"/>
  <c r="K82" i="8" s="1"/>
  <c r="J21" i="7"/>
  <c r="J78" i="7" s="1"/>
  <c r="J82" i="8" s="1"/>
  <c r="I21" i="7"/>
  <c r="I78" i="7" s="1"/>
  <c r="I82" i="8" s="1"/>
  <c r="H21" i="7"/>
  <c r="G21" i="7"/>
  <c r="G78" i="7" s="1"/>
  <c r="G82" i="8" s="1"/>
  <c r="F21" i="7"/>
  <c r="E21" i="7"/>
  <c r="E78" i="7" s="1"/>
  <c r="E82" i="8" s="1"/>
  <c r="D21" i="7"/>
  <c r="B21" i="7"/>
  <c r="AC20" i="7"/>
  <c r="AB20" i="7"/>
  <c r="AA20" i="7"/>
  <c r="AA77" i="7" s="1"/>
  <c r="AA81" i="8" s="1"/>
  <c r="Z20" i="7"/>
  <c r="Z77" i="7" s="1"/>
  <c r="Z81" i="8" s="1"/>
  <c r="Y20" i="7"/>
  <c r="Y77" i="7" s="1"/>
  <c r="Y81" i="8" s="1"/>
  <c r="X20" i="7"/>
  <c r="X77" i="7" s="1"/>
  <c r="X81" i="8" s="1"/>
  <c r="W20" i="7"/>
  <c r="W77" i="7" s="1"/>
  <c r="W81" i="8" s="1"/>
  <c r="V20" i="7"/>
  <c r="U20" i="7"/>
  <c r="U77" i="7" s="1"/>
  <c r="U81" i="8" s="1"/>
  <c r="T20" i="7"/>
  <c r="T77" i="7" s="1"/>
  <c r="T81" i="8" s="1"/>
  <c r="S20" i="7"/>
  <c r="R20" i="7"/>
  <c r="R77" i="7" s="1"/>
  <c r="R81" i="8" s="1"/>
  <c r="Q20" i="7"/>
  <c r="Q77" i="7" s="1"/>
  <c r="Q81" i="8" s="1"/>
  <c r="P20" i="7"/>
  <c r="P77" i="7" s="1"/>
  <c r="O20" i="7"/>
  <c r="O77" i="7" s="1"/>
  <c r="N20" i="7"/>
  <c r="N77" i="7" s="1"/>
  <c r="N81" i="8" s="1"/>
  <c r="M20" i="7"/>
  <c r="M77" i="7" s="1"/>
  <c r="M81" i="8" s="1"/>
  <c r="L20" i="7"/>
  <c r="L77" i="7" s="1"/>
  <c r="L81" i="8" s="1"/>
  <c r="K20" i="7"/>
  <c r="K77" i="7" s="1"/>
  <c r="K81" i="8" s="1"/>
  <c r="J20" i="7"/>
  <c r="J77" i="7" s="1"/>
  <c r="J81" i="8" s="1"/>
  <c r="I20" i="7"/>
  <c r="I77" i="7" s="1"/>
  <c r="I81" i="8" s="1"/>
  <c r="H20" i="7"/>
  <c r="H77" i="7" s="1"/>
  <c r="H81" i="8" s="1"/>
  <c r="G20" i="7"/>
  <c r="G77" i="7" s="1"/>
  <c r="G81" i="8" s="1"/>
  <c r="F20" i="7"/>
  <c r="F77" i="7" s="1"/>
  <c r="F81" i="8" s="1"/>
  <c r="E20" i="7"/>
  <c r="E77" i="7" s="1"/>
  <c r="E81" i="8" s="1"/>
  <c r="D20" i="7"/>
  <c r="D77" i="7" s="1"/>
  <c r="D81" i="8" s="1"/>
  <c r="D137" i="8" s="1"/>
  <c r="B20" i="7"/>
  <c r="AC19" i="7"/>
  <c r="AC76" i="7" s="1"/>
  <c r="AC80" i="8" s="1"/>
  <c r="AB19" i="7"/>
  <c r="AB76" i="7" s="1"/>
  <c r="AB80" i="8" s="1"/>
  <c r="AA19" i="7"/>
  <c r="AA76" i="7" s="1"/>
  <c r="AA80" i="8" s="1"/>
  <c r="Z19" i="7"/>
  <c r="Z76" i="7" s="1"/>
  <c r="Z80" i="8" s="1"/>
  <c r="Y19" i="7"/>
  <c r="Y76" i="7" s="1"/>
  <c r="Y80" i="8" s="1"/>
  <c r="X19" i="7"/>
  <c r="X76" i="7" s="1"/>
  <c r="X80" i="8" s="1"/>
  <c r="W19" i="7"/>
  <c r="W76" i="7" s="1"/>
  <c r="W80" i="8" s="1"/>
  <c r="V19" i="7"/>
  <c r="V76" i="7" s="1"/>
  <c r="V80" i="8" s="1"/>
  <c r="U19" i="7"/>
  <c r="U76" i="7" s="1"/>
  <c r="U80" i="8" s="1"/>
  <c r="T19" i="7"/>
  <c r="S19" i="7"/>
  <c r="S76" i="7" s="1"/>
  <c r="S80" i="8" s="1"/>
  <c r="R19" i="7"/>
  <c r="R76" i="7" s="1"/>
  <c r="R80" i="8" s="1"/>
  <c r="Q19" i="7"/>
  <c r="Q76" i="7" s="1"/>
  <c r="Q80" i="8" s="1"/>
  <c r="P19" i="7"/>
  <c r="P76" i="7" s="1"/>
  <c r="P80" i="8" s="1"/>
  <c r="O19" i="7"/>
  <c r="O76" i="7" s="1"/>
  <c r="O80" i="8" s="1"/>
  <c r="N19" i="7"/>
  <c r="N76" i="7" s="1"/>
  <c r="N80" i="8" s="1"/>
  <c r="M19" i="7"/>
  <c r="M76" i="7" s="1"/>
  <c r="M80" i="8" s="1"/>
  <c r="L19" i="7"/>
  <c r="L76" i="7" s="1"/>
  <c r="L80" i="8" s="1"/>
  <c r="K19" i="7"/>
  <c r="K76" i="7" s="1"/>
  <c r="K80" i="8" s="1"/>
  <c r="J19" i="7"/>
  <c r="J76" i="7" s="1"/>
  <c r="J80" i="8" s="1"/>
  <c r="I19" i="7"/>
  <c r="I76" i="7" s="1"/>
  <c r="I80" i="8" s="1"/>
  <c r="H19" i="7"/>
  <c r="H76" i="7" s="1"/>
  <c r="H80" i="8" s="1"/>
  <c r="G19" i="7"/>
  <c r="G76" i="7" s="1"/>
  <c r="G80" i="8" s="1"/>
  <c r="F19" i="7"/>
  <c r="F76" i="7" s="1"/>
  <c r="F80" i="8" s="1"/>
  <c r="E19" i="7"/>
  <c r="E76" i="7" s="1"/>
  <c r="E80" i="8" s="1"/>
  <c r="D19" i="7"/>
  <c r="D76" i="7" s="1"/>
  <c r="D80" i="8" s="1"/>
  <c r="D136" i="8" s="1"/>
  <c r="B19" i="7"/>
  <c r="AC18" i="7"/>
  <c r="AC75" i="7" s="1"/>
  <c r="AB18" i="7"/>
  <c r="AB75" i="7" s="1"/>
  <c r="AA18" i="7"/>
  <c r="AA75" i="7" s="1"/>
  <c r="Z18" i="7"/>
  <c r="Y18" i="7"/>
  <c r="X18" i="7"/>
  <c r="X75" i="7" s="1"/>
  <c r="W18" i="7"/>
  <c r="W75" i="7" s="1"/>
  <c r="V18" i="7"/>
  <c r="V75" i="7" s="1"/>
  <c r="U18" i="7"/>
  <c r="U75" i="7" s="1"/>
  <c r="T18" i="7"/>
  <c r="T75" i="7" s="1"/>
  <c r="S18" i="7"/>
  <c r="S75" i="7" s="1"/>
  <c r="R18" i="7"/>
  <c r="R75" i="7" s="1"/>
  <c r="Q18" i="7"/>
  <c r="Q75" i="7" s="1"/>
  <c r="P18" i="7"/>
  <c r="O18" i="7"/>
  <c r="O75" i="7" s="1"/>
  <c r="N18" i="7"/>
  <c r="N75" i="7" s="1"/>
  <c r="M18" i="7"/>
  <c r="M75" i="7" s="1"/>
  <c r="L18" i="7"/>
  <c r="L75" i="7" s="1"/>
  <c r="K18" i="7"/>
  <c r="K75" i="7" s="1"/>
  <c r="J18" i="7"/>
  <c r="J75" i="7" s="1"/>
  <c r="I18" i="7"/>
  <c r="I75" i="7" s="1"/>
  <c r="H18" i="7"/>
  <c r="H75" i="7" s="1"/>
  <c r="G18" i="7"/>
  <c r="G75" i="7" s="1"/>
  <c r="F18" i="7"/>
  <c r="F75" i="7" s="1"/>
  <c r="E18" i="7"/>
  <c r="E75" i="7" s="1"/>
  <c r="D18" i="7"/>
  <c r="B18" i="7"/>
  <c r="AC17" i="7"/>
  <c r="AC74" i="7" s="1"/>
  <c r="AC78" i="8" s="1"/>
  <c r="AB17" i="7"/>
  <c r="AB74" i="7" s="1"/>
  <c r="AB78" i="8" s="1"/>
  <c r="AA17" i="7"/>
  <c r="AA74" i="7" s="1"/>
  <c r="AA78" i="8" s="1"/>
  <c r="Z17" i="7"/>
  <c r="Z74" i="7" s="1"/>
  <c r="Z78" i="8" s="1"/>
  <c r="Y17" i="7"/>
  <c r="Y74" i="7" s="1"/>
  <c r="Y78" i="8" s="1"/>
  <c r="X17" i="7"/>
  <c r="W17" i="7"/>
  <c r="V17" i="7"/>
  <c r="V74" i="7" s="1"/>
  <c r="V78" i="8" s="1"/>
  <c r="U17" i="7"/>
  <c r="U74" i="7" s="1"/>
  <c r="U78" i="8" s="1"/>
  <c r="T17" i="7"/>
  <c r="S17" i="7"/>
  <c r="S74" i="7" s="1"/>
  <c r="S78" i="8" s="1"/>
  <c r="R17" i="7"/>
  <c r="R74" i="7" s="1"/>
  <c r="R78" i="8" s="1"/>
  <c r="Q17" i="7"/>
  <c r="Q74" i="7" s="1"/>
  <c r="Q78" i="8" s="1"/>
  <c r="P17" i="7"/>
  <c r="P74" i="7" s="1"/>
  <c r="P78" i="8" s="1"/>
  <c r="O17" i="7"/>
  <c r="O74" i="7" s="1"/>
  <c r="O78" i="8" s="1"/>
  <c r="N17" i="7"/>
  <c r="N74" i="7" s="1"/>
  <c r="N78" i="8" s="1"/>
  <c r="M17" i="7"/>
  <c r="M74" i="7" s="1"/>
  <c r="M78" i="8" s="1"/>
  <c r="L17" i="7"/>
  <c r="L74" i="7" s="1"/>
  <c r="L78" i="8" s="1"/>
  <c r="K17" i="7"/>
  <c r="K74" i="7" s="1"/>
  <c r="K78" i="8" s="1"/>
  <c r="J17" i="7"/>
  <c r="J74" i="7" s="1"/>
  <c r="J78" i="8" s="1"/>
  <c r="I17" i="7"/>
  <c r="I74" i="7" s="1"/>
  <c r="I78" i="8" s="1"/>
  <c r="H17" i="7"/>
  <c r="H74" i="7" s="1"/>
  <c r="H78" i="8" s="1"/>
  <c r="G17" i="7"/>
  <c r="G74" i="7" s="1"/>
  <c r="G78" i="8" s="1"/>
  <c r="F17" i="7"/>
  <c r="F74" i="7" s="1"/>
  <c r="F78" i="8" s="1"/>
  <c r="E17" i="7"/>
  <c r="E74" i="7" s="1"/>
  <c r="E78" i="8" s="1"/>
  <c r="D17" i="7"/>
  <c r="D74" i="7" s="1"/>
  <c r="B17" i="7"/>
  <c r="AC16" i="7"/>
  <c r="AC73" i="7" s="1"/>
  <c r="AC77" i="8" s="1"/>
  <c r="AB16" i="7"/>
  <c r="AB73" i="7" s="1"/>
  <c r="AB77" i="8" s="1"/>
  <c r="AA16" i="7"/>
  <c r="AA73" i="7" s="1"/>
  <c r="AA77" i="8" s="1"/>
  <c r="Z16" i="7"/>
  <c r="Z73" i="7" s="1"/>
  <c r="Z77" i="8" s="1"/>
  <c r="Y16" i="7"/>
  <c r="X16" i="7"/>
  <c r="W16" i="7"/>
  <c r="W73" i="7" s="1"/>
  <c r="W77" i="8" s="1"/>
  <c r="V16" i="7"/>
  <c r="V73" i="7" s="1"/>
  <c r="V77" i="8" s="1"/>
  <c r="U16" i="7"/>
  <c r="U73" i="7" s="1"/>
  <c r="U77" i="8" s="1"/>
  <c r="T16" i="7"/>
  <c r="T73" i="7" s="1"/>
  <c r="S16" i="7"/>
  <c r="S73" i="7" s="1"/>
  <c r="S77" i="8" s="1"/>
  <c r="R16" i="7"/>
  <c r="R73" i="7" s="1"/>
  <c r="R77" i="8" s="1"/>
  <c r="Q16" i="7"/>
  <c r="Q73" i="7" s="1"/>
  <c r="Q77" i="8" s="1"/>
  <c r="P16" i="7"/>
  <c r="P73" i="7" s="1"/>
  <c r="P77" i="8" s="1"/>
  <c r="O16" i="7"/>
  <c r="O73" i="7" s="1"/>
  <c r="O77" i="8" s="1"/>
  <c r="N16" i="7"/>
  <c r="N73" i="7" s="1"/>
  <c r="N77" i="8" s="1"/>
  <c r="M16" i="7"/>
  <c r="M73" i="7" s="1"/>
  <c r="M77" i="8" s="1"/>
  <c r="L16" i="7"/>
  <c r="L73" i="7" s="1"/>
  <c r="L77" i="8" s="1"/>
  <c r="K16" i="7"/>
  <c r="K73" i="7" s="1"/>
  <c r="K77" i="8" s="1"/>
  <c r="J16" i="7"/>
  <c r="J73" i="7" s="1"/>
  <c r="J77" i="8" s="1"/>
  <c r="I16" i="7"/>
  <c r="I73" i="7" s="1"/>
  <c r="I77" i="8" s="1"/>
  <c r="H16" i="7"/>
  <c r="H73" i="7" s="1"/>
  <c r="H77" i="8" s="1"/>
  <c r="G16" i="7"/>
  <c r="G73" i="7" s="1"/>
  <c r="G77" i="8" s="1"/>
  <c r="F16" i="7"/>
  <c r="F73" i="7" s="1"/>
  <c r="F77" i="8" s="1"/>
  <c r="E16" i="7"/>
  <c r="E73" i="7" s="1"/>
  <c r="D16" i="7"/>
  <c r="D73" i="7" s="1"/>
  <c r="D77" i="8" s="1"/>
  <c r="D133" i="8" s="1"/>
  <c r="B16" i="7"/>
  <c r="AC15" i="7"/>
  <c r="AC72" i="7" s="1"/>
  <c r="AC76" i="8" s="1"/>
  <c r="AB15" i="7"/>
  <c r="AB72" i="7" s="1"/>
  <c r="AB76" i="8" s="1"/>
  <c r="AA15" i="7"/>
  <c r="AA72" i="7" s="1"/>
  <c r="AA76" i="8" s="1"/>
  <c r="Z15" i="7"/>
  <c r="Z72" i="7" s="1"/>
  <c r="Y15" i="7"/>
  <c r="Y72" i="7" s="1"/>
  <c r="Y76" i="8" s="1"/>
  <c r="X15" i="7"/>
  <c r="X72" i="7" s="1"/>
  <c r="X76" i="8" s="1"/>
  <c r="W15" i="7"/>
  <c r="W72" i="7" s="1"/>
  <c r="W76" i="8" s="1"/>
  <c r="V15" i="7"/>
  <c r="V72" i="7" s="1"/>
  <c r="U15" i="7"/>
  <c r="U72" i="7" s="1"/>
  <c r="U76" i="8" s="1"/>
  <c r="T15" i="7"/>
  <c r="T72" i="7" s="1"/>
  <c r="T76" i="8" s="1"/>
  <c r="S15" i="7"/>
  <c r="S72" i="7" s="1"/>
  <c r="S76" i="8" s="1"/>
  <c r="R15" i="7"/>
  <c r="Q15" i="7"/>
  <c r="P15" i="7"/>
  <c r="P72" i="7" s="1"/>
  <c r="P76" i="8" s="1"/>
  <c r="O15" i="7"/>
  <c r="O72" i="7" s="1"/>
  <c r="O76" i="8" s="1"/>
  <c r="N15" i="7"/>
  <c r="N72" i="7" s="1"/>
  <c r="N76" i="8" s="1"/>
  <c r="M15" i="7"/>
  <c r="M72" i="7" s="1"/>
  <c r="M76" i="8" s="1"/>
  <c r="L15" i="7"/>
  <c r="K15" i="7"/>
  <c r="K72" i="7" s="1"/>
  <c r="K76" i="8" s="1"/>
  <c r="J15" i="7"/>
  <c r="J72" i="7" s="1"/>
  <c r="J76" i="8" s="1"/>
  <c r="I15" i="7"/>
  <c r="I72" i="7" s="1"/>
  <c r="I76" i="8" s="1"/>
  <c r="H15" i="7"/>
  <c r="H72" i="7" s="1"/>
  <c r="H76" i="8" s="1"/>
  <c r="G15" i="7"/>
  <c r="G72" i="7" s="1"/>
  <c r="G76" i="8" s="1"/>
  <c r="F15" i="7"/>
  <c r="F72" i="7" s="1"/>
  <c r="F76" i="8" s="1"/>
  <c r="E15" i="7"/>
  <c r="E72" i="7" s="1"/>
  <c r="E76" i="8" s="1"/>
  <c r="D15" i="7"/>
  <c r="D72" i="7" s="1"/>
  <c r="D76" i="8" s="1"/>
  <c r="D132" i="8" s="1"/>
  <c r="B15" i="7"/>
  <c r="AC14" i="7"/>
  <c r="AC71" i="7" s="1"/>
  <c r="AC75" i="8" s="1"/>
  <c r="AB14" i="7"/>
  <c r="AB71" i="7" s="1"/>
  <c r="AB75" i="8" s="1"/>
  <c r="AA14" i="7"/>
  <c r="AA71" i="7" s="1"/>
  <c r="AA75" i="8" s="1"/>
  <c r="Z14" i="7"/>
  <c r="Z71" i="7" s="1"/>
  <c r="Z75" i="8" s="1"/>
  <c r="Y14" i="7"/>
  <c r="Y71" i="7" s="1"/>
  <c r="Y75" i="8" s="1"/>
  <c r="X14" i="7"/>
  <c r="X71" i="7" s="1"/>
  <c r="X75" i="8" s="1"/>
  <c r="W14" i="7"/>
  <c r="W71" i="7" s="1"/>
  <c r="W75" i="8" s="1"/>
  <c r="V14" i="7"/>
  <c r="V71" i="7" s="1"/>
  <c r="U14" i="7"/>
  <c r="U71" i="7" s="1"/>
  <c r="U75" i="8" s="1"/>
  <c r="T14" i="7"/>
  <c r="T71" i="7" s="1"/>
  <c r="T75" i="8" s="1"/>
  <c r="S14" i="7"/>
  <c r="S71" i="7" s="1"/>
  <c r="S75" i="8" s="1"/>
  <c r="R14" i="7"/>
  <c r="R71" i="7" s="1"/>
  <c r="R75" i="8" s="1"/>
  <c r="Q14" i="7"/>
  <c r="Q71" i="7" s="1"/>
  <c r="Q75" i="8" s="1"/>
  <c r="P14" i="7"/>
  <c r="P71" i="7" s="1"/>
  <c r="P75" i="8" s="1"/>
  <c r="O14" i="7"/>
  <c r="N14" i="7"/>
  <c r="N71" i="7" s="1"/>
  <c r="N75" i="8" s="1"/>
  <c r="M14" i="7"/>
  <c r="M71" i="7" s="1"/>
  <c r="M75" i="8" s="1"/>
  <c r="L14" i="7"/>
  <c r="L71" i="7" s="1"/>
  <c r="L75" i="8" s="1"/>
  <c r="K14" i="7"/>
  <c r="K71" i="7" s="1"/>
  <c r="K75" i="8" s="1"/>
  <c r="J14" i="7"/>
  <c r="J71" i="7" s="1"/>
  <c r="J75" i="8" s="1"/>
  <c r="I14" i="7"/>
  <c r="I71" i="7" s="1"/>
  <c r="I75" i="8" s="1"/>
  <c r="H14" i="7"/>
  <c r="H71" i="7" s="1"/>
  <c r="H75" i="8" s="1"/>
  <c r="G14" i="7"/>
  <c r="G71" i="7" s="1"/>
  <c r="G75" i="8" s="1"/>
  <c r="F14" i="7"/>
  <c r="F71" i="7" s="1"/>
  <c r="F75" i="8" s="1"/>
  <c r="E14" i="7"/>
  <c r="E71" i="7" s="1"/>
  <c r="E75" i="8" s="1"/>
  <c r="D14" i="7"/>
  <c r="D71" i="7" s="1"/>
  <c r="B14" i="7"/>
  <c r="AC13" i="7"/>
  <c r="AB13" i="7"/>
  <c r="AB70" i="7" s="1"/>
  <c r="AB74" i="8" s="1"/>
  <c r="AA13" i="7"/>
  <c r="AA70" i="7" s="1"/>
  <c r="AA74" i="8" s="1"/>
  <c r="Z13" i="7"/>
  <c r="Z70" i="7" s="1"/>
  <c r="Z74" i="8" s="1"/>
  <c r="Y13" i="7"/>
  <c r="Y70" i="7" s="1"/>
  <c r="Y74" i="8" s="1"/>
  <c r="X13" i="7"/>
  <c r="X70" i="7" s="1"/>
  <c r="X74" i="8" s="1"/>
  <c r="W13" i="7"/>
  <c r="W70" i="7" s="1"/>
  <c r="W74" i="8" s="1"/>
  <c r="V13" i="7"/>
  <c r="U13" i="7"/>
  <c r="U70" i="7" s="1"/>
  <c r="U74" i="8" s="1"/>
  <c r="T13" i="7"/>
  <c r="T70" i="7" s="1"/>
  <c r="T74" i="8" s="1"/>
  <c r="S13" i="7"/>
  <c r="S70" i="7" s="1"/>
  <c r="S74" i="8" s="1"/>
  <c r="R13" i="7"/>
  <c r="R70" i="7" s="1"/>
  <c r="R74" i="8" s="1"/>
  <c r="Q13" i="7"/>
  <c r="Q70" i="7" s="1"/>
  <c r="Q74" i="8" s="1"/>
  <c r="P13" i="7"/>
  <c r="P70" i="7" s="1"/>
  <c r="P74" i="8" s="1"/>
  <c r="O13" i="7"/>
  <c r="O70" i="7" s="1"/>
  <c r="O74" i="8" s="1"/>
  <c r="N13" i="7"/>
  <c r="N70" i="7" s="1"/>
  <c r="N74" i="8" s="1"/>
  <c r="M13" i="7"/>
  <c r="M70" i="7" s="1"/>
  <c r="M74" i="8" s="1"/>
  <c r="L13" i="7"/>
  <c r="L70" i="7" s="1"/>
  <c r="L74" i="8" s="1"/>
  <c r="K13" i="7"/>
  <c r="K70" i="7" s="1"/>
  <c r="K74" i="8" s="1"/>
  <c r="J13" i="7"/>
  <c r="J70" i="7" s="1"/>
  <c r="J74" i="8" s="1"/>
  <c r="I13" i="7"/>
  <c r="I70" i="7" s="1"/>
  <c r="I74" i="8" s="1"/>
  <c r="H13" i="7"/>
  <c r="H70" i="7" s="1"/>
  <c r="H74" i="8" s="1"/>
  <c r="G13" i="7"/>
  <c r="G70" i="7" s="1"/>
  <c r="G74" i="8" s="1"/>
  <c r="F13" i="7"/>
  <c r="F70" i="7" s="1"/>
  <c r="F74" i="8" s="1"/>
  <c r="E13" i="7"/>
  <c r="E70" i="7" s="1"/>
  <c r="D13" i="7"/>
  <c r="D70" i="7" s="1"/>
  <c r="D74" i="8" s="1"/>
  <c r="B13" i="7"/>
  <c r="AC12" i="7"/>
  <c r="AC69" i="7" s="1"/>
  <c r="AC73" i="8" s="1"/>
  <c r="AB12" i="7"/>
  <c r="AB69" i="7" s="1"/>
  <c r="AB73" i="8" s="1"/>
  <c r="AA12" i="7"/>
  <c r="AA69" i="7" s="1"/>
  <c r="AA73" i="8" s="1"/>
  <c r="Z12" i="7"/>
  <c r="Z69" i="7" s="1"/>
  <c r="Z73" i="8" s="1"/>
  <c r="Y12" i="7"/>
  <c r="Y69" i="7" s="1"/>
  <c r="Y73" i="8" s="1"/>
  <c r="X12" i="7"/>
  <c r="X69" i="7" s="1"/>
  <c r="X73" i="8" s="1"/>
  <c r="W12" i="7"/>
  <c r="W69" i="7" s="1"/>
  <c r="W73" i="8" s="1"/>
  <c r="V12" i="7"/>
  <c r="V69" i="7" s="1"/>
  <c r="V73" i="8" s="1"/>
  <c r="U12" i="7"/>
  <c r="U69" i="7" s="1"/>
  <c r="U73" i="8" s="1"/>
  <c r="T12" i="7"/>
  <c r="T69" i="7" s="1"/>
  <c r="T73" i="8" s="1"/>
  <c r="S12" i="7"/>
  <c r="S69" i="7" s="1"/>
  <c r="S73" i="8" s="1"/>
  <c r="R12" i="7"/>
  <c r="Q12" i="7"/>
  <c r="Q69" i="7" s="1"/>
  <c r="Q73" i="8" s="1"/>
  <c r="P12" i="7"/>
  <c r="P69" i="7" s="1"/>
  <c r="P73" i="8" s="1"/>
  <c r="O12" i="7"/>
  <c r="O69" i="7" s="1"/>
  <c r="O73" i="8" s="1"/>
  <c r="N12" i="7"/>
  <c r="N69" i="7" s="1"/>
  <c r="N73" i="8" s="1"/>
  <c r="M12" i="7"/>
  <c r="M69" i="7" s="1"/>
  <c r="M73" i="8" s="1"/>
  <c r="L12" i="7"/>
  <c r="K12" i="7"/>
  <c r="K69" i="7" s="1"/>
  <c r="K73" i="8" s="1"/>
  <c r="J12" i="7"/>
  <c r="I12" i="7"/>
  <c r="H12" i="7"/>
  <c r="H69" i="7" s="1"/>
  <c r="H73" i="8" s="1"/>
  <c r="G12" i="7"/>
  <c r="G69" i="7" s="1"/>
  <c r="G73" i="8" s="1"/>
  <c r="F12" i="7"/>
  <c r="F69" i="7" s="1"/>
  <c r="F73" i="8" s="1"/>
  <c r="E12" i="7"/>
  <c r="E69" i="7" s="1"/>
  <c r="E73" i="8" s="1"/>
  <c r="D12" i="7"/>
  <c r="D69" i="7" s="1"/>
  <c r="D73" i="8" s="1"/>
  <c r="D129" i="8" s="1"/>
  <c r="B12" i="7"/>
  <c r="AC11" i="7"/>
  <c r="AB11" i="7"/>
  <c r="AA11" i="7"/>
  <c r="Z11" i="7"/>
  <c r="Y11" i="7"/>
  <c r="X11" i="7"/>
  <c r="X68" i="7" s="1"/>
  <c r="W11" i="7"/>
  <c r="V11" i="7"/>
  <c r="U11" i="7"/>
  <c r="U68" i="7" s="1"/>
  <c r="T11" i="7"/>
  <c r="T68" i="7" s="1"/>
  <c r="S11" i="7"/>
  <c r="S68" i="7" s="1"/>
  <c r="R11" i="7"/>
  <c r="R68" i="7" s="1"/>
  <c r="Q11" i="7"/>
  <c r="P11" i="7"/>
  <c r="O11" i="7"/>
  <c r="N11" i="7"/>
  <c r="M11" i="7"/>
  <c r="M68" i="7" s="1"/>
  <c r="L11" i="7"/>
  <c r="L68" i="7" s="1"/>
  <c r="K11" i="7"/>
  <c r="J11" i="7"/>
  <c r="I11" i="7"/>
  <c r="H11" i="7"/>
  <c r="G11" i="7"/>
  <c r="F11" i="7"/>
  <c r="E11" i="7"/>
  <c r="D11" i="7"/>
  <c r="B11" i="7"/>
  <c r="AC10" i="7"/>
  <c r="AC67" i="7" s="1"/>
  <c r="AC71" i="8" s="1"/>
  <c r="AB10" i="7"/>
  <c r="AB67" i="7" s="1"/>
  <c r="AB71" i="8" s="1"/>
  <c r="AA10" i="7"/>
  <c r="AA67" i="7" s="1"/>
  <c r="AA71" i="8" s="1"/>
  <c r="Z10" i="7"/>
  <c r="Z67" i="7" s="1"/>
  <c r="Z71" i="8" s="1"/>
  <c r="Y10" i="7"/>
  <c r="Y67" i="7" s="1"/>
  <c r="Y71" i="8" s="1"/>
  <c r="X10" i="7"/>
  <c r="X67" i="7" s="1"/>
  <c r="X71" i="8" s="1"/>
  <c r="W10" i="7"/>
  <c r="W67" i="7" s="1"/>
  <c r="W71" i="8" s="1"/>
  <c r="V10" i="7"/>
  <c r="V67" i="7" s="1"/>
  <c r="U10" i="7"/>
  <c r="U67" i="7" s="1"/>
  <c r="U71" i="8" s="1"/>
  <c r="T10" i="7"/>
  <c r="T67" i="7" s="1"/>
  <c r="T71" i="8" s="1"/>
  <c r="S10" i="7"/>
  <c r="S67" i="7" s="1"/>
  <c r="S71" i="8" s="1"/>
  <c r="R10" i="7"/>
  <c r="R67" i="7" s="1"/>
  <c r="R71" i="8" s="1"/>
  <c r="Q10" i="7"/>
  <c r="Q67" i="7" s="1"/>
  <c r="Q71" i="8" s="1"/>
  <c r="P10" i="7"/>
  <c r="P67" i="7" s="1"/>
  <c r="P71" i="8" s="1"/>
  <c r="O10" i="7"/>
  <c r="O67" i="7" s="1"/>
  <c r="O71" i="8" s="1"/>
  <c r="N10" i="7"/>
  <c r="N67" i="7" s="1"/>
  <c r="N71" i="8" s="1"/>
  <c r="M10" i="7"/>
  <c r="M67" i="7" s="1"/>
  <c r="M71" i="8" s="1"/>
  <c r="L10" i="7"/>
  <c r="K10" i="7"/>
  <c r="K67" i="7" s="1"/>
  <c r="J10" i="7"/>
  <c r="J67" i="7" s="1"/>
  <c r="J71" i="8" s="1"/>
  <c r="I10" i="7"/>
  <c r="I67" i="7" s="1"/>
  <c r="I71" i="8" s="1"/>
  <c r="H10" i="7"/>
  <c r="H67" i="7" s="1"/>
  <c r="H71" i="8" s="1"/>
  <c r="G10" i="7"/>
  <c r="G67" i="7" s="1"/>
  <c r="G71" i="8" s="1"/>
  <c r="F10" i="7"/>
  <c r="F67" i="7" s="1"/>
  <c r="F71" i="8" s="1"/>
  <c r="E10" i="7"/>
  <c r="E67" i="7" s="1"/>
  <c r="E71" i="8" s="1"/>
  <c r="D10" i="7"/>
  <c r="D67" i="7" s="1"/>
  <c r="D71" i="8" s="1"/>
  <c r="D127" i="8" s="1"/>
  <c r="B10" i="7"/>
  <c r="AC9" i="7"/>
  <c r="AC66" i="7" s="1"/>
  <c r="AB9" i="7"/>
  <c r="AB66" i="7" s="1"/>
  <c r="AA9" i="7"/>
  <c r="Z9" i="7"/>
  <c r="Y9" i="7"/>
  <c r="Y66" i="7" s="1"/>
  <c r="X9" i="7"/>
  <c r="W9" i="7"/>
  <c r="W66" i="7" s="1"/>
  <c r="V9" i="7"/>
  <c r="V66" i="7" s="1"/>
  <c r="U9" i="7"/>
  <c r="T9" i="7"/>
  <c r="S9" i="7"/>
  <c r="R9" i="7"/>
  <c r="Q9" i="7"/>
  <c r="P9" i="7"/>
  <c r="P66" i="7" s="1"/>
  <c r="O9" i="7"/>
  <c r="O66" i="7" s="1"/>
  <c r="N9" i="7"/>
  <c r="N66" i="7" s="1"/>
  <c r="M9" i="7"/>
  <c r="M66" i="7" s="1"/>
  <c r="L9" i="7"/>
  <c r="L66" i="7" s="1"/>
  <c r="K9" i="7"/>
  <c r="J9" i="7"/>
  <c r="J66" i="7" s="1"/>
  <c r="I9" i="7"/>
  <c r="I66" i="7" s="1"/>
  <c r="H9" i="7"/>
  <c r="H66" i="7" s="1"/>
  <c r="G9" i="7"/>
  <c r="G66" i="7" s="1"/>
  <c r="F9" i="7"/>
  <c r="F66" i="7" s="1"/>
  <c r="E9" i="7"/>
  <c r="D9" i="7"/>
  <c r="B9" i="7"/>
  <c r="T66" i="7" s="1"/>
  <c r="AC8" i="7"/>
  <c r="AB8" i="7"/>
  <c r="AB65" i="7" s="1"/>
  <c r="AB69" i="8" s="1"/>
  <c r="AA8" i="7"/>
  <c r="AA65" i="7" s="1"/>
  <c r="AA69" i="8" s="1"/>
  <c r="Z8" i="7"/>
  <c r="Y8" i="7"/>
  <c r="Y65" i="7" s="1"/>
  <c r="Y69" i="8" s="1"/>
  <c r="X8" i="7"/>
  <c r="X65" i="7" s="1"/>
  <c r="X69" i="8" s="1"/>
  <c r="W8" i="7"/>
  <c r="W65" i="7" s="1"/>
  <c r="W69" i="8" s="1"/>
  <c r="V8" i="7"/>
  <c r="V65" i="7" s="1"/>
  <c r="V69" i="8" s="1"/>
  <c r="U8" i="7"/>
  <c r="U65" i="7" s="1"/>
  <c r="U69" i="8" s="1"/>
  <c r="T8" i="7"/>
  <c r="T65" i="7" s="1"/>
  <c r="T69" i="8" s="1"/>
  <c r="S8" i="7"/>
  <c r="S65" i="7" s="1"/>
  <c r="S69" i="8" s="1"/>
  <c r="R8" i="7"/>
  <c r="R65" i="7" s="1"/>
  <c r="R69" i="8" s="1"/>
  <c r="Q8" i="7"/>
  <c r="Q65" i="7" s="1"/>
  <c r="Q69" i="8" s="1"/>
  <c r="P8" i="7"/>
  <c r="P65" i="7" s="1"/>
  <c r="P69" i="8" s="1"/>
  <c r="O8" i="7"/>
  <c r="O65" i="7" s="1"/>
  <c r="O69" i="8" s="1"/>
  <c r="N8" i="7"/>
  <c r="N65" i="7" s="1"/>
  <c r="N69" i="8" s="1"/>
  <c r="M8" i="7"/>
  <c r="M65" i="7" s="1"/>
  <c r="M69" i="8" s="1"/>
  <c r="L8" i="7"/>
  <c r="L65" i="7" s="1"/>
  <c r="L69" i="8" s="1"/>
  <c r="K8" i="7"/>
  <c r="K65" i="7" s="1"/>
  <c r="K69" i="8" s="1"/>
  <c r="J8" i="7"/>
  <c r="J65" i="7" s="1"/>
  <c r="J69" i="8" s="1"/>
  <c r="I8" i="7"/>
  <c r="H8" i="7"/>
  <c r="H65" i="7" s="1"/>
  <c r="H69" i="8" s="1"/>
  <c r="G8" i="7"/>
  <c r="F8" i="7"/>
  <c r="F65" i="7" s="1"/>
  <c r="F69" i="8" s="1"/>
  <c r="E8" i="7"/>
  <c r="E65" i="7" s="1"/>
  <c r="E69" i="8" s="1"/>
  <c r="D8" i="7"/>
  <c r="D65" i="7" s="1"/>
  <c r="B8" i="7"/>
  <c r="AC7" i="7"/>
  <c r="AC64" i="7" s="1"/>
  <c r="AC68" i="8" s="1"/>
  <c r="AB7" i="7"/>
  <c r="AB64" i="7" s="1"/>
  <c r="AB68" i="8" s="1"/>
  <c r="AA7" i="7"/>
  <c r="AA64" i="7" s="1"/>
  <c r="AA68" i="8" s="1"/>
  <c r="Z7" i="7"/>
  <c r="Z64" i="7" s="1"/>
  <c r="Z68" i="8" s="1"/>
  <c r="Y7" i="7"/>
  <c r="Y64" i="7" s="1"/>
  <c r="Y68" i="8" s="1"/>
  <c r="X7" i="7"/>
  <c r="X64" i="7" s="1"/>
  <c r="X68" i="8" s="1"/>
  <c r="W7" i="7"/>
  <c r="W64" i="7" s="1"/>
  <c r="W68" i="8" s="1"/>
  <c r="V7" i="7"/>
  <c r="V64" i="7" s="1"/>
  <c r="V68" i="8" s="1"/>
  <c r="U7" i="7"/>
  <c r="U64" i="7" s="1"/>
  <c r="U68" i="8" s="1"/>
  <c r="T7" i="7"/>
  <c r="T64" i="7" s="1"/>
  <c r="T68" i="8" s="1"/>
  <c r="S7" i="7"/>
  <c r="S64" i="7" s="1"/>
  <c r="S68" i="8" s="1"/>
  <c r="R7" i="7"/>
  <c r="R64" i="7" s="1"/>
  <c r="R68" i="8" s="1"/>
  <c r="Q7" i="7"/>
  <c r="Q64" i="7" s="1"/>
  <c r="Q68" i="8" s="1"/>
  <c r="P7" i="7"/>
  <c r="P64" i="7" s="1"/>
  <c r="P68" i="8" s="1"/>
  <c r="O7" i="7"/>
  <c r="O64" i="7" s="1"/>
  <c r="O68" i="8" s="1"/>
  <c r="N7" i="7"/>
  <c r="N64" i="7" s="1"/>
  <c r="N68" i="8" s="1"/>
  <c r="M7" i="7"/>
  <c r="M64" i="7" s="1"/>
  <c r="M68" i="8" s="1"/>
  <c r="L7" i="7"/>
  <c r="L64" i="7" s="1"/>
  <c r="K7" i="7"/>
  <c r="K64" i="7" s="1"/>
  <c r="K68" i="8" s="1"/>
  <c r="J7" i="7"/>
  <c r="J64" i="7" s="1"/>
  <c r="J68" i="8" s="1"/>
  <c r="I7" i="7"/>
  <c r="I64" i="7" s="1"/>
  <c r="I68" i="8" s="1"/>
  <c r="H7" i="7"/>
  <c r="H64" i="7" s="1"/>
  <c r="G7" i="7"/>
  <c r="G64" i="7" s="1"/>
  <c r="G68" i="8" s="1"/>
  <c r="F7" i="7"/>
  <c r="E7" i="7"/>
  <c r="E64" i="7" s="1"/>
  <c r="E68" i="8" s="1"/>
  <c r="D7" i="7"/>
  <c r="B7" i="7"/>
  <c r="AC6" i="7"/>
  <c r="AB6" i="7"/>
  <c r="AB63" i="7" s="1"/>
  <c r="AA6" i="7"/>
  <c r="AA63" i="7" s="1"/>
  <c r="Z6" i="7"/>
  <c r="Y6" i="7"/>
  <c r="X6" i="7"/>
  <c r="X63" i="7" s="1"/>
  <c r="W6" i="7"/>
  <c r="W63" i="7" s="1"/>
  <c r="V6" i="7"/>
  <c r="V63" i="7" s="1"/>
  <c r="U6" i="7"/>
  <c r="U63" i="7" s="1"/>
  <c r="T6" i="7"/>
  <c r="S6" i="7"/>
  <c r="R6" i="7"/>
  <c r="Q6" i="7"/>
  <c r="P6" i="7"/>
  <c r="P63" i="7" s="1"/>
  <c r="O6" i="7"/>
  <c r="O63" i="7" s="1"/>
  <c r="N6" i="7"/>
  <c r="M6" i="7"/>
  <c r="L6" i="7"/>
  <c r="K6" i="7"/>
  <c r="J6" i="7"/>
  <c r="I6" i="7"/>
  <c r="H6" i="7"/>
  <c r="H63" i="7" s="1"/>
  <c r="G6" i="7"/>
  <c r="F6" i="7"/>
  <c r="F63" i="7" s="1"/>
  <c r="E6" i="7"/>
  <c r="E63" i="7" s="1"/>
  <c r="D6" i="7"/>
  <c r="B6" i="7"/>
  <c r="K63" i="7" s="1"/>
  <c r="AC5" i="7"/>
  <c r="AC62" i="7" s="1"/>
  <c r="AB5" i="7"/>
  <c r="AB62" i="7" s="1"/>
  <c r="AA5" i="7"/>
  <c r="AA62" i="7" s="1"/>
  <c r="Z5" i="7"/>
  <c r="Z62" i="7" s="1"/>
  <c r="Y5" i="7"/>
  <c r="Y62" i="7" s="1"/>
  <c r="X5" i="7"/>
  <c r="X62" i="7" s="1"/>
  <c r="W5" i="7"/>
  <c r="V5" i="7"/>
  <c r="V62" i="7" s="1"/>
  <c r="U5" i="7"/>
  <c r="T5" i="7"/>
  <c r="T62" i="7" s="1"/>
  <c r="S5" i="7"/>
  <c r="S62" i="7" s="1"/>
  <c r="R5" i="7"/>
  <c r="R62" i="7" s="1"/>
  <c r="Q5" i="7"/>
  <c r="Q62" i="7" s="1"/>
  <c r="P5" i="7"/>
  <c r="P62" i="7" s="1"/>
  <c r="O5" i="7"/>
  <c r="O62" i="7" s="1"/>
  <c r="N5" i="7"/>
  <c r="N62" i="7" s="1"/>
  <c r="M5" i="7"/>
  <c r="M62" i="7" s="1"/>
  <c r="L5" i="7"/>
  <c r="L62" i="7" s="1"/>
  <c r="K5" i="7"/>
  <c r="K62" i="7" s="1"/>
  <c r="J5" i="7"/>
  <c r="J62" i="7" s="1"/>
  <c r="I5" i="7"/>
  <c r="I62" i="7" s="1"/>
  <c r="H5" i="7"/>
  <c r="H62" i="7" s="1"/>
  <c r="G5" i="7"/>
  <c r="G62" i="7" s="1"/>
  <c r="F5" i="7"/>
  <c r="F62" i="7" s="1"/>
  <c r="E5" i="7"/>
  <c r="E62" i="7" s="1"/>
  <c r="D5" i="7"/>
  <c r="D62" i="7" s="1"/>
  <c r="B5" i="7"/>
  <c r="AC4" i="7"/>
  <c r="AC61" i="7" s="1"/>
  <c r="AC65" i="8" s="1"/>
  <c r="AB4" i="7"/>
  <c r="AA4" i="7"/>
  <c r="AA61" i="7" s="1"/>
  <c r="AA65" i="8" s="1"/>
  <c r="Z4" i="7"/>
  <c r="Z61" i="7" s="1"/>
  <c r="Z65" i="8" s="1"/>
  <c r="Y4" i="7"/>
  <c r="Y61" i="7" s="1"/>
  <c r="Y65" i="8" s="1"/>
  <c r="X4" i="7"/>
  <c r="X61" i="7" s="1"/>
  <c r="X65" i="8" s="1"/>
  <c r="W4" i="7"/>
  <c r="W61" i="7" s="1"/>
  <c r="W65" i="8" s="1"/>
  <c r="V4" i="7"/>
  <c r="V61" i="7" s="1"/>
  <c r="V65" i="8" s="1"/>
  <c r="U4" i="7"/>
  <c r="U61" i="7" s="1"/>
  <c r="U65" i="8" s="1"/>
  <c r="T4" i="7"/>
  <c r="T61" i="7" s="1"/>
  <c r="T65" i="8" s="1"/>
  <c r="S4" i="7"/>
  <c r="S61" i="7" s="1"/>
  <c r="S65" i="8" s="1"/>
  <c r="R4" i="7"/>
  <c r="R61" i="7" s="1"/>
  <c r="R65" i="8" s="1"/>
  <c r="Q4" i="7"/>
  <c r="Q61" i="7" s="1"/>
  <c r="Q65" i="8" s="1"/>
  <c r="P4" i="7"/>
  <c r="P61" i="7" s="1"/>
  <c r="P65" i="8" s="1"/>
  <c r="O4" i="7"/>
  <c r="O61" i="7" s="1"/>
  <c r="O65" i="8" s="1"/>
  <c r="N4" i="7"/>
  <c r="N61" i="7" s="1"/>
  <c r="N65" i="8" s="1"/>
  <c r="M4" i="7"/>
  <c r="M61" i="7" s="1"/>
  <c r="M65" i="8" s="1"/>
  <c r="L4" i="7"/>
  <c r="L61" i="7" s="1"/>
  <c r="L65" i="8" s="1"/>
  <c r="K4" i="7"/>
  <c r="K61" i="7" s="1"/>
  <c r="K65" i="8" s="1"/>
  <c r="J4" i="7"/>
  <c r="J61" i="7" s="1"/>
  <c r="J65" i="8" s="1"/>
  <c r="I4" i="7"/>
  <c r="I61" i="7" s="1"/>
  <c r="I65" i="8" s="1"/>
  <c r="H4" i="7"/>
  <c r="G4" i="7"/>
  <c r="F4" i="7"/>
  <c r="F61" i="7" s="1"/>
  <c r="F65" i="8" s="1"/>
  <c r="E4" i="7"/>
  <c r="E61" i="7" s="1"/>
  <c r="D4" i="7"/>
  <c r="D61" i="7" s="1"/>
  <c r="B4" i="7"/>
  <c r="N40" i="8" l="1"/>
  <c r="O40" i="8" s="1"/>
  <c r="P40" i="8" s="1"/>
  <c r="Q40" i="8" s="1"/>
  <c r="R40" i="8" s="1"/>
  <c r="S40" i="8" s="1"/>
  <c r="T40" i="8" s="1"/>
  <c r="U40" i="8" s="1"/>
  <c r="V40" i="8" s="1"/>
  <c r="W40" i="8" s="1"/>
  <c r="X40" i="8" s="1"/>
  <c r="Y40" i="8" s="1"/>
  <c r="Z40" i="8" s="1"/>
  <c r="AA40" i="8" s="1"/>
  <c r="AB40" i="8" s="1"/>
  <c r="AC40" i="8" s="1"/>
  <c r="Y89" i="7"/>
  <c r="J103" i="7"/>
  <c r="I103" i="7"/>
  <c r="R103" i="7"/>
  <c r="O103" i="7"/>
  <c r="Q103" i="7"/>
  <c r="D26" i="10"/>
  <c r="F145" i="8"/>
  <c r="G63" i="7"/>
  <c r="D68" i="7"/>
  <c r="B14" i="10"/>
  <c r="C14" i="10"/>
  <c r="E133" i="8"/>
  <c r="B13" i="10"/>
  <c r="E132" i="8"/>
  <c r="C13" i="10"/>
  <c r="Y68" i="7"/>
  <c r="I68" i="7"/>
  <c r="C10" i="10"/>
  <c r="E129" i="8"/>
  <c r="B10" i="10"/>
  <c r="J68" i="7"/>
  <c r="K103" i="7"/>
  <c r="J21" i="8"/>
  <c r="K21" i="8" s="1"/>
  <c r="L21" i="8" s="1"/>
  <c r="M21" i="8" s="1"/>
  <c r="N21" i="8" s="1"/>
  <c r="O21" i="8" s="1"/>
  <c r="P21" i="8" s="1"/>
  <c r="Q21" i="8" s="1"/>
  <c r="R21" i="8" s="1"/>
  <c r="S21" i="8" s="1"/>
  <c r="T21" i="8" s="1"/>
  <c r="U21" i="8" s="1"/>
  <c r="V21" i="8" s="1"/>
  <c r="W21" i="8" s="1"/>
  <c r="X21" i="8" s="1"/>
  <c r="Y21" i="8" s="1"/>
  <c r="Z21" i="8" s="1"/>
  <c r="AA21" i="8" s="1"/>
  <c r="AB21" i="8" s="1"/>
  <c r="AC21" i="8" s="1"/>
  <c r="C24" i="10"/>
  <c r="B24" i="10"/>
  <c r="E143" i="8"/>
  <c r="R89" i="7"/>
  <c r="T93" i="7"/>
  <c r="Q98" i="7"/>
  <c r="N103" i="7"/>
  <c r="O68" i="7"/>
  <c r="D63" i="7"/>
  <c r="C15" i="10"/>
  <c r="B15" i="10"/>
  <c r="E134" i="8"/>
  <c r="K89" i="7"/>
  <c r="L89" i="7"/>
  <c r="D36" i="8"/>
  <c r="E36" i="8" s="1"/>
  <c r="F36" i="8" s="1"/>
  <c r="G36" i="8" s="1"/>
  <c r="H36" i="8" s="1"/>
  <c r="I36" i="8" s="1"/>
  <c r="J36" i="8" s="1"/>
  <c r="K36" i="8" s="1"/>
  <c r="L36" i="8" s="1"/>
  <c r="M36" i="8" s="1"/>
  <c r="N36" i="8" s="1"/>
  <c r="O36" i="8" s="1"/>
  <c r="P36" i="8" s="1"/>
  <c r="Q36" i="8" s="1"/>
  <c r="R36" i="8" s="1"/>
  <c r="S36" i="8" s="1"/>
  <c r="T36" i="8" s="1"/>
  <c r="U36" i="8" s="1"/>
  <c r="V36" i="8" s="1"/>
  <c r="W36" i="8" s="1"/>
  <c r="X36" i="8" s="1"/>
  <c r="Y36" i="8" s="1"/>
  <c r="Z36" i="8" s="1"/>
  <c r="AA36" i="8" s="1"/>
  <c r="AB36" i="8" s="1"/>
  <c r="AC36" i="8" s="1"/>
  <c r="D92" i="8"/>
  <c r="D148" i="8" s="1"/>
  <c r="Y93" i="7"/>
  <c r="E93" i="7"/>
  <c r="Z89" i="7"/>
  <c r="F93" i="7"/>
  <c r="AB93" i="7"/>
  <c r="T98" i="7"/>
  <c r="R98" i="7"/>
  <c r="N98" i="7"/>
  <c r="H98" i="7"/>
  <c r="U98" i="7"/>
  <c r="Y98" i="7"/>
  <c r="V103" i="7"/>
  <c r="E89" i="7"/>
  <c r="B19" i="10"/>
  <c r="C19" i="10"/>
  <c r="E138" i="8"/>
  <c r="C25" i="10"/>
  <c r="B25" i="10"/>
  <c r="E144" i="8"/>
  <c r="D68" i="8"/>
  <c r="D124" i="8" s="1"/>
  <c r="D12" i="8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B8" i="10"/>
  <c r="C8" i="10"/>
  <c r="E127" i="8"/>
  <c r="D89" i="7"/>
  <c r="Y63" i="7"/>
  <c r="V68" i="7"/>
  <c r="C17" i="10"/>
  <c r="E136" i="8"/>
  <c r="B17" i="10"/>
  <c r="D65" i="8"/>
  <c r="D121" i="8" s="1"/>
  <c r="D9" i="8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X93" i="7"/>
  <c r="W93" i="7"/>
  <c r="V93" i="7"/>
  <c r="L93" i="7"/>
  <c r="D75" i="8"/>
  <c r="D131" i="8" s="1"/>
  <c r="D19" i="8"/>
  <c r="E19" i="8" s="1"/>
  <c r="F19" i="8" s="1"/>
  <c r="G19" i="8" s="1"/>
  <c r="H19" i="8" s="1"/>
  <c r="I19" i="8" s="1"/>
  <c r="J19" i="8" s="1"/>
  <c r="K19" i="8" s="1"/>
  <c r="L19" i="8" s="1"/>
  <c r="M19" i="8" s="1"/>
  <c r="N19" i="8" s="1"/>
  <c r="O19" i="8" s="1"/>
  <c r="P19" i="8" s="1"/>
  <c r="Q19" i="8" s="1"/>
  <c r="R19" i="8" s="1"/>
  <c r="S19" i="8" s="1"/>
  <c r="T19" i="8" s="1"/>
  <c r="U19" i="8" s="1"/>
  <c r="V19" i="8" s="1"/>
  <c r="W19" i="8" s="1"/>
  <c r="X19" i="8" s="1"/>
  <c r="Y19" i="8" s="1"/>
  <c r="Z19" i="8" s="1"/>
  <c r="AA19" i="8" s="1"/>
  <c r="AB19" i="8" s="1"/>
  <c r="AC19" i="8" s="1"/>
  <c r="AC89" i="7"/>
  <c r="I93" i="7"/>
  <c r="Y103" i="7"/>
  <c r="Q68" i="7"/>
  <c r="AC68" i="7"/>
  <c r="C22" i="10"/>
  <c r="B22" i="10"/>
  <c r="E141" i="8"/>
  <c r="H89" i="7"/>
  <c r="Z90" i="7"/>
  <c r="Q90" i="7"/>
  <c r="P90" i="7"/>
  <c r="Y90" i="7"/>
  <c r="J93" i="7"/>
  <c r="G98" i="7"/>
  <c r="AC98" i="7"/>
  <c r="D103" i="7"/>
  <c r="Z103" i="7"/>
  <c r="M93" i="7"/>
  <c r="D90" i="7"/>
  <c r="Q93" i="7"/>
  <c r="E140" i="8"/>
  <c r="B21" i="10"/>
  <c r="C21" i="10"/>
  <c r="AA93" i="7"/>
  <c r="AC63" i="7"/>
  <c r="Z68" i="7"/>
  <c r="E68" i="7"/>
  <c r="AA68" i="7"/>
  <c r="C18" i="10"/>
  <c r="B18" i="10"/>
  <c r="E137" i="8"/>
  <c r="AA90" i="7"/>
  <c r="R93" i="7"/>
  <c r="C11" i="10"/>
  <c r="B11" i="10"/>
  <c r="E130" i="8"/>
  <c r="N90" i="7"/>
  <c r="B33" i="10"/>
  <c r="E152" i="8"/>
  <c r="C33" i="10"/>
  <c r="D29" i="8"/>
  <c r="E29" i="8" s="1"/>
  <c r="F29" i="8" s="1"/>
  <c r="G29" i="8" s="1"/>
  <c r="H29" i="8" s="1"/>
  <c r="I29" i="8" s="1"/>
  <c r="J29" i="8" s="1"/>
  <c r="K29" i="8" s="1"/>
  <c r="L29" i="8" s="1"/>
  <c r="M29" i="8" s="1"/>
  <c r="N29" i="8" s="1"/>
  <c r="O29" i="8" s="1"/>
  <c r="P29" i="8" s="1"/>
  <c r="Q29" i="8" s="1"/>
  <c r="R29" i="8" s="1"/>
  <c r="S29" i="8" s="1"/>
  <c r="T29" i="8" s="1"/>
  <c r="U29" i="8" s="1"/>
  <c r="V29" i="8" s="1"/>
  <c r="W29" i="8" s="1"/>
  <c r="X29" i="8" s="1"/>
  <c r="Y29" i="8" s="1"/>
  <c r="Z29" i="8" s="1"/>
  <c r="AA29" i="8" s="1"/>
  <c r="AB29" i="8" s="1"/>
  <c r="AC29" i="8" s="1"/>
  <c r="R63" i="7"/>
  <c r="C20" i="10"/>
  <c r="E139" i="8"/>
  <c r="T89" i="7"/>
  <c r="O90" i="7"/>
  <c r="L95" i="7"/>
  <c r="G96" i="7"/>
  <c r="AC96" i="7"/>
  <c r="H109" i="7"/>
  <c r="N95" i="7"/>
  <c r="S63" i="7"/>
  <c r="AA89" i="7"/>
  <c r="V90" i="7"/>
  <c r="G93" i="7"/>
  <c r="AC93" i="7"/>
  <c r="S95" i="7"/>
  <c r="Z63" i="7"/>
  <c r="K66" i="7"/>
  <c r="W68" i="7"/>
  <c r="R96" i="7"/>
  <c r="B20" i="10"/>
  <c r="C4" i="8"/>
  <c r="I63" i="7"/>
  <c r="J98" i="7"/>
  <c r="AC103" i="7"/>
  <c r="N93" i="7"/>
  <c r="D95" i="7"/>
  <c r="Z95" i="7"/>
  <c r="K98" i="7"/>
  <c r="H103" i="7"/>
  <c r="D104" i="7"/>
  <c r="U104" i="7"/>
  <c r="Y104" i="7"/>
  <c r="F68" i="7"/>
  <c r="AB68" i="7"/>
  <c r="F90" i="7"/>
  <c r="AB90" i="7"/>
  <c r="Y95" i="7"/>
  <c r="G103" i="7"/>
  <c r="J63" i="7"/>
  <c r="Q66" i="7"/>
  <c r="G68" i="7"/>
  <c r="G90" i="7"/>
  <c r="AC90" i="7"/>
  <c r="R66" i="7"/>
  <c r="H68" i="7"/>
  <c r="D86" i="8"/>
  <c r="D142" i="8" s="1"/>
  <c r="D30" i="8"/>
  <c r="E30" i="8" s="1"/>
  <c r="F30" i="8" s="1"/>
  <c r="G30" i="8" s="1"/>
  <c r="H30" i="8" s="1"/>
  <c r="I30" i="8" s="1"/>
  <c r="J30" i="8" s="1"/>
  <c r="K30" i="8" s="1"/>
  <c r="L30" i="8" s="1"/>
  <c r="M30" i="8" s="1"/>
  <c r="N30" i="8" s="1"/>
  <c r="O30" i="8" s="1"/>
  <c r="P30" i="8" s="1"/>
  <c r="Q30" i="8" s="1"/>
  <c r="R30" i="8" s="1"/>
  <c r="S30" i="8" s="1"/>
  <c r="T30" i="8" s="1"/>
  <c r="U30" i="8" s="1"/>
  <c r="V30" i="8" s="1"/>
  <c r="W30" i="8" s="1"/>
  <c r="X30" i="8" s="1"/>
  <c r="Y30" i="8" s="1"/>
  <c r="Z30" i="8" s="1"/>
  <c r="AA30" i="8" s="1"/>
  <c r="AB30" i="8" s="1"/>
  <c r="AC30" i="8" s="1"/>
  <c r="H90" i="7"/>
  <c r="Y91" i="7"/>
  <c r="O93" i="7"/>
  <c r="E95" i="7"/>
  <c r="V96" i="7"/>
  <c r="L98" i="7"/>
  <c r="O89" i="7"/>
  <c r="J90" i="7"/>
  <c r="G95" i="7"/>
  <c r="AC95" i="7"/>
  <c r="F104" i="7"/>
  <c r="AB104" i="7"/>
  <c r="T109" i="7"/>
  <c r="AB109" i="7"/>
  <c r="N109" i="7"/>
  <c r="J109" i="7"/>
  <c r="F109" i="7"/>
  <c r="L63" i="7"/>
  <c r="N89" i="7"/>
  <c r="I90" i="7"/>
  <c r="P93" i="7"/>
  <c r="F95" i="7"/>
  <c r="N63" i="7"/>
  <c r="D69" i="8"/>
  <c r="D125" i="8" s="1"/>
  <c r="D13" i="8"/>
  <c r="E13" i="8" s="1"/>
  <c r="F13" i="8" s="1"/>
  <c r="G13" i="8" s="1"/>
  <c r="H13" i="8" s="1"/>
  <c r="I13" i="8" s="1"/>
  <c r="J13" i="8" s="1"/>
  <c r="K13" i="8" s="1"/>
  <c r="L13" i="8" s="1"/>
  <c r="M13" i="8" s="1"/>
  <c r="N13" i="8" s="1"/>
  <c r="O13" i="8" s="1"/>
  <c r="P13" i="8" s="1"/>
  <c r="Q13" i="8" s="1"/>
  <c r="R13" i="8" s="1"/>
  <c r="S13" i="8" s="1"/>
  <c r="T13" i="8" s="1"/>
  <c r="U13" i="8" s="1"/>
  <c r="V13" i="8" s="1"/>
  <c r="W13" i="8" s="1"/>
  <c r="X13" i="8" s="1"/>
  <c r="Y13" i="8" s="1"/>
  <c r="Z13" i="8" s="1"/>
  <c r="AA13" i="8" s="1"/>
  <c r="AB13" i="8" s="1"/>
  <c r="AC13" i="8" s="1"/>
  <c r="U66" i="7"/>
  <c r="K68" i="7"/>
  <c r="D91" i="8"/>
  <c r="D147" i="8" s="1"/>
  <c r="D35" i="8"/>
  <c r="E35" i="8" s="1"/>
  <c r="F35" i="8" s="1"/>
  <c r="G35" i="8" s="1"/>
  <c r="H35" i="8" s="1"/>
  <c r="I35" i="8" s="1"/>
  <c r="J35" i="8" s="1"/>
  <c r="K35" i="8" s="1"/>
  <c r="L35" i="8" s="1"/>
  <c r="M35" i="8" s="1"/>
  <c r="N35" i="8" s="1"/>
  <c r="O35" i="8" s="1"/>
  <c r="P35" i="8" s="1"/>
  <c r="Q35" i="8" s="1"/>
  <c r="R35" i="8" s="1"/>
  <c r="S35" i="8" s="1"/>
  <c r="T35" i="8" s="1"/>
  <c r="U35" i="8" s="1"/>
  <c r="V35" i="8" s="1"/>
  <c r="W35" i="8" s="1"/>
  <c r="X35" i="8" s="1"/>
  <c r="Y35" i="8" s="1"/>
  <c r="Z35" i="8" s="1"/>
  <c r="AA35" i="8" s="1"/>
  <c r="AB35" i="8" s="1"/>
  <c r="AC35" i="8" s="1"/>
  <c r="P89" i="7"/>
  <c r="K90" i="7"/>
  <c r="Y96" i="7"/>
  <c r="G104" i="7"/>
  <c r="AC104" i="7"/>
  <c r="D109" i="7"/>
  <c r="Z109" i="7"/>
  <c r="S93" i="7"/>
  <c r="I95" i="7"/>
  <c r="D96" i="7"/>
  <c r="Z96" i="7"/>
  <c r="P98" i="7"/>
  <c r="M103" i="7"/>
  <c r="H104" i="7"/>
  <c r="D20" i="8"/>
  <c r="E20" i="8" s="1"/>
  <c r="F20" i="8" s="1"/>
  <c r="G20" i="8" s="1"/>
  <c r="H20" i="8" s="1"/>
  <c r="I20" i="8" s="1"/>
  <c r="J20" i="8" s="1"/>
  <c r="K20" i="8" s="1"/>
  <c r="L20" i="8" s="1"/>
  <c r="M20" i="8" s="1"/>
  <c r="N20" i="8" s="1"/>
  <c r="O20" i="8" s="1"/>
  <c r="P20" i="8" s="1"/>
  <c r="Q20" i="8" s="1"/>
  <c r="R20" i="8" s="1"/>
  <c r="S20" i="8" s="1"/>
  <c r="T20" i="8" s="1"/>
  <c r="U20" i="8" s="1"/>
  <c r="V20" i="8" s="1"/>
  <c r="W20" i="8" s="1"/>
  <c r="X20" i="8" s="1"/>
  <c r="Y20" i="8" s="1"/>
  <c r="Z20" i="8" s="1"/>
  <c r="AA20" i="8" s="1"/>
  <c r="AB20" i="8" s="1"/>
  <c r="AC20" i="8" s="1"/>
  <c r="I89" i="7"/>
  <c r="U91" i="7"/>
  <c r="K93" i="7"/>
  <c r="E103" i="7"/>
  <c r="AA103" i="7"/>
  <c r="V104" i="7"/>
  <c r="S109" i="7"/>
  <c r="N110" i="7"/>
  <c r="Y86" i="7"/>
  <c r="J89" i="7"/>
  <c r="E90" i="7"/>
  <c r="G94" i="7"/>
  <c r="AC94" i="7"/>
  <c r="X95" i="7"/>
  <c r="S96" i="7"/>
  <c r="N97" i="7"/>
  <c r="I98" i="7"/>
  <c r="D99" i="7"/>
  <c r="K102" i="7"/>
  <c r="F103" i="7"/>
  <c r="Q63" i="7"/>
  <c r="X66" i="7"/>
  <c r="N68" i="7"/>
  <c r="L86" i="7"/>
  <c r="S89" i="7"/>
  <c r="I91" i="7"/>
  <c r="U93" i="7"/>
  <c r="P94" i="7"/>
  <c r="K95" i="7"/>
  <c r="F96" i="7"/>
  <c r="AB96" i="7"/>
  <c r="M99" i="7"/>
  <c r="Y101" i="7"/>
  <c r="J104" i="7"/>
  <c r="G109" i="7"/>
  <c r="AC109" i="7"/>
  <c r="X110" i="7"/>
  <c r="H99" i="7"/>
  <c r="AA110" i="7"/>
  <c r="K110" i="7"/>
  <c r="E110" i="7"/>
  <c r="S110" i="7"/>
  <c r="E18" i="8"/>
  <c r="F18" i="8" s="1"/>
  <c r="G18" i="8" s="1"/>
  <c r="H18" i="8" s="1"/>
  <c r="I18" i="8" s="1"/>
  <c r="J18" i="8" s="1"/>
  <c r="K18" i="8" s="1"/>
  <c r="L18" i="8" s="1"/>
  <c r="M18" i="8" s="1"/>
  <c r="N18" i="8" s="1"/>
  <c r="O18" i="8" s="1"/>
  <c r="P18" i="8" s="1"/>
  <c r="Q18" i="8" s="1"/>
  <c r="R18" i="8" s="1"/>
  <c r="S18" i="8" s="1"/>
  <c r="T18" i="8" s="1"/>
  <c r="U18" i="8" s="1"/>
  <c r="V18" i="8" s="1"/>
  <c r="W18" i="8" s="1"/>
  <c r="X18" i="8" s="1"/>
  <c r="Y18" i="8" s="1"/>
  <c r="Z18" i="8" s="1"/>
  <c r="AA18" i="8" s="1"/>
  <c r="AB18" i="8" s="1"/>
  <c r="AC18" i="8" s="1"/>
  <c r="Y75" i="7"/>
  <c r="U89" i="7"/>
  <c r="K91" i="7"/>
  <c r="R94" i="7"/>
  <c r="H96" i="7"/>
  <c r="O99" i="7"/>
  <c r="E101" i="7"/>
  <c r="AA101" i="7"/>
  <c r="V102" i="7"/>
  <c r="I109" i="7"/>
  <c r="Z110" i="7"/>
  <c r="S98" i="7"/>
  <c r="P103" i="7"/>
  <c r="D66" i="7"/>
  <c r="Z66" i="7"/>
  <c r="P68" i="7"/>
  <c r="T63" i="7"/>
  <c r="E66" i="7"/>
  <c r="D75" i="7"/>
  <c r="Z75" i="7"/>
  <c r="O86" i="7"/>
  <c r="V89" i="7"/>
  <c r="S94" i="7"/>
  <c r="I96" i="7"/>
  <c r="Z97" i="7"/>
  <c r="W102" i="7"/>
  <c r="D24" i="8"/>
  <c r="E24" i="8" s="1"/>
  <c r="F24" i="8" s="1"/>
  <c r="G24" i="8" s="1"/>
  <c r="H24" i="8" s="1"/>
  <c r="I24" i="8" s="1"/>
  <c r="J24" i="8" s="1"/>
  <c r="K24" i="8" s="1"/>
  <c r="L24" i="8" s="1"/>
  <c r="M24" i="8" s="1"/>
  <c r="N24" i="8" s="1"/>
  <c r="O24" i="8" s="1"/>
  <c r="P24" i="8" s="1"/>
  <c r="Q24" i="8" s="1"/>
  <c r="R24" i="8" s="1"/>
  <c r="S24" i="8" s="1"/>
  <c r="T24" i="8" s="1"/>
  <c r="U24" i="8" s="1"/>
  <c r="V24" i="8" s="1"/>
  <c r="W24" i="8" s="1"/>
  <c r="X24" i="8" s="1"/>
  <c r="Y24" i="8" s="1"/>
  <c r="Z24" i="8" s="1"/>
  <c r="AA24" i="8" s="1"/>
  <c r="AB24" i="8" s="1"/>
  <c r="AC24" i="8" s="1"/>
  <c r="D27" i="8"/>
  <c r="E27" i="8" s="1"/>
  <c r="F27" i="8" s="1"/>
  <c r="G27" i="8" s="1"/>
  <c r="H27" i="8" s="1"/>
  <c r="I27" i="8" s="1"/>
  <c r="J27" i="8" s="1"/>
  <c r="K27" i="8" s="1"/>
  <c r="L27" i="8" s="1"/>
  <c r="M27" i="8" s="1"/>
  <c r="N27" i="8" s="1"/>
  <c r="O27" i="8" s="1"/>
  <c r="P27" i="8" s="1"/>
  <c r="Q27" i="8" s="1"/>
  <c r="R27" i="8" s="1"/>
  <c r="S27" i="8" s="1"/>
  <c r="T27" i="8" s="1"/>
  <c r="U27" i="8" s="1"/>
  <c r="V27" i="8" s="1"/>
  <c r="W27" i="8" s="1"/>
  <c r="X27" i="8" s="1"/>
  <c r="Y27" i="8" s="1"/>
  <c r="Z27" i="8" s="1"/>
  <c r="AA27" i="8" s="1"/>
  <c r="AB27" i="8" s="1"/>
  <c r="AC27" i="8" s="1"/>
  <c r="X89" i="7"/>
  <c r="N91" i="7"/>
  <c r="D93" i="7"/>
  <c r="Z93" i="7"/>
  <c r="U94" i="7"/>
  <c r="W98" i="7"/>
  <c r="R99" i="7"/>
  <c r="T103" i="7"/>
  <c r="G110" i="7"/>
  <c r="D98" i="7"/>
  <c r="Z98" i="7"/>
  <c r="F102" i="7"/>
  <c r="AB102" i="7"/>
  <c r="W103" i="7"/>
  <c r="R104" i="7"/>
  <c r="D28" i="8"/>
  <c r="E28" i="8" s="1"/>
  <c r="F28" i="8" s="1"/>
  <c r="G28" i="8" s="1"/>
  <c r="H28" i="8" s="1"/>
  <c r="I28" i="8" s="1"/>
  <c r="J28" i="8" s="1"/>
  <c r="K28" i="8" s="1"/>
  <c r="L28" i="8" s="1"/>
  <c r="M28" i="8" s="1"/>
  <c r="N28" i="8" s="1"/>
  <c r="O28" i="8" s="1"/>
  <c r="P28" i="8" s="1"/>
  <c r="Q28" i="8" s="1"/>
  <c r="R28" i="8" s="1"/>
  <c r="S28" i="8" s="1"/>
  <c r="T28" i="8" s="1"/>
  <c r="U28" i="8" s="1"/>
  <c r="V28" i="8" s="1"/>
  <c r="W28" i="8" s="1"/>
  <c r="X28" i="8" s="1"/>
  <c r="Y28" i="8" s="1"/>
  <c r="Z28" i="8" s="1"/>
  <c r="AA28" i="8" s="1"/>
  <c r="AB28" i="8" s="1"/>
  <c r="AC28" i="8" s="1"/>
  <c r="F89" i="7"/>
  <c r="AB89" i="7"/>
  <c r="W90" i="7"/>
  <c r="R91" i="7"/>
  <c r="H93" i="7"/>
  <c r="Y94" i="7"/>
  <c r="T95" i="7"/>
  <c r="E98" i="7"/>
  <c r="AA98" i="7"/>
  <c r="V99" i="7"/>
  <c r="AC102" i="7"/>
  <c r="X103" i="7"/>
  <c r="P109" i="7"/>
  <c r="R105" i="7"/>
  <c r="Y105" i="7"/>
  <c r="V110" i="7"/>
  <c r="W110" i="7"/>
  <c r="R111" i="7"/>
  <c r="Y111" i="7"/>
  <c r="D15" i="8"/>
  <c r="E15" i="8" s="1"/>
  <c r="F15" i="8" s="1"/>
  <c r="G15" i="8" s="1"/>
  <c r="H15" i="8" s="1"/>
  <c r="I15" i="8" s="1"/>
  <c r="J15" i="8" s="1"/>
  <c r="K15" i="8" s="1"/>
  <c r="L15" i="8" s="1"/>
  <c r="M15" i="8" s="1"/>
  <c r="N15" i="8" s="1"/>
  <c r="O15" i="8" s="1"/>
  <c r="P15" i="8" s="1"/>
  <c r="Q15" i="8" s="1"/>
  <c r="R15" i="8" s="1"/>
  <c r="S15" i="8" s="1"/>
  <c r="T15" i="8" s="1"/>
  <c r="U15" i="8" s="1"/>
  <c r="V15" i="8" s="1"/>
  <c r="W15" i="8" s="1"/>
  <c r="X15" i="8" s="1"/>
  <c r="Y15" i="8" s="1"/>
  <c r="Z15" i="8" s="1"/>
  <c r="AA15" i="8" s="1"/>
  <c r="AB15" i="8" s="1"/>
  <c r="AC15" i="8" s="1"/>
  <c r="P105" i="7"/>
  <c r="R109" i="7"/>
  <c r="M110" i="7"/>
  <c r="Y112" i="7"/>
  <c r="D17" i="8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A17" i="8" s="1"/>
  <c r="AB17" i="8" s="1"/>
  <c r="AC17" i="8" s="1"/>
  <c r="AB103" i="7"/>
  <c r="J111" i="7"/>
  <c r="V111" i="7"/>
  <c r="D31" i="8"/>
  <c r="E31" i="8" s="1"/>
  <c r="F31" i="8" s="1"/>
  <c r="G31" i="8" s="1"/>
  <c r="H31" i="8" s="1"/>
  <c r="I31" i="8" s="1"/>
  <c r="J31" i="8" s="1"/>
  <c r="K31" i="8" s="1"/>
  <c r="L31" i="8" s="1"/>
  <c r="M31" i="8" s="1"/>
  <c r="N31" i="8" s="1"/>
  <c r="O31" i="8" s="1"/>
  <c r="P31" i="8" s="1"/>
  <c r="Q31" i="8" s="1"/>
  <c r="R31" i="8" s="1"/>
  <c r="S31" i="8" s="1"/>
  <c r="T31" i="8" s="1"/>
  <c r="U31" i="8" s="1"/>
  <c r="V31" i="8" s="1"/>
  <c r="W31" i="8" s="1"/>
  <c r="X31" i="8" s="1"/>
  <c r="Y31" i="8" s="1"/>
  <c r="Z31" i="8" s="1"/>
  <c r="AA31" i="8" s="1"/>
  <c r="AB31" i="8" s="1"/>
  <c r="AC31" i="8" s="1"/>
  <c r="U105" i="7"/>
  <c r="W109" i="7"/>
  <c r="R110" i="7"/>
  <c r="M111" i="7"/>
  <c r="AB95" i="7"/>
  <c r="M98" i="7"/>
  <c r="T101" i="7"/>
  <c r="E104" i="7"/>
  <c r="AA104" i="7"/>
  <c r="X109" i="7"/>
  <c r="N111" i="7"/>
  <c r="I112" i="7"/>
  <c r="O110" i="7"/>
  <c r="E109" i="7"/>
  <c r="AA109" i="7"/>
  <c r="L112" i="7"/>
  <c r="D33" i="8"/>
  <c r="E33" i="8" s="1"/>
  <c r="F33" i="8" s="1"/>
  <c r="G33" i="8" s="1"/>
  <c r="H33" i="8" s="1"/>
  <c r="I33" i="8" s="1"/>
  <c r="J33" i="8" s="1"/>
  <c r="K33" i="8" s="1"/>
  <c r="L33" i="8" s="1"/>
  <c r="M33" i="8" s="1"/>
  <c r="N33" i="8" s="1"/>
  <c r="O33" i="8" s="1"/>
  <c r="P33" i="8" s="1"/>
  <c r="Q33" i="8" s="1"/>
  <c r="R33" i="8" s="1"/>
  <c r="S33" i="8" s="1"/>
  <c r="T33" i="8" s="1"/>
  <c r="U33" i="8" s="1"/>
  <c r="V33" i="8" s="1"/>
  <c r="W33" i="8" s="1"/>
  <c r="X33" i="8" s="1"/>
  <c r="Y33" i="8" s="1"/>
  <c r="Z33" i="8" s="1"/>
  <c r="AA33" i="8" s="1"/>
  <c r="AB33" i="8" s="1"/>
  <c r="AC33" i="8" s="1"/>
  <c r="S108" i="7"/>
  <c r="I110" i="7"/>
  <c r="O109" i="7"/>
  <c r="D32" i="8"/>
  <c r="E32" i="8" s="1"/>
  <c r="F32" i="8" s="1"/>
  <c r="G32" i="8" s="1"/>
  <c r="H32" i="8" s="1"/>
  <c r="I32" i="8" s="1"/>
  <c r="J32" i="8" s="1"/>
  <c r="K32" i="8" s="1"/>
  <c r="L32" i="8" s="1"/>
  <c r="M32" i="8" s="1"/>
  <c r="N32" i="8" s="1"/>
  <c r="O32" i="8" s="1"/>
  <c r="P32" i="8" s="1"/>
  <c r="Q32" i="8" s="1"/>
  <c r="R32" i="8" s="1"/>
  <c r="S32" i="8" s="1"/>
  <c r="T32" i="8" s="1"/>
  <c r="U32" i="8" s="1"/>
  <c r="V32" i="8" s="1"/>
  <c r="W32" i="8" s="1"/>
  <c r="X32" i="8" s="1"/>
  <c r="Y32" i="8" s="1"/>
  <c r="Z32" i="8" s="1"/>
  <c r="AA32" i="8" s="1"/>
  <c r="AB32" i="8" s="1"/>
  <c r="AC32" i="8" s="1"/>
  <c r="D25" i="8"/>
  <c r="E25" i="8" s="1"/>
  <c r="F25" i="8" s="1"/>
  <c r="G25" i="8" s="1"/>
  <c r="H25" i="8" s="1"/>
  <c r="I25" i="8" s="1"/>
  <c r="J25" i="8" s="1"/>
  <c r="K25" i="8" s="1"/>
  <c r="L25" i="8" s="1"/>
  <c r="M25" i="8" s="1"/>
  <c r="N25" i="8" s="1"/>
  <c r="O25" i="8" s="1"/>
  <c r="P25" i="8" s="1"/>
  <c r="Q25" i="8" s="1"/>
  <c r="R25" i="8" s="1"/>
  <c r="S25" i="8" s="1"/>
  <c r="T25" i="8" s="1"/>
  <c r="U25" i="8" s="1"/>
  <c r="V25" i="8" s="1"/>
  <c r="W25" i="8" s="1"/>
  <c r="X25" i="8" s="1"/>
  <c r="Y25" i="8" s="1"/>
  <c r="Z25" i="8" s="1"/>
  <c r="AA25" i="8" s="1"/>
  <c r="AB25" i="8" s="1"/>
  <c r="AC25" i="8" s="1"/>
  <c r="D26" i="8"/>
  <c r="E26" i="8" s="1"/>
  <c r="F26" i="8" s="1"/>
  <c r="G26" i="8" s="1"/>
  <c r="H26" i="8" s="1"/>
  <c r="I26" i="8" s="1"/>
  <c r="J26" i="8" s="1"/>
  <c r="K26" i="8" s="1"/>
  <c r="L26" i="8" s="1"/>
  <c r="M26" i="8" s="1"/>
  <c r="N26" i="8" s="1"/>
  <c r="O26" i="8" s="1"/>
  <c r="P26" i="8" s="1"/>
  <c r="Q26" i="8" s="1"/>
  <c r="R26" i="8" s="1"/>
  <c r="S26" i="8" s="1"/>
  <c r="T26" i="8" s="1"/>
  <c r="U26" i="8" s="1"/>
  <c r="V26" i="8" s="1"/>
  <c r="W26" i="8" s="1"/>
  <c r="X26" i="8" s="1"/>
  <c r="Y26" i="8" s="1"/>
  <c r="Z26" i="8" s="1"/>
  <c r="AA26" i="8" s="1"/>
  <c r="AB26" i="8" s="1"/>
  <c r="AC26" i="8" s="1"/>
  <c r="D25" i="10" l="1"/>
  <c r="F144" i="8"/>
  <c r="E26" i="10"/>
  <c r="G145" i="8"/>
  <c r="B12" i="10"/>
  <c r="C12" i="10"/>
  <c r="E131" i="8"/>
  <c r="D17" i="10"/>
  <c r="F136" i="8"/>
  <c r="D20" i="10"/>
  <c r="F139" i="8"/>
  <c r="D14" i="10"/>
  <c r="F133" i="8"/>
  <c r="C5" i="10"/>
  <c r="B5" i="10"/>
  <c r="E124" i="8"/>
  <c r="D19" i="10"/>
  <c r="F138" i="8"/>
  <c r="D24" i="10"/>
  <c r="F143" i="8"/>
  <c r="C29" i="10"/>
  <c r="B29" i="10"/>
  <c r="E148" i="8"/>
  <c r="J4" i="8"/>
  <c r="AA4" i="8"/>
  <c r="E4" i="8"/>
  <c r="I4" i="8"/>
  <c r="G4" i="8"/>
  <c r="L4" i="8"/>
  <c r="H4" i="8"/>
  <c r="AC4" i="8"/>
  <c r="AB4" i="8"/>
  <c r="Z4" i="8"/>
  <c r="V4" i="8"/>
  <c r="Q4" i="8"/>
  <c r="D4" i="8"/>
  <c r="T4" i="8"/>
  <c r="S4" i="8"/>
  <c r="O4" i="8"/>
  <c r="M4" i="8"/>
  <c r="Y4" i="8"/>
  <c r="X4" i="8"/>
  <c r="W4" i="8"/>
  <c r="N4" i="8"/>
  <c r="K4" i="8"/>
  <c r="F4" i="8"/>
  <c r="U4" i="8"/>
  <c r="R4" i="8"/>
  <c r="P4" i="8"/>
  <c r="D8" i="10"/>
  <c r="F127" i="8"/>
  <c r="C2" i="10"/>
  <c r="B2" i="10"/>
  <c r="E121" i="8"/>
  <c r="D10" i="10"/>
  <c r="F129" i="8"/>
  <c r="E147" i="8"/>
  <c r="B28" i="10"/>
  <c r="C28" i="10"/>
  <c r="F134" i="8"/>
  <c r="D15" i="10"/>
  <c r="D33" i="10"/>
  <c r="F152" i="8"/>
  <c r="D11" i="10"/>
  <c r="F130" i="8"/>
  <c r="B23" i="10"/>
  <c r="C23" i="10"/>
  <c r="E142" i="8"/>
  <c r="C6" i="10"/>
  <c r="B6" i="10"/>
  <c r="E125" i="8"/>
  <c r="D22" i="10"/>
  <c r="F141" i="8"/>
  <c r="D18" i="10"/>
  <c r="F137" i="8"/>
  <c r="D21" i="10"/>
  <c r="F140" i="8"/>
  <c r="D13" i="10"/>
  <c r="F132" i="8"/>
  <c r="D2" i="10" l="1"/>
  <c r="F121" i="8"/>
  <c r="E19" i="10"/>
  <c r="G138" i="8"/>
  <c r="G136" i="8"/>
  <c r="E17" i="10"/>
  <c r="H145" i="8"/>
  <c r="F26" i="10"/>
  <c r="E22" i="10"/>
  <c r="G141" i="8"/>
  <c r="E10" i="10"/>
  <c r="G129" i="8"/>
  <c r="D12" i="10"/>
  <c r="F131" i="8"/>
  <c r="E13" i="10"/>
  <c r="G132" i="8"/>
  <c r="D6" i="10"/>
  <c r="F125" i="8"/>
  <c r="D23" i="10"/>
  <c r="F142" i="8"/>
  <c r="E21" i="10"/>
  <c r="G140" i="8"/>
  <c r="G152" i="8"/>
  <c r="E33" i="10"/>
  <c r="E18" i="10"/>
  <c r="G137" i="8"/>
  <c r="E8" i="10"/>
  <c r="G127" i="8"/>
  <c r="E14" i="10"/>
  <c r="G133" i="8"/>
  <c r="F147" i="8"/>
  <c r="D28" i="10"/>
  <c r="E15" i="10"/>
  <c r="G134" i="8"/>
  <c r="G130" i="8"/>
  <c r="E11" i="10"/>
  <c r="E20" i="10"/>
  <c r="G139" i="8"/>
  <c r="F148" i="8"/>
  <c r="D29" i="10"/>
  <c r="E25" i="10"/>
  <c r="G144" i="8"/>
  <c r="D5" i="10"/>
  <c r="F124" i="8"/>
  <c r="D5" i="8"/>
  <c r="E24" i="10"/>
  <c r="G143" i="8"/>
  <c r="G131" i="8" l="1"/>
  <c r="E12" i="10"/>
  <c r="H129" i="8"/>
  <c r="F10" i="10"/>
  <c r="E29" i="10"/>
  <c r="G148" i="8"/>
  <c r="H139" i="8"/>
  <c r="F20" i="10"/>
  <c r="G26" i="10"/>
  <c r="I145" i="8"/>
  <c r="F24" i="10"/>
  <c r="H143" i="8"/>
  <c r="E6" i="10"/>
  <c r="G125" i="8"/>
  <c r="H138" i="8"/>
  <c r="F19" i="10"/>
  <c r="F11" i="10"/>
  <c r="H130" i="8"/>
  <c r="F33" i="10"/>
  <c r="H152" i="8"/>
  <c r="F17" i="10"/>
  <c r="H136" i="8"/>
  <c r="G147" i="8"/>
  <c r="E28" i="10"/>
  <c r="H137" i="8"/>
  <c r="F18" i="10"/>
  <c r="F25" i="10"/>
  <c r="H144" i="8"/>
  <c r="E23" i="10"/>
  <c r="G142" i="8"/>
  <c r="F8" i="10"/>
  <c r="H127" i="8"/>
  <c r="F21" i="10"/>
  <c r="H140" i="8"/>
  <c r="F22" i="10"/>
  <c r="H141" i="8"/>
  <c r="D59" i="8"/>
  <c r="D98" i="8"/>
  <c r="D154" i="8" s="1"/>
  <c r="D116" i="8"/>
  <c r="D172" i="8" s="1"/>
  <c r="D58" i="8"/>
  <c r="D34" i="8"/>
  <c r="D110" i="8"/>
  <c r="D166" i="8" s="1"/>
  <c r="D90" i="8"/>
  <c r="D146" i="8" s="1"/>
  <c r="D55" i="8"/>
  <c r="D56" i="8"/>
  <c r="D104" i="8"/>
  <c r="D160" i="8" s="1"/>
  <c r="D50" i="8"/>
  <c r="D43" i="8"/>
  <c r="D42" i="8"/>
  <c r="D60" i="8"/>
  <c r="D48" i="8"/>
  <c r="D16" i="8"/>
  <c r="D54" i="8"/>
  <c r="D114" i="8"/>
  <c r="D170" i="8" s="1"/>
  <c r="D111" i="8"/>
  <c r="D167" i="8" s="1"/>
  <c r="D109" i="8"/>
  <c r="D165" i="8" s="1"/>
  <c r="D66" i="8"/>
  <c r="D122" i="8" s="1"/>
  <c r="D45" i="8"/>
  <c r="D101" i="8"/>
  <c r="D157" i="8" s="1"/>
  <c r="D112" i="8"/>
  <c r="D168" i="8" s="1"/>
  <c r="D115" i="8"/>
  <c r="D171" i="8" s="1"/>
  <c r="D53" i="8"/>
  <c r="D39" i="8"/>
  <c r="D106" i="8"/>
  <c r="D162" i="8" s="1"/>
  <c r="D105" i="8"/>
  <c r="D161" i="8" s="1"/>
  <c r="D95" i="8"/>
  <c r="D151" i="8" s="1"/>
  <c r="D49" i="8"/>
  <c r="D46" i="8"/>
  <c r="D10" i="8"/>
  <c r="D51" i="8"/>
  <c r="D23" i="8"/>
  <c r="D100" i="8"/>
  <c r="D156" i="8" s="1"/>
  <c r="D70" i="8"/>
  <c r="D126" i="8" s="1"/>
  <c r="D79" i="8"/>
  <c r="D135" i="8" s="1"/>
  <c r="D37" i="8"/>
  <c r="D72" i="8"/>
  <c r="D128" i="8" s="1"/>
  <c r="D44" i="8"/>
  <c r="D97" i="8"/>
  <c r="D153" i="8" s="1"/>
  <c r="D14" i="8"/>
  <c r="D102" i="8"/>
  <c r="D158" i="8" s="1"/>
  <c r="D41" i="8"/>
  <c r="D47" i="8"/>
  <c r="D108" i="8"/>
  <c r="D164" i="8" s="1"/>
  <c r="D99" i="8"/>
  <c r="D155" i="8" s="1"/>
  <c r="D11" i="8"/>
  <c r="D52" i="8"/>
  <c r="D67" i="8"/>
  <c r="D123" i="8" s="1"/>
  <c r="D103" i="8"/>
  <c r="D159" i="8" s="1"/>
  <c r="D107" i="8"/>
  <c r="D163" i="8" s="1"/>
  <c r="D113" i="8"/>
  <c r="D169" i="8" s="1"/>
  <c r="D57" i="8"/>
  <c r="D94" i="8"/>
  <c r="D150" i="8" s="1"/>
  <c r="D93" i="8"/>
  <c r="D149" i="8" s="1"/>
  <c r="D38" i="8"/>
  <c r="F15" i="10"/>
  <c r="H134" i="8"/>
  <c r="E5" i="10"/>
  <c r="G124" i="8"/>
  <c r="H133" i="8"/>
  <c r="F14" i="10"/>
  <c r="F13" i="10"/>
  <c r="H132" i="8"/>
  <c r="E2" i="10"/>
  <c r="G121" i="8"/>
  <c r="G17" i="10" l="1"/>
  <c r="I136" i="8"/>
  <c r="B53" i="10"/>
  <c r="C53" i="10"/>
  <c r="C49" i="10"/>
  <c r="B49" i="10"/>
  <c r="I130" i="8"/>
  <c r="G11" i="10"/>
  <c r="G13" i="10"/>
  <c r="I132" i="8"/>
  <c r="H124" i="8"/>
  <c r="F5" i="10"/>
  <c r="I134" i="8"/>
  <c r="G15" i="10"/>
  <c r="H26" i="10"/>
  <c r="J145" i="8"/>
  <c r="C36" i="10"/>
  <c r="B36" i="10"/>
  <c r="I152" i="8"/>
  <c r="G33" i="10"/>
  <c r="C39" i="10"/>
  <c r="B39" i="10"/>
  <c r="B46" i="10"/>
  <c r="C46" i="10"/>
  <c r="C48" i="10"/>
  <c r="B48" i="10"/>
  <c r="B51" i="10"/>
  <c r="C51" i="10"/>
  <c r="B16" i="10"/>
  <c r="C16" i="10"/>
  <c r="E48" i="8"/>
  <c r="C37" i="10"/>
  <c r="B37" i="10"/>
  <c r="E60" i="8"/>
  <c r="F23" i="10"/>
  <c r="H142" i="8"/>
  <c r="C30" i="10"/>
  <c r="B30" i="10"/>
  <c r="G20" i="10"/>
  <c r="I139" i="8"/>
  <c r="E52" i="8"/>
  <c r="E34" i="8"/>
  <c r="E53" i="8"/>
  <c r="E58" i="8"/>
  <c r="F2" i="10"/>
  <c r="H121" i="8"/>
  <c r="E47" i="8"/>
  <c r="C3" i="10"/>
  <c r="B3" i="10"/>
  <c r="B34" i="10"/>
  <c r="C34" i="10"/>
  <c r="G22" i="10"/>
  <c r="I141" i="8"/>
  <c r="G14" i="10"/>
  <c r="I133" i="8"/>
  <c r="B9" i="10"/>
  <c r="C9" i="10"/>
  <c r="G24" i="10"/>
  <c r="I143" i="8"/>
  <c r="E37" i="8"/>
  <c r="C7" i="10"/>
  <c r="B7" i="10"/>
  <c r="E38" i="8"/>
  <c r="E43" i="8"/>
  <c r="I144" i="8"/>
  <c r="G25" i="10"/>
  <c r="E57" i="8"/>
  <c r="E10" i="8"/>
  <c r="E5" i="8"/>
  <c r="E50" i="8" s="1"/>
  <c r="D6" i="9"/>
  <c r="D7" i="9" s="1"/>
  <c r="B50" i="10"/>
  <c r="C50" i="10"/>
  <c r="C41" i="10"/>
  <c r="B41" i="10"/>
  <c r="B35" i="10"/>
  <c r="C35" i="10"/>
  <c r="C38" i="10"/>
  <c r="B38" i="10"/>
  <c r="E14" i="8"/>
  <c r="G8" i="10"/>
  <c r="I127" i="8"/>
  <c r="C44" i="10"/>
  <c r="B44" i="10"/>
  <c r="E56" i="8"/>
  <c r="I137" i="8"/>
  <c r="G18" i="10"/>
  <c r="I129" i="8"/>
  <c r="G10" i="10"/>
  <c r="C43" i="10"/>
  <c r="B43" i="10"/>
  <c r="B45" i="10"/>
  <c r="C45" i="10"/>
  <c r="E44" i="8"/>
  <c r="I140" i="8"/>
  <c r="G21" i="10"/>
  <c r="B31" i="10"/>
  <c r="C31" i="10"/>
  <c r="F29" i="10"/>
  <c r="H148" i="8"/>
  <c r="E55" i="8"/>
  <c r="C47" i="10"/>
  <c r="B47" i="10"/>
  <c r="B52" i="10"/>
  <c r="C52" i="10"/>
  <c r="G19" i="10"/>
  <c r="I138" i="8"/>
  <c r="F6" i="10"/>
  <c r="H125" i="8"/>
  <c r="E54" i="8"/>
  <c r="E51" i="8"/>
  <c r="E49" i="8"/>
  <c r="C40" i="10"/>
  <c r="B40" i="10"/>
  <c r="C32" i="10"/>
  <c r="B32" i="10"/>
  <c r="C4" i="10"/>
  <c r="B4" i="10"/>
  <c r="C42" i="10"/>
  <c r="B42" i="10"/>
  <c r="C27" i="10"/>
  <c r="B27" i="10"/>
  <c r="H147" i="8"/>
  <c r="F28" i="10"/>
  <c r="F12" i="10"/>
  <c r="H131" i="8"/>
  <c r="E11" i="8" l="1"/>
  <c r="G29" i="10"/>
  <c r="I148" i="8"/>
  <c r="J127" i="8"/>
  <c r="H8" i="10"/>
  <c r="H25" i="10"/>
  <c r="J144" i="8"/>
  <c r="E41" i="8"/>
  <c r="E16" i="8"/>
  <c r="I26" i="10"/>
  <c r="K145" i="8"/>
  <c r="G12" i="10"/>
  <c r="I131" i="8"/>
  <c r="G6" i="10"/>
  <c r="I125" i="8"/>
  <c r="J130" i="8"/>
  <c r="H11" i="10"/>
  <c r="I124" i="8"/>
  <c r="G5" i="10"/>
  <c r="H21" i="10"/>
  <c r="J140" i="8"/>
  <c r="H13" i="10"/>
  <c r="J132" i="8"/>
  <c r="H20" i="10"/>
  <c r="J139" i="8"/>
  <c r="E46" i="8"/>
  <c r="E45" i="8"/>
  <c r="H15" i="10"/>
  <c r="J134" i="8"/>
  <c r="H19" i="10"/>
  <c r="J138" i="8"/>
  <c r="E23" i="8"/>
  <c r="E39" i="8"/>
  <c r="E59" i="8"/>
  <c r="J141" i="8"/>
  <c r="H22" i="10"/>
  <c r="J143" i="8"/>
  <c r="H24" i="10"/>
  <c r="G28" i="10"/>
  <c r="I147" i="8"/>
  <c r="G23" i="10"/>
  <c r="I142" i="8"/>
  <c r="H18" i="10"/>
  <c r="J137" i="8"/>
  <c r="I121" i="8"/>
  <c r="G2" i="10"/>
  <c r="E42" i="8"/>
  <c r="J133" i="8"/>
  <c r="H14" i="10"/>
  <c r="H10" i="10"/>
  <c r="J129" i="8"/>
  <c r="J152" i="8"/>
  <c r="H33" i="10"/>
  <c r="H17" i="10"/>
  <c r="J136" i="8"/>
  <c r="E110" i="8"/>
  <c r="E166" i="8" s="1"/>
  <c r="E67" i="8"/>
  <c r="E123" i="8" s="1"/>
  <c r="E103" i="8"/>
  <c r="E159" i="8" s="1"/>
  <c r="E111" i="8"/>
  <c r="E167" i="8" s="1"/>
  <c r="E66" i="8"/>
  <c r="E122" i="8" s="1"/>
  <c r="E112" i="8"/>
  <c r="E168" i="8" s="1"/>
  <c r="E79" i="8"/>
  <c r="E135" i="8" s="1"/>
  <c r="E116" i="8"/>
  <c r="E172" i="8" s="1"/>
  <c r="E95" i="8"/>
  <c r="E151" i="8" s="1"/>
  <c r="E115" i="8"/>
  <c r="E171" i="8" s="1"/>
  <c r="E101" i="8"/>
  <c r="E157" i="8" s="1"/>
  <c r="E109" i="8"/>
  <c r="E165" i="8" s="1"/>
  <c r="E98" i="8"/>
  <c r="E154" i="8" s="1"/>
  <c r="E106" i="8"/>
  <c r="E162" i="8" s="1"/>
  <c r="E100" i="8"/>
  <c r="E156" i="8" s="1"/>
  <c r="E104" i="8"/>
  <c r="E160" i="8" s="1"/>
  <c r="E90" i="8"/>
  <c r="E146" i="8" s="1"/>
  <c r="E114" i="8"/>
  <c r="E170" i="8" s="1"/>
  <c r="E113" i="8"/>
  <c r="E169" i="8" s="1"/>
  <c r="E99" i="8"/>
  <c r="E155" i="8" s="1"/>
  <c r="E70" i="8"/>
  <c r="E126" i="8" s="1"/>
  <c r="E102" i="8"/>
  <c r="E158" i="8" s="1"/>
  <c r="E72" i="8"/>
  <c r="E128" i="8" s="1"/>
  <c r="E105" i="8"/>
  <c r="E161" i="8" s="1"/>
  <c r="E93" i="8"/>
  <c r="E149" i="8" s="1"/>
  <c r="E94" i="8"/>
  <c r="E150" i="8" s="1"/>
  <c r="E108" i="8"/>
  <c r="E164" i="8" s="1"/>
  <c r="E97" i="8"/>
  <c r="E153" i="8" s="1"/>
  <c r="E107" i="8"/>
  <c r="E163" i="8" s="1"/>
  <c r="D52" i="10" l="1"/>
  <c r="D53" i="10"/>
  <c r="D44" i="10"/>
  <c r="D16" i="10"/>
  <c r="K137" i="8"/>
  <c r="I18" i="10"/>
  <c r="K134" i="8"/>
  <c r="I15" i="10"/>
  <c r="J131" i="8"/>
  <c r="H12" i="10"/>
  <c r="I11" i="10"/>
  <c r="K130" i="8"/>
  <c r="D34" i="10"/>
  <c r="D49" i="10"/>
  <c r="K139" i="8"/>
  <c r="I20" i="10"/>
  <c r="D39" i="10"/>
  <c r="I25" i="10"/>
  <c r="K144" i="8"/>
  <c r="D32" i="10"/>
  <c r="D3" i="10"/>
  <c r="H23" i="10"/>
  <c r="J142" i="8"/>
  <c r="D40" i="10"/>
  <c r="J147" i="8"/>
  <c r="H28" i="10"/>
  <c r="D9" i="10"/>
  <c r="D51" i="10"/>
  <c r="K152" i="8"/>
  <c r="I33" i="10"/>
  <c r="D27" i="10"/>
  <c r="I22" i="10"/>
  <c r="K141" i="8"/>
  <c r="I8" i="10"/>
  <c r="K127" i="8"/>
  <c r="D36" i="10"/>
  <c r="I21" i="10"/>
  <c r="K140" i="8"/>
  <c r="D48" i="10"/>
  <c r="H29" i="10"/>
  <c r="J148" i="8"/>
  <c r="J121" i="8"/>
  <c r="H2" i="10"/>
  <c r="H6" i="10"/>
  <c r="J125" i="8"/>
  <c r="D45" i="10"/>
  <c r="D30" i="10"/>
  <c r="D4" i="10"/>
  <c r="J26" i="10"/>
  <c r="L145" i="8"/>
  <c r="D41" i="10"/>
  <c r="D43" i="10"/>
  <c r="F5" i="8"/>
  <c r="F46" i="8" s="1"/>
  <c r="D35" i="10"/>
  <c r="K133" i="8"/>
  <c r="I14" i="10"/>
  <c r="K138" i="8"/>
  <c r="I19" i="10"/>
  <c r="E6" i="9"/>
  <c r="E7" i="9" s="1"/>
  <c r="D42" i="10"/>
  <c r="I24" i="10"/>
  <c r="K143" i="8"/>
  <c r="I17" i="10"/>
  <c r="K136" i="8"/>
  <c r="I13" i="10"/>
  <c r="K132" i="8"/>
  <c r="K129" i="8"/>
  <c r="I10" i="10"/>
  <c r="D31" i="10"/>
  <c r="D47" i="10"/>
  <c r="D7" i="10"/>
  <c r="D50" i="10"/>
  <c r="J124" i="8"/>
  <c r="H5" i="10"/>
  <c r="D37" i="10"/>
  <c r="D46" i="10"/>
  <c r="D38" i="10"/>
  <c r="J20" i="10" l="1"/>
  <c r="L139" i="8"/>
  <c r="I6" i="10"/>
  <c r="K125" i="8"/>
  <c r="L138" i="8"/>
  <c r="J19" i="10"/>
  <c r="I2" i="10"/>
  <c r="K121" i="8"/>
  <c r="F23" i="8"/>
  <c r="J33" i="10"/>
  <c r="L152" i="8"/>
  <c r="I5" i="10"/>
  <c r="K124" i="8"/>
  <c r="F11" i="8"/>
  <c r="I29" i="10"/>
  <c r="K148" i="8"/>
  <c r="I12" i="10"/>
  <c r="K131" i="8"/>
  <c r="F39" i="8"/>
  <c r="F59" i="8"/>
  <c r="L137" i="8"/>
  <c r="J18" i="10"/>
  <c r="F45" i="8"/>
  <c r="F16" i="8"/>
  <c r="J14" i="10"/>
  <c r="L133" i="8"/>
  <c r="F41" i="8"/>
  <c r="J11" i="10"/>
  <c r="L130" i="8"/>
  <c r="I28" i="10"/>
  <c r="K147" i="8"/>
  <c r="I23" i="10"/>
  <c r="K142" i="8"/>
  <c r="J21" i="10"/>
  <c r="L140" i="8"/>
  <c r="L129" i="8"/>
  <c r="J10" i="10"/>
  <c r="L132" i="8"/>
  <c r="J13" i="10"/>
  <c r="J25" i="10"/>
  <c r="L144" i="8"/>
  <c r="J22" i="10"/>
  <c r="L141" i="8"/>
  <c r="F115" i="8"/>
  <c r="F171" i="8" s="1"/>
  <c r="F105" i="8"/>
  <c r="F161" i="8" s="1"/>
  <c r="F90" i="8"/>
  <c r="F146" i="8" s="1"/>
  <c r="F95" i="8"/>
  <c r="F151" i="8" s="1"/>
  <c r="F112" i="8"/>
  <c r="F168" i="8" s="1"/>
  <c r="F70" i="8"/>
  <c r="F126" i="8" s="1"/>
  <c r="F104" i="8"/>
  <c r="F160" i="8" s="1"/>
  <c r="F67" i="8"/>
  <c r="F123" i="8" s="1"/>
  <c r="F109" i="8"/>
  <c r="F165" i="8" s="1"/>
  <c r="F102" i="8"/>
  <c r="F158" i="8" s="1"/>
  <c r="F111" i="8"/>
  <c r="F167" i="8" s="1"/>
  <c r="F114" i="8"/>
  <c r="F170" i="8" s="1"/>
  <c r="F103" i="8"/>
  <c r="F159" i="8" s="1"/>
  <c r="F101" i="8"/>
  <c r="F157" i="8" s="1"/>
  <c r="F79" i="8"/>
  <c r="F135" i="8" s="1"/>
  <c r="F98" i="8"/>
  <c r="F154" i="8" s="1"/>
  <c r="F116" i="8"/>
  <c r="F172" i="8" s="1"/>
  <c r="F66" i="8"/>
  <c r="F122" i="8" s="1"/>
  <c r="F110" i="8"/>
  <c r="F166" i="8" s="1"/>
  <c r="F72" i="8"/>
  <c r="F128" i="8" s="1"/>
  <c r="F94" i="8"/>
  <c r="F150" i="8" s="1"/>
  <c r="F106" i="8"/>
  <c r="F162" i="8" s="1"/>
  <c r="F113" i="8"/>
  <c r="F169" i="8" s="1"/>
  <c r="F97" i="8"/>
  <c r="F153" i="8" s="1"/>
  <c r="F99" i="8"/>
  <c r="F155" i="8" s="1"/>
  <c r="F107" i="8"/>
  <c r="F163" i="8" s="1"/>
  <c r="F108" i="8"/>
  <c r="F164" i="8" s="1"/>
  <c r="F93" i="8"/>
  <c r="F149" i="8" s="1"/>
  <c r="F100" i="8"/>
  <c r="F156" i="8" s="1"/>
  <c r="F50" i="8"/>
  <c r="F34" i="8"/>
  <c r="F51" i="8"/>
  <c r="F60" i="8"/>
  <c r="F55" i="8"/>
  <c r="F10" i="8"/>
  <c r="F54" i="8"/>
  <c r="F48" i="8"/>
  <c r="F37" i="8"/>
  <c r="F49" i="8"/>
  <c r="F14" i="8"/>
  <c r="F52" i="8"/>
  <c r="F56" i="8"/>
  <c r="F43" i="8"/>
  <c r="F44" i="8"/>
  <c r="F58" i="8"/>
  <c r="F38" i="8"/>
  <c r="F47" i="8"/>
  <c r="F53" i="8"/>
  <c r="F57" i="8"/>
  <c r="J15" i="10"/>
  <c r="L134" i="8"/>
  <c r="M145" i="8"/>
  <c r="K26" i="10"/>
  <c r="J8" i="10"/>
  <c r="L127" i="8"/>
  <c r="L136" i="8"/>
  <c r="J17" i="10"/>
  <c r="F42" i="8"/>
  <c r="J24" i="10"/>
  <c r="L143" i="8"/>
  <c r="E9" i="10" l="1"/>
  <c r="E3" i="10"/>
  <c r="K24" i="10"/>
  <c r="M143" i="8"/>
  <c r="K10" i="10"/>
  <c r="M129" i="8"/>
  <c r="E40" i="10"/>
  <c r="J23" i="10"/>
  <c r="L142" i="8"/>
  <c r="M152" i="8"/>
  <c r="K33" i="10"/>
  <c r="E48" i="10"/>
  <c r="G50" i="8"/>
  <c r="K11" i="10"/>
  <c r="M130" i="8"/>
  <c r="E41" i="10"/>
  <c r="E49" i="10"/>
  <c r="E31" i="10"/>
  <c r="K25" i="10"/>
  <c r="M144" i="8"/>
  <c r="M132" i="8"/>
  <c r="K13" i="10"/>
  <c r="K21" i="10"/>
  <c r="M140" i="8"/>
  <c r="L124" i="8"/>
  <c r="J5" i="10"/>
  <c r="G55" i="8"/>
  <c r="M134" i="8"/>
  <c r="K15" i="10"/>
  <c r="G23" i="8"/>
  <c r="E4" i="10"/>
  <c r="E37" i="10"/>
  <c r="E7" i="10"/>
  <c r="E45" i="10"/>
  <c r="K19" i="10"/>
  <c r="M138" i="8"/>
  <c r="E44" i="10"/>
  <c r="E32" i="10"/>
  <c r="L125" i="8"/>
  <c r="J6" i="10"/>
  <c r="G39" i="8"/>
  <c r="J29" i="10"/>
  <c r="L148" i="8"/>
  <c r="E38" i="10"/>
  <c r="M127" i="8"/>
  <c r="K8" i="10"/>
  <c r="G51" i="8"/>
  <c r="E46" i="10"/>
  <c r="L121" i="8"/>
  <c r="J2" i="10"/>
  <c r="E47" i="10"/>
  <c r="G5" i="8"/>
  <c r="G52" i="8" s="1"/>
  <c r="F6" i="9"/>
  <c r="F7" i="9" s="1"/>
  <c r="E39" i="10"/>
  <c r="E42" i="10"/>
  <c r="G43" i="8"/>
  <c r="G14" i="8"/>
  <c r="E53" i="10"/>
  <c r="G42" i="8"/>
  <c r="E35" i="10"/>
  <c r="E16" i="10"/>
  <c r="E51" i="10"/>
  <c r="N145" i="8"/>
  <c r="L26" i="10"/>
  <c r="J28" i="10"/>
  <c r="L147" i="8"/>
  <c r="E30" i="10"/>
  <c r="M133" i="8"/>
  <c r="K14" i="10"/>
  <c r="G47" i="8"/>
  <c r="E36" i="10"/>
  <c r="E27" i="10"/>
  <c r="G38" i="8"/>
  <c r="E34" i="10"/>
  <c r="K20" i="10"/>
  <c r="M139" i="8"/>
  <c r="E50" i="10"/>
  <c r="E52" i="10"/>
  <c r="J12" i="10"/>
  <c r="L131" i="8"/>
  <c r="G48" i="8"/>
  <c r="K17" i="10"/>
  <c r="M136" i="8"/>
  <c r="G44" i="8"/>
  <c r="E43" i="10"/>
  <c r="M141" i="8"/>
  <c r="K22" i="10"/>
  <c r="K18" i="10"/>
  <c r="M137" i="8"/>
  <c r="L15" i="10" l="1"/>
  <c r="N134" i="8"/>
  <c r="M142" i="8"/>
  <c r="K23" i="10"/>
  <c r="G57" i="8"/>
  <c r="G41" i="8"/>
  <c r="K6" i="10"/>
  <c r="M125" i="8"/>
  <c r="K12" i="10"/>
  <c r="M131" i="8"/>
  <c r="N143" i="8"/>
  <c r="L24" i="10"/>
  <c r="G54" i="8"/>
  <c r="G53" i="8"/>
  <c r="L25" i="10"/>
  <c r="N144" i="8"/>
  <c r="L19" i="10"/>
  <c r="N138" i="8"/>
  <c r="L8" i="10"/>
  <c r="N127" i="8"/>
  <c r="K29" i="10"/>
  <c r="M148" i="8"/>
  <c r="G101" i="8"/>
  <c r="G157" i="8" s="1"/>
  <c r="G66" i="8"/>
  <c r="G122" i="8" s="1"/>
  <c r="G109" i="8"/>
  <c r="G165" i="8" s="1"/>
  <c r="G112" i="8"/>
  <c r="G168" i="8" s="1"/>
  <c r="G110" i="8"/>
  <c r="G166" i="8" s="1"/>
  <c r="G104" i="8"/>
  <c r="G160" i="8" s="1"/>
  <c r="G105" i="8"/>
  <c r="G161" i="8" s="1"/>
  <c r="G115" i="8"/>
  <c r="G171" i="8" s="1"/>
  <c r="G95" i="8"/>
  <c r="G151" i="8" s="1"/>
  <c r="G111" i="8"/>
  <c r="G167" i="8" s="1"/>
  <c r="G93" i="8"/>
  <c r="G149" i="8" s="1"/>
  <c r="G79" i="8"/>
  <c r="G135" i="8" s="1"/>
  <c r="G70" i="8"/>
  <c r="G126" i="8" s="1"/>
  <c r="G106" i="8"/>
  <c r="G162" i="8" s="1"/>
  <c r="G103" i="8"/>
  <c r="G159" i="8" s="1"/>
  <c r="G116" i="8"/>
  <c r="G172" i="8" s="1"/>
  <c r="G90" i="8"/>
  <c r="G146" i="8" s="1"/>
  <c r="G98" i="8"/>
  <c r="G154" i="8" s="1"/>
  <c r="G108" i="8"/>
  <c r="G164" i="8" s="1"/>
  <c r="G67" i="8"/>
  <c r="G123" i="8" s="1"/>
  <c r="G107" i="8"/>
  <c r="G163" i="8" s="1"/>
  <c r="G94" i="8"/>
  <c r="G150" i="8" s="1"/>
  <c r="G72" i="8"/>
  <c r="G128" i="8" s="1"/>
  <c r="G102" i="8"/>
  <c r="G158" i="8" s="1"/>
  <c r="G113" i="8"/>
  <c r="G169" i="8" s="1"/>
  <c r="G99" i="8"/>
  <c r="G155" i="8" s="1"/>
  <c r="G114" i="8"/>
  <c r="G170" i="8" s="1"/>
  <c r="G100" i="8"/>
  <c r="G156" i="8" s="1"/>
  <c r="G97" i="8"/>
  <c r="G153" i="8" s="1"/>
  <c r="G46" i="8"/>
  <c r="L17" i="10"/>
  <c r="N136" i="8"/>
  <c r="N133" i="8"/>
  <c r="L14" i="10"/>
  <c r="K5" i="10"/>
  <c r="M124" i="8"/>
  <c r="G49" i="8"/>
  <c r="L21" i="10"/>
  <c r="N140" i="8"/>
  <c r="G11" i="8"/>
  <c r="K28" i="10"/>
  <c r="M147" i="8"/>
  <c r="M26" i="10"/>
  <c r="O145" i="8"/>
  <c r="G56" i="8"/>
  <c r="L20" i="10"/>
  <c r="N139" i="8"/>
  <c r="G60" i="8"/>
  <c r="G16" i="8"/>
  <c r="G59" i="8"/>
  <c r="L11" i="10"/>
  <c r="N130" i="8"/>
  <c r="L33" i="10"/>
  <c r="N152" i="8"/>
  <c r="G34" i="8"/>
  <c r="G10" i="8"/>
  <c r="G37" i="8"/>
  <c r="L10" i="10"/>
  <c r="N129" i="8"/>
  <c r="N132" i="8"/>
  <c r="L13" i="10"/>
  <c r="G58" i="8"/>
  <c r="G45" i="8"/>
  <c r="K2" i="10"/>
  <c r="M121" i="8"/>
  <c r="L18" i="10"/>
  <c r="N137" i="8"/>
  <c r="L22" i="10"/>
  <c r="N141" i="8"/>
  <c r="G6" i="9" l="1"/>
  <c r="G7" i="9" s="1"/>
  <c r="H5" i="8"/>
  <c r="H16" i="8" s="1"/>
  <c r="F27" i="10"/>
  <c r="F43" i="10"/>
  <c r="F30" i="10"/>
  <c r="F48" i="10"/>
  <c r="F34" i="10"/>
  <c r="H56" i="8"/>
  <c r="H57" i="8"/>
  <c r="F36" i="10"/>
  <c r="F46" i="10"/>
  <c r="L23" i="10"/>
  <c r="N142" i="8"/>
  <c r="F45" i="10"/>
  <c r="F35" i="10"/>
  <c r="F40" i="10"/>
  <c r="M11" i="10"/>
  <c r="O130" i="8"/>
  <c r="F16" i="10"/>
  <c r="O137" i="8"/>
  <c r="M18" i="10"/>
  <c r="H59" i="8"/>
  <c r="L12" i="10"/>
  <c r="N131" i="8"/>
  <c r="F32" i="10"/>
  <c r="N125" i="8"/>
  <c r="L6" i="10"/>
  <c r="L2" i="10"/>
  <c r="N121" i="8"/>
  <c r="F51" i="10"/>
  <c r="N26" i="10"/>
  <c r="P145" i="8"/>
  <c r="F49" i="10"/>
  <c r="N147" i="8"/>
  <c r="L28" i="10"/>
  <c r="F39" i="10"/>
  <c r="F3" i="10"/>
  <c r="H49" i="8"/>
  <c r="F53" i="10"/>
  <c r="M17" i="10"/>
  <c r="O136" i="8"/>
  <c r="F7" i="10"/>
  <c r="H46" i="8"/>
  <c r="F42" i="10"/>
  <c r="F37" i="10"/>
  <c r="F47" i="10"/>
  <c r="F50" i="10"/>
  <c r="F9" i="10"/>
  <c r="F38" i="10"/>
  <c r="O134" i="8"/>
  <c r="M15" i="10"/>
  <c r="H37" i="8"/>
  <c r="N124" i="8"/>
  <c r="L5" i="10"/>
  <c r="O138" i="8"/>
  <c r="M19" i="10"/>
  <c r="M25" i="10"/>
  <c r="O144" i="8"/>
  <c r="M14" i="10"/>
  <c r="O133" i="8"/>
  <c r="M24" i="10"/>
  <c r="O143" i="8"/>
  <c r="M20" i="10"/>
  <c r="O139" i="8"/>
  <c r="F41" i="10"/>
  <c r="M13" i="10"/>
  <c r="O132" i="8"/>
  <c r="F31" i="10"/>
  <c r="L29" i="10"/>
  <c r="N148" i="8"/>
  <c r="O140" i="8"/>
  <c r="M21" i="10"/>
  <c r="O152" i="8"/>
  <c r="M33" i="10"/>
  <c r="M22" i="10"/>
  <c r="O141" i="8"/>
  <c r="F52" i="10"/>
  <c r="H11" i="8"/>
  <c r="M10" i="10"/>
  <c r="O129" i="8"/>
  <c r="F44" i="10"/>
  <c r="F4" i="10"/>
  <c r="M8" i="10"/>
  <c r="O127" i="8"/>
  <c r="M2" i="10" l="1"/>
  <c r="O121" i="8"/>
  <c r="N33" i="10"/>
  <c r="P152" i="8"/>
  <c r="M12" i="10"/>
  <c r="O131" i="8"/>
  <c r="P141" i="8"/>
  <c r="N22" i="10"/>
  <c r="P136" i="8"/>
  <c r="N17" i="10"/>
  <c r="N15" i="10"/>
  <c r="P134" i="8"/>
  <c r="O147" i="8"/>
  <c r="M28" i="10"/>
  <c r="N20" i="10"/>
  <c r="P139" i="8"/>
  <c r="H58" i="8"/>
  <c r="H45" i="8"/>
  <c r="H53" i="8"/>
  <c r="N21" i="10"/>
  <c r="P140" i="8"/>
  <c r="M29" i="10"/>
  <c r="O148" i="8"/>
  <c r="P137" i="8"/>
  <c r="N18" i="10"/>
  <c r="N11" i="10"/>
  <c r="P130" i="8"/>
  <c r="N10" i="10"/>
  <c r="P129" i="8"/>
  <c r="H60" i="8"/>
  <c r="N25" i="10"/>
  <c r="P144" i="8"/>
  <c r="O125" i="8"/>
  <c r="M6" i="10"/>
  <c r="P132" i="8"/>
  <c r="N13" i="10"/>
  <c r="P143" i="8"/>
  <c r="N24" i="10"/>
  <c r="O26" i="10"/>
  <c r="Q145" i="8"/>
  <c r="M23" i="10"/>
  <c r="O142" i="8"/>
  <c r="N19" i="10"/>
  <c r="P138" i="8"/>
  <c r="O124" i="8"/>
  <c r="M5" i="10"/>
  <c r="N8" i="10"/>
  <c r="P127" i="8"/>
  <c r="H105" i="8"/>
  <c r="H161" i="8" s="1"/>
  <c r="H98" i="8"/>
  <c r="H154" i="8" s="1"/>
  <c r="H104" i="8"/>
  <c r="H160" i="8" s="1"/>
  <c r="H106" i="8"/>
  <c r="H162" i="8" s="1"/>
  <c r="H90" i="8"/>
  <c r="H146" i="8" s="1"/>
  <c r="H111" i="8"/>
  <c r="H167" i="8" s="1"/>
  <c r="H115" i="8"/>
  <c r="H171" i="8" s="1"/>
  <c r="H67" i="8"/>
  <c r="H123" i="8" s="1"/>
  <c r="H101" i="8"/>
  <c r="H157" i="8" s="1"/>
  <c r="H109" i="8"/>
  <c r="H165" i="8" s="1"/>
  <c r="H79" i="8"/>
  <c r="H135" i="8" s="1"/>
  <c r="H95" i="8"/>
  <c r="H151" i="8" s="1"/>
  <c r="H110" i="8"/>
  <c r="H166" i="8" s="1"/>
  <c r="H66" i="8"/>
  <c r="H122" i="8" s="1"/>
  <c r="H116" i="8"/>
  <c r="H172" i="8" s="1"/>
  <c r="H99" i="8"/>
  <c r="H155" i="8" s="1"/>
  <c r="H112" i="8"/>
  <c r="H168" i="8" s="1"/>
  <c r="H114" i="8"/>
  <c r="H170" i="8" s="1"/>
  <c r="H70" i="8"/>
  <c r="H126" i="8" s="1"/>
  <c r="H97" i="8"/>
  <c r="H153" i="8" s="1"/>
  <c r="H102" i="8"/>
  <c r="H158" i="8" s="1"/>
  <c r="H113" i="8"/>
  <c r="H169" i="8" s="1"/>
  <c r="H103" i="8"/>
  <c r="H159" i="8" s="1"/>
  <c r="H100" i="8"/>
  <c r="H156" i="8" s="1"/>
  <c r="H93" i="8"/>
  <c r="H149" i="8" s="1"/>
  <c r="H72" i="8"/>
  <c r="H128" i="8" s="1"/>
  <c r="H94" i="8"/>
  <c r="H150" i="8" s="1"/>
  <c r="H108" i="8"/>
  <c r="H164" i="8" s="1"/>
  <c r="H107" i="8"/>
  <c r="H163" i="8" s="1"/>
  <c r="H52" i="8"/>
  <c r="H55" i="8"/>
  <c r="H23" i="8"/>
  <c r="H42" i="8"/>
  <c r="H44" i="8"/>
  <c r="H47" i="8"/>
  <c r="H43" i="8"/>
  <c r="H48" i="8"/>
  <c r="H50" i="8"/>
  <c r="H38" i="8"/>
  <c r="H39" i="8"/>
  <c r="H14" i="8"/>
  <c r="H51" i="8"/>
  <c r="H41" i="8"/>
  <c r="H54" i="8"/>
  <c r="H10" i="8"/>
  <c r="N14" i="10"/>
  <c r="P133" i="8"/>
  <c r="H34" i="8"/>
  <c r="O24" i="10" l="1"/>
  <c r="Q143" i="8"/>
  <c r="G45" i="10"/>
  <c r="G4" i="10"/>
  <c r="H6" i="9"/>
  <c r="H7" i="9" s="1"/>
  <c r="I5" i="8"/>
  <c r="O25" i="10"/>
  <c r="Q144" i="8"/>
  <c r="G34" i="10"/>
  <c r="G27" i="10"/>
  <c r="G9" i="10"/>
  <c r="G30" i="10"/>
  <c r="G37" i="10"/>
  <c r="I41" i="8"/>
  <c r="O10" i="10"/>
  <c r="Q129" i="8"/>
  <c r="G7" i="10"/>
  <c r="O22" i="10"/>
  <c r="Q141" i="8"/>
  <c r="P131" i="8"/>
  <c r="N12" i="10"/>
  <c r="G38" i="10"/>
  <c r="I52" i="8"/>
  <c r="Q133" i="8"/>
  <c r="O14" i="10"/>
  <c r="G41" i="10"/>
  <c r="G35" i="10"/>
  <c r="G51" i="10"/>
  <c r="N5" i="10"/>
  <c r="P124" i="8"/>
  <c r="G36" i="10"/>
  <c r="Q137" i="8"/>
  <c r="O18" i="10"/>
  <c r="G46" i="10"/>
  <c r="G44" i="10"/>
  <c r="G52" i="10"/>
  <c r="I34" i="8"/>
  <c r="G48" i="10"/>
  <c r="G31" i="10"/>
  <c r="G43" i="10"/>
  <c r="N6" i="10"/>
  <c r="P125" i="8"/>
  <c r="G42" i="10"/>
  <c r="O8" i="10"/>
  <c r="Q127" i="8"/>
  <c r="O17" i="10"/>
  <c r="Q136" i="8"/>
  <c r="O11" i="10"/>
  <c r="Q130" i="8"/>
  <c r="G49" i="10"/>
  <c r="Q138" i="8"/>
  <c r="O19" i="10"/>
  <c r="I43" i="8"/>
  <c r="I47" i="8"/>
  <c r="G53" i="10"/>
  <c r="P142" i="8"/>
  <c r="N23" i="10"/>
  <c r="N29" i="10"/>
  <c r="P148" i="8"/>
  <c r="O33" i="10"/>
  <c r="Q152" i="8"/>
  <c r="O20" i="10"/>
  <c r="Q139" i="8"/>
  <c r="O15" i="10"/>
  <c r="Q134" i="8"/>
  <c r="G40" i="10"/>
  <c r="G50" i="10"/>
  <c r="G39" i="10"/>
  <c r="G3" i="10"/>
  <c r="G47" i="10"/>
  <c r="Q140" i="8"/>
  <c r="O21" i="10"/>
  <c r="G32" i="10"/>
  <c r="O13" i="10"/>
  <c r="Q132" i="8"/>
  <c r="N28" i="10"/>
  <c r="P147" i="8"/>
  <c r="R145" i="8"/>
  <c r="P26" i="10"/>
  <c r="N2" i="10"/>
  <c r="P121" i="8"/>
  <c r="I23" i="8"/>
  <c r="G16" i="10"/>
  <c r="I106" i="8" l="1"/>
  <c r="I162" i="8" s="1"/>
  <c r="I90" i="8"/>
  <c r="I146" i="8" s="1"/>
  <c r="I105" i="8"/>
  <c r="I161" i="8" s="1"/>
  <c r="I98" i="8"/>
  <c r="I154" i="8" s="1"/>
  <c r="I70" i="8"/>
  <c r="I126" i="8" s="1"/>
  <c r="I111" i="8"/>
  <c r="I167" i="8" s="1"/>
  <c r="I103" i="8"/>
  <c r="I159" i="8" s="1"/>
  <c r="I112" i="8"/>
  <c r="I168" i="8" s="1"/>
  <c r="I110" i="8"/>
  <c r="I166" i="8" s="1"/>
  <c r="I108" i="8"/>
  <c r="I164" i="8" s="1"/>
  <c r="I104" i="8"/>
  <c r="I160" i="8" s="1"/>
  <c r="I79" i="8"/>
  <c r="I135" i="8" s="1"/>
  <c r="I109" i="8"/>
  <c r="I165" i="8" s="1"/>
  <c r="I101" i="8"/>
  <c r="I157" i="8" s="1"/>
  <c r="I66" i="8"/>
  <c r="I122" i="8" s="1"/>
  <c r="I115" i="8"/>
  <c r="I171" i="8" s="1"/>
  <c r="I116" i="8"/>
  <c r="I172" i="8" s="1"/>
  <c r="I99" i="8"/>
  <c r="I155" i="8" s="1"/>
  <c r="I97" i="8"/>
  <c r="I153" i="8" s="1"/>
  <c r="I113" i="8"/>
  <c r="I169" i="8" s="1"/>
  <c r="I114" i="8"/>
  <c r="I170" i="8" s="1"/>
  <c r="I107" i="8"/>
  <c r="I163" i="8" s="1"/>
  <c r="I100" i="8"/>
  <c r="I156" i="8" s="1"/>
  <c r="I102" i="8"/>
  <c r="I158" i="8" s="1"/>
  <c r="I95" i="8"/>
  <c r="I151" i="8" s="1"/>
  <c r="I72" i="8"/>
  <c r="I128" i="8" s="1"/>
  <c r="I93" i="8"/>
  <c r="I149" i="8" s="1"/>
  <c r="I94" i="8"/>
  <c r="I150" i="8" s="1"/>
  <c r="I67" i="8"/>
  <c r="I123" i="8" s="1"/>
  <c r="I16" i="8"/>
  <c r="I46" i="8"/>
  <c r="I59" i="8"/>
  <c r="I11" i="8"/>
  <c r="I37" i="8"/>
  <c r="I57" i="8"/>
  <c r="I49" i="8"/>
  <c r="I56" i="8"/>
  <c r="I54" i="8"/>
  <c r="I10" i="8"/>
  <c r="O2" i="10"/>
  <c r="Q121" i="8"/>
  <c r="P15" i="10"/>
  <c r="R134" i="8"/>
  <c r="I44" i="8"/>
  <c r="I55" i="8"/>
  <c r="P14" i="10"/>
  <c r="R133" i="8"/>
  <c r="P11" i="10"/>
  <c r="R130" i="8"/>
  <c r="I45" i="8"/>
  <c r="I48" i="8"/>
  <c r="P20" i="10"/>
  <c r="R139" i="8"/>
  <c r="P33" i="10"/>
  <c r="R152" i="8"/>
  <c r="R140" i="8"/>
  <c r="P21" i="10"/>
  <c r="P17" i="10"/>
  <c r="R136" i="8"/>
  <c r="Q26" i="10"/>
  <c r="S145" i="8"/>
  <c r="P25" i="10"/>
  <c r="R144" i="8"/>
  <c r="P18" i="10"/>
  <c r="R137" i="8"/>
  <c r="R141" i="8"/>
  <c r="P22" i="10"/>
  <c r="O28" i="10"/>
  <c r="Q147" i="8"/>
  <c r="R132" i="8"/>
  <c r="P13" i="10"/>
  <c r="O5" i="10"/>
  <c r="Q124" i="8"/>
  <c r="O6" i="10"/>
  <c r="Q125" i="8"/>
  <c r="I38" i="8"/>
  <c r="O29" i="10"/>
  <c r="Q148" i="8"/>
  <c r="P10" i="10"/>
  <c r="R129" i="8"/>
  <c r="I50" i="8"/>
  <c r="I14" i="8"/>
  <c r="P19" i="10"/>
  <c r="R138" i="8"/>
  <c r="O12" i="10"/>
  <c r="Q131" i="8"/>
  <c r="I42" i="8"/>
  <c r="I60" i="8"/>
  <c r="I58" i="8"/>
  <c r="I53" i="8"/>
  <c r="P8" i="10"/>
  <c r="R127" i="8"/>
  <c r="O23" i="10"/>
  <c r="Q142" i="8"/>
  <c r="I39" i="8"/>
  <c r="P24" i="10"/>
  <c r="R143" i="8"/>
  <c r="I51" i="8"/>
  <c r="H46" i="10" l="1"/>
  <c r="R125" i="8"/>
  <c r="P6" i="10"/>
  <c r="H16" i="10"/>
  <c r="H41" i="10"/>
  <c r="R142" i="8"/>
  <c r="P23" i="10"/>
  <c r="R124" i="8"/>
  <c r="P5" i="10"/>
  <c r="Q20" i="10"/>
  <c r="S139" i="8"/>
  <c r="H45" i="10"/>
  <c r="Q14" i="10"/>
  <c r="S133" i="8"/>
  <c r="Q19" i="10"/>
  <c r="S138" i="8"/>
  <c r="H51" i="10"/>
  <c r="R26" i="10"/>
  <c r="T145" i="8"/>
  <c r="P2" i="10"/>
  <c r="R121" i="8"/>
  <c r="H50" i="10"/>
  <c r="H34" i="10"/>
  <c r="S136" i="8"/>
  <c r="Q17" i="10"/>
  <c r="H36" i="10"/>
  <c r="Q10" i="10"/>
  <c r="S129" i="8"/>
  <c r="J5" i="8"/>
  <c r="J44" i="8" s="1"/>
  <c r="I6" i="9"/>
  <c r="I7" i="9" s="1"/>
  <c r="H53" i="10"/>
  <c r="H52" i="10"/>
  <c r="P29" i="10"/>
  <c r="R148" i="8"/>
  <c r="H38" i="10"/>
  <c r="Q21" i="10"/>
  <c r="S140" i="8"/>
  <c r="Q33" i="10"/>
  <c r="S152" i="8"/>
  <c r="H47" i="10"/>
  <c r="S127" i="8"/>
  <c r="Q8" i="10"/>
  <c r="H49" i="10"/>
  <c r="Q13" i="10"/>
  <c r="S132" i="8"/>
  <c r="H4" i="10"/>
  <c r="H40" i="10"/>
  <c r="P28" i="10"/>
  <c r="R147" i="8"/>
  <c r="Q11" i="10"/>
  <c r="S130" i="8"/>
  <c r="H31" i="10"/>
  <c r="H48" i="10"/>
  <c r="H30" i="10"/>
  <c r="H7" i="10"/>
  <c r="H32" i="10"/>
  <c r="H42" i="10"/>
  <c r="H9" i="10"/>
  <c r="H35" i="10"/>
  <c r="S141" i="8"/>
  <c r="Q22" i="10"/>
  <c r="S137" i="8"/>
  <c r="Q18" i="10"/>
  <c r="H39" i="10"/>
  <c r="H27" i="10"/>
  <c r="P12" i="10"/>
  <c r="R131" i="8"/>
  <c r="H37" i="10"/>
  <c r="H43" i="10"/>
  <c r="S144" i="8"/>
  <c r="Q25" i="10"/>
  <c r="Q15" i="10"/>
  <c r="S134" i="8"/>
  <c r="H44" i="10"/>
  <c r="H3" i="10"/>
  <c r="Q24" i="10"/>
  <c r="S143" i="8"/>
  <c r="J58" i="8" l="1"/>
  <c r="J59" i="8"/>
  <c r="R20" i="10"/>
  <c r="T139" i="8"/>
  <c r="J39" i="8"/>
  <c r="J46" i="8"/>
  <c r="R17" i="10"/>
  <c r="T136" i="8"/>
  <c r="R33" i="10"/>
  <c r="T152" i="8"/>
  <c r="Q5" i="10"/>
  <c r="S124" i="8"/>
  <c r="R11" i="10"/>
  <c r="T130" i="8"/>
  <c r="Q23" i="10"/>
  <c r="S142" i="8"/>
  <c r="Q28" i="10"/>
  <c r="S147" i="8"/>
  <c r="J14" i="8"/>
  <c r="J60" i="8"/>
  <c r="J11" i="8"/>
  <c r="Q2" i="10"/>
  <c r="S121" i="8"/>
  <c r="S26" i="10"/>
  <c r="U145" i="8"/>
  <c r="T144" i="8"/>
  <c r="R25" i="10"/>
  <c r="J45" i="8"/>
  <c r="Q6" i="10"/>
  <c r="S125" i="8"/>
  <c r="R13" i="10"/>
  <c r="T132" i="8"/>
  <c r="T127" i="8"/>
  <c r="R8" i="10"/>
  <c r="J55" i="8"/>
  <c r="R24" i="10"/>
  <c r="T143" i="8"/>
  <c r="J50" i="8"/>
  <c r="T137" i="8"/>
  <c r="R18" i="10"/>
  <c r="J42" i="8"/>
  <c r="T140" i="8"/>
  <c r="R21" i="10"/>
  <c r="R22" i="10"/>
  <c r="T141" i="8"/>
  <c r="J53" i="8"/>
  <c r="R15" i="10"/>
  <c r="T134" i="8"/>
  <c r="J51" i="8"/>
  <c r="S148" i="8"/>
  <c r="Q29" i="10"/>
  <c r="J37" i="8"/>
  <c r="R19" i="10"/>
  <c r="T138" i="8"/>
  <c r="J57" i="8"/>
  <c r="J116" i="8"/>
  <c r="J172" i="8" s="1"/>
  <c r="J98" i="8"/>
  <c r="J154" i="8" s="1"/>
  <c r="J105" i="8"/>
  <c r="J161" i="8" s="1"/>
  <c r="J111" i="8"/>
  <c r="J167" i="8" s="1"/>
  <c r="J114" i="8"/>
  <c r="J170" i="8" s="1"/>
  <c r="J101" i="8"/>
  <c r="J157" i="8" s="1"/>
  <c r="J109" i="8"/>
  <c r="J165" i="8" s="1"/>
  <c r="J100" i="8"/>
  <c r="J156" i="8" s="1"/>
  <c r="J104" i="8"/>
  <c r="J160" i="8" s="1"/>
  <c r="J110" i="8"/>
  <c r="J166" i="8" s="1"/>
  <c r="J70" i="8"/>
  <c r="J126" i="8" s="1"/>
  <c r="J95" i="8"/>
  <c r="J151" i="8" s="1"/>
  <c r="J106" i="8"/>
  <c r="J162" i="8" s="1"/>
  <c r="J99" i="8"/>
  <c r="J155" i="8" s="1"/>
  <c r="J90" i="8"/>
  <c r="J146" i="8" s="1"/>
  <c r="J103" i="8"/>
  <c r="J159" i="8" s="1"/>
  <c r="J66" i="8"/>
  <c r="J122" i="8" s="1"/>
  <c r="J112" i="8"/>
  <c r="J168" i="8" s="1"/>
  <c r="J79" i="8"/>
  <c r="J135" i="8" s="1"/>
  <c r="J97" i="8"/>
  <c r="J153" i="8" s="1"/>
  <c r="J94" i="8"/>
  <c r="J150" i="8" s="1"/>
  <c r="J115" i="8"/>
  <c r="J171" i="8" s="1"/>
  <c r="J67" i="8"/>
  <c r="J123" i="8" s="1"/>
  <c r="J108" i="8"/>
  <c r="J164" i="8" s="1"/>
  <c r="J72" i="8"/>
  <c r="J128" i="8" s="1"/>
  <c r="J102" i="8"/>
  <c r="J158" i="8" s="1"/>
  <c r="J93" i="8"/>
  <c r="J149" i="8" s="1"/>
  <c r="J113" i="8"/>
  <c r="J169" i="8" s="1"/>
  <c r="J107" i="8"/>
  <c r="J163" i="8" s="1"/>
  <c r="J41" i="8"/>
  <c r="J34" i="8"/>
  <c r="J52" i="8"/>
  <c r="J47" i="8"/>
  <c r="J23" i="8"/>
  <c r="J43" i="8"/>
  <c r="R14" i="10"/>
  <c r="T133" i="8"/>
  <c r="J49" i="8"/>
  <c r="S131" i="8"/>
  <c r="Q12" i="10"/>
  <c r="J16" i="8"/>
  <c r="J10" i="8"/>
  <c r="J56" i="8"/>
  <c r="J48" i="8"/>
  <c r="R10" i="10"/>
  <c r="T129" i="8"/>
  <c r="J38" i="8"/>
  <c r="J54" i="8"/>
  <c r="I41" i="10" l="1"/>
  <c r="K42" i="8"/>
  <c r="I46" i="10"/>
  <c r="I38" i="10"/>
  <c r="S18" i="10"/>
  <c r="U137" i="8"/>
  <c r="I51" i="10"/>
  <c r="K54" i="8"/>
  <c r="I42" i="10"/>
  <c r="S11" i="10"/>
  <c r="U130" i="8"/>
  <c r="K55" i="8"/>
  <c r="I52" i="10"/>
  <c r="S19" i="10"/>
  <c r="U138" i="8"/>
  <c r="S33" i="10"/>
  <c r="U152" i="8"/>
  <c r="K37" i="8"/>
  <c r="K11" i="8"/>
  <c r="S21" i="10"/>
  <c r="U140" i="8"/>
  <c r="T147" i="8"/>
  <c r="R28" i="10"/>
  <c r="I30" i="10"/>
  <c r="R23" i="10"/>
  <c r="T142" i="8"/>
  <c r="I48" i="10"/>
  <c r="K38" i="8"/>
  <c r="I45" i="10"/>
  <c r="I35" i="10"/>
  <c r="I4" i="10"/>
  <c r="S8" i="10"/>
  <c r="U127" i="8"/>
  <c r="I31" i="10"/>
  <c r="K10" i="8"/>
  <c r="J6" i="9"/>
  <c r="J7" i="9" s="1"/>
  <c r="K5" i="8"/>
  <c r="T125" i="8"/>
  <c r="R6" i="10"/>
  <c r="S17" i="10"/>
  <c r="U136" i="8"/>
  <c r="I49" i="10"/>
  <c r="R12" i="10"/>
  <c r="T131" i="8"/>
  <c r="I3" i="10"/>
  <c r="T148" i="8"/>
  <c r="R29" i="10"/>
  <c r="K45" i="8"/>
  <c r="K60" i="8"/>
  <c r="K14" i="8"/>
  <c r="I44" i="10"/>
  <c r="I50" i="10"/>
  <c r="I39" i="10"/>
  <c r="S24" i="10"/>
  <c r="U143" i="8"/>
  <c r="I9" i="10"/>
  <c r="S10" i="10"/>
  <c r="U129" i="8"/>
  <c r="I53" i="10"/>
  <c r="R5" i="10"/>
  <c r="T124" i="8"/>
  <c r="K57" i="8"/>
  <c r="U132" i="8"/>
  <c r="S13" i="10"/>
  <c r="I34" i="10"/>
  <c r="I16" i="10"/>
  <c r="I40" i="10"/>
  <c r="K51" i="8"/>
  <c r="K39" i="8"/>
  <c r="S14" i="10"/>
  <c r="U133" i="8"/>
  <c r="I27" i="10"/>
  <c r="S15" i="10"/>
  <c r="U134" i="8"/>
  <c r="S25" i="10"/>
  <c r="U144" i="8"/>
  <c r="S20" i="10"/>
  <c r="U139" i="8"/>
  <c r="I36" i="10"/>
  <c r="K43" i="8"/>
  <c r="K53" i="8"/>
  <c r="I47" i="10"/>
  <c r="I37" i="10"/>
  <c r="T26" i="10"/>
  <c r="V145" i="8"/>
  <c r="I43" i="10"/>
  <c r="K59" i="8"/>
  <c r="K23" i="8"/>
  <c r="I32" i="10"/>
  <c r="U141" i="8"/>
  <c r="S22" i="10"/>
  <c r="R2" i="10"/>
  <c r="T121" i="8"/>
  <c r="K58" i="8"/>
  <c r="K47" i="8"/>
  <c r="I7" i="10"/>
  <c r="T25" i="10" l="1"/>
  <c r="V144" i="8"/>
  <c r="S12" i="10"/>
  <c r="U131" i="8"/>
  <c r="T19" i="10"/>
  <c r="V138" i="8"/>
  <c r="V134" i="8"/>
  <c r="T15" i="10"/>
  <c r="V141" i="8"/>
  <c r="T22" i="10"/>
  <c r="T10" i="10"/>
  <c r="V129" i="8"/>
  <c r="T17" i="10"/>
  <c r="V136" i="8"/>
  <c r="K110" i="8"/>
  <c r="K166" i="8" s="1"/>
  <c r="K79" i="8"/>
  <c r="K135" i="8" s="1"/>
  <c r="K100" i="8"/>
  <c r="K156" i="8" s="1"/>
  <c r="K105" i="8"/>
  <c r="K161" i="8" s="1"/>
  <c r="K67" i="8"/>
  <c r="K123" i="8" s="1"/>
  <c r="K108" i="8"/>
  <c r="K164" i="8" s="1"/>
  <c r="K104" i="8"/>
  <c r="K160" i="8" s="1"/>
  <c r="K112" i="8"/>
  <c r="K168" i="8" s="1"/>
  <c r="K66" i="8"/>
  <c r="K122" i="8" s="1"/>
  <c r="K116" i="8"/>
  <c r="K172" i="8" s="1"/>
  <c r="K101" i="8"/>
  <c r="K157" i="8" s="1"/>
  <c r="K90" i="8"/>
  <c r="K146" i="8" s="1"/>
  <c r="K111" i="8"/>
  <c r="K167" i="8" s="1"/>
  <c r="K109" i="8"/>
  <c r="K165" i="8" s="1"/>
  <c r="K115" i="8"/>
  <c r="K171" i="8" s="1"/>
  <c r="K113" i="8"/>
  <c r="K169" i="8" s="1"/>
  <c r="K98" i="8"/>
  <c r="K154" i="8" s="1"/>
  <c r="K103" i="8"/>
  <c r="K159" i="8" s="1"/>
  <c r="K97" i="8"/>
  <c r="K153" i="8" s="1"/>
  <c r="K70" i="8"/>
  <c r="K126" i="8" s="1"/>
  <c r="K114" i="8"/>
  <c r="K170" i="8" s="1"/>
  <c r="K102" i="8"/>
  <c r="K158" i="8" s="1"/>
  <c r="K95" i="8"/>
  <c r="K151" i="8" s="1"/>
  <c r="K93" i="8"/>
  <c r="K149" i="8" s="1"/>
  <c r="K99" i="8"/>
  <c r="K155" i="8" s="1"/>
  <c r="K107" i="8"/>
  <c r="K163" i="8" s="1"/>
  <c r="K106" i="8"/>
  <c r="K162" i="8" s="1"/>
  <c r="K94" i="8"/>
  <c r="K150" i="8" s="1"/>
  <c r="K72" i="8"/>
  <c r="K128" i="8" s="1"/>
  <c r="K44" i="8"/>
  <c r="S28" i="10"/>
  <c r="U147" i="8"/>
  <c r="T21" i="10"/>
  <c r="V140" i="8"/>
  <c r="V139" i="8"/>
  <c r="T20" i="10"/>
  <c r="U124" i="8"/>
  <c r="S5" i="10"/>
  <c r="S2" i="10"/>
  <c r="U121" i="8"/>
  <c r="S29" i="10"/>
  <c r="U148" i="8"/>
  <c r="V130" i="8"/>
  <c r="T11" i="10"/>
  <c r="T14" i="10"/>
  <c r="V133" i="8"/>
  <c r="T24" i="10"/>
  <c r="V143" i="8"/>
  <c r="U142" i="8"/>
  <c r="S23" i="10"/>
  <c r="U26" i="10"/>
  <c r="W145" i="8"/>
  <c r="S6" i="10"/>
  <c r="U125" i="8"/>
  <c r="T18" i="10"/>
  <c r="V137" i="8"/>
  <c r="K50" i="8"/>
  <c r="K16" i="8"/>
  <c r="K49" i="8"/>
  <c r="K41" i="8"/>
  <c r="L5" i="8"/>
  <c r="L58" i="8" s="1"/>
  <c r="K6" i="9"/>
  <c r="K7" i="9" s="1"/>
  <c r="V127" i="8"/>
  <c r="T8" i="10"/>
  <c r="T13" i="10"/>
  <c r="V132" i="8"/>
  <c r="K34" i="8"/>
  <c r="T33" i="10"/>
  <c r="V152" i="8"/>
  <c r="K56" i="8"/>
  <c r="K46" i="8"/>
  <c r="K48" i="8"/>
  <c r="K52" i="8"/>
  <c r="L60" i="8" l="1"/>
  <c r="J39" i="10"/>
  <c r="L158" i="8"/>
  <c r="L41" i="8"/>
  <c r="J34" i="10"/>
  <c r="L59" i="8"/>
  <c r="J51" i="10"/>
  <c r="T29" i="10"/>
  <c r="V148" i="8"/>
  <c r="L49" i="8"/>
  <c r="L48" i="8"/>
  <c r="L169" i="8"/>
  <c r="J50" i="10"/>
  <c r="T5" i="10"/>
  <c r="V124" i="8"/>
  <c r="U33" i="10"/>
  <c r="W152" i="8"/>
  <c r="W140" i="8"/>
  <c r="U21" i="10"/>
  <c r="T23" i="10"/>
  <c r="V142" i="8"/>
  <c r="L47" i="8"/>
  <c r="L43" i="8"/>
  <c r="W130" i="8"/>
  <c r="U11" i="10"/>
  <c r="L39" i="8"/>
  <c r="L55" i="8"/>
  <c r="L10" i="8"/>
  <c r="J40" i="10"/>
  <c r="L38" i="8"/>
  <c r="L50" i="8"/>
  <c r="L56" i="8"/>
  <c r="J52" i="10"/>
  <c r="L165" i="8"/>
  <c r="J46" i="10"/>
  <c r="J48" i="10"/>
  <c r="L34" i="8"/>
  <c r="J38" i="10"/>
  <c r="T28" i="10"/>
  <c r="V147" i="8"/>
  <c r="J3" i="10"/>
  <c r="L122" i="8"/>
  <c r="L168" i="8"/>
  <c r="J49" i="10"/>
  <c r="L106" i="8"/>
  <c r="L109" i="8"/>
  <c r="L108" i="8"/>
  <c r="L101" i="8"/>
  <c r="L157" i="8" s="1"/>
  <c r="L103" i="8"/>
  <c r="L159" i="8" s="1"/>
  <c r="L113" i="8"/>
  <c r="L79" i="8"/>
  <c r="L135" i="8" s="1"/>
  <c r="L105" i="8"/>
  <c r="L161" i="8" s="1"/>
  <c r="L111" i="8"/>
  <c r="L167" i="8" s="1"/>
  <c r="L114" i="8"/>
  <c r="L170" i="8" s="1"/>
  <c r="L94" i="8"/>
  <c r="L150" i="8" s="1"/>
  <c r="L112" i="8"/>
  <c r="L72" i="8"/>
  <c r="L70" i="8"/>
  <c r="L104" i="8"/>
  <c r="L160" i="8" s="1"/>
  <c r="L100" i="8"/>
  <c r="L95" i="8"/>
  <c r="L98" i="8"/>
  <c r="L154" i="8" s="1"/>
  <c r="L66" i="8"/>
  <c r="L110" i="8"/>
  <c r="L166" i="8" s="1"/>
  <c r="L115" i="8"/>
  <c r="L171" i="8" s="1"/>
  <c r="L107" i="8"/>
  <c r="L93" i="8"/>
  <c r="L67" i="8"/>
  <c r="L102" i="8"/>
  <c r="L99" i="8"/>
  <c r="L116" i="8"/>
  <c r="L172" i="8" s="1"/>
  <c r="L97" i="8"/>
  <c r="L153" i="8" s="1"/>
  <c r="L90" i="8"/>
  <c r="W136" i="8"/>
  <c r="U17" i="10"/>
  <c r="J7" i="10"/>
  <c r="L126" i="8"/>
  <c r="L52" i="8"/>
  <c r="T2" i="10"/>
  <c r="V121" i="8"/>
  <c r="L23" i="8"/>
  <c r="L16" i="8"/>
  <c r="J35" i="10"/>
  <c r="L46" i="8"/>
  <c r="U10" i="10"/>
  <c r="W129" i="8"/>
  <c r="U18" i="10"/>
  <c r="W137" i="8"/>
  <c r="T6" i="10"/>
  <c r="V125" i="8"/>
  <c r="U20" i="10"/>
  <c r="W139" i="8"/>
  <c r="U22" i="10"/>
  <c r="W141" i="8"/>
  <c r="J27" i="10"/>
  <c r="L146" i="8"/>
  <c r="U13" i="10"/>
  <c r="W132" i="8"/>
  <c r="V26" i="10"/>
  <c r="X145" i="8"/>
  <c r="W134" i="8"/>
  <c r="U15" i="10"/>
  <c r="J53" i="10"/>
  <c r="L37" i="8"/>
  <c r="L51" i="8"/>
  <c r="U19" i="10"/>
  <c r="W138" i="8"/>
  <c r="L54" i="8"/>
  <c r="L44" i="8"/>
  <c r="U8" i="10"/>
  <c r="W127" i="8"/>
  <c r="L128" i="8"/>
  <c r="J9" i="10"/>
  <c r="J41" i="10"/>
  <c r="L57" i="8"/>
  <c r="L164" i="8"/>
  <c r="J45" i="10"/>
  <c r="U24" i="10"/>
  <c r="W143" i="8"/>
  <c r="J4" i="10"/>
  <c r="L123" i="8"/>
  <c r="L42" i="8"/>
  <c r="J42" i="10"/>
  <c r="J36" i="10"/>
  <c r="L155" i="8"/>
  <c r="J31" i="10"/>
  <c r="J43" i="10"/>
  <c r="L162" i="8"/>
  <c r="T12" i="10"/>
  <c r="V131" i="8"/>
  <c r="L163" i="8"/>
  <c r="J44" i="10"/>
  <c r="L11" i="8"/>
  <c r="U14" i="10"/>
  <c r="W133" i="8"/>
  <c r="L156" i="8"/>
  <c r="J37" i="10"/>
  <c r="W144" i="8"/>
  <c r="U25" i="10"/>
  <c r="L14" i="8"/>
  <c r="J30" i="10"/>
  <c r="L149" i="8"/>
  <c r="J16" i="10"/>
  <c r="L53" i="8"/>
  <c r="J32" i="10"/>
  <c r="L151" i="8"/>
  <c r="J47" i="10"/>
  <c r="L45" i="8"/>
  <c r="K52" i="10" l="1"/>
  <c r="K31" i="10"/>
  <c r="K48" i="10"/>
  <c r="K42" i="10"/>
  <c r="K35" i="10"/>
  <c r="K51" i="10"/>
  <c r="K16" i="10"/>
  <c r="K47" i="10"/>
  <c r="K41" i="10"/>
  <c r="K34" i="10"/>
  <c r="K53" i="10"/>
  <c r="K40" i="10"/>
  <c r="K38" i="10"/>
  <c r="U5" i="10"/>
  <c r="W124" i="8"/>
  <c r="V10" i="10"/>
  <c r="X129" i="8"/>
  <c r="K49" i="10"/>
  <c r="K30" i="10"/>
  <c r="K4" i="10"/>
  <c r="W121" i="8"/>
  <c r="U2" i="10"/>
  <c r="W26" i="10"/>
  <c r="Y145" i="8"/>
  <c r="V33" i="10"/>
  <c r="X152" i="8"/>
  <c r="K7" i="10"/>
  <c r="X134" i="8"/>
  <c r="V15" i="10"/>
  <c r="V21" i="10"/>
  <c r="X140" i="8"/>
  <c r="X143" i="8"/>
  <c r="V24" i="10"/>
  <c r="X144" i="8"/>
  <c r="V25" i="10"/>
  <c r="K46" i="10"/>
  <c r="K27" i="10"/>
  <c r="V14" i="10"/>
  <c r="X133" i="8"/>
  <c r="K9" i="10"/>
  <c r="U6" i="10"/>
  <c r="W125" i="8"/>
  <c r="V18" i="10"/>
  <c r="X137" i="8"/>
  <c r="V13" i="10"/>
  <c r="X132" i="8"/>
  <c r="K37" i="10"/>
  <c r="K45" i="10"/>
  <c r="V17" i="10"/>
  <c r="X136" i="8"/>
  <c r="K50" i="10"/>
  <c r="V22" i="10"/>
  <c r="X141" i="8"/>
  <c r="M50" i="8"/>
  <c r="M49" i="8"/>
  <c r="V20" i="10"/>
  <c r="X139" i="8"/>
  <c r="W148" i="8"/>
  <c r="U29" i="10"/>
  <c r="K44" i="10"/>
  <c r="U12" i="10"/>
  <c r="W131" i="8"/>
  <c r="X127" i="8"/>
  <c r="V8" i="10"/>
  <c r="M5" i="8"/>
  <c r="M14" i="8" s="1"/>
  <c r="L6" i="9"/>
  <c r="L7" i="9" s="1"/>
  <c r="K43" i="10"/>
  <c r="M39" i="8"/>
  <c r="K3" i="10"/>
  <c r="K36" i="10"/>
  <c r="V19" i="10"/>
  <c r="X138" i="8"/>
  <c r="K32" i="10"/>
  <c r="X130" i="8"/>
  <c r="V11" i="10"/>
  <c r="K39" i="10"/>
  <c r="U28" i="10"/>
  <c r="W147" i="8"/>
  <c r="U23" i="10"/>
  <c r="W142" i="8"/>
  <c r="M47" i="8" l="1"/>
  <c r="M54" i="8"/>
  <c r="M11" i="8"/>
  <c r="Z145" i="8"/>
  <c r="X26" i="10"/>
  <c r="V28" i="10"/>
  <c r="X147" i="8"/>
  <c r="M55" i="8"/>
  <c r="M48" i="8"/>
  <c r="W14" i="10"/>
  <c r="Y133" i="8"/>
  <c r="M34" i="8"/>
  <c r="W25" i="10"/>
  <c r="Y144" i="8"/>
  <c r="W33" i="10"/>
  <c r="Y152" i="8"/>
  <c r="M44" i="8"/>
  <c r="M56" i="8"/>
  <c r="M53" i="8"/>
  <c r="W22" i="10"/>
  <c r="Y141" i="8"/>
  <c r="M45" i="8"/>
  <c r="M51" i="8"/>
  <c r="M41" i="8"/>
  <c r="W17" i="10"/>
  <c r="Y136" i="8"/>
  <c r="Y130" i="8"/>
  <c r="W11" i="10"/>
  <c r="W24" i="10"/>
  <c r="Y143" i="8"/>
  <c r="W19" i="10"/>
  <c r="Y138" i="8"/>
  <c r="W21" i="10"/>
  <c r="Y140" i="8"/>
  <c r="W10" i="10"/>
  <c r="Y129" i="8"/>
  <c r="W13" i="10"/>
  <c r="Y132" i="8"/>
  <c r="V5" i="10"/>
  <c r="X124" i="8"/>
  <c r="M43" i="8"/>
  <c r="Y134" i="8"/>
  <c r="W15" i="10"/>
  <c r="V2" i="10"/>
  <c r="X121" i="8"/>
  <c r="V23" i="10"/>
  <c r="X142" i="8"/>
  <c r="M111" i="8"/>
  <c r="M167" i="8" s="1"/>
  <c r="M95" i="8"/>
  <c r="M151" i="8" s="1"/>
  <c r="M110" i="8"/>
  <c r="M166" i="8" s="1"/>
  <c r="M66" i="8"/>
  <c r="M122" i="8" s="1"/>
  <c r="M116" i="8"/>
  <c r="M172" i="8" s="1"/>
  <c r="M112" i="8"/>
  <c r="M168" i="8" s="1"/>
  <c r="M72" i="8"/>
  <c r="M128" i="8" s="1"/>
  <c r="M109" i="8"/>
  <c r="M165" i="8" s="1"/>
  <c r="M70" i="8"/>
  <c r="M126" i="8" s="1"/>
  <c r="M98" i="8"/>
  <c r="M154" i="8" s="1"/>
  <c r="M108" i="8"/>
  <c r="M164" i="8" s="1"/>
  <c r="M67" i="8"/>
  <c r="M123" i="8" s="1"/>
  <c r="M105" i="8"/>
  <c r="M161" i="8" s="1"/>
  <c r="M79" i="8"/>
  <c r="M135" i="8" s="1"/>
  <c r="M100" i="8"/>
  <c r="M156" i="8" s="1"/>
  <c r="M94" i="8"/>
  <c r="M150" i="8" s="1"/>
  <c r="M99" i="8"/>
  <c r="M155" i="8" s="1"/>
  <c r="M106" i="8"/>
  <c r="M162" i="8" s="1"/>
  <c r="M101" i="8"/>
  <c r="M157" i="8" s="1"/>
  <c r="M90" i="8"/>
  <c r="M146" i="8" s="1"/>
  <c r="M93" i="8"/>
  <c r="M149" i="8" s="1"/>
  <c r="M113" i="8"/>
  <c r="M169" i="8" s="1"/>
  <c r="M104" i="8"/>
  <c r="M160" i="8" s="1"/>
  <c r="M102" i="8"/>
  <c r="M158" i="8" s="1"/>
  <c r="M115" i="8"/>
  <c r="M171" i="8" s="1"/>
  <c r="M97" i="8"/>
  <c r="M153" i="8" s="1"/>
  <c r="M114" i="8"/>
  <c r="M170" i="8" s="1"/>
  <c r="M103" i="8"/>
  <c r="M159" i="8" s="1"/>
  <c r="M107" i="8"/>
  <c r="M163" i="8" s="1"/>
  <c r="M58" i="8"/>
  <c r="M10" i="8"/>
  <c r="M57" i="8"/>
  <c r="M52" i="8"/>
  <c r="W8" i="10"/>
  <c r="Y127" i="8"/>
  <c r="V12" i="10"/>
  <c r="X131" i="8"/>
  <c r="M37" i="8"/>
  <c r="M46" i="8"/>
  <c r="X148" i="8"/>
  <c r="V29" i="10"/>
  <c r="M59" i="8"/>
  <c r="M23" i="8"/>
  <c r="M38" i="8"/>
  <c r="W18" i="10"/>
  <c r="Y137" i="8"/>
  <c r="M42" i="8"/>
  <c r="M16" i="8"/>
  <c r="Y139" i="8"/>
  <c r="W20" i="10"/>
  <c r="M60" i="8"/>
  <c r="V6" i="10"/>
  <c r="X125" i="8"/>
  <c r="X8" i="10" l="1"/>
  <c r="Z127" i="8"/>
  <c r="L42" i="10"/>
  <c r="X13" i="10"/>
  <c r="Z132" i="8"/>
  <c r="X33" i="10"/>
  <c r="Z152" i="8"/>
  <c r="L4" i="10"/>
  <c r="N57" i="8"/>
  <c r="N60" i="8"/>
  <c r="X20" i="10"/>
  <c r="Z139" i="8"/>
  <c r="L53" i="10"/>
  <c r="X24" i="10"/>
  <c r="Z143" i="8"/>
  <c r="W12" i="10"/>
  <c r="Y131" i="8"/>
  <c r="L45" i="10"/>
  <c r="X25" i="10"/>
  <c r="Z144" i="8"/>
  <c r="M6" i="9"/>
  <c r="M7" i="9" s="1"/>
  <c r="N5" i="8"/>
  <c r="L46" i="10"/>
  <c r="L44" i="10"/>
  <c r="X19" i="10"/>
  <c r="Z138" i="8"/>
  <c r="L49" i="10"/>
  <c r="L51" i="10"/>
  <c r="L3" i="10"/>
  <c r="N42" i="8"/>
  <c r="X18" i="10"/>
  <c r="Z137" i="8"/>
  <c r="L32" i="10"/>
  <c r="L48" i="10"/>
  <c r="L50" i="10"/>
  <c r="W23" i="10"/>
  <c r="Y142" i="8"/>
  <c r="L30" i="10"/>
  <c r="N41" i="8"/>
  <c r="Y26" i="10"/>
  <c r="AA145" i="8"/>
  <c r="N59" i="8"/>
  <c r="L27" i="10"/>
  <c r="Y121" i="8"/>
  <c r="W2" i="10"/>
  <c r="N51" i="8"/>
  <c r="N11" i="8"/>
  <c r="Y124" i="8"/>
  <c r="W5" i="10"/>
  <c r="L40" i="10"/>
  <c r="L37" i="10"/>
  <c r="L16" i="10"/>
  <c r="X10" i="10"/>
  <c r="Z129" i="8"/>
  <c r="L35" i="10"/>
  <c r="Y125" i="8"/>
  <c r="W6" i="10"/>
  <c r="L7" i="10"/>
  <c r="Z140" i="8"/>
  <c r="X21" i="10"/>
  <c r="N34" i="8"/>
  <c r="L9" i="10"/>
  <c r="X14" i="10"/>
  <c r="Z133" i="8"/>
  <c r="L34" i="10"/>
  <c r="L47" i="10"/>
  <c r="L39" i="10"/>
  <c r="X11" i="10"/>
  <c r="Z130" i="8"/>
  <c r="L41" i="10"/>
  <c r="X17" i="10"/>
  <c r="Z136" i="8"/>
  <c r="L38" i="10"/>
  <c r="N45" i="8"/>
  <c r="N54" i="8"/>
  <c r="W29" i="10"/>
  <c r="Y148" i="8"/>
  <c r="L43" i="10"/>
  <c r="X22" i="10"/>
  <c r="Z141" i="8"/>
  <c r="L36" i="10"/>
  <c r="X15" i="10"/>
  <c r="Z134" i="8"/>
  <c r="N52" i="8"/>
  <c r="N58" i="8"/>
  <c r="N16" i="8"/>
  <c r="L52" i="10"/>
  <c r="Y147" i="8"/>
  <c r="W28" i="10"/>
  <c r="N37" i="8"/>
  <c r="L31" i="10"/>
  <c r="N43" i="8"/>
  <c r="N53" i="8"/>
  <c r="Z148" i="8" l="1"/>
  <c r="X29" i="10"/>
  <c r="Y18" i="10"/>
  <c r="AA137" i="8"/>
  <c r="AA143" i="8"/>
  <c r="Y24" i="10"/>
  <c r="Y20" i="10"/>
  <c r="AA139" i="8"/>
  <c r="Y21" i="10"/>
  <c r="AA140" i="8"/>
  <c r="Z147" i="8"/>
  <c r="X28" i="10"/>
  <c r="Z26" i="10"/>
  <c r="AB145" i="8"/>
  <c r="AA138" i="8"/>
  <c r="Y19" i="10"/>
  <c r="Y11" i="10"/>
  <c r="AA130" i="8"/>
  <c r="Y10" i="10"/>
  <c r="AA129" i="8"/>
  <c r="X23" i="10"/>
  <c r="Z142" i="8"/>
  <c r="Y33" i="10"/>
  <c r="AA152" i="8"/>
  <c r="X2" i="10"/>
  <c r="Z121" i="8"/>
  <c r="X6" i="10"/>
  <c r="Z125" i="8"/>
  <c r="N112" i="8"/>
  <c r="N168" i="8" s="1"/>
  <c r="N105" i="8"/>
  <c r="N161" i="8" s="1"/>
  <c r="N106" i="8"/>
  <c r="N162" i="8" s="1"/>
  <c r="N90" i="8"/>
  <c r="N146" i="8" s="1"/>
  <c r="N79" i="8"/>
  <c r="N135" i="8" s="1"/>
  <c r="N98" i="8"/>
  <c r="N154" i="8" s="1"/>
  <c r="N116" i="8"/>
  <c r="N172" i="8" s="1"/>
  <c r="N109" i="8"/>
  <c r="N165" i="8" s="1"/>
  <c r="N103" i="8"/>
  <c r="N159" i="8" s="1"/>
  <c r="N111" i="8"/>
  <c r="N167" i="8" s="1"/>
  <c r="N104" i="8"/>
  <c r="N160" i="8" s="1"/>
  <c r="N70" i="8"/>
  <c r="N126" i="8" s="1"/>
  <c r="N110" i="8"/>
  <c r="N166" i="8" s="1"/>
  <c r="N108" i="8"/>
  <c r="N164" i="8" s="1"/>
  <c r="N100" i="8"/>
  <c r="N156" i="8" s="1"/>
  <c r="N66" i="8"/>
  <c r="N122" i="8" s="1"/>
  <c r="N97" i="8"/>
  <c r="N153" i="8" s="1"/>
  <c r="N101" i="8"/>
  <c r="N157" i="8" s="1"/>
  <c r="N115" i="8"/>
  <c r="N171" i="8" s="1"/>
  <c r="N94" i="8"/>
  <c r="N150" i="8" s="1"/>
  <c r="N107" i="8"/>
  <c r="N163" i="8" s="1"/>
  <c r="N114" i="8"/>
  <c r="N170" i="8" s="1"/>
  <c r="N99" i="8"/>
  <c r="N155" i="8" s="1"/>
  <c r="N72" i="8"/>
  <c r="N128" i="8" s="1"/>
  <c r="N95" i="8"/>
  <c r="N151" i="8" s="1"/>
  <c r="N67" i="8"/>
  <c r="N123" i="8" s="1"/>
  <c r="N102" i="8"/>
  <c r="N158" i="8" s="1"/>
  <c r="N93" i="8"/>
  <c r="N149" i="8" s="1"/>
  <c r="N113" i="8"/>
  <c r="N169" i="8" s="1"/>
  <c r="N14" i="8"/>
  <c r="N50" i="8"/>
  <c r="N39" i="8"/>
  <c r="N49" i="8"/>
  <c r="AA132" i="8"/>
  <c r="Y13" i="10"/>
  <c r="X12" i="10"/>
  <c r="Z131" i="8"/>
  <c r="AA136" i="8"/>
  <c r="Y17" i="10"/>
  <c r="N23" i="8"/>
  <c r="N56" i="8"/>
  <c r="Y15" i="10"/>
  <c r="AA134" i="8"/>
  <c r="N55" i="8"/>
  <c r="N46" i="8"/>
  <c r="N38" i="8"/>
  <c r="N10" i="8"/>
  <c r="N47" i="8"/>
  <c r="N48" i="8"/>
  <c r="AA144" i="8"/>
  <c r="Y25" i="10"/>
  <c r="Y22" i="10"/>
  <c r="AA141" i="8"/>
  <c r="AA127" i="8"/>
  <c r="Y8" i="10"/>
  <c r="Y14" i="10"/>
  <c r="AA133" i="8"/>
  <c r="X5" i="10"/>
  <c r="Z124" i="8"/>
  <c r="N44" i="8"/>
  <c r="M30" i="10" l="1"/>
  <c r="M35" i="10"/>
  <c r="Z19" i="10"/>
  <c r="AB138" i="8"/>
  <c r="Z13" i="10"/>
  <c r="AB132" i="8"/>
  <c r="Z10" i="10"/>
  <c r="AB129" i="8"/>
  <c r="O56" i="8"/>
  <c r="M39" i="10"/>
  <c r="M16" i="10"/>
  <c r="AA26" i="10"/>
  <c r="AC145" i="8"/>
  <c r="AB26" i="10" s="1"/>
  <c r="M7" i="10"/>
  <c r="M41" i="10"/>
  <c r="AB134" i="8"/>
  <c r="Z15" i="10"/>
  <c r="M27" i="10"/>
  <c r="AA147" i="8"/>
  <c r="Y28" i="10"/>
  <c r="Y5" i="10"/>
  <c r="AA124" i="8"/>
  <c r="M51" i="10"/>
  <c r="AB140" i="8"/>
  <c r="Z21" i="10"/>
  <c r="Z17" i="10"/>
  <c r="AB136" i="8"/>
  <c r="M38" i="10"/>
  <c r="M34" i="10"/>
  <c r="M3" i="10"/>
  <c r="AA131" i="8"/>
  <c r="Y12" i="10"/>
  <c r="M37" i="10"/>
  <c r="AB152" i="8"/>
  <c r="Z33" i="10"/>
  <c r="Z24" i="10"/>
  <c r="AB143" i="8"/>
  <c r="O14" i="8"/>
  <c r="M50" i="10"/>
  <c r="O23" i="8"/>
  <c r="M4" i="10"/>
  <c r="M43" i="10"/>
  <c r="M42" i="10"/>
  <c r="M49" i="10"/>
  <c r="Y6" i="10"/>
  <c r="AA125" i="8"/>
  <c r="M44" i="10"/>
  <c r="M31" i="10"/>
  <c r="O5" i="8"/>
  <c r="O48" i="8" s="1"/>
  <c r="N6" i="9"/>
  <c r="N7" i="9" s="1"/>
  <c r="M46" i="10"/>
  <c r="M53" i="10"/>
  <c r="M32" i="10"/>
  <c r="M9" i="10"/>
  <c r="M36" i="10"/>
  <c r="Z14" i="10"/>
  <c r="AB133" i="8"/>
  <c r="AB139" i="8"/>
  <c r="Z20" i="10"/>
  <c r="M52" i="10"/>
  <c r="Y2" i="10"/>
  <c r="AA121" i="8"/>
  <c r="Z8" i="10"/>
  <c r="AB127" i="8"/>
  <c r="AB141" i="8"/>
  <c r="Z22" i="10"/>
  <c r="Z25" i="10"/>
  <c r="AB144" i="8"/>
  <c r="M45" i="10"/>
  <c r="M47" i="10"/>
  <c r="AA142" i="8"/>
  <c r="Y23" i="10"/>
  <c r="Z18" i="10"/>
  <c r="AB137" i="8"/>
  <c r="M48" i="10"/>
  <c r="M40" i="10"/>
  <c r="Z11" i="10"/>
  <c r="AB130" i="8"/>
  <c r="Y29" i="10"/>
  <c r="AA148" i="8"/>
  <c r="AC144" i="8" l="1"/>
  <c r="AB25" i="10" s="1"/>
  <c r="AA25" i="10"/>
  <c r="Z5" i="10"/>
  <c r="AB124" i="8"/>
  <c r="AC132" i="8"/>
  <c r="AB13" i="10" s="1"/>
  <c r="AA13" i="10"/>
  <c r="AB147" i="8"/>
  <c r="Z28" i="10"/>
  <c r="AA19" i="10"/>
  <c r="AC138" i="8"/>
  <c r="AB19" i="10" s="1"/>
  <c r="AA8" i="10"/>
  <c r="AC127" i="8"/>
  <c r="AB8" i="10" s="1"/>
  <c r="AB131" i="8"/>
  <c r="Z12" i="10"/>
  <c r="O39" i="8"/>
  <c r="Z6" i="10"/>
  <c r="AB125" i="8"/>
  <c r="O38" i="8"/>
  <c r="AA20" i="10"/>
  <c r="AC139" i="8"/>
  <c r="AB20" i="10" s="1"/>
  <c r="O49" i="8"/>
  <c r="AC133" i="8"/>
  <c r="AB14" i="10" s="1"/>
  <c r="AA14" i="10"/>
  <c r="AC129" i="8"/>
  <c r="AB10" i="10" s="1"/>
  <c r="AA10" i="10"/>
  <c r="AC130" i="8"/>
  <c r="AB11" i="10" s="1"/>
  <c r="AA11" i="10"/>
  <c r="AA24" i="10"/>
  <c r="AC143" i="8"/>
  <c r="AB24" i="10" s="1"/>
  <c r="AA18" i="10"/>
  <c r="AC137" i="8"/>
  <c r="AB18" i="10" s="1"/>
  <c r="O47" i="8"/>
  <c r="AB142" i="8"/>
  <c r="Z23" i="10"/>
  <c r="AA17" i="10"/>
  <c r="AC136" i="8"/>
  <c r="AB17" i="10" s="1"/>
  <c r="O44" i="8"/>
  <c r="AA21" i="10"/>
  <c r="AC140" i="8"/>
  <c r="AB21" i="10" s="1"/>
  <c r="Z29" i="10"/>
  <c r="AB148" i="8"/>
  <c r="AA22" i="10"/>
  <c r="AC141" i="8"/>
  <c r="AB22" i="10" s="1"/>
  <c r="O115" i="8"/>
  <c r="O171" i="8" s="1"/>
  <c r="O101" i="8"/>
  <c r="O157" i="8" s="1"/>
  <c r="O112" i="8"/>
  <c r="O168" i="8" s="1"/>
  <c r="O98" i="8"/>
  <c r="O154" i="8" s="1"/>
  <c r="O70" i="8"/>
  <c r="O126" i="8" s="1"/>
  <c r="O102" i="8"/>
  <c r="O158" i="8" s="1"/>
  <c r="O67" i="8"/>
  <c r="O123" i="8" s="1"/>
  <c r="O106" i="8"/>
  <c r="O162" i="8" s="1"/>
  <c r="O79" i="8"/>
  <c r="O135" i="8" s="1"/>
  <c r="O110" i="8"/>
  <c r="O166" i="8" s="1"/>
  <c r="O66" i="8"/>
  <c r="O122" i="8" s="1"/>
  <c r="O100" i="8"/>
  <c r="O156" i="8" s="1"/>
  <c r="O108" i="8"/>
  <c r="O164" i="8" s="1"/>
  <c r="O99" i="8"/>
  <c r="O155" i="8" s="1"/>
  <c r="O104" i="8"/>
  <c r="O160" i="8" s="1"/>
  <c r="O105" i="8"/>
  <c r="O161" i="8" s="1"/>
  <c r="O95" i="8"/>
  <c r="O151" i="8" s="1"/>
  <c r="O111" i="8"/>
  <c r="O167" i="8" s="1"/>
  <c r="O116" i="8"/>
  <c r="O172" i="8" s="1"/>
  <c r="O109" i="8"/>
  <c r="O165" i="8" s="1"/>
  <c r="O90" i="8"/>
  <c r="O146" i="8" s="1"/>
  <c r="O103" i="8"/>
  <c r="O159" i="8" s="1"/>
  <c r="O93" i="8"/>
  <c r="O149" i="8" s="1"/>
  <c r="O97" i="8"/>
  <c r="O153" i="8" s="1"/>
  <c r="O114" i="8"/>
  <c r="O170" i="8" s="1"/>
  <c r="O94" i="8"/>
  <c r="O150" i="8" s="1"/>
  <c r="O113" i="8"/>
  <c r="O169" i="8" s="1"/>
  <c r="O107" i="8"/>
  <c r="O163" i="8" s="1"/>
  <c r="O72" i="8"/>
  <c r="O128" i="8" s="1"/>
  <c r="O51" i="8"/>
  <c r="O42" i="8"/>
  <c r="O54" i="8"/>
  <c r="O37" i="8"/>
  <c r="O60" i="8"/>
  <c r="O57" i="8"/>
  <c r="O59" i="8"/>
  <c r="O53" i="8"/>
  <c r="O52" i="8"/>
  <c r="O43" i="8"/>
  <c r="O34" i="8"/>
  <c r="O11" i="8"/>
  <c r="O45" i="8"/>
  <c r="O41" i="8"/>
  <c r="O16" i="8"/>
  <c r="O58" i="8"/>
  <c r="O10" i="8"/>
  <c r="AC152" i="8"/>
  <c r="AB33" i="10" s="1"/>
  <c r="AA33" i="10"/>
  <c r="O50" i="8"/>
  <c r="Z2" i="10"/>
  <c r="AB121" i="8"/>
  <c r="O46" i="8"/>
  <c r="AC134" i="8"/>
  <c r="AB15" i="10" s="1"/>
  <c r="AA15" i="10"/>
  <c r="O55" i="8"/>
  <c r="N41" i="10" l="1"/>
  <c r="N36" i="10"/>
  <c r="N53" i="10"/>
  <c r="N48" i="10"/>
  <c r="N32" i="10"/>
  <c r="N42" i="10"/>
  <c r="AA6" i="10"/>
  <c r="AC125" i="8"/>
  <c r="AB6" i="10" s="1"/>
  <c r="AA23" i="10"/>
  <c r="AC142" i="8"/>
  <c r="AB23" i="10" s="1"/>
  <c r="N16" i="10"/>
  <c r="N45" i="10"/>
  <c r="N47" i="10"/>
  <c r="N43" i="10"/>
  <c r="AA2" i="10"/>
  <c r="AC121" i="8"/>
  <c r="AB2" i="10" s="1"/>
  <c r="N9" i="10"/>
  <c r="N4" i="10"/>
  <c r="N44" i="10"/>
  <c r="N39" i="10"/>
  <c r="AC147" i="8"/>
  <c r="AB28" i="10" s="1"/>
  <c r="AA28" i="10"/>
  <c r="N50" i="10"/>
  <c r="N7" i="10"/>
  <c r="N31" i="10"/>
  <c r="N35" i="10"/>
  <c r="N51" i="10"/>
  <c r="N49" i="10"/>
  <c r="AA5" i="10"/>
  <c r="AC124" i="8"/>
  <c r="AB5" i="10" s="1"/>
  <c r="P5" i="8"/>
  <c r="P34" i="8" s="1"/>
  <c r="O6" i="9"/>
  <c r="O7" i="9" s="1"/>
  <c r="N34" i="10"/>
  <c r="N38" i="10"/>
  <c r="N37" i="10"/>
  <c r="N3" i="10"/>
  <c r="N52" i="10"/>
  <c r="AA12" i="10"/>
  <c r="AC131" i="8"/>
  <c r="AB12" i="10" s="1"/>
  <c r="N30" i="10"/>
  <c r="N40" i="10"/>
  <c r="N27" i="10"/>
  <c r="N46" i="10"/>
  <c r="AA29" i="10"/>
  <c r="AC148" i="8"/>
  <c r="AB29" i="10" s="1"/>
  <c r="P59" i="8" l="1"/>
  <c r="P37" i="8"/>
  <c r="P10" i="8"/>
  <c r="P44" i="8"/>
  <c r="P110" i="8"/>
  <c r="P166" i="8" s="1"/>
  <c r="P116" i="8"/>
  <c r="P172" i="8" s="1"/>
  <c r="P104" i="8"/>
  <c r="P160" i="8" s="1"/>
  <c r="P70" i="8"/>
  <c r="P126" i="8" s="1"/>
  <c r="P90" i="8"/>
  <c r="P146" i="8" s="1"/>
  <c r="P100" i="8"/>
  <c r="P156" i="8" s="1"/>
  <c r="P106" i="8"/>
  <c r="P162" i="8" s="1"/>
  <c r="P112" i="8"/>
  <c r="P168" i="8" s="1"/>
  <c r="P101" i="8"/>
  <c r="P157" i="8" s="1"/>
  <c r="P105" i="8"/>
  <c r="P161" i="8" s="1"/>
  <c r="P66" i="8"/>
  <c r="P122" i="8" s="1"/>
  <c r="P67" i="8"/>
  <c r="P123" i="8" s="1"/>
  <c r="P103" i="8"/>
  <c r="P159" i="8" s="1"/>
  <c r="P115" i="8"/>
  <c r="P171" i="8" s="1"/>
  <c r="P114" i="8"/>
  <c r="P170" i="8" s="1"/>
  <c r="P95" i="8"/>
  <c r="P151" i="8" s="1"/>
  <c r="P108" i="8"/>
  <c r="P164" i="8" s="1"/>
  <c r="P79" i="8"/>
  <c r="P135" i="8" s="1"/>
  <c r="P111" i="8"/>
  <c r="P167" i="8" s="1"/>
  <c r="P99" i="8"/>
  <c r="P155" i="8" s="1"/>
  <c r="P113" i="8"/>
  <c r="P169" i="8" s="1"/>
  <c r="P93" i="8"/>
  <c r="P149" i="8" s="1"/>
  <c r="P97" i="8"/>
  <c r="P153" i="8" s="1"/>
  <c r="P109" i="8"/>
  <c r="P165" i="8" s="1"/>
  <c r="P94" i="8"/>
  <c r="P150" i="8" s="1"/>
  <c r="P72" i="8"/>
  <c r="P128" i="8" s="1"/>
  <c r="P98" i="8"/>
  <c r="P154" i="8" s="1"/>
  <c r="P107" i="8"/>
  <c r="P163" i="8" s="1"/>
  <c r="P102" i="8"/>
  <c r="P158" i="8" s="1"/>
  <c r="P48" i="8"/>
  <c r="P56" i="8"/>
  <c r="P23" i="8"/>
  <c r="P14" i="8"/>
  <c r="P60" i="8"/>
  <c r="P39" i="8"/>
  <c r="P52" i="8"/>
  <c r="P53" i="8"/>
  <c r="P16" i="8"/>
  <c r="P51" i="8"/>
  <c r="P43" i="8"/>
  <c r="P46" i="8"/>
  <c r="P49" i="8"/>
  <c r="P58" i="8"/>
  <c r="P57" i="8"/>
  <c r="P38" i="8"/>
  <c r="P54" i="8"/>
  <c r="P55" i="8"/>
  <c r="P45" i="8"/>
  <c r="P50" i="8"/>
  <c r="P11" i="8"/>
  <c r="P42" i="8"/>
  <c r="P41" i="8"/>
  <c r="P47" i="8"/>
  <c r="O32" i="10" l="1"/>
  <c r="O51" i="10"/>
  <c r="O52" i="10"/>
  <c r="O45" i="10"/>
  <c r="O3" i="10"/>
  <c r="O40" i="10"/>
  <c r="O4" i="10"/>
  <c r="O42" i="10"/>
  <c r="O38" i="10"/>
  <c r="O49" i="10"/>
  <c r="O39" i="10"/>
  <c r="O43" i="10"/>
  <c r="O44" i="10"/>
  <c r="O37" i="10"/>
  <c r="O27" i="10"/>
  <c r="O7" i="10"/>
  <c r="O41" i="10"/>
  <c r="O46" i="10"/>
  <c r="O53" i="10"/>
  <c r="O34" i="10"/>
  <c r="O47" i="10"/>
  <c r="O50" i="10"/>
  <c r="Q5" i="8"/>
  <c r="Q37" i="8" s="1"/>
  <c r="P6" i="9"/>
  <c r="P7" i="9" s="1"/>
  <c r="O36" i="10"/>
  <c r="O48" i="10"/>
  <c r="O35" i="10"/>
  <c r="O9" i="10"/>
  <c r="O31" i="10"/>
  <c r="O30" i="10"/>
  <c r="O16" i="10"/>
  <c r="Q55" i="8" l="1"/>
  <c r="Q46" i="8"/>
  <c r="Q59" i="8"/>
  <c r="Q112" i="8"/>
  <c r="Q168" i="8" s="1"/>
  <c r="Q104" i="8"/>
  <c r="Q160" i="8" s="1"/>
  <c r="Q100" i="8"/>
  <c r="Q156" i="8" s="1"/>
  <c r="Q106" i="8"/>
  <c r="Q162" i="8" s="1"/>
  <c r="Q110" i="8"/>
  <c r="Q166" i="8" s="1"/>
  <c r="Q101" i="8"/>
  <c r="Q157" i="8" s="1"/>
  <c r="Q95" i="8"/>
  <c r="Q151" i="8" s="1"/>
  <c r="Q116" i="8"/>
  <c r="Q172" i="8" s="1"/>
  <c r="Q98" i="8"/>
  <c r="Q154" i="8" s="1"/>
  <c r="Q66" i="8"/>
  <c r="Q122" i="8" s="1"/>
  <c r="Q93" i="8"/>
  <c r="Q149" i="8" s="1"/>
  <c r="Q79" i="8"/>
  <c r="Q135" i="8" s="1"/>
  <c r="Q105" i="8"/>
  <c r="Q161" i="8" s="1"/>
  <c r="Q113" i="8"/>
  <c r="Q169" i="8" s="1"/>
  <c r="Q115" i="8"/>
  <c r="Q171" i="8" s="1"/>
  <c r="Q109" i="8"/>
  <c r="Q165" i="8" s="1"/>
  <c r="Q90" i="8"/>
  <c r="Q146" i="8" s="1"/>
  <c r="Q99" i="8"/>
  <c r="Q155" i="8" s="1"/>
  <c r="Q103" i="8"/>
  <c r="Q159" i="8" s="1"/>
  <c r="Q111" i="8"/>
  <c r="Q167" i="8" s="1"/>
  <c r="Q114" i="8"/>
  <c r="Q170" i="8" s="1"/>
  <c r="Q108" i="8"/>
  <c r="Q164" i="8" s="1"/>
  <c r="Q94" i="8"/>
  <c r="Q150" i="8" s="1"/>
  <c r="Q102" i="8"/>
  <c r="Q158" i="8" s="1"/>
  <c r="Q70" i="8"/>
  <c r="Q126" i="8" s="1"/>
  <c r="Q67" i="8"/>
  <c r="Q123" i="8" s="1"/>
  <c r="Q72" i="8"/>
  <c r="Q128" i="8" s="1"/>
  <c r="Q107" i="8"/>
  <c r="Q163" i="8" s="1"/>
  <c r="Q97" i="8"/>
  <c r="Q153" i="8" s="1"/>
  <c r="Q34" i="8"/>
  <c r="Q50" i="8"/>
  <c r="Q54" i="8"/>
  <c r="Q44" i="8"/>
  <c r="Q57" i="8"/>
  <c r="Q52" i="8"/>
  <c r="Q11" i="8"/>
  <c r="Q53" i="8"/>
  <c r="Q23" i="8"/>
  <c r="Q51" i="8"/>
  <c r="Q43" i="8"/>
  <c r="Q14" i="8"/>
  <c r="Q49" i="8"/>
  <c r="Q58" i="8"/>
  <c r="Q45" i="8"/>
  <c r="Q39" i="8"/>
  <c r="Q38" i="8"/>
  <c r="Q10" i="8"/>
  <c r="Q42" i="8"/>
  <c r="Q41" i="8"/>
  <c r="Q48" i="8"/>
  <c r="Q47" i="8"/>
  <c r="Q60" i="8"/>
  <c r="Q56" i="8"/>
  <c r="Q16" i="8"/>
  <c r="P9" i="10" l="1"/>
  <c r="P36" i="10"/>
  <c r="P27" i="10"/>
  <c r="P52" i="10"/>
  <c r="P16" i="10"/>
  <c r="P30" i="10"/>
  <c r="P3" i="10"/>
  <c r="P53" i="10"/>
  <c r="P34" i="10"/>
  <c r="P32" i="10"/>
  <c r="P47" i="10"/>
  <c r="P43" i="10"/>
  <c r="P7" i="10"/>
  <c r="P39" i="10"/>
  <c r="P41" i="10"/>
  <c r="P31" i="10"/>
  <c r="P49" i="10"/>
  <c r="P45" i="10"/>
  <c r="P51" i="10"/>
  <c r="P46" i="10"/>
  <c r="P50" i="10"/>
  <c r="P38" i="10"/>
  <c r="P4" i="10"/>
  <c r="Q6" i="9"/>
  <c r="Q7" i="9" s="1"/>
  <c r="R5" i="8"/>
  <c r="R23" i="8" s="1"/>
  <c r="P48" i="10"/>
  <c r="P42" i="10"/>
  <c r="P35" i="10"/>
  <c r="P44" i="10"/>
  <c r="P37" i="10"/>
  <c r="P40" i="10"/>
  <c r="R47" i="8" l="1"/>
  <c r="R57" i="8"/>
  <c r="R38" i="8"/>
  <c r="R52" i="8"/>
  <c r="R60" i="8"/>
  <c r="R50" i="8"/>
  <c r="R39" i="8"/>
  <c r="R10" i="8"/>
  <c r="R34" i="8"/>
  <c r="R54" i="8"/>
  <c r="R58" i="8"/>
  <c r="R56" i="8"/>
  <c r="R16" i="8"/>
  <c r="R46" i="8"/>
  <c r="R14" i="8"/>
  <c r="R42" i="8"/>
  <c r="R11" i="8"/>
  <c r="R44" i="8"/>
  <c r="R53" i="8"/>
  <c r="R51" i="8"/>
  <c r="R41" i="8"/>
  <c r="R55" i="8"/>
  <c r="R48" i="8"/>
  <c r="R59" i="8"/>
  <c r="R49" i="8"/>
  <c r="R106" i="8"/>
  <c r="R162" i="8" s="1"/>
  <c r="R66" i="8"/>
  <c r="R122" i="8" s="1"/>
  <c r="R94" i="8"/>
  <c r="R150" i="8" s="1"/>
  <c r="R104" i="8"/>
  <c r="R160" i="8" s="1"/>
  <c r="R90" i="8"/>
  <c r="R146" i="8" s="1"/>
  <c r="R99" i="8"/>
  <c r="R155" i="8" s="1"/>
  <c r="R72" i="8"/>
  <c r="R128" i="8" s="1"/>
  <c r="R105" i="8"/>
  <c r="R161" i="8" s="1"/>
  <c r="R79" i="8"/>
  <c r="R135" i="8" s="1"/>
  <c r="R116" i="8"/>
  <c r="R172" i="8" s="1"/>
  <c r="R112" i="8"/>
  <c r="R168" i="8" s="1"/>
  <c r="R110" i="8"/>
  <c r="R166" i="8" s="1"/>
  <c r="R101" i="8"/>
  <c r="R157" i="8" s="1"/>
  <c r="R111" i="8"/>
  <c r="R167" i="8" s="1"/>
  <c r="R113" i="8"/>
  <c r="R169" i="8" s="1"/>
  <c r="R100" i="8"/>
  <c r="R156" i="8" s="1"/>
  <c r="R103" i="8"/>
  <c r="R159" i="8" s="1"/>
  <c r="R102" i="8"/>
  <c r="R158" i="8" s="1"/>
  <c r="R97" i="8"/>
  <c r="R153" i="8" s="1"/>
  <c r="R109" i="8"/>
  <c r="R165" i="8" s="1"/>
  <c r="R70" i="8"/>
  <c r="R126" i="8" s="1"/>
  <c r="R114" i="8"/>
  <c r="R170" i="8" s="1"/>
  <c r="R115" i="8"/>
  <c r="R171" i="8" s="1"/>
  <c r="R95" i="8"/>
  <c r="R151" i="8" s="1"/>
  <c r="R93" i="8"/>
  <c r="R149" i="8" s="1"/>
  <c r="R107" i="8"/>
  <c r="R163" i="8" s="1"/>
  <c r="R67" i="8"/>
  <c r="R123" i="8" s="1"/>
  <c r="R98" i="8"/>
  <c r="R154" i="8" s="1"/>
  <c r="R108" i="8"/>
  <c r="R164" i="8" s="1"/>
  <c r="R37" i="8"/>
  <c r="R45" i="8"/>
  <c r="R43" i="8"/>
  <c r="Q40" i="10" l="1"/>
  <c r="Q50" i="10"/>
  <c r="Q38" i="10"/>
  <c r="Q42" i="10"/>
  <c r="Q4" i="10"/>
  <c r="Q37" i="10"/>
  <c r="Q48" i="10"/>
  <c r="S45" i="8"/>
  <c r="Q9" i="10"/>
  <c r="Q36" i="10"/>
  <c r="R6" i="9"/>
  <c r="R7" i="9" s="1"/>
  <c r="S5" i="8"/>
  <c r="S53" i="8" s="1"/>
  <c r="Q49" i="10"/>
  <c r="Q39" i="10"/>
  <c r="Q47" i="10"/>
  <c r="Q53" i="10"/>
  <c r="Q16" i="10"/>
  <c r="Q45" i="10"/>
  <c r="Q35" i="10"/>
  <c r="Q27" i="10"/>
  <c r="Q44" i="10"/>
  <c r="Q41" i="10"/>
  <c r="Q30" i="10"/>
  <c r="Q31" i="10"/>
  <c r="Q32" i="10"/>
  <c r="Q3" i="10"/>
  <c r="Q52" i="10"/>
  <c r="Q43" i="10"/>
  <c r="Q51" i="10"/>
  <c r="Q7" i="10"/>
  <c r="Q46" i="10"/>
  <c r="Q34" i="10"/>
  <c r="S55" i="8"/>
  <c r="S11" i="8" l="1"/>
  <c r="S50" i="8"/>
  <c r="S47" i="8"/>
  <c r="S14" i="8"/>
  <c r="S48" i="8"/>
  <c r="S49" i="8"/>
  <c r="S46" i="8"/>
  <c r="S39" i="8"/>
  <c r="S41" i="8"/>
  <c r="S34" i="8"/>
  <c r="S42" i="8"/>
  <c r="S52" i="8"/>
  <c r="S54" i="8"/>
  <c r="S10" i="8"/>
  <c r="S44" i="8"/>
  <c r="S51" i="8"/>
  <c r="S38" i="8"/>
  <c r="S56" i="8"/>
  <c r="S16" i="8"/>
  <c r="S90" i="8"/>
  <c r="S146" i="8" s="1"/>
  <c r="S115" i="8"/>
  <c r="S171" i="8" s="1"/>
  <c r="S66" i="8"/>
  <c r="S122" i="8" s="1"/>
  <c r="S72" i="8"/>
  <c r="S128" i="8" s="1"/>
  <c r="S70" i="8"/>
  <c r="S126" i="8" s="1"/>
  <c r="S79" i="8"/>
  <c r="S135" i="8" s="1"/>
  <c r="S110" i="8"/>
  <c r="S166" i="8" s="1"/>
  <c r="S116" i="8"/>
  <c r="S172" i="8" s="1"/>
  <c r="S106" i="8"/>
  <c r="S162" i="8" s="1"/>
  <c r="S111" i="8"/>
  <c r="S167" i="8" s="1"/>
  <c r="S109" i="8"/>
  <c r="S165" i="8" s="1"/>
  <c r="S103" i="8"/>
  <c r="S159" i="8" s="1"/>
  <c r="S95" i="8"/>
  <c r="S151" i="8" s="1"/>
  <c r="S101" i="8"/>
  <c r="S157" i="8" s="1"/>
  <c r="S107" i="8"/>
  <c r="S163" i="8" s="1"/>
  <c r="S94" i="8"/>
  <c r="S150" i="8" s="1"/>
  <c r="S104" i="8"/>
  <c r="S160" i="8" s="1"/>
  <c r="S105" i="8"/>
  <c r="S161" i="8" s="1"/>
  <c r="S108" i="8"/>
  <c r="S164" i="8" s="1"/>
  <c r="S100" i="8"/>
  <c r="S156" i="8" s="1"/>
  <c r="S102" i="8"/>
  <c r="S158" i="8" s="1"/>
  <c r="S112" i="8"/>
  <c r="S168" i="8" s="1"/>
  <c r="S97" i="8"/>
  <c r="S153" i="8" s="1"/>
  <c r="S98" i="8"/>
  <c r="S154" i="8" s="1"/>
  <c r="S99" i="8"/>
  <c r="S155" i="8" s="1"/>
  <c r="S113" i="8"/>
  <c r="S169" i="8" s="1"/>
  <c r="S93" i="8"/>
  <c r="S149" i="8" s="1"/>
  <c r="S114" i="8"/>
  <c r="S170" i="8" s="1"/>
  <c r="S67" i="8"/>
  <c r="S123" i="8" s="1"/>
  <c r="S23" i="8"/>
  <c r="S37" i="8"/>
  <c r="S43" i="8"/>
  <c r="S57" i="8"/>
  <c r="S59" i="8"/>
  <c r="S60" i="8"/>
  <c r="S58" i="8"/>
  <c r="R44" i="10" l="1"/>
  <c r="R45" i="10"/>
  <c r="R31" i="10"/>
  <c r="T54" i="8"/>
  <c r="R38" i="10"/>
  <c r="R32" i="10"/>
  <c r="T42" i="8"/>
  <c r="R40" i="10"/>
  <c r="T57" i="8"/>
  <c r="R46" i="10"/>
  <c r="R48" i="10"/>
  <c r="T5" i="8"/>
  <c r="T59" i="8" s="1"/>
  <c r="S6" i="9"/>
  <c r="S7" i="9" s="1"/>
  <c r="T37" i="8"/>
  <c r="T23" i="8"/>
  <c r="R51" i="10"/>
  <c r="T48" i="8"/>
  <c r="R30" i="10"/>
  <c r="R7" i="10"/>
  <c r="T14" i="8"/>
  <c r="R49" i="10"/>
  <c r="R37" i="10"/>
  <c r="R41" i="10"/>
  <c r="R43" i="10"/>
  <c r="R53" i="10"/>
  <c r="R47" i="10"/>
  <c r="R16" i="10"/>
  <c r="R9" i="10"/>
  <c r="R36" i="10"/>
  <c r="R3" i="10"/>
  <c r="T50" i="8"/>
  <c r="R50" i="10"/>
  <c r="R35" i="10"/>
  <c r="R52" i="10"/>
  <c r="R39" i="10"/>
  <c r="R42" i="10"/>
  <c r="T46" i="8"/>
  <c r="R4" i="10"/>
  <c r="T49" i="8"/>
  <c r="T47" i="8"/>
  <c r="R34" i="10"/>
  <c r="R27" i="10"/>
  <c r="T110" i="8" l="1"/>
  <c r="T166" i="8" s="1"/>
  <c r="T106" i="8"/>
  <c r="T162" i="8" s="1"/>
  <c r="T112" i="8"/>
  <c r="T168" i="8" s="1"/>
  <c r="T90" i="8"/>
  <c r="T146" i="8" s="1"/>
  <c r="T115" i="8"/>
  <c r="T171" i="8" s="1"/>
  <c r="T103" i="8"/>
  <c r="T159" i="8" s="1"/>
  <c r="T109" i="8"/>
  <c r="T165" i="8" s="1"/>
  <c r="T114" i="8"/>
  <c r="T170" i="8" s="1"/>
  <c r="T72" i="8"/>
  <c r="T128" i="8" s="1"/>
  <c r="T111" i="8"/>
  <c r="T167" i="8" s="1"/>
  <c r="T66" i="8"/>
  <c r="T122" i="8" s="1"/>
  <c r="T98" i="8"/>
  <c r="T154" i="8" s="1"/>
  <c r="T70" i="8"/>
  <c r="T126" i="8" s="1"/>
  <c r="T116" i="8"/>
  <c r="T172" i="8" s="1"/>
  <c r="T79" i="8"/>
  <c r="T135" i="8" s="1"/>
  <c r="T108" i="8"/>
  <c r="T164" i="8" s="1"/>
  <c r="T100" i="8"/>
  <c r="T156" i="8" s="1"/>
  <c r="T95" i="8"/>
  <c r="T151" i="8" s="1"/>
  <c r="T94" i="8"/>
  <c r="T150" i="8" s="1"/>
  <c r="T104" i="8"/>
  <c r="T160" i="8" s="1"/>
  <c r="T101" i="8"/>
  <c r="T157" i="8" s="1"/>
  <c r="T67" i="8"/>
  <c r="T123" i="8" s="1"/>
  <c r="T102" i="8"/>
  <c r="T158" i="8" s="1"/>
  <c r="T93" i="8"/>
  <c r="T149" i="8" s="1"/>
  <c r="T97" i="8"/>
  <c r="T153" i="8" s="1"/>
  <c r="T99" i="8"/>
  <c r="T155" i="8" s="1"/>
  <c r="T107" i="8"/>
  <c r="T163" i="8" s="1"/>
  <c r="T105" i="8"/>
  <c r="T161" i="8" s="1"/>
  <c r="T113" i="8"/>
  <c r="T169" i="8" s="1"/>
  <c r="T53" i="8"/>
  <c r="T45" i="8"/>
  <c r="T55" i="8"/>
  <c r="T44" i="8"/>
  <c r="T10" i="8"/>
  <c r="T51" i="8"/>
  <c r="T39" i="8"/>
  <c r="T56" i="8"/>
  <c r="T11" i="8"/>
  <c r="T52" i="8"/>
  <c r="T16" i="8"/>
  <c r="T34" i="8"/>
  <c r="T58" i="8"/>
  <c r="T43" i="8"/>
  <c r="T60" i="8"/>
  <c r="T41" i="8"/>
  <c r="T38" i="8"/>
  <c r="T6" i="9" l="1"/>
  <c r="T7" i="9" s="1"/>
  <c r="U5" i="8"/>
  <c r="U52" i="8" s="1"/>
  <c r="S27" i="10"/>
  <c r="S53" i="10"/>
  <c r="S35" i="10"/>
  <c r="S48" i="10"/>
  <c r="S40" i="10"/>
  <c r="S36" i="10"/>
  <c r="S43" i="10"/>
  <c r="S7" i="10"/>
  <c r="S46" i="10"/>
  <c r="S44" i="10"/>
  <c r="S34" i="10"/>
  <c r="S4" i="10"/>
  <c r="S9" i="10"/>
  <c r="S50" i="10"/>
  <c r="S42" i="10"/>
  <c r="S52" i="10"/>
  <c r="S49" i="10"/>
  <c r="S30" i="10"/>
  <c r="S39" i="10"/>
  <c r="S47" i="10"/>
  <c r="S38" i="10"/>
  <c r="S41" i="10"/>
  <c r="S31" i="10"/>
  <c r="S3" i="10"/>
  <c r="S51" i="10"/>
  <c r="S32" i="10"/>
  <c r="S37" i="10"/>
  <c r="S45" i="10"/>
  <c r="S16" i="10"/>
  <c r="U16" i="8" l="1"/>
  <c r="U41" i="8"/>
  <c r="U51" i="8"/>
  <c r="U39" i="8"/>
  <c r="U53" i="8"/>
  <c r="U56" i="8"/>
  <c r="U58" i="8"/>
  <c r="U11" i="8"/>
  <c r="U55" i="8"/>
  <c r="U34" i="8"/>
  <c r="U44" i="8"/>
  <c r="U38" i="8"/>
  <c r="U90" i="8"/>
  <c r="U146" i="8" s="1"/>
  <c r="U116" i="8"/>
  <c r="U172" i="8" s="1"/>
  <c r="U100" i="8"/>
  <c r="U156" i="8" s="1"/>
  <c r="U112" i="8"/>
  <c r="U168" i="8" s="1"/>
  <c r="U114" i="8"/>
  <c r="U170" i="8" s="1"/>
  <c r="U104" i="8"/>
  <c r="U160" i="8" s="1"/>
  <c r="U111" i="8"/>
  <c r="U167" i="8" s="1"/>
  <c r="U94" i="8"/>
  <c r="U150" i="8" s="1"/>
  <c r="U115" i="8"/>
  <c r="U171" i="8" s="1"/>
  <c r="U72" i="8"/>
  <c r="U128" i="8" s="1"/>
  <c r="U105" i="8"/>
  <c r="U161" i="8" s="1"/>
  <c r="U106" i="8"/>
  <c r="U162" i="8" s="1"/>
  <c r="U67" i="8"/>
  <c r="U123" i="8" s="1"/>
  <c r="U110" i="8"/>
  <c r="U166" i="8" s="1"/>
  <c r="U99" i="8"/>
  <c r="U155" i="8" s="1"/>
  <c r="U66" i="8"/>
  <c r="U122" i="8" s="1"/>
  <c r="U107" i="8"/>
  <c r="U163" i="8" s="1"/>
  <c r="U103" i="8"/>
  <c r="U159" i="8" s="1"/>
  <c r="U113" i="8"/>
  <c r="U169" i="8" s="1"/>
  <c r="U79" i="8"/>
  <c r="U135" i="8" s="1"/>
  <c r="U101" i="8"/>
  <c r="U157" i="8" s="1"/>
  <c r="U102" i="8"/>
  <c r="U158" i="8" s="1"/>
  <c r="U109" i="8"/>
  <c r="U165" i="8" s="1"/>
  <c r="U98" i="8"/>
  <c r="U154" i="8" s="1"/>
  <c r="U95" i="8"/>
  <c r="U151" i="8" s="1"/>
  <c r="U93" i="8"/>
  <c r="U149" i="8" s="1"/>
  <c r="U108" i="8"/>
  <c r="U164" i="8" s="1"/>
  <c r="U97" i="8"/>
  <c r="U153" i="8" s="1"/>
  <c r="U70" i="8"/>
  <c r="U126" i="8" s="1"/>
  <c r="U59" i="8"/>
  <c r="U47" i="8"/>
  <c r="U57" i="8"/>
  <c r="U14" i="8"/>
  <c r="U48" i="8"/>
  <c r="U50" i="8"/>
  <c r="U49" i="8"/>
  <c r="U23" i="8"/>
  <c r="U46" i="8"/>
  <c r="U54" i="8"/>
  <c r="U42" i="8"/>
  <c r="U37" i="8"/>
  <c r="U43" i="8"/>
  <c r="U60" i="8"/>
  <c r="U45" i="8"/>
  <c r="U10" i="8"/>
  <c r="T52" i="10" l="1"/>
  <c r="T34" i="10"/>
  <c r="T41" i="10"/>
  <c r="T31" i="10"/>
  <c r="T7" i="10"/>
  <c r="T51" i="10"/>
  <c r="T49" i="10"/>
  <c r="T32" i="10"/>
  <c r="T35" i="10"/>
  <c r="V5" i="8"/>
  <c r="V46" i="8" s="1"/>
  <c r="U6" i="9"/>
  <c r="U7" i="9" s="1"/>
  <c r="T27" i="10"/>
  <c r="T39" i="10"/>
  <c r="T48" i="10"/>
  <c r="T45" i="10"/>
  <c r="T30" i="10"/>
  <c r="T37" i="10"/>
  <c r="T53" i="10"/>
  <c r="T46" i="10"/>
  <c r="T38" i="10"/>
  <c r="T16" i="10"/>
  <c r="T50" i="10"/>
  <c r="T40" i="10"/>
  <c r="T44" i="10"/>
  <c r="T3" i="10"/>
  <c r="T4" i="10"/>
  <c r="T43" i="10"/>
  <c r="T42" i="10"/>
  <c r="T36" i="10"/>
  <c r="T47" i="10"/>
  <c r="T9" i="10"/>
  <c r="V10" i="8" l="1"/>
  <c r="V105" i="8"/>
  <c r="V161" i="8" s="1"/>
  <c r="V110" i="8"/>
  <c r="V166" i="8" s="1"/>
  <c r="V95" i="8"/>
  <c r="V151" i="8" s="1"/>
  <c r="V102" i="8"/>
  <c r="V158" i="8" s="1"/>
  <c r="V67" i="8"/>
  <c r="V123" i="8" s="1"/>
  <c r="V99" i="8"/>
  <c r="V155" i="8" s="1"/>
  <c r="V90" i="8"/>
  <c r="V146" i="8" s="1"/>
  <c r="V98" i="8"/>
  <c r="V154" i="8" s="1"/>
  <c r="V79" i="8"/>
  <c r="V135" i="8" s="1"/>
  <c r="V109" i="8"/>
  <c r="V165" i="8" s="1"/>
  <c r="V70" i="8"/>
  <c r="V126" i="8" s="1"/>
  <c r="V111" i="8"/>
  <c r="V167" i="8" s="1"/>
  <c r="V104" i="8"/>
  <c r="V160" i="8" s="1"/>
  <c r="V113" i="8"/>
  <c r="V169" i="8" s="1"/>
  <c r="V112" i="8"/>
  <c r="V168" i="8" s="1"/>
  <c r="V116" i="8"/>
  <c r="V172" i="8" s="1"/>
  <c r="V66" i="8"/>
  <c r="V122" i="8" s="1"/>
  <c r="V101" i="8"/>
  <c r="V157" i="8" s="1"/>
  <c r="V93" i="8"/>
  <c r="V149" i="8" s="1"/>
  <c r="V97" i="8"/>
  <c r="V153" i="8" s="1"/>
  <c r="V106" i="8"/>
  <c r="V162" i="8" s="1"/>
  <c r="V114" i="8"/>
  <c r="V170" i="8" s="1"/>
  <c r="V108" i="8"/>
  <c r="V164" i="8" s="1"/>
  <c r="V72" i="8"/>
  <c r="V128" i="8" s="1"/>
  <c r="V103" i="8"/>
  <c r="V159" i="8" s="1"/>
  <c r="V107" i="8"/>
  <c r="V163" i="8" s="1"/>
  <c r="V100" i="8"/>
  <c r="V156" i="8" s="1"/>
  <c r="V115" i="8"/>
  <c r="V171" i="8" s="1"/>
  <c r="V94" i="8"/>
  <c r="V150" i="8" s="1"/>
  <c r="V52" i="8"/>
  <c r="V57" i="8"/>
  <c r="V58" i="8"/>
  <c r="V16" i="8"/>
  <c r="V11" i="8"/>
  <c r="V14" i="8"/>
  <c r="V42" i="8"/>
  <c r="V48" i="8"/>
  <c r="V37" i="8"/>
  <c r="V59" i="8"/>
  <c r="V51" i="8"/>
  <c r="V34" i="8"/>
  <c r="V23" i="8"/>
  <c r="V47" i="8"/>
  <c r="V45" i="8"/>
  <c r="V54" i="8"/>
  <c r="V41" i="8"/>
  <c r="V55" i="8"/>
  <c r="V60" i="8"/>
  <c r="V56" i="8"/>
  <c r="V38" i="8"/>
  <c r="V50" i="8"/>
  <c r="V39" i="8"/>
  <c r="V49" i="8"/>
  <c r="V43" i="8"/>
  <c r="V44" i="8"/>
  <c r="V53" i="8"/>
  <c r="U30" i="10" l="1"/>
  <c r="U7" i="10"/>
  <c r="U16" i="10"/>
  <c r="U27" i="10"/>
  <c r="U36" i="10"/>
  <c r="U4" i="10"/>
  <c r="U44" i="10"/>
  <c r="U39" i="10"/>
  <c r="U40" i="10"/>
  <c r="U32" i="10"/>
  <c r="U38" i="10"/>
  <c r="U53" i="10"/>
  <c r="U50" i="10"/>
  <c r="U48" i="10"/>
  <c r="U35" i="10"/>
  <c r="U52" i="10"/>
  <c r="U47" i="10"/>
  <c r="U45" i="10"/>
  <c r="U42" i="10"/>
  <c r="U51" i="10"/>
  <c r="V6" i="9"/>
  <c r="V7" i="9" s="1"/>
  <c r="W5" i="8"/>
  <c r="W57" i="8" s="1"/>
  <c r="U34" i="10"/>
  <c r="U3" i="10"/>
  <c r="U49" i="10"/>
  <c r="U41" i="10"/>
  <c r="U46" i="10"/>
  <c r="U31" i="10"/>
  <c r="U37" i="10"/>
  <c r="U9" i="10"/>
  <c r="U43" i="10"/>
  <c r="W52" i="8" l="1"/>
  <c r="W50" i="8"/>
  <c r="W45" i="8"/>
  <c r="W23" i="8"/>
  <c r="W14" i="8"/>
  <c r="W37" i="8"/>
  <c r="W59" i="8"/>
  <c r="W58" i="8"/>
  <c r="W39" i="8"/>
  <c r="W44" i="8"/>
  <c r="W16" i="8"/>
  <c r="W48" i="8"/>
  <c r="W60" i="8"/>
  <c r="W51" i="8"/>
  <c r="W49" i="8"/>
  <c r="W47" i="8"/>
  <c r="W38" i="8"/>
  <c r="W42" i="8"/>
  <c r="W105" i="8"/>
  <c r="W161" i="8" s="1"/>
  <c r="W116" i="8"/>
  <c r="W172" i="8" s="1"/>
  <c r="W90" i="8"/>
  <c r="W146" i="8" s="1"/>
  <c r="W104" i="8"/>
  <c r="W160" i="8" s="1"/>
  <c r="W110" i="8"/>
  <c r="W166" i="8" s="1"/>
  <c r="W93" i="8"/>
  <c r="W149" i="8" s="1"/>
  <c r="W79" i="8"/>
  <c r="W135" i="8" s="1"/>
  <c r="W111" i="8"/>
  <c r="W167" i="8" s="1"/>
  <c r="W112" i="8"/>
  <c r="W168" i="8" s="1"/>
  <c r="W98" i="8"/>
  <c r="W154" i="8" s="1"/>
  <c r="W70" i="8"/>
  <c r="W126" i="8" s="1"/>
  <c r="W95" i="8"/>
  <c r="W151" i="8" s="1"/>
  <c r="W103" i="8"/>
  <c r="W159" i="8" s="1"/>
  <c r="W99" i="8"/>
  <c r="W155" i="8" s="1"/>
  <c r="W115" i="8"/>
  <c r="W171" i="8" s="1"/>
  <c r="W100" i="8"/>
  <c r="W156" i="8" s="1"/>
  <c r="W108" i="8"/>
  <c r="W164" i="8" s="1"/>
  <c r="W101" i="8"/>
  <c r="W157" i="8" s="1"/>
  <c r="W109" i="8"/>
  <c r="W165" i="8" s="1"/>
  <c r="W66" i="8"/>
  <c r="W122" i="8" s="1"/>
  <c r="W67" i="8"/>
  <c r="W123" i="8" s="1"/>
  <c r="W72" i="8"/>
  <c r="W128" i="8" s="1"/>
  <c r="W114" i="8"/>
  <c r="W170" i="8" s="1"/>
  <c r="W106" i="8"/>
  <c r="W162" i="8" s="1"/>
  <c r="W102" i="8"/>
  <c r="W158" i="8" s="1"/>
  <c r="W94" i="8"/>
  <c r="W150" i="8" s="1"/>
  <c r="W113" i="8"/>
  <c r="W169" i="8" s="1"/>
  <c r="W107" i="8"/>
  <c r="W163" i="8" s="1"/>
  <c r="W97" i="8"/>
  <c r="W153" i="8" s="1"/>
  <c r="W46" i="8"/>
  <c r="W10" i="8"/>
  <c r="W54" i="8"/>
  <c r="W11" i="8"/>
  <c r="W55" i="8"/>
  <c r="W41" i="8"/>
  <c r="W43" i="8"/>
  <c r="W53" i="8"/>
  <c r="W56" i="8"/>
  <c r="W34" i="8"/>
  <c r="V49" i="10" l="1"/>
  <c r="V48" i="10"/>
  <c r="V34" i="10"/>
  <c r="V44" i="10"/>
  <c r="V27" i="10"/>
  <c r="V43" i="10"/>
  <c r="V53" i="10"/>
  <c r="V51" i="10"/>
  <c r="V42" i="10"/>
  <c r="V32" i="10"/>
  <c r="V35" i="10"/>
  <c r="X5" i="8"/>
  <c r="X16" i="8" s="1"/>
  <c r="W6" i="9"/>
  <c r="W7" i="9" s="1"/>
  <c r="V16" i="10"/>
  <c r="V39" i="10"/>
  <c r="V4" i="10"/>
  <c r="V52" i="10"/>
  <c r="V9" i="10"/>
  <c r="V3" i="10"/>
  <c r="V46" i="10"/>
  <c r="V38" i="10"/>
  <c r="V45" i="10"/>
  <c r="V37" i="10"/>
  <c r="V36" i="10"/>
  <c r="V40" i="10"/>
  <c r="V7" i="10"/>
  <c r="V30" i="10"/>
  <c r="V50" i="10"/>
  <c r="V47" i="10"/>
  <c r="V31" i="10"/>
  <c r="V41" i="10"/>
  <c r="X43" i="8" l="1"/>
  <c r="X48" i="8"/>
  <c r="X34" i="8"/>
  <c r="X59" i="8"/>
  <c r="X52" i="8"/>
  <c r="X53" i="8"/>
  <c r="X47" i="8"/>
  <c r="X60" i="8"/>
  <c r="X51" i="8"/>
  <c r="X56" i="8"/>
  <c r="X41" i="8"/>
  <c r="X44" i="8"/>
  <c r="X111" i="8"/>
  <c r="X167" i="8" s="1"/>
  <c r="X95" i="8"/>
  <c r="X151" i="8" s="1"/>
  <c r="X109" i="8"/>
  <c r="X165" i="8" s="1"/>
  <c r="X102" i="8"/>
  <c r="X158" i="8" s="1"/>
  <c r="X66" i="8"/>
  <c r="X122" i="8" s="1"/>
  <c r="X105" i="8"/>
  <c r="X161" i="8" s="1"/>
  <c r="X67" i="8"/>
  <c r="X123" i="8" s="1"/>
  <c r="X110" i="8"/>
  <c r="X166" i="8" s="1"/>
  <c r="X115" i="8"/>
  <c r="X171" i="8" s="1"/>
  <c r="X94" i="8"/>
  <c r="X150" i="8" s="1"/>
  <c r="X72" i="8"/>
  <c r="X128" i="8" s="1"/>
  <c r="X90" i="8"/>
  <c r="X146" i="8" s="1"/>
  <c r="X106" i="8"/>
  <c r="X162" i="8" s="1"/>
  <c r="X101" i="8"/>
  <c r="X157" i="8" s="1"/>
  <c r="X100" i="8"/>
  <c r="X156" i="8" s="1"/>
  <c r="X116" i="8"/>
  <c r="X172" i="8" s="1"/>
  <c r="X108" i="8"/>
  <c r="X164" i="8" s="1"/>
  <c r="X98" i="8"/>
  <c r="X154" i="8" s="1"/>
  <c r="X112" i="8"/>
  <c r="X168" i="8" s="1"/>
  <c r="X103" i="8"/>
  <c r="X159" i="8" s="1"/>
  <c r="X79" i="8"/>
  <c r="X135" i="8" s="1"/>
  <c r="X104" i="8"/>
  <c r="X160" i="8" s="1"/>
  <c r="X97" i="8"/>
  <c r="X153" i="8" s="1"/>
  <c r="X107" i="8"/>
  <c r="X163" i="8" s="1"/>
  <c r="X93" i="8"/>
  <c r="X149" i="8" s="1"/>
  <c r="X70" i="8"/>
  <c r="X126" i="8" s="1"/>
  <c r="X113" i="8"/>
  <c r="X169" i="8" s="1"/>
  <c r="X99" i="8"/>
  <c r="X155" i="8" s="1"/>
  <c r="X114" i="8"/>
  <c r="X170" i="8" s="1"/>
  <c r="X57" i="8"/>
  <c r="X10" i="8"/>
  <c r="X45" i="8"/>
  <c r="X50" i="8"/>
  <c r="X23" i="8"/>
  <c r="X14" i="8"/>
  <c r="X46" i="8"/>
  <c r="X54" i="8"/>
  <c r="X49" i="8"/>
  <c r="X55" i="8"/>
  <c r="X39" i="8"/>
  <c r="X38" i="8"/>
  <c r="X11" i="8"/>
  <c r="X37" i="8"/>
  <c r="X42" i="8"/>
  <c r="X58" i="8"/>
  <c r="X6" i="9" l="1"/>
  <c r="X7" i="9" s="1"/>
  <c r="Y5" i="8"/>
  <c r="Y52" i="8" s="1"/>
  <c r="W51" i="10"/>
  <c r="W36" i="10"/>
  <c r="W7" i="10"/>
  <c r="W39" i="10"/>
  <c r="W32" i="10"/>
  <c r="W41" i="10"/>
  <c r="Y44" i="8"/>
  <c r="W40" i="10"/>
  <c r="Y38" i="8"/>
  <c r="W45" i="10"/>
  <c r="W53" i="10"/>
  <c r="W37" i="10"/>
  <c r="W38" i="10"/>
  <c r="Y59" i="8"/>
  <c r="W52" i="10"/>
  <c r="W42" i="10"/>
  <c r="W30" i="10"/>
  <c r="W34" i="10"/>
  <c r="W49" i="10"/>
  <c r="W4" i="10"/>
  <c r="W3" i="10"/>
  <c r="W46" i="10"/>
  <c r="W48" i="10"/>
  <c r="W16" i="10"/>
  <c r="W35" i="10"/>
  <c r="Y55" i="8"/>
  <c r="W43" i="10"/>
  <c r="W27" i="10"/>
  <c r="W47" i="10"/>
  <c r="W50" i="10"/>
  <c r="W44" i="10"/>
  <c r="Y51" i="8"/>
  <c r="Y50" i="8"/>
  <c r="W9" i="10"/>
  <c r="Y45" i="8"/>
  <c r="W31" i="10"/>
  <c r="Y43" i="8" l="1"/>
  <c r="Y56" i="8"/>
  <c r="Y11" i="8"/>
  <c r="Y58" i="8"/>
  <c r="Y41" i="8"/>
  <c r="Y46" i="8"/>
  <c r="Y42" i="8"/>
  <c r="Y106" i="8"/>
  <c r="Y162" i="8" s="1"/>
  <c r="Y112" i="8"/>
  <c r="Y168" i="8" s="1"/>
  <c r="Y103" i="8"/>
  <c r="Y159" i="8" s="1"/>
  <c r="Y113" i="8"/>
  <c r="Y169" i="8" s="1"/>
  <c r="Y110" i="8"/>
  <c r="Y166" i="8" s="1"/>
  <c r="Y104" i="8"/>
  <c r="Y160" i="8" s="1"/>
  <c r="Y70" i="8"/>
  <c r="Y126" i="8" s="1"/>
  <c r="Y101" i="8"/>
  <c r="Y157" i="8" s="1"/>
  <c r="Y66" i="8"/>
  <c r="Y122" i="8" s="1"/>
  <c r="Y114" i="8"/>
  <c r="Y170" i="8" s="1"/>
  <c r="Y111" i="8"/>
  <c r="Y167" i="8" s="1"/>
  <c r="Y99" i="8"/>
  <c r="Y155" i="8" s="1"/>
  <c r="Y72" i="8"/>
  <c r="Y128" i="8" s="1"/>
  <c r="Y115" i="8"/>
  <c r="Y171" i="8" s="1"/>
  <c r="Y109" i="8"/>
  <c r="Y165" i="8" s="1"/>
  <c r="Y102" i="8"/>
  <c r="Y158" i="8" s="1"/>
  <c r="Y108" i="8"/>
  <c r="Y164" i="8" s="1"/>
  <c r="Y79" i="8"/>
  <c r="Y135" i="8" s="1"/>
  <c r="Y107" i="8"/>
  <c r="Y163" i="8" s="1"/>
  <c r="Y100" i="8"/>
  <c r="Y156" i="8" s="1"/>
  <c r="Y90" i="8"/>
  <c r="Y146" i="8" s="1"/>
  <c r="Y95" i="8"/>
  <c r="Y151" i="8" s="1"/>
  <c r="Y94" i="8"/>
  <c r="Y150" i="8" s="1"/>
  <c r="Y67" i="8"/>
  <c r="Y123" i="8" s="1"/>
  <c r="Y116" i="8"/>
  <c r="Y172" i="8" s="1"/>
  <c r="Y98" i="8"/>
  <c r="Y154" i="8" s="1"/>
  <c r="Y105" i="8"/>
  <c r="Y161" i="8" s="1"/>
  <c r="Y93" i="8"/>
  <c r="Y149" i="8" s="1"/>
  <c r="Y97" i="8"/>
  <c r="Y153" i="8" s="1"/>
  <c r="Y16" i="8"/>
  <c r="Y14" i="8"/>
  <c r="Y48" i="8"/>
  <c r="Y54" i="8"/>
  <c r="Y53" i="8"/>
  <c r="Y47" i="8"/>
  <c r="Y60" i="8"/>
  <c r="Y10" i="8"/>
  <c r="Y34" i="8"/>
  <c r="Y49" i="8"/>
  <c r="Y37" i="8"/>
  <c r="Y23" i="8"/>
  <c r="Y39" i="8"/>
  <c r="Y57" i="8"/>
  <c r="X38" i="10" l="1"/>
  <c r="X7" i="10"/>
  <c r="X42" i="10"/>
  <c r="X53" i="10"/>
  <c r="X4" i="10"/>
  <c r="X44" i="10"/>
  <c r="X45" i="10"/>
  <c r="X41" i="10"/>
  <c r="X50" i="10"/>
  <c r="X49" i="10"/>
  <c r="X32" i="10"/>
  <c r="X37" i="10"/>
  <c r="X16" i="10"/>
  <c r="X51" i="10"/>
  <c r="X34" i="10"/>
  <c r="X47" i="10"/>
  <c r="X40" i="10"/>
  <c r="X31" i="10"/>
  <c r="X27" i="10"/>
  <c r="Y6" i="9"/>
  <c r="Y7" i="9" s="1"/>
  <c r="Z5" i="8"/>
  <c r="Z60" i="8" s="1"/>
  <c r="X46" i="10"/>
  <c r="X36" i="10"/>
  <c r="X3" i="10"/>
  <c r="X30" i="10"/>
  <c r="X35" i="10"/>
  <c r="X43" i="10"/>
  <c r="X39" i="10"/>
  <c r="X52" i="10"/>
  <c r="X9" i="10"/>
  <c r="X48" i="10"/>
  <c r="Z37" i="8" l="1"/>
  <c r="Z46" i="8"/>
  <c r="Z14" i="8"/>
  <c r="Z42" i="8"/>
  <c r="Z23" i="8"/>
  <c r="Z53" i="8"/>
  <c r="Z39" i="8"/>
  <c r="Z43" i="8"/>
  <c r="Z47" i="8"/>
  <c r="Z54" i="8"/>
  <c r="Z116" i="8"/>
  <c r="Z172" i="8" s="1"/>
  <c r="Z66" i="8"/>
  <c r="Z122" i="8" s="1"/>
  <c r="Z104" i="8"/>
  <c r="Z160" i="8" s="1"/>
  <c r="Z106" i="8"/>
  <c r="Z162" i="8" s="1"/>
  <c r="Z95" i="8"/>
  <c r="Z151" i="8" s="1"/>
  <c r="Z103" i="8"/>
  <c r="Z159" i="8" s="1"/>
  <c r="Z111" i="8"/>
  <c r="Z167" i="8" s="1"/>
  <c r="Z112" i="8"/>
  <c r="Z168" i="8" s="1"/>
  <c r="Z110" i="8"/>
  <c r="Z166" i="8" s="1"/>
  <c r="Z90" i="8"/>
  <c r="Z146" i="8" s="1"/>
  <c r="Z115" i="8"/>
  <c r="Z171" i="8" s="1"/>
  <c r="Z108" i="8"/>
  <c r="Z164" i="8" s="1"/>
  <c r="Z98" i="8"/>
  <c r="Z154" i="8" s="1"/>
  <c r="Z105" i="8"/>
  <c r="Z161" i="8" s="1"/>
  <c r="Z109" i="8"/>
  <c r="Z165" i="8" s="1"/>
  <c r="Z102" i="8"/>
  <c r="Z158" i="8" s="1"/>
  <c r="Z70" i="8"/>
  <c r="Z126" i="8" s="1"/>
  <c r="Z79" i="8"/>
  <c r="Z135" i="8" s="1"/>
  <c r="Z94" i="8"/>
  <c r="Z150" i="8" s="1"/>
  <c r="Z101" i="8"/>
  <c r="Z157" i="8" s="1"/>
  <c r="Z72" i="8"/>
  <c r="Z128" i="8" s="1"/>
  <c r="Z114" i="8"/>
  <c r="Z170" i="8" s="1"/>
  <c r="Z107" i="8"/>
  <c r="Z163" i="8" s="1"/>
  <c r="Z97" i="8"/>
  <c r="Z153" i="8" s="1"/>
  <c r="Z113" i="8"/>
  <c r="Z169" i="8" s="1"/>
  <c r="Z100" i="8"/>
  <c r="Z156" i="8" s="1"/>
  <c r="Z67" i="8"/>
  <c r="Z123" i="8" s="1"/>
  <c r="Z99" i="8"/>
  <c r="Z155" i="8" s="1"/>
  <c r="Z93" i="8"/>
  <c r="Z149" i="8" s="1"/>
  <c r="Z52" i="8"/>
  <c r="Z55" i="8"/>
  <c r="Z50" i="8"/>
  <c r="Z45" i="8"/>
  <c r="Z51" i="8"/>
  <c r="Z44" i="8"/>
  <c r="Z38" i="8"/>
  <c r="Z59" i="8"/>
  <c r="Z57" i="8"/>
  <c r="Z56" i="8"/>
  <c r="Z11" i="8"/>
  <c r="Z10" i="8"/>
  <c r="Z34" i="8"/>
  <c r="Z41" i="8"/>
  <c r="Z16" i="8"/>
  <c r="Z48" i="8"/>
  <c r="Z58" i="8"/>
  <c r="Z49" i="8"/>
  <c r="Y30" i="10" l="1"/>
  <c r="Y47" i="10"/>
  <c r="Y36" i="10"/>
  <c r="Y52" i="10"/>
  <c r="Y27" i="10"/>
  <c r="Y49" i="10"/>
  <c r="Y48" i="10"/>
  <c r="Y40" i="10"/>
  <c r="Y43" i="10"/>
  <c r="Y50" i="10"/>
  <c r="Y34" i="10"/>
  <c r="Y53" i="10"/>
  <c r="Y9" i="10"/>
  <c r="Y38" i="10"/>
  <c r="Y31" i="10"/>
  <c r="Y16" i="10"/>
  <c r="Y7" i="10"/>
  <c r="AA57" i="8"/>
  <c r="Y39" i="10"/>
  <c r="AA42" i="8"/>
  <c r="Y32" i="10"/>
  <c r="Z6" i="9"/>
  <c r="Z7" i="9" s="1"/>
  <c r="AA5" i="8"/>
  <c r="AA14" i="8" s="1"/>
  <c r="Y42" i="10"/>
  <c r="Y37" i="10"/>
  <c r="Y3" i="10"/>
  <c r="Y51" i="10"/>
  <c r="AA47" i="8"/>
  <c r="Y46" i="10"/>
  <c r="Y35" i="10"/>
  <c r="Y4" i="10"/>
  <c r="Y41" i="10"/>
  <c r="Y44" i="10"/>
  <c r="AA41" i="8"/>
  <c r="AA43" i="8"/>
  <c r="AA51" i="8"/>
  <c r="Y45" i="10"/>
  <c r="AA53" i="8" l="1"/>
  <c r="AA112" i="8"/>
  <c r="AA168" i="8" s="1"/>
  <c r="AA66" i="8"/>
  <c r="AA122" i="8" s="1"/>
  <c r="AA115" i="8"/>
  <c r="AA171" i="8" s="1"/>
  <c r="AA110" i="8"/>
  <c r="AA166" i="8" s="1"/>
  <c r="AA111" i="8"/>
  <c r="AA167" i="8" s="1"/>
  <c r="AA101" i="8"/>
  <c r="AA157" i="8" s="1"/>
  <c r="AA95" i="8"/>
  <c r="AA151" i="8" s="1"/>
  <c r="AA116" i="8"/>
  <c r="AA172" i="8" s="1"/>
  <c r="AA109" i="8"/>
  <c r="AA165" i="8" s="1"/>
  <c r="AA98" i="8"/>
  <c r="AA154" i="8" s="1"/>
  <c r="AA90" i="8"/>
  <c r="AA146" i="8" s="1"/>
  <c r="AA70" i="8"/>
  <c r="AA126" i="8" s="1"/>
  <c r="AA103" i="8"/>
  <c r="AA159" i="8" s="1"/>
  <c r="AA79" i="8"/>
  <c r="AA135" i="8" s="1"/>
  <c r="AA67" i="8"/>
  <c r="AA123" i="8" s="1"/>
  <c r="AA106" i="8"/>
  <c r="AA162" i="8" s="1"/>
  <c r="AA100" i="8"/>
  <c r="AA156" i="8" s="1"/>
  <c r="AA99" i="8"/>
  <c r="AA155" i="8" s="1"/>
  <c r="AA104" i="8"/>
  <c r="AA160" i="8" s="1"/>
  <c r="AA93" i="8"/>
  <c r="AA149" i="8" s="1"/>
  <c r="AA113" i="8"/>
  <c r="AA169" i="8" s="1"/>
  <c r="AA105" i="8"/>
  <c r="AA161" i="8" s="1"/>
  <c r="AA107" i="8"/>
  <c r="AA163" i="8" s="1"/>
  <c r="AA102" i="8"/>
  <c r="AA158" i="8" s="1"/>
  <c r="AA114" i="8"/>
  <c r="AA170" i="8" s="1"/>
  <c r="AA94" i="8"/>
  <c r="AA150" i="8" s="1"/>
  <c r="AA108" i="8"/>
  <c r="AA164" i="8" s="1"/>
  <c r="AA97" i="8"/>
  <c r="AA153" i="8" s="1"/>
  <c r="AA72" i="8"/>
  <c r="AA128" i="8" s="1"/>
  <c r="AA60" i="8"/>
  <c r="AA44" i="8"/>
  <c r="AA10" i="8"/>
  <c r="AA16" i="8"/>
  <c r="AA37" i="8"/>
  <c r="AA52" i="8"/>
  <c r="AA11" i="8"/>
  <c r="AA54" i="8"/>
  <c r="AA55" i="8"/>
  <c r="AA59" i="8"/>
  <c r="AA48" i="8"/>
  <c r="AA50" i="8"/>
  <c r="AA46" i="8"/>
  <c r="AA45" i="8"/>
  <c r="AA38" i="8"/>
  <c r="AA23" i="8"/>
  <c r="AA34" i="8"/>
  <c r="AA56" i="8"/>
  <c r="AA58" i="8"/>
  <c r="AA39" i="8"/>
  <c r="AA49" i="8"/>
  <c r="AB11" i="8" l="1"/>
  <c r="Z16" i="10"/>
  <c r="Z27" i="10"/>
  <c r="Z34" i="10"/>
  <c r="Z31" i="10"/>
  <c r="Z47" i="10"/>
  <c r="Z36" i="10"/>
  <c r="Z35" i="10"/>
  <c r="AB34" i="8"/>
  <c r="Z49" i="10"/>
  <c r="Z41" i="10"/>
  <c r="Z37" i="10"/>
  <c r="Z40" i="10"/>
  <c r="Z7" i="10"/>
  <c r="Z32" i="10"/>
  <c r="Z48" i="10"/>
  <c r="Z52" i="10"/>
  <c r="Z3" i="10"/>
  <c r="Z42" i="10"/>
  <c r="Z4" i="10"/>
  <c r="AB5" i="8"/>
  <c r="AB58" i="8" s="1"/>
  <c r="AA6" i="9"/>
  <c r="AA7" i="9" s="1"/>
  <c r="Z53" i="10"/>
  <c r="Z38" i="10"/>
  <c r="Z51" i="10"/>
  <c r="AB55" i="8"/>
  <c r="Z43" i="10"/>
  <c r="Z46" i="10"/>
  <c r="Z9" i="10"/>
  <c r="Z45" i="10"/>
  <c r="Z39" i="10"/>
  <c r="Z44" i="10"/>
  <c r="Z50" i="10"/>
  <c r="Z30" i="10"/>
  <c r="AB48" i="8" l="1"/>
  <c r="AB37" i="8"/>
  <c r="AB23" i="8"/>
  <c r="AB49" i="8"/>
  <c r="AB16" i="8"/>
  <c r="AB39" i="8"/>
  <c r="AB115" i="8"/>
  <c r="AB171" i="8" s="1"/>
  <c r="AB98" i="8"/>
  <c r="AB154" i="8" s="1"/>
  <c r="AB103" i="8"/>
  <c r="AB159" i="8" s="1"/>
  <c r="AB66" i="8"/>
  <c r="AB122" i="8" s="1"/>
  <c r="AB90" i="8"/>
  <c r="AB146" i="8" s="1"/>
  <c r="AB70" i="8"/>
  <c r="AB126" i="8" s="1"/>
  <c r="AB112" i="8"/>
  <c r="AB168" i="8" s="1"/>
  <c r="AB105" i="8"/>
  <c r="AB161" i="8" s="1"/>
  <c r="AB67" i="8"/>
  <c r="AB123" i="8" s="1"/>
  <c r="AB111" i="8"/>
  <c r="AB167" i="8" s="1"/>
  <c r="AB109" i="8"/>
  <c r="AB165" i="8" s="1"/>
  <c r="AB102" i="8"/>
  <c r="AB158" i="8" s="1"/>
  <c r="AB95" i="8"/>
  <c r="AB151" i="8" s="1"/>
  <c r="AB79" i="8"/>
  <c r="AB135" i="8" s="1"/>
  <c r="AB101" i="8"/>
  <c r="AB157" i="8" s="1"/>
  <c r="AB116" i="8"/>
  <c r="AB172" i="8" s="1"/>
  <c r="AB114" i="8"/>
  <c r="AB170" i="8" s="1"/>
  <c r="AB110" i="8"/>
  <c r="AB166" i="8" s="1"/>
  <c r="AB104" i="8"/>
  <c r="AB160" i="8" s="1"/>
  <c r="AB93" i="8"/>
  <c r="AB149" i="8" s="1"/>
  <c r="AB94" i="8"/>
  <c r="AB150" i="8" s="1"/>
  <c r="AB100" i="8"/>
  <c r="AB156" i="8" s="1"/>
  <c r="AB72" i="8"/>
  <c r="AB128" i="8" s="1"/>
  <c r="AB97" i="8"/>
  <c r="AB153" i="8" s="1"/>
  <c r="AB99" i="8"/>
  <c r="AB155" i="8" s="1"/>
  <c r="AB113" i="8"/>
  <c r="AB169" i="8" s="1"/>
  <c r="AB107" i="8"/>
  <c r="AB163" i="8" s="1"/>
  <c r="AB106" i="8"/>
  <c r="AB162" i="8" s="1"/>
  <c r="AB108" i="8"/>
  <c r="AB164" i="8" s="1"/>
  <c r="AB14" i="8"/>
  <c r="AB42" i="8"/>
  <c r="AB57" i="8"/>
  <c r="AB51" i="8"/>
  <c r="AB43" i="8"/>
  <c r="AB47" i="8"/>
  <c r="AB41" i="8"/>
  <c r="AB56" i="8"/>
  <c r="AB10" i="8"/>
  <c r="AB38" i="8"/>
  <c r="AB54" i="8"/>
  <c r="AB53" i="8"/>
  <c r="AB45" i="8"/>
  <c r="AB46" i="8"/>
  <c r="AB59" i="8"/>
  <c r="AB60" i="8"/>
  <c r="AB50" i="8"/>
  <c r="AB44" i="8"/>
  <c r="AB52" i="8"/>
  <c r="AA27" i="10" l="1"/>
  <c r="AA39" i="10"/>
  <c r="AA4" i="10"/>
  <c r="AA7" i="10"/>
  <c r="AA36" i="10"/>
  <c r="AA52" i="10"/>
  <c r="AC23" i="8"/>
  <c r="AC51" i="8"/>
  <c r="AC57" i="8"/>
  <c r="AC42" i="8"/>
  <c r="AA42" i="10"/>
  <c r="AA49" i="10"/>
  <c r="AA44" i="10"/>
  <c r="AA50" i="10"/>
  <c r="AA40" i="10"/>
  <c r="AA34" i="10"/>
  <c r="AA9" i="10"/>
  <c r="AA31" i="10"/>
  <c r="AA30" i="10"/>
  <c r="AC53" i="8"/>
  <c r="AA41" i="10"/>
  <c r="AC54" i="8"/>
  <c r="AA47" i="10"/>
  <c r="AC38" i="8"/>
  <c r="AA51" i="10"/>
  <c r="AB6" i="9"/>
  <c r="AB7" i="9" s="1"/>
  <c r="AC5" i="8"/>
  <c r="AC52" i="8" s="1"/>
  <c r="AA53" i="10"/>
  <c r="AA38" i="10"/>
  <c r="AA46" i="10"/>
  <c r="AC14" i="8"/>
  <c r="AA45" i="10"/>
  <c r="AA3" i="10"/>
  <c r="AA35" i="10"/>
  <c r="AA37" i="10"/>
  <c r="AA16" i="10"/>
  <c r="AA48" i="10"/>
  <c r="AA43" i="10"/>
  <c r="AC50" i="8"/>
  <c r="AC60" i="8"/>
  <c r="AC46" i="8"/>
  <c r="AC16" i="8"/>
  <c r="AC47" i="8"/>
  <c r="AA32" i="10"/>
  <c r="AC37" i="8" l="1"/>
  <c r="AC59" i="8"/>
  <c r="AC56" i="8"/>
  <c r="AC48" i="8"/>
  <c r="AC90" i="8"/>
  <c r="AC146" i="8" s="1"/>
  <c r="AB27" i="10" s="1"/>
  <c r="AC110" i="8"/>
  <c r="AC166" i="8" s="1"/>
  <c r="AB47" i="10" s="1"/>
  <c r="AC70" i="8"/>
  <c r="AC126" i="8" s="1"/>
  <c r="AB7" i="10" s="1"/>
  <c r="AC104" i="8"/>
  <c r="AC160" i="8" s="1"/>
  <c r="AB41" i="10" s="1"/>
  <c r="AC109" i="8"/>
  <c r="AC165" i="8" s="1"/>
  <c r="AB46" i="10" s="1"/>
  <c r="AC115" i="8"/>
  <c r="AC171" i="8" s="1"/>
  <c r="AB52" i="10" s="1"/>
  <c r="AC105" i="8"/>
  <c r="AC161" i="8" s="1"/>
  <c r="AB42" i="10" s="1"/>
  <c r="AC95" i="8"/>
  <c r="AC151" i="8" s="1"/>
  <c r="AB32" i="10" s="1"/>
  <c r="AC101" i="8"/>
  <c r="AC157" i="8" s="1"/>
  <c r="AB38" i="10" s="1"/>
  <c r="AC114" i="8"/>
  <c r="AC170" i="8" s="1"/>
  <c r="AB51" i="10" s="1"/>
  <c r="AC111" i="8"/>
  <c r="AC167" i="8" s="1"/>
  <c r="AB48" i="10" s="1"/>
  <c r="AC103" i="8"/>
  <c r="AC159" i="8" s="1"/>
  <c r="AB40" i="10" s="1"/>
  <c r="AC79" i="8"/>
  <c r="AC135" i="8" s="1"/>
  <c r="AB16" i="10" s="1"/>
  <c r="AC116" i="8"/>
  <c r="AC172" i="8" s="1"/>
  <c r="AB53" i="10" s="1"/>
  <c r="AC66" i="8"/>
  <c r="AC122" i="8" s="1"/>
  <c r="AB3" i="10" s="1"/>
  <c r="AC112" i="8"/>
  <c r="AC168" i="8" s="1"/>
  <c r="AB49" i="10" s="1"/>
  <c r="AC100" i="8"/>
  <c r="AC156" i="8" s="1"/>
  <c r="AB37" i="10" s="1"/>
  <c r="AC72" i="8"/>
  <c r="AC128" i="8" s="1"/>
  <c r="AB9" i="10" s="1"/>
  <c r="AC94" i="8"/>
  <c r="AC150" i="8" s="1"/>
  <c r="AB31" i="10" s="1"/>
  <c r="AC102" i="8"/>
  <c r="AC158" i="8" s="1"/>
  <c r="AB39" i="10" s="1"/>
  <c r="AC106" i="8"/>
  <c r="AC162" i="8" s="1"/>
  <c r="AB43" i="10" s="1"/>
  <c r="AC108" i="8"/>
  <c r="AC164" i="8" s="1"/>
  <c r="AB45" i="10" s="1"/>
  <c r="AC98" i="8"/>
  <c r="AC154" i="8" s="1"/>
  <c r="AB35" i="10" s="1"/>
  <c r="AC107" i="8"/>
  <c r="AC163" i="8" s="1"/>
  <c r="AB44" i="10" s="1"/>
  <c r="AC67" i="8"/>
  <c r="AC123" i="8" s="1"/>
  <c r="AB4" i="10" s="1"/>
  <c r="AC93" i="8"/>
  <c r="AC149" i="8" s="1"/>
  <c r="AB30" i="10" s="1"/>
  <c r="AC99" i="8"/>
  <c r="AC155" i="8" s="1"/>
  <c r="AB36" i="10" s="1"/>
  <c r="AC113" i="8"/>
  <c r="AC169" i="8" s="1"/>
  <c r="AB50" i="10" s="1"/>
  <c r="AC97" i="8"/>
  <c r="AC153" i="8" s="1"/>
  <c r="AB34" i="10" s="1"/>
  <c r="C9" i="9"/>
  <c r="B9" i="9"/>
  <c r="AC58" i="8"/>
  <c r="AC11" i="8"/>
  <c r="AC34" i="8"/>
  <c r="AC55" i="8"/>
  <c r="AC41" i="8"/>
  <c r="AC10" i="8"/>
  <c r="AC44" i="8"/>
  <c r="AC39" i="8"/>
  <c r="AC49" i="8"/>
  <c r="AC45" i="8"/>
  <c r="AC43" i="8"/>
  <c r="AC6" i="9" l="1"/>
  <c r="AC7" i="9" s="1"/>
  <c r="B4" i="9" s="1"/>
  <c r="C4" i="9" s="1"/>
</calcChain>
</file>

<file path=xl/sharedStrings.xml><?xml version="1.0" encoding="utf-8"?>
<sst xmlns="http://schemas.openxmlformats.org/spreadsheetml/2006/main" count="3006" uniqueCount="1270">
  <si>
    <t>BPCiOaDCSbIC BAU Perc Cng in Output and Domestic Content Share by ISIC Code</t>
  </si>
  <si>
    <t>Sources:</t>
  </si>
  <si>
    <t>Projected output growth for all ISIC codes (2024-2034)</t>
  </si>
  <si>
    <t>U.S. Bureau of Labor Statistics</t>
  </si>
  <si>
    <t>Employment Projections, Table 2.11 Output and Employment by Industry (2024 National Employment Matrix)</t>
  </si>
  <si>
    <t>https://www.bls.gov/emp/tables/industry-employment-and-output.htm</t>
  </si>
  <si>
    <t>Tab 'BLS Table 2.11', pasted verbatim (columns A-K). Column L holds the editable ISIC assignment per BLS line; assignments avoid double counting (a summary row and its line items are never both assigned).</t>
  </si>
  <si>
    <t>Projected output growth for AEO-covered industrial codes (to 2050)</t>
  </si>
  <si>
    <t>U.S. EIA</t>
  </si>
  <si>
    <t>Annual Energy Outlook, Table 23 Industrial Sector Macroeconomic Indicators (2026 edition; 2025 edition supplies the 2024 base year)</t>
  </si>
  <si>
    <t>https://www.eia.gov/outlooks/aeo/tables_ref.php</t>
  </si>
  <si>
    <t>Tabs 'AEO25 Table 23' and 'AEO 2026 Table 23 ', pasted verbatim. SCENARIOS: the 2026-edition data are the ELECTRNP case (alternative transportation and power sector — same scenario as BGDP's forward path); the 2025-edition tab (HIGHZTC, High Zero-Carbon Technology Cost — the pre-2026 scenario choice) supplies only the 2024 base year, so the 2025 growth rate of AEO-covered codes splices editions AND scenarios (unavoidable: Table 23 starts at the projection year). Column B holds comma-delimited ISIC assignments wrapped in commas (e.g. ",ISIC 05,ISIC 06,ISIC 08,") matched with "*,&lt;code&gt;,*" — exact-token matching, replacing the stock wildcard match which would collide on the new 52-code labels ("ISIC 30" is a substring of "ISIC 302T309").</t>
  </si>
  <si>
    <t>GDP projection (rescaling target)</t>
  </si>
  <si>
    <t>Energy Innovation, io-model/BGDP</t>
  </si>
  <si>
    <t>The model's own BAU GDP series (BEA history scaled by AEO growth; forward path = AEO 2026 ELECTRNP, matching the Table 23 scenario)</t>
  </si>
  <si>
    <t>Tab 'GDP Forecast', 2012 USD, identical to BGDP.csv — the per-year factors therefore pin total value added to exactly the GDP trajectory the model itself uses. If BGDP is updated, repaste this tab.</t>
  </si>
  <si>
    <t>Value added by ISIC code (rescaling weights)</t>
  </si>
  <si>
    <t>Energy Innovation, io-model/BVAbIC</t>
  </si>
  <si>
    <t>Stock 42-code BVAbIC values; the six new OECD-native splits are divided by BEA 2017 VABAS (value added, basic) shares</t>
  </si>
  <si>
    <t>https://www.energypolicy.solutions/</t>
  </si>
  <si>
    <t>Tab 'Data from BVAbIC' (pasted values, as in stock). REFRESH by pasting from the rebuilt 52-code BVAbIC workbook when available; weights only affect the single rescaling factor, so the effect is second-order.</t>
  </si>
  <si>
    <t>Notes:</t>
  </si>
  <si>
    <t>Method</t>
  </si>
  <si>
    <t>AEO-covered industrial codes use AEO year-over-year Value-of-Shipments growth directly (their energy demand projections also come from AEO — consistency). All other codes use their BLS compound 2024-2034 output growth (output-weighted across assigned BLS lines, held constant to 2050), scaled by a single factor so that total value added grows at the same rate as the AEO GDP projection. This preserves relative growth differences while matching the macro projection.</t>
  </si>
  <si>
    <t>Per-year scaling factor (closed form — no goal-seek)</t>
  </si>
  <si>
    <t>Non-AEO growth rates are scaled by a factor solved separately for each year (row 5 of 'Rescale to Fit GDP Proj'), which is a linear equation with a closed-form cell formula: total VA tracks the GDP projection in EVERY year, not just 2050. This matters when the GDP path is non-linear (e.g. front-loaded investment): the stock single-factor approach would smear that shape flat for non-AEO industries. Current factors range 0.640-1.479 (near-term years highest). Source updates recompute automatically — no goal-seek step.</t>
  </si>
  <si>
    <t>52-code decisions</t>
  </si>
  <si>
    <t>Per Industry-Category-Audit-4.1.md: dominant children keep AEO coverage (ISIC 01, ISIC 08, ISIC 302T309); minor children (02, 03, 07, 301) and all service splits use BLS. DEVIATION from stock: BLS line 541500 (computer systems design) is assigned to ISIC 62T63 (OECD puts NAICS 5415 in J62_63); stock had it inside 69T82.</t>
  </si>
  <si>
    <t>BPCiDCSbIC</t>
  </si>
  <si>
    <t>The domestic-content-share trend remains all zeros (stock convention) at 52 rows, 2020-2050.</t>
  </si>
  <si>
    <t>Export</t>
  </si>
  <si>
    <t>BPCiObIC.csv = tab BPCiObIC; BPCiDCSbIC.csv = tab BPCiDCSbIC. Row order is the canonical 52-code order (positional Vensim read — load-bearing).</t>
  </si>
  <si>
    <t>Table 2.11 Employment and output by industry (Employment in thousands; Output in billion of chained 2017 dollars)</t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</si>
  <si>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</si>
  <si>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</si>
  <si>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</si>
  <si>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</si>
  <si>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</si>
  <si>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</si>
  <si>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</si>
  <si>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</si>
  <si>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</si>
  <si>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</si>
  <si>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</si>
  <si>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Assigned ISIC Code (editable)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</si>
  <si>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</si>
  <si>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</si>
  <si>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</si>
  <si>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</si>
  <si>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</si>
  <si>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</si>
  <si>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</si>
  <si>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</si>
  <si>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</si>
  <si>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 xml:space="preserve">    Agriculture, forestry, fishing, and hunting</t>
  </si>
  <si>
    <t>110000</t>
  </si>
  <si>
    <t xml:space="preserve">      Crop production</t>
  </si>
  <si>
    <t>111000</t>
  </si>
  <si>
    <t>ISIC 01</t>
  </si>
  <si>
    <t xml:space="preserve">      Animal production and aquaculture</t>
  </si>
  <si>
    <t>112000</t>
  </si>
  <si>
    <t xml:space="preserve">      Forestry and logging</t>
  </si>
  <si>
    <t>113000</t>
  </si>
  <si>
    <t xml:space="preserve">        Forestry</t>
  </si>
  <si>
    <t>1131-2</t>
  </si>
  <si>
    <t>ISIC 02</t>
  </si>
  <si>
    <t xml:space="preserve">        Logging</t>
  </si>
  <si>
    <t>113300</t>
  </si>
  <si>
    <t xml:space="preserve">      Fishing, hunting and trapping</t>
  </si>
  <si>
    <t>114000</t>
  </si>
  <si>
    <t>ISIC 03</t>
  </si>
  <si>
    <t xml:space="preserve">      Support activities for agriculture and forestry</t>
  </si>
  <si>
    <t>115000</t>
  </si>
  <si>
    <t xml:space="preserve">    Mining, quarrying, and oil and gas extraction</t>
  </si>
  <si>
    <t>210000</t>
  </si>
  <si>
    <t xml:space="preserve">      Oil and gas extraction</t>
  </si>
  <si>
    <t>211000</t>
  </si>
  <si>
    <t>ISIC 06</t>
  </si>
  <si>
    <t xml:space="preserve">      Mining (except oil and gas)</t>
  </si>
  <si>
    <t>212000</t>
  </si>
  <si>
    <t xml:space="preserve">        Coal mining</t>
  </si>
  <si>
    <t>212100</t>
  </si>
  <si>
    <t>ISIC 05</t>
  </si>
  <si>
    <t xml:space="preserve">        Metal ore mining</t>
  </si>
  <si>
    <t>212200</t>
  </si>
  <si>
    <t>ISIC 07</t>
  </si>
  <si>
    <t xml:space="preserve">        Nonmetallic mineral mining and quarrying</t>
  </si>
  <si>
    <t>212300</t>
  </si>
  <si>
    <t>ISIC 08</t>
  </si>
  <si>
    <t xml:space="preserve">      Support activities for mining</t>
  </si>
  <si>
    <t>213000</t>
  </si>
  <si>
    <t>ISIC 09</t>
  </si>
  <si>
    <t xml:space="preserve">    Utilities</t>
  </si>
  <si>
    <t>220000</t>
  </si>
  <si>
    <t xml:space="preserve">      Utilities</t>
  </si>
  <si>
    <t>221000</t>
  </si>
  <si>
    <t xml:space="preserve">        Electric power generation, transmission and distribution</t>
  </si>
  <si>
    <t>221100</t>
  </si>
  <si>
    <t>ISIC 351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</si>
  <si>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</si>
  <si>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</si>
  <si>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</si>
  <si>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</si>
  <si>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</si>
  <si>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</si>
  <si>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</si>
  <si>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</si>
  <si>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</si>
  <si>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</si>
  <si>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</si>
  <si>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</si>
  <si>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</si>
  <si>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</si>
  <si>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</si>
  <si>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</si>
  <si>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</si>
  <si>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</si>
  <si>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</si>
  <si>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>221200</t>
  </si>
  <si>
    <t>ISIC 352T353</t>
  </si>
  <si>
    <t xml:space="preserve">        Water, sewage and other systems</t>
  </si>
  <si>
    <t>221300</t>
  </si>
  <si>
    <t>ISIC 36T39</t>
  </si>
  <si>
    <t xml:space="preserve">    Construction</t>
  </si>
  <si>
    <t>230000</t>
  </si>
  <si>
    <t>ISIC 41T43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</si>
  <si>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</si>
  <si>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</si>
  <si>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</si>
  <si>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</si>
  <si>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</si>
  <si>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</si>
  <si>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</si>
  <si>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</si>
  <si>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</si>
  <si>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</si>
  <si>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</si>
  <si>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</si>
  <si>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</si>
  <si>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</si>
  <si>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</si>
  <si>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</si>
  <si>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</si>
  <si>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</si>
  <si>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</si>
  <si>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</si>
  <si>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</si>
  <si>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</si>
  <si>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</si>
  <si>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</si>
  <si>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</si>
  <si>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</si>
  <si>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</si>
  <si>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</si>
  <si>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</si>
  <si>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</si>
  <si>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</si>
  <si>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</si>
  <si>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</si>
  <si>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</si>
  <si>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</si>
  <si>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</si>
  <si>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</si>
  <si>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</si>
  <si>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</si>
  <si>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</si>
  <si>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</si>
  <si>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</si>
  <si>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</si>
  <si>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</si>
  <si>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 xml:space="preserve">    Manufacturing</t>
  </si>
  <si>
    <t>31-330</t>
  </si>
  <si>
    <t xml:space="preserve">      Food manufacturing</t>
  </si>
  <si>
    <t>311000</t>
  </si>
  <si>
    <t>ISIC 10T12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</si>
  <si>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</si>
  <si>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</si>
  <si>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</si>
  <si>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</si>
  <si>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</si>
  <si>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>311300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</si>
  <si>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</si>
  <si>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</si>
  <si>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</si>
  <si>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</si>
  <si>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</si>
  <si>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</si>
  <si>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</si>
  <si>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>311700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</si>
  <si>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</si>
  <si>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</si>
  <si>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</si>
  <si>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</si>
  <si>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</si>
  <si>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</si>
  <si>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</si>
  <si>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</si>
  <si>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</si>
  <si>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>312200</t>
  </si>
  <si>
    <t xml:space="preserve">      Textile mills</t>
  </si>
  <si>
    <t>313000</t>
  </si>
  <si>
    <t>ISIC 13T15</t>
  </si>
  <si>
    <t xml:space="preserve">      Textile product mills</t>
  </si>
  <si>
    <t>314000</t>
  </si>
  <si>
    <t xml:space="preserve">      Apparel manufacturing</t>
  </si>
  <si>
    <t>315000</t>
  </si>
  <si>
    <t xml:space="preserve">      Leather and allied product manufacturing</t>
  </si>
  <si>
    <t>316000</t>
  </si>
  <si>
    <t xml:space="preserve">      Wood product manufacturing</t>
  </si>
  <si>
    <t>321000</t>
  </si>
  <si>
    <t>ISIC 16</t>
  </si>
  <si>
    <t xml:space="preserve">        Sawmills and wood preservation</t>
  </si>
  <si>
    <t>321100</t>
  </si>
  <si>
    <t xml:space="preserve">        Veneer, plywood, and engineered wood product manufacturing</t>
  </si>
  <si>
    <t>321200</t>
  </si>
  <si>
    <t xml:space="preserve">        Other wood product manufacturing</t>
  </si>
  <si>
    <t>321900</t>
  </si>
  <si>
    <t xml:space="preserve">      Paper manufacturing</t>
  </si>
  <si>
    <t>322000</t>
  </si>
  <si>
    <t>ISIC 17T18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</si>
  <si>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</si>
  <si>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</si>
  <si>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</si>
  <si>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</si>
  <si>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</si>
  <si>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</si>
  <si>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</si>
  <si>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</si>
  <si>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>ISIC 19</t>
  </si>
  <si>
    <t xml:space="preserve">      Chemical manufacturing</t>
  </si>
  <si>
    <t>325000</t>
  </si>
  <si>
    <t xml:space="preserve">        Chemical manufacturing (3251,2,3,9)</t>
  </si>
  <si>
    <t>3250A1</t>
  </si>
  <si>
    <t>ISIC 20</t>
  </si>
  <si>
    <t xml:space="preserve">        Chemical manufacturing (3255,6)</t>
  </si>
  <si>
    <t>3250A2</t>
  </si>
  <si>
    <t xml:space="preserve">        Pharmaceutical and medicine manufacturing</t>
  </si>
  <si>
    <t>325400</t>
  </si>
  <si>
    <t>ISIC 21</t>
  </si>
  <si>
    <t xml:space="preserve">      Plastics and rubber products manufacturing</t>
  </si>
  <si>
    <t>326000</t>
  </si>
  <si>
    <t>ISIC 22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</si>
  <si>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</si>
  <si>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</si>
  <si>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</si>
  <si>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</si>
  <si>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</si>
  <si>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</si>
  <si>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>ISIC 239</t>
  </si>
  <si>
    <t xml:space="preserve">      Primary metal manufacturing</t>
  </si>
  <si>
    <t>331000</t>
  </si>
  <si>
    <t xml:space="preserve">        Iron and steel mills and ferroalloy manufacturing</t>
  </si>
  <si>
    <t>331100</t>
  </si>
  <si>
    <t>ISIC 241</t>
  </si>
  <si>
    <t xml:space="preserve">        Steel product manufacturing from purchased steel</t>
  </si>
  <si>
    <t>331200</t>
  </si>
  <si>
    <t xml:space="preserve">        Alumina and aluminum production and processing</t>
  </si>
  <si>
    <t>331300</t>
  </si>
  <si>
    <t>ISIC 242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</si>
  <si>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</si>
  <si>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</si>
  <si>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</si>
  <si>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</si>
  <si>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</si>
  <si>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</si>
  <si>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>ISIC 25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</si>
  <si>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</si>
  <si>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</si>
  <si>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</si>
  <si>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</si>
  <si>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</si>
  <si>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</si>
  <si>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</si>
  <si>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>332710</t>
  </si>
  <si>
    <t xml:space="preserve">          Turned product and screw, nut, and bolt manufacturing</t>
  </si>
  <si>
    <t>332720</t>
  </si>
  <si>
    <t xml:space="preserve">        Coating, engraving, heat treating, and allied activities</t>
  </si>
  <si>
    <t>332800</t>
  </si>
  <si>
    <t xml:space="preserve">      Machinery manufacturing</t>
  </si>
  <si>
    <t>333000</t>
  </si>
  <si>
    <t>ISIC 28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</si>
  <si>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</si>
  <si>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</si>
  <si>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</si>
  <si>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</si>
  <si>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</si>
  <si>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</si>
  <si>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</si>
  <si>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</si>
  <si>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</si>
  <si>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</si>
  <si>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>ISIC 26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</si>
  <si>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</si>
  <si>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</si>
  <si>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</si>
  <si>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</si>
  <si>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</si>
  <si>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>334300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</si>
  <si>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</si>
  <si>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</si>
  <si>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</si>
  <si>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</si>
  <si>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</si>
  <si>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</si>
  <si>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</si>
  <si>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</si>
  <si>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>ISIC 27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</si>
  <si>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</si>
  <si>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</si>
  <si>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</si>
  <si>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</si>
  <si>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</si>
  <si>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</si>
  <si>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</si>
  <si>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</si>
  <si>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</si>
  <si>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</si>
  <si>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</si>
  <si>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</si>
  <si>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>ISIC 29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</si>
  <si>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</si>
  <si>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</si>
  <si>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</si>
  <si>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</si>
  <si>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</si>
  <si>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</si>
  <si>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>ISIC 302T309</t>
  </si>
  <si>
    <t xml:space="preserve">        Railroad rolling stock manufacturing</t>
  </si>
  <si>
    <t>336500</t>
  </si>
  <si>
    <t xml:space="preserve">        Ship and boat building</t>
  </si>
  <si>
    <t>336600</t>
  </si>
  <si>
    <t>ISIC 301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</si>
  <si>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</si>
  <si>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</si>
  <si>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</si>
  <si>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</si>
  <si>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>ISIC 31T33</t>
  </si>
  <si>
    <t xml:space="preserve">        Furniture and related product manufacturing (3371,2)</t>
  </si>
  <si>
    <t>3370A1</t>
  </si>
  <si>
    <t xml:space="preserve">        Other furniture related product manufacturing</t>
  </si>
  <si>
    <t>337900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</si>
  <si>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</si>
  <si>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</si>
  <si>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</si>
  <si>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</si>
  <si>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</si>
  <si>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</si>
  <si>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</si>
  <si>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339910</t>
  </si>
  <si>
    <t xml:space="preserve">    Wholesale trade</t>
  </si>
  <si>
    <t>420000</t>
  </si>
  <si>
    <t>ISIC 45T47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</si>
  <si>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</si>
  <si>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</si>
  <si>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</si>
  <si>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</si>
  <si>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</si>
  <si>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>423100</t>
  </si>
  <si>
    <t xml:space="preserve">        Professional and commercial equipment and supplies merchant wholesalers</t>
  </si>
  <si>
    <t>423400</t>
  </si>
  <si>
    <t xml:space="preserve">        Machinery, equipment, and supplies merchant wholesalers</t>
  </si>
  <si>
    <t>423800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</si>
  <si>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</si>
  <si>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</si>
  <si>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</si>
  <si>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</si>
  <si>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</si>
  <si>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</si>
  <si>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</si>
  <si>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</si>
  <si>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</si>
  <si>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</si>
  <si>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</si>
  <si>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</si>
  <si>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</si>
  <si>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</si>
  <si>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</si>
  <si>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425000</t>
  </si>
  <si>
    <t xml:space="preserve">    Retail trade</t>
  </si>
  <si>
    <t>44-450</t>
  </si>
  <si>
    <t xml:space="preserve">      Motor vehicle and parts dealers</t>
  </si>
  <si>
    <t>441000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</si>
  <si>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</si>
  <si>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</si>
  <si>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</si>
  <si>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</si>
  <si>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</si>
  <si>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</si>
  <si>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</si>
  <si>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>445000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</si>
  <si>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</si>
  <si>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</si>
  <si>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</si>
  <si>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</si>
  <si>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</si>
  <si>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</si>
  <si>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</si>
  <si>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</si>
  <si>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</si>
  <si>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>444000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</si>
  <si>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</si>
  <si>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</si>
  <si>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</si>
  <si>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</si>
  <si>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</si>
  <si>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</si>
  <si>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</si>
  <si>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</si>
  <si>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</si>
  <si>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</si>
  <si>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</si>
  <si>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</si>
  <si>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</si>
  <si>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</si>
  <si>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</si>
  <si>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</si>
  <si>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</si>
  <si>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</si>
  <si>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</si>
  <si>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</si>
  <si>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</si>
  <si>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</si>
  <si>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</si>
  <si>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</si>
  <si>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</si>
  <si>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</si>
  <si>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</si>
  <si>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</si>
  <si>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</si>
  <si>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</si>
  <si>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</si>
  <si>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</si>
  <si>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</si>
  <si>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</si>
  <si>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</si>
  <si>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</si>
  <si>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</si>
  <si>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</si>
  <si>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</si>
  <si>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</si>
  <si>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</si>
  <si>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</si>
  <si>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 xml:space="preserve">    Transportation and warehousing</t>
  </si>
  <si>
    <t>48-490</t>
  </si>
  <si>
    <t xml:space="preserve">      Air transportation</t>
  </si>
  <si>
    <t>481000</t>
  </si>
  <si>
    <t>ISIC 51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</si>
  <si>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</si>
  <si>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</si>
  <si>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</si>
  <si>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</si>
  <si>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</si>
  <si>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>482000</t>
  </si>
  <si>
    <t>ISIC 49</t>
  </si>
  <si>
    <t xml:space="preserve">      Water transportation</t>
  </si>
  <si>
    <t>483000</t>
  </si>
  <si>
    <t>ISIC 50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</si>
  <si>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</si>
  <si>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</si>
  <si>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</si>
  <si>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</si>
  <si>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</si>
  <si>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>484000</t>
  </si>
  <si>
    <t xml:space="preserve">      Transit and ground passenger transportation</t>
  </si>
  <si>
    <t>485000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</si>
  <si>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</si>
  <si>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</si>
  <si>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</si>
  <si>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</si>
  <si>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</si>
  <si>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</si>
  <si>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</si>
  <si>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</si>
  <si>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</si>
  <si>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</si>
  <si>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</si>
  <si>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</si>
  <si>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</si>
  <si>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>486000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</si>
  <si>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</si>
  <si>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</si>
  <si>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</si>
  <si>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</si>
  <si>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</si>
  <si>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</si>
  <si>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</si>
  <si>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</si>
  <si>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>ISIC 52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</si>
  <si>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</si>
  <si>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</si>
  <si>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</si>
  <si>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</si>
  <si>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</si>
  <si>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</si>
  <si>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</si>
  <si>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</si>
  <si>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</si>
  <si>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</si>
  <si>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</si>
  <si>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</si>
  <si>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</si>
  <si>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</si>
  <si>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</si>
  <si>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</si>
  <si>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</si>
  <si>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</si>
  <si>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</si>
  <si>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</si>
  <si>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</si>
  <si>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</si>
  <si>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</si>
  <si>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>492000</t>
  </si>
  <si>
    <t>ISIC 53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</si>
  <si>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</si>
  <si>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</si>
  <si>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</si>
  <si>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</si>
  <si>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</si>
  <si>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>493000</t>
  </si>
  <si>
    <t xml:space="preserve">    Information</t>
  </si>
  <si>
    <t>510000</t>
  </si>
  <si>
    <t xml:space="preserve">      Motion picture and sound recording industries</t>
  </si>
  <si>
    <t>512000</t>
  </si>
  <si>
    <t>ISIC 58T60</t>
  </si>
  <si>
    <t xml:space="preserve">        Motion picture and video industries</t>
  </si>
  <si>
    <t>512100</t>
  </si>
  <si>
    <t xml:space="preserve">          Motion picture and video exhibition</t>
  </si>
  <si>
    <t>512130</t>
  </si>
  <si>
    <t xml:space="preserve">        Sound recording industries</t>
  </si>
  <si>
    <t>512200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</si>
  <si>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</si>
  <si>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</si>
  <si>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</si>
  <si>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</si>
  <si>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</si>
  <si>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</si>
  <si>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</si>
  <si>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</si>
  <si>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</si>
  <si>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</si>
  <si>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</si>
  <si>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</si>
  <si>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</si>
  <si>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</si>
  <si>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</si>
  <si>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</si>
  <si>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</si>
  <si>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</si>
  <si>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</si>
  <si>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</si>
  <si>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</si>
  <si>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</si>
  <si>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</si>
  <si>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</si>
  <si>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>ISIC 61</t>
  </si>
  <si>
    <t xml:space="preserve">        Computing infrastructure providers, data processing, web hosting, and related services</t>
  </si>
  <si>
    <t>518000</t>
  </si>
  <si>
    <t>ISIC 62T63</t>
  </si>
  <si>
    <t xml:space="preserve">    Finance and insurance</t>
  </si>
  <si>
    <t>520000</t>
  </si>
  <si>
    <t>ISIC 64T66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</si>
  <si>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</si>
  <si>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</si>
  <si>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</si>
  <si>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</si>
  <si>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</si>
  <si>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</si>
  <si>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</si>
  <si>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</si>
  <si>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</si>
  <si>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</si>
  <si>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</si>
  <si>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</si>
  <si>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</si>
  <si>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</si>
  <si>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</si>
  <si>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</si>
  <si>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</si>
  <si>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</si>
  <si>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</si>
  <si>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</si>
  <si>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</si>
  <si>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</si>
  <si>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</si>
  <si>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>524200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</si>
  <si>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</si>
  <si>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</si>
  <si>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</si>
  <si>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</si>
  <si>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</si>
  <si>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>525000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</si>
  <si>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</si>
  <si>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</si>
  <si>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</si>
  <si>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</si>
  <si>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</si>
  <si>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</si>
  <si>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</si>
  <si>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</si>
  <si>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>ISIC 68</t>
  </si>
  <si>
    <t xml:space="preserve">      Rental and leasing services</t>
  </si>
  <si>
    <t>532000</t>
  </si>
  <si>
    <t>ISIC 77T82</t>
  </si>
  <si>
    <t xml:space="preserve">        Rental and leasing services (5322,3,4)</t>
  </si>
  <si>
    <t>5320A1</t>
  </si>
  <si>
    <t xml:space="preserve">        Automotive equipment rental and leasing</t>
  </si>
  <si>
    <t>532100</t>
  </si>
  <si>
    <t xml:space="preserve">      Lessors of nonfinancial intangible assets (except copyrighted works)</t>
  </si>
  <si>
    <t>533000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</si>
  <si>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</si>
  <si>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</si>
  <si>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</si>
  <si>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</si>
  <si>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</si>
  <si>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>541100</t>
  </si>
  <si>
    <t>ISIC 69T75</t>
  </si>
  <si>
    <t xml:space="preserve">        Accounting, tax preparation, bookkeeping, and payroll services</t>
  </si>
  <si>
    <t>541200</t>
  </si>
  <si>
    <t xml:space="preserve">        Architectural, engineering, and related services</t>
  </si>
  <si>
    <t>541300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</si>
  <si>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</si>
  <si>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</si>
  <si>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</si>
  <si>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</si>
  <si>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</si>
  <si>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>541400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</si>
  <si>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</si>
  <si>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</si>
  <si>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</si>
  <si>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</si>
  <si>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</si>
  <si>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>541700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</si>
  <si>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</si>
  <si>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</si>
  <si>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</si>
  <si>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</si>
  <si>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</si>
  <si>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>541800</t>
  </si>
  <si>
    <t xml:space="preserve">        Other professional, scientific, and technical services</t>
  </si>
  <si>
    <t>541900</t>
  </si>
  <si>
    <t xml:space="preserve">          Photographic services</t>
  </si>
  <si>
    <t>541920</t>
  </si>
  <si>
    <t xml:space="preserve">          Veterinary services</t>
  </si>
  <si>
    <t>541940</t>
  </si>
  <si>
    <t xml:space="preserve">    Management of companies and enterprises</t>
  </si>
  <si>
    <t>550000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</si>
  <si>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</si>
  <si>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</si>
  <si>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</si>
  <si>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</si>
  <si>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</si>
  <si>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</si>
  <si>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</si>
  <si>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>561100</t>
  </si>
  <si>
    <t xml:space="preserve">        Facilities support services</t>
  </si>
  <si>
    <t>561200</t>
  </si>
  <si>
    <t xml:space="preserve">        Employment services</t>
  </si>
  <si>
    <t>561300</t>
  </si>
  <si>
    <t xml:space="preserve">          Temporary help services</t>
  </si>
  <si>
    <t>561320</t>
  </si>
  <si>
    <t xml:space="preserve">        Business support services</t>
  </si>
  <si>
    <t>561400</t>
  </si>
  <si>
    <t xml:space="preserve">        Travel arrangement and reservation services</t>
  </si>
  <si>
    <t>561500</t>
  </si>
  <si>
    <t xml:space="preserve">        Investigation and security services</t>
  </si>
  <si>
    <t>561600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</si>
  <si>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</si>
  <si>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</si>
  <si>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</si>
  <si>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</si>
  <si>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</si>
  <si>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>561700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</si>
  <si>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</si>
  <si>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</si>
  <si>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</si>
  <si>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</si>
  <si>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</si>
  <si>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>561900</t>
  </si>
  <si>
    <t xml:space="preserve">      Waste management and remediation services</t>
  </si>
  <si>
    <t>562000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</si>
  <si>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</si>
  <si>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</si>
  <si>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</si>
  <si>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</si>
  <si>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</si>
  <si>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</si>
  <si>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</si>
  <si>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</si>
  <si>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</si>
  <si>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</si>
  <si>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</si>
  <si>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</si>
  <si>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>ISIC 85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</si>
  <si>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</si>
  <si>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</si>
  <si>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</si>
  <si>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</si>
  <si>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</si>
  <si>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</si>
  <si>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</si>
  <si>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</si>
  <si>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</si>
  <si>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</si>
  <si>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</si>
  <si>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</si>
  <si>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</si>
  <si>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</si>
  <si>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</si>
  <si>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</si>
  <si>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</si>
  <si>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</si>
  <si>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</si>
  <si>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</si>
  <si>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</si>
  <si>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</si>
  <si>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</si>
  <si>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</si>
  <si>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</si>
  <si>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</si>
  <si>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</si>
  <si>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</si>
  <si>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</si>
  <si>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</si>
  <si>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</si>
  <si>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</si>
  <si>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</si>
  <si>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</si>
  <si>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</si>
  <si>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</si>
  <si>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</si>
  <si>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</si>
  <si>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</si>
  <si>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</si>
  <si>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</si>
  <si>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</si>
  <si>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</si>
  <si>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</si>
  <si>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</si>
  <si>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</si>
  <si>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</si>
  <si>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</si>
  <si>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</si>
  <si>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</si>
  <si>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</si>
  <si>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</si>
  <si>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</si>
  <si>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</si>
  <si>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>ISIC 86T88</t>
  </si>
  <si>
    <t xml:space="preserve">        Offices of physicians</t>
  </si>
  <si>
    <t>621100</t>
  </si>
  <si>
    <t xml:space="preserve">        Offices of dentists</t>
  </si>
  <si>
    <t>621200</t>
  </si>
  <si>
    <t xml:space="preserve">        Offices of other health practitioners</t>
  </si>
  <si>
    <t>621300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</si>
  <si>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</si>
  <si>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</si>
  <si>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</si>
  <si>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</si>
  <si>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</si>
  <si>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</si>
  <si>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</si>
  <si>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</si>
  <si>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</si>
  <si>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</si>
  <si>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</si>
  <si>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>621400</t>
  </si>
  <si>
    <t xml:space="preserve">          Outpatient mental health and substance abuse centers</t>
  </si>
  <si>
    <t>621420</t>
  </si>
  <si>
    <t xml:space="preserve">        Medical and diagnostic laboratories</t>
  </si>
  <si>
    <t>621500</t>
  </si>
  <si>
    <t xml:space="preserve">        Home healthcare services</t>
  </si>
  <si>
    <t>621600</t>
  </si>
  <si>
    <t xml:space="preserve">        Other ambulatory healthcare services</t>
  </si>
  <si>
    <t>621900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</si>
  <si>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</si>
  <si>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</si>
  <si>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</si>
  <si>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</si>
  <si>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</si>
  <si>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>622000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</si>
  <si>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</si>
  <si>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</si>
  <si>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</si>
  <si>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</si>
  <si>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</si>
  <si>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</si>
  <si>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</si>
  <si>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</si>
  <si>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</si>
  <si>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</si>
  <si>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</si>
  <si>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</si>
  <si>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</si>
  <si>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</si>
  <si>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</si>
  <si>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</si>
  <si>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</si>
  <si>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</si>
  <si>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</si>
  <si>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</si>
  <si>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</si>
  <si>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</si>
  <si>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</si>
  <si>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</si>
  <si>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</si>
  <si>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</si>
  <si>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</si>
  <si>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</si>
  <si>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</si>
  <si>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</si>
  <si>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</si>
  <si>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</si>
  <si>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</si>
  <si>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</si>
  <si>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</si>
  <si>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</si>
  <si>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</si>
  <si>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</si>
  <si>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</si>
  <si>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>624100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</si>
  <si>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</si>
  <si>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</si>
  <si>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</si>
  <si>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</si>
  <si>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</si>
  <si>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</si>
  <si>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</si>
  <si>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</si>
  <si>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</si>
  <si>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>624400</t>
  </si>
  <si>
    <t xml:space="preserve">    Arts, entertainment, and recreation</t>
  </si>
  <si>
    <t>710000</t>
  </si>
  <si>
    <t>ISIC 90T93</t>
  </si>
  <si>
    <t xml:space="preserve">      Performing arts, spectator sports, and related industries</t>
  </si>
  <si>
    <t>711000</t>
  </si>
  <si>
    <t xml:space="preserve">        Performing arts companies</t>
  </si>
  <si>
    <t>711100</t>
  </si>
  <si>
    <t xml:space="preserve">          Theater companies and dinner theaters</t>
  </si>
  <si>
    <t>711110</t>
  </si>
  <si>
    <t xml:space="preserve">        Spectator sports</t>
  </si>
  <si>
    <t>711200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</si>
  <si>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</si>
  <si>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</si>
  <si>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</si>
  <si>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</si>
  <si>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</si>
  <si>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</si>
  <si>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</si>
  <si>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>711500</t>
  </si>
  <si>
    <t xml:space="preserve">      Museums, historical sites, and similar institutions</t>
  </si>
  <si>
    <t>712000</t>
  </si>
  <si>
    <t xml:space="preserve">      Amusement, gambling, and recreation industries</t>
  </si>
  <si>
    <t>713000</t>
  </si>
  <si>
    <t xml:space="preserve">        Amusement parks and arcades</t>
  </si>
  <si>
    <t>713100</t>
  </si>
  <si>
    <t xml:space="preserve">        Gambling industries (except casino hotels)</t>
  </si>
  <si>
    <t>713200</t>
  </si>
  <si>
    <t xml:space="preserve">        Other amusement and recreation industries</t>
  </si>
  <si>
    <t>713900</t>
  </si>
  <si>
    <t xml:space="preserve">          Fitness and recreational sports centers</t>
  </si>
  <si>
    <t>713940</t>
  </si>
  <si>
    <t xml:space="preserve">    Accommodation and food services</t>
  </si>
  <si>
    <t>720000</t>
  </si>
  <si>
    <t>ISIC 55T56</t>
  </si>
  <si>
    <t xml:space="preserve">      Accommodation</t>
  </si>
  <si>
    <t>721000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</si>
  <si>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</si>
  <si>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</si>
  <si>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</si>
  <si>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</si>
  <si>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</si>
  <si>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</si>
  <si>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</si>
  <si>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</si>
  <si>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</si>
  <si>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</si>
  <si>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</si>
  <si>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</si>
  <si>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</si>
  <si>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</si>
  <si>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</si>
  <si>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</si>
  <si>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</si>
  <si>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</si>
  <si>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</si>
  <si>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</si>
  <si>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</si>
  <si>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>811100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</si>
  <si>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</si>
  <si>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</si>
  <si>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</si>
  <si>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</si>
  <si>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</si>
  <si>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</si>
  <si>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</si>
  <si>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>811200</t>
  </si>
  <si>
    <t>ISIC 94T96</t>
  </si>
  <si>
    <t xml:space="preserve">        Commercial and industrial machinery and equipment (except automotive and electronic) repair and maintenance</t>
  </si>
  <si>
    <t>811300</t>
  </si>
  <si>
    <t xml:space="preserve">        Personal and household goods repair and maintenance</t>
  </si>
  <si>
    <t>811400</t>
  </si>
  <si>
    <t xml:space="preserve">      Personal and laundry services</t>
  </si>
  <si>
    <t>812000</t>
  </si>
  <si>
    <t xml:space="preserve">        Personal care services</t>
  </si>
  <si>
    <t>812100</t>
  </si>
  <si>
    <t xml:space="preserve">        Death care services</t>
  </si>
  <si>
    <t>812200</t>
  </si>
  <si>
    <t xml:space="preserve">        Drycleaning and laundry services</t>
  </si>
  <si>
    <t>812300</t>
  </si>
  <si>
    <t xml:space="preserve">        Other personal services</t>
  </si>
  <si>
    <t>812900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</si>
  <si>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</si>
  <si>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</si>
  <si>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</si>
  <si>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</si>
  <si>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</si>
  <si>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</si>
  <si>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</si>
  <si>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</si>
  <si>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</si>
  <si>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</si>
  <si>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</si>
  <si>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</si>
  <si>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</si>
  <si>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</si>
  <si>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</si>
  <si>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</si>
  <si>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</si>
  <si>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>814000</t>
  </si>
  <si>
    <t>ISIC 97T98</t>
  </si>
  <si>
    <t xml:space="preserve">    Government, excluding state and local education and hospitals</t>
  </si>
  <si>
    <t>900000</t>
  </si>
  <si>
    <t xml:space="preserve">      Federal government</t>
  </si>
  <si>
    <t>910000</t>
  </si>
  <si>
    <t>ISIC 84</t>
  </si>
  <si>
    <t xml:space="preserve">        Postal service</t>
  </si>
  <si>
    <t>491000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</si>
  <si>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</si>
  <si>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</si>
  <si>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</si>
  <si>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</si>
  <si>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</si>
  <si>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</si>
  <si>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</si>
  <si>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</si>
  <si>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</si>
  <si>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Table 23.  Industrial Sector Macroeconomic Indicators</t>
  </si>
  <si>
    <t>https://www.eia.gov/outlooks/aeo/data/browser/#/?id=34-AEO2025&amp;cases=highZTC&amp;sourcekey=0</t>
  </si>
  <si>
    <t>Tue Dec 02 2025 13:21:59 GMT-0800 (Pacific Standard Time)</t>
  </si>
  <si>
    <t>Source: U.S. Energy Information Administration</t>
  </si>
  <si>
    <t>ISIC assignment (editable)</t>
  </si>
  <si>
    <t>full name</t>
  </si>
  <si>
    <t>api key</t>
  </si>
  <si>
    <t>units</t>
  </si>
  <si>
    <t>Growth (2024-2050)</t>
  </si>
  <si>
    <t>ISM000:ba_GDP(billionm_</t>
  </si>
  <si>
    <t>Gross Domestic Product (billion 2012 dollars)</t>
  </si>
  <si>
    <t>Industrial Macroeconomic: Gross Domestic Product: High Zero-Carbon Technology Cost</t>
  </si>
  <si>
    <t>AEO.2025.HIGHZTC.ECI_GDP_NA_NA_NA_NA_NA_BLNY09DLR.A</t>
  </si>
  <si>
    <t>billion 2012 $</t>
  </si>
  <si>
    <t>ISM000:ca_NonfarmEmploy</t>
  </si>
  <si>
    <t>Nonfarm Employment (millions)</t>
  </si>
  <si>
    <t>Industrial Macroeconomic: Employment, Nonfarm: High Zero-Carbon Technology Cost</t>
  </si>
  <si>
    <t>AEO.2025.HIGHZTC.ECI_NFE_NA_NA_NA_NA_NA_MILL.A</t>
  </si>
  <si>
    <t>millions</t>
  </si>
  <si>
    <t>Value of Shipments (billion 2012 dollars)</t>
  </si>
  <si>
    <t>Nonmanufacturing Sector</t>
  </si>
  <si>
    <t>ISM000:ea_Agricultural</t>
  </si>
  <si>
    <t>,ISIC 01,</t>
  </si>
  <si>
    <t>Agriculture/Forestry/Fishing/Hunting</t>
  </si>
  <si>
    <t>Industrial Macroeconomic: Nonmanufacturing: Agriculture/Forestry/Fishing/Hunting: High Zero-Carbon Technology Cost</t>
  </si>
  <si>
    <t>AEO.2025.HIGHZTC.ECI_VOS_NMFG_AFF_NA_NA_NA_BLNY09DLR.A</t>
  </si>
  <si>
    <t>ISM000:ea_Mining</t>
  </si>
  <si>
    <t>,ISIC 05,ISIC 06,ISIC 08,</t>
  </si>
  <si>
    <t>Mining</t>
  </si>
  <si>
    <t>Industrial Macroeconomic: Nonmanufacturing: Mining: High Zero-Carbon Technology Cost</t>
  </si>
  <si>
    <t>AEO.2025.HIGHZTC.ECI_VOS_NMFG_MING_NA_NA_NA_BLNY09DLR.A</t>
  </si>
  <si>
    <t>ISM000:ea_Construction</t>
  </si>
  <si>
    <t>,ISIC 41T43,</t>
  </si>
  <si>
    <t>Construction</t>
  </si>
  <si>
    <t>Industrial Macroeconomic: Nonmanufacturing: Construction: High Zero-Carbon Technology Cost</t>
  </si>
  <si>
    <t>AEO.2025.HIGHZTC.ECI_VOS_NMFG_CNS_NA_NA_NA_BLNY09DLR.A</t>
  </si>
  <si>
    <t>Manufacturing Sector</t>
  </si>
  <si>
    <t>ISM000:fa_FoodandKindre</t>
  </si>
  <si>
    <t>,ISIC 10T12,</t>
  </si>
  <si>
    <t>Food Products</t>
  </si>
  <si>
    <t>Industrial Macroeconomic: Manufacturing: Food Products: High Zero-Carbon Technology Cost</t>
  </si>
  <si>
    <t>AEO.2025.HIGHZTC.ECI_VOS_MANF_FPA_NA_NA_NA_BLNY09DLR.A</t>
  </si>
  <si>
    <t>ISM000:fa_BeveragesandT</t>
  </si>
  <si>
    <t>Beverages and Tobacco Products</t>
  </si>
  <si>
    <t>Industrial Macroeconomic: Manufacturing: Beverages and Tobacco Products: High Zero-Carbon Technology Cost</t>
  </si>
  <si>
    <t>AEO.2025.HIGHZTC.ECI_VOS_MANF_BVTP_NA_NA_NA_BLNY09DLR.A</t>
  </si>
  <si>
    <t>ISM000:fa_TextileMillPr</t>
  </si>
  <si>
    <t>,ISIC 13T15,</t>
  </si>
  <si>
    <t>Textile Mills and Products</t>
  </si>
  <si>
    <t>Industrial Macroeconomic: Manufacturing: Textile Mills and Products: High Zero-Carbon Technology Cost</t>
  </si>
  <si>
    <t>AEO.2025.HIGHZTC.ECI_VOS_MANF_TMP_NA_NA_NA_BLNY09DLR.A</t>
  </si>
  <si>
    <t>ISM000:fa_LumberandWood</t>
  </si>
  <si>
    <t>,ISIC 16,</t>
  </si>
  <si>
    <t>Wood Products</t>
  </si>
  <si>
    <t>Industrial Macroeconomic: Manufacturing: Wood Products: High Zero-Carbon Technology Cost</t>
  </si>
  <si>
    <t>AEO.2025.HIGHZTC.ECI_VOS_MANF_WDP_NA_NA_NA_BLNY09DLR.A</t>
  </si>
  <si>
    <t>ISM000:fa_FurnitureandF</t>
  </si>
  <si>
    <t>,ISIC 31T33,</t>
  </si>
  <si>
    <t>Furniture and Related Products</t>
  </si>
  <si>
    <t>Industrial Macroeconomic: Manufacturing: Furniture and Related Products: High Zero-Carbon Technology Cost</t>
  </si>
  <si>
    <t>AEO.2025.HIGHZTC.ECI_VOS_MANF_FRP_NA_NA_NA_BLNY09DLR.A</t>
  </si>
  <si>
    <t>ISM000:fa_PaperandAllie</t>
  </si>
  <si>
    <t>,ISIC 17T18,</t>
  </si>
  <si>
    <t>Paper Products</t>
  </si>
  <si>
    <t>Industrial Macroeconomic: Manufacturing: Paper Products: High Zero-Carbon Technology Cost</t>
  </si>
  <si>
    <t>AEO.2025.HIGHZTC.ECI_VOS_MANF_PPM_NA_NA_NA_BLNY09DLR.A</t>
  </si>
  <si>
    <t>ISM000:fa_PrintingandPu</t>
  </si>
  <si>
    <t>Printing</t>
  </si>
  <si>
    <t>Industrial Macroeconomic: Manufacturing: Printing: High Zero-Carbon Technology Cost</t>
  </si>
  <si>
    <t>AEO.2025.HIGHZTC.ECI_VOS_MANF_PRN_NA_NA_NA_BLNY09DLR.A</t>
  </si>
  <si>
    <t>ISM000:fa_ChemicalandAl</t>
  </si>
  <si>
    <t>,ISIC 20,</t>
  </si>
  <si>
    <t>Chemical Manufacturing</t>
  </si>
  <si>
    <t>Industrial Macroeconomic: Manufacturing: Chemical Manufacturing: High Zero-Carbon Technology Cost</t>
  </si>
  <si>
    <t>AEO.2025.HIGHZTC.ECI_VOS_MANF_CHE_NA_NA_NA_BLNY09DLR.A</t>
  </si>
  <si>
    <t>ISM000:fa_BulkChemicals</t>
  </si>
  <si>
    <t>Bulk Chemicals</t>
  </si>
  <si>
    <t>Industrial Macroeconomic: Manufacturing: Chemicals: Bulk Chemicals: High Zero-Carbon Technology Cost</t>
  </si>
  <si>
    <t>AEO.2025.HIGHZTC.ECI_VOS_MANF_BCH_NA_NA_NA_BLNY09DLR.A</t>
  </si>
  <si>
    <t>ISM000:fa_Inorganic</t>
  </si>
  <si>
    <t>Inorganic</t>
  </si>
  <si>
    <t>Industrial Macroeconomic: Manufacturing: Chemicals: Bulk Chemicals: Inorganic: High Zero-Carbon Technology Cost</t>
  </si>
  <si>
    <t>AEO.2025.HIGHZTC.ECI_VOS_MANF_CHEIN_NA_NA_NA_BLNY09DLR.A</t>
  </si>
  <si>
    <t>ISM000:fa_Organic</t>
  </si>
  <si>
    <t>Organic</t>
  </si>
  <si>
    <t>Industrial Macroeconomic: Manufacturing: Chemicals: Bulk Chemicals: Organic: High Zero-Carbon Technology Cost</t>
  </si>
  <si>
    <t>AEO.2025.HIGHZTC.ECI_VOS_MANF_CHEOR_NA_NA_NA_BLNY09DLR.A</t>
  </si>
  <si>
    <t>ISM000:fa_Resins</t>
  </si>
  <si>
    <t>Resin</t>
  </si>
  <si>
    <t xml:space="preserve"> Synthetic Rubber</t>
  </si>
  <si>
    <t xml:space="preserve"> and Fibers</t>
  </si>
  <si>
    <t>Industrial Macroeconomic: Manufacturing: Chemicals: Bulk Chemicals: Resin, Synthetic Rubber, and Fibers: High Zero-Carbon Technology Cost</t>
  </si>
  <si>
    <t>AEO.2025.HIGHZTC.ECI_VOS_MANF_CHEBR_NA_NA_NA_BLNY09DLR.A</t>
  </si>
  <si>
    <t>ISM000:fa_AgriculturalC</t>
  </si>
  <si>
    <t>Agricultural Chemicals</t>
  </si>
  <si>
    <t>Industrial Macroeconomic: Manufacturing: Chemicals: Bulk Chemicals: Agricultural Chemicals: High Zero-Carbon Technology Cost</t>
  </si>
  <si>
    <t>AEO.2025.HIGHZTC.ECI_VOS_MANF_AGC_NA_NA_NA_BLNY09DLR.A</t>
  </si>
  <si>
    <t>ISM000:fa_OtherChemical</t>
  </si>
  <si>
    <t>Other Chemical Products</t>
  </si>
  <si>
    <t>Industrial Macroeconomic: Manufacturing: Chemicals: Other Chemical Products: High Zero-Carbon Technology Cost</t>
  </si>
  <si>
    <t>AEO.2025.HIGHZTC.ECI_VOS_MANF_CHEO_NA_NA_NA_BLNY09DLR.A</t>
  </si>
  <si>
    <t>ISM000:fa_PetroleumandC</t>
  </si>
  <si>
    <t>Petroleum and Coal Products</t>
  </si>
  <si>
    <t>Industrial Macroeconomic: Manufacturing: Petroleum and Coal Products: High Zero-Carbon Technology Cost</t>
  </si>
  <si>
    <t>AEO.2025.HIGHZTC.ECI_VOS_MANF_PCL_NA_NA_NA_BLNY09DLR.A</t>
  </si>
  <si>
    <t>ISM000:fa_PetroleumRefi</t>
  </si>
  <si>
    <t>,ISIC 19,</t>
  </si>
  <si>
    <t>Petroleum Refineries</t>
  </si>
  <si>
    <t>Industrial Macroeconomic: Manufacturing: Petroleum and Coal: Petroleum Refineries: High Zero-Carbon Technology Cost</t>
  </si>
  <si>
    <t>AEO.2025.HIGHZTC.ECI_VOS_MANF_REF_NA_NA_NA_BLNY09DLR.A</t>
  </si>
  <si>
    <t>ISM000:fa_OtherPetroleu</t>
  </si>
  <si>
    <t>,ISIC 241,</t>
  </si>
  <si>
    <t>Other Petroleum and Coal Products</t>
  </si>
  <si>
    <t>Industrial Macroeconomic: Manufacturing: Petroleum and Coal: Other Petroleum &amp; Coal Products: High Zero-Carbon Technology Cost</t>
  </si>
  <si>
    <t>AEO.2025.HIGHZTC.ECI_VOS_MANF_PCLO_NA_NA_NA_BLNY09DLR.A</t>
  </si>
  <si>
    <t>ISM000:fa_RubberandMisc</t>
  </si>
  <si>
    <t>,ISIC 22,</t>
  </si>
  <si>
    <t>Plastics and Rubber Products</t>
  </si>
  <si>
    <t>Industrial Macroeconomic: Manufacturing: Plastics and Rubber Products: High Zero-Carbon Technology Cost</t>
  </si>
  <si>
    <t>AEO.2025.HIGHZTC.ECI_VOS_MANF_PRP_NA_NA_NA_BLNY09DLR.A</t>
  </si>
  <si>
    <t>ISM000:fa_Stone,Clay,an</t>
  </si>
  <si>
    <t>Non-metallic minerals</t>
  </si>
  <si>
    <t>Industrial Macroeconomic: Manufacturing: Stone, Clay, and Glass Products: High Zero-Carbon Technology Cost</t>
  </si>
  <si>
    <t>AEO.2025.HIGHZTC.ECI_VOS_MANF_SCG_NA_NA_NA_BLNY09DLR.A</t>
  </si>
  <si>
    <t>ISM000:fa_GlassandGlass</t>
  </si>
  <si>
    <t>,ISIC 231,</t>
  </si>
  <si>
    <t>Glass and Glass Products</t>
  </si>
  <si>
    <t>Industrial Macroeconomic: Manufacturing: Stone, Clay, and Glass: Glass and Glass Products: High Zero-Carbon Technology Cost</t>
  </si>
  <si>
    <t>AEO.2025.HIGHZTC.ECI_VOS_MANF_SCGG_NA_NA_NA_BLNY09DLR.A</t>
  </si>
  <si>
    <t>ISM000:fa_CementandHydr</t>
  </si>
  <si>
    <t>,ISIC 239,</t>
  </si>
  <si>
    <t>Cement and Lime</t>
  </si>
  <si>
    <t>Industrial Macroeconomic: Manufacturing: Stone, Clay, and Glass: Cement and Lime: High Zero-Carbon Technology Cost</t>
  </si>
  <si>
    <t>AEO.2025.HIGHZTC.ECI_VOS_MANF_SCGCL_NA_NA_NA_BLNY09DLR.A</t>
  </si>
  <si>
    <t>ISM000:fa_OtherStone,Cl</t>
  </si>
  <si>
    <t>Other Nonmetallic Mineral Products</t>
  </si>
  <si>
    <t>Industrial Macroeconomic: Manufacturing: Stone, Clay, and Glass: Other Nonmetallic Mineral Products: High Zero-Carbon Technology Cost</t>
  </si>
  <si>
    <t>AEO.2025.HIGHZTC.ECI_VOS_MANF_SCGOM_NA_NA_NA_BLNY09DLR.A</t>
  </si>
  <si>
    <t>ISM000:ga_PrimaryMetals</t>
  </si>
  <si>
    <t>Primary Metals Industry</t>
  </si>
  <si>
    <t>Industrial Macroeconomic: Manufacturing: Primary Metals Industry: High Zero-Carbon Technology Cost</t>
  </si>
  <si>
    <t>AEO.2025.HIGHZTC.ECI_VOS_MANF_PMM_NA_NA_NA_BLNY09DLR.A</t>
  </si>
  <si>
    <t>ISM000:ga_BlastFurnacea</t>
  </si>
  <si>
    <t>Iron and Steel Mills and Products</t>
  </si>
  <si>
    <t>Industrial Macroeconomic: Manufacturing: Primary Metals: Iron and Steel Mills and Products: High Zero-Carbon Technology Cost</t>
  </si>
  <si>
    <t>AEO.2025.HIGHZTC.ECI_VOS_MANF_ISM_NA_NA_NA_BLNY09DLR.A</t>
  </si>
  <si>
    <t>ISM000:ga_Aluminum</t>
  </si>
  <si>
    <t>,ISIC 242,</t>
  </si>
  <si>
    <t>Alumina and Aluminum Products</t>
  </si>
  <si>
    <t>Industrial Macroeconomic: Manufacturing: Primary Metals: Alumina and Aluminum Products: High Zero-Carbon Technology Cost</t>
  </si>
  <si>
    <t>AEO.2025.HIGHZTC.ECI_VOS_MANF_AAP_NA_NA_NA_BLNY09DLR.A</t>
  </si>
  <si>
    <t>ISM000:ga_OtherPrimaryM</t>
  </si>
  <si>
    <t>Other Primary Metal Products</t>
  </si>
  <si>
    <t>Industrial Macroeconomic: Manufacturing: Primary Metals: Other Primary Metal Products: High Zero-Carbon Technology Cost</t>
  </si>
  <si>
    <t>AEO.2025.HIGHZTC.ECI_VOS_MANF_PMO_NA_NA_NA_BLNY09DLR.A</t>
  </si>
  <si>
    <t>ISM000:ga_FabricatedMet</t>
  </si>
  <si>
    <t>,ISIC 25,</t>
  </si>
  <si>
    <t>Fabricated Metal Products</t>
  </si>
  <si>
    <t>Industrial Macroeconomic: Manufacturing: Fabricated Metal Products: High Zero-Carbon Technology Cost</t>
  </si>
  <si>
    <t>AEO.2025.HIGHZTC.ECI_VOS_MANF_FBP_NA_NA_NA_BLNY09DLR.A</t>
  </si>
  <si>
    <t>ISM000:ga_IndustrialMac</t>
  </si>
  <si>
    <t>,ISIC 28,</t>
  </si>
  <si>
    <t>Machinery</t>
  </si>
  <si>
    <t>Industrial Macroeconomic: Manufacturing: Machinery: High Zero-Carbon Technology Cost</t>
  </si>
  <si>
    <t>AEO.2025.HIGHZTC.ECI_VOS_MANF_MCHI_NA_NA_NA_BLNY09DLR.A</t>
  </si>
  <si>
    <t>ISM000:ga_Electronicand</t>
  </si>
  <si>
    <t>,ISIC 26,</t>
  </si>
  <si>
    <t>Computers and Electronics</t>
  </si>
  <si>
    <t>Industrial Macroeconomic: Manufacturing: Computers and Electronics: High Zero-Carbon Technology Cost</t>
  </si>
  <si>
    <t>AEO.2025.HIGHZTC.ECI_VOS_MANF_CMPEL_NA_NA_NA_BLNY09DLR.A</t>
  </si>
  <si>
    <t>ISM000:ga_Transportatio</t>
  </si>
  <si>
    <t>,ISIC 29,ISIC 302T309,</t>
  </si>
  <si>
    <t>Transportation Equipment</t>
  </si>
  <si>
    <t>Industrial Macroeconomic: Manufacturing: Transportation Equipment: High Zero-Carbon Technology Cost</t>
  </si>
  <si>
    <t>AEO.2025.HIGHZTC.ECI_VOS_MANF_TEQ_NA_NA_NA_BLNY09DLR.A</t>
  </si>
  <si>
    <t>ISM000:ga_Instrumentsan</t>
  </si>
  <si>
    <t>,ISIC 27,</t>
  </si>
  <si>
    <t>Electrical Equipment</t>
  </si>
  <si>
    <t>Industrial Macroeconomic: Manufacturing: Electrical Equipment: High Zero-Carbon Technology Cost</t>
  </si>
  <si>
    <t>AEO.2025.HIGHZTC.ECI_VOS_MANF_EEQ_NA_NA_NA_BLNY09DLR.A</t>
  </si>
  <si>
    <t>ISM000:ga_Miscellaneous</t>
  </si>
  <si>
    <t>Miscellaneous Manufacturing</t>
  </si>
  <si>
    <t>Industrial Macroeconomic: Manufacturing: Miscellaneous Manufacturing: High Zero-Carbon Technology Cost</t>
  </si>
  <si>
    <t>AEO.2025.HIGHZTC.ECI_VOS_MANF_MISC_NA_NA_NA_BLNY09DLR.A</t>
  </si>
  <si>
    <t>ISM000:ha_TotalIndustri</t>
  </si>
  <si>
    <t>Total Industrial Value of Shipments</t>
  </si>
  <si>
    <t>Industrial Macroeconomic: Total Industrial Value of Shipments: High Zero-Carbon Technology Cost</t>
  </si>
  <si>
    <t>AEO.2025.HIGHZTC.ECI_VOS_IDAL_NA_NA_NA_NA_BLNY09DLR.A</t>
  </si>
  <si>
    <t>https://www.eia.gov/outlooks/aeo/data/browser/#/?id=34-AEO2026&amp;cases=electrnp&amp;sourcekey=0</t>
  </si>
  <si>
    <t>Thu Apr 23 2026 15:01:03 GMT-0700 (Pacific Daylight Time)</t>
  </si>
  <si>
    <t>Growth (2025-2050)</t>
  </si>
  <si>
    <t>Industrial Macroeconomic: Gross Domestic Product: Alternative Electricity and Transportation</t>
  </si>
  <si>
    <t>AEO.2026.ELECTRNP.ECI_GDP_NA_NA_NA_NA_NA_BLNY09DLR.A</t>
  </si>
  <si>
    <t>Industrial Macroeconomic: Employment, Nonfarm: Alternative Electricity and Transportation</t>
  </si>
  <si>
    <t>AEO.2026.ELECTRNP.ECI_NFE_NA_NA_NA_NA_NA_MILL.A</t>
  </si>
  <si>
    <t>Industrial Macroeconomic: Nonmanufacturing: Agriculture/Forestry/Fishing/Hunting: Alternative Electricity and Transportation</t>
  </si>
  <si>
    <t>AEO.2026.ELECTRNP.ECI_VOS_NMFG_AFF_NA_NA_NA_BLNY09DLR.A</t>
  </si>
  <si>
    <t>Industrial Macroeconomic: Nonmanufacturing: Mining: Alternative Electricity and Transportation</t>
  </si>
  <si>
    <t>AEO.2026.ELECTRNP.ECI_VOS_NMFG_MING_NA_NA_NA_BLNY09DLR.A</t>
  </si>
  <si>
    <t>Industrial Macroeconomic: Nonmanufacturing: Construction: Alternative Electricity and Transportation</t>
  </si>
  <si>
    <t>AEO.2026.ELECTRNP.ECI_VOS_NMFG_CNS_NA_NA_NA_BLNY09DLR.A</t>
  </si>
  <si>
    <t>Industrial Macroeconomic: Manufacturing: Food Products: Alternative Electricity and Transportation</t>
  </si>
  <si>
    <t>AEO.2026.ELECTRNP.ECI_VOS_MANF_FPA_NA_NA_NA_BLNY09DLR.A</t>
  </si>
  <si>
    <t>Industrial Macroeconomic: Manufacturing: Beverages and Tobacco Products: Alternative Electricity and Transportation</t>
  </si>
  <si>
    <t>AEO.2026.ELECTRNP.ECI_VOS_MANF_BVTP_NA_NA_NA_BLNY09DLR.A</t>
  </si>
  <si>
    <t>Industrial Macroeconomic: Manufacturing: Textile Mills and Products: Alternative Electricity and Transportation</t>
  </si>
  <si>
    <t>AEO.2026.ELECTRNP.ECI_VOS_MANF_TMP_NA_NA_NA_BLNY09DLR.A</t>
  </si>
  <si>
    <t>Industrial Macroeconomic: Manufacturing: Wood Products: Alternative Electricity and Transportation</t>
  </si>
  <si>
    <t>AEO.2026.ELECTRNP.ECI_VOS_MANF_WDP_NA_NA_NA_BLNY09DLR.A</t>
  </si>
  <si>
    <t>Industrial Macroeconomic: Manufacturing: Furniture and Related Products: Alternative Electricity and Transportation</t>
  </si>
  <si>
    <t>AEO.2026.ELECTRNP.ECI_VOS_MANF_FRP_NA_NA_NA_BLNY09DLR.A</t>
  </si>
  <si>
    <t>Industrial Macroeconomic: Manufacturing: Paper Products: Alternative Electricity and Transportation</t>
  </si>
  <si>
    <t>AEO.2026.ELECTRNP.ECI_VOS_MANF_PPM_NA_NA_NA_BLNY09DLR.A</t>
  </si>
  <si>
    <t>Industrial Macroeconomic: Manufacturing: Printing: Alternative Electricity and Transportation</t>
  </si>
  <si>
    <t>AEO.2026.ELECTRNP.ECI_VOS_MANF_PRN_NA_NA_NA_BLNY09DLR.A</t>
  </si>
  <si>
    <t>Industrial Macroeconomic: Manufacturing: Chemical Manufacturing: Alternative Electricity and Transportation</t>
  </si>
  <si>
    <t>AEO.2026.ELECTRNP.ECI_VOS_MANF_CHE_NA_NA_NA_BLNY09DLR.A</t>
  </si>
  <si>
    <t>Industrial Macroeconomic: Manufacturing: Chemicals: Bulk Chemicals: Alternative Electricity and Transportation</t>
  </si>
  <si>
    <t>AEO.2026.ELECTRNP.ECI_VOS_MANF_BCH_NA_NA_NA_BLNY09DLR.A</t>
  </si>
  <si>
    <t>Industrial Macroeconomic: Manufacturing: Chemicals: Bulk Chemicals: Inorganic: Alternative Electricity and Transportation</t>
  </si>
  <si>
    <t>AEO.2026.ELECTRNP.ECI_VOS_MANF_CHEIN_NA_NA_NA_BLNY09DLR.A</t>
  </si>
  <si>
    <t>Industrial Macroeconomic: Manufacturing: Chemicals: Bulk Chemicals: Organic: Alternative Electricity and Transportation</t>
  </si>
  <si>
    <t>AEO.2026.ELECTRNP.ECI_VOS_MANF_CHEOR_NA_NA_NA_BLNY09DLR.A</t>
  </si>
  <si>
    <t>Industrial Macroeconomic: Manufacturing: Chemicals: Bulk Chemicals: Resin, Synthetic Rubber, and Fibers: Alternative Electricity and Transportation</t>
  </si>
  <si>
    <t>AEO.2026.ELECTRNP.ECI_VOS_MANF_CHEBR_NA_NA_NA_BLNY09DLR.A</t>
  </si>
  <si>
    <t>Industrial Macroeconomic: Manufacturing: Chemicals: Bulk Chemicals: Agricultural Chemicals: Alternative Electricity and Transportation</t>
  </si>
  <si>
    <t>AEO.2026.ELECTRNP.ECI_VOS_MANF_AGC_NA_NA_NA_BLNY09DLR.A</t>
  </si>
  <si>
    <t>Industrial Macroeconomic: Manufacturing: Chemicals: Other Chemical Products: Alternative Electricity and Transportation</t>
  </si>
  <si>
    <t>AEO.2026.ELECTRNP.ECI_VOS_MANF_CHEO_NA_NA_NA_BLNY09DLR.A</t>
  </si>
  <si>
    <t>Industrial Macroeconomic: Manufacturing: Petroleum and Coal Products: Alternative Electricity and Transportation</t>
  </si>
  <si>
    <t>AEO.2026.ELECTRNP.ECI_VOS_MANF_PCL_NA_NA_NA_BLNY09DLR.A</t>
  </si>
  <si>
    <t>Industrial Macroeconomic: Manufacturing: Petroleum and Coal: Petroleum Refineries: Alternative Electricity and Transportation</t>
  </si>
  <si>
    <t>AEO.2026.ELECTRNP.ECI_VOS_MANF_REF_NA_NA_NA_BLNY09DLR.A</t>
  </si>
  <si>
    <t>Industrial Macroeconomic: Manufacturing: Petroleum and Coal: Other Petroleum &amp; Coal Products: Alternative Electricity and Transportation</t>
  </si>
  <si>
    <t>AEO.2026.ELECTRNP.ECI_VOS_MANF_PCLO_NA_NA_NA_BLNY09DLR.A</t>
  </si>
  <si>
    <t>Industrial Macroeconomic: Manufacturing: Plastics and Rubber Products: Alternative Electricity and Transportation</t>
  </si>
  <si>
    <t>AEO.2026.ELECTRNP.ECI_VOS_MANF_PRP_NA_NA_NA_BLNY09DLR.A</t>
  </si>
  <si>
    <t>Industrial Macroeconomic: Manufacturing: Stone, Clay, and Glass Products: Alternative Electricity and Transportation</t>
  </si>
  <si>
    <t>AEO.2026.ELECTRNP.ECI_VOS_MANF_SCG_NA_NA_NA_BLNY09DLR.A</t>
  </si>
  <si>
    <t>Industrial Macroeconomic: Manufacturing: Stone, Clay, and Glass: Glass and Glass Products: Alternative Electricity and Transportation</t>
  </si>
  <si>
    <t>AEO.2026.ELECTRNP.ECI_VOS_MANF_SCGG_NA_NA_NA_BLNY09DLR.A</t>
  </si>
  <si>
    <t>Industrial Macroeconomic: Manufacturing: Stone, Clay, and Glass: Cement and Lime: Alternative Electricity and Transportation</t>
  </si>
  <si>
    <t>AEO.2026.ELECTRNP.ECI_VOS_MANF_SCGCL_NA_NA_NA_BLNY09DLR.A</t>
  </si>
  <si>
    <t>Industrial Macroeconomic: Manufacturing: Stone, Clay, and Glass: Other Nonmetallic Mineral Products: Alternative Electricity and Transportation</t>
  </si>
  <si>
    <t>AEO.2026.ELECTRNP.ECI_VOS_MANF_SCGOM_NA_NA_NA_BLNY09DLR.A</t>
  </si>
  <si>
    <t>Industrial Macroeconomic: Manufacturing: Primary Metals Industry: Alternative Electricity and Transportation</t>
  </si>
  <si>
    <t>AEO.2026.ELECTRNP.ECI_VOS_MANF_PMM_NA_NA_NA_BLNY09DLR.A</t>
  </si>
  <si>
    <t>Industrial Macroeconomic: Manufacturing: Primary Metals: Iron and Steel Mills and Products: Alternative Electricity and Transportation</t>
  </si>
  <si>
    <t>AEO.2026.ELECTRNP.ECI_VOS_MANF_ISM_NA_NA_NA_BLNY09DLR.A</t>
  </si>
  <si>
    <t>Industrial Macroeconomic: Manufacturing: Primary Metals: Alumina and Aluminum Products: Alternative Electricity and Transportation</t>
  </si>
  <si>
    <t>AEO.2026.ELECTRNP.ECI_VOS_MANF_AAP_NA_NA_NA_BLNY09DLR.A</t>
  </si>
  <si>
    <t>Industrial Macroeconomic: Manufacturing: Primary Metals: Other Primary Metal Products: Alternative Electricity and Transportation</t>
  </si>
  <si>
    <t>AEO.2026.ELECTRNP.ECI_VOS_MANF_PMO_NA_NA_NA_BLNY09DLR.A</t>
  </si>
  <si>
    <t>Industrial Macroeconomic: Manufacturing: Fabricated Metal Products: Alternative Electricity and Transportation</t>
  </si>
  <si>
    <t>AEO.2026.ELECTRNP.ECI_VOS_MANF_FBP_NA_NA_NA_BLNY09DLR.A</t>
  </si>
  <si>
    <t>Industrial Macroeconomic: Manufacturing: Machinery: Alternative Electricity and Transportation</t>
  </si>
  <si>
    <t>AEO.2026.ELECTRNP.ECI_VOS_MANF_MCHI_NA_NA_NA_BLNY09DLR.A</t>
  </si>
  <si>
    <t>Industrial Macroeconomic: Manufacturing: Computers and Electronics: Alternative Electricity and Transportation</t>
  </si>
  <si>
    <t>AEO.2026.ELECTRNP.ECI_VOS_MANF_CMPEL_NA_NA_NA_BLNY09DLR.A</t>
  </si>
  <si>
    <t>Industrial Macroeconomic: Manufacturing: Transportation Equipment: Alternative Electricity and Transportation</t>
  </si>
  <si>
    <t>AEO.2026.ELECTRNP.ECI_VOS_MANF_TEQ_NA_NA_NA_BLNY09DLR.A</t>
  </si>
  <si>
    <t>Industrial Macroeconomic: Manufacturing: Electrical Equipment: Alternative Electricity and Transportation</t>
  </si>
  <si>
    <t>AEO.2026.ELECTRNP.ECI_VOS_MANF_EEQ_NA_NA_NA_BLNY09DLR.A</t>
  </si>
  <si>
    <t>Industrial Macroeconomic: Manufacturing: Miscellaneous Manufacturing: Alternative Electricity and Transportation</t>
  </si>
  <si>
    <t>AEO.2026.ELECTRNP.ECI_VOS_MANF_MISC_NA_NA_NA_BLNY09DLR.A</t>
  </si>
  <si>
    <t>Industrial Macroeconomic: Total Industrial Value of Shipments: Alternative Electricity and Transportation</t>
  </si>
  <si>
    <t>AEO.2026.ELECTRNP.ECI_VOS_IDAL_NA_NA_NA_NA_BLNY09DLR.A</t>
  </si>
  <si>
    <t>Unit: $ (paste from rebuilt 52-code BVAbIC when available)</t>
  </si>
  <si>
    <t>ISIC 231</t>
  </si>
  <si>
    <t>Value added (basic)</t>
  </si>
  <si>
    <t>Year</t>
  </si>
  <si>
    <t>Value (2012 USD) — pasted from the model's io-model/BGDP.csv (repaste on BGDP update)</t>
  </si>
  <si>
    <t>BLS compound growth 2024-2034 (output-weighted across assigned lines) + AEO year-over-year growth where covered</t>
  </si>
  <si>
    <t>ISIC</t>
  </si>
  <si>
    <t>BLS compound</t>
  </si>
  <si>
    <t>Chosen rates by year (AEO where available, else BLS compound)</t>
  </si>
  <si>
    <t>Per-year scaling factor on non-AEO growth rates, solved in closed form so TOTAL value added tracks the GDP projection in EVERY year (linear solve; no goal-seek). Preserves within-year relative growth differences across non-AEO codes.</t>
  </si>
  <si>
    <t>Target total VA (= VA base total x GDP_y / GDP_2024)</t>
  </si>
  <si>
    <t>Per-year non-AEO scaling factor f_y</t>
  </si>
  <si>
    <t>VA levels (AEO rows at AEO rates; non-AEO at BLS rate x f_y)</t>
  </si>
  <si>
    <t>AEO?</t>
  </si>
  <si>
    <t>AEO</t>
  </si>
  <si>
    <t>Scaled annual growth rates</t>
  </si>
  <si>
    <t>Scaled compounded growth relative to 2024 (-&gt; BPCiObIC)</t>
  </si>
  <si>
    <t>Validation checks</t>
  </si>
  <si>
    <t>GDP fit per year: total VA vs target (should be ~0 in EVERY year — exact by construction of the per-year factor)</t>
  </si>
  <si>
    <t>max |total VA / target - 1| across 2025-2050</t>
  </si>
  <si>
    <t>residual</t>
  </si>
  <si>
    <t>|residual|</t>
  </si>
  <si>
    <t>Per-year factor f_y sanity (large near-term values reflect the GDP path's front-loaded growth)</t>
  </si>
  <si>
    <t>min f_y / max f_y</t>
  </si>
  <si>
    <t>Every code has a growth source (BLS weight sum &gt; 0 or AEO coverage)</t>
  </si>
  <si>
    <t>Unit: dimensionless (% change)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</si>
  <si>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</si>
  <si>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</si>
  <si>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</si>
  <si>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</si>
  <si>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</si>
  <si>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</si>
  <si>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</si>
  <si>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</si>
  <si>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</si>
  <si>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</si>
  <si>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</si>
  <si>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</si>
  <si>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</si>
  <si>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</si>
  <si>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</si>
  <si>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</si>
  <si>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</si>
  <si>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</si>
  <si>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</si>
  <si>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</si>
  <si>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</si>
  <si>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</si>
  <si>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</si>
  <si>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</si>
  <si>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</si>
  <si>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</si>
  <si>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</si>
  <si>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2020</t>
  </si>
  <si>
    <t>2021</t>
  </si>
  <si>
    <t>2022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</si>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</sst>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outlooks/aeo/tables_ref.php" TargetMode="External"/><Relationship Id="rId2" Type="http://schemas.openxmlformats.org/officeDocument/2006/relationships/hyperlink" Target="https://www.eia.gov/outlooks/aeo/tables_ref.php" TargetMode="External"/><Relationship Id="rId1" Type="http://schemas.openxmlformats.org/officeDocument/2006/relationships/hyperlink" Target="https://www.bls.gov/emp/tables/industry-employment-and-output.htm" TargetMode="External"/><Relationship Id="rId4" Type="http://schemas.openxmlformats.org/officeDocument/2006/relationships/hyperlink" Target="https://www.energypolicy.solution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tabSelected="1" workbookViewId="0">
      <selection activeCell="E15" sqref="E15"/>
    </sheetView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2024</v>
      </c>
    </row>
    <row r="7" spans="1:2" x14ac:dyDescent="0.25">
      <c r="B7" s="4" t="s">
        <v>5</v>
      </c>
    </row>
    <row r="8" spans="1:2" ht="30" x14ac:dyDescent="0.25">
      <c r="B8" s="3" t="s">
        <v>6</v>
      </c>
    </row>
    <row r="10" spans="1:2" x14ac:dyDescent="0.25">
      <c r="B10" s="2" t="s">
        <v>7</v>
      </c>
    </row>
    <row r="11" spans="1:2" x14ac:dyDescent="0.25">
      <c r="B11" s="3" t="s">
        <v>8</v>
      </c>
    </row>
    <row r="12" spans="1:2" ht="30" x14ac:dyDescent="0.25">
      <c r="B12" s="3" t="s">
        <v>9</v>
      </c>
    </row>
    <row r="13" spans="1:2" x14ac:dyDescent="0.25">
      <c r="B13" s="3">
        <v>2026</v>
      </c>
    </row>
    <row r="14" spans="1:2" x14ac:dyDescent="0.25">
      <c r="B14" s="4" t="s">
        <v>10</v>
      </c>
    </row>
    <row r="15" spans="1:2" ht="105" x14ac:dyDescent="0.25">
      <c r="B15" s="3" t="s">
        <v>11</v>
      </c>
    </row>
    <row r="17" spans="1:2" x14ac:dyDescent="0.25">
      <c r="B17" s="2" t="s">
        <v>12</v>
      </c>
    </row>
    <row r="18" spans="1:2" x14ac:dyDescent="0.25">
      <c r="B18" s="3" t="s">
        <v>13</v>
      </c>
    </row>
    <row r="19" spans="1:2" ht="30" x14ac:dyDescent="0.25">
      <c r="B19" s="3" t="s">
        <v>14</v>
      </c>
    </row>
    <row r="20" spans="1:2" x14ac:dyDescent="0.25">
      <c r="B20" s="3">
        <v>2026</v>
      </c>
    </row>
    <row r="21" spans="1:2" x14ac:dyDescent="0.25">
      <c r="B21" s="4" t="s">
        <v>10</v>
      </c>
    </row>
    <row r="22" spans="1:2" ht="30" x14ac:dyDescent="0.25">
      <c r="B22" s="3" t="s">
        <v>15</v>
      </c>
    </row>
    <row r="24" spans="1:2" x14ac:dyDescent="0.25">
      <c r="B24" s="2" t="s">
        <v>16</v>
      </c>
    </row>
    <row r="25" spans="1:2" x14ac:dyDescent="0.25">
      <c r="B25" s="3" t="s">
        <v>17</v>
      </c>
    </row>
    <row r="26" spans="1:2" x14ac:dyDescent="0.25">
      <c r="B26" s="3" t="s">
        <v>18</v>
      </c>
    </row>
    <row r="27" spans="1:2" x14ac:dyDescent="0.25">
      <c r="B27" s="3">
        <v>2026</v>
      </c>
    </row>
    <row r="28" spans="1:2" x14ac:dyDescent="0.25">
      <c r="B28" s="4" t="s">
        <v>19</v>
      </c>
    </row>
    <row r="29" spans="1:2" ht="30" x14ac:dyDescent="0.25">
      <c r="B29" s="3" t="s">
        <v>20</v>
      </c>
    </row>
    <row r="32" spans="1:2" x14ac:dyDescent="0.25">
      <c r="A32" s="1" t="s">
        <v>21</v>
      </c>
    </row>
    <row r="33" spans="1:2" ht="75" x14ac:dyDescent="0.25">
      <c r="A33" s="1" t="s">
        <v>22</v>
      </c>
      <c r="B33" s="3" t="s">
        <v>23</v>
      </c>
    </row>
    <row r="34" spans="1:2" ht="75" x14ac:dyDescent="0.25">
      <c r="A34" s="1" t="s">
        <v>24</v>
      </c>
      <c r="B34" s="3" t="s">
        <v>25</v>
      </c>
    </row>
    <row r="35" spans="1:2" ht="45" x14ac:dyDescent="0.25">
      <c r="A35" s="1" t="s">
        <v>26</v>
      </c>
      <c r="B35" s="3" t="s">
        <v>27</v>
      </c>
    </row>
    <row r="36" spans="1:2" x14ac:dyDescent="0.25">
      <c r="A36" s="1" t="s">
        <v>28</v>
      </c>
      <c r="B36" s="3" t="s">
        <v>29</v>
      </c>
    </row>
    <row r="37" spans="1:2" ht="30" x14ac:dyDescent="0.25">
      <c r="A37" s="1" t="s">
        <v>30</v>
      </c>
      <c r="B37" s="3" t="s">
        <v>31</v>
      </c>
    </row>
  </sheetData>
  <hyperlinks>
    <hyperlink ref="B7" r:id="rId1" xr:uid="{00000000-0004-0000-0000-000000000000}"/>
    <hyperlink ref="B14" r:id="rId2" xr:uid="{00000000-0004-0000-0000-000001000000}"/>
    <hyperlink ref="B21" r:id="rId3" xr:uid="{00000000-0004-0000-0000-000002000000}"/>
    <hyperlink ref="B28" r:id="rId4" xr:uid="{00000000-0004-0000-0000-000003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12" x14ac:dyDescent="0.25">
      <c r="A1" t="s">
        <v>32</v>
      </c>
    </row>
    <row r="2" spans="1:12" x14ac:dyDescent="0.25">
      <c r="A2" t="s">
        <v>33</v>
      </c>
      <c r="B2" t="s">
        <v>34</v>
      </c>
      <c r="C2" t="s">
        <v>35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  <c r="I2" t="s">
        <v>41</v>
      </c>
      <c r="J2" t="s">
        <v>42</v>
      </c>
      <c r="K2" t="s">
        <v>43</v>
      </c>
      <c r="L2" s="5" t="s">
        <v>44</v>
      </c>
    </row>
    <row r="3" spans="1:12" x14ac:dyDescent="0.25">
      <c r="A3" t="s">
        <v>45</v>
      </c>
      <c r="B3" t="s">
        <v>46</v>
      </c>
      <c r="C3" t="s">
        <v>47</v>
      </c>
      <c r="D3">
        <v>169956.1</v>
      </c>
      <c r="E3">
        <v>175167.9</v>
      </c>
      <c r="F3">
        <v>5211.8</v>
      </c>
      <c r="G3">
        <v>3.1</v>
      </c>
      <c r="H3">
        <v>0.3</v>
      </c>
      <c r="I3">
        <v>40174.800000000003</v>
      </c>
      <c r="J3">
        <v>48622.400000000001</v>
      </c>
      <c r="K3">
        <v>1.9</v>
      </c>
    </row>
    <row r="4" spans="1:12" x14ac:dyDescent="0.25">
      <c r="A4" t="s">
        <v>48</v>
      </c>
      <c r="B4" t="s">
        <v>49</v>
      </c>
      <c r="C4" t="s">
        <v>50</v>
      </c>
      <c r="D4">
        <v>9906.4</v>
      </c>
      <c r="E4">
        <v>10122.799999999999</v>
      </c>
      <c r="F4">
        <v>216.4</v>
      </c>
      <c r="G4">
        <v>2.2000000000000002</v>
      </c>
      <c r="H4">
        <v>0.2</v>
      </c>
      <c r="I4" t="s">
        <v>51</v>
      </c>
      <c r="J4" t="s">
        <v>51</v>
      </c>
      <c r="K4" t="s">
        <v>51</v>
      </c>
    </row>
    <row r="5" spans="1:12" x14ac:dyDescent="0.25">
      <c r="A5" t="s">
        <v>52</v>
      </c>
      <c r="B5" t="s">
        <v>53</v>
      </c>
      <c r="C5" t="s">
        <v>47</v>
      </c>
      <c r="D5">
        <v>160049.70000000001</v>
      </c>
      <c r="E5">
        <v>165045.1</v>
      </c>
      <c r="F5">
        <v>4995.3999999999996</v>
      </c>
      <c r="G5">
        <v>3.1</v>
      </c>
      <c r="H5">
        <v>0.3</v>
      </c>
      <c r="I5" t="s">
        <v>51</v>
      </c>
      <c r="J5" t="s">
        <v>51</v>
      </c>
      <c r="K5" t="s">
        <v>51</v>
      </c>
    </row>
    <row r="6" spans="1:12" x14ac:dyDescent="0.25">
      <c r="A6" t="s">
        <v>54</v>
      </c>
      <c r="B6" t="s">
        <v>55</v>
      </c>
      <c r="C6" t="s">
        <v>47</v>
      </c>
      <c r="D6">
        <v>1480.7</v>
      </c>
      <c r="E6">
        <v>1482.1</v>
      </c>
      <c r="F6">
        <v>1.4</v>
      </c>
      <c r="G6">
        <v>0.1</v>
      </c>
      <c r="H6">
        <v>0</v>
      </c>
      <c r="I6">
        <v>447.9</v>
      </c>
      <c r="J6">
        <v>538.79999999999995</v>
      </c>
      <c r="K6">
        <v>1.9</v>
      </c>
    </row>
    <row r="7" spans="1:12" x14ac:dyDescent="0.25">
      <c r="A7" t="s">
        <v>56</v>
      </c>
      <c r="B7" t="s">
        <v>57</v>
      </c>
      <c r="C7" t="s">
        <v>50</v>
      </c>
      <c r="D7">
        <v>863.9</v>
      </c>
      <c r="E7">
        <v>881.2</v>
      </c>
      <c r="F7">
        <v>17.3</v>
      </c>
      <c r="G7">
        <v>2</v>
      </c>
      <c r="H7">
        <v>0.2</v>
      </c>
      <c r="I7">
        <v>175.8</v>
      </c>
      <c r="J7">
        <v>201.8</v>
      </c>
      <c r="K7">
        <v>1.4</v>
      </c>
      <c r="L7" t="s">
        <v>58</v>
      </c>
    </row>
    <row r="8" spans="1:12" x14ac:dyDescent="0.25">
      <c r="A8" t="s">
        <v>59</v>
      </c>
      <c r="B8" t="s">
        <v>60</v>
      </c>
      <c r="C8" t="s">
        <v>50</v>
      </c>
      <c r="D8">
        <v>442.4</v>
      </c>
      <c r="E8">
        <v>427.6</v>
      </c>
      <c r="F8">
        <v>-14.8</v>
      </c>
      <c r="G8">
        <v>-3.3</v>
      </c>
      <c r="H8">
        <v>-0.3</v>
      </c>
      <c r="I8">
        <v>220</v>
      </c>
      <c r="J8">
        <v>277.60000000000002</v>
      </c>
      <c r="K8">
        <v>2.4</v>
      </c>
      <c r="L8" t="s">
        <v>58</v>
      </c>
    </row>
    <row r="9" spans="1:12" x14ac:dyDescent="0.25">
      <c r="A9" t="s">
        <v>61</v>
      </c>
      <c r="B9" t="s">
        <v>62</v>
      </c>
      <c r="C9" t="s">
        <v>47</v>
      </c>
      <c r="D9">
        <v>47.2</v>
      </c>
      <c r="E9">
        <v>45.1</v>
      </c>
      <c r="F9">
        <v>-2.1</v>
      </c>
      <c r="G9">
        <v>-4.4000000000000004</v>
      </c>
      <c r="H9">
        <v>-0.5</v>
      </c>
      <c r="I9" t="s">
        <v>51</v>
      </c>
      <c r="J9" t="s">
        <v>51</v>
      </c>
      <c r="K9" t="s">
        <v>51</v>
      </c>
    </row>
    <row r="10" spans="1:12" x14ac:dyDescent="0.25">
      <c r="A10" t="s">
        <v>63</v>
      </c>
      <c r="B10" t="s">
        <v>64</v>
      </c>
      <c r="C10" t="s">
        <v>50</v>
      </c>
      <c r="D10">
        <v>7</v>
      </c>
      <c r="E10">
        <v>6.9</v>
      </c>
      <c r="F10">
        <v>-0.1</v>
      </c>
      <c r="G10">
        <v>-2</v>
      </c>
      <c r="H10">
        <v>-0.1</v>
      </c>
      <c r="I10">
        <v>3.9</v>
      </c>
      <c r="J10">
        <v>4.5999999999999996</v>
      </c>
      <c r="K10">
        <v>1.6</v>
      </c>
      <c r="L10" t="s">
        <v>65</v>
      </c>
    </row>
    <row r="11" spans="1:12" x14ac:dyDescent="0.25">
      <c r="A11" t="s">
        <v>66</v>
      </c>
      <c r="B11" t="s">
        <v>67</v>
      </c>
      <c r="C11" t="s">
        <v>50</v>
      </c>
      <c r="D11">
        <v>40.200000000000003</v>
      </c>
      <c r="E11">
        <v>38.200000000000003</v>
      </c>
      <c r="F11">
        <v>-2</v>
      </c>
      <c r="G11">
        <v>-4.9000000000000004</v>
      </c>
      <c r="H11">
        <v>-0.5</v>
      </c>
      <c r="I11">
        <v>18.899999999999999</v>
      </c>
      <c r="J11">
        <v>22.1</v>
      </c>
      <c r="K11">
        <v>1.6</v>
      </c>
      <c r="L11" t="s">
        <v>65</v>
      </c>
    </row>
    <row r="12" spans="1:12" x14ac:dyDescent="0.25">
      <c r="A12" t="s">
        <v>68</v>
      </c>
      <c r="B12" t="s">
        <v>69</v>
      </c>
      <c r="C12" t="s">
        <v>50</v>
      </c>
      <c r="D12">
        <v>20.9</v>
      </c>
      <c r="E12">
        <v>20.8</v>
      </c>
      <c r="F12">
        <v>-0.1</v>
      </c>
      <c r="G12">
        <v>-0.3</v>
      </c>
      <c r="H12">
        <v>0</v>
      </c>
      <c r="I12">
        <v>7.4</v>
      </c>
      <c r="J12">
        <v>8.6</v>
      </c>
      <c r="K12">
        <v>1.5</v>
      </c>
      <c r="L12" t="s">
        <v>70</v>
      </c>
    </row>
    <row r="13" spans="1:12" x14ac:dyDescent="0.25">
      <c r="A13" t="s">
        <v>71</v>
      </c>
      <c r="B13" t="s">
        <v>72</v>
      </c>
      <c r="C13" t="s">
        <v>50</v>
      </c>
      <c r="D13">
        <v>106.2</v>
      </c>
      <c r="E13">
        <v>107.3</v>
      </c>
      <c r="F13">
        <v>1.1000000000000001</v>
      </c>
      <c r="G13">
        <v>1</v>
      </c>
      <c r="H13">
        <v>0.1</v>
      </c>
      <c r="I13">
        <v>23.6</v>
      </c>
      <c r="J13">
        <v>27.6</v>
      </c>
      <c r="K13">
        <v>1.6</v>
      </c>
      <c r="L13" t="s">
        <v>58</v>
      </c>
    </row>
    <row r="14" spans="1:12" x14ac:dyDescent="0.25">
      <c r="A14" t="s">
        <v>73</v>
      </c>
      <c r="B14" t="s">
        <v>74</v>
      </c>
      <c r="C14" t="s">
        <v>47</v>
      </c>
      <c r="D14">
        <v>586.1</v>
      </c>
      <c r="E14">
        <v>576.79999999999995</v>
      </c>
      <c r="F14">
        <v>-9.3000000000000007</v>
      </c>
      <c r="G14">
        <v>-1.6</v>
      </c>
      <c r="H14">
        <v>-0.2</v>
      </c>
      <c r="I14">
        <v>564.6</v>
      </c>
      <c r="J14">
        <v>634.5</v>
      </c>
      <c r="K14">
        <v>1.2</v>
      </c>
    </row>
    <row r="15" spans="1:12" x14ac:dyDescent="0.25">
      <c r="A15" t="s">
        <v>75</v>
      </c>
      <c r="B15" t="s">
        <v>76</v>
      </c>
      <c r="C15" t="s">
        <v>50</v>
      </c>
      <c r="D15">
        <v>122.5</v>
      </c>
      <c r="E15">
        <v>115.7</v>
      </c>
      <c r="F15">
        <v>-6.8</v>
      </c>
      <c r="G15">
        <v>-5.5</v>
      </c>
      <c r="H15">
        <v>-0.6</v>
      </c>
      <c r="I15">
        <v>383.8</v>
      </c>
      <c r="J15">
        <v>450.7</v>
      </c>
      <c r="K15">
        <v>1.6</v>
      </c>
      <c r="L15" t="s">
        <v>77</v>
      </c>
    </row>
    <row r="16" spans="1:12" x14ac:dyDescent="0.25">
      <c r="A16" t="s">
        <v>78</v>
      </c>
      <c r="B16" t="s">
        <v>79</v>
      </c>
      <c r="C16" t="s">
        <v>47</v>
      </c>
      <c r="D16">
        <v>191.7</v>
      </c>
      <c r="E16">
        <v>182.6</v>
      </c>
      <c r="F16">
        <v>-9.1</v>
      </c>
      <c r="G16">
        <v>-4.7</v>
      </c>
      <c r="H16">
        <v>-0.5</v>
      </c>
      <c r="I16">
        <v>92.8</v>
      </c>
      <c r="J16">
        <v>99.9</v>
      </c>
      <c r="K16">
        <v>0.7</v>
      </c>
    </row>
    <row r="17" spans="1:12" x14ac:dyDescent="0.25">
      <c r="A17" t="s">
        <v>80</v>
      </c>
      <c r="B17" t="s">
        <v>81</v>
      </c>
      <c r="C17" t="s">
        <v>50</v>
      </c>
      <c r="D17">
        <v>42.5</v>
      </c>
      <c r="E17">
        <v>23.2</v>
      </c>
      <c r="F17">
        <v>-19.3</v>
      </c>
      <c r="G17">
        <v>-45.3</v>
      </c>
      <c r="H17">
        <v>-5.9</v>
      </c>
      <c r="I17">
        <v>29.8</v>
      </c>
      <c r="J17">
        <v>24.6</v>
      </c>
      <c r="K17">
        <v>-1.9</v>
      </c>
      <c r="L17" t="s">
        <v>82</v>
      </c>
    </row>
    <row r="18" spans="1:12" x14ac:dyDescent="0.25">
      <c r="A18" t="s">
        <v>83</v>
      </c>
      <c r="B18" t="s">
        <v>84</v>
      </c>
      <c r="C18" t="s">
        <v>50</v>
      </c>
      <c r="D18">
        <v>44.9</v>
      </c>
      <c r="E18">
        <v>48.4</v>
      </c>
      <c r="F18">
        <v>3.5</v>
      </c>
      <c r="G18">
        <v>7.9</v>
      </c>
      <c r="H18">
        <v>0.8</v>
      </c>
      <c r="I18">
        <v>26</v>
      </c>
      <c r="J18">
        <v>33.5</v>
      </c>
      <c r="K18">
        <v>2.6</v>
      </c>
      <c r="L18" t="s">
        <v>85</v>
      </c>
    </row>
    <row r="19" spans="1:12" x14ac:dyDescent="0.25">
      <c r="A19" t="s">
        <v>86</v>
      </c>
      <c r="B19" t="s">
        <v>87</v>
      </c>
      <c r="C19" t="s">
        <v>50</v>
      </c>
      <c r="D19">
        <v>104.3</v>
      </c>
      <c r="E19">
        <v>111</v>
      </c>
      <c r="F19">
        <v>6.7</v>
      </c>
      <c r="G19">
        <v>6.4</v>
      </c>
      <c r="H19">
        <v>0.6</v>
      </c>
      <c r="I19">
        <v>36.9</v>
      </c>
      <c r="J19">
        <v>41.5</v>
      </c>
      <c r="K19">
        <v>1.2</v>
      </c>
      <c r="L19" t="s">
        <v>88</v>
      </c>
    </row>
    <row r="20" spans="1:12" x14ac:dyDescent="0.25">
      <c r="A20" t="s">
        <v>89</v>
      </c>
      <c r="B20" t="s">
        <v>90</v>
      </c>
      <c r="C20" t="s">
        <v>50</v>
      </c>
      <c r="D20">
        <v>271.89999999999998</v>
      </c>
      <c r="E20">
        <v>278.39999999999998</v>
      </c>
      <c r="F20">
        <v>6.5</v>
      </c>
      <c r="G20">
        <v>2.4</v>
      </c>
      <c r="H20">
        <v>0.2</v>
      </c>
      <c r="I20">
        <v>95.6</v>
      </c>
      <c r="J20">
        <v>90.6</v>
      </c>
      <c r="K20">
        <v>-0.5</v>
      </c>
      <c r="L20" t="s">
        <v>91</v>
      </c>
    </row>
    <row r="21" spans="1:12" x14ac:dyDescent="0.25">
      <c r="A21" t="s">
        <v>92</v>
      </c>
      <c r="B21" t="s">
        <v>93</v>
      </c>
      <c r="C21" t="s">
        <v>47</v>
      </c>
      <c r="D21">
        <v>591.29999999999995</v>
      </c>
      <c r="E21">
        <v>620</v>
      </c>
      <c r="F21">
        <v>28.7</v>
      </c>
      <c r="G21">
        <v>4.9000000000000004</v>
      </c>
      <c r="H21">
        <v>0.5</v>
      </c>
      <c r="I21">
        <v>507.1</v>
      </c>
      <c r="J21">
        <v>602.20000000000005</v>
      </c>
      <c r="K21">
        <v>1.7</v>
      </c>
    </row>
    <row r="22" spans="1:12" x14ac:dyDescent="0.25">
      <c r="A22" t="s">
        <v>94</v>
      </c>
      <c r="B22" t="s">
        <v>95</v>
      </c>
      <c r="C22" t="s">
        <v>47</v>
      </c>
      <c r="D22">
        <v>591.29999999999995</v>
      </c>
      <c r="E22">
        <v>620</v>
      </c>
      <c r="F22">
        <v>28.7</v>
      </c>
      <c r="G22">
        <v>4.9000000000000004</v>
      </c>
      <c r="H22">
        <v>0.5</v>
      </c>
      <c r="I22">
        <v>507.1</v>
      </c>
      <c r="J22">
        <v>602.20000000000005</v>
      </c>
      <c r="K22">
        <v>1.7</v>
      </c>
    </row>
    <row r="23" spans="1:12" x14ac:dyDescent="0.25">
      <c r="A23" t="s">
        <v>96</v>
      </c>
      <c r="B23" t="s">
        <v>97</v>
      </c>
      <c r="C23" t="s">
        <v>47</v>
      </c>
      <c r="D23">
        <v>413.1</v>
      </c>
      <c r="E23">
        <v>445.6</v>
      </c>
      <c r="F23">
        <v>32.5</v>
      </c>
      <c r="G23">
        <v>7.9</v>
      </c>
      <c r="H23">
        <v>0.8</v>
      </c>
      <c r="I23">
        <v>411.4</v>
      </c>
      <c r="J23">
        <v>501.2</v>
      </c>
      <c r="K23">
        <v>2</v>
      </c>
      <c r="L23" t="s">
        <v>98</v>
      </c>
    </row>
    <row r="24" spans="1:12" x14ac:dyDescent="0.25">
      <c r="A24" t="s">
        <v>99</v>
      </c>
      <c r="B24" t="s">
        <v>100</v>
      </c>
      <c r="C24" t="s">
        <v>47</v>
      </c>
      <c r="D24">
        <v>157.30000000000001</v>
      </c>
      <c r="E24">
        <v>169.2</v>
      </c>
      <c r="F24">
        <v>11.9</v>
      </c>
      <c r="G24">
        <v>7.6</v>
      </c>
      <c r="H24">
        <v>0.7</v>
      </c>
      <c r="I24" t="s">
        <v>51</v>
      </c>
      <c r="J24" t="s">
        <v>51</v>
      </c>
      <c r="K24" t="s">
        <v>51</v>
      </c>
    </row>
    <row r="25" spans="1:12" x14ac:dyDescent="0.25">
      <c r="A25" t="s">
        <v>101</v>
      </c>
      <c r="B25" t="s">
        <v>102</v>
      </c>
      <c r="C25" t="s">
        <v>50</v>
      </c>
      <c r="D25">
        <v>8.1999999999999993</v>
      </c>
      <c r="E25">
        <v>8.1999999999999993</v>
      </c>
      <c r="F25">
        <v>0</v>
      </c>
      <c r="G25">
        <v>0.4</v>
      </c>
      <c r="H25">
        <v>0</v>
      </c>
      <c r="I25" t="s">
        <v>51</v>
      </c>
      <c r="J25" t="s">
        <v>51</v>
      </c>
      <c r="K25" t="s">
        <v>51</v>
      </c>
    </row>
    <row r="26" spans="1:12" x14ac:dyDescent="0.25">
      <c r="A26" t="s">
        <v>103</v>
      </c>
      <c r="B26" t="s">
        <v>104</v>
      </c>
      <c r="C26" t="s">
        <v>50</v>
      </c>
      <c r="D26">
        <v>74.5</v>
      </c>
      <c r="E26">
        <v>51.5</v>
      </c>
      <c r="F26">
        <v>-23</v>
      </c>
      <c r="G26">
        <v>-30.9</v>
      </c>
      <c r="H26">
        <v>-3.6</v>
      </c>
      <c r="I26" t="s">
        <v>51</v>
      </c>
      <c r="J26" t="s">
        <v>51</v>
      </c>
      <c r="K26" t="s">
        <v>51</v>
      </c>
    </row>
    <row r="27" spans="1:12" x14ac:dyDescent="0.25">
      <c r="A27" t="s">
        <v>105</v>
      </c>
      <c r="B27" t="s">
        <v>106</v>
      </c>
      <c r="C27" t="s">
        <v>50</v>
      </c>
      <c r="D27">
        <v>38.200000000000003</v>
      </c>
      <c r="E27">
        <v>31.5</v>
      </c>
      <c r="F27">
        <v>-6.7</v>
      </c>
      <c r="G27">
        <v>-17.600000000000001</v>
      </c>
      <c r="H27">
        <v>-1.9</v>
      </c>
      <c r="I27" t="s">
        <v>51</v>
      </c>
      <c r="J27" t="s">
        <v>51</v>
      </c>
      <c r="K27" t="s">
        <v>51</v>
      </c>
    </row>
    <row r="28" spans="1:12" x14ac:dyDescent="0.25">
      <c r="A28" t="s">
        <v>107</v>
      </c>
      <c r="B28" t="s">
        <v>108</v>
      </c>
      <c r="C28" t="s">
        <v>50</v>
      </c>
      <c r="D28">
        <v>16.899999999999999</v>
      </c>
      <c r="E28">
        <v>47.2</v>
      </c>
      <c r="F28">
        <v>30.4</v>
      </c>
      <c r="G28">
        <v>180.2</v>
      </c>
      <c r="H28">
        <v>10.8</v>
      </c>
      <c r="I28" t="s">
        <v>51</v>
      </c>
      <c r="J28" t="s">
        <v>51</v>
      </c>
      <c r="K28" t="s">
        <v>51</v>
      </c>
    </row>
    <row r="29" spans="1:12" x14ac:dyDescent="0.25">
      <c r="A29" t="s">
        <v>109</v>
      </c>
      <c r="B29" t="s">
        <v>110</v>
      </c>
      <c r="C29" t="s">
        <v>50</v>
      </c>
      <c r="D29">
        <v>11.2</v>
      </c>
      <c r="E29">
        <v>20.399999999999999</v>
      </c>
      <c r="F29">
        <v>9.1999999999999993</v>
      </c>
      <c r="G29">
        <v>81.400000000000006</v>
      </c>
      <c r="H29">
        <v>6.2</v>
      </c>
      <c r="I29" t="s">
        <v>51</v>
      </c>
      <c r="J29" t="s">
        <v>51</v>
      </c>
      <c r="K29" t="s">
        <v>51</v>
      </c>
    </row>
    <row r="30" spans="1:12" x14ac:dyDescent="0.25">
      <c r="A30" t="s">
        <v>111</v>
      </c>
      <c r="B30" t="s">
        <v>112</v>
      </c>
      <c r="C30" t="s">
        <v>50</v>
      </c>
      <c r="D30">
        <v>1.2</v>
      </c>
      <c r="E30">
        <v>1.6</v>
      </c>
      <c r="F30">
        <v>0.5</v>
      </c>
      <c r="G30">
        <v>41.4</v>
      </c>
      <c r="H30">
        <v>2.9</v>
      </c>
      <c r="I30" t="s">
        <v>51</v>
      </c>
      <c r="J30" t="s">
        <v>51</v>
      </c>
      <c r="K30" t="s">
        <v>51</v>
      </c>
    </row>
    <row r="31" spans="1:12" x14ac:dyDescent="0.25">
      <c r="A31" t="s">
        <v>113</v>
      </c>
      <c r="B31" t="s">
        <v>114</v>
      </c>
      <c r="C31" t="s">
        <v>50</v>
      </c>
      <c r="D31">
        <v>2.4</v>
      </c>
      <c r="E31">
        <v>2.5</v>
      </c>
      <c r="F31">
        <v>0</v>
      </c>
      <c r="G31">
        <v>1.9</v>
      </c>
      <c r="H31">
        <v>0.4</v>
      </c>
      <c r="I31" t="s">
        <v>51</v>
      </c>
      <c r="J31" t="s">
        <v>51</v>
      </c>
      <c r="K31" t="s">
        <v>51</v>
      </c>
    </row>
    <row r="32" spans="1:12" x14ac:dyDescent="0.25">
      <c r="A32" t="s">
        <v>115</v>
      </c>
      <c r="B32" t="s">
        <v>116</v>
      </c>
      <c r="C32" t="s">
        <v>50</v>
      </c>
      <c r="D32">
        <v>4.7</v>
      </c>
      <c r="E32">
        <v>6.2</v>
      </c>
      <c r="F32">
        <v>1.5</v>
      </c>
      <c r="G32">
        <v>32.9</v>
      </c>
      <c r="H32">
        <v>2.8</v>
      </c>
      <c r="I32" t="s">
        <v>51</v>
      </c>
      <c r="J32" t="s">
        <v>51</v>
      </c>
      <c r="K32" t="s">
        <v>51</v>
      </c>
    </row>
    <row r="33" spans="1:12" x14ac:dyDescent="0.25">
      <c r="A33" t="s">
        <v>117</v>
      </c>
      <c r="B33" t="s">
        <v>118</v>
      </c>
      <c r="C33" t="s">
        <v>50</v>
      </c>
      <c r="D33">
        <v>116.1</v>
      </c>
      <c r="E33">
        <v>112.4</v>
      </c>
      <c r="F33">
        <v>-3.7</v>
      </c>
      <c r="G33">
        <v>-3.2</v>
      </c>
      <c r="H33">
        <v>-0.3</v>
      </c>
      <c r="I33">
        <v>80.400000000000006</v>
      </c>
      <c r="J33">
        <v>86.5</v>
      </c>
      <c r="K33">
        <v>0.7</v>
      </c>
      <c r="L33" t="s">
        <v>119</v>
      </c>
    </row>
    <row r="34" spans="1:12" x14ac:dyDescent="0.25">
      <c r="A34" t="s">
        <v>120</v>
      </c>
      <c r="B34" t="s">
        <v>121</v>
      </c>
      <c r="C34" t="s">
        <v>50</v>
      </c>
      <c r="D34">
        <v>62.1</v>
      </c>
      <c r="E34">
        <v>62</v>
      </c>
      <c r="F34">
        <v>-0.1</v>
      </c>
      <c r="G34">
        <v>-0.1</v>
      </c>
      <c r="H34">
        <v>0</v>
      </c>
      <c r="I34">
        <v>15.6</v>
      </c>
      <c r="J34">
        <v>16.3</v>
      </c>
      <c r="K34">
        <v>0.5</v>
      </c>
      <c r="L34" t="s">
        <v>122</v>
      </c>
    </row>
    <row r="35" spans="1:12" x14ac:dyDescent="0.25">
      <c r="A35" t="s">
        <v>123</v>
      </c>
      <c r="B35" t="s">
        <v>124</v>
      </c>
      <c r="C35" t="s">
        <v>47</v>
      </c>
      <c r="D35">
        <v>8211.7000000000007</v>
      </c>
      <c r="E35">
        <v>8572.2000000000007</v>
      </c>
      <c r="F35">
        <v>360.5</v>
      </c>
      <c r="G35">
        <v>4.4000000000000004</v>
      </c>
      <c r="H35">
        <v>0.4</v>
      </c>
      <c r="I35">
        <v>1720.9</v>
      </c>
      <c r="J35">
        <v>1874.7</v>
      </c>
      <c r="K35">
        <v>0.9</v>
      </c>
      <c r="L35" t="s">
        <v>125</v>
      </c>
    </row>
    <row r="36" spans="1:12" x14ac:dyDescent="0.25">
      <c r="A36" t="s">
        <v>126</v>
      </c>
      <c r="B36" t="s">
        <v>127</v>
      </c>
      <c r="C36" t="s">
        <v>47</v>
      </c>
      <c r="D36">
        <v>1853.6</v>
      </c>
      <c r="E36">
        <v>1938.2</v>
      </c>
      <c r="F36">
        <v>84.6</v>
      </c>
      <c r="G36">
        <v>4.5999999999999996</v>
      </c>
      <c r="H36">
        <v>0.4</v>
      </c>
      <c r="I36" t="s">
        <v>51</v>
      </c>
      <c r="J36" t="s">
        <v>51</v>
      </c>
      <c r="K36" t="s">
        <v>51</v>
      </c>
    </row>
    <row r="37" spans="1:12" x14ac:dyDescent="0.25">
      <c r="A37" t="s">
        <v>128</v>
      </c>
      <c r="B37" t="s">
        <v>129</v>
      </c>
      <c r="C37" t="s">
        <v>50</v>
      </c>
      <c r="D37">
        <v>943.1</v>
      </c>
      <c r="E37">
        <v>982.4</v>
      </c>
      <c r="F37">
        <v>39.299999999999997</v>
      </c>
      <c r="G37">
        <v>4.2</v>
      </c>
      <c r="H37">
        <v>0.4</v>
      </c>
      <c r="I37" t="s">
        <v>51</v>
      </c>
      <c r="J37" t="s">
        <v>51</v>
      </c>
      <c r="K37" t="s">
        <v>51</v>
      </c>
    </row>
    <row r="38" spans="1:12" x14ac:dyDescent="0.25">
      <c r="A38" t="s">
        <v>130</v>
      </c>
      <c r="B38" t="s">
        <v>131</v>
      </c>
      <c r="C38" t="s">
        <v>50</v>
      </c>
      <c r="D38">
        <v>910.5</v>
      </c>
      <c r="E38">
        <v>955.8</v>
      </c>
      <c r="F38">
        <v>45.3</v>
      </c>
      <c r="G38">
        <v>5</v>
      </c>
      <c r="H38">
        <v>0.5</v>
      </c>
      <c r="I38" t="s">
        <v>51</v>
      </c>
      <c r="J38" t="s">
        <v>51</v>
      </c>
      <c r="K38" t="s">
        <v>51</v>
      </c>
    </row>
    <row r="39" spans="1:12" x14ac:dyDescent="0.25">
      <c r="A39" t="s">
        <v>132</v>
      </c>
      <c r="B39" t="s">
        <v>133</v>
      </c>
      <c r="C39" t="s">
        <v>47</v>
      </c>
      <c r="D39">
        <v>1154.4000000000001</v>
      </c>
      <c r="E39">
        <v>1206.0999999999999</v>
      </c>
      <c r="F39">
        <v>51.7</v>
      </c>
      <c r="G39">
        <v>4.5</v>
      </c>
      <c r="H39">
        <v>0.4</v>
      </c>
      <c r="I39" t="s">
        <v>51</v>
      </c>
      <c r="J39" t="s">
        <v>51</v>
      </c>
      <c r="K39" t="s">
        <v>51</v>
      </c>
    </row>
    <row r="40" spans="1:12" x14ac:dyDescent="0.25">
      <c r="A40" t="s">
        <v>134</v>
      </c>
      <c r="B40" t="s">
        <v>135</v>
      </c>
      <c r="C40" t="s">
        <v>47</v>
      </c>
      <c r="D40">
        <v>602.79999999999995</v>
      </c>
      <c r="E40">
        <v>634.29999999999995</v>
      </c>
      <c r="F40">
        <v>31.5</v>
      </c>
      <c r="G40">
        <v>5.2</v>
      </c>
      <c r="H40">
        <v>0.5</v>
      </c>
      <c r="I40" t="s">
        <v>51</v>
      </c>
      <c r="J40" t="s">
        <v>51</v>
      </c>
      <c r="K40" t="s">
        <v>51</v>
      </c>
    </row>
    <row r="41" spans="1:12" x14ac:dyDescent="0.25">
      <c r="A41" t="s">
        <v>136</v>
      </c>
      <c r="B41" t="s">
        <v>137</v>
      </c>
      <c r="C41" t="s">
        <v>50</v>
      </c>
      <c r="D41">
        <v>238.4</v>
      </c>
      <c r="E41">
        <v>257.2</v>
      </c>
      <c r="F41">
        <v>18.8</v>
      </c>
      <c r="G41">
        <v>7.9</v>
      </c>
      <c r="H41">
        <v>0.8</v>
      </c>
      <c r="I41" t="s">
        <v>51</v>
      </c>
      <c r="J41" t="s">
        <v>51</v>
      </c>
      <c r="K41" t="s">
        <v>51</v>
      </c>
    </row>
    <row r="42" spans="1:12" x14ac:dyDescent="0.25">
      <c r="A42" t="s">
        <v>138</v>
      </c>
      <c r="B42" t="s">
        <v>139</v>
      </c>
      <c r="C42" t="s">
        <v>50</v>
      </c>
      <c r="D42">
        <v>37.1</v>
      </c>
      <c r="E42">
        <v>37.700000000000003</v>
      </c>
      <c r="F42">
        <v>0.6</v>
      </c>
      <c r="G42">
        <v>1.7</v>
      </c>
      <c r="H42">
        <v>0.2</v>
      </c>
      <c r="I42" t="s">
        <v>51</v>
      </c>
      <c r="J42" t="s">
        <v>51</v>
      </c>
      <c r="K42" t="s">
        <v>51</v>
      </c>
    </row>
    <row r="43" spans="1:12" x14ac:dyDescent="0.25">
      <c r="A43" t="s">
        <v>140</v>
      </c>
      <c r="B43" t="s">
        <v>141</v>
      </c>
      <c r="C43" t="s">
        <v>50</v>
      </c>
      <c r="D43">
        <v>377.9</v>
      </c>
      <c r="E43">
        <v>390.9</v>
      </c>
      <c r="F43">
        <v>13</v>
      </c>
      <c r="G43">
        <v>3.4</v>
      </c>
      <c r="H43">
        <v>0.3</v>
      </c>
      <c r="I43" t="s">
        <v>51</v>
      </c>
      <c r="J43" t="s">
        <v>51</v>
      </c>
      <c r="K43" t="s">
        <v>51</v>
      </c>
    </row>
    <row r="44" spans="1:12" x14ac:dyDescent="0.25">
      <c r="A44" t="s">
        <v>142</v>
      </c>
      <c r="B44" t="s">
        <v>143</v>
      </c>
      <c r="C44" t="s">
        <v>50</v>
      </c>
      <c r="D44">
        <v>136.6</v>
      </c>
      <c r="E44">
        <v>143.19999999999999</v>
      </c>
      <c r="F44">
        <v>6.6</v>
      </c>
      <c r="G44">
        <v>4.8</v>
      </c>
      <c r="H44">
        <v>0.5</v>
      </c>
      <c r="I44" t="s">
        <v>51</v>
      </c>
      <c r="J44" t="s">
        <v>51</v>
      </c>
      <c r="K44" t="s">
        <v>51</v>
      </c>
    </row>
    <row r="45" spans="1:12" x14ac:dyDescent="0.25">
      <c r="A45" t="s">
        <v>144</v>
      </c>
      <c r="B45" t="s">
        <v>145</v>
      </c>
      <c r="C45" t="s">
        <v>47</v>
      </c>
      <c r="D45">
        <v>5203.7</v>
      </c>
      <c r="E45">
        <v>5427.9</v>
      </c>
      <c r="F45">
        <v>224.2</v>
      </c>
      <c r="G45">
        <v>4.3</v>
      </c>
      <c r="H45">
        <v>0.4</v>
      </c>
      <c r="I45" t="s">
        <v>51</v>
      </c>
      <c r="J45" t="s">
        <v>51</v>
      </c>
      <c r="K45" t="s">
        <v>51</v>
      </c>
    </row>
    <row r="46" spans="1:12" x14ac:dyDescent="0.25">
      <c r="A46" t="s">
        <v>146</v>
      </c>
      <c r="B46" t="s">
        <v>147</v>
      </c>
      <c r="C46" t="s">
        <v>47</v>
      </c>
      <c r="D46">
        <v>992.5</v>
      </c>
      <c r="E46">
        <v>1032.0999999999999</v>
      </c>
      <c r="F46">
        <v>39.6</v>
      </c>
      <c r="G46">
        <v>4</v>
      </c>
      <c r="H46">
        <v>0.4</v>
      </c>
      <c r="I46" t="s">
        <v>51</v>
      </c>
      <c r="J46" t="s">
        <v>51</v>
      </c>
      <c r="K46" t="s">
        <v>51</v>
      </c>
    </row>
    <row r="47" spans="1:12" x14ac:dyDescent="0.25">
      <c r="A47" t="s">
        <v>148</v>
      </c>
      <c r="B47" t="s">
        <v>149</v>
      </c>
      <c r="C47" t="s">
        <v>50</v>
      </c>
      <c r="D47">
        <v>258.2</v>
      </c>
      <c r="E47">
        <v>273.5</v>
      </c>
      <c r="F47">
        <v>15.3</v>
      </c>
      <c r="G47">
        <v>5.9</v>
      </c>
      <c r="H47">
        <v>0.6</v>
      </c>
      <c r="I47" t="s">
        <v>51</v>
      </c>
      <c r="J47" t="s">
        <v>51</v>
      </c>
      <c r="K47" t="s">
        <v>51</v>
      </c>
    </row>
    <row r="48" spans="1:12" x14ac:dyDescent="0.25">
      <c r="A48" t="s">
        <v>150</v>
      </c>
      <c r="B48" t="s">
        <v>151</v>
      </c>
      <c r="C48" t="s">
        <v>50</v>
      </c>
      <c r="D48">
        <v>146.1</v>
      </c>
      <c r="E48">
        <v>150</v>
      </c>
      <c r="F48">
        <v>3.9</v>
      </c>
      <c r="G48">
        <v>2.7</v>
      </c>
      <c r="H48">
        <v>0.3</v>
      </c>
      <c r="I48" t="s">
        <v>51</v>
      </c>
      <c r="J48" t="s">
        <v>51</v>
      </c>
      <c r="K48" t="s">
        <v>51</v>
      </c>
    </row>
    <row r="49" spans="1:12" x14ac:dyDescent="0.25">
      <c r="A49" t="s">
        <v>152</v>
      </c>
      <c r="B49" t="s">
        <v>153</v>
      </c>
      <c r="C49" t="s">
        <v>50</v>
      </c>
      <c r="D49">
        <v>249.8</v>
      </c>
      <c r="E49">
        <v>261.5</v>
      </c>
      <c r="F49">
        <v>11.7</v>
      </c>
      <c r="G49">
        <v>4.7</v>
      </c>
      <c r="H49">
        <v>0.5</v>
      </c>
      <c r="I49" t="s">
        <v>51</v>
      </c>
      <c r="J49" t="s">
        <v>51</v>
      </c>
      <c r="K49" t="s">
        <v>51</v>
      </c>
    </row>
    <row r="50" spans="1:12" x14ac:dyDescent="0.25">
      <c r="A50" t="s">
        <v>154</v>
      </c>
      <c r="B50" t="s">
        <v>155</v>
      </c>
      <c r="C50" t="s">
        <v>47</v>
      </c>
      <c r="D50">
        <v>2556.3000000000002</v>
      </c>
      <c r="E50">
        <v>2688.2</v>
      </c>
      <c r="F50">
        <v>131.9</v>
      </c>
      <c r="G50">
        <v>5.2</v>
      </c>
      <c r="H50">
        <v>0.5</v>
      </c>
      <c r="I50" t="s">
        <v>51</v>
      </c>
      <c r="J50" t="s">
        <v>51</v>
      </c>
      <c r="K50" t="s">
        <v>51</v>
      </c>
    </row>
    <row r="51" spans="1:12" x14ac:dyDescent="0.25">
      <c r="A51" t="s">
        <v>156</v>
      </c>
      <c r="B51" t="s">
        <v>157</v>
      </c>
      <c r="C51" t="s">
        <v>50</v>
      </c>
      <c r="D51">
        <v>1095.2</v>
      </c>
      <c r="E51">
        <v>1156.4000000000001</v>
      </c>
      <c r="F51">
        <v>61.2</v>
      </c>
      <c r="G51">
        <v>5.6</v>
      </c>
      <c r="H51">
        <v>0.5</v>
      </c>
      <c r="I51" t="s">
        <v>51</v>
      </c>
      <c r="J51" t="s">
        <v>51</v>
      </c>
      <c r="K51" t="s">
        <v>51</v>
      </c>
    </row>
    <row r="52" spans="1:12" x14ac:dyDescent="0.25">
      <c r="A52" t="s">
        <v>158</v>
      </c>
      <c r="B52" t="s">
        <v>159</v>
      </c>
      <c r="C52" t="s">
        <v>50</v>
      </c>
      <c r="D52">
        <v>1298.3</v>
      </c>
      <c r="E52">
        <v>1361.3</v>
      </c>
      <c r="F52">
        <v>63</v>
      </c>
      <c r="G52">
        <v>4.8</v>
      </c>
      <c r="H52">
        <v>0.5</v>
      </c>
      <c r="I52" t="s">
        <v>51</v>
      </c>
      <c r="J52" t="s">
        <v>51</v>
      </c>
      <c r="K52" t="s">
        <v>51</v>
      </c>
    </row>
    <row r="53" spans="1:12" x14ac:dyDescent="0.25">
      <c r="A53" t="s">
        <v>160</v>
      </c>
      <c r="B53" t="s">
        <v>161</v>
      </c>
      <c r="C53" t="s">
        <v>50</v>
      </c>
      <c r="D53">
        <v>162.80000000000001</v>
      </c>
      <c r="E53">
        <v>170.6</v>
      </c>
      <c r="F53">
        <v>7.8</v>
      </c>
      <c r="G53">
        <v>4.8</v>
      </c>
      <c r="H53">
        <v>0.5</v>
      </c>
      <c r="I53" t="s">
        <v>51</v>
      </c>
      <c r="J53" t="s">
        <v>51</v>
      </c>
      <c r="K53" t="s">
        <v>51</v>
      </c>
    </row>
    <row r="54" spans="1:12" x14ac:dyDescent="0.25">
      <c r="A54" t="s">
        <v>162</v>
      </c>
      <c r="B54" t="s">
        <v>163</v>
      </c>
      <c r="C54" t="s">
        <v>47</v>
      </c>
      <c r="D54">
        <v>849.3</v>
      </c>
      <c r="E54">
        <v>858.9</v>
      </c>
      <c r="F54">
        <v>9.6</v>
      </c>
      <c r="G54">
        <v>1.1000000000000001</v>
      </c>
      <c r="H54">
        <v>0.1</v>
      </c>
      <c r="I54" t="s">
        <v>51</v>
      </c>
      <c r="J54" t="s">
        <v>51</v>
      </c>
      <c r="K54" t="s">
        <v>51</v>
      </c>
    </row>
    <row r="55" spans="1:12" x14ac:dyDescent="0.25">
      <c r="A55" t="s">
        <v>164</v>
      </c>
      <c r="B55" t="s">
        <v>165</v>
      </c>
      <c r="C55" t="s">
        <v>50</v>
      </c>
      <c r="D55">
        <v>247.5</v>
      </c>
      <c r="E55">
        <v>253.7</v>
      </c>
      <c r="F55">
        <v>6.2</v>
      </c>
      <c r="G55">
        <v>2.5</v>
      </c>
      <c r="H55">
        <v>0.2</v>
      </c>
      <c r="I55" t="s">
        <v>51</v>
      </c>
      <c r="J55" t="s">
        <v>51</v>
      </c>
      <c r="K55" t="s">
        <v>51</v>
      </c>
    </row>
    <row r="56" spans="1:12" x14ac:dyDescent="0.25">
      <c r="A56" t="s">
        <v>166</v>
      </c>
      <c r="B56" t="s">
        <v>167</v>
      </c>
      <c r="C56" t="s">
        <v>50</v>
      </c>
      <c r="D56">
        <v>210.3</v>
      </c>
      <c r="E56">
        <v>211.7</v>
      </c>
      <c r="F56">
        <v>1.4</v>
      </c>
      <c r="G56">
        <v>0.7</v>
      </c>
      <c r="H56">
        <v>0.1</v>
      </c>
      <c r="I56" t="s">
        <v>51</v>
      </c>
      <c r="J56" t="s">
        <v>51</v>
      </c>
      <c r="K56" t="s">
        <v>51</v>
      </c>
    </row>
    <row r="57" spans="1:12" x14ac:dyDescent="0.25">
      <c r="A57" t="s">
        <v>168</v>
      </c>
      <c r="B57" t="s">
        <v>169</v>
      </c>
      <c r="C57" t="s">
        <v>50</v>
      </c>
      <c r="D57">
        <v>805.6</v>
      </c>
      <c r="E57">
        <v>848.6</v>
      </c>
      <c r="F57">
        <v>43</v>
      </c>
      <c r="G57">
        <v>5.3</v>
      </c>
      <c r="H57">
        <v>0.5</v>
      </c>
      <c r="I57" t="s">
        <v>51</v>
      </c>
      <c r="J57" t="s">
        <v>51</v>
      </c>
      <c r="K57" t="s">
        <v>51</v>
      </c>
    </row>
    <row r="58" spans="1:12" x14ac:dyDescent="0.25">
      <c r="A58" t="s">
        <v>170</v>
      </c>
      <c r="B58" t="s">
        <v>171</v>
      </c>
      <c r="C58" t="s">
        <v>47</v>
      </c>
      <c r="D58">
        <v>12817.2</v>
      </c>
      <c r="E58">
        <v>12816.8</v>
      </c>
      <c r="F58">
        <v>-0.4</v>
      </c>
      <c r="G58">
        <v>0</v>
      </c>
      <c r="H58">
        <v>0</v>
      </c>
      <c r="I58">
        <v>5696.8</v>
      </c>
      <c r="J58">
        <v>6486.2</v>
      </c>
      <c r="K58">
        <v>1.3</v>
      </c>
    </row>
    <row r="59" spans="1:12" x14ac:dyDescent="0.25">
      <c r="A59" t="s">
        <v>172</v>
      </c>
      <c r="B59" t="s">
        <v>173</v>
      </c>
      <c r="C59" t="s">
        <v>47</v>
      </c>
      <c r="D59">
        <v>1767.6</v>
      </c>
      <c r="E59">
        <v>1860.1</v>
      </c>
      <c r="F59">
        <v>92.5</v>
      </c>
      <c r="G59">
        <v>5.2</v>
      </c>
      <c r="H59">
        <v>0.5</v>
      </c>
      <c r="I59">
        <v>757.1</v>
      </c>
      <c r="J59">
        <v>910.3</v>
      </c>
      <c r="K59">
        <v>1.9</v>
      </c>
      <c r="L59" t="s">
        <v>174</v>
      </c>
    </row>
    <row r="60" spans="1:12" x14ac:dyDescent="0.25">
      <c r="A60" t="s">
        <v>175</v>
      </c>
      <c r="B60" t="s">
        <v>176</v>
      </c>
      <c r="C60" t="s">
        <v>50</v>
      </c>
      <c r="D60">
        <v>75.400000000000006</v>
      </c>
      <c r="E60">
        <v>80.599999999999994</v>
      </c>
      <c r="F60">
        <v>5.2</v>
      </c>
      <c r="G60">
        <v>6.9</v>
      </c>
      <c r="H60">
        <v>0.7</v>
      </c>
      <c r="I60">
        <v>50.8</v>
      </c>
      <c r="J60">
        <v>60.7</v>
      </c>
      <c r="K60">
        <v>1.8</v>
      </c>
    </row>
    <row r="61" spans="1:12" x14ac:dyDescent="0.25">
      <c r="A61" t="s">
        <v>177</v>
      </c>
      <c r="B61" t="s">
        <v>178</v>
      </c>
      <c r="C61" t="s">
        <v>50</v>
      </c>
      <c r="D61">
        <v>67.400000000000006</v>
      </c>
      <c r="E61">
        <v>67.7</v>
      </c>
      <c r="F61">
        <v>0.3</v>
      </c>
      <c r="G61">
        <v>0.5</v>
      </c>
      <c r="H61">
        <v>0</v>
      </c>
      <c r="I61">
        <v>81.2</v>
      </c>
      <c r="J61">
        <v>93.9</v>
      </c>
      <c r="K61">
        <v>1.5</v>
      </c>
    </row>
    <row r="62" spans="1:12" x14ac:dyDescent="0.25">
      <c r="A62" t="s">
        <v>179</v>
      </c>
      <c r="B62" t="s">
        <v>180</v>
      </c>
      <c r="C62" t="s">
        <v>50</v>
      </c>
      <c r="D62">
        <v>82.2</v>
      </c>
      <c r="E62">
        <v>84.2</v>
      </c>
      <c r="F62">
        <v>2</v>
      </c>
      <c r="G62">
        <v>2.4</v>
      </c>
      <c r="H62">
        <v>0.2</v>
      </c>
      <c r="I62">
        <v>32.6</v>
      </c>
      <c r="J62">
        <v>35.799999999999997</v>
      </c>
      <c r="K62">
        <v>0.9</v>
      </c>
    </row>
    <row r="63" spans="1:12" x14ac:dyDescent="0.25">
      <c r="A63" t="s">
        <v>181</v>
      </c>
      <c r="B63" t="s">
        <v>182</v>
      </c>
      <c r="C63" t="s">
        <v>50</v>
      </c>
      <c r="D63">
        <v>173.8</v>
      </c>
      <c r="E63">
        <v>172.6</v>
      </c>
      <c r="F63">
        <v>-1.2</v>
      </c>
      <c r="G63">
        <v>-0.7</v>
      </c>
      <c r="H63">
        <v>-0.1</v>
      </c>
      <c r="I63">
        <v>57.1</v>
      </c>
      <c r="J63">
        <v>65.900000000000006</v>
      </c>
      <c r="K63">
        <v>1.4</v>
      </c>
    </row>
    <row r="64" spans="1:12" x14ac:dyDescent="0.25">
      <c r="A64" t="s">
        <v>183</v>
      </c>
      <c r="B64" t="s">
        <v>184</v>
      </c>
      <c r="C64" t="s">
        <v>50</v>
      </c>
      <c r="D64">
        <v>168</v>
      </c>
      <c r="E64">
        <v>178.8</v>
      </c>
      <c r="F64">
        <v>10.8</v>
      </c>
      <c r="G64">
        <v>6.4</v>
      </c>
      <c r="H64">
        <v>0.6</v>
      </c>
      <c r="I64">
        <v>130.4</v>
      </c>
      <c r="J64">
        <v>171.1</v>
      </c>
      <c r="K64">
        <v>2.8</v>
      </c>
    </row>
    <row r="65" spans="1:12" x14ac:dyDescent="0.25">
      <c r="A65" t="s">
        <v>185</v>
      </c>
      <c r="B65" t="s">
        <v>186</v>
      </c>
      <c r="C65" t="s">
        <v>50</v>
      </c>
      <c r="D65">
        <v>556.4</v>
      </c>
      <c r="E65">
        <v>591.79999999999995</v>
      </c>
      <c r="F65">
        <v>35.4</v>
      </c>
      <c r="G65">
        <v>6.4</v>
      </c>
      <c r="H65">
        <v>0.6</v>
      </c>
      <c r="I65">
        <v>221.4</v>
      </c>
      <c r="J65">
        <v>265.10000000000002</v>
      </c>
      <c r="K65">
        <v>1.8</v>
      </c>
    </row>
    <row r="66" spans="1:12" x14ac:dyDescent="0.25">
      <c r="A66" t="s">
        <v>187</v>
      </c>
      <c r="B66" t="s">
        <v>188</v>
      </c>
      <c r="C66" t="s">
        <v>50</v>
      </c>
      <c r="D66">
        <v>31.5</v>
      </c>
      <c r="E66">
        <v>30.7</v>
      </c>
      <c r="F66">
        <v>-0.8</v>
      </c>
      <c r="G66">
        <v>-2.5</v>
      </c>
      <c r="H66">
        <v>-0.3</v>
      </c>
      <c r="I66">
        <v>12.2</v>
      </c>
      <c r="J66">
        <v>14</v>
      </c>
      <c r="K66">
        <v>1.3</v>
      </c>
    </row>
    <row r="67" spans="1:12" x14ac:dyDescent="0.25">
      <c r="A67" t="s">
        <v>189</v>
      </c>
      <c r="B67" t="s">
        <v>190</v>
      </c>
      <c r="C67" t="s">
        <v>50</v>
      </c>
      <c r="D67">
        <v>350.4</v>
      </c>
      <c r="E67">
        <v>369.2</v>
      </c>
      <c r="F67">
        <v>18.8</v>
      </c>
      <c r="G67">
        <v>5.4</v>
      </c>
      <c r="H67">
        <v>0.5</v>
      </c>
      <c r="I67">
        <v>62.1</v>
      </c>
      <c r="J67">
        <v>74.400000000000006</v>
      </c>
      <c r="K67">
        <v>1.8</v>
      </c>
    </row>
    <row r="68" spans="1:12" x14ac:dyDescent="0.25">
      <c r="A68" t="s">
        <v>191</v>
      </c>
      <c r="B68" t="s">
        <v>192</v>
      </c>
      <c r="C68" t="s">
        <v>50</v>
      </c>
      <c r="D68">
        <v>262.5</v>
      </c>
      <c r="E68">
        <v>284.39999999999998</v>
      </c>
      <c r="F68">
        <v>21.9</v>
      </c>
      <c r="G68">
        <v>8.4</v>
      </c>
      <c r="H68">
        <v>0.8</v>
      </c>
      <c r="I68">
        <v>109</v>
      </c>
      <c r="J68">
        <v>131</v>
      </c>
      <c r="K68">
        <v>1.9</v>
      </c>
    </row>
    <row r="69" spans="1:12" x14ac:dyDescent="0.25">
      <c r="A69" t="s">
        <v>193</v>
      </c>
      <c r="B69" t="s">
        <v>194</v>
      </c>
      <c r="C69" t="s">
        <v>47</v>
      </c>
      <c r="D69">
        <v>343.4</v>
      </c>
      <c r="E69">
        <v>379.7</v>
      </c>
      <c r="F69">
        <v>36.299999999999997</v>
      </c>
      <c r="G69">
        <v>10.6</v>
      </c>
      <c r="H69">
        <v>1</v>
      </c>
      <c r="I69">
        <v>181.9</v>
      </c>
      <c r="J69">
        <v>203</v>
      </c>
      <c r="K69">
        <v>1.1000000000000001</v>
      </c>
      <c r="L69" t="s">
        <v>174</v>
      </c>
    </row>
    <row r="70" spans="1:12" x14ac:dyDescent="0.25">
      <c r="A70" t="s">
        <v>195</v>
      </c>
      <c r="B70" t="s">
        <v>196</v>
      </c>
      <c r="C70" t="s">
        <v>50</v>
      </c>
      <c r="D70">
        <v>333</v>
      </c>
      <c r="E70">
        <v>370.8</v>
      </c>
      <c r="F70">
        <v>37.799999999999997</v>
      </c>
      <c r="G70">
        <v>11.4</v>
      </c>
      <c r="H70">
        <v>1.1000000000000001</v>
      </c>
      <c r="I70">
        <v>115.7</v>
      </c>
      <c r="J70">
        <v>150.5</v>
      </c>
      <c r="K70">
        <v>2.7</v>
      </c>
    </row>
    <row r="71" spans="1:12" x14ac:dyDescent="0.25">
      <c r="A71" t="s">
        <v>197</v>
      </c>
      <c r="B71" t="s">
        <v>198</v>
      </c>
      <c r="C71" t="s">
        <v>50</v>
      </c>
      <c r="D71">
        <v>10.4</v>
      </c>
      <c r="E71">
        <v>8.8000000000000007</v>
      </c>
      <c r="F71">
        <v>-1.6</v>
      </c>
      <c r="G71">
        <v>-15</v>
      </c>
      <c r="H71">
        <v>-1.7</v>
      </c>
      <c r="I71">
        <v>65.2</v>
      </c>
      <c r="J71">
        <v>54.6</v>
      </c>
      <c r="K71">
        <v>-1.8</v>
      </c>
    </row>
    <row r="72" spans="1:12" x14ac:dyDescent="0.25">
      <c r="A72" t="s">
        <v>199</v>
      </c>
      <c r="B72" t="s">
        <v>200</v>
      </c>
      <c r="C72" t="s">
        <v>50</v>
      </c>
      <c r="D72">
        <v>86.6</v>
      </c>
      <c r="E72">
        <v>78.3</v>
      </c>
      <c r="F72">
        <v>-8.3000000000000007</v>
      </c>
      <c r="G72">
        <v>-9.5</v>
      </c>
      <c r="H72">
        <v>-1</v>
      </c>
      <c r="I72">
        <v>19.399999999999999</v>
      </c>
      <c r="J72">
        <v>20</v>
      </c>
      <c r="K72">
        <v>0.3</v>
      </c>
      <c r="L72" t="s">
        <v>201</v>
      </c>
    </row>
    <row r="73" spans="1:12" x14ac:dyDescent="0.25">
      <c r="A73" t="s">
        <v>202</v>
      </c>
      <c r="B73" t="s">
        <v>203</v>
      </c>
      <c r="C73" t="s">
        <v>50</v>
      </c>
      <c r="D73">
        <v>99.5</v>
      </c>
      <c r="E73">
        <v>89</v>
      </c>
      <c r="F73">
        <v>-10.5</v>
      </c>
      <c r="G73">
        <v>-10.5</v>
      </c>
      <c r="H73">
        <v>-1.1000000000000001</v>
      </c>
      <c r="I73">
        <v>21</v>
      </c>
      <c r="J73">
        <v>21.9</v>
      </c>
      <c r="K73">
        <v>0.4</v>
      </c>
      <c r="L73" t="s">
        <v>201</v>
      </c>
    </row>
    <row r="74" spans="1:12" x14ac:dyDescent="0.25">
      <c r="A74" t="s">
        <v>204</v>
      </c>
      <c r="B74" t="s">
        <v>205</v>
      </c>
      <c r="C74" t="s">
        <v>50</v>
      </c>
      <c r="D74">
        <v>84.5</v>
      </c>
      <c r="E74">
        <v>58.8</v>
      </c>
      <c r="F74">
        <v>-25.7</v>
      </c>
      <c r="G74">
        <v>-30.4</v>
      </c>
      <c r="H74">
        <v>-3.6</v>
      </c>
      <c r="I74">
        <v>12.3</v>
      </c>
      <c r="J74">
        <v>10.1</v>
      </c>
      <c r="K74">
        <v>-1.9</v>
      </c>
      <c r="L74" t="s">
        <v>201</v>
      </c>
    </row>
    <row r="75" spans="1:12" x14ac:dyDescent="0.25">
      <c r="A75" t="s">
        <v>206</v>
      </c>
      <c r="B75" t="s">
        <v>207</v>
      </c>
      <c r="C75" t="s">
        <v>50</v>
      </c>
      <c r="D75">
        <v>25.1</v>
      </c>
      <c r="E75">
        <v>23.8</v>
      </c>
      <c r="F75">
        <v>-1.3</v>
      </c>
      <c r="G75">
        <v>-5.2</v>
      </c>
      <c r="H75">
        <v>-0.5</v>
      </c>
      <c r="I75">
        <v>11.9</v>
      </c>
      <c r="J75">
        <v>14.2</v>
      </c>
      <c r="K75">
        <v>1.8</v>
      </c>
      <c r="L75" t="s">
        <v>201</v>
      </c>
    </row>
    <row r="76" spans="1:12" x14ac:dyDescent="0.25">
      <c r="A76" t="s">
        <v>208</v>
      </c>
      <c r="B76" t="s">
        <v>209</v>
      </c>
      <c r="C76" t="s">
        <v>47</v>
      </c>
      <c r="D76">
        <v>417</v>
      </c>
      <c r="E76">
        <v>417.6</v>
      </c>
      <c r="F76">
        <v>0.6</v>
      </c>
      <c r="G76">
        <v>0.1</v>
      </c>
      <c r="H76">
        <v>0</v>
      </c>
      <c r="I76">
        <v>126.5</v>
      </c>
      <c r="J76">
        <v>150.1</v>
      </c>
      <c r="K76">
        <v>1.7</v>
      </c>
      <c r="L76" t="s">
        <v>210</v>
      </c>
    </row>
    <row r="77" spans="1:12" x14ac:dyDescent="0.25">
      <c r="A77" t="s">
        <v>211</v>
      </c>
      <c r="B77" t="s">
        <v>212</v>
      </c>
      <c r="C77" t="s">
        <v>50</v>
      </c>
      <c r="D77">
        <v>90.6</v>
      </c>
      <c r="E77">
        <v>89.2</v>
      </c>
      <c r="F77">
        <v>-1.4</v>
      </c>
      <c r="G77">
        <v>-1.6</v>
      </c>
      <c r="H77">
        <v>-0.2</v>
      </c>
      <c r="I77">
        <v>47.2</v>
      </c>
      <c r="J77">
        <v>56.4</v>
      </c>
      <c r="K77">
        <v>1.8</v>
      </c>
    </row>
    <row r="78" spans="1:12" x14ac:dyDescent="0.25">
      <c r="A78" t="s">
        <v>213</v>
      </c>
      <c r="B78" t="s">
        <v>214</v>
      </c>
      <c r="C78" t="s">
        <v>50</v>
      </c>
      <c r="D78">
        <v>82.2</v>
      </c>
      <c r="E78">
        <v>81.3</v>
      </c>
      <c r="F78">
        <v>-0.9</v>
      </c>
      <c r="G78">
        <v>-1.1000000000000001</v>
      </c>
      <c r="H78">
        <v>-0.1</v>
      </c>
      <c r="I78">
        <v>24.3</v>
      </c>
      <c r="J78">
        <v>28.6</v>
      </c>
      <c r="K78">
        <v>1.7</v>
      </c>
    </row>
    <row r="79" spans="1:12" x14ac:dyDescent="0.25">
      <c r="A79" t="s">
        <v>215</v>
      </c>
      <c r="B79" t="s">
        <v>216</v>
      </c>
      <c r="C79" t="s">
        <v>50</v>
      </c>
      <c r="D79">
        <v>244.2</v>
      </c>
      <c r="E79">
        <v>247.1</v>
      </c>
      <c r="F79">
        <v>2.9</v>
      </c>
      <c r="G79">
        <v>1.2</v>
      </c>
      <c r="H79">
        <v>0.1</v>
      </c>
      <c r="I79">
        <v>56.8</v>
      </c>
      <c r="J79">
        <v>67.3</v>
      </c>
      <c r="K79">
        <v>1.7</v>
      </c>
    </row>
    <row r="80" spans="1:12" x14ac:dyDescent="0.25">
      <c r="A80" t="s">
        <v>217</v>
      </c>
      <c r="B80" t="s">
        <v>218</v>
      </c>
      <c r="C80" t="s">
        <v>47</v>
      </c>
      <c r="D80">
        <v>354.6</v>
      </c>
      <c r="E80">
        <v>328.9</v>
      </c>
      <c r="F80">
        <v>-25.7</v>
      </c>
      <c r="G80">
        <v>-7.3</v>
      </c>
      <c r="H80">
        <v>-0.7</v>
      </c>
      <c r="I80">
        <v>163</v>
      </c>
      <c r="J80">
        <v>180.2</v>
      </c>
      <c r="K80">
        <v>1</v>
      </c>
      <c r="L80" t="s">
        <v>219</v>
      </c>
    </row>
    <row r="81" spans="1:12" x14ac:dyDescent="0.25">
      <c r="A81" t="s">
        <v>220</v>
      </c>
      <c r="B81" t="s">
        <v>221</v>
      </c>
      <c r="C81" t="s">
        <v>50</v>
      </c>
      <c r="D81">
        <v>84.7</v>
      </c>
      <c r="E81">
        <v>73.599999999999994</v>
      </c>
      <c r="F81">
        <v>-11.1</v>
      </c>
      <c r="G81">
        <v>-13.1</v>
      </c>
      <c r="H81">
        <v>-1.4</v>
      </c>
      <c r="I81">
        <v>63.9</v>
      </c>
      <c r="J81">
        <v>63.1</v>
      </c>
      <c r="K81">
        <v>-0.1</v>
      </c>
    </row>
    <row r="82" spans="1:12" x14ac:dyDescent="0.25">
      <c r="A82" t="s">
        <v>222</v>
      </c>
      <c r="B82" t="s">
        <v>223</v>
      </c>
      <c r="C82" t="s">
        <v>50</v>
      </c>
      <c r="D82">
        <v>269.89999999999998</v>
      </c>
      <c r="E82">
        <v>255.3</v>
      </c>
      <c r="F82">
        <v>-14.6</v>
      </c>
      <c r="G82">
        <v>-5.4</v>
      </c>
      <c r="H82">
        <v>-0.6</v>
      </c>
      <c r="I82">
        <v>99</v>
      </c>
      <c r="J82">
        <v>116.9</v>
      </c>
      <c r="K82">
        <v>1.7</v>
      </c>
    </row>
    <row r="83" spans="1:12" x14ac:dyDescent="0.25">
      <c r="A83" t="s">
        <v>224</v>
      </c>
      <c r="B83" t="s">
        <v>225</v>
      </c>
      <c r="C83" t="s">
        <v>50</v>
      </c>
      <c r="D83">
        <v>357.2</v>
      </c>
      <c r="E83">
        <v>301.89999999999998</v>
      </c>
      <c r="F83">
        <v>-55.3</v>
      </c>
      <c r="G83">
        <v>-15.5</v>
      </c>
      <c r="H83">
        <v>-1.7</v>
      </c>
      <c r="I83">
        <v>67</v>
      </c>
      <c r="J83">
        <v>71.099999999999994</v>
      </c>
      <c r="K83">
        <v>0.6</v>
      </c>
      <c r="L83" t="s">
        <v>219</v>
      </c>
    </row>
    <row r="84" spans="1:12" x14ac:dyDescent="0.25">
      <c r="A84" t="s">
        <v>226</v>
      </c>
      <c r="B84" t="s">
        <v>227</v>
      </c>
      <c r="C84" t="s">
        <v>50</v>
      </c>
      <c r="D84">
        <v>109.4</v>
      </c>
      <c r="E84">
        <v>106.2</v>
      </c>
      <c r="F84">
        <v>-3.2</v>
      </c>
      <c r="G84">
        <v>-3</v>
      </c>
      <c r="H84">
        <v>-0.3</v>
      </c>
      <c r="I84">
        <v>483.5</v>
      </c>
      <c r="J84">
        <v>535</v>
      </c>
      <c r="K84">
        <v>1</v>
      </c>
      <c r="L84" t="s">
        <v>228</v>
      </c>
    </row>
    <row r="85" spans="1:12" x14ac:dyDescent="0.25">
      <c r="A85" t="s">
        <v>229</v>
      </c>
      <c r="B85" t="s">
        <v>230</v>
      </c>
      <c r="C85" t="s">
        <v>47</v>
      </c>
      <c r="D85">
        <v>897.9</v>
      </c>
      <c r="E85">
        <v>928.9</v>
      </c>
      <c r="F85">
        <v>31</v>
      </c>
      <c r="G85">
        <v>3.5</v>
      </c>
      <c r="H85">
        <v>0.3</v>
      </c>
      <c r="I85">
        <v>849.6</v>
      </c>
      <c r="J85">
        <v>1004</v>
      </c>
      <c r="K85">
        <v>1.7</v>
      </c>
    </row>
    <row r="86" spans="1:12" x14ac:dyDescent="0.25">
      <c r="A86" t="s">
        <v>231</v>
      </c>
      <c r="B86" t="s">
        <v>232</v>
      </c>
      <c r="C86" t="s">
        <v>50</v>
      </c>
      <c r="D86">
        <v>368.7</v>
      </c>
      <c r="E86">
        <v>376.7</v>
      </c>
      <c r="F86">
        <v>8</v>
      </c>
      <c r="G86">
        <v>2.2000000000000002</v>
      </c>
      <c r="H86">
        <v>0.2</v>
      </c>
      <c r="I86">
        <v>390.8</v>
      </c>
      <c r="J86">
        <v>431.5</v>
      </c>
      <c r="K86">
        <v>1</v>
      </c>
      <c r="L86" t="s">
        <v>233</v>
      </c>
    </row>
    <row r="87" spans="1:12" x14ac:dyDescent="0.25">
      <c r="A87" t="s">
        <v>234</v>
      </c>
      <c r="B87" t="s">
        <v>235</v>
      </c>
      <c r="C87" t="s">
        <v>50</v>
      </c>
      <c r="D87">
        <v>178.7</v>
      </c>
      <c r="E87">
        <v>182.7</v>
      </c>
      <c r="F87">
        <v>4</v>
      </c>
      <c r="G87">
        <v>2.2999999999999998</v>
      </c>
      <c r="H87">
        <v>0.2</v>
      </c>
      <c r="I87">
        <v>114.5</v>
      </c>
      <c r="J87">
        <v>139.5</v>
      </c>
      <c r="K87">
        <v>2</v>
      </c>
      <c r="L87" t="s">
        <v>233</v>
      </c>
    </row>
    <row r="88" spans="1:12" x14ac:dyDescent="0.25">
      <c r="A88" t="s">
        <v>236</v>
      </c>
      <c r="B88" t="s">
        <v>237</v>
      </c>
      <c r="C88" t="s">
        <v>50</v>
      </c>
      <c r="D88">
        <v>350.5</v>
      </c>
      <c r="E88">
        <v>369.5</v>
      </c>
      <c r="F88">
        <v>19</v>
      </c>
      <c r="G88">
        <v>5.4</v>
      </c>
      <c r="H88">
        <v>0.5</v>
      </c>
      <c r="I88">
        <v>346.7</v>
      </c>
      <c r="J88">
        <v>438.5</v>
      </c>
      <c r="K88">
        <v>2.4</v>
      </c>
      <c r="L88" t="s">
        <v>238</v>
      </c>
    </row>
    <row r="89" spans="1:12" x14ac:dyDescent="0.25">
      <c r="A89" t="s">
        <v>239</v>
      </c>
      <c r="B89" t="s">
        <v>240</v>
      </c>
      <c r="C89" t="s">
        <v>47</v>
      </c>
      <c r="D89">
        <v>725.1</v>
      </c>
      <c r="E89">
        <v>753.4</v>
      </c>
      <c r="F89">
        <v>28.3</v>
      </c>
      <c r="G89">
        <v>3.9</v>
      </c>
      <c r="H89">
        <v>0.4</v>
      </c>
      <c r="I89">
        <v>229.7</v>
      </c>
      <c r="J89">
        <v>252.1</v>
      </c>
      <c r="K89">
        <v>0.9</v>
      </c>
      <c r="L89" t="s">
        <v>241</v>
      </c>
    </row>
    <row r="90" spans="1:12" x14ac:dyDescent="0.25">
      <c r="A90" t="s">
        <v>242</v>
      </c>
      <c r="B90" t="s">
        <v>243</v>
      </c>
      <c r="C90" t="s">
        <v>50</v>
      </c>
      <c r="D90">
        <v>592.5</v>
      </c>
      <c r="E90">
        <v>618.79999999999995</v>
      </c>
      <c r="F90">
        <v>26.3</v>
      </c>
      <c r="G90">
        <v>4.4000000000000004</v>
      </c>
      <c r="H90">
        <v>0.4</v>
      </c>
      <c r="I90">
        <v>190.7</v>
      </c>
      <c r="J90">
        <v>212.4</v>
      </c>
      <c r="K90">
        <v>1.1000000000000001</v>
      </c>
    </row>
    <row r="91" spans="1:12" x14ac:dyDescent="0.25">
      <c r="A91" t="s">
        <v>244</v>
      </c>
      <c r="B91" t="s">
        <v>245</v>
      </c>
      <c r="C91" t="s">
        <v>50</v>
      </c>
      <c r="D91">
        <v>132.6</v>
      </c>
      <c r="E91">
        <v>134.6</v>
      </c>
      <c r="F91">
        <v>2</v>
      </c>
      <c r="G91">
        <v>1.5</v>
      </c>
      <c r="H91">
        <v>0.1</v>
      </c>
      <c r="I91">
        <v>39.1</v>
      </c>
      <c r="J91">
        <v>39.700000000000003</v>
      </c>
      <c r="K91">
        <v>0.2</v>
      </c>
    </row>
    <row r="92" spans="1:12" x14ac:dyDescent="0.25">
      <c r="A92" t="s">
        <v>246</v>
      </c>
      <c r="B92" t="s">
        <v>247</v>
      </c>
      <c r="C92" t="s">
        <v>50</v>
      </c>
      <c r="D92">
        <v>422.3</v>
      </c>
      <c r="E92">
        <v>429</v>
      </c>
      <c r="F92">
        <v>6.7</v>
      </c>
      <c r="G92">
        <v>1.6</v>
      </c>
      <c r="H92">
        <v>0.2</v>
      </c>
      <c r="I92">
        <v>113.5</v>
      </c>
      <c r="J92">
        <v>132.30000000000001</v>
      </c>
      <c r="K92">
        <v>1.5</v>
      </c>
      <c r="L92" t="s">
        <v>248</v>
      </c>
    </row>
    <row r="93" spans="1:12" x14ac:dyDescent="0.25">
      <c r="A93" t="s">
        <v>249</v>
      </c>
      <c r="B93" t="s">
        <v>250</v>
      </c>
      <c r="C93" t="s">
        <v>47</v>
      </c>
      <c r="D93">
        <v>373.2</v>
      </c>
      <c r="E93">
        <v>360.2</v>
      </c>
      <c r="F93">
        <v>-13</v>
      </c>
      <c r="G93">
        <v>-3.5</v>
      </c>
      <c r="H93">
        <v>-0.4</v>
      </c>
      <c r="I93">
        <v>246.6</v>
      </c>
      <c r="J93">
        <v>287.3</v>
      </c>
      <c r="K93">
        <v>1.5</v>
      </c>
    </row>
    <row r="94" spans="1:12" x14ac:dyDescent="0.25">
      <c r="A94" t="s">
        <v>251</v>
      </c>
      <c r="B94" t="s">
        <v>252</v>
      </c>
      <c r="C94" t="s">
        <v>50</v>
      </c>
      <c r="D94">
        <v>85.6</v>
      </c>
      <c r="E94">
        <v>86.9</v>
      </c>
      <c r="F94">
        <v>1.3</v>
      </c>
      <c r="G94">
        <v>1.5</v>
      </c>
      <c r="H94">
        <v>0.2</v>
      </c>
      <c r="I94">
        <v>103.9</v>
      </c>
      <c r="J94">
        <v>124.3</v>
      </c>
      <c r="K94">
        <v>1.8</v>
      </c>
      <c r="L94" t="s">
        <v>253</v>
      </c>
    </row>
    <row r="95" spans="1:12" x14ac:dyDescent="0.25">
      <c r="A95" t="s">
        <v>254</v>
      </c>
      <c r="B95" t="s">
        <v>255</v>
      </c>
      <c r="C95" t="s">
        <v>50</v>
      </c>
      <c r="D95">
        <v>59.8</v>
      </c>
      <c r="E95">
        <v>60.9</v>
      </c>
      <c r="F95">
        <v>1.1000000000000001</v>
      </c>
      <c r="G95">
        <v>1.9</v>
      </c>
      <c r="H95">
        <v>0.2</v>
      </c>
      <c r="I95">
        <v>25.6</v>
      </c>
      <c r="J95">
        <v>30.9</v>
      </c>
      <c r="K95">
        <v>1.9</v>
      </c>
      <c r="L95" t="s">
        <v>253</v>
      </c>
    </row>
    <row r="96" spans="1:12" x14ac:dyDescent="0.25">
      <c r="A96" t="s">
        <v>256</v>
      </c>
      <c r="B96" t="s">
        <v>257</v>
      </c>
      <c r="C96" t="s">
        <v>50</v>
      </c>
      <c r="D96">
        <v>59.3</v>
      </c>
      <c r="E96">
        <v>58.4</v>
      </c>
      <c r="F96">
        <v>-0.9</v>
      </c>
      <c r="G96">
        <v>-1.5</v>
      </c>
      <c r="H96">
        <v>-0.2</v>
      </c>
      <c r="I96">
        <v>38.1</v>
      </c>
      <c r="J96">
        <v>39.9</v>
      </c>
      <c r="K96">
        <v>0.5</v>
      </c>
      <c r="L96" t="s">
        <v>258</v>
      </c>
    </row>
    <row r="97" spans="1:12" x14ac:dyDescent="0.25">
      <c r="A97" t="s">
        <v>259</v>
      </c>
      <c r="B97" t="s">
        <v>260</v>
      </c>
      <c r="C97" t="s">
        <v>50</v>
      </c>
      <c r="D97">
        <v>62.5</v>
      </c>
      <c r="E97">
        <v>63.6</v>
      </c>
      <c r="F97">
        <v>1.1000000000000001</v>
      </c>
      <c r="G97">
        <v>1.8</v>
      </c>
      <c r="H97">
        <v>0.2</v>
      </c>
      <c r="I97">
        <v>50.3</v>
      </c>
      <c r="J97">
        <v>64.099999999999994</v>
      </c>
      <c r="K97">
        <v>2.4</v>
      </c>
      <c r="L97" t="s">
        <v>258</v>
      </c>
    </row>
    <row r="98" spans="1:12" x14ac:dyDescent="0.25">
      <c r="A98" t="s">
        <v>261</v>
      </c>
      <c r="B98" t="s">
        <v>262</v>
      </c>
      <c r="C98" t="s">
        <v>50</v>
      </c>
      <c r="D98">
        <v>106</v>
      </c>
      <c r="E98">
        <v>90.4</v>
      </c>
      <c r="F98">
        <v>-15.6</v>
      </c>
      <c r="G98">
        <v>-14.7</v>
      </c>
      <c r="H98">
        <v>-1.6</v>
      </c>
      <c r="I98">
        <v>26.9</v>
      </c>
      <c r="J98">
        <v>24.8</v>
      </c>
      <c r="K98">
        <v>-0.8</v>
      </c>
    </row>
    <row r="99" spans="1:12" x14ac:dyDescent="0.25">
      <c r="A99" t="s">
        <v>263</v>
      </c>
      <c r="B99" t="s">
        <v>264</v>
      </c>
      <c r="C99" t="s">
        <v>47</v>
      </c>
      <c r="D99">
        <v>1442.1</v>
      </c>
      <c r="E99">
        <v>1385.3</v>
      </c>
      <c r="F99">
        <v>-56.8</v>
      </c>
      <c r="G99">
        <v>-3.9</v>
      </c>
      <c r="H99">
        <v>-0.4</v>
      </c>
      <c r="I99">
        <v>303.5</v>
      </c>
      <c r="J99">
        <v>329.5</v>
      </c>
      <c r="K99">
        <v>0.8</v>
      </c>
      <c r="L99" t="s">
        <v>265</v>
      </c>
    </row>
    <row r="100" spans="1:12" x14ac:dyDescent="0.25">
      <c r="A100" t="s">
        <v>266</v>
      </c>
      <c r="B100" t="s">
        <v>267</v>
      </c>
      <c r="C100" t="s">
        <v>50</v>
      </c>
      <c r="D100">
        <v>467.8</v>
      </c>
      <c r="E100">
        <v>423.2</v>
      </c>
      <c r="F100">
        <v>-44.6</v>
      </c>
      <c r="G100">
        <v>-9.5</v>
      </c>
      <c r="H100">
        <v>-1</v>
      </c>
      <c r="I100">
        <v>123.8</v>
      </c>
      <c r="J100">
        <v>129.6</v>
      </c>
      <c r="K100">
        <v>0.5</v>
      </c>
    </row>
    <row r="101" spans="1:12" x14ac:dyDescent="0.25">
      <c r="A101" t="s">
        <v>268</v>
      </c>
      <c r="B101" t="s">
        <v>269</v>
      </c>
      <c r="C101" t="s">
        <v>50</v>
      </c>
      <c r="D101">
        <v>511.5</v>
      </c>
      <c r="E101">
        <v>526.29999999999995</v>
      </c>
      <c r="F101">
        <v>14.8</v>
      </c>
      <c r="G101">
        <v>2.9</v>
      </c>
      <c r="H101">
        <v>0.3</v>
      </c>
      <c r="I101">
        <v>97.4</v>
      </c>
      <c r="J101">
        <v>109.1</v>
      </c>
      <c r="K101">
        <v>1.1000000000000001</v>
      </c>
    </row>
    <row r="102" spans="1:12" x14ac:dyDescent="0.25">
      <c r="A102" t="s">
        <v>270</v>
      </c>
      <c r="B102" t="s">
        <v>271</v>
      </c>
      <c r="C102" t="s">
        <v>47</v>
      </c>
      <c r="D102">
        <v>333.2</v>
      </c>
      <c r="E102">
        <v>319.8</v>
      </c>
      <c r="F102">
        <v>-13.4</v>
      </c>
      <c r="G102">
        <v>-4</v>
      </c>
      <c r="H102">
        <v>-0.4</v>
      </c>
      <c r="I102">
        <v>59.1</v>
      </c>
      <c r="J102">
        <v>65.900000000000006</v>
      </c>
      <c r="K102">
        <v>1.1000000000000001</v>
      </c>
    </row>
    <row r="103" spans="1:12" x14ac:dyDescent="0.25">
      <c r="A103" t="s">
        <v>272</v>
      </c>
      <c r="B103" t="s">
        <v>273</v>
      </c>
      <c r="C103" t="s">
        <v>50</v>
      </c>
      <c r="D103">
        <v>259</v>
      </c>
      <c r="E103">
        <v>260.10000000000002</v>
      </c>
      <c r="F103">
        <v>1.1000000000000001</v>
      </c>
      <c r="G103">
        <v>0.4</v>
      </c>
      <c r="H103">
        <v>0</v>
      </c>
      <c r="I103">
        <v>37.1</v>
      </c>
      <c r="J103">
        <v>41.3</v>
      </c>
      <c r="K103">
        <v>1.1000000000000001</v>
      </c>
    </row>
    <row r="104" spans="1:12" x14ac:dyDescent="0.25">
      <c r="A104" t="s">
        <v>274</v>
      </c>
      <c r="B104" t="s">
        <v>275</v>
      </c>
      <c r="C104" t="s">
        <v>50</v>
      </c>
      <c r="D104">
        <v>74.2</v>
      </c>
      <c r="E104">
        <v>59.8</v>
      </c>
      <c r="F104">
        <v>-14.4</v>
      </c>
      <c r="G104">
        <v>-19.5</v>
      </c>
      <c r="H104">
        <v>-2.1</v>
      </c>
      <c r="I104">
        <v>22.2</v>
      </c>
      <c r="J104">
        <v>24.7</v>
      </c>
      <c r="K104">
        <v>1.1000000000000001</v>
      </c>
    </row>
    <row r="105" spans="1:12" x14ac:dyDescent="0.25">
      <c r="A105" t="s">
        <v>276</v>
      </c>
      <c r="B105" t="s">
        <v>277</v>
      </c>
      <c r="C105" t="s">
        <v>50</v>
      </c>
      <c r="D105">
        <v>129.6</v>
      </c>
      <c r="E105">
        <v>115.9</v>
      </c>
      <c r="F105">
        <v>-13.7</v>
      </c>
      <c r="G105">
        <v>-10.6</v>
      </c>
      <c r="H105">
        <v>-1.1000000000000001</v>
      </c>
      <c r="I105">
        <v>25.1</v>
      </c>
      <c r="J105">
        <v>26.1</v>
      </c>
      <c r="K105">
        <v>0.4</v>
      </c>
    </row>
    <row r="106" spans="1:12" x14ac:dyDescent="0.25">
      <c r="A106" t="s">
        <v>278</v>
      </c>
      <c r="B106" t="s">
        <v>279</v>
      </c>
      <c r="C106" t="s">
        <v>47</v>
      </c>
      <c r="D106">
        <v>1118.8</v>
      </c>
      <c r="E106">
        <v>1108.2</v>
      </c>
      <c r="F106">
        <v>-10.6</v>
      </c>
      <c r="G106">
        <v>-0.9</v>
      </c>
      <c r="H106">
        <v>-0.1</v>
      </c>
      <c r="I106">
        <v>330.1</v>
      </c>
      <c r="J106">
        <v>366.9</v>
      </c>
      <c r="K106">
        <v>1.1000000000000001</v>
      </c>
      <c r="L106" t="s">
        <v>280</v>
      </c>
    </row>
    <row r="107" spans="1:12" x14ac:dyDescent="0.25">
      <c r="A107" t="s">
        <v>281</v>
      </c>
      <c r="B107" t="s">
        <v>282</v>
      </c>
      <c r="C107" t="s">
        <v>50</v>
      </c>
      <c r="D107">
        <v>780.2</v>
      </c>
      <c r="E107">
        <v>782.8</v>
      </c>
      <c r="F107">
        <v>2.6</v>
      </c>
      <c r="G107">
        <v>0.3</v>
      </c>
      <c r="H107">
        <v>0</v>
      </c>
      <c r="I107">
        <v>241.2</v>
      </c>
      <c r="J107">
        <v>266.8</v>
      </c>
      <c r="K107">
        <v>1</v>
      </c>
    </row>
    <row r="108" spans="1:12" x14ac:dyDescent="0.25">
      <c r="A108" t="s">
        <v>283</v>
      </c>
      <c r="B108" t="s">
        <v>284</v>
      </c>
      <c r="C108" t="s">
        <v>50</v>
      </c>
      <c r="D108">
        <v>88.7</v>
      </c>
      <c r="E108">
        <v>89.6</v>
      </c>
      <c r="F108">
        <v>0.9</v>
      </c>
      <c r="G108">
        <v>1</v>
      </c>
      <c r="H108">
        <v>0.1</v>
      </c>
      <c r="I108">
        <v>23.5</v>
      </c>
      <c r="J108">
        <v>26.4</v>
      </c>
      <c r="K108">
        <v>1.2</v>
      </c>
    </row>
    <row r="109" spans="1:12" x14ac:dyDescent="0.25">
      <c r="A109" t="s">
        <v>285</v>
      </c>
      <c r="B109" t="s">
        <v>286</v>
      </c>
      <c r="C109" t="s">
        <v>50</v>
      </c>
      <c r="D109">
        <v>157.1</v>
      </c>
      <c r="E109">
        <v>147.4</v>
      </c>
      <c r="F109">
        <v>-9.6999999999999993</v>
      </c>
      <c r="G109">
        <v>-6.2</v>
      </c>
      <c r="H109">
        <v>-0.6</v>
      </c>
      <c r="I109">
        <v>27.3</v>
      </c>
      <c r="J109">
        <v>30.6</v>
      </c>
      <c r="K109">
        <v>1.1000000000000001</v>
      </c>
    </row>
    <row r="110" spans="1:12" x14ac:dyDescent="0.25">
      <c r="A110" t="s">
        <v>287</v>
      </c>
      <c r="B110" t="s">
        <v>288</v>
      </c>
      <c r="C110" t="s">
        <v>50</v>
      </c>
      <c r="D110">
        <v>92.8</v>
      </c>
      <c r="E110">
        <v>88.4</v>
      </c>
      <c r="F110">
        <v>-4.4000000000000004</v>
      </c>
      <c r="G110">
        <v>-4.8</v>
      </c>
      <c r="H110">
        <v>-0.5</v>
      </c>
      <c r="I110">
        <v>38</v>
      </c>
      <c r="J110">
        <v>43.1</v>
      </c>
      <c r="K110">
        <v>1.3</v>
      </c>
    </row>
    <row r="111" spans="1:12" x14ac:dyDescent="0.25">
      <c r="A111" t="s">
        <v>289</v>
      </c>
      <c r="B111" t="s">
        <v>290</v>
      </c>
      <c r="C111" t="s">
        <v>47</v>
      </c>
      <c r="D111">
        <v>1027.7</v>
      </c>
      <c r="E111">
        <v>1077.3</v>
      </c>
      <c r="F111">
        <v>49.6</v>
      </c>
      <c r="G111">
        <v>4.8</v>
      </c>
      <c r="H111">
        <v>0.5</v>
      </c>
      <c r="I111">
        <v>391.5</v>
      </c>
      <c r="J111">
        <v>488.4</v>
      </c>
      <c r="K111">
        <v>2.2000000000000002</v>
      </c>
      <c r="L111" t="s">
        <v>291</v>
      </c>
    </row>
    <row r="112" spans="1:12" x14ac:dyDescent="0.25">
      <c r="A112" t="s">
        <v>292</v>
      </c>
      <c r="B112" t="s">
        <v>293</v>
      </c>
      <c r="C112" t="s">
        <v>50</v>
      </c>
      <c r="D112">
        <v>110.3</v>
      </c>
      <c r="E112">
        <v>111.8</v>
      </c>
      <c r="F112">
        <v>1.5</v>
      </c>
      <c r="G112">
        <v>1.4</v>
      </c>
      <c r="H112">
        <v>0.1</v>
      </c>
      <c r="I112">
        <v>43.5</v>
      </c>
      <c r="J112">
        <v>51</v>
      </c>
      <c r="K112">
        <v>1.6</v>
      </c>
    </row>
    <row r="113" spans="1:12" x14ac:dyDescent="0.25">
      <c r="A113" t="s">
        <v>294</v>
      </c>
      <c r="B113" t="s">
        <v>295</v>
      </c>
      <c r="C113" t="s">
        <v>50</v>
      </c>
      <c r="D113">
        <v>83</v>
      </c>
      <c r="E113">
        <v>77.5</v>
      </c>
      <c r="F113">
        <v>-5.5</v>
      </c>
      <c r="G113">
        <v>-6.6</v>
      </c>
      <c r="H113">
        <v>-0.7</v>
      </c>
      <c r="I113">
        <v>54.5</v>
      </c>
      <c r="J113">
        <v>66.5</v>
      </c>
      <c r="K113">
        <v>2</v>
      </c>
    </row>
    <row r="114" spans="1:12" x14ac:dyDescent="0.25">
      <c r="A114" t="s">
        <v>296</v>
      </c>
      <c r="B114" t="s">
        <v>297</v>
      </c>
      <c r="C114" t="s">
        <v>50</v>
      </c>
      <c r="D114">
        <v>19.100000000000001</v>
      </c>
      <c r="E114">
        <v>18.399999999999999</v>
      </c>
      <c r="F114">
        <v>-0.7</v>
      </c>
      <c r="G114">
        <v>-3.6</v>
      </c>
      <c r="H114">
        <v>-0.4</v>
      </c>
      <c r="I114">
        <v>4.2</v>
      </c>
      <c r="J114">
        <v>5.0999999999999996</v>
      </c>
      <c r="K114">
        <v>2</v>
      </c>
    </row>
    <row r="115" spans="1:12" x14ac:dyDescent="0.25">
      <c r="A115" t="s">
        <v>298</v>
      </c>
      <c r="B115" t="s">
        <v>299</v>
      </c>
      <c r="C115" t="s">
        <v>50</v>
      </c>
      <c r="D115">
        <v>392.3</v>
      </c>
      <c r="E115">
        <v>436.8</v>
      </c>
      <c r="F115">
        <v>44.5</v>
      </c>
      <c r="G115">
        <v>11.4</v>
      </c>
      <c r="H115">
        <v>1.1000000000000001</v>
      </c>
      <c r="I115">
        <v>140.19999999999999</v>
      </c>
      <c r="J115">
        <v>183</v>
      </c>
      <c r="K115">
        <v>2.7</v>
      </c>
    </row>
    <row r="116" spans="1:12" x14ac:dyDescent="0.25">
      <c r="A116" t="s">
        <v>300</v>
      </c>
      <c r="B116" t="s">
        <v>301</v>
      </c>
      <c r="C116" t="s">
        <v>50</v>
      </c>
      <c r="D116">
        <v>412.5</v>
      </c>
      <c r="E116">
        <v>426.5</v>
      </c>
      <c r="F116">
        <v>14</v>
      </c>
      <c r="G116">
        <v>3.4</v>
      </c>
      <c r="H116">
        <v>0.3</v>
      </c>
      <c r="I116">
        <v>149.69999999999999</v>
      </c>
      <c r="J116">
        <v>184.7</v>
      </c>
      <c r="K116">
        <v>2.1</v>
      </c>
    </row>
    <row r="117" spans="1:12" x14ac:dyDescent="0.25">
      <c r="A117" t="s">
        <v>302</v>
      </c>
      <c r="B117" t="s">
        <v>303</v>
      </c>
      <c r="C117" t="s">
        <v>50</v>
      </c>
      <c r="D117">
        <v>10.5</v>
      </c>
      <c r="E117">
        <v>6.2</v>
      </c>
      <c r="F117">
        <v>-4.3</v>
      </c>
      <c r="G117">
        <v>-41.3</v>
      </c>
      <c r="H117">
        <v>-5.0999999999999996</v>
      </c>
      <c r="I117">
        <v>1.7</v>
      </c>
      <c r="J117">
        <v>1.4</v>
      </c>
      <c r="K117">
        <v>-1.9</v>
      </c>
    </row>
    <row r="118" spans="1:12" x14ac:dyDescent="0.25">
      <c r="A118" t="s">
        <v>304</v>
      </c>
      <c r="B118" t="s">
        <v>305</v>
      </c>
      <c r="C118" t="s">
        <v>47</v>
      </c>
      <c r="D118">
        <v>413.3</v>
      </c>
      <c r="E118">
        <v>459.7</v>
      </c>
      <c r="F118">
        <v>46.4</v>
      </c>
      <c r="G118">
        <v>11.2</v>
      </c>
      <c r="H118">
        <v>1.1000000000000001</v>
      </c>
      <c r="I118">
        <v>121.1</v>
      </c>
      <c r="J118">
        <v>143.80000000000001</v>
      </c>
      <c r="K118">
        <v>1.7</v>
      </c>
      <c r="L118" t="s">
        <v>306</v>
      </c>
    </row>
    <row r="119" spans="1:12" x14ac:dyDescent="0.25">
      <c r="A119" t="s">
        <v>307</v>
      </c>
      <c r="B119" t="s">
        <v>308</v>
      </c>
      <c r="C119" t="s">
        <v>50</v>
      </c>
      <c r="D119">
        <v>34.5</v>
      </c>
      <c r="E119">
        <v>30.2</v>
      </c>
      <c r="F119">
        <v>-4.3</v>
      </c>
      <c r="G119">
        <v>-12.3</v>
      </c>
      <c r="H119">
        <v>-1.3</v>
      </c>
      <c r="I119">
        <v>12.1</v>
      </c>
      <c r="J119">
        <v>10.6</v>
      </c>
      <c r="K119">
        <v>-1.3</v>
      </c>
    </row>
    <row r="120" spans="1:12" x14ac:dyDescent="0.25">
      <c r="A120" t="s">
        <v>309</v>
      </c>
      <c r="B120" t="s">
        <v>310</v>
      </c>
      <c r="C120" t="s">
        <v>50</v>
      </c>
      <c r="D120">
        <v>60.1</v>
      </c>
      <c r="E120">
        <v>55.6</v>
      </c>
      <c r="F120">
        <v>-4.5</v>
      </c>
      <c r="G120">
        <v>-7.5</v>
      </c>
      <c r="H120">
        <v>-0.8</v>
      </c>
      <c r="I120">
        <v>21.9</v>
      </c>
      <c r="J120">
        <v>24.1</v>
      </c>
      <c r="K120">
        <v>1</v>
      </c>
    </row>
    <row r="121" spans="1:12" x14ac:dyDescent="0.25">
      <c r="A121" t="s">
        <v>311</v>
      </c>
      <c r="B121" t="s">
        <v>312</v>
      </c>
      <c r="C121" t="s">
        <v>50</v>
      </c>
      <c r="D121">
        <v>153</v>
      </c>
      <c r="E121">
        <v>159.80000000000001</v>
      </c>
      <c r="F121">
        <v>6.8</v>
      </c>
      <c r="G121">
        <v>4.4000000000000004</v>
      </c>
      <c r="H121">
        <v>0.4</v>
      </c>
      <c r="I121">
        <v>38.5</v>
      </c>
      <c r="J121">
        <v>44.6</v>
      </c>
      <c r="K121">
        <v>1.5</v>
      </c>
    </row>
    <row r="122" spans="1:12" x14ac:dyDescent="0.25">
      <c r="A122" t="s">
        <v>313</v>
      </c>
      <c r="B122" t="s">
        <v>314</v>
      </c>
      <c r="C122" t="s">
        <v>50</v>
      </c>
      <c r="D122">
        <v>165.7</v>
      </c>
      <c r="E122">
        <v>214.1</v>
      </c>
      <c r="F122">
        <v>48.4</v>
      </c>
      <c r="G122">
        <v>29.2</v>
      </c>
      <c r="H122">
        <v>2.6</v>
      </c>
      <c r="I122">
        <v>48.5</v>
      </c>
      <c r="J122">
        <v>64</v>
      </c>
      <c r="K122">
        <v>2.8</v>
      </c>
    </row>
    <row r="123" spans="1:12" x14ac:dyDescent="0.25">
      <c r="A123" t="s">
        <v>315</v>
      </c>
      <c r="B123" t="s">
        <v>316</v>
      </c>
      <c r="C123" t="s">
        <v>47</v>
      </c>
      <c r="D123">
        <v>1793.2</v>
      </c>
      <c r="E123">
        <v>1718</v>
      </c>
      <c r="F123">
        <v>-75.2</v>
      </c>
      <c r="G123">
        <v>-4.2</v>
      </c>
      <c r="H123">
        <v>-0.4</v>
      </c>
      <c r="I123">
        <v>1054.5</v>
      </c>
      <c r="J123">
        <v>1122</v>
      </c>
      <c r="K123">
        <v>0.6</v>
      </c>
    </row>
    <row r="124" spans="1:12" x14ac:dyDescent="0.25">
      <c r="A124" t="s">
        <v>317</v>
      </c>
      <c r="B124" t="s">
        <v>318</v>
      </c>
      <c r="C124" t="s">
        <v>50</v>
      </c>
      <c r="D124">
        <v>302</v>
      </c>
      <c r="E124">
        <v>318.2</v>
      </c>
      <c r="F124">
        <v>16.2</v>
      </c>
      <c r="G124">
        <v>5.4</v>
      </c>
      <c r="H124">
        <v>0.5</v>
      </c>
      <c r="I124">
        <v>396.7</v>
      </c>
      <c r="J124">
        <v>437.5</v>
      </c>
      <c r="K124">
        <v>1</v>
      </c>
      <c r="L124" t="s">
        <v>319</v>
      </c>
    </row>
    <row r="125" spans="1:12" x14ac:dyDescent="0.25">
      <c r="A125" t="s">
        <v>320</v>
      </c>
      <c r="B125" t="s">
        <v>321</v>
      </c>
      <c r="C125" t="s">
        <v>50</v>
      </c>
      <c r="D125">
        <v>163.5</v>
      </c>
      <c r="E125">
        <v>169</v>
      </c>
      <c r="F125">
        <v>5.5</v>
      </c>
      <c r="G125">
        <v>3.4</v>
      </c>
      <c r="H125">
        <v>0.3</v>
      </c>
      <c r="I125">
        <v>55</v>
      </c>
      <c r="J125">
        <v>69.599999999999994</v>
      </c>
      <c r="K125">
        <v>2.4</v>
      </c>
      <c r="L125" t="s">
        <v>319</v>
      </c>
    </row>
    <row r="126" spans="1:12" x14ac:dyDescent="0.25">
      <c r="A126" t="s">
        <v>322</v>
      </c>
      <c r="B126" t="s">
        <v>323</v>
      </c>
      <c r="C126" t="s">
        <v>50</v>
      </c>
      <c r="D126">
        <v>553.29999999999995</v>
      </c>
      <c r="E126">
        <v>429.3</v>
      </c>
      <c r="F126">
        <v>-124</v>
      </c>
      <c r="G126">
        <v>-22.4</v>
      </c>
      <c r="H126">
        <v>-2.5</v>
      </c>
      <c r="I126">
        <v>250.8</v>
      </c>
      <c r="J126">
        <v>180.2</v>
      </c>
      <c r="K126">
        <v>-3.3</v>
      </c>
      <c r="L126" t="s">
        <v>319</v>
      </c>
    </row>
    <row r="127" spans="1:12" x14ac:dyDescent="0.25">
      <c r="A127" t="s">
        <v>324</v>
      </c>
      <c r="B127" t="s">
        <v>325</v>
      </c>
      <c r="C127" t="s">
        <v>50</v>
      </c>
      <c r="D127">
        <v>559.1</v>
      </c>
      <c r="E127">
        <v>589.20000000000005</v>
      </c>
      <c r="F127">
        <v>30.1</v>
      </c>
      <c r="G127">
        <v>5.4</v>
      </c>
      <c r="H127">
        <v>0.5</v>
      </c>
      <c r="I127">
        <v>281.60000000000002</v>
      </c>
      <c r="J127">
        <v>343.5</v>
      </c>
      <c r="K127">
        <v>2</v>
      </c>
      <c r="L127" t="s">
        <v>326</v>
      </c>
    </row>
    <row r="128" spans="1:12" x14ac:dyDescent="0.25">
      <c r="A128" t="s">
        <v>327</v>
      </c>
      <c r="B128" t="s">
        <v>328</v>
      </c>
      <c r="C128" t="s">
        <v>50</v>
      </c>
      <c r="D128">
        <v>23.4</v>
      </c>
      <c r="E128">
        <v>20.7</v>
      </c>
      <c r="F128">
        <v>-2.7</v>
      </c>
      <c r="G128">
        <v>-11.5</v>
      </c>
      <c r="H128">
        <v>-1.2</v>
      </c>
      <c r="I128">
        <v>10</v>
      </c>
      <c r="J128">
        <v>10.6</v>
      </c>
      <c r="K128">
        <v>0.6</v>
      </c>
      <c r="L128" t="s">
        <v>326</v>
      </c>
    </row>
    <row r="129" spans="1:12" x14ac:dyDescent="0.25">
      <c r="A129" t="s">
        <v>329</v>
      </c>
      <c r="B129" t="s">
        <v>330</v>
      </c>
      <c r="C129" t="s">
        <v>50</v>
      </c>
      <c r="D129">
        <v>150.5</v>
      </c>
      <c r="E129">
        <v>154.1</v>
      </c>
      <c r="F129">
        <v>3.6</v>
      </c>
      <c r="G129">
        <v>2.4</v>
      </c>
      <c r="H129">
        <v>0.2</v>
      </c>
      <c r="I129">
        <v>40</v>
      </c>
      <c r="J129">
        <v>45.3</v>
      </c>
      <c r="K129">
        <v>1.3</v>
      </c>
      <c r="L129" t="s">
        <v>331</v>
      </c>
    </row>
    <row r="130" spans="1:12" x14ac:dyDescent="0.25">
      <c r="A130" t="s">
        <v>332</v>
      </c>
      <c r="B130" t="s">
        <v>333</v>
      </c>
      <c r="C130" t="s">
        <v>50</v>
      </c>
      <c r="D130">
        <v>41.4</v>
      </c>
      <c r="E130">
        <v>37.5</v>
      </c>
      <c r="F130">
        <v>-3.9</v>
      </c>
      <c r="G130">
        <v>-9.4</v>
      </c>
      <c r="H130">
        <v>-1</v>
      </c>
      <c r="I130">
        <v>23.9</v>
      </c>
      <c r="J130">
        <v>30.9</v>
      </c>
      <c r="K130">
        <v>2.6</v>
      </c>
      <c r="L130" t="s">
        <v>326</v>
      </c>
    </row>
    <row r="131" spans="1:12" x14ac:dyDescent="0.25">
      <c r="A131" t="s">
        <v>334</v>
      </c>
      <c r="B131" t="s">
        <v>335</v>
      </c>
      <c r="C131" t="s">
        <v>47</v>
      </c>
      <c r="D131">
        <v>343.3</v>
      </c>
      <c r="E131">
        <v>325.39999999999998</v>
      </c>
      <c r="F131">
        <v>-17.899999999999999</v>
      </c>
      <c r="G131">
        <v>-5.2</v>
      </c>
      <c r="H131">
        <v>-0.5</v>
      </c>
      <c r="I131">
        <v>61.7</v>
      </c>
      <c r="J131">
        <v>68.400000000000006</v>
      </c>
      <c r="K131">
        <v>1</v>
      </c>
      <c r="L131" t="s">
        <v>336</v>
      </c>
    </row>
    <row r="132" spans="1:12" x14ac:dyDescent="0.25">
      <c r="A132" t="s">
        <v>337</v>
      </c>
      <c r="B132" t="s">
        <v>338</v>
      </c>
      <c r="C132" t="s">
        <v>50</v>
      </c>
      <c r="D132">
        <v>315.2</v>
      </c>
      <c r="E132">
        <v>297.7</v>
      </c>
      <c r="F132">
        <v>-17.5</v>
      </c>
      <c r="G132">
        <v>-5.6</v>
      </c>
      <c r="H132">
        <v>-0.6</v>
      </c>
      <c r="I132">
        <v>54</v>
      </c>
      <c r="J132">
        <v>59.4</v>
      </c>
      <c r="K132">
        <v>1</v>
      </c>
    </row>
    <row r="133" spans="1:12" x14ac:dyDescent="0.25">
      <c r="A133" t="s">
        <v>339</v>
      </c>
      <c r="B133" t="s">
        <v>340</v>
      </c>
      <c r="C133" t="s">
        <v>50</v>
      </c>
      <c r="D133">
        <v>28.1</v>
      </c>
      <c r="E133">
        <v>27.7</v>
      </c>
      <c r="F133">
        <v>-0.4</v>
      </c>
      <c r="G133">
        <v>-1.3</v>
      </c>
      <c r="H133">
        <v>-0.1</v>
      </c>
      <c r="I133">
        <v>7.8</v>
      </c>
      <c r="J133">
        <v>9</v>
      </c>
      <c r="K133">
        <v>1.5</v>
      </c>
    </row>
    <row r="134" spans="1:12" x14ac:dyDescent="0.25">
      <c r="A134" t="s">
        <v>341</v>
      </c>
      <c r="B134" t="s">
        <v>342</v>
      </c>
      <c r="C134" t="s">
        <v>47</v>
      </c>
      <c r="D134">
        <v>615.4</v>
      </c>
      <c r="E134">
        <v>626.9</v>
      </c>
      <c r="F134">
        <v>11.5</v>
      </c>
      <c r="G134">
        <v>1.9</v>
      </c>
      <c r="H134">
        <v>0.2</v>
      </c>
      <c r="I134">
        <v>162.6</v>
      </c>
      <c r="J134">
        <v>192.9</v>
      </c>
      <c r="K134">
        <v>1.7</v>
      </c>
      <c r="L134" t="s">
        <v>336</v>
      </c>
    </row>
    <row r="135" spans="1:12" x14ac:dyDescent="0.25">
      <c r="A135" t="s">
        <v>343</v>
      </c>
      <c r="B135" t="s">
        <v>344</v>
      </c>
      <c r="C135" t="s">
        <v>50</v>
      </c>
      <c r="D135">
        <v>329.7</v>
      </c>
      <c r="E135">
        <v>345.5</v>
      </c>
      <c r="F135">
        <v>15.8</v>
      </c>
      <c r="G135">
        <v>4.8</v>
      </c>
      <c r="H135">
        <v>0.5</v>
      </c>
      <c r="I135">
        <v>101.1</v>
      </c>
      <c r="J135">
        <v>129.9</v>
      </c>
      <c r="K135">
        <v>2.5</v>
      </c>
    </row>
    <row r="136" spans="1:12" x14ac:dyDescent="0.25">
      <c r="A136" t="s">
        <v>345</v>
      </c>
      <c r="B136" t="s">
        <v>346</v>
      </c>
      <c r="C136" t="s">
        <v>47</v>
      </c>
      <c r="D136">
        <v>285.7</v>
      </c>
      <c r="E136">
        <v>281.5</v>
      </c>
      <c r="F136">
        <v>-4.2</v>
      </c>
      <c r="G136">
        <v>-1.5</v>
      </c>
      <c r="H136">
        <v>-0.1</v>
      </c>
      <c r="I136">
        <v>61.8</v>
      </c>
      <c r="J136">
        <v>64.099999999999994</v>
      </c>
      <c r="K136">
        <v>0.4</v>
      </c>
    </row>
    <row r="137" spans="1:12" x14ac:dyDescent="0.25">
      <c r="A137" t="s">
        <v>347</v>
      </c>
      <c r="B137" t="s">
        <v>348</v>
      </c>
      <c r="C137" t="s">
        <v>50</v>
      </c>
      <c r="D137">
        <v>21</v>
      </c>
      <c r="E137">
        <v>15.7</v>
      </c>
      <c r="F137">
        <v>-5.3</v>
      </c>
      <c r="G137">
        <v>-25.3</v>
      </c>
      <c r="H137">
        <v>-2.9</v>
      </c>
      <c r="I137">
        <v>7.3</v>
      </c>
      <c r="J137">
        <v>7.7</v>
      </c>
      <c r="K137">
        <v>0.6</v>
      </c>
    </row>
    <row r="138" spans="1:12" x14ac:dyDescent="0.25">
      <c r="A138" t="s">
        <v>349</v>
      </c>
      <c r="B138" t="s">
        <v>350</v>
      </c>
      <c r="C138" t="s">
        <v>47</v>
      </c>
      <c r="D138">
        <v>6145.4</v>
      </c>
      <c r="E138">
        <v>6354</v>
      </c>
      <c r="F138">
        <v>208.6</v>
      </c>
      <c r="G138">
        <v>3.4</v>
      </c>
      <c r="H138">
        <v>0.3</v>
      </c>
      <c r="I138">
        <v>2177.5</v>
      </c>
      <c r="J138">
        <v>2833.4</v>
      </c>
      <c r="K138">
        <v>2.7</v>
      </c>
      <c r="L138" t="s">
        <v>351</v>
      </c>
    </row>
    <row r="139" spans="1:12" x14ac:dyDescent="0.25">
      <c r="A139" t="s">
        <v>352</v>
      </c>
      <c r="B139" t="s">
        <v>353</v>
      </c>
      <c r="C139" t="s">
        <v>47</v>
      </c>
      <c r="D139">
        <v>3439.6</v>
      </c>
      <c r="E139">
        <v>3583</v>
      </c>
      <c r="F139">
        <v>143.4</v>
      </c>
      <c r="G139">
        <v>4.2</v>
      </c>
      <c r="H139">
        <v>0.4</v>
      </c>
      <c r="I139" t="s">
        <v>51</v>
      </c>
      <c r="J139" t="s">
        <v>51</v>
      </c>
      <c r="K139" t="s">
        <v>51</v>
      </c>
    </row>
    <row r="140" spans="1:12" x14ac:dyDescent="0.25">
      <c r="A140" t="s">
        <v>354</v>
      </c>
      <c r="B140" t="s">
        <v>355</v>
      </c>
      <c r="C140" t="s">
        <v>50</v>
      </c>
      <c r="D140">
        <v>1529.3</v>
      </c>
      <c r="E140">
        <v>1581.5</v>
      </c>
      <c r="F140">
        <v>52.2</v>
      </c>
      <c r="G140">
        <v>3.4</v>
      </c>
      <c r="H140">
        <v>0.3</v>
      </c>
      <c r="I140" t="s">
        <v>51</v>
      </c>
      <c r="J140" t="s">
        <v>51</v>
      </c>
      <c r="K140" t="s">
        <v>51</v>
      </c>
    </row>
    <row r="141" spans="1:12" x14ac:dyDescent="0.25">
      <c r="A141" t="s">
        <v>356</v>
      </c>
      <c r="B141" t="s">
        <v>357</v>
      </c>
      <c r="C141" t="s">
        <v>50</v>
      </c>
      <c r="D141">
        <v>381.1</v>
      </c>
      <c r="E141">
        <v>398.4</v>
      </c>
      <c r="F141">
        <v>17.3</v>
      </c>
      <c r="G141">
        <v>4.5</v>
      </c>
      <c r="H141">
        <v>0.4</v>
      </c>
      <c r="I141" t="s">
        <v>51</v>
      </c>
      <c r="J141" t="s">
        <v>51</v>
      </c>
      <c r="K141" t="s">
        <v>51</v>
      </c>
    </row>
    <row r="142" spans="1:12" x14ac:dyDescent="0.25">
      <c r="A142" t="s">
        <v>358</v>
      </c>
      <c r="B142" t="s">
        <v>359</v>
      </c>
      <c r="C142" t="s">
        <v>50</v>
      </c>
      <c r="D142">
        <v>751.7</v>
      </c>
      <c r="E142">
        <v>794.3</v>
      </c>
      <c r="F142">
        <v>42.6</v>
      </c>
      <c r="G142">
        <v>5.7</v>
      </c>
      <c r="H142">
        <v>0.6</v>
      </c>
      <c r="I142" t="s">
        <v>51</v>
      </c>
      <c r="J142" t="s">
        <v>51</v>
      </c>
      <c r="K142" t="s">
        <v>51</v>
      </c>
    </row>
    <row r="143" spans="1:12" x14ac:dyDescent="0.25">
      <c r="A143" t="s">
        <v>360</v>
      </c>
      <c r="B143" t="s">
        <v>361</v>
      </c>
      <c r="C143" t="s">
        <v>47</v>
      </c>
      <c r="D143">
        <v>777.5</v>
      </c>
      <c r="E143">
        <v>808.9</v>
      </c>
      <c r="F143">
        <v>31.4</v>
      </c>
      <c r="G143">
        <v>4</v>
      </c>
      <c r="H143">
        <v>0.4</v>
      </c>
      <c r="I143" t="s">
        <v>51</v>
      </c>
      <c r="J143" t="s">
        <v>51</v>
      </c>
      <c r="K143" t="s">
        <v>51</v>
      </c>
    </row>
    <row r="144" spans="1:12" x14ac:dyDescent="0.25">
      <c r="A144" t="s">
        <v>362</v>
      </c>
      <c r="B144" t="s">
        <v>363</v>
      </c>
      <c r="C144" t="s">
        <v>50</v>
      </c>
      <c r="D144">
        <v>116.7</v>
      </c>
      <c r="E144">
        <v>116.3</v>
      </c>
      <c r="F144">
        <v>-0.4</v>
      </c>
      <c r="G144">
        <v>-0.4</v>
      </c>
      <c r="H144">
        <v>0</v>
      </c>
      <c r="I144" t="s">
        <v>51</v>
      </c>
      <c r="J144" t="s">
        <v>51</v>
      </c>
      <c r="K144" t="s">
        <v>51</v>
      </c>
    </row>
    <row r="145" spans="1:12" x14ac:dyDescent="0.25">
      <c r="A145" t="s">
        <v>364</v>
      </c>
      <c r="B145" t="s">
        <v>365</v>
      </c>
      <c r="C145" t="s">
        <v>47</v>
      </c>
      <c r="D145">
        <v>2212.9</v>
      </c>
      <c r="E145">
        <v>2271.6</v>
      </c>
      <c r="F145">
        <v>58.7</v>
      </c>
      <c r="G145">
        <v>2.7</v>
      </c>
      <c r="H145">
        <v>0.3</v>
      </c>
      <c r="I145" t="s">
        <v>51</v>
      </c>
      <c r="J145" t="s">
        <v>51</v>
      </c>
      <c r="K145" t="s">
        <v>51</v>
      </c>
    </row>
    <row r="146" spans="1:12" x14ac:dyDescent="0.25">
      <c r="A146" t="s">
        <v>366</v>
      </c>
      <c r="B146" t="s">
        <v>367</v>
      </c>
      <c r="C146" t="s">
        <v>50</v>
      </c>
      <c r="D146">
        <v>1048.3</v>
      </c>
      <c r="E146">
        <v>1087.2</v>
      </c>
      <c r="F146">
        <v>38.9</v>
      </c>
      <c r="G146">
        <v>3.7</v>
      </c>
      <c r="H146">
        <v>0.4</v>
      </c>
      <c r="I146" t="s">
        <v>51</v>
      </c>
      <c r="J146" t="s">
        <v>51</v>
      </c>
      <c r="K146" t="s">
        <v>51</v>
      </c>
    </row>
    <row r="147" spans="1:12" x14ac:dyDescent="0.25">
      <c r="A147" t="s">
        <v>368</v>
      </c>
      <c r="B147" t="s">
        <v>369</v>
      </c>
      <c r="C147" t="s">
        <v>50</v>
      </c>
      <c r="D147">
        <v>409.3</v>
      </c>
      <c r="E147">
        <v>423.8</v>
      </c>
      <c r="F147">
        <v>14.5</v>
      </c>
      <c r="G147">
        <v>3.5</v>
      </c>
      <c r="H147">
        <v>0.3</v>
      </c>
      <c r="I147" t="s">
        <v>51</v>
      </c>
      <c r="J147" t="s">
        <v>51</v>
      </c>
      <c r="K147" t="s">
        <v>51</v>
      </c>
    </row>
    <row r="148" spans="1:12" x14ac:dyDescent="0.25">
      <c r="A148" t="s">
        <v>370</v>
      </c>
      <c r="B148" t="s">
        <v>371</v>
      </c>
      <c r="C148" t="s">
        <v>50</v>
      </c>
      <c r="D148">
        <v>540</v>
      </c>
      <c r="E148">
        <v>546.4</v>
      </c>
      <c r="F148">
        <v>6.4</v>
      </c>
      <c r="G148">
        <v>1.2</v>
      </c>
      <c r="H148">
        <v>0.1</v>
      </c>
      <c r="I148" t="s">
        <v>51</v>
      </c>
      <c r="J148" t="s">
        <v>51</v>
      </c>
      <c r="K148" t="s">
        <v>51</v>
      </c>
    </row>
    <row r="149" spans="1:12" x14ac:dyDescent="0.25">
      <c r="A149" t="s">
        <v>372</v>
      </c>
      <c r="B149" t="s">
        <v>373</v>
      </c>
      <c r="C149" t="s">
        <v>50</v>
      </c>
      <c r="D149">
        <v>141.5</v>
      </c>
      <c r="E149">
        <v>139.80000000000001</v>
      </c>
      <c r="F149">
        <v>-1.7</v>
      </c>
      <c r="G149">
        <v>-1.2</v>
      </c>
      <c r="H149">
        <v>-0.1</v>
      </c>
      <c r="I149" t="s">
        <v>51</v>
      </c>
      <c r="J149" t="s">
        <v>51</v>
      </c>
      <c r="K149" t="s">
        <v>51</v>
      </c>
    </row>
    <row r="150" spans="1:12" x14ac:dyDescent="0.25">
      <c r="A150" t="s">
        <v>374</v>
      </c>
      <c r="B150" t="s">
        <v>375</v>
      </c>
      <c r="C150" t="s">
        <v>50</v>
      </c>
      <c r="D150">
        <v>73.8</v>
      </c>
      <c r="E150">
        <v>74.3</v>
      </c>
      <c r="F150">
        <v>0.5</v>
      </c>
      <c r="G150">
        <v>0.7</v>
      </c>
      <c r="H150">
        <v>0.1</v>
      </c>
      <c r="I150" t="s">
        <v>51</v>
      </c>
      <c r="J150" t="s">
        <v>51</v>
      </c>
      <c r="K150" t="s">
        <v>51</v>
      </c>
    </row>
    <row r="151" spans="1:12" x14ac:dyDescent="0.25">
      <c r="A151" t="s">
        <v>376</v>
      </c>
      <c r="B151" t="s">
        <v>377</v>
      </c>
      <c r="C151" t="s">
        <v>50</v>
      </c>
      <c r="D151">
        <v>492.9</v>
      </c>
      <c r="E151">
        <v>499.4</v>
      </c>
      <c r="F151">
        <v>6.5</v>
      </c>
      <c r="G151">
        <v>1.3</v>
      </c>
      <c r="H151">
        <v>0.1</v>
      </c>
      <c r="I151" t="s">
        <v>51</v>
      </c>
      <c r="J151" t="s">
        <v>51</v>
      </c>
      <c r="K151" t="s">
        <v>51</v>
      </c>
    </row>
    <row r="152" spans="1:12" x14ac:dyDescent="0.25">
      <c r="A152" t="s">
        <v>378</v>
      </c>
      <c r="B152" t="s">
        <v>379</v>
      </c>
      <c r="C152" t="s">
        <v>47</v>
      </c>
      <c r="D152">
        <v>15532</v>
      </c>
      <c r="E152">
        <v>15350.1</v>
      </c>
      <c r="F152">
        <v>-181.9</v>
      </c>
      <c r="G152">
        <v>-1.2</v>
      </c>
      <c r="H152">
        <v>-0.1</v>
      </c>
      <c r="I152">
        <v>2210.6999999999998</v>
      </c>
      <c r="J152">
        <v>2795.2</v>
      </c>
      <c r="K152">
        <v>2.4</v>
      </c>
      <c r="L152" t="s">
        <v>351</v>
      </c>
    </row>
    <row r="153" spans="1:12" x14ac:dyDescent="0.25">
      <c r="A153" t="s">
        <v>380</v>
      </c>
      <c r="B153" t="s">
        <v>381</v>
      </c>
      <c r="C153" t="s">
        <v>47</v>
      </c>
      <c r="D153">
        <v>2050.4</v>
      </c>
      <c r="E153">
        <v>2111.6</v>
      </c>
      <c r="F153">
        <v>61.2</v>
      </c>
      <c r="G153">
        <v>3</v>
      </c>
      <c r="H153">
        <v>0.3</v>
      </c>
      <c r="I153">
        <v>380.8</v>
      </c>
      <c r="J153">
        <v>504.8</v>
      </c>
      <c r="K153">
        <v>2.9</v>
      </c>
    </row>
    <row r="154" spans="1:12" x14ac:dyDescent="0.25">
      <c r="A154" t="s">
        <v>382</v>
      </c>
      <c r="B154" t="s">
        <v>383</v>
      </c>
      <c r="C154" t="s">
        <v>50</v>
      </c>
      <c r="D154">
        <v>1287.3</v>
      </c>
      <c r="E154">
        <v>1322.5</v>
      </c>
      <c r="F154">
        <v>35.200000000000003</v>
      </c>
      <c r="G154">
        <v>2.7</v>
      </c>
      <c r="H154">
        <v>0.3</v>
      </c>
      <c r="I154" t="s">
        <v>51</v>
      </c>
      <c r="J154" t="s">
        <v>51</v>
      </c>
      <c r="K154" t="s">
        <v>51</v>
      </c>
    </row>
    <row r="155" spans="1:12" x14ac:dyDescent="0.25">
      <c r="A155" t="s">
        <v>384</v>
      </c>
      <c r="B155" t="s">
        <v>385</v>
      </c>
      <c r="C155" t="s">
        <v>50</v>
      </c>
      <c r="D155">
        <v>169</v>
      </c>
      <c r="E155">
        <v>177.4</v>
      </c>
      <c r="F155">
        <v>8.4</v>
      </c>
      <c r="G155">
        <v>5</v>
      </c>
      <c r="H155">
        <v>0.5</v>
      </c>
      <c r="I155" t="s">
        <v>51</v>
      </c>
      <c r="J155" t="s">
        <v>51</v>
      </c>
      <c r="K155" t="s">
        <v>51</v>
      </c>
    </row>
    <row r="156" spans="1:12" x14ac:dyDescent="0.25">
      <c r="A156" t="s">
        <v>386</v>
      </c>
      <c r="B156" t="s">
        <v>387</v>
      </c>
      <c r="C156" t="s">
        <v>50</v>
      </c>
      <c r="D156">
        <v>594.1</v>
      </c>
      <c r="E156">
        <v>611.70000000000005</v>
      </c>
      <c r="F156">
        <v>17.600000000000001</v>
      </c>
      <c r="G156">
        <v>3</v>
      </c>
      <c r="H156">
        <v>0.3</v>
      </c>
      <c r="I156" t="s">
        <v>51</v>
      </c>
      <c r="J156" t="s">
        <v>51</v>
      </c>
      <c r="K156" t="s">
        <v>51</v>
      </c>
    </row>
    <row r="157" spans="1:12" x14ac:dyDescent="0.25">
      <c r="A157" t="s">
        <v>388</v>
      </c>
      <c r="B157" t="s">
        <v>389</v>
      </c>
      <c r="C157" t="s">
        <v>47</v>
      </c>
      <c r="D157">
        <v>3224.5</v>
      </c>
      <c r="E157">
        <v>3189.7</v>
      </c>
      <c r="F157">
        <v>-34.799999999999997</v>
      </c>
      <c r="G157">
        <v>-1.1000000000000001</v>
      </c>
      <c r="H157">
        <v>-0.1</v>
      </c>
      <c r="I157">
        <v>265.5</v>
      </c>
      <c r="J157">
        <v>286.39999999999998</v>
      </c>
      <c r="K157">
        <v>0.8</v>
      </c>
    </row>
    <row r="158" spans="1:12" x14ac:dyDescent="0.25">
      <c r="A158" t="s">
        <v>390</v>
      </c>
      <c r="B158" t="s">
        <v>391</v>
      </c>
      <c r="C158" t="s">
        <v>50</v>
      </c>
      <c r="D158">
        <v>3052.4</v>
      </c>
      <c r="E158">
        <v>3021.6</v>
      </c>
      <c r="F158">
        <v>-30.8</v>
      </c>
      <c r="G158">
        <v>-1</v>
      </c>
      <c r="H158">
        <v>-0.1</v>
      </c>
      <c r="I158" t="s">
        <v>51</v>
      </c>
      <c r="J158" t="s">
        <v>51</v>
      </c>
      <c r="K158" t="s">
        <v>51</v>
      </c>
    </row>
    <row r="159" spans="1:12" x14ac:dyDescent="0.25">
      <c r="A159" t="s">
        <v>392</v>
      </c>
      <c r="B159" t="s">
        <v>393</v>
      </c>
      <c r="C159" t="s">
        <v>50</v>
      </c>
      <c r="D159">
        <v>172.1</v>
      </c>
      <c r="E159">
        <v>168.1</v>
      </c>
      <c r="F159">
        <v>-4</v>
      </c>
      <c r="G159">
        <v>-2.2999999999999998</v>
      </c>
      <c r="H159">
        <v>-0.2</v>
      </c>
      <c r="I159" t="s">
        <v>51</v>
      </c>
      <c r="J159" t="s">
        <v>51</v>
      </c>
      <c r="K159" t="s">
        <v>51</v>
      </c>
    </row>
    <row r="160" spans="1:12" x14ac:dyDescent="0.25">
      <c r="A160" t="s">
        <v>394</v>
      </c>
      <c r="B160" t="s">
        <v>395</v>
      </c>
      <c r="C160" t="s">
        <v>50</v>
      </c>
      <c r="D160">
        <v>3265.5</v>
      </c>
      <c r="E160">
        <v>3341</v>
      </c>
      <c r="F160">
        <v>75.5</v>
      </c>
      <c r="G160">
        <v>2.2999999999999998</v>
      </c>
      <c r="H160">
        <v>0.2</v>
      </c>
      <c r="I160">
        <v>252</v>
      </c>
      <c r="J160">
        <v>285</v>
      </c>
      <c r="K160">
        <v>1.2</v>
      </c>
    </row>
    <row r="161" spans="1:11" x14ac:dyDescent="0.25">
      <c r="A161" t="s">
        <v>396</v>
      </c>
      <c r="B161" t="s">
        <v>397</v>
      </c>
      <c r="C161" t="s">
        <v>47</v>
      </c>
      <c r="D161">
        <v>6991.6</v>
      </c>
      <c r="E161">
        <v>6707.7</v>
      </c>
      <c r="F161">
        <v>-283.89999999999998</v>
      </c>
      <c r="G161">
        <v>-4.0999999999999996</v>
      </c>
      <c r="H161">
        <v>-0.4</v>
      </c>
      <c r="I161">
        <v>1317</v>
      </c>
      <c r="J161">
        <v>1732.5</v>
      </c>
      <c r="K161">
        <v>2.8</v>
      </c>
    </row>
    <row r="162" spans="1:11" x14ac:dyDescent="0.25">
      <c r="A162" t="s">
        <v>398</v>
      </c>
      <c r="B162" t="s">
        <v>399</v>
      </c>
      <c r="C162" t="s">
        <v>47</v>
      </c>
      <c r="D162">
        <v>1398.9</v>
      </c>
      <c r="E162">
        <v>1427.4</v>
      </c>
      <c r="F162">
        <v>28.5</v>
      </c>
      <c r="G162">
        <v>2</v>
      </c>
      <c r="H162">
        <v>0.2</v>
      </c>
      <c r="I162" t="s">
        <v>51</v>
      </c>
      <c r="J162" t="s">
        <v>51</v>
      </c>
      <c r="K162" t="s">
        <v>51</v>
      </c>
    </row>
    <row r="163" spans="1:11" x14ac:dyDescent="0.25">
      <c r="A163" t="s">
        <v>400</v>
      </c>
      <c r="B163" t="s">
        <v>401</v>
      </c>
      <c r="C163" t="s">
        <v>50</v>
      </c>
      <c r="D163">
        <v>1212.0999999999999</v>
      </c>
      <c r="E163">
        <v>1236.2</v>
      </c>
      <c r="F163">
        <v>24.1</v>
      </c>
      <c r="G163">
        <v>2</v>
      </c>
      <c r="H163">
        <v>0.2</v>
      </c>
      <c r="I163" t="s">
        <v>51</v>
      </c>
      <c r="J163" t="s">
        <v>51</v>
      </c>
      <c r="K163" t="s">
        <v>51</v>
      </c>
    </row>
    <row r="164" spans="1:11" x14ac:dyDescent="0.25">
      <c r="A164" t="s">
        <v>402</v>
      </c>
      <c r="B164" t="s">
        <v>403</v>
      </c>
      <c r="C164" t="s">
        <v>50</v>
      </c>
      <c r="D164">
        <v>186.8</v>
      </c>
      <c r="E164">
        <v>191.2</v>
      </c>
      <c r="F164">
        <v>4.4000000000000004</v>
      </c>
      <c r="G164">
        <v>2.2999999999999998</v>
      </c>
      <c r="H164">
        <v>0.2</v>
      </c>
      <c r="I164" t="s">
        <v>51</v>
      </c>
      <c r="J164" t="s">
        <v>51</v>
      </c>
      <c r="K164" t="s">
        <v>51</v>
      </c>
    </row>
    <row r="165" spans="1:11" x14ac:dyDescent="0.25">
      <c r="A165" t="s">
        <v>404</v>
      </c>
      <c r="B165" t="s">
        <v>405</v>
      </c>
      <c r="C165" t="s">
        <v>47</v>
      </c>
      <c r="D165">
        <v>806.1</v>
      </c>
      <c r="E165">
        <v>771.4</v>
      </c>
      <c r="F165">
        <v>-34.700000000000003</v>
      </c>
      <c r="G165">
        <v>-4.3</v>
      </c>
      <c r="H165">
        <v>-0.4</v>
      </c>
      <c r="I165" t="s">
        <v>51</v>
      </c>
      <c r="J165" t="s">
        <v>51</v>
      </c>
      <c r="K165" t="s">
        <v>51</v>
      </c>
    </row>
    <row r="166" spans="1:11" x14ac:dyDescent="0.25">
      <c r="A166" t="s">
        <v>406</v>
      </c>
      <c r="B166" t="s">
        <v>407</v>
      </c>
      <c r="C166" t="s">
        <v>50</v>
      </c>
      <c r="D166">
        <v>409.1</v>
      </c>
      <c r="E166">
        <v>389</v>
      </c>
      <c r="F166">
        <v>-20.100000000000001</v>
      </c>
      <c r="G166">
        <v>-4.9000000000000004</v>
      </c>
      <c r="H166">
        <v>-0.5</v>
      </c>
      <c r="I166" t="s">
        <v>51</v>
      </c>
      <c r="J166" t="s">
        <v>51</v>
      </c>
      <c r="K166" t="s">
        <v>51</v>
      </c>
    </row>
    <row r="167" spans="1:11" x14ac:dyDescent="0.25">
      <c r="A167" t="s">
        <v>408</v>
      </c>
      <c r="B167" t="s">
        <v>409</v>
      </c>
      <c r="C167" t="s">
        <v>50</v>
      </c>
      <c r="D167">
        <v>397</v>
      </c>
      <c r="E167">
        <v>382.3</v>
      </c>
      <c r="F167">
        <v>-14.7</v>
      </c>
      <c r="G167">
        <v>-3.7</v>
      </c>
      <c r="H167">
        <v>-0.4</v>
      </c>
      <c r="I167" t="s">
        <v>51</v>
      </c>
      <c r="J167" t="s">
        <v>51</v>
      </c>
      <c r="K167" t="s">
        <v>51</v>
      </c>
    </row>
    <row r="168" spans="1:11" x14ac:dyDescent="0.25">
      <c r="A168" t="s">
        <v>410</v>
      </c>
      <c r="B168" t="s">
        <v>411</v>
      </c>
      <c r="C168" t="s">
        <v>47</v>
      </c>
      <c r="D168">
        <v>1088.9000000000001</v>
      </c>
      <c r="E168">
        <v>1097.4000000000001</v>
      </c>
      <c r="F168">
        <v>8.5</v>
      </c>
      <c r="G168">
        <v>0.8</v>
      </c>
      <c r="H168">
        <v>0.1</v>
      </c>
      <c r="I168" t="s">
        <v>51</v>
      </c>
      <c r="J168" t="s">
        <v>51</v>
      </c>
      <c r="K168" t="s">
        <v>51</v>
      </c>
    </row>
    <row r="169" spans="1:11" x14ac:dyDescent="0.25">
      <c r="A169" t="s">
        <v>412</v>
      </c>
      <c r="B169" t="s">
        <v>413</v>
      </c>
      <c r="C169" t="s">
        <v>47</v>
      </c>
      <c r="D169">
        <v>1088.9000000000001</v>
      </c>
      <c r="E169">
        <v>1097.4000000000001</v>
      </c>
      <c r="F169">
        <v>8.5</v>
      </c>
      <c r="G169">
        <v>0.8</v>
      </c>
      <c r="H169">
        <v>0.1</v>
      </c>
      <c r="I169" t="s">
        <v>51</v>
      </c>
      <c r="J169" t="s">
        <v>51</v>
      </c>
      <c r="K169" t="s">
        <v>51</v>
      </c>
    </row>
    <row r="170" spans="1:11" x14ac:dyDescent="0.25">
      <c r="A170" t="s">
        <v>414</v>
      </c>
      <c r="B170" t="s">
        <v>415</v>
      </c>
      <c r="C170" t="s">
        <v>50</v>
      </c>
      <c r="D170">
        <v>709.8</v>
      </c>
      <c r="E170">
        <v>698.3</v>
      </c>
      <c r="F170">
        <v>-11.5</v>
      </c>
      <c r="G170">
        <v>-1.6</v>
      </c>
      <c r="H170">
        <v>-0.2</v>
      </c>
      <c r="I170" t="s">
        <v>51</v>
      </c>
      <c r="J170" t="s">
        <v>51</v>
      </c>
      <c r="K170" t="s">
        <v>51</v>
      </c>
    </row>
    <row r="171" spans="1:11" x14ac:dyDescent="0.25">
      <c r="A171" t="s">
        <v>416</v>
      </c>
      <c r="B171" t="s">
        <v>417</v>
      </c>
      <c r="C171" t="s">
        <v>47</v>
      </c>
      <c r="D171">
        <v>1053.7</v>
      </c>
      <c r="E171">
        <v>908.9</v>
      </c>
      <c r="F171">
        <v>-144.80000000000001</v>
      </c>
      <c r="G171">
        <v>-13.7</v>
      </c>
      <c r="H171">
        <v>-1.5</v>
      </c>
      <c r="I171" t="s">
        <v>51</v>
      </c>
      <c r="J171" t="s">
        <v>51</v>
      </c>
      <c r="K171" t="s">
        <v>51</v>
      </c>
    </row>
    <row r="172" spans="1:11" x14ac:dyDescent="0.25">
      <c r="A172" t="s">
        <v>418</v>
      </c>
      <c r="B172" t="s">
        <v>419</v>
      </c>
      <c r="C172" t="s">
        <v>50</v>
      </c>
      <c r="D172">
        <v>983.4</v>
      </c>
      <c r="E172">
        <v>845.2</v>
      </c>
      <c r="F172">
        <v>-138.19999999999999</v>
      </c>
      <c r="G172">
        <v>-14.1</v>
      </c>
      <c r="H172">
        <v>-1.5</v>
      </c>
      <c r="I172" t="s">
        <v>51</v>
      </c>
      <c r="J172" t="s">
        <v>51</v>
      </c>
      <c r="K172" t="s">
        <v>51</v>
      </c>
    </row>
    <row r="173" spans="1:11" x14ac:dyDescent="0.25">
      <c r="A173" t="s">
        <v>420</v>
      </c>
      <c r="B173" t="s">
        <v>421</v>
      </c>
      <c r="C173" t="s">
        <v>50</v>
      </c>
      <c r="D173">
        <v>70.3</v>
      </c>
      <c r="E173">
        <v>63.7</v>
      </c>
      <c r="F173">
        <v>-6.6</v>
      </c>
      <c r="G173">
        <v>-9.4</v>
      </c>
      <c r="H173">
        <v>-1</v>
      </c>
      <c r="I173" t="s">
        <v>51</v>
      </c>
      <c r="J173" t="s">
        <v>51</v>
      </c>
      <c r="K173" t="s">
        <v>51</v>
      </c>
    </row>
    <row r="174" spans="1:11" x14ac:dyDescent="0.25">
      <c r="A174" t="s">
        <v>422</v>
      </c>
      <c r="B174" t="s">
        <v>423</v>
      </c>
      <c r="C174" t="s">
        <v>47</v>
      </c>
      <c r="D174">
        <v>1136.2</v>
      </c>
      <c r="E174">
        <v>1104.8</v>
      </c>
      <c r="F174">
        <v>-31.4</v>
      </c>
      <c r="G174">
        <v>-2.8</v>
      </c>
      <c r="H174">
        <v>-0.3</v>
      </c>
      <c r="I174" t="s">
        <v>51</v>
      </c>
      <c r="J174" t="s">
        <v>51</v>
      </c>
      <c r="K174" t="s">
        <v>51</v>
      </c>
    </row>
    <row r="175" spans="1:11" x14ac:dyDescent="0.25">
      <c r="A175" t="s">
        <v>424</v>
      </c>
      <c r="B175" t="s">
        <v>425</v>
      </c>
      <c r="C175" t="s">
        <v>50</v>
      </c>
      <c r="D175">
        <v>841.3</v>
      </c>
      <c r="E175">
        <v>824.4</v>
      </c>
      <c r="F175">
        <v>-16.899999999999999</v>
      </c>
      <c r="G175">
        <v>-2</v>
      </c>
      <c r="H175">
        <v>-0.2</v>
      </c>
      <c r="I175" t="s">
        <v>51</v>
      </c>
      <c r="J175" t="s">
        <v>51</v>
      </c>
      <c r="K175" t="s">
        <v>51</v>
      </c>
    </row>
    <row r="176" spans="1:11" x14ac:dyDescent="0.25">
      <c r="A176" t="s">
        <v>426</v>
      </c>
      <c r="B176" t="s">
        <v>427</v>
      </c>
      <c r="C176" t="s">
        <v>50</v>
      </c>
      <c r="D176">
        <v>169.9</v>
      </c>
      <c r="E176">
        <v>163</v>
      </c>
      <c r="F176">
        <v>-6.9</v>
      </c>
      <c r="G176">
        <v>-4.0999999999999996</v>
      </c>
      <c r="H176">
        <v>-0.4</v>
      </c>
      <c r="I176" t="s">
        <v>51</v>
      </c>
      <c r="J176" t="s">
        <v>51</v>
      </c>
      <c r="K176" t="s">
        <v>51</v>
      </c>
    </row>
    <row r="177" spans="1:12" x14ac:dyDescent="0.25">
      <c r="A177" t="s">
        <v>428</v>
      </c>
      <c r="B177" t="s">
        <v>429</v>
      </c>
      <c r="C177" t="s">
        <v>50</v>
      </c>
      <c r="D177">
        <v>125</v>
      </c>
      <c r="E177">
        <v>117.4</v>
      </c>
      <c r="F177">
        <v>-7.6</v>
      </c>
      <c r="G177">
        <v>-6.1</v>
      </c>
      <c r="H177">
        <v>-0.6</v>
      </c>
      <c r="I177" t="s">
        <v>51</v>
      </c>
      <c r="J177" t="s">
        <v>51</v>
      </c>
      <c r="K177" t="s">
        <v>51</v>
      </c>
    </row>
    <row r="178" spans="1:12" x14ac:dyDescent="0.25">
      <c r="A178" t="s">
        <v>430</v>
      </c>
      <c r="B178" t="s">
        <v>431</v>
      </c>
      <c r="C178" t="s">
        <v>47</v>
      </c>
      <c r="D178">
        <v>1507.8</v>
      </c>
      <c r="E178">
        <v>1397.9</v>
      </c>
      <c r="F178">
        <v>-109.9</v>
      </c>
      <c r="G178">
        <v>-7.3</v>
      </c>
      <c r="H178">
        <v>-0.8</v>
      </c>
      <c r="I178" t="s">
        <v>51</v>
      </c>
      <c r="J178" t="s">
        <v>51</v>
      </c>
      <c r="K178" t="s">
        <v>51</v>
      </c>
    </row>
    <row r="179" spans="1:12" x14ac:dyDescent="0.25">
      <c r="A179" t="s">
        <v>432</v>
      </c>
      <c r="B179" t="s">
        <v>433</v>
      </c>
      <c r="C179" t="s">
        <v>50</v>
      </c>
      <c r="D179">
        <v>299.2</v>
      </c>
      <c r="E179">
        <v>281.7</v>
      </c>
      <c r="F179">
        <v>-17.5</v>
      </c>
      <c r="G179">
        <v>-5.8</v>
      </c>
      <c r="H179">
        <v>-0.6</v>
      </c>
      <c r="I179" t="s">
        <v>51</v>
      </c>
      <c r="J179" t="s">
        <v>51</v>
      </c>
      <c r="K179" t="s">
        <v>51</v>
      </c>
    </row>
    <row r="180" spans="1:12" x14ac:dyDescent="0.25">
      <c r="A180" t="s">
        <v>434</v>
      </c>
      <c r="B180" t="s">
        <v>435</v>
      </c>
      <c r="C180" t="s">
        <v>50</v>
      </c>
      <c r="D180">
        <v>65.8</v>
      </c>
      <c r="E180">
        <v>57</v>
      </c>
      <c r="F180">
        <v>-8.8000000000000007</v>
      </c>
      <c r="G180">
        <v>-13.4</v>
      </c>
      <c r="H180">
        <v>-1.4</v>
      </c>
      <c r="I180" t="s">
        <v>51</v>
      </c>
      <c r="J180" t="s">
        <v>51</v>
      </c>
      <c r="K180" t="s">
        <v>51</v>
      </c>
    </row>
    <row r="181" spans="1:12" x14ac:dyDescent="0.25">
      <c r="A181" t="s">
        <v>436</v>
      </c>
      <c r="B181" t="s">
        <v>437</v>
      </c>
      <c r="C181" t="s">
        <v>50</v>
      </c>
      <c r="D181">
        <v>59</v>
      </c>
      <c r="E181">
        <v>53.7</v>
      </c>
      <c r="F181">
        <v>-5.3</v>
      </c>
      <c r="G181">
        <v>-9</v>
      </c>
      <c r="H181">
        <v>-0.9</v>
      </c>
      <c r="I181" t="s">
        <v>51</v>
      </c>
      <c r="J181" t="s">
        <v>51</v>
      </c>
      <c r="K181" t="s">
        <v>51</v>
      </c>
    </row>
    <row r="182" spans="1:12" x14ac:dyDescent="0.25">
      <c r="A182" t="s">
        <v>438</v>
      </c>
      <c r="B182" t="s">
        <v>439</v>
      </c>
      <c r="C182" t="s">
        <v>50</v>
      </c>
      <c r="D182">
        <v>406.4</v>
      </c>
      <c r="E182">
        <v>366.9</v>
      </c>
      <c r="F182">
        <v>-39.5</v>
      </c>
      <c r="G182">
        <v>-9.6999999999999993</v>
      </c>
      <c r="H182">
        <v>-1</v>
      </c>
      <c r="I182" t="s">
        <v>51</v>
      </c>
      <c r="J182" t="s">
        <v>51</v>
      </c>
      <c r="K182" t="s">
        <v>51</v>
      </c>
    </row>
    <row r="183" spans="1:12" x14ac:dyDescent="0.25">
      <c r="A183" t="s">
        <v>440</v>
      </c>
      <c r="B183" t="s">
        <v>441</v>
      </c>
      <c r="C183" t="s">
        <v>50</v>
      </c>
      <c r="D183">
        <v>487.7</v>
      </c>
      <c r="E183">
        <v>474.2</v>
      </c>
      <c r="F183">
        <v>-13.5</v>
      </c>
      <c r="G183">
        <v>-2.8</v>
      </c>
      <c r="H183">
        <v>-0.3</v>
      </c>
      <c r="I183" t="s">
        <v>51</v>
      </c>
      <c r="J183" t="s">
        <v>51</v>
      </c>
      <c r="K183" t="s">
        <v>51</v>
      </c>
    </row>
    <row r="184" spans="1:12" x14ac:dyDescent="0.25">
      <c r="A184" t="s">
        <v>442</v>
      </c>
      <c r="B184" t="s">
        <v>443</v>
      </c>
      <c r="C184" t="s">
        <v>47</v>
      </c>
      <c r="D184">
        <v>6654.5</v>
      </c>
      <c r="E184">
        <v>6853.3</v>
      </c>
      <c r="F184">
        <v>198.8</v>
      </c>
      <c r="G184">
        <v>3</v>
      </c>
      <c r="H184">
        <v>0.3</v>
      </c>
      <c r="I184">
        <v>1382</v>
      </c>
      <c r="J184">
        <v>1720.3</v>
      </c>
      <c r="K184">
        <v>2.2000000000000002</v>
      </c>
    </row>
    <row r="185" spans="1:12" x14ac:dyDescent="0.25">
      <c r="A185" t="s">
        <v>444</v>
      </c>
      <c r="B185" t="s">
        <v>445</v>
      </c>
      <c r="C185" t="s">
        <v>47</v>
      </c>
      <c r="D185">
        <v>564.4</v>
      </c>
      <c r="E185">
        <v>589.9</v>
      </c>
      <c r="F185">
        <v>25.5</v>
      </c>
      <c r="G185">
        <v>4.5</v>
      </c>
      <c r="H185">
        <v>0.4</v>
      </c>
      <c r="I185">
        <v>281.60000000000002</v>
      </c>
      <c r="J185">
        <v>353.6</v>
      </c>
      <c r="K185">
        <v>2.2999999999999998</v>
      </c>
      <c r="L185" t="s">
        <v>446</v>
      </c>
    </row>
    <row r="186" spans="1:12" x14ac:dyDescent="0.25">
      <c r="A186" t="s">
        <v>447</v>
      </c>
      <c r="B186" t="s">
        <v>448</v>
      </c>
      <c r="C186" t="s">
        <v>50</v>
      </c>
      <c r="D186">
        <v>504.5</v>
      </c>
      <c r="E186">
        <v>526.4</v>
      </c>
      <c r="F186">
        <v>21.9</v>
      </c>
      <c r="G186">
        <v>4.3</v>
      </c>
      <c r="H186">
        <v>0.4</v>
      </c>
      <c r="I186" t="s">
        <v>51</v>
      </c>
      <c r="J186" t="s">
        <v>51</v>
      </c>
      <c r="K186" t="s">
        <v>51</v>
      </c>
    </row>
    <row r="187" spans="1:12" x14ac:dyDescent="0.25">
      <c r="A187" t="s">
        <v>449</v>
      </c>
      <c r="B187" t="s">
        <v>450</v>
      </c>
      <c r="C187" t="s">
        <v>50</v>
      </c>
      <c r="D187">
        <v>59.9</v>
      </c>
      <c r="E187">
        <v>63.4</v>
      </c>
      <c r="F187">
        <v>3.5</v>
      </c>
      <c r="G187">
        <v>5.9</v>
      </c>
      <c r="H187">
        <v>0.6</v>
      </c>
      <c r="I187" t="s">
        <v>51</v>
      </c>
      <c r="J187" t="s">
        <v>51</v>
      </c>
      <c r="K187" t="s">
        <v>51</v>
      </c>
    </row>
    <row r="188" spans="1:12" x14ac:dyDescent="0.25">
      <c r="A188" t="s">
        <v>451</v>
      </c>
      <c r="B188" t="s">
        <v>452</v>
      </c>
      <c r="C188" t="s">
        <v>50</v>
      </c>
      <c r="D188">
        <v>156.4</v>
      </c>
      <c r="E188">
        <v>157.1</v>
      </c>
      <c r="F188">
        <v>0.7</v>
      </c>
      <c r="G188">
        <v>0.4</v>
      </c>
      <c r="H188">
        <v>0</v>
      </c>
      <c r="I188">
        <v>71.5</v>
      </c>
      <c r="J188">
        <v>81.2</v>
      </c>
      <c r="K188">
        <v>1.3</v>
      </c>
      <c r="L188" t="s">
        <v>453</v>
      </c>
    </row>
    <row r="189" spans="1:12" x14ac:dyDescent="0.25">
      <c r="A189" t="s">
        <v>454</v>
      </c>
      <c r="B189" t="s">
        <v>455</v>
      </c>
      <c r="C189" t="s">
        <v>47</v>
      </c>
      <c r="D189">
        <v>70</v>
      </c>
      <c r="E189">
        <v>71.400000000000006</v>
      </c>
      <c r="F189">
        <v>1.4</v>
      </c>
      <c r="G189">
        <v>2</v>
      </c>
      <c r="H189">
        <v>0.2</v>
      </c>
      <c r="I189">
        <v>55.6</v>
      </c>
      <c r="J189">
        <v>68.5</v>
      </c>
      <c r="K189">
        <v>2.1</v>
      </c>
      <c r="L189" t="s">
        <v>456</v>
      </c>
    </row>
    <row r="190" spans="1:12" x14ac:dyDescent="0.25">
      <c r="A190" t="s">
        <v>457</v>
      </c>
      <c r="B190" t="s">
        <v>458</v>
      </c>
      <c r="C190" t="s">
        <v>50</v>
      </c>
      <c r="D190">
        <v>41.5</v>
      </c>
      <c r="E190">
        <v>42.3</v>
      </c>
      <c r="F190">
        <v>0.8</v>
      </c>
      <c r="G190">
        <v>2</v>
      </c>
      <c r="H190">
        <v>0.2</v>
      </c>
      <c r="I190" t="s">
        <v>51</v>
      </c>
      <c r="J190" t="s">
        <v>51</v>
      </c>
      <c r="K190" t="s">
        <v>51</v>
      </c>
    </row>
    <row r="191" spans="1:12" x14ac:dyDescent="0.25">
      <c r="A191" t="s">
        <v>459</v>
      </c>
      <c r="B191" t="s">
        <v>460</v>
      </c>
      <c r="C191" t="s">
        <v>50</v>
      </c>
      <c r="D191">
        <v>28.5</v>
      </c>
      <c r="E191">
        <v>29</v>
      </c>
      <c r="F191">
        <v>0.5</v>
      </c>
      <c r="G191">
        <v>1.9</v>
      </c>
      <c r="H191">
        <v>0.2</v>
      </c>
      <c r="I191" t="s">
        <v>51</v>
      </c>
      <c r="J191" t="s">
        <v>51</v>
      </c>
      <c r="K191" t="s">
        <v>51</v>
      </c>
    </row>
    <row r="192" spans="1:12" x14ac:dyDescent="0.25">
      <c r="A192" t="s">
        <v>461</v>
      </c>
      <c r="B192" t="s">
        <v>462</v>
      </c>
      <c r="C192" t="s">
        <v>50</v>
      </c>
      <c r="D192">
        <v>1522.1</v>
      </c>
      <c r="E192">
        <v>1543.1</v>
      </c>
      <c r="F192">
        <v>21</v>
      </c>
      <c r="G192">
        <v>1.4</v>
      </c>
      <c r="H192">
        <v>0.1</v>
      </c>
      <c r="I192">
        <v>391.5</v>
      </c>
      <c r="J192">
        <v>487.1</v>
      </c>
      <c r="K192">
        <v>2.2000000000000002</v>
      </c>
      <c r="L192" t="s">
        <v>453</v>
      </c>
    </row>
    <row r="193" spans="1:12" x14ac:dyDescent="0.25">
      <c r="A193" t="s">
        <v>463</v>
      </c>
      <c r="B193" t="s">
        <v>464</v>
      </c>
      <c r="C193" t="s">
        <v>47</v>
      </c>
      <c r="D193">
        <v>472.6</v>
      </c>
      <c r="E193">
        <v>488.6</v>
      </c>
      <c r="F193">
        <v>16</v>
      </c>
      <c r="G193">
        <v>3.4</v>
      </c>
      <c r="H193">
        <v>0.3</v>
      </c>
      <c r="I193">
        <v>157.80000000000001</v>
      </c>
      <c r="J193">
        <v>178.6</v>
      </c>
      <c r="K193">
        <v>1.2</v>
      </c>
      <c r="L193" t="s">
        <v>453</v>
      </c>
    </row>
    <row r="194" spans="1:12" x14ac:dyDescent="0.25">
      <c r="A194" t="s">
        <v>465</v>
      </c>
      <c r="B194" t="s">
        <v>466</v>
      </c>
      <c r="C194" t="s">
        <v>50</v>
      </c>
      <c r="D194">
        <v>48</v>
      </c>
      <c r="E194">
        <v>49.8</v>
      </c>
      <c r="F194">
        <v>1.9</v>
      </c>
      <c r="G194">
        <v>3.9</v>
      </c>
      <c r="H194">
        <v>0.4</v>
      </c>
      <c r="I194" t="s">
        <v>51</v>
      </c>
      <c r="J194" t="s">
        <v>51</v>
      </c>
      <c r="K194" t="s">
        <v>51</v>
      </c>
    </row>
    <row r="195" spans="1:12" x14ac:dyDescent="0.25">
      <c r="A195" t="s">
        <v>467</v>
      </c>
      <c r="B195" t="s">
        <v>468</v>
      </c>
      <c r="C195" t="s">
        <v>50</v>
      </c>
      <c r="D195">
        <v>16.2</v>
      </c>
      <c r="E195">
        <v>16.600000000000001</v>
      </c>
      <c r="F195">
        <v>0.5</v>
      </c>
      <c r="G195">
        <v>2.8</v>
      </c>
      <c r="H195">
        <v>0.2</v>
      </c>
      <c r="I195" t="s">
        <v>51</v>
      </c>
      <c r="J195" t="s">
        <v>51</v>
      </c>
      <c r="K195" t="s">
        <v>51</v>
      </c>
    </row>
    <row r="196" spans="1:12" x14ac:dyDescent="0.25">
      <c r="A196" t="s">
        <v>469</v>
      </c>
      <c r="B196" t="s">
        <v>470</v>
      </c>
      <c r="C196" t="s">
        <v>50</v>
      </c>
      <c r="D196">
        <v>71.2</v>
      </c>
      <c r="E196">
        <v>67.900000000000006</v>
      </c>
      <c r="F196">
        <v>-3.3</v>
      </c>
      <c r="G196">
        <v>-4.5999999999999996</v>
      </c>
      <c r="H196">
        <v>-0.5</v>
      </c>
      <c r="I196" t="s">
        <v>51</v>
      </c>
      <c r="J196" t="s">
        <v>51</v>
      </c>
      <c r="K196" t="s">
        <v>51</v>
      </c>
    </row>
    <row r="197" spans="1:12" x14ac:dyDescent="0.25">
      <c r="A197" t="s">
        <v>471</v>
      </c>
      <c r="B197" t="s">
        <v>472</v>
      </c>
      <c r="C197" t="s">
        <v>50</v>
      </c>
      <c r="D197">
        <v>203</v>
      </c>
      <c r="E197">
        <v>208.4</v>
      </c>
      <c r="F197">
        <v>5.4</v>
      </c>
      <c r="G197">
        <v>2.7</v>
      </c>
      <c r="H197">
        <v>0.3</v>
      </c>
      <c r="I197" t="s">
        <v>51</v>
      </c>
      <c r="J197" t="s">
        <v>51</v>
      </c>
      <c r="K197" t="s">
        <v>51</v>
      </c>
    </row>
    <row r="198" spans="1:12" x14ac:dyDescent="0.25">
      <c r="A198" t="s">
        <v>473</v>
      </c>
      <c r="B198" t="s">
        <v>474</v>
      </c>
      <c r="C198" t="s">
        <v>50</v>
      </c>
      <c r="D198">
        <v>24.1</v>
      </c>
      <c r="E198">
        <v>24.9</v>
      </c>
      <c r="F198">
        <v>0.9</v>
      </c>
      <c r="G198">
        <v>3.5</v>
      </c>
      <c r="H198">
        <v>0.3</v>
      </c>
      <c r="I198" t="s">
        <v>51</v>
      </c>
      <c r="J198" t="s">
        <v>51</v>
      </c>
      <c r="K198" t="s">
        <v>51</v>
      </c>
    </row>
    <row r="199" spans="1:12" x14ac:dyDescent="0.25">
      <c r="A199" t="s">
        <v>475</v>
      </c>
      <c r="B199" t="s">
        <v>476</v>
      </c>
      <c r="C199" t="s">
        <v>50</v>
      </c>
      <c r="D199">
        <v>110.2</v>
      </c>
      <c r="E199">
        <v>120.9</v>
      </c>
      <c r="F199">
        <v>10.7</v>
      </c>
      <c r="G199">
        <v>9.6999999999999993</v>
      </c>
      <c r="H199">
        <v>0.9</v>
      </c>
      <c r="I199" t="s">
        <v>51</v>
      </c>
      <c r="J199" t="s">
        <v>51</v>
      </c>
      <c r="K199" t="s">
        <v>51</v>
      </c>
    </row>
    <row r="200" spans="1:12" x14ac:dyDescent="0.25">
      <c r="A200" t="s">
        <v>477</v>
      </c>
      <c r="B200" t="s">
        <v>478</v>
      </c>
      <c r="C200" t="s">
        <v>47</v>
      </c>
      <c r="D200">
        <v>55.4</v>
      </c>
      <c r="E200">
        <v>57.9</v>
      </c>
      <c r="F200">
        <v>2.5</v>
      </c>
      <c r="G200">
        <v>4.4000000000000004</v>
      </c>
      <c r="H200">
        <v>0.4</v>
      </c>
      <c r="I200">
        <v>52.8</v>
      </c>
      <c r="J200">
        <v>62.5</v>
      </c>
      <c r="K200">
        <v>1.7</v>
      </c>
      <c r="L200" t="s">
        <v>453</v>
      </c>
    </row>
    <row r="201" spans="1:12" x14ac:dyDescent="0.25">
      <c r="A201" t="s">
        <v>479</v>
      </c>
      <c r="B201" t="s">
        <v>480</v>
      </c>
      <c r="C201" t="s">
        <v>50</v>
      </c>
      <c r="D201">
        <v>12.6</v>
      </c>
      <c r="E201">
        <v>13</v>
      </c>
      <c r="F201">
        <v>0.4</v>
      </c>
      <c r="G201">
        <v>3.2</v>
      </c>
      <c r="H201">
        <v>0.3</v>
      </c>
      <c r="I201" t="s">
        <v>51</v>
      </c>
      <c r="J201" t="s">
        <v>51</v>
      </c>
      <c r="K201" t="s">
        <v>51</v>
      </c>
    </row>
    <row r="202" spans="1:12" x14ac:dyDescent="0.25">
      <c r="A202" t="s">
        <v>481</v>
      </c>
      <c r="B202" t="s">
        <v>482</v>
      </c>
      <c r="C202" t="s">
        <v>50</v>
      </c>
      <c r="D202">
        <v>35.200000000000003</v>
      </c>
      <c r="E202">
        <v>37.1</v>
      </c>
      <c r="F202">
        <v>1.9</v>
      </c>
      <c r="G202">
        <v>5.5</v>
      </c>
      <c r="H202">
        <v>0.5</v>
      </c>
      <c r="I202" t="s">
        <v>51</v>
      </c>
      <c r="J202" t="s">
        <v>51</v>
      </c>
      <c r="K202" t="s">
        <v>51</v>
      </c>
    </row>
    <row r="203" spans="1:12" x14ac:dyDescent="0.25">
      <c r="A203" t="s">
        <v>483</v>
      </c>
      <c r="B203" t="s">
        <v>484</v>
      </c>
      <c r="C203" t="s">
        <v>50</v>
      </c>
      <c r="D203">
        <v>7.6</v>
      </c>
      <c r="E203">
        <v>7.8</v>
      </c>
      <c r="F203">
        <v>0.1</v>
      </c>
      <c r="G203">
        <v>1.5</v>
      </c>
      <c r="H203">
        <v>0.3</v>
      </c>
      <c r="I203" t="s">
        <v>51</v>
      </c>
      <c r="J203" t="s">
        <v>51</v>
      </c>
      <c r="K203" t="s">
        <v>51</v>
      </c>
    </row>
    <row r="204" spans="1:12" x14ac:dyDescent="0.25">
      <c r="A204" t="s">
        <v>485</v>
      </c>
      <c r="B204" t="s">
        <v>486</v>
      </c>
      <c r="C204" t="s">
        <v>47</v>
      </c>
      <c r="D204">
        <v>868.1</v>
      </c>
      <c r="E204">
        <v>914.9</v>
      </c>
      <c r="F204">
        <v>46.8</v>
      </c>
      <c r="G204">
        <v>5.4</v>
      </c>
      <c r="H204">
        <v>0.5</v>
      </c>
      <c r="I204">
        <v>165.5</v>
      </c>
      <c r="J204">
        <v>218.6</v>
      </c>
      <c r="K204">
        <v>2.8</v>
      </c>
      <c r="L204" t="s">
        <v>487</v>
      </c>
    </row>
    <row r="205" spans="1:12" x14ac:dyDescent="0.25">
      <c r="A205" t="s">
        <v>488</v>
      </c>
      <c r="B205" t="s">
        <v>489</v>
      </c>
      <c r="C205" t="s">
        <v>47</v>
      </c>
      <c r="D205">
        <v>31.1</v>
      </c>
      <c r="E205">
        <v>31.6</v>
      </c>
      <c r="F205">
        <v>0.5</v>
      </c>
      <c r="G205">
        <v>1.5</v>
      </c>
      <c r="H205">
        <v>0.2</v>
      </c>
      <c r="I205" t="s">
        <v>51</v>
      </c>
      <c r="J205" t="s">
        <v>51</v>
      </c>
      <c r="K205" t="s">
        <v>51</v>
      </c>
    </row>
    <row r="206" spans="1:12" x14ac:dyDescent="0.25">
      <c r="A206" t="s">
        <v>490</v>
      </c>
      <c r="B206" t="s">
        <v>491</v>
      </c>
      <c r="C206" t="s">
        <v>50</v>
      </c>
      <c r="D206">
        <v>10.8</v>
      </c>
      <c r="E206">
        <v>11</v>
      </c>
      <c r="F206">
        <v>0.2</v>
      </c>
      <c r="G206">
        <v>2</v>
      </c>
      <c r="H206">
        <v>0.2</v>
      </c>
      <c r="I206" t="s">
        <v>51</v>
      </c>
      <c r="J206" t="s">
        <v>51</v>
      </c>
      <c r="K206" t="s">
        <v>51</v>
      </c>
    </row>
    <row r="207" spans="1:12" x14ac:dyDescent="0.25">
      <c r="A207" t="s">
        <v>492</v>
      </c>
      <c r="B207" t="s">
        <v>493</v>
      </c>
      <c r="C207" t="s">
        <v>50</v>
      </c>
      <c r="D207">
        <v>17.600000000000001</v>
      </c>
      <c r="E207">
        <v>17.7</v>
      </c>
      <c r="F207">
        <v>0.2</v>
      </c>
      <c r="G207">
        <v>0.9</v>
      </c>
      <c r="H207">
        <v>0.1</v>
      </c>
      <c r="I207" t="s">
        <v>51</v>
      </c>
      <c r="J207" t="s">
        <v>51</v>
      </c>
      <c r="K207" t="s">
        <v>51</v>
      </c>
    </row>
    <row r="208" spans="1:12" x14ac:dyDescent="0.25">
      <c r="A208" t="s">
        <v>494</v>
      </c>
      <c r="B208" t="s">
        <v>495</v>
      </c>
      <c r="C208" t="s">
        <v>50</v>
      </c>
      <c r="D208">
        <v>2.8</v>
      </c>
      <c r="E208">
        <v>2.8</v>
      </c>
      <c r="F208">
        <v>0.1</v>
      </c>
      <c r="G208">
        <v>2.8</v>
      </c>
      <c r="H208">
        <v>0</v>
      </c>
      <c r="I208" t="s">
        <v>51</v>
      </c>
      <c r="J208" t="s">
        <v>51</v>
      </c>
      <c r="K208" t="s">
        <v>51</v>
      </c>
    </row>
    <row r="209" spans="1:12" x14ac:dyDescent="0.25">
      <c r="A209" t="s">
        <v>496</v>
      </c>
      <c r="B209" t="s">
        <v>497</v>
      </c>
      <c r="C209" t="s">
        <v>47</v>
      </c>
      <c r="D209">
        <v>837</v>
      </c>
      <c r="E209">
        <v>883.3</v>
      </c>
      <c r="F209">
        <v>46.3</v>
      </c>
      <c r="G209">
        <v>5.5</v>
      </c>
      <c r="H209">
        <v>0.5</v>
      </c>
      <c r="I209" t="s">
        <v>51</v>
      </c>
      <c r="J209" t="s">
        <v>51</v>
      </c>
      <c r="K209" t="s">
        <v>51</v>
      </c>
    </row>
    <row r="210" spans="1:12" x14ac:dyDescent="0.25">
      <c r="A210" t="s">
        <v>498</v>
      </c>
      <c r="B210" t="s">
        <v>499</v>
      </c>
      <c r="C210" t="s">
        <v>50</v>
      </c>
      <c r="D210">
        <v>272.3</v>
      </c>
      <c r="E210">
        <v>283.60000000000002</v>
      </c>
      <c r="F210">
        <v>11.3</v>
      </c>
      <c r="G210">
        <v>4.2</v>
      </c>
      <c r="H210">
        <v>0.4</v>
      </c>
      <c r="I210" t="s">
        <v>51</v>
      </c>
      <c r="J210" t="s">
        <v>51</v>
      </c>
      <c r="K210" t="s">
        <v>51</v>
      </c>
    </row>
    <row r="211" spans="1:12" x14ac:dyDescent="0.25">
      <c r="A211" t="s">
        <v>500</v>
      </c>
      <c r="B211" t="s">
        <v>501</v>
      </c>
      <c r="C211" t="s">
        <v>50</v>
      </c>
      <c r="D211">
        <v>43.6</v>
      </c>
      <c r="E211">
        <v>43.9</v>
      </c>
      <c r="F211">
        <v>0.3</v>
      </c>
      <c r="G211">
        <v>0.7</v>
      </c>
      <c r="H211">
        <v>0.1</v>
      </c>
      <c r="I211" t="s">
        <v>51</v>
      </c>
      <c r="J211" t="s">
        <v>51</v>
      </c>
      <c r="K211" t="s">
        <v>51</v>
      </c>
    </row>
    <row r="212" spans="1:12" x14ac:dyDescent="0.25">
      <c r="A212" t="s">
        <v>502</v>
      </c>
      <c r="B212" t="s">
        <v>503</v>
      </c>
      <c r="C212" t="s">
        <v>50</v>
      </c>
      <c r="D212">
        <v>97.6</v>
      </c>
      <c r="E212">
        <v>99.7</v>
      </c>
      <c r="F212">
        <v>2.1</v>
      </c>
      <c r="G212">
        <v>2.2000000000000002</v>
      </c>
      <c r="H212">
        <v>0.2</v>
      </c>
      <c r="I212" t="s">
        <v>51</v>
      </c>
      <c r="J212" t="s">
        <v>51</v>
      </c>
      <c r="K212" t="s">
        <v>51</v>
      </c>
    </row>
    <row r="213" spans="1:12" x14ac:dyDescent="0.25">
      <c r="A213" t="s">
        <v>504</v>
      </c>
      <c r="B213" t="s">
        <v>505</v>
      </c>
      <c r="C213" t="s">
        <v>50</v>
      </c>
      <c r="D213">
        <v>114.7</v>
      </c>
      <c r="E213">
        <v>118.9</v>
      </c>
      <c r="F213">
        <v>4.2</v>
      </c>
      <c r="G213">
        <v>3.7</v>
      </c>
      <c r="H213">
        <v>0.4</v>
      </c>
      <c r="I213" t="s">
        <v>51</v>
      </c>
      <c r="J213" t="s">
        <v>51</v>
      </c>
      <c r="K213" t="s">
        <v>51</v>
      </c>
    </row>
    <row r="214" spans="1:12" x14ac:dyDescent="0.25">
      <c r="A214" t="s">
        <v>506</v>
      </c>
      <c r="B214" t="s">
        <v>507</v>
      </c>
      <c r="C214" t="s">
        <v>50</v>
      </c>
      <c r="D214">
        <v>266.10000000000002</v>
      </c>
      <c r="E214">
        <v>292.8</v>
      </c>
      <c r="F214">
        <v>26.7</v>
      </c>
      <c r="G214">
        <v>10</v>
      </c>
      <c r="H214">
        <v>1</v>
      </c>
      <c r="I214" t="s">
        <v>51</v>
      </c>
      <c r="J214" t="s">
        <v>51</v>
      </c>
      <c r="K214" t="s">
        <v>51</v>
      </c>
    </row>
    <row r="215" spans="1:12" x14ac:dyDescent="0.25">
      <c r="A215" t="s">
        <v>508</v>
      </c>
      <c r="B215" t="s">
        <v>509</v>
      </c>
      <c r="C215" t="s">
        <v>50</v>
      </c>
      <c r="D215">
        <v>42.7</v>
      </c>
      <c r="E215">
        <v>44.4</v>
      </c>
      <c r="F215">
        <v>1.7</v>
      </c>
      <c r="G215">
        <v>3.9</v>
      </c>
      <c r="H215">
        <v>0.4</v>
      </c>
      <c r="I215" t="s">
        <v>51</v>
      </c>
      <c r="J215" t="s">
        <v>51</v>
      </c>
      <c r="K215" t="s">
        <v>51</v>
      </c>
    </row>
    <row r="216" spans="1:12" x14ac:dyDescent="0.25">
      <c r="A216" t="s">
        <v>510</v>
      </c>
      <c r="B216" t="s">
        <v>511</v>
      </c>
      <c r="C216" t="s">
        <v>47</v>
      </c>
      <c r="D216">
        <v>1096.4000000000001</v>
      </c>
      <c r="E216">
        <v>1155.4000000000001</v>
      </c>
      <c r="F216">
        <v>59</v>
      </c>
      <c r="G216">
        <v>5.4</v>
      </c>
      <c r="H216">
        <v>0.5</v>
      </c>
      <c r="I216">
        <v>96.4</v>
      </c>
      <c r="J216">
        <v>126.7</v>
      </c>
      <c r="K216">
        <v>2.8</v>
      </c>
      <c r="L216" t="s">
        <v>512</v>
      </c>
    </row>
    <row r="217" spans="1:12" x14ac:dyDescent="0.25">
      <c r="A217" t="s">
        <v>513</v>
      </c>
      <c r="B217" t="s">
        <v>514</v>
      </c>
      <c r="C217" t="s">
        <v>50</v>
      </c>
      <c r="D217">
        <v>909.8</v>
      </c>
      <c r="E217">
        <v>953.2</v>
      </c>
      <c r="F217">
        <v>43.4</v>
      </c>
      <c r="G217">
        <v>4.8</v>
      </c>
      <c r="H217">
        <v>0.5</v>
      </c>
      <c r="I217" t="s">
        <v>51</v>
      </c>
      <c r="J217" t="s">
        <v>51</v>
      </c>
      <c r="K217" t="s">
        <v>51</v>
      </c>
    </row>
    <row r="218" spans="1:12" x14ac:dyDescent="0.25">
      <c r="A218" t="s">
        <v>515</v>
      </c>
      <c r="B218" t="s">
        <v>516</v>
      </c>
      <c r="C218" t="s">
        <v>50</v>
      </c>
      <c r="D218">
        <v>186.6</v>
      </c>
      <c r="E218">
        <v>202.2</v>
      </c>
      <c r="F218">
        <v>15.6</v>
      </c>
      <c r="G218">
        <v>8.4</v>
      </c>
      <c r="H218">
        <v>0.8</v>
      </c>
      <c r="I218" t="s">
        <v>51</v>
      </c>
      <c r="J218" t="s">
        <v>51</v>
      </c>
      <c r="K218" t="s">
        <v>51</v>
      </c>
    </row>
    <row r="219" spans="1:12" x14ac:dyDescent="0.25">
      <c r="A219" t="s">
        <v>517</v>
      </c>
      <c r="B219" t="s">
        <v>518</v>
      </c>
      <c r="C219" t="s">
        <v>50</v>
      </c>
      <c r="D219">
        <v>1849.1</v>
      </c>
      <c r="E219">
        <v>1875.1</v>
      </c>
      <c r="F219">
        <v>26</v>
      </c>
      <c r="G219">
        <v>1.4</v>
      </c>
      <c r="H219">
        <v>0.1</v>
      </c>
      <c r="I219">
        <v>134.69999999999999</v>
      </c>
      <c r="J219">
        <v>169.7</v>
      </c>
      <c r="K219">
        <v>2.2999999999999998</v>
      </c>
      <c r="L219" t="s">
        <v>487</v>
      </c>
    </row>
    <row r="220" spans="1:12" x14ac:dyDescent="0.25">
      <c r="A220" t="s">
        <v>519</v>
      </c>
      <c r="B220" t="s">
        <v>520</v>
      </c>
      <c r="C220" t="s">
        <v>47</v>
      </c>
      <c r="D220">
        <v>2942.8</v>
      </c>
      <c r="E220">
        <v>3135.1</v>
      </c>
      <c r="F220">
        <v>192.3</v>
      </c>
      <c r="G220">
        <v>6.5</v>
      </c>
      <c r="H220">
        <v>0.6</v>
      </c>
      <c r="I220">
        <v>2565.5</v>
      </c>
      <c r="J220">
        <v>3565.6</v>
      </c>
      <c r="K220">
        <v>3.3</v>
      </c>
    </row>
    <row r="221" spans="1:12" x14ac:dyDescent="0.25">
      <c r="A221" t="s">
        <v>521</v>
      </c>
      <c r="B221" t="s">
        <v>522</v>
      </c>
      <c r="C221" t="s">
        <v>47</v>
      </c>
      <c r="D221">
        <v>400.7</v>
      </c>
      <c r="E221">
        <v>421.9</v>
      </c>
      <c r="F221">
        <v>21.2</v>
      </c>
      <c r="G221">
        <v>5.3</v>
      </c>
      <c r="H221">
        <v>0.5</v>
      </c>
      <c r="I221">
        <v>190</v>
      </c>
      <c r="J221">
        <v>249.7</v>
      </c>
      <c r="K221">
        <v>2.8</v>
      </c>
      <c r="L221" t="s">
        <v>523</v>
      </c>
    </row>
    <row r="222" spans="1:12" x14ac:dyDescent="0.25">
      <c r="A222" t="s">
        <v>524</v>
      </c>
      <c r="B222" t="s">
        <v>525</v>
      </c>
      <c r="C222" t="s">
        <v>47</v>
      </c>
      <c r="D222">
        <v>378.1</v>
      </c>
      <c r="E222">
        <v>398.5</v>
      </c>
      <c r="F222">
        <v>20.399999999999999</v>
      </c>
      <c r="G222">
        <v>5.4</v>
      </c>
      <c r="H222">
        <v>0.5</v>
      </c>
      <c r="I222">
        <v>159.1</v>
      </c>
      <c r="J222">
        <v>205.8</v>
      </c>
      <c r="K222">
        <v>2.6</v>
      </c>
    </row>
    <row r="223" spans="1:12" x14ac:dyDescent="0.25">
      <c r="A223" t="s">
        <v>526</v>
      </c>
      <c r="B223" t="s">
        <v>527</v>
      </c>
      <c r="C223" t="s">
        <v>50</v>
      </c>
      <c r="D223">
        <v>118.5</v>
      </c>
      <c r="E223">
        <v>120.3</v>
      </c>
      <c r="F223">
        <v>1.8</v>
      </c>
      <c r="G223">
        <v>1.6</v>
      </c>
      <c r="H223">
        <v>0.2</v>
      </c>
      <c r="I223" t="s">
        <v>51</v>
      </c>
      <c r="J223" t="s">
        <v>51</v>
      </c>
      <c r="K223" t="s">
        <v>51</v>
      </c>
    </row>
    <row r="224" spans="1:12" x14ac:dyDescent="0.25">
      <c r="A224" t="s">
        <v>528</v>
      </c>
      <c r="B224" t="s">
        <v>529</v>
      </c>
      <c r="C224" t="s">
        <v>50</v>
      </c>
      <c r="D224">
        <v>22.6</v>
      </c>
      <c r="E224">
        <v>23.4</v>
      </c>
      <c r="F224">
        <v>0.8</v>
      </c>
      <c r="G224">
        <v>3.4</v>
      </c>
      <c r="H224">
        <v>0.3</v>
      </c>
      <c r="I224">
        <v>31.4</v>
      </c>
      <c r="J224">
        <v>45.1</v>
      </c>
      <c r="K224">
        <v>3.7</v>
      </c>
    </row>
    <row r="225" spans="1:12" x14ac:dyDescent="0.25">
      <c r="A225" t="s">
        <v>530</v>
      </c>
      <c r="B225" t="s">
        <v>531</v>
      </c>
      <c r="C225" t="s">
        <v>47</v>
      </c>
      <c r="D225">
        <v>2542.1</v>
      </c>
      <c r="E225">
        <v>2713.3</v>
      </c>
      <c r="F225">
        <v>171.2</v>
      </c>
      <c r="G225">
        <v>6.7</v>
      </c>
      <c r="H225">
        <v>0.7</v>
      </c>
      <c r="I225">
        <v>2375.8000000000002</v>
      </c>
      <c r="J225">
        <v>3317.5</v>
      </c>
      <c r="K225">
        <v>3.4</v>
      </c>
    </row>
    <row r="226" spans="1:12" x14ac:dyDescent="0.25">
      <c r="A226" t="s">
        <v>532</v>
      </c>
      <c r="B226" t="s">
        <v>533</v>
      </c>
      <c r="C226" t="s">
        <v>50</v>
      </c>
      <c r="D226">
        <v>645.70000000000005</v>
      </c>
      <c r="E226">
        <v>770.3</v>
      </c>
      <c r="F226">
        <v>124.6</v>
      </c>
      <c r="G226">
        <v>19.3</v>
      </c>
      <c r="H226">
        <v>1.8</v>
      </c>
      <c r="I226">
        <v>552.20000000000005</v>
      </c>
      <c r="J226">
        <v>896.1</v>
      </c>
      <c r="K226">
        <v>5</v>
      </c>
      <c r="L226" t="s">
        <v>523</v>
      </c>
    </row>
    <row r="227" spans="1:12" x14ac:dyDescent="0.25">
      <c r="A227" t="s">
        <v>534</v>
      </c>
      <c r="B227" t="s">
        <v>535</v>
      </c>
      <c r="C227" t="s">
        <v>47</v>
      </c>
      <c r="D227">
        <v>792.5</v>
      </c>
      <c r="E227">
        <v>794.2</v>
      </c>
      <c r="F227">
        <v>1.7</v>
      </c>
      <c r="G227">
        <v>0.2</v>
      </c>
      <c r="H227">
        <v>0</v>
      </c>
      <c r="I227">
        <v>771.6</v>
      </c>
      <c r="J227">
        <v>1010.7</v>
      </c>
      <c r="K227">
        <v>2.7</v>
      </c>
      <c r="L227" t="s">
        <v>523</v>
      </c>
    </row>
    <row r="228" spans="1:12" x14ac:dyDescent="0.25">
      <c r="A228" t="s">
        <v>536</v>
      </c>
      <c r="B228" t="s">
        <v>537</v>
      </c>
      <c r="C228" t="s">
        <v>47</v>
      </c>
      <c r="D228">
        <v>268.5</v>
      </c>
      <c r="E228">
        <v>244.6</v>
      </c>
      <c r="F228">
        <v>-23.9</v>
      </c>
      <c r="G228">
        <v>-8.9</v>
      </c>
      <c r="H228">
        <v>-0.9</v>
      </c>
      <c r="I228" t="s">
        <v>51</v>
      </c>
      <c r="J228" t="s">
        <v>51</v>
      </c>
      <c r="K228" t="s">
        <v>51</v>
      </c>
    </row>
    <row r="229" spans="1:12" x14ac:dyDescent="0.25">
      <c r="A229" t="s">
        <v>538</v>
      </c>
      <c r="B229" t="s">
        <v>539</v>
      </c>
      <c r="C229" t="s">
        <v>50</v>
      </c>
      <c r="D229">
        <v>89.4</v>
      </c>
      <c r="E229">
        <v>71.5</v>
      </c>
      <c r="F229">
        <v>-17.899999999999999</v>
      </c>
      <c r="G229">
        <v>-20</v>
      </c>
      <c r="H229">
        <v>-2.2000000000000002</v>
      </c>
      <c r="I229" t="s">
        <v>51</v>
      </c>
      <c r="J229" t="s">
        <v>51</v>
      </c>
      <c r="K229" t="s">
        <v>51</v>
      </c>
    </row>
    <row r="230" spans="1:12" x14ac:dyDescent="0.25">
      <c r="A230" t="s">
        <v>540</v>
      </c>
      <c r="B230" t="s">
        <v>541</v>
      </c>
      <c r="C230" t="s">
        <v>47</v>
      </c>
      <c r="D230">
        <v>340.2</v>
      </c>
      <c r="E230">
        <v>343.1</v>
      </c>
      <c r="F230">
        <v>2.9</v>
      </c>
      <c r="G230">
        <v>0.9</v>
      </c>
      <c r="H230">
        <v>0.1</v>
      </c>
      <c r="I230" t="s">
        <v>51</v>
      </c>
      <c r="J230" t="s">
        <v>51</v>
      </c>
      <c r="K230" t="s">
        <v>51</v>
      </c>
    </row>
    <row r="231" spans="1:12" x14ac:dyDescent="0.25">
      <c r="A231" t="s">
        <v>542</v>
      </c>
      <c r="B231" t="s">
        <v>543</v>
      </c>
      <c r="C231" t="s">
        <v>47</v>
      </c>
      <c r="D231">
        <v>118.1</v>
      </c>
      <c r="E231">
        <v>111.2</v>
      </c>
      <c r="F231">
        <v>-6.9</v>
      </c>
      <c r="G231">
        <v>-5.9</v>
      </c>
      <c r="H231">
        <v>-0.6</v>
      </c>
      <c r="I231" t="s">
        <v>51</v>
      </c>
      <c r="J231" t="s">
        <v>51</v>
      </c>
      <c r="K231" t="s">
        <v>51</v>
      </c>
    </row>
    <row r="232" spans="1:12" x14ac:dyDescent="0.25">
      <c r="A232" t="s">
        <v>544</v>
      </c>
      <c r="B232" t="s">
        <v>545</v>
      </c>
      <c r="C232" t="s">
        <v>50</v>
      </c>
      <c r="D232">
        <v>51.2</v>
      </c>
      <c r="E232">
        <v>48</v>
      </c>
      <c r="F232">
        <v>-3.2</v>
      </c>
      <c r="G232">
        <v>-6.2</v>
      </c>
      <c r="H232">
        <v>-0.6</v>
      </c>
      <c r="I232" t="s">
        <v>51</v>
      </c>
      <c r="J232" t="s">
        <v>51</v>
      </c>
      <c r="K232" t="s">
        <v>51</v>
      </c>
    </row>
    <row r="233" spans="1:12" x14ac:dyDescent="0.25">
      <c r="A233" t="s">
        <v>546</v>
      </c>
      <c r="B233" t="s">
        <v>547</v>
      </c>
      <c r="C233" t="s">
        <v>50</v>
      </c>
      <c r="D233">
        <v>66.900000000000006</v>
      </c>
      <c r="E233">
        <v>63.1</v>
      </c>
      <c r="F233">
        <v>-3.8</v>
      </c>
      <c r="G233">
        <v>-5.6</v>
      </c>
      <c r="H233">
        <v>-0.6</v>
      </c>
      <c r="I233" t="s">
        <v>51</v>
      </c>
      <c r="J233" t="s">
        <v>51</v>
      </c>
      <c r="K233" t="s">
        <v>51</v>
      </c>
    </row>
    <row r="234" spans="1:12" x14ac:dyDescent="0.25">
      <c r="A234" t="s">
        <v>548</v>
      </c>
      <c r="B234" t="s">
        <v>549</v>
      </c>
      <c r="C234" t="s">
        <v>50</v>
      </c>
      <c r="D234">
        <v>222.1</v>
      </c>
      <c r="E234">
        <v>231.9</v>
      </c>
      <c r="F234">
        <v>9.8000000000000007</v>
      </c>
      <c r="G234">
        <v>4.4000000000000004</v>
      </c>
      <c r="H234">
        <v>0.4</v>
      </c>
      <c r="I234" t="s">
        <v>51</v>
      </c>
      <c r="J234" t="s">
        <v>51</v>
      </c>
      <c r="K234" t="s">
        <v>51</v>
      </c>
    </row>
    <row r="235" spans="1:12" x14ac:dyDescent="0.25">
      <c r="A235" t="s">
        <v>550</v>
      </c>
      <c r="B235" t="s">
        <v>551</v>
      </c>
      <c r="C235" t="s">
        <v>50</v>
      </c>
      <c r="D235">
        <v>183.8</v>
      </c>
      <c r="E235">
        <v>206.5</v>
      </c>
      <c r="F235">
        <v>22.7</v>
      </c>
      <c r="G235">
        <v>12.3</v>
      </c>
      <c r="H235">
        <v>1.2</v>
      </c>
      <c r="I235" t="s">
        <v>51</v>
      </c>
      <c r="J235" t="s">
        <v>51</v>
      </c>
      <c r="K235" t="s">
        <v>51</v>
      </c>
    </row>
    <row r="236" spans="1:12" x14ac:dyDescent="0.25">
      <c r="A236" t="s">
        <v>552</v>
      </c>
      <c r="B236" t="s">
        <v>553</v>
      </c>
      <c r="C236" t="s">
        <v>50</v>
      </c>
      <c r="D236">
        <v>621.29999999999995</v>
      </c>
      <c r="E236">
        <v>568.29999999999995</v>
      </c>
      <c r="F236">
        <v>-53</v>
      </c>
      <c r="G236">
        <v>-8.5</v>
      </c>
      <c r="H236">
        <v>-0.9</v>
      </c>
      <c r="I236">
        <v>674.3</v>
      </c>
      <c r="J236">
        <v>876.8</v>
      </c>
      <c r="K236">
        <v>2.7</v>
      </c>
      <c r="L236" t="s">
        <v>554</v>
      </c>
    </row>
    <row r="237" spans="1:12" x14ac:dyDescent="0.25">
      <c r="A237" t="s">
        <v>555</v>
      </c>
      <c r="B237" t="s">
        <v>556</v>
      </c>
      <c r="C237" t="s">
        <v>50</v>
      </c>
      <c r="D237">
        <v>482.6</v>
      </c>
      <c r="E237">
        <v>580.5</v>
      </c>
      <c r="F237">
        <v>97.9</v>
      </c>
      <c r="G237">
        <v>20.3</v>
      </c>
      <c r="H237">
        <v>1.9</v>
      </c>
      <c r="I237">
        <v>387.3</v>
      </c>
      <c r="J237">
        <v>564.79999999999995</v>
      </c>
      <c r="K237">
        <v>3.8</v>
      </c>
      <c r="L237" t="s">
        <v>557</v>
      </c>
    </row>
    <row r="238" spans="1:12" x14ac:dyDescent="0.25">
      <c r="A238" t="s">
        <v>558</v>
      </c>
      <c r="B238" t="s">
        <v>559</v>
      </c>
      <c r="C238" t="s">
        <v>47</v>
      </c>
      <c r="D238">
        <v>6702.8</v>
      </c>
      <c r="E238">
        <v>6929.2</v>
      </c>
      <c r="F238">
        <v>226.4</v>
      </c>
      <c r="G238">
        <v>3.4</v>
      </c>
      <c r="H238">
        <v>0.3</v>
      </c>
      <c r="I238">
        <v>3139.5</v>
      </c>
      <c r="J238">
        <v>3825.4</v>
      </c>
      <c r="K238">
        <v>2</v>
      </c>
      <c r="L238" t="s">
        <v>560</v>
      </c>
    </row>
    <row r="239" spans="1:12" x14ac:dyDescent="0.25">
      <c r="A239" t="s">
        <v>561</v>
      </c>
      <c r="B239" t="s">
        <v>562</v>
      </c>
      <c r="C239" t="s">
        <v>47</v>
      </c>
      <c r="D239">
        <v>2586.3000000000002</v>
      </c>
      <c r="E239">
        <v>2634.9</v>
      </c>
      <c r="F239">
        <v>48.6</v>
      </c>
      <c r="G239">
        <v>1.9</v>
      </c>
      <c r="H239">
        <v>0.2</v>
      </c>
      <c r="I239">
        <v>1015</v>
      </c>
      <c r="J239">
        <v>1264.9000000000001</v>
      </c>
      <c r="K239">
        <v>2.2000000000000002</v>
      </c>
    </row>
    <row r="240" spans="1:12" x14ac:dyDescent="0.25">
      <c r="A240" t="s">
        <v>563</v>
      </c>
      <c r="B240" t="s">
        <v>564</v>
      </c>
      <c r="C240" t="s">
        <v>50</v>
      </c>
      <c r="D240">
        <v>20.8</v>
      </c>
      <c r="E240">
        <v>21.3</v>
      </c>
      <c r="F240">
        <v>0.5</v>
      </c>
      <c r="G240">
        <v>2.6</v>
      </c>
      <c r="H240">
        <v>0.2</v>
      </c>
      <c r="I240" t="s">
        <v>51</v>
      </c>
      <c r="J240" t="s">
        <v>51</v>
      </c>
      <c r="K240" t="s">
        <v>51</v>
      </c>
    </row>
    <row r="241" spans="1:11" x14ac:dyDescent="0.25">
      <c r="A241" t="s">
        <v>565</v>
      </c>
      <c r="B241" t="s">
        <v>566</v>
      </c>
      <c r="C241" t="s">
        <v>47</v>
      </c>
      <c r="D241">
        <v>2565.5</v>
      </c>
      <c r="E241">
        <v>2613.6</v>
      </c>
      <c r="F241">
        <v>48.1</v>
      </c>
      <c r="G241">
        <v>1.9</v>
      </c>
      <c r="H241">
        <v>0.2</v>
      </c>
      <c r="I241" t="s">
        <v>51</v>
      </c>
      <c r="J241" t="s">
        <v>51</v>
      </c>
      <c r="K241" t="s">
        <v>51</v>
      </c>
    </row>
    <row r="242" spans="1:11" x14ac:dyDescent="0.25">
      <c r="A242" t="s">
        <v>567</v>
      </c>
      <c r="B242" t="s">
        <v>568</v>
      </c>
      <c r="C242" t="s">
        <v>50</v>
      </c>
      <c r="D242">
        <v>2059.3000000000002</v>
      </c>
      <c r="E242">
        <v>2110</v>
      </c>
      <c r="F242">
        <v>50.7</v>
      </c>
      <c r="G242">
        <v>2.5</v>
      </c>
      <c r="H242">
        <v>0.2</v>
      </c>
      <c r="I242" t="s">
        <v>51</v>
      </c>
      <c r="J242" t="s">
        <v>51</v>
      </c>
      <c r="K242" t="s">
        <v>51</v>
      </c>
    </row>
    <row r="243" spans="1:11" x14ac:dyDescent="0.25">
      <c r="A243" t="s">
        <v>569</v>
      </c>
      <c r="B243" t="s">
        <v>570</v>
      </c>
      <c r="C243" t="s">
        <v>47</v>
      </c>
      <c r="D243">
        <v>506.2</v>
      </c>
      <c r="E243">
        <v>503.5</v>
      </c>
      <c r="F243">
        <v>-2.7</v>
      </c>
      <c r="G243">
        <v>-0.5</v>
      </c>
      <c r="H243">
        <v>-0.1</v>
      </c>
      <c r="I243" t="s">
        <v>51</v>
      </c>
      <c r="J243" t="s">
        <v>51</v>
      </c>
      <c r="K243" t="s">
        <v>51</v>
      </c>
    </row>
    <row r="244" spans="1:11" x14ac:dyDescent="0.25">
      <c r="A244" t="s">
        <v>571</v>
      </c>
      <c r="B244" t="s">
        <v>572</v>
      </c>
      <c r="C244" t="s">
        <v>50</v>
      </c>
      <c r="D244">
        <v>358.4</v>
      </c>
      <c r="E244">
        <v>355.7</v>
      </c>
      <c r="F244">
        <v>-2.7</v>
      </c>
      <c r="G244">
        <v>-0.7</v>
      </c>
      <c r="H244">
        <v>-0.1</v>
      </c>
      <c r="I244" t="s">
        <v>51</v>
      </c>
      <c r="J244" t="s">
        <v>51</v>
      </c>
      <c r="K244" t="s">
        <v>51</v>
      </c>
    </row>
    <row r="245" spans="1:11" x14ac:dyDescent="0.25">
      <c r="A245" t="s">
        <v>573</v>
      </c>
      <c r="B245" t="s">
        <v>574</v>
      </c>
      <c r="C245" t="s">
        <v>50</v>
      </c>
      <c r="D245">
        <v>1084.9000000000001</v>
      </c>
      <c r="E245">
        <v>1150.3</v>
      </c>
      <c r="F245">
        <v>65.400000000000006</v>
      </c>
      <c r="G245">
        <v>6</v>
      </c>
      <c r="H245">
        <v>0.6</v>
      </c>
      <c r="I245">
        <v>721.7</v>
      </c>
      <c r="J245">
        <v>892.4</v>
      </c>
      <c r="K245">
        <v>2.1</v>
      </c>
    </row>
    <row r="246" spans="1:11" x14ac:dyDescent="0.25">
      <c r="A246" t="s">
        <v>575</v>
      </c>
      <c r="B246" t="s">
        <v>576</v>
      </c>
      <c r="C246" t="s">
        <v>47</v>
      </c>
      <c r="D246">
        <v>3000.5</v>
      </c>
      <c r="E246">
        <v>3110.9</v>
      </c>
      <c r="F246">
        <v>110.4</v>
      </c>
      <c r="G246">
        <v>3.7</v>
      </c>
      <c r="H246">
        <v>0.4</v>
      </c>
      <c r="I246">
        <v>1253</v>
      </c>
      <c r="J246">
        <v>1511.3</v>
      </c>
      <c r="K246">
        <v>1.9</v>
      </c>
    </row>
    <row r="247" spans="1:11" x14ac:dyDescent="0.25">
      <c r="A247" t="s">
        <v>577</v>
      </c>
      <c r="B247" t="s">
        <v>578</v>
      </c>
      <c r="C247" t="s">
        <v>47</v>
      </c>
      <c r="D247">
        <v>1614</v>
      </c>
      <c r="E247">
        <v>1660.8</v>
      </c>
      <c r="F247">
        <v>46.8</v>
      </c>
      <c r="G247">
        <v>2.9</v>
      </c>
      <c r="H247">
        <v>0.3</v>
      </c>
      <c r="I247">
        <v>724</v>
      </c>
      <c r="J247">
        <v>870</v>
      </c>
      <c r="K247">
        <v>1.9</v>
      </c>
    </row>
    <row r="248" spans="1:11" x14ac:dyDescent="0.25">
      <c r="A248" t="s">
        <v>579</v>
      </c>
      <c r="B248" t="s">
        <v>580</v>
      </c>
      <c r="C248" t="s">
        <v>50</v>
      </c>
      <c r="D248">
        <v>611.1</v>
      </c>
      <c r="E248">
        <v>639.4</v>
      </c>
      <c r="F248">
        <v>28.3</v>
      </c>
      <c r="G248">
        <v>4.5999999999999996</v>
      </c>
      <c r="H248">
        <v>0.5</v>
      </c>
      <c r="I248" t="s">
        <v>51</v>
      </c>
      <c r="J248" t="s">
        <v>51</v>
      </c>
      <c r="K248" t="s">
        <v>51</v>
      </c>
    </row>
    <row r="249" spans="1:11" x14ac:dyDescent="0.25">
      <c r="A249" t="s">
        <v>581</v>
      </c>
      <c r="B249" t="s">
        <v>582</v>
      </c>
      <c r="C249" t="s">
        <v>50</v>
      </c>
      <c r="D249">
        <v>678.5</v>
      </c>
      <c r="E249">
        <v>695.9</v>
      </c>
      <c r="F249">
        <v>17.399999999999999</v>
      </c>
      <c r="G249">
        <v>2.6</v>
      </c>
      <c r="H249">
        <v>0.3</v>
      </c>
      <c r="I249" t="s">
        <v>51</v>
      </c>
      <c r="J249" t="s">
        <v>51</v>
      </c>
      <c r="K249" t="s">
        <v>51</v>
      </c>
    </row>
    <row r="250" spans="1:11" x14ac:dyDescent="0.25">
      <c r="A250" t="s">
        <v>583</v>
      </c>
      <c r="B250" t="s">
        <v>584</v>
      </c>
      <c r="C250" t="s">
        <v>47</v>
      </c>
      <c r="D250">
        <v>1386.5</v>
      </c>
      <c r="E250">
        <v>1450.1</v>
      </c>
      <c r="F250">
        <v>63.6</v>
      </c>
      <c r="G250">
        <v>4.5999999999999996</v>
      </c>
      <c r="H250">
        <v>0.4</v>
      </c>
      <c r="I250">
        <v>535.20000000000005</v>
      </c>
      <c r="J250">
        <v>649.29999999999995</v>
      </c>
      <c r="K250">
        <v>2</v>
      </c>
    </row>
    <row r="251" spans="1:11" x14ac:dyDescent="0.25">
      <c r="A251" t="s">
        <v>585</v>
      </c>
      <c r="B251" t="s">
        <v>586</v>
      </c>
      <c r="C251" t="s">
        <v>50</v>
      </c>
      <c r="D251">
        <v>1003.9</v>
      </c>
      <c r="E251">
        <v>1051.3</v>
      </c>
      <c r="F251">
        <v>47.4</v>
      </c>
      <c r="G251">
        <v>4.7</v>
      </c>
      <c r="H251">
        <v>0.5</v>
      </c>
      <c r="I251" t="s">
        <v>51</v>
      </c>
      <c r="J251" t="s">
        <v>51</v>
      </c>
      <c r="K251" t="s">
        <v>51</v>
      </c>
    </row>
    <row r="252" spans="1:11" x14ac:dyDescent="0.25">
      <c r="A252" t="s">
        <v>587</v>
      </c>
      <c r="B252" t="s">
        <v>588</v>
      </c>
      <c r="C252" t="s">
        <v>50</v>
      </c>
      <c r="D252">
        <v>382.6</v>
      </c>
      <c r="E252">
        <v>398.8</v>
      </c>
      <c r="F252">
        <v>16.2</v>
      </c>
      <c r="G252">
        <v>4.2</v>
      </c>
      <c r="H252">
        <v>0.4</v>
      </c>
      <c r="I252" t="s">
        <v>51</v>
      </c>
      <c r="J252" t="s">
        <v>51</v>
      </c>
      <c r="K252" t="s">
        <v>51</v>
      </c>
    </row>
    <row r="253" spans="1:11" x14ac:dyDescent="0.25">
      <c r="A253" t="s">
        <v>589</v>
      </c>
      <c r="B253" t="s">
        <v>590</v>
      </c>
      <c r="C253" t="s">
        <v>47</v>
      </c>
      <c r="D253">
        <v>31.1</v>
      </c>
      <c r="E253">
        <v>33.1</v>
      </c>
      <c r="F253">
        <v>2</v>
      </c>
      <c r="G253">
        <v>6.4</v>
      </c>
      <c r="H253">
        <v>0.6</v>
      </c>
      <c r="I253">
        <v>159.19999999999999</v>
      </c>
      <c r="J253">
        <v>165.8</v>
      </c>
      <c r="K253">
        <v>0.4</v>
      </c>
    </row>
    <row r="254" spans="1:11" x14ac:dyDescent="0.25">
      <c r="A254" t="s">
        <v>591</v>
      </c>
      <c r="B254" t="s">
        <v>592</v>
      </c>
      <c r="C254" t="s">
        <v>50</v>
      </c>
      <c r="D254">
        <v>12.3</v>
      </c>
      <c r="E254">
        <v>12.9</v>
      </c>
      <c r="F254">
        <v>0.6</v>
      </c>
      <c r="G254">
        <v>4.5999999999999996</v>
      </c>
      <c r="H254">
        <v>0.5</v>
      </c>
      <c r="I254" t="s">
        <v>51</v>
      </c>
      <c r="J254" t="s">
        <v>51</v>
      </c>
      <c r="K254" t="s">
        <v>51</v>
      </c>
    </row>
    <row r="255" spans="1:11" x14ac:dyDescent="0.25">
      <c r="A255" t="s">
        <v>593</v>
      </c>
      <c r="B255" t="s">
        <v>594</v>
      </c>
      <c r="C255" t="s">
        <v>50</v>
      </c>
      <c r="D255">
        <v>18.899999999999999</v>
      </c>
      <c r="E255">
        <v>20.3</v>
      </c>
      <c r="F255">
        <v>1.4</v>
      </c>
      <c r="G255">
        <v>7.5</v>
      </c>
      <c r="H255">
        <v>0.7</v>
      </c>
      <c r="I255" t="s">
        <v>51</v>
      </c>
      <c r="J255" t="s">
        <v>51</v>
      </c>
      <c r="K255" t="s">
        <v>51</v>
      </c>
    </row>
    <row r="256" spans="1:11" x14ac:dyDescent="0.25">
      <c r="A256" t="s">
        <v>595</v>
      </c>
      <c r="B256" t="s">
        <v>596</v>
      </c>
      <c r="C256" t="s">
        <v>47</v>
      </c>
      <c r="D256">
        <v>2465.8000000000002</v>
      </c>
      <c r="E256">
        <v>2547.6</v>
      </c>
      <c r="F256">
        <v>81.8</v>
      </c>
      <c r="G256">
        <v>3.3</v>
      </c>
      <c r="H256">
        <v>0.3</v>
      </c>
      <c r="I256">
        <v>2818.5</v>
      </c>
      <c r="J256">
        <v>3433.3</v>
      </c>
      <c r="K256">
        <v>2</v>
      </c>
    </row>
    <row r="257" spans="1:12" x14ac:dyDescent="0.25">
      <c r="A257" t="s">
        <v>597</v>
      </c>
      <c r="B257" t="s">
        <v>598</v>
      </c>
      <c r="C257" t="s">
        <v>50</v>
      </c>
      <c r="D257">
        <v>1865.8</v>
      </c>
      <c r="E257">
        <v>1938.4</v>
      </c>
      <c r="F257">
        <v>72.599999999999994</v>
      </c>
      <c r="G257">
        <v>3.9</v>
      </c>
      <c r="H257">
        <v>0.4</v>
      </c>
      <c r="I257">
        <v>2258.6999999999998</v>
      </c>
      <c r="J257">
        <v>2721</v>
      </c>
      <c r="K257">
        <v>1.9</v>
      </c>
      <c r="L257" t="s">
        <v>599</v>
      </c>
    </row>
    <row r="258" spans="1:12" x14ac:dyDescent="0.25">
      <c r="A258" t="s">
        <v>600</v>
      </c>
      <c r="B258" t="s">
        <v>601</v>
      </c>
      <c r="C258" t="s">
        <v>47</v>
      </c>
      <c r="D258">
        <v>577.4</v>
      </c>
      <c r="E258">
        <v>588.29999999999995</v>
      </c>
      <c r="F258">
        <v>10.9</v>
      </c>
      <c r="G258">
        <v>1.9</v>
      </c>
      <c r="H258">
        <v>0.2</v>
      </c>
      <c r="I258">
        <v>237.4</v>
      </c>
      <c r="J258">
        <v>298.89999999999998</v>
      </c>
      <c r="K258">
        <v>2.2999999999999998</v>
      </c>
      <c r="L258" t="s">
        <v>602</v>
      </c>
    </row>
    <row r="259" spans="1:12" x14ac:dyDescent="0.25">
      <c r="A259" t="s">
        <v>603</v>
      </c>
      <c r="B259" t="s">
        <v>604</v>
      </c>
      <c r="C259" t="s">
        <v>50</v>
      </c>
      <c r="D259">
        <v>362.3</v>
      </c>
      <c r="E259">
        <v>365.9</v>
      </c>
      <c r="F259">
        <v>3.6</v>
      </c>
      <c r="G259">
        <v>1</v>
      </c>
      <c r="H259">
        <v>0.1</v>
      </c>
      <c r="I259">
        <v>157.4</v>
      </c>
      <c r="J259">
        <v>192.8</v>
      </c>
      <c r="K259">
        <v>2.1</v>
      </c>
    </row>
    <row r="260" spans="1:12" x14ac:dyDescent="0.25">
      <c r="A260" t="s">
        <v>605</v>
      </c>
      <c r="B260" t="s">
        <v>606</v>
      </c>
      <c r="C260" t="s">
        <v>50</v>
      </c>
      <c r="D260">
        <v>215.1</v>
      </c>
      <c r="E260">
        <v>222.4</v>
      </c>
      <c r="F260">
        <v>7.3</v>
      </c>
      <c r="G260">
        <v>3.4</v>
      </c>
      <c r="H260">
        <v>0.3</v>
      </c>
      <c r="I260">
        <v>79.8</v>
      </c>
      <c r="J260">
        <v>105.3</v>
      </c>
      <c r="K260">
        <v>2.8</v>
      </c>
    </row>
    <row r="261" spans="1:12" x14ac:dyDescent="0.25">
      <c r="A261" t="s">
        <v>607</v>
      </c>
      <c r="B261" t="s">
        <v>608</v>
      </c>
      <c r="C261" t="s">
        <v>50</v>
      </c>
      <c r="D261">
        <v>22.6</v>
      </c>
      <c r="E261">
        <v>20.9</v>
      </c>
      <c r="F261">
        <v>-1.7</v>
      </c>
      <c r="G261">
        <v>-7.5</v>
      </c>
      <c r="H261">
        <v>-0.8</v>
      </c>
      <c r="I261">
        <v>323</v>
      </c>
      <c r="J261">
        <v>414.1</v>
      </c>
      <c r="K261">
        <v>2.5</v>
      </c>
    </row>
    <row r="262" spans="1:12" x14ac:dyDescent="0.25">
      <c r="A262" t="s">
        <v>609</v>
      </c>
      <c r="B262" t="s">
        <v>610</v>
      </c>
      <c r="C262" t="s">
        <v>47</v>
      </c>
      <c r="D262">
        <v>10825.8</v>
      </c>
      <c r="E262">
        <v>11638.3</v>
      </c>
      <c r="F262">
        <v>812.5</v>
      </c>
      <c r="G262">
        <v>7.5</v>
      </c>
      <c r="H262">
        <v>0.7</v>
      </c>
      <c r="I262">
        <v>3093.9</v>
      </c>
      <c r="J262">
        <v>3880.7</v>
      </c>
      <c r="K262">
        <v>2.2999999999999998</v>
      </c>
    </row>
    <row r="263" spans="1:12" x14ac:dyDescent="0.25">
      <c r="A263" t="s">
        <v>611</v>
      </c>
      <c r="B263" t="s">
        <v>612</v>
      </c>
      <c r="C263" t="s">
        <v>47</v>
      </c>
      <c r="D263">
        <v>10825.8</v>
      </c>
      <c r="E263">
        <v>11638.3</v>
      </c>
      <c r="F263">
        <v>812.5</v>
      </c>
      <c r="G263">
        <v>7.5</v>
      </c>
      <c r="H263">
        <v>0.7</v>
      </c>
      <c r="I263">
        <v>3093.9</v>
      </c>
      <c r="J263">
        <v>3880.7</v>
      </c>
      <c r="K263">
        <v>2.2999999999999998</v>
      </c>
    </row>
    <row r="264" spans="1:12" x14ac:dyDescent="0.25">
      <c r="A264" t="s">
        <v>613</v>
      </c>
      <c r="B264" t="s">
        <v>614</v>
      </c>
      <c r="C264" t="s">
        <v>50</v>
      </c>
      <c r="D264">
        <v>1192.7</v>
      </c>
      <c r="E264">
        <v>1207.0999999999999</v>
      </c>
      <c r="F264">
        <v>14.4</v>
      </c>
      <c r="G264">
        <v>1.2</v>
      </c>
      <c r="H264">
        <v>0.1</v>
      </c>
      <c r="I264">
        <v>348.5</v>
      </c>
      <c r="J264">
        <v>408.9</v>
      </c>
      <c r="K264">
        <v>1.6</v>
      </c>
      <c r="L264" t="s">
        <v>615</v>
      </c>
    </row>
    <row r="265" spans="1:12" x14ac:dyDescent="0.25">
      <c r="A265" t="s">
        <v>616</v>
      </c>
      <c r="B265" t="s">
        <v>617</v>
      </c>
      <c r="C265" t="s">
        <v>50</v>
      </c>
      <c r="D265">
        <v>1153.5</v>
      </c>
      <c r="E265">
        <v>1181.2</v>
      </c>
      <c r="F265">
        <v>27.7</v>
      </c>
      <c r="G265">
        <v>2.4</v>
      </c>
      <c r="H265">
        <v>0.2</v>
      </c>
      <c r="I265">
        <v>210</v>
      </c>
      <c r="J265">
        <v>258.60000000000002</v>
      </c>
      <c r="K265">
        <v>2.1</v>
      </c>
      <c r="L265" t="s">
        <v>615</v>
      </c>
    </row>
    <row r="266" spans="1:12" x14ac:dyDescent="0.25">
      <c r="A266" t="s">
        <v>618</v>
      </c>
      <c r="B266" t="s">
        <v>619</v>
      </c>
      <c r="C266" t="s">
        <v>47</v>
      </c>
      <c r="D266">
        <v>1703.6</v>
      </c>
      <c r="E266">
        <v>1770.7</v>
      </c>
      <c r="F266">
        <v>67.099999999999994</v>
      </c>
      <c r="G266">
        <v>3.9</v>
      </c>
      <c r="H266">
        <v>0.4</v>
      </c>
      <c r="I266">
        <v>407.3</v>
      </c>
      <c r="J266">
        <v>480.1</v>
      </c>
      <c r="K266">
        <v>1.7</v>
      </c>
      <c r="L266" t="s">
        <v>615</v>
      </c>
    </row>
    <row r="267" spans="1:12" x14ac:dyDescent="0.25">
      <c r="A267" t="s">
        <v>620</v>
      </c>
      <c r="B267" t="s">
        <v>621</v>
      </c>
      <c r="C267" t="s">
        <v>50</v>
      </c>
      <c r="D267">
        <v>1179.5999999999999</v>
      </c>
      <c r="E267">
        <v>1228.9000000000001</v>
      </c>
      <c r="F267">
        <v>49.3</v>
      </c>
      <c r="G267">
        <v>4.2</v>
      </c>
      <c r="H267">
        <v>0.4</v>
      </c>
      <c r="I267" t="s">
        <v>51</v>
      </c>
      <c r="J267" t="s">
        <v>51</v>
      </c>
      <c r="K267" t="s">
        <v>51</v>
      </c>
    </row>
    <row r="268" spans="1:12" x14ac:dyDescent="0.25">
      <c r="A268" t="s">
        <v>622</v>
      </c>
      <c r="B268" t="s">
        <v>623</v>
      </c>
      <c r="C268" t="s">
        <v>50</v>
      </c>
      <c r="D268">
        <v>179.5</v>
      </c>
      <c r="E268">
        <v>186.5</v>
      </c>
      <c r="F268">
        <v>7</v>
      </c>
      <c r="G268">
        <v>3.9</v>
      </c>
      <c r="H268">
        <v>0.4</v>
      </c>
      <c r="I268" t="s">
        <v>51</v>
      </c>
      <c r="J268" t="s">
        <v>51</v>
      </c>
      <c r="K268" t="s">
        <v>51</v>
      </c>
    </row>
    <row r="269" spans="1:12" x14ac:dyDescent="0.25">
      <c r="A269" t="s">
        <v>624</v>
      </c>
      <c r="B269" t="s">
        <v>625</v>
      </c>
      <c r="C269" t="s">
        <v>50</v>
      </c>
      <c r="D269">
        <v>151.1</v>
      </c>
      <c r="E269">
        <v>156.9</v>
      </c>
      <c r="F269">
        <v>5.8</v>
      </c>
      <c r="G269">
        <v>3.8</v>
      </c>
      <c r="H269">
        <v>0.4</v>
      </c>
      <c r="I269">
        <v>57.5</v>
      </c>
      <c r="J269">
        <v>70.3</v>
      </c>
      <c r="K269">
        <v>2</v>
      </c>
      <c r="L269" t="s">
        <v>615</v>
      </c>
    </row>
    <row r="270" spans="1:12" x14ac:dyDescent="0.25">
      <c r="A270" t="s">
        <v>626</v>
      </c>
      <c r="B270" t="s">
        <v>627</v>
      </c>
      <c r="C270" t="s">
        <v>50</v>
      </c>
      <c r="D270">
        <v>2444.8000000000002</v>
      </c>
      <c r="E270">
        <v>2831.6</v>
      </c>
      <c r="F270">
        <v>386.8</v>
      </c>
      <c r="G270">
        <v>15.8</v>
      </c>
      <c r="H270">
        <v>1.5</v>
      </c>
      <c r="I270">
        <v>799</v>
      </c>
      <c r="J270">
        <v>1096.2</v>
      </c>
      <c r="K270">
        <v>3.2</v>
      </c>
      <c r="L270" t="s">
        <v>557</v>
      </c>
    </row>
    <row r="271" spans="1:12" x14ac:dyDescent="0.25">
      <c r="A271" t="s">
        <v>628</v>
      </c>
      <c r="B271" t="s">
        <v>629</v>
      </c>
      <c r="C271" t="s">
        <v>50</v>
      </c>
      <c r="D271">
        <v>1864.7</v>
      </c>
      <c r="E271">
        <v>2039.3</v>
      </c>
      <c r="F271">
        <v>174.6</v>
      </c>
      <c r="G271">
        <v>9.4</v>
      </c>
      <c r="H271">
        <v>0.9</v>
      </c>
      <c r="I271">
        <v>493.3</v>
      </c>
      <c r="J271">
        <v>639.70000000000005</v>
      </c>
      <c r="K271">
        <v>2.6</v>
      </c>
      <c r="L271" t="s">
        <v>615</v>
      </c>
    </row>
    <row r="272" spans="1:12" x14ac:dyDescent="0.25">
      <c r="A272" t="s">
        <v>630</v>
      </c>
      <c r="B272" t="s">
        <v>631</v>
      </c>
      <c r="C272" t="s">
        <v>47</v>
      </c>
      <c r="D272">
        <v>936.7</v>
      </c>
      <c r="E272">
        <v>1015.1</v>
      </c>
      <c r="F272">
        <v>78.400000000000006</v>
      </c>
      <c r="G272">
        <v>8.4</v>
      </c>
      <c r="H272">
        <v>0.8</v>
      </c>
      <c r="I272">
        <v>408.6</v>
      </c>
      <c r="J272">
        <v>499</v>
      </c>
      <c r="K272">
        <v>2</v>
      </c>
      <c r="L272" t="s">
        <v>615</v>
      </c>
    </row>
    <row r="273" spans="1:12" x14ac:dyDescent="0.25">
      <c r="A273" t="s">
        <v>632</v>
      </c>
      <c r="B273" t="s">
        <v>633</v>
      </c>
      <c r="C273" t="s">
        <v>50</v>
      </c>
      <c r="D273">
        <v>866.7</v>
      </c>
      <c r="E273">
        <v>942.5</v>
      </c>
      <c r="F273">
        <v>75.8</v>
      </c>
      <c r="G273">
        <v>8.6999999999999993</v>
      </c>
      <c r="H273">
        <v>0.8</v>
      </c>
      <c r="I273" t="s">
        <v>51</v>
      </c>
      <c r="J273" t="s">
        <v>51</v>
      </c>
      <c r="K273" t="s">
        <v>51</v>
      </c>
    </row>
    <row r="274" spans="1:12" x14ac:dyDescent="0.25">
      <c r="A274" t="s">
        <v>634</v>
      </c>
      <c r="B274" t="s">
        <v>635</v>
      </c>
      <c r="C274" t="s">
        <v>50</v>
      </c>
      <c r="D274">
        <v>70</v>
      </c>
      <c r="E274">
        <v>72.599999999999994</v>
      </c>
      <c r="F274">
        <v>2.6</v>
      </c>
      <c r="G274">
        <v>3.7</v>
      </c>
      <c r="H274">
        <v>0.4</v>
      </c>
      <c r="I274" t="s">
        <v>51</v>
      </c>
      <c r="J274" t="s">
        <v>51</v>
      </c>
      <c r="K274" t="s">
        <v>51</v>
      </c>
    </row>
    <row r="275" spans="1:12" x14ac:dyDescent="0.25">
      <c r="A275" t="s">
        <v>636</v>
      </c>
      <c r="B275" t="s">
        <v>637</v>
      </c>
      <c r="C275" t="s">
        <v>50</v>
      </c>
      <c r="D275">
        <v>497.7</v>
      </c>
      <c r="E275">
        <v>509.6</v>
      </c>
      <c r="F275">
        <v>11.9</v>
      </c>
      <c r="G275">
        <v>2.4</v>
      </c>
      <c r="H275">
        <v>0.2</v>
      </c>
      <c r="I275">
        <v>197.3</v>
      </c>
      <c r="J275">
        <v>257.3</v>
      </c>
      <c r="K275">
        <v>2.7</v>
      </c>
      <c r="L275" t="s">
        <v>615</v>
      </c>
    </row>
    <row r="276" spans="1:12" x14ac:dyDescent="0.25">
      <c r="A276" t="s">
        <v>638</v>
      </c>
      <c r="B276" t="s">
        <v>639</v>
      </c>
      <c r="C276" t="s">
        <v>47</v>
      </c>
      <c r="D276">
        <v>881</v>
      </c>
      <c r="E276">
        <v>926.8</v>
      </c>
      <c r="F276">
        <v>45.8</v>
      </c>
      <c r="G276">
        <v>5.2</v>
      </c>
      <c r="H276">
        <v>0.5</v>
      </c>
      <c r="I276">
        <v>200.2</v>
      </c>
      <c r="J276">
        <v>253.7</v>
      </c>
      <c r="K276">
        <v>2.4</v>
      </c>
      <c r="L276" t="s">
        <v>615</v>
      </c>
    </row>
    <row r="277" spans="1:12" x14ac:dyDescent="0.25">
      <c r="A277" t="s">
        <v>640</v>
      </c>
      <c r="B277" t="s">
        <v>641</v>
      </c>
      <c r="C277" t="s">
        <v>50</v>
      </c>
      <c r="D277">
        <v>49</v>
      </c>
      <c r="E277">
        <v>44.8</v>
      </c>
      <c r="F277">
        <v>-4.2</v>
      </c>
      <c r="G277">
        <v>-8.5</v>
      </c>
      <c r="H277">
        <v>-0.9</v>
      </c>
      <c r="I277">
        <v>16.899999999999999</v>
      </c>
      <c r="J277">
        <v>21.4</v>
      </c>
      <c r="K277">
        <v>2.4</v>
      </c>
    </row>
    <row r="278" spans="1:12" x14ac:dyDescent="0.25">
      <c r="A278" t="s">
        <v>642</v>
      </c>
      <c r="B278" t="s">
        <v>643</v>
      </c>
      <c r="C278" t="s">
        <v>50</v>
      </c>
      <c r="D278">
        <v>467</v>
      </c>
      <c r="E278">
        <v>504.1</v>
      </c>
      <c r="F278">
        <v>37.1</v>
      </c>
      <c r="G278">
        <v>7.9</v>
      </c>
      <c r="H278">
        <v>0.8</v>
      </c>
      <c r="I278">
        <v>54.9</v>
      </c>
      <c r="J278">
        <v>72.099999999999994</v>
      </c>
      <c r="K278">
        <v>2.8</v>
      </c>
    </row>
    <row r="279" spans="1:12" x14ac:dyDescent="0.25">
      <c r="A279" t="s">
        <v>644</v>
      </c>
      <c r="B279" t="s">
        <v>645</v>
      </c>
      <c r="C279" t="s">
        <v>47</v>
      </c>
      <c r="D279">
        <v>2617.1</v>
      </c>
      <c r="E279">
        <v>2732</v>
      </c>
      <c r="F279">
        <v>114.9</v>
      </c>
      <c r="G279">
        <v>4.4000000000000004</v>
      </c>
      <c r="H279">
        <v>0.4</v>
      </c>
      <c r="I279">
        <v>793.6</v>
      </c>
      <c r="J279">
        <v>1012.1</v>
      </c>
      <c r="K279">
        <v>2.5</v>
      </c>
      <c r="L279" t="s">
        <v>615</v>
      </c>
    </row>
    <row r="280" spans="1:12" x14ac:dyDescent="0.25">
      <c r="A280" t="s">
        <v>646</v>
      </c>
      <c r="B280" t="s">
        <v>647</v>
      </c>
      <c r="C280" t="s">
        <v>50</v>
      </c>
      <c r="D280">
        <v>2617.1</v>
      </c>
      <c r="E280">
        <v>2732</v>
      </c>
      <c r="F280">
        <v>114.9</v>
      </c>
      <c r="G280">
        <v>4.4000000000000004</v>
      </c>
      <c r="H280">
        <v>0.4</v>
      </c>
      <c r="I280">
        <v>793.6</v>
      </c>
      <c r="J280">
        <v>1012.1</v>
      </c>
      <c r="K280">
        <v>2.5</v>
      </c>
    </row>
    <row r="281" spans="1:12" x14ac:dyDescent="0.25">
      <c r="A281" t="s">
        <v>648</v>
      </c>
      <c r="B281" t="s">
        <v>649</v>
      </c>
      <c r="C281" t="s">
        <v>47</v>
      </c>
      <c r="D281">
        <v>9177.7999999999993</v>
      </c>
      <c r="E281">
        <v>9279.5</v>
      </c>
      <c r="F281">
        <v>101.7</v>
      </c>
      <c r="G281">
        <v>1.1000000000000001</v>
      </c>
      <c r="H281">
        <v>0.1</v>
      </c>
      <c r="I281">
        <v>1238.0999999999999</v>
      </c>
      <c r="J281">
        <v>1548.7</v>
      </c>
      <c r="K281">
        <v>2.2999999999999998</v>
      </c>
    </row>
    <row r="282" spans="1:12" x14ac:dyDescent="0.25">
      <c r="A282" t="s">
        <v>650</v>
      </c>
      <c r="B282" t="s">
        <v>651</v>
      </c>
      <c r="C282" t="s">
        <v>47</v>
      </c>
      <c r="D282">
        <v>8666.2999999999993</v>
      </c>
      <c r="E282">
        <v>8738</v>
      </c>
      <c r="F282">
        <v>71.7</v>
      </c>
      <c r="G282">
        <v>0.8</v>
      </c>
      <c r="H282">
        <v>0.1</v>
      </c>
      <c r="I282">
        <v>1112.7</v>
      </c>
      <c r="J282">
        <v>1404.9</v>
      </c>
      <c r="K282">
        <v>2.4</v>
      </c>
      <c r="L282" t="s">
        <v>602</v>
      </c>
    </row>
    <row r="283" spans="1:12" x14ac:dyDescent="0.25">
      <c r="A283" t="s">
        <v>652</v>
      </c>
      <c r="B283" t="s">
        <v>653</v>
      </c>
      <c r="C283" t="s">
        <v>50</v>
      </c>
      <c r="D283">
        <v>619.20000000000005</v>
      </c>
      <c r="E283">
        <v>655.6</v>
      </c>
      <c r="F283">
        <v>36.4</v>
      </c>
      <c r="G283">
        <v>5.9</v>
      </c>
      <c r="H283">
        <v>0.6</v>
      </c>
      <c r="I283">
        <v>94.1</v>
      </c>
      <c r="J283">
        <v>119.1</v>
      </c>
      <c r="K283">
        <v>2.4</v>
      </c>
    </row>
    <row r="284" spans="1:12" x14ac:dyDescent="0.25">
      <c r="A284" t="s">
        <v>654</v>
      </c>
      <c r="B284" t="s">
        <v>655</v>
      </c>
      <c r="C284" t="s">
        <v>50</v>
      </c>
      <c r="D284">
        <v>181.2</v>
      </c>
      <c r="E284">
        <v>191.9</v>
      </c>
      <c r="F284">
        <v>10.7</v>
      </c>
      <c r="G284">
        <v>5.9</v>
      </c>
      <c r="H284">
        <v>0.6</v>
      </c>
      <c r="I284">
        <v>28.4</v>
      </c>
      <c r="J284">
        <v>32.5</v>
      </c>
      <c r="K284">
        <v>1.4</v>
      </c>
    </row>
    <row r="285" spans="1:12" x14ac:dyDescent="0.25">
      <c r="A285" t="s">
        <v>656</v>
      </c>
      <c r="B285" t="s">
        <v>657</v>
      </c>
      <c r="C285" t="s">
        <v>47</v>
      </c>
      <c r="D285">
        <v>3332.3</v>
      </c>
      <c r="E285">
        <v>3240</v>
      </c>
      <c r="F285">
        <v>-92.3</v>
      </c>
      <c r="G285">
        <v>-2.8</v>
      </c>
      <c r="H285">
        <v>-0.3</v>
      </c>
      <c r="I285">
        <v>424.6</v>
      </c>
      <c r="J285">
        <v>545.20000000000005</v>
      </c>
      <c r="K285">
        <v>2.5</v>
      </c>
    </row>
    <row r="286" spans="1:12" x14ac:dyDescent="0.25">
      <c r="A286" t="s">
        <v>658</v>
      </c>
      <c r="B286" t="s">
        <v>659</v>
      </c>
      <c r="C286" t="s">
        <v>50</v>
      </c>
      <c r="D286">
        <v>2612.1</v>
      </c>
      <c r="E286">
        <v>2556.4</v>
      </c>
      <c r="F286">
        <v>-55.7</v>
      </c>
      <c r="G286">
        <v>-2.1</v>
      </c>
      <c r="H286">
        <v>-0.2</v>
      </c>
      <c r="I286" t="s">
        <v>51</v>
      </c>
      <c r="J286" t="s">
        <v>51</v>
      </c>
      <c r="K286" t="s">
        <v>51</v>
      </c>
    </row>
    <row r="287" spans="1:12" x14ac:dyDescent="0.25">
      <c r="A287" t="s">
        <v>660</v>
      </c>
      <c r="B287" t="s">
        <v>661</v>
      </c>
      <c r="C287" t="s">
        <v>50</v>
      </c>
      <c r="D287">
        <v>691</v>
      </c>
      <c r="E287">
        <v>671.8</v>
      </c>
      <c r="F287">
        <v>-19.2</v>
      </c>
      <c r="G287">
        <v>-2.8</v>
      </c>
      <c r="H287">
        <v>-0.3</v>
      </c>
      <c r="I287">
        <v>87.4</v>
      </c>
      <c r="J287">
        <v>108.6</v>
      </c>
      <c r="K287">
        <v>2.2000000000000002</v>
      </c>
    </row>
    <row r="288" spans="1:12" x14ac:dyDescent="0.25">
      <c r="A288" t="s">
        <v>662</v>
      </c>
      <c r="B288" t="s">
        <v>663</v>
      </c>
      <c r="C288" t="s">
        <v>50</v>
      </c>
      <c r="D288">
        <v>189.3</v>
      </c>
      <c r="E288">
        <v>198.5</v>
      </c>
      <c r="F288">
        <v>9.1999999999999993</v>
      </c>
      <c r="G288">
        <v>4.9000000000000004</v>
      </c>
      <c r="H288">
        <v>0.5</v>
      </c>
      <c r="I288">
        <v>83.7</v>
      </c>
      <c r="J288">
        <v>107.2</v>
      </c>
      <c r="K288">
        <v>2.5</v>
      </c>
    </row>
    <row r="289" spans="1:12" x14ac:dyDescent="0.25">
      <c r="A289" t="s">
        <v>664</v>
      </c>
      <c r="B289" t="s">
        <v>665</v>
      </c>
      <c r="C289" t="s">
        <v>47</v>
      </c>
      <c r="D289">
        <v>1025.8</v>
      </c>
      <c r="E289">
        <v>1086.0999999999999</v>
      </c>
      <c r="F289">
        <v>60.3</v>
      </c>
      <c r="G289">
        <v>5.9</v>
      </c>
      <c r="H289">
        <v>0.6</v>
      </c>
      <c r="I289">
        <v>61.2</v>
      </c>
      <c r="J289">
        <v>74.599999999999994</v>
      </c>
      <c r="K289">
        <v>2</v>
      </c>
    </row>
    <row r="290" spans="1:12" x14ac:dyDescent="0.25">
      <c r="A290" t="s">
        <v>666</v>
      </c>
      <c r="B290" t="s">
        <v>667</v>
      </c>
      <c r="C290" t="s">
        <v>50</v>
      </c>
      <c r="D290">
        <v>868.6</v>
      </c>
      <c r="E290">
        <v>910.2</v>
      </c>
      <c r="F290">
        <v>41.6</v>
      </c>
      <c r="G290">
        <v>4.8</v>
      </c>
      <c r="H290">
        <v>0.5</v>
      </c>
      <c r="I290" t="s">
        <v>51</v>
      </c>
      <c r="J290" t="s">
        <v>51</v>
      </c>
      <c r="K290" t="s">
        <v>51</v>
      </c>
    </row>
    <row r="291" spans="1:12" x14ac:dyDescent="0.25">
      <c r="A291" t="s">
        <v>668</v>
      </c>
      <c r="B291" t="s">
        <v>669</v>
      </c>
      <c r="C291" t="s">
        <v>50</v>
      </c>
      <c r="D291">
        <v>157.19999999999999</v>
      </c>
      <c r="E291">
        <v>176</v>
      </c>
      <c r="F291">
        <v>18.8</v>
      </c>
      <c r="G291">
        <v>11.9</v>
      </c>
      <c r="H291">
        <v>1.1000000000000001</v>
      </c>
      <c r="I291" t="s">
        <v>51</v>
      </c>
      <c r="J291" t="s">
        <v>51</v>
      </c>
      <c r="K291" t="s">
        <v>51</v>
      </c>
    </row>
    <row r="292" spans="1:12" x14ac:dyDescent="0.25">
      <c r="A292" t="s">
        <v>670</v>
      </c>
      <c r="B292" t="s">
        <v>671</v>
      </c>
      <c r="C292" t="s">
        <v>47</v>
      </c>
      <c r="D292">
        <v>2293.8000000000002</v>
      </c>
      <c r="E292">
        <v>2348.9</v>
      </c>
      <c r="F292">
        <v>55.1</v>
      </c>
      <c r="G292">
        <v>2.4</v>
      </c>
      <c r="H292">
        <v>0.2</v>
      </c>
      <c r="I292">
        <v>264.5</v>
      </c>
      <c r="J292">
        <v>331.3</v>
      </c>
      <c r="K292">
        <v>2.2999999999999998</v>
      </c>
    </row>
    <row r="293" spans="1:12" x14ac:dyDescent="0.25">
      <c r="A293" t="s">
        <v>672</v>
      </c>
      <c r="B293" t="s">
        <v>673</v>
      </c>
      <c r="C293" t="s">
        <v>50</v>
      </c>
      <c r="D293">
        <v>153.5</v>
      </c>
      <c r="E293">
        <v>158.5</v>
      </c>
      <c r="F293">
        <v>5</v>
      </c>
      <c r="G293">
        <v>3.3</v>
      </c>
      <c r="H293">
        <v>0.3</v>
      </c>
      <c r="I293" t="s">
        <v>51</v>
      </c>
      <c r="J293" t="s">
        <v>51</v>
      </c>
      <c r="K293" t="s">
        <v>51</v>
      </c>
    </row>
    <row r="294" spans="1:12" x14ac:dyDescent="0.25">
      <c r="A294" t="s">
        <v>674</v>
      </c>
      <c r="B294" t="s">
        <v>675</v>
      </c>
      <c r="C294" t="s">
        <v>50</v>
      </c>
      <c r="D294">
        <v>911.2</v>
      </c>
      <c r="E294">
        <v>934.8</v>
      </c>
      <c r="F294">
        <v>23.6</v>
      </c>
      <c r="G294">
        <v>2.6</v>
      </c>
      <c r="H294">
        <v>0.3</v>
      </c>
      <c r="I294" t="s">
        <v>51</v>
      </c>
      <c r="J294" t="s">
        <v>51</v>
      </c>
      <c r="K294" t="s">
        <v>51</v>
      </c>
    </row>
    <row r="295" spans="1:12" x14ac:dyDescent="0.25">
      <c r="A295" t="s">
        <v>676</v>
      </c>
      <c r="B295" t="s">
        <v>677</v>
      </c>
      <c r="C295" t="s">
        <v>50</v>
      </c>
      <c r="D295">
        <v>333.7</v>
      </c>
      <c r="E295">
        <v>345.2</v>
      </c>
      <c r="F295">
        <v>11.5</v>
      </c>
      <c r="G295">
        <v>3.4</v>
      </c>
      <c r="H295">
        <v>0.3</v>
      </c>
      <c r="I295">
        <v>72.2</v>
      </c>
      <c r="J295">
        <v>91.8</v>
      </c>
      <c r="K295">
        <v>2.4</v>
      </c>
    </row>
    <row r="296" spans="1:12" x14ac:dyDescent="0.25">
      <c r="A296" t="s">
        <v>678</v>
      </c>
      <c r="B296" t="s">
        <v>679</v>
      </c>
      <c r="C296" t="s">
        <v>47</v>
      </c>
      <c r="D296">
        <v>511.5</v>
      </c>
      <c r="E296">
        <v>541.5</v>
      </c>
      <c r="F296">
        <v>30</v>
      </c>
      <c r="G296">
        <v>5.9</v>
      </c>
      <c r="H296">
        <v>0.6</v>
      </c>
      <c r="I296">
        <v>125.4</v>
      </c>
      <c r="J296">
        <v>146.4</v>
      </c>
      <c r="K296">
        <v>1.6</v>
      </c>
      <c r="L296" t="s">
        <v>122</v>
      </c>
    </row>
    <row r="297" spans="1:12" x14ac:dyDescent="0.25">
      <c r="A297" t="s">
        <v>680</v>
      </c>
      <c r="B297" t="s">
        <v>681</v>
      </c>
      <c r="C297" t="s">
        <v>50</v>
      </c>
      <c r="D297">
        <v>217.2</v>
      </c>
      <c r="E297">
        <v>230.2</v>
      </c>
      <c r="F297">
        <v>13</v>
      </c>
      <c r="G297">
        <v>6</v>
      </c>
      <c r="H297">
        <v>0.6</v>
      </c>
      <c r="I297" t="s">
        <v>51</v>
      </c>
      <c r="J297" t="s">
        <v>51</v>
      </c>
      <c r="K297" t="s">
        <v>51</v>
      </c>
    </row>
    <row r="298" spans="1:12" x14ac:dyDescent="0.25">
      <c r="A298" t="s">
        <v>682</v>
      </c>
      <c r="B298" t="s">
        <v>683</v>
      </c>
      <c r="C298" t="s">
        <v>50</v>
      </c>
      <c r="D298">
        <v>108.4</v>
      </c>
      <c r="E298">
        <v>112.6</v>
      </c>
      <c r="F298">
        <v>4.2</v>
      </c>
      <c r="G298">
        <v>3.9</v>
      </c>
      <c r="H298">
        <v>0.4</v>
      </c>
      <c r="I298" t="s">
        <v>51</v>
      </c>
      <c r="J298" t="s">
        <v>51</v>
      </c>
      <c r="K298" t="s">
        <v>51</v>
      </c>
    </row>
    <row r="299" spans="1:12" x14ac:dyDescent="0.25">
      <c r="A299" t="s">
        <v>684</v>
      </c>
      <c r="B299" t="s">
        <v>685</v>
      </c>
      <c r="C299" t="s">
        <v>50</v>
      </c>
      <c r="D299">
        <v>185.9</v>
      </c>
      <c r="E299">
        <v>198.7</v>
      </c>
      <c r="F299">
        <v>12.8</v>
      </c>
      <c r="G299">
        <v>6.9</v>
      </c>
      <c r="H299">
        <v>0.7</v>
      </c>
      <c r="I299" t="s">
        <v>51</v>
      </c>
      <c r="J299" t="s">
        <v>51</v>
      </c>
      <c r="K299" t="s">
        <v>51</v>
      </c>
    </row>
    <row r="300" spans="1:12" x14ac:dyDescent="0.25">
      <c r="A300" t="s">
        <v>686</v>
      </c>
      <c r="B300" t="s">
        <v>687</v>
      </c>
      <c r="C300" t="s">
        <v>47</v>
      </c>
      <c r="D300">
        <v>14704.4</v>
      </c>
      <c r="E300">
        <v>14716.3</v>
      </c>
      <c r="F300">
        <v>11.9</v>
      </c>
      <c r="G300">
        <v>0.1</v>
      </c>
      <c r="H300">
        <v>0</v>
      </c>
      <c r="I300" t="s">
        <v>51</v>
      </c>
      <c r="J300" t="s">
        <v>51</v>
      </c>
      <c r="K300" t="s">
        <v>51</v>
      </c>
    </row>
    <row r="301" spans="1:12" x14ac:dyDescent="0.25">
      <c r="A301" t="s">
        <v>688</v>
      </c>
      <c r="B301" t="s">
        <v>689</v>
      </c>
      <c r="C301" t="s">
        <v>47</v>
      </c>
      <c r="D301">
        <v>14704.4</v>
      </c>
      <c r="E301">
        <v>14716.3</v>
      </c>
      <c r="F301">
        <v>11.9</v>
      </c>
      <c r="G301">
        <v>0.1</v>
      </c>
      <c r="H301">
        <v>0</v>
      </c>
      <c r="I301" t="s">
        <v>51</v>
      </c>
      <c r="J301" t="s">
        <v>51</v>
      </c>
      <c r="K301" t="s">
        <v>51</v>
      </c>
    </row>
    <row r="302" spans="1:12" x14ac:dyDescent="0.25">
      <c r="A302" t="s">
        <v>690</v>
      </c>
      <c r="B302" t="s">
        <v>691</v>
      </c>
      <c r="C302" t="s">
        <v>47</v>
      </c>
      <c r="D302">
        <v>3962.5</v>
      </c>
      <c r="E302">
        <v>4036.8</v>
      </c>
      <c r="F302">
        <v>74.3</v>
      </c>
      <c r="G302">
        <v>1.9</v>
      </c>
      <c r="H302">
        <v>0.2</v>
      </c>
      <c r="I302">
        <v>412.5</v>
      </c>
      <c r="J302">
        <v>475.5</v>
      </c>
      <c r="K302">
        <v>1.4</v>
      </c>
      <c r="L302" t="s">
        <v>692</v>
      </c>
    </row>
    <row r="303" spans="1:12" x14ac:dyDescent="0.25">
      <c r="A303" t="s">
        <v>693</v>
      </c>
      <c r="B303" t="s">
        <v>694</v>
      </c>
      <c r="C303" t="s">
        <v>50</v>
      </c>
      <c r="D303">
        <v>1199.4000000000001</v>
      </c>
      <c r="E303">
        <v>1194.5999999999999</v>
      </c>
      <c r="F303">
        <v>-4.8</v>
      </c>
      <c r="G303">
        <v>-0.4</v>
      </c>
      <c r="H303">
        <v>0</v>
      </c>
      <c r="I303">
        <v>55.5</v>
      </c>
      <c r="J303">
        <v>58.5</v>
      </c>
      <c r="K303">
        <v>0.5</v>
      </c>
    </row>
    <row r="304" spans="1:12" x14ac:dyDescent="0.25">
      <c r="A304" t="s">
        <v>695</v>
      </c>
      <c r="B304" t="s">
        <v>696</v>
      </c>
      <c r="C304" t="s">
        <v>47</v>
      </c>
      <c r="D304">
        <v>1790.5</v>
      </c>
      <c r="E304">
        <v>1797.9</v>
      </c>
      <c r="F304">
        <v>7.4</v>
      </c>
      <c r="G304">
        <v>0.4</v>
      </c>
      <c r="H304">
        <v>0</v>
      </c>
      <c r="I304">
        <v>238.6</v>
      </c>
      <c r="J304">
        <v>267.5</v>
      </c>
      <c r="K304">
        <v>1.2</v>
      </c>
    </row>
    <row r="305" spans="1:12" x14ac:dyDescent="0.25">
      <c r="A305" t="s">
        <v>697</v>
      </c>
      <c r="B305" t="s">
        <v>698</v>
      </c>
      <c r="C305" t="s">
        <v>50</v>
      </c>
      <c r="D305">
        <v>27.5</v>
      </c>
      <c r="E305">
        <v>27.1</v>
      </c>
      <c r="F305">
        <v>-0.5</v>
      </c>
      <c r="G305">
        <v>-1.7</v>
      </c>
      <c r="H305">
        <v>-0.1</v>
      </c>
      <c r="I305" t="s">
        <v>51</v>
      </c>
      <c r="J305" t="s">
        <v>51</v>
      </c>
      <c r="K305" t="s">
        <v>51</v>
      </c>
    </row>
    <row r="306" spans="1:12" x14ac:dyDescent="0.25">
      <c r="A306" t="s">
        <v>699</v>
      </c>
      <c r="B306" t="s">
        <v>700</v>
      </c>
      <c r="C306" t="s">
        <v>50</v>
      </c>
      <c r="D306">
        <v>1763</v>
      </c>
      <c r="E306">
        <v>1770.8</v>
      </c>
      <c r="F306">
        <v>7.9</v>
      </c>
      <c r="G306">
        <v>0.4</v>
      </c>
      <c r="H306">
        <v>0</v>
      </c>
      <c r="I306" t="s">
        <v>51</v>
      </c>
      <c r="J306" t="s">
        <v>51</v>
      </c>
      <c r="K306" t="s">
        <v>51</v>
      </c>
    </row>
    <row r="307" spans="1:12" x14ac:dyDescent="0.25">
      <c r="A307" t="s">
        <v>701</v>
      </c>
      <c r="B307" t="s">
        <v>702</v>
      </c>
      <c r="C307" t="s">
        <v>47</v>
      </c>
      <c r="D307">
        <v>972.6</v>
      </c>
      <c r="E307">
        <v>1044.3</v>
      </c>
      <c r="F307">
        <v>71.7</v>
      </c>
      <c r="G307">
        <v>7.4</v>
      </c>
      <c r="H307">
        <v>0.7</v>
      </c>
      <c r="I307">
        <v>119.4</v>
      </c>
      <c r="J307">
        <v>153.4</v>
      </c>
      <c r="K307">
        <v>2.5</v>
      </c>
    </row>
    <row r="308" spans="1:12" x14ac:dyDescent="0.25">
      <c r="A308" t="s">
        <v>703</v>
      </c>
      <c r="B308" t="s">
        <v>704</v>
      </c>
      <c r="C308" t="s">
        <v>50</v>
      </c>
      <c r="D308">
        <v>85.5</v>
      </c>
      <c r="E308">
        <v>94</v>
      </c>
      <c r="F308">
        <v>8.5</v>
      </c>
      <c r="G308">
        <v>9.9</v>
      </c>
      <c r="H308">
        <v>1</v>
      </c>
      <c r="I308" t="s">
        <v>51</v>
      </c>
      <c r="J308" t="s">
        <v>51</v>
      </c>
      <c r="K308" t="s">
        <v>51</v>
      </c>
    </row>
    <row r="309" spans="1:12" x14ac:dyDescent="0.25">
      <c r="A309" t="s">
        <v>705</v>
      </c>
      <c r="B309" t="s">
        <v>706</v>
      </c>
      <c r="C309" t="s">
        <v>50</v>
      </c>
      <c r="D309">
        <v>129.19999999999999</v>
      </c>
      <c r="E309">
        <v>134.69999999999999</v>
      </c>
      <c r="F309">
        <v>5.5</v>
      </c>
      <c r="G309">
        <v>4.3</v>
      </c>
      <c r="H309">
        <v>0.4</v>
      </c>
      <c r="I309" t="s">
        <v>51</v>
      </c>
      <c r="J309" t="s">
        <v>51</v>
      </c>
      <c r="K309" t="s">
        <v>51</v>
      </c>
    </row>
    <row r="310" spans="1:12" x14ac:dyDescent="0.25">
      <c r="A310" t="s">
        <v>707</v>
      </c>
      <c r="B310" t="s">
        <v>708</v>
      </c>
      <c r="C310" t="s">
        <v>50</v>
      </c>
      <c r="D310">
        <v>550.20000000000005</v>
      </c>
      <c r="E310">
        <v>588.5</v>
      </c>
      <c r="F310">
        <v>38.299999999999997</v>
      </c>
      <c r="G310">
        <v>7</v>
      </c>
      <c r="H310">
        <v>0.7</v>
      </c>
      <c r="I310" t="s">
        <v>51</v>
      </c>
      <c r="J310" t="s">
        <v>51</v>
      </c>
      <c r="K310" t="s">
        <v>51</v>
      </c>
    </row>
    <row r="311" spans="1:12" x14ac:dyDescent="0.25">
      <c r="A311" t="s">
        <v>709</v>
      </c>
      <c r="B311" t="s">
        <v>710</v>
      </c>
      <c r="C311" t="s">
        <v>50</v>
      </c>
      <c r="D311">
        <v>207.7</v>
      </c>
      <c r="E311">
        <v>227.1</v>
      </c>
      <c r="F311">
        <v>19.399999999999999</v>
      </c>
      <c r="G311">
        <v>9.4</v>
      </c>
      <c r="H311">
        <v>0.9</v>
      </c>
      <c r="I311" t="s">
        <v>51</v>
      </c>
      <c r="J311" t="s">
        <v>51</v>
      </c>
      <c r="K311" t="s">
        <v>51</v>
      </c>
    </row>
    <row r="312" spans="1:12" x14ac:dyDescent="0.25">
      <c r="A312" t="s">
        <v>711</v>
      </c>
      <c r="B312" t="s">
        <v>712</v>
      </c>
      <c r="C312" t="s">
        <v>47</v>
      </c>
      <c r="D312">
        <v>10741.9</v>
      </c>
      <c r="E312">
        <v>10679.5</v>
      </c>
      <c r="F312">
        <v>-62.4</v>
      </c>
      <c r="G312">
        <v>-0.6</v>
      </c>
      <c r="H312">
        <v>-0.1</v>
      </c>
      <c r="I312">
        <v>1172.9000000000001</v>
      </c>
      <c r="J312">
        <v>1183.5999999999999</v>
      </c>
      <c r="K312">
        <v>0.1</v>
      </c>
      <c r="L312" t="s">
        <v>692</v>
      </c>
    </row>
    <row r="313" spans="1:12" x14ac:dyDescent="0.25">
      <c r="A313" t="s">
        <v>713</v>
      </c>
      <c r="B313" t="s">
        <v>714</v>
      </c>
      <c r="C313" t="s">
        <v>50</v>
      </c>
      <c r="D313">
        <v>81.599999999999994</v>
      </c>
      <c r="E313">
        <v>77.599999999999994</v>
      </c>
      <c r="F313">
        <v>-4</v>
      </c>
      <c r="G313">
        <v>-4.9000000000000004</v>
      </c>
      <c r="H313">
        <v>-0.5</v>
      </c>
      <c r="I313" t="s">
        <v>51</v>
      </c>
      <c r="J313" t="s">
        <v>51</v>
      </c>
      <c r="K313" t="s">
        <v>51</v>
      </c>
    </row>
    <row r="314" spans="1:12" x14ac:dyDescent="0.25">
      <c r="A314" t="s">
        <v>715</v>
      </c>
      <c r="B314" t="s">
        <v>716</v>
      </c>
      <c r="C314" t="s">
        <v>50</v>
      </c>
      <c r="D314">
        <v>7600.9</v>
      </c>
      <c r="E314">
        <v>7413</v>
      </c>
      <c r="F314">
        <v>-187.9</v>
      </c>
      <c r="G314">
        <v>-2.5</v>
      </c>
      <c r="H314">
        <v>-0.3</v>
      </c>
      <c r="I314" t="s">
        <v>51</v>
      </c>
      <c r="J314" t="s">
        <v>51</v>
      </c>
      <c r="K314" t="s">
        <v>51</v>
      </c>
    </row>
    <row r="315" spans="1:12" x14ac:dyDescent="0.25">
      <c r="A315" t="s">
        <v>717</v>
      </c>
      <c r="B315" t="s">
        <v>718</v>
      </c>
      <c r="C315" t="s">
        <v>47</v>
      </c>
      <c r="D315">
        <v>2977.5</v>
      </c>
      <c r="E315">
        <v>3100.1</v>
      </c>
      <c r="F315">
        <v>122.5</v>
      </c>
      <c r="G315">
        <v>4.0999999999999996</v>
      </c>
      <c r="H315">
        <v>0.4</v>
      </c>
      <c r="I315" t="s">
        <v>51</v>
      </c>
      <c r="J315" t="s">
        <v>51</v>
      </c>
      <c r="K315" t="s">
        <v>51</v>
      </c>
    </row>
    <row r="316" spans="1:12" x14ac:dyDescent="0.25">
      <c r="A316" t="s">
        <v>719</v>
      </c>
      <c r="B316" t="s">
        <v>720</v>
      </c>
      <c r="C316" t="s">
        <v>50</v>
      </c>
      <c r="D316">
        <v>260.7</v>
      </c>
      <c r="E316">
        <v>265.2</v>
      </c>
      <c r="F316">
        <v>4.5</v>
      </c>
      <c r="G316">
        <v>1.7</v>
      </c>
      <c r="H316">
        <v>0.2</v>
      </c>
      <c r="I316" t="s">
        <v>51</v>
      </c>
      <c r="J316" t="s">
        <v>51</v>
      </c>
      <c r="K316" t="s">
        <v>51</v>
      </c>
    </row>
    <row r="317" spans="1:12" x14ac:dyDescent="0.25">
      <c r="A317" t="s">
        <v>721</v>
      </c>
      <c r="B317" t="s">
        <v>722</v>
      </c>
      <c r="C317" t="s">
        <v>50</v>
      </c>
      <c r="D317">
        <v>399.1</v>
      </c>
      <c r="E317">
        <v>396.8</v>
      </c>
      <c r="F317">
        <v>-2.2999999999999998</v>
      </c>
      <c r="G317">
        <v>-0.6</v>
      </c>
      <c r="H317">
        <v>-0.1</v>
      </c>
      <c r="I317" t="s">
        <v>51</v>
      </c>
      <c r="J317" t="s">
        <v>51</v>
      </c>
      <c r="K317" t="s">
        <v>51</v>
      </c>
    </row>
    <row r="318" spans="1:12" x14ac:dyDescent="0.25">
      <c r="A318" t="s">
        <v>723</v>
      </c>
      <c r="B318" t="s">
        <v>724</v>
      </c>
      <c r="C318" t="s">
        <v>50</v>
      </c>
      <c r="D318">
        <v>2242.9</v>
      </c>
      <c r="E318">
        <v>2360.1999999999998</v>
      </c>
      <c r="F318">
        <v>117.3</v>
      </c>
      <c r="G318">
        <v>5.2</v>
      </c>
      <c r="H318">
        <v>0.5</v>
      </c>
      <c r="I318" t="s">
        <v>51</v>
      </c>
      <c r="J318" t="s">
        <v>51</v>
      </c>
      <c r="K318" t="s">
        <v>51</v>
      </c>
    </row>
    <row r="319" spans="1:12" x14ac:dyDescent="0.25">
      <c r="A319" t="s">
        <v>725</v>
      </c>
      <c r="B319" t="s">
        <v>726</v>
      </c>
      <c r="C319" t="s">
        <v>50</v>
      </c>
      <c r="D319">
        <v>74.8</v>
      </c>
      <c r="E319">
        <v>78</v>
      </c>
      <c r="F319">
        <v>3.1</v>
      </c>
      <c r="G319">
        <v>4.2</v>
      </c>
      <c r="H319">
        <v>0.4</v>
      </c>
      <c r="I319" t="s">
        <v>51</v>
      </c>
      <c r="J319" t="s">
        <v>51</v>
      </c>
      <c r="K319" t="s">
        <v>51</v>
      </c>
    </row>
    <row r="320" spans="1:12" x14ac:dyDescent="0.25">
      <c r="A320" t="s">
        <v>727</v>
      </c>
      <c r="B320" t="s">
        <v>728</v>
      </c>
      <c r="C320" t="s">
        <v>47</v>
      </c>
      <c r="D320">
        <v>81.900000000000006</v>
      </c>
      <c r="E320">
        <v>88.8</v>
      </c>
      <c r="F320">
        <v>6.9</v>
      </c>
      <c r="G320">
        <v>8.5</v>
      </c>
      <c r="H320">
        <v>0.8</v>
      </c>
      <c r="I320" t="s">
        <v>51</v>
      </c>
      <c r="J320" t="s">
        <v>51</v>
      </c>
      <c r="K320" t="s">
        <v>51</v>
      </c>
    </row>
    <row r="321" spans="1:12" x14ac:dyDescent="0.25">
      <c r="A321" t="s">
        <v>729</v>
      </c>
      <c r="B321" t="s">
        <v>730</v>
      </c>
      <c r="C321" t="s">
        <v>50</v>
      </c>
      <c r="D321">
        <v>2.9</v>
      </c>
      <c r="E321">
        <v>3.1</v>
      </c>
      <c r="F321">
        <v>0.2</v>
      </c>
      <c r="G321">
        <v>8.1999999999999993</v>
      </c>
      <c r="H321">
        <v>0.7</v>
      </c>
      <c r="I321" t="s">
        <v>51</v>
      </c>
      <c r="J321" t="s">
        <v>51</v>
      </c>
      <c r="K321" t="s">
        <v>51</v>
      </c>
    </row>
    <row r="322" spans="1:12" x14ac:dyDescent="0.25">
      <c r="A322" t="s">
        <v>731</v>
      </c>
      <c r="B322" t="s">
        <v>732</v>
      </c>
      <c r="C322" t="s">
        <v>50</v>
      </c>
      <c r="D322">
        <v>2.2999999999999998</v>
      </c>
      <c r="E322">
        <v>2.4</v>
      </c>
      <c r="F322">
        <v>0.1</v>
      </c>
      <c r="G322">
        <v>6.5</v>
      </c>
      <c r="H322">
        <v>0.4</v>
      </c>
      <c r="I322" t="s">
        <v>51</v>
      </c>
      <c r="J322" t="s">
        <v>51</v>
      </c>
      <c r="K322" t="s">
        <v>51</v>
      </c>
    </row>
    <row r="323" spans="1:12" x14ac:dyDescent="0.25">
      <c r="A323" t="s">
        <v>733</v>
      </c>
      <c r="B323" t="s">
        <v>734</v>
      </c>
      <c r="C323" t="s">
        <v>50</v>
      </c>
      <c r="D323">
        <v>14.7</v>
      </c>
      <c r="E323">
        <v>15.3</v>
      </c>
      <c r="F323">
        <v>0.6</v>
      </c>
      <c r="G323">
        <v>4.0999999999999996</v>
      </c>
      <c r="H323">
        <v>0.4</v>
      </c>
      <c r="I323" t="s">
        <v>51</v>
      </c>
      <c r="J323" t="s">
        <v>51</v>
      </c>
      <c r="K323" t="s">
        <v>51</v>
      </c>
    </row>
    <row r="324" spans="1:12" x14ac:dyDescent="0.25">
      <c r="A324" t="s">
        <v>735</v>
      </c>
      <c r="B324" t="s">
        <v>736</v>
      </c>
      <c r="C324" t="s">
        <v>50</v>
      </c>
      <c r="D324">
        <v>10.6</v>
      </c>
      <c r="E324">
        <v>10.8</v>
      </c>
      <c r="F324">
        <v>0.3</v>
      </c>
      <c r="G324">
        <v>2.7</v>
      </c>
      <c r="H324">
        <v>0.2</v>
      </c>
      <c r="I324" t="s">
        <v>51</v>
      </c>
      <c r="J324" t="s">
        <v>51</v>
      </c>
      <c r="K324" t="s">
        <v>51</v>
      </c>
    </row>
    <row r="325" spans="1:12" x14ac:dyDescent="0.25">
      <c r="A325" t="s">
        <v>737</v>
      </c>
      <c r="B325" t="s">
        <v>738</v>
      </c>
      <c r="C325" t="s">
        <v>50</v>
      </c>
      <c r="D325">
        <v>1.6</v>
      </c>
      <c r="E325">
        <v>1.6</v>
      </c>
      <c r="F325">
        <v>0.1</v>
      </c>
      <c r="G325">
        <v>4.4000000000000004</v>
      </c>
      <c r="H325">
        <v>0</v>
      </c>
      <c r="I325" t="s">
        <v>51</v>
      </c>
      <c r="J325" t="s">
        <v>51</v>
      </c>
      <c r="K325" t="s">
        <v>51</v>
      </c>
    </row>
    <row r="326" spans="1:12" x14ac:dyDescent="0.25">
      <c r="A326" t="s">
        <v>739</v>
      </c>
      <c r="B326" t="s">
        <v>740</v>
      </c>
      <c r="C326" t="s">
        <v>50</v>
      </c>
      <c r="D326">
        <v>8.8000000000000007</v>
      </c>
      <c r="E326">
        <v>8.4</v>
      </c>
      <c r="F326">
        <v>-0.5</v>
      </c>
      <c r="G326">
        <v>-5.5</v>
      </c>
      <c r="H326">
        <v>-0.5</v>
      </c>
      <c r="I326" t="s">
        <v>51</v>
      </c>
      <c r="J326" t="s">
        <v>51</v>
      </c>
      <c r="K326" t="s">
        <v>51</v>
      </c>
    </row>
    <row r="327" spans="1:12" x14ac:dyDescent="0.25">
      <c r="A327" t="s">
        <v>741</v>
      </c>
      <c r="B327" t="s">
        <v>742</v>
      </c>
      <c r="C327" t="s">
        <v>50</v>
      </c>
      <c r="D327">
        <v>40.9</v>
      </c>
      <c r="E327">
        <v>47</v>
      </c>
      <c r="F327">
        <v>6.1</v>
      </c>
      <c r="G327">
        <v>14.8</v>
      </c>
      <c r="H327">
        <v>1.4</v>
      </c>
      <c r="I327" t="s">
        <v>51</v>
      </c>
      <c r="J327" t="s">
        <v>51</v>
      </c>
      <c r="K327" t="s">
        <v>51</v>
      </c>
    </row>
    <row r="328" spans="1:12" x14ac:dyDescent="0.25">
      <c r="A328" t="s">
        <v>743</v>
      </c>
      <c r="B328" t="s">
        <v>744</v>
      </c>
      <c r="C328" t="s">
        <v>47</v>
      </c>
      <c r="D328">
        <v>23692.2</v>
      </c>
      <c r="E328">
        <v>25674.9</v>
      </c>
      <c r="F328">
        <v>1982.7</v>
      </c>
      <c r="G328">
        <v>8.4</v>
      </c>
      <c r="H328">
        <v>0.8</v>
      </c>
      <c r="I328" t="s">
        <v>51</v>
      </c>
      <c r="J328" t="s">
        <v>51</v>
      </c>
      <c r="K328" t="s">
        <v>51</v>
      </c>
    </row>
    <row r="329" spans="1:12" x14ac:dyDescent="0.25">
      <c r="A329" t="s">
        <v>745</v>
      </c>
      <c r="B329" t="s">
        <v>746</v>
      </c>
      <c r="C329" t="s">
        <v>47</v>
      </c>
      <c r="D329">
        <v>8784.9</v>
      </c>
      <c r="E329">
        <v>9852.7999999999993</v>
      </c>
      <c r="F329">
        <v>1067.9000000000001</v>
      </c>
      <c r="G329">
        <v>12.2</v>
      </c>
      <c r="H329">
        <v>1.2</v>
      </c>
      <c r="I329">
        <v>1417.6</v>
      </c>
      <c r="J329">
        <v>1929</v>
      </c>
      <c r="K329">
        <v>3.1</v>
      </c>
      <c r="L329" t="s">
        <v>747</v>
      </c>
    </row>
    <row r="330" spans="1:12" x14ac:dyDescent="0.25">
      <c r="A330" t="s">
        <v>748</v>
      </c>
      <c r="B330" t="s">
        <v>749</v>
      </c>
      <c r="C330" t="s">
        <v>50</v>
      </c>
      <c r="D330">
        <v>2975.4</v>
      </c>
      <c r="E330">
        <v>3180</v>
      </c>
      <c r="F330">
        <v>204.6</v>
      </c>
      <c r="G330">
        <v>6.9</v>
      </c>
      <c r="H330">
        <v>0.7</v>
      </c>
      <c r="I330">
        <v>646.9</v>
      </c>
      <c r="J330">
        <v>893.9</v>
      </c>
      <c r="K330">
        <v>3.3</v>
      </c>
    </row>
    <row r="331" spans="1:12" x14ac:dyDescent="0.25">
      <c r="A331" t="s">
        <v>750</v>
      </c>
      <c r="B331" t="s">
        <v>751</v>
      </c>
      <c r="C331" t="s">
        <v>50</v>
      </c>
      <c r="D331">
        <v>1045.5</v>
      </c>
      <c r="E331">
        <v>1101.8</v>
      </c>
      <c r="F331">
        <v>56.3</v>
      </c>
      <c r="G331">
        <v>5.4</v>
      </c>
      <c r="H331">
        <v>0.5</v>
      </c>
      <c r="I331">
        <v>146.69999999999999</v>
      </c>
      <c r="J331">
        <v>164.3</v>
      </c>
      <c r="K331">
        <v>1.1000000000000001</v>
      </c>
    </row>
    <row r="332" spans="1:12" x14ac:dyDescent="0.25">
      <c r="A332" t="s">
        <v>752</v>
      </c>
      <c r="B332" t="s">
        <v>753</v>
      </c>
      <c r="C332" t="s">
        <v>47</v>
      </c>
      <c r="D332">
        <v>1232.2</v>
      </c>
      <c r="E332">
        <v>1457.8</v>
      </c>
      <c r="F332">
        <v>225.6</v>
      </c>
      <c r="G332">
        <v>18.3</v>
      </c>
      <c r="H332">
        <v>1.7</v>
      </c>
      <c r="I332">
        <v>164.6</v>
      </c>
      <c r="J332">
        <v>235.3</v>
      </c>
      <c r="K332">
        <v>3.6</v>
      </c>
    </row>
    <row r="333" spans="1:12" x14ac:dyDescent="0.25">
      <c r="A333" t="s">
        <v>754</v>
      </c>
      <c r="B333" t="s">
        <v>755</v>
      </c>
      <c r="C333" t="s">
        <v>50</v>
      </c>
      <c r="D333">
        <v>146.9</v>
      </c>
      <c r="E333">
        <v>156</v>
      </c>
      <c r="F333">
        <v>9.1</v>
      </c>
      <c r="G333">
        <v>6.2</v>
      </c>
      <c r="H333">
        <v>0.6</v>
      </c>
      <c r="I333" t="s">
        <v>51</v>
      </c>
      <c r="J333" t="s">
        <v>51</v>
      </c>
      <c r="K333" t="s">
        <v>51</v>
      </c>
    </row>
    <row r="334" spans="1:12" x14ac:dyDescent="0.25">
      <c r="A334" t="s">
        <v>756</v>
      </c>
      <c r="B334" t="s">
        <v>757</v>
      </c>
      <c r="C334" t="s">
        <v>50</v>
      </c>
      <c r="D334">
        <v>154.5</v>
      </c>
      <c r="E334">
        <v>166.2</v>
      </c>
      <c r="F334">
        <v>11.7</v>
      </c>
      <c r="G334">
        <v>7.6</v>
      </c>
      <c r="H334">
        <v>0.7</v>
      </c>
      <c r="I334" t="s">
        <v>51</v>
      </c>
      <c r="J334" t="s">
        <v>51</v>
      </c>
      <c r="K334" t="s">
        <v>51</v>
      </c>
    </row>
    <row r="335" spans="1:12" x14ac:dyDescent="0.25">
      <c r="A335" t="s">
        <v>758</v>
      </c>
      <c r="B335" t="s">
        <v>759</v>
      </c>
      <c r="C335" t="s">
        <v>50</v>
      </c>
      <c r="D335">
        <v>247.9</v>
      </c>
      <c r="E335">
        <v>313.39999999999998</v>
      </c>
      <c r="F335">
        <v>65.5</v>
      </c>
      <c r="G335">
        <v>26.4</v>
      </c>
      <c r="H335">
        <v>2.4</v>
      </c>
      <c r="I335" t="s">
        <v>51</v>
      </c>
      <c r="J335" t="s">
        <v>51</v>
      </c>
      <c r="K335" t="s">
        <v>51</v>
      </c>
    </row>
    <row r="336" spans="1:12" x14ac:dyDescent="0.25">
      <c r="A336" t="s">
        <v>760</v>
      </c>
      <c r="B336" t="s">
        <v>761</v>
      </c>
      <c r="C336" t="s">
        <v>50</v>
      </c>
      <c r="D336">
        <v>493.1</v>
      </c>
      <c r="E336">
        <v>607.9</v>
      </c>
      <c r="F336">
        <v>114.8</v>
      </c>
      <c r="G336">
        <v>23.3</v>
      </c>
      <c r="H336">
        <v>2.1</v>
      </c>
      <c r="I336" t="s">
        <v>51</v>
      </c>
      <c r="J336" t="s">
        <v>51</v>
      </c>
      <c r="K336" t="s">
        <v>51</v>
      </c>
    </row>
    <row r="337" spans="1:12" x14ac:dyDescent="0.25">
      <c r="A337" t="s">
        <v>762</v>
      </c>
      <c r="B337" t="s">
        <v>763</v>
      </c>
      <c r="C337" t="s">
        <v>50</v>
      </c>
      <c r="D337">
        <v>189.8</v>
      </c>
      <c r="E337">
        <v>214.3</v>
      </c>
      <c r="F337">
        <v>24.5</v>
      </c>
      <c r="G337">
        <v>12.9</v>
      </c>
      <c r="H337">
        <v>1.2</v>
      </c>
      <c r="I337" t="s">
        <v>51</v>
      </c>
      <c r="J337" t="s">
        <v>51</v>
      </c>
      <c r="K337" t="s">
        <v>51</v>
      </c>
    </row>
    <row r="338" spans="1:12" x14ac:dyDescent="0.25">
      <c r="A338" t="s">
        <v>764</v>
      </c>
      <c r="B338" t="s">
        <v>765</v>
      </c>
      <c r="C338" t="s">
        <v>47</v>
      </c>
      <c r="D338">
        <v>1115.0999999999999</v>
      </c>
      <c r="E338">
        <v>1324.8</v>
      </c>
      <c r="F338">
        <v>209.7</v>
      </c>
      <c r="G338">
        <v>18.8</v>
      </c>
      <c r="H338">
        <v>1.7</v>
      </c>
      <c r="I338">
        <v>217.8</v>
      </c>
      <c r="J338">
        <v>307.39999999999998</v>
      </c>
      <c r="K338">
        <v>3.5</v>
      </c>
    </row>
    <row r="339" spans="1:12" x14ac:dyDescent="0.25">
      <c r="A339" t="s">
        <v>766</v>
      </c>
      <c r="B339" t="s">
        <v>767</v>
      </c>
      <c r="C339" t="s">
        <v>50</v>
      </c>
      <c r="D339">
        <v>314.8</v>
      </c>
      <c r="E339">
        <v>377.6</v>
      </c>
      <c r="F339">
        <v>62.8</v>
      </c>
      <c r="G339">
        <v>19.899999999999999</v>
      </c>
      <c r="H339">
        <v>1.8</v>
      </c>
      <c r="I339" t="s">
        <v>51</v>
      </c>
      <c r="J339" t="s">
        <v>51</v>
      </c>
      <c r="K339" t="s">
        <v>51</v>
      </c>
    </row>
    <row r="340" spans="1:12" x14ac:dyDescent="0.25">
      <c r="A340" t="s">
        <v>768</v>
      </c>
      <c r="B340" t="s">
        <v>769</v>
      </c>
      <c r="C340" t="s">
        <v>50</v>
      </c>
      <c r="D340">
        <v>308</v>
      </c>
      <c r="E340">
        <v>327.7</v>
      </c>
      <c r="F340">
        <v>19.7</v>
      </c>
      <c r="G340">
        <v>6.4</v>
      </c>
      <c r="H340">
        <v>0.6</v>
      </c>
      <c r="I340">
        <v>75.900000000000006</v>
      </c>
      <c r="J340">
        <v>99.1</v>
      </c>
      <c r="K340">
        <v>2.7</v>
      </c>
    </row>
    <row r="341" spans="1:12" x14ac:dyDescent="0.25">
      <c r="A341" t="s">
        <v>770</v>
      </c>
      <c r="B341" t="s">
        <v>771</v>
      </c>
      <c r="C341" t="s">
        <v>50</v>
      </c>
      <c r="D341">
        <v>1750.8</v>
      </c>
      <c r="E341">
        <v>2076.6</v>
      </c>
      <c r="F341">
        <v>325.8</v>
      </c>
      <c r="G341">
        <v>18.600000000000001</v>
      </c>
      <c r="H341">
        <v>1.7</v>
      </c>
      <c r="I341">
        <v>120.6</v>
      </c>
      <c r="J341">
        <v>176.6</v>
      </c>
      <c r="K341">
        <v>3.9</v>
      </c>
    </row>
    <row r="342" spans="1:12" x14ac:dyDescent="0.25">
      <c r="A342" t="s">
        <v>772</v>
      </c>
      <c r="B342" t="s">
        <v>773</v>
      </c>
      <c r="C342" t="s">
        <v>47</v>
      </c>
      <c r="D342">
        <v>357.9</v>
      </c>
      <c r="E342">
        <v>384.3</v>
      </c>
      <c r="F342">
        <v>26.4</v>
      </c>
      <c r="G342">
        <v>7.4</v>
      </c>
      <c r="H342">
        <v>0.7</v>
      </c>
      <c r="I342">
        <v>46.3</v>
      </c>
      <c r="J342">
        <v>61.5</v>
      </c>
      <c r="K342">
        <v>2.9</v>
      </c>
    </row>
    <row r="343" spans="1:12" x14ac:dyDescent="0.25">
      <c r="A343" t="s">
        <v>774</v>
      </c>
      <c r="B343" t="s">
        <v>775</v>
      </c>
      <c r="C343" t="s">
        <v>50</v>
      </c>
      <c r="D343">
        <v>170.5</v>
      </c>
      <c r="E343">
        <v>176.8</v>
      </c>
      <c r="F343">
        <v>6.3</v>
      </c>
      <c r="G343">
        <v>3.7</v>
      </c>
      <c r="H343">
        <v>0.4</v>
      </c>
      <c r="I343" t="s">
        <v>51</v>
      </c>
      <c r="J343" t="s">
        <v>51</v>
      </c>
      <c r="K343" t="s">
        <v>51</v>
      </c>
    </row>
    <row r="344" spans="1:12" x14ac:dyDescent="0.25">
      <c r="A344" t="s">
        <v>776</v>
      </c>
      <c r="B344" t="s">
        <v>777</v>
      </c>
      <c r="C344" t="s">
        <v>50</v>
      </c>
      <c r="D344">
        <v>187.4</v>
      </c>
      <c r="E344">
        <v>207.5</v>
      </c>
      <c r="F344">
        <v>20.100000000000001</v>
      </c>
      <c r="G344">
        <v>10.7</v>
      </c>
      <c r="H344">
        <v>1</v>
      </c>
      <c r="I344" t="s">
        <v>51</v>
      </c>
      <c r="J344" t="s">
        <v>51</v>
      </c>
      <c r="K344" t="s">
        <v>51</v>
      </c>
    </row>
    <row r="345" spans="1:12" x14ac:dyDescent="0.25">
      <c r="A345" t="s">
        <v>778</v>
      </c>
      <c r="B345" t="s">
        <v>779</v>
      </c>
      <c r="C345" t="s">
        <v>47</v>
      </c>
      <c r="D345">
        <v>6715.9</v>
      </c>
      <c r="E345">
        <v>6980.7</v>
      </c>
      <c r="F345">
        <v>264.8</v>
      </c>
      <c r="G345">
        <v>3.9</v>
      </c>
      <c r="H345">
        <v>0.4</v>
      </c>
      <c r="I345" t="s">
        <v>51</v>
      </c>
      <c r="J345" t="s">
        <v>51</v>
      </c>
      <c r="K345" t="s">
        <v>51</v>
      </c>
    </row>
    <row r="346" spans="1:12" x14ac:dyDescent="0.25">
      <c r="A346" t="s">
        <v>780</v>
      </c>
      <c r="B346" t="s">
        <v>781</v>
      </c>
      <c r="C346" t="s">
        <v>47</v>
      </c>
      <c r="D346">
        <v>5551.1</v>
      </c>
      <c r="E346">
        <v>5794.8</v>
      </c>
      <c r="F346">
        <v>243.7</v>
      </c>
      <c r="G346">
        <v>4.4000000000000004</v>
      </c>
      <c r="H346">
        <v>0.4</v>
      </c>
      <c r="I346">
        <v>1007.8</v>
      </c>
      <c r="J346">
        <v>1311</v>
      </c>
      <c r="K346">
        <v>2.7</v>
      </c>
      <c r="L346" t="s">
        <v>747</v>
      </c>
    </row>
    <row r="347" spans="1:12" x14ac:dyDescent="0.25">
      <c r="A347" t="s">
        <v>782</v>
      </c>
      <c r="B347" t="s">
        <v>783</v>
      </c>
      <c r="C347" t="s">
        <v>50</v>
      </c>
      <c r="D347">
        <v>5070.2</v>
      </c>
      <c r="E347">
        <v>5267.5</v>
      </c>
      <c r="F347">
        <v>197.3</v>
      </c>
      <c r="G347">
        <v>3.9</v>
      </c>
      <c r="H347">
        <v>0.4</v>
      </c>
      <c r="I347" t="s">
        <v>51</v>
      </c>
      <c r="J347" t="s">
        <v>51</v>
      </c>
      <c r="K347" t="s">
        <v>51</v>
      </c>
    </row>
    <row r="348" spans="1:12" x14ac:dyDescent="0.25">
      <c r="A348" t="s">
        <v>784</v>
      </c>
      <c r="B348" t="s">
        <v>785</v>
      </c>
      <c r="C348" t="s">
        <v>50</v>
      </c>
      <c r="D348">
        <v>165.2</v>
      </c>
      <c r="E348">
        <v>182.5</v>
      </c>
      <c r="F348">
        <v>17.3</v>
      </c>
      <c r="G348">
        <v>10.5</v>
      </c>
      <c r="H348">
        <v>1</v>
      </c>
      <c r="I348" t="s">
        <v>51</v>
      </c>
      <c r="J348" t="s">
        <v>51</v>
      </c>
      <c r="K348" t="s">
        <v>51</v>
      </c>
    </row>
    <row r="349" spans="1:12" x14ac:dyDescent="0.25">
      <c r="A349" t="s">
        <v>786</v>
      </c>
      <c r="B349" t="s">
        <v>787</v>
      </c>
      <c r="C349" t="s">
        <v>50</v>
      </c>
      <c r="D349">
        <v>315.7</v>
      </c>
      <c r="E349">
        <v>344.8</v>
      </c>
      <c r="F349">
        <v>29.1</v>
      </c>
      <c r="G349">
        <v>9.1999999999999993</v>
      </c>
      <c r="H349">
        <v>0.9</v>
      </c>
      <c r="I349" t="s">
        <v>51</v>
      </c>
      <c r="J349" t="s">
        <v>51</v>
      </c>
      <c r="K349" t="s">
        <v>51</v>
      </c>
    </row>
    <row r="350" spans="1:12" x14ac:dyDescent="0.25">
      <c r="A350" t="s">
        <v>788</v>
      </c>
      <c r="B350" t="s">
        <v>789</v>
      </c>
      <c r="C350" t="s">
        <v>47</v>
      </c>
      <c r="D350">
        <v>1164.8</v>
      </c>
      <c r="E350">
        <v>1185.9000000000001</v>
      </c>
      <c r="F350">
        <v>21.1</v>
      </c>
      <c r="G350">
        <v>1.8</v>
      </c>
      <c r="H350">
        <v>0.2</v>
      </c>
      <c r="I350">
        <v>379.1</v>
      </c>
      <c r="J350">
        <v>482</v>
      </c>
      <c r="K350">
        <v>2.4</v>
      </c>
      <c r="L350" t="s">
        <v>747</v>
      </c>
    </row>
    <row r="351" spans="1:12" x14ac:dyDescent="0.25">
      <c r="A351" t="s">
        <v>790</v>
      </c>
      <c r="B351" t="s">
        <v>791</v>
      </c>
      <c r="C351" t="s">
        <v>50</v>
      </c>
      <c r="D351">
        <v>305.10000000000002</v>
      </c>
      <c r="E351">
        <v>316.60000000000002</v>
      </c>
      <c r="F351">
        <v>11.5</v>
      </c>
      <c r="G351">
        <v>3.8</v>
      </c>
      <c r="H351">
        <v>0.4</v>
      </c>
      <c r="I351" t="s">
        <v>51</v>
      </c>
      <c r="J351" t="s">
        <v>51</v>
      </c>
      <c r="K351" t="s">
        <v>51</v>
      </c>
    </row>
    <row r="352" spans="1:12" x14ac:dyDescent="0.25">
      <c r="A352" t="s">
        <v>792</v>
      </c>
      <c r="B352" t="s">
        <v>793</v>
      </c>
      <c r="C352" t="s">
        <v>50</v>
      </c>
      <c r="D352">
        <v>700.5</v>
      </c>
      <c r="E352">
        <v>717.4</v>
      </c>
      <c r="F352">
        <v>17</v>
      </c>
      <c r="G352">
        <v>2.4</v>
      </c>
      <c r="H352">
        <v>0.2</v>
      </c>
      <c r="I352" t="s">
        <v>51</v>
      </c>
      <c r="J352" t="s">
        <v>51</v>
      </c>
      <c r="K352" t="s">
        <v>51</v>
      </c>
    </row>
    <row r="353" spans="1:12" x14ac:dyDescent="0.25">
      <c r="A353" t="s">
        <v>794</v>
      </c>
      <c r="B353" t="s">
        <v>795</v>
      </c>
      <c r="C353" t="s">
        <v>50</v>
      </c>
      <c r="D353">
        <v>115.2</v>
      </c>
      <c r="E353">
        <v>106.7</v>
      </c>
      <c r="F353">
        <v>-8.5</v>
      </c>
      <c r="G353">
        <v>-7.4</v>
      </c>
      <c r="H353">
        <v>-0.8</v>
      </c>
      <c r="I353" t="s">
        <v>51</v>
      </c>
      <c r="J353" t="s">
        <v>51</v>
      </c>
      <c r="K353" t="s">
        <v>51</v>
      </c>
    </row>
    <row r="354" spans="1:12" x14ac:dyDescent="0.25">
      <c r="A354" t="s">
        <v>796</v>
      </c>
      <c r="B354" t="s">
        <v>797</v>
      </c>
      <c r="C354" t="s">
        <v>50</v>
      </c>
      <c r="D354">
        <v>3.1</v>
      </c>
      <c r="E354">
        <v>2.8</v>
      </c>
      <c r="F354">
        <v>-0.2</v>
      </c>
      <c r="G354">
        <v>-8</v>
      </c>
      <c r="H354">
        <v>-1</v>
      </c>
      <c r="I354" t="s">
        <v>51</v>
      </c>
      <c r="J354" t="s">
        <v>51</v>
      </c>
      <c r="K354" t="s">
        <v>51</v>
      </c>
    </row>
    <row r="355" spans="1:12" x14ac:dyDescent="0.25">
      <c r="A355" t="s">
        <v>798</v>
      </c>
      <c r="B355" t="s">
        <v>799</v>
      </c>
      <c r="C355" t="s">
        <v>50</v>
      </c>
      <c r="D355">
        <v>40.200000000000003</v>
      </c>
      <c r="E355">
        <v>41.5</v>
      </c>
      <c r="F355">
        <v>1.3</v>
      </c>
      <c r="G355">
        <v>3.3</v>
      </c>
      <c r="H355">
        <v>0.3</v>
      </c>
      <c r="I355" t="s">
        <v>51</v>
      </c>
      <c r="J355" t="s">
        <v>51</v>
      </c>
      <c r="K355" t="s">
        <v>51</v>
      </c>
    </row>
    <row r="356" spans="1:12" x14ac:dyDescent="0.25">
      <c r="A356" t="s">
        <v>800</v>
      </c>
      <c r="B356" t="s">
        <v>801</v>
      </c>
      <c r="C356" t="s">
        <v>50</v>
      </c>
      <c r="D356">
        <v>0.7</v>
      </c>
      <c r="E356">
        <v>0.7</v>
      </c>
      <c r="F356">
        <v>0</v>
      </c>
      <c r="G356">
        <v>-1.3</v>
      </c>
      <c r="H356">
        <v>0</v>
      </c>
      <c r="I356" t="s">
        <v>51</v>
      </c>
      <c r="J356" t="s">
        <v>51</v>
      </c>
      <c r="K356" t="s">
        <v>51</v>
      </c>
    </row>
    <row r="357" spans="1:12" x14ac:dyDescent="0.25">
      <c r="A357" t="s">
        <v>802</v>
      </c>
      <c r="B357" t="s">
        <v>803</v>
      </c>
      <c r="C357" t="s">
        <v>47</v>
      </c>
      <c r="D357">
        <v>3316.6</v>
      </c>
      <c r="E357">
        <v>3421.1</v>
      </c>
      <c r="F357">
        <v>104.5</v>
      </c>
      <c r="G357">
        <v>3.2</v>
      </c>
      <c r="H357">
        <v>0.3</v>
      </c>
      <c r="I357">
        <v>268.60000000000002</v>
      </c>
      <c r="J357">
        <v>317.60000000000002</v>
      </c>
      <c r="K357">
        <v>1.7</v>
      </c>
      <c r="L357" t="s">
        <v>747</v>
      </c>
    </row>
    <row r="358" spans="1:12" x14ac:dyDescent="0.25">
      <c r="A358" t="s">
        <v>804</v>
      </c>
      <c r="B358" t="s">
        <v>805</v>
      </c>
      <c r="C358" t="s">
        <v>50</v>
      </c>
      <c r="D358">
        <v>1492.4</v>
      </c>
      <c r="E358">
        <v>1448.1</v>
      </c>
      <c r="F358">
        <v>-44.3</v>
      </c>
      <c r="G358">
        <v>-3</v>
      </c>
      <c r="H358">
        <v>-0.3</v>
      </c>
      <c r="I358" t="s">
        <v>51</v>
      </c>
      <c r="J358" t="s">
        <v>51</v>
      </c>
      <c r="K358" t="s">
        <v>51</v>
      </c>
    </row>
    <row r="359" spans="1:12" x14ac:dyDescent="0.25">
      <c r="A359" t="s">
        <v>806</v>
      </c>
      <c r="B359" t="s">
        <v>807</v>
      </c>
      <c r="C359" t="s">
        <v>50</v>
      </c>
      <c r="D359">
        <v>988.5</v>
      </c>
      <c r="E359">
        <v>1092.4000000000001</v>
      </c>
      <c r="F359">
        <v>103.9</v>
      </c>
      <c r="G359">
        <v>10.5</v>
      </c>
      <c r="H359">
        <v>1</v>
      </c>
      <c r="I359" t="s">
        <v>51</v>
      </c>
      <c r="J359" t="s">
        <v>51</v>
      </c>
      <c r="K359" t="s">
        <v>51</v>
      </c>
    </row>
    <row r="360" spans="1:12" x14ac:dyDescent="0.25">
      <c r="A360" t="s">
        <v>808</v>
      </c>
      <c r="B360" t="s">
        <v>809</v>
      </c>
      <c r="C360" t="s">
        <v>47</v>
      </c>
      <c r="D360">
        <v>669.9</v>
      </c>
      <c r="E360">
        <v>710.7</v>
      </c>
      <c r="F360">
        <v>40.799999999999997</v>
      </c>
      <c r="G360">
        <v>6.1</v>
      </c>
      <c r="H360">
        <v>0.6</v>
      </c>
      <c r="I360" t="s">
        <v>51</v>
      </c>
      <c r="J360" t="s">
        <v>51</v>
      </c>
      <c r="K360" t="s">
        <v>51</v>
      </c>
    </row>
    <row r="361" spans="1:12" x14ac:dyDescent="0.25">
      <c r="A361" t="s">
        <v>810</v>
      </c>
      <c r="B361" t="s">
        <v>811</v>
      </c>
      <c r="C361" t="s">
        <v>50</v>
      </c>
      <c r="D361">
        <v>405.6</v>
      </c>
      <c r="E361">
        <v>418.3</v>
      </c>
      <c r="F361">
        <v>12.7</v>
      </c>
      <c r="G361">
        <v>3.1</v>
      </c>
      <c r="H361">
        <v>0.3</v>
      </c>
      <c r="I361" t="s">
        <v>51</v>
      </c>
      <c r="J361" t="s">
        <v>51</v>
      </c>
      <c r="K361" t="s">
        <v>51</v>
      </c>
    </row>
    <row r="362" spans="1:12" x14ac:dyDescent="0.25">
      <c r="A362" t="s">
        <v>812</v>
      </c>
      <c r="B362" t="s">
        <v>813</v>
      </c>
      <c r="C362" t="s">
        <v>50</v>
      </c>
      <c r="D362">
        <v>264.3</v>
      </c>
      <c r="E362">
        <v>292.39999999999998</v>
      </c>
      <c r="F362">
        <v>28.1</v>
      </c>
      <c r="G362">
        <v>10.6</v>
      </c>
      <c r="H362">
        <v>1</v>
      </c>
      <c r="I362" t="s">
        <v>51</v>
      </c>
      <c r="J362" t="s">
        <v>51</v>
      </c>
      <c r="K362" t="s">
        <v>51</v>
      </c>
    </row>
    <row r="363" spans="1:12" x14ac:dyDescent="0.25">
      <c r="A363" t="s">
        <v>814</v>
      </c>
      <c r="B363" t="s">
        <v>815</v>
      </c>
      <c r="C363" t="s">
        <v>50</v>
      </c>
      <c r="D363">
        <v>165.8</v>
      </c>
      <c r="E363">
        <v>170</v>
      </c>
      <c r="F363">
        <v>4.2</v>
      </c>
      <c r="G363">
        <v>2.5</v>
      </c>
      <c r="H363">
        <v>0.3</v>
      </c>
      <c r="I363" t="s">
        <v>51</v>
      </c>
      <c r="J363" t="s">
        <v>51</v>
      </c>
      <c r="K363" t="s">
        <v>51</v>
      </c>
    </row>
    <row r="364" spans="1:12" x14ac:dyDescent="0.25">
      <c r="A364" t="s">
        <v>816</v>
      </c>
      <c r="B364" t="s">
        <v>817</v>
      </c>
      <c r="C364" t="s">
        <v>47</v>
      </c>
      <c r="D364">
        <v>4874.8</v>
      </c>
      <c r="E364">
        <v>5420.4</v>
      </c>
      <c r="F364">
        <v>545.6</v>
      </c>
      <c r="G364">
        <v>11.2</v>
      </c>
      <c r="H364">
        <v>1.1000000000000001</v>
      </c>
      <c r="I364">
        <v>275.10000000000002</v>
      </c>
      <c r="J364">
        <v>359.2</v>
      </c>
      <c r="K364">
        <v>2.7</v>
      </c>
      <c r="L364" t="s">
        <v>747</v>
      </c>
    </row>
    <row r="365" spans="1:12" x14ac:dyDescent="0.25">
      <c r="A365" t="s">
        <v>818</v>
      </c>
      <c r="B365" t="s">
        <v>819</v>
      </c>
      <c r="C365" t="s">
        <v>47</v>
      </c>
      <c r="D365">
        <v>3264.5</v>
      </c>
      <c r="E365">
        <v>3829.7</v>
      </c>
      <c r="F365">
        <v>565.20000000000005</v>
      </c>
      <c r="G365">
        <v>17.3</v>
      </c>
      <c r="H365">
        <v>1.6</v>
      </c>
      <c r="I365">
        <v>150.9</v>
      </c>
      <c r="J365">
        <v>222.4</v>
      </c>
      <c r="K365">
        <v>4</v>
      </c>
    </row>
    <row r="366" spans="1:12" x14ac:dyDescent="0.25">
      <c r="A366" t="s">
        <v>820</v>
      </c>
      <c r="B366" t="s">
        <v>821</v>
      </c>
      <c r="C366" t="s">
        <v>50</v>
      </c>
      <c r="D366">
        <v>2512.3000000000002</v>
      </c>
      <c r="E366">
        <v>3040.8</v>
      </c>
      <c r="F366">
        <v>528.5</v>
      </c>
      <c r="G366">
        <v>21</v>
      </c>
      <c r="H366">
        <v>1.9</v>
      </c>
      <c r="I366" t="s">
        <v>51</v>
      </c>
      <c r="J366" t="s">
        <v>51</v>
      </c>
      <c r="K366" t="s">
        <v>51</v>
      </c>
    </row>
    <row r="367" spans="1:12" x14ac:dyDescent="0.25">
      <c r="A367" t="s">
        <v>822</v>
      </c>
      <c r="B367" t="s">
        <v>823</v>
      </c>
      <c r="C367" t="s">
        <v>47</v>
      </c>
      <c r="D367">
        <v>518.4</v>
      </c>
      <c r="E367">
        <v>505.1</v>
      </c>
      <c r="F367">
        <v>-13.3</v>
      </c>
      <c r="G367">
        <v>-2.6</v>
      </c>
      <c r="H367">
        <v>-0.3</v>
      </c>
      <c r="I367">
        <v>58.9</v>
      </c>
      <c r="J367">
        <v>69.400000000000006</v>
      </c>
      <c r="K367">
        <v>1.7</v>
      </c>
    </row>
    <row r="368" spans="1:12" x14ac:dyDescent="0.25">
      <c r="A368" t="s">
        <v>824</v>
      </c>
      <c r="B368" t="s">
        <v>825</v>
      </c>
      <c r="C368" t="s">
        <v>50</v>
      </c>
      <c r="D368">
        <v>233.3</v>
      </c>
      <c r="E368">
        <v>252.5</v>
      </c>
      <c r="F368">
        <v>19.2</v>
      </c>
      <c r="G368">
        <v>8.1999999999999993</v>
      </c>
      <c r="H368">
        <v>0.8</v>
      </c>
      <c r="I368" t="s">
        <v>51</v>
      </c>
      <c r="J368" t="s">
        <v>51</v>
      </c>
      <c r="K368" t="s">
        <v>51</v>
      </c>
    </row>
    <row r="369" spans="1:12" x14ac:dyDescent="0.25">
      <c r="A369" t="s">
        <v>826</v>
      </c>
      <c r="B369" t="s">
        <v>827</v>
      </c>
      <c r="C369" t="s">
        <v>50</v>
      </c>
      <c r="D369">
        <v>285.10000000000002</v>
      </c>
      <c r="E369">
        <v>252.5</v>
      </c>
      <c r="F369">
        <v>-32.6</v>
      </c>
      <c r="G369">
        <v>-11.4</v>
      </c>
      <c r="H369">
        <v>-1.2</v>
      </c>
      <c r="I369" t="s">
        <v>51</v>
      </c>
      <c r="J369" t="s">
        <v>51</v>
      </c>
      <c r="K369" t="s">
        <v>51</v>
      </c>
    </row>
    <row r="370" spans="1:12" x14ac:dyDescent="0.25">
      <c r="A370" t="s">
        <v>828</v>
      </c>
      <c r="B370" t="s">
        <v>829</v>
      </c>
      <c r="C370" t="s">
        <v>50</v>
      </c>
      <c r="D370">
        <v>1091.9000000000001</v>
      </c>
      <c r="E370">
        <v>1085.5999999999999</v>
      </c>
      <c r="F370">
        <v>-6.3</v>
      </c>
      <c r="G370">
        <v>-0.6</v>
      </c>
      <c r="H370">
        <v>-0.1</v>
      </c>
      <c r="I370">
        <v>65.400000000000006</v>
      </c>
      <c r="J370">
        <v>66.400000000000006</v>
      </c>
      <c r="K370">
        <v>0.2</v>
      </c>
    </row>
    <row r="371" spans="1:12" x14ac:dyDescent="0.25">
      <c r="A371" t="s">
        <v>830</v>
      </c>
      <c r="B371" t="s">
        <v>831</v>
      </c>
      <c r="C371" t="s">
        <v>47</v>
      </c>
      <c r="D371">
        <v>2622.4</v>
      </c>
      <c r="E371">
        <v>2755</v>
      </c>
      <c r="F371">
        <v>132.6</v>
      </c>
      <c r="G371">
        <v>5.0999999999999996</v>
      </c>
      <c r="H371">
        <v>0.5</v>
      </c>
      <c r="I371">
        <v>439.4</v>
      </c>
      <c r="J371">
        <v>545.70000000000005</v>
      </c>
      <c r="K371">
        <v>2.2000000000000002</v>
      </c>
      <c r="L371" t="s">
        <v>832</v>
      </c>
    </row>
    <row r="372" spans="1:12" x14ac:dyDescent="0.25">
      <c r="A372" t="s">
        <v>833</v>
      </c>
      <c r="B372" t="s">
        <v>834</v>
      </c>
      <c r="C372" t="s">
        <v>47</v>
      </c>
      <c r="D372">
        <v>590.20000000000005</v>
      </c>
      <c r="E372">
        <v>618.1</v>
      </c>
      <c r="F372">
        <v>27.9</v>
      </c>
      <c r="G372">
        <v>4.7</v>
      </c>
      <c r="H372">
        <v>0.5</v>
      </c>
      <c r="I372">
        <v>231.5</v>
      </c>
      <c r="J372">
        <v>288.10000000000002</v>
      </c>
      <c r="K372">
        <v>2.2000000000000002</v>
      </c>
    </row>
    <row r="373" spans="1:12" x14ac:dyDescent="0.25">
      <c r="A373" t="s">
        <v>835</v>
      </c>
      <c r="B373" t="s">
        <v>836</v>
      </c>
      <c r="C373" t="s">
        <v>47</v>
      </c>
      <c r="D373">
        <v>142.1</v>
      </c>
      <c r="E373">
        <v>147.19999999999999</v>
      </c>
      <c r="F373">
        <v>5.0999999999999996</v>
      </c>
      <c r="G373">
        <v>3.6</v>
      </c>
      <c r="H373">
        <v>0.4</v>
      </c>
      <c r="I373">
        <v>29.8</v>
      </c>
      <c r="J373">
        <v>36.9</v>
      </c>
      <c r="K373">
        <v>2.1</v>
      </c>
    </row>
    <row r="374" spans="1:12" x14ac:dyDescent="0.25">
      <c r="A374" t="s">
        <v>837</v>
      </c>
      <c r="B374" t="s">
        <v>838</v>
      </c>
      <c r="C374" t="s">
        <v>50</v>
      </c>
      <c r="D374">
        <v>76.3</v>
      </c>
      <c r="E374">
        <v>78.900000000000006</v>
      </c>
      <c r="F374">
        <v>2.6</v>
      </c>
      <c r="G374">
        <v>3.4</v>
      </c>
      <c r="H374">
        <v>0.3</v>
      </c>
      <c r="I374" t="s">
        <v>51</v>
      </c>
      <c r="J374" t="s">
        <v>51</v>
      </c>
      <c r="K374" t="s">
        <v>51</v>
      </c>
    </row>
    <row r="375" spans="1:12" x14ac:dyDescent="0.25">
      <c r="A375" t="s">
        <v>839</v>
      </c>
      <c r="B375" t="s">
        <v>840</v>
      </c>
      <c r="C375" t="s">
        <v>50</v>
      </c>
      <c r="D375">
        <v>171.5</v>
      </c>
      <c r="E375">
        <v>179.6</v>
      </c>
      <c r="F375">
        <v>8.1</v>
      </c>
      <c r="G375">
        <v>4.7</v>
      </c>
      <c r="H375">
        <v>0.5</v>
      </c>
      <c r="I375">
        <v>63.9</v>
      </c>
      <c r="J375">
        <v>78.400000000000006</v>
      </c>
      <c r="K375">
        <v>2.1</v>
      </c>
    </row>
    <row r="376" spans="1:12" x14ac:dyDescent="0.25">
      <c r="A376" t="s">
        <v>841</v>
      </c>
      <c r="B376" t="s">
        <v>842</v>
      </c>
      <c r="C376" t="s">
        <v>47</v>
      </c>
      <c r="D376">
        <v>214.4</v>
      </c>
      <c r="E376">
        <v>230.1</v>
      </c>
      <c r="F376">
        <v>15.7</v>
      </c>
      <c r="G376">
        <v>7.3</v>
      </c>
      <c r="H376">
        <v>0.7</v>
      </c>
      <c r="I376">
        <v>83.4</v>
      </c>
      <c r="J376">
        <v>103.6</v>
      </c>
      <c r="K376">
        <v>2.2000000000000002</v>
      </c>
    </row>
    <row r="377" spans="1:12" x14ac:dyDescent="0.25">
      <c r="A377" t="s">
        <v>843</v>
      </c>
      <c r="B377" t="s">
        <v>844</v>
      </c>
      <c r="C377" t="s">
        <v>50</v>
      </c>
      <c r="D377">
        <v>183.3</v>
      </c>
      <c r="E377">
        <v>195.8</v>
      </c>
      <c r="F377">
        <v>12.5</v>
      </c>
      <c r="G377">
        <v>6.8</v>
      </c>
      <c r="H377">
        <v>0.7</v>
      </c>
      <c r="I377" t="s">
        <v>51</v>
      </c>
      <c r="J377" t="s">
        <v>51</v>
      </c>
      <c r="K377" t="s">
        <v>51</v>
      </c>
    </row>
    <row r="378" spans="1:12" x14ac:dyDescent="0.25">
      <c r="A378" t="s">
        <v>845</v>
      </c>
      <c r="B378" t="s">
        <v>846</v>
      </c>
      <c r="C378" t="s">
        <v>50</v>
      </c>
      <c r="D378">
        <v>31.1</v>
      </c>
      <c r="E378">
        <v>34.299999999999997</v>
      </c>
      <c r="F378">
        <v>3.2</v>
      </c>
      <c r="G378">
        <v>10.3</v>
      </c>
      <c r="H378">
        <v>1</v>
      </c>
      <c r="I378" t="s">
        <v>51</v>
      </c>
      <c r="J378" t="s">
        <v>51</v>
      </c>
      <c r="K378" t="s">
        <v>51</v>
      </c>
    </row>
    <row r="379" spans="1:12" x14ac:dyDescent="0.25">
      <c r="A379" t="s">
        <v>847</v>
      </c>
      <c r="B379" t="s">
        <v>848</v>
      </c>
      <c r="C379" t="s">
        <v>50</v>
      </c>
      <c r="D379">
        <v>62.2</v>
      </c>
      <c r="E379">
        <v>61.2</v>
      </c>
      <c r="F379">
        <v>-1</v>
      </c>
      <c r="G379">
        <v>-1.5</v>
      </c>
      <c r="H379">
        <v>-0.2</v>
      </c>
      <c r="I379">
        <v>55.2</v>
      </c>
      <c r="J379">
        <v>70.2</v>
      </c>
      <c r="K379">
        <v>2.4</v>
      </c>
    </row>
    <row r="380" spans="1:12" x14ac:dyDescent="0.25">
      <c r="A380" t="s">
        <v>849</v>
      </c>
      <c r="B380" t="s">
        <v>850</v>
      </c>
      <c r="C380" t="s">
        <v>50</v>
      </c>
      <c r="D380">
        <v>179</v>
      </c>
      <c r="E380">
        <v>194</v>
      </c>
      <c r="F380">
        <v>15</v>
      </c>
      <c r="G380">
        <v>8.4</v>
      </c>
      <c r="H380">
        <v>0.8</v>
      </c>
      <c r="I380">
        <v>20.6</v>
      </c>
      <c r="J380">
        <v>27.2</v>
      </c>
      <c r="K380">
        <v>2.9</v>
      </c>
    </row>
    <row r="381" spans="1:12" x14ac:dyDescent="0.25">
      <c r="A381" t="s">
        <v>851</v>
      </c>
      <c r="B381" t="s">
        <v>852</v>
      </c>
      <c r="C381" t="s">
        <v>47</v>
      </c>
      <c r="D381">
        <v>1853.2</v>
      </c>
      <c r="E381">
        <v>1942.9</v>
      </c>
      <c r="F381">
        <v>89.7</v>
      </c>
      <c r="G381">
        <v>4.8</v>
      </c>
      <c r="H381">
        <v>0.5</v>
      </c>
      <c r="I381">
        <v>188.3</v>
      </c>
      <c r="J381">
        <v>231.6</v>
      </c>
      <c r="K381">
        <v>2.1</v>
      </c>
    </row>
    <row r="382" spans="1:12" x14ac:dyDescent="0.25">
      <c r="A382" t="s">
        <v>853</v>
      </c>
      <c r="B382" t="s">
        <v>854</v>
      </c>
      <c r="C382" t="s">
        <v>50</v>
      </c>
      <c r="D382">
        <v>232.7</v>
      </c>
      <c r="E382">
        <v>243</v>
      </c>
      <c r="F382">
        <v>10.3</v>
      </c>
      <c r="G382">
        <v>4.4000000000000004</v>
      </c>
      <c r="H382">
        <v>0.4</v>
      </c>
      <c r="I382">
        <v>30.3</v>
      </c>
      <c r="J382">
        <v>37.799999999999997</v>
      </c>
      <c r="K382">
        <v>2.2000000000000002</v>
      </c>
    </row>
    <row r="383" spans="1:12" x14ac:dyDescent="0.25">
      <c r="A383" t="s">
        <v>855</v>
      </c>
      <c r="B383" t="s">
        <v>856</v>
      </c>
      <c r="C383" t="s">
        <v>50</v>
      </c>
      <c r="D383">
        <v>123.3</v>
      </c>
      <c r="E383">
        <v>104.2</v>
      </c>
      <c r="F383">
        <v>-19.100000000000001</v>
      </c>
      <c r="G383">
        <v>-15.5</v>
      </c>
      <c r="H383">
        <v>-1.7</v>
      </c>
      <c r="I383">
        <v>45.3</v>
      </c>
      <c r="J383">
        <v>53.1</v>
      </c>
      <c r="K383">
        <v>1.6</v>
      </c>
    </row>
    <row r="384" spans="1:12" x14ac:dyDescent="0.25">
      <c r="A384" t="s">
        <v>857</v>
      </c>
      <c r="B384" t="s">
        <v>858</v>
      </c>
      <c r="C384" t="s">
        <v>47</v>
      </c>
      <c r="D384">
        <v>1497.2</v>
      </c>
      <c r="E384">
        <v>1595.8</v>
      </c>
      <c r="F384">
        <v>98.6</v>
      </c>
      <c r="G384">
        <v>6.6</v>
      </c>
      <c r="H384">
        <v>0.6</v>
      </c>
      <c r="I384">
        <v>112.9</v>
      </c>
      <c r="J384">
        <v>140.9</v>
      </c>
      <c r="K384">
        <v>2.2000000000000002</v>
      </c>
    </row>
    <row r="385" spans="1:12" x14ac:dyDescent="0.25">
      <c r="A385" t="s">
        <v>859</v>
      </c>
      <c r="B385" t="s">
        <v>860</v>
      </c>
      <c r="C385" t="s">
        <v>50</v>
      </c>
      <c r="D385">
        <v>652</v>
      </c>
      <c r="E385">
        <v>718.1</v>
      </c>
      <c r="F385">
        <v>66.099999999999994</v>
      </c>
      <c r="G385">
        <v>10.1</v>
      </c>
      <c r="H385">
        <v>1</v>
      </c>
      <c r="I385" t="s">
        <v>51</v>
      </c>
      <c r="J385" t="s">
        <v>51</v>
      </c>
      <c r="K385" t="s">
        <v>51</v>
      </c>
    </row>
    <row r="386" spans="1:12" x14ac:dyDescent="0.25">
      <c r="A386" t="s">
        <v>861</v>
      </c>
      <c r="B386" t="s">
        <v>862</v>
      </c>
      <c r="C386" t="s">
        <v>47</v>
      </c>
      <c r="D386">
        <v>14195.8</v>
      </c>
      <c r="E386">
        <v>14749.4</v>
      </c>
      <c r="F386">
        <v>553.6</v>
      </c>
      <c r="G386">
        <v>3.9</v>
      </c>
      <c r="H386">
        <v>0.4</v>
      </c>
      <c r="I386">
        <v>1303.7</v>
      </c>
      <c r="J386">
        <v>1639.9</v>
      </c>
      <c r="K386">
        <v>2.2999999999999998</v>
      </c>
      <c r="L386" t="s">
        <v>863</v>
      </c>
    </row>
    <row r="387" spans="1:12" x14ac:dyDescent="0.25">
      <c r="A387" t="s">
        <v>864</v>
      </c>
      <c r="B387" t="s">
        <v>865</v>
      </c>
      <c r="C387" t="s">
        <v>47</v>
      </c>
      <c r="D387">
        <v>1934.9</v>
      </c>
      <c r="E387">
        <v>2019.8</v>
      </c>
      <c r="F387">
        <v>84.9</v>
      </c>
      <c r="G387">
        <v>4.4000000000000004</v>
      </c>
      <c r="H387">
        <v>0.4</v>
      </c>
      <c r="I387">
        <v>309.10000000000002</v>
      </c>
      <c r="J387">
        <v>411.1</v>
      </c>
      <c r="K387">
        <v>2.9</v>
      </c>
    </row>
    <row r="388" spans="1:12" x14ac:dyDescent="0.25">
      <c r="A388" t="s">
        <v>866</v>
      </c>
      <c r="B388" t="s">
        <v>867</v>
      </c>
      <c r="C388" t="s">
        <v>47</v>
      </c>
      <c r="D388">
        <v>1851.3</v>
      </c>
      <c r="E388">
        <v>1935.7</v>
      </c>
      <c r="F388">
        <v>84.3</v>
      </c>
      <c r="G388">
        <v>4.5999999999999996</v>
      </c>
      <c r="H388">
        <v>0.4</v>
      </c>
      <c r="I388" t="s">
        <v>51</v>
      </c>
      <c r="J388" t="s">
        <v>51</v>
      </c>
      <c r="K388" t="s">
        <v>51</v>
      </c>
    </row>
    <row r="389" spans="1:12" x14ac:dyDescent="0.25">
      <c r="A389" t="s">
        <v>868</v>
      </c>
      <c r="B389" t="s">
        <v>869</v>
      </c>
      <c r="C389" t="s">
        <v>50</v>
      </c>
      <c r="D389">
        <v>252.8</v>
      </c>
      <c r="E389">
        <v>259.3</v>
      </c>
      <c r="F389">
        <v>6.5</v>
      </c>
      <c r="G389">
        <v>2.6</v>
      </c>
      <c r="H389">
        <v>0.3</v>
      </c>
      <c r="I389" t="s">
        <v>51</v>
      </c>
      <c r="J389" t="s">
        <v>51</v>
      </c>
      <c r="K389" t="s">
        <v>51</v>
      </c>
    </row>
    <row r="390" spans="1:12" x14ac:dyDescent="0.25">
      <c r="A390" t="s">
        <v>870</v>
      </c>
      <c r="B390" t="s">
        <v>871</v>
      </c>
      <c r="C390" t="s">
        <v>50</v>
      </c>
      <c r="D390">
        <v>73.2</v>
      </c>
      <c r="E390">
        <v>73.7</v>
      </c>
      <c r="F390">
        <v>0.5</v>
      </c>
      <c r="G390">
        <v>0.7</v>
      </c>
      <c r="H390">
        <v>0.1</v>
      </c>
      <c r="I390" t="s">
        <v>51</v>
      </c>
      <c r="J390" t="s">
        <v>51</v>
      </c>
      <c r="K390" t="s">
        <v>51</v>
      </c>
    </row>
    <row r="391" spans="1:12" x14ac:dyDescent="0.25">
      <c r="A391" t="s">
        <v>872</v>
      </c>
      <c r="B391" t="s">
        <v>873</v>
      </c>
      <c r="C391" t="s">
        <v>50</v>
      </c>
      <c r="D391">
        <v>10.4</v>
      </c>
      <c r="E391">
        <v>10.4</v>
      </c>
      <c r="F391">
        <v>0</v>
      </c>
      <c r="G391">
        <v>0.5</v>
      </c>
      <c r="H391">
        <v>0</v>
      </c>
      <c r="I391" t="s">
        <v>51</v>
      </c>
      <c r="J391" t="s">
        <v>51</v>
      </c>
      <c r="K391" t="s">
        <v>51</v>
      </c>
    </row>
    <row r="392" spans="1:12" x14ac:dyDescent="0.25">
      <c r="A392" t="s">
        <v>874</v>
      </c>
      <c r="B392" t="s">
        <v>875</v>
      </c>
      <c r="C392" t="s">
        <v>47</v>
      </c>
      <c r="D392">
        <v>12260.9</v>
      </c>
      <c r="E392">
        <v>12729.6</v>
      </c>
      <c r="F392">
        <v>468.7</v>
      </c>
      <c r="G392">
        <v>3.8</v>
      </c>
      <c r="H392">
        <v>0.4</v>
      </c>
      <c r="I392">
        <v>994.2</v>
      </c>
      <c r="J392">
        <v>1230.0999999999999</v>
      </c>
      <c r="K392">
        <v>2.2000000000000002</v>
      </c>
    </row>
    <row r="393" spans="1:12" x14ac:dyDescent="0.25">
      <c r="A393" t="s">
        <v>876</v>
      </c>
      <c r="B393" t="s">
        <v>877</v>
      </c>
      <c r="C393" t="s">
        <v>50</v>
      </c>
      <c r="D393">
        <v>5385.1</v>
      </c>
      <c r="E393">
        <v>5517.7</v>
      </c>
      <c r="F393">
        <v>132.6</v>
      </c>
      <c r="G393">
        <v>2.5</v>
      </c>
      <c r="H393">
        <v>0.2</v>
      </c>
      <c r="I393">
        <v>452.7</v>
      </c>
      <c r="J393">
        <v>550.20000000000005</v>
      </c>
      <c r="K393">
        <v>2</v>
      </c>
    </row>
    <row r="394" spans="1:12" x14ac:dyDescent="0.25">
      <c r="A394" t="s">
        <v>878</v>
      </c>
      <c r="B394" t="s">
        <v>879</v>
      </c>
      <c r="C394" t="s">
        <v>50</v>
      </c>
      <c r="D394">
        <v>778.3</v>
      </c>
      <c r="E394">
        <v>822.1</v>
      </c>
      <c r="F394">
        <v>43.8</v>
      </c>
      <c r="G394">
        <v>5.6</v>
      </c>
      <c r="H394">
        <v>0.5</v>
      </c>
      <c r="I394" t="s">
        <v>51</v>
      </c>
      <c r="J394" t="s">
        <v>51</v>
      </c>
      <c r="K394" t="s">
        <v>51</v>
      </c>
    </row>
    <row r="395" spans="1:12" x14ac:dyDescent="0.25">
      <c r="A395" t="s">
        <v>880</v>
      </c>
      <c r="B395" t="s">
        <v>881</v>
      </c>
      <c r="C395" t="s">
        <v>50</v>
      </c>
      <c r="D395">
        <v>421.2</v>
      </c>
      <c r="E395">
        <v>439.9</v>
      </c>
      <c r="F395">
        <v>18.7</v>
      </c>
      <c r="G395">
        <v>4.4000000000000004</v>
      </c>
      <c r="H395">
        <v>0.4</v>
      </c>
      <c r="I395" t="s">
        <v>51</v>
      </c>
      <c r="J395" t="s">
        <v>51</v>
      </c>
      <c r="K395" t="s">
        <v>51</v>
      </c>
    </row>
    <row r="396" spans="1:12" x14ac:dyDescent="0.25">
      <c r="A396" t="s">
        <v>882</v>
      </c>
      <c r="B396" t="s">
        <v>883</v>
      </c>
      <c r="C396" t="s">
        <v>47</v>
      </c>
      <c r="D396">
        <v>6615.9</v>
      </c>
      <c r="E396">
        <v>6808.5</v>
      </c>
      <c r="F396">
        <v>192.5</v>
      </c>
      <c r="G396">
        <v>2.9</v>
      </c>
      <c r="H396">
        <v>0.3</v>
      </c>
      <c r="I396">
        <v>786.2</v>
      </c>
      <c r="J396">
        <v>962.5</v>
      </c>
      <c r="K396">
        <v>2</v>
      </c>
    </row>
    <row r="397" spans="1:12" x14ac:dyDescent="0.25">
      <c r="A397" t="s">
        <v>884</v>
      </c>
      <c r="B397" t="s">
        <v>885</v>
      </c>
      <c r="C397" t="s">
        <v>47</v>
      </c>
      <c r="D397">
        <v>1466.8</v>
      </c>
      <c r="E397">
        <v>1512</v>
      </c>
      <c r="F397">
        <v>45.2</v>
      </c>
      <c r="G397">
        <v>3.1</v>
      </c>
      <c r="H397">
        <v>0.3</v>
      </c>
      <c r="I397">
        <v>239.7</v>
      </c>
      <c r="J397">
        <v>287.3</v>
      </c>
      <c r="K397">
        <v>1.8</v>
      </c>
    </row>
    <row r="398" spans="1:12" x14ac:dyDescent="0.25">
      <c r="A398" t="s">
        <v>886</v>
      </c>
      <c r="B398" t="s">
        <v>887</v>
      </c>
      <c r="C398" t="s">
        <v>47</v>
      </c>
      <c r="D398">
        <v>1036</v>
      </c>
      <c r="E398">
        <v>1052</v>
      </c>
      <c r="F398">
        <v>16</v>
      </c>
      <c r="G398">
        <v>1.5</v>
      </c>
      <c r="H398">
        <v>0.2</v>
      </c>
      <c r="I398">
        <v>153.30000000000001</v>
      </c>
      <c r="J398">
        <v>183.5</v>
      </c>
      <c r="K398">
        <v>1.8</v>
      </c>
      <c r="L398" t="s">
        <v>351</v>
      </c>
    </row>
    <row r="399" spans="1:12" x14ac:dyDescent="0.25">
      <c r="A399" t="s">
        <v>888</v>
      </c>
      <c r="B399" t="s">
        <v>889</v>
      </c>
      <c r="C399" t="s">
        <v>50</v>
      </c>
      <c r="D399">
        <v>444</v>
      </c>
      <c r="E399">
        <v>450.3</v>
      </c>
      <c r="F399">
        <v>6.3</v>
      </c>
      <c r="G399">
        <v>1.4</v>
      </c>
      <c r="H399">
        <v>0.1</v>
      </c>
      <c r="I399" t="s">
        <v>51</v>
      </c>
      <c r="J399" t="s">
        <v>51</v>
      </c>
      <c r="K399" t="s">
        <v>51</v>
      </c>
    </row>
    <row r="400" spans="1:12" x14ac:dyDescent="0.25">
      <c r="A400" t="s">
        <v>890</v>
      </c>
      <c r="B400" t="s">
        <v>891</v>
      </c>
      <c r="C400" t="s">
        <v>50</v>
      </c>
      <c r="D400">
        <v>297.5</v>
      </c>
      <c r="E400">
        <v>305.10000000000002</v>
      </c>
      <c r="F400">
        <v>7.6</v>
      </c>
      <c r="G400">
        <v>2.6</v>
      </c>
      <c r="H400">
        <v>0.3</v>
      </c>
      <c r="I400" t="s">
        <v>51</v>
      </c>
      <c r="J400" t="s">
        <v>51</v>
      </c>
      <c r="K400" t="s">
        <v>51</v>
      </c>
    </row>
    <row r="401" spans="1:12" x14ac:dyDescent="0.25">
      <c r="A401" t="s">
        <v>892</v>
      </c>
      <c r="B401" t="s">
        <v>893</v>
      </c>
      <c r="C401" t="s">
        <v>50</v>
      </c>
      <c r="D401">
        <v>294.5</v>
      </c>
      <c r="E401">
        <v>296.7</v>
      </c>
      <c r="F401">
        <v>2.2000000000000002</v>
      </c>
      <c r="G401">
        <v>0.7</v>
      </c>
      <c r="H401">
        <v>0.1</v>
      </c>
      <c r="I401" t="s">
        <v>51</v>
      </c>
      <c r="J401" t="s">
        <v>51</v>
      </c>
      <c r="K401" t="s">
        <v>51</v>
      </c>
    </row>
    <row r="402" spans="1:12" x14ac:dyDescent="0.25">
      <c r="A402" t="s">
        <v>894</v>
      </c>
      <c r="B402" t="s">
        <v>895</v>
      </c>
      <c r="C402" t="s">
        <v>50</v>
      </c>
      <c r="D402">
        <v>104.7</v>
      </c>
      <c r="E402">
        <v>109.6</v>
      </c>
      <c r="F402">
        <v>4.9000000000000004</v>
      </c>
      <c r="G402">
        <v>4.7</v>
      </c>
      <c r="H402">
        <v>0.5</v>
      </c>
      <c r="I402">
        <v>19.899999999999999</v>
      </c>
      <c r="J402">
        <v>23.2</v>
      </c>
      <c r="K402">
        <v>1.5</v>
      </c>
      <c r="L402" t="s">
        <v>896</v>
      </c>
    </row>
    <row r="403" spans="1:12" x14ac:dyDescent="0.25">
      <c r="A403" t="s">
        <v>897</v>
      </c>
      <c r="B403" t="s">
        <v>898</v>
      </c>
      <c r="C403" t="s">
        <v>50</v>
      </c>
      <c r="D403">
        <v>243.6</v>
      </c>
      <c r="E403">
        <v>263</v>
      </c>
      <c r="F403">
        <v>19.399999999999999</v>
      </c>
      <c r="G403">
        <v>7.9</v>
      </c>
      <c r="H403">
        <v>0.8</v>
      </c>
      <c r="I403">
        <v>41.2</v>
      </c>
      <c r="J403">
        <v>49.2</v>
      </c>
      <c r="K403">
        <v>1.8</v>
      </c>
      <c r="L403" t="s">
        <v>336</v>
      </c>
    </row>
    <row r="404" spans="1:12" x14ac:dyDescent="0.25">
      <c r="A404" t="s">
        <v>899</v>
      </c>
      <c r="B404" t="s">
        <v>900</v>
      </c>
      <c r="C404" t="s">
        <v>50</v>
      </c>
      <c r="D404">
        <v>82.5</v>
      </c>
      <c r="E404">
        <v>87.4</v>
      </c>
      <c r="F404">
        <v>4.9000000000000004</v>
      </c>
      <c r="G404">
        <v>5.9</v>
      </c>
      <c r="H404">
        <v>0.6</v>
      </c>
      <c r="I404">
        <v>25.3</v>
      </c>
      <c r="J404">
        <v>31.2</v>
      </c>
      <c r="K404">
        <v>2.1</v>
      </c>
      <c r="L404" t="s">
        <v>896</v>
      </c>
    </row>
    <row r="405" spans="1:12" x14ac:dyDescent="0.25">
      <c r="A405" t="s">
        <v>901</v>
      </c>
      <c r="B405" t="s">
        <v>902</v>
      </c>
      <c r="C405" t="s">
        <v>47</v>
      </c>
      <c r="D405">
        <v>1589.2</v>
      </c>
      <c r="E405">
        <v>1706.1</v>
      </c>
      <c r="F405">
        <v>116.9</v>
      </c>
      <c r="G405">
        <v>7.4</v>
      </c>
      <c r="H405">
        <v>0.7</v>
      </c>
      <c r="I405">
        <v>238.8</v>
      </c>
      <c r="J405">
        <v>307.2</v>
      </c>
      <c r="K405">
        <v>2.5</v>
      </c>
      <c r="L405" t="s">
        <v>896</v>
      </c>
    </row>
    <row r="406" spans="1:12" x14ac:dyDescent="0.25">
      <c r="A406" t="s">
        <v>903</v>
      </c>
      <c r="B406" t="s">
        <v>904</v>
      </c>
      <c r="C406" t="s">
        <v>50</v>
      </c>
      <c r="D406">
        <v>766.9</v>
      </c>
      <c r="E406">
        <v>835.1</v>
      </c>
      <c r="F406">
        <v>68.2</v>
      </c>
      <c r="G406">
        <v>8.9</v>
      </c>
      <c r="H406">
        <v>0.9</v>
      </c>
      <c r="I406">
        <v>87.7</v>
      </c>
      <c r="J406">
        <v>117.8</v>
      </c>
      <c r="K406">
        <v>3</v>
      </c>
    </row>
    <row r="407" spans="1:12" x14ac:dyDescent="0.25">
      <c r="A407" t="s">
        <v>905</v>
      </c>
      <c r="B407" t="s">
        <v>906</v>
      </c>
      <c r="C407" t="s">
        <v>50</v>
      </c>
      <c r="D407">
        <v>136.4</v>
      </c>
      <c r="E407">
        <v>137.19999999999999</v>
      </c>
      <c r="F407">
        <v>0.8</v>
      </c>
      <c r="G407">
        <v>0.6</v>
      </c>
      <c r="H407">
        <v>0.1</v>
      </c>
      <c r="I407">
        <v>24.3</v>
      </c>
      <c r="J407">
        <v>26.6</v>
      </c>
      <c r="K407">
        <v>0.9</v>
      </c>
    </row>
    <row r="408" spans="1:12" x14ac:dyDescent="0.25">
      <c r="A408" t="s">
        <v>907</v>
      </c>
      <c r="B408" t="s">
        <v>908</v>
      </c>
      <c r="C408" t="s">
        <v>50</v>
      </c>
      <c r="D408">
        <v>261.60000000000002</v>
      </c>
      <c r="E408">
        <v>266.5</v>
      </c>
      <c r="F408">
        <v>4.9000000000000004</v>
      </c>
      <c r="G408">
        <v>1.9</v>
      </c>
      <c r="H408">
        <v>0.2</v>
      </c>
      <c r="I408">
        <v>29.4</v>
      </c>
      <c r="J408">
        <v>34.5</v>
      </c>
      <c r="K408">
        <v>1.6</v>
      </c>
    </row>
    <row r="409" spans="1:12" x14ac:dyDescent="0.25">
      <c r="A409" t="s">
        <v>909</v>
      </c>
      <c r="B409" t="s">
        <v>910</v>
      </c>
      <c r="C409" t="s">
        <v>50</v>
      </c>
      <c r="D409">
        <v>424.3</v>
      </c>
      <c r="E409">
        <v>467.3</v>
      </c>
      <c r="F409">
        <v>43</v>
      </c>
      <c r="G409">
        <v>10.1</v>
      </c>
      <c r="H409">
        <v>1</v>
      </c>
      <c r="I409">
        <v>97</v>
      </c>
      <c r="J409">
        <v>127.6</v>
      </c>
      <c r="K409">
        <v>2.8</v>
      </c>
    </row>
    <row r="410" spans="1:12" x14ac:dyDescent="0.25">
      <c r="A410" t="s">
        <v>911</v>
      </c>
      <c r="B410" t="s">
        <v>912</v>
      </c>
      <c r="C410" t="s">
        <v>47</v>
      </c>
      <c r="D410">
        <v>2909.5</v>
      </c>
      <c r="E410">
        <v>2937.3</v>
      </c>
      <c r="F410">
        <v>27.8</v>
      </c>
      <c r="G410">
        <v>1</v>
      </c>
      <c r="H410">
        <v>0.1</v>
      </c>
      <c r="I410">
        <v>289.89999999999998</v>
      </c>
      <c r="J410">
        <v>346.5</v>
      </c>
      <c r="K410">
        <v>1.8</v>
      </c>
      <c r="L410" t="s">
        <v>896</v>
      </c>
    </row>
    <row r="411" spans="1:12" x14ac:dyDescent="0.25">
      <c r="A411" t="s">
        <v>913</v>
      </c>
      <c r="B411" t="s">
        <v>914</v>
      </c>
      <c r="C411" t="s">
        <v>47</v>
      </c>
      <c r="D411">
        <v>488.5</v>
      </c>
      <c r="E411">
        <v>519.70000000000005</v>
      </c>
      <c r="F411">
        <v>31.2</v>
      </c>
      <c r="G411">
        <v>6.4</v>
      </c>
      <c r="H411">
        <v>0.6</v>
      </c>
      <c r="I411">
        <v>82.4</v>
      </c>
      <c r="J411">
        <v>109.4</v>
      </c>
      <c r="K411">
        <v>2.9</v>
      </c>
    </row>
    <row r="412" spans="1:12" x14ac:dyDescent="0.25">
      <c r="A412" t="s">
        <v>915</v>
      </c>
      <c r="B412" t="s">
        <v>916</v>
      </c>
      <c r="C412" t="s">
        <v>50</v>
      </c>
      <c r="D412">
        <v>203.7</v>
      </c>
      <c r="E412">
        <v>215.1</v>
      </c>
      <c r="F412">
        <v>11.4</v>
      </c>
      <c r="G412">
        <v>5.6</v>
      </c>
      <c r="H412">
        <v>0.5</v>
      </c>
      <c r="I412" t="s">
        <v>51</v>
      </c>
      <c r="J412" t="s">
        <v>51</v>
      </c>
      <c r="K412" t="s">
        <v>51</v>
      </c>
    </row>
    <row r="413" spans="1:12" x14ac:dyDescent="0.25">
      <c r="A413" t="s">
        <v>917</v>
      </c>
      <c r="B413" t="s">
        <v>918</v>
      </c>
      <c r="C413" t="s">
        <v>50</v>
      </c>
      <c r="D413">
        <v>284.8</v>
      </c>
      <c r="E413">
        <v>304.5</v>
      </c>
      <c r="F413">
        <v>19.7</v>
      </c>
      <c r="G413">
        <v>6.9</v>
      </c>
      <c r="H413">
        <v>0.7</v>
      </c>
      <c r="I413" t="s">
        <v>51</v>
      </c>
      <c r="J413" t="s">
        <v>51</v>
      </c>
      <c r="K413" t="s">
        <v>51</v>
      </c>
    </row>
    <row r="414" spans="1:12" x14ac:dyDescent="0.25">
      <c r="A414" t="s">
        <v>919</v>
      </c>
      <c r="B414" t="s">
        <v>920</v>
      </c>
      <c r="C414" t="s">
        <v>47</v>
      </c>
      <c r="D414">
        <v>847.6</v>
      </c>
      <c r="E414">
        <v>863.7</v>
      </c>
      <c r="F414">
        <v>16.100000000000001</v>
      </c>
      <c r="G414">
        <v>1.9</v>
      </c>
      <c r="H414">
        <v>0.2</v>
      </c>
      <c r="I414">
        <v>115.6</v>
      </c>
      <c r="J414">
        <v>141.5</v>
      </c>
      <c r="K414">
        <v>2</v>
      </c>
    </row>
    <row r="415" spans="1:12" x14ac:dyDescent="0.25">
      <c r="A415" t="s">
        <v>921</v>
      </c>
      <c r="B415" t="s">
        <v>922</v>
      </c>
      <c r="C415" t="s">
        <v>50</v>
      </c>
      <c r="D415">
        <v>364.4</v>
      </c>
      <c r="E415">
        <v>375.7</v>
      </c>
      <c r="F415">
        <v>11.3</v>
      </c>
      <c r="G415">
        <v>3.1</v>
      </c>
      <c r="H415">
        <v>0.3</v>
      </c>
      <c r="I415" t="s">
        <v>51</v>
      </c>
      <c r="J415" t="s">
        <v>51</v>
      </c>
      <c r="K415" t="s">
        <v>51</v>
      </c>
    </row>
    <row r="416" spans="1:12" x14ac:dyDescent="0.25">
      <c r="A416" t="s">
        <v>923</v>
      </c>
      <c r="B416" t="s">
        <v>924</v>
      </c>
      <c r="C416" t="s">
        <v>47</v>
      </c>
      <c r="D416">
        <v>483.2</v>
      </c>
      <c r="E416">
        <v>488</v>
      </c>
      <c r="F416">
        <v>4.8</v>
      </c>
      <c r="G416">
        <v>1</v>
      </c>
      <c r="H416">
        <v>0.1</v>
      </c>
      <c r="I416" t="s">
        <v>51</v>
      </c>
      <c r="J416" t="s">
        <v>51</v>
      </c>
      <c r="K416" t="s">
        <v>51</v>
      </c>
    </row>
    <row r="417" spans="1:12" x14ac:dyDescent="0.25">
      <c r="A417" t="s">
        <v>925</v>
      </c>
      <c r="B417" t="s">
        <v>926</v>
      </c>
      <c r="C417" t="s">
        <v>50</v>
      </c>
      <c r="D417">
        <v>107.2</v>
      </c>
      <c r="E417">
        <v>103.6</v>
      </c>
      <c r="F417">
        <v>-3.6</v>
      </c>
      <c r="G417">
        <v>-3.3</v>
      </c>
      <c r="H417">
        <v>-0.3</v>
      </c>
      <c r="I417" t="s">
        <v>51</v>
      </c>
      <c r="J417" t="s">
        <v>51</v>
      </c>
      <c r="K417" t="s">
        <v>51</v>
      </c>
    </row>
    <row r="418" spans="1:12" x14ac:dyDescent="0.25">
      <c r="A418" t="s">
        <v>927</v>
      </c>
      <c r="B418" t="s">
        <v>928</v>
      </c>
      <c r="C418" t="s">
        <v>50</v>
      </c>
      <c r="D418">
        <v>650.4</v>
      </c>
      <c r="E418">
        <v>653</v>
      </c>
      <c r="F418">
        <v>2.6</v>
      </c>
      <c r="G418">
        <v>0.4</v>
      </c>
      <c r="H418">
        <v>0</v>
      </c>
      <c r="I418">
        <v>19.2</v>
      </c>
      <c r="J418">
        <v>23</v>
      </c>
      <c r="K418">
        <v>1.8</v>
      </c>
      <c r="L418" t="s">
        <v>929</v>
      </c>
    </row>
    <row r="419" spans="1:12" x14ac:dyDescent="0.25">
      <c r="A419" t="s">
        <v>930</v>
      </c>
      <c r="B419" t="s">
        <v>931</v>
      </c>
      <c r="C419" t="s">
        <v>47</v>
      </c>
      <c r="D419">
        <v>11468</v>
      </c>
      <c r="E419">
        <v>11453.9</v>
      </c>
      <c r="F419">
        <v>-14.1</v>
      </c>
      <c r="G419">
        <v>-0.1</v>
      </c>
      <c r="H419">
        <v>0</v>
      </c>
      <c r="I419" t="s">
        <v>51</v>
      </c>
      <c r="J419" t="s">
        <v>51</v>
      </c>
      <c r="K419" t="s">
        <v>51</v>
      </c>
    </row>
    <row r="420" spans="1:12" x14ac:dyDescent="0.25">
      <c r="A420" t="s">
        <v>932</v>
      </c>
      <c r="B420" t="s">
        <v>933</v>
      </c>
      <c r="C420" t="s">
        <v>47</v>
      </c>
      <c r="D420">
        <v>2999.5</v>
      </c>
      <c r="E420">
        <v>2862.9</v>
      </c>
      <c r="F420">
        <v>-136.6</v>
      </c>
      <c r="G420">
        <v>-4.5999999999999996</v>
      </c>
      <c r="H420">
        <v>-0.5</v>
      </c>
      <c r="I420">
        <v>1278.0999999999999</v>
      </c>
      <c r="J420">
        <v>1325.2</v>
      </c>
      <c r="K420">
        <v>0.4</v>
      </c>
      <c r="L420" t="s">
        <v>934</v>
      </c>
    </row>
    <row r="421" spans="1:12" x14ac:dyDescent="0.25">
      <c r="A421" t="s">
        <v>935</v>
      </c>
      <c r="B421" t="s">
        <v>936</v>
      </c>
      <c r="C421" t="s">
        <v>50</v>
      </c>
      <c r="D421">
        <v>605.70000000000005</v>
      </c>
      <c r="E421">
        <v>578.20000000000005</v>
      </c>
      <c r="F421">
        <v>-27.5</v>
      </c>
      <c r="G421">
        <v>-4.5</v>
      </c>
      <c r="H421">
        <v>-0.5</v>
      </c>
      <c r="I421">
        <v>61.9</v>
      </c>
      <c r="J421">
        <v>69.8</v>
      </c>
      <c r="K421">
        <v>1.2</v>
      </c>
    </row>
    <row r="422" spans="1:12" x14ac:dyDescent="0.25">
      <c r="A422" t="s">
        <v>937</v>
      </c>
      <c r="B422" t="s">
        <v>938</v>
      </c>
      <c r="C422" t="s">
        <v>50</v>
      </c>
      <c r="D422">
        <v>2393.8000000000002</v>
      </c>
      <c r="E422">
        <v>2284.6</v>
      </c>
      <c r="F422">
        <v>-109.2</v>
      </c>
      <c r="G422">
        <v>-4.5999999999999996</v>
      </c>
      <c r="H422">
        <v>-0.5</v>
      </c>
      <c r="I422">
        <v>1216.5</v>
      </c>
      <c r="J422">
        <v>1255.2</v>
      </c>
      <c r="K422">
        <v>0.3</v>
      </c>
    </row>
    <row r="423" spans="1:12" x14ac:dyDescent="0.25">
      <c r="A423" t="s">
        <v>939</v>
      </c>
      <c r="B423" t="s">
        <v>940</v>
      </c>
      <c r="C423" t="s">
        <v>47</v>
      </c>
      <c r="D423">
        <v>8468.5</v>
      </c>
      <c r="E423">
        <v>8591.1</v>
      </c>
      <c r="F423">
        <v>122.6</v>
      </c>
      <c r="G423">
        <v>1.4</v>
      </c>
      <c r="H423">
        <v>0.1</v>
      </c>
      <c r="I423">
        <v>1420.6</v>
      </c>
      <c r="J423">
        <v>1510.1</v>
      </c>
      <c r="K423">
        <v>0.6</v>
      </c>
      <c r="L423" t="s">
        <v>934</v>
      </c>
    </row>
    <row r="424" spans="1:12" x14ac:dyDescent="0.25">
      <c r="A424" t="s">
        <v>941</v>
      </c>
      <c r="B424" t="s">
        <v>942</v>
      </c>
      <c r="C424" t="s">
        <v>50</v>
      </c>
      <c r="D424">
        <v>2380.3000000000002</v>
      </c>
      <c r="E424">
        <v>2388.3000000000002</v>
      </c>
      <c r="F424">
        <v>8</v>
      </c>
      <c r="G424">
        <v>0.3</v>
      </c>
      <c r="H424">
        <v>0</v>
      </c>
      <c r="I424" t="s">
        <v>51</v>
      </c>
      <c r="J424" t="s">
        <v>51</v>
      </c>
      <c r="K424" t="s">
        <v>51</v>
      </c>
    </row>
    <row r="425" spans="1:12" x14ac:dyDescent="0.25">
      <c r="A425" t="s">
        <v>943</v>
      </c>
      <c r="B425" t="s">
        <v>944</v>
      </c>
      <c r="C425" t="s">
        <v>50</v>
      </c>
      <c r="D425">
        <v>6088.2</v>
      </c>
      <c r="E425">
        <v>6202.8</v>
      </c>
      <c r="F425">
        <v>114.6</v>
      </c>
      <c r="G425">
        <v>1.9</v>
      </c>
      <c r="H425">
        <v>0.2</v>
      </c>
      <c r="I425" t="s">
        <v>51</v>
      </c>
      <c r="J425" t="s">
        <v>51</v>
      </c>
      <c r="K425" t="s">
        <v>51</v>
      </c>
    </row>
    <row r="426" spans="1:12" x14ac:dyDescent="0.25">
      <c r="A426" t="s">
        <v>945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5" x14ac:dyDescent="0.25">
      <c r="C1" t="s">
        <v>946</v>
      </c>
    </row>
    <row r="2" spans="1:35" x14ac:dyDescent="0.25">
      <c r="C2" t="s">
        <v>947</v>
      </c>
    </row>
    <row r="3" spans="1:35" x14ac:dyDescent="0.25">
      <c r="C3" t="s">
        <v>948</v>
      </c>
    </row>
    <row r="4" spans="1:35" x14ac:dyDescent="0.25">
      <c r="C4" t="s">
        <v>949</v>
      </c>
    </row>
    <row r="5" spans="1:35" x14ac:dyDescent="0.25">
      <c r="B5" s="5" t="s">
        <v>950</v>
      </c>
      <c r="D5" t="s">
        <v>951</v>
      </c>
      <c r="E5" t="s">
        <v>952</v>
      </c>
      <c r="F5" t="s">
        <v>953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954</v>
      </c>
    </row>
    <row r="6" spans="1:35" x14ac:dyDescent="0.25">
      <c r="A6" t="s">
        <v>955</v>
      </c>
      <c r="C6" t="s">
        <v>956</v>
      </c>
      <c r="D6" t="s">
        <v>957</v>
      </c>
      <c r="E6" t="s">
        <v>958</v>
      </c>
      <c r="F6" t="s">
        <v>959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>
        <v>1.7999999999999999E-2</v>
      </c>
    </row>
    <row r="7" spans="1:35" x14ac:dyDescent="0.25">
      <c r="A7" t="s">
        <v>960</v>
      </c>
      <c r="C7" t="s">
        <v>961</v>
      </c>
      <c r="D7" t="s">
        <v>962</v>
      </c>
      <c r="E7" t="s">
        <v>963</v>
      </c>
      <c r="F7" t="s">
        <v>964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>
        <v>3.0000000000000001E-3</v>
      </c>
    </row>
    <row r="8" spans="1:35" x14ac:dyDescent="0.25">
      <c r="C8" t="s">
        <v>965</v>
      </c>
    </row>
    <row r="9" spans="1:35" x14ac:dyDescent="0.25">
      <c r="C9" t="s">
        <v>966</v>
      </c>
    </row>
    <row r="10" spans="1:35" x14ac:dyDescent="0.25">
      <c r="A10" t="s">
        <v>967</v>
      </c>
      <c r="B10" t="s">
        <v>968</v>
      </c>
      <c r="C10" t="s">
        <v>969</v>
      </c>
      <c r="D10" t="s">
        <v>970</v>
      </c>
      <c r="E10" t="s">
        <v>971</v>
      </c>
      <c r="F10" t="s">
        <v>959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>
        <v>1.0999999999999999E-2</v>
      </c>
    </row>
    <row r="11" spans="1:35" x14ac:dyDescent="0.25">
      <c r="A11" t="s">
        <v>972</v>
      </c>
      <c r="B11" t="s">
        <v>973</v>
      </c>
      <c r="C11" t="s">
        <v>974</v>
      </c>
      <c r="D11" t="s">
        <v>975</v>
      </c>
      <c r="E11" t="s">
        <v>976</v>
      </c>
      <c r="F11" t="s">
        <v>959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>
        <v>5.0000000000000001E-3</v>
      </c>
    </row>
    <row r="12" spans="1:35" x14ac:dyDescent="0.25">
      <c r="A12" t="s">
        <v>977</v>
      </c>
      <c r="B12" t="s">
        <v>978</v>
      </c>
      <c r="C12" t="s">
        <v>979</v>
      </c>
      <c r="D12" t="s">
        <v>980</v>
      </c>
      <c r="E12" t="s">
        <v>981</v>
      </c>
      <c r="F12" t="s">
        <v>959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>
        <v>0.01</v>
      </c>
    </row>
    <row r="13" spans="1:35" x14ac:dyDescent="0.25">
      <c r="C13" t="s">
        <v>982</v>
      </c>
    </row>
    <row r="14" spans="1:35" x14ac:dyDescent="0.25">
      <c r="A14" t="s">
        <v>983</v>
      </c>
      <c r="B14" t="s">
        <v>984</v>
      </c>
      <c r="C14" t="s">
        <v>985</v>
      </c>
      <c r="D14" t="s">
        <v>986</v>
      </c>
      <c r="E14" t="s">
        <v>987</v>
      </c>
      <c r="F14" t="s">
        <v>959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>
        <v>8.9999999999999993E-3</v>
      </c>
    </row>
    <row r="15" spans="1:35" x14ac:dyDescent="0.25">
      <c r="A15" t="s">
        <v>988</v>
      </c>
      <c r="B15" t="s">
        <v>984</v>
      </c>
      <c r="C15" t="s">
        <v>989</v>
      </c>
      <c r="D15" t="s">
        <v>990</v>
      </c>
      <c r="E15" t="s">
        <v>991</v>
      </c>
      <c r="F15" t="s">
        <v>959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>
        <v>-5.0000000000000001E-3</v>
      </c>
    </row>
    <row r="16" spans="1:35" x14ac:dyDescent="0.25">
      <c r="A16" t="s">
        <v>992</v>
      </c>
      <c r="B16" t="s">
        <v>993</v>
      </c>
      <c r="C16" t="s">
        <v>994</v>
      </c>
      <c r="D16" t="s">
        <v>995</v>
      </c>
      <c r="E16" t="s">
        <v>996</v>
      </c>
      <c r="F16" t="s">
        <v>959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>
        <v>-6.0000000000000001E-3</v>
      </c>
    </row>
    <row r="17" spans="1:35" x14ac:dyDescent="0.25">
      <c r="A17" t="s">
        <v>997</v>
      </c>
      <c r="B17" t="s">
        <v>998</v>
      </c>
      <c r="C17" t="s">
        <v>999</v>
      </c>
      <c r="D17" t="s">
        <v>1000</v>
      </c>
      <c r="E17" t="s">
        <v>1001</v>
      </c>
      <c r="F17" t="s">
        <v>959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>
        <v>7.0000000000000001E-3</v>
      </c>
    </row>
    <row r="18" spans="1:35" x14ac:dyDescent="0.25">
      <c r="A18" t="s">
        <v>1002</v>
      </c>
      <c r="B18" t="s">
        <v>1003</v>
      </c>
      <c r="C18" t="s">
        <v>1004</v>
      </c>
      <c r="D18" t="s">
        <v>1005</v>
      </c>
      <c r="E18" t="s">
        <v>1006</v>
      </c>
      <c r="F18" t="s">
        <v>959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>
        <v>1.4E-2</v>
      </c>
    </row>
    <row r="19" spans="1:35" x14ac:dyDescent="0.25">
      <c r="A19" t="s">
        <v>1007</v>
      </c>
      <c r="B19" t="s">
        <v>1008</v>
      </c>
      <c r="C19" t="s">
        <v>1009</v>
      </c>
      <c r="D19" t="s">
        <v>1010</v>
      </c>
      <c r="E19" t="s">
        <v>1011</v>
      </c>
      <c r="F19" t="s">
        <v>959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>
        <v>5.0000000000000001E-3</v>
      </c>
    </row>
    <row r="20" spans="1:35" x14ac:dyDescent="0.25">
      <c r="A20" t="s">
        <v>1012</v>
      </c>
      <c r="B20" t="s">
        <v>1008</v>
      </c>
      <c r="C20" t="s">
        <v>1013</v>
      </c>
      <c r="D20" t="s">
        <v>1014</v>
      </c>
      <c r="E20" t="s">
        <v>1015</v>
      </c>
      <c r="F20" t="s">
        <v>959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>
        <v>-1.4E-2</v>
      </c>
    </row>
    <row r="21" spans="1:35" x14ac:dyDescent="0.25">
      <c r="A21" t="s">
        <v>1016</v>
      </c>
      <c r="B21" t="s">
        <v>1017</v>
      </c>
      <c r="C21" t="s">
        <v>1018</v>
      </c>
      <c r="D21" t="s">
        <v>1019</v>
      </c>
      <c r="E21" t="s">
        <v>1020</v>
      </c>
      <c r="F21" t="s">
        <v>959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>
        <v>0.01</v>
      </c>
    </row>
    <row r="22" spans="1:35" x14ac:dyDescent="0.25">
      <c r="A22" t="s">
        <v>1021</v>
      </c>
      <c r="C22" t="s">
        <v>1022</v>
      </c>
      <c r="D22" t="s">
        <v>1023</v>
      </c>
      <c r="E22" t="s">
        <v>1024</v>
      </c>
      <c r="F22" t="s">
        <v>959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>
        <v>8.9999999999999993E-3</v>
      </c>
    </row>
    <row r="23" spans="1:35" x14ac:dyDescent="0.25">
      <c r="A23" t="s">
        <v>1025</v>
      </c>
      <c r="C23" t="s">
        <v>1026</v>
      </c>
      <c r="D23" t="s">
        <v>1027</v>
      </c>
      <c r="E23" t="s">
        <v>1028</v>
      </c>
      <c r="F23" t="s">
        <v>959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>
        <v>1E-3</v>
      </c>
    </row>
    <row r="24" spans="1:35" x14ac:dyDescent="0.25">
      <c r="A24" t="s">
        <v>1029</v>
      </c>
      <c r="C24" t="s">
        <v>1030</v>
      </c>
      <c r="D24" t="s">
        <v>1031</v>
      </c>
      <c r="E24" t="s">
        <v>1032</v>
      </c>
      <c r="F24" t="s">
        <v>959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>
        <v>0.01</v>
      </c>
    </row>
    <row r="25" spans="1:35" x14ac:dyDescent="0.25">
      <c r="A25" t="s">
        <v>1033</v>
      </c>
      <c r="C25" t="s">
        <v>1034</v>
      </c>
      <c r="D25" t="s">
        <v>1035</v>
      </c>
      <c r="E25" t="s">
        <v>1036</v>
      </c>
      <c r="F25" t="s">
        <v>1037</v>
      </c>
      <c r="G25" t="s">
        <v>1038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>
        <v>8.9999999999999993E-3</v>
      </c>
    </row>
    <row r="26" spans="1:35" x14ac:dyDescent="0.25">
      <c r="A26" t="s">
        <v>1039</v>
      </c>
      <c r="C26" t="s">
        <v>1040</v>
      </c>
      <c r="D26" t="s">
        <v>1041</v>
      </c>
      <c r="E26" t="s">
        <v>1042</v>
      </c>
      <c r="F26" t="s">
        <v>959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>
        <v>1.4E-2</v>
      </c>
    </row>
    <row r="27" spans="1:35" x14ac:dyDescent="0.25">
      <c r="A27" t="s">
        <v>1043</v>
      </c>
      <c r="C27" t="s">
        <v>1044</v>
      </c>
      <c r="D27" t="s">
        <v>1045</v>
      </c>
      <c r="E27" t="s">
        <v>1046</v>
      </c>
      <c r="F27" t="s">
        <v>959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>
        <v>1.0999999999999999E-2</v>
      </c>
    </row>
    <row r="28" spans="1:35" x14ac:dyDescent="0.25">
      <c r="A28" t="s">
        <v>1047</v>
      </c>
      <c r="C28" t="s">
        <v>1048</v>
      </c>
      <c r="D28" t="s">
        <v>1049</v>
      </c>
      <c r="E28" t="s">
        <v>1050</v>
      </c>
      <c r="F28" t="s">
        <v>959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>
        <v>-7.0000000000000001E-3</v>
      </c>
    </row>
    <row r="29" spans="1:35" x14ac:dyDescent="0.25">
      <c r="A29" t="s">
        <v>1051</v>
      </c>
      <c r="B29" t="s">
        <v>1052</v>
      </c>
      <c r="C29" t="s">
        <v>1053</v>
      </c>
      <c r="D29" t="s">
        <v>1054</v>
      </c>
      <c r="E29" t="s">
        <v>1055</v>
      </c>
      <c r="F29" t="s">
        <v>959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>
        <v>-7.0000000000000001E-3</v>
      </c>
    </row>
    <row r="30" spans="1:35" x14ac:dyDescent="0.25">
      <c r="A30" t="s">
        <v>1056</v>
      </c>
      <c r="B30" t="s">
        <v>1057</v>
      </c>
      <c r="C30" t="s">
        <v>1058</v>
      </c>
      <c r="D30" t="s">
        <v>1059</v>
      </c>
      <c r="E30" t="s">
        <v>1060</v>
      </c>
      <c r="F30" t="s">
        <v>959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>
        <v>-7.0000000000000001E-3</v>
      </c>
    </row>
    <row r="31" spans="1:35" x14ac:dyDescent="0.25">
      <c r="A31" t="s">
        <v>1061</v>
      </c>
      <c r="B31" t="s">
        <v>1062</v>
      </c>
      <c r="C31" t="s">
        <v>1063</v>
      </c>
      <c r="D31" t="s">
        <v>1064</v>
      </c>
      <c r="E31" t="s">
        <v>1065</v>
      </c>
      <c r="F31" t="s">
        <v>959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>
        <v>1.2E-2</v>
      </c>
    </row>
    <row r="32" spans="1:35" x14ac:dyDescent="0.25">
      <c r="A32" t="s">
        <v>1066</v>
      </c>
      <c r="C32" t="s">
        <v>1067</v>
      </c>
      <c r="D32" t="s">
        <v>1068</v>
      </c>
      <c r="E32" t="s">
        <v>1069</v>
      </c>
      <c r="F32" t="s">
        <v>959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>
        <v>6.0000000000000001E-3</v>
      </c>
    </row>
    <row r="33" spans="1:35" x14ac:dyDescent="0.25">
      <c r="A33" t="s">
        <v>1070</v>
      </c>
      <c r="B33" t="s">
        <v>1071</v>
      </c>
      <c r="C33" t="s">
        <v>1072</v>
      </c>
      <c r="D33" t="s">
        <v>1073</v>
      </c>
      <c r="E33" t="s">
        <v>1074</v>
      </c>
      <c r="F33" t="s">
        <v>959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>
        <v>6.0000000000000001E-3</v>
      </c>
    </row>
    <row r="34" spans="1:35" x14ac:dyDescent="0.25">
      <c r="A34" t="s">
        <v>1075</v>
      </c>
      <c r="B34" t="s">
        <v>1076</v>
      </c>
      <c r="C34" t="s">
        <v>1077</v>
      </c>
      <c r="D34" t="s">
        <v>1078</v>
      </c>
      <c r="E34" t="s">
        <v>1079</v>
      </c>
      <c r="F34" t="s">
        <v>959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>
        <v>8.9999999999999993E-3</v>
      </c>
    </row>
    <row r="35" spans="1:35" x14ac:dyDescent="0.25">
      <c r="A35" t="s">
        <v>1080</v>
      </c>
      <c r="B35" t="s">
        <v>1076</v>
      </c>
      <c r="C35" t="s">
        <v>1081</v>
      </c>
      <c r="D35" t="s">
        <v>1082</v>
      </c>
      <c r="E35" t="s">
        <v>1083</v>
      </c>
      <c r="F35" t="s">
        <v>959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>
        <v>5.0000000000000001E-3</v>
      </c>
    </row>
    <row r="36" spans="1:35" x14ac:dyDescent="0.25">
      <c r="A36" t="s">
        <v>1084</v>
      </c>
      <c r="C36" t="s">
        <v>1085</v>
      </c>
      <c r="D36" t="s">
        <v>1086</v>
      </c>
      <c r="E36" t="s">
        <v>1087</v>
      </c>
      <c r="F36" t="s">
        <v>959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>
        <v>1.0999999999999999E-2</v>
      </c>
    </row>
    <row r="37" spans="1:35" x14ac:dyDescent="0.25">
      <c r="A37" t="s">
        <v>1088</v>
      </c>
      <c r="B37" t="s">
        <v>1057</v>
      </c>
      <c r="C37" t="s">
        <v>1089</v>
      </c>
      <c r="D37" t="s">
        <v>1090</v>
      </c>
      <c r="E37" t="s">
        <v>1091</v>
      </c>
      <c r="F37" t="s">
        <v>959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>
        <v>1.2999999999999999E-2</v>
      </c>
    </row>
    <row r="38" spans="1:35" x14ac:dyDescent="0.25">
      <c r="A38" t="s">
        <v>1092</v>
      </c>
      <c r="B38" t="s">
        <v>1093</v>
      </c>
      <c r="C38" t="s">
        <v>1094</v>
      </c>
      <c r="D38" t="s">
        <v>1095</v>
      </c>
      <c r="E38" t="s">
        <v>1096</v>
      </c>
      <c r="F38" t="s">
        <v>959</v>
      </c>
      <c r="H38">
        <v>34.597599000000002</v>
      </c>
      <c r="I38">
        <v>34.167324000000001</v>
      </c>
      <c r="J38">
        <v>34.714939000000001</v>
      </c>
      <c r="K38">
        <v>35.325741000000001</v>
      </c>
      <c r="L38">
        <v>35.804805999999999</v>
      </c>
      <c r="M38">
        <v>36.362533999999997</v>
      </c>
      <c r="N38">
        <v>36.869461000000001</v>
      </c>
      <c r="O38">
        <v>37.424278000000001</v>
      </c>
      <c r="P38">
        <v>38.041747999999998</v>
      </c>
      <c r="Q38">
        <v>38.662601000000002</v>
      </c>
      <c r="R38">
        <v>39.322856999999999</v>
      </c>
      <c r="S38">
        <v>40.049435000000003</v>
      </c>
      <c r="T38">
        <v>40.793427000000001</v>
      </c>
      <c r="U38">
        <v>41.567073999999998</v>
      </c>
      <c r="V38">
        <v>42.354301</v>
      </c>
      <c r="W38">
        <v>43.131816999999998</v>
      </c>
      <c r="X38">
        <v>43.905979000000002</v>
      </c>
      <c r="Y38">
        <v>44.671326000000001</v>
      </c>
      <c r="Z38">
        <v>45.415844</v>
      </c>
      <c r="AA38">
        <v>46.116340999999998</v>
      </c>
      <c r="AB38">
        <v>46.751091000000002</v>
      </c>
      <c r="AC38">
        <v>47.299404000000003</v>
      </c>
      <c r="AD38">
        <v>47.767882999999998</v>
      </c>
      <c r="AE38">
        <v>48.191673000000002</v>
      </c>
      <c r="AF38">
        <v>48.568092</v>
      </c>
      <c r="AG38">
        <v>48.904499000000001</v>
      </c>
      <c r="AH38">
        <v>49.198971</v>
      </c>
      <c r="AI38">
        <v>1.4E-2</v>
      </c>
    </row>
    <row r="39" spans="1:35" x14ac:dyDescent="0.25">
      <c r="A39" t="s">
        <v>1097</v>
      </c>
      <c r="B39" t="s">
        <v>1093</v>
      </c>
      <c r="C39" t="s">
        <v>1098</v>
      </c>
      <c r="D39" t="s">
        <v>1099</v>
      </c>
      <c r="E39" t="s">
        <v>1100</v>
      </c>
      <c r="F39" t="s">
        <v>959</v>
      </c>
      <c r="H39">
        <v>78.941710999999998</v>
      </c>
      <c r="I39">
        <v>79.426581999999996</v>
      </c>
      <c r="J39">
        <v>79.367667999999995</v>
      </c>
      <c r="K39">
        <v>80.175369000000003</v>
      </c>
      <c r="L39">
        <v>80.75779</v>
      </c>
      <c r="M39">
        <v>81.251801</v>
      </c>
      <c r="N39">
        <v>81.806281999999996</v>
      </c>
      <c r="O39">
        <v>82.309166000000005</v>
      </c>
      <c r="P39">
        <v>82.852135000000004</v>
      </c>
      <c r="Q39">
        <v>83.414146000000002</v>
      </c>
      <c r="R39">
        <v>83.962135000000004</v>
      </c>
      <c r="S39">
        <v>84.537955999999994</v>
      </c>
      <c r="T39">
        <v>85.097519000000005</v>
      </c>
      <c r="U39">
        <v>85.654174999999995</v>
      </c>
      <c r="V39">
        <v>86.225257999999997</v>
      </c>
      <c r="W39">
        <v>86.797302000000002</v>
      </c>
      <c r="X39">
        <v>87.368469000000005</v>
      </c>
      <c r="Y39">
        <v>87.936096000000006</v>
      </c>
      <c r="Z39">
        <v>88.492042999999995</v>
      </c>
      <c r="AA39">
        <v>89.053382999999997</v>
      </c>
      <c r="AB39">
        <v>89.625504000000006</v>
      </c>
      <c r="AC39">
        <v>90.211867999999996</v>
      </c>
      <c r="AD39">
        <v>90.797393999999997</v>
      </c>
      <c r="AE39">
        <v>91.386200000000002</v>
      </c>
      <c r="AF39">
        <v>91.962722999999997</v>
      </c>
      <c r="AG39">
        <v>92.518127000000007</v>
      </c>
      <c r="AH39">
        <v>93.045012999999997</v>
      </c>
      <c r="AI39">
        <v>6.0000000000000001E-3</v>
      </c>
    </row>
    <row r="40" spans="1:35" x14ac:dyDescent="0.25">
      <c r="A40" t="s">
        <v>1101</v>
      </c>
      <c r="B40" t="s">
        <v>1102</v>
      </c>
      <c r="C40" t="s">
        <v>1103</v>
      </c>
      <c r="D40" t="s">
        <v>1104</v>
      </c>
      <c r="E40" t="s">
        <v>1105</v>
      </c>
      <c r="F40" t="s">
        <v>959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>
        <v>8.9999999999999993E-3</v>
      </c>
    </row>
    <row r="41" spans="1:35" x14ac:dyDescent="0.25">
      <c r="A41" t="s">
        <v>1106</v>
      </c>
      <c r="B41" t="s">
        <v>1107</v>
      </c>
      <c r="C41" t="s">
        <v>1108</v>
      </c>
      <c r="D41" t="s">
        <v>1109</v>
      </c>
      <c r="E41" t="s">
        <v>1110</v>
      </c>
      <c r="F41" t="s">
        <v>959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>
        <v>8.9999999999999993E-3</v>
      </c>
    </row>
    <row r="42" spans="1:35" x14ac:dyDescent="0.25">
      <c r="A42" t="s">
        <v>1111</v>
      </c>
      <c r="B42" t="s">
        <v>1112</v>
      </c>
      <c r="C42" t="s">
        <v>1113</v>
      </c>
      <c r="D42" t="s">
        <v>1114</v>
      </c>
      <c r="E42" t="s">
        <v>1115</v>
      </c>
      <c r="F42" t="s">
        <v>959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>
        <v>0.03</v>
      </c>
    </row>
    <row r="43" spans="1:35" x14ac:dyDescent="0.25">
      <c r="A43" t="s">
        <v>1116</v>
      </c>
      <c r="B43" t="s">
        <v>1117</v>
      </c>
      <c r="C43" t="s">
        <v>1118</v>
      </c>
      <c r="D43" t="s">
        <v>1119</v>
      </c>
      <c r="E43" t="s">
        <v>1120</v>
      </c>
      <c r="F43" t="s">
        <v>959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>
        <v>1.4999999999999999E-2</v>
      </c>
    </row>
    <row r="44" spans="1:35" x14ac:dyDescent="0.25">
      <c r="A44" t="s">
        <v>1121</v>
      </c>
      <c r="B44" t="s">
        <v>1122</v>
      </c>
      <c r="C44" t="s">
        <v>1123</v>
      </c>
      <c r="D44" t="s">
        <v>1124</v>
      </c>
      <c r="E44" t="s">
        <v>1125</v>
      </c>
      <c r="F44" t="s">
        <v>959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>
        <v>6.0000000000000001E-3</v>
      </c>
    </row>
    <row r="45" spans="1:35" x14ac:dyDescent="0.25">
      <c r="A45" t="s">
        <v>1126</v>
      </c>
      <c r="B45" t="s">
        <v>1003</v>
      </c>
      <c r="C45" t="s">
        <v>1127</v>
      </c>
      <c r="D45" t="s">
        <v>1128</v>
      </c>
      <c r="E45" t="s">
        <v>1129</v>
      </c>
      <c r="F45" t="s">
        <v>959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>
        <v>1.2999999999999999E-2</v>
      </c>
    </row>
    <row r="46" spans="1:35" x14ac:dyDescent="0.25">
      <c r="A46" t="s">
        <v>1130</v>
      </c>
      <c r="C46" t="s">
        <v>1131</v>
      </c>
      <c r="D46" t="s">
        <v>1132</v>
      </c>
      <c r="E46" t="s">
        <v>1133</v>
      </c>
      <c r="F46" t="s">
        <v>959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>
        <v>0.01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3" x14ac:dyDescent="0.25">
      <c r="C1" t="s">
        <v>946</v>
      </c>
    </row>
    <row r="2" spans="1:33" x14ac:dyDescent="0.25">
      <c r="C2" t="s">
        <v>1134</v>
      </c>
    </row>
    <row r="3" spans="1:33" x14ac:dyDescent="0.25">
      <c r="C3" t="s">
        <v>1135</v>
      </c>
    </row>
    <row r="4" spans="1:33" x14ac:dyDescent="0.25">
      <c r="C4" t="s">
        <v>949</v>
      </c>
    </row>
    <row r="5" spans="1:33" x14ac:dyDescent="0.25">
      <c r="B5" s="5" t="s">
        <v>950</v>
      </c>
      <c r="D5" t="s">
        <v>951</v>
      </c>
      <c r="E5" t="s">
        <v>952</v>
      </c>
      <c r="F5" t="s">
        <v>953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1136</v>
      </c>
    </row>
    <row r="6" spans="1:33" x14ac:dyDescent="0.25">
      <c r="A6" t="s">
        <v>955</v>
      </c>
      <c r="C6" t="s">
        <v>956</v>
      </c>
      <c r="D6" t="s">
        <v>1137</v>
      </c>
      <c r="E6" t="s">
        <v>1138</v>
      </c>
      <c r="F6" t="s">
        <v>959</v>
      </c>
      <c r="G6">
        <v>22086.083984000001</v>
      </c>
      <c r="H6">
        <v>22669.974609000001</v>
      </c>
      <c r="I6">
        <v>23095.640625</v>
      </c>
      <c r="J6">
        <v>23390.617188</v>
      </c>
      <c r="K6">
        <v>23750.759765999999</v>
      </c>
      <c r="L6">
        <v>24166.652343999998</v>
      </c>
      <c r="M6">
        <v>24572.644531000002</v>
      </c>
      <c r="N6">
        <v>25034.144531000002</v>
      </c>
      <c r="O6">
        <v>25522.300781000002</v>
      </c>
      <c r="P6">
        <v>26041.154297000001</v>
      </c>
      <c r="Q6">
        <v>26595.578125</v>
      </c>
      <c r="R6">
        <v>27063.660156000002</v>
      </c>
      <c r="S6">
        <v>27531.339843999998</v>
      </c>
      <c r="T6">
        <v>28000.277343999998</v>
      </c>
      <c r="U6">
        <v>28461.050781000002</v>
      </c>
      <c r="V6">
        <v>28925.544922000001</v>
      </c>
      <c r="W6">
        <v>29375.912109000001</v>
      </c>
      <c r="X6">
        <v>29841.964843999998</v>
      </c>
      <c r="Y6">
        <v>30321.671875</v>
      </c>
      <c r="Z6">
        <v>30806.214843999998</v>
      </c>
      <c r="AA6">
        <v>31294.171875</v>
      </c>
      <c r="AB6">
        <v>31769.9375</v>
      </c>
      <c r="AC6">
        <v>32226.466797000001</v>
      </c>
      <c r="AD6">
        <v>32681.023438</v>
      </c>
      <c r="AE6">
        <v>33125.082030999998</v>
      </c>
      <c r="AF6">
        <v>33582.949219000002</v>
      </c>
      <c r="AG6">
        <v>1.7000000000000001E-2</v>
      </c>
    </row>
    <row r="7" spans="1:33" x14ac:dyDescent="0.25">
      <c r="A7" t="s">
        <v>960</v>
      </c>
      <c r="C7" t="s">
        <v>961</v>
      </c>
      <c r="D7" t="s">
        <v>1139</v>
      </c>
      <c r="E7" t="s">
        <v>1140</v>
      </c>
      <c r="F7" t="s">
        <v>964</v>
      </c>
      <c r="G7">
        <v>160.34007299999999</v>
      </c>
      <c r="H7">
        <v>161.28100599999999</v>
      </c>
      <c r="I7">
        <v>162.17047099999999</v>
      </c>
      <c r="J7">
        <v>162.60861199999999</v>
      </c>
      <c r="K7">
        <v>163.086288</v>
      </c>
      <c r="L7">
        <v>163.62586999999999</v>
      </c>
      <c r="M7">
        <v>164.11605800000001</v>
      </c>
      <c r="N7">
        <v>164.78729200000001</v>
      </c>
      <c r="O7">
        <v>165.46202099999999</v>
      </c>
      <c r="P7">
        <v>166.16980000000001</v>
      </c>
      <c r="Q7">
        <v>166.884872</v>
      </c>
      <c r="R7">
        <v>167.66198700000001</v>
      </c>
      <c r="S7">
        <v>168.565765</v>
      </c>
      <c r="T7">
        <v>169.439774</v>
      </c>
      <c r="U7">
        <v>170.151398</v>
      </c>
      <c r="V7">
        <v>170.95246900000001</v>
      </c>
      <c r="W7">
        <v>171.58038300000001</v>
      </c>
      <c r="X7">
        <v>172.17842099999999</v>
      </c>
      <c r="Y7">
        <v>172.70611600000001</v>
      </c>
      <c r="Z7">
        <v>173.327744</v>
      </c>
      <c r="AA7">
        <v>174.001205</v>
      </c>
      <c r="AB7">
        <v>174.60243199999999</v>
      </c>
      <c r="AC7">
        <v>175.097656</v>
      </c>
      <c r="AD7">
        <v>175.47995</v>
      </c>
      <c r="AE7">
        <v>175.77896100000001</v>
      </c>
      <c r="AF7">
        <v>176.12506099999999</v>
      </c>
      <c r="AG7">
        <v>4.0000000000000001E-3</v>
      </c>
    </row>
    <row r="8" spans="1:33" x14ac:dyDescent="0.25">
      <c r="C8" t="s">
        <v>965</v>
      </c>
    </row>
    <row r="9" spans="1:33" x14ac:dyDescent="0.25">
      <c r="C9" t="s">
        <v>966</v>
      </c>
    </row>
    <row r="10" spans="1:33" x14ac:dyDescent="0.25">
      <c r="A10" t="s">
        <v>967</v>
      </c>
      <c r="B10" t="s">
        <v>968</v>
      </c>
      <c r="C10" t="s">
        <v>969</v>
      </c>
      <c r="D10" t="s">
        <v>1141</v>
      </c>
      <c r="E10" t="s">
        <v>1142</v>
      </c>
      <c r="F10" t="s">
        <v>959</v>
      </c>
      <c r="G10">
        <v>485.34997600000003</v>
      </c>
      <c r="H10">
        <v>486.52557400000001</v>
      </c>
      <c r="I10">
        <v>493.37536599999999</v>
      </c>
      <c r="J10">
        <v>503.25857500000001</v>
      </c>
      <c r="K10">
        <v>509.90396099999998</v>
      </c>
      <c r="L10">
        <v>516.43335000000002</v>
      </c>
      <c r="M10">
        <v>522.85253899999998</v>
      </c>
      <c r="N10">
        <v>529.38610800000004</v>
      </c>
      <c r="O10">
        <v>532.95336899999995</v>
      </c>
      <c r="P10">
        <v>539.97076400000003</v>
      </c>
      <c r="Q10">
        <v>547.71856700000001</v>
      </c>
      <c r="R10">
        <v>555.45874000000003</v>
      </c>
      <c r="S10">
        <v>562.97289999999998</v>
      </c>
      <c r="T10">
        <v>570.92297399999995</v>
      </c>
      <c r="U10">
        <v>579.125</v>
      </c>
      <c r="V10">
        <v>586.07171600000004</v>
      </c>
      <c r="W10">
        <v>592.65618900000004</v>
      </c>
      <c r="X10">
        <v>599.99511700000005</v>
      </c>
      <c r="Y10">
        <v>606.93585199999995</v>
      </c>
      <c r="Z10">
        <v>614.49285899999995</v>
      </c>
      <c r="AA10">
        <v>623.08154300000001</v>
      </c>
      <c r="AB10">
        <v>632.10400400000003</v>
      </c>
      <c r="AC10">
        <v>641.20709199999999</v>
      </c>
      <c r="AD10">
        <v>650.44000200000005</v>
      </c>
      <c r="AE10">
        <v>659.60827600000005</v>
      </c>
      <c r="AF10">
        <v>668.85412599999995</v>
      </c>
      <c r="AG10">
        <v>1.2999999999999999E-2</v>
      </c>
    </row>
    <row r="11" spans="1:33" x14ac:dyDescent="0.25">
      <c r="A11" t="s">
        <v>972</v>
      </c>
      <c r="B11" t="s">
        <v>973</v>
      </c>
      <c r="C11" t="s">
        <v>974</v>
      </c>
      <c r="D11" t="s">
        <v>1143</v>
      </c>
      <c r="E11" t="s">
        <v>1144</v>
      </c>
      <c r="F11" t="s">
        <v>959</v>
      </c>
      <c r="G11">
        <v>791.22412099999997</v>
      </c>
      <c r="H11">
        <v>863.60974099999999</v>
      </c>
      <c r="I11">
        <v>857.47863800000005</v>
      </c>
      <c r="J11">
        <v>862.24182099999996</v>
      </c>
      <c r="K11">
        <v>867.37316899999996</v>
      </c>
      <c r="L11">
        <v>886.08520499999997</v>
      </c>
      <c r="M11">
        <v>900.35943599999996</v>
      </c>
      <c r="N11">
        <v>913.71997099999999</v>
      </c>
      <c r="O11">
        <v>923.65026899999998</v>
      </c>
      <c r="P11">
        <v>935.96826199999998</v>
      </c>
      <c r="Q11">
        <v>939.37109399999997</v>
      </c>
      <c r="R11">
        <v>943.46911599999999</v>
      </c>
      <c r="S11">
        <v>948.69219999999996</v>
      </c>
      <c r="T11">
        <v>953.50341800000001</v>
      </c>
      <c r="U11">
        <v>959.692139</v>
      </c>
      <c r="V11">
        <v>971.02343800000006</v>
      </c>
      <c r="W11">
        <v>984.75244099999998</v>
      </c>
      <c r="X11">
        <v>992.50195299999996</v>
      </c>
      <c r="Y11">
        <v>1001.04248</v>
      </c>
      <c r="Z11">
        <v>1006.122925</v>
      </c>
      <c r="AA11">
        <v>1009.776611</v>
      </c>
      <c r="AB11">
        <v>1013.545105</v>
      </c>
      <c r="AC11">
        <v>1019.138367</v>
      </c>
      <c r="AD11">
        <v>1021.347168</v>
      </c>
      <c r="AE11">
        <v>1021.363525</v>
      </c>
      <c r="AF11">
        <v>1019.486755</v>
      </c>
      <c r="AG11">
        <v>0.01</v>
      </c>
    </row>
    <row r="12" spans="1:33" x14ac:dyDescent="0.25">
      <c r="A12" t="s">
        <v>977</v>
      </c>
      <c r="B12" t="s">
        <v>978</v>
      </c>
      <c r="C12" t="s">
        <v>979</v>
      </c>
      <c r="D12" t="s">
        <v>1145</v>
      </c>
      <c r="E12" t="s">
        <v>1146</v>
      </c>
      <c r="F12" t="s">
        <v>959</v>
      </c>
      <c r="G12">
        <v>1526.7700199999999</v>
      </c>
      <c r="H12">
        <v>1521.3312989999999</v>
      </c>
      <c r="I12">
        <v>1530.459717</v>
      </c>
      <c r="J12">
        <v>1540.0047609999999</v>
      </c>
      <c r="K12">
        <v>1565.405518</v>
      </c>
      <c r="L12">
        <v>1591.6529539999999</v>
      </c>
      <c r="M12">
        <v>1615.9530030000001</v>
      </c>
      <c r="N12">
        <v>1640.333496</v>
      </c>
      <c r="O12">
        <v>1660.849976</v>
      </c>
      <c r="P12">
        <v>1674.029053</v>
      </c>
      <c r="Q12">
        <v>1692.3222659999999</v>
      </c>
      <c r="R12">
        <v>1708.327759</v>
      </c>
      <c r="S12">
        <v>1722.0207519999999</v>
      </c>
      <c r="T12">
        <v>1733.7163089999999</v>
      </c>
      <c r="U12">
        <v>1743.8199460000001</v>
      </c>
      <c r="V12">
        <v>1750.1164550000001</v>
      </c>
      <c r="W12">
        <v>1754.272217</v>
      </c>
      <c r="X12">
        <v>1764.6180420000001</v>
      </c>
      <c r="Y12">
        <v>1772.1407469999999</v>
      </c>
      <c r="Z12">
        <v>1781.1647949999999</v>
      </c>
      <c r="AA12">
        <v>1798.4930420000001</v>
      </c>
      <c r="AB12">
        <v>1816.6457519999999</v>
      </c>
      <c r="AC12">
        <v>1833.321533</v>
      </c>
      <c r="AD12">
        <v>1850.2052000000001</v>
      </c>
      <c r="AE12">
        <v>1869.44397</v>
      </c>
      <c r="AF12">
        <v>1891.598999</v>
      </c>
      <c r="AG12">
        <v>8.9999999999999993E-3</v>
      </c>
    </row>
    <row r="13" spans="1:33" x14ac:dyDescent="0.25">
      <c r="C13" t="s">
        <v>982</v>
      </c>
    </row>
    <row r="14" spans="1:33" x14ac:dyDescent="0.25">
      <c r="A14" t="s">
        <v>983</v>
      </c>
      <c r="B14" t="s">
        <v>984</v>
      </c>
      <c r="C14" t="s">
        <v>985</v>
      </c>
      <c r="D14" t="s">
        <v>1147</v>
      </c>
      <c r="E14" t="s">
        <v>1148</v>
      </c>
      <c r="F14" t="s">
        <v>959</v>
      </c>
      <c r="G14">
        <v>762.71002199999998</v>
      </c>
      <c r="H14">
        <v>766.64880400000004</v>
      </c>
      <c r="I14">
        <v>776.75323500000002</v>
      </c>
      <c r="J14">
        <v>786.11645499999997</v>
      </c>
      <c r="K14">
        <v>792.97131300000001</v>
      </c>
      <c r="L14">
        <v>801.68432600000006</v>
      </c>
      <c r="M14">
        <v>810.93811000000005</v>
      </c>
      <c r="N14">
        <v>819.74688700000002</v>
      </c>
      <c r="O14">
        <v>828.72485400000005</v>
      </c>
      <c r="P14">
        <v>838.03881799999999</v>
      </c>
      <c r="Q14">
        <v>846.84887700000002</v>
      </c>
      <c r="R14">
        <v>856.58660899999995</v>
      </c>
      <c r="S14">
        <v>866.08648700000003</v>
      </c>
      <c r="T14">
        <v>875.84136999999998</v>
      </c>
      <c r="U14">
        <v>885.78131099999996</v>
      </c>
      <c r="V14">
        <v>894.879639</v>
      </c>
      <c r="W14">
        <v>903.73852499999998</v>
      </c>
      <c r="X14">
        <v>912.51666299999999</v>
      </c>
      <c r="Y14">
        <v>921.02239999999995</v>
      </c>
      <c r="Z14">
        <v>929.50469999999996</v>
      </c>
      <c r="AA14">
        <v>937.15026899999998</v>
      </c>
      <c r="AB14">
        <v>945.13659700000005</v>
      </c>
      <c r="AC14">
        <v>953.131531</v>
      </c>
      <c r="AD14">
        <v>961.09613000000002</v>
      </c>
      <c r="AE14">
        <v>969.41839600000003</v>
      </c>
      <c r="AF14">
        <v>977.19104000000004</v>
      </c>
      <c r="AG14">
        <v>0.01</v>
      </c>
    </row>
    <row r="15" spans="1:33" x14ac:dyDescent="0.25">
      <c r="A15" t="s">
        <v>988</v>
      </c>
      <c r="B15" t="s">
        <v>984</v>
      </c>
      <c r="C15" t="s">
        <v>989</v>
      </c>
      <c r="D15" t="s">
        <v>1149</v>
      </c>
      <c r="E15" t="s">
        <v>1150</v>
      </c>
      <c r="F15" t="s">
        <v>959</v>
      </c>
      <c r="G15">
        <v>145.13999899999999</v>
      </c>
      <c r="H15">
        <v>143.29698200000001</v>
      </c>
      <c r="I15">
        <v>141.07891799999999</v>
      </c>
      <c r="J15">
        <v>139.88064600000001</v>
      </c>
      <c r="K15">
        <v>138.80690000000001</v>
      </c>
      <c r="L15">
        <v>137.82714799999999</v>
      </c>
      <c r="M15">
        <v>136.89218099999999</v>
      </c>
      <c r="N15">
        <v>136.19909699999999</v>
      </c>
      <c r="O15">
        <v>135.471451</v>
      </c>
      <c r="P15">
        <v>134.65437299999999</v>
      </c>
      <c r="Q15">
        <v>133.95632900000001</v>
      </c>
      <c r="R15">
        <v>133.194199</v>
      </c>
      <c r="S15">
        <v>132.51904300000001</v>
      </c>
      <c r="T15">
        <v>131.791122</v>
      </c>
      <c r="U15">
        <v>130.83189400000001</v>
      </c>
      <c r="V15">
        <v>130.09213299999999</v>
      </c>
      <c r="W15">
        <v>129.58869899999999</v>
      </c>
      <c r="X15">
        <v>129.14653000000001</v>
      </c>
      <c r="Y15">
        <v>128.57557700000001</v>
      </c>
      <c r="Z15">
        <v>128.060776</v>
      </c>
      <c r="AA15">
        <v>127.76370199999999</v>
      </c>
      <c r="AB15">
        <v>127.407951</v>
      </c>
      <c r="AC15">
        <v>126.89009900000001</v>
      </c>
      <c r="AD15">
        <v>126.399101</v>
      </c>
      <c r="AE15">
        <v>125.87490099999999</v>
      </c>
      <c r="AF15">
        <v>125.28132600000001</v>
      </c>
      <c r="AG15">
        <v>-6.0000000000000001E-3</v>
      </c>
    </row>
    <row r="16" spans="1:33" x14ac:dyDescent="0.25">
      <c r="A16" t="s">
        <v>992</v>
      </c>
      <c r="B16" t="s">
        <v>993</v>
      </c>
      <c r="C16" t="s">
        <v>994</v>
      </c>
      <c r="D16" t="s">
        <v>1151</v>
      </c>
      <c r="E16" t="s">
        <v>1152</v>
      </c>
      <c r="F16" t="s">
        <v>959</v>
      </c>
      <c r="G16">
        <v>58.603230000000003</v>
      </c>
      <c r="H16">
        <v>59.344817999999997</v>
      </c>
      <c r="I16">
        <v>60.159962</v>
      </c>
      <c r="J16">
        <v>58.416598999999998</v>
      </c>
      <c r="K16">
        <v>56.206122999999998</v>
      </c>
      <c r="L16">
        <v>55.210059999999999</v>
      </c>
      <c r="M16">
        <v>54.903446000000002</v>
      </c>
      <c r="N16">
        <v>54.746746000000002</v>
      </c>
      <c r="O16">
        <v>54.889693999999999</v>
      </c>
      <c r="P16">
        <v>55.283862999999997</v>
      </c>
      <c r="Q16">
        <v>55.522114000000002</v>
      </c>
      <c r="R16">
        <v>55.493893</v>
      </c>
      <c r="S16">
        <v>55.565697</v>
      </c>
      <c r="T16">
        <v>55.676113000000001</v>
      </c>
      <c r="U16">
        <v>55.728962000000003</v>
      </c>
      <c r="V16">
        <v>55.944988000000002</v>
      </c>
      <c r="W16">
        <v>56.146872999999999</v>
      </c>
      <c r="X16">
        <v>56.280396000000003</v>
      </c>
      <c r="Y16">
        <v>56.407085000000002</v>
      </c>
      <c r="Z16">
        <v>56.575736999999997</v>
      </c>
      <c r="AA16">
        <v>56.787509999999997</v>
      </c>
      <c r="AB16">
        <v>56.890765999999999</v>
      </c>
      <c r="AC16">
        <v>56.785235999999998</v>
      </c>
      <c r="AD16">
        <v>56.510384000000002</v>
      </c>
      <c r="AE16">
        <v>56.437035000000002</v>
      </c>
      <c r="AF16">
        <v>56.381991999999997</v>
      </c>
      <c r="AG16">
        <v>-2E-3</v>
      </c>
    </row>
    <row r="17" spans="1:35" x14ac:dyDescent="0.25">
      <c r="A17" t="s">
        <v>997</v>
      </c>
      <c r="B17" t="s">
        <v>998</v>
      </c>
      <c r="C17" t="s">
        <v>999</v>
      </c>
      <c r="D17" t="s">
        <v>1153</v>
      </c>
      <c r="E17" t="s">
        <v>1154</v>
      </c>
      <c r="F17" t="s">
        <v>959</v>
      </c>
      <c r="G17">
        <v>118.724998</v>
      </c>
      <c r="H17">
        <v>99.632530000000003</v>
      </c>
      <c r="I17">
        <v>93.661902999999995</v>
      </c>
      <c r="J17">
        <v>98.211769000000004</v>
      </c>
      <c r="K17">
        <v>105.913048</v>
      </c>
      <c r="L17">
        <v>107.063103</v>
      </c>
      <c r="M17">
        <v>104.34275100000001</v>
      </c>
      <c r="N17">
        <v>104.021378</v>
      </c>
      <c r="O17">
        <v>106.398071</v>
      </c>
      <c r="P17">
        <v>110.545998</v>
      </c>
      <c r="Q17">
        <v>113.7761</v>
      </c>
      <c r="R17">
        <v>117.102203</v>
      </c>
      <c r="S17">
        <v>119.56847399999999</v>
      </c>
      <c r="T17">
        <v>122.233253</v>
      </c>
      <c r="U17">
        <v>124.190926</v>
      </c>
      <c r="V17">
        <v>124.834053</v>
      </c>
      <c r="W17">
        <v>122.585373</v>
      </c>
      <c r="X17">
        <v>121.283722</v>
      </c>
      <c r="Y17">
        <v>118.868103</v>
      </c>
      <c r="Z17">
        <v>117.277946</v>
      </c>
      <c r="AA17">
        <v>118.01934799999999</v>
      </c>
      <c r="AB17">
        <v>118.727875</v>
      </c>
      <c r="AC17">
        <v>119.795547</v>
      </c>
      <c r="AD17">
        <v>120.76300000000001</v>
      </c>
      <c r="AE17">
        <v>122.42195100000001</v>
      </c>
      <c r="AF17">
        <v>123.797501</v>
      </c>
      <c r="AG17">
        <v>2E-3</v>
      </c>
    </row>
    <row r="18" spans="1:35" x14ac:dyDescent="0.25">
      <c r="A18" t="s">
        <v>1002</v>
      </c>
      <c r="B18" t="s">
        <v>1003</v>
      </c>
      <c r="C18" t="s">
        <v>1004</v>
      </c>
      <c r="D18" t="s">
        <v>1155</v>
      </c>
      <c r="E18" t="s">
        <v>1156</v>
      </c>
      <c r="F18" t="s">
        <v>959</v>
      </c>
      <c r="G18">
        <v>58.322498000000003</v>
      </c>
      <c r="H18">
        <v>59.011951000000003</v>
      </c>
      <c r="I18">
        <v>60.173313</v>
      </c>
      <c r="J18">
        <v>59.152695000000001</v>
      </c>
      <c r="K18">
        <v>59.485309999999998</v>
      </c>
      <c r="L18">
        <v>60.807999000000002</v>
      </c>
      <c r="M18">
        <v>61.878867999999997</v>
      </c>
      <c r="N18">
        <v>63.159160999999997</v>
      </c>
      <c r="O18">
        <v>64.566895000000002</v>
      </c>
      <c r="P18">
        <v>65.938286000000005</v>
      </c>
      <c r="Q18">
        <v>68.118446000000006</v>
      </c>
      <c r="R18">
        <v>69.331092999999996</v>
      </c>
      <c r="S18">
        <v>70.475876</v>
      </c>
      <c r="T18">
        <v>72.192847999999998</v>
      </c>
      <c r="U18">
        <v>73.151497000000006</v>
      </c>
      <c r="V18">
        <v>74.659355000000005</v>
      </c>
      <c r="W18">
        <v>76.165656999999996</v>
      </c>
      <c r="X18">
        <v>77.674377000000007</v>
      </c>
      <c r="Y18">
        <v>79.193832</v>
      </c>
      <c r="Z18">
        <v>80.946731999999997</v>
      </c>
      <c r="AA18">
        <v>83.448447999999999</v>
      </c>
      <c r="AB18">
        <v>84.887985</v>
      </c>
      <c r="AC18">
        <v>86.415627000000001</v>
      </c>
      <c r="AD18">
        <v>87.191367999999997</v>
      </c>
      <c r="AE18">
        <v>88.336067</v>
      </c>
      <c r="AF18">
        <v>89.970725999999999</v>
      </c>
      <c r="AG18">
        <v>1.7000000000000001E-2</v>
      </c>
    </row>
    <row r="19" spans="1:35" x14ac:dyDescent="0.25">
      <c r="A19" t="s">
        <v>1007</v>
      </c>
      <c r="B19" t="s">
        <v>1008</v>
      </c>
      <c r="C19" t="s">
        <v>1009</v>
      </c>
      <c r="D19" t="s">
        <v>1157</v>
      </c>
      <c r="E19" t="s">
        <v>1158</v>
      </c>
      <c r="F19" t="s">
        <v>959</v>
      </c>
      <c r="G19">
        <v>146.52499399999999</v>
      </c>
      <c r="H19">
        <v>146.300095</v>
      </c>
      <c r="I19">
        <v>148.35510300000001</v>
      </c>
      <c r="J19">
        <v>148.39004499999999</v>
      </c>
      <c r="K19">
        <v>148.27514600000001</v>
      </c>
      <c r="L19">
        <v>148.22979699999999</v>
      </c>
      <c r="M19">
        <v>149.00885</v>
      </c>
      <c r="N19">
        <v>149.76033000000001</v>
      </c>
      <c r="O19">
        <v>150.414368</v>
      </c>
      <c r="P19">
        <v>151.04452499999999</v>
      </c>
      <c r="Q19">
        <v>151.76538099999999</v>
      </c>
      <c r="R19">
        <v>152.44345100000001</v>
      </c>
      <c r="S19">
        <v>152.84227000000001</v>
      </c>
      <c r="T19">
        <v>153.86857599999999</v>
      </c>
      <c r="U19">
        <v>155.21447800000001</v>
      </c>
      <c r="V19">
        <v>156.88922099999999</v>
      </c>
      <c r="W19">
        <v>158.34562700000001</v>
      </c>
      <c r="X19">
        <v>159.91807600000001</v>
      </c>
      <c r="Y19">
        <v>161.62904399999999</v>
      </c>
      <c r="Z19">
        <v>163.462219</v>
      </c>
      <c r="AA19">
        <v>165.47505200000001</v>
      </c>
      <c r="AB19">
        <v>167.21362300000001</v>
      </c>
      <c r="AC19">
        <v>169.04817199999999</v>
      </c>
      <c r="AD19">
        <v>170.64967300000001</v>
      </c>
      <c r="AE19">
        <v>172.45002700000001</v>
      </c>
      <c r="AF19">
        <v>174.19078099999999</v>
      </c>
      <c r="AG19">
        <v>7.0000000000000001E-3</v>
      </c>
    </row>
    <row r="20" spans="1:35" x14ac:dyDescent="0.25">
      <c r="A20" t="s">
        <v>1012</v>
      </c>
      <c r="B20" t="s">
        <v>1008</v>
      </c>
      <c r="C20" t="s">
        <v>1013</v>
      </c>
      <c r="D20" t="s">
        <v>1159</v>
      </c>
      <c r="E20" t="s">
        <v>1160</v>
      </c>
      <c r="F20" t="s">
        <v>959</v>
      </c>
      <c r="G20">
        <v>64.357498000000007</v>
      </c>
      <c r="H20">
        <v>62.670582000000003</v>
      </c>
      <c r="I20">
        <v>60.882739999999998</v>
      </c>
      <c r="J20">
        <v>59.342823000000003</v>
      </c>
      <c r="K20">
        <v>58.132961000000002</v>
      </c>
      <c r="L20">
        <v>56.884990999999999</v>
      </c>
      <c r="M20">
        <v>55.614899000000001</v>
      </c>
      <c r="N20">
        <v>54.245510000000003</v>
      </c>
      <c r="O20">
        <v>52.755294999999997</v>
      </c>
      <c r="P20">
        <v>51.431721000000003</v>
      </c>
      <c r="Q20">
        <v>50.014037999999999</v>
      </c>
      <c r="R20">
        <v>48.692402000000001</v>
      </c>
      <c r="S20">
        <v>47.663521000000003</v>
      </c>
      <c r="T20">
        <v>46.690609000000002</v>
      </c>
      <c r="U20">
        <v>46.016658999999997</v>
      </c>
      <c r="V20">
        <v>45.447735000000002</v>
      </c>
      <c r="W20">
        <v>44.834614000000002</v>
      </c>
      <c r="X20">
        <v>44.365485999999997</v>
      </c>
      <c r="Y20">
        <v>43.841121999999999</v>
      </c>
      <c r="Z20">
        <v>43.243724999999998</v>
      </c>
      <c r="AA20">
        <v>42.610481</v>
      </c>
      <c r="AB20">
        <v>42.079239000000001</v>
      </c>
      <c r="AC20">
        <v>41.707779000000002</v>
      </c>
      <c r="AD20">
        <v>41.560302999999998</v>
      </c>
      <c r="AE20">
        <v>41.430827999999998</v>
      </c>
      <c r="AF20">
        <v>41.002571000000003</v>
      </c>
      <c r="AG20">
        <v>-1.7999999999999999E-2</v>
      </c>
    </row>
    <row r="21" spans="1:35" x14ac:dyDescent="0.25">
      <c r="A21" t="s">
        <v>1016</v>
      </c>
      <c r="B21" t="s">
        <v>1017</v>
      </c>
      <c r="C21" t="s">
        <v>1018</v>
      </c>
      <c r="D21" t="s">
        <v>1161</v>
      </c>
      <c r="E21" t="s">
        <v>1162</v>
      </c>
      <c r="F21" t="s">
        <v>959</v>
      </c>
      <c r="G21">
        <v>866.14446999999996</v>
      </c>
      <c r="H21">
        <v>854.60504200000003</v>
      </c>
      <c r="I21">
        <v>844.64343299999996</v>
      </c>
      <c r="J21">
        <v>841.27880900000002</v>
      </c>
      <c r="K21">
        <v>834.162598</v>
      </c>
      <c r="L21">
        <v>833.864868</v>
      </c>
      <c r="M21">
        <v>837.70922900000005</v>
      </c>
      <c r="N21">
        <v>842.62768600000004</v>
      </c>
      <c r="O21">
        <v>851.86352499999998</v>
      </c>
      <c r="P21">
        <v>861.18933100000004</v>
      </c>
      <c r="Q21">
        <v>871.22015399999998</v>
      </c>
      <c r="R21">
        <v>881.64965800000004</v>
      </c>
      <c r="S21">
        <v>893.15484600000002</v>
      </c>
      <c r="T21">
        <v>904.770081</v>
      </c>
      <c r="U21">
        <v>918.34716800000001</v>
      </c>
      <c r="V21">
        <v>932.80969200000004</v>
      </c>
      <c r="W21">
        <v>949.002747</v>
      </c>
      <c r="X21">
        <v>967.69164999999998</v>
      </c>
      <c r="Y21">
        <v>985.70812999999998</v>
      </c>
      <c r="Z21">
        <v>1004.382019</v>
      </c>
      <c r="AA21">
        <v>1024.803711</v>
      </c>
      <c r="AB21">
        <v>1046.9313959999999</v>
      </c>
      <c r="AC21">
        <v>1070.0600589999999</v>
      </c>
      <c r="AD21">
        <v>1091.0391850000001</v>
      </c>
      <c r="AE21">
        <v>1111.1674800000001</v>
      </c>
      <c r="AF21">
        <v>1133.631836</v>
      </c>
      <c r="AG21">
        <v>1.0999999999999999E-2</v>
      </c>
    </row>
    <row r="22" spans="1:35" x14ac:dyDescent="0.25">
      <c r="A22" t="s">
        <v>1021</v>
      </c>
      <c r="C22" t="s">
        <v>1022</v>
      </c>
      <c r="D22" t="s">
        <v>1163</v>
      </c>
      <c r="E22" t="s">
        <v>1164</v>
      </c>
      <c r="F22" t="s">
        <v>959</v>
      </c>
      <c r="G22">
        <v>389.91445900000002</v>
      </c>
      <c r="H22">
        <v>374.33462500000002</v>
      </c>
      <c r="I22">
        <v>368.80944799999997</v>
      </c>
      <c r="J22">
        <v>367.27593999999999</v>
      </c>
      <c r="K22">
        <v>361.54742399999998</v>
      </c>
      <c r="L22">
        <v>361.88439899999997</v>
      </c>
      <c r="M22">
        <v>365.39736900000003</v>
      </c>
      <c r="N22">
        <v>366.77453600000001</v>
      </c>
      <c r="O22">
        <v>369.98590100000001</v>
      </c>
      <c r="P22">
        <v>373.71804800000001</v>
      </c>
      <c r="Q22">
        <v>378.38687099999999</v>
      </c>
      <c r="R22">
        <v>383.46777300000002</v>
      </c>
      <c r="S22">
        <v>388.05297899999999</v>
      </c>
      <c r="T22">
        <v>392.61920199999997</v>
      </c>
      <c r="U22">
        <v>399.43426499999998</v>
      </c>
      <c r="V22">
        <v>406.02401700000001</v>
      </c>
      <c r="W22">
        <v>412.86163299999998</v>
      </c>
      <c r="X22">
        <v>420.91342200000003</v>
      </c>
      <c r="Y22">
        <v>427.61038200000002</v>
      </c>
      <c r="Z22">
        <v>434.302368</v>
      </c>
      <c r="AA22">
        <v>442.08343500000001</v>
      </c>
      <c r="AB22">
        <v>450.44988999999998</v>
      </c>
      <c r="AC22">
        <v>459.50070199999999</v>
      </c>
      <c r="AD22">
        <v>467.66095000000001</v>
      </c>
      <c r="AE22">
        <v>474.06463600000001</v>
      </c>
      <c r="AF22">
        <v>482.12265000000002</v>
      </c>
      <c r="AG22">
        <v>8.9999999999999993E-3</v>
      </c>
    </row>
    <row r="23" spans="1:35" x14ac:dyDescent="0.25">
      <c r="A23" t="s">
        <v>1025</v>
      </c>
      <c r="C23" t="s">
        <v>1026</v>
      </c>
      <c r="D23" t="s">
        <v>1165</v>
      </c>
      <c r="E23" t="s">
        <v>1166</v>
      </c>
      <c r="F23" t="s">
        <v>959</v>
      </c>
      <c r="G23">
        <v>51.491622999999997</v>
      </c>
      <c r="H23">
        <v>52.255329000000003</v>
      </c>
      <c r="I23">
        <v>51.697498000000003</v>
      </c>
      <c r="J23">
        <v>51.977890000000002</v>
      </c>
      <c r="K23">
        <v>51.210506000000002</v>
      </c>
      <c r="L23">
        <v>50.927028999999997</v>
      </c>
      <c r="M23">
        <v>51.219692000000002</v>
      </c>
      <c r="N23">
        <v>51.075771000000003</v>
      </c>
      <c r="O23">
        <v>51.268538999999997</v>
      </c>
      <c r="P23">
        <v>51.611919</v>
      </c>
      <c r="Q23">
        <v>51.788040000000002</v>
      </c>
      <c r="R23">
        <v>51.978779000000003</v>
      </c>
      <c r="S23">
        <v>51.913784</v>
      </c>
      <c r="T23">
        <v>51.978076999999999</v>
      </c>
      <c r="U23">
        <v>52.200248999999999</v>
      </c>
      <c r="V23">
        <v>52.240592999999997</v>
      </c>
      <c r="W23">
        <v>52.307400000000001</v>
      </c>
      <c r="X23">
        <v>52.404572000000002</v>
      </c>
      <c r="Y23">
        <v>52.432654999999997</v>
      </c>
      <c r="Z23">
        <v>52.335208999999999</v>
      </c>
      <c r="AA23">
        <v>52.231144</v>
      </c>
      <c r="AB23">
        <v>52.381222000000001</v>
      </c>
      <c r="AC23">
        <v>52.576962000000002</v>
      </c>
      <c r="AD23">
        <v>52.698146999999999</v>
      </c>
      <c r="AE23">
        <v>52.773536999999997</v>
      </c>
      <c r="AF23">
        <v>52.964759999999998</v>
      </c>
      <c r="AG23">
        <v>1E-3</v>
      </c>
    </row>
    <row r="24" spans="1:35" x14ac:dyDescent="0.25">
      <c r="A24" t="s">
        <v>1029</v>
      </c>
      <c r="C24" t="s">
        <v>1030</v>
      </c>
      <c r="D24" t="s">
        <v>1167</v>
      </c>
      <c r="E24" t="s">
        <v>1168</v>
      </c>
      <c r="F24" t="s">
        <v>959</v>
      </c>
      <c r="G24">
        <v>184.63533000000001</v>
      </c>
      <c r="H24">
        <v>169.545074</v>
      </c>
      <c r="I24">
        <v>162.99795499999999</v>
      </c>
      <c r="J24">
        <v>163.28097500000001</v>
      </c>
      <c r="K24">
        <v>159.475098</v>
      </c>
      <c r="L24">
        <v>158.51843299999999</v>
      </c>
      <c r="M24">
        <v>160.61567700000001</v>
      </c>
      <c r="N24">
        <v>162.61991900000001</v>
      </c>
      <c r="O24">
        <v>165.46670499999999</v>
      </c>
      <c r="P24">
        <v>168.74754300000001</v>
      </c>
      <c r="Q24">
        <v>171.988846</v>
      </c>
      <c r="R24">
        <v>176.30659499999999</v>
      </c>
      <c r="S24">
        <v>178.54917900000001</v>
      </c>
      <c r="T24">
        <v>181.37652600000001</v>
      </c>
      <c r="U24">
        <v>186.22254899999999</v>
      </c>
      <c r="V24">
        <v>190.339157</v>
      </c>
      <c r="W24">
        <v>194.995026</v>
      </c>
      <c r="X24">
        <v>200.03681900000001</v>
      </c>
      <c r="Y24">
        <v>205.301331</v>
      </c>
      <c r="Z24">
        <v>211.083527</v>
      </c>
      <c r="AA24">
        <v>217.31681800000001</v>
      </c>
      <c r="AB24">
        <v>223.622421</v>
      </c>
      <c r="AC24">
        <v>229.466644</v>
      </c>
      <c r="AD24">
        <v>235.0215</v>
      </c>
      <c r="AE24">
        <v>239.40428199999999</v>
      </c>
      <c r="AF24">
        <v>244.677795</v>
      </c>
      <c r="AG24">
        <v>1.0999999999999999E-2</v>
      </c>
    </row>
    <row r="25" spans="1:35" x14ac:dyDescent="0.25">
      <c r="A25" t="s">
        <v>1033</v>
      </c>
      <c r="C25" t="s">
        <v>1034</v>
      </c>
      <c r="D25" t="s">
        <v>1035</v>
      </c>
      <c r="E25" t="s">
        <v>1036</v>
      </c>
      <c r="F25" t="s">
        <v>1169</v>
      </c>
      <c r="G25" t="s">
        <v>1170</v>
      </c>
      <c r="H25" t="s">
        <v>959</v>
      </c>
      <c r="I25">
        <v>112.347504</v>
      </c>
      <c r="J25">
        <v>111.06512499999999</v>
      </c>
      <c r="K25">
        <v>112.167877</v>
      </c>
      <c r="L25">
        <v>110.210426</v>
      </c>
      <c r="M25">
        <v>109.016777</v>
      </c>
      <c r="N25">
        <v>110.27057600000001</v>
      </c>
      <c r="O25">
        <v>111.023552</v>
      </c>
      <c r="P25">
        <v>110.383377</v>
      </c>
      <c r="Q25">
        <v>110.300377</v>
      </c>
      <c r="R25">
        <v>110.13205000000001</v>
      </c>
      <c r="S25">
        <v>110.979073</v>
      </c>
      <c r="T25">
        <v>111.19699900000001</v>
      </c>
      <c r="U25">
        <v>113.116776</v>
      </c>
      <c r="V25">
        <v>114.378525</v>
      </c>
      <c r="W25">
        <v>115.730423</v>
      </c>
      <c r="X25">
        <v>117.68789700000001</v>
      </c>
      <c r="Y25">
        <v>119.253349</v>
      </c>
      <c r="Z25">
        <v>121.622749</v>
      </c>
      <c r="AA25">
        <v>122.511253</v>
      </c>
      <c r="AB25">
        <v>123.04222900000001</v>
      </c>
      <c r="AC25">
        <v>123.998947</v>
      </c>
      <c r="AD25">
        <v>125.264999</v>
      </c>
      <c r="AE25">
        <v>127.588448</v>
      </c>
      <c r="AF25">
        <v>129.46644599999999</v>
      </c>
      <c r="AG25">
        <v>130.94454999999999</v>
      </c>
      <c r="AH25">
        <v>132.97212200000001</v>
      </c>
      <c r="AI25">
        <v>7.0000000000000001E-3</v>
      </c>
    </row>
    <row r="26" spans="1:35" x14ac:dyDescent="0.25">
      <c r="A26" t="s">
        <v>1039</v>
      </c>
      <c r="C26" t="s">
        <v>1040</v>
      </c>
      <c r="D26" t="s">
        <v>1171</v>
      </c>
      <c r="E26" t="s">
        <v>1172</v>
      </c>
      <c r="F26" t="s">
        <v>959</v>
      </c>
      <c r="G26">
        <v>41.439999</v>
      </c>
      <c r="H26">
        <v>41.469085999999997</v>
      </c>
      <c r="I26">
        <v>41.946102000000003</v>
      </c>
      <c r="J26">
        <v>41.806648000000003</v>
      </c>
      <c r="K26">
        <v>41.845042999999997</v>
      </c>
      <c r="L26">
        <v>42.168368999999998</v>
      </c>
      <c r="M26">
        <v>42.538463999999998</v>
      </c>
      <c r="N26">
        <v>42.695453999999998</v>
      </c>
      <c r="O26">
        <v>42.950291</v>
      </c>
      <c r="P26">
        <v>43.226523999999998</v>
      </c>
      <c r="Q26">
        <v>43.630913</v>
      </c>
      <c r="R26">
        <v>43.985401000000003</v>
      </c>
      <c r="S26">
        <v>44.473221000000002</v>
      </c>
      <c r="T26">
        <v>44.886093000000002</v>
      </c>
      <c r="U26">
        <v>45.281067</v>
      </c>
      <c r="V26">
        <v>45.756377999999998</v>
      </c>
      <c r="W26">
        <v>46.305858999999998</v>
      </c>
      <c r="X26">
        <v>46.849269999999997</v>
      </c>
      <c r="Y26">
        <v>47.365138999999999</v>
      </c>
      <c r="Z26">
        <v>47.841414999999998</v>
      </c>
      <c r="AA26">
        <v>48.536507</v>
      </c>
      <c r="AB26">
        <v>49.181258999999997</v>
      </c>
      <c r="AC26">
        <v>49.868651999999997</v>
      </c>
      <c r="AD26">
        <v>50.474845999999999</v>
      </c>
      <c r="AE26">
        <v>50.942248999999997</v>
      </c>
      <c r="AF26">
        <v>51.507961000000002</v>
      </c>
      <c r="AG26">
        <v>8.9999999999999993E-3</v>
      </c>
    </row>
    <row r="27" spans="1:35" x14ac:dyDescent="0.25">
      <c r="A27" t="s">
        <v>1043</v>
      </c>
      <c r="C27" t="s">
        <v>1044</v>
      </c>
      <c r="D27" t="s">
        <v>1173</v>
      </c>
      <c r="E27" t="s">
        <v>1174</v>
      </c>
      <c r="F27" t="s">
        <v>959</v>
      </c>
      <c r="G27">
        <v>476.23001099999999</v>
      </c>
      <c r="H27">
        <v>480.27041600000001</v>
      </c>
      <c r="I27">
        <v>475.83401500000002</v>
      </c>
      <c r="J27">
        <v>474.002838</v>
      </c>
      <c r="K27">
        <v>472.61517300000003</v>
      </c>
      <c r="L27">
        <v>471.98049900000001</v>
      </c>
      <c r="M27">
        <v>472.31189000000001</v>
      </c>
      <c r="N27">
        <v>475.85318000000001</v>
      </c>
      <c r="O27">
        <v>481.87759399999999</v>
      </c>
      <c r="P27">
        <v>487.47125199999999</v>
      </c>
      <c r="Q27">
        <v>492.833282</v>
      </c>
      <c r="R27">
        <v>498.18185399999999</v>
      </c>
      <c r="S27">
        <v>505.10186800000002</v>
      </c>
      <c r="T27">
        <v>512.15087900000003</v>
      </c>
      <c r="U27">
        <v>518.91290300000003</v>
      </c>
      <c r="V27">
        <v>526.785706</v>
      </c>
      <c r="W27">
        <v>536.14111300000002</v>
      </c>
      <c r="X27">
        <v>546.77819799999997</v>
      </c>
      <c r="Y27">
        <v>558.09771699999999</v>
      </c>
      <c r="Z27">
        <v>570.07965100000001</v>
      </c>
      <c r="AA27">
        <v>582.72027600000001</v>
      </c>
      <c r="AB27">
        <v>596.48150599999997</v>
      </c>
      <c r="AC27">
        <v>610.55932600000006</v>
      </c>
      <c r="AD27">
        <v>623.37823500000002</v>
      </c>
      <c r="AE27">
        <v>637.102844</v>
      </c>
      <c r="AF27">
        <v>651.50915499999996</v>
      </c>
      <c r="AG27">
        <v>1.2999999999999999E-2</v>
      </c>
    </row>
    <row r="28" spans="1:35" x14ac:dyDescent="0.25">
      <c r="A28" t="s">
        <v>1047</v>
      </c>
      <c r="C28" t="s">
        <v>1048</v>
      </c>
      <c r="D28" t="s">
        <v>1175</v>
      </c>
      <c r="E28" t="s">
        <v>1176</v>
      </c>
      <c r="F28" t="s">
        <v>959</v>
      </c>
      <c r="G28">
        <v>812.46875</v>
      </c>
      <c r="H28">
        <v>815.59912099999997</v>
      </c>
      <c r="I28">
        <v>814.62957800000004</v>
      </c>
      <c r="J28">
        <v>812.44067399999994</v>
      </c>
      <c r="K28">
        <v>805.56982400000004</v>
      </c>
      <c r="L28">
        <v>801.77545199999997</v>
      </c>
      <c r="M28">
        <v>797.08850099999995</v>
      </c>
      <c r="N28">
        <v>795.29705799999999</v>
      </c>
      <c r="O28">
        <v>793.84899900000005</v>
      </c>
      <c r="P28">
        <v>794.52423099999999</v>
      </c>
      <c r="Q28">
        <v>795.75140399999998</v>
      </c>
      <c r="R28">
        <v>793.120361</v>
      </c>
      <c r="S28">
        <v>787.339966</v>
      </c>
      <c r="T28">
        <v>781.71319600000004</v>
      </c>
      <c r="U28">
        <v>778.870544</v>
      </c>
      <c r="V28">
        <v>777.97796600000004</v>
      </c>
      <c r="W28">
        <v>779.20483400000001</v>
      </c>
      <c r="X28">
        <v>777.89733899999999</v>
      </c>
      <c r="Y28">
        <v>774.04760699999997</v>
      </c>
      <c r="Z28">
        <v>769.80383300000005</v>
      </c>
      <c r="AA28">
        <v>765.90612799999997</v>
      </c>
      <c r="AB28">
        <v>766.34454300000004</v>
      </c>
      <c r="AC28">
        <v>767.62951699999996</v>
      </c>
      <c r="AD28">
        <v>764.871216</v>
      </c>
      <c r="AE28">
        <v>763.11071800000002</v>
      </c>
      <c r="AF28">
        <v>762.698486</v>
      </c>
      <c r="AG28">
        <v>-3.0000000000000001E-3</v>
      </c>
    </row>
    <row r="29" spans="1:35" x14ac:dyDescent="0.25">
      <c r="A29" t="s">
        <v>1051</v>
      </c>
      <c r="B29" t="s">
        <v>1052</v>
      </c>
      <c r="C29" t="s">
        <v>1053</v>
      </c>
      <c r="D29" t="s">
        <v>1177</v>
      </c>
      <c r="E29" t="s">
        <v>1178</v>
      </c>
      <c r="F29" t="s">
        <v>959</v>
      </c>
      <c r="G29">
        <v>774.53997800000002</v>
      </c>
      <c r="H29">
        <v>777.53735400000005</v>
      </c>
      <c r="I29">
        <v>776.06774900000005</v>
      </c>
      <c r="J29">
        <v>773.38439900000003</v>
      </c>
      <c r="K29">
        <v>766.23870799999997</v>
      </c>
      <c r="L29">
        <v>762.01086399999997</v>
      </c>
      <c r="M29">
        <v>756.96893299999999</v>
      </c>
      <c r="N29">
        <v>754.99780299999998</v>
      </c>
      <c r="O29">
        <v>753.45190400000001</v>
      </c>
      <c r="P29">
        <v>754.00939900000003</v>
      </c>
      <c r="Q29">
        <v>755.11730999999997</v>
      </c>
      <c r="R29">
        <v>752.42364499999996</v>
      </c>
      <c r="S29">
        <v>746.49102800000003</v>
      </c>
      <c r="T29">
        <v>740.76800500000002</v>
      </c>
      <c r="U29">
        <v>737.8125</v>
      </c>
      <c r="V29">
        <v>736.70519999999999</v>
      </c>
      <c r="W29">
        <v>737.79656999999997</v>
      </c>
      <c r="X29">
        <v>736.50988800000005</v>
      </c>
      <c r="Y29">
        <v>732.66778599999998</v>
      </c>
      <c r="Z29">
        <v>728.45471199999997</v>
      </c>
      <c r="AA29">
        <v>724.67083700000001</v>
      </c>
      <c r="AB29">
        <v>725.17279099999996</v>
      </c>
      <c r="AC29">
        <v>726.47796600000004</v>
      </c>
      <c r="AD29">
        <v>723.81841999999995</v>
      </c>
      <c r="AE29">
        <v>722.17980999999997</v>
      </c>
      <c r="AF29">
        <v>721.85510299999999</v>
      </c>
      <c r="AG29">
        <v>-3.0000000000000001E-3</v>
      </c>
    </row>
    <row r="30" spans="1:35" x14ac:dyDescent="0.25">
      <c r="A30" t="s">
        <v>1056</v>
      </c>
      <c r="B30" t="s">
        <v>1057</v>
      </c>
      <c r="C30" t="s">
        <v>1058</v>
      </c>
      <c r="D30" t="s">
        <v>1179</v>
      </c>
      <c r="E30" t="s">
        <v>1180</v>
      </c>
      <c r="F30" t="s">
        <v>959</v>
      </c>
      <c r="G30">
        <v>37.928801999999997</v>
      </c>
      <c r="H30">
        <v>38.061751999999998</v>
      </c>
      <c r="I30">
        <v>38.561805999999997</v>
      </c>
      <c r="J30">
        <v>39.056305000000002</v>
      </c>
      <c r="K30">
        <v>39.331111999999997</v>
      </c>
      <c r="L30">
        <v>39.764567999999997</v>
      </c>
      <c r="M30">
        <v>40.11956</v>
      </c>
      <c r="N30">
        <v>40.299236000000001</v>
      </c>
      <c r="O30">
        <v>40.397125000000003</v>
      </c>
      <c r="P30">
        <v>40.514839000000002</v>
      </c>
      <c r="Q30">
        <v>40.634067999999999</v>
      </c>
      <c r="R30">
        <v>40.696747000000002</v>
      </c>
      <c r="S30">
        <v>40.848927000000003</v>
      </c>
      <c r="T30">
        <v>40.945205999999999</v>
      </c>
      <c r="U30">
        <v>41.058052000000004</v>
      </c>
      <c r="V30">
        <v>41.272781000000002</v>
      </c>
      <c r="W30">
        <v>41.408282999999997</v>
      </c>
      <c r="X30">
        <v>41.387431999999997</v>
      </c>
      <c r="Y30">
        <v>41.379840999999999</v>
      </c>
      <c r="Z30">
        <v>41.349102000000002</v>
      </c>
      <c r="AA30">
        <v>41.235301999999997</v>
      </c>
      <c r="AB30">
        <v>41.171729999999997</v>
      </c>
      <c r="AC30">
        <v>41.151542999999997</v>
      </c>
      <c r="AD30">
        <v>41.052802999999997</v>
      </c>
      <c r="AE30">
        <v>40.930908000000002</v>
      </c>
      <c r="AF30">
        <v>40.843361000000002</v>
      </c>
      <c r="AG30">
        <v>3.0000000000000001E-3</v>
      </c>
    </row>
    <row r="31" spans="1:35" x14ac:dyDescent="0.25">
      <c r="A31" t="s">
        <v>1061</v>
      </c>
      <c r="B31" t="s">
        <v>1062</v>
      </c>
      <c r="C31" t="s">
        <v>1063</v>
      </c>
      <c r="D31" t="s">
        <v>1181</v>
      </c>
      <c r="E31" t="s">
        <v>1182</v>
      </c>
      <c r="F31" t="s">
        <v>959</v>
      </c>
      <c r="G31">
        <v>216.092499</v>
      </c>
      <c r="H31">
        <v>214.823395</v>
      </c>
      <c r="I31">
        <v>219.677505</v>
      </c>
      <c r="J31">
        <v>222.33085600000001</v>
      </c>
      <c r="K31">
        <v>223.295807</v>
      </c>
      <c r="L31">
        <v>225.64897199999999</v>
      </c>
      <c r="M31">
        <v>228.33862300000001</v>
      </c>
      <c r="N31">
        <v>229.98912000000001</v>
      </c>
      <c r="O31">
        <v>231.525879</v>
      </c>
      <c r="P31">
        <v>232.55505400000001</v>
      </c>
      <c r="Q31">
        <v>234.36923200000001</v>
      </c>
      <c r="R31">
        <v>237.07929999999999</v>
      </c>
      <c r="S31">
        <v>240.29484600000001</v>
      </c>
      <c r="T31">
        <v>243.169006</v>
      </c>
      <c r="U31">
        <v>245.56535299999999</v>
      </c>
      <c r="V31">
        <v>248.44892899999999</v>
      </c>
      <c r="W31">
        <v>251.36265599999999</v>
      </c>
      <c r="X31">
        <v>254.492828</v>
      </c>
      <c r="Y31">
        <v>257.41253699999999</v>
      </c>
      <c r="Z31">
        <v>260.39547700000003</v>
      </c>
      <c r="AA31">
        <v>263.66223100000002</v>
      </c>
      <c r="AB31">
        <v>266.49383499999999</v>
      </c>
      <c r="AC31">
        <v>269.102417</v>
      </c>
      <c r="AD31">
        <v>271.19576999999998</v>
      </c>
      <c r="AE31">
        <v>274.12976099999997</v>
      </c>
      <c r="AF31">
        <v>277.056915</v>
      </c>
      <c r="AG31">
        <v>0.01</v>
      </c>
    </row>
    <row r="32" spans="1:35" x14ac:dyDescent="0.25">
      <c r="A32" t="s">
        <v>1066</v>
      </c>
      <c r="C32" t="s">
        <v>1067</v>
      </c>
      <c r="D32" t="s">
        <v>1183</v>
      </c>
      <c r="E32" t="s">
        <v>1184</v>
      </c>
      <c r="F32" t="s">
        <v>959</v>
      </c>
      <c r="G32">
        <v>111.71762099999999</v>
      </c>
      <c r="H32">
        <v>110.275085</v>
      </c>
      <c r="I32">
        <v>108.786674</v>
      </c>
      <c r="J32">
        <v>108.493782</v>
      </c>
      <c r="K32">
        <v>108.214882</v>
      </c>
      <c r="L32">
        <v>108.480453</v>
      </c>
      <c r="M32">
        <v>109.168541</v>
      </c>
      <c r="N32">
        <v>109.853004</v>
      </c>
      <c r="O32">
        <v>110.825157</v>
      </c>
      <c r="P32">
        <v>111.884613</v>
      </c>
      <c r="Q32">
        <v>112.972191</v>
      </c>
      <c r="R32">
        <v>114.100296</v>
      </c>
      <c r="S32">
        <v>115.13226299999999</v>
      </c>
      <c r="T32">
        <v>116.23027</v>
      </c>
      <c r="U32">
        <v>117.294624</v>
      </c>
      <c r="V32">
        <v>117.994339</v>
      </c>
      <c r="W32">
        <v>118.39089199999999</v>
      </c>
      <c r="X32">
        <v>118.60862</v>
      </c>
      <c r="Y32">
        <v>118.440742</v>
      </c>
      <c r="Z32">
        <v>118.101471</v>
      </c>
      <c r="AA32">
        <v>118.495834</v>
      </c>
      <c r="AB32">
        <v>119.35684999999999</v>
      </c>
      <c r="AC32">
        <v>120.240875</v>
      </c>
      <c r="AD32">
        <v>121.143654</v>
      </c>
      <c r="AE32">
        <v>122.01752500000001</v>
      </c>
      <c r="AF32">
        <v>122.991974</v>
      </c>
      <c r="AG32">
        <v>4.0000000000000001E-3</v>
      </c>
    </row>
    <row r="33" spans="1:33" x14ac:dyDescent="0.25">
      <c r="A33" t="s">
        <v>1070</v>
      </c>
      <c r="B33" t="s">
        <v>1071</v>
      </c>
      <c r="C33" t="s">
        <v>1072</v>
      </c>
      <c r="D33" t="s">
        <v>1185</v>
      </c>
      <c r="E33" t="s">
        <v>1186</v>
      </c>
      <c r="F33" t="s">
        <v>959</v>
      </c>
      <c r="G33">
        <v>21.317433999999999</v>
      </c>
      <c r="H33">
        <v>21.330378</v>
      </c>
      <c r="I33">
        <v>21.382898000000001</v>
      </c>
      <c r="J33">
        <v>21.358000000000001</v>
      </c>
      <c r="K33">
        <v>21.324632999999999</v>
      </c>
      <c r="L33">
        <v>21.333777999999999</v>
      </c>
      <c r="M33">
        <v>21.370118999999999</v>
      </c>
      <c r="N33">
        <v>21.456921000000001</v>
      </c>
      <c r="O33">
        <v>21.599215000000001</v>
      </c>
      <c r="P33">
        <v>21.778683000000001</v>
      </c>
      <c r="Q33">
        <v>22.004484000000001</v>
      </c>
      <c r="R33">
        <v>22.229578</v>
      </c>
      <c r="S33">
        <v>22.444936999999999</v>
      </c>
      <c r="T33">
        <v>22.672058</v>
      </c>
      <c r="U33">
        <v>22.897127000000001</v>
      </c>
      <c r="V33">
        <v>23.127673999999999</v>
      </c>
      <c r="W33">
        <v>23.370462</v>
      </c>
      <c r="X33">
        <v>23.622247999999999</v>
      </c>
      <c r="Y33">
        <v>23.883127000000002</v>
      </c>
      <c r="Z33">
        <v>24.140699000000001</v>
      </c>
      <c r="AA33">
        <v>24.406714999999998</v>
      </c>
      <c r="AB33">
        <v>24.676950000000001</v>
      </c>
      <c r="AC33">
        <v>24.947620000000001</v>
      </c>
      <c r="AD33">
        <v>25.221364999999999</v>
      </c>
      <c r="AE33">
        <v>25.484995000000001</v>
      </c>
      <c r="AF33">
        <v>25.749542000000002</v>
      </c>
      <c r="AG33">
        <v>8.0000000000000002E-3</v>
      </c>
    </row>
    <row r="34" spans="1:33" x14ac:dyDescent="0.25">
      <c r="A34" t="s">
        <v>1075</v>
      </c>
      <c r="B34" t="s">
        <v>1076</v>
      </c>
      <c r="C34" t="s">
        <v>1077</v>
      </c>
      <c r="D34" t="s">
        <v>1187</v>
      </c>
      <c r="E34" t="s">
        <v>1188</v>
      </c>
      <c r="F34" t="s">
        <v>959</v>
      </c>
      <c r="G34">
        <v>9.3360269999999996</v>
      </c>
      <c r="H34">
        <v>9.1387490000000007</v>
      </c>
      <c r="I34">
        <v>8.9767869999999998</v>
      </c>
      <c r="J34">
        <v>8.8997440000000001</v>
      </c>
      <c r="K34">
        <v>8.8583759999999998</v>
      </c>
      <c r="L34">
        <v>8.879111</v>
      </c>
      <c r="M34">
        <v>8.9399709999999999</v>
      </c>
      <c r="N34">
        <v>9.02407</v>
      </c>
      <c r="O34">
        <v>9.1352890000000002</v>
      </c>
      <c r="P34">
        <v>9.2585529999999991</v>
      </c>
      <c r="Q34">
        <v>9.3897539999999999</v>
      </c>
      <c r="R34">
        <v>9.524654</v>
      </c>
      <c r="S34">
        <v>9.6574539999999995</v>
      </c>
      <c r="T34">
        <v>9.793234</v>
      </c>
      <c r="U34">
        <v>9.925656</v>
      </c>
      <c r="V34">
        <v>10.036542000000001</v>
      </c>
      <c r="W34">
        <v>10.121435</v>
      </c>
      <c r="X34">
        <v>10.178687</v>
      </c>
      <c r="Y34">
        <v>10.198941</v>
      </c>
      <c r="Z34">
        <v>10.195506999999999</v>
      </c>
      <c r="AA34">
        <v>10.222628</v>
      </c>
      <c r="AB34">
        <v>10.289026</v>
      </c>
      <c r="AC34">
        <v>10.381219</v>
      </c>
      <c r="AD34">
        <v>10.489734</v>
      </c>
      <c r="AE34">
        <v>10.605895</v>
      </c>
      <c r="AF34">
        <v>10.7287</v>
      </c>
      <c r="AG34">
        <v>6.0000000000000001E-3</v>
      </c>
    </row>
    <row r="35" spans="1:33" x14ac:dyDescent="0.25">
      <c r="A35" t="s">
        <v>1080</v>
      </c>
      <c r="B35" t="s">
        <v>1076</v>
      </c>
      <c r="C35" t="s">
        <v>1081</v>
      </c>
      <c r="D35" t="s">
        <v>1189</v>
      </c>
      <c r="E35" t="s">
        <v>1190</v>
      </c>
      <c r="F35" t="s">
        <v>959</v>
      </c>
      <c r="G35">
        <v>81.064155999999997</v>
      </c>
      <c r="H35">
        <v>79.805961999999994</v>
      </c>
      <c r="I35">
        <v>78.426986999999997</v>
      </c>
      <c r="J35">
        <v>78.236037999999994</v>
      </c>
      <c r="K35">
        <v>78.031875999999997</v>
      </c>
      <c r="L35">
        <v>78.267562999999996</v>
      </c>
      <c r="M35">
        <v>78.858452</v>
      </c>
      <c r="N35">
        <v>79.372017</v>
      </c>
      <c r="O35">
        <v>80.090652000000006</v>
      </c>
      <c r="P35">
        <v>80.847381999999996</v>
      </c>
      <c r="Q35">
        <v>81.577950000000001</v>
      </c>
      <c r="R35">
        <v>82.346069</v>
      </c>
      <c r="S35">
        <v>83.029869000000005</v>
      </c>
      <c r="T35">
        <v>83.764977000000002</v>
      </c>
      <c r="U35">
        <v>84.47184</v>
      </c>
      <c r="V35">
        <v>84.830123999999998</v>
      </c>
      <c r="W35">
        <v>84.898994000000002</v>
      </c>
      <c r="X35">
        <v>84.807686000000004</v>
      </c>
      <c r="Y35">
        <v>84.358672999999996</v>
      </c>
      <c r="Z35">
        <v>83.765265999999997</v>
      </c>
      <c r="AA35">
        <v>83.866485999999995</v>
      </c>
      <c r="AB35">
        <v>84.390877000000003</v>
      </c>
      <c r="AC35">
        <v>84.912032999999994</v>
      </c>
      <c r="AD35">
        <v>85.432556000000005</v>
      </c>
      <c r="AE35">
        <v>85.926636000000002</v>
      </c>
      <c r="AF35">
        <v>86.513733000000002</v>
      </c>
      <c r="AG35">
        <v>3.0000000000000001E-3</v>
      </c>
    </row>
    <row r="36" spans="1:33" x14ac:dyDescent="0.25">
      <c r="A36" t="s">
        <v>1084</v>
      </c>
      <c r="C36" t="s">
        <v>1085</v>
      </c>
      <c r="D36" t="s">
        <v>1191</v>
      </c>
      <c r="E36" t="s">
        <v>1192</v>
      </c>
      <c r="F36" t="s">
        <v>959</v>
      </c>
      <c r="G36">
        <v>246.75572199999999</v>
      </c>
      <c r="H36">
        <v>250.08715799999999</v>
      </c>
      <c r="I36">
        <v>255.74015800000001</v>
      </c>
      <c r="J36">
        <v>255.59541300000001</v>
      </c>
      <c r="K36">
        <v>257.12191799999999</v>
      </c>
      <c r="L36">
        <v>260.64471400000002</v>
      </c>
      <c r="M36">
        <v>263.586365</v>
      </c>
      <c r="N36">
        <v>267.570404</v>
      </c>
      <c r="O36">
        <v>271.298248</v>
      </c>
      <c r="P36">
        <v>273.56982399999998</v>
      </c>
      <c r="Q36">
        <v>276.890106</v>
      </c>
      <c r="R36">
        <v>279.220032</v>
      </c>
      <c r="S36">
        <v>281.90106200000002</v>
      </c>
      <c r="T36">
        <v>284.14254799999998</v>
      </c>
      <c r="U36">
        <v>286.10418700000002</v>
      </c>
      <c r="V36">
        <v>289.02960200000001</v>
      </c>
      <c r="W36">
        <v>292.31088299999999</v>
      </c>
      <c r="X36">
        <v>295.61889600000001</v>
      </c>
      <c r="Y36">
        <v>298.47378500000002</v>
      </c>
      <c r="Z36">
        <v>301.26617399999998</v>
      </c>
      <c r="AA36">
        <v>305.13906900000001</v>
      </c>
      <c r="AB36">
        <v>308.23111</v>
      </c>
      <c r="AC36">
        <v>311.82583599999998</v>
      </c>
      <c r="AD36">
        <v>314.93536399999999</v>
      </c>
      <c r="AE36">
        <v>316.969177</v>
      </c>
      <c r="AF36">
        <v>319.74111900000003</v>
      </c>
      <c r="AG36">
        <v>0.01</v>
      </c>
    </row>
    <row r="37" spans="1:33" x14ac:dyDescent="0.25">
      <c r="A37" t="s">
        <v>1088</v>
      </c>
      <c r="B37" t="s">
        <v>1057</v>
      </c>
      <c r="C37" t="s">
        <v>1089</v>
      </c>
      <c r="D37" t="s">
        <v>1193</v>
      </c>
      <c r="E37" t="s">
        <v>1194</v>
      </c>
      <c r="F37" t="s">
        <v>959</v>
      </c>
      <c r="G37">
        <v>133.185272</v>
      </c>
      <c r="H37">
        <v>136.571045</v>
      </c>
      <c r="I37">
        <v>141.48924299999999</v>
      </c>
      <c r="J37">
        <v>140.72695899999999</v>
      </c>
      <c r="K37">
        <v>141.82077000000001</v>
      </c>
      <c r="L37">
        <v>144.79960600000001</v>
      </c>
      <c r="M37">
        <v>147.15261799999999</v>
      </c>
      <c r="N37">
        <v>150.40751599999999</v>
      </c>
      <c r="O37">
        <v>153.237595</v>
      </c>
      <c r="P37">
        <v>154.47895800000001</v>
      </c>
      <c r="Q37">
        <v>156.59899899999999</v>
      </c>
      <c r="R37">
        <v>157.66630599999999</v>
      </c>
      <c r="S37">
        <v>159.091263</v>
      </c>
      <c r="T37">
        <v>160.069885</v>
      </c>
      <c r="U37">
        <v>160.77773999999999</v>
      </c>
      <c r="V37">
        <v>162.43937700000001</v>
      </c>
      <c r="W37">
        <v>164.43351699999999</v>
      </c>
      <c r="X37">
        <v>166.44512900000001</v>
      </c>
      <c r="Y37">
        <v>168.00439499999999</v>
      </c>
      <c r="Z37">
        <v>169.520996</v>
      </c>
      <c r="AA37">
        <v>172.14063999999999</v>
      </c>
      <c r="AB37">
        <v>174.01265000000001</v>
      </c>
      <c r="AC37">
        <v>176.44012499999999</v>
      </c>
      <c r="AD37">
        <v>178.45138499999999</v>
      </c>
      <c r="AE37">
        <v>179.463089</v>
      </c>
      <c r="AF37">
        <v>181.260727</v>
      </c>
      <c r="AG37">
        <v>1.2E-2</v>
      </c>
    </row>
    <row r="38" spans="1:33" x14ac:dyDescent="0.25">
      <c r="A38" t="s">
        <v>1092</v>
      </c>
      <c r="B38" t="s">
        <v>1093</v>
      </c>
      <c r="C38" t="s">
        <v>1094</v>
      </c>
      <c r="D38" t="s">
        <v>1195</v>
      </c>
      <c r="E38" t="s">
        <v>1196</v>
      </c>
      <c r="F38" t="s">
        <v>959</v>
      </c>
      <c r="G38">
        <v>34.303463000000001</v>
      </c>
      <c r="H38">
        <v>34.704796000000002</v>
      </c>
      <c r="I38">
        <v>35.137936000000003</v>
      </c>
      <c r="J38">
        <v>35.538319000000001</v>
      </c>
      <c r="K38">
        <v>35.894688000000002</v>
      </c>
      <c r="L38">
        <v>36.223056999999997</v>
      </c>
      <c r="M38">
        <v>36.590854999999998</v>
      </c>
      <c r="N38">
        <v>37.023113000000002</v>
      </c>
      <c r="O38">
        <v>37.529774000000003</v>
      </c>
      <c r="P38">
        <v>38.114296000000003</v>
      </c>
      <c r="Q38">
        <v>38.792518999999999</v>
      </c>
      <c r="R38">
        <v>39.503158999999997</v>
      </c>
      <c r="S38">
        <v>40.215851000000001</v>
      </c>
      <c r="T38">
        <v>40.931010999999998</v>
      </c>
      <c r="U38">
        <v>41.635021000000002</v>
      </c>
      <c r="V38">
        <v>42.331553999999997</v>
      </c>
      <c r="W38">
        <v>43.032451999999999</v>
      </c>
      <c r="X38">
        <v>43.732039999999998</v>
      </c>
      <c r="Y38">
        <v>44.414870999999998</v>
      </c>
      <c r="Z38">
        <v>45.054203000000001</v>
      </c>
      <c r="AA38">
        <v>45.637836</v>
      </c>
      <c r="AB38">
        <v>46.167350999999996</v>
      </c>
      <c r="AC38">
        <v>46.650509</v>
      </c>
      <c r="AD38">
        <v>47.085503000000003</v>
      </c>
      <c r="AE38">
        <v>47.473671000000003</v>
      </c>
      <c r="AF38">
        <v>47.835383999999998</v>
      </c>
      <c r="AG38">
        <v>1.2999999999999999E-2</v>
      </c>
    </row>
    <row r="39" spans="1:33" x14ac:dyDescent="0.25">
      <c r="A39" t="s">
        <v>1097</v>
      </c>
      <c r="B39" t="s">
        <v>1093</v>
      </c>
      <c r="C39" t="s">
        <v>1098</v>
      </c>
      <c r="D39" t="s">
        <v>1197</v>
      </c>
      <c r="E39" t="s">
        <v>1198</v>
      </c>
      <c r="F39" t="s">
        <v>959</v>
      </c>
      <c r="G39">
        <v>79.266982999999996</v>
      </c>
      <c r="H39">
        <v>78.811301999999998</v>
      </c>
      <c r="I39">
        <v>79.112976000000003</v>
      </c>
      <c r="J39">
        <v>79.330146999999997</v>
      </c>
      <c r="K39">
        <v>79.406470999999996</v>
      </c>
      <c r="L39">
        <v>79.622046999999995</v>
      </c>
      <c r="M39">
        <v>79.842895999999996</v>
      </c>
      <c r="N39">
        <v>80.139786000000001</v>
      </c>
      <c r="O39">
        <v>80.530861000000002</v>
      </c>
      <c r="P39">
        <v>80.976562000000001</v>
      </c>
      <c r="Q39">
        <v>81.498572999999993</v>
      </c>
      <c r="R39">
        <v>82.050551999999996</v>
      </c>
      <c r="S39">
        <v>82.593947999999997</v>
      </c>
      <c r="T39">
        <v>83.141647000000006</v>
      </c>
      <c r="U39">
        <v>83.691399000000004</v>
      </c>
      <c r="V39">
        <v>84.258674999999997</v>
      </c>
      <c r="W39">
        <v>84.844893999999996</v>
      </c>
      <c r="X39">
        <v>85.441742000000005</v>
      </c>
      <c r="Y39">
        <v>86.054519999999997</v>
      </c>
      <c r="Z39">
        <v>86.690978999999999</v>
      </c>
      <c r="AA39">
        <v>87.360611000000006</v>
      </c>
      <c r="AB39">
        <v>88.051102</v>
      </c>
      <c r="AC39">
        <v>88.735175999999996</v>
      </c>
      <c r="AD39">
        <v>89.398453000000003</v>
      </c>
      <c r="AE39">
        <v>90.032409999999999</v>
      </c>
      <c r="AF39">
        <v>90.644988999999995</v>
      </c>
      <c r="AG39">
        <v>5.0000000000000001E-3</v>
      </c>
    </row>
    <row r="40" spans="1:33" x14ac:dyDescent="0.25">
      <c r="A40" t="s">
        <v>1101</v>
      </c>
      <c r="B40" t="s">
        <v>1102</v>
      </c>
      <c r="C40" t="s">
        <v>1103</v>
      </c>
      <c r="D40" t="s">
        <v>1199</v>
      </c>
      <c r="E40" t="s">
        <v>1200</v>
      </c>
      <c r="F40" t="s">
        <v>959</v>
      </c>
      <c r="G40">
        <v>310.26748700000002</v>
      </c>
      <c r="H40">
        <v>316.87704500000001</v>
      </c>
      <c r="I40">
        <v>322.38943499999999</v>
      </c>
      <c r="J40">
        <v>319.58441199999999</v>
      </c>
      <c r="K40">
        <v>318.39221199999997</v>
      </c>
      <c r="L40">
        <v>318.325897</v>
      </c>
      <c r="M40">
        <v>318.72213699999998</v>
      </c>
      <c r="N40">
        <v>321.75366200000002</v>
      </c>
      <c r="O40">
        <v>324.08569299999999</v>
      </c>
      <c r="P40">
        <v>328.12899800000002</v>
      </c>
      <c r="Q40">
        <v>332.00430299999999</v>
      </c>
      <c r="R40">
        <v>334.63113399999997</v>
      </c>
      <c r="S40">
        <v>337.58502199999998</v>
      </c>
      <c r="T40">
        <v>341.105255</v>
      </c>
      <c r="U40">
        <v>343.53482100000002</v>
      </c>
      <c r="V40">
        <v>346.93414300000001</v>
      </c>
      <c r="W40">
        <v>350.07003800000001</v>
      </c>
      <c r="X40">
        <v>353.55838</v>
      </c>
      <c r="Y40">
        <v>357.13855000000001</v>
      </c>
      <c r="Z40">
        <v>362.21350100000001</v>
      </c>
      <c r="AA40">
        <v>367.135986</v>
      </c>
      <c r="AB40">
        <v>371.484283</v>
      </c>
      <c r="AC40">
        <v>373.76889</v>
      </c>
      <c r="AD40">
        <v>375.089203</v>
      </c>
      <c r="AE40">
        <v>379.12100199999998</v>
      </c>
      <c r="AF40">
        <v>382.781158</v>
      </c>
      <c r="AG40">
        <v>8.0000000000000002E-3</v>
      </c>
    </row>
    <row r="41" spans="1:33" x14ac:dyDescent="0.25">
      <c r="A41" t="s">
        <v>1106</v>
      </c>
      <c r="B41" t="s">
        <v>1107</v>
      </c>
      <c r="C41" t="s">
        <v>1108</v>
      </c>
      <c r="D41" t="s">
        <v>1201</v>
      </c>
      <c r="E41" t="s">
        <v>1202</v>
      </c>
      <c r="F41" t="s">
        <v>959</v>
      </c>
      <c r="G41">
        <v>305.26001000000002</v>
      </c>
      <c r="H41">
        <v>299.01385499999998</v>
      </c>
      <c r="I41">
        <v>306.222961</v>
      </c>
      <c r="J41">
        <v>311.98895299999998</v>
      </c>
      <c r="K41">
        <v>318.05755599999998</v>
      </c>
      <c r="L41">
        <v>322.15585299999998</v>
      </c>
      <c r="M41">
        <v>328.44146699999999</v>
      </c>
      <c r="N41">
        <v>333.77563500000002</v>
      </c>
      <c r="O41">
        <v>334.120361</v>
      </c>
      <c r="P41">
        <v>336.71984900000001</v>
      </c>
      <c r="Q41">
        <v>341.104828</v>
      </c>
      <c r="R41">
        <v>344.25717200000003</v>
      </c>
      <c r="S41">
        <v>346.36883499999999</v>
      </c>
      <c r="T41">
        <v>347.21533199999999</v>
      </c>
      <c r="U41">
        <v>347.323059</v>
      </c>
      <c r="V41">
        <v>348.83163500000001</v>
      </c>
      <c r="W41">
        <v>350.16537499999998</v>
      </c>
      <c r="X41">
        <v>351.42816199999999</v>
      </c>
      <c r="Y41">
        <v>352.080353</v>
      </c>
      <c r="Z41">
        <v>352.59930400000002</v>
      </c>
      <c r="AA41">
        <v>353.70800800000001</v>
      </c>
      <c r="AB41">
        <v>355.37060500000001</v>
      </c>
      <c r="AC41">
        <v>357.26348899999999</v>
      </c>
      <c r="AD41">
        <v>358.30630500000001</v>
      </c>
      <c r="AE41">
        <v>358.59338400000001</v>
      </c>
      <c r="AF41">
        <v>358.35906999999997</v>
      </c>
      <c r="AG41">
        <v>6.0000000000000001E-3</v>
      </c>
    </row>
    <row r="42" spans="1:33" x14ac:dyDescent="0.25">
      <c r="A42" t="s">
        <v>1111</v>
      </c>
      <c r="B42" t="s">
        <v>1112</v>
      </c>
      <c r="C42" t="s">
        <v>1113</v>
      </c>
      <c r="D42" t="s">
        <v>1203</v>
      </c>
      <c r="E42" t="s">
        <v>1204</v>
      </c>
      <c r="F42" t="s">
        <v>959</v>
      </c>
      <c r="G42">
        <v>411.20251500000001</v>
      </c>
      <c r="H42">
        <v>415.516998</v>
      </c>
      <c r="I42">
        <v>431.08682299999998</v>
      </c>
      <c r="J42">
        <v>441.41235399999999</v>
      </c>
      <c r="K42">
        <v>452.649292</v>
      </c>
      <c r="L42">
        <v>461.90463299999999</v>
      </c>
      <c r="M42">
        <v>469.32000699999998</v>
      </c>
      <c r="N42">
        <v>478.32998700000002</v>
      </c>
      <c r="O42">
        <v>484.94519000000003</v>
      </c>
      <c r="P42">
        <v>493.50338699999998</v>
      </c>
      <c r="Q42">
        <v>503.60900900000001</v>
      </c>
      <c r="R42">
        <v>513.61682099999996</v>
      </c>
      <c r="S42">
        <v>524.40850799999998</v>
      </c>
      <c r="T42">
        <v>535.19140600000003</v>
      </c>
      <c r="U42">
        <v>546.87023899999997</v>
      </c>
      <c r="V42">
        <v>559.02667199999996</v>
      </c>
      <c r="W42">
        <v>570.98046899999997</v>
      </c>
      <c r="X42">
        <v>583.86047399999995</v>
      </c>
      <c r="Y42">
        <v>597.45812999999998</v>
      </c>
      <c r="Z42">
        <v>612.49389599999995</v>
      </c>
      <c r="AA42">
        <v>628.37768600000004</v>
      </c>
      <c r="AB42">
        <v>645.09313999999995</v>
      </c>
      <c r="AC42">
        <v>661.21069299999999</v>
      </c>
      <c r="AD42">
        <v>677.41119400000002</v>
      </c>
      <c r="AE42">
        <v>693.93957499999999</v>
      </c>
      <c r="AF42">
        <v>708.70208700000001</v>
      </c>
      <c r="AG42">
        <v>2.1999999999999999E-2</v>
      </c>
    </row>
    <row r="43" spans="1:33" x14ac:dyDescent="0.25">
      <c r="A43" t="s">
        <v>1116</v>
      </c>
      <c r="B43" t="s">
        <v>1117</v>
      </c>
      <c r="C43" t="s">
        <v>1118</v>
      </c>
      <c r="D43" t="s">
        <v>1205</v>
      </c>
      <c r="E43" t="s">
        <v>1206</v>
      </c>
      <c r="F43" t="s">
        <v>959</v>
      </c>
      <c r="G43">
        <v>1002.35498</v>
      </c>
      <c r="H43">
        <v>1005.299988</v>
      </c>
      <c r="I43">
        <v>1068.974976</v>
      </c>
      <c r="J43">
        <v>1089.931763</v>
      </c>
      <c r="K43">
        <v>1107.2969969999999</v>
      </c>
      <c r="L43">
        <v>1125.723999</v>
      </c>
      <c r="M43">
        <v>1133.2687989999999</v>
      </c>
      <c r="N43">
        <v>1151.2687989999999</v>
      </c>
      <c r="O43">
        <v>1159.2282709999999</v>
      </c>
      <c r="P43">
        <v>1162.536987</v>
      </c>
      <c r="Q43">
        <v>1167.0085449999999</v>
      </c>
      <c r="R43">
        <v>1179.001953</v>
      </c>
      <c r="S43">
        <v>1203.2567140000001</v>
      </c>
      <c r="T43">
        <v>1225.7576899999999</v>
      </c>
      <c r="U43">
        <v>1248.6929929999999</v>
      </c>
      <c r="V43">
        <v>1269.942505</v>
      </c>
      <c r="W43">
        <v>1288.689453</v>
      </c>
      <c r="X43">
        <v>1307.558716</v>
      </c>
      <c r="Y43">
        <v>1324.182495</v>
      </c>
      <c r="Z43">
        <v>1341.2595209999999</v>
      </c>
      <c r="AA43">
        <v>1359.1829829999999</v>
      </c>
      <c r="AB43">
        <v>1376.2032469999999</v>
      </c>
      <c r="AC43">
        <v>1391.7977289999999</v>
      </c>
      <c r="AD43">
        <v>1407.7497559999999</v>
      </c>
      <c r="AE43">
        <v>1422.330811</v>
      </c>
      <c r="AF43">
        <v>1434.1357419999999</v>
      </c>
      <c r="AG43">
        <v>1.4E-2</v>
      </c>
    </row>
    <row r="44" spans="1:33" x14ac:dyDescent="0.25">
      <c r="A44" t="s">
        <v>1121</v>
      </c>
      <c r="B44" t="s">
        <v>1122</v>
      </c>
      <c r="C44" t="s">
        <v>1123</v>
      </c>
      <c r="D44" t="s">
        <v>1207</v>
      </c>
      <c r="E44" t="s">
        <v>1208</v>
      </c>
      <c r="F44" t="s">
        <v>959</v>
      </c>
      <c r="G44">
        <v>118.297501</v>
      </c>
      <c r="H44">
        <v>116.73825100000001</v>
      </c>
      <c r="I44">
        <v>116.096672</v>
      </c>
      <c r="J44">
        <v>114.278603</v>
      </c>
      <c r="K44">
        <v>113.856224</v>
      </c>
      <c r="L44">
        <v>115.909378</v>
      </c>
      <c r="M44">
        <v>117.77842699999999</v>
      </c>
      <c r="N44">
        <v>119.758278</v>
      </c>
      <c r="O44">
        <v>120.41330000000001</v>
      </c>
      <c r="P44">
        <v>120.946648</v>
      </c>
      <c r="Q44">
        <v>122.242722</v>
      </c>
      <c r="R44">
        <v>123.168228</v>
      </c>
      <c r="S44">
        <v>124.023949</v>
      </c>
      <c r="T44">
        <v>124.646446</v>
      </c>
      <c r="U44">
        <v>125.239227</v>
      </c>
      <c r="V44">
        <v>126.064003</v>
      </c>
      <c r="W44">
        <v>126.777603</v>
      </c>
      <c r="X44">
        <v>127.612022</v>
      </c>
      <c r="Y44">
        <v>128.32377600000001</v>
      </c>
      <c r="Z44">
        <v>129.00889599999999</v>
      </c>
      <c r="AA44">
        <v>129.821594</v>
      </c>
      <c r="AB44">
        <v>130.85539199999999</v>
      </c>
      <c r="AC44">
        <v>131.88008099999999</v>
      </c>
      <c r="AD44">
        <v>132.77362099999999</v>
      </c>
      <c r="AE44">
        <v>133.500122</v>
      </c>
      <c r="AF44">
        <v>134.008026</v>
      </c>
      <c r="AG44">
        <v>5.0000000000000001E-3</v>
      </c>
    </row>
    <row r="45" spans="1:33" x14ac:dyDescent="0.25">
      <c r="A45" t="s">
        <v>1126</v>
      </c>
      <c r="B45" t="s">
        <v>1003</v>
      </c>
      <c r="C45" t="s">
        <v>1127</v>
      </c>
      <c r="D45" t="s">
        <v>1209</v>
      </c>
      <c r="E45" t="s">
        <v>1210</v>
      </c>
      <c r="F45" t="s">
        <v>959</v>
      </c>
      <c r="G45">
        <v>144.907501</v>
      </c>
      <c r="H45">
        <v>145.35612499999999</v>
      </c>
      <c r="I45">
        <v>149.45869400000001</v>
      </c>
      <c r="J45">
        <v>152.859497</v>
      </c>
      <c r="K45">
        <v>155.880325</v>
      </c>
      <c r="L45">
        <v>159.69967700000001</v>
      </c>
      <c r="M45">
        <v>164.22250399999999</v>
      </c>
      <c r="N45">
        <v>165.365555</v>
      </c>
      <c r="O45">
        <v>164.929428</v>
      </c>
      <c r="P45">
        <v>163.96925400000001</v>
      </c>
      <c r="Q45">
        <v>163.580322</v>
      </c>
      <c r="R45">
        <v>164.353745</v>
      </c>
      <c r="S45">
        <v>165.49032600000001</v>
      </c>
      <c r="T45">
        <v>166.505325</v>
      </c>
      <c r="U45">
        <v>166.72779800000001</v>
      </c>
      <c r="V45">
        <v>167.80900600000001</v>
      </c>
      <c r="W45">
        <v>168.991028</v>
      </c>
      <c r="X45">
        <v>169.76718099999999</v>
      </c>
      <c r="Y45">
        <v>170.393799</v>
      </c>
      <c r="Z45">
        <v>171.00637800000001</v>
      </c>
      <c r="AA45">
        <v>171.547394</v>
      </c>
      <c r="AB45">
        <v>172.19407699999999</v>
      </c>
      <c r="AC45">
        <v>172.570618</v>
      </c>
      <c r="AD45">
        <v>172.60995500000001</v>
      </c>
      <c r="AE45">
        <v>174.438751</v>
      </c>
      <c r="AF45">
        <v>173.48642000000001</v>
      </c>
      <c r="AG45">
        <v>7.0000000000000001E-3</v>
      </c>
    </row>
    <row r="46" spans="1:33" x14ac:dyDescent="0.25">
      <c r="A46" t="s">
        <v>1130</v>
      </c>
      <c r="C46" t="s">
        <v>1131</v>
      </c>
      <c r="D46" t="s">
        <v>1211</v>
      </c>
      <c r="E46" t="s">
        <v>1212</v>
      </c>
      <c r="F46" t="s">
        <v>959</v>
      </c>
      <c r="G46">
        <v>8703.1972659999992</v>
      </c>
      <c r="H46">
        <v>8752.5644530000009</v>
      </c>
      <c r="I46">
        <v>8860.0869139999995</v>
      </c>
      <c r="J46">
        <v>8925.2099610000005</v>
      </c>
      <c r="K46">
        <v>8996.9707030000009</v>
      </c>
      <c r="L46">
        <v>9096.0107420000004</v>
      </c>
      <c r="M46">
        <v>9180.3876949999994</v>
      </c>
      <c r="N46">
        <v>9280.90625</v>
      </c>
      <c r="O46">
        <v>9357.7587889999995</v>
      </c>
      <c r="P46">
        <v>9436.4335940000001</v>
      </c>
      <c r="Q46">
        <v>9520.1669920000004</v>
      </c>
      <c r="R46">
        <v>9604.296875</v>
      </c>
      <c r="S46">
        <v>9697.3642579999996</v>
      </c>
      <c r="T46">
        <v>9786.8837889999995</v>
      </c>
      <c r="U46">
        <v>9878.1230469999991</v>
      </c>
      <c r="V46">
        <v>9974.8261719999991</v>
      </c>
      <c r="W46">
        <v>10069.032227</v>
      </c>
      <c r="X46">
        <v>10166.395508</v>
      </c>
      <c r="Y46">
        <v>10253.317383</v>
      </c>
      <c r="Z46">
        <v>10343.382812</v>
      </c>
      <c r="AA46">
        <v>10450.386719</v>
      </c>
      <c r="AB46">
        <v>10563.197265999999</v>
      </c>
      <c r="AC46">
        <v>10674.791015999999</v>
      </c>
      <c r="AD46">
        <v>10773.288086</v>
      </c>
      <c r="AE46">
        <v>10876.103515999999</v>
      </c>
      <c r="AF46">
        <v>10975.348633</v>
      </c>
      <c r="AG46">
        <v>8.9999999999999993E-3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2"/>
  <sheetViews>
    <sheetView workbookViewId="0"/>
  </sheetViews>
  <sheetFormatPr defaultRowHeight="15" x14ac:dyDescent="0.25"/>
  <sheetData>
    <row r="1" spans="1:53" x14ac:dyDescent="0.25">
      <c r="A1" t="s">
        <v>1213</v>
      </c>
      <c r="B1" s="1" t="s">
        <v>58</v>
      </c>
      <c r="C1" s="1" t="s">
        <v>65</v>
      </c>
      <c r="D1" s="1" t="s">
        <v>70</v>
      </c>
      <c r="E1" s="1" t="s">
        <v>82</v>
      </c>
      <c r="F1" s="1" t="s">
        <v>77</v>
      </c>
      <c r="G1" s="1" t="s">
        <v>85</v>
      </c>
      <c r="H1" s="1" t="s">
        <v>88</v>
      </c>
      <c r="I1" s="1" t="s">
        <v>91</v>
      </c>
      <c r="J1" s="1" t="s">
        <v>174</v>
      </c>
      <c r="K1" s="1" t="s">
        <v>201</v>
      </c>
      <c r="L1" s="1" t="s">
        <v>210</v>
      </c>
      <c r="M1" s="1" t="s">
        <v>219</v>
      </c>
      <c r="N1" s="1" t="s">
        <v>228</v>
      </c>
      <c r="O1" s="1" t="s">
        <v>233</v>
      </c>
      <c r="P1" s="1" t="s">
        <v>238</v>
      </c>
      <c r="Q1" s="1" t="s">
        <v>241</v>
      </c>
      <c r="R1" s="1" t="s">
        <v>1214</v>
      </c>
      <c r="S1" s="1" t="s">
        <v>248</v>
      </c>
      <c r="T1" s="1" t="s">
        <v>253</v>
      </c>
      <c r="U1" s="1" t="s">
        <v>258</v>
      </c>
      <c r="V1" s="1" t="s">
        <v>265</v>
      </c>
      <c r="W1" s="1" t="s">
        <v>291</v>
      </c>
      <c r="X1" s="1" t="s">
        <v>306</v>
      </c>
      <c r="Y1" s="1" t="s">
        <v>280</v>
      </c>
      <c r="Z1" s="1" t="s">
        <v>319</v>
      </c>
      <c r="AA1" s="1" t="s">
        <v>331</v>
      </c>
      <c r="AB1" s="1" t="s">
        <v>326</v>
      </c>
      <c r="AC1" s="1" t="s">
        <v>336</v>
      </c>
      <c r="AD1" s="1" t="s">
        <v>98</v>
      </c>
      <c r="AE1" s="1" t="s">
        <v>119</v>
      </c>
      <c r="AF1" s="1" t="s">
        <v>122</v>
      </c>
      <c r="AG1" s="1" t="s">
        <v>125</v>
      </c>
      <c r="AH1" s="1" t="s">
        <v>351</v>
      </c>
      <c r="AI1" s="1" t="s">
        <v>453</v>
      </c>
      <c r="AJ1" s="1" t="s">
        <v>456</v>
      </c>
      <c r="AK1" s="1" t="s">
        <v>446</v>
      </c>
      <c r="AL1" s="1" t="s">
        <v>487</v>
      </c>
      <c r="AM1" s="1" t="s">
        <v>512</v>
      </c>
      <c r="AN1" s="1" t="s">
        <v>863</v>
      </c>
      <c r="AO1" s="1" t="s">
        <v>523</v>
      </c>
      <c r="AP1" s="1" t="s">
        <v>554</v>
      </c>
      <c r="AQ1" s="1" t="s">
        <v>557</v>
      </c>
      <c r="AR1" s="1" t="s">
        <v>560</v>
      </c>
      <c r="AS1" s="1" t="s">
        <v>599</v>
      </c>
      <c r="AT1" s="1" t="s">
        <v>615</v>
      </c>
      <c r="AU1" s="1" t="s">
        <v>602</v>
      </c>
      <c r="AV1" s="1" t="s">
        <v>934</v>
      </c>
      <c r="AW1" s="1" t="s">
        <v>692</v>
      </c>
      <c r="AX1" s="1" t="s">
        <v>747</v>
      </c>
      <c r="AY1" s="1" t="s">
        <v>832</v>
      </c>
      <c r="AZ1" s="1" t="s">
        <v>896</v>
      </c>
      <c r="BA1" s="1" t="s">
        <v>929</v>
      </c>
    </row>
    <row r="2" spans="1:53" x14ac:dyDescent="0.25">
      <c r="A2" t="s">
        <v>1215</v>
      </c>
      <c r="B2">
        <v>179323977701.50699</v>
      </c>
      <c r="C2">
        <v>11250222748.967661</v>
      </c>
      <c r="D2">
        <v>6812799549.5253925</v>
      </c>
      <c r="E2">
        <v>19459700000</v>
      </c>
      <c r="F2">
        <v>184888000000</v>
      </c>
      <c r="G2">
        <v>16619382098.668261</v>
      </c>
      <c r="H2">
        <v>23059017901.331741</v>
      </c>
      <c r="I2">
        <v>51848900000</v>
      </c>
      <c r="J2">
        <v>263619000000</v>
      </c>
      <c r="K2">
        <v>21056500000</v>
      </c>
      <c r="L2">
        <v>44040100000</v>
      </c>
      <c r="M2">
        <v>84707600000</v>
      </c>
      <c r="N2">
        <v>137808000000</v>
      </c>
      <c r="O2">
        <v>269741000000</v>
      </c>
      <c r="P2">
        <v>135756000000</v>
      </c>
      <c r="Q2">
        <v>74268200000</v>
      </c>
      <c r="R2">
        <v>10908300000</v>
      </c>
      <c r="S2">
        <v>45826900000</v>
      </c>
      <c r="T2">
        <v>42096300000</v>
      </c>
      <c r="U2">
        <v>19343900000</v>
      </c>
      <c r="V2">
        <v>139456000000</v>
      </c>
      <c r="W2">
        <v>219416000000</v>
      </c>
      <c r="X2">
        <v>58678400000</v>
      </c>
      <c r="Y2">
        <v>152693000000</v>
      </c>
      <c r="Z2">
        <v>136030000000</v>
      </c>
      <c r="AA2">
        <v>14323093965.29431</v>
      </c>
      <c r="AB2">
        <v>130105906034.7057</v>
      </c>
      <c r="AC2">
        <v>134673000000</v>
      </c>
      <c r="AD2">
        <v>259989000000</v>
      </c>
      <c r="AE2">
        <v>61106700000</v>
      </c>
      <c r="AF2">
        <v>76304000000</v>
      </c>
      <c r="AG2">
        <v>955445000000</v>
      </c>
      <c r="AH2">
        <v>2695700000000</v>
      </c>
      <c r="AI2">
        <v>361372297293.06482</v>
      </c>
      <c r="AJ2">
        <v>16243782662.17305</v>
      </c>
      <c r="AK2">
        <v>126110928922.1524</v>
      </c>
      <c r="AL2">
        <v>152411004029.24551</v>
      </c>
      <c r="AM2">
        <v>66483987093.364311</v>
      </c>
      <c r="AN2">
        <v>702900000000</v>
      </c>
      <c r="AO2">
        <v>502078000000</v>
      </c>
      <c r="AP2">
        <v>276414000000</v>
      </c>
      <c r="AQ2">
        <v>769467000000</v>
      </c>
      <c r="AR2">
        <v>1631550000000</v>
      </c>
      <c r="AS2">
        <v>2966020000000</v>
      </c>
      <c r="AT2">
        <v>1713918800817.9651</v>
      </c>
      <c r="AU2">
        <v>628401199182.03479</v>
      </c>
      <c r="AV2">
        <v>2412650000000</v>
      </c>
      <c r="AW2">
        <v>245035000000</v>
      </c>
      <c r="AX2">
        <v>1617080000000</v>
      </c>
      <c r="AY2">
        <v>222923275035.23291</v>
      </c>
      <c r="AZ2">
        <v>344791724964.76703</v>
      </c>
      <c r="BA2">
        <v>11489000000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8"/>
  <sheetViews>
    <sheetView workbookViewId="0"/>
  </sheetViews>
  <sheetFormatPr defaultRowHeight="15" x14ac:dyDescent="0.25"/>
  <sheetData>
    <row r="1" spans="1:2" x14ac:dyDescent="0.25">
      <c r="A1" t="s">
        <v>1216</v>
      </c>
      <c r="B1" t="s">
        <v>1217</v>
      </c>
    </row>
    <row r="2" spans="1:2" x14ac:dyDescent="0.25">
      <c r="A2">
        <v>2024</v>
      </c>
      <c r="B2">
        <v>21443700000000</v>
      </c>
    </row>
    <row r="3" spans="1:2" x14ac:dyDescent="0.25">
      <c r="A3">
        <v>2025</v>
      </c>
      <c r="B3">
        <v>21825500000000</v>
      </c>
    </row>
    <row r="4" spans="1:2" x14ac:dyDescent="0.25">
      <c r="A4">
        <v>2026</v>
      </c>
      <c r="B4">
        <v>22402500000000</v>
      </c>
    </row>
    <row r="5" spans="1:2" x14ac:dyDescent="0.25">
      <c r="A5">
        <v>2027</v>
      </c>
      <c r="B5">
        <v>22823200000000</v>
      </c>
    </row>
    <row r="6" spans="1:2" x14ac:dyDescent="0.25">
      <c r="A6">
        <v>2028</v>
      </c>
      <c r="B6">
        <v>23114700000000</v>
      </c>
    </row>
    <row r="7" spans="1:2" x14ac:dyDescent="0.25">
      <c r="A7">
        <v>2029</v>
      </c>
      <c r="B7">
        <v>23470600000000</v>
      </c>
    </row>
    <row r="8" spans="1:2" x14ac:dyDescent="0.25">
      <c r="A8">
        <v>2030</v>
      </c>
      <c r="B8">
        <v>23881600000000</v>
      </c>
    </row>
    <row r="9" spans="1:2" x14ac:dyDescent="0.25">
      <c r="A9">
        <v>2031</v>
      </c>
      <c r="B9">
        <v>24282800000000</v>
      </c>
    </row>
    <row r="10" spans="1:2" x14ac:dyDescent="0.25">
      <c r="A10">
        <v>2032</v>
      </c>
      <c r="B10">
        <v>24738800000000</v>
      </c>
    </row>
    <row r="11" spans="1:2" x14ac:dyDescent="0.25">
      <c r="A11">
        <v>2033</v>
      </c>
      <c r="B11">
        <v>25221200000000</v>
      </c>
    </row>
    <row r="12" spans="1:2" x14ac:dyDescent="0.25">
      <c r="A12">
        <v>2034</v>
      </c>
      <c r="B12">
        <v>25734000000000</v>
      </c>
    </row>
    <row r="13" spans="1:2" x14ac:dyDescent="0.25">
      <c r="A13">
        <v>2035</v>
      </c>
      <c r="B13">
        <v>26281800000000</v>
      </c>
    </row>
    <row r="14" spans="1:2" x14ac:dyDescent="0.25">
      <c r="A14">
        <v>2036</v>
      </c>
      <c r="B14">
        <v>26744400000000</v>
      </c>
    </row>
    <row r="15" spans="1:2" x14ac:dyDescent="0.25">
      <c r="A15">
        <v>2037</v>
      </c>
      <c r="B15">
        <v>27206600000000</v>
      </c>
    </row>
    <row r="16" spans="1:2" x14ac:dyDescent="0.25">
      <c r="A16">
        <v>2038</v>
      </c>
      <c r="B16">
        <v>27670000000000</v>
      </c>
    </row>
    <row r="17" spans="1:2" x14ac:dyDescent="0.25">
      <c r="A17">
        <v>2039</v>
      </c>
      <c r="B17">
        <v>28125300000000</v>
      </c>
    </row>
    <row r="18" spans="1:2" x14ac:dyDescent="0.25">
      <c r="A18">
        <v>2040</v>
      </c>
      <c r="B18">
        <v>28584300000000</v>
      </c>
    </row>
    <row r="19" spans="1:2" x14ac:dyDescent="0.25">
      <c r="A19">
        <v>2041</v>
      </c>
      <c r="B19">
        <v>29029400000000</v>
      </c>
    </row>
    <row r="20" spans="1:2" x14ac:dyDescent="0.25">
      <c r="A20">
        <v>2042</v>
      </c>
      <c r="B20">
        <v>29489900000000</v>
      </c>
    </row>
    <row r="21" spans="1:2" x14ac:dyDescent="0.25">
      <c r="A21">
        <v>2043</v>
      </c>
      <c r="B21">
        <v>29964000000000</v>
      </c>
    </row>
    <row r="22" spans="1:2" x14ac:dyDescent="0.25">
      <c r="A22">
        <v>2044</v>
      </c>
      <c r="B22">
        <v>30442800000000</v>
      </c>
    </row>
    <row r="23" spans="1:2" x14ac:dyDescent="0.25">
      <c r="A23">
        <v>2045</v>
      </c>
      <c r="B23">
        <v>30925000000000</v>
      </c>
    </row>
    <row r="24" spans="1:2" x14ac:dyDescent="0.25">
      <c r="A24">
        <v>2046</v>
      </c>
      <c r="B24">
        <v>31395200000000</v>
      </c>
    </row>
    <row r="25" spans="1:2" x14ac:dyDescent="0.25">
      <c r="A25">
        <v>2047</v>
      </c>
      <c r="B25">
        <v>31846300000000</v>
      </c>
    </row>
    <row r="26" spans="1:2" x14ac:dyDescent="0.25">
      <c r="A26">
        <v>2048</v>
      </c>
      <c r="B26">
        <v>32295500000000</v>
      </c>
    </row>
    <row r="27" spans="1:2" x14ac:dyDescent="0.25">
      <c r="A27">
        <v>2049</v>
      </c>
      <c r="B27">
        <v>32734300000000</v>
      </c>
    </row>
    <row r="28" spans="1:2" x14ac:dyDescent="0.25">
      <c r="A28">
        <v>2050</v>
      </c>
      <c r="B28">
        <v>33186800000000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12"/>
  <sheetViews>
    <sheetView workbookViewId="0"/>
  </sheetViews>
  <sheetFormatPr defaultRowHeight="15" x14ac:dyDescent="0.25"/>
  <sheetData>
    <row r="1" spans="1:29" x14ac:dyDescent="0.25">
      <c r="A1" s="1" t="s">
        <v>1218</v>
      </c>
    </row>
    <row r="3" spans="1:29" x14ac:dyDescent="0.25">
      <c r="A3" s="1" t="s">
        <v>1219</v>
      </c>
      <c r="B3" s="1" t="s">
        <v>1220</v>
      </c>
      <c r="D3" s="1">
        <v>2025</v>
      </c>
      <c r="E3" s="1">
        <v>2026</v>
      </c>
      <c r="F3" s="1">
        <v>2027</v>
      </c>
      <c r="G3" s="1">
        <v>2028</v>
      </c>
      <c r="H3" s="1">
        <v>2029</v>
      </c>
      <c r="I3" s="1">
        <v>2030</v>
      </c>
      <c r="J3" s="1">
        <v>2031</v>
      </c>
      <c r="K3" s="1">
        <v>2032</v>
      </c>
      <c r="L3" s="1">
        <v>2033</v>
      </c>
      <c r="M3" s="1">
        <v>2034</v>
      </c>
      <c r="N3" s="1">
        <v>2035</v>
      </c>
      <c r="O3" s="1">
        <v>2036</v>
      </c>
      <c r="P3" s="1">
        <v>2037</v>
      </c>
      <c r="Q3" s="1">
        <v>2038</v>
      </c>
      <c r="R3" s="1">
        <v>2039</v>
      </c>
      <c r="S3" s="1">
        <v>2040</v>
      </c>
      <c r="T3" s="1">
        <v>2041</v>
      </c>
      <c r="U3" s="1">
        <v>2042</v>
      </c>
      <c r="V3" s="1">
        <v>2043</v>
      </c>
      <c r="W3" s="1">
        <v>2044</v>
      </c>
      <c r="X3" s="1">
        <v>2045</v>
      </c>
      <c r="Y3" s="1">
        <v>2046</v>
      </c>
      <c r="Z3" s="1">
        <v>2047</v>
      </c>
      <c r="AA3" s="1">
        <v>2048</v>
      </c>
      <c r="AB3" s="1">
        <v>2049</v>
      </c>
      <c r="AC3" s="1">
        <v>2050</v>
      </c>
    </row>
    <row r="4" spans="1:29" x14ac:dyDescent="0.25">
      <c r="A4" t="s">
        <v>58</v>
      </c>
      <c r="B4">
        <f>IFERROR(SUMPRODUCT(--('BLS Table 2.11'!$L$1:$L$426=$A4),'BLS Table 2.11'!$J$1:$J$426,'BLS Table 2.11'!$K$1:$K$426)/SUMIFS('BLS Table 2.11'!$J$1:$J$426,'BLS Table 2.11'!$L$1:$L$426,$A4)/100,0)</f>
        <v>1.9584220907297827E-2</v>
      </c>
      <c r="D4">
        <f>IFERROR((SUMIFS('AEO 2026 Table 23 '!G:G,'AEO 2026 Table 23 '!$B:$B,"*,"&amp;$A4&amp;",*")-SUMIFS('AEO25 Table 23'!H:H,'AEO25 Table 23'!$B:$B,"*,"&amp;$A4&amp;",*"))/SUMIFS('AEO25 Table 23'!H:H,'AEO25 Table 23'!$B:$B,"*,"&amp;$A4&amp;",*"),"")</f>
        <v>-9.9246442360578349E-2</v>
      </c>
      <c r="E4">
        <f>IFERROR((SUMIFS('AEO 2026 Table 23 '!H:H,'AEO 2026 Table 23 '!$B:$B,"*,"&amp;$A4&amp;",*")-SUMIFS('AEO 2026 Table 23 '!G:G,'AEO 2026 Table 23 '!$B:$B,"*,"&amp;$A4&amp;",*"))/SUMIFS('AEO 2026 Table 23 '!G:G,'AEO 2026 Table 23 '!$B:$B,"*,"&amp;$A4&amp;",*"),"")</f>
        <v>2.4221655673883858E-3</v>
      </c>
      <c r="F4">
        <f>IFERROR((SUMIFS('AEO 2026 Table 23 '!I:I,'AEO 2026 Table 23 '!$B:$B,"*,"&amp;$A4&amp;",*")-SUMIFS('AEO 2026 Table 23 '!H:H,'AEO 2026 Table 23 '!$B:$B,"*,"&amp;$A4&amp;",*"))/SUMIFS('AEO 2026 Table 23 '!H:H,'AEO 2026 Table 23 '!$B:$B,"*,"&amp;$A4&amp;",*"),"")</f>
        <v>1.4078996801101312E-2</v>
      </c>
      <c r="G4">
        <f>IFERROR((SUMIFS('AEO 2026 Table 23 '!J:J,'AEO 2026 Table 23 '!$B:$B,"*,"&amp;$A4&amp;",*")-SUMIFS('AEO 2026 Table 23 '!I:I,'AEO 2026 Table 23 '!$B:$B,"*,"&amp;$A4&amp;",*"))/SUMIFS('AEO 2026 Table 23 '!I:I,'AEO 2026 Table 23 '!$B:$B,"*,"&amp;$A4&amp;",*"),"")</f>
        <v>2.0031825018195219E-2</v>
      </c>
      <c r="H4">
        <f>IFERROR((SUMIFS('AEO 2026 Table 23 '!K:K,'AEO 2026 Table 23 '!$B:$B,"*,"&amp;$A4&amp;",*")-SUMIFS('AEO 2026 Table 23 '!J:J,'AEO 2026 Table 23 '!$B:$B,"*,"&amp;$A4&amp;",*"))/SUMIFS('AEO 2026 Table 23 '!J:J,'AEO 2026 Table 23 '!$B:$B,"*,"&amp;$A4&amp;",*"),"")</f>
        <v>1.3204714892339337E-2</v>
      </c>
      <c r="I4">
        <f>IFERROR((SUMIFS('AEO 2026 Table 23 '!L:L,'AEO 2026 Table 23 '!$B:$B,"*,"&amp;$A4&amp;",*")-SUMIFS('AEO 2026 Table 23 '!K:K,'AEO 2026 Table 23 '!$B:$B,"*,"&amp;$A4&amp;",*"))/SUMIFS('AEO 2026 Table 23 '!K:K,'AEO 2026 Table 23 '!$B:$B,"*,"&amp;$A4&amp;",*"),"")</f>
        <v>1.2805134886959699E-2</v>
      </c>
      <c r="J4">
        <f>IFERROR((SUMIFS('AEO 2026 Table 23 '!M:M,'AEO 2026 Table 23 '!$B:$B,"*,"&amp;$A4&amp;",*")-SUMIFS('AEO 2026 Table 23 '!L:L,'AEO 2026 Table 23 '!$B:$B,"*,"&amp;$A4&amp;",*"))/SUMIFS('AEO 2026 Table 23 '!L:L,'AEO 2026 Table 23 '!$B:$B,"*,"&amp;$A4&amp;",*"),"")</f>
        <v>1.2429849853809712E-2</v>
      </c>
      <c r="K4">
        <f>IFERROR((SUMIFS('AEO 2026 Table 23 '!N:N,'AEO 2026 Table 23 '!$B:$B,"*,"&amp;$A4&amp;",*")-SUMIFS('AEO 2026 Table 23 '!M:M,'AEO 2026 Table 23 '!$B:$B,"*,"&amp;$A4&amp;",*"))/SUMIFS('AEO 2026 Table 23 '!M:M,'AEO 2026 Table 23 '!$B:$B,"*,"&amp;$A4&amp;",*"),"")</f>
        <v>1.2496007024267423E-2</v>
      </c>
      <c r="L4">
        <f>IFERROR((SUMIFS('AEO 2026 Table 23 '!O:O,'AEO 2026 Table 23 '!$B:$B,"*,"&amp;$A4&amp;",*")-SUMIFS('AEO 2026 Table 23 '!N:N,'AEO 2026 Table 23 '!$B:$B,"*,"&amp;$A4&amp;",*"))/SUMIFS('AEO 2026 Table 23 '!N:N,'AEO 2026 Table 23 '!$B:$B,"*,"&amp;$A4&amp;",*"),"")</f>
        <v>6.7384862316785931E-3</v>
      </c>
      <c r="M4">
        <f>IFERROR((SUMIFS('AEO 2026 Table 23 '!P:P,'AEO 2026 Table 23 '!$B:$B,"*,"&amp;$A4&amp;",*")-SUMIFS('AEO 2026 Table 23 '!O:O,'AEO 2026 Table 23 '!$B:$B,"*,"&amp;$A4&amp;",*"))/SUMIFS('AEO 2026 Table 23 '!O:O,'AEO 2026 Table 23 '!$B:$B,"*,"&amp;$A4&amp;",*"),"")</f>
        <v>1.3166996229270631E-2</v>
      </c>
      <c r="N4">
        <f>IFERROR((SUMIFS('AEO 2026 Table 23 '!Q:Q,'AEO 2026 Table 23 '!$B:$B,"*,"&amp;$A4&amp;",*")-SUMIFS('AEO 2026 Table 23 '!P:P,'AEO 2026 Table 23 '!$B:$B,"*,"&amp;$A4&amp;",*"))/SUMIFS('AEO 2026 Table 23 '!P:P,'AEO 2026 Table 23 '!$B:$B,"*,"&amp;$A4&amp;",*"),"")</f>
        <v>1.4348560175009727E-2</v>
      </c>
      <c r="O4">
        <f>IFERROR((SUMIFS('AEO 2026 Table 23 '!R:R,'AEO 2026 Table 23 '!$B:$B,"*,"&amp;$A4&amp;",*")-SUMIFS('AEO 2026 Table 23 '!Q:Q,'AEO 2026 Table 23 '!$B:$B,"*,"&amp;$A4&amp;",*"))/SUMIFS('AEO 2026 Table 23 '!Q:Q,'AEO 2026 Table 23 '!$B:$B,"*,"&amp;$A4&amp;",*"),"")</f>
        <v>1.4131660795059422E-2</v>
      </c>
      <c r="P4">
        <f>IFERROR((SUMIFS('AEO 2026 Table 23 '!S:S,'AEO 2026 Table 23 '!$B:$B,"*,"&amp;$A4&amp;",*")-SUMIFS('AEO 2026 Table 23 '!R:R,'AEO 2026 Table 23 '!$B:$B,"*,"&amp;$A4&amp;",*"))/SUMIFS('AEO 2026 Table 23 '!R:R,'AEO 2026 Table 23 '!$B:$B,"*,"&amp;$A4&amp;",*"),"")</f>
        <v>1.352784547057437E-2</v>
      </c>
      <c r="Q4">
        <f>IFERROR((SUMIFS('AEO 2026 Table 23 '!T:T,'AEO 2026 Table 23 '!$B:$B,"*,"&amp;$A4&amp;",*")-SUMIFS('AEO 2026 Table 23 '!S:S,'AEO 2026 Table 23 '!$B:$B,"*,"&amp;$A4&amp;",*"))/SUMIFS('AEO 2026 Table 23 '!S:S,'AEO 2026 Table 23 '!$B:$B,"*,"&amp;$A4&amp;",*"),"")</f>
        <v>1.4121592708991805E-2</v>
      </c>
      <c r="R4">
        <f>IFERROR((SUMIFS('AEO 2026 Table 23 '!U:U,'AEO 2026 Table 23 '!$B:$B,"*,"&amp;$A4&amp;",*")-SUMIFS('AEO 2026 Table 23 '!T:T,'AEO 2026 Table 23 '!$B:$B,"*,"&amp;$A4&amp;",*"))/SUMIFS('AEO 2026 Table 23 '!T:T,'AEO 2026 Table 23 '!$B:$B,"*,"&amp;$A4&amp;",*"),"")</f>
        <v>1.4366256699279449E-2</v>
      </c>
      <c r="S4">
        <f>IFERROR((SUMIFS('AEO 2026 Table 23 '!V:V,'AEO 2026 Table 23 '!$B:$B,"*,"&amp;$A4&amp;",*")-SUMIFS('AEO 2026 Table 23 '!U:U,'AEO 2026 Table 23 '!$B:$B,"*,"&amp;$A4&amp;",*"))/SUMIFS('AEO 2026 Table 23 '!U:U,'AEO 2026 Table 23 '!$B:$B,"*,"&amp;$A4&amp;",*"),"")</f>
        <v>1.1995192747679755E-2</v>
      </c>
      <c r="T4">
        <f>IFERROR((SUMIFS('AEO 2026 Table 23 '!W:W,'AEO 2026 Table 23 '!$B:$B,"*,"&amp;$A4&amp;",*")-SUMIFS('AEO 2026 Table 23 '!V:V,'AEO 2026 Table 23 '!$B:$B,"*,"&amp;$A4&amp;",*"))/SUMIFS('AEO 2026 Table 23 '!V:V,'AEO 2026 Table 23 '!$B:$B,"*,"&amp;$A4&amp;",*"),"")</f>
        <v>1.1234927092096699E-2</v>
      </c>
      <c r="U4">
        <f>IFERROR((SUMIFS('AEO 2026 Table 23 '!X:X,'AEO 2026 Table 23 '!$B:$B,"*,"&amp;$A4&amp;",*")-SUMIFS('AEO 2026 Table 23 '!W:W,'AEO 2026 Table 23 '!$B:$B,"*,"&amp;$A4&amp;",*"))/SUMIFS('AEO 2026 Table 23 '!W:W,'AEO 2026 Table 23 '!$B:$B,"*,"&amp;$A4&amp;",*"),"")</f>
        <v>1.2383112057571054E-2</v>
      </c>
      <c r="V4">
        <f>IFERROR((SUMIFS('AEO 2026 Table 23 '!Y:Y,'AEO 2026 Table 23 '!$B:$B,"*,"&amp;$A4&amp;",*")-SUMIFS('AEO 2026 Table 23 '!X:X,'AEO 2026 Table 23 '!$B:$B,"*,"&amp;$A4&amp;",*"))/SUMIFS('AEO 2026 Table 23 '!X:X,'AEO 2026 Table 23 '!$B:$B,"*,"&amp;$A4&amp;",*"),"")</f>
        <v>1.1567985810791029E-2</v>
      </c>
      <c r="W4">
        <f>IFERROR((SUMIFS('AEO 2026 Table 23 '!Z:Z,'AEO 2026 Table 23 '!$B:$B,"*,"&amp;$A4&amp;",*")-SUMIFS('AEO 2026 Table 23 '!Y:Y,'AEO 2026 Table 23 '!$B:$B,"*,"&amp;$A4&amp;",*"))/SUMIFS('AEO 2026 Table 23 '!Y:Y,'AEO 2026 Table 23 '!$B:$B,"*,"&amp;$A4&amp;",*"),"")</f>
        <v>1.2451080250240349E-2</v>
      </c>
      <c r="X4">
        <f>IFERROR((SUMIFS('AEO 2026 Table 23 '!AA:AA,'AEO 2026 Table 23 '!$B:$B,"*,"&amp;$A4&amp;",*")-SUMIFS('AEO 2026 Table 23 '!Z:Z,'AEO 2026 Table 23 '!$B:$B,"*,"&amp;$A4&amp;",*"))/SUMIFS('AEO 2026 Table 23 '!Z:Z,'AEO 2026 Table 23 '!$B:$B,"*,"&amp;$A4&amp;",*"),"")</f>
        <v>1.3976865433354137E-2</v>
      </c>
      <c r="Y4">
        <f>IFERROR((SUMIFS('AEO 2026 Table 23 '!AB:AB,'AEO 2026 Table 23 '!$B:$B,"*,"&amp;$A4&amp;",*")-SUMIFS('AEO 2026 Table 23 '!AA:AA,'AEO 2026 Table 23 '!$B:$B,"*,"&amp;$A4&amp;",*"))/SUMIFS('AEO 2026 Table 23 '!AA:AA,'AEO 2026 Table 23 '!$B:$B,"*,"&amp;$A4&amp;",*"),"")</f>
        <v>1.4480385595373062E-2</v>
      </c>
      <c r="Z4">
        <f>IFERROR((SUMIFS('AEO 2026 Table 23 '!AC:AC,'AEO 2026 Table 23 '!$B:$B,"*,"&amp;$A4&amp;",*")-SUMIFS('AEO 2026 Table 23 '!AB:AB,'AEO 2026 Table 23 '!$B:$B,"*,"&amp;$A4&amp;",*"))/SUMIFS('AEO 2026 Table 23 '!AB:AB,'AEO 2026 Table 23 '!$B:$B,"*,"&amp;$A4&amp;",*"),"")</f>
        <v>1.4401250336012673E-2</v>
      </c>
      <c r="AA4">
        <f>IFERROR((SUMIFS('AEO 2026 Table 23 '!AD:AD,'AEO 2026 Table 23 '!$B:$B,"*,"&amp;$A4&amp;",*")-SUMIFS('AEO 2026 Table 23 '!AC:AC,'AEO 2026 Table 23 '!$B:$B,"*,"&amp;$A4&amp;",*"))/SUMIFS('AEO 2026 Table 23 '!AC:AC,'AEO 2026 Table 23 '!$B:$B,"*,"&amp;$A4&amp;",*"),"")</f>
        <v>1.4399263693733538E-2</v>
      </c>
      <c r="AB4">
        <f>IFERROR((SUMIFS('AEO 2026 Table 23 '!AE:AE,'AEO 2026 Table 23 '!$B:$B,"*,"&amp;$A4&amp;",*")-SUMIFS('AEO 2026 Table 23 '!AD:AD,'AEO 2026 Table 23 '!$B:$B,"*,"&amp;$A4&amp;",*"))/SUMIFS('AEO 2026 Table 23 '!AD:AD,'AEO 2026 Table 23 '!$B:$B,"*,"&amp;$A4&amp;",*"),"")</f>
        <v>1.4095495313647692E-2</v>
      </c>
      <c r="AC4">
        <f>IFERROR((SUMIFS('AEO 2026 Table 23 '!AF:AF,'AEO 2026 Table 23 '!$B:$B,"*,"&amp;$A4&amp;",*")-SUMIFS('AEO 2026 Table 23 '!AE:AE,'AEO 2026 Table 23 '!$B:$B,"*,"&amp;$A4&amp;",*"))/SUMIFS('AEO 2026 Table 23 '!AE:AE,'AEO 2026 Table 23 '!$B:$B,"*,"&amp;$A4&amp;",*"),"")</f>
        <v>1.4017183131886454E-2</v>
      </c>
    </row>
    <row r="5" spans="1:29" x14ac:dyDescent="0.25">
      <c r="A5" t="s">
        <v>65</v>
      </c>
      <c r="B5">
        <f>IFERROR(SUMPRODUCT(--('BLS Table 2.11'!$L$1:$L$426=$A5),'BLS Table 2.11'!$J$1:$J$426,'BLS Table 2.11'!$K$1:$K$426)/SUMIFS('BLS Table 2.11'!$J$1:$J$426,'BLS Table 2.11'!$L$1:$L$426,$A5)/100,0)</f>
        <v>1.6E-2</v>
      </c>
      <c r="D5" t="str">
        <f>IFERROR((SUMIFS('AEO 2026 Table 23 '!G:G,'AEO 2026 Table 23 '!$B:$B,"*,"&amp;$A5&amp;",*")-SUMIFS('AEO25 Table 23'!H:H,'AEO25 Table 23'!$B:$B,"*,"&amp;$A5&amp;",*"))/SUMIFS('AEO25 Table 23'!H:H,'AEO25 Table 23'!$B:$B,"*,"&amp;$A5&amp;",*"),"")</f>
        <v/>
      </c>
      <c r="E5" t="str">
        <f>IFERROR((SUMIFS('AEO 2026 Table 23 '!H:H,'AEO 2026 Table 23 '!$B:$B,"*,"&amp;$A5&amp;",*")-SUMIFS('AEO 2026 Table 23 '!G:G,'AEO 2026 Table 23 '!$B:$B,"*,"&amp;$A5&amp;",*"))/SUMIFS('AEO 2026 Table 23 '!G:G,'AEO 2026 Table 23 '!$B:$B,"*,"&amp;$A5&amp;",*"),"")</f>
        <v/>
      </c>
      <c r="F5" t="str">
        <f>IFERROR((SUMIFS('AEO 2026 Table 23 '!I:I,'AEO 2026 Table 23 '!$B:$B,"*,"&amp;$A5&amp;",*")-SUMIFS('AEO 2026 Table 23 '!H:H,'AEO 2026 Table 23 '!$B:$B,"*,"&amp;$A5&amp;",*"))/SUMIFS('AEO 2026 Table 23 '!H:H,'AEO 2026 Table 23 '!$B:$B,"*,"&amp;$A5&amp;",*"),"")</f>
        <v/>
      </c>
      <c r="G5" t="str">
        <f>IFERROR((SUMIFS('AEO 2026 Table 23 '!J:J,'AEO 2026 Table 23 '!$B:$B,"*,"&amp;$A5&amp;",*")-SUMIFS('AEO 2026 Table 23 '!I:I,'AEO 2026 Table 23 '!$B:$B,"*,"&amp;$A5&amp;",*"))/SUMIFS('AEO 2026 Table 23 '!I:I,'AEO 2026 Table 23 '!$B:$B,"*,"&amp;$A5&amp;",*"),"")</f>
        <v/>
      </c>
      <c r="H5" t="str">
        <f>IFERROR((SUMIFS('AEO 2026 Table 23 '!K:K,'AEO 2026 Table 23 '!$B:$B,"*,"&amp;$A5&amp;",*")-SUMIFS('AEO 2026 Table 23 '!J:J,'AEO 2026 Table 23 '!$B:$B,"*,"&amp;$A5&amp;",*"))/SUMIFS('AEO 2026 Table 23 '!J:J,'AEO 2026 Table 23 '!$B:$B,"*,"&amp;$A5&amp;",*"),"")</f>
        <v/>
      </c>
      <c r="I5" t="str">
        <f>IFERROR((SUMIFS('AEO 2026 Table 23 '!L:L,'AEO 2026 Table 23 '!$B:$B,"*,"&amp;$A5&amp;",*")-SUMIFS('AEO 2026 Table 23 '!K:K,'AEO 2026 Table 23 '!$B:$B,"*,"&amp;$A5&amp;",*"))/SUMIFS('AEO 2026 Table 23 '!K:K,'AEO 2026 Table 23 '!$B:$B,"*,"&amp;$A5&amp;",*"),"")</f>
        <v/>
      </c>
      <c r="J5" t="str">
        <f>IFERROR((SUMIFS('AEO 2026 Table 23 '!M:M,'AEO 2026 Table 23 '!$B:$B,"*,"&amp;$A5&amp;",*")-SUMIFS('AEO 2026 Table 23 '!L:L,'AEO 2026 Table 23 '!$B:$B,"*,"&amp;$A5&amp;",*"))/SUMIFS('AEO 2026 Table 23 '!L:L,'AEO 2026 Table 23 '!$B:$B,"*,"&amp;$A5&amp;",*"),"")</f>
        <v/>
      </c>
      <c r="K5" t="str">
        <f>IFERROR((SUMIFS('AEO 2026 Table 23 '!N:N,'AEO 2026 Table 23 '!$B:$B,"*,"&amp;$A5&amp;",*")-SUMIFS('AEO 2026 Table 23 '!M:M,'AEO 2026 Table 23 '!$B:$B,"*,"&amp;$A5&amp;",*"))/SUMIFS('AEO 2026 Table 23 '!M:M,'AEO 2026 Table 23 '!$B:$B,"*,"&amp;$A5&amp;",*"),"")</f>
        <v/>
      </c>
      <c r="L5" t="str">
        <f>IFERROR((SUMIFS('AEO 2026 Table 23 '!O:O,'AEO 2026 Table 23 '!$B:$B,"*,"&amp;$A5&amp;",*")-SUMIFS('AEO 2026 Table 23 '!N:N,'AEO 2026 Table 23 '!$B:$B,"*,"&amp;$A5&amp;",*"))/SUMIFS('AEO 2026 Table 23 '!N:N,'AEO 2026 Table 23 '!$B:$B,"*,"&amp;$A5&amp;",*"),"")</f>
        <v/>
      </c>
      <c r="M5" t="str">
        <f>IFERROR((SUMIFS('AEO 2026 Table 23 '!P:P,'AEO 2026 Table 23 '!$B:$B,"*,"&amp;$A5&amp;",*")-SUMIFS('AEO 2026 Table 23 '!O:O,'AEO 2026 Table 23 '!$B:$B,"*,"&amp;$A5&amp;",*"))/SUMIFS('AEO 2026 Table 23 '!O:O,'AEO 2026 Table 23 '!$B:$B,"*,"&amp;$A5&amp;",*"),"")</f>
        <v/>
      </c>
      <c r="N5" t="str">
        <f>IFERROR((SUMIFS('AEO 2026 Table 23 '!Q:Q,'AEO 2026 Table 23 '!$B:$B,"*,"&amp;$A5&amp;",*")-SUMIFS('AEO 2026 Table 23 '!P:P,'AEO 2026 Table 23 '!$B:$B,"*,"&amp;$A5&amp;",*"))/SUMIFS('AEO 2026 Table 23 '!P:P,'AEO 2026 Table 23 '!$B:$B,"*,"&amp;$A5&amp;",*"),"")</f>
        <v/>
      </c>
      <c r="O5" t="str">
        <f>IFERROR((SUMIFS('AEO 2026 Table 23 '!R:R,'AEO 2026 Table 23 '!$B:$B,"*,"&amp;$A5&amp;",*")-SUMIFS('AEO 2026 Table 23 '!Q:Q,'AEO 2026 Table 23 '!$B:$B,"*,"&amp;$A5&amp;",*"))/SUMIFS('AEO 2026 Table 23 '!Q:Q,'AEO 2026 Table 23 '!$B:$B,"*,"&amp;$A5&amp;",*"),"")</f>
        <v/>
      </c>
      <c r="P5" t="str">
        <f>IFERROR((SUMIFS('AEO 2026 Table 23 '!S:S,'AEO 2026 Table 23 '!$B:$B,"*,"&amp;$A5&amp;",*")-SUMIFS('AEO 2026 Table 23 '!R:R,'AEO 2026 Table 23 '!$B:$B,"*,"&amp;$A5&amp;",*"))/SUMIFS('AEO 2026 Table 23 '!R:R,'AEO 2026 Table 23 '!$B:$B,"*,"&amp;$A5&amp;",*"),"")</f>
        <v/>
      </c>
      <c r="Q5" t="str">
        <f>IFERROR((SUMIFS('AEO 2026 Table 23 '!T:T,'AEO 2026 Table 23 '!$B:$B,"*,"&amp;$A5&amp;",*")-SUMIFS('AEO 2026 Table 23 '!S:S,'AEO 2026 Table 23 '!$B:$B,"*,"&amp;$A5&amp;",*"))/SUMIFS('AEO 2026 Table 23 '!S:S,'AEO 2026 Table 23 '!$B:$B,"*,"&amp;$A5&amp;",*"),"")</f>
        <v/>
      </c>
      <c r="R5" t="str">
        <f>IFERROR((SUMIFS('AEO 2026 Table 23 '!U:U,'AEO 2026 Table 23 '!$B:$B,"*,"&amp;$A5&amp;",*")-SUMIFS('AEO 2026 Table 23 '!T:T,'AEO 2026 Table 23 '!$B:$B,"*,"&amp;$A5&amp;",*"))/SUMIFS('AEO 2026 Table 23 '!T:T,'AEO 2026 Table 23 '!$B:$B,"*,"&amp;$A5&amp;",*"),"")</f>
        <v/>
      </c>
      <c r="S5" t="str">
        <f>IFERROR((SUMIFS('AEO 2026 Table 23 '!V:V,'AEO 2026 Table 23 '!$B:$B,"*,"&amp;$A5&amp;",*")-SUMIFS('AEO 2026 Table 23 '!U:U,'AEO 2026 Table 23 '!$B:$B,"*,"&amp;$A5&amp;",*"))/SUMIFS('AEO 2026 Table 23 '!U:U,'AEO 2026 Table 23 '!$B:$B,"*,"&amp;$A5&amp;",*"),"")</f>
        <v/>
      </c>
      <c r="T5" t="str">
        <f>IFERROR((SUMIFS('AEO 2026 Table 23 '!W:W,'AEO 2026 Table 23 '!$B:$B,"*,"&amp;$A5&amp;",*")-SUMIFS('AEO 2026 Table 23 '!V:V,'AEO 2026 Table 23 '!$B:$B,"*,"&amp;$A5&amp;",*"))/SUMIFS('AEO 2026 Table 23 '!V:V,'AEO 2026 Table 23 '!$B:$B,"*,"&amp;$A5&amp;",*"),"")</f>
        <v/>
      </c>
      <c r="U5" t="str">
        <f>IFERROR((SUMIFS('AEO 2026 Table 23 '!X:X,'AEO 2026 Table 23 '!$B:$B,"*,"&amp;$A5&amp;",*")-SUMIFS('AEO 2026 Table 23 '!W:W,'AEO 2026 Table 23 '!$B:$B,"*,"&amp;$A5&amp;",*"))/SUMIFS('AEO 2026 Table 23 '!W:W,'AEO 2026 Table 23 '!$B:$B,"*,"&amp;$A5&amp;",*"),"")</f>
        <v/>
      </c>
      <c r="V5" t="str">
        <f>IFERROR((SUMIFS('AEO 2026 Table 23 '!Y:Y,'AEO 2026 Table 23 '!$B:$B,"*,"&amp;$A5&amp;",*")-SUMIFS('AEO 2026 Table 23 '!X:X,'AEO 2026 Table 23 '!$B:$B,"*,"&amp;$A5&amp;",*"))/SUMIFS('AEO 2026 Table 23 '!X:X,'AEO 2026 Table 23 '!$B:$B,"*,"&amp;$A5&amp;",*"),"")</f>
        <v/>
      </c>
      <c r="W5" t="str">
        <f>IFERROR((SUMIFS('AEO 2026 Table 23 '!Z:Z,'AEO 2026 Table 23 '!$B:$B,"*,"&amp;$A5&amp;",*")-SUMIFS('AEO 2026 Table 23 '!Y:Y,'AEO 2026 Table 23 '!$B:$B,"*,"&amp;$A5&amp;",*"))/SUMIFS('AEO 2026 Table 23 '!Y:Y,'AEO 2026 Table 23 '!$B:$B,"*,"&amp;$A5&amp;",*"),"")</f>
        <v/>
      </c>
      <c r="X5" t="str">
        <f>IFERROR((SUMIFS('AEO 2026 Table 23 '!AA:AA,'AEO 2026 Table 23 '!$B:$B,"*,"&amp;$A5&amp;",*")-SUMIFS('AEO 2026 Table 23 '!Z:Z,'AEO 2026 Table 23 '!$B:$B,"*,"&amp;$A5&amp;",*"))/SUMIFS('AEO 2026 Table 23 '!Z:Z,'AEO 2026 Table 23 '!$B:$B,"*,"&amp;$A5&amp;",*"),"")</f>
        <v/>
      </c>
      <c r="Y5" t="str">
        <f>IFERROR((SUMIFS('AEO 2026 Table 23 '!AB:AB,'AEO 2026 Table 23 '!$B:$B,"*,"&amp;$A5&amp;",*")-SUMIFS('AEO 2026 Table 23 '!AA:AA,'AEO 2026 Table 23 '!$B:$B,"*,"&amp;$A5&amp;",*"))/SUMIFS('AEO 2026 Table 23 '!AA:AA,'AEO 2026 Table 23 '!$B:$B,"*,"&amp;$A5&amp;",*"),"")</f>
        <v/>
      </c>
      <c r="Z5" t="str">
        <f>IFERROR((SUMIFS('AEO 2026 Table 23 '!AC:AC,'AEO 2026 Table 23 '!$B:$B,"*,"&amp;$A5&amp;",*")-SUMIFS('AEO 2026 Table 23 '!AB:AB,'AEO 2026 Table 23 '!$B:$B,"*,"&amp;$A5&amp;",*"))/SUMIFS('AEO 2026 Table 23 '!AB:AB,'AEO 2026 Table 23 '!$B:$B,"*,"&amp;$A5&amp;",*"),"")</f>
        <v/>
      </c>
      <c r="AA5" t="str">
        <f>IFERROR((SUMIFS('AEO 2026 Table 23 '!AD:AD,'AEO 2026 Table 23 '!$B:$B,"*,"&amp;$A5&amp;",*")-SUMIFS('AEO 2026 Table 23 '!AC:AC,'AEO 2026 Table 23 '!$B:$B,"*,"&amp;$A5&amp;",*"))/SUMIFS('AEO 2026 Table 23 '!AC:AC,'AEO 2026 Table 23 '!$B:$B,"*,"&amp;$A5&amp;",*"),"")</f>
        <v/>
      </c>
      <c r="AB5" t="str">
        <f>IFERROR((SUMIFS('AEO 2026 Table 23 '!AE:AE,'AEO 2026 Table 23 '!$B:$B,"*,"&amp;$A5&amp;",*")-SUMIFS('AEO 2026 Table 23 '!AD:AD,'AEO 2026 Table 23 '!$B:$B,"*,"&amp;$A5&amp;",*"))/SUMIFS('AEO 2026 Table 23 '!AD:AD,'AEO 2026 Table 23 '!$B:$B,"*,"&amp;$A5&amp;",*"),"")</f>
        <v/>
      </c>
      <c r="AC5" t="str">
        <f>IFERROR((SUMIFS('AEO 2026 Table 23 '!AF:AF,'AEO 2026 Table 23 '!$B:$B,"*,"&amp;$A5&amp;",*")-SUMIFS('AEO 2026 Table 23 '!AE:AE,'AEO 2026 Table 23 '!$B:$B,"*,"&amp;$A5&amp;",*"))/SUMIFS('AEO 2026 Table 23 '!AE:AE,'AEO 2026 Table 23 '!$B:$B,"*,"&amp;$A5&amp;",*"),"")</f>
        <v/>
      </c>
    </row>
    <row r="6" spans="1:29" x14ac:dyDescent="0.25">
      <c r="A6" t="s">
        <v>70</v>
      </c>
      <c r="B6">
        <f>IFERROR(SUMPRODUCT(--('BLS Table 2.11'!$L$1:$L$426=$A6),'BLS Table 2.11'!$J$1:$J$426,'BLS Table 2.11'!$K$1:$K$426)/SUMIFS('BLS Table 2.11'!$J$1:$J$426,'BLS Table 2.11'!$L$1:$L$426,$A6)/100,0)</f>
        <v>1.4999999999999999E-2</v>
      </c>
      <c r="D6" t="str">
        <f>IFERROR((SUMIFS('AEO 2026 Table 23 '!G:G,'AEO 2026 Table 23 '!$B:$B,"*,"&amp;$A6&amp;",*")-SUMIFS('AEO25 Table 23'!H:H,'AEO25 Table 23'!$B:$B,"*,"&amp;$A6&amp;",*"))/SUMIFS('AEO25 Table 23'!H:H,'AEO25 Table 23'!$B:$B,"*,"&amp;$A6&amp;",*"),"")</f>
        <v/>
      </c>
      <c r="E6" t="str">
        <f>IFERROR((SUMIFS('AEO 2026 Table 23 '!H:H,'AEO 2026 Table 23 '!$B:$B,"*,"&amp;$A6&amp;",*")-SUMIFS('AEO 2026 Table 23 '!G:G,'AEO 2026 Table 23 '!$B:$B,"*,"&amp;$A6&amp;",*"))/SUMIFS('AEO 2026 Table 23 '!G:G,'AEO 2026 Table 23 '!$B:$B,"*,"&amp;$A6&amp;",*"),"")</f>
        <v/>
      </c>
      <c r="F6" t="str">
        <f>IFERROR((SUMIFS('AEO 2026 Table 23 '!I:I,'AEO 2026 Table 23 '!$B:$B,"*,"&amp;$A6&amp;",*")-SUMIFS('AEO 2026 Table 23 '!H:H,'AEO 2026 Table 23 '!$B:$B,"*,"&amp;$A6&amp;",*"))/SUMIFS('AEO 2026 Table 23 '!H:H,'AEO 2026 Table 23 '!$B:$B,"*,"&amp;$A6&amp;",*"),"")</f>
        <v/>
      </c>
      <c r="G6" t="str">
        <f>IFERROR((SUMIFS('AEO 2026 Table 23 '!J:J,'AEO 2026 Table 23 '!$B:$B,"*,"&amp;$A6&amp;",*")-SUMIFS('AEO 2026 Table 23 '!I:I,'AEO 2026 Table 23 '!$B:$B,"*,"&amp;$A6&amp;",*"))/SUMIFS('AEO 2026 Table 23 '!I:I,'AEO 2026 Table 23 '!$B:$B,"*,"&amp;$A6&amp;",*"),"")</f>
        <v/>
      </c>
      <c r="H6" t="str">
        <f>IFERROR((SUMIFS('AEO 2026 Table 23 '!K:K,'AEO 2026 Table 23 '!$B:$B,"*,"&amp;$A6&amp;",*")-SUMIFS('AEO 2026 Table 23 '!J:J,'AEO 2026 Table 23 '!$B:$B,"*,"&amp;$A6&amp;",*"))/SUMIFS('AEO 2026 Table 23 '!J:J,'AEO 2026 Table 23 '!$B:$B,"*,"&amp;$A6&amp;",*"),"")</f>
        <v/>
      </c>
      <c r="I6" t="str">
        <f>IFERROR((SUMIFS('AEO 2026 Table 23 '!L:L,'AEO 2026 Table 23 '!$B:$B,"*,"&amp;$A6&amp;",*")-SUMIFS('AEO 2026 Table 23 '!K:K,'AEO 2026 Table 23 '!$B:$B,"*,"&amp;$A6&amp;",*"))/SUMIFS('AEO 2026 Table 23 '!K:K,'AEO 2026 Table 23 '!$B:$B,"*,"&amp;$A6&amp;",*"),"")</f>
        <v/>
      </c>
      <c r="J6" t="str">
        <f>IFERROR((SUMIFS('AEO 2026 Table 23 '!M:M,'AEO 2026 Table 23 '!$B:$B,"*,"&amp;$A6&amp;",*")-SUMIFS('AEO 2026 Table 23 '!L:L,'AEO 2026 Table 23 '!$B:$B,"*,"&amp;$A6&amp;",*"))/SUMIFS('AEO 2026 Table 23 '!L:L,'AEO 2026 Table 23 '!$B:$B,"*,"&amp;$A6&amp;",*"),"")</f>
        <v/>
      </c>
      <c r="K6" t="str">
        <f>IFERROR((SUMIFS('AEO 2026 Table 23 '!N:N,'AEO 2026 Table 23 '!$B:$B,"*,"&amp;$A6&amp;",*")-SUMIFS('AEO 2026 Table 23 '!M:M,'AEO 2026 Table 23 '!$B:$B,"*,"&amp;$A6&amp;",*"))/SUMIFS('AEO 2026 Table 23 '!M:M,'AEO 2026 Table 23 '!$B:$B,"*,"&amp;$A6&amp;",*"),"")</f>
        <v/>
      </c>
      <c r="L6" t="str">
        <f>IFERROR((SUMIFS('AEO 2026 Table 23 '!O:O,'AEO 2026 Table 23 '!$B:$B,"*,"&amp;$A6&amp;",*")-SUMIFS('AEO 2026 Table 23 '!N:N,'AEO 2026 Table 23 '!$B:$B,"*,"&amp;$A6&amp;",*"))/SUMIFS('AEO 2026 Table 23 '!N:N,'AEO 2026 Table 23 '!$B:$B,"*,"&amp;$A6&amp;",*"),"")</f>
        <v/>
      </c>
      <c r="M6" t="str">
        <f>IFERROR((SUMIFS('AEO 2026 Table 23 '!P:P,'AEO 2026 Table 23 '!$B:$B,"*,"&amp;$A6&amp;",*")-SUMIFS('AEO 2026 Table 23 '!O:O,'AEO 2026 Table 23 '!$B:$B,"*,"&amp;$A6&amp;",*"))/SUMIFS('AEO 2026 Table 23 '!O:O,'AEO 2026 Table 23 '!$B:$B,"*,"&amp;$A6&amp;",*"),"")</f>
        <v/>
      </c>
      <c r="N6" t="str">
        <f>IFERROR((SUMIFS('AEO 2026 Table 23 '!Q:Q,'AEO 2026 Table 23 '!$B:$B,"*,"&amp;$A6&amp;",*")-SUMIFS('AEO 2026 Table 23 '!P:P,'AEO 2026 Table 23 '!$B:$B,"*,"&amp;$A6&amp;",*"))/SUMIFS('AEO 2026 Table 23 '!P:P,'AEO 2026 Table 23 '!$B:$B,"*,"&amp;$A6&amp;",*"),"")</f>
        <v/>
      </c>
      <c r="O6" t="str">
        <f>IFERROR((SUMIFS('AEO 2026 Table 23 '!R:R,'AEO 2026 Table 23 '!$B:$B,"*,"&amp;$A6&amp;",*")-SUMIFS('AEO 2026 Table 23 '!Q:Q,'AEO 2026 Table 23 '!$B:$B,"*,"&amp;$A6&amp;",*"))/SUMIFS('AEO 2026 Table 23 '!Q:Q,'AEO 2026 Table 23 '!$B:$B,"*,"&amp;$A6&amp;",*"),"")</f>
        <v/>
      </c>
      <c r="P6" t="str">
        <f>IFERROR((SUMIFS('AEO 2026 Table 23 '!S:S,'AEO 2026 Table 23 '!$B:$B,"*,"&amp;$A6&amp;",*")-SUMIFS('AEO 2026 Table 23 '!R:R,'AEO 2026 Table 23 '!$B:$B,"*,"&amp;$A6&amp;",*"))/SUMIFS('AEO 2026 Table 23 '!R:R,'AEO 2026 Table 23 '!$B:$B,"*,"&amp;$A6&amp;",*"),"")</f>
        <v/>
      </c>
      <c r="Q6" t="str">
        <f>IFERROR((SUMIFS('AEO 2026 Table 23 '!T:T,'AEO 2026 Table 23 '!$B:$B,"*,"&amp;$A6&amp;",*")-SUMIFS('AEO 2026 Table 23 '!S:S,'AEO 2026 Table 23 '!$B:$B,"*,"&amp;$A6&amp;",*"))/SUMIFS('AEO 2026 Table 23 '!S:S,'AEO 2026 Table 23 '!$B:$B,"*,"&amp;$A6&amp;",*"),"")</f>
        <v/>
      </c>
      <c r="R6" t="str">
        <f>IFERROR((SUMIFS('AEO 2026 Table 23 '!U:U,'AEO 2026 Table 23 '!$B:$B,"*,"&amp;$A6&amp;",*")-SUMIFS('AEO 2026 Table 23 '!T:T,'AEO 2026 Table 23 '!$B:$B,"*,"&amp;$A6&amp;",*"))/SUMIFS('AEO 2026 Table 23 '!T:T,'AEO 2026 Table 23 '!$B:$B,"*,"&amp;$A6&amp;",*"),"")</f>
        <v/>
      </c>
      <c r="S6" t="str">
        <f>IFERROR((SUMIFS('AEO 2026 Table 23 '!V:V,'AEO 2026 Table 23 '!$B:$B,"*,"&amp;$A6&amp;",*")-SUMIFS('AEO 2026 Table 23 '!U:U,'AEO 2026 Table 23 '!$B:$B,"*,"&amp;$A6&amp;",*"))/SUMIFS('AEO 2026 Table 23 '!U:U,'AEO 2026 Table 23 '!$B:$B,"*,"&amp;$A6&amp;",*"),"")</f>
        <v/>
      </c>
      <c r="T6" t="str">
        <f>IFERROR((SUMIFS('AEO 2026 Table 23 '!W:W,'AEO 2026 Table 23 '!$B:$B,"*,"&amp;$A6&amp;",*")-SUMIFS('AEO 2026 Table 23 '!V:V,'AEO 2026 Table 23 '!$B:$B,"*,"&amp;$A6&amp;",*"))/SUMIFS('AEO 2026 Table 23 '!V:V,'AEO 2026 Table 23 '!$B:$B,"*,"&amp;$A6&amp;",*"),"")</f>
        <v/>
      </c>
      <c r="U6" t="str">
        <f>IFERROR((SUMIFS('AEO 2026 Table 23 '!X:X,'AEO 2026 Table 23 '!$B:$B,"*,"&amp;$A6&amp;",*")-SUMIFS('AEO 2026 Table 23 '!W:W,'AEO 2026 Table 23 '!$B:$B,"*,"&amp;$A6&amp;",*"))/SUMIFS('AEO 2026 Table 23 '!W:W,'AEO 2026 Table 23 '!$B:$B,"*,"&amp;$A6&amp;",*"),"")</f>
        <v/>
      </c>
      <c r="V6" t="str">
        <f>IFERROR((SUMIFS('AEO 2026 Table 23 '!Y:Y,'AEO 2026 Table 23 '!$B:$B,"*,"&amp;$A6&amp;",*")-SUMIFS('AEO 2026 Table 23 '!X:X,'AEO 2026 Table 23 '!$B:$B,"*,"&amp;$A6&amp;",*"))/SUMIFS('AEO 2026 Table 23 '!X:X,'AEO 2026 Table 23 '!$B:$B,"*,"&amp;$A6&amp;",*"),"")</f>
        <v/>
      </c>
      <c r="W6" t="str">
        <f>IFERROR((SUMIFS('AEO 2026 Table 23 '!Z:Z,'AEO 2026 Table 23 '!$B:$B,"*,"&amp;$A6&amp;",*")-SUMIFS('AEO 2026 Table 23 '!Y:Y,'AEO 2026 Table 23 '!$B:$B,"*,"&amp;$A6&amp;",*"))/SUMIFS('AEO 2026 Table 23 '!Y:Y,'AEO 2026 Table 23 '!$B:$B,"*,"&amp;$A6&amp;",*"),"")</f>
        <v/>
      </c>
      <c r="X6" t="str">
        <f>IFERROR((SUMIFS('AEO 2026 Table 23 '!AA:AA,'AEO 2026 Table 23 '!$B:$B,"*,"&amp;$A6&amp;",*")-SUMIFS('AEO 2026 Table 23 '!Z:Z,'AEO 2026 Table 23 '!$B:$B,"*,"&amp;$A6&amp;",*"))/SUMIFS('AEO 2026 Table 23 '!Z:Z,'AEO 2026 Table 23 '!$B:$B,"*,"&amp;$A6&amp;",*"),"")</f>
        <v/>
      </c>
      <c r="Y6" t="str">
        <f>IFERROR((SUMIFS('AEO 2026 Table 23 '!AB:AB,'AEO 2026 Table 23 '!$B:$B,"*,"&amp;$A6&amp;",*")-SUMIFS('AEO 2026 Table 23 '!AA:AA,'AEO 2026 Table 23 '!$B:$B,"*,"&amp;$A6&amp;",*"))/SUMIFS('AEO 2026 Table 23 '!AA:AA,'AEO 2026 Table 23 '!$B:$B,"*,"&amp;$A6&amp;",*"),"")</f>
        <v/>
      </c>
      <c r="Z6" t="str">
        <f>IFERROR((SUMIFS('AEO 2026 Table 23 '!AC:AC,'AEO 2026 Table 23 '!$B:$B,"*,"&amp;$A6&amp;",*")-SUMIFS('AEO 2026 Table 23 '!AB:AB,'AEO 2026 Table 23 '!$B:$B,"*,"&amp;$A6&amp;",*"))/SUMIFS('AEO 2026 Table 23 '!AB:AB,'AEO 2026 Table 23 '!$B:$B,"*,"&amp;$A6&amp;",*"),"")</f>
        <v/>
      </c>
      <c r="AA6" t="str">
        <f>IFERROR((SUMIFS('AEO 2026 Table 23 '!AD:AD,'AEO 2026 Table 23 '!$B:$B,"*,"&amp;$A6&amp;",*")-SUMIFS('AEO 2026 Table 23 '!AC:AC,'AEO 2026 Table 23 '!$B:$B,"*,"&amp;$A6&amp;",*"))/SUMIFS('AEO 2026 Table 23 '!AC:AC,'AEO 2026 Table 23 '!$B:$B,"*,"&amp;$A6&amp;",*"),"")</f>
        <v/>
      </c>
      <c r="AB6" t="str">
        <f>IFERROR((SUMIFS('AEO 2026 Table 23 '!AE:AE,'AEO 2026 Table 23 '!$B:$B,"*,"&amp;$A6&amp;",*")-SUMIFS('AEO 2026 Table 23 '!AD:AD,'AEO 2026 Table 23 '!$B:$B,"*,"&amp;$A6&amp;",*"))/SUMIFS('AEO 2026 Table 23 '!AD:AD,'AEO 2026 Table 23 '!$B:$B,"*,"&amp;$A6&amp;",*"),"")</f>
        <v/>
      </c>
      <c r="AC6" t="str">
        <f>IFERROR((SUMIFS('AEO 2026 Table 23 '!AF:AF,'AEO 2026 Table 23 '!$B:$B,"*,"&amp;$A6&amp;",*")-SUMIFS('AEO 2026 Table 23 '!AE:AE,'AEO 2026 Table 23 '!$B:$B,"*,"&amp;$A6&amp;",*"))/SUMIFS('AEO 2026 Table 23 '!AE:AE,'AEO 2026 Table 23 '!$B:$B,"*,"&amp;$A6&amp;",*"),"")</f>
        <v/>
      </c>
    </row>
    <row r="7" spans="1:29" x14ac:dyDescent="0.25">
      <c r="A7" t="s">
        <v>82</v>
      </c>
      <c r="B7">
        <f>IFERROR(SUMPRODUCT(--('BLS Table 2.11'!$L$1:$L$426=$A7),'BLS Table 2.11'!$J$1:$J$426,'BLS Table 2.11'!$K$1:$K$426)/SUMIFS('BLS Table 2.11'!$J$1:$J$426,'BLS Table 2.11'!$L$1:$L$426,$A7)/100,0)</f>
        <v>-1.9E-2</v>
      </c>
      <c r="D7">
        <f>IFERROR((SUMIFS('AEO 2026 Table 23 '!G:G,'AEO 2026 Table 23 '!$B:$B,"*,"&amp;$A7&amp;",*")-SUMIFS('AEO25 Table 23'!H:H,'AEO25 Table 23'!$B:$B,"*,"&amp;$A7&amp;",*"))/SUMIFS('AEO25 Table 23'!H:H,'AEO25 Table 23'!$B:$B,"*,"&amp;$A7&amp;",*"),"")</f>
        <v>7.1210619379968615E-2</v>
      </c>
      <c r="E7">
        <f>IFERROR((SUMIFS('AEO 2026 Table 23 '!H:H,'AEO 2026 Table 23 '!$B:$B,"*,"&amp;$A7&amp;",*")-SUMIFS('AEO 2026 Table 23 '!G:G,'AEO 2026 Table 23 '!$B:$B,"*,"&amp;$A7&amp;",*"))/SUMIFS('AEO 2026 Table 23 '!G:G,'AEO 2026 Table 23 '!$B:$B,"*,"&amp;$A7&amp;",*"),"")</f>
        <v>9.1485608285695852E-2</v>
      </c>
      <c r="F7">
        <f>IFERROR((SUMIFS('AEO 2026 Table 23 '!I:I,'AEO 2026 Table 23 '!$B:$B,"*,"&amp;$A7&amp;",*")-SUMIFS('AEO 2026 Table 23 '!H:H,'AEO 2026 Table 23 '!$B:$B,"*,"&amp;$A7&amp;",*"))/SUMIFS('AEO 2026 Table 23 '!H:H,'AEO 2026 Table 23 '!$B:$B,"*,"&amp;$A7&amp;",*"),"")</f>
        <v>-7.0993907420503948E-3</v>
      </c>
      <c r="G7">
        <f>IFERROR((SUMIFS('AEO 2026 Table 23 '!J:J,'AEO 2026 Table 23 '!$B:$B,"*,"&amp;$A7&amp;",*")-SUMIFS('AEO 2026 Table 23 '!I:I,'AEO 2026 Table 23 '!$B:$B,"*,"&amp;$A7&amp;",*"))/SUMIFS('AEO 2026 Table 23 '!I:I,'AEO 2026 Table 23 '!$B:$B,"*,"&amp;$A7&amp;",*"),"")</f>
        <v>5.5548707441967927E-3</v>
      </c>
      <c r="H7">
        <f>IFERROR((SUMIFS('AEO 2026 Table 23 '!K:K,'AEO 2026 Table 23 '!$B:$B,"*,"&amp;$A7&amp;",*")-SUMIFS('AEO 2026 Table 23 '!J:J,'AEO 2026 Table 23 '!$B:$B,"*,"&amp;$A7&amp;",*"))/SUMIFS('AEO 2026 Table 23 '!J:J,'AEO 2026 Table 23 '!$B:$B,"*,"&amp;$A7&amp;",*"),"")</f>
        <v>5.9511703967789834E-3</v>
      </c>
      <c r="I7">
        <f>IFERROR((SUMIFS('AEO 2026 Table 23 '!L:L,'AEO 2026 Table 23 '!$B:$B,"*,"&amp;$A7&amp;",*")-SUMIFS('AEO 2026 Table 23 '!K:K,'AEO 2026 Table 23 '!$B:$B,"*,"&amp;$A7&amp;",*"))/SUMIFS('AEO 2026 Table 23 '!K:K,'AEO 2026 Table 23 '!$B:$B,"*,"&amp;$A7&amp;",*"),"")</f>
        <v>2.1573224384578597E-2</v>
      </c>
      <c r="J7">
        <f>IFERROR((SUMIFS('AEO 2026 Table 23 '!M:M,'AEO 2026 Table 23 '!$B:$B,"*,"&amp;$A7&amp;",*")-SUMIFS('AEO 2026 Table 23 '!L:L,'AEO 2026 Table 23 '!$B:$B,"*,"&amp;$A7&amp;",*"))/SUMIFS('AEO 2026 Table 23 '!L:L,'AEO 2026 Table 23 '!$B:$B,"*,"&amp;$A7&amp;",*"),"")</f>
        <v>1.6109320999214728E-2</v>
      </c>
      <c r="K7">
        <f>IFERROR((SUMIFS('AEO 2026 Table 23 '!N:N,'AEO 2026 Table 23 '!$B:$B,"*,"&amp;$A7&amp;",*")-SUMIFS('AEO 2026 Table 23 '!M:M,'AEO 2026 Table 23 '!$B:$B,"*,"&amp;$A7&amp;",*"))/SUMIFS('AEO 2026 Table 23 '!M:M,'AEO 2026 Table 23 '!$B:$B,"*,"&amp;$A7&amp;",*"),"")</f>
        <v>1.4839112543048894E-2</v>
      </c>
      <c r="L7">
        <f>IFERROR((SUMIFS('AEO 2026 Table 23 '!O:O,'AEO 2026 Table 23 '!$B:$B,"*,"&amp;$A7&amp;",*")-SUMIFS('AEO 2026 Table 23 '!N:N,'AEO 2026 Table 23 '!$B:$B,"*,"&amp;$A7&amp;",*"))/SUMIFS('AEO 2026 Table 23 '!N:N,'AEO 2026 Table 23 '!$B:$B,"*,"&amp;$A7&amp;",*"),"")</f>
        <v>1.0867988350010568E-2</v>
      </c>
      <c r="M7">
        <f>IFERROR((SUMIFS('AEO 2026 Table 23 '!P:P,'AEO 2026 Table 23 '!$B:$B,"*,"&amp;$A7&amp;",*")-SUMIFS('AEO 2026 Table 23 '!O:O,'AEO 2026 Table 23 '!$B:$B,"*,"&amp;$A7&amp;",*"))/SUMIFS('AEO 2026 Table 23 '!O:O,'AEO 2026 Table 23 '!$B:$B,"*,"&amp;$A7&amp;",*"),"")</f>
        <v>1.3336208967205965E-2</v>
      </c>
      <c r="N7">
        <f>IFERROR((SUMIFS('AEO 2026 Table 23 '!Q:Q,'AEO 2026 Table 23 '!$B:$B,"*,"&amp;$A7&amp;",*")-SUMIFS('AEO 2026 Table 23 '!P:P,'AEO 2026 Table 23 '!$B:$B,"*,"&amp;$A7&amp;",*"))/SUMIFS('AEO 2026 Table 23 '!P:P,'AEO 2026 Table 23 '!$B:$B,"*,"&amp;$A7&amp;",*"),"")</f>
        <v>3.635627550798287E-3</v>
      </c>
      <c r="O7">
        <f>IFERROR((SUMIFS('AEO 2026 Table 23 '!R:R,'AEO 2026 Table 23 '!$B:$B,"*,"&amp;$A7&amp;",*")-SUMIFS('AEO 2026 Table 23 '!Q:Q,'AEO 2026 Table 23 '!$B:$B,"*,"&amp;$A7&amp;",*"))/SUMIFS('AEO 2026 Table 23 '!Q:Q,'AEO 2026 Table 23 '!$B:$B,"*,"&amp;$A7&amp;",*"),"")</f>
        <v>4.3625166094370098E-3</v>
      </c>
      <c r="P7">
        <f>IFERROR((SUMIFS('AEO 2026 Table 23 '!S:S,'AEO 2026 Table 23 '!$B:$B,"*,"&amp;$A7&amp;",*")-SUMIFS('AEO 2026 Table 23 '!R:R,'AEO 2026 Table 23 '!$B:$B,"*,"&amp;$A7&amp;",*"))/SUMIFS('AEO 2026 Table 23 '!R:R,'AEO 2026 Table 23 '!$B:$B,"*,"&amp;$A7&amp;",*"),"")</f>
        <v>5.5360413090617495E-3</v>
      </c>
      <c r="Q7">
        <f>IFERROR((SUMIFS('AEO 2026 Table 23 '!T:T,'AEO 2026 Table 23 '!$B:$B,"*,"&amp;$A7&amp;",*")-SUMIFS('AEO 2026 Table 23 '!S:S,'AEO 2026 Table 23 '!$B:$B,"*,"&amp;$A7&amp;",*"))/SUMIFS('AEO 2026 Table 23 '!S:S,'AEO 2026 Table 23 '!$B:$B,"*,"&amp;$A7&amp;",*"),"")</f>
        <v>5.0714214789581427E-3</v>
      </c>
      <c r="R7">
        <f>IFERROR((SUMIFS('AEO 2026 Table 23 '!U:U,'AEO 2026 Table 23 '!$B:$B,"*,"&amp;$A7&amp;",*")-SUMIFS('AEO 2026 Table 23 '!T:T,'AEO 2026 Table 23 '!$B:$B,"*,"&amp;$A7&amp;",*"))/SUMIFS('AEO 2026 Table 23 '!T:T,'AEO 2026 Table 23 '!$B:$B,"*,"&amp;$A7&amp;",*"),"")</f>
        <v>6.490507410011179E-3</v>
      </c>
      <c r="S7">
        <f>IFERROR((SUMIFS('AEO 2026 Table 23 '!V:V,'AEO 2026 Table 23 '!$B:$B,"*,"&amp;$A7&amp;",*")-SUMIFS('AEO 2026 Table 23 '!U:U,'AEO 2026 Table 23 '!$B:$B,"*,"&amp;$A7&amp;",*"))/SUMIFS('AEO 2026 Table 23 '!U:U,'AEO 2026 Table 23 '!$B:$B,"*,"&amp;$A7&amp;",*"),"")</f>
        <v>1.1807222899426144E-2</v>
      </c>
      <c r="T7">
        <f>IFERROR((SUMIFS('AEO 2026 Table 23 '!W:W,'AEO 2026 Table 23 '!$B:$B,"*,"&amp;$A7&amp;",*")-SUMIFS('AEO 2026 Table 23 '!V:V,'AEO 2026 Table 23 '!$B:$B,"*,"&amp;$A7&amp;",*"))/SUMIFS('AEO 2026 Table 23 '!V:V,'AEO 2026 Table 23 '!$B:$B,"*,"&amp;$A7&amp;",*"),"")</f>
        <v>1.4138693735629397E-2</v>
      </c>
      <c r="U7">
        <f>IFERROR((SUMIFS('AEO 2026 Table 23 '!X:X,'AEO 2026 Table 23 '!$B:$B,"*,"&amp;$A7&amp;",*")-SUMIFS('AEO 2026 Table 23 '!W:W,'AEO 2026 Table 23 '!$B:$B,"*,"&amp;$A7&amp;",*"))/SUMIFS('AEO 2026 Table 23 '!W:W,'AEO 2026 Table 23 '!$B:$B,"*,"&amp;$A7&amp;",*"),"")</f>
        <v>7.8695027068229235E-3</v>
      </c>
      <c r="V7">
        <f>IFERROR((SUMIFS('AEO 2026 Table 23 '!Y:Y,'AEO 2026 Table 23 '!$B:$B,"*,"&amp;$A7&amp;",*")-SUMIFS('AEO 2026 Table 23 '!X:X,'AEO 2026 Table 23 '!$B:$B,"*,"&amp;$A7&amp;",*"))/SUMIFS('AEO 2026 Table 23 '!X:X,'AEO 2026 Table 23 '!$B:$B,"*,"&amp;$A7&amp;",*"),"")</f>
        <v>8.6050480547517853E-3</v>
      </c>
      <c r="W7">
        <f>IFERROR((SUMIFS('AEO 2026 Table 23 '!Z:Z,'AEO 2026 Table 23 '!$B:$B,"*,"&amp;$A7&amp;",*")-SUMIFS('AEO 2026 Table 23 '!Y:Y,'AEO 2026 Table 23 '!$B:$B,"*,"&amp;$A7&amp;",*"))/SUMIFS('AEO 2026 Table 23 '!Y:Y,'AEO 2026 Table 23 '!$B:$B,"*,"&amp;$A7&amp;",*"),"")</f>
        <v>5.0751542531941845E-3</v>
      </c>
      <c r="X7">
        <f>IFERROR((SUMIFS('AEO 2026 Table 23 '!AA:AA,'AEO 2026 Table 23 '!$B:$B,"*,"&amp;$A7&amp;",*")-SUMIFS('AEO 2026 Table 23 '!Z:Z,'AEO 2026 Table 23 '!$B:$B,"*,"&amp;$A7&amp;",*"))/SUMIFS('AEO 2026 Table 23 '!Z:Z,'AEO 2026 Table 23 '!$B:$B,"*,"&amp;$A7&amp;",*"),"")</f>
        <v>3.6314508985072508E-3</v>
      </c>
      <c r="Y7">
        <f>IFERROR((SUMIFS('AEO 2026 Table 23 '!AB:AB,'AEO 2026 Table 23 '!$B:$B,"*,"&amp;$A7&amp;",*")-SUMIFS('AEO 2026 Table 23 '!AA:AA,'AEO 2026 Table 23 '!$B:$B,"*,"&amp;$A7&amp;",*"))/SUMIFS('AEO 2026 Table 23 '!AA:AA,'AEO 2026 Table 23 '!$B:$B,"*,"&amp;$A7&amp;",*"),"")</f>
        <v>3.7320076133156074E-3</v>
      </c>
      <c r="Z7">
        <f>IFERROR((SUMIFS('AEO 2026 Table 23 '!AC:AC,'AEO 2026 Table 23 '!$B:$B,"*,"&amp;$A7&amp;",*")-SUMIFS('AEO 2026 Table 23 '!AB:AB,'AEO 2026 Table 23 '!$B:$B,"*,"&amp;$A7&amp;",*"))/SUMIFS('AEO 2026 Table 23 '!AB:AB,'AEO 2026 Table 23 '!$B:$B,"*,"&amp;$A7&amp;",*"),"")</f>
        <v>5.5185131598065205E-3</v>
      </c>
      <c r="AA7">
        <f>IFERROR((SUMIFS('AEO 2026 Table 23 '!AD:AD,'AEO 2026 Table 23 '!$B:$B,"*,"&amp;$A7&amp;",*")-SUMIFS('AEO 2026 Table 23 '!AC:AC,'AEO 2026 Table 23 '!$B:$B,"*,"&amp;$A7&amp;",*"))/SUMIFS('AEO 2026 Table 23 '!AC:AC,'AEO 2026 Table 23 '!$B:$B,"*,"&amp;$A7&amp;",*"),"")</f>
        <v>2.1673219962289911E-3</v>
      </c>
      <c r="AB7">
        <f>IFERROR((SUMIFS('AEO 2026 Table 23 '!AE:AE,'AEO 2026 Table 23 '!$B:$B,"*,"&amp;$A7&amp;",*")-SUMIFS('AEO 2026 Table 23 '!AD:AD,'AEO 2026 Table 23 '!$B:$B,"*,"&amp;$A7&amp;",*"))/SUMIFS('AEO 2026 Table 23 '!AD:AD,'AEO 2026 Table 23 '!$B:$B,"*,"&amp;$A7&amp;",*"),"")</f>
        <v>1.601512248964386E-5</v>
      </c>
      <c r="AC7">
        <f>IFERROR((SUMIFS('AEO 2026 Table 23 '!AF:AF,'AEO 2026 Table 23 '!$B:$B,"*,"&amp;$A7&amp;",*")-SUMIFS('AEO 2026 Table 23 '!AE:AE,'AEO 2026 Table 23 '!$B:$B,"*,"&amp;$A7&amp;",*"))/SUMIFS('AEO 2026 Table 23 '!AE:AE,'AEO 2026 Table 23 '!$B:$B,"*,"&amp;$A7&amp;",*"),"")</f>
        <v>-1.8375142190435721E-3</v>
      </c>
    </row>
    <row r="8" spans="1:29" x14ac:dyDescent="0.25">
      <c r="A8" t="s">
        <v>77</v>
      </c>
      <c r="B8">
        <f>IFERROR(SUMPRODUCT(--('BLS Table 2.11'!$L$1:$L$426=$A8),'BLS Table 2.11'!$J$1:$J$426,'BLS Table 2.11'!$K$1:$K$426)/SUMIFS('BLS Table 2.11'!$J$1:$J$426,'BLS Table 2.11'!$L$1:$L$426,$A8)/100,0)</f>
        <v>1.6E-2</v>
      </c>
      <c r="D8">
        <f>IFERROR((SUMIFS('AEO 2026 Table 23 '!G:G,'AEO 2026 Table 23 '!$B:$B,"*,"&amp;$A8&amp;",*")-SUMIFS('AEO25 Table 23'!H:H,'AEO25 Table 23'!$B:$B,"*,"&amp;$A8&amp;",*"))/SUMIFS('AEO25 Table 23'!H:H,'AEO25 Table 23'!$B:$B,"*,"&amp;$A8&amp;",*"),"")</f>
        <v>7.1210619379968615E-2</v>
      </c>
      <c r="E8">
        <f>IFERROR((SUMIFS('AEO 2026 Table 23 '!H:H,'AEO 2026 Table 23 '!$B:$B,"*,"&amp;$A8&amp;",*")-SUMIFS('AEO 2026 Table 23 '!G:G,'AEO 2026 Table 23 '!$B:$B,"*,"&amp;$A8&amp;",*"))/SUMIFS('AEO 2026 Table 23 '!G:G,'AEO 2026 Table 23 '!$B:$B,"*,"&amp;$A8&amp;",*"),"")</f>
        <v>9.1485608285695852E-2</v>
      </c>
      <c r="F8">
        <f>IFERROR((SUMIFS('AEO 2026 Table 23 '!I:I,'AEO 2026 Table 23 '!$B:$B,"*,"&amp;$A8&amp;",*")-SUMIFS('AEO 2026 Table 23 '!H:H,'AEO 2026 Table 23 '!$B:$B,"*,"&amp;$A8&amp;",*"))/SUMIFS('AEO 2026 Table 23 '!H:H,'AEO 2026 Table 23 '!$B:$B,"*,"&amp;$A8&amp;",*"),"")</f>
        <v>-7.0993907420503948E-3</v>
      </c>
      <c r="G8">
        <f>IFERROR((SUMIFS('AEO 2026 Table 23 '!J:J,'AEO 2026 Table 23 '!$B:$B,"*,"&amp;$A8&amp;",*")-SUMIFS('AEO 2026 Table 23 '!I:I,'AEO 2026 Table 23 '!$B:$B,"*,"&amp;$A8&amp;",*"))/SUMIFS('AEO 2026 Table 23 '!I:I,'AEO 2026 Table 23 '!$B:$B,"*,"&amp;$A8&amp;",*"),"")</f>
        <v>5.5548707441967927E-3</v>
      </c>
      <c r="H8">
        <f>IFERROR((SUMIFS('AEO 2026 Table 23 '!K:K,'AEO 2026 Table 23 '!$B:$B,"*,"&amp;$A8&amp;",*")-SUMIFS('AEO 2026 Table 23 '!J:J,'AEO 2026 Table 23 '!$B:$B,"*,"&amp;$A8&amp;",*"))/SUMIFS('AEO 2026 Table 23 '!J:J,'AEO 2026 Table 23 '!$B:$B,"*,"&amp;$A8&amp;",*"),"")</f>
        <v>5.9511703967789834E-3</v>
      </c>
      <c r="I8">
        <f>IFERROR((SUMIFS('AEO 2026 Table 23 '!L:L,'AEO 2026 Table 23 '!$B:$B,"*,"&amp;$A8&amp;",*")-SUMIFS('AEO 2026 Table 23 '!K:K,'AEO 2026 Table 23 '!$B:$B,"*,"&amp;$A8&amp;",*"))/SUMIFS('AEO 2026 Table 23 '!K:K,'AEO 2026 Table 23 '!$B:$B,"*,"&amp;$A8&amp;",*"),"")</f>
        <v>2.1573224384578597E-2</v>
      </c>
      <c r="J8">
        <f>IFERROR((SUMIFS('AEO 2026 Table 23 '!M:M,'AEO 2026 Table 23 '!$B:$B,"*,"&amp;$A8&amp;",*")-SUMIFS('AEO 2026 Table 23 '!L:L,'AEO 2026 Table 23 '!$B:$B,"*,"&amp;$A8&amp;",*"))/SUMIFS('AEO 2026 Table 23 '!L:L,'AEO 2026 Table 23 '!$B:$B,"*,"&amp;$A8&amp;",*"),"")</f>
        <v>1.6109320999214728E-2</v>
      </c>
      <c r="K8">
        <f>IFERROR((SUMIFS('AEO 2026 Table 23 '!N:N,'AEO 2026 Table 23 '!$B:$B,"*,"&amp;$A8&amp;",*")-SUMIFS('AEO 2026 Table 23 '!M:M,'AEO 2026 Table 23 '!$B:$B,"*,"&amp;$A8&amp;",*"))/SUMIFS('AEO 2026 Table 23 '!M:M,'AEO 2026 Table 23 '!$B:$B,"*,"&amp;$A8&amp;",*"),"")</f>
        <v>1.4839112543048894E-2</v>
      </c>
      <c r="L8">
        <f>IFERROR((SUMIFS('AEO 2026 Table 23 '!O:O,'AEO 2026 Table 23 '!$B:$B,"*,"&amp;$A8&amp;",*")-SUMIFS('AEO 2026 Table 23 '!N:N,'AEO 2026 Table 23 '!$B:$B,"*,"&amp;$A8&amp;",*"))/SUMIFS('AEO 2026 Table 23 '!N:N,'AEO 2026 Table 23 '!$B:$B,"*,"&amp;$A8&amp;",*"),"")</f>
        <v>1.0867988350010568E-2</v>
      </c>
      <c r="M8">
        <f>IFERROR((SUMIFS('AEO 2026 Table 23 '!P:P,'AEO 2026 Table 23 '!$B:$B,"*,"&amp;$A8&amp;",*")-SUMIFS('AEO 2026 Table 23 '!O:O,'AEO 2026 Table 23 '!$B:$B,"*,"&amp;$A8&amp;",*"))/SUMIFS('AEO 2026 Table 23 '!O:O,'AEO 2026 Table 23 '!$B:$B,"*,"&amp;$A8&amp;",*"),"")</f>
        <v>1.3336208967205965E-2</v>
      </c>
      <c r="N8">
        <f>IFERROR((SUMIFS('AEO 2026 Table 23 '!Q:Q,'AEO 2026 Table 23 '!$B:$B,"*,"&amp;$A8&amp;",*")-SUMIFS('AEO 2026 Table 23 '!P:P,'AEO 2026 Table 23 '!$B:$B,"*,"&amp;$A8&amp;",*"))/SUMIFS('AEO 2026 Table 23 '!P:P,'AEO 2026 Table 23 '!$B:$B,"*,"&amp;$A8&amp;",*"),"")</f>
        <v>3.635627550798287E-3</v>
      </c>
      <c r="O8">
        <f>IFERROR((SUMIFS('AEO 2026 Table 23 '!R:R,'AEO 2026 Table 23 '!$B:$B,"*,"&amp;$A8&amp;",*")-SUMIFS('AEO 2026 Table 23 '!Q:Q,'AEO 2026 Table 23 '!$B:$B,"*,"&amp;$A8&amp;",*"))/SUMIFS('AEO 2026 Table 23 '!Q:Q,'AEO 2026 Table 23 '!$B:$B,"*,"&amp;$A8&amp;",*"),"")</f>
        <v>4.3625166094370098E-3</v>
      </c>
      <c r="P8">
        <f>IFERROR((SUMIFS('AEO 2026 Table 23 '!S:S,'AEO 2026 Table 23 '!$B:$B,"*,"&amp;$A8&amp;",*")-SUMIFS('AEO 2026 Table 23 '!R:R,'AEO 2026 Table 23 '!$B:$B,"*,"&amp;$A8&amp;",*"))/SUMIFS('AEO 2026 Table 23 '!R:R,'AEO 2026 Table 23 '!$B:$B,"*,"&amp;$A8&amp;",*"),"")</f>
        <v>5.5360413090617495E-3</v>
      </c>
      <c r="Q8">
        <f>IFERROR((SUMIFS('AEO 2026 Table 23 '!T:T,'AEO 2026 Table 23 '!$B:$B,"*,"&amp;$A8&amp;",*")-SUMIFS('AEO 2026 Table 23 '!S:S,'AEO 2026 Table 23 '!$B:$B,"*,"&amp;$A8&amp;",*"))/SUMIFS('AEO 2026 Table 23 '!S:S,'AEO 2026 Table 23 '!$B:$B,"*,"&amp;$A8&amp;",*"),"")</f>
        <v>5.0714214789581427E-3</v>
      </c>
      <c r="R8">
        <f>IFERROR((SUMIFS('AEO 2026 Table 23 '!U:U,'AEO 2026 Table 23 '!$B:$B,"*,"&amp;$A8&amp;",*")-SUMIFS('AEO 2026 Table 23 '!T:T,'AEO 2026 Table 23 '!$B:$B,"*,"&amp;$A8&amp;",*"))/SUMIFS('AEO 2026 Table 23 '!T:T,'AEO 2026 Table 23 '!$B:$B,"*,"&amp;$A8&amp;",*"),"")</f>
        <v>6.490507410011179E-3</v>
      </c>
      <c r="S8">
        <f>IFERROR((SUMIFS('AEO 2026 Table 23 '!V:V,'AEO 2026 Table 23 '!$B:$B,"*,"&amp;$A8&amp;",*")-SUMIFS('AEO 2026 Table 23 '!U:U,'AEO 2026 Table 23 '!$B:$B,"*,"&amp;$A8&amp;",*"))/SUMIFS('AEO 2026 Table 23 '!U:U,'AEO 2026 Table 23 '!$B:$B,"*,"&amp;$A8&amp;",*"),"")</f>
        <v>1.1807222899426144E-2</v>
      </c>
      <c r="T8">
        <f>IFERROR((SUMIFS('AEO 2026 Table 23 '!W:W,'AEO 2026 Table 23 '!$B:$B,"*,"&amp;$A8&amp;",*")-SUMIFS('AEO 2026 Table 23 '!V:V,'AEO 2026 Table 23 '!$B:$B,"*,"&amp;$A8&amp;",*"))/SUMIFS('AEO 2026 Table 23 '!V:V,'AEO 2026 Table 23 '!$B:$B,"*,"&amp;$A8&amp;",*"),"")</f>
        <v>1.4138693735629397E-2</v>
      </c>
      <c r="U8">
        <f>IFERROR((SUMIFS('AEO 2026 Table 23 '!X:X,'AEO 2026 Table 23 '!$B:$B,"*,"&amp;$A8&amp;",*")-SUMIFS('AEO 2026 Table 23 '!W:W,'AEO 2026 Table 23 '!$B:$B,"*,"&amp;$A8&amp;",*"))/SUMIFS('AEO 2026 Table 23 '!W:W,'AEO 2026 Table 23 '!$B:$B,"*,"&amp;$A8&amp;",*"),"")</f>
        <v>7.8695027068229235E-3</v>
      </c>
      <c r="V8">
        <f>IFERROR((SUMIFS('AEO 2026 Table 23 '!Y:Y,'AEO 2026 Table 23 '!$B:$B,"*,"&amp;$A8&amp;",*")-SUMIFS('AEO 2026 Table 23 '!X:X,'AEO 2026 Table 23 '!$B:$B,"*,"&amp;$A8&amp;",*"))/SUMIFS('AEO 2026 Table 23 '!X:X,'AEO 2026 Table 23 '!$B:$B,"*,"&amp;$A8&amp;",*"),"")</f>
        <v>8.6050480547517853E-3</v>
      </c>
      <c r="W8">
        <f>IFERROR((SUMIFS('AEO 2026 Table 23 '!Z:Z,'AEO 2026 Table 23 '!$B:$B,"*,"&amp;$A8&amp;",*")-SUMIFS('AEO 2026 Table 23 '!Y:Y,'AEO 2026 Table 23 '!$B:$B,"*,"&amp;$A8&amp;",*"))/SUMIFS('AEO 2026 Table 23 '!Y:Y,'AEO 2026 Table 23 '!$B:$B,"*,"&amp;$A8&amp;",*"),"")</f>
        <v>5.0751542531941845E-3</v>
      </c>
      <c r="X8">
        <f>IFERROR((SUMIFS('AEO 2026 Table 23 '!AA:AA,'AEO 2026 Table 23 '!$B:$B,"*,"&amp;$A8&amp;",*")-SUMIFS('AEO 2026 Table 23 '!Z:Z,'AEO 2026 Table 23 '!$B:$B,"*,"&amp;$A8&amp;",*"))/SUMIFS('AEO 2026 Table 23 '!Z:Z,'AEO 2026 Table 23 '!$B:$B,"*,"&amp;$A8&amp;",*"),"")</f>
        <v>3.6314508985072508E-3</v>
      </c>
      <c r="Y8">
        <f>IFERROR((SUMIFS('AEO 2026 Table 23 '!AB:AB,'AEO 2026 Table 23 '!$B:$B,"*,"&amp;$A8&amp;",*")-SUMIFS('AEO 2026 Table 23 '!AA:AA,'AEO 2026 Table 23 '!$B:$B,"*,"&amp;$A8&amp;",*"))/SUMIFS('AEO 2026 Table 23 '!AA:AA,'AEO 2026 Table 23 '!$B:$B,"*,"&amp;$A8&amp;",*"),"")</f>
        <v>3.7320076133156074E-3</v>
      </c>
      <c r="Z8">
        <f>IFERROR((SUMIFS('AEO 2026 Table 23 '!AC:AC,'AEO 2026 Table 23 '!$B:$B,"*,"&amp;$A8&amp;",*")-SUMIFS('AEO 2026 Table 23 '!AB:AB,'AEO 2026 Table 23 '!$B:$B,"*,"&amp;$A8&amp;",*"))/SUMIFS('AEO 2026 Table 23 '!AB:AB,'AEO 2026 Table 23 '!$B:$B,"*,"&amp;$A8&amp;",*"),"")</f>
        <v>5.5185131598065205E-3</v>
      </c>
      <c r="AA8">
        <f>IFERROR((SUMIFS('AEO 2026 Table 23 '!AD:AD,'AEO 2026 Table 23 '!$B:$B,"*,"&amp;$A8&amp;",*")-SUMIFS('AEO 2026 Table 23 '!AC:AC,'AEO 2026 Table 23 '!$B:$B,"*,"&amp;$A8&amp;",*"))/SUMIFS('AEO 2026 Table 23 '!AC:AC,'AEO 2026 Table 23 '!$B:$B,"*,"&amp;$A8&amp;",*"),"")</f>
        <v>2.1673219962289911E-3</v>
      </c>
      <c r="AB8">
        <f>IFERROR((SUMIFS('AEO 2026 Table 23 '!AE:AE,'AEO 2026 Table 23 '!$B:$B,"*,"&amp;$A8&amp;",*")-SUMIFS('AEO 2026 Table 23 '!AD:AD,'AEO 2026 Table 23 '!$B:$B,"*,"&amp;$A8&amp;",*"))/SUMIFS('AEO 2026 Table 23 '!AD:AD,'AEO 2026 Table 23 '!$B:$B,"*,"&amp;$A8&amp;",*"),"")</f>
        <v>1.601512248964386E-5</v>
      </c>
      <c r="AC8">
        <f>IFERROR((SUMIFS('AEO 2026 Table 23 '!AF:AF,'AEO 2026 Table 23 '!$B:$B,"*,"&amp;$A8&amp;",*")-SUMIFS('AEO 2026 Table 23 '!AE:AE,'AEO 2026 Table 23 '!$B:$B,"*,"&amp;$A8&amp;",*"))/SUMIFS('AEO 2026 Table 23 '!AE:AE,'AEO 2026 Table 23 '!$B:$B,"*,"&amp;$A8&amp;",*"),"")</f>
        <v>-1.8375142190435721E-3</v>
      </c>
    </row>
    <row r="9" spans="1:29" x14ac:dyDescent="0.25">
      <c r="A9" t="s">
        <v>85</v>
      </c>
      <c r="B9">
        <f>IFERROR(SUMPRODUCT(--('BLS Table 2.11'!$L$1:$L$426=$A9),'BLS Table 2.11'!$J$1:$J$426,'BLS Table 2.11'!$K$1:$K$426)/SUMIFS('BLS Table 2.11'!$J$1:$J$426,'BLS Table 2.11'!$L$1:$L$426,$A9)/100,0)</f>
        <v>2.6000000000000002E-2</v>
      </c>
      <c r="D9" t="str">
        <f>IFERROR((SUMIFS('AEO 2026 Table 23 '!G:G,'AEO 2026 Table 23 '!$B:$B,"*,"&amp;$A9&amp;",*")-SUMIFS('AEO25 Table 23'!H:H,'AEO25 Table 23'!$B:$B,"*,"&amp;$A9&amp;",*"))/SUMIFS('AEO25 Table 23'!H:H,'AEO25 Table 23'!$B:$B,"*,"&amp;$A9&amp;",*"),"")</f>
        <v/>
      </c>
      <c r="E9" t="str">
        <f>IFERROR((SUMIFS('AEO 2026 Table 23 '!H:H,'AEO 2026 Table 23 '!$B:$B,"*,"&amp;$A9&amp;",*")-SUMIFS('AEO 2026 Table 23 '!G:G,'AEO 2026 Table 23 '!$B:$B,"*,"&amp;$A9&amp;",*"))/SUMIFS('AEO 2026 Table 23 '!G:G,'AEO 2026 Table 23 '!$B:$B,"*,"&amp;$A9&amp;",*"),"")</f>
        <v/>
      </c>
      <c r="F9" t="str">
        <f>IFERROR((SUMIFS('AEO 2026 Table 23 '!I:I,'AEO 2026 Table 23 '!$B:$B,"*,"&amp;$A9&amp;",*")-SUMIFS('AEO 2026 Table 23 '!H:H,'AEO 2026 Table 23 '!$B:$B,"*,"&amp;$A9&amp;",*"))/SUMIFS('AEO 2026 Table 23 '!H:H,'AEO 2026 Table 23 '!$B:$B,"*,"&amp;$A9&amp;",*"),"")</f>
        <v/>
      </c>
      <c r="G9" t="str">
        <f>IFERROR((SUMIFS('AEO 2026 Table 23 '!J:J,'AEO 2026 Table 23 '!$B:$B,"*,"&amp;$A9&amp;",*")-SUMIFS('AEO 2026 Table 23 '!I:I,'AEO 2026 Table 23 '!$B:$B,"*,"&amp;$A9&amp;",*"))/SUMIFS('AEO 2026 Table 23 '!I:I,'AEO 2026 Table 23 '!$B:$B,"*,"&amp;$A9&amp;",*"),"")</f>
        <v/>
      </c>
      <c r="H9" t="str">
        <f>IFERROR((SUMIFS('AEO 2026 Table 23 '!K:K,'AEO 2026 Table 23 '!$B:$B,"*,"&amp;$A9&amp;",*")-SUMIFS('AEO 2026 Table 23 '!J:J,'AEO 2026 Table 23 '!$B:$B,"*,"&amp;$A9&amp;",*"))/SUMIFS('AEO 2026 Table 23 '!J:J,'AEO 2026 Table 23 '!$B:$B,"*,"&amp;$A9&amp;",*"),"")</f>
        <v/>
      </c>
      <c r="I9" t="str">
        <f>IFERROR((SUMIFS('AEO 2026 Table 23 '!L:L,'AEO 2026 Table 23 '!$B:$B,"*,"&amp;$A9&amp;",*")-SUMIFS('AEO 2026 Table 23 '!K:K,'AEO 2026 Table 23 '!$B:$B,"*,"&amp;$A9&amp;",*"))/SUMIFS('AEO 2026 Table 23 '!K:K,'AEO 2026 Table 23 '!$B:$B,"*,"&amp;$A9&amp;",*"),"")</f>
        <v/>
      </c>
      <c r="J9" t="str">
        <f>IFERROR((SUMIFS('AEO 2026 Table 23 '!M:M,'AEO 2026 Table 23 '!$B:$B,"*,"&amp;$A9&amp;",*")-SUMIFS('AEO 2026 Table 23 '!L:L,'AEO 2026 Table 23 '!$B:$B,"*,"&amp;$A9&amp;",*"))/SUMIFS('AEO 2026 Table 23 '!L:L,'AEO 2026 Table 23 '!$B:$B,"*,"&amp;$A9&amp;",*"),"")</f>
        <v/>
      </c>
      <c r="K9" t="str">
        <f>IFERROR((SUMIFS('AEO 2026 Table 23 '!N:N,'AEO 2026 Table 23 '!$B:$B,"*,"&amp;$A9&amp;",*")-SUMIFS('AEO 2026 Table 23 '!M:M,'AEO 2026 Table 23 '!$B:$B,"*,"&amp;$A9&amp;",*"))/SUMIFS('AEO 2026 Table 23 '!M:M,'AEO 2026 Table 23 '!$B:$B,"*,"&amp;$A9&amp;",*"),"")</f>
        <v/>
      </c>
      <c r="L9" t="str">
        <f>IFERROR((SUMIFS('AEO 2026 Table 23 '!O:O,'AEO 2026 Table 23 '!$B:$B,"*,"&amp;$A9&amp;",*")-SUMIFS('AEO 2026 Table 23 '!N:N,'AEO 2026 Table 23 '!$B:$B,"*,"&amp;$A9&amp;",*"))/SUMIFS('AEO 2026 Table 23 '!N:N,'AEO 2026 Table 23 '!$B:$B,"*,"&amp;$A9&amp;",*"),"")</f>
        <v/>
      </c>
      <c r="M9" t="str">
        <f>IFERROR((SUMIFS('AEO 2026 Table 23 '!P:P,'AEO 2026 Table 23 '!$B:$B,"*,"&amp;$A9&amp;",*")-SUMIFS('AEO 2026 Table 23 '!O:O,'AEO 2026 Table 23 '!$B:$B,"*,"&amp;$A9&amp;",*"))/SUMIFS('AEO 2026 Table 23 '!O:O,'AEO 2026 Table 23 '!$B:$B,"*,"&amp;$A9&amp;",*"),"")</f>
        <v/>
      </c>
      <c r="N9" t="str">
        <f>IFERROR((SUMIFS('AEO 2026 Table 23 '!Q:Q,'AEO 2026 Table 23 '!$B:$B,"*,"&amp;$A9&amp;",*")-SUMIFS('AEO 2026 Table 23 '!P:P,'AEO 2026 Table 23 '!$B:$B,"*,"&amp;$A9&amp;",*"))/SUMIFS('AEO 2026 Table 23 '!P:P,'AEO 2026 Table 23 '!$B:$B,"*,"&amp;$A9&amp;",*"),"")</f>
        <v/>
      </c>
      <c r="O9" t="str">
        <f>IFERROR((SUMIFS('AEO 2026 Table 23 '!R:R,'AEO 2026 Table 23 '!$B:$B,"*,"&amp;$A9&amp;",*")-SUMIFS('AEO 2026 Table 23 '!Q:Q,'AEO 2026 Table 23 '!$B:$B,"*,"&amp;$A9&amp;",*"))/SUMIFS('AEO 2026 Table 23 '!Q:Q,'AEO 2026 Table 23 '!$B:$B,"*,"&amp;$A9&amp;",*"),"")</f>
        <v/>
      </c>
      <c r="P9" t="str">
        <f>IFERROR((SUMIFS('AEO 2026 Table 23 '!S:S,'AEO 2026 Table 23 '!$B:$B,"*,"&amp;$A9&amp;",*")-SUMIFS('AEO 2026 Table 23 '!R:R,'AEO 2026 Table 23 '!$B:$B,"*,"&amp;$A9&amp;",*"))/SUMIFS('AEO 2026 Table 23 '!R:R,'AEO 2026 Table 23 '!$B:$B,"*,"&amp;$A9&amp;",*"),"")</f>
        <v/>
      </c>
      <c r="Q9" t="str">
        <f>IFERROR((SUMIFS('AEO 2026 Table 23 '!T:T,'AEO 2026 Table 23 '!$B:$B,"*,"&amp;$A9&amp;",*")-SUMIFS('AEO 2026 Table 23 '!S:S,'AEO 2026 Table 23 '!$B:$B,"*,"&amp;$A9&amp;",*"))/SUMIFS('AEO 2026 Table 23 '!S:S,'AEO 2026 Table 23 '!$B:$B,"*,"&amp;$A9&amp;",*"),"")</f>
        <v/>
      </c>
      <c r="R9" t="str">
        <f>IFERROR((SUMIFS('AEO 2026 Table 23 '!U:U,'AEO 2026 Table 23 '!$B:$B,"*,"&amp;$A9&amp;",*")-SUMIFS('AEO 2026 Table 23 '!T:T,'AEO 2026 Table 23 '!$B:$B,"*,"&amp;$A9&amp;",*"))/SUMIFS('AEO 2026 Table 23 '!T:T,'AEO 2026 Table 23 '!$B:$B,"*,"&amp;$A9&amp;",*"),"")</f>
        <v/>
      </c>
      <c r="S9" t="str">
        <f>IFERROR((SUMIFS('AEO 2026 Table 23 '!V:V,'AEO 2026 Table 23 '!$B:$B,"*,"&amp;$A9&amp;",*")-SUMIFS('AEO 2026 Table 23 '!U:U,'AEO 2026 Table 23 '!$B:$B,"*,"&amp;$A9&amp;",*"))/SUMIFS('AEO 2026 Table 23 '!U:U,'AEO 2026 Table 23 '!$B:$B,"*,"&amp;$A9&amp;",*"),"")</f>
        <v/>
      </c>
      <c r="T9" t="str">
        <f>IFERROR((SUMIFS('AEO 2026 Table 23 '!W:W,'AEO 2026 Table 23 '!$B:$B,"*,"&amp;$A9&amp;",*")-SUMIFS('AEO 2026 Table 23 '!V:V,'AEO 2026 Table 23 '!$B:$B,"*,"&amp;$A9&amp;",*"))/SUMIFS('AEO 2026 Table 23 '!V:V,'AEO 2026 Table 23 '!$B:$B,"*,"&amp;$A9&amp;",*"),"")</f>
        <v/>
      </c>
      <c r="U9" t="str">
        <f>IFERROR((SUMIFS('AEO 2026 Table 23 '!X:X,'AEO 2026 Table 23 '!$B:$B,"*,"&amp;$A9&amp;",*")-SUMIFS('AEO 2026 Table 23 '!W:W,'AEO 2026 Table 23 '!$B:$B,"*,"&amp;$A9&amp;",*"))/SUMIFS('AEO 2026 Table 23 '!W:W,'AEO 2026 Table 23 '!$B:$B,"*,"&amp;$A9&amp;",*"),"")</f>
        <v/>
      </c>
      <c r="V9" t="str">
        <f>IFERROR((SUMIFS('AEO 2026 Table 23 '!Y:Y,'AEO 2026 Table 23 '!$B:$B,"*,"&amp;$A9&amp;",*")-SUMIFS('AEO 2026 Table 23 '!X:X,'AEO 2026 Table 23 '!$B:$B,"*,"&amp;$A9&amp;",*"))/SUMIFS('AEO 2026 Table 23 '!X:X,'AEO 2026 Table 23 '!$B:$B,"*,"&amp;$A9&amp;",*"),"")</f>
        <v/>
      </c>
      <c r="W9" t="str">
        <f>IFERROR((SUMIFS('AEO 2026 Table 23 '!Z:Z,'AEO 2026 Table 23 '!$B:$B,"*,"&amp;$A9&amp;",*")-SUMIFS('AEO 2026 Table 23 '!Y:Y,'AEO 2026 Table 23 '!$B:$B,"*,"&amp;$A9&amp;",*"))/SUMIFS('AEO 2026 Table 23 '!Y:Y,'AEO 2026 Table 23 '!$B:$B,"*,"&amp;$A9&amp;",*"),"")</f>
        <v/>
      </c>
      <c r="X9" t="str">
        <f>IFERROR((SUMIFS('AEO 2026 Table 23 '!AA:AA,'AEO 2026 Table 23 '!$B:$B,"*,"&amp;$A9&amp;",*")-SUMIFS('AEO 2026 Table 23 '!Z:Z,'AEO 2026 Table 23 '!$B:$B,"*,"&amp;$A9&amp;",*"))/SUMIFS('AEO 2026 Table 23 '!Z:Z,'AEO 2026 Table 23 '!$B:$B,"*,"&amp;$A9&amp;",*"),"")</f>
        <v/>
      </c>
      <c r="Y9" t="str">
        <f>IFERROR((SUMIFS('AEO 2026 Table 23 '!AB:AB,'AEO 2026 Table 23 '!$B:$B,"*,"&amp;$A9&amp;",*")-SUMIFS('AEO 2026 Table 23 '!AA:AA,'AEO 2026 Table 23 '!$B:$B,"*,"&amp;$A9&amp;",*"))/SUMIFS('AEO 2026 Table 23 '!AA:AA,'AEO 2026 Table 23 '!$B:$B,"*,"&amp;$A9&amp;",*"),"")</f>
        <v/>
      </c>
      <c r="Z9" t="str">
        <f>IFERROR((SUMIFS('AEO 2026 Table 23 '!AC:AC,'AEO 2026 Table 23 '!$B:$B,"*,"&amp;$A9&amp;",*")-SUMIFS('AEO 2026 Table 23 '!AB:AB,'AEO 2026 Table 23 '!$B:$B,"*,"&amp;$A9&amp;",*"))/SUMIFS('AEO 2026 Table 23 '!AB:AB,'AEO 2026 Table 23 '!$B:$B,"*,"&amp;$A9&amp;",*"),"")</f>
        <v/>
      </c>
      <c r="AA9" t="str">
        <f>IFERROR((SUMIFS('AEO 2026 Table 23 '!AD:AD,'AEO 2026 Table 23 '!$B:$B,"*,"&amp;$A9&amp;",*")-SUMIFS('AEO 2026 Table 23 '!AC:AC,'AEO 2026 Table 23 '!$B:$B,"*,"&amp;$A9&amp;",*"))/SUMIFS('AEO 2026 Table 23 '!AC:AC,'AEO 2026 Table 23 '!$B:$B,"*,"&amp;$A9&amp;",*"),"")</f>
        <v/>
      </c>
      <c r="AB9" t="str">
        <f>IFERROR((SUMIFS('AEO 2026 Table 23 '!AE:AE,'AEO 2026 Table 23 '!$B:$B,"*,"&amp;$A9&amp;",*")-SUMIFS('AEO 2026 Table 23 '!AD:AD,'AEO 2026 Table 23 '!$B:$B,"*,"&amp;$A9&amp;",*"))/SUMIFS('AEO 2026 Table 23 '!AD:AD,'AEO 2026 Table 23 '!$B:$B,"*,"&amp;$A9&amp;",*"),"")</f>
        <v/>
      </c>
      <c r="AC9" t="str">
        <f>IFERROR((SUMIFS('AEO 2026 Table 23 '!AF:AF,'AEO 2026 Table 23 '!$B:$B,"*,"&amp;$A9&amp;",*")-SUMIFS('AEO 2026 Table 23 '!AE:AE,'AEO 2026 Table 23 '!$B:$B,"*,"&amp;$A9&amp;",*"))/SUMIFS('AEO 2026 Table 23 '!AE:AE,'AEO 2026 Table 23 '!$B:$B,"*,"&amp;$A9&amp;",*"),"")</f>
        <v/>
      </c>
    </row>
    <row r="10" spans="1:29" x14ac:dyDescent="0.25">
      <c r="A10" t="s">
        <v>88</v>
      </c>
      <c r="B10">
        <f>IFERROR(SUMPRODUCT(--('BLS Table 2.11'!$L$1:$L$426=$A10),'BLS Table 2.11'!$J$1:$J$426,'BLS Table 2.11'!$K$1:$K$426)/SUMIFS('BLS Table 2.11'!$J$1:$J$426,'BLS Table 2.11'!$L$1:$L$426,$A10)/100,0)</f>
        <v>1.2E-2</v>
      </c>
      <c r="D10">
        <f>IFERROR((SUMIFS('AEO 2026 Table 23 '!G:G,'AEO 2026 Table 23 '!$B:$B,"*,"&amp;$A10&amp;",*")-SUMIFS('AEO25 Table 23'!H:H,'AEO25 Table 23'!$B:$B,"*,"&amp;$A10&amp;",*"))/SUMIFS('AEO25 Table 23'!H:H,'AEO25 Table 23'!$B:$B,"*,"&amp;$A10&amp;",*"),"")</f>
        <v>7.1210619379968615E-2</v>
      </c>
      <c r="E10">
        <f>IFERROR((SUMIFS('AEO 2026 Table 23 '!H:H,'AEO 2026 Table 23 '!$B:$B,"*,"&amp;$A10&amp;",*")-SUMIFS('AEO 2026 Table 23 '!G:G,'AEO 2026 Table 23 '!$B:$B,"*,"&amp;$A10&amp;",*"))/SUMIFS('AEO 2026 Table 23 '!G:G,'AEO 2026 Table 23 '!$B:$B,"*,"&amp;$A10&amp;",*"),"")</f>
        <v>9.1485608285695852E-2</v>
      </c>
      <c r="F10">
        <f>IFERROR((SUMIFS('AEO 2026 Table 23 '!I:I,'AEO 2026 Table 23 '!$B:$B,"*,"&amp;$A10&amp;",*")-SUMIFS('AEO 2026 Table 23 '!H:H,'AEO 2026 Table 23 '!$B:$B,"*,"&amp;$A10&amp;",*"))/SUMIFS('AEO 2026 Table 23 '!H:H,'AEO 2026 Table 23 '!$B:$B,"*,"&amp;$A10&amp;",*"),"")</f>
        <v>-7.0993907420503948E-3</v>
      </c>
      <c r="G10">
        <f>IFERROR((SUMIFS('AEO 2026 Table 23 '!J:J,'AEO 2026 Table 23 '!$B:$B,"*,"&amp;$A10&amp;",*")-SUMIFS('AEO 2026 Table 23 '!I:I,'AEO 2026 Table 23 '!$B:$B,"*,"&amp;$A10&amp;",*"))/SUMIFS('AEO 2026 Table 23 '!I:I,'AEO 2026 Table 23 '!$B:$B,"*,"&amp;$A10&amp;",*"),"")</f>
        <v>5.5548707441967927E-3</v>
      </c>
      <c r="H10">
        <f>IFERROR((SUMIFS('AEO 2026 Table 23 '!K:K,'AEO 2026 Table 23 '!$B:$B,"*,"&amp;$A10&amp;",*")-SUMIFS('AEO 2026 Table 23 '!J:J,'AEO 2026 Table 23 '!$B:$B,"*,"&amp;$A10&amp;",*"))/SUMIFS('AEO 2026 Table 23 '!J:J,'AEO 2026 Table 23 '!$B:$B,"*,"&amp;$A10&amp;",*"),"")</f>
        <v>5.9511703967789834E-3</v>
      </c>
      <c r="I10">
        <f>IFERROR((SUMIFS('AEO 2026 Table 23 '!L:L,'AEO 2026 Table 23 '!$B:$B,"*,"&amp;$A10&amp;",*")-SUMIFS('AEO 2026 Table 23 '!K:K,'AEO 2026 Table 23 '!$B:$B,"*,"&amp;$A10&amp;",*"))/SUMIFS('AEO 2026 Table 23 '!K:K,'AEO 2026 Table 23 '!$B:$B,"*,"&amp;$A10&amp;",*"),"")</f>
        <v>2.1573224384578597E-2</v>
      </c>
      <c r="J10">
        <f>IFERROR((SUMIFS('AEO 2026 Table 23 '!M:M,'AEO 2026 Table 23 '!$B:$B,"*,"&amp;$A10&amp;",*")-SUMIFS('AEO 2026 Table 23 '!L:L,'AEO 2026 Table 23 '!$B:$B,"*,"&amp;$A10&amp;",*"))/SUMIFS('AEO 2026 Table 23 '!L:L,'AEO 2026 Table 23 '!$B:$B,"*,"&amp;$A10&amp;",*"),"")</f>
        <v>1.6109320999214728E-2</v>
      </c>
      <c r="K10">
        <f>IFERROR((SUMIFS('AEO 2026 Table 23 '!N:N,'AEO 2026 Table 23 '!$B:$B,"*,"&amp;$A10&amp;",*")-SUMIFS('AEO 2026 Table 23 '!M:M,'AEO 2026 Table 23 '!$B:$B,"*,"&amp;$A10&amp;",*"))/SUMIFS('AEO 2026 Table 23 '!M:M,'AEO 2026 Table 23 '!$B:$B,"*,"&amp;$A10&amp;",*"),"")</f>
        <v>1.4839112543048894E-2</v>
      </c>
      <c r="L10">
        <f>IFERROR((SUMIFS('AEO 2026 Table 23 '!O:O,'AEO 2026 Table 23 '!$B:$B,"*,"&amp;$A10&amp;",*")-SUMIFS('AEO 2026 Table 23 '!N:N,'AEO 2026 Table 23 '!$B:$B,"*,"&amp;$A10&amp;",*"))/SUMIFS('AEO 2026 Table 23 '!N:N,'AEO 2026 Table 23 '!$B:$B,"*,"&amp;$A10&amp;",*"),"")</f>
        <v>1.0867988350010568E-2</v>
      </c>
      <c r="M10">
        <f>IFERROR((SUMIFS('AEO 2026 Table 23 '!P:P,'AEO 2026 Table 23 '!$B:$B,"*,"&amp;$A10&amp;",*")-SUMIFS('AEO 2026 Table 23 '!O:O,'AEO 2026 Table 23 '!$B:$B,"*,"&amp;$A10&amp;",*"))/SUMIFS('AEO 2026 Table 23 '!O:O,'AEO 2026 Table 23 '!$B:$B,"*,"&amp;$A10&amp;",*"),"")</f>
        <v>1.3336208967205965E-2</v>
      </c>
      <c r="N10">
        <f>IFERROR((SUMIFS('AEO 2026 Table 23 '!Q:Q,'AEO 2026 Table 23 '!$B:$B,"*,"&amp;$A10&amp;",*")-SUMIFS('AEO 2026 Table 23 '!P:P,'AEO 2026 Table 23 '!$B:$B,"*,"&amp;$A10&amp;",*"))/SUMIFS('AEO 2026 Table 23 '!P:P,'AEO 2026 Table 23 '!$B:$B,"*,"&amp;$A10&amp;",*"),"")</f>
        <v>3.635627550798287E-3</v>
      </c>
      <c r="O10">
        <f>IFERROR((SUMIFS('AEO 2026 Table 23 '!R:R,'AEO 2026 Table 23 '!$B:$B,"*,"&amp;$A10&amp;",*")-SUMIFS('AEO 2026 Table 23 '!Q:Q,'AEO 2026 Table 23 '!$B:$B,"*,"&amp;$A10&amp;",*"))/SUMIFS('AEO 2026 Table 23 '!Q:Q,'AEO 2026 Table 23 '!$B:$B,"*,"&amp;$A10&amp;",*"),"")</f>
        <v>4.3625166094370098E-3</v>
      </c>
      <c r="P10">
        <f>IFERROR((SUMIFS('AEO 2026 Table 23 '!S:S,'AEO 2026 Table 23 '!$B:$B,"*,"&amp;$A10&amp;",*")-SUMIFS('AEO 2026 Table 23 '!R:R,'AEO 2026 Table 23 '!$B:$B,"*,"&amp;$A10&amp;",*"))/SUMIFS('AEO 2026 Table 23 '!R:R,'AEO 2026 Table 23 '!$B:$B,"*,"&amp;$A10&amp;",*"),"")</f>
        <v>5.5360413090617495E-3</v>
      </c>
      <c r="Q10">
        <f>IFERROR((SUMIFS('AEO 2026 Table 23 '!T:T,'AEO 2026 Table 23 '!$B:$B,"*,"&amp;$A10&amp;",*")-SUMIFS('AEO 2026 Table 23 '!S:S,'AEO 2026 Table 23 '!$B:$B,"*,"&amp;$A10&amp;",*"))/SUMIFS('AEO 2026 Table 23 '!S:S,'AEO 2026 Table 23 '!$B:$B,"*,"&amp;$A10&amp;",*"),"")</f>
        <v>5.0714214789581427E-3</v>
      </c>
      <c r="R10">
        <f>IFERROR((SUMIFS('AEO 2026 Table 23 '!U:U,'AEO 2026 Table 23 '!$B:$B,"*,"&amp;$A10&amp;",*")-SUMIFS('AEO 2026 Table 23 '!T:T,'AEO 2026 Table 23 '!$B:$B,"*,"&amp;$A10&amp;",*"))/SUMIFS('AEO 2026 Table 23 '!T:T,'AEO 2026 Table 23 '!$B:$B,"*,"&amp;$A10&amp;",*"),"")</f>
        <v>6.490507410011179E-3</v>
      </c>
      <c r="S10">
        <f>IFERROR((SUMIFS('AEO 2026 Table 23 '!V:V,'AEO 2026 Table 23 '!$B:$B,"*,"&amp;$A10&amp;",*")-SUMIFS('AEO 2026 Table 23 '!U:U,'AEO 2026 Table 23 '!$B:$B,"*,"&amp;$A10&amp;",*"))/SUMIFS('AEO 2026 Table 23 '!U:U,'AEO 2026 Table 23 '!$B:$B,"*,"&amp;$A10&amp;",*"),"")</f>
        <v>1.1807222899426144E-2</v>
      </c>
      <c r="T10">
        <f>IFERROR((SUMIFS('AEO 2026 Table 23 '!W:W,'AEO 2026 Table 23 '!$B:$B,"*,"&amp;$A10&amp;",*")-SUMIFS('AEO 2026 Table 23 '!V:V,'AEO 2026 Table 23 '!$B:$B,"*,"&amp;$A10&amp;",*"))/SUMIFS('AEO 2026 Table 23 '!V:V,'AEO 2026 Table 23 '!$B:$B,"*,"&amp;$A10&amp;",*"),"")</f>
        <v>1.4138693735629397E-2</v>
      </c>
      <c r="U10">
        <f>IFERROR((SUMIFS('AEO 2026 Table 23 '!X:X,'AEO 2026 Table 23 '!$B:$B,"*,"&amp;$A10&amp;",*")-SUMIFS('AEO 2026 Table 23 '!W:W,'AEO 2026 Table 23 '!$B:$B,"*,"&amp;$A10&amp;",*"))/SUMIFS('AEO 2026 Table 23 '!W:W,'AEO 2026 Table 23 '!$B:$B,"*,"&amp;$A10&amp;",*"),"")</f>
        <v>7.8695027068229235E-3</v>
      </c>
      <c r="V10">
        <f>IFERROR((SUMIFS('AEO 2026 Table 23 '!Y:Y,'AEO 2026 Table 23 '!$B:$B,"*,"&amp;$A10&amp;",*")-SUMIFS('AEO 2026 Table 23 '!X:X,'AEO 2026 Table 23 '!$B:$B,"*,"&amp;$A10&amp;",*"))/SUMIFS('AEO 2026 Table 23 '!X:X,'AEO 2026 Table 23 '!$B:$B,"*,"&amp;$A10&amp;",*"),"")</f>
        <v>8.6050480547517853E-3</v>
      </c>
      <c r="W10">
        <f>IFERROR((SUMIFS('AEO 2026 Table 23 '!Z:Z,'AEO 2026 Table 23 '!$B:$B,"*,"&amp;$A10&amp;",*")-SUMIFS('AEO 2026 Table 23 '!Y:Y,'AEO 2026 Table 23 '!$B:$B,"*,"&amp;$A10&amp;",*"))/SUMIFS('AEO 2026 Table 23 '!Y:Y,'AEO 2026 Table 23 '!$B:$B,"*,"&amp;$A10&amp;",*"),"")</f>
        <v>5.0751542531941845E-3</v>
      </c>
      <c r="X10">
        <f>IFERROR((SUMIFS('AEO 2026 Table 23 '!AA:AA,'AEO 2026 Table 23 '!$B:$B,"*,"&amp;$A10&amp;",*")-SUMIFS('AEO 2026 Table 23 '!Z:Z,'AEO 2026 Table 23 '!$B:$B,"*,"&amp;$A10&amp;",*"))/SUMIFS('AEO 2026 Table 23 '!Z:Z,'AEO 2026 Table 23 '!$B:$B,"*,"&amp;$A10&amp;",*"),"")</f>
        <v>3.6314508985072508E-3</v>
      </c>
      <c r="Y10">
        <f>IFERROR((SUMIFS('AEO 2026 Table 23 '!AB:AB,'AEO 2026 Table 23 '!$B:$B,"*,"&amp;$A10&amp;",*")-SUMIFS('AEO 2026 Table 23 '!AA:AA,'AEO 2026 Table 23 '!$B:$B,"*,"&amp;$A10&amp;",*"))/SUMIFS('AEO 2026 Table 23 '!AA:AA,'AEO 2026 Table 23 '!$B:$B,"*,"&amp;$A10&amp;",*"),"")</f>
        <v>3.7320076133156074E-3</v>
      </c>
      <c r="Z10">
        <f>IFERROR((SUMIFS('AEO 2026 Table 23 '!AC:AC,'AEO 2026 Table 23 '!$B:$B,"*,"&amp;$A10&amp;",*")-SUMIFS('AEO 2026 Table 23 '!AB:AB,'AEO 2026 Table 23 '!$B:$B,"*,"&amp;$A10&amp;",*"))/SUMIFS('AEO 2026 Table 23 '!AB:AB,'AEO 2026 Table 23 '!$B:$B,"*,"&amp;$A10&amp;",*"),"")</f>
        <v>5.5185131598065205E-3</v>
      </c>
      <c r="AA10">
        <f>IFERROR((SUMIFS('AEO 2026 Table 23 '!AD:AD,'AEO 2026 Table 23 '!$B:$B,"*,"&amp;$A10&amp;",*")-SUMIFS('AEO 2026 Table 23 '!AC:AC,'AEO 2026 Table 23 '!$B:$B,"*,"&amp;$A10&amp;",*"))/SUMIFS('AEO 2026 Table 23 '!AC:AC,'AEO 2026 Table 23 '!$B:$B,"*,"&amp;$A10&amp;",*"),"")</f>
        <v>2.1673219962289911E-3</v>
      </c>
      <c r="AB10">
        <f>IFERROR((SUMIFS('AEO 2026 Table 23 '!AE:AE,'AEO 2026 Table 23 '!$B:$B,"*,"&amp;$A10&amp;",*")-SUMIFS('AEO 2026 Table 23 '!AD:AD,'AEO 2026 Table 23 '!$B:$B,"*,"&amp;$A10&amp;",*"))/SUMIFS('AEO 2026 Table 23 '!AD:AD,'AEO 2026 Table 23 '!$B:$B,"*,"&amp;$A10&amp;",*"),"")</f>
        <v>1.601512248964386E-5</v>
      </c>
      <c r="AC10">
        <f>IFERROR((SUMIFS('AEO 2026 Table 23 '!AF:AF,'AEO 2026 Table 23 '!$B:$B,"*,"&amp;$A10&amp;",*")-SUMIFS('AEO 2026 Table 23 '!AE:AE,'AEO 2026 Table 23 '!$B:$B,"*,"&amp;$A10&amp;",*"))/SUMIFS('AEO 2026 Table 23 '!AE:AE,'AEO 2026 Table 23 '!$B:$B,"*,"&amp;$A10&amp;",*"),"")</f>
        <v>-1.8375142190435721E-3</v>
      </c>
    </row>
    <row r="11" spans="1:29" x14ac:dyDescent="0.25">
      <c r="A11" t="s">
        <v>91</v>
      </c>
      <c r="B11">
        <f>IFERROR(SUMPRODUCT(--('BLS Table 2.11'!$L$1:$L$426=$A11),'BLS Table 2.11'!$J$1:$J$426,'BLS Table 2.11'!$K$1:$K$426)/SUMIFS('BLS Table 2.11'!$J$1:$J$426,'BLS Table 2.11'!$L$1:$L$426,$A11)/100,0)</f>
        <v>-5.0000000000000001E-3</v>
      </c>
      <c r="D11" t="str">
        <f>IFERROR((SUMIFS('AEO 2026 Table 23 '!G:G,'AEO 2026 Table 23 '!$B:$B,"*,"&amp;$A11&amp;",*")-SUMIFS('AEO25 Table 23'!H:H,'AEO25 Table 23'!$B:$B,"*,"&amp;$A11&amp;",*"))/SUMIFS('AEO25 Table 23'!H:H,'AEO25 Table 23'!$B:$B,"*,"&amp;$A11&amp;",*"),"")</f>
        <v/>
      </c>
      <c r="E11" t="str">
        <f>IFERROR((SUMIFS('AEO 2026 Table 23 '!H:H,'AEO 2026 Table 23 '!$B:$B,"*,"&amp;$A11&amp;",*")-SUMIFS('AEO 2026 Table 23 '!G:G,'AEO 2026 Table 23 '!$B:$B,"*,"&amp;$A11&amp;",*"))/SUMIFS('AEO 2026 Table 23 '!G:G,'AEO 2026 Table 23 '!$B:$B,"*,"&amp;$A11&amp;",*"),"")</f>
        <v/>
      </c>
      <c r="F11" t="str">
        <f>IFERROR((SUMIFS('AEO 2026 Table 23 '!I:I,'AEO 2026 Table 23 '!$B:$B,"*,"&amp;$A11&amp;",*")-SUMIFS('AEO 2026 Table 23 '!H:H,'AEO 2026 Table 23 '!$B:$B,"*,"&amp;$A11&amp;",*"))/SUMIFS('AEO 2026 Table 23 '!H:H,'AEO 2026 Table 23 '!$B:$B,"*,"&amp;$A11&amp;",*"),"")</f>
        <v/>
      </c>
      <c r="G11" t="str">
        <f>IFERROR((SUMIFS('AEO 2026 Table 23 '!J:J,'AEO 2026 Table 23 '!$B:$B,"*,"&amp;$A11&amp;",*")-SUMIFS('AEO 2026 Table 23 '!I:I,'AEO 2026 Table 23 '!$B:$B,"*,"&amp;$A11&amp;",*"))/SUMIFS('AEO 2026 Table 23 '!I:I,'AEO 2026 Table 23 '!$B:$B,"*,"&amp;$A11&amp;",*"),"")</f>
        <v/>
      </c>
      <c r="H11" t="str">
        <f>IFERROR((SUMIFS('AEO 2026 Table 23 '!K:K,'AEO 2026 Table 23 '!$B:$B,"*,"&amp;$A11&amp;",*")-SUMIFS('AEO 2026 Table 23 '!J:J,'AEO 2026 Table 23 '!$B:$B,"*,"&amp;$A11&amp;",*"))/SUMIFS('AEO 2026 Table 23 '!J:J,'AEO 2026 Table 23 '!$B:$B,"*,"&amp;$A11&amp;",*"),"")</f>
        <v/>
      </c>
      <c r="I11" t="str">
        <f>IFERROR((SUMIFS('AEO 2026 Table 23 '!L:L,'AEO 2026 Table 23 '!$B:$B,"*,"&amp;$A11&amp;",*")-SUMIFS('AEO 2026 Table 23 '!K:K,'AEO 2026 Table 23 '!$B:$B,"*,"&amp;$A11&amp;",*"))/SUMIFS('AEO 2026 Table 23 '!K:K,'AEO 2026 Table 23 '!$B:$B,"*,"&amp;$A11&amp;",*"),"")</f>
        <v/>
      </c>
      <c r="J11" t="str">
        <f>IFERROR((SUMIFS('AEO 2026 Table 23 '!M:M,'AEO 2026 Table 23 '!$B:$B,"*,"&amp;$A11&amp;",*")-SUMIFS('AEO 2026 Table 23 '!L:L,'AEO 2026 Table 23 '!$B:$B,"*,"&amp;$A11&amp;",*"))/SUMIFS('AEO 2026 Table 23 '!L:L,'AEO 2026 Table 23 '!$B:$B,"*,"&amp;$A11&amp;",*"),"")</f>
        <v/>
      </c>
      <c r="K11" t="str">
        <f>IFERROR((SUMIFS('AEO 2026 Table 23 '!N:N,'AEO 2026 Table 23 '!$B:$B,"*,"&amp;$A11&amp;",*")-SUMIFS('AEO 2026 Table 23 '!M:M,'AEO 2026 Table 23 '!$B:$B,"*,"&amp;$A11&amp;",*"))/SUMIFS('AEO 2026 Table 23 '!M:M,'AEO 2026 Table 23 '!$B:$B,"*,"&amp;$A11&amp;",*"),"")</f>
        <v/>
      </c>
      <c r="L11" t="str">
        <f>IFERROR((SUMIFS('AEO 2026 Table 23 '!O:O,'AEO 2026 Table 23 '!$B:$B,"*,"&amp;$A11&amp;",*")-SUMIFS('AEO 2026 Table 23 '!N:N,'AEO 2026 Table 23 '!$B:$B,"*,"&amp;$A11&amp;",*"))/SUMIFS('AEO 2026 Table 23 '!N:N,'AEO 2026 Table 23 '!$B:$B,"*,"&amp;$A11&amp;",*"),"")</f>
        <v/>
      </c>
      <c r="M11" t="str">
        <f>IFERROR((SUMIFS('AEO 2026 Table 23 '!P:P,'AEO 2026 Table 23 '!$B:$B,"*,"&amp;$A11&amp;",*")-SUMIFS('AEO 2026 Table 23 '!O:O,'AEO 2026 Table 23 '!$B:$B,"*,"&amp;$A11&amp;",*"))/SUMIFS('AEO 2026 Table 23 '!O:O,'AEO 2026 Table 23 '!$B:$B,"*,"&amp;$A11&amp;",*"),"")</f>
        <v/>
      </c>
      <c r="N11" t="str">
        <f>IFERROR((SUMIFS('AEO 2026 Table 23 '!Q:Q,'AEO 2026 Table 23 '!$B:$B,"*,"&amp;$A11&amp;",*")-SUMIFS('AEO 2026 Table 23 '!P:P,'AEO 2026 Table 23 '!$B:$B,"*,"&amp;$A11&amp;",*"))/SUMIFS('AEO 2026 Table 23 '!P:P,'AEO 2026 Table 23 '!$B:$B,"*,"&amp;$A11&amp;",*"),"")</f>
        <v/>
      </c>
      <c r="O11" t="str">
        <f>IFERROR((SUMIFS('AEO 2026 Table 23 '!R:R,'AEO 2026 Table 23 '!$B:$B,"*,"&amp;$A11&amp;",*")-SUMIFS('AEO 2026 Table 23 '!Q:Q,'AEO 2026 Table 23 '!$B:$B,"*,"&amp;$A11&amp;",*"))/SUMIFS('AEO 2026 Table 23 '!Q:Q,'AEO 2026 Table 23 '!$B:$B,"*,"&amp;$A11&amp;",*"),"")</f>
        <v/>
      </c>
      <c r="P11" t="str">
        <f>IFERROR((SUMIFS('AEO 2026 Table 23 '!S:S,'AEO 2026 Table 23 '!$B:$B,"*,"&amp;$A11&amp;",*")-SUMIFS('AEO 2026 Table 23 '!R:R,'AEO 2026 Table 23 '!$B:$B,"*,"&amp;$A11&amp;",*"))/SUMIFS('AEO 2026 Table 23 '!R:R,'AEO 2026 Table 23 '!$B:$B,"*,"&amp;$A11&amp;",*"),"")</f>
        <v/>
      </c>
      <c r="Q11" t="str">
        <f>IFERROR((SUMIFS('AEO 2026 Table 23 '!T:T,'AEO 2026 Table 23 '!$B:$B,"*,"&amp;$A11&amp;",*")-SUMIFS('AEO 2026 Table 23 '!S:S,'AEO 2026 Table 23 '!$B:$B,"*,"&amp;$A11&amp;",*"))/SUMIFS('AEO 2026 Table 23 '!S:S,'AEO 2026 Table 23 '!$B:$B,"*,"&amp;$A11&amp;",*"),"")</f>
        <v/>
      </c>
      <c r="R11" t="str">
        <f>IFERROR((SUMIFS('AEO 2026 Table 23 '!U:U,'AEO 2026 Table 23 '!$B:$B,"*,"&amp;$A11&amp;",*")-SUMIFS('AEO 2026 Table 23 '!T:T,'AEO 2026 Table 23 '!$B:$B,"*,"&amp;$A11&amp;",*"))/SUMIFS('AEO 2026 Table 23 '!T:T,'AEO 2026 Table 23 '!$B:$B,"*,"&amp;$A11&amp;",*"),"")</f>
        <v/>
      </c>
      <c r="S11" t="str">
        <f>IFERROR((SUMIFS('AEO 2026 Table 23 '!V:V,'AEO 2026 Table 23 '!$B:$B,"*,"&amp;$A11&amp;",*")-SUMIFS('AEO 2026 Table 23 '!U:U,'AEO 2026 Table 23 '!$B:$B,"*,"&amp;$A11&amp;",*"))/SUMIFS('AEO 2026 Table 23 '!U:U,'AEO 2026 Table 23 '!$B:$B,"*,"&amp;$A11&amp;",*"),"")</f>
        <v/>
      </c>
      <c r="T11" t="str">
        <f>IFERROR((SUMIFS('AEO 2026 Table 23 '!W:W,'AEO 2026 Table 23 '!$B:$B,"*,"&amp;$A11&amp;",*")-SUMIFS('AEO 2026 Table 23 '!V:V,'AEO 2026 Table 23 '!$B:$B,"*,"&amp;$A11&amp;",*"))/SUMIFS('AEO 2026 Table 23 '!V:V,'AEO 2026 Table 23 '!$B:$B,"*,"&amp;$A11&amp;",*"),"")</f>
        <v/>
      </c>
      <c r="U11" t="str">
        <f>IFERROR((SUMIFS('AEO 2026 Table 23 '!X:X,'AEO 2026 Table 23 '!$B:$B,"*,"&amp;$A11&amp;",*")-SUMIFS('AEO 2026 Table 23 '!W:W,'AEO 2026 Table 23 '!$B:$B,"*,"&amp;$A11&amp;",*"))/SUMIFS('AEO 2026 Table 23 '!W:W,'AEO 2026 Table 23 '!$B:$B,"*,"&amp;$A11&amp;",*"),"")</f>
        <v/>
      </c>
      <c r="V11" t="str">
        <f>IFERROR((SUMIFS('AEO 2026 Table 23 '!Y:Y,'AEO 2026 Table 23 '!$B:$B,"*,"&amp;$A11&amp;",*")-SUMIFS('AEO 2026 Table 23 '!X:X,'AEO 2026 Table 23 '!$B:$B,"*,"&amp;$A11&amp;",*"))/SUMIFS('AEO 2026 Table 23 '!X:X,'AEO 2026 Table 23 '!$B:$B,"*,"&amp;$A11&amp;",*"),"")</f>
        <v/>
      </c>
      <c r="W11" t="str">
        <f>IFERROR((SUMIFS('AEO 2026 Table 23 '!Z:Z,'AEO 2026 Table 23 '!$B:$B,"*,"&amp;$A11&amp;",*")-SUMIFS('AEO 2026 Table 23 '!Y:Y,'AEO 2026 Table 23 '!$B:$B,"*,"&amp;$A11&amp;",*"))/SUMIFS('AEO 2026 Table 23 '!Y:Y,'AEO 2026 Table 23 '!$B:$B,"*,"&amp;$A11&amp;",*"),"")</f>
        <v/>
      </c>
      <c r="X11" t="str">
        <f>IFERROR((SUMIFS('AEO 2026 Table 23 '!AA:AA,'AEO 2026 Table 23 '!$B:$B,"*,"&amp;$A11&amp;",*")-SUMIFS('AEO 2026 Table 23 '!Z:Z,'AEO 2026 Table 23 '!$B:$B,"*,"&amp;$A11&amp;",*"))/SUMIFS('AEO 2026 Table 23 '!Z:Z,'AEO 2026 Table 23 '!$B:$B,"*,"&amp;$A11&amp;",*"),"")</f>
        <v/>
      </c>
      <c r="Y11" t="str">
        <f>IFERROR((SUMIFS('AEO 2026 Table 23 '!AB:AB,'AEO 2026 Table 23 '!$B:$B,"*,"&amp;$A11&amp;",*")-SUMIFS('AEO 2026 Table 23 '!AA:AA,'AEO 2026 Table 23 '!$B:$B,"*,"&amp;$A11&amp;",*"))/SUMIFS('AEO 2026 Table 23 '!AA:AA,'AEO 2026 Table 23 '!$B:$B,"*,"&amp;$A11&amp;",*"),"")</f>
        <v/>
      </c>
      <c r="Z11" t="str">
        <f>IFERROR((SUMIFS('AEO 2026 Table 23 '!AC:AC,'AEO 2026 Table 23 '!$B:$B,"*,"&amp;$A11&amp;",*")-SUMIFS('AEO 2026 Table 23 '!AB:AB,'AEO 2026 Table 23 '!$B:$B,"*,"&amp;$A11&amp;",*"))/SUMIFS('AEO 2026 Table 23 '!AB:AB,'AEO 2026 Table 23 '!$B:$B,"*,"&amp;$A11&amp;",*"),"")</f>
        <v/>
      </c>
      <c r="AA11" t="str">
        <f>IFERROR((SUMIFS('AEO 2026 Table 23 '!AD:AD,'AEO 2026 Table 23 '!$B:$B,"*,"&amp;$A11&amp;",*")-SUMIFS('AEO 2026 Table 23 '!AC:AC,'AEO 2026 Table 23 '!$B:$B,"*,"&amp;$A11&amp;",*"))/SUMIFS('AEO 2026 Table 23 '!AC:AC,'AEO 2026 Table 23 '!$B:$B,"*,"&amp;$A11&amp;",*"),"")</f>
        <v/>
      </c>
      <c r="AB11" t="str">
        <f>IFERROR((SUMIFS('AEO 2026 Table 23 '!AE:AE,'AEO 2026 Table 23 '!$B:$B,"*,"&amp;$A11&amp;",*")-SUMIFS('AEO 2026 Table 23 '!AD:AD,'AEO 2026 Table 23 '!$B:$B,"*,"&amp;$A11&amp;",*"))/SUMIFS('AEO 2026 Table 23 '!AD:AD,'AEO 2026 Table 23 '!$B:$B,"*,"&amp;$A11&amp;",*"),"")</f>
        <v/>
      </c>
      <c r="AC11" t="str">
        <f>IFERROR((SUMIFS('AEO 2026 Table 23 '!AF:AF,'AEO 2026 Table 23 '!$B:$B,"*,"&amp;$A11&amp;",*")-SUMIFS('AEO 2026 Table 23 '!AE:AE,'AEO 2026 Table 23 '!$B:$B,"*,"&amp;$A11&amp;",*"))/SUMIFS('AEO 2026 Table 23 '!AE:AE,'AEO 2026 Table 23 '!$B:$B,"*,"&amp;$A11&amp;",*"),"")</f>
        <v/>
      </c>
    </row>
    <row r="12" spans="1:29" x14ac:dyDescent="0.25">
      <c r="A12" t="s">
        <v>174</v>
      </c>
      <c r="B12">
        <f>IFERROR(SUMPRODUCT(--('BLS Table 2.11'!$L$1:$L$426=$A12),'BLS Table 2.11'!$J$1:$J$426,'BLS Table 2.11'!$K$1:$K$426)/SUMIFS('BLS Table 2.11'!$J$1:$J$426,'BLS Table 2.11'!$L$1:$L$426,$A12)/100,0)</f>
        <v>1.7541273690829067E-2</v>
      </c>
      <c r="D12">
        <f>IFERROR((SUMIFS('AEO 2026 Table 23 '!G:G,'AEO 2026 Table 23 '!$B:$B,"*,"&amp;$A12&amp;",*")-SUMIFS('AEO25 Table 23'!H:H,'AEO25 Table 23'!$B:$B,"*,"&amp;$A12&amp;",*"))/SUMIFS('AEO25 Table 23'!H:H,'AEO25 Table 23'!$B:$B,"*,"&amp;$A12&amp;",*"),"")</f>
        <v>-5.7729872669432442E-2</v>
      </c>
      <c r="E12">
        <f>IFERROR((SUMIFS('AEO 2026 Table 23 '!H:H,'AEO 2026 Table 23 '!$B:$B,"*,"&amp;$A12&amp;",*")-SUMIFS('AEO 2026 Table 23 '!G:G,'AEO 2026 Table 23 '!$B:$B,"*,"&amp;$A12&amp;",*"))/SUMIFS('AEO 2026 Table 23 '!G:G,'AEO 2026 Table 23 '!$B:$B,"*,"&amp;$A12&amp;",*"),"")</f>
        <v>2.3084925389895744E-3</v>
      </c>
      <c r="F12">
        <f>IFERROR((SUMIFS('AEO 2026 Table 23 '!I:I,'AEO 2026 Table 23 '!$B:$B,"*,"&amp;$A12&amp;",*")-SUMIFS('AEO 2026 Table 23 '!H:H,'AEO 2026 Table 23 '!$B:$B,"*,"&amp;$A12&amp;",*"))/SUMIFS('AEO 2026 Table 23 '!H:H,'AEO 2026 Table 23 '!$B:$B,"*,"&amp;$A12&amp;",*"),"")</f>
        <v>8.6668536975894779E-3</v>
      </c>
      <c r="G12">
        <f>IFERROR((SUMIFS('AEO 2026 Table 23 '!J:J,'AEO 2026 Table 23 '!$B:$B,"*,"&amp;$A12&amp;",*")-SUMIFS('AEO 2026 Table 23 '!I:I,'AEO 2026 Table 23 '!$B:$B,"*,"&amp;$A12&amp;",*"))/SUMIFS('AEO 2026 Table 23 '!I:I,'AEO 2026 Table 23 '!$B:$B,"*,"&amp;$A12&amp;",*"),"")</f>
        <v>8.895905393281495E-3</v>
      </c>
      <c r="H12">
        <f>IFERROR((SUMIFS('AEO 2026 Table 23 '!K:K,'AEO 2026 Table 23 '!$B:$B,"*,"&amp;$A12&amp;",*")-SUMIFS('AEO 2026 Table 23 '!J:J,'AEO 2026 Table 23 '!$B:$B,"*,"&amp;$A12&amp;",*"))/SUMIFS('AEO 2026 Table 23 '!J:J,'AEO 2026 Table 23 '!$B:$B,"*,"&amp;$A12&amp;",*"),"")</f>
        <v>6.2431210570281486E-3</v>
      </c>
      <c r="I12">
        <f>IFERROR((SUMIFS('AEO 2026 Table 23 '!L:L,'AEO 2026 Table 23 '!$B:$B,"*,"&amp;$A12&amp;",*")-SUMIFS('AEO 2026 Table 23 '!K:K,'AEO 2026 Table 23 '!$B:$B,"*,"&amp;$A12&amp;",*"))/SUMIFS('AEO 2026 Table 23 '!K:K,'AEO 2026 Table 23 '!$B:$B,"*,"&amp;$A12&amp;",*"),"")</f>
        <v>8.2994653578576105E-3</v>
      </c>
      <c r="J12">
        <f>IFERROR((SUMIFS('AEO 2026 Table 23 '!M:M,'AEO 2026 Table 23 '!$B:$B,"*,"&amp;$A12&amp;",*")-SUMIFS('AEO 2026 Table 23 '!L:L,'AEO 2026 Table 23 '!$B:$B,"*,"&amp;$A12&amp;",*"))/SUMIFS('AEO 2026 Table 23 '!L:L,'AEO 2026 Table 23 '!$B:$B,"*,"&amp;$A12&amp;",*"),"")</f>
        <v>8.8544070298389645E-3</v>
      </c>
      <c r="K12">
        <f>IFERROR((SUMIFS('AEO 2026 Table 23 '!N:N,'AEO 2026 Table 23 '!$B:$B,"*,"&amp;$A12&amp;",*")-SUMIFS('AEO 2026 Table 23 '!M:M,'AEO 2026 Table 23 '!$B:$B,"*,"&amp;$A12&amp;",*"))/SUMIFS('AEO 2026 Table 23 '!M:M,'AEO 2026 Table 23 '!$B:$B,"*,"&amp;$A12&amp;",*"),"")</f>
        <v>8.5623904163661772E-3</v>
      </c>
      <c r="L12">
        <f>IFERROR((SUMIFS('AEO 2026 Table 23 '!O:O,'AEO 2026 Table 23 '!$B:$B,"*,"&amp;$A12&amp;",*")-SUMIFS('AEO 2026 Table 23 '!N:N,'AEO 2026 Table 23 '!$B:$B,"*,"&amp;$A12&amp;",*"))/SUMIFS('AEO 2026 Table 23 '!N:N,'AEO 2026 Table 23 '!$B:$B,"*,"&amp;$A12&amp;",*"),"")</f>
        <v>8.6305305300598441E-3</v>
      </c>
      <c r="M12">
        <f>IFERROR((SUMIFS('AEO 2026 Table 23 '!P:P,'AEO 2026 Table 23 '!$B:$B,"*,"&amp;$A12&amp;",*")-SUMIFS('AEO 2026 Table 23 '!O:O,'AEO 2026 Table 23 '!$B:$B,"*,"&amp;$A12&amp;",*"))/SUMIFS('AEO 2026 Table 23 '!O:O,'AEO 2026 Table 23 '!$B:$B,"*,"&amp;$A12&amp;",*"),"")</f>
        <v>8.8124025739757458E-3</v>
      </c>
      <c r="N12">
        <f>IFERROR((SUMIFS('AEO 2026 Table 23 '!Q:Q,'AEO 2026 Table 23 '!$B:$B,"*,"&amp;$A12&amp;",*")-SUMIFS('AEO 2026 Table 23 '!P:P,'AEO 2026 Table 23 '!$B:$B,"*,"&amp;$A12&amp;",*"))/SUMIFS('AEO 2026 Table 23 '!P:P,'AEO 2026 Table 23 '!$B:$B,"*,"&amp;$A12&amp;",*"),"")</f>
        <v>8.3397468750246884E-3</v>
      </c>
      <c r="O12">
        <f>IFERROR((SUMIFS('AEO 2026 Table 23 '!R:R,'AEO 2026 Table 23 '!$B:$B,"*,"&amp;$A12&amp;",*")-SUMIFS('AEO 2026 Table 23 '!Q:Q,'AEO 2026 Table 23 '!$B:$B,"*,"&amp;$A12&amp;",*"))/SUMIFS('AEO 2026 Table 23 '!Q:Q,'AEO 2026 Table 23 '!$B:$B,"*,"&amp;$A12&amp;",*"),"")</f>
        <v>9.1512585221738517E-3</v>
      </c>
      <c r="P12">
        <f>IFERROR((SUMIFS('AEO 2026 Table 23 '!S:S,'AEO 2026 Table 23 '!$B:$B,"*,"&amp;$A12&amp;",*")-SUMIFS('AEO 2026 Table 23 '!R:R,'AEO 2026 Table 23 '!$B:$B,"*,"&amp;$A12&amp;",*"))/SUMIFS('AEO 2026 Table 23 '!R:R,'AEO 2026 Table 23 '!$B:$B,"*,"&amp;$A12&amp;",*"),"")</f>
        <v>8.9158346258822047E-3</v>
      </c>
      <c r="Q12">
        <f>IFERROR((SUMIFS('AEO 2026 Table 23 '!T:T,'AEO 2026 Table 23 '!$B:$B,"*,"&amp;$A12&amp;",*")-SUMIFS('AEO 2026 Table 23 '!S:S,'AEO 2026 Table 23 '!$B:$B,"*,"&amp;$A12&amp;",*"))/SUMIFS('AEO 2026 Table 23 '!S:S,'AEO 2026 Table 23 '!$B:$B,"*,"&amp;$A12&amp;",*"),"")</f>
        <v>9.0395674055599434E-3</v>
      </c>
      <c r="R12">
        <f>IFERROR((SUMIFS('AEO 2026 Table 23 '!U:U,'AEO 2026 Table 23 '!$B:$B,"*,"&amp;$A12&amp;",*")-SUMIFS('AEO 2026 Table 23 '!T:T,'AEO 2026 Table 23 '!$B:$B,"*,"&amp;$A12&amp;",*"))/SUMIFS('AEO 2026 Table 23 '!T:T,'AEO 2026 Table 23 '!$B:$B,"*,"&amp;$A12&amp;",*"),"")</f>
        <v>8.9126869878666404E-3</v>
      </c>
      <c r="S12">
        <f>IFERROR((SUMIFS('AEO 2026 Table 23 '!V:V,'AEO 2026 Table 23 '!$B:$B,"*,"&amp;$A12&amp;",*")-SUMIFS('AEO 2026 Table 23 '!U:U,'AEO 2026 Table 23 '!$B:$B,"*,"&amp;$A12&amp;",*"))/SUMIFS('AEO 2026 Table 23 '!U:U,'AEO 2026 Table 23 '!$B:$B,"*,"&amp;$A12&amp;",*"),"")</f>
        <v>8.2219736659823149E-3</v>
      </c>
      <c r="T12">
        <f>IFERROR((SUMIFS('AEO 2026 Table 23 '!W:W,'AEO 2026 Table 23 '!$B:$B,"*,"&amp;$A12&amp;",*")-SUMIFS('AEO 2026 Table 23 '!V:V,'AEO 2026 Table 23 '!$B:$B,"*,"&amp;$A12&amp;",*"))/SUMIFS('AEO 2026 Table 23 '!V:V,'AEO 2026 Table 23 '!$B:$B,"*,"&amp;$A12&amp;",*"),"")</f>
        <v>8.1518849867408989E-3</v>
      </c>
      <c r="U12">
        <f>IFERROR((SUMIFS('AEO 2026 Table 23 '!X:X,'AEO 2026 Table 23 '!$B:$B,"*,"&amp;$A12&amp;",*")-SUMIFS('AEO 2026 Table 23 '!W:W,'AEO 2026 Table 23 '!$B:$B,"*,"&amp;$A12&amp;",*"))/SUMIFS('AEO 2026 Table 23 '!W:W,'AEO 2026 Table 23 '!$B:$B,"*,"&amp;$A12&amp;",*"),"")</f>
        <v>8.0671144690563253E-3</v>
      </c>
      <c r="V12">
        <f>IFERROR((SUMIFS('AEO 2026 Table 23 '!Y:Y,'AEO 2026 Table 23 '!$B:$B,"*,"&amp;$A12&amp;",*")-SUMIFS('AEO 2026 Table 23 '!X:X,'AEO 2026 Table 23 '!$B:$B,"*,"&amp;$A12&amp;",*"))/SUMIFS('AEO 2026 Table 23 '!X:X,'AEO 2026 Table 23 '!$B:$B,"*,"&amp;$A12&amp;",*"),"")</f>
        <v>7.6174180419561087E-3</v>
      </c>
      <c r="W12">
        <f>IFERROR((SUMIFS('AEO 2026 Table 23 '!Z:Z,'AEO 2026 Table 23 '!$B:$B,"*,"&amp;$A12&amp;",*")-SUMIFS('AEO 2026 Table 23 '!Y:Y,'AEO 2026 Table 23 '!$B:$B,"*,"&amp;$A12&amp;",*"))/SUMIFS('AEO 2026 Table 23 '!Y:Y,'AEO 2026 Table 23 '!$B:$B,"*,"&amp;$A12&amp;",*"),"")</f>
        <v>7.5910007208408424E-3</v>
      </c>
      <c r="X12">
        <f>IFERROR((SUMIFS('AEO 2026 Table 23 '!AA:AA,'AEO 2026 Table 23 '!$B:$B,"*,"&amp;$A12&amp;",*")-SUMIFS('AEO 2026 Table 23 '!Z:Z,'AEO 2026 Table 23 '!$B:$B,"*,"&amp;$A12&amp;",*"))/SUMIFS('AEO 2026 Table 23 '!Z:Z,'AEO 2026 Table 23 '!$B:$B,"*,"&amp;$A12&amp;",*"),"")</f>
        <v>6.9485012197958293E-3</v>
      </c>
      <c r="Y12">
        <f>IFERROR((SUMIFS('AEO 2026 Table 23 '!AB:AB,'AEO 2026 Table 23 '!$B:$B,"*,"&amp;$A12&amp;",*")-SUMIFS('AEO 2026 Table 23 '!AA:AA,'AEO 2026 Table 23 '!$B:$B,"*,"&amp;$A12&amp;",*"))/SUMIFS('AEO 2026 Table 23 '!AA:AA,'AEO 2026 Table 23 '!$B:$B,"*,"&amp;$A12&amp;",*"),"")</f>
        <v>7.1654398456569134E-3</v>
      </c>
      <c r="Z12">
        <f>IFERROR((SUMIFS('AEO 2026 Table 23 '!AC:AC,'AEO 2026 Table 23 '!$B:$B,"*,"&amp;$A12&amp;",*")-SUMIFS('AEO 2026 Table 23 '!AB:AB,'AEO 2026 Table 23 '!$B:$B,"*,"&amp;$A12&amp;",*"))/SUMIFS('AEO 2026 Table 23 '!AB:AB,'AEO 2026 Table 23 '!$B:$B,"*,"&amp;$A12&amp;",*"),"")</f>
        <v>6.9713486623400201E-3</v>
      </c>
      <c r="AA12">
        <f>IFERROR((SUMIFS('AEO 2026 Table 23 '!AD:AD,'AEO 2026 Table 23 '!$B:$B,"*,"&amp;$A12&amp;",*")-SUMIFS('AEO 2026 Table 23 '!AC:AC,'AEO 2026 Table 23 '!$B:$B,"*,"&amp;$A12&amp;",*"))/SUMIFS('AEO 2026 Table 23 '!AC:AC,'AEO 2026 Table 23 '!$B:$B,"*,"&amp;$A12&amp;",*"),"")</f>
        <v>6.9198623364609326E-3</v>
      </c>
      <c r="AB12">
        <f>IFERROR((SUMIFS('AEO 2026 Table 23 '!AE:AE,'AEO 2026 Table 23 '!$B:$B,"*,"&amp;$A12&amp;",*")-SUMIFS('AEO 2026 Table 23 '!AD:AD,'AEO 2026 Table 23 '!$B:$B,"*,"&amp;$A12&amp;",*"))/SUMIFS('AEO 2026 Table 23 '!AD:AD,'AEO 2026 Table 23 '!$B:$B,"*,"&amp;$A12&amp;",*"),"")</f>
        <v>7.1706668477333618E-3</v>
      </c>
      <c r="AC12">
        <f>IFERROR((SUMIFS('AEO 2026 Table 23 '!AF:AF,'AEO 2026 Table 23 '!$B:$B,"*,"&amp;$A12&amp;",*")-SUMIFS('AEO 2026 Table 23 '!AE:AE,'AEO 2026 Table 23 '!$B:$B,"*,"&amp;$A12&amp;",*"))/SUMIFS('AEO 2026 Table 23 '!AE:AE,'AEO 2026 Table 23 '!$B:$B,"*,"&amp;$A12&amp;",*"),"")</f>
        <v>6.5544717745132219E-3</v>
      </c>
    </row>
    <row r="13" spans="1:29" x14ac:dyDescent="0.25">
      <c r="A13" t="s">
        <v>201</v>
      </c>
      <c r="B13">
        <f>IFERROR(SUMPRODUCT(--('BLS Table 2.11'!$L$1:$L$426=$A13),'BLS Table 2.11'!$J$1:$J$426,'BLS Table 2.11'!$K$1:$K$426)/SUMIFS('BLS Table 2.11'!$J$1:$J$426,'BLS Table 2.11'!$L$1:$L$426,$A13)/100,0)</f>
        <v>3.1918429003021148E-3</v>
      </c>
      <c r="D13">
        <f>IFERROR((SUMIFS('AEO 2026 Table 23 '!G:G,'AEO 2026 Table 23 '!$B:$B,"*,"&amp;$A13&amp;",*")-SUMIFS('AEO25 Table 23'!H:H,'AEO25 Table 23'!$B:$B,"*,"&amp;$A13&amp;",*"))/SUMIFS('AEO25 Table 23'!H:H,'AEO25 Table 23'!$B:$B,"*,"&amp;$A13&amp;",*"),"")</f>
        <v>-0.11327023120960888</v>
      </c>
      <c r="E13">
        <f>IFERROR((SUMIFS('AEO 2026 Table 23 '!H:H,'AEO 2026 Table 23 '!$B:$B,"*,"&amp;$A13&amp;",*")-SUMIFS('AEO 2026 Table 23 '!G:G,'AEO 2026 Table 23 '!$B:$B,"*,"&amp;$A13&amp;",*"))/SUMIFS('AEO 2026 Table 23 '!G:G,'AEO 2026 Table 23 '!$B:$B,"*,"&amp;$A13&amp;",*"),"")</f>
        <v>1.2654387821285499E-2</v>
      </c>
      <c r="F13">
        <f>IFERROR((SUMIFS('AEO 2026 Table 23 '!I:I,'AEO 2026 Table 23 '!$B:$B,"*,"&amp;$A13&amp;",*")-SUMIFS('AEO 2026 Table 23 '!H:H,'AEO 2026 Table 23 '!$B:$B,"*,"&amp;$A13&amp;",*"))/SUMIFS('AEO 2026 Table 23 '!H:H,'AEO 2026 Table 23 '!$B:$B,"*,"&amp;$A13&amp;",*"),"")</f>
        <v>1.3735723311174427E-2</v>
      </c>
      <c r="G13">
        <f>IFERROR((SUMIFS('AEO 2026 Table 23 '!J:J,'AEO 2026 Table 23 '!$B:$B,"*,"&amp;$A13&amp;",*")-SUMIFS('AEO 2026 Table 23 '!I:I,'AEO 2026 Table 23 '!$B:$B,"*,"&amp;$A13&amp;",*"))/SUMIFS('AEO 2026 Table 23 '!I:I,'AEO 2026 Table 23 '!$B:$B,"*,"&amp;$A13&amp;",*"),"")</f>
        <v>-2.8978791575699502E-2</v>
      </c>
      <c r="H13">
        <f>IFERROR((SUMIFS('AEO 2026 Table 23 '!K:K,'AEO 2026 Table 23 '!$B:$B,"*,"&amp;$A13&amp;",*")-SUMIFS('AEO 2026 Table 23 '!J:J,'AEO 2026 Table 23 '!$B:$B,"*,"&amp;$A13&amp;",*"))/SUMIFS('AEO 2026 Table 23 '!J:J,'AEO 2026 Table 23 '!$B:$B,"*,"&amp;$A13&amp;",*"),"")</f>
        <v>-3.7839861235331416E-2</v>
      </c>
      <c r="I13">
        <f>IFERROR((SUMIFS('AEO 2026 Table 23 '!L:L,'AEO 2026 Table 23 '!$B:$B,"*,"&amp;$A13&amp;",*")-SUMIFS('AEO 2026 Table 23 '!K:K,'AEO 2026 Table 23 '!$B:$B,"*,"&amp;$A13&amp;",*"))/SUMIFS('AEO 2026 Table 23 '!K:K,'AEO 2026 Table 23 '!$B:$B,"*,"&amp;$A13&amp;",*"),"")</f>
        <v>-1.7721610152687448E-2</v>
      </c>
      <c r="J13">
        <f>IFERROR((SUMIFS('AEO 2026 Table 23 '!M:M,'AEO 2026 Table 23 '!$B:$B,"*,"&amp;$A13&amp;",*")-SUMIFS('AEO 2026 Table 23 '!L:L,'AEO 2026 Table 23 '!$B:$B,"*,"&amp;$A13&amp;",*"))/SUMIFS('AEO 2026 Table 23 '!L:L,'AEO 2026 Table 23 '!$B:$B,"*,"&amp;$A13&amp;",*"),"")</f>
        <v>-5.5535893277420126E-3</v>
      </c>
      <c r="K13">
        <f>IFERROR((SUMIFS('AEO 2026 Table 23 '!N:N,'AEO 2026 Table 23 '!$B:$B,"*,"&amp;$A13&amp;",*")-SUMIFS('AEO 2026 Table 23 '!M:M,'AEO 2026 Table 23 '!$B:$B,"*,"&amp;$A13&amp;",*"))/SUMIFS('AEO 2026 Table 23 '!M:M,'AEO 2026 Table 23 '!$B:$B,"*,"&amp;$A13&amp;",*"),"")</f>
        <v>-2.8541013618708145E-3</v>
      </c>
      <c r="L13">
        <f>IFERROR((SUMIFS('AEO 2026 Table 23 '!O:O,'AEO 2026 Table 23 '!$B:$B,"*,"&amp;$A13&amp;",*")-SUMIFS('AEO 2026 Table 23 '!N:N,'AEO 2026 Table 23 '!$B:$B,"*,"&amp;$A13&amp;",*"))/SUMIFS('AEO 2026 Table 23 '!N:N,'AEO 2026 Table 23 '!$B:$B,"*,"&amp;$A13&amp;",*"),"")</f>
        <v>2.6110775606644635E-3</v>
      </c>
      <c r="M13">
        <f>IFERROR((SUMIFS('AEO 2026 Table 23 '!P:P,'AEO 2026 Table 23 '!$B:$B,"*,"&amp;$A13&amp;",*")-SUMIFS('AEO 2026 Table 23 '!O:O,'AEO 2026 Table 23 '!$B:$B,"*,"&amp;$A13&amp;",*"))/SUMIFS('AEO 2026 Table 23 '!O:O,'AEO 2026 Table 23 '!$B:$B,"*,"&amp;$A13&amp;",*"),"")</f>
        <v>7.1811112665338961E-3</v>
      </c>
      <c r="N13">
        <f>IFERROR((SUMIFS('AEO 2026 Table 23 '!Q:Q,'AEO 2026 Table 23 '!$B:$B,"*,"&amp;$A13&amp;",*")-SUMIFS('AEO 2026 Table 23 '!P:P,'AEO 2026 Table 23 '!$B:$B,"*,"&amp;$A13&amp;",*"))/SUMIFS('AEO 2026 Table 23 '!P:P,'AEO 2026 Table 23 '!$B:$B,"*,"&amp;$A13&amp;",*"),"")</f>
        <v>4.3095939225521436E-3</v>
      </c>
      <c r="O13">
        <f>IFERROR((SUMIFS('AEO 2026 Table 23 '!R:R,'AEO 2026 Table 23 '!$B:$B,"*,"&amp;$A13&amp;",*")-SUMIFS('AEO 2026 Table 23 '!Q:Q,'AEO 2026 Table 23 '!$B:$B,"*,"&amp;$A13&amp;",*"))/SUMIFS('AEO 2026 Table 23 '!Q:Q,'AEO 2026 Table 23 '!$B:$B,"*,"&amp;$A13&amp;",*"),"")</f>
        <v>-5.0828396051350012E-4</v>
      </c>
      <c r="P13">
        <f>IFERROR((SUMIFS('AEO 2026 Table 23 '!S:S,'AEO 2026 Table 23 '!$B:$B,"*,"&amp;$A13&amp;",*")-SUMIFS('AEO 2026 Table 23 '!R:R,'AEO 2026 Table 23 '!$B:$B,"*,"&amp;$A13&amp;",*"))/SUMIFS('AEO 2026 Table 23 '!R:R,'AEO 2026 Table 23 '!$B:$B,"*,"&amp;$A13&amp;",*"),"")</f>
        <v>1.2939081422887416E-3</v>
      </c>
      <c r="Q13">
        <f>IFERROR((SUMIFS('AEO 2026 Table 23 '!T:T,'AEO 2026 Table 23 '!$B:$B,"*,"&amp;$A13&amp;",*")-SUMIFS('AEO 2026 Table 23 '!S:S,'AEO 2026 Table 23 '!$B:$B,"*,"&amp;$A13&amp;",*"))/SUMIFS('AEO 2026 Table 23 '!S:S,'AEO 2026 Table 23 '!$B:$B,"*,"&amp;$A13&amp;",*"),"")</f>
        <v>1.9871252582326238E-3</v>
      </c>
      <c r="R13">
        <f>IFERROR((SUMIFS('AEO 2026 Table 23 '!U:U,'AEO 2026 Table 23 '!$B:$B,"*,"&amp;$A13&amp;",*")-SUMIFS('AEO 2026 Table 23 '!T:T,'AEO 2026 Table 23 '!$B:$B,"*,"&amp;$A13&amp;",*"))/SUMIFS('AEO 2026 Table 23 '!T:T,'AEO 2026 Table 23 '!$B:$B,"*,"&amp;$A13&amp;",*"),"")</f>
        <v>9.4922215564872351E-4</v>
      </c>
      <c r="S13">
        <f>IFERROR((SUMIFS('AEO 2026 Table 23 '!V:V,'AEO 2026 Table 23 '!$B:$B,"*,"&amp;$A13&amp;",*")-SUMIFS('AEO 2026 Table 23 '!U:U,'AEO 2026 Table 23 '!$B:$B,"*,"&amp;$A13&amp;",*"))/SUMIFS('AEO 2026 Table 23 '!U:U,'AEO 2026 Table 23 '!$B:$B,"*,"&amp;$A13&amp;",*"),"")</f>
        <v>3.876368628577711E-3</v>
      </c>
      <c r="T13">
        <f>IFERROR((SUMIFS('AEO 2026 Table 23 '!W:W,'AEO 2026 Table 23 '!$B:$B,"*,"&amp;$A13&amp;",*")-SUMIFS('AEO 2026 Table 23 '!V:V,'AEO 2026 Table 23 '!$B:$B,"*,"&amp;$A13&amp;",*"))/SUMIFS('AEO 2026 Table 23 '!V:V,'AEO 2026 Table 23 '!$B:$B,"*,"&amp;$A13&amp;",*"),"")</f>
        <v>3.6086342533489719E-3</v>
      </c>
      <c r="U13">
        <f>IFERROR((SUMIFS('AEO 2026 Table 23 '!X:X,'AEO 2026 Table 23 '!$B:$B,"*,"&amp;$A13&amp;",*")-SUMIFS('AEO 2026 Table 23 '!W:W,'AEO 2026 Table 23 '!$B:$B,"*,"&amp;$A13&amp;",*"))/SUMIFS('AEO 2026 Table 23 '!W:W,'AEO 2026 Table 23 '!$B:$B,"*,"&amp;$A13&amp;",*"),"")</f>
        <v>2.3781021607383874E-3</v>
      </c>
      <c r="V13">
        <f>IFERROR((SUMIFS('AEO 2026 Table 23 '!Y:Y,'AEO 2026 Table 23 '!$B:$B,"*,"&amp;$A13&amp;",*")-SUMIFS('AEO 2026 Table 23 '!X:X,'AEO 2026 Table 23 '!$B:$B,"*,"&amp;$A13&amp;",*"))/SUMIFS('AEO 2026 Table 23 '!X:X,'AEO 2026 Table 23 '!$B:$B,"*,"&amp;$A13&amp;",*"),"")</f>
        <v>2.2510324909582892E-3</v>
      </c>
      <c r="W13">
        <f>IFERROR((SUMIFS('AEO 2026 Table 23 '!Z:Z,'AEO 2026 Table 23 '!$B:$B,"*,"&amp;$A13&amp;",*")-SUMIFS('AEO 2026 Table 23 '!Y:Y,'AEO 2026 Table 23 '!$B:$B,"*,"&amp;$A13&amp;",*"))/SUMIFS('AEO 2026 Table 23 '!Y:Y,'AEO 2026 Table 23 '!$B:$B,"*,"&amp;$A13&amp;",*"),"")</f>
        <v>2.9899080939919951E-3</v>
      </c>
      <c r="X13">
        <f>IFERROR((SUMIFS('AEO 2026 Table 23 '!AA:AA,'AEO 2026 Table 23 '!$B:$B,"*,"&amp;$A13&amp;",*")-SUMIFS('AEO 2026 Table 23 '!Z:Z,'AEO 2026 Table 23 '!$B:$B,"*,"&amp;$A13&amp;",*"))/SUMIFS('AEO 2026 Table 23 '!Z:Z,'AEO 2026 Table 23 '!$B:$B,"*,"&amp;$A13&amp;",*"),"")</f>
        <v>3.7431770442513351E-3</v>
      </c>
      <c r="Y13">
        <f>IFERROR((SUMIFS('AEO 2026 Table 23 '!AB:AB,'AEO 2026 Table 23 '!$B:$B,"*,"&amp;$A13&amp;",*")-SUMIFS('AEO 2026 Table 23 '!AA:AA,'AEO 2026 Table 23 '!$B:$B,"*,"&amp;$A13&amp;",*"))/SUMIFS('AEO 2026 Table 23 '!AA:AA,'AEO 2026 Table 23 '!$B:$B,"*,"&amp;$A13&amp;",*"),"")</f>
        <v>1.8182871550452167E-3</v>
      </c>
      <c r="Z13">
        <f>IFERROR((SUMIFS('AEO 2026 Table 23 '!AC:AC,'AEO 2026 Table 23 '!$B:$B,"*,"&amp;$A13&amp;",*")-SUMIFS('AEO 2026 Table 23 '!AB:AB,'AEO 2026 Table 23 '!$B:$B,"*,"&amp;$A13&amp;",*"))/SUMIFS('AEO 2026 Table 23 '!AB:AB,'AEO 2026 Table 23 '!$B:$B,"*,"&amp;$A13&amp;",*"),"")</f>
        <v>-1.8549583248712398E-3</v>
      </c>
      <c r="AA13">
        <f>IFERROR((SUMIFS('AEO 2026 Table 23 '!AD:AD,'AEO 2026 Table 23 '!$B:$B,"*,"&amp;$A13&amp;",*")-SUMIFS('AEO 2026 Table 23 '!AC:AC,'AEO 2026 Table 23 '!$B:$B,"*,"&amp;$A13&amp;",*"))/SUMIFS('AEO 2026 Table 23 '!AC:AC,'AEO 2026 Table 23 '!$B:$B,"*,"&amp;$A13&amp;",*"),"")</f>
        <v>-4.8402017735736042E-3</v>
      </c>
      <c r="AB13">
        <f>IFERROR((SUMIFS('AEO 2026 Table 23 '!AE:AE,'AEO 2026 Table 23 '!$B:$B,"*,"&amp;$A13&amp;",*")-SUMIFS('AEO 2026 Table 23 '!AD:AD,'AEO 2026 Table 23 '!$B:$B,"*,"&amp;$A13&amp;",*"))/SUMIFS('AEO 2026 Table 23 '!AD:AD,'AEO 2026 Table 23 '!$B:$B,"*,"&amp;$A13&amp;",*"),"")</f>
        <v>-1.2979738378702281E-3</v>
      </c>
      <c r="AC13">
        <f>IFERROR((SUMIFS('AEO 2026 Table 23 '!AF:AF,'AEO 2026 Table 23 '!$B:$B,"*,"&amp;$A13&amp;",*")-SUMIFS('AEO 2026 Table 23 '!AE:AE,'AEO 2026 Table 23 '!$B:$B,"*,"&amp;$A13&amp;",*"))/SUMIFS('AEO 2026 Table 23 '!AE:AE,'AEO 2026 Table 23 '!$B:$B,"*,"&amp;$A13&amp;",*"),"")</f>
        <v>-9.7529928707283859E-4</v>
      </c>
    </row>
    <row r="14" spans="1:29" x14ac:dyDescent="0.25">
      <c r="A14" t="s">
        <v>210</v>
      </c>
      <c r="B14">
        <f>IFERROR(SUMPRODUCT(--('BLS Table 2.11'!$L$1:$L$426=$A14),'BLS Table 2.11'!$J$1:$J$426,'BLS Table 2.11'!$K$1:$K$426)/SUMIFS('BLS Table 2.11'!$J$1:$J$426,'BLS Table 2.11'!$L$1:$L$426,$A14)/100,0)</f>
        <v>1.7000000000000001E-2</v>
      </c>
      <c r="D14">
        <f>IFERROR((SUMIFS('AEO 2026 Table 23 '!G:G,'AEO 2026 Table 23 '!$B:$B,"*,"&amp;$A14&amp;",*")-SUMIFS('AEO25 Table 23'!H:H,'AEO25 Table 23'!$B:$B,"*,"&amp;$A14&amp;",*"))/SUMIFS('AEO25 Table 23'!H:H,'AEO25 Table 23'!$B:$B,"*,"&amp;$A14&amp;",*"),"")</f>
        <v>0.20646756047733122</v>
      </c>
      <c r="E14">
        <f>IFERROR((SUMIFS('AEO 2026 Table 23 '!H:H,'AEO 2026 Table 23 '!$B:$B,"*,"&amp;$A14&amp;",*")-SUMIFS('AEO 2026 Table 23 '!G:G,'AEO 2026 Table 23 '!$B:$B,"*,"&amp;$A14&amp;",*"))/SUMIFS('AEO 2026 Table 23 '!G:G,'AEO 2026 Table 23 '!$B:$B,"*,"&amp;$A14&amp;",*"),"")</f>
        <v>-0.16081253587386876</v>
      </c>
      <c r="F14">
        <f>IFERROR((SUMIFS('AEO 2026 Table 23 '!I:I,'AEO 2026 Table 23 '!$B:$B,"*,"&amp;$A14&amp;",*")-SUMIFS('AEO 2026 Table 23 '!H:H,'AEO 2026 Table 23 '!$B:$B,"*,"&amp;$A14&amp;",*"))/SUMIFS('AEO 2026 Table 23 '!H:H,'AEO 2026 Table 23 '!$B:$B,"*,"&amp;$A14&amp;",*"),"")</f>
        <v>-5.9926481842827915E-2</v>
      </c>
      <c r="G14">
        <f>IFERROR((SUMIFS('AEO 2026 Table 23 '!J:J,'AEO 2026 Table 23 '!$B:$B,"*,"&amp;$A14&amp;",*")-SUMIFS('AEO 2026 Table 23 '!I:I,'AEO 2026 Table 23 '!$B:$B,"*,"&amp;$A14&amp;",*"))/SUMIFS('AEO 2026 Table 23 '!I:I,'AEO 2026 Table 23 '!$B:$B,"*,"&amp;$A14&amp;",*"),"")</f>
        <v>4.8577552390751753E-2</v>
      </c>
      <c r="H14">
        <f>IFERROR((SUMIFS('AEO 2026 Table 23 '!K:K,'AEO 2026 Table 23 '!$B:$B,"*,"&amp;$A14&amp;",*")-SUMIFS('AEO 2026 Table 23 '!J:J,'AEO 2026 Table 23 '!$B:$B,"*,"&amp;$A14&amp;",*"))/SUMIFS('AEO 2026 Table 23 '!J:J,'AEO 2026 Table 23 '!$B:$B,"*,"&amp;$A14&amp;",*"),"")</f>
        <v>7.8415031909261301E-2</v>
      </c>
      <c r="I14">
        <f>IFERROR((SUMIFS('AEO 2026 Table 23 '!L:L,'AEO 2026 Table 23 '!$B:$B,"*,"&amp;$A14&amp;",*")-SUMIFS('AEO 2026 Table 23 '!K:K,'AEO 2026 Table 23 '!$B:$B,"*,"&amp;$A14&amp;",*"))/SUMIFS('AEO 2026 Table 23 '!K:K,'AEO 2026 Table 23 '!$B:$B,"*,"&amp;$A14&amp;",*"),"")</f>
        <v>1.0858482705549129E-2</v>
      </c>
      <c r="J14">
        <f>IFERROR((SUMIFS('AEO 2026 Table 23 '!M:M,'AEO 2026 Table 23 '!$B:$B,"*,"&amp;$A14&amp;",*")-SUMIFS('AEO 2026 Table 23 '!L:L,'AEO 2026 Table 23 '!$B:$B,"*,"&amp;$A14&amp;",*"))/SUMIFS('AEO 2026 Table 23 '!L:L,'AEO 2026 Table 23 '!$B:$B,"*,"&amp;$A14&amp;",*"),"")</f>
        <v>-2.5408865648140155E-2</v>
      </c>
      <c r="K14">
        <f>IFERROR((SUMIFS('AEO 2026 Table 23 '!N:N,'AEO 2026 Table 23 '!$B:$B,"*,"&amp;$A14&amp;",*")-SUMIFS('AEO 2026 Table 23 '!M:M,'AEO 2026 Table 23 '!$B:$B,"*,"&amp;$A14&amp;",*"))/SUMIFS('AEO 2026 Table 23 '!M:M,'AEO 2026 Table 23 '!$B:$B,"*,"&amp;$A14&amp;",*"),"")</f>
        <v>-3.0799743817374369E-3</v>
      </c>
      <c r="L14">
        <f>IFERROR((SUMIFS('AEO 2026 Table 23 '!O:O,'AEO 2026 Table 23 '!$B:$B,"*,"&amp;$A14&amp;",*")-SUMIFS('AEO 2026 Table 23 '!N:N,'AEO 2026 Table 23 '!$B:$B,"*,"&amp;$A14&amp;",*"))/SUMIFS('AEO 2026 Table 23 '!N:N,'AEO 2026 Table 23 '!$B:$B,"*,"&amp;$A14&amp;",*"),"")</f>
        <v>2.2848120700727528E-2</v>
      </c>
      <c r="M14">
        <f>IFERROR((SUMIFS('AEO 2026 Table 23 '!P:P,'AEO 2026 Table 23 '!$B:$B,"*,"&amp;$A14&amp;",*")-SUMIFS('AEO 2026 Table 23 '!O:O,'AEO 2026 Table 23 '!$B:$B,"*,"&amp;$A14&amp;",*"))/SUMIFS('AEO 2026 Table 23 '!O:O,'AEO 2026 Table 23 '!$B:$B,"*,"&amp;$A14&amp;",*"),"")</f>
        <v>3.8984983101808264E-2</v>
      </c>
      <c r="N14">
        <f>IFERROR((SUMIFS('AEO 2026 Table 23 '!Q:Q,'AEO 2026 Table 23 '!$B:$B,"*,"&amp;$A14&amp;",*")-SUMIFS('AEO 2026 Table 23 '!P:P,'AEO 2026 Table 23 '!$B:$B,"*,"&amp;$A14&amp;",*"))/SUMIFS('AEO 2026 Table 23 '!P:P,'AEO 2026 Table 23 '!$B:$B,"*,"&amp;$A14&amp;",*"),"")</f>
        <v>2.9219529050703422E-2</v>
      </c>
      <c r="O14">
        <f>IFERROR((SUMIFS('AEO 2026 Table 23 '!R:R,'AEO 2026 Table 23 '!$B:$B,"*,"&amp;$A14&amp;",*")-SUMIFS('AEO 2026 Table 23 '!Q:Q,'AEO 2026 Table 23 '!$B:$B,"*,"&amp;$A14&amp;",*"))/SUMIFS('AEO 2026 Table 23 '!Q:Q,'AEO 2026 Table 23 '!$B:$B,"*,"&amp;$A14&amp;",*"),"")</f>
        <v>2.9233758232177085E-2</v>
      </c>
      <c r="P14">
        <f>IFERROR((SUMIFS('AEO 2026 Table 23 '!S:S,'AEO 2026 Table 23 '!$B:$B,"*,"&amp;$A14&amp;",*")-SUMIFS('AEO 2026 Table 23 '!R:R,'AEO 2026 Table 23 '!$B:$B,"*,"&amp;$A14&amp;",*"))/SUMIFS('AEO 2026 Table 23 '!R:R,'AEO 2026 Table 23 '!$B:$B,"*,"&amp;$A14&amp;",*"),"")</f>
        <v>2.1060842040691512E-2</v>
      </c>
      <c r="Q14">
        <f>IFERROR((SUMIFS('AEO 2026 Table 23 '!T:T,'AEO 2026 Table 23 '!$B:$B,"*,"&amp;$A14&amp;",*")-SUMIFS('AEO 2026 Table 23 '!S:S,'AEO 2026 Table 23 '!$B:$B,"*,"&amp;$A14&amp;",*"))/SUMIFS('AEO 2026 Table 23 '!S:S,'AEO 2026 Table 23 '!$B:$B,"*,"&amp;$A14&amp;",*"),"")</f>
        <v>2.228663552233685E-2</v>
      </c>
      <c r="R14">
        <f>IFERROR((SUMIFS('AEO 2026 Table 23 '!U:U,'AEO 2026 Table 23 '!$B:$B,"*,"&amp;$A14&amp;",*")-SUMIFS('AEO 2026 Table 23 '!T:T,'AEO 2026 Table 23 '!$B:$B,"*,"&amp;$A14&amp;",*"))/SUMIFS('AEO 2026 Table 23 '!T:T,'AEO 2026 Table 23 '!$B:$B,"*,"&amp;$A14&amp;",*"),"")</f>
        <v>1.6015879083247499E-2</v>
      </c>
      <c r="S14">
        <f>IFERROR((SUMIFS('AEO 2026 Table 23 '!V:V,'AEO 2026 Table 23 '!$B:$B,"*,"&amp;$A14&amp;",*")-SUMIFS('AEO 2026 Table 23 '!U:U,'AEO 2026 Table 23 '!$B:$B,"*,"&amp;$A14&amp;",*"))/SUMIFS('AEO 2026 Table 23 '!U:U,'AEO 2026 Table 23 '!$B:$B,"*,"&amp;$A14&amp;",*"),"")</f>
        <v>5.1785345412433161E-3</v>
      </c>
      <c r="T14">
        <f>IFERROR((SUMIFS('AEO 2026 Table 23 '!W:W,'AEO 2026 Table 23 '!$B:$B,"*,"&amp;$A14&amp;",*")-SUMIFS('AEO 2026 Table 23 '!V:V,'AEO 2026 Table 23 '!$B:$B,"*,"&amp;$A14&amp;",*"))/SUMIFS('AEO 2026 Table 23 '!V:V,'AEO 2026 Table 23 '!$B:$B,"*,"&amp;$A14&amp;",*"),"")</f>
        <v>-1.8013354096578064E-2</v>
      </c>
      <c r="U14">
        <f>IFERROR((SUMIFS('AEO 2026 Table 23 '!X:X,'AEO 2026 Table 23 '!$B:$B,"*,"&amp;$A14&amp;",*")-SUMIFS('AEO 2026 Table 23 '!W:W,'AEO 2026 Table 23 '!$B:$B,"*,"&amp;$A14&amp;",*"))/SUMIFS('AEO 2026 Table 23 '!W:W,'AEO 2026 Table 23 '!$B:$B,"*,"&amp;$A14&amp;",*"),"")</f>
        <v>-1.0618322301797024E-2</v>
      </c>
      <c r="V14">
        <f>IFERROR((SUMIFS('AEO 2026 Table 23 '!Y:Y,'AEO 2026 Table 23 '!$B:$B,"*,"&amp;$A14&amp;",*")-SUMIFS('AEO 2026 Table 23 '!X:X,'AEO 2026 Table 23 '!$B:$B,"*,"&amp;$A14&amp;",*"))/SUMIFS('AEO 2026 Table 23 '!X:X,'AEO 2026 Table 23 '!$B:$B,"*,"&amp;$A14&amp;",*"),"")</f>
        <v>-1.9917091594533951E-2</v>
      </c>
      <c r="W14">
        <f>IFERROR((SUMIFS('AEO 2026 Table 23 '!Z:Z,'AEO 2026 Table 23 '!$B:$B,"*,"&amp;$A14&amp;",*")-SUMIFS('AEO 2026 Table 23 '!Y:Y,'AEO 2026 Table 23 '!$B:$B,"*,"&amp;$A14&amp;",*"))/SUMIFS('AEO 2026 Table 23 '!Y:Y,'AEO 2026 Table 23 '!$B:$B,"*,"&amp;$A14&amp;",*"),"")</f>
        <v>-1.3377491184493832E-2</v>
      </c>
      <c r="X14">
        <f>IFERROR((SUMIFS('AEO 2026 Table 23 '!AA:AA,'AEO 2026 Table 23 '!$B:$B,"*,"&amp;$A14&amp;",*")-SUMIFS('AEO 2026 Table 23 '!Z:Z,'AEO 2026 Table 23 '!$B:$B,"*,"&amp;$A14&amp;",*"))/SUMIFS('AEO 2026 Table 23 '!Z:Z,'AEO 2026 Table 23 '!$B:$B,"*,"&amp;$A14&amp;",*"),"")</f>
        <v>6.3217512353089273E-3</v>
      </c>
      <c r="Y14">
        <f>IFERROR((SUMIFS('AEO 2026 Table 23 '!AB:AB,'AEO 2026 Table 23 '!$B:$B,"*,"&amp;$A14&amp;",*")-SUMIFS('AEO 2026 Table 23 '!AA:AA,'AEO 2026 Table 23 '!$B:$B,"*,"&amp;$A14&amp;",*"))/SUMIFS('AEO 2026 Table 23 '!AA:AA,'AEO 2026 Table 23 '!$B:$B,"*,"&amp;$A14&amp;",*"),"")</f>
        <v>6.0034817341983937E-3</v>
      </c>
      <c r="Z14">
        <f>IFERROR((SUMIFS('AEO 2026 Table 23 '!AC:AC,'AEO 2026 Table 23 '!$B:$B,"*,"&amp;$A14&amp;",*")-SUMIFS('AEO 2026 Table 23 '!AB:AB,'AEO 2026 Table 23 '!$B:$B,"*,"&amp;$A14&amp;",*"))/SUMIFS('AEO 2026 Table 23 '!AB:AB,'AEO 2026 Table 23 '!$B:$B,"*,"&amp;$A14&amp;",*"),"")</f>
        <v>8.9925975681785075E-3</v>
      </c>
      <c r="AA14">
        <f>IFERROR((SUMIFS('AEO 2026 Table 23 '!AD:AD,'AEO 2026 Table 23 '!$B:$B,"*,"&amp;$A14&amp;",*")-SUMIFS('AEO 2026 Table 23 '!AC:AC,'AEO 2026 Table 23 '!$B:$B,"*,"&amp;$A14&amp;",*"))/SUMIFS('AEO 2026 Table 23 '!AC:AC,'AEO 2026 Table 23 '!$B:$B,"*,"&amp;$A14&amp;",*"),"")</f>
        <v>8.075867794985786E-3</v>
      </c>
      <c r="AB14">
        <f>IFERROR((SUMIFS('AEO 2026 Table 23 '!AE:AE,'AEO 2026 Table 23 '!$B:$B,"*,"&amp;$A14&amp;",*")-SUMIFS('AEO 2026 Table 23 '!AD:AD,'AEO 2026 Table 23 '!$B:$B,"*,"&amp;$A14&amp;",*"))/SUMIFS('AEO 2026 Table 23 '!AD:AD,'AEO 2026 Table 23 '!$B:$B,"*,"&amp;$A14&amp;",*"),"")</f>
        <v>1.3737245679554182E-2</v>
      </c>
      <c r="AC14">
        <f>IFERROR((SUMIFS('AEO 2026 Table 23 '!AF:AF,'AEO 2026 Table 23 '!$B:$B,"*,"&amp;$A14&amp;",*")-SUMIFS('AEO 2026 Table 23 '!AE:AE,'AEO 2026 Table 23 '!$B:$B,"*,"&amp;$A14&amp;",*"))/SUMIFS('AEO 2026 Table 23 '!AE:AE,'AEO 2026 Table 23 '!$B:$B,"*,"&amp;$A14&amp;",*"),"")</f>
        <v>1.1236138525516472E-2</v>
      </c>
    </row>
    <row r="15" spans="1:29" x14ac:dyDescent="0.25">
      <c r="A15" t="s">
        <v>219</v>
      </c>
      <c r="B15">
        <f>IFERROR(SUMPRODUCT(--('BLS Table 2.11'!$L$1:$L$426=$A15),'BLS Table 2.11'!$J$1:$J$426,'BLS Table 2.11'!$K$1:$K$426)/SUMIFS('BLS Table 2.11'!$J$1:$J$426,'BLS Table 2.11'!$L$1:$L$426,$A15)/100,0)</f>
        <v>8.8682849184241949E-3</v>
      </c>
      <c r="D15">
        <f>IFERROR((SUMIFS('AEO 2026 Table 23 '!G:G,'AEO 2026 Table 23 '!$B:$B,"*,"&amp;$A15&amp;",*")-SUMIFS('AEO25 Table 23'!H:H,'AEO25 Table 23'!$B:$B,"*,"&amp;$A15&amp;",*"))/SUMIFS('AEO25 Table 23'!H:H,'AEO25 Table 23'!$B:$B,"*,"&amp;$A15&amp;",*"),"")</f>
        <v>-5.0057662323048653E-2</v>
      </c>
      <c r="E15">
        <f>IFERROR((SUMIFS('AEO 2026 Table 23 '!H:H,'AEO 2026 Table 23 '!$B:$B,"*,"&amp;$A15&amp;",*")-SUMIFS('AEO 2026 Table 23 '!G:G,'AEO 2026 Table 23 '!$B:$B,"*,"&amp;$A15&amp;",*"))/SUMIFS('AEO 2026 Table 23 '!G:G,'AEO 2026 Table 23 '!$B:$B,"*,"&amp;$A15&amp;",*"),"")</f>
        <v>-9.0657834221724697E-3</v>
      </c>
      <c r="F15">
        <f>IFERROR((SUMIFS('AEO 2026 Table 23 '!I:I,'AEO 2026 Table 23 '!$B:$B,"*,"&amp;$A15&amp;",*")-SUMIFS('AEO 2026 Table 23 '!H:H,'AEO 2026 Table 23 '!$B:$B,"*,"&amp;$A15&amp;",*"))/SUMIFS('AEO 2026 Table 23 '!H:H,'AEO 2026 Table 23 '!$B:$B,"*,"&amp;$A15&amp;",*"),"")</f>
        <v>1.278485593459618E-3</v>
      </c>
      <c r="G15">
        <f>IFERROR((SUMIFS('AEO 2026 Table 23 '!J:J,'AEO 2026 Table 23 '!$B:$B,"*,"&amp;$A15&amp;",*")-SUMIFS('AEO 2026 Table 23 '!I:I,'AEO 2026 Table 23 '!$B:$B,"*,"&amp;$A15&amp;",*"))/SUMIFS('AEO 2026 Table 23 '!I:I,'AEO 2026 Table 23 '!$B:$B,"*,"&amp;$A15&amp;",*"),"")</f>
        <v>-7.1926520481287977E-3</v>
      </c>
      <c r="H15">
        <f>IFERROR((SUMIFS('AEO 2026 Table 23 '!K:K,'AEO 2026 Table 23 '!$B:$B,"*,"&amp;$A15&amp;",*")-SUMIFS('AEO 2026 Table 23 '!J:J,'AEO 2026 Table 23 '!$B:$B,"*,"&amp;$A15&amp;",*"))/SUMIFS('AEO 2026 Table 23 '!J:J,'AEO 2026 Table 23 '!$B:$B,"*,"&amp;$A15&amp;",*"),"")</f>
        <v>-6.3772334766012823E-3</v>
      </c>
      <c r="I15">
        <f>IFERROR((SUMIFS('AEO 2026 Table 23 '!L:L,'AEO 2026 Table 23 '!$B:$B,"*,"&amp;$A15&amp;",*")-SUMIFS('AEO 2026 Table 23 '!K:K,'AEO 2026 Table 23 '!$B:$B,"*,"&amp;$A15&amp;",*"))/SUMIFS('AEO 2026 Table 23 '!K:K,'AEO 2026 Table 23 '!$B:$B,"*,"&amp;$A15&amp;",*"),"")</f>
        <v>-6.2658343162849952E-3</v>
      </c>
      <c r="J15">
        <f>IFERROR((SUMIFS('AEO 2026 Table 23 '!M:M,'AEO 2026 Table 23 '!$B:$B,"*,"&amp;$A15&amp;",*")-SUMIFS('AEO 2026 Table 23 '!L:L,'AEO 2026 Table 23 '!$B:$B,"*,"&amp;$A15&amp;",*"))/SUMIFS('AEO 2026 Table 23 '!L:L,'AEO 2026 Table 23 '!$B:$B,"*,"&amp;$A15&amp;",*"),"")</f>
        <v>-2.3939717110985303E-3</v>
      </c>
      <c r="K15">
        <f>IFERROR((SUMIFS('AEO 2026 Table 23 '!N:N,'AEO 2026 Table 23 '!$B:$B,"*,"&amp;$A15&amp;",*")-SUMIFS('AEO 2026 Table 23 '!M:M,'AEO 2026 Table 23 '!$B:$B,"*,"&amp;$A15&amp;",*"))/SUMIFS('AEO 2026 Table 23 '!M:M,'AEO 2026 Table 23 '!$B:$B,"*,"&amp;$A15&amp;",*"),"")</f>
        <v>-3.0197325726839135E-3</v>
      </c>
      <c r="L15">
        <f>IFERROR((SUMIFS('AEO 2026 Table 23 '!O:O,'AEO 2026 Table 23 '!$B:$B,"*,"&amp;$A15&amp;",*")-SUMIFS('AEO 2026 Table 23 '!N:N,'AEO 2026 Table 23 '!$B:$B,"*,"&amp;$A15&amp;",*"))/SUMIFS('AEO 2026 Table 23 '!N:N,'AEO 2026 Table 23 '!$B:$B,"*,"&amp;$A15&amp;",*"),"")</f>
        <v>-4.098789524848997E-3</v>
      </c>
      <c r="M15">
        <f>IFERROR((SUMIFS('AEO 2026 Table 23 '!P:P,'AEO 2026 Table 23 '!$B:$B,"*,"&amp;$A15&amp;",*")-SUMIFS('AEO 2026 Table 23 '!O:O,'AEO 2026 Table 23 '!$B:$B,"*,"&amp;$A15&amp;",*"))/SUMIFS('AEO 2026 Table 23 '!O:O,'AEO 2026 Table 23 '!$B:$B,"*,"&amp;$A15&amp;",*"),"")</f>
        <v>-3.4129947835764363E-3</v>
      </c>
      <c r="N15">
        <f>IFERROR((SUMIFS('AEO 2026 Table 23 '!Q:Q,'AEO 2026 Table 23 '!$B:$B,"*,"&amp;$A15&amp;",*")-SUMIFS('AEO 2026 Table 23 '!P:P,'AEO 2026 Table 23 '!$B:$B,"*,"&amp;$A15&amp;",*"))/SUMIFS('AEO 2026 Table 23 '!P:P,'AEO 2026 Table 23 '!$B:$B,"*,"&amp;$A15&amp;",*"),"")</f>
        <v>-3.441524691247057E-3</v>
      </c>
      <c r="O15">
        <f>IFERROR((SUMIFS('AEO 2026 Table 23 '!R:R,'AEO 2026 Table 23 '!$B:$B,"*,"&amp;$A15&amp;",*")-SUMIFS('AEO 2026 Table 23 '!Q:Q,'AEO 2026 Table 23 '!$B:$B,"*,"&amp;$A15&amp;",*"))/SUMIFS('AEO 2026 Table 23 '!Q:Q,'AEO 2026 Table 23 '!$B:$B,"*,"&amp;$A15&amp;",*"),"")</f>
        <v>-3.1894531324822219E-3</v>
      </c>
      <c r="P15">
        <f>IFERROR((SUMIFS('AEO 2026 Table 23 '!S:S,'AEO 2026 Table 23 '!$B:$B,"*,"&amp;$A15&amp;",*")-SUMIFS('AEO 2026 Table 23 '!R:R,'AEO 2026 Table 23 '!$B:$B,"*,"&amp;$A15&amp;",*"))/SUMIFS('AEO 2026 Table 23 '!R:R,'AEO 2026 Table 23 '!$B:$B,"*,"&amp;$A15&amp;",*"),"")</f>
        <v>-3.1325195911242193E-3</v>
      </c>
      <c r="Q15">
        <f>IFERROR((SUMIFS('AEO 2026 Table 23 '!T:T,'AEO 2026 Table 23 '!$B:$B,"*,"&amp;$A15&amp;",*")-SUMIFS('AEO 2026 Table 23 '!S:S,'AEO 2026 Table 23 '!$B:$B,"*,"&amp;$A15&amp;",*"))/SUMIFS('AEO 2026 Table 23 '!S:S,'AEO 2026 Table 23 '!$B:$B,"*,"&amp;$A15&amp;",*"),"")</f>
        <v>2.6629654801326336E-4</v>
      </c>
      <c r="R15">
        <f>IFERROR((SUMIFS('AEO 2026 Table 23 '!U:U,'AEO 2026 Table 23 '!$B:$B,"*,"&amp;$A15&amp;",*")-SUMIFS('AEO 2026 Table 23 '!T:T,'AEO 2026 Table 23 '!$B:$B,"*,"&amp;$A15&amp;",*"))/SUMIFS('AEO 2026 Table 23 '!T:T,'AEO 2026 Table 23 '!$B:$B,"*,"&amp;$A15&amp;",*"),"")</f>
        <v>3.3503925536994628E-3</v>
      </c>
      <c r="S15">
        <f>IFERROR((SUMIFS('AEO 2026 Table 23 '!V:V,'AEO 2026 Table 23 '!$B:$B,"*,"&amp;$A15&amp;",*")-SUMIFS('AEO 2026 Table 23 '!U:U,'AEO 2026 Table 23 '!$B:$B,"*,"&amp;$A15&amp;",*"))/SUMIFS('AEO 2026 Table 23 '!U:U,'AEO 2026 Table 23 '!$B:$B,"*,"&amp;$A15&amp;",*"),"")</f>
        <v>5.4952678620504352E-3</v>
      </c>
      <c r="T15">
        <f>IFERROR((SUMIFS('AEO 2026 Table 23 '!W:W,'AEO 2026 Table 23 '!$B:$B,"*,"&amp;$A15&amp;",*")-SUMIFS('AEO 2026 Table 23 '!V:V,'AEO 2026 Table 23 '!$B:$B,"*,"&amp;$A15&amp;",*"))/SUMIFS('AEO 2026 Table 23 '!V:V,'AEO 2026 Table 23 '!$B:$B,"*,"&amp;$A15&amp;",*"),"")</f>
        <v>4.1677260381441997E-3</v>
      </c>
      <c r="U15">
        <f>IFERROR((SUMIFS('AEO 2026 Table 23 '!X:X,'AEO 2026 Table 23 '!$B:$B,"*,"&amp;$A15&amp;",*")-SUMIFS('AEO 2026 Table 23 '!W:W,'AEO 2026 Table 23 '!$B:$B,"*,"&amp;$A15&amp;",*"))/SUMIFS('AEO 2026 Table 23 '!W:W,'AEO 2026 Table 23 '!$B:$B,"*,"&amp;$A15&amp;",*"),"")</f>
        <v>5.4302573644451667E-3</v>
      </c>
      <c r="V15">
        <f>IFERROR((SUMIFS('AEO 2026 Table 23 '!Y:Y,'AEO 2026 Table 23 '!$B:$B,"*,"&amp;$A15&amp;",*")-SUMIFS('AEO 2026 Table 23 '!X:X,'AEO 2026 Table 23 '!$B:$B,"*,"&amp;$A15&amp;",*"))/SUMIFS('AEO 2026 Table 23 '!X:X,'AEO 2026 Table 23 '!$B:$B,"*,"&amp;$A15&amp;",*"),"")</f>
        <v>5.8086122465398774E-3</v>
      </c>
      <c r="W15">
        <f>IFERROR((SUMIFS('AEO 2026 Table 23 '!Z:Z,'AEO 2026 Table 23 '!$B:$B,"*,"&amp;$A15&amp;",*")-SUMIFS('AEO 2026 Table 23 '!Y:Y,'AEO 2026 Table 23 '!$B:$B,"*,"&amp;$A15&amp;",*"))/SUMIFS('AEO 2026 Table 23 '!Y:Y,'AEO 2026 Table 23 '!$B:$B,"*,"&amp;$A15&amp;",*"),"")</f>
        <v>6.0143914031781237E-3</v>
      </c>
      <c r="X15">
        <f>IFERROR((SUMIFS('AEO 2026 Table 23 '!AA:AA,'AEO 2026 Table 23 '!$B:$B,"*,"&amp;$A15&amp;",*")-SUMIFS('AEO 2026 Table 23 '!Z:Z,'AEO 2026 Table 23 '!$B:$B,"*,"&amp;$A15&amp;",*"))/SUMIFS('AEO 2026 Table 23 '!Z:Z,'AEO 2026 Table 23 '!$B:$B,"*,"&amp;$A15&amp;",*"),"")</f>
        <v>6.6741622098685756E-3</v>
      </c>
      <c r="Y15">
        <f>IFERROR((SUMIFS('AEO 2026 Table 23 '!AB:AB,'AEO 2026 Table 23 '!$B:$B,"*,"&amp;$A15&amp;",*")-SUMIFS('AEO 2026 Table 23 '!AA:AA,'AEO 2026 Table 23 '!$B:$B,"*,"&amp;$A15&amp;",*"))/SUMIFS('AEO 2026 Table 23 '!AA:AA,'AEO 2026 Table 23 '!$B:$B,"*,"&amp;$A15&amp;",*"),"")</f>
        <v>5.8020804358370056E-3</v>
      </c>
      <c r="Z15">
        <f>IFERROR((SUMIFS('AEO 2026 Table 23 '!AC:AC,'AEO 2026 Table 23 '!$B:$B,"*,"&amp;$A15&amp;",*")-SUMIFS('AEO 2026 Table 23 '!AB:AB,'AEO 2026 Table 23 '!$B:$B,"*,"&amp;$A15&amp;",*"))/SUMIFS('AEO 2026 Table 23 '!AB:AB,'AEO 2026 Table 23 '!$B:$B,"*,"&amp;$A15&amp;",*"),"")</f>
        <v>6.9906301916783384E-3</v>
      </c>
      <c r="AA15">
        <f>IFERROR((SUMIFS('AEO 2026 Table 23 '!AD:AD,'AEO 2026 Table 23 '!$B:$B,"*,"&amp;$A15&amp;",*")-SUMIFS('AEO 2026 Table 23 '!AC:AC,'AEO 2026 Table 23 '!$B:$B,"*,"&amp;$A15&amp;",*"))/SUMIFS('AEO 2026 Table 23 '!AC:AC,'AEO 2026 Table 23 '!$B:$B,"*,"&amp;$A15&amp;",*"),"")</f>
        <v>6.8990934448158476E-3</v>
      </c>
      <c r="AB15">
        <f>IFERROR((SUMIFS('AEO 2026 Table 23 '!AE:AE,'AEO 2026 Table 23 '!$B:$B,"*,"&amp;$A15&amp;",*")-SUMIFS('AEO 2026 Table 23 '!AD:AD,'AEO 2026 Table 23 '!$B:$B,"*,"&amp;$A15&amp;",*"))/SUMIFS('AEO 2026 Table 23 '!AD:AD,'AEO 2026 Table 23 '!$B:$B,"*,"&amp;$A15&amp;",*"),"")</f>
        <v>7.8737061824086206E-3</v>
      </c>
      <c r="AC15">
        <f>IFERROR((SUMIFS('AEO 2026 Table 23 '!AF:AF,'AEO 2026 Table 23 '!$B:$B,"*,"&amp;$A15&amp;",*")-SUMIFS('AEO 2026 Table 23 '!AE:AE,'AEO 2026 Table 23 '!$B:$B,"*,"&amp;$A15&amp;",*"))/SUMIFS('AEO 2026 Table 23 '!AE:AE,'AEO 2026 Table 23 '!$B:$B,"*,"&amp;$A15&amp;",*"),"")</f>
        <v>6.1365801067141219E-3</v>
      </c>
    </row>
    <row r="16" spans="1:29" x14ac:dyDescent="0.25">
      <c r="A16" t="s">
        <v>228</v>
      </c>
      <c r="B16">
        <f>IFERROR(SUMPRODUCT(--('BLS Table 2.11'!$L$1:$L$426=$A16),'BLS Table 2.11'!$J$1:$J$426,'BLS Table 2.11'!$K$1:$K$426)/SUMIFS('BLS Table 2.11'!$J$1:$J$426,'BLS Table 2.11'!$L$1:$L$426,$A16)/100,0)</f>
        <v>0.01</v>
      </c>
      <c r="D16">
        <f>IFERROR((SUMIFS('AEO 2026 Table 23 '!G:G,'AEO 2026 Table 23 '!$B:$B,"*,"&amp;$A16&amp;",*")-SUMIFS('AEO25 Table 23'!H:H,'AEO25 Table 23'!$B:$B,"*,"&amp;$A16&amp;",*"))/SUMIFS('AEO25 Table 23'!H:H,'AEO25 Table 23'!$B:$B,"*,"&amp;$A16&amp;",*"),"")</f>
        <v>9.2796417486756702E-4</v>
      </c>
      <c r="E16">
        <f>IFERROR((SUMIFS('AEO 2026 Table 23 '!H:H,'AEO 2026 Table 23 '!$B:$B,"*,"&amp;$A16&amp;",*")-SUMIFS('AEO 2026 Table 23 '!G:G,'AEO 2026 Table 23 '!$B:$B,"*,"&amp;$A16&amp;",*"))/SUMIFS('AEO 2026 Table 23 '!G:G,'AEO 2026 Table 23 '!$B:$B,"*,"&amp;$A16&amp;",*"),"")</f>
        <v>3.8698790057806816E-3</v>
      </c>
      <c r="F16">
        <f>IFERROR((SUMIFS('AEO 2026 Table 23 '!I:I,'AEO 2026 Table 23 '!$B:$B,"*,"&amp;$A16&amp;",*")-SUMIFS('AEO 2026 Table 23 '!H:H,'AEO 2026 Table 23 '!$B:$B,"*,"&amp;$A16&amp;",*"))/SUMIFS('AEO 2026 Table 23 '!H:H,'AEO 2026 Table 23 '!$B:$B,"*,"&amp;$A16&amp;",*"),"")</f>
        <v>-1.8900763962524704E-3</v>
      </c>
      <c r="G16">
        <f>IFERROR((SUMIFS('AEO 2026 Table 23 '!J:J,'AEO 2026 Table 23 '!$B:$B,"*,"&amp;$A16&amp;",*")-SUMIFS('AEO 2026 Table 23 '!I:I,'AEO 2026 Table 23 '!$B:$B,"*,"&amp;$A16&amp;",*"))/SUMIFS('AEO 2026 Table 23 '!I:I,'AEO 2026 Table 23 '!$B:$B,"*,"&amp;$A16&amp;",*"),"")</f>
        <v>-3.4576233884962256E-3</v>
      </c>
      <c r="H16">
        <f>IFERROR((SUMIFS('AEO 2026 Table 23 '!K:K,'AEO 2026 Table 23 '!$B:$B,"*,"&amp;$A16&amp;",*")-SUMIFS('AEO 2026 Table 23 '!J:J,'AEO 2026 Table 23 '!$B:$B,"*,"&amp;$A16&amp;",*"))/SUMIFS('AEO 2026 Table 23 '!J:J,'AEO 2026 Table 23 '!$B:$B,"*,"&amp;$A16&amp;",*"),"")</f>
        <v>-9.2395075582589505E-3</v>
      </c>
      <c r="I16">
        <f>IFERROR((SUMIFS('AEO 2026 Table 23 '!L:L,'AEO 2026 Table 23 '!$B:$B,"*,"&amp;$A16&amp;",*")-SUMIFS('AEO 2026 Table 23 '!K:K,'AEO 2026 Table 23 '!$B:$B,"*,"&amp;$A16&amp;",*"))/SUMIFS('AEO 2026 Table 23 '!K:K,'AEO 2026 Table 23 '!$B:$B,"*,"&amp;$A16&amp;",*"),"")</f>
        <v>-5.5176591261427172E-3</v>
      </c>
      <c r="J16">
        <f>IFERROR((SUMIFS('AEO 2026 Table 23 '!M:M,'AEO 2026 Table 23 '!$B:$B,"*,"&amp;$A16&amp;",*")-SUMIFS('AEO 2026 Table 23 '!L:L,'AEO 2026 Table 23 '!$B:$B,"*,"&amp;$A16&amp;",*"))/SUMIFS('AEO 2026 Table 23 '!L:L,'AEO 2026 Table 23 '!$B:$B,"*,"&amp;$A16&amp;",*"),"")</f>
        <v>-6.6166130145881713E-3</v>
      </c>
      <c r="K16">
        <f>IFERROR((SUMIFS('AEO 2026 Table 23 '!N:N,'AEO 2026 Table 23 '!$B:$B,"*,"&amp;$A16&amp;",*")-SUMIFS('AEO 2026 Table 23 '!M:M,'AEO 2026 Table 23 '!$B:$B,"*,"&amp;$A16&amp;",*"))/SUMIFS('AEO 2026 Table 23 '!M:M,'AEO 2026 Table 23 '!$B:$B,"*,"&amp;$A16&amp;",*"),"")</f>
        <v>-2.6039774078813042E-3</v>
      </c>
      <c r="L16">
        <f>IFERROR((SUMIFS('AEO 2026 Table 23 '!O:O,'AEO 2026 Table 23 '!$B:$B,"*,"&amp;$A16&amp;",*")-SUMIFS('AEO 2026 Table 23 '!N:N,'AEO 2026 Table 23 '!$B:$B,"*,"&amp;$A16&amp;",*"))/SUMIFS('AEO 2026 Table 23 '!N:N,'AEO 2026 Table 23 '!$B:$B,"*,"&amp;$A16&amp;",*"),"")</f>
        <v>-2.047554302618233E-3</v>
      </c>
      <c r="M16">
        <f>IFERROR((SUMIFS('AEO 2026 Table 23 '!P:P,'AEO 2026 Table 23 '!$B:$B,"*,"&amp;$A16&amp;",*")-SUMIFS('AEO 2026 Table 23 '!O:O,'AEO 2026 Table 23 '!$B:$B,"*,"&amp;$A16&amp;",*"))/SUMIFS('AEO 2026 Table 23 '!O:O,'AEO 2026 Table 23 '!$B:$B,"*,"&amp;$A16&amp;",*"),"")</f>
        <v>7.399211509591157E-4</v>
      </c>
      <c r="N16">
        <f>IFERROR((SUMIFS('AEO 2026 Table 23 '!Q:Q,'AEO 2026 Table 23 '!$B:$B,"*,"&amp;$A16&amp;",*")-SUMIFS('AEO 2026 Table 23 '!P:P,'AEO 2026 Table 23 '!$B:$B,"*,"&amp;$A16&amp;",*"))/SUMIFS('AEO 2026 Table 23 '!P:P,'AEO 2026 Table 23 '!$B:$B,"*,"&amp;$A16&amp;",*"),"")</f>
        <v>1.4693596677565349E-3</v>
      </c>
      <c r="O16">
        <f>IFERROR((SUMIFS('AEO 2026 Table 23 '!R:R,'AEO 2026 Table 23 '!$B:$B,"*,"&amp;$A16&amp;",*")-SUMIFS('AEO 2026 Table 23 '!Q:Q,'AEO 2026 Table 23 '!$B:$B,"*,"&amp;$A16&amp;",*"))/SUMIFS('AEO 2026 Table 23 '!Q:Q,'AEO 2026 Table 23 '!$B:$B,"*,"&amp;$A16&amp;",*"),"")</f>
        <v>-3.5672139471945225E-3</v>
      </c>
      <c r="P16">
        <f>IFERROR((SUMIFS('AEO 2026 Table 23 '!S:S,'AEO 2026 Table 23 '!$B:$B,"*,"&amp;$A16&amp;",*")-SUMIFS('AEO 2026 Table 23 '!R:R,'AEO 2026 Table 23 '!$B:$B,"*,"&amp;$A16&amp;",*"))/SUMIFS('AEO 2026 Table 23 '!R:R,'AEO 2026 Table 23 '!$B:$B,"*,"&amp;$A16&amp;",*"),"")</f>
        <v>-7.8846764577685975E-3</v>
      </c>
      <c r="Q16">
        <f>IFERROR((SUMIFS('AEO 2026 Table 23 '!T:T,'AEO 2026 Table 23 '!$B:$B,"*,"&amp;$A16&amp;",*")-SUMIFS('AEO 2026 Table 23 '!S:S,'AEO 2026 Table 23 '!$B:$B,"*,"&amp;$A16&amp;",*"))/SUMIFS('AEO 2026 Table 23 '!S:S,'AEO 2026 Table 23 '!$B:$B,"*,"&amp;$A16&amp;",*"),"")</f>
        <v>-7.6665663555704677E-3</v>
      </c>
      <c r="R16">
        <f>IFERROR((SUMIFS('AEO 2026 Table 23 '!U:U,'AEO 2026 Table 23 '!$B:$B,"*,"&amp;$A16&amp;",*")-SUMIFS('AEO 2026 Table 23 '!T:T,'AEO 2026 Table 23 '!$B:$B,"*,"&amp;$A16&amp;",*"))/SUMIFS('AEO 2026 Table 23 '!T:T,'AEO 2026 Table 23 '!$B:$B,"*,"&amp;$A16&amp;",*"),"")</f>
        <v>-3.9897848989846911E-3</v>
      </c>
      <c r="S16">
        <f>IFERROR((SUMIFS('AEO 2026 Table 23 '!V:V,'AEO 2026 Table 23 '!$B:$B,"*,"&amp;$A16&amp;",*")-SUMIFS('AEO 2026 Table 23 '!U:U,'AEO 2026 Table 23 '!$B:$B,"*,"&amp;$A16&amp;",*"))/SUMIFS('AEO 2026 Table 23 '!U:U,'AEO 2026 Table 23 '!$B:$B,"*,"&amp;$A16&amp;",*"),"")</f>
        <v>-1.5007878017789199E-3</v>
      </c>
      <c r="T16">
        <f>IFERROR((SUMIFS('AEO 2026 Table 23 '!W:W,'AEO 2026 Table 23 '!$B:$B,"*,"&amp;$A16&amp;",*")-SUMIFS('AEO 2026 Table 23 '!V:V,'AEO 2026 Table 23 '!$B:$B,"*,"&amp;$A16&amp;",*"))/SUMIFS('AEO 2026 Table 23 '!V:V,'AEO 2026 Table 23 '!$B:$B,"*,"&amp;$A16&amp;",*"),"")</f>
        <v>1.4814202478820341E-3</v>
      </c>
      <c r="U16">
        <f>IFERROR((SUMIFS('AEO 2026 Table 23 '!X:X,'AEO 2026 Table 23 '!$B:$B,"*,"&amp;$A16&amp;",*")-SUMIFS('AEO 2026 Table 23 '!W:W,'AEO 2026 Table 23 '!$B:$B,"*,"&amp;$A16&amp;",*"))/SUMIFS('AEO 2026 Table 23 '!W:W,'AEO 2026 Table 23 '!$B:$B,"*,"&amp;$A16&amp;",*"),"")</f>
        <v>-1.7439522658663593E-3</v>
      </c>
      <c r="V16">
        <f>IFERROR((SUMIFS('AEO 2026 Table 23 '!Y:Y,'AEO 2026 Table 23 '!$B:$B,"*,"&amp;$A16&amp;",*")-SUMIFS('AEO 2026 Table 23 '!X:X,'AEO 2026 Table 23 '!$B:$B,"*,"&amp;$A16&amp;",*"))/SUMIFS('AEO 2026 Table 23 '!X:X,'AEO 2026 Table 23 '!$B:$B,"*,"&amp;$A16&amp;",*"),"")</f>
        <v>-5.2166332897896784E-3</v>
      </c>
      <c r="W16">
        <f>IFERROR((SUMIFS('AEO 2026 Table 23 '!Z:Z,'AEO 2026 Table 23 '!$B:$B,"*,"&amp;$A16&amp;",*")-SUMIFS('AEO 2026 Table 23 '!Y:Y,'AEO 2026 Table 23 '!$B:$B,"*,"&amp;$A16&amp;",*"))/SUMIFS('AEO 2026 Table 23 '!Y:Y,'AEO 2026 Table 23 '!$B:$B,"*,"&amp;$A16&amp;",*"),"")</f>
        <v>-5.7503196953714655E-3</v>
      </c>
      <c r="X16">
        <f>IFERROR((SUMIFS('AEO 2026 Table 23 '!AA:AA,'AEO 2026 Table 23 '!$B:$B,"*,"&amp;$A16&amp;",*")-SUMIFS('AEO 2026 Table 23 '!Z:Z,'AEO 2026 Table 23 '!$B:$B,"*,"&amp;$A16&amp;",*"))/SUMIFS('AEO 2026 Table 23 '!Z:Z,'AEO 2026 Table 23 '!$B:$B,"*,"&amp;$A16&amp;",*"),"")</f>
        <v>-5.1943860581410671E-3</v>
      </c>
      <c r="Y16">
        <f>IFERROR((SUMIFS('AEO 2026 Table 23 '!AB:AB,'AEO 2026 Table 23 '!$B:$B,"*,"&amp;$A16&amp;",*")-SUMIFS('AEO 2026 Table 23 '!AA:AA,'AEO 2026 Table 23 '!$B:$B,"*,"&amp;$A16&amp;",*"))/SUMIFS('AEO 2026 Table 23 '!AA:AA,'AEO 2026 Table 23 '!$B:$B,"*,"&amp;$A16&amp;",*"),"")</f>
        <v>6.9266482707921518E-4</v>
      </c>
      <c r="Z16">
        <f>IFERROR((SUMIFS('AEO 2026 Table 23 '!AC:AC,'AEO 2026 Table 23 '!$B:$B,"*,"&amp;$A16&amp;",*")-SUMIFS('AEO 2026 Table 23 '!AB:AB,'AEO 2026 Table 23 '!$B:$B,"*,"&amp;$A16&amp;",*"))/SUMIFS('AEO 2026 Table 23 '!AB:AB,'AEO 2026 Table 23 '!$B:$B,"*,"&amp;$A16&amp;",*"),"")</f>
        <v>1.7998124256706656E-3</v>
      </c>
      <c r="AA16">
        <f>IFERROR((SUMIFS('AEO 2026 Table 23 '!AD:AD,'AEO 2026 Table 23 '!$B:$B,"*,"&amp;$A16&amp;",*")-SUMIFS('AEO 2026 Table 23 '!AC:AC,'AEO 2026 Table 23 '!$B:$B,"*,"&amp;$A16&amp;",*"))/SUMIFS('AEO 2026 Table 23 '!AC:AC,'AEO 2026 Table 23 '!$B:$B,"*,"&amp;$A16&amp;",*"),"")</f>
        <v>-3.6608763437707497E-3</v>
      </c>
      <c r="AB16">
        <f>IFERROR((SUMIFS('AEO 2026 Table 23 '!AE:AE,'AEO 2026 Table 23 '!$B:$B,"*,"&amp;$A16&amp;",*")-SUMIFS('AEO 2026 Table 23 '!AD:AD,'AEO 2026 Table 23 '!$B:$B,"*,"&amp;$A16&amp;",*"))/SUMIFS('AEO 2026 Table 23 '!AD:AD,'AEO 2026 Table 23 '!$B:$B,"*,"&amp;$A16&amp;",*"),"")</f>
        <v>-2.2638412545510677E-3</v>
      </c>
      <c r="AC16">
        <f>IFERROR((SUMIFS('AEO 2026 Table 23 '!AF:AF,'AEO 2026 Table 23 '!$B:$B,"*,"&amp;$A16&amp;",*")-SUMIFS('AEO 2026 Table 23 '!AE:AE,'AEO 2026 Table 23 '!$B:$B,"*,"&amp;$A16&amp;",*"))/SUMIFS('AEO 2026 Table 23 '!AE:AE,'AEO 2026 Table 23 '!$B:$B,"*,"&amp;$A16&amp;",*"),"")</f>
        <v>-4.4962071149564459E-4</v>
      </c>
    </row>
    <row r="17" spans="1:29" x14ac:dyDescent="0.25">
      <c r="A17" t="s">
        <v>233</v>
      </c>
      <c r="B17">
        <f>IFERROR(SUMPRODUCT(--('BLS Table 2.11'!$L$1:$L$426=$A17),'BLS Table 2.11'!$J$1:$J$426,'BLS Table 2.11'!$K$1:$K$426)/SUMIFS('BLS Table 2.11'!$J$1:$J$426,'BLS Table 2.11'!$L$1:$L$426,$A17)/100,0)</f>
        <v>1.24430823117338E-2</v>
      </c>
      <c r="D17">
        <f>IFERROR((SUMIFS('AEO 2026 Table 23 '!G:G,'AEO 2026 Table 23 '!$B:$B,"*,"&amp;$A17&amp;",*")-SUMIFS('AEO25 Table 23'!H:H,'AEO25 Table 23'!$B:$B,"*,"&amp;$A17&amp;",*"))/SUMIFS('AEO25 Table 23'!H:H,'AEO25 Table 23'!$B:$B,"*,"&amp;$A17&amp;",*"),"")</f>
        <v>7.1677561450444349E-2</v>
      </c>
      <c r="E17">
        <f>IFERROR((SUMIFS('AEO 2026 Table 23 '!H:H,'AEO 2026 Table 23 '!$B:$B,"*,"&amp;$A17&amp;",*")-SUMIFS('AEO 2026 Table 23 '!G:G,'AEO 2026 Table 23 '!$B:$B,"*,"&amp;$A17&amp;",*"))/SUMIFS('AEO 2026 Table 23 '!G:G,'AEO 2026 Table 23 '!$B:$B,"*,"&amp;$A17&amp;",*"),"")</f>
        <v>-1.3322752034657602E-2</v>
      </c>
      <c r="F17">
        <f>IFERROR((SUMIFS('AEO 2026 Table 23 '!I:I,'AEO 2026 Table 23 '!$B:$B,"*,"&amp;$A17&amp;",*")-SUMIFS('AEO 2026 Table 23 '!H:H,'AEO 2026 Table 23 '!$B:$B,"*,"&amp;$A17&amp;",*"))/SUMIFS('AEO 2026 Table 23 '!H:H,'AEO 2026 Table 23 '!$B:$B,"*,"&amp;$A17&amp;",*"),"")</f>
        <v>-1.1656389221256275E-2</v>
      </c>
      <c r="G17">
        <f>IFERROR((SUMIFS('AEO 2026 Table 23 '!J:J,'AEO 2026 Table 23 '!$B:$B,"*,"&amp;$A17&amp;",*")-SUMIFS('AEO 2026 Table 23 '!I:I,'AEO 2026 Table 23 '!$B:$B,"*,"&amp;$A17&amp;",*"))/SUMIFS('AEO 2026 Table 23 '!I:I,'AEO 2026 Table 23 '!$B:$B,"*,"&amp;$A17&amp;",*"),"")</f>
        <v>-3.9834844723168946E-3</v>
      </c>
      <c r="H17">
        <f>IFERROR((SUMIFS('AEO 2026 Table 23 '!K:K,'AEO 2026 Table 23 '!$B:$B,"*,"&amp;$A17&amp;",*")-SUMIFS('AEO 2026 Table 23 '!J:J,'AEO 2026 Table 23 '!$B:$B,"*,"&amp;$A17&amp;",*"))/SUMIFS('AEO 2026 Table 23 '!J:J,'AEO 2026 Table 23 '!$B:$B,"*,"&amp;$A17&amp;",*"),"")</f>
        <v>-8.4588021519986026E-3</v>
      </c>
      <c r="I17">
        <f>IFERROR((SUMIFS('AEO 2026 Table 23 '!L:L,'AEO 2026 Table 23 '!$B:$B,"*,"&amp;$A17&amp;",*")-SUMIFS('AEO 2026 Table 23 '!K:K,'AEO 2026 Table 23 '!$B:$B,"*,"&amp;$A17&amp;",*"))/SUMIFS('AEO 2026 Table 23 '!K:K,'AEO 2026 Table 23 '!$B:$B,"*,"&amp;$A17&amp;",*"),"")</f>
        <v>-3.5692082180841363E-4</v>
      </c>
      <c r="J17">
        <f>IFERROR((SUMIFS('AEO 2026 Table 23 '!M:M,'AEO 2026 Table 23 '!$B:$B,"*,"&amp;$A17&amp;",*")-SUMIFS('AEO 2026 Table 23 '!L:L,'AEO 2026 Table 23 '!$B:$B,"*,"&amp;$A17&amp;",*"))/SUMIFS('AEO 2026 Table 23 '!L:L,'AEO 2026 Table 23 '!$B:$B,"*,"&amp;$A17&amp;",*"),"")</f>
        <v>4.6102925636148148E-3</v>
      </c>
      <c r="K17">
        <f>IFERROR((SUMIFS('AEO 2026 Table 23 '!N:N,'AEO 2026 Table 23 '!$B:$B,"*,"&amp;$A17&amp;",*")-SUMIFS('AEO 2026 Table 23 '!M:M,'AEO 2026 Table 23 '!$B:$B,"*,"&amp;$A17&amp;",*"))/SUMIFS('AEO 2026 Table 23 '!M:M,'AEO 2026 Table 23 '!$B:$B,"*,"&amp;$A17&amp;",*"),"")</f>
        <v>5.8713176717311646E-3</v>
      </c>
      <c r="L17">
        <f>IFERROR((SUMIFS('AEO 2026 Table 23 '!O:O,'AEO 2026 Table 23 '!$B:$B,"*,"&amp;$A17&amp;",*")-SUMIFS('AEO 2026 Table 23 '!N:N,'AEO 2026 Table 23 '!$B:$B,"*,"&amp;$A17&amp;",*"))/SUMIFS('AEO 2026 Table 23 '!N:N,'AEO 2026 Table 23 '!$B:$B,"*,"&amp;$A17&amp;",*"),"")</f>
        <v>1.096075900833852E-2</v>
      </c>
      <c r="M17">
        <f>IFERROR((SUMIFS('AEO 2026 Table 23 '!P:P,'AEO 2026 Table 23 '!$B:$B,"*,"&amp;$A17&amp;",*")-SUMIFS('AEO 2026 Table 23 '!O:O,'AEO 2026 Table 23 '!$B:$B,"*,"&amp;$A17&amp;",*"))/SUMIFS('AEO 2026 Table 23 '!O:O,'AEO 2026 Table 23 '!$B:$B,"*,"&amp;$A17&amp;",*"),"")</f>
        <v>1.0947535287415971E-2</v>
      </c>
      <c r="N17">
        <f>IFERROR((SUMIFS('AEO 2026 Table 23 '!Q:Q,'AEO 2026 Table 23 '!$B:$B,"*,"&amp;$A17&amp;",*")-SUMIFS('AEO 2026 Table 23 '!P:P,'AEO 2026 Table 23 '!$B:$B,"*,"&amp;$A17&amp;",*"))/SUMIFS('AEO 2026 Table 23 '!P:P,'AEO 2026 Table 23 '!$B:$B,"*,"&amp;$A17&amp;",*"),"")</f>
        <v>1.1647639652423818E-2</v>
      </c>
      <c r="O17">
        <f>IFERROR((SUMIFS('AEO 2026 Table 23 '!R:R,'AEO 2026 Table 23 '!$B:$B,"*,"&amp;$A17&amp;",*")-SUMIFS('AEO 2026 Table 23 '!Q:Q,'AEO 2026 Table 23 '!$B:$B,"*,"&amp;$A17&amp;",*"))/SUMIFS('AEO 2026 Table 23 '!Q:Q,'AEO 2026 Table 23 '!$B:$B,"*,"&amp;$A17&amp;",*"),"")</f>
        <v>1.1971146388333052E-2</v>
      </c>
      <c r="P17">
        <f>IFERROR((SUMIFS('AEO 2026 Table 23 '!S:S,'AEO 2026 Table 23 '!$B:$B,"*,"&amp;$A17&amp;",*")-SUMIFS('AEO 2026 Table 23 '!R:R,'AEO 2026 Table 23 '!$B:$B,"*,"&amp;$A17&amp;",*"))/SUMIFS('AEO 2026 Table 23 '!R:R,'AEO 2026 Table 23 '!$B:$B,"*,"&amp;$A17&amp;",*"),"")</f>
        <v>1.3049614317436706E-2</v>
      </c>
      <c r="Q17">
        <f>IFERROR((SUMIFS('AEO 2026 Table 23 '!T:T,'AEO 2026 Table 23 '!$B:$B,"*,"&amp;$A17&amp;",*")-SUMIFS('AEO 2026 Table 23 '!S:S,'AEO 2026 Table 23 '!$B:$B,"*,"&amp;$A17&amp;",*"))/SUMIFS('AEO 2026 Table 23 '!S:S,'AEO 2026 Table 23 '!$B:$B,"*,"&amp;$A17&amp;",*"),"")</f>
        <v>1.3004727066106054E-2</v>
      </c>
      <c r="R17">
        <f>IFERROR((SUMIFS('AEO 2026 Table 23 '!U:U,'AEO 2026 Table 23 '!$B:$B,"*,"&amp;$A17&amp;",*")-SUMIFS('AEO 2026 Table 23 '!T:T,'AEO 2026 Table 23 '!$B:$B,"*,"&amp;$A17&amp;",*"))/SUMIFS('AEO 2026 Table 23 '!T:T,'AEO 2026 Table 23 '!$B:$B,"*,"&amp;$A17&amp;",*"),"")</f>
        <v>1.50061184439188E-2</v>
      </c>
      <c r="S17">
        <f>IFERROR((SUMIFS('AEO 2026 Table 23 '!V:V,'AEO 2026 Table 23 '!$B:$B,"*,"&amp;$A17&amp;",*")-SUMIFS('AEO 2026 Table 23 '!U:U,'AEO 2026 Table 23 '!$B:$B,"*,"&amp;$A17&amp;",*"))/SUMIFS('AEO 2026 Table 23 '!U:U,'AEO 2026 Table 23 '!$B:$B,"*,"&amp;$A17&amp;",*"),"")</f>
        <v>1.5748427723141875E-2</v>
      </c>
      <c r="T17">
        <f>IFERROR((SUMIFS('AEO 2026 Table 23 '!W:W,'AEO 2026 Table 23 '!$B:$B,"*,"&amp;$A17&amp;",*")-SUMIFS('AEO 2026 Table 23 '!V:V,'AEO 2026 Table 23 '!$B:$B,"*,"&amp;$A17&amp;",*"))/SUMIFS('AEO 2026 Table 23 '!V:V,'AEO 2026 Table 23 '!$B:$B,"*,"&amp;$A17&amp;",*"),"")</f>
        <v>1.7359441201003255E-2</v>
      </c>
      <c r="U17">
        <f>IFERROR((SUMIFS('AEO 2026 Table 23 '!X:X,'AEO 2026 Table 23 '!$B:$B,"*,"&amp;$A17&amp;",*")-SUMIFS('AEO 2026 Table 23 '!W:W,'AEO 2026 Table 23 '!$B:$B,"*,"&amp;$A17&amp;",*"))/SUMIFS('AEO 2026 Table 23 '!W:W,'AEO 2026 Table 23 '!$B:$B,"*,"&amp;$A17&amp;",*"),"")</f>
        <v>1.9693202215778183E-2</v>
      </c>
      <c r="V17">
        <f>IFERROR((SUMIFS('AEO 2026 Table 23 '!Y:Y,'AEO 2026 Table 23 '!$B:$B,"*,"&amp;$A17&amp;",*")-SUMIFS('AEO 2026 Table 23 '!X:X,'AEO 2026 Table 23 '!$B:$B,"*,"&amp;$A17&amp;",*"))/SUMIFS('AEO 2026 Table 23 '!X:X,'AEO 2026 Table 23 '!$B:$B,"*,"&amp;$A17&amp;",*"),"")</f>
        <v>1.8617996755474743E-2</v>
      </c>
      <c r="W17">
        <f>IFERROR((SUMIFS('AEO 2026 Table 23 '!Z:Z,'AEO 2026 Table 23 '!$B:$B,"*,"&amp;$A17&amp;",*")-SUMIFS('AEO 2026 Table 23 '!Y:Y,'AEO 2026 Table 23 '!$B:$B,"*,"&amp;$A17&amp;",*"))/SUMIFS('AEO 2026 Table 23 '!Y:Y,'AEO 2026 Table 23 '!$B:$B,"*,"&amp;$A17&amp;",*"),"")</f>
        <v>1.8944643380388912E-2</v>
      </c>
      <c r="X17">
        <f>IFERROR((SUMIFS('AEO 2026 Table 23 '!AA:AA,'AEO 2026 Table 23 '!$B:$B,"*,"&amp;$A17&amp;",*")-SUMIFS('AEO 2026 Table 23 '!Z:Z,'AEO 2026 Table 23 '!$B:$B,"*,"&amp;$A17&amp;",*"))/SUMIFS('AEO 2026 Table 23 '!Z:Z,'AEO 2026 Table 23 '!$B:$B,"*,"&amp;$A17&amp;",*"),"")</f>
        <v>2.0332594185957849E-2</v>
      </c>
      <c r="Y17">
        <f>IFERROR((SUMIFS('AEO 2026 Table 23 '!AB:AB,'AEO 2026 Table 23 '!$B:$B,"*,"&amp;$A17&amp;",*")-SUMIFS('AEO 2026 Table 23 '!AA:AA,'AEO 2026 Table 23 '!$B:$B,"*,"&amp;$A17&amp;",*"))/SUMIFS('AEO 2026 Table 23 '!AA:AA,'AEO 2026 Table 23 '!$B:$B,"*,"&amp;$A17&amp;",*"),"")</f>
        <v>2.159212028848706E-2</v>
      </c>
      <c r="Z17">
        <f>IFERROR((SUMIFS('AEO 2026 Table 23 '!AC:AC,'AEO 2026 Table 23 '!$B:$B,"*,"&amp;$A17&amp;",*")-SUMIFS('AEO 2026 Table 23 '!AB:AB,'AEO 2026 Table 23 '!$B:$B,"*,"&amp;$A17&amp;",*"))/SUMIFS('AEO 2026 Table 23 '!AB:AB,'AEO 2026 Table 23 '!$B:$B,"*,"&amp;$A17&amp;",*"),"")</f>
        <v>2.2091861117516778E-2</v>
      </c>
      <c r="AA17">
        <f>IFERROR((SUMIFS('AEO 2026 Table 23 '!AD:AD,'AEO 2026 Table 23 '!$B:$B,"*,"&amp;$A17&amp;",*")-SUMIFS('AEO 2026 Table 23 '!AC:AC,'AEO 2026 Table 23 '!$B:$B,"*,"&amp;$A17&amp;",*"))/SUMIFS('AEO 2026 Table 23 '!AC:AC,'AEO 2026 Table 23 '!$B:$B,"*,"&amp;$A17&amp;",*"),"")</f>
        <v>1.9605559354869986E-2</v>
      </c>
      <c r="AB17">
        <f>IFERROR((SUMIFS('AEO 2026 Table 23 '!AE:AE,'AEO 2026 Table 23 '!$B:$B,"*,"&amp;$A17&amp;",*")-SUMIFS('AEO 2026 Table 23 '!AD:AD,'AEO 2026 Table 23 '!$B:$B,"*,"&amp;$A17&amp;",*"))/SUMIFS('AEO 2026 Table 23 '!AD:AD,'AEO 2026 Table 23 '!$B:$B,"*,"&amp;$A17&amp;",*"),"")</f>
        <v>1.8448737017635143E-2</v>
      </c>
      <c r="AC17">
        <f>IFERROR((SUMIFS('AEO 2026 Table 23 '!AF:AF,'AEO 2026 Table 23 '!$B:$B,"*,"&amp;$A17&amp;",*")-SUMIFS('AEO 2026 Table 23 '!AE:AE,'AEO 2026 Table 23 '!$B:$B,"*,"&amp;$A17&amp;",*"))/SUMIFS('AEO 2026 Table 23 '!AE:AE,'AEO 2026 Table 23 '!$B:$B,"*,"&amp;$A17&amp;",*"),"")</f>
        <v>2.0216894756495168E-2</v>
      </c>
    </row>
    <row r="18" spans="1:29" x14ac:dyDescent="0.25">
      <c r="A18" t="s">
        <v>238</v>
      </c>
      <c r="B18">
        <f>IFERROR(SUMPRODUCT(--('BLS Table 2.11'!$L$1:$L$426=$A18),'BLS Table 2.11'!$J$1:$J$426,'BLS Table 2.11'!$K$1:$K$426)/SUMIFS('BLS Table 2.11'!$J$1:$J$426,'BLS Table 2.11'!$L$1:$L$426,$A18)/100,0)</f>
        <v>2.3999999999999994E-2</v>
      </c>
      <c r="D18" t="str">
        <f>IFERROR((SUMIFS('AEO 2026 Table 23 '!G:G,'AEO 2026 Table 23 '!$B:$B,"*,"&amp;$A18&amp;",*")-SUMIFS('AEO25 Table 23'!H:H,'AEO25 Table 23'!$B:$B,"*,"&amp;$A18&amp;",*"))/SUMIFS('AEO25 Table 23'!H:H,'AEO25 Table 23'!$B:$B,"*,"&amp;$A18&amp;",*"),"")</f>
        <v/>
      </c>
      <c r="E18" t="str">
        <f>IFERROR((SUMIFS('AEO 2026 Table 23 '!H:H,'AEO 2026 Table 23 '!$B:$B,"*,"&amp;$A18&amp;",*")-SUMIFS('AEO 2026 Table 23 '!G:G,'AEO 2026 Table 23 '!$B:$B,"*,"&amp;$A18&amp;",*"))/SUMIFS('AEO 2026 Table 23 '!G:G,'AEO 2026 Table 23 '!$B:$B,"*,"&amp;$A18&amp;",*"),"")</f>
        <v/>
      </c>
      <c r="F18" t="str">
        <f>IFERROR((SUMIFS('AEO 2026 Table 23 '!I:I,'AEO 2026 Table 23 '!$B:$B,"*,"&amp;$A18&amp;",*")-SUMIFS('AEO 2026 Table 23 '!H:H,'AEO 2026 Table 23 '!$B:$B,"*,"&amp;$A18&amp;",*"))/SUMIFS('AEO 2026 Table 23 '!H:H,'AEO 2026 Table 23 '!$B:$B,"*,"&amp;$A18&amp;",*"),"")</f>
        <v/>
      </c>
      <c r="G18" t="str">
        <f>IFERROR((SUMIFS('AEO 2026 Table 23 '!J:J,'AEO 2026 Table 23 '!$B:$B,"*,"&amp;$A18&amp;",*")-SUMIFS('AEO 2026 Table 23 '!I:I,'AEO 2026 Table 23 '!$B:$B,"*,"&amp;$A18&amp;",*"))/SUMIFS('AEO 2026 Table 23 '!I:I,'AEO 2026 Table 23 '!$B:$B,"*,"&amp;$A18&amp;",*"),"")</f>
        <v/>
      </c>
      <c r="H18" t="str">
        <f>IFERROR((SUMIFS('AEO 2026 Table 23 '!K:K,'AEO 2026 Table 23 '!$B:$B,"*,"&amp;$A18&amp;",*")-SUMIFS('AEO 2026 Table 23 '!J:J,'AEO 2026 Table 23 '!$B:$B,"*,"&amp;$A18&amp;",*"))/SUMIFS('AEO 2026 Table 23 '!J:J,'AEO 2026 Table 23 '!$B:$B,"*,"&amp;$A18&amp;",*"),"")</f>
        <v/>
      </c>
      <c r="I18" t="str">
        <f>IFERROR((SUMIFS('AEO 2026 Table 23 '!L:L,'AEO 2026 Table 23 '!$B:$B,"*,"&amp;$A18&amp;",*")-SUMIFS('AEO 2026 Table 23 '!K:K,'AEO 2026 Table 23 '!$B:$B,"*,"&amp;$A18&amp;",*"))/SUMIFS('AEO 2026 Table 23 '!K:K,'AEO 2026 Table 23 '!$B:$B,"*,"&amp;$A18&amp;",*"),"")</f>
        <v/>
      </c>
      <c r="J18" t="str">
        <f>IFERROR((SUMIFS('AEO 2026 Table 23 '!M:M,'AEO 2026 Table 23 '!$B:$B,"*,"&amp;$A18&amp;",*")-SUMIFS('AEO 2026 Table 23 '!L:L,'AEO 2026 Table 23 '!$B:$B,"*,"&amp;$A18&amp;",*"))/SUMIFS('AEO 2026 Table 23 '!L:L,'AEO 2026 Table 23 '!$B:$B,"*,"&amp;$A18&amp;",*"),"")</f>
        <v/>
      </c>
      <c r="K18" t="str">
        <f>IFERROR((SUMIFS('AEO 2026 Table 23 '!N:N,'AEO 2026 Table 23 '!$B:$B,"*,"&amp;$A18&amp;",*")-SUMIFS('AEO 2026 Table 23 '!M:M,'AEO 2026 Table 23 '!$B:$B,"*,"&amp;$A18&amp;",*"))/SUMIFS('AEO 2026 Table 23 '!M:M,'AEO 2026 Table 23 '!$B:$B,"*,"&amp;$A18&amp;",*"),"")</f>
        <v/>
      </c>
      <c r="L18" t="str">
        <f>IFERROR((SUMIFS('AEO 2026 Table 23 '!O:O,'AEO 2026 Table 23 '!$B:$B,"*,"&amp;$A18&amp;",*")-SUMIFS('AEO 2026 Table 23 '!N:N,'AEO 2026 Table 23 '!$B:$B,"*,"&amp;$A18&amp;",*"))/SUMIFS('AEO 2026 Table 23 '!N:N,'AEO 2026 Table 23 '!$B:$B,"*,"&amp;$A18&amp;",*"),"")</f>
        <v/>
      </c>
      <c r="M18" t="str">
        <f>IFERROR((SUMIFS('AEO 2026 Table 23 '!P:P,'AEO 2026 Table 23 '!$B:$B,"*,"&amp;$A18&amp;",*")-SUMIFS('AEO 2026 Table 23 '!O:O,'AEO 2026 Table 23 '!$B:$B,"*,"&amp;$A18&amp;",*"))/SUMIFS('AEO 2026 Table 23 '!O:O,'AEO 2026 Table 23 '!$B:$B,"*,"&amp;$A18&amp;",*"),"")</f>
        <v/>
      </c>
      <c r="N18" t="str">
        <f>IFERROR((SUMIFS('AEO 2026 Table 23 '!Q:Q,'AEO 2026 Table 23 '!$B:$B,"*,"&amp;$A18&amp;",*")-SUMIFS('AEO 2026 Table 23 '!P:P,'AEO 2026 Table 23 '!$B:$B,"*,"&amp;$A18&amp;",*"))/SUMIFS('AEO 2026 Table 23 '!P:P,'AEO 2026 Table 23 '!$B:$B,"*,"&amp;$A18&amp;",*"),"")</f>
        <v/>
      </c>
      <c r="O18" t="str">
        <f>IFERROR((SUMIFS('AEO 2026 Table 23 '!R:R,'AEO 2026 Table 23 '!$B:$B,"*,"&amp;$A18&amp;",*")-SUMIFS('AEO 2026 Table 23 '!Q:Q,'AEO 2026 Table 23 '!$B:$B,"*,"&amp;$A18&amp;",*"))/SUMIFS('AEO 2026 Table 23 '!Q:Q,'AEO 2026 Table 23 '!$B:$B,"*,"&amp;$A18&amp;",*"),"")</f>
        <v/>
      </c>
      <c r="P18" t="str">
        <f>IFERROR((SUMIFS('AEO 2026 Table 23 '!S:S,'AEO 2026 Table 23 '!$B:$B,"*,"&amp;$A18&amp;",*")-SUMIFS('AEO 2026 Table 23 '!R:R,'AEO 2026 Table 23 '!$B:$B,"*,"&amp;$A18&amp;",*"))/SUMIFS('AEO 2026 Table 23 '!R:R,'AEO 2026 Table 23 '!$B:$B,"*,"&amp;$A18&amp;",*"),"")</f>
        <v/>
      </c>
      <c r="Q18" t="str">
        <f>IFERROR((SUMIFS('AEO 2026 Table 23 '!T:T,'AEO 2026 Table 23 '!$B:$B,"*,"&amp;$A18&amp;",*")-SUMIFS('AEO 2026 Table 23 '!S:S,'AEO 2026 Table 23 '!$B:$B,"*,"&amp;$A18&amp;",*"))/SUMIFS('AEO 2026 Table 23 '!S:S,'AEO 2026 Table 23 '!$B:$B,"*,"&amp;$A18&amp;",*"),"")</f>
        <v/>
      </c>
      <c r="R18" t="str">
        <f>IFERROR((SUMIFS('AEO 2026 Table 23 '!U:U,'AEO 2026 Table 23 '!$B:$B,"*,"&amp;$A18&amp;",*")-SUMIFS('AEO 2026 Table 23 '!T:T,'AEO 2026 Table 23 '!$B:$B,"*,"&amp;$A18&amp;",*"))/SUMIFS('AEO 2026 Table 23 '!T:T,'AEO 2026 Table 23 '!$B:$B,"*,"&amp;$A18&amp;",*"),"")</f>
        <v/>
      </c>
      <c r="S18" t="str">
        <f>IFERROR((SUMIFS('AEO 2026 Table 23 '!V:V,'AEO 2026 Table 23 '!$B:$B,"*,"&amp;$A18&amp;",*")-SUMIFS('AEO 2026 Table 23 '!U:U,'AEO 2026 Table 23 '!$B:$B,"*,"&amp;$A18&amp;",*"))/SUMIFS('AEO 2026 Table 23 '!U:U,'AEO 2026 Table 23 '!$B:$B,"*,"&amp;$A18&amp;",*"),"")</f>
        <v/>
      </c>
      <c r="T18" t="str">
        <f>IFERROR((SUMIFS('AEO 2026 Table 23 '!W:W,'AEO 2026 Table 23 '!$B:$B,"*,"&amp;$A18&amp;",*")-SUMIFS('AEO 2026 Table 23 '!V:V,'AEO 2026 Table 23 '!$B:$B,"*,"&amp;$A18&amp;",*"))/SUMIFS('AEO 2026 Table 23 '!V:V,'AEO 2026 Table 23 '!$B:$B,"*,"&amp;$A18&amp;",*"),"")</f>
        <v/>
      </c>
      <c r="U18" t="str">
        <f>IFERROR((SUMIFS('AEO 2026 Table 23 '!X:X,'AEO 2026 Table 23 '!$B:$B,"*,"&amp;$A18&amp;",*")-SUMIFS('AEO 2026 Table 23 '!W:W,'AEO 2026 Table 23 '!$B:$B,"*,"&amp;$A18&amp;",*"))/SUMIFS('AEO 2026 Table 23 '!W:W,'AEO 2026 Table 23 '!$B:$B,"*,"&amp;$A18&amp;",*"),"")</f>
        <v/>
      </c>
      <c r="V18" t="str">
        <f>IFERROR((SUMIFS('AEO 2026 Table 23 '!Y:Y,'AEO 2026 Table 23 '!$B:$B,"*,"&amp;$A18&amp;",*")-SUMIFS('AEO 2026 Table 23 '!X:X,'AEO 2026 Table 23 '!$B:$B,"*,"&amp;$A18&amp;",*"))/SUMIFS('AEO 2026 Table 23 '!X:X,'AEO 2026 Table 23 '!$B:$B,"*,"&amp;$A18&amp;",*"),"")</f>
        <v/>
      </c>
      <c r="W18" t="str">
        <f>IFERROR((SUMIFS('AEO 2026 Table 23 '!Z:Z,'AEO 2026 Table 23 '!$B:$B,"*,"&amp;$A18&amp;",*")-SUMIFS('AEO 2026 Table 23 '!Y:Y,'AEO 2026 Table 23 '!$B:$B,"*,"&amp;$A18&amp;",*"))/SUMIFS('AEO 2026 Table 23 '!Y:Y,'AEO 2026 Table 23 '!$B:$B,"*,"&amp;$A18&amp;",*"),"")</f>
        <v/>
      </c>
      <c r="X18" t="str">
        <f>IFERROR((SUMIFS('AEO 2026 Table 23 '!AA:AA,'AEO 2026 Table 23 '!$B:$B,"*,"&amp;$A18&amp;",*")-SUMIFS('AEO 2026 Table 23 '!Z:Z,'AEO 2026 Table 23 '!$B:$B,"*,"&amp;$A18&amp;",*"))/SUMIFS('AEO 2026 Table 23 '!Z:Z,'AEO 2026 Table 23 '!$B:$B,"*,"&amp;$A18&amp;",*"),"")</f>
        <v/>
      </c>
      <c r="Y18" t="str">
        <f>IFERROR((SUMIFS('AEO 2026 Table 23 '!AB:AB,'AEO 2026 Table 23 '!$B:$B,"*,"&amp;$A18&amp;",*")-SUMIFS('AEO 2026 Table 23 '!AA:AA,'AEO 2026 Table 23 '!$B:$B,"*,"&amp;$A18&amp;",*"))/SUMIFS('AEO 2026 Table 23 '!AA:AA,'AEO 2026 Table 23 '!$B:$B,"*,"&amp;$A18&amp;",*"),"")</f>
        <v/>
      </c>
      <c r="Z18" t="str">
        <f>IFERROR((SUMIFS('AEO 2026 Table 23 '!AC:AC,'AEO 2026 Table 23 '!$B:$B,"*,"&amp;$A18&amp;",*")-SUMIFS('AEO 2026 Table 23 '!AB:AB,'AEO 2026 Table 23 '!$B:$B,"*,"&amp;$A18&amp;",*"))/SUMIFS('AEO 2026 Table 23 '!AB:AB,'AEO 2026 Table 23 '!$B:$B,"*,"&amp;$A18&amp;",*"),"")</f>
        <v/>
      </c>
      <c r="AA18" t="str">
        <f>IFERROR((SUMIFS('AEO 2026 Table 23 '!AD:AD,'AEO 2026 Table 23 '!$B:$B,"*,"&amp;$A18&amp;",*")-SUMIFS('AEO 2026 Table 23 '!AC:AC,'AEO 2026 Table 23 '!$B:$B,"*,"&amp;$A18&amp;",*"))/SUMIFS('AEO 2026 Table 23 '!AC:AC,'AEO 2026 Table 23 '!$B:$B,"*,"&amp;$A18&amp;",*"),"")</f>
        <v/>
      </c>
      <c r="AB18" t="str">
        <f>IFERROR((SUMIFS('AEO 2026 Table 23 '!AE:AE,'AEO 2026 Table 23 '!$B:$B,"*,"&amp;$A18&amp;",*")-SUMIFS('AEO 2026 Table 23 '!AD:AD,'AEO 2026 Table 23 '!$B:$B,"*,"&amp;$A18&amp;",*"))/SUMIFS('AEO 2026 Table 23 '!AD:AD,'AEO 2026 Table 23 '!$B:$B,"*,"&amp;$A18&amp;",*"),"")</f>
        <v/>
      </c>
      <c r="AC18" t="str">
        <f>IFERROR((SUMIFS('AEO 2026 Table 23 '!AF:AF,'AEO 2026 Table 23 '!$B:$B,"*,"&amp;$A18&amp;",*")-SUMIFS('AEO 2026 Table 23 '!AE:AE,'AEO 2026 Table 23 '!$B:$B,"*,"&amp;$A18&amp;",*"))/SUMIFS('AEO 2026 Table 23 '!AE:AE,'AEO 2026 Table 23 '!$B:$B,"*,"&amp;$A18&amp;",*"),"")</f>
        <v/>
      </c>
    </row>
    <row r="19" spans="1:29" x14ac:dyDescent="0.25">
      <c r="A19" t="s">
        <v>241</v>
      </c>
      <c r="B19">
        <f>IFERROR(SUMPRODUCT(--('BLS Table 2.11'!$L$1:$L$426=$A19),'BLS Table 2.11'!$J$1:$J$426,'BLS Table 2.11'!$K$1:$K$426)/SUMIFS('BLS Table 2.11'!$J$1:$J$426,'BLS Table 2.11'!$L$1:$L$426,$A19)/100,0)</f>
        <v>8.9999999999999993E-3</v>
      </c>
      <c r="D19">
        <f>IFERROR((SUMIFS('AEO 2026 Table 23 '!G:G,'AEO 2026 Table 23 '!$B:$B,"*,"&amp;$A19&amp;",*")-SUMIFS('AEO25 Table 23'!H:H,'AEO25 Table 23'!$B:$B,"*,"&amp;$A19&amp;",*"))/SUMIFS('AEO25 Table 23'!H:H,'AEO25 Table 23'!$B:$B,"*,"&amp;$A19&amp;",*"),"")</f>
        <v>1.7724214122440893E-2</v>
      </c>
      <c r="E19">
        <f>IFERROR((SUMIFS('AEO 2026 Table 23 '!H:H,'AEO 2026 Table 23 '!$B:$B,"*,"&amp;$A19&amp;",*")-SUMIFS('AEO 2026 Table 23 '!G:G,'AEO 2026 Table 23 '!$B:$B,"*,"&amp;$A19&amp;",*"))/SUMIFS('AEO 2026 Table 23 '!G:G,'AEO 2026 Table 23 '!$B:$B,"*,"&amp;$A19&amp;",*"),"")</f>
        <v>-5.8729664651617488E-3</v>
      </c>
      <c r="F19">
        <f>IFERROR((SUMIFS('AEO 2026 Table 23 '!I:I,'AEO 2026 Table 23 '!$B:$B,"*,"&amp;$A19&amp;",*")-SUMIFS('AEO 2026 Table 23 '!H:H,'AEO 2026 Table 23 '!$B:$B,"*,"&amp;$A19&amp;",*"))/SUMIFS('AEO 2026 Table 23 '!H:H,'AEO 2026 Table 23 '!$B:$B,"*,"&amp;$A19&amp;",*"),"")</f>
        <v>2.2595816437962872E-2</v>
      </c>
      <c r="G19">
        <f>IFERROR((SUMIFS('AEO 2026 Table 23 '!J:J,'AEO 2026 Table 23 '!$B:$B,"*,"&amp;$A19&amp;",*")-SUMIFS('AEO 2026 Table 23 '!I:I,'AEO 2026 Table 23 '!$B:$B,"*,"&amp;$A19&amp;",*"))/SUMIFS('AEO 2026 Table 23 '!I:I,'AEO 2026 Table 23 '!$B:$B,"*,"&amp;$A19&amp;",*"),"")</f>
        <v>1.2078391913637288E-2</v>
      </c>
      <c r="H19">
        <f>IFERROR((SUMIFS('AEO 2026 Table 23 '!K:K,'AEO 2026 Table 23 '!$B:$B,"*,"&amp;$A19&amp;",*")-SUMIFS('AEO 2026 Table 23 '!J:J,'AEO 2026 Table 23 '!$B:$B,"*,"&amp;$A19&amp;",*"))/SUMIFS('AEO 2026 Table 23 '!J:J,'AEO 2026 Table 23 '!$B:$B,"*,"&amp;$A19&amp;",*"),"")</f>
        <v>4.3401578051765564E-3</v>
      </c>
      <c r="I19">
        <f>IFERROR((SUMIFS('AEO 2026 Table 23 '!L:L,'AEO 2026 Table 23 '!$B:$B,"*,"&amp;$A19&amp;",*")-SUMIFS('AEO 2026 Table 23 '!K:K,'AEO 2026 Table 23 '!$B:$B,"*,"&amp;$A19&amp;",*"))/SUMIFS('AEO 2026 Table 23 '!K:K,'AEO 2026 Table 23 '!$B:$B,"*,"&amp;$A19&amp;",*"),"")</f>
        <v>1.0538330439854564E-2</v>
      </c>
      <c r="J19">
        <f>IFERROR((SUMIFS('AEO 2026 Table 23 '!M:M,'AEO 2026 Table 23 '!$B:$B,"*,"&amp;$A19&amp;",*")-SUMIFS('AEO 2026 Table 23 '!L:L,'AEO 2026 Table 23 '!$B:$B,"*,"&amp;$A19&amp;",*"))/SUMIFS('AEO 2026 Table 23 '!L:L,'AEO 2026 Table 23 '!$B:$B,"*,"&amp;$A19&amp;",*"),"")</f>
        <v>1.1919624433299109E-2</v>
      </c>
      <c r="K19">
        <f>IFERROR((SUMIFS('AEO 2026 Table 23 '!N:N,'AEO 2026 Table 23 '!$B:$B,"*,"&amp;$A19&amp;",*")-SUMIFS('AEO 2026 Table 23 '!M:M,'AEO 2026 Table 23 '!$B:$B,"*,"&amp;$A19&amp;",*"))/SUMIFS('AEO 2026 Table 23 '!M:M,'AEO 2026 Table 23 '!$B:$B,"*,"&amp;$A19&amp;",*"),"")</f>
        <v>7.2282865610519224E-3</v>
      </c>
      <c r="L19">
        <f>IFERROR((SUMIFS('AEO 2026 Table 23 '!O:O,'AEO 2026 Table 23 '!$B:$B,"*,"&amp;$A19&amp;",*")-SUMIFS('AEO 2026 Table 23 '!N:N,'AEO 2026 Table 23 '!$B:$B,"*,"&amp;$A19&amp;",*"))/SUMIFS('AEO 2026 Table 23 '!N:N,'AEO 2026 Table 23 '!$B:$B,"*,"&amp;$A19&amp;",*"),"")</f>
        <v>6.6818769513966106E-3</v>
      </c>
      <c r="M19">
        <f>IFERROR((SUMIFS('AEO 2026 Table 23 '!P:P,'AEO 2026 Table 23 '!$B:$B,"*,"&amp;$A19&amp;",*")-SUMIFS('AEO 2026 Table 23 '!O:O,'AEO 2026 Table 23 '!$B:$B,"*,"&amp;$A19&amp;",*"))/SUMIFS('AEO 2026 Table 23 '!O:O,'AEO 2026 Table 23 '!$B:$B,"*,"&amp;$A19&amp;",*"),"")</f>
        <v>4.4451834259098492E-3</v>
      </c>
      <c r="N19">
        <f>IFERROR((SUMIFS('AEO 2026 Table 23 '!Q:Q,'AEO 2026 Table 23 '!$B:$B,"*,"&amp;$A19&amp;",*")-SUMIFS('AEO 2026 Table 23 '!P:P,'AEO 2026 Table 23 '!$B:$B,"*,"&amp;$A19&amp;",*"))/SUMIFS('AEO 2026 Table 23 '!P:P,'AEO 2026 Table 23 '!$B:$B,"*,"&amp;$A19&amp;",*"),"")</f>
        <v>7.801068903021984E-3</v>
      </c>
      <c r="O19">
        <f>IFERROR((SUMIFS('AEO 2026 Table 23 '!R:R,'AEO 2026 Table 23 '!$B:$B,"*,"&amp;$A19&amp;",*")-SUMIFS('AEO 2026 Table 23 '!Q:Q,'AEO 2026 Table 23 '!$B:$B,"*,"&amp;$A19&amp;",*"))/SUMIFS('AEO 2026 Table 23 '!Q:Q,'AEO 2026 Table 23 '!$B:$B,"*,"&amp;$A19&amp;",*"),"")</f>
        <v>1.156324137291186E-2</v>
      </c>
      <c r="P19">
        <f>IFERROR((SUMIFS('AEO 2026 Table 23 '!S:S,'AEO 2026 Table 23 '!$B:$B,"*,"&amp;$A19&amp;",*")-SUMIFS('AEO 2026 Table 23 '!R:R,'AEO 2026 Table 23 '!$B:$B,"*,"&amp;$A19&amp;",*"))/SUMIFS('AEO 2026 Table 23 '!R:R,'AEO 2026 Table 23 '!$B:$B,"*,"&amp;$A19&amp;",*"),"")</f>
        <v>1.3563166417312762E-2</v>
      </c>
      <c r="Q19">
        <f>IFERROR((SUMIFS('AEO 2026 Table 23 '!T:T,'AEO 2026 Table 23 '!$B:$B,"*,"&amp;$A19&amp;",*")-SUMIFS('AEO 2026 Table 23 '!S:S,'AEO 2026 Table 23 '!$B:$B,"*,"&amp;$A19&amp;",*"))/SUMIFS('AEO 2026 Table 23 '!S:S,'AEO 2026 Table 23 '!$B:$B,"*,"&amp;$A19&amp;",*"),"")</f>
        <v>1.1960972313155602E-2</v>
      </c>
      <c r="R19">
        <f>IFERROR((SUMIFS('AEO 2026 Table 23 '!U:U,'AEO 2026 Table 23 '!$B:$B,"*,"&amp;$A19&amp;",*")-SUMIFS('AEO 2026 Table 23 '!T:T,'AEO 2026 Table 23 '!$B:$B,"*,"&amp;$A19&amp;",*"))/SUMIFS('AEO 2026 Table 23 '!T:T,'AEO 2026 Table 23 '!$B:$B,"*,"&amp;$A19&amp;",*"),"")</f>
        <v>9.8546563948202822E-3</v>
      </c>
      <c r="S19">
        <f>IFERROR((SUMIFS('AEO 2026 Table 23 '!V:V,'AEO 2026 Table 23 '!$B:$B,"*,"&amp;$A19&amp;",*")-SUMIFS('AEO 2026 Table 23 '!U:U,'AEO 2026 Table 23 '!$B:$B,"*,"&amp;$A19&amp;",*"))/SUMIFS('AEO 2026 Table 23 '!U:U,'AEO 2026 Table 23 '!$B:$B,"*,"&amp;$A19&amp;",*"),"")</f>
        <v>1.174260116409828E-2</v>
      </c>
      <c r="T19">
        <f>IFERROR((SUMIFS('AEO 2026 Table 23 '!W:W,'AEO 2026 Table 23 '!$B:$B,"*,"&amp;$A19&amp;",*")-SUMIFS('AEO 2026 Table 23 '!V:V,'AEO 2026 Table 23 '!$B:$B,"*,"&amp;$A19&amp;",*"))/SUMIFS('AEO 2026 Table 23 '!V:V,'AEO 2026 Table 23 '!$B:$B,"*,"&amp;$A19&amp;",*"),"")</f>
        <v>1.1727669794060551E-2</v>
      </c>
      <c r="U19">
        <f>IFERROR((SUMIFS('AEO 2026 Table 23 '!X:X,'AEO 2026 Table 23 '!$B:$B,"*,"&amp;$A19&amp;",*")-SUMIFS('AEO 2026 Table 23 '!W:W,'AEO 2026 Table 23 '!$B:$B,"*,"&amp;$A19&amp;",*"))/SUMIFS('AEO 2026 Table 23 '!W:W,'AEO 2026 Table 23 '!$B:$B,"*,"&amp;$A19&amp;",*"),"")</f>
        <v>1.2452812401855015E-2</v>
      </c>
      <c r="V19">
        <f>IFERROR((SUMIFS('AEO 2026 Table 23 '!Y:Y,'AEO 2026 Table 23 '!$B:$B,"*,"&amp;$A19&amp;",*")-SUMIFS('AEO 2026 Table 23 '!X:X,'AEO 2026 Table 23 '!$B:$B,"*,"&amp;$A19&amp;",*"))/SUMIFS('AEO 2026 Table 23 '!X:X,'AEO 2026 Table 23 '!$B:$B,"*,"&amp;$A19&amp;",*"),"")</f>
        <v>1.1472657296259773E-2</v>
      </c>
      <c r="W19">
        <f>IFERROR((SUMIFS('AEO 2026 Table 23 '!Z:Z,'AEO 2026 Table 23 '!$B:$B,"*,"&amp;$A19&amp;",*")-SUMIFS('AEO 2026 Table 23 '!Y:Y,'AEO 2026 Table 23 '!$B:$B,"*,"&amp;$A19&amp;",*"))/SUMIFS('AEO 2026 Table 23 '!Y:Y,'AEO 2026 Table 23 '!$B:$B,"*,"&amp;$A19&amp;",*"),"")</f>
        <v>1.1588169071967315E-2</v>
      </c>
      <c r="X19">
        <f>IFERROR((SUMIFS('AEO 2026 Table 23 '!AA:AA,'AEO 2026 Table 23 '!$B:$B,"*,"&amp;$A19&amp;",*")-SUMIFS('AEO 2026 Table 23 '!Z:Z,'AEO 2026 Table 23 '!$B:$B,"*,"&amp;$A19&amp;",*"))/SUMIFS('AEO 2026 Table 23 '!Z:Z,'AEO 2026 Table 23 '!$B:$B,"*,"&amp;$A19&amp;",*"),"")</f>
        <v>1.2545356154554065E-2</v>
      </c>
      <c r="Y19">
        <f>IFERROR((SUMIFS('AEO 2026 Table 23 '!AB:AB,'AEO 2026 Table 23 '!$B:$B,"*,"&amp;$A19&amp;",*")-SUMIFS('AEO 2026 Table 23 '!AA:AA,'AEO 2026 Table 23 '!$B:$B,"*,"&amp;$A19&amp;",*"))/SUMIFS('AEO 2026 Table 23 '!AA:AA,'AEO 2026 Table 23 '!$B:$B,"*,"&amp;$A19&amp;",*"),"")</f>
        <v>1.0739513161443172E-2</v>
      </c>
      <c r="Z19">
        <f>IFERROR((SUMIFS('AEO 2026 Table 23 '!AC:AC,'AEO 2026 Table 23 '!$B:$B,"*,"&amp;$A19&amp;",*")-SUMIFS('AEO 2026 Table 23 '!AB:AB,'AEO 2026 Table 23 '!$B:$B,"*,"&amp;$A19&amp;",*"))/SUMIFS('AEO 2026 Table 23 '!AB:AB,'AEO 2026 Table 23 '!$B:$B,"*,"&amp;$A19&amp;",*"),"")</f>
        <v>9.7885266276422963E-3</v>
      </c>
      <c r="AA19">
        <f>IFERROR((SUMIFS('AEO 2026 Table 23 '!AD:AD,'AEO 2026 Table 23 '!$B:$B,"*,"&amp;$A19&amp;",*")-SUMIFS('AEO 2026 Table 23 '!AC:AC,'AEO 2026 Table 23 '!$B:$B,"*,"&amp;$A19&amp;",*"))/SUMIFS('AEO 2026 Table 23 '!AC:AC,'AEO 2026 Table 23 '!$B:$B,"*,"&amp;$A19&amp;",*"),"")</f>
        <v>7.7790196882548965E-3</v>
      </c>
      <c r="AB19">
        <f>IFERROR((SUMIFS('AEO 2026 Table 23 '!AE:AE,'AEO 2026 Table 23 '!$B:$B,"*,"&amp;$A19&amp;",*")-SUMIFS('AEO 2026 Table 23 '!AD:AD,'AEO 2026 Table 23 '!$B:$B,"*,"&amp;$A19&amp;",*"))/SUMIFS('AEO 2026 Table 23 '!AD:AD,'AEO 2026 Table 23 '!$B:$B,"*,"&amp;$A19&amp;",*"),"")</f>
        <v>1.0818719628259659E-2</v>
      </c>
      <c r="AC19">
        <f>IFERROR((SUMIFS('AEO 2026 Table 23 '!AF:AF,'AEO 2026 Table 23 '!$B:$B,"*,"&amp;$A19&amp;",*")-SUMIFS('AEO 2026 Table 23 '!AE:AE,'AEO 2026 Table 23 '!$B:$B,"*,"&amp;$A19&amp;",*"))/SUMIFS('AEO 2026 Table 23 '!AE:AE,'AEO 2026 Table 23 '!$B:$B,"*,"&amp;$A19&amp;",*"),"")</f>
        <v>1.0677986911461358E-2</v>
      </c>
    </row>
    <row r="20" spans="1:29" x14ac:dyDescent="0.25">
      <c r="A20" t="s">
        <v>1214</v>
      </c>
      <c r="B20">
        <f>IFERROR(SUMPRODUCT(--('BLS Table 2.11'!$L$1:$L$426=$A20),'BLS Table 2.11'!$J$1:$J$426,'BLS Table 2.11'!$K$1:$K$426)/SUMIFS('BLS Table 2.11'!$J$1:$J$426,'BLS Table 2.11'!$L$1:$L$426,$A20)/100,0)</f>
        <v>0</v>
      </c>
      <c r="D20">
        <f>IFERROR((SUMIFS('AEO 2026 Table 23 '!G:G,'AEO 2026 Table 23 '!$B:$B,"*,"&amp;$A20&amp;",*")-SUMIFS('AEO25 Table 23'!H:H,'AEO25 Table 23'!$B:$B,"*,"&amp;$A20&amp;",*"))/SUMIFS('AEO25 Table 23'!H:H,'AEO25 Table 23'!$B:$B,"*,"&amp;$A20&amp;",*"),"")</f>
        <v>-6.2233199213274646E-3</v>
      </c>
      <c r="E20">
        <f>IFERROR((SUMIFS('AEO 2026 Table 23 '!H:H,'AEO 2026 Table 23 '!$B:$B,"*,"&amp;$A20&amp;",*")-SUMIFS('AEO 2026 Table 23 '!G:G,'AEO 2026 Table 23 '!$B:$B,"*,"&amp;$A20&amp;",*"))/SUMIFS('AEO 2026 Table 23 '!G:G,'AEO 2026 Table 23 '!$B:$B,"*,"&amp;$A20&amp;",*"),"")</f>
        <v>6.0720253666557411E-4</v>
      </c>
      <c r="F20">
        <f>IFERROR((SUMIFS('AEO 2026 Table 23 '!I:I,'AEO 2026 Table 23 '!$B:$B,"*,"&amp;$A20&amp;",*")-SUMIFS('AEO 2026 Table 23 '!H:H,'AEO 2026 Table 23 '!$B:$B,"*,"&amp;$A20&amp;",*"))/SUMIFS('AEO 2026 Table 23 '!H:H,'AEO 2026 Table 23 '!$B:$B,"*,"&amp;$A20&amp;",*"),"")</f>
        <v>2.462216093873312E-3</v>
      </c>
      <c r="G20">
        <f>IFERROR((SUMIFS('AEO 2026 Table 23 '!J:J,'AEO 2026 Table 23 '!$B:$B,"*,"&amp;$A20&amp;",*")-SUMIFS('AEO 2026 Table 23 '!I:I,'AEO 2026 Table 23 '!$B:$B,"*,"&amp;$A20&amp;",*"))/SUMIFS('AEO 2026 Table 23 '!I:I,'AEO 2026 Table 23 '!$B:$B,"*,"&amp;$A20&amp;",*"),"")</f>
        <v>-1.1643884753133231E-3</v>
      </c>
      <c r="H20">
        <f>IFERROR((SUMIFS('AEO 2026 Table 23 '!K:K,'AEO 2026 Table 23 '!$B:$B,"*,"&amp;$A20&amp;",*")-SUMIFS('AEO 2026 Table 23 '!J:J,'AEO 2026 Table 23 '!$B:$B,"*,"&amp;$A20&amp;",*"))/SUMIFS('AEO 2026 Table 23 '!J:J,'AEO 2026 Table 23 '!$B:$B,"*,"&amp;$A20&amp;",*"),"")</f>
        <v>-1.5622717482911286E-3</v>
      </c>
      <c r="I20">
        <f>IFERROR((SUMIFS('AEO 2026 Table 23 '!L:L,'AEO 2026 Table 23 '!$B:$B,"*,"&amp;$A20&amp;",*")-SUMIFS('AEO 2026 Table 23 '!K:K,'AEO 2026 Table 23 '!$B:$B,"*,"&amp;$A20&amp;",*"))/SUMIFS('AEO 2026 Table 23 '!K:K,'AEO 2026 Table 23 '!$B:$B,"*,"&amp;$A20&amp;",*"),"")</f>
        <v>4.2884677077444577E-4</v>
      </c>
      <c r="J20">
        <f>IFERROR((SUMIFS('AEO 2026 Table 23 '!M:M,'AEO 2026 Table 23 '!$B:$B,"*,"&amp;$A20&amp;",*")-SUMIFS('AEO 2026 Table 23 '!L:L,'AEO 2026 Table 23 '!$B:$B,"*,"&amp;$A20&amp;",*"))/SUMIFS('AEO 2026 Table 23 '!L:L,'AEO 2026 Table 23 '!$B:$B,"*,"&amp;$A20&amp;",*"),"")</f>
        <v>1.7034488687376508E-3</v>
      </c>
      <c r="K20">
        <f>IFERROR((SUMIFS('AEO 2026 Table 23 '!N:N,'AEO 2026 Table 23 '!$B:$B,"*,"&amp;$A20&amp;",*")-SUMIFS('AEO 2026 Table 23 '!M:M,'AEO 2026 Table 23 '!$B:$B,"*,"&amp;$A20&amp;",*"))/SUMIFS('AEO 2026 Table 23 '!M:M,'AEO 2026 Table 23 '!$B:$B,"*,"&amp;$A20&amp;",*"),"")</f>
        <v>4.0618398053844373E-3</v>
      </c>
      <c r="L20">
        <f>IFERROR((SUMIFS('AEO 2026 Table 23 '!O:O,'AEO 2026 Table 23 '!$B:$B,"*,"&amp;$A20&amp;",*")-SUMIFS('AEO 2026 Table 23 '!N:N,'AEO 2026 Table 23 '!$B:$B,"*,"&amp;$A20&amp;",*"))/SUMIFS('AEO 2026 Table 23 '!N:N,'AEO 2026 Table 23 '!$B:$B,"*,"&amp;$A20&amp;",*"),"")</f>
        <v>6.6316131750683007E-3</v>
      </c>
      <c r="M20">
        <f>IFERROR((SUMIFS('AEO 2026 Table 23 '!P:P,'AEO 2026 Table 23 '!$B:$B,"*,"&amp;$A20&amp;",*")-SUMIFS('AEO 2026 Table 23 '!O:O,'AEO 2026 Table 23 '!$B:$B,"*,"&amp;$A20&amp;",*"))/SUMIFS('AEO 2026 Table 23 '!O:O,'AEO 2026 Table 23 '!$B:$B,"*,"&amp;$A20&amp;",*"),"")</f>
        <v>8.3090056745117793E-3</v>
      </c>
      <c r="N20">
        <f>IFERROR((SUMIFS('AEO 2026 Table 23 '!Q:Q,'AEO 2026 Table 23 '!$B:$B,"*,"&amp;$A20&amp;",*")-SUMIFS('AEO 2026 Table 23 '!P:P,'AEO 2026 Table 23 '!$B:$B,"*,"&amp;$A20&amp;",*"))/SUMIFS('AEO 2026 Table 23 '!P:P,'AEO 2026 Table 23 '!$B:$B,"*,"&amp;$A20&amp;",*"),"")</f>
        <v>1.0367982306368139E-2</v>
      </c>
      <c r="O20">
        <f>IFERROR((SUMIFS('AEO 2026 Table 23 '!R:R,'AEO 2026 Table 23 '!$B:$B,"*,"&amp;$A20&amp;",*")-SUMIFS('AEO 2026 Table 23 '!Q:Q,'AEO 2026 Table 23 '!$B:$B,"*,"&amp;$A20&amp;",*"))/SUMIFS('AEO 2026 Table 23 '!Q:Q,'AEO 2026 Table 23 '!$B:$B,"*,"&amp;$A20&amp;",*"),"")</f>
        <v>1.022946050450438E-2</v>
      </c>
      <c r="P20">
        <f>IFERROR((SUMIFS('AEO 2026 Table 23 '!S:S,'AEO 2026 Table 23 '!$B:$B,"*,"&amp;$A20&amp;",*")-SUMIFS('AEO 2026 Table 23 '!R:R,'AEO 2026 Table 23 '!$B:$B,"*,"&amp;$A20&amp;",*"))/SUMIFS('AEO 2026 Table 23 '!R:R,'AEO 2026 Table 23 '!$B:$B,"*,"&amp;$A20&amp;",*"),"")</f>
        <v>9.6879481922688502E-3</v>
      </c>
      <c r="Q20">
        <f>IFERROR((SUMIFS('AEO 2026 Table 23 '!T:T,'AEO 2026 Table 23 '!$B:$B,"*,"&amp;$A20&amp;",*")-SUMIFS('AEO 2026 Table 23 '!S:S,'AEO 2026 Table 23 '!$B:$B,"*,"&amp;$A20&amp;",*"))/SUMIFS('AEO 2026 Table 23 '!S:S,'AEO 2026 Table 23 '!$B:$B,"*,"&amp;$A20&amp;",*"),"")</f>
        <v>1.0119030407614882E-2</v>
      </c>
      <c r="R20">
        <f>IFERROR((SUMIFS('AEO 2026 Table 23 '!U:U,'AEO 2026 Table 23 '!$B:$B,"*,"&amp;$A20&amp;",*")-SUMIFS('AEO 2026 Table 23 '!T:T,'AEO 2026 Table 23 '!$B:$B,"*,"&amp;$A20&amp;",*"))/SUMIFS('AEO 2026 Table 23 '!T:T,'AEO 2026 Table 23 '!$B:$B,"*,"&amp;$A20&amp;",*"),"")</f>
        <v>9.9271535032241578E-3</v>
      </c>
      <c r="S20">
        <f>IFERROR((SUMIFS('AEO 2026 Table 23 '!V:V,'AEO 2026 Table 23 '!$B:$B,"*,"&amp;$A20&amp;",*")-SUMIFS('AEO 2026 Table 23 '!U:U,'AEO 2026 Table 23 '!$B:$B,"*,"&amp;$A20&amp;",*"))/SUMIFS('AEO 2026 Table 23 '!U:U,'AEO 2026 Table 23 '!$B:$B,"*,"&amp;$A20&amp;",*"),"")</f>
        <v>1.0068817804085108E-2</v>
      </c>
      <c r="T20">
        <f>IFERROR((SUMIFS('AEO 2026 Table 23 '!W:W,'AEO 2026 Table 23 '!$B:$B,"*,"&amp;$A20&amp;",*")-SUMIFS('AEO 2026 Table 23 '!V:V,'AEO 2026 Table 23 '!$B:$B,"*,"&amp;$A20&amp;",*"))/SUMIFS('AEO 2026 Table 23 '!V:V,'AEO 2026 Table 23 '!$B:$B,"*,"&amp;$A20&amp;",*"),"")</f>
        <v>1.0497726662871541E-2</v>
      </c>
      <c r="U20">
        <f>IFERROR((SUMIFS('AEO 2026 Table 23 '!X:X,'AEO 2026 Table 23 '!$B:$B,"*,"&amp;$A20&amp;",*")-SUMIFS('AEO 2026 Table 23 '!W:W,'AEO 2026 Table 23 '!$B:$B,"*,"&amp;$A20&amp;",*"))/SUMIFS('AEO 2026 Table 23 '!W:W,'AEO 2026 Table 23 '!$B:$B,"*,"&amp;$A20&amp;",*"),"")</f>
        <v>1.0773685175757294E-2</v>
      </c>
      <c r="V20">
        <f>IFERROR((SUMIFS('AEO 2026 Table 23 '!Y:Y,'AEO 2026 Table 23 '!$B:$B,"*,"&amp;$A20&amp;",*")-SUMIFS('AEO 2026 Table 23 '!X:X,'AEO 2026 Table 23 '!$B:$B,"*,"&amp;$A20&amp;",*"))/SUMIFS('AEO 2026 Table 23 '!X:X,'AEO 2026 Table 23 '!$B:$B,"*,"&amp;$A20&amp;",*"),"")</f>
        <v>1.1043783809229451E-2</v>
      </c>
      <c r="W20">
        <f>IFERROR((SUMIFS('AEO 2026 Table 23 '!Z:Z,'AEO 2026 Table 23 '!$B:$B,"*,"&amp;$A20&amp;",*")-SUMIFS('AEO 2026 Table 23 '!Y:Y,'AEO 2026 Table 23 '!$B:$B,"*,"&amp;$A20&amp;",*"))/SUMIFS('AEO 2026 Table 23 '!Y:Y,'AEO 2026 Table 23 '!$B:$B,"*,"&amp;$A20&amp;",*"),"")</f>
        <v>1.0784684936775644E-2</v>
      </c>
      <c r="X20">
        <f>IFERROR((SUMIFS('AEO 2026 Table 23 '!AA:AA,'AEO 2026 Table 23 '!$B:$B,"*,"&amp;$A20&amp;",*")-SUMIFS('AEO 2026 Table 23 '!Z:Z,'AEO 2026 Table 23 '!$B:$B,"*,"&amp;$A20&amp;",*"))/SUMIFS('AEO 2026 Table 23 '!Z:Z,'AEO 2026 Table 23 '!$B:$B,"*,"&amp;$A20&amp;",*"),"")</f>
        <v>1.1019399231148896E-2</v>
      </c>
      <c r="Y20">
        <f>IFERROR((SUMIFS('AEO 2026 Table 23 '!AB:AB,'AEO 2026 Table 23 '!$B:$B,"*,"&amp;$A20&amp;",*")-SUMIFS('AEO 2026 Table 23 '!AA:AA,'AEO 2026 Table 23 '!$B:$B,"*,"&amp;$A20&amp;",*"))/SUMIFS('AEO 2026 Table 23 '!AA:AA,'AEO 2026 Table 23 '!$B:$B,"*,"&amp;$A20&amp;",*"),"")</f>
        <v>1.1072157805751538E-2</v>
      </c>
      <c r="Z20">
        <f>IFERROR((SUMIFS('AEO 2026 Table 23 '!AC:AC,'AEO 2026 Table 23 '!$B:$B,"*,"&amp;$A20&amp;",*")-SUMIFS('AEO 2026 Table 23 '!AB:AB,'AEO 2026 Table 23 '!$B:$B,"*,"&amp;$A20&amp;",*"))/SUMIFS('AEO 2026 Table 23 '!AB:AB,'AEO 2026 Table 23 '!$B:$B,"*,"&amp;$A20&amp;",*"),"")</f>
        <v>1.0968535414627783E-2</v>
      </c>
      <c r="AA20">
        <f>IFERROR((SUMIFS('AEO 2026 Table 23 '!AD:AD,'AEO 2026 Table 23 '!$B:$B,"*,"&amp;$A20&amp;",*")-SUMIFS('AEO 2026 Table 23 '!AC:AC,'AEO 2026 Table 23 '!$B:$B,"*,"&amp;$A20&amp;",*"))/SUMIFS('AEO 2026 Table 23 '!AC:AC,'AEO 2026 Table 23 '!$B:$B,"*,"&amp;$A20&amp;",*"),"")</f>
        <v>1.0972790190006026E-2</v>
      </c>
      <c r="AB20">
        <f>IFERROR((SUMIFS('AEO 2026 Table 23 '!AE:AE,'AEO 2026 Table 23 '!$B:$B,"*,"&amp;$A20&amp;",*")-SUMIFS('AEO 2026 Table 23 '!AD:AD,'AEO 2026 Table 23 '!$B:$B,"*,"&amp;$A20&amp;",*"))/SUMIFS('AEO 2026 Table 23 '!AD:AD,'AEO 2026 Table 23 '!$B:$B,"*,"&amp;$A20&amp;",*"),"")</f>
        <v>1.0452646000722115E-2</v>
      </c>
      <c r="AC20">
        <f>IFERROR((SUMIFS('AEO 2026 Table 23 '!AF:AF,'AEO 2026 Table 23 '!$B:$B,"*,"&amp;$A20&amp;",*")-SUMIFS('AEO 2026 Table 23 '!AE:AE,'AEO 2026 Table 23 '!$B:$B,"*,"&amp;$A20&amp;",*"))/SUMIFS('AEO 2026 Table 23 '!AE:AE,'AEO 2026 Table 23 '!$B:$B,"*,"&amp;$A20&amp;",*"),"")</f>
        <v>1.03805003689426E-2</v>
      </c>
    </row>
    <row r="21" spans="1:29" x14ac:dyDescent="0.25">
      <c r="A21" t="s">
        <v>248</v>
      </c>
      <c r="B21">
        <f>IFERROR(SUMPRODUCT(--('BLS Table 2.11'!$L$1:$L$426=$A21),'BLS Table 2.11'!$J$1:$J$426,'BLS Table 2.11'!$K$1:$K$426)/SUMIFS('BLS Table 2.11'!$J$1:$J$426,'BLS Table 2.11'!$L$1:$L$426,$A21)/100,0)</f>
        <v>1.4999999999999999E-2</v>
      </c>
      <c r="D21">
        <f>IFERROR((SUMIFS('AEO 2026 Table 23 '!G:G,'AEO 2026 Table 23 '!$B:$B,"*,"&amp;$A21&amp;",*")-SUMIFS('AEO25 Table 23'!H:H,'AEO25 Table 23'!$B:$B,"*,"&amp;$A21&amp;",*"))/SUMIFS('AEO25 Table 23'!H:H,'AEO25 Table 23'!$B:$B,"*,"&amp;$A21&amp;",*"),"")</f>
        <v>3.3677125558882557E-3</v>
      </c>
      <c r="E21">
        <f>IFERROR((SUMIFS('AEO 2026 Table 23 '!H:H,'AEO 2026 Table 23 '!$B:$B,"*,"&amp;$A21&amp;",*")-SUMIFS('AEO 2026 Table 23 '!G:G,'AEO 2026 Table 23 '!$B:$B,"*,"&amp;$A21&amp;",*"))/SUMIFS('AEO 2026 Table 23 '!G:G,'AEO 2026 Table 23 '!$B:$B,"*,"&amp;$A21&amp;",*"),"")</f>
        <v>-1.6100321389836129E-2</v>
      </c>
      <c r="F21">
        <f>IFERROR((SUMIFS('AEO 2026 Table 23 '!I:I,'AEO 2026 Table 23 '!$B:$B,"*,"&amp;$A21&amp;",*")-SUMIFS('AEO 2026 Table 23 '!H:H,'AEO 2026 Table 23 '!$B:$B,"*,"&amp;$A21&amp;",*"))/SUMIFS('AEO 2026 Table 23 '!H:H,'AEO 2026 Table 23 '!$B:$B,"*,"&amp;$A21&amp;",*"),"")</f>
        <v>-1.7324661384306477E-2</v>
      </c>
      <c r="G21">
        <f>IFERROR((SUMIFS('AEO 2026 Table 23 '!J:J,'AEO 2026 Table 23 '!$B:$B,"*,"&amp;$A21&amp;",*")-SUMIFS('AEO 2026 Table 23 '!I:I,'AEO 2026 Table 23 '!$B:$B,"*,"&amp;$A21&amp;",*"))/SUMIFS('AEO 2026 Table 23 '!I:I,'AEO 2026 Table 23 '!$B:$B,"*,"&amp;$A21&amp;",*"),"")</f>
        <v>-3.0661376246751849E-3</v>
      </c>
      <c r="H21">
        <f>IFERROR((SUMIFS('AEO 2026 Table 23 '!K:K,'AEO 2026 Table 23 '!$B:$B,"*,"&amp;$A21&amp;",*")-SUMIFS('AEO 2026 Table 23 '!J:J,'AEO 2026 Table 23 '!$B:$B,"*,"&amp;$A21&amp;",*"))/SUMIFS('AEO 2026 Table 23 '!J:J,'AEO 2026 Table 23 '!$B:$B,"*,"&amp;$A21&amp;",*"),"")</f>
        <v>-2.8177861535687836E-3</v>
      </c>
      <c r="I21">
        <f>IFERROR((SUMIFS('AEO 2026 Table 23 '!L:L,'AEO 2026 Table 23 '!$B:$B,"*,"&amp;$A21&amp;",*")-SUMIFS('AEO 2026 Table 23 '!K:K,'AEO 2026 Table 23 '!$B:$B,"*,"&amp;$A21&amp;",*"))/SUMIFS('AEO 2026 Table 23 '!K:K,'AEO 2026 Table 23 '!$B:$B,"*,"&amp;$A21&amp;",*"),"")</f>
        <v>2.9511020407673163E-3</v>
      </c>
      <c r="J21">
        <f>IFERROR((SUMIFS('AEO 2026 Table 23 '!M:M,'AEO 2026 Table 23 '!$B:$B,"*,"&amp;$A21&amp;",*")-SUMIFS('AEO 2026 Table 23 '!L:L,'AEO 2026 Table 23 '!$B:$B,"*,"&amp;$A21&amp;",*"))/SUMIFS('AEO 2026 Table 23 '!L:L,'AEO 2026 Table 23 '!$B:$B,"*,"&amp;$A21&amp;",*"),"")</f>
        <v>7.4787593155879887E-3</v>
      </c>
      <c r="K21">
        <f>IFERROR((SUMIFS('AEO 2026 Table 23 '!N:N,'AEO 2026 Table 23 '!$B:$B,"*,"&amp;$A21&amp;",*")-SUMIFS('AEO 2026 Table 23 '!M:M,'AEO 2026 Table 23 '!$B:$B,"*,"&amp;$A21&amp;",*"))/SUMIFS('AEO 2026 Table 23 '!M:M,'AEO 2026 Table 23 '!$B:$B,"*,"&amp;$A21&amp;",*"),"")</f>
        <v>6.8072293280255691E-3</v>
      </c>
      <c r="L21">
        <f>IFERROR((SUMIFS('AEO 2026 Table 23 '!O:O,'AEO 2026 Table 23 '!$B:$B,"*,"&amp;$A21&amp;",*")-SUMIFS('AEO 2026 Table 23 '!N:N,'AEO 2026 Table 23 '!$B:$B,"*,"&amp;$A21&amp;",*"))/SUMIFS('AEO 2026 Table 23 '!N:N,'AEO 2026 Table 23 '!$B:$B,"*,"&amp;$A21&amp;",*"),"")</f>
        <v>9.3879042406030001E-3</v>
      </c>
      <c r="M21">
        <f>IFERROR((SUMIFS('AEO 2026 Table 23 '!P:P,'AEO 2026 Table 23 '!$B:$B,"*,"&amp;$A21&amp;",*")-SUMIFS('AEO 2026 Table 23 '!O:O,'AEO 2026 Table 23 '!$B:$B,"*,"&amp;$A21&amp;",*"))/SUMIFS('AEO 2026 Table 23 '!O:O,'AEO 2026 Table 23 '!$B:$B,"*,"&amp;$A21&amp;",*"),"")</f>
        <v>9.8625353808258764E-3</v>
      </c>
      <c r="N21">
        <f>IFERROR((SUMIFS('AEO 2026 Table 23 '!Q:Q,'AEO 2026 Table 23 '!$B:$B,"*,"&amp;$A21&amp;",*")-SUMIFS('AEO 2026 Table 23 '!P:P,'AEO 2026 Table 23 '!$B:$B,"*,"&amp;$A21&amp;",*"))/SUMIFS('AEO 2026 Table 23 '!P:P,'AEO 2026 Table 23 '!$B:$B,"*,"&amp;$A21&amp;",*"),"")</f>
        <v>9.5639538061506116E-3</v>
      </c>
      <c r="O21">
        <f>IFERROR((SUMIFS('AEO 2026 Table 23 '!R:R,'AEO 2026 Table 23 '!$B:$B,"*,"&amp;$A21&amp;",*")-SUMIFS('AEO 2026 Table 23 '!Q:Q,'AEO 2026 Table 23 '!$B:$B,"*,"&amp;$A21&amp;",*"))/SUMIFS('AEO 2026 Table 23 '!Q:Q,'AEO 2026 Table 23 '!$B:$B,"*,"&amp;$A21&amp;",*"),"")</f>
        <v>9.9268087496195406E-3</v>
      </c>
      <c r="P21">
        <f>IFERROR((SUMIFS('AEO 2026 Table 23 '!S:S,'AEO 2026 Table 23 '!$B:$B,"*,"&amp;$A21&amp;",*")-SUMIFS('AEO 2026 Table 23 '!R:R,'AEO 2026 Table 23 '!$B:$B,"*,"&amp;$A21&amp;",*"))/SUMIFS('AEO 2026 Table 23 '!R:R,'AEO 2026 Table 23 '!$B:$B,"*,"&amp;$A21&amp;",*"),"")</f>
        <v>8.8885770497311549E-3</v>
      </c>
      <c r="Q21">
        <f>IFERROR((SUMIFS('AEO 2026 Table 23 '!T:T,'AEO 2026 Table 23 '!$B:$B,"*,"&amp;$A21&amp;",*")-SUMIFS('AEO 2026 Table 23 '!S:S,'AEO 2026 Table 23 '!$B:$B,"*,"&amp;$A21&amp;",*"))/SUMIFS('AEO 2026 Table 23 '!S:S,'AEO 2026 Table 23 '!$B:$B,"*,"&amp;$A21&amp;",*"),"")</f>
        <v>9.3959774844289499E-3</v>
      </c>
      <c r="R21">
        <f>IFERROR((SUMIFS('AEO 2026 Table 23 '!U:U,'AEO 2026 Table 23 '!$B:$B,"*,"&amp;$A21&amp;",*")-SUMIFS('AEO 2026 Table 23 '!T:T,'AEO 2026 Table 23 '!$B:$B,"*,"&amp;$A21&amp;",*"))/SUMIFS('AEO 2026 Table 23 '!T:T,'AEO 2026 Table 23 '!$B:$B,"*,"&amp;$A21&amp;",*"),"")</f>
        <v>8.9707251884070752E-3</v>
      </c>
      <c r="S21">
        <f>IFERROR((SUMIFS('AEO 2026 Table 23 '!V:V,'AEO 2026 Table 23 '!$B:$B,"*,"&amp;$A21&amp;",*")-SUMIFS('AEO 2026 Table 23 '!U:U,'AEO 2026 Table 23 '!$B:$B,"*,"&amp;$A21&amp;",*"))/SUMIFS('AEO 2026 Table 23 '!U:U,'AEO 2026 Table 23 '!$B:$B,"*,"&amp;$A21&amp;",*"),"")</f>
        <v>4.9701530218554868E-3</v>
      </c>
      <c r="T21">
        <f>IFERROR((SUMIFS('AEO 2026 Table 23 '!W:W,'AEO 2026 Table 23 '!$B:$B,"*,"&amp;$A21&amp;",*")-SUMIFS('AEO 2026 Table 23 '!V:V,'AEO 2026 Table 23 '!$B:$B,"*,"&amp;$A21&amp;",*"))/SUMIFS('AEO 2026 Table 23 '!V:V,'AEO 2026 Table 23 '!$B:$B,"*,"&amp;$A21&amp;",*"),"")</f>
        <v>1.6208327591064715E-3</v>
      </c>
      <c r="U21">
        <f>IFERROR((SUMIFS('AEO 2026 Table 23 '!X:X,'AEO 2026 Table 23 '!$B:$B,"*,"&amp;$A21&amp;",*")-SUMIFS('AEO 2026 Table 23 '!W:W,'AEO 2026 Table 23 '!$B:$B,"*,"&amp;$A21&amp;",*"))/SUMIFS('AEO 2026 Table 23 '!W:W,'AEO 2026 Table 23 '!$B:$B,"*,"&amp;$A21&amp;",*"),"")</f>
        <v>-3.5840713790091122E-4</v>
      </c>
      <c r="V21">
        <f>IFERROR((SUMIFS('AEO 2026 Table 23 '!Y:Y,'AEO 2026 Table 23 '!$B:$B,"*,"&amp;$A21&amp;",*")-SUMIFS('AEO 2026 Table 23 '!X:X,'AEO 2026 Table 23 '!$B:$B,"*,"&amp;$A21&amp;",*"))/SUMIFS('AEO 2026 Table 23 '!X:X,'AEO 2026 Table 23 '!$B:$B,"*,"&amp;$A21&amp;",*"),"")</f>
        <v>-4.5139001149143727E-3</v>
      </c>
      <c r="W21">
        <f>IFERROR((SUMIFS('AEO 2026 Table 23 '!Z:Z,'AEO 2026 Table 23 '!$B:$B,"*,"&amp;$A21&amp;",*")-SUMIFS('AEO 2026 Table 23 '!Y:Y,'AEO 2026 Table 23 '!$B:$B,"*,"&amp;$A21&amp;",*"))/SUMIFS('AEO 2026 Table 23 '!Y:Y,'AEO 2026 Table 23 '!$B:$B,"*,"&amp;$A21&amp;",*"),"")</f>
        <v>-6.31192957131947E-3</v>
      </c>
      <c r="X21">
        <f>IFERROR((SUMIFS('AEO 2026 Table 23 '!AA:AA,'AEO 2026 Table 23 '!$B:$B,"*,"&amp;$A21&amp;",*")-SUMIFS('AEO 2026 Table 23 '!Z:Z,'AEO 2026 Table 23 '!$B:$B,"*,"&amp;$A21&amp;",*"))/SUMIFS('AEO 2026 Table 23 '!Z:Z,'AEO 2026 Table 23 '!$B:$B,"*,"&amp;$A21&amp;",*"),"")</f>
        <v>1.3658997888406691E-3</v>
      </c>
      <c r="Y21">
        <f>IFERROR((SUMIFS('AEO 2026 Table 23 '!AB:AB,'AEO 2026 Table 23 '!$B:$B,"*,"&amp;$A21&amp;",*")-SUMIFS('AEO 2026 Table 23 '!AA:AA,'AEO 2026 Table 23 '!$B:$B,"*,"&amp;$A21&amp;",*"))/SUMIFS('AEO 2026 Table 23 '!AA:AA,'AEO 2026 Table 23 '!$B:$B,"*,"&amp;$A21&amp;",*"),"")</f>
        <v>6.2790367013127674E-3</v>
      </c>
      <c r="Z21">
        <f>IFERROR((SUMIFS('AEO 2026 Table 23 '!AC:AC,'AEO 2026 Table 23 '!$B:$B,"*,"&amp;$A21&amp;",*")-SUMIFS('AEO 2026 Table 23 '!AB:AB,'AEO 2026 Table 23 '!$B:$B,"*,"&amp;$A21&amp;",*"))/SUMIFS('AEO 2026 Table 23 '!AB:AB,'AEO 2026 Table 23 '!$B:$B,"*,"&amp;$A21&amp;",*"),"")</f>
        <v>6.4781329571070587E-3</v>
      </c>
      <c r="AA21">
        <f>IFERROR((SUMIFS('AEO 2026 Table 23 '!AD:AD,'AEO 2026 Table 23 '!$B:$B,"*,"&amp;$A21&amp;",*")-SUMIFS('AEO 2026 Table 23 '!AC:AC,'AEO 2026 Table 23 '!$B:$B,"*,"&amp;$A21&amp;",*"))/SUMIFS('AEO 2026 Table 23 '!AC:AC,'AEO 2026 Table 23 '!$B:$B,"*,"&amp;$A21&amp;",*"),"")</f>
        <v>6.6010760132313301E-3</v>
      </c>
      <c r="AB21">
        <f>IFERROR((SUMIFS('AEO 2026 Table 23 '!AE:AE,'AEO 2026 Table 23 '!$B:$B,"*,"&amp;$A21&amp;",*")-SUMIFS('AEO 2026 Table 23 '!AD:AD,'AEO 2026 Table 23 '!$B:$B,"*,"&amp;$A21&amp;",*"))/SUMIFS('AEO 2026 Table 23 '!AD:AD,'AEO 2026 Table 23 '!$B:$B,"*,"&amp;$A21&amp;",*"),"")</f>
        <v>6.3618268496300704E-3</v>
      </c>
      <c r="AC21">
        <f>IFERROR((SUMIFS('AEO 2026 Table 23 '!AF:AF,'AEO 2026 Table 23 '!$B:$B,"*,"&amp;$A21&amp;",*")-SUMIFS('AEO 2026 Table 23 '!AE:AE,'AEO 2026 Table 23 '!$B:$B,"*,"&amp;$A21&amp;",*"))/SUMIFS('AEO 2026 Table 23 '!AE:AE,'AEO 2026 Table 23 '!$B:$B,"*,"&amp;$A21&amp;",*"),"")</f>
        <v>7.3540183049794847E-3</v>
      </c>
    </row>
    <row r="22" spans="1:29" x14ac:dyDescent="0.25">
      <c r="A22" t="s">
        <v>253</v>
      </c>
      <c r="B22">
        <f>IFERROR(SUMPRODUCT(--('BLS Table 2.11'!$L$1:$L$426=$A22),'BLS Table 2.11'!$J$1:$J$426,'BLS Table 2.11'!$K$1:$K$426)/SUMIFS('BLS Table 2.11'!$J$1:$J$426,'BLS Table 2.11'!$L$1:$L$426,$A22)/100,0)</f>
        <v>1.819909793814433E-2</v>
      </c>
      <c r="D22">
        <f>IFERROR((SUMIFS('AEO 2026 Table 23 '!G:G,'AEO 2026 Table 23 '!$B:$B,"*,"&amp;$A22&amp;",*")-SUMIFS('AEO25 Table 23'!H:H,'AEO25 Table 23'!$B:$B,"*,"&amp;$A22&amp;",*"))/SUMIFS('AEO25 Table 23'!H:H,'AEO25 Table 23'!$B:$B,"*,"&amp;$A22&amp;",*"),"")</f>
        <v>-1.4318822532873773E-2</v>
      </c>
      <c r="E22">
        <f>IFERROR((SUMIFS('AEO 2026 Table 23 '!H:H,'AEO 2026 Table 23 '!$B:$B,"*,"&amp;$A22&amp;",*")-SUMIFS('AEO 2026 Table 23 '!G:G,'AEO 2026 Table 23 '!$B:$B,"*,"&amp;$A22&amp;",*"))/SUMIFS('AEO 2026 Table 23 '!G:G,'AEO 2026 Table 23 '!$B:$B,"*,"&amp;$A22&amp;",*"),"")</f>
        <v>2.0563609513499132E-2</v>
      </c>
      <c r="F22">
        <f>IFERROR((SUMIFS('AEO 2026 Table 23 '!I:I,'AEO 2026 Table 23 '!$B:$B,"*,"&amp;$A22&amp;",*")-SUMIFS('AEO 2026 Table 23 '!H:H,'AEO 2026 Table 23 '!$B:$B,"*,"&amp;$A22&amp;",*"))/SUMIFS('AEO 2026 Table 23 '!H:H,'AEO 2026 Table 23 '!$B:$B,"*,"&amp;$A22&amp;",*"),"")</f>
        <v>3.1026543084000401E-2</v>
      </c>
      <c r="G22">
        <f>IFERROR((SUMIFS('AEO 2026 Table 23 '!J:J,'AEO 2026 Table 23 '!$B:$B,"*,"&amp;$A22&amp;",*")-SUMIFS('AEO 2026 Table 23 '!I:I,'AEO 2026 Table 23 '!$B:$B,"*,"&amp;$A22&amp;",*"))/SUMIFS('AEO 2026 Table 23 '!I:I,'AEO 2026 Table 23 '!$B:$B,"*,"&amp;$A22&amp;",*"),"")</f>
        <v>-1.4872726456593712E-3</v>
      </c>
      <c r="H22">
        <f>IFERROR((SUMIFS('AEO 2026 Table 23 '!K:K,'AEO 2026 Table 23 '!$B:$B,"*,"&amp;$A22&amp;",*")-SUMIFS('AEO 2026 Table 23 '!J:J,'AEO 2026 Table 23 '!$B:$B,"*,"&amp;$A22&amp;",*"))/SUMIFS('AEO 2026 Table 23 '!J:J,'AEO 2026 Table 23 '!$B:$B,"*,"&amp;$A22&amp;",*"),"")</f>
        <v>7.6125995799030434E-3</v>
      </c>
      <c r="I22">
        <f>IFERROR((SUMIFS('AEO 2026 Table 23 '!L:L,'AEO 2026 Table 23 '!$B:$B,"*,"&amp;$A22&amp;",*")-SUMIFS('AEO 2026 Table 23 '!K:K,'AEO 2026 Table 23 '!$B:$B,"*,"&amp;$A22&amp;",*"))/SUMIFS('AEO 2026 Table 23 '!K:K,'AEO 2026 Table 23 '!$B:$B,"*,"&amp;$A22&amp;",*"),"")</f>
        <v>1.8836635658027599E-2</v>
      </c>
      <c r="J22">
        <f>IFERROR((SUMIFS('AEO 2026 Table 23 '!M:M,'AEO 2026 Table 23 '!$B:$B,"*,"&amp;$A22&amp;",*")-SUMIFS('AEO 2026 Table 23 '!L:L,'AEO 2026 Table 23 '!$B:$B,"*,"&amp;$A22&amp;",*"))/SUMIFS('AEO 2026 Table 23 '!L:L,'AEO 2026 Table 23 '!$B:$B,"*,"&amp;$A22&amp;",*"),"")</f>
        <v>1.4672424996196651E-2</v>
      </c>
      <c r="K22">
        <f>IFERROR((SUMIFS('AEO 2026 Table 23 '!N:N,'AEO 2026 Table 23 '!$B:$B,"*,"&amp;$A22&amp;",*")-SUMIFS('AEO 2026 Table 23 '!M:M,'AEO 2026 Table 23 '!$B:$B,"*,"&amp;$A22&amp;",*"))/SUMIFS('AEO 2026 Table 23 '!M:M,'AEO 2026 Table 23 '!$B:$B,"*,"&amp;$A22&amp;",*"),"")</f>
        <v>1.8340012043860557E-2</v>
      </c>
      <c r="L22">
        <f>IFERROR((SUMIFS('AEO 2026 Table 23 '!O:O,'AEO 2026 Table 23 '!$B:$B,"*,"&amp;$A22&amp;",*")-SUMIFS('AEO 2026 Table 23 '!N:N,'AEO 2026 Table 23 '!$B:$B,"*,"&amp;$A22&amp;",*"))/SUMIFS('AEO 2026 Table 23 '!N:N,'AEO 2026 Table 23 '!$B:$B,"*,"&amp;$A22&amp;",*"),"")</f>
        <v>1.535324769203778E-2</v>
      </c>
      <c r="M22">
        <f>IFERROR((SUMIFS('AEO 2026 Table 23 '!P:P,'AEO 2026 Table 23 '!$B:$B,"*,"&amp;$A22&amp;",*")-SUMIFS('AEO 2026 Table 23 '!O:O,'AEO 2026 Table 23 '!$B:$B,"*,"&amp;$A22&amp;",*"))/SUMIFS('AEO 2026 Table 23 '!O:O,'AEO 2026 Table 23 '!$B:$B,"*,"&amp;$A22&amp;",*"),"")</f>
        <v>7.0187670888773711E-3</v>
      </c>
      <c r="N22">
        <f>IFERROR((SUMIFS('AEO 2026 Table 23 '!Q:Q,'AEO 2026 Table 23 '!$B:$B,"*,"&amp;$A22&amp;",*")-SUMIFS('AEO 2026 Table 23 '!P:P,'AEO 2026 Table 23 '!$B:$B,"*,"&amp;$A22&amp;",*"))/SUMIFS('AEO 2026 Table 23 '!P:P,'AEO 2026 Table 23 '!$B:$B,"*,"&amp;$A22&amp;",*"),"")</f>
        <v>1.1483801200096662E-2</v>
      </c>
      <c r="O22">
        <f>IFERROR((SUMIFS('AEO 2026 Table 23 '!R:R,'AEO 2026 Table 23 '!$B:$B,"*,"&amp;$A22&amp;",*")-SUMIFS('AEO 2026 Table 23 '!Q:Q,'AEO 2026 Table 23 '!$B:$B,"*,"&amp;$A22&amp;",*"))/SUMIFS('AEO 2026 Table 23 '!Q:Q,'AEO 2026 Table 23 '!$B:$B,"*,"&amp;$A22&amp;",*"),"")</f>
        <v>5.7291914443533647E-3</v>
      </c>
      <c r="P22">
        <f>IFERROR((SUMIFS('AEO 2026 Table 23 '!S:S,'AEO 2026 Table 23 '!$B:$B,"*,"&amp;$A22&amp;",*")-SUMIFS('AEO 2026 Table 23 '!R:R,'AEO 2026 Table 23 '!$B:$B,"*,"&amp;$A22&amp;",*"))/SUMIFS('AEO 2026 Table 23 '!R:R,'AEO 2026 Table 23 '!$B:$B,"*,"&amp;$A22&amp;",*"),"")</f>
        <v>7.9507598625235005E-3</v>
      </c>
      <c r="Q22">
        <f>IFERROR((SUMIFS('AEO 2026 Table 23 '!T:T,'AEO 2026 Table 23 '!$B:$B,"*,"&amp;$A22&amp;",*")-SUMIFS('AEO 2026 Table 23 '!S:S,'AEO 2026 Table 23 '!$B:$B,"*,"&amp;$A22&amp;",*"))/SUMIFS('AEO 2026 Table 23 '!S:S,'AEO 2026 Table 23 '!$B:$B,"*,"&amp;$A22&amp;",*"),"")</f>
        <v>5.3761127265107766E-3</v>
      </c>
      <c r="R22">
        <f>IFERROR((SUMIFS('AEO 2026 Table 23 '!U:U,'AEO 2026 Table 23 '!$B:$B,"*,"&amp;$A22&amp;",*")-SUMIFS('AEO 2026 Table 23 '!T:T,'AEO 2026 Table 23 '!$B:$B,"*,"&amp;$A22&amp;",*"))/SUMIFS('AEO 2026 Table 23 '!T:T,'AEO 2026 Table 23 '!$B:$B,"*,"&amp;$A22&amp;",*"),"")</f>
        <v>4.0827830185148333E-3</v>
      </c>
      <c r="S22">
        <f>IFERROR((SUMIFS('AEO 2026 Table 23 '!V:V,'AEO 2026 Table 23 '!$B:$B,"*,"&amp;$A22&amp;",*")-SUMIFS('AEO 2026 Table 23 '!U:U,'AEO 2026 Table 23 '!$B:$B,"*,"&amp;$A22&amp;",*"))/SUMIFS('AEO 2026 Table 23 '!U:U,'AEO 2026 Table 23 '!$B:$B,"*,"&amp;$A22&amp;",*"),"")</f>
        <v>9.2964978183850498E-3</v>
      </c>
      <c r="T22">
        <f>IFERROR((SUMIFS('AEO 2026 Table 23 '!W:W,'AEO 2026 Table 23 '!$B:$B,"*,"&amp;$A22&amp;",*")-SUMIFS('AEO 2026 Table 23 '!V:V,'AEO 2026 Table 23 '!$B:$B,"*,"&amp;$A22&amp;",*"))/SUMIFS('AEO 2026 Table 23 '!V:V,'AEO 2026 Table 23 '!$B:$B,"*,"&amp;$A22&amp;",*"),"")</f>
        <v>1.0454172303255269E-2</v>
      </c>
      <c r="U22">
        <f>IFERROR((SUMIFS('AEO 2026 Table 23 '!X:X,'AEO 2026 Table 23 '!$B:$B,"*,"&amp;$A22&amp;",*")-SUMIFS('AEO 2026 Table 23 '!W:W,'AEO 2026 Table 23 '!$B:$B,"*,"&amp;$A22&amp;",*"))/SUMIFS('AEO 2026 Table 23 '!W:W,'AEO 2026 Table 23 '!$B:$B,"*,"&amp;$A22&amp;",*"),"")</f>
        <v>9.6713155442675908E-3</v>
      </c>
      <c r="V22">
        <f>IFERROR((SUMIFS('AEO 2026 Table 23 '!Y:Y,'AEO 2026 Table 23 '!$B:$B,"*,"&amp;$A22&amp;",*")-SUMIFS('AEO 2026 Table 23 '!X:X,'AEO 2026 Table 23 '!$B:$B,"*,"&amp;$A22&amp;",*"))/SUMIFS('AEO 2026 Table 23 '!X:X,'AEO 2026 Table 23 '!$B:$B,"*,"&amp;$A22&amp;",*"),"")</f>
        <v>7.4659860444099939E-3</v>
      </c>
      <c r="W22">
        <f>IFERROR((SUMIFS('AEO 2026 Table 23 '!Z:Z,'AEO 2026 Table 23 '!$B:$B,"*,"&amp;$A22&amp;",*")-SUMIFS('AEO 2026 Table 23 '!Y:Y,'AEO 2026 Table 23 '!$B:$B,"*,"&amp;$A22&amp;",*"))/SUMIFS('AEO 2026 Table 23 '!Y:Y,'AEO 2026 Table 23 '!$B:$B,"*,"&amp;$A22&amp;",*"),"")</f>
        <v>7.0963412928564378E-3</v>
      </c>
      <c r="X22">
        <f>IFERROR((SUMIFS('AEO 2026 Table 23 '!AA:AA,'AEO 2026 Table 23 '!$B:$B,"*,"&amp;$A22&amp;",*")-SUMIFS('AEO 2026 Table 23 '!Z:Z,'AEO 2026 Table 23 '!$B:$B,"*,"&amp;$A22&amp;",*"))/SUMIFS('AEO 2026 Table 23 '!Z:Z,'AEO 2026 Table 23 '!$B:$B,"*,"&amp;$A22&amp;",*"),"")</f>
        <v>1.1883353893068311E-2</v>
      </c>
      <c r="Y22">
        <f>IFERROR((SUMIFS('AEO 2026 Table 23 '!AB:AB,'AEO 2026 Table 23 '!$B:$B,"*,"&amp;$A22&amp;",*")-SUMIFS('AEO 2026 Table 23 '!AA:AA,'AEO 2026 Table 23 '!$B:$B,"*,"&amp;$A22&amp;",*"))/SUMIFS('AEO 2026 Table 23 '!AA:AA,'AEO 2026 Table 23 '!$B:$B,"*,"&amp;$A22&amp;",*"),"")</f>
        <v>8.4753603571672761E-3</v>
      </c>
      <c r="Z22">
        <f>IFERROR((SUMIFS('AEO 2026 Table 23 '!AC:AC,'AEO 2026 Table 23 '!$B:$B,"*,"&amp;$A22&amp;",*")-SUMIFS('AEO 2026 Table 23 '!AB:AB,'AEO 2026 Table 23 '!$B:$B,"*,"&amp;$A22&amp;",*"))/SUMIFS('AEO 2026 Table 23 '!AB:AB,'AEO 2026 Table 23 '!$B:$B,"*,"&amp;$A22&amp;",*"),"")</f>
        <v>1.1187094527957811E-2</v>
      </c>
      <c r="AA22">
        <f>IFERROR((SUMIFS('AEO 2026 Table 23 '!AD:AD,'AEO 2026 Table 23 '!$B:$B,"*,"&amp;$A22&amp;",*")-SUMIFS('AEO 2026 Table 23 '!AC:AC,'AEO 2026 Table 23 '!$B:$B,"*,"&amp;$A22&amp;",*"))/SUMIFS('AEO 2026 Table 23 '!AC:AC,'AEO 2026 Table 23 '!$B:$B,"*,"&amp;$A22&amp;",*"),"")</f>
        <v>8.7894909652514851E-3</v>
      </c>
      <c r="AB22">
        <f>IFERROR((SUMIFS('AEO 2026 Table 23 '!AE:AE,'AEO 2026 Table 23 '!$B:$B,"*,"&amp;$A22&amp;",*")-SUMIFS('AEO 2026 Table 23 '!AD:AD,'AEO 2026 Table 23 '!$B:$B,"*,"&amp;$A22&amp;",*"))/SUMIFS('AEO 2026 Table 23 '!AD:AD,'AEO 2026 Table 23 '!$B:$B,"*,"&amp;$A22&amp;",*"),"")</f>
        <v>4.0537222005076904E-3</v>
      </c>
      <c r="AC22">
        <f>IFERROR((SUMIFS('AEO 2026 Table 23 '!AF:AF,'AEO 2026 Table 23 '!$B:$B,"*,"&amp;$A22&amp;",*")-SUMIFS('AEO 2026 Table 23 '!AE:AE,'AEO 2026 Table 23 '!$B:$B,"*,"&amp;$A22&amp;",*"))/SUMIFS('AEO 2026 Table 23 '!AE:AE,'AEO 2026 Table 23 '!$B:$B,"*,"&amp;$A22&amp;",*"),"")</f>
        <v>7.7592449126460423E-3</v>
      </c>
    </row>
    <row r="23" spans="1:29" x14ac:dyDescent="0.25">
      <c r="A23" t="s">
        <v>258</v>
      </c>
      <c r="B23">
        <f>IFERROR(SUMPRODUCT(--('BLS Table 2.11'!$L$1:$L$426=$A23),'BLS Table 2.11'!$J$1:$J$426,'BLS Table 2.11'!$K$1:$K$426)/SUMIFS('BLS Table 2.11'!$J$1:$J$426,'BLS Table 2.11'!$L$1:$L$426,$A23)/100,0)</f>
        <v>1.6710576923076918E-2</v>
      </c>
      <c r="D23">
        <f>IFERROR((SUMIFS('AEO 2026 Table 23 '!G:G,'AEO 2026 Table 23 '!$B:$B,"*,"&amp;$A23&amp;",*")-SUMIFS('AEO25 Table 23'!H:H,'AEO25 Table 23'!$B:$B,"*,"&amp;$A23&amp;",*"))/SUMIFS('AEO25 Table 23'!H:H,'AEO25 Table 23'!$B:$B,"*,"&amp;$A23&amp;",*"),"")</f>
        <v>2.7423101302979209E-4</v>
      </c>
      <c r="E23">
        <f>IFERROR((SUMIFS('AEO 2026 Table 23 '!H:H,'AEO 2026 Table 23 '!$B:$B,"*,"&amp;$A23&amp;",*")-SUMIFS('AEO 2026 Table 23 '!G:G,'AEO 2026 Table 23 '!$B:$B,"*,"&amp;$A23&amp;",*"))/SUMIFS('AEO 2026 Table 23 '!G:G,'AEO 2026 Table 23 '!$B:$B,"*,"&amp;$A23&amp;",*"),"")</f>
        <v>-4.7853998917997116E-4</v>
      </c>
      <c r="F23">
        <f>IFERROR((SUMIFS('AEO 2026 Table 23 '!I:I,'AEO 2026 Table 23 '!$B:$B,"*,"&amp;$A23&amp;",*")-SUMIFS('AEO 2026 Table 23 '!H:H,'AEO 2026 Table 23 '!$B:$B,"*,"&amp;$A23&amp;",*"))/SUMIFS('AEO 2026 Table 23 '!H:H,'AEO 2026 Table 23 '!$B:$B,"*,"&amp;$A23&amp;",*"),"")</f>
        <v>6.4732140458175378E-3</v>
      </c>
      <c r="G23">
        <f>IFERROR((SUMIFS('AEO 2026 Table 23 '!J:J,'AEO 2026 Table 23 '!$B:$B,"*,"&amp;$A23&amp;",*")-SUMIFS('AEO 2026 Table 23 '!I:I,'AEO 2026 Table 23 '!$B:$B,"*,"&amp;$A23&amp;",*"))/SUMIFS('AEO 2026 Table 23 '!I:I,'AEO 2026 Table 23 '!$B:$B,"*,"&amp;$A23&amp;",*"),"")</f>
        <v>5.4052435047520532E-3</v>
      </c>
      <c r="H23">
        <f>IFERROR((SUMIFS('AEO 2026 Table 23 '!K:K,'AEO 2026 Table 23 '!$B:$B,"*,"&amp;$A23&amp;",*")-SUMIFS('AEO 2026 Table 23 '!J:J,'AEO 2026 Table 23 '!$B:$B,"*,"&amp;$A23&amp;",*"))/SUMIFS('AEO 2026 Table 23 '!J:J,'AEO 2026 Table 23 '!$B:$B,"*,"&amp;$A23&amp;",*"),"")</f>
        <v>3.7668562580090558E-3</v>
      </c>
      <c r="I23">
        <f>IFERROR((SUMIFS('AEO 2026 Table 23 '!L:L,'AEO 2026 Table 23 '!$B:$B,"*,"&amp;$A23&amp;",*")-SUMIFS('AEO 2026 Table 23 '!K:K,'AEO 2026 Table 23 '!$B:$B,"*,"&amp;$A23&amp;",*"))/SUMIFS('AEO 2026 Table 23 '!K:K,'AEO 2026 Table 23 '!$B:$B,"*,"&amp;$A23&amp;",*"),"")</f>
        <v>4.71760218819651E-3</v>
      </c>
      <c r="J23">
        <f>IFERROR((SUMIFS('AEO 2026 Table 23 '!M:M,'AEO 2026 Table 23 '!$B:$B,"*,"&amp;$A23&amp;",*")-SUMIFS('AEO 2026 Table 23 '!L:L,'AEO 2026 Table 23 '!$B:$B,"*,"&amp;$A23&amp;",*"))/SUMIFS('AEO 2026 Table 23 '!L:L,'AEO 2026 Table 23 '!$B:$B,"*,"&amp;$A23&amp;",*"),"")</f>
        <v>5.0813282536308901E-3</v>
      </c>
      <c r="K23">
        <f>IFERROR((SUMIFS('AEO 2026 Table 23 '!N:N,'AEO 2026 Table 23 '!$B:$B,"*,"&amp;$A23&amp;",*")-SUMIFS('AEO 2026 Table 23 '!M:M,'AEO 2026 Table 23 '!$B:$B,"*,"&amp;$A23&amp;",*"))/SUMIFS('AEO 2026 Table 23 '!M:M,'AEO 2026 Table 23 '!$B:$B,"*,"&amp;$A23&amp;",*"),"")</f>
        <v>6.2623422653454597E-3</v>
      </c>
      <c r="L23">
        <f>IFERROR((SUMIFS('AEO 2026 Table 23 '!O:O,'AEO 2026 Table 23 '!$B:$B,"*,"&amp;$A23&amp;",*")-SUMIFS('AEO 2026 Table 23 '!N:N,'AEO 2026 Table 23 '!$B:$B,"*,"&amp;$A23&amp;",*"))/SUMIFS('AEO 2026 Table 23 '!N:N,'AEO 2026 Table 23 '!$B:$B,"*,"&amp;$A23&amp;",*"),"")</f>
        <v>7.6622890664389811E-3</v>
      </c>
      <c r="M23">
        <f>IFERROR((SUMIFS('AEO 2026 Table 23 '!P:P,'AEO 2026 Table 23 '!$B:$B,"*,"&amp;$A23&amp;",*")-SUMIFS('AEO 2026 Table 23 '!O:O,'AEO 2026 Table 23 '!$B:$B,"*,"&amp;$A23&amp;",*"))/SUMIFS('AEO 2026 Table 23 '!O:O,'AEO 2026 Table 23 '!$B:$B,"*,"&amp;$A23&amp;",*"),"")</f>
        <v>8.7262193702413362E-3</v>
      </c>
      <c r="N23">
        <f>IFERROR((SUMIFS('AEO 2026 Table 23 '!Q:Q,'AEO 2026 Table 23 '!$B:$B,"*,"&amp;$A23&amp;",*")-SUMIFS('AEO 2026 Table 23 '!P:P,'AEO 2026 Table 23 '!$B:$B,"*,"&amp;$A23&amp;",*"))/SUMIFS('AEO 2026 Table 23 '!P:P,'AEO 2026 Table 23 '!$B:$B,"*,"&amp;$A23&amp;",*"),"")</f>
        <v>1.007830508702855E-2</v>
      </c>
      <c r="O23">
        <f>IFERROR((SUMIFS('AEO 2026 Table 23 '!R:R,'AEO 2026 Table 23 '!$B:$B,"*,"&amp;$A23&amp;",*")-SUMIFS('AEO 2026 Table 23 '!Q:Q,'AEO 2026 Table 23 '!$B:$B,"*,"&amp;$A23&amp;",*"))/SUMIFS('AEO 2026 Table 23 '!Q:Q,'AEO 2026 Table 23 '!$B:$B,"*,"&amp;$A23&amp;",*"),"")</f>
        <v>1.0496363271853919E-2</v>
      </c>
      <c r="P23">
        <f>IFERROR((SUMIFS('AEO 2026 Table 23 '!S:S,'AEO 2026 Table 23 '!$B:$B,"*,"&amp;$A23&amp;",*")-SUMIFS('AEO 2026 Table 23 '!R:R,'AEO 2026 Table 23 '!$B:$B,"*,"&amp;$A23&amp;",*"))/SUMIFS('AEO 2026 Table 23 '!R:R,'AEO 2026 Table 23 '!$B:$B,"*,"&amp;$A23&amp;",*"),"")</f>
        <v>1.0333604705824288E-2</v>
      </c>
      <c r="Q23">
        <f>IFERROR((SUMIFS('AEO 2026 Table 23 '!T:T,'AEO 2026 Table 23 '!$B:$B,"*,"&amp;$A23&amp;",*")-SUMIFS('AEO 2026 Table 23 '!S:S,'AEO 2026 Table 23 '!$B:$B,"*,"&amp;$A23&amp;",*"))/SUMIFS('AEO 2026 Table 23 '!S:S,'AEO 2026 Table 23 '!$B:$B,"*,"&amp;$A23&amp;",*"),"")</f>
        <v>1.0283047527828019E-2</v>
      </c>
      <c r="R23">
        <f>IFERROR((SUMIFS('AEO 2026 Table 23 '!U:U,'AEO 2026 Table 23 '!$B:$B,"*,"&amp;$A23&amp;",*")-SUMIFS('AEO 2026 Table 23 '!T:T,'AEO 2026 Table 23 '!$B:$B,"*,"&amp;$A23&amp;",*"))/SUMIFS('AEO 2026 Table 23 '!T:T,'AEO 2026 Table 23 '!$B:$B,"*,"&amp;$A23&amp;",*"),"")</f>
        <v>1.0105062793125693E-2</v>
      </c>
      <c r="S23">
        <f>IFERROR((SUMIFS('AEO 2026 Table 23 '!V:V,'AEO 2026 Table 23 '!$B:$B,"*,"&amp;$A23&amp;",*")-SUMIFS('AEO 2026 Table 23 '!U:U,'AEO 2026 Table 23 '!$B:$B,"*,"&amp;$A23&amp;",*"))/SUMIFS('AEO 2026 Table 23 '!U:U,'AEO 2026 Table 23 '!$B:$B,"*,"&amp;$A23&amp;",*"),"")</f>
        <v>1.0084138683607019E-2</v>
      </c>
      <c r="T23">
        <f>IFERROR((SUMIFS('AEO 2026 Table 23 '!W:W,'AEO 2026 Table 23 '!$B:$B,"*,"&amp;$A23&amp;",*")-SUMIFS('AEO 2026 Table 23 '!V:V,'AEO 2026 Table 23 '!$B:$B,"*,"&amp;$A23&amp;",*"))/SUMIFS('AEO 2026 Table 23 '!V:V,'AEO 2026 Table 23 '!$B:$B,"*,"&amp;$A23&amp;",*"),"")</f>
        <v>1.0167585683094033E-2</v>
      </c>
      <c r="U23">
        <f>IFERROR((SUMIFS('AEO 2026 Table 23 '!X:X,'AEO 2026 Table 23 '!$B:$B,"*,"&amp;$A23&amp;",*")-SUMIFS('AEO 2026 Table 23 '!W:W,'AEO 2026 Table 23 '!$B:$B,"*,"&amp;$A23&amp;",*"))/SUMIFS('AEO 2026 Table 23 '!W:W,'AEO 2026 Table 23 '!$B:$B,"*,"&amp;$A23&amp;",*"),"")</f>
        <v>1.0138120945988576E-2</v>
      </c>
      <c r="V23">
        <f>IFERROR((SUMIFS('AEO 2026 Table 23 '!Y:Y,'AEO 2026 Table 23 '!$B:$B,"*,"&amp;$A23&amp;",*")-SUMIFS('AEO 2026 Table 23 '!X:X,'AEO 2026 Table 23 '!$B:$B,"*,"&amp;$A23&amp;",*"))/SUMIFS('AEO 2026 Table 23 '!X:X,'AEO 2026 Table 23 '!$B:$B,"*,"&amp;$A23&amp;",*"),"")</f>
        <v>1.0029968774932861E-2</v>
      </c>
      <c r="W23">
        <f>IFERROR((SUMIFS('AEO 2026 Table 23 '!Z:Z,'AEO 2026 Table 23 '!$B:$B,"*,"&amp;$A23&amp;",*")-SUMIFS('AEO 2026 Table 23 '!Y:Y,'AEO 2026 Table 23 '!$B:$B,"*,"&amp;$A23&amp;",*"))/SUMIFS('AEO 2026 Table 23 '!Y:Y,'AEO 2026 Table 23 '!$B:$B,"*,"&amp;$A23&amp;",*"),"")</f>
        <v>9.7784698021622408E-3</v>
      </c>
      <c r="X23">
        <f>IFERROR((SUMIFS('AEO 2026 Table 23 '!AA:AA,'AEO 2026 Table 23 '!$B:$B,"*,"&amp;$A23&amp;",*")-SUMIFS('AEO 2026 Table 23 '!Z:Z,'AEO 2026 Table 23 '!$B:$B,"*,"&amp;$A23&amp;",*"))/SUMIFS('AEO 2026 Table 23 '!Z:Z,'AEO 2026 Table 23 '!$B:$B,"*,"&amp;$A23&amp;",*"),"")</f>
        <v>9.5127956937354936E-3</v>
      </c>
      <c r="Y23">
        <f>IFERROR((SUMIFS('AEO 2026 Table 23 '!AB:AB,'AEO 2026 Table 23 '!$B:$B,"*,"&amp;$A23&amp;",*")-SUMIFS('AEO 2026 Table 23 '!AA:AA,'AEO 2026 Table 23 '!$B:$B,"*,"&amp;$A23&amp;",*"))/SUMIFS('AEO 2026 Table 23 '!AA:AA,'AEO 2026 Table 23 '!$B:$B,"*,"&amp;$A23&amp;",*"),"")</f>
        <v>9.1730845548896687E-3</v>
      </c>
      <c r="Z23">
        <f>IFERROR((SUMIFS('AEO 2026 Table 23 '!AC:AC,'AEO 2026 Table 23 '!$B:$B,"*,"&amp;$A23&amp;",*")-SUMIFS('AEO 2026 Table 23 '!AB:AB,'AEO 2026 Table 23 '!$B:$B,"*,"&amp;$A23&amp;",*"))/SUMIFS('AEO 2026 Table 23 '!AB:AB,'AEO 2026 Table 23 '!$B:$B,"*,"&amp;$A23&amp;",*"),"")</f>
        <v>8.6965091156279688E-3</v>
      </c>
      <c r="AA23">
        <f>IFERROR((SUMIFS('AEO 2026 Table 23 '!AD:AD,'AEO 2026 Table 23 '!$B:$B,"*,"&amp;$A23&amp;",*")-SUMIFS('AEO 2026 Table 23 '!AC:AC,'AEO 2026 Table 23 '!$B:$B,"*,"&amp;$A23&amp;",*"))/SUMIFS('AEO 2026 Table 23 '!AC:AC,'AEO 2026 Table 23 '!$B:$B,"*,"&amp;$A23&amp;",*"),"")</f>
        <v>8.1121648865610206E-3</v>
      </c>
      <c r="AB23">
        <f>IFERROR((SUMIFS('AEO 2026 Table 23 '!AE:AE,'AEO 2026 Table 23 '!$B:$B,"*,"&amp;$A23&amp;",*")-SUMIFS('AEO 2026 Table 23 '!AD:AD,'AEO 2026 Table 23 '!$B:$B,"*,"&amp;$A23&amp;",*"))/SUMIFS('AEO 2026 Table 23 '!AD:AD,'AEO 2026 Table 23 '!$B:$B,"*,"&amp;$A23&amp;",*"),"")</f>
        <v>7.48897548075166E-3</v>
      </c>
      <c r="AC23">
        <f>IFERROR((SUMIFS('AEO 2026 Table 23 '!AF:AF,'AEO 2026 Table 23 '!$B:$B,"*,"&amp;$A23&amp;",*")-SUMIFS('AEO 2026 Table 23 '!AE:AE,'AEO 2026 Table 23 '!$B:$B,"*,"&amp;$A23&amp;",*"))/SUMIFS('AEO 2026 Table 23 '!AE:AE,'AEO 2026 Table 23 '!$B:$B,"*,"&amp;$A23&amp;",*"),"")</f>
        <v>7.0854466429014972E-3</v>
      </c>
    </row>
    <row r="24" spans="1:29" x14ac:dyDescent="0.25">
      <c r="A24" t="s">
        <v>265</v>
      </c>
      <c r="B24">
        <f>IFERROR(SUMPRODUCT(--('BLS Table 2.11'!$L$1:$L$426=$A24),'BLS Table 2.11'!$J$1:$J$426,'BLS Table 2.11'!$K$1:$K$426)/SUMIFS('BLS Table 2.11'!$J$1:$J$426,'BLS Table 2.11'!$L$1:$L$426,$A24)/100,0)</f>
        <v>8.0000000000000002E-3</v>
      </c>
      <c r="D24">
        <f>IFERROR((SUMIFS('AEO 2026 Table 23 '!G:G,'AEO 2026 Table 23 '!$B:$B,"*,"&amp;$A24&amp;",*")-SUMIFS('AEO25 Table 23'!H:H,'AEO25 Table 23'!$B:$B,"*,"&amp;$A24&amp;",*"))/SUMIFS('AEO25 Table 23'!H:H,'AEO25 Table 23'!$B:$B,"*,"&amp;$A24&amp;",*"),"")</f>
        <v>2.583505185322945E-2</v>
      </c>
      <c r="E24">
        <f>IFERROR((SUMIFS('AEO 2026 Table 23 '!H:H,'AEO 2026 Table 23 '!$B:$B,"*,"&amp;$A24&amp;",*")-SUMIFS('AEO 2026 Table 23 '!G:G,'AEO 2026 Table 23 '!$B:$B,"*,"&amp;$A24&amp;",*"))/SUMIFS('AEO 2026 Table 23 '!G:G,'AEO 2026 Table 23 '!$B:$B,"*,"&amp;$A24&amp;",*"),"")</f>
        <v>2.1302773500079922E-2</v>
      </c>
      <c r="F24">
        <f>IFERROR((SUMIFS('AEO 2026 Table 23 '!I:I,'AEO 2026 Table 23 '!$B:$B,"*,"&amp;$A24&amp;",*")-SUMIFS('AEO 2026 Table 23 '!H:H,'AEO 2026 Table 23 '!$B:$B,"*,"&amp;$A24&amp;",*"))/SUMIFS('AEO 2026 Table 23 '!H:H,'AEO 2026 Table 23 '!$B:$B,"*,"&amp;$A24&amp;",*"),"")</f>
        <v>1.7395990296488601E-2</v>
      </c>
      <c r="G24">
        <f>IFERROR((SUMIFS('AEO 2026 Table 23 '!J:J,'AEO 2026 Table 23 '!$B:$B,"*,"&amp;$A24&amp;",*")-SUMIFS('AEO 2026 Table 23 '!I:I,'AEO 2026 Table 23 '!$B:$B,"*,"&amp;$A24&amp;",*"))/SUMIFS('AEO 2026 Table 23 '!I:I,'AEO 2026 Table 23 '!$B:$B,"*,"&amp;$A24&amp;",*"),"")</f>
        <v>-8.7007286699702351E-3</v>
      </c>
      <c r="H24">
        <f>IFERROR((SUMIFS('AEO 2026 Table 23 '!K:K,'AEO 2026 Table 23 '!$B:$B,"*,"&amp;$A24&amp;",*")-SUMIFS('AEO 2026 Table 23 '!J:J,'AEO 2026 Table 23 '!$B:$B,"*,"&amp;$A24&amp;",*"))/SUMIFS('AEO 2026 Table 23 '!J:J,'AEO 2026 Table 23 '!$B:$B,"*,"&amp;$A24&amp;",*"),"")</f>
        <v>-3.7304698077702675E-3</v>
      </c>
      <c r="I24">
        <f>IFERROR((SUMIFS('AEO 2026 Table 23 '!L:L,'AEO 2026 Table 23 '!$B:$B,"*,"&amp;$A24&amp;",*")-SUMIFS('AEO 2026 Table 23 '!K:K,'AEO 2026 Table 23 '!$B:$B,"*,"&amp;$A24&amp;",*"))/SUMIFS('AEO 2026 Table 23 '!K:K,'AEO 2026 Table 23 '!$B:$B,"*,"&amp;$A24&amp;",*"),"")</f>
        <v>-2.0828084827644779E-4</v>
      </c>
      <c r="J24">
        <f>IFERROR((SUMIFS('AEO 2026 Table 23 '!M:M,'AEO 2026 Table 23 '!$B:$B,"*,"&amp;$A24&amp;",*")-SUMIFS('AEO 2026 Table 23 '!L:L,'AEO 2026 Table 23 '!$B:$B,"*,"&amp;$A24&amp;",*"))/SUMIFS('AEO 2026 Table 23 '!L:L,'AEO 2026 Table 23 '!$B:$B,"*,"&amp;$A24&amp;",*"),"")</f>
        <v>1.2447620621955792E-3</v>
      </c>
      <c r="K24">
        <f>IFERROR((SUMIFS('AEO 2026 Table 23 '!N:N,'AEO 2026 Table 23 '!$B:$B,"*,"&amp;$A24&amp;",*")-SUMIFS('AEO 2026 Table 23 '!M:M,'AEO 2026 Table 23 '!$B:$B,"*,"&amp;$A24&amp;",*"))/SUMIFS('AEO 2026 Table 23 '!M:M,'AEO 2026 Table 23 '!$B:$B,"*,"&amp;$A24&amp;",*"),"")</f>
        <v>9.5114980984205844E-3</v>
      </c>
      <c r="L24">
        <f>IFERROR((SUMIFS('AEO 2026 Table 23 '!O:O,'AEO 2026 Table 23 '!$B:$B,"*,"&amp;$A24&amp;",*")-SUMIFS('AEO 2026 Table 23 '!N:N,'AEO 2026 Table 23 '!$B:$B,"*,"&amp;$A24&amp;",*"))/SUMIFS('AEO 2026 Table 23 '!N:N,'AEO 2026 Table 23 '!$B:$B,"*,"&amp;$A24&amp;",*"),"")</f>
        <v>7.2478771041927471E-3</v>
      </c>
      <c r="M24">
        <f>IFERROR((SUMIFS('AEO 2026 Table 23 '!P:P,'AEO 2026 Table 23 '!$B:$B,"*,"&amp;$A24&amp;",*")-SUMIFS('AEO 2026 Table 23 '!O:O,'AEO 2026 Table 23 '!$B:$B,"*,"&amp;$A24&amp;",*"))/SUMIFS('AEO 2026 Table 23 '!O:O,'AEO 2026 Table 23 '!$B:$B,"*,"&amp;$A24&amp;",*"),"")</f>
        <v>1.2476036700577314E-2</v>
      </c>
      <c r="N24">
        <f>IFERROR((SUMIFS('AEO 2026 Table 23 '!Q:Q,'AEO 2026 Table 23 '!$B:$B,"*,"&amp;$A24&amp;",*")-SUMIFS('AEO 2026 Table 23 '!P:P,'AEO 2026 Table 23 '!$B:$B,"*,"&amp;$A24&amp;",*"))/SUMIFS('AEO 2026 Table 23 '!P:P,'AEO 2026 Table 23 '!$B:$B,"*,"&amp;$A24&amp;",*"),"")</f>
        <v>1.1810309432023953E-2</v>
      </c>
      <c r="O24">
        <f>IFERROR((SUMIFS('AEO 2026 Table 23 '!R:R,'AEO 2026 Table 23 '!$B:$B,"*,"&amp;$A24&amp;",*")-SUMIFS('AEO 2026 Table 23 '!Q:Q,'AEO 2026 Table 23 '!$B:$B,"*,"&amp;$A24&amp;",*"))/SUMIFS('AEO 2026 Table 23 '!Q:Q,'AEO 2026 Table 23 '!$B:$B,"*,"&amp;$A24&amp;",*"),"")</f>
        <v>7.9120390195665073E-3</v>
      </c>
      <c r="P24">
        <f>IFERROR((SUMIFS('AEO 2026 Table 23 '!S:S,'AEO 2026 Table 23 '!$B:$B,"*,"&amp;$A24&amp;",*")-SUMIFS('AEO 2026 Table 23 '!R:R,'AEO 2026 Table 23 '!$B:$B,"*,"&amp;$A24&amp;",*"))/SUMIFS('AEO 2026 Table 23 '!R:R,'AEO 2026 Table 23 '!$B:$B,"*,"&amp;$A24&amp;",*"),"")</f>
        <v>8.8272957889208442E-3</v>
      </c>
      <c r="Q24">
        <f>IFERROR((SUMIFS('AEO 2026 Table 23 '!T:T,'AEO 2026 Table 23 '!$B:$B,"*,"&amp;$A24&amp;",*")-SUMIFS('AEO 2026 Table 23 '!S:S,'AEO 2026 Table 23 '!$B:$B,"*,"&amp;$A24&amp;",*"))/SUMIFS('AEO 2026 Table 23 '!S:S,'AEO 2026 Table 23 '!$B:$B,"*,"&amp;$A24&amp;",*"),"")</f>
        <v>1.0427693086454585E-2</v>
      </c>
      <c r="R24">
        <f>IFERROR((SUMIFS('AEO 2026 Table 23 '!U:U,'AEO 2026 Table 23 '!$B:$B,"*,"&amp;$A24&amp;",*")-SUMIFS('AEO 2026 Table 23 '!T:T,'AEO 2026 Table 23 '!$B:$B,"*,"&amp;$A24&amp;",*"))/SUMIFS('AEO 2026 Table 23 '!T:T,'AEO 2026 Table 23 '!$B:$B,"*,"&amp;$A24&amp;",*"),"")</f>
        <v>7.1226284684474369E-3</v>
      </c>
      <c r="S24">
        <f>IFERROR((SUMIFS('AEO 2026 Table 23 '!V:V,'AEO 2026 Table 23 '!$B:$B,"*,"&amp;$A24&amp;",*")-SUMIFS('AEO 2026 Table 23 '!U:U,'AEO 2026 Table 23 '!$B:$B,"*,"&amp;$A24&amp;",*"))/SUMIFS('AEO 2026 Table 23 '!U:U,'AEO 2026 Table 23 '!$B:$B,"*,"&amp;$A24&amp;",*"),"")</f>
        <v>9.8951308344954747E-3</v>
      </c>
      <c r="T24">
        <f>IFERROR((SUMIFS('AEO 2026 Table 23 '!W:W,'AEO 2026 Table 23 '!$B:$B,"*,"&amp;$A24&amp;",*")-SUMIFS('AEO 2026 Table 23 '!V:V,'AEO 2026 Table 23 '!$B:$B,"*,"&amp;$A24&amp;",*"))/SUMIFS('AEO 2026 Table 23 '!V:V,'AEO 2026 Table 23 '!$B:$B,"*,"&amp;$A24&amp;",*"),"")</f>
        <v>9.038876868339837E-3</v>
      </c>
      <c r="U24">
        <f>IFERROR((SUMIFS('AEO 2026 Table 23 '!X:X,'AEO 2026 Table 23 '!$B:$B,"*,"&amp;$A24&amp;",*")-SUMIFS('AEO 2026 Table 23 '!W:W,'AEO 2026 Table 23 '!$B:$B,"*,"&amp;$A24&amp;",*"))/SUMIFS('AEO 2026 Table 23 '!W:W,'AEO 2026 Table 23 '!$B:$B,"*,"&amp;$A24&amp;",*"),"")</f>
        <v>9.9646974072085219E-3</v>
      </c>
      <c r="V24">
        <f>IFERROR((SUMIFS('AEO 2026 Table 23 '!Y:Y,'AEO 2026 Table 23 '!$B:$B,"*,"&amp;$A24&amp;",*")-SUMIFS('AEO 2026 Table 23 '!X:X,'AEO 2026 Table 23 '!$B:$B,"*,"&amp;$A24&amp;",*"))/SUMIFS('AEO 2026 Table 23 '!X:X,'AEO 2026 Table 23 '!$B:$B,"*,"&amp;$A24&amp;",*"),"")</f>
        <v>1.0126107037825011E-2</v>
      </c>
      <c r="W24">
        <f>IFERROR((SUMIFS('AEO 2026 Table 23 '!Z:Z,'AEO 2026 Table 23 '!$B:$B,"*,"&amp;$A24&amp;",*")-SUMIFS('AEO 2026 Table 23 '!Y:Y,'AEO 2026 Table 23 '!$B:$B,"*,"&amp;$A24&amp;",*"))/SUMIFS('AEO 2026 Table 23 '!Y:Y,'AEO 2026 Table 23 '!$B:$B,"*,"&amp;$A24&amp;",*"),"")</f>
        <v>1.4210034173012122E-2</v>
      </c>
      <c r="X24">
        <f>IFERROR((SUMIFS('AEO 2026 Table 23 '!AA:AA,'AEO 2026 Table 23 '!$B:$B,"*,"&amp;$A24&amp;",*")-SUMIFS('AEO 2026 Table 23 '!Z:Z,'AEO 2026 Table 23 '!$B:$B,"*,"&amp;$A24&amp;",*"))/SUMIFS('AEO 2026 Table 23 '!Z:Z,'AEO 2026 Table 23 '!$B:$B,"*,"&amp;$A24&amp;",*"),"")</f>
        <v>1.3590009721918109E-2</v>
      </c>
      <c r="Y24">
        <f>IFERROR((SUMIFS('AEO 2026 Table 23 '!AB:AB,'AEO 2026 Table 23 '!$B:$B,"*,"&amp;$A24&amp;",*")-SUMIFS('AEO 2026 Table 23 '!AA:AA,'AEO 2026 Table 23 '!$B:$B,"*,"&amp;$A24&amp;",*"))/SUMIFS('AEO 2026 Table 23 '!AA:AA,'AEO 2026 Table 23 '!$B:$B,"*,"&amp;$A24&amp;",*"),"")</f>
        <v>1.1843832165229377E-2</v>
      </c>
      <c r="Z24">
        <f>IFERROR((SUMIFS('AEO 2026 Table 23 '!AC:AC,'AEO 2026 Table 23 '!$B:$B,"*,"&amp;$A24&amp;",*")-SUMIFS('AEO 2026 Table 23 '!AB:AB,'AEO 2026 Table 23 '!$B:$B,"*,"&amp;$A24&amp;",*"))/SUMIFS('AEO 2026 Table 23 '!AB:AB,'AEO 2026 Table 23 '!$B:$B,"*,"&amp;$A24&amp;",*"),"")</f>
        <v>6.1499425535588379E-3</v>
      </c>
      <c r="AA24">
        <f>IFERROR((SUMIFS('AEO 2026 Table 23 '!AD:AD,'AEO 2026 Table 23 '!$B:$B,"*,"&amp;$A24&amp;",*")-SUMIFS('AEO 2026 Table 23 '!AC:AC,'AEO 2026 Table 23 '!$B:$B,"*,"&amp;$A24&amp;",*"))/SUMIFS('AEO 2026 Table 23 '!AC:AC,'AEO 2026 Table 23 '!$B:$B,"*,"&amp;$A24&amp;",*"),"")</f>
        <v>3.5324314979772627E-3</v>
      </c>
      <c r="AB24">
        <f>IFERROR((SUMIFS('AEO 2026 Table 23 '!AE:AE,'AEO 2026 Table 23 '!$B:$B,"*,"&amp;$A24&amp;",*")-SUMIFS('AEO 2026 Table 23 '!AD:AD,'AEO 2026 Table 23 '!$B:$B,"*,"&amp;$A24&amp;",*"))/SUMIFS('AEO 2026 Table 23 '!AD:AD,'AEO 2026 Table 23 '!$B:$B,"*,"&amp;$A24&amp;",*"),"")</f>
        <v>1.0748907107304761E-2</v>
      </c>
      <c r="AC24">
        <f>IFERROR((SUMIFS('AEO 2026 Table 23 '!AF:AF,'AEO 2026 Table 23 '!$B:$B,"*,"&amp;$A24&amp;",*")-SUMIFS('AEO 2026 Table 23 '!AE:AE,'AEO 2026 Table 23 '!$B:$B,"*,"&amp;$A24&amp;",*"))/SUMIFS('AEO 2026 Table 23 '!AE:AE,'AEO 2026 Table 23 '!$B:$B,"*,"&amp;$A24&amp;",*"),"")</f>
        <v>9.654321392619734E-3</v>
      </c>
    </row>
    <row r="25" spans="1:29" x14ac:dyDescent="0.25">
      <c r="A25" t="s">
        <v>291</v>
      </c>
      <c r="B25">
        <f>IFERROR(SUMPRODUCT(--('BLS Table 2.11'!$L$1:$L$426=$A25),'BLS Table 2.11'!$J$1:$J$426,'BLS Table 2.11'!$K$1:$K$426)/SUMIFS('BLS Table 2.11'!$J$1:$J$426,'BLS Table 2.11'!$L$1:$L$426,$A25)/100,0)</f>
        <v>2.2000000000000002E-2</v>
      </c>
      <c r="D25">
        <f>IFERROR((SUMIFS('AEO 2026 Table 23 '!G:G,'AEO 2026 Table 23 '!$B:$B,"*,"&amp;$A25&amp;",*")-SUMIFS('AEO25 Table 23'!H:H,'AEO25 Table 23'!$B:$B,"*,"&amp;$A25&amp;",*"))/SUMIFS('AEO25 Table 23'!H:H,'AEO25 Table 23'!$B:$B,"*,"&amp;$A25&amp;",*"),"")</f>
        <v>-6.5496145174722312E-2</v>
      </c>
      <c r="E25">
        <f>IFERROR((SUMIFS('AEO 2026 Table 23 '!H:H,'AEO 2026 Table 23 '!$B:$B,"*,"&amp;$A25&amp;",*")-SUMIFS('AEO 2026 Table 23 '!G:G,'AEO 2026 Table 23 '!$B:$B,"*,"&amp;$A25&amp;",*"))/SUMIFS('AEO 2026 Table 23 '!G:G,'AEO 2026 Table 23 '!$B:$B,"*,"&amp;$A25&amp;",*"),"")</f>
        <v>1.049235557326296E-2</v>
      </c>
      <c r="F25">
        <f>IFERROR((SUMIFS('AEO 2026 Table 23 '!I:I,'AEO 2026 Table 23 '!$B:$B,"*,"&amp;$A25&amp;",*")-SUMIFS('AEO 2026 Table 23 '!H:H,'AEO 2026 Table 23 '!$B:$B,"*,"&amp;$A25&amp;",*"))/SUMIFS('AEO 2026 Table 23 '!H:H,'AEO 2026 Table 23 '!$B:$B,"*,"&amp;$A25&amp;",*"),"")</f>
        <v>3.7470970080506746E-2</v>
      </c>
      <c r="G25">
        <f>IFERROR((SUMIFS('AEO 2026 Table 23 '!J:J,'AEO 2026 Table 23 '!$B:$B,"*,"&amp;$A25&amp;",*")-SUMIFS('AEO 2026 Table 23 '!I:I,'AEO 2026 Table 23 '!$B:$B,"*,"&amp;$A25&amp;",*"))/SUMIFS('AEO 2026 Table 23 '!I:I,'AEO 2026 Table 23 '!$B:$B,"*,"&amp;$A25&amp;",*"),"")</f>
        <v>2.3952323404698484E-2</v>
      </c>
      <c r="H25">
        <f>IFERROR((SUMIFS('AEO 2026 Table 23 '!K:K,'AEO 2026 Table 23 '!$B:$B,"*,"&amp;$A25&amp;",*")-SUMIFS('AEO 2026 Table 23 '!J:J,'AEO 2026 Table 23 '!$B:$B,"*,"&amp;$A25&amp;",*"))/SUMIFS('AEO 2026 Table 23 '!J:J,'AEO 2026 Table 23 '!$B:$B,"*,"&amp;$A25&amp;",*"),"")</f>
        <v>2.5456781846209971E-2</v>
      </c>
      <c r="I25">
        <f>IFERROR((SUMIFS('AEO 2026 Table 23 '!L:L,'AEO 2026 Table 23 '!$B:$B,"*,"&amp;$A25&amp;",*")-SUMIFS('AEO 2026 Table 23 '!K:K,'AEO 2026 Table 23 '!$B:$B,"*,"&amp;$A25&amp;",*"))/SUMIFS('AEO 2026 Table 23 '!K:K,'AEO 2026 Table 23 '!$B:$B,"*,"&amp;$A25&amp;",*"),"")</f>
        <v>2.044704623110288E-2</v>
      </c>
      <c r="J25">
        <f>IFERROR((SUMIFS('AEO 2026 Table 23 '!M:M,'AEO 2026 Table 23 '!$B:$B,"*,"&amp;$A25&amp;",*")-SUMIFS('AEO 2026 Table 23 '!L:L,'AEO 2026 Table 23 '!$B:$B,"*,"&amp;$A25&amp;",*"))/SUMIFS('AEO 2026 Table 23 '!L:L,'AEO 2026 Table 23 '!$B:$B,"*,"&amp;$A25&amp;",*"),"")</f>
        <v>1.6053906954425344E-2</v>
      </c>
      <c r="K25">
        <f>IFERROR((SUMIFS('AEO 2026 Table 23 '!N:N,'AEO 2026 Table 23 '!$B:$B,"*,"&amp;$A25&amp;",*")-SUMIFS('AEO 2026 Table 23 '!M:M,'AEO 2026 Table 23 '!$B:$B,"*,"&amp;$A25&amp;",*"))/SUMIFS('AEO 2026 Table 23 '!M:M,'AEO 2026 Table 23 '!$B:$B,"*,"&amp;$A25&amp;",*"),"")</f>
        <v>1.9197945678032947E-2</v>
      </c>
      <c r="L25">
        <f>IFERROR((SUMIFS('AEO 2026 Table 23 '!O:O,'AEO 2026 Table 23 '!$B:$B,"*,"&amp;$A25&amp;",*")-SUMIFS('AEO 2026 Table 23 '!N:N,'AEO 2026 Table 23 '!$B:$B,"*,"&amp;$A25&amp;",*"))/SUMIFS('AEO 2026 Table 23 '!N:N,'AEO 2026 Table 23 '!$B:$B,"*,"&amp;$A25&amp;",*"),"")</f>
        <v>1.3829789433627978E-2</v>
      </c>
      <c r="M25">
        <f>IFERROR((SUMIFS('AEO 2026 Table 23 '!P:P,'AEO 2026 Table 23 '!$B:$B,"*,"&amp;$A25&amp;",*")-SUMIFS('AEO 2026 Table 23 '!O:O,'AEO 2026 Table 23 '!$B:$B,"*,"&amp;$A25&amp;",*"))/SUMIFS('AEO 2026 Table 23 '!O:O,'AEO 2026 Table 23 '!$B:$B,"*,"&amp;$A25&amp;",*"),"")</f>
        <v>1.7647761389281848E-2</v>
      </c>
      <c r="N25">
        <f>IFERROR((SUMIFS('AEO 2026 Table 23 '!Q:Q,'AEO 2026 Table 23 '!$B:$B,"*,"&amp;$A25&amp;",*")-SUMIFS('AEO 2026 Table 23 '!P:P,'AEO 2026 Table 23 '!$B:$B,"*,"&amp;$A25&amp;",*"))/SUMIFS('AEO 2026 Table 23 '!P:P,'AEO 2026 Table 23 '!$B:$B,"*,"&amp;$A25&amp;",*"),"")</f>
        <v>2.0477310320871293E-2</v>
      </c>
      <c r="O25">
        <f>IFERROR((SUMIFS('AEO 2026 Table 23 '!R:R,'AEO 2026 Table 23 '!$B:$B,"*,"&amp;$A25&amp;",*")-SUMIFS('AEO 2026 Table 23 '!Q:Q,'AEO 2026 Table 23 '!$B:$B,"*,"&amp;$A25&amp;",*"))/SUMIFS('AEO 2026 Table 23 '!Q:Q,'AEO 2026 Table 23 '!$B:$B,"*,"&amp;$A25&amp;",*"),"")</f>
        <v>1.9872186202292391E-2</v>
      </c>
      <c r="P25">
        <f>IFERROR((SUMIFS('AEO 2026 Table 23 '!S:S,'AEO 2026 Table 23 '!$B:$B,"*,"&amp;$A25&amp;",*")-SUMIFS('AEO 2026 Table 23 '!R:R,'AEO 2026 Table 23 '!$B:$B,"*,"&amp;$A25&amp;",*"))/SUMIFS('AEO 2026 Table 23 '!R:R,'AEO 2026 Table 23 '!$B:$B,"*,"&amp;$A25&amp;",*"),"")</f>
        <v>2.1011163495363843E-2</v>
      </c>
      <c r="Q25">
        <f>IFERROR((SUMIFS('AEO 2026 Table 23 '!T:T,'AEO 2026 Table 23 '!$B:$B,"*,"&amp;$A25&amp;",*")-SUMIFS('AEO 2026 Table 23 '!S:S,'AEO 2026 Table 23 '!$B:$B,"*,"&amp;$A25&amp;",*"))/SUMIFS('AEO 2026 Table 23 '!S:S,'AEO 2026 Table 23 '!$B:$B,"*,"&amp;$A25&amp;",*"),"")</f>
        <v>2.0562019562047316E-2</v>
      </c>
      <c r="R25">
        <f>IFERROR((SUMIFS('AEO 2026 Table 23 '!U:U,'AEO 2026 Table 23 '!$B:$B,"*,"&amp;$A25&amp;",*")-SUMIFS('AEO 2026 Table 23 '!T:T,'AEO 2026 Table 23 '!$B:$B,"*,"&amp;$A25&amp;",*"))/SUMIFS('AEO 2026 Table 23 '!T:T,'AEO 2026 Table 23 '!$B:$B,"*,"&amp;$A25&amp;",*"),"")</f>
        <v>2.1821787250447627E-2</v>
      </c>
      <c r="S25">
        <f>IFERROR((SUMIFS('AEO 2026 Table 23 '!V:V,'AEO 2026 Table 23 '!$B:$B,"*,"&amp;$A25&amp;",*")-SUMIFS('AEO 2026 Table 23 '!U:U,'AEO 2026 Table 23 '!$B:$B,"*,"&amp;$A25&amp;",*"))/SUMIFS('AEO 2026 Table 23 '!U:U,'AEO 2026 Table 23 '!$B:$B,"*,"&amp;$A25&amp;",*"),"")</f>
        <v>2.2229099579873086E-2</v>
      </c>
      <c r="T25">
        <f>IFERROR((SUMIFS('AEO 2026 Table 23 '!W:W,'AEO 2026 Table 23 '!$B:$B,"*,"&amp;$A25&amp;",*")-SUMIFS('AEO 2026 Table 23 '!V:V,'AEO 2026 Table 23 '!$B:$B,"*,"&amp;$A25&amp;",*"))/SUMIFS('AEO 2026 Table 23 '!V:V,'AEO 2026 Table 23 '!$B:$B,"*,"&amp;$A25&amp;",*"),"")</f>
        <v>2.1383231961426E-2</v>
      </c>
      <c r="U25">
        <f>IFERROR((SUMIFS('AEO 2026 Table 23 '!X:X,'AEO 2026 Table 23 '!$B:$B,"*,"&amp;$A25&amp;",*")-SUMIFS('AEO 2026 Table 23 '!W:W,'AEO 2026 Table 23 '!$B:$B,"*,"&amp;$A25&amp;",*"))/SUMIFS('AEO 2026 Table 23 '!W:W,'AEO 2026 Table 23 '!$B:$B,"*,"&amp;$A25&amp;",*"),"")</f>
        <v>2.2557698028721859E-2</v>
      </c>
      <c r="V25">
        <f>IFERROR((SUMIFS('AEO 2026 Table 23 '!Y:Y,'AEO 2026 Table 23 '!$B:$B,"*,"&amp;$A25&amp;",*")-SUMIFS('AEO 2026 Table 23 '!X:X,'AEO 2026 Table 23 '!$B:$B,"*,"&amp;$A25&amp;",*"))/SUMIFS('AEO 2026 Table 23 '!X:X,'AEO 2026 Table 23 '!$B:$B,"*,"&amp;$A25&amp;",*"),"")</f>
        <v>2.3289221664284179E-2</v>
      </c>
      <c r="W25">
        <f>IFERROR((SUMIFS('AEO 2026 Table 23 '!Z:Z,'AEO 2026 Table 23 '!$B:$B,"*,"&amp;$A25&amp;",*")-SUMIFS('AEO 2026 Table 23 '!Y:Y,'AEO 2026 Table 23 '!$B:$B,"*,"&amp;$A25&amp;",*"))/SUMIFS('AEO 2026 Table 23 '!Y:Y,'AEO 2026 Table 23 '!$B:$B,"*,"&amp;$A25&amp;",*"),"")</f>
        <v>2.5166225455832306E-2</v>
      </c>
      <c r="X25">
        <f>IFERROR((SUMIFS('AEO 2026 Table 23 '!AA:AA,'AEO 2026 Table 23 '!$B:$B,"*,"&amp;$A25&amp;",*")-SUMIFS('AEO 2026 Table 23 '!Z:Z,'AEO 2026 Table 23 '!$B:$B,"*,"&amp;$A25&amp;",*"))/SUMIFS('AEO 2026 Table 23 '!Z:Z,'AEO 2026 Table 23 '!$B:$B,"*,"&amp;$A25&amp;",*"),"")</f>
        <v>2.5932976807984533E-2</v>
      </c>
      <c r="Y25">
        <f>IFERROR((SUMIFS('AEO 2026 Table 23 '!AB:AB,'AEO 2026 Table 23 '!$B:$B,"*,"&amp;$A25&amp;",*")-SUMIFS('AEO 2026 Table 23 '!AA:AA,'AEO 2026 Table 23 '!$B:$B,"*,"&amp;$A25&amp;",*"))/SUMIFS('AEO 2026 Table 23 '!AA:AA,'AEO 2026 Table 23 '!$B:$B,"*,"&amp;$A25&amp;",*"),"")</f>
        <v>2.6600966858647983E-2</v>
      </c>
      <c r="Z25">
        <f>IFERROR((SUMIFS('AEO 2026 Table 23 '!AC:AC,'AEO 2026 Table 23 '!$B:$B,"*,"&amp;$A25&amp;",*")-SUMIFS('AEO 2026 Table 23 '!AB:AB,'AEO 2026 Table 23 '!$B:$B,"*,"&amp;$A25&amp;",*"))/SUMIFS('AEO 2026 Table 23 '!AB:AB,'AEO 2026 Table 23 '!$B:$B,"*,"&amp;$A25&amp;",*"),"")</f>
        <v>2.4984846374277125E-2</v>
      </c>
      <c r="AA25">
        <f>IFERROR((SUMIFS('AEO 2026 Table 23 '!AD:AD,'AEO 2026 Table 23 '!$B:$B,"*,"&amp;$A25&amp;",*")-SUMIFS('AEO 2026 Table 23 '!AC:AC,'AEO 2026 Table 23 '!$B:$B,"*,"&amp;$A25&amp;",*"))/SUMIFS('AEO 2026 Table 23 '!AC:AC,'AEO 2026 Table 23 '!$B:$B,"*,"&amp;$A25&amp;",*"),"")</f>
        <v>2.4501268917016789E-2</v>
      </c>
      <c r="AB25">
        <f>IFERROR((SUMIFS('AEO 2026 Table 23 '!AE:AE,'AEO 2026 Table 23 '!$B:$B,"*,"&amp;$A25&amp;",*")-SUMIFS('AEO 2026 Table 23 '!AD:AD,'AEO 2026 Table 23 '!$B:$B,"*,"&amp;$A25&amp;",*"))/SUMIFS('AEO 2026 Table 23 '!AD:AD,'AEO 2026 Table 23 '!$B:$B,"*,"&amp;$A25&amp;",*"),"")</f>
        <v>2.4399332556645007E-2</v>
      </c>
      <c r="AC25">
        <f>IFERROR((SUMIFS('AEO 2026 Table 23 '!AF:AF,'AEO 2026 Table 23 '!$B:$B,"*,"&amp;$A25&amp;",*")-SUMIFS('AEO 2026 Table 23 '!AE:AE,'AEO 2026 Table 23 '!$B:$B,"*,"&amp;$A25&amp;",*"))/SUMIFS('AEO 2026 Table 23 '!AE:AE,'AEO 2026 Table 23 '!$B:$B,"*,"&amp;$A25&amp;",*"),"")</f>
        <v>2.1273483357682858E-2</v>
      </c>
    </row>
    <row r="26" spans="1:29" x14ac:dyDescent="0.25">
      <c r="A26" t="s">
        <v>306</v>
      </c>
      <c r="B26">
        <f>IFERROR(SUMPRODUCT(--('BLS Table 2.11'!$L$1:$L$426=$A26),'BLS Table 2.11'!$J$1:$J$426,'BLS Table 2.11'!$K$1:$K$426)/SUMIFS('BLS Table 2.11'!$J$1:$J$426,'BLS Table 2.11'!$L$1:$L$426,$A26)/100,0)</f>
        <v>1.7000000000000001E-2</v>
      </c>
      <c r="D26">
        <f>IFERROR((SUMIFS('AEO 2026 Table 23 '!G:G,'AEO 2026 Table 23 '!$B:$B,"*,"&amp;$A26&amp;",*")-SUMIFS('AEO25 Table 23'!H:H,'AEO25 Table 23'!$B:$B,"*,"&amp;$A26&amp;",*"))/SUMIFS('AEO25 Table 23'!H:H,'AEO25 Table 23'!$B:$B,"*,"&amp;$A26&amp;",*"),"")</f>
        <v>9.5838154987310364E-3</v>
      </c>
      <c r="E26">
        <f>IFERROR((SUMIFS('AEO 2026 Table 23 '!H:H,'AEO 2026 Table 23 '!$B:$B,"*,"&amp;$A26&amp;",*")-SUMIFS('AEO 2026 Table 23 '!G:G,'AEO 2026 Table 23 '!$B:$B,"*,"&amp;$A26&amp;",*"))/SUMIFS('AEO 2026 Table 23 '!G:G,'AEO 2026 Table 23 '!$B:$B,"*,"&amp;$A26&amp;",*"),"")</f>
        <v>-1.3180751806413827E-2</v>
      </c>
      <c r="F26">
        <f>IFERROR((SUMIFS('AEO 2026 Table 23 '!I:I,'AEO 2026 Table 23 '!$B:$B,"*,"&amp;$A26&amp;",*")-SUMIFS('AEO 2026 Table 23 '!H:H,'AEO 2026 Table 23 '!$B:$B,"*,"&amp;$A26&amp;",*"))/SUMIFS('AEO 2026 Table 23 '!H:H,'AEO 2026 Table 23 '!$B:$B,"*,"&amp;$A26&amp;",*"),"")</f>
        <v>-5.495876411580016E-3</v>
      </c>
      <c r="G26">
        <f>IFERROR((SUMIFS('AEO 2026 Table 23 '!J:J,'AEO 2026 Table 23 '!$B:$B,"*,"&amp;$A26&amp;",*")-SUMIFS('AEO 2026 Table 23 '!I:I,'AEO 2026 Table 23 '!$B:$B,"*,"&amp;$A26&amp;",*"))/SUMIFS('AEO 2026 Table 23 '!I:I,'AEO 2026 Table 23 '!$B:$B,"*,"&amp;$A26&amp;",*"),"")</f>
        <v>-1.5659957935745084E-2</v>
      </c>
      <c r="H26">
        <f>IFERROR((SUMIFS('AEO 2026 Table 23 '!K:K,'AEO 2026 Table 23 '!$B:$B,"*,"&amp;$A26&amp;",*")-SUMIFS('AEO 2026 Table 23 '!J:J,'AEO 2026 Table 23 '!$B:$B,"*,"&amp;$A26&amp;",*"))/SUMIFS('AEO 2026 Table 23 '!J:J,'AEO 2026 Table 23 '!$B:$B,"*,"&amp;$A26&amp;",*"),"")</f>
        <v>-3.6960462318567761E-3</v>
      </c>
      <c r="I26">
        <f>IFERROR((SUMIFS('AEO 2026 Table 23 '!L:L,'AEO 2026 Table 23 '!$B:$B,"*,"&amp;$A26&amp;",*")-SUMIFS('AEO 2026 Table 23 '!K:K,'AEO 2026 Table 23 '!$B:$B,"*,"&amp;$A26&amp;",*"))/SUMIFS('AEO 2026 Table 23 '!K:K,'AEO 2026 Table 23 '!$B:$B,"*,"&amp;$A26&amp;",*"),"")</f>
        <v>1.8032865730730773E-2</v>
      </c>
      <c r="J26">
        <f>IFERROR((SUMIFS('AEO 2026 Table 23 '!M:M,'AEO 2026 Table 23 '!$B:$B,"*,"&amp;$A26&amp;",*")-SUMIFS('AEO 2026 Table 23 '!L:L,'AEO 2026 Table 23 '!$B:$B,"*,"&amp;$A26&amp;",*"))/SUMIFS('AEO 2026 Table 23 '!L:L,'AEO 2026 Table 23 '!$B:$B,"*,"&amp;$A26&amp;",*"),"")</f>
        <v>1.612508868781946E-2</v>
      </c>
      <c r="K26">
        <f>IFERROR((SUMIFS('AEO 2026 Table 23 '!N:N,'AEO 2026 Table 23 '!$B:$B,"*,"&amp;$A26&amp;",*")-SUMIFS('AEO 2026 Table 23 '!M:M,'AEO 2026 Table 23 '!$B:$B,"*,"&amp;$A26&amp;",*"))/SUMIFS('AEO 2026 Table 23 '!M:M,'AEO 2026 Table 23 '!$B:$B,"*,"&amp;$A26&amp;",*"),"")</f>
        <v>1.680996299942103E-2</v>
      </c>
      <c r="L26">
        <f>IFERROR((SUMIFS('AEO 2026 Table 23 '!O:O,'AEO 2026 Table 23 '!$B:$B,"*,"&amp;$A26&amp;",*")-SUMIFS('AEO 2026 Table 23 '!N:N,'AEO 2026 Table 23 '!$B:$B,"*,"&amp;$A26&amp;",*"))/SUMIFS('AEO 2026 Table 23 '!N:N,'AEO 2026 Table 23 '!$B:$B,"*,"&amp;$A26&amp;",*"),"")</f>
        <v>5.4695342229286433E-3</v>
      </c>
      <c r="M26">
        <f>IFERROR((SUMIFS('AEO 2026 Table 23 '!P:P,'AEO 2026 Table 23 '!$B:$B,"*,"&amp;$A26&amp;",*")-SUMIFS('AEO 2026 Table 23 '!O:O,'AEO 2026 Table 23 '!$B:$B,"*,"&amp;$A26&amp;",*"))/SUMIFS('AEO 2026 Table 23 '!O:O,'AEO 2026 Table 23 '!$B:$B,"*,"&amp;$A26&amp;",*"),"")</f>
        <v>4.4293113800551055E-3</v>
      </c>
      <c r="N26">
        <f>IFERROR((SUMIFS('AEO 2026 Table 23 '!Q:Q,'AEO 2026 Table 23 '!$B:$B,"*,"&amp;$A26&amp;",*")-SUMIFS('AEO 2026 Table 23 '!P:P,'AEO 2026 Table 23 '!$B:$B,"*,"&amp;$A26&amp;",*"))/SUMIFS('AEO 2026 Table 23 '!P:P,'AEO 2026 Table 23 '!$B:$B,"*,"&amp;$A26&amp;",*"),"")</f>
        <v>1.0716080366278562E-2</v>
      </c>
      <c r="O26">
        <f>IFERROR((SUMIFS('AEO 2026 Table 23 '!R:R,'AEO 2026 Table 23 '!$B:$B,"*,"&amp;$A26&amp;",*")-SUMIFS('AEO 2026 Table 23 '!Q:Q,'AEO 2026 Table 23 '!$B:$B,"*,"&amp;$A26&amp;",*"))/SUMIFS('AEO 2026 Table 23 '!Q:Q,'AEO 2026 Table 23 '!$B:$B,"*,"&amp;$A26&amp;",*"),"")</f>
        <v>7.5710519600504199E-3</v>
      </c>
      <c r="P26">
        <f>IFERROR((SUMIFS('AEO 2026 Table 23 '!S:S,'AEO 2026 Table 23 '!$B:$B,"*,"&amp;$A26&amp;",*")-SUMIFS('AEO 2026 Table 23 '!R:R,'AEO 2026 Table 23 '!$B:$B,"*,"&amp;$A26&amp;",*"))/SUMIFS('AEO 2026 Table 23 '!R:R,'AEO 2026 Table 23 '!$B:$B,"*,"&amp;$A26&amp;",*"),"")</f>
        <v>6.9475790461157125E-3</v>
      </c>
      <c r="Q26">
        <f>IFERROR((SUMIFS('AEO 2026 Table 23 '!T:T,'AEO 2026 Table 23 '!$B:$B,"*,"&amp;$A26&amp;",*")-SUMIFS('AEO 2026 Table 23 '!S:S,'AEO 2026 Table 23 '!$B:$B,"*,"&amp;$A26&amp;",*"))/SUMIFS('AEO 2026 Table 23 '!S:S,'AEO 2026 Table 23 '!$B:$B,"*,"&amp;$A26&amp;",*"),"")</f>
        <v>5.019167709294562E-3</v>
      </c>
      <c r="R26">
        <f>IFERROR((SUMIFS('AEO 2026 Table 23 '!U:U,'AEO 2026 Table 23 '!$B:$B,"*,"&amp;$A26&amp;",*")-SUMIFS('AEO 2026 Table 23 '!T:T,'AEO 2026 Table 23 '!$B:$B,"*,"&amp;$A26&amp;",*"))/SUMIFS('AEO 2026 Table 23 '!T:T,'AEO 2026 Table 23 '!$B:$B,"*,"&amp;$A26&amp;",*"),"")</f>
        <v>4.7556991717196831E-3</v>
      </c>
      <c r="S26">
        <f>IFERROR((SUMIFS('AEO 2026 Table 23 '!V:V,'AEO 2026 Table 23 '!$B:$B,"*,"&amp;$A26&amp;",*")-SUMIFS('AEO 2026 Table 23 '!U:U,'AEO 2026 Table 23 '!$B:$B,"*,"&amp;$A26&amp;",*"))/SUMIFS('AEO 2026 Table 23 '!U:U,'AEO 2026 Table 23 '!$B:$B,"*,"&amp;$A26&amp;",*"),"")</f>
        <v>6.585604364996599E-3</v>
      </c>
      <c r="T26">
        <f>IFERROR((SUMIFS('AEO 2026 Table 23 '!W:W,'AEO 2026 Table 23 '!$B:$B,"*,"&amp;$A26&amp;",*")-SUMIFS('AEO 2026 Table 23 '!V:V,'AEO 2026 Table 23 '!$B:$B,"*,"&amp;$A26&amp;",*"))/SUMIFS('AEO 2026 Table 23 '!V:V,'AEO 2026 Table 23 '!$B:$B,"*,"&amp;$A26&amp;",*"),"")</f>
        <v>5.6606166948387285E-3</v>
      </c>
      <c r="U26">
        <f>IFERROR((SUMIFS('AEO 2026 Table 23 '!X:X,'AEO 2026 Table 23 '!$B:$B,"*,"&amp;$A26&amp;",*")-SUMIFS('AEO 2026 Table 23 '!W:W,'AEO 2026 Table 23 '!$B:$B,"*,"&amp;$A26&amp;",*"))/SUMIFS('AEO 2026 Table 23 '!W:W,'AEO 2026 Table 23 '!$B:$B,"*,"&amp;$A26&amp;",*"),"")</f>
        <v>6.5817540342673689E-3</v>
      </c>
      <c r="V26">
        <f>IFERROR((SUMIFS('AEO 2026 Table 23 '!Y:Y,'AEO 2026 Table 23 '!$B:$B,"*,"&amp;$A26&amp;",*")-SUMIFS('AEO 2026 Table 23 '!X:X,'AEO 2026 Table 23 '!$B:$B,"*,"&amp;$A26&amp;",*"))/SUMIFS('AEO 2026 Table 23 '!X:X,'AEO 2026 Table 23 '!$B:$B,"*,"&amp;$A26&amp;",*"),"")</f>
        <v>5.5774839144858415E-3</v>
      </c>
      <c r="W26">
        <f>IFERROR((SUMIFS('AEO 2026 Table 23 '!Z:Z,'AEO 2026 Table 23 '!$B:$B,"*,"&amp;$A26&amp;",*")-SUMIFS('AEO 2026 Table 23 '!Y:Y,'AEO 2026 Table 23 '!$B:$B,"*,"&amp;$A26&amp;",*"))/SUMIFS('AEO 2026 Table 23 '!Y:Y,'AEO 2026 Table 23 '!$B:$B,"*,"&amp;$A26&amp;",*"),"")</f>
        <v>5.3389950121167217E-3</v>
      </c>
      <c r="X26">
        <f>IFERROR((SUMIFS('AEO 2026 Table 23 '!AA:AA,'AEO 2026 Table 23 '!$B:$B,"*,"&amp;$A26&amp;",*")-SUMIFS('AEO 2026 Table 23 '!Z:Z,'AEO 2026 Table 23 '!$B:$B,"*,"&amp;$A26&amp;",*"))/SUMIFS('AEO 2026 Table 23 '!Z:Z,'AEO 2026 Table 23 '!$B:$B,"*,"&amp;$A26&amp;",*"),"")</f>
        <v>6.2995500713378073E-3</v>
      </c>
      <c r="Y26">
        <f>IFERROR((SUMIFS('AEO 2026 Table 23 '!AB:AB,'AEO 2026 Table 23 '!$B:$B,"*,"&amp;$A26&amp;",*")-SUMIFS('AEO 2026 Table 23 '!AA:AA,'AEO 2026 Table 23 '!$B:$B,"*,"&amp;$A26&amp;",*"))/SUMIFS('AEO 2026 Table 23 '!AA:AA,'AEO 2026 Table 23 '!$B:$B,"*,"&amp;$A26&amp;",*"),"")</f>
        <v>7.9632206641985174E-3</v>
      </c>
      <c r="Z26">
        <f>IFERROR((SUMIFS('AEO 2026 Table 23 '!AC:AC,'AEO 2026 Table 23 '!$B:$B,"*,"&amp;$A26&amp;",*")-SUMIFS('AEO 2026 Table 23 '!AB:AB,'AEO 2026 Table 23 '!$B:$B,"*,"&amp;$A26&amp;",*"))/SUMIFS('AEO 2026 Table 23 '!AB:AB,'AEO 2026 Table 23 '!$B:$B,"*,"&amp;$A26&amp;",*"),"")</f>
        <v>7.8306975688093548E-3</v>
      </c>
      <c r="AA26">
        <f>IFERROR((SUMIFS('AEO 2026 Table 23 '!AD:AD,'AEO 2026 Table 23 '!$B:$B,"*,"&amp;$A26&amp;",*")-SUMIFS('AEO 2026 Table 23 '!AC:AC,'AEO 2026 Table 23 '!$B:$B,"*,"&amp;$A26&amp;",*"))/SUMIFS('AEO 2026 Table 23 '!AC:AC,'AEO 2026 Table 23 '!$B:$B,"*,"&amp;$A26&amp;",*"),"")</f>
        <v>6.7753977190839121E-3</v>
      </c>
      <c r="AB26">
        <f>IFERROR((SUMIFS('AEO 2026 Table 23 '!AE:AE,'AEO 2026 Table 23 '!$B:$B,"*,"&amp;$A26&amp;",*")-SUMIFS('AEO 2026 Table 23 '!AD:AD,'AEO 2026 Table 23 '!$B:$B,"*,"&amp;$A26&amp;",*"))/SUMIFS('AEO 2026 Table 23 '!AD:AD,'AEO 2026 Table 23 '!$B:$B,"*,"&amp;$A26&amp;",*"),"")</f>
        <v>5.4717269479305167E-3</v>
      </c>
      <c r="AC26">
        <f>IFERROR((SUMIFS('AEO 2026 Table 23 '!AF:AF,'AEO 2026 Table 23 '!$B:$B,"*,"&amp;$A26&amp;",*")-SUMIFS('AEO 2026 Table 23 '!AE:AE,'AEO 2026 Table 23 '!$B:$B,"*,"&amp;$A26&amp;",*"))/SUMIFS('AEO 2026 Table 23 '!AE:AE,'AEO 2026 Table 23 '!$B:$B,"*,"&amp;$A26&amp;",*"),"")</f>
        <v>3.8045208677786554E-3</v>
      </c>
    </row>
    <row r="27" spans="1:29" x14ac:dyDescent="0.25">
      <c r="A27" t="s">
        <v>280</v>
      </c>
      <c r="B27">
        <f>IFERROR(SUMPRODUCT(--('BLS Table 2.11'!$L$1:$L$426=$A27),'BLS Table 2.11'!$J$1:$J$426,'BLS Table 2.11'!$K$1:$K$426)/SUMIFS('BLS Table 2.11'!$J$1:$J$426,'BLS Table 2.11'!$L$1:$L$426,$A27)/100,0)</f>
        <v>1.1000000000000001E-2</v>
      </c>
      <c r="D27">
        <f>IFERROR((SUMIFS('AEO 2026 Table 23 '!G:G,'AEO 2026 Table 23 '!$B:$B,"*,"&amp;$A27&amp;",*")-SUMIFS('AEO25 Table 23'!H:H,'AEO25 Table 23'!$B:$B,"*,"&amp;$A27&amp;",*"))/SUMIFS('AEO25 Table 23'!H:H,'AEO25 Table 23'!$B:$B,"*,"&amp;$A27&amp;",*"),"")</f>
        <v>2.4336435643808989E-2</v>
      </c>
      <c r="E27">
        <f>IFERROR((SUMIFS('AEO 2026 Table 23 '!H:H,'AEO 2026 Table 23 '!$B:$B,"*,"&amp;$A27&amp;",*")-SUMIFS('AEO 2026 Table 23 '!G:G,'AEO 2026 Table 23 '!$B:$B,"*,"&amp;$A27&amp;",*"))/SUMIFS('AEO 2026 Table 23 '!G:G,'AEO 2026 Table 23 '!$B:$B,"*,"&amp;$A27&amp;",*"),"")</f>
        <v>-2.0461753244390066E-2</v>
      </c>
      <c r="F27">
        <f>IFERROR((SUMIFS('AEO 2026 Table 23 '!I:I,'AEO 2026 Table 23 '!$B:$B,"*,"&amp;$A27&amp;",*")-SUMIFS('AEO 2026 Table 23 '!H:H,'AEO 2026 Table 23 '!$B:$B,"*,"&amp;$A27&amp;",*"))/SUMIFS('AEO 2026 Table 23 '!H:H,'AEO 2026 Table 23 '!$B:$B,"*,"&amp;$A27&amp;",*"),"")</f>
        <v>2.4109605222139355E-2</v>
      </c>
      <c r="G27">
        <f>IFERROR((SUMIFS('AEO 2026 Table 23 '!J:J,'AEO 2026 Table 23 '!$B:$B,"*,"&amp;$A27&amp;",*")-SUMIFS('AEO 2026 Table 23 '!I:I,'AEO 2026 Table 23 '!$B:$B,"*,"&amp;$A27&amp;",*"))/SUMIFS('AEO 2026 Table 23 '!I:I,'AEO 2026 Table 23 '!$B:$B,"*,"&amp;$A27&amp;",*"),"")</f>
        <v>1.8829391438090048E-2</v>
      </c>
      <c r="H27">
        <f>IFERROR((SUMIFS('AEO 2026 Table 23 '!K:K,'AEO 2026 Table 23 '!$B:$B,"*,"&amp;$A27&amp;",*")-SUMIFS('AEO 2026 Table 23 '!J:J,'AEO 2026 Table 23 '!$B:$B,"*,"&amp;$A27&amp;",*"))/SUMIFS('AEO 2026 Table 23 '!J:J,'AEO 2026 Table 23 '!$B:$B,"*,"&amp;$A27&amp;",*"),"")</f>
        <v>1.9451339355595697E-2</v>
      </c>
      <c r="I27">
        <f>IFERROR((SUMIFS('AEO 2026 Table 23 '!L:L,'AEO 2026 Table 23 '!$B:$B,"*,"&amp;$A27&amp;",*")-SUMIFS('AEO 2026 Table 23 '!K:K,'AEO 2026 Table 23 '!$B:$B,"*,"&amp;$A27&amp;",*"))/SUMIFS('AEO 2026 Table 23 '!K:K,'AEO 2026 Table 23 '!$B:$B,"*,"&amp;$A27&amp;",*"),"")</f>
        <v>1.2885394239777163E-2</v>
      </c>
      <c r="J27">
        <f>IFERROR((SUMIFS('AEO 2026 Table 23 '!M:M,'AEO 2026 Table 23 '!$B:$B,"*,"&amp;$A27&amp;",*")-SUMIFS('AEO 2026 Table 23 '!L:L,'AEO 2026 Table 23 '!$B:$B,"*,"&amp;$A27&amp;",*"))/SUMIFS('AEO 2026 Table 23 '!L:L,'AEO 2026 Table 23 '!$B:$B,"*,"&amp;$A27&amp;",*"),"")</f>
        <v>1.9511096698901231E-2</v>
      </c>
      <c r="K27">
        <f>IFERROR((SUMIFS('AEO 2026 Table 23 '!N:N,'AEO 2026 Table 23 '!$B:$B,"*,"&amp;$A27&amp;",*")-SUMIFS('AEO 2026 Table 23 '!M:M,'AEO 2026 Table 23 '!$B:$B,"*,"&amp;$A27&amp;",*"))/SUMIFS('AEO 2026 Table 23 '!M:M,'AEO 2026 Table 23 '!$B:$B,"*,"&amp;$A27&amp;",*"),"")</f>
        <v>1.6240848175239804E-2</v>
      </c>
      <c r="L27">
        <f>IFERROR((SUMIFS('AEO 2026 Table 23 '!O:O,'AEO 2026 Table 23 '!$B:$B,"*,"&amp;$A27&amp;",*")-SUMIFS('AEO 2026 Table 23 '!N:N,'AEO 2026 Table 23 '!$B:$B,"*,"&amp;$A27&amp;",*"))/SUMIFS('AEO 2026 Table 23 '!N:N,'AEO 2026 Table 23 '!$B:$B,"*,"&amp;$A27&amp;",*"),"")</f>
        <v>1.032807562481246E-3</v>
      </c>
      <c r="M27">
        <f>IFERROR((SUMIFS('AEO 2026 Table 23 '!P:P,'AEO 2026 Table 23 '!$B:$B,"*,"&amp;$A27&amp;",*")-SUMIFS('AEO 2026 Table 23 '!O:O,'AEO 2026 Table 23 '!$B:$B,"*,"&amp;$A27&amp;",*"))/SUMIFS('AEO 2026 Table 23 '!O:O,'AEO 2026 Table 23 '!$B:$B,"*,"&amp;$A27&amp;",*"),"")</f>
        <v>7.7800945510172245E-3</v>
      </c>
      <c r="N27">
        <f>IFERROR((SUMIFS('AEO 2026 Table 23 '!Q:Q,'AEO 2026 Table 23 '!$B:$B,"*,"&amp;$A27&amp;",*")-SUMIFS('AEO 2026 Table 23 '!P:P,'AEO 2026 Table 23 '!$B:$B,"*,"&amp;$A27&amp;",*"))/SUMIFS('AEO 2026 Table 23 '!P:P,'AEO 2026 Table 23 '!$B:$B,"*,"&amp;$A27&amp;",*"),"")</f>
        <v>1.3022632948495967E-2</v>
      </c>
      <c r="O27">
        <f>IFERROR((SUMIFS('AEO 2026 Table 23 '!R:R,'AEO 2026 Table 23 '!$B:$B,"*,"&amp;$A27&amp;",*")-SUMIFS('AEO 2026 Table 23 '!Q:Q,'AEO 2026 Table 23 '!$B:$B,"*,"&amp;$A27&amp;",*"))/SUMIFS('AEO 2026 Table 23 '!Q:Q,'AEO 2026 Table 23 '!$B:$B,"*,"&amp;$A27&amp;",*"),"")</f>
        <v>9.2415695740314403E-3</v>
      </c>
      <c r="P27">
        <f>IFERROR((SUMIFS('AEO 2026 Table 23 '!S:S,'AEO 2026 Table 23 '!$B:$B,"*,"&amp;$A27&amp;",*")-SUMIFS('AEO 2026 Table 23 '!R:R,'AEO 2026 Table 23 '!$B:$B,"*,"&amp;$A27&amp;",*"))/SUMIFS('AEO 2026 Table 23 '!R:R,'AEO 2026 Table 23 '!$B:$B,"*,"&amp;$A27&amp;",*"),"")</f>
        <v>6.1339695197402148E-3</v>
      </c>
      <c r="Q27">
        <f>IFERROR((SUMIFS('AEO 2026 Table 23 '!T:T,'AEO 2026 Table 23 '!$B:$B,"*,"&amp;$A27&amp;",*")-SUMIFS('AEO 2026 Table 23 '!S:S,'AEO 2026 Table 23 '!$B:$B,"*,"&amp;$A27&amp;",*"))/SUMIFS('AEO 2026 Table 23 '!S:S,'AEO 2026 Table 23 '!$B:$B,"*,"&amp;$A27&amp;",*"),"")</f>
        <v>2.4439179119564824E-3</v>
      </c>
      <c r="R27">
        <f>IFERROR((SUMIFS('AEO 2026 Table 23 '!U:U,'AEO 2026 Table 23 '!$B:$B,"*,"&amp;$A27&amp;",*")-SUMIFS('AEO 2026 Table 23 '!T:T,'AEO 2026 Table 23 '!$B:$B,"*,"&amp;$A27&amp;",*"))/SUMIFS('AEO 2026 Table 23 '!T:T,'AEO 2026 Table 23 '!$B:$B,"*,"&amp;$A27&amp;",*"),"")</f>
        <v>3.1025991674817874E-4</v>
      </c>
      <c r="S27">
        <f>IFERROR((SUMIFS('AEO 2026 Table 23 '!V:V,'AEO 2026 Table 23 '!$B:$B,"*,"&amp;$A27&amp;",*")-SUMIFS('AEO 2026 Table 23 '!U:U,'AEO 2026 Table 23 '!$B:$B,"*,"&amp;$A27&amp;",*"))/SUMIFS('AEO 2026 Table 23 '!U:U,'AEO 2026 Table 23 '!$B:$B,"*,"&amp;$A27&amp;",*"),"")</f>
        <v>4.3434375026623409E-3</v>
      </c>
      <c r="T27">
        <f>IFERROR((SUMIFS('AEO 2026 Table 23 '!W:W,'AEO 2026 Table 23 '!$B:$B,"*,"&amp;$A27&amp;",*")-SUMIFS('AEO 2026 Table 23 '!V:V,'AEO 2026 Table 23 '!$B:$B,"*,"&amp;$A27&amp;",*"))/SUMIFS('AEO 2026 Table 23 '!V:V,'AEO 2026 Table 23 '!$B:$B,"*,"&amp;$A27&amp;",*"),"")</f>
        <v>3.8234490974420297E-3</v>
      </c>
      <c r="U27">
        <f>IFERROR((SUMIFS('AEO 2026 Table 23 '!X:X,'AEO 2026 Table 23 '!$B:$B,"*,"&amp;$A27&amp;",*")-SUMIFS('AEO 2026 Table 23 '!W:W,'AEO 2026 Table 23 '!$B:$B,"*,"&amp;$A27&amp;",*"))/SUMIFS('AEO 2026 Table 23 '!W:W,'AEO 2026 Table 23 '!$B:$B,"*,"&amp;$A27&amp;",*"),"")</f>
        <v>3.6062588998127042E-3</v>
      </c>
      <c r="V27">
        <f>IFERROR((SUMIFS('AEO 2026 Table 23 '!Y:Y,'AEO 2026 Table 23 '!$B:$B,"*,"&amp;$A27&amp;",*")-SUMIFS('AEO 2026 Table 23 '!X:X,'AEO 2026 Table 23 '!$B:$B,"*,"&amp;$A27&amp;",*"))/SUMIFS('AEO 2026 Table 23 '!X:X,'AEO 2026 Table 23 '!$B:$B,"*,"&amp;$A27&amp;",*"),"")</f>
        <v>1.85583021089817E-3</v>
      </c>
      <c r="W27">
        <f>IFERROR((SUMIFS('AEO 2026 Table 23 '!Z:Z,'AEO 2026 Table 23 '!$B:$B,"*,"&amp;$A27&amp;",*")-SUMIFS('AEO 2026 Table 23 '!Y:Y,'AEO 2026 Table 23 '!$B:$B,"*,"&amp;$A27&amp;",*"))/SUMIFS('AEO 2026 Table 23 '!Y:Y,'AEO 2026 Table 23 '!$B:$B,"*,"&amp;$A27&amp;",*"),"")</f>
        <v>1.4739561454598278E-3</v>
      </c>
      <c r="X27">
        <f>IFERROR((SUMIFS('AEO 2026 Table 23 '!AA:AA,'AEO 2026 Table 23 '!$B:$B,"*,"&amp;$A27&amp;",*")-SUMIFS('AEO 2026 Table 23 '!Z:Z,'AEO 2026 Table 23 '!$B:$B,"*,"&amp;$A27&amp;",*"))/SUMIFS('AEO 2026 Table 23 '!Z:Z,'AEO 2026 Table 23 '!$B:$B,"*,"&amp;$A27&amp;",*"),"")</f>
        <v>3.1443737620083013E-3</v>
      </c>
      <c r="Y27">
        <f>IFERROR((SUMIFS('AEO 2026 Table 23 '!AB:AB,'AEO 2026 Table 23 '!$B:$B,"*,"&amp;$A27&amp;",*")-SUMIFS('AEO 2026 Table 23 '!AA:AA,'AEO 2026 Table 23 '!$B:$B,"*,"&amp;$A27&amp;",*"))/SUMIFS('AEO 2026 Table 23 '!AA:AA,'AEO 2026 Table 23 '!$B:$B,"*,"&amp;$A27&amp;",*"),"")</f>
        <v>4.7004788198066619E-3</v>
      </c>
      <c r="Z27">
        <f>IFERROR((SUMIFS('AEO 2026 Table 23 '!AC:AC,'AEO 2026 Table 23 '!$B:$B,"*,"&amp;$A27&amp;",*")-SUMIFS('AEO 2026 Table 23 '!AB:AB,'AEO 2026 Table 23 '!$B:$B,"*,"&amp;$A27&amp;",*"))/SUMIFS('AEO 2026 Table 23 '!AB:AB,'AEO 2026 Table 23 '!$B:$B,"*,"&amp;$A27&amp;",*"),"")</f>
        <v>5.3265069574338622E-3</v>
      </c>
      <c r="AA27">
        <f>IFERROR((SUMIFS('AEO 2026 Table 23 '!AD:AD,'AEO 2026 Table 23 '!$B:$B,"*,"&amp;$A27&amp;",*")-SUMIFS('AEO 2026 Table 23 '!AC:AC,'AEO 2026 Table 23 '!$B:$B,"*,"&amp;$A27&amp;",*"))/SUMIFS('AEO 2026 Table 23 '!AC:AC,'AEO 2026 Table 23 '!$B:$B,"*,"&amp;$A27&amp;",*"),"")</f>
        <v>2.9188988858584882E-3</v>
      </c>
      <c r="AB27">
        <f>IFERROR((SUMIFS('AEO 2026 Table 23 '!AE:AE,'AEO 2026 Table 23 '!$B:$B,"*,"&amp;$A27&amp;",*")-SUMIFS('AEO 2026 Table 23 '!AD:AD,'AEO 2026 Table 23 '!$B:$B,"*,"&amp;$A27&amp;",*"))/SUMIFS('AEO 2026 Table 23 '!AD:AD,'AEO 2026 Table 23 '!$B:$B,"*,"&amp;$A27&amp;",*"),"")</f>
        <v>8.0121113135311873E-4</v>
      </c>
      <c r="AC27">
        <f>IFERROR((SUMIFS('AEO 2026 Table 23 '!AF:AF,'AEO 2026 Table 23 '!$B:$B,"*,"&amp;$A27&amp;",*")-SUMIFS('AEO 2026 Table 23 '!AE:AE,'AEO 2026 Table 23 '!$B:$B,"*,"&amp;$A27&amp;",*"))/SUMIFS('AEO 2026 Table 23 '!AE:AE,'AEO 2026 Table 23 '!$B:$B,"*,"&amp;$A27&amp;",*"),"")</f>
        <v>-6.5342532923039177E-4</v>
      </c>
    </row>
    <row r="28" spans="1:29" x14ac:dyDescent="0.25">
      <c r="A28" t="s">
        <v>319</v>
      </c>
      <c r="B28">
        <f>IFERROR(SUMPRODUCT(--('BLS Table 2.11'!$L$1:$L$426=$A28),'BLS Table 2.11'!$J$1:$J$426,'BLS Table 2.11'!$K$1:$K$426)/SUMIFS('BLS Table 2.11'!$J$1:$J$426,'BLS Table 2.11'!$L$1:$L$426,$A28)/100,0)</f>
        <v>1.437509093554488E-4</v>
      </c>
      <c r="D28">
        <f>IFERROR((SUMIFS('AEO 2026 Table 23 '!G:G,'AEO 2026 Table 23 '!$B:$B,"*,"&amp;$A28&amp;",*")-SUMIFS('AEO25 Table 23'!H:H,'AEO25 Table 23'!$B:$B,"*,"&amp;$A28&amp;",*"))/SUMIFS('AEO25 Table 23'!H:H,'AEO25 Table 23'!$B:$B,"*,"&amp;$A28&amp;",*"),"")</f>
        <v>-6.1192822458182292E-2</v>
      </c>
      <c r="E28">
        <f>IFERROR((SUMIFS('AEO 2026 Table 23 '!H:H,'AEO 2026 Table 23 '!$B:$B,"*,"&amp;$A28&amp;",*")-SUMIFS('AEO 2026 Table 23 '!G:G,'AEO 2026 Table 23 '!$B:$B,"*,"&amp;$A28&amp;",*"))/SUMIFS('AEO 2026 Table 23 '!G:G,'AEO 2026 Table 23 '!$B:$B,"*,"&amp;$A28&amp;",*"),"")</f>
        <v>2.9380888594976902E-3</v>
      </c>
      <c r="F28">
        <f>IFERROR((SUMIFS('AEO 2026 Table 23 '!I:I,'AEO 2026 Table 23 '!$B:$B,"*,"&amp;$A28&amp;",*")-SUMIFS('AEO 2026 Table 23 '!H:H,'AEO 2026 Table 23 '!$B:$B,"*,"&amp;$A28&amp;",*"))/SUMIFS('AEO 2026 Table 23 '!H:H,'AEO 2026 Table 23 '!$B:$B,"*,"&amp;$A28&amp;",*"),"")</f>
        <v>6.3339290520313812E-2</v>
      </c>
      <c r="G28">
        <f>IFERROR((SUMIFS('AEO 2026 Table 23 '!J:J,'AEO 2026 Table 23 '!$B:$B,"*,"&amp;$A28&amp;",*")-SUMIFS('AEO 2026 Table 23 '!I:I,'AEO 2026 Table 23 '!$B:$B,"*,"&amp;$A28&amp;",*"))/SUMIFS('AEO 2026 Table 23 '!I:I,'AEO 2026 Table 23 '!$B:$B,"*,"&amp;$A28&amp;",*"),"")</f>
        <v>1.9604562754516788E-2</v>
      </c>
      <c r="H28">
        <f>IFERROR((SUMIFS('AEO 2026 Table 23 '!K:K,'AEO 2026 Table 23 '!$B:$B,"*,"&amp;$A28&amp;",*")-SUMIFS('AEO 2026 Table 23 '!J:J,'AEO 2026 Table 23 '!$B:$B,"*,"&amp;$A28&amp;",*"))/SUMIFS('AEO 2026 Table 23 '!J:J,'AEO 2026 Table 23 '!$B:$B,"*,"&amp;$A28&amp;",*"),"")</f>
        <v>1.5932404751837544E-2</v>
      </c>
      <c r="I28">
        <f>IFERROR((SUMIFS('AEO 2026 Table 23 '!L:L,'AEO 2026 Table 23 '!$B:$B,"*,"&amp;$A28&amp;",*")-SUMIFS('AEO 2026 Table 23 '!K:K,'AEO 2026 Table 23 '!$B:$B,"*,"&amp;$A28&amp;",*"))/SUMIFS('AEO 2026 Table 23 '!K:K,'AEO 2026 Table 23 '!$B:$B,"*,"&amp;$A28&amp;",*"),"")</f>
        <v>1.6641426870951888E-2</v>
      </c>
      <c r="J28">
        <f>IFERROR((SUMIFS('AEO 2026 Table 23 '!M:M,'AEO 2026 Table 23 '!$B:$B,"*,"&amp;$A28&amp;",*")-SUMIFS('AEO 2026 Table 23 '!L:L,'AEO 2026 Table 23 '!$B:$B,"*,"&amp;$A28&amp;",*"))/SUMIFS('AEO 2026 Table 23 '!L:L,'AEO 2026 Table 23 '!$B:$B,"*,"&amp;$A28&amp;",*"),"")</f>
        <v>6.7021756724579655E-3</v>
      </c>
      <c r="K28">
        <f>IFERROR((SUMIFS('AEO 2026 Table 23 '!N:N,'AEO 2026 Table 23 '!$B:$B,"*,"&amp;$A28&amp;",*")-SUMIFS('AEO 2026 Table 23 '!M:M,'AEO 2026 Table 23 '!$B:$B,"*,"&amp;$A28&amp;",*"))/SUMIFS('AEO 2026 Table 23 '!M:M,'AEO 2026 Table 23 '!$B:$B,"*,"&amp;$A28&amp;",*"),"")</f>
        <v>1.5883257366551745E-2</v>
      </c>
      <c r="L28">
        <f>IFERROR((SUMIFS('AEO 2026 Table 23 '!O:O,'AEO 2026 Table 23 '!$B:$B,"*,"&amp;$A28&amp;",*")-SUMIFS('AEO 2026 Table 23 '!N:N,'AEO 2026 Table 23 '!$B:$B,"*,"&amp;$A28&amp;",*"))/SUMIFS('AEO 2026 Table 23 '!N:N,'AEO 2026 Table 23 '!$B:$B,"*,"&amp;$A28&amp;",*"),"")</f>
        <v>6.9136521435425487E-3</v>
      </c>
      <c r="M28">
        <f>IFERROR((SUMIFS('AEO 2026 Table 23 '!P:P,'AEO 2026 Table 23 '!$B:$B,"*,"&amp;$A28&amp;",*")-SUMIFS('AEO 2026 Table 23 '!O:O,'AEO 2026 Table 23 '!$B:$B,"*,"&amp;$A28&amp;",*"))/SUMIFS('AEO 2026 Table 23 '!O:O,'AEO 2026 Table 23 '!$B:$B,"*,"&amp;$A28&amp;",*"),"")</f>
        <v>2.8542402586039105E-3</v>
      </c>
      <c r="N28">
        <f>IFERROR((SUMIFS('AEO 2026 Table 23 '!Q:Q,'AEO 2026 Table 23 '!$B:$B,"*,"&amp;$A28&amp;",*")-SUMIFS('AEO 2026 Table 23 '!P:P,'AEO 2026 Table 23 '!$B:$B,"*,"&amp;$A28&amp;",*"))/SUMIFS('AEO 2026 Table 23 '!P:P,'AEO 2026 Table 23 '!$B:$B,"*,"&amp;$A28&amp;",*"),"")</f>
        <v>3.8463791260001942E-3</v>
      </c>
      <c r="O28">
        <f>IFERROR((SUMIFS('AEO 2026 Table 23 '!R:R,'AEO 2026 Table 23 '!$B:$B,"*,"&amp;$A28&amp;",*")-SUMIFS('AEO 2026 Table 23 '!Q:Q,'AEO 2026 Table 23 '!$B:$B,"*,"&amp;$A28&amp;",*"))/SUMIFS('AEO 2026 Table 23 '!Q:Q,'AEO 2026 Table 23 '!$B:$B,"*,"&amp;$A28&amp;",*"),"")</f>
        <v>1.0277052427238266E-2</v>
      </c>
      <c r="P28">
        <f>IFERROR((SUMIFS('AEO 2026 Table 23 '!S:S,'AEO 2026 Table 23 '!$B:$B,"*,"&amp;$A28&amp;",*")-SUMIFS('AEO 2026 Table 23 '!R:R,'AEO 2026 Table 23 '!$B:$B,"*,"&amp;$A28&amp;",*"))/SUMIFS('AEO 2026 Table 23 '!R:R,'AEO 2026 Table 23 '!$B:$B,"*,"&amp;$A28&amp;",*"),"")</f>
        <v>2.0572282292054985E-2</v>
      </c>
      <c r="Q28">
        <f>IFERROR((SUMIFS('AEO 2026 Table 23 '!T:T,'AEO 2026 Table 23 '!$B:$B,"*,"&amp;$A28&amp;",*")-SUMIFS('AEO 2026 Table 23 '!S:S,'AEO 2026 Table 23 '!$B:$B,"*,"&amp;$A28&amp;",*"))/SUMIFS('AEO 2026 Table 23 '!S:S,'AEO 2026 Table 23 '!$B:$B,"*,"&amp;$A28&amp;",*"),"")</f>
        <v>1.8700062703327504E-2</v>
      </c>
      <c r="R28">
        <f>IFERROR((SUMIFS('AEO 2026 Table 23 '!U:U,'AEO 2026 Table 23 '!$B:$B,"*,"&amp;$A28&amp;",*")-SUMIFS('AEO 2026 Table 23 '!T:T,'AEO 2026 Table 23 '!$B:$B,"*,"&amp;$A28&amp;",*"))/SUMIFS('AEO 2026 Table 23 '!T:T,'AEO 2026 Table 23 '!$B:$B,"*,"&amp;$A28&amp;",*"),"")</f>
        <v>1.8711123076861937E-2</v>
      </c>
      <c r="S28">
        <f>IFERROR((SUMIFS('AEO 2026 Table 23 '!V:V,'AEO 2026 Table 23 '!$B:$B,"*,"&amp;$A28&amp;",*")-SUMIFS('AEO 2026 Table 23 '!U:U,'AEO 2026 Table 23 '!$B:$B,"*,"&amp;$A28&amp;",*"))/SUMIFS('AEO 2026 Table 23 '!U:U,'AEO 2026 Table 23 '!$B:$B,"*,"&amp;$A28&amp;",*"),"")</f>
        <v>1.7017403091970501E-2</v>
      </c>
      <c r="T28">
        <f>IFERROR((SUMIFS('AEO 2026 Table 23 '!W:W,'AEO 2026 Table 23 '!$B:$B,"*,"&amp;$A28&amp;",*")-SUMIFS('AEO 2026 Table 23 '!V:V,'AEO 2026 Table 23 '!$B:$B,"*,"&amp;$A28&amp;",*"))/SUMIFS('AEO 2026 Table 23 '!V:V,'AEO 2026 Table 23 '!$B:$B,"*,"&amp;$A28&amp;",*"),"")</f>
        <v>1.4762044680125085E-2</v>
      </c>
      <c r="U28">
        <f>IFERROR((SUMIFS('AEO 2026 Table 23 '!X:X,'AEO 2026 Table 23 '!$B:$B,"*,"&amp;$A28&amp;",*")-SUMIFS('AEO 2026 Table 23 '!W:W,'AEO 2026 Table 23 '!$B:$B,"*,"&amp;$A28&amp;",*"))/SUMIFS('AEO 2026 Table 23 '!W:W,'AEO 2026 Table 23 '!$B:$B,"*,"&amp;$A28&amp;",*"),"")</f>
        <v>1.4642211089780718E-2</v>
      </c>
      <c r="V28">
        <f>IFERROR((SUMIFS('AEO 2026 Table 23 '!Y:Y,'AEO 2026 Table 23 '!$B:$B,"*,"&amp;$A28&amp;",*")-SUMIFS('AEO 2026 Table 23 '!X:X,'AEO 2026 Table 23 '!$B:$B,"*,"&amp;$A28&amp;",*"))/SUMIFS('AEO 2026 Table 23 '!X:X,'AEO 2026 Table 23 '!$B:$B,"*,"&amp;$A28&amp;",*"),"")</f>
        <v>1.2713600388710966E-2</v>
      </c>
      <c r="W28">
        <f>IFERROR((SUMIFS('AEO 2026 Table 23 '!Z:Z,'AEO 2026 Table 23 '!$B:$B,"*,"&amp;$A28&amp;",*")-SUMIFS('AEO 2026 Table 23 '!Y:Y,'AEO 2026 Table 23 '!$B:$B,"*,"&amp;$A28&amp;",*"))/SUMIFS('AEO 2026 Table 23 '!Y:Y,'AEO 2026 Table 23 '!$B:$B,"*,"&amp;$A28&amp;",*"),"")</f>
        <v>1.2896278318495618E-2</v>
      </c>
      <c r="X28">
        <f>IFERROR((SUMIFS('AEO 2026 Table 23 '!AA:AA,'AEO 2026 Table 23 '!$B:$B,"*,"&amp;$A28&amp;",*")-SUMIFS('AEO 2026 Table 23 '!Z:Z,'AEO 2026 Table 23 '!$B:$B,"*,"&amp;$A28&amp;",*"))/SUMIFS('AEO 2026 Table 23 '!Z:Z,'AEO 2026 Table 23 '!$B:$B,"*,"&amp;$A28&amp;",*"),"")</f>
        <v>1.336315733038511E-2</v>
      </c>
      <c r="Y28">
        <f>IFERROR((SUMIFS('AEO 2026 Table 23 '!AB:AB,'AEO 2026 Table 23 '!$B:$B,"*,"&amp;$A28&amp;",*")-SUMIFS('AEO 2026 Table 23 '!AA:AA,'AEO 2026 Table 23 '!$B:$B,"*,"&amp;$A28&amp;",*"))/SUMIFS('AEO 2026 Table 23 '!AA:AA,'AEO 2026 Table 23 '!$B:$B,"*,"&amp;$A28&amp;",*"),"")</f>
        <v>1.2522422817884852E-2</v>
      </c>
      <c r="Z28">
        <f>IFERROR((SUMIFS('AEO 2026 Table 23 '!AC:AC,'AEO 2026 Table 23 '!$B:$B,"*,"&amp;$A28&amp;",*")-SUMIFS('AEO 2026 Table 23 '!AB:AB,'AEO 2026 Table 23 '!$B:$B,"*,"&amp;$A28&amp;",*"))/SUMIFS('AEO 2026 Table 23 '!AB:AB,'AEO 2026 Table 23 '!$B:$B,"*,"&amp;$A28&amp;",*"),"")</f>
        <v>1.1331525364436211E-2</v>
      </c>
      <c r="AA28">
        <f>IFERROR((SUMIFS('AEO 2026 Table 23 '!AD:AD,'AEO 2026 Table 23 '!$B:$B,"*,"&amp;$A28&amp;",*")-SUMIFS('AEO 2026 Table 23 '!AC:AC,'AEO 2026 Table 23 '!$B:$B,"*,"&amp;$A28&amp;",*"))/SUMIFS('AEO 2026 Table 23 '!AC:AC,'AEO 2026 Table 23 '!$B:$B,"*,"&amp;$A28&amp;",*"),"")</f>
        <v>1.1461454971234577E-2</v>
      </c>
      <c r="AB28">
        <f>IFERROR((SUMIFS('AEO 2026 Table 23 '!AE:AE,'AEO 2026 Table 23 '!$B:$B,"*,"&amp;$A28&amp;",*")-SUMIFS('AEO 2026 Table 23 '!AD:AD,'AEO 2026 Table 23 '!$B:$B,"*,"&amp;$A28&amp;",*"))/SUMIFS('AEO 2026 Table 23 '!AD:AD,'AEO 2026 Table 23 '!$B:$B,"*,"&amp;$A28&amp;",*"),"")</f>
        <v>1.0357703802010182E-2</v>
      </c>
      <c r="AC28">
        <f>IFERROR((SUMIFS('AEO 2026 Table 23 '!AF:AF,'AEO 2026 Table 23 '!$B:$B,"*,"&amp;$A28&amp;",*")-SUMIFS('AEO 2026 Table 23 '!AE:AE,'AEO 2026 Table 23 '!$B:$B,"*,"&amp;$A28&amp;",*"))/SUMIFS('AEO 2026 Table 23 '!AE:AE,'AEO 2026 Table 23 '!$B:$B,"*,"&amp;$A28&amp;",*"),"")</f>
        <v>8.2997084143176143E-3</v>
      </c>
    </row>
    <row r="29" spans="1:29" x14ac:dyDescent="0.25">
      <c r="A29" t="s">
        <v>331</v>
      </c>
      <c r="B29">
        <f>IFERROR(SUMPRODUCT(--('BLS Table 2.11'!$L$1:$L$426=$A29),'BLS Table 2.11'!$J$1:$J$426,'BLS Table 2.11'!$K$1:$K$426)/SUMIFS('BLS Table 2.11'!$J$1:$J$426,'BLS Table 2.11'!$L$1:$L$426,$A29)/100,0)</f>
        <v>1.3000000000000001E-2</v>
      </c>
      <c r="D29" t="str">
        <f>IFERROR((SUMIFS('AEO 2026 Table 23 '!G:G,'AEO 2026 Table 23 '!$B:$B,"*,"&amp;$A29&amp;",*")-SUMIFS('AEO25 Table 23'!H:H,'AEO25 Table 23'!$B:$B,"*,"&amp;$A29&amp;",*"))/SUMIFS('AEO25 Table 23'!H:H,'AEO25 Table 23'!$B:$B,"*,"&amp;$A29&amp;",*"),"")</f>
        <v/>
      </c>
      <c r="E29" t="str">
        <f>IFERROR((SUMIFS('AEO 2026 Table 23 '!H:H,'AEO 2026 Table 23 '!$B:$B,"*,"&amp;$A29&amp;",*")-SUMIFS('AEO 2026 Table 23 '!G:G,'AEO 2026 Table 23 '!$B:$B,"*,"&amp;$A29&amp;",*"))/SUMIFS('AEO 2026 Table 23 '!G:G,'AEO 2026 Table 23 '!$B:$B,"*,"&amp;$A29&amp;",*"),"")</f>
        <v/>
      </c>
      <c r="F29" t="str">
        <f>IFERROR((SUMIFS('AEO 2026 Table 23 '!I:I,'AEO 2026 Table 23 '!$B:$B,"*,"&amp;$A29&amp;",*")-SUMIFS('AEO 2026 Table 23 '!H:H,'AEO 2026 Table 23 '!$B:$B,"*,"&amp;$A29&amp;",*"))/SUMIFS('AEO 2026 Table 23 '!H:H,'AEO 2026 Table 23 '!$B:$B,"*,"&amp;$A29&amp;",*"),"")</f>
        <v/>
      </c>
      <c r="G29" t="str">
        <f>IFERROR((SUMIFS('AEO 2026 Table 23 '!J:J,'AEO 2026 Table 23 '!$B:$B,"*,"&amp;$A29&amp;",*")-SUMIFS('AEO 2026 Table 23 '!I:I,'AEO 2026 Table 23 '!$B:$B,"*,"&amp;$A29&amp;",*"))/SUMIFS('AEO 2026 Table 23 '!I:I,'AEO 2026 Table 23 '!$B:$B,"*,"&amp;$A29&amp;",*"),"")</f>
        <v/>
      </c>
      <c r="H29" t="str">
        <f>IFERROR((SUMIFS('AEO 2026 Table 23 '!K:K,'AEO 2026 Table 23 '!$B:$B,"*,"&amp;$A29&amp;",*")-SUMIFS('AEO 2026 Table 23 '!J:J,'AEO 2026 Table 23 '!$B:$B,"*,"&amp;$A29&amp;",*"))/SUMIFS('AEO 2026 Table 23 '!J:J,'AEO 2026 Table 23 '!$B:$B,"*,"&amp;$A29&amp;",*"),"")</f>
        <v/>
      </c>
      <c r="I29" t="str">
        <f>IFERROR((SUMIFS('AEO 2026 Table 23 '!L:L,'AEO 2026 Table 23 '!$B:$B,"*,"&amp;$A29&amp;",*")-SUMIFS('AEO 2026 Table 23 '!K:K,'AEO 2026 Table 23 '!$B:$B,"*,"&amp;$A29&amp;",*"))/SUMIFS('AEO 2026 Table 23 '!K:K,'AEO 2026 Table 23 '!$B:$B,"*,"&amp;$A29&amp;",*"),"")</f>
        <v/>
      </c>
      <c r="J29" t="str">
        <f>IFERROR((SUMIFS('AEO 2026 Table 23 '!M:M,'AEO 2026 Table 23 '!$B:$B,"*,"&amp;$A29&amp;",*")-SUMIFS('AEO 2026 Table 23 '!L:L,'AEO 2026 Table 23 '!$B:$B,"*,"&amp;$A29&amp;",*"))/SUMIFS('AEO 2026 Table 23 '!L:L,'AEO 2026 Table 23 '!$B:$B,"*,"&amp;$A29&amp;",*"),"")</f>
        <v/>
      </c>
      <c r="K29" t="str">
        <f>IFERROR((SUMIFS('AEO 2026 Table 23 '!N:N,'AEO 2026 Table 23 '!$B:$B,"*,"&amp;$A29&amp;",*")-SUMIFS('AEO 2026 Table 23 '!M:M,'AEO 2026 Table 23 '!$B:$B,"*,"&amp;$A29&amp;",*"))/SUMIFS('AEO 2026 Table 23 '!M:M,'AEO 2026 Table 23 '!$B:$B,"*,"&amp;$A29&amp;",*"),"")</f>
        <v/>
      </c>
      <c r="L29" t="str">
        <f>IFERROR((SUMIFS('AEO 2026 Table 23 '!O:O,'AEO 2026 Table 23 '!$B:$B,"*,"&amp;$A29&amp;",*")-SUMIFS('AEO 2026 Table 23 '!N:N,'AEO 2026 Table 23 '!$B:$B,"*,"&amp;$A29&amp;",*"))/SUMIFS('AEO 2026 Table 23 '!N:N,'AEO 2026 Table 23 '!$B:$B,"*,"&amp;$A29&amp;",*"),"")</f>
        <v/>
      </c>
      <c r="M29" t="str">
        <f>IFERROR((SUMIFS('AEO 2026 Table 23 '!P:P,'AEO 2026 Table 23 '!$B:$B,"*,"&amp;$A29&amp;",*")-SUMIFS('AEO 2026 Table 23 '!O:O,'AEO 2026 Table 23 '!$B:$B,"*,"&amp;$A29&amp;",*"))/SUMIFS('AEO 2026 Table 23 '!O:O,'AEO 2026 Table 23 '!$B:$B,"*,"&amp;$A29&amp;",*"),"")</f>
        <v/>
      </c>
      <c r="N29" t="str">
        <f>IFERROR((SUMIFS('AEO 2026 Table 23 '!Q:Q,'AEO 2026 Table 23 '!$B:$B,"*,"&amp;$A29&amp;",*")-SUMIFS('AEO 2026 Table 23 '!P:P,'AEO 2026 Table 23 '!$B:$B,"*,"&amp;$A29&amp;",*"))/SUMIFS('AEO 2026 Table 23 '!P:P,'AEO 2026 Table 23 '!$B:$B,"*,"&amp;$A29&amp;",*"),"")</f>
        <v/>
      </c>
      <c r="O29" t="str">
        <f>IFERROR((SUMIFS('AEO 2026 Table 23 '!R:R,'AEO 2026 Table 23 '!$B:$B,"*,"&amp;$A29&amp;",*")-SUMIFS('AEO 2026 Table 23 '!Q:Q,'AEO 2026 Table 23 '!$B:$B,"*,"&amp;$A29&amp;",*"))/SUMIFS('AEO 2026 Table 23 '!Q:Q,'AEO 2026 Table 23 '!$B:$B,"*,"&amp;$A29&amp;",*"),"")</f>
        <v/>
      </c>
      <c r="P29" t="str">
        <f>IFERROR((SUMIFS('AEO 2026 Table 23 '!S:S,'AEO 2026 Table 23 '!$B:$B,"*,"&amp;$A29&amp;",*")-SUMIFS('AEO 2026 Table 23 '!R:R,'AEO 2026 Table 23 '!$B:$B,"*,"&amp;$A29&amp;",*"))/SUMIFS('AEO 2026 Table 23 '!R:R,'AEO 2026 Table 23 '!$B:$B,"*,"&amp;$A29&amp;",*"),"")</f>
        <v/>
      </c>
      <c r="Q29" t="str">
        <f>IFERROR((SUMIFS('AEO 2026 Table 23 '!T:T,'AEO 2026 Table 23 '!$B:$B,"*,"&amp;$A29&amp;",*")-SUMIFS('AEO 2026 Table 23 '!S:S,'AEO 2026 Table 23 '!$B:$B,"*,"&amp;$A29&amp;",*"))/SUMIFS('AEO 2026 Table 23 '!S:S,'AEO 2026 Table 23 '!$B:$B,"*,"&amp;$A29&amp;",*"),"")</f>
        <v/>
      </c>
      <c r="R29" t="str">
        <f>IFERROR((SUMIFS('AEO 2026 Table 23 '!U:U,'AEO 2026 Table 23 '!$B:$B,"*,"&amp;$A29&amp;",*")-SUMIFS('AEO 2026 Table 23 '!T:T,'AEO 2026 Table 23 '!$B:$B,"*,"&amp;$A29&amp;",*"))/SUMIFS('AEO 2026 Table 23 '!T:T,'AEO 2026 Table 23 '!$B:$B,"*,"&amp;$A29&amp;",*"),"")</f>
        <v/>
      </c>
      <c r="S29" t="str">
        <f>IFERROR((SUMIFS('AEO 2026 Table 23 '!V:V,'AEO 2026 Table 23 '!$B:$B,"*,"&amp;$A29&amp;",*")-SUMIFS('AEO 2026 Table 23 '!U:U,'AEO 2026 Table 23 '!$B:$B,"*,"&amp;$A29&amp;",*"))/SUMIFS('AEO 2026 Table 23 '!U:U,'AEO 2026 Table 23 '!$B:$B,"*,"&amp;$A29&amp;",*"),"")</f>
        <v/>
      </c>
      <c r="T29" t="str">
        <f>IFERROR((SUMIFS('AEO 2026 Table 23 '!W:W,'AEO 2026 Table 23 '!$B:$B,"*,"&amp;$A29&amp;",*")-SUMIFS('AEO 2026 Table 23 '!V:V,'AEO 2026 Table 23 '!$B:$B,"*,"&amp;$A29&amp;",*"))/SUMIFS('AEO 2026 Table 23 '!V:V,'AEO 2026 Table 23 '!$B:$B,"*,"&amp;$A29&amp;",*"),"")</f>
        <v/>
      </c>
      <c r="U29" t="str">
        <f>IFERROR((SUMIFS('AEO 2026 Table 23 '!X:X,'AEO 2026 Table 23 '!$B:$B,"*,"&amp;$A29&amp;",*")-SUMIFS('AEO 2026 Table 23 '!W:W,'AEO 2026 Table 23 '!$B:$B,"*,"&amp;$A29&amp;",*"))/SUMIFS('AEO 2026 Table 23 '!W:W,'AEO 2026 Table 23 '!$B:$B,"*,"&amp;$A29&amp;",*"),"")</f>
        <v/>
      </c>
      <c r="V29" t="str">
        <f>IFERROR((SUMIFS('AEO 2026 Table 23 '!Y:Y,'AEO 2026 Table 23 '!$B:$B,"*,"&amp;$A29&amp;",*")-SUMIFS('AEO 2026 Table 23 '!X:X,'AEO 2026 Table 23 '!$B:$B,"*,"&amp;$A29&amp;",*"))/SUMIFS('AEO 2026 Table 23 '!X:X,'AEO 2026 Table 23 '!$B:$B,"*,"&amp;$A29&amp;",*"),"")</f>
        <v/>
      </c>
      <c r="W29" t="str">
        <f>IFERROR((SUMIFS('AEO 2026 Table 23 '!Z:Z,'AEO 2026 Table 23 '!$B:$B,"*,"&amp;$A29&amp;",*")-SUMIFS('AEO 2026 Table 23 '!Y:Y,'AEO 2026 Table 23 '!$B:$B,"*,"&amp;$A29&amp;",*"))/SUMIFS('AEO 2026 Table 23 '!Y:Y,'AEO 2026 Table 23 '!$B:$B,"*,"&amp;$A29&amp;",*"),"")</f>
        <v/>
      </c>
      <c r="X29" t="str">
        <f>IFERROR((SUMIFS('AEO 2026 Table 23 '!AA:AA,'AEO 2026 Table 23 '!$B:$B,"*,"&amp;$A29&amp;",*")-SUMIFS('AEO 2026 Table 23 '!Z:Z,'AEO 2026 Table 23 '!$B:$B,"*,"&amp;$A29&amp;",*"))/SUMIFS('AEO 2026 Table 23 '!Z:Z,'AEO 2026 Table 23 '!$B:$B,"*,"&amp;$A29&amp;",*"),"")</f>
        <v/>
      </c>
      <c r="Y29" t="str">
        <f>IFERROR((SUMIFS('AEO 2026 Table 23 '!AB:AB,'AEO 2026 Table 23 '!$B:$B,"*,"&amp;$A29&amp;",*")-SUMIFS('AEO 2026 Table 23 '!AA:AA,'AEO 2026 Table 23 '!$B:$B,"*,"&amp;$A29&amp;",*"))/SUMIFS('AEO 2026 Table 23 '!AA:AA,'AEO 2026 Table 23 '!$B:$B,"*,"&amp;$A29&amp;",*"),"")</f>
        <v/>
      </c>
      <c r="Z29" t="str">
        <f>IFERROR((SUMIFS('AEO 2026 Table 23 '!AC:AC,'AEO 2026 Table 23 '!$B:$B,"*,"&amp;$A29&amp;",*")-SUMIFS('AEO 2026 Table 23 '!AB:AB,'AEO 2026 Table 23 '!$B:$B,"*,"&amp;$A29&amp;",*"))/SUMIFS('AEO 2026 Table 23 '!AB:AB,'AEO 2026 Table 23 '!$B:$B,"*,"&amp;$A29&amp;",*"),"")</f>
        <v/>
      </c>
      <c r="AA29" t="str">
        <f>IFERROR((SUMIFS('AEO 2026 Table 23 '!AD:AD,'AEO 2026 Table 23 '!$B:$B,"*,"&amp;$A29&amp;",*")-SUMIFS('AEO 2026 Table 23 '!AC:AC,'AEO 2026 Table 23 '!$B:$B,"*,"&amp;$A29&amp;",*"))/SUMIFS('AEO 2026 Table 23 '!AC:AC,'AEO 2026 Table 23 '!$B:$B,"*,"&amp;$A29&amp;",*"),"")</f>
        <v/>
      </c>
      <c r="AB29" t="str">
        <f>IFERROR((SUMIFS('AEO 2026 Table 23 '!AE:AE,'AEO 2026 Table 23 '!$B:$B,"*,"&amp;$A29&amp;",*")-SUMIFS('AEO 2026 Table 23 '!AD:AD,'AEO 2026 Table 23 '!$B:$B,"*,"&amp;$A29&amp;",*"))/SUMIFS('AEO 2026 Table 23 '!AD:AD,'AEO 2026 Table 23 '!$B:$B,"*,"&amp;$A29&amp;",*"),"")</f>
        <v/>
      </c>
      <c r="AC29" t="str">
        <f>IFERROR((SUMIFS('AEO 2026 Table 23 '!AF:AF,'AEO 2026 Table 23 '!$B:$B,"*,"&amp;$A29&amp;",*")-SUMIFS('AEO 2026 Table 23 '!AE:AE,'AEO 2026 Table 23 '!$B:$B,"*,"&amp;$A29&amp;",*"))/SUMIFS('AEO 2026 Table 23 '!AE:AE,'AEO 2026 Table 23 '!$B:$B,"*,"&amp;$A29&amp;",*"),"")</f>
        <v/>
      </c>
    </row>
    <row r="30" spans="1:29" x14ac:dyDescent="0.25">
      <c r="A30" t="s">
        <v>326</v>
      </c>
      <c r="B30">
        <f>IFERROR(SUMPRODUCT(--('BLS Table 2.11'!$L$1:$L$426=$A30),'BLS Table 2.11'!$J$1:$J$426,'BLS Table 2.11'!$K$1:$K$426)/SUMIFS('BLS Table 2.11'!$J$1:$J$426,'BLS Table 2.11'!$L$1:$L$426,$A30)/100,0)</f>
        <v>2.0096103896103897E-2</v>
      </c>
      <c r="D30">
        <f>IFERROR((SUMIFS('AEO 2026 Table 23 '!G:G,'AEO 2026 Table 23 '!$B:$B,"*,"&amp;$A30&amp;",*")-SUMIFS('AEO25 Table 23'!H:H,'AEO25 Table 23'!$B:$B,"*,"&amp;$A30&amp;",*"))/SUMIFS('AEO25 Table 23'!H:H,'AEO25 Table 23'!$B:$B,"*,"&amp;$A30&amp;",*"),"")</f>
        <v>-6.1192822458182292E-2</v>
      </c>
      <c r="E30">
        <f>IFERROR((SUMIFS('AEO 2026 Table 23 '!H:H,'AEO 2026 Table 23 '!$B:$B,"*,"&amp;$A30&amp;",*")-SUMIFS('AEO 2026 Table 23 '!G:G,'AEO 2026 Table 23 '!$B:$B,"*,"&amp;$A30&amp;",*"))/SUMIFS('AEO 2026 Table 23 '!G:G,'AEO 2026 Table 23 '!$B:$B,"*,"&amp;$A30&amp;",*"),"")</f>
        <v>2.9380888594976902E-3</v>
      </c>
      <c r="F30">
        <f>IFERROR((SUMIFS('AEO 2026 Table 23 '!I:I,'AEO 2026 Table 23 '!$B:$B,"*,"&amp;$A30&amp;",*")-SUMIFS('AEO 2026 Table 23 '!H:H,'AEO 2026 Table 23 '!$B:$B,"*,"&amp;$A30&amp;",*"))/SUMIFS('AEO 2026 Table 23 '!H:H,'AEO 2026 Table 23 '!$B:$B,"*,"&amp;$A30&amp;",*"),"")</f>
        <v>6.3339290520313812E-2</v>
      </c>
      <c r="G30">
        <f>IFERROR((SUMIFS('AEO 2026 Table 23 '!J:J,'AEO 2026 Table 23 '!$B:$B,"*,"&amp;$A30&amp;",*")-SUMIFS('AEO 2026 Table 23 '!I:I,'AEO 2026 Table 23 '!$B:$B,"*,"&amp;$A30&amp;",*"))/SUMIFS('AEO 2026 Table 23 '!I:I,'AEO 2026 Table 23 '!$B:$B,"*,"&amp;$A30&amp;",*"),"")</f>
        <v>1.9604562754516788E-2</v>
      </c>
      <c r="H30">
        <f>IFERROR((SUMIFS('AEO 2026 Table 23 '!K:K,'AEO 2026 Table 23 '!$B:$B,"*,"&amp;$A30&amp;",*")-SUMIFS('AEO 2026 Table 23 '!J:J,'AEO 2026 Table 23 '!$B:$B,"*,"&amp;$A30&amp;",*"))/SUMIFS('AEO 2026 Table 23 '!J:J,'AEO 2026 Table 23 '!$B:$B,"*,"&amp;$A30&amp;",*"),"")</f>
        <v>1.5932404751837544E-2</v>
      </c>
      <c r="I30">
        <f>IFERROR((SUMIFS('AEO 2026 Table 23 '!L:L,'AEO 2026 Table 23 '!$B:$B,"*,"&amp;$A30&amp;",*")-SUMIFS('AEO 2026 Table 23 '!K:K,'AEO 2026 Table 23 '!$B:$B,"*,"&amp;$A30&amp;",*"))/SUMIFS('AEO 2026 Table 23 '!K:K,'AEO 2026 Table 23 '!$B:$B,"*,"&amp;$A30&amp;",*"),"")</f>
        <v>1.6641426870951888E-2</v>
      </c>
      <c r="J30">
        <f>IFERROR((SUMIFS('AEO 2026 Table 23 '!M:M,'AEO 2026 Table 23 '!$B:$B,"*,"&amp;$A30&amp;",*")-SUMIFS('AEO 2026 Table 23 '!L:L,'AEO 2026 Table 23 '!$B:$B,"*,"&amp;$A30&amp;",*"))/SUMIFS('AEO 2026 Table 23 '!L:L,'AEO 2026 Table 23 '!$B:$B,"*,"&amp;$A30&amp;",*"),"")</f>
        <v>6.7021756724579655E-3</v>
      </c>
      <c r="K30">
        <f>IFERROR((SUMIFS('AEO 2026 Table 23 '!N:N,'AEO 2026 Table 23 '!$B:$B,"*,"&amp;$A30&amp;",*")-SUMIFS('AEO 2026 Table 23 '!M:M,'AEO 2026 Table 23 '!$B:$B,"*,"&amp;$A30&amp;",*"))/SUMIFS('AEO 2026 Table 23 '!M:M,'AEO 2026 Table 23 '!$B:$B,"*,"&amp;$A30&amp;",*"),"")</f>
        <v>1.5883257366551745E-2</v>
      </c>
      <c r="L30">
        <f>IFERROR((SUMIFS('AEO 2026 Table 23 '!O:O,'AEO 2026 Table 23 '!$B:$B,"*,"&amp;$A30&amp;",*")-SUMIFS('AEO 2026 Table 23 '!N:N,'AEO 2026 Table 23 '!$B:$B,"*,"&amp;$A30&amp;",*"))/SUMIFS('AEO 2026 Table 23 '!N:N,'AEO 2026 Table 23 '!$B:$B,"*,"&amp;$A30&amp;",*"),"")</f>
        <v>6.9136521435425487E-3</v>
      </c>
      <c r="M30">
        <f>IFERROR((SUMIFS('AEO 2026 Table 23 '!P:P,'AEO 2026 Table 23 '!$B:$B,"*,"&amp;$A30&amp;",*")-SUMIFS('AEO 2026 Table 23 '!O:O,'AEO 2026 Table 23 '!$B:$B,"*,"&amp;$A30&amp;",*"))/SUMIFS('AEO 2026 Table 23 '!O:O,'AEO 2026 Table 23 '!$B:$B,"*,"&amp;$A30&amp;",*"),"")</f>
        <v>2.8542402586039105E-3</v>
      </c>
      <c r="N30">
        <f>IFERROR((SUMIFS('AEO 2026 Table 23 '!Q:Q,'AEO 2026 Table 23 '!$B:$B,"*,"&amp;$A30&amp;",*")-SUMIFS('AEO 2026 Table 23 '!P:P,'AEO 2026 Table 23 '!$B:$B,"*,"&amp;$A30&amp;",*"))/SUMIFS('AEO 2026 Table 23 '!P:P,'AEO 2026 Table 23 '!$B:$B,"*,"&amp;$A30&amp;",*"),"")</f>
        <v>3.8463791260001942E-3</v>
      </c>
      <c r="O30">
        <f>IFERROR((SUMIFS('AEO 2026 Table 23 '!R:R,'AEO 2026 Table 23 '!$B:$B,"*,"&amp;$A30&amp;",*")-SUMIFS('AEO 2026 Table 23 '!Q:Q,'AEO 2026 Table 23 '!$B:$B,"*,"&amp;$A30&amp;",*"))/SUMIFS('AEO 2026 Table 23 '!Q:Q,'AEO 2026 Table 23 '!$B:$B,"*,"&amp;$A30&amp;",*"),"")</f>
        <v>1.0277052427238266E-2</v>
      </c>
      <c r="P30">
        <f>IFERROR((SUMIFS('AEO 2026 Table 23 '!S:S,'AEO 2026 Table 23 '!$B:$B,"*,"&amp;$A30&amp;",*")-SUMIFS('AEO 2026 Table 23 '!R:R,'AEO 2026 Table 23 '!$B:$B,"*,"&amp;$A30&amp;",*"))/SUMIFS('AEO 2026 Table 23 '!R:R,'AEO 2026 Table 23 '!$B:$B,"*,"&amp;$A30&amp;",*"),"")</f>
        <v>2.0572282292054985E-2</v>
      </c>
      <c r="Q30">
        <f>IFERROR((SUMIFS('AEO 2026 Table 23 '!T:T,'AEO 2026 Table 23 '!$B:$B,"*,"&amp;$A30&amp;",*")-SUMIFS('AEO 2026 Table 23 '!S:S,'AEO 2026 Table 23 '!$B:$B,"*,"&amp;$A30&amp;",*"))/SUMIFS('AEO 2026 Table 23 '!S:S,'AEO 2026 Table 23 '!$B:$B,"*,"&amp;$A30&amp;",*"),"")</f>
        <v>1.8700062703327504E-2</v>
      </c>
      <c r="R30">
        <f>IFERROR((SUMIFS('AEO 2026 Table 23 '!U:U,'AEO 2026 Table 23 '!$B:$B,"*,"&amp;$A30&amp;",*")-SUMIFS('AEO 2026 Table 23 '!T:T,'AEO 2026 Table 23 '!$B:$B,"*,"&amp;$A30&amp;",*"))/SUMIFS('AEO 2026 Table 23 '!T:T,'AEO 2026 Table 23 '!$B:$B,"*,"&amp;$A30&amp;",*"),"")</f>
        <v>1.8711123076861937E-2</v>
      </c>
      <c r="S30">
        <f>IFERROR((SUMIFS('AEO 2026 Table 23 '!V:V,'AEO 2026 Table 23 '!$B:$B,"*,"&amp;$A30&amp;",*")-SUMIFS('AEO 2026 Table 23 '!U:U,'AEO 2026 Table 23 '!$B:$B,"*,"&amp;$A30&amp;",*"))/SUMIFS('AEO 2026 Table 23 '!U:U,'AEO 2026 Table 23 '!$B:$B,"*,"&amp;$A30&amp;",*"),"")</f>
        <v>1.7017403091970501E-2</v>
      </c>
      <c r="T30">
        <f>IFERROR((SUMIFS('AEO 2026 Table 23 '!W:W,'AEO 2026 Table 23 '!$B:$B,"*,"&amp;$A30&amp;",*")-SUMIFS('AEO 2026 Table 23 '!V:V,'AEO 2026 Table 23 '!$B:$B,"*,"&amp;$A30&amp;",*"))/SUMIFS('AEO 2026 Table 23 '!V:V,'AEO 2026 Table 23 '!$B:$B,"*,"&amp;$A30&amp;",*"),"")</f>
        <v>1.4762044680125085E-2</v>
      </c>
      <c r="U30">
        <f>IFERROR((SUMIFS('AEO 2026 Table 23 '!X:X,'AEO 2026 Table 23 '!$B:$B,"*,"&amp;$A30&amp;",*")-SUMIFS('AEO 2026 Table 23 '!W:W,'AEO 2026 Table 23 '!$B:$B,"*,"&amp;$A30&amp;",*"))/SUMIFS('AEO 2026 Table 23 '!W:W,'AEO 2026 Table 23 '!$B:$B,"*,"&amp;$A30&amp;",*"),"")</f>
        <v>1.4642211089780718E-2</v>
      </c>
      <c r="V30">
        <f>IFERROR((SUMIFS('AEO 2026 Table 23 '!Y:Y,'AEO 2026 Table 23 '!$B:$B,"*,"&amp;$A30&amp;",*")-SUMIFS('AEO 2026 Table 23 '!X:X,'AEO 2026 Table 23 '!$B:$B,"*,"&amp;$A30&amp;",*"))/SUMIFS('AEO 2026 Table 23 '!X:X,'AEO 2026 Table 23 '!$B:$B,"*,"&amp;$A30&amp;",*"),"")</f>
        <v>1.2713600388710966E-2</v>
      </c>
      <c r="W30">
        <f>IFERROR((SUMIFS('AEO 2026 Table 23 '!Z:Z,'AEO 2026 Table 23 '!$B:$B,"*,"&amp;$A30&amp;",*")-SUMIFS('AEO 2026 Table 23 '!Y:Y,'AEO 2026 Table 23 '!$B:$B,"*,"&amp;$A30&amp;",*"))/SUMIFS('AEO 2026 Table 23 '!Y:Y,'AEO 2026 Table 23 '!$B:$B,"*,"&amp;$A30&amp;",*"),"")</f>
        <v>1.2896278318495618E-2</v>
      </c>
      <c r="X30">
        <f>IFERROR((SUMIFS('AEO 2026 Table 23 '!AA:AA,'AEO 2026 Table 23 '!$B:$B,"*,"&amp;$A30&amp;",*")-SUMIFS('AEO 2026 Table 23 '!Z:Z,'AEO 2026 Table 23 '!$B:$B,"*,"&amp;$A30&amp;",*"))/SUMIFS('AEO 2026 Table 23 '!Z:Z,'AEO 2026 Table 23 '!$B:$B,"*,"&amp;$A30&amp;",*"),"")</f>
        <v>1.336315733038511E-2</v>
      </c>
      <c r="Y30">
        <f>IFERROR((SUMIFS('AEO 2026 Table 23 '!AB:AB,'AEO 2026 Table 23 '!$B:$B,"*,"&amp;$A30&amp;",*")-SUMIFS('AEO 2026 Table 23 '!AA:AA,'AEO 2026 Table 23 '!$B:$B,"*,"&amp;$A30&amp;",*"))/SUMIFS('AEO 2026 Table 23 '!AA:AA,'AEO 2026 Table 23 '!$B:$B,"*,"&amp;$A30&amp;",*"),"")</f>
        <v>1.2522422817884852E-2</v>
      </c>
      <c r="Z30">
        <f>IFERROR((SUMIFS('AEO 2026 Table 23 '!AC:AC,'AEO 2026 Table 23 '!$B:$B,"*,"&amp;$A30&amp;",*")-SUMIFS('AEO 2026 Table 23 '!AB:AB,'AEO 2026 Table 23 '!$B:$B,"*,"&amp;$A30&amp;",*"))/SUMIFS('AEO 2026 Table 23 '!AB:AB,'AEO 2026 Table 23 '!$B:$B,"*,"&amp;$A30&amp;",*"),"")</f>
        <v>1.1331525364436211E-2</v>
      </c>
      <c r="AA30">
        <f>IFERROR((SUMIFS('AEO 2026 Table 23 '!AD:AD,'AEO 2026 Table 23 '!$B:$B,"*,"&amp;$A30&amp;",*")-SUMIFS('AEO 2026 Table 23 '!AC:AC,'AEO 2026 Table 23 '!$B:$B,"*,"&amp;$A30&amp;",*"))/SUMIFS('AEO 2026 Table 23 '!AC:AC,'AEO 2026 Table 23 '!$B:$B,"*,"&amp;$A30&amp;",*"),"")</f>
        <v>1.1461454971234577E-2</v>
      </c>
      <c r="AB30">
        <f>IFERROR((SUMIFS('AEO 2026 Table 23 '!AE:AE,'AEO 2026 Table 23 '!$B:$B,"*,"&amp;$A30&amp;",*")-SUMIFS('AEO 2026 Table 23 '!AD:AD,'AEO 2026 Table 23 '!$B:$B,"*,"&amp;$A30&amp;",*"))/SUMIFS('AEO 2026 Table 23 '!AD:AD,'AEO 2026 Table 23 '!$B:$B,"*,"&amp;$A30&amp;",*"),"")</f>
        <v>1.0357703802010182E-2</v>
      </c>
      <c r="AC30">
        <f>IFERROR((SUMIFS('AEO 2026 Table 23 '!AF:AF,'AEO 2026 Table 23 '!$B:$B,"*,"&amp;$A30&amp;",*")-SUMIFS('AEO 2026 Table 23 '!AE:AE,'AEO 2026 Table 23 '!$B:$B,"*,"&amp;$A30&amp;",*"))/SUMIFS('AEO 2026 Table 23 '!AE:AE,'AEO 2026 Table 23 '!$B:$B,"*,"&amp;$A30&amp;",*"),"")</f>
        <v>8.2997084143176143E-3</v>
      </c>
    </row>
    <row r="31" spans="1:29" x14ac:dyDescent="0.25">
      <c r="A31" t="s">
        <v>336</v>
      </c>
      <c r="B31">
        <f>IFERROR(SUMPRODUCT(--('BLS Table 2.11'!$L$1:$L$426=$A31),'BLS Table 2.11'!$J$1:$J$426,'BLS Table 2.11'!$K$1:$K$426)/SUMIFS('BLS Table 2.11'!$J$1:$J$426,'BLS Table 2.11'!$L$1:$L$426,$A31)/100,0)</f>
        <v>1.5616425120772947E-2</v>
      </c>
      <c r="D31">
        <f>IFERROR((SUMIFS('AEO 2026 Table 23 '!G:G,'AEO 2026 Table 23 '!$B:$B,"*,"&amp;$A31&amp;",*")-SUMIFS('AEO25 Table 23'!H:H,'AEO25 Table 23'!$B:$B,"*,"&amp;$A31&amp;",*"))/SUMIFS('AEO25 Table 23'!H:H,'AEO25 Table 23'!$B:$B,"*,"&amp;$A31&amp;",*"),"")</f>
        <v>-1.632229783085291E-2</v>
      </c>
      <c r="E31">
        <f>IFERROR((SUMIFS('AEO 2026 Table 23 '!H:H,'AEO 2026 Table 23 '!$B:$B,"*,"&amp;$A31&amp;",*")-SUMIFS('AEO 2026 Table 23 '!G:G,'AEO 2026 Table 23 '!$B:$B,"*,"&amp;$A31&amp;",*"))/SUMIFS('AEO 2026 Table 23 '!G:G,'AEO 2026 Table 23 '!$B:$B,"*,"&amp;$A31&amp;",*"),"")</f>
        <v>5.5999459016875253E-3</v>
      </c>
      <c r="F31">
        <f>IFERROR((SUMIFS('AEO 2026 Table 23 '!I:I,'AEO 2026 Table 23 '!$B:$B,"*,"&amp;$A31&amp;",*")-SUMIFS('AEO 2026 Table 23 '!H:H,'AEO 2026 Table 23 '!$B:$B,"*,"&amp;$A31&amp;",*"))/SUMIFS('AEO 2026 Table 23 '!H:H,'AEO 2026 Table 23 '!$B:$B,"*,"&amp;$A31&amp;",*"),"")</f>
        <v>2.5757109931396592E-2</v>
      </c>
      <c r="G31">
        <f>IFERROR((SUMIFS('AEO 2026 Table 23 '!J:J,'AEO 2026 Table 23 '!$B:$B,"*,"&amp;$A31&amp;",*")-SUMIFS('AEO 2026 Table 23 '!I:I,'AEO 2026 Table 23 '!$B:$B,"*,"&amp;$A31&amp;",*"))/SUMIFS('AEO 2026 Table 23 '!I:I,'AEO 2026 Table 23 '!$B:$B,"*,"&amp;$A31&amp;",*"),"")</f>
        <v>1.1354110634450888E-2</v>
      </c>
      <c r="H31">
        <f>IFERROR((SUMIFS('AEO 2026 Table 23 '!K:K,'AEO 2026 Table 23 '!$B:$B,"*,"&amp;$A31&amp;",*")-SUMIFS('AEO 2026 Table 23 '!J:J,'AEO 2026 Table 23 '!$B:$B,"*,"&amp;$A31&amp;",*"))/SUMIFS('AEO 2026 Table 23 '!J:J,'AEO 2026 Table 23 '!$B:$B,"*,"&amp;$A31&amp;",*"),"")</f>
        <v>1.5817217719252666E-2</v>
      </c>
      <c r="I31">
        <f>IFERROR((SUMIFS('AEO 2026 Table 23 '!L:L,'AEO 2026 Table 23 '!$B:$B,"*,"&amp;$A31&amp;",*")-SUMIFS('AEO 2026 Table 23 '!K:K,'AEO 2026 Table 23 '!$B:$B,"*,"&amp;$A31&amp;",*"))/SUMIFS('AEO 2026 Table 23 '!K:K,'AEO 2026 Table 23 '!$B:$B,"*,"&amp;$A31&amp;",*"),"")</f>
        <v>2.3875865803752797E-2</v>
      </c>
      <c r="J31">
        <f>IFERROR((SUMIFS('AEO 2026 Table 23 '!M:M,'AEO 2026 Table 23 '!$B:$B,"*,"&amp;$A31&amp;",*")-SUMIFS('AEO 2026 Table 23 '!L:L,'AEO 2026 Table 23 '!$B:$B,"*,"&amp;$A31&amp;",*"))/SUMIFS('AEO 2026 Table 23 '!L:L,'AEO 2026 Table 23 '!$B:$B,"*,"&amp;$A31&amp;",*"),"")</f>
        <v>2.5367352744672552E-2</v>
      </c>
      <c r="K31">
        <f>IFERROR((SUMIFS('AEO 2026 Table 23 '!N:N,'AEO 2026 Table 23 '!$B:$B,"*,"&amp;$A31&amp;",*")-SUMIFS('AEO 2026 Table 23 '!M:M,'AEO 2026 Table 23 '!$B:$B,"*,"&amp;$A31&amp;",*"))/SUMIFS('AEO 2026 Table 23 '!M:M,'AEO 2026 Table 23 '!$B:$B,"*,"&amp;$A31&amp;",*"),"")</f>
        <v>1.0717953538114944E-2</v>
      </c>
      <c r="L31">
        <f>IFERROR((SUMIFS('AEO 2026 Table 23 '!O:O,'AEO 2026 Table 23 '!$B:$B,"*,"&amp;$A31&amp;",*")-SUMIFS('AEO 2026 Table 23 '!N:N,'AEO 2026 Table 23 '!$B:$B,"*,"&amp;$A31&amp;",*"))/SUMIFS('AEO 2026 Table 23 '!N:N,'AEO 2026 Table 23 '!$B:$B,"*,"&amp;$A31&amp;",*"),"")</f>
        <v>4.251649523984118E-3</v>
      </c>
      <c r="M31">
        <f>IFERROR((SUMIFS('AEO 2026 Table 23 '!P:P,'AEO 2026 Table 23 '!$B:$B,"*,"&amp;$A31&amp;",*")-SUMIFS('AEO 2026 Table 23 '!O:O,'AEO 2026 Table 23 '!$B:$B,"*,"&amp;$A31&amp;",*"))/SUMIFS('AEO 2026 Table 23 '!O:O,'AEO 2026 Table 23 '!$B:$B,"*,"&amp;$A31&amp;",*"),"")</f>
        <v>1.7918239151918502E-3</v>
      </c>
      <c r="N31">
        <f>IFERROR((SUMIFS('AEO 2026 Table 23 '!Q:Q,'AEO 2026 Table 23 '!$B:$B,"*,"&amp;$A31&amp;",*")-SUMIFS('AEO 2026 Table 23 '!P:P,'AEO 2026 Table 23 '!$B:$B,"*,"&amp;$A31&amp;",*"))/SUMIFS('AEO 2026 Table 23 '!P:P,'AEO 2026 Table 23 '!$B:$B,"*,"&amp;$A31&amp;",*"),"")</f>
        <v>7.7910798401826641E-3</v>
      </c>
      <c r="O31">
        <f>IFERROR((SUMIFS('AEO 2026 Table 23 '!R:R,'AEO 2026 Table 23 '!$B:$B,"*,"&amp;$A31&amp;",*")-SUMIFS('AEO 2026 Table 23 '!Q:Q,'AEO 2026 Table 23 '!$B:$B,"*,"&amp;$A31&amp;",*"))/SUMIFS('AEO 2026 Table 23 '!Q:Q,'AEO 2026 Table 23 '!$B:$B,"*,"&amp;$A31&amp;",*"),"")</f>
        <v>8.5717762642570985E-3</v>
      </c>
      <c r="P31">
        <f>IFERROR((SUMIFS('AEO 2026 Table 23 '!S:S,'AEO 2026 Table 23 '!$B:$B,"*,"&amp;$A31&amp;",*")-SUMIFS('AEO 2026 Table 23 '!R:R,'AEO 2026 Table 23 '!$B:$B,"*,"&amp;$A31&amp;",*"))/SUMIFS('AEO 2026 Table 23 '!R:R,'AEO 2026 Table 23 '!$B:$B,"*,"&amp;$A31&amp;",*"),"")</f>
        <v>9.7625674798807287E-3</v>
      </c>
      <c r="Q31">
        <f>IFERROR((SUMIFS('AEO 2026 Table 23 '!T:T,'AEO 2026 Table 23 '!$B:$B,"*,"&amp;$A31&amp;",*")-SUMIFS('AEO 2026 Table 23 '!S:S,'AEO 2026 Table 23 '!$B:$B,"*,"&amp;$A31&amp;",*"))/SUMIFS('AEO 2026 Table 23 '!S:S,'AEO 2026 Table 23 '!$B:$B,"*,"&amp;$A31&amp;",*"),"")</f>
        <v>1.1577806384322731E-2</v>
      </c>
      <c r="R31">
        <f>IFERROR((SUMIFS('AEO 2026 Table 23 '!U:U,'AEO 2026 Table 23 '!$B:$B,"*,"&amp;$A31&amp;",*")-SUMIFS('AEO 2026 Table 23 '!T:T,'AEO 2026 Table 23 '!$B:$B,"*,"&amp;$A31&amp;",*"))/SUMIFS('AEO 2026 Table 23 '!T:T,'AEO 2026 Table 23 '!$B:$B,"*,"&amp;$A31&amp;",*"),"")</f>
        <v>4.9481819871324117E-3</v>
      </c>
      <c r="S31">
        <f>IFERROR((SUMIFS('AEO 2026 Table 23 '!V:V,'AEO 2026 Table 23 '!$B:$B,"*,"&amp;$A31&amp;",*")-SUMIFS('AEO 2026 Table 23 '!U:U,'AEO 2026 Table 23 '!$B:$B,"*,"&amp;$A31&amp;",*"))/SUMIFS('AEO 2026 Table 23 '!U:U,'AEO 2026 Table 23 '!$B:$B,"*,"&amp;$A31&amp;",*"),"")</f>
        <v>1.0793203306688067E-2</v>
      </c>
      <c r="T31">
        <f>IFERROR((SUMIFS('AEO 2026 Table 23 '!W:W,'AEO 2026 Table 23 '!$B:$B,"*,"&amp;$A31&amp;",*")-SUMIFS('AEO 2026 Table 23 '!V:V,'AEO 2026 Table 23 '!$B:$B,"*,"&amp;$A31&amp;",*"))/SUMIFS('AEO 2026 Table 23 '!V:V,'AEO 2026 Table 23 '!$B:$B,"*,"&amp;$A31&amp;",*"),"")</f>
        <v>1.1087318728565851E-2</v>
      </c>
      <c r="U31">
        <f>IFERROR((SUMIFS('AEO 2026 Table 23 '!X:X,'AEO 2026 Table 23 '!$B:$B,"*,"&amp;$A31&amp;",*")-SUMIFS('AEO 2026 Table 23 '!W:W,'AEO 2026 Table 23 '!$B:$B,"*,"&amp;$A31&amp;",*"))/SUMIFS('AEO 2026 Table 23 '!W:W,'AEO 2026 Table 23 '!$B:$B,"*,"&amp;$A31&amp;",*"),"")</f>
        <v>9.320051786472822E-3</v>
      </c>
      <c r="V31">
        <f>IFERROR((SUMIFS('AEO 2026 Table 23 '!Y:Y,'AEO 2026 Table 23 '!$B:$B,"*,"&amp;$A31&amp;",*")-SUMIFS('AEO 2026 Table 23 '!X:X,'AEO 2026 Table 23 '!$B:$B,"*,"&amp;$A31&amp;",*"))/SUMIFS('AEO 2026 Table 23 '!X:X,'AEO 2026 Table 23 '!$B:$B,"*,"&amp;$A31&amp;",*"),"")</f>
        <v>8.6730499813616642E-3</v>
      </c>
      <c r="W31">
        <f>IFERROR((SUMIFS('AEO 2026 Table 23 '!Z:Z,'AEO 2026 Table 23 '!$B:$B,"*,"&amp;$A31&amp;",*")-SUMIFS('AEO 2026 Table 23 '!Y:Y,'AEO 2026 Table 23 '!$B:$B,"*,"&amp;$A31&amp;",*"))/SUMIFS('AEO 2026 Table 23 '!Y:Y,'AEO 2026 Table 23 '!$B:$B,"*,"&amp;$A31&amp;",*"),"")</f>
        <v>9.4775489895972537E-3</v>
      </c>
      <c r="X31">
        <f>IFERROR((SUMIFS('AEO 2026 Table 23 '!AA:AA,'AEO 2026 Table 23 '!$B:$B,"*,"&amp;$A31&amp;",*")-SUMIFS('AEO 2026 Table 23 '!Z:Z,'AEO 2026 Table 23 '!$B:$B,"*,"&amp;$A31&amp;",*"))/SUMIFS('AEO 2026 Table 23 '!Z:Z,'AEO 2026 Table 23 '!$B:$B,"*,"&amp;$A31&amp;",*"),"")</f>
        <v>1.2076580439907935E-2</v>
      </c>
      <c r="Y31">
        <f>IFERROR((SUMIFS('AEO 2026 Table 23 '!AB:AB,'AEO 2026 Table 23 '!$B:$B,"*,"&amp;$A31&amp;",*")-SUMIFS('AEO 2026 Table 23 '!AA:AA,'AEO 2026 Table 23 '!$B:$B,"*,"&amp;$A31&amp;",*"))/SUMIFS('AEO 2026 Table 23 '!AA:AA,'AEO 2026 Table 23 '!$B:$B,"*,"&amp;$A31&amp;",*"),"")</f>
        <v>8.1813883067160982E-3</v>
      </c>
      <c r="Z31">
        <f>IFERROR((SUMIFS('AEO 2026 Table 23 '!AC:AC,'AEO 2026 Table 23 '!$B:$B,"*,"&amp;$A31&amp;",*")-SUMIFS('AEO 2026 Table 23 '!AB:AB,'AEO 2026 Table 23 '!$B:$B,"*,"&amp;$A31&amp;",*"))/SUMIFS('AEO 2026 Table 23 '!AB:AB,'AEO 2026 Table 23 '!$B:$B,"*,"&amp;$A31&amp;",*"),"")</f>
        <v>7.4069072932828311E-3</v>
      </c>
      <c r="AA31">
        <f>IFERROR((SUMIFS('AEO 2026 Table 23 '!AD:AD,'AEO 2026 Table 23 '!$B:$B,"*,"&amp;$A31&amp;",*")-SUMIFS('AEO 2026 Table 23 '!AC:AC,'AEO 2026 Table 23 '!$B:$B,"*,"&amp;$A31&amp;",*"))/SUMIFS('AEO 2026 Table 23 '!AC:AC,'AEO 2026 Table 23 '!$B:$B,"*,"&amp;$A31&amp;",*"),"")</f>
        <v>3.1471864461374319E-3</v>
      </c>
      <c r="AB31">
        <f>IFERROR((SUMIFS('AEO 2026 Table 23 '!AE:AE,'AEO 2026 Table 23 '!$B:$B,"*,"&amp;$A31&amp;",*")-SUMIFS('AEO 2026 Table 23 '!AD:AD,'AEO 2026 Table 23 '!$B:$B,"*,"&amp;$A31&amp;",*"))/SUMIFS('AEO 2026 Table 23 '!AD:AD,'AEO 2026 Table 23 '!$B:$B,"*,"&amp;$A31&amp;",*"),"")</f>
        <v>1.1445265042010417E-2</v>
      </c>
      <c r="AC31">
        <f>IFERROR((SUMIFS('AEO 2026 Table 23 '!AF:AF,'AEO 2026 Table 23 '!$B:$B,"*,"&amp;$A31&amp;",*")-SUMIFS('AEO 2026 Table 23 '!AE:AE,'AEO 2026 Table 23 '!$B:$B,"*,"&amp;$A31&amp;",*"))/SUMIFS('AEO 2026 Table 23 '!AE:AE,'AEO 2026 Table 23 '!$B:$B,"*,"&amp;$A31&amp;",*"),"")</f>
        <v>2.5966262870745892E-3</v>
      </c>
    </row>
    <row r="32" spans="1:29" x14ac:dyDescent="0.25">
      <c r="A32" t="s">
        <v>98</v>
      </c>
      <c r="B32">
        <f>IFERROR(SUMPRODUCT(--('BLS Table 2.11'!$L$1:$L$426=$A32),'BLS Table 2.11'!$J$1:$J$426,'BLS Table 2.11'!$K$1:$K$426)/SUMIFS('BLS Table 2.11'!$J$1:$J$426,'BLS Table 2.11'!$L$1:$L$426,$A32)/100,0)</f>
        <v>0.02</v>
      </c>
      <c r="D32" t="str">
        <f>IFERROR((SUMIFS('AEO 2026 Table 23 '!G:G,'AEO 2026 Table 23 '!$B:$B,"*,"&amp;$A32&amp;",*")-SUMIFS('AEO25 Table 23'!H:H,'AEO25 Table 23'!$B:$B,"*,"&amp;$A32&amp;",*"))/SUMIFS('AEO25 Table 23'!H:H,'AEO25 Table 23'!$B:$B,"*,"&amp;$A32&amp;",*"),"")</f>
        <v/>
      </c>
      <c r="E32" t="str">
        <f>IFERROR((SUMIFS('AEO 2026 Table 23 '!H:H,'AEO 2026 Table 23 '!$B:$B,"*,"&amp;$A32&amp;",*")-SUMIFS('AEO 2026 Table 23 '!G:G,'AEO 2026 Table 23 '!$B:$B,"*,"&amp;$A32&amp;",*"))/SUMIFS('AEO 2026 Table 23 '!G:G,'AEO 2026 Table 23 '!$B:$B,"*,"&amp;$A32&amp;",*"),"")</f>
        <v/>
      </c>
      <c r="F32" t="str">
        <f>IFERROR((SUMIFS('AEO 2026 Table 23 '!I:I,'AEO 2026 Table 23 '!$B:$B,"*,"&amp;$A32&amp;",*")-SUMIFS('AEO 2026 Table 23 '!H:H,'AEO 2026 Table 23 '!$B:$B,"*,"&amp;$A32&amp;",*"))/SUMIFS('AEO 2026 Table 23 '!H:H,'AEO 2026 Table 23 '!$B:$B,"*,"&amp;$A32&amp;",*"),"")</f>
        <v/>
      </c>
      <c r="G32" t="str">
        <f>IFERROR((SUMIFS('AEO 2026 Table 23 '!J:J,'AEO 2026 Table 23 '!$B:$B,"*,"&amp;$A32&amp;",*")-SUMIFS('AEO 2026 Table 23 '!I:I,'AEO 2026 Table 23 '!$B:$B,"*,"&amp;$A32&amp;",*"))/SUMIFS('AEO 2026 Table 23 '!I:I,'AEO 2026 Table 23 '!$B:$B,"*,"&amp;$A32&amp;",*"),"")</f>
        <v/>
      </c>
      <c r="H32" t="str">
        <f>IFERROR((SUMIFS('AEO 2026 Table 23 '!K:K,'AEO 2026 Table 23 '!$B:$B,"*,"&amp;$A32&amp;",*")-SUMIFS('AEO 2026 Table 23 '!J:J,'AEO 2026 Table 23 '!$B:$B,"*,"&amp;$A32&amp;",*"))/SUMIFS('AEO 2026 Table 23 '!J:J,'AEO 2026 Table 23 '!$B:$B,"*,"&amp;$A32&amp;",*"),"")</f>
        <v/>
      </c>
      <c r="I32" t="str">
        <f>IFERROR((SUMIFS('AEO 2026 Table 23 '!L:L,'AEO 2026 Table 23 '!$B:$B,"*,"&amp;$A32&amp;",*")-SUMIFS('AEO 2026 Table 23 '!K:K,'AEO 2026 Table 23 '!$B:$B,"*,"&amp;$A32&amp;",*"))/SUMIFS('AEO 2026 Table 23 '!K:K,'AEO 2026 Table 23 '!$B:$B,"*,"&amp;$A32&amp;",*"),"")</f>
        <v/>
      </c>
      <c r="J32" t="str">
        <f>IFERROR((SUMIFS('AEO 2026 Table 23 '!M:M,'AEO 2026 Table 23 '!$B:$B,"*,"&amp;$A32&amp;",*")-SUMIFS('AEO 2026 Table 23 '!L:L,'AEO 2026 Table 23 '!$B:$B,"*,"&amp;$A32&amp;",*"))/SUMIFS('AEO 2026 Table 23 '!L:L,'AEO 2026 Table 23 '!$B:$B,"*,"&amp;$A32&amp;",*"),"")</f>
        <v/>
      </c>
      <c r="K32" t="str">
        <f>IFERROR((SUMIFS('AEO 2026 Table 23 '!N:N,'AEO 2026 Table 23 '!$B:$B,"*,"&amp;$A32&amp;",*")-SUMIFS('AEO 2026 Table 23 '!M:M,'AEO 2026 Table 23 '!$B:$B,"*,"&amp;$A32&amp;",*"))/SUMIFS('AEO 2026 Table 23 '!M:M,'AEO 2026 Table 23 '!$B:$B,"*,"&amp;$A32&amp;",*"),"")</f>
        <v/>
      </c>
      <c r="L32" t="str">
        <f>IFERROR((SUMIFS('AEO 2026 Table 23 '!O:O,'AEO 2026 Table 23 '!$B:$B,"*,"&amp;$A32&amp;",*")-SUMIFS('AEO 2026 Table 23 '!N:N,'AEO 2026 Table 23 '!$B:$B,"*,"&amp;$A32&amp;",*"))/SUMIFS('AEO 2026 Table 23 '!N:N,'AEO 2026 Table 23 '!$B:$B,"*,"&amp;$A32&amp;",*"),"")</f>
        <v/>
      </c>
      <c r="M32" t="str">
        <f>IFERROR((SUMIFS('AEO 2026 Table 23 '!P:P,'AEO 2026 Table 23 '!$B:$B,"*,"&amp;$A32&amp;",*")-SUMIFS('AEO 2026 Table 23 '!O:O,'AEO 2026 Table 23 '!$B:$B,"*,"&amp;$A32&amp;",*"))/SUMIFS('AEO 2026 Table 23 '!O:O,'AEO 2026 Table 23 '!$B:$B,"*,"&amp;$A32&amp;",*"),"")</f>
        <v/>
      </c>
      <c r="N32" t="str">
        <f>IFERROR((SUMIFS('AEO 2026 Table 23 '!Q:Q,'AEO 2026 Table 23 '!$B:$B,"*,"&amp;$A32&amp;",*")-SUMIFS('AEO 2026 Table 23 '!P:P,'AEO 2026 Table 23 '!$B:$B,"*,"&amp;$A32&amp;",*"))/SUMIFS('AEO 2026 Table 23 '!P:P,'AEO 2026 Table 23 '!$B:$B,"*,"&amp;$A32&amp;",*"),"")</f>
        <v/>
      </c>
      <c r="O32" t="str">
        <f>IFERROR((SUMIFS('AEO 2026 Table 23 '!R:R,'AEO 2026 Table 23 '!$B:$B,"*,"&amp;$A32&amp;",*")-SUMIFS('AEO 2026 Table 23 '!Q:Q,'AEO 2026 Table 23 '!$B:$B,"*,"&amp;$A32&amp;",*"))/SUMIFS('AEO 2026 Table 23 '!Q:Q,'AEO 2026 Table 23 '!$B:$B,"*,"&amp;$A32&amp;",*"),"")</f>
        <v/>
      </c>
      <c r="P32" t="str">
        <f>IFERROR((SUMIFS('AEO 2026 Table 23 '!S:S,'AEO 2026 Table 23 '!$B:$B,"*,"&amp;$A32&amp;",*")-SUMIFS('AEO 2026 Table 23 '!R:R,'AEO 2026 Table 23 '!$B:$B,"*,"&amp;$A32&amp;",*"))/SUMIFS('AEO 2026 Table 23 '!R:R,'AEO 2026 Table 23 '!$B:$B,"*,"&amp;$A32&amp;",*"),"")</f>
        <v/>
      </c>
      <c r="Q32" t="str">
        <f>IFERROR((SUMIFS('AEO 2026 Table 23 '!T:T,'AEO 2026 Table 23 '!$B:$B,"*,"&amp;$A32&amp;",*")-SUMIFS('AEO 2026 Table 23 '!S:S,'AEO 2026 Table 23 '!$B:$B,"*,"&amp;$A32&amp;",*"))/SUMIFS('AEO 2026 Table 23 '!S:S,'AEO 2026 Table 23 '!$B:$B,"*,"&amp;$A32&amp;",*"),"")</f>
        <v/>
      </c>
      <c r="R32" t="str">
        <f>IFERROR((SUMIFS('AEO 2026 Table 23 '!U:U,'AEO 2026 Table 23 '!$B:$B,"*,"&amp;$A32&amp;",*")-SUMIFS('AEO 2026 Table 23 '!T:T,'AEO 2026 Table 23 '!$B:$B,"*,"&amp;$A32&amp;",*"))/SUMIFS('AEO 2026 Table 23 '!T:T,'AEO 2026 Table 23 '!$B:$B,"*,"&amp;$A32&amp;",*"),"")</f>
        <v/>
      </c>
      <c r="S32" t="str">
        <f>IFERROR((SUMIFS('AEO 2026 Table 23 '!V:V,'AEO 2026 Table 23 '!$B:$B,"*,"&amp;$A32&amp;",*")-SUMIFS('AEO 2026 Table 23 '!U:U,'AEO 2026 Table 23 '!$B:$B,"*,"&amp;$A32&amp;",*"))/SUMIFS('AEO 2026 Table 23 '!U:U,'AEO 2026 Table 23 '!$B:$B,"*,"&amp;$A32&amp;",*"),"")</f>
        <v/>
      </c>
      <c r="T32" t="str">
        <f>IFERROR((SUMIFS('AEO 2026 Table 23 '!W:W,'AEO 2026 Table 23 '!$B:$B,"*,"&amp;$A32&amp;",*")-SUMIFS('AEO 2026 Table 23 '!V:V,'AEO 2026 Table 23 '!$B:$B,"*,"&amp;$A32&amp;",*"))/SUMIFS('AEO 2026 Table 23 '!V:V,'AEO 2026 Table 23 '!$B:$B,"*,"&amp;$A32&amp;",*"),"")</f>
        <v/>
      </c>
      <c r="U32" t="str">
        <f>IFERROR((SUMIFS('AEO 2026 Table 23 '!X:X,'AEO 2026 Table 23 '!$B:$B,"*,"&amp;$A32&amp;",*")-SUMIFS('AEO 2026 Table 23 '!W:W,'AEO 2026 Table 23 '!$B:$B,"*,"&amp;$A32&amp;",*"))/SUMIFS('AEO 2026 Table 23 '!W:W,'AEO 2026 Table 23 '!$B:$B,"*,"&amp;$A32&amp;",*"),"")</f>
        <v/>
      </c>
      <c r="V32" t="str">
        <f>IFERROR((SUMIFS('AEO 2026 Table 23 '!Y:Y,'AEO 2026 Table 23 '!$B:$B,"*,"&amp;$A32&amp;",*")-SUMIFS('AEO 2026 Table 23 '!X:X,'AEO 2026 Table 23 '!$B:$B,"*,"&amp;$A32&amp;",*"))/SUMIFS('AEO 2026 Table 23 '!X:X,'AEO 2026 Table 23 '!$B:$B,"*,"&amp;$A32&amp;",*"),"")</f>
        <v/>
      </c>
      <c r="W32" t="str">
        <f>IFERROR((SUMIFS('AEO 2026 Table 23 '!Z:Z,'AEO 2026 Table 23 '!$B:$B,"*,"&amp;$A32&amp;",*")-SUMIFS('AEO 2026 Table 23 '!Y:Y,'AEO 2026 Table 23 '!$B:$B,"*,"&amp;$A32&amp;",*"))/SUMIFS('AEO 2026 Table 23 '!Y:Y,'AEO 2026 Table 23 '!$B:$B,"*,"&amp;$A32&amp;",*"),"")</f>
        <v/>
      </c>
      <c r="X32" t="str">
        <f>IFERROR((SUMIFS('AEO 2026 Table 23 '!AA:AA,'AEO 2026 Table 23 '!$B:$B,"*,"&amp;$A32&amp;",*")-SUMIFS('AEO 2026 Table 23 '!Z:Z,'AEO 2026 Table 23 '!$B:$B,"*,"&amp;$A32&amp;",*"))/SUMIFS('AEO 2026 Table 23 '!Z:Z,'AEO 2026 Table 23 '!$B:$B,"*,"&amp;$A32&amp;",*"),"")</f>
        <v/>
      </c>
      <c r="Y32" t="str">
        <f>IFERROR((SUMIFS('AEO 2026 Table 23 '!AB:AB,'AEO 2026 Table 23 '!$B:$B,"*,"&amp;$A32&amp;",*")-SUMIFS('AEO 2026 Table 23 '!AA:AA,'AEO 2026 Table 23 '!$B:$B,"*,"&amp;$A32&amp;",*"))/SUMIFS('AEO 2026 Table 23 '!AA:AA,'AEO 2026 Table 23 '!$B:$B,"*,"&amp;$A32&amp;",*"),"")</f>
        <v/>
      </c>
      <c r="Z32" t="str">
        <f>IFERROR((SUMIFS('AEO 2026 Table 23 '!AC:AC,'AEO 2026 Table 23 '!$B:$B,"*,"&amp;$A32&amp;",*")-SUMIFS('AEO 2026 Table 23 '!AB:AB,'AEO 2026 Table 23 '!$B:$B,"*,"&amp;$A32&amp;",*"))/SUMIFS('AEO 2026 Table 23 '!AB:AB,'AEO 2026 Table 23 '!$B:$B,"*,"&amp;$A32&amp;",*"),"")</f>
        <v/>
      </c>
      <c r="AA32" t="str">
        <f>IFERROR((SUMIFS('AEO 2026 Table 23 '!AD:AD,'AEO 2026 Table 23 '!$B:$B,"*,"&amp;$A32&amp;",*")-SUMIFS('AEO 2026 Table 23 '!AC:AC,'AEO 2026 Table 23 '!$B:$B,"*,"&amp;$A32&amp;",*"))/SUMIFS('AEO 2026 Table 23 '!AC:AC,'AEO 2026 Table 23 '!$B:$B,"*,"&amp;$A32&amp;",*"),"")</f>
        <v/>
      </c>
      <c r="AB32" t="str">
        <f>IFERROR((SUMIFS('AEO 2026 Table 23 '!AE:AE,'AEO 2026 Table 23 '!$B:$B,"*,"&amp;$A32&amp;",*")-SUMIFS('AEO 2026 Table 23 '!AD:AD,'AEO 2026 Table 23 '!$B:$B,"*,"&amp;$A32&amp;",*"))/SUMIFS('AEO 2026 Table 23 '!AD:AD,'AEO 2026 Table 23 '!$B:$B,"*,"&amp;$A32&amp;",*"),"")</f>
        <v/>
      </c>
      <c r="AC32" t="str">
        <f>IFERROR((SUMIFS('AEO 2026 Table 23 '!AF:AF,'AEO 2026 Table 23 '!$B:$B,"*,"&amp;$A32&amp;",*")-SUMIFS('AEO 2026 Table 23 '!AE:AE,'AEO 2026 Table 23 '!$B:$B,"*,"&amp;$A32&amp;",*"))/SUMIFS('AEO 2026 Table 23 '!AE:AE,'AEO 2026 Table 23 '!$B:$B,"*,"&amp;$A32&amp;",*"),"")</f>
        <v/>
      </c>
    </row>
    <row r="33" spans="1:29" x14ac:dyDescent="0.25">
      <c r="A33" t="s">
        <v>119</v>
      </c>
      <c r="B33">
        <f>IFERROR(SUMPRODUCT(--('BLS Table 2.11'!$L$1:$L$426=$A33),'BLS Table 2.11'!$J$1:$J$426,'BLS Table 2.11'!$K$1:$K$426)/SUMIFS('BLS Table 2.11'!$J$1:$J$426,'BLS Table 2.11'!$L$1:$L$426,$A33)/100,0)</f>
        <v>6.9999999999999993E-3</v>
      </c>
      <c r="D33" t="str">
        <f>IFERROR((SUMIFS('AEO 2026 Table 23 '!G:G,'AEO 2026 Table 23 '!$B:$B,"*,"&amp;$A33&amp;",*")-SUMIFS('AEO25 Table 23'!H:H,'AEO25 Table 23'!$B:$B,"*,"&amp;$A33&amp;",*"))/SUMIFS('AEO25 Table 23'!H:H,'AEO25 Table 23'!$B:$B,"*,"&amp;$A33&amp;",*"),"")</f>
        <v/>
      </c>
      <c r="E33" t="str">
        <f>IFERROR((SUMIFS('AEO 2026 Table 23 '!H:H,'AEO 2026 Table 23 '!$B:$B,"*,"&amp;$A33&amp;",*")-SUMIFS('AEO 2026 Table 23 '!G:G,'AEO 2026 Table 23 '!$B:$B,"*,"&amp;$A33&amp;",*"))/SUMIFS('AEO 2026 Table 23 '!G:G,'AEO 2026 Table 23 '!$B:$B,"*,"&amp;$A33&amp;",*"),"")</f>
        <v/>
      </c>
      <c r="F33" t="str">
        <f>IFERROR((SUMIFS('AEO 2026 Table 23 '!I:I,'AEO 2026 Table 23 '!$B:$B,"*,"&amp;$A33&amp;",*")-SUMIFS('AEO 2026 Table 23 '!H:H,'AEO 2026 Table 23 '!$B:$B,"*,"&amp;$A33&amp;",*"))/SUMIFS('AEO 2026 Table 23 '!H:H,'AEO 2026 Table 23 '!$B:$B,"*,"&amp;$A33&amp;",*"),"")</f>
        <v/>
      </c>
      <c r="G33" t="str">
        <f>IFERROR((SUMIFS('AEO 2026 Table 23 '!J:J,'AEO 2026 Table 23 '!$B:$B,"*,"&amp;$A33&amp;",*")-SUMIFS('AEO 2026 Table 23 '!I:I,'AEO 2026 Table 23 '!$B:$B,"*,"&amp;$A33&amp;",*"))/SUMIFS('AEO 2026 Table 23 '!I:I,'AEO 2026 Table 23 '!$B:$B,"*,"&amp;$A33&amp;",*"),"")</f>
        <v/>
      </c>
      <c r="H33" t="str">
        <f>IFERROR((SUMIFS('AEO 2026 Table 23 '!K:K,'AEO 2026 Table 23 '!$B:$B,"*,"&amp;$A33&amp;",*")-SUMIFS('AEO 2026 Table 23 '!J:J,'AEO 2026 Table 23 '!$B:$B,"*,"&amp;$A33&amp;",*"))/SUMIFS('AEO 2026 Table 23 '!J:J,'AEO 2026 Table 23 '!$B:$B,"*,"&amp;$A33&amp;",*"),"")</f>
        <v/>
      </c>
      <c r="I33" t="str">
        <f>IFERROR((SUMIFS('AEO 2026 Table 23 '!L:L,'AEO 2026 Table 23 '!$B:$B,"*,"&amp;$A33&amp;",*")-SUMIFS('AEO 2026 Table 23 '!K:K,'AEO 2026 Table 23 '!$B:$B,"*,"&amp;$A33&amp;",*"))/SUMIFS('AEO 2026 Table 23 '!K:K,'AEO 2026 Table 23 '!$B:$B,"*,"&amp;$A33&amp;",*"),"")</f>
        <v/>
      </c>
      <c r="J33" t="str">
        <f>IFERROR((SUMIFS('AEO 2026 Table 23 '!M:M,'AEO 2026 Table 23 '!$B:$B,"*,"&amp;$A33&amp;",*")-SUMIFS('AEO 2026 Table 23 '!L:L,'AEO 2026 Table 23 '!$B:$B,"*,"&amp;$A33&amp;",*"))/SUMIFS('AEO 2026 Table 23 '!L:L,'AEO 2026 Table 23 '!$B:$B,"*,"&amp;$A33&amp;",*"),"")</f>
        <v/>
      </c>
      <c r="K33" t="str">
        <f>IFERROR((SUMIFS('AEO 2026 Table 23 '!N:N,'AEO 2026 Table 23 '!$B:$B,"*,"&amp;$A33&amp;",*")-SUMIFS('AEO 2026 Table 23 '!M:M,'AEO 2026 Table 23 '!$B:$B,"*,"&amp;$A33&amp;",*"))/SUMIFS('AEO 2026 Table 23 '!M:M,'AEO 2026 Table 23 '!$B:$B,"*,"&amp;$A33&amp;",*"),"")</f>
        <v/>
      </c>
      <c r="L33" t="str">
        <f>IFERROR((SUMIFS('AEO 2026 Table 23 '!O:O,'AEO 2026 Table 23 '!$B:$B,"*,"&amp;$A33&amp;",*")-SUMIFS('AEO 2026 Table 23 '!N:N,'AEO 2026 Table 23 '!$B:$B,"*,"&amp;$A33&amp;",*"))/SUMIFS('AEO 2026 Table 23 '!N:N,'AEO 2026 Table 23 '!$B:$B,"*,"&amp;$A33&amp;",*"),"")</f>
        <v/>
      </c>
      <c r="M33" t="str">
        <f>IFERROR((SUMIFS('AEO 2026 Table 23 '!P:P,'AEO 2026 Table 23 '!$B:$B,"*,"&amp;$A33&amp;",*")-SUMIFS('AEO 2026 Table 23 '!O:O,'AEO 2026 Table 23 '!$B:$B,"*,"&amp;$A33&amp;",*"))/SUMIFS('AEO 2026 Table 23 '!O:O,'AEO 2026 Table 23 '!$B:$B,"*,"&amp;$A33&amp;",*"),"")</f>
        <v/>
      </c>
      <c r="N33" t="str">
        <f>IFERROR((SUMIFS('AEO 2026 Table 23 '!Q:Q,'AEO 2026 Table 23 '!$B:$B,"*,"&amp;$A33&amp;",*")-SUMIFS('AEO 2026 Table 23 '!P:P,'AEO 2026 Table 23 '!$B:$B,"*,"&amp;$A33&amp;",*"))/SUMIFS('AEO 2026 Table 23 '!P:P,'AEO 2026 Table 23 '!$B:$B,"*,"&amp;$A33&amp;",*"),"")</f>
        <v/>
      </c>
      <c r="O33" t="str">
        <f>IFERROR((SUMIFS('AEO 2026 Table 23 '!R:R,'AEO 2026 Table 23 '!$B:$B,"*,"&amp;$A33&amp;",*")-SUMIFS('AEO 2026 Table 23 '!Q:Q,'AEO 2026 Table 23 '!$B:$B,"*,"&amp;$A33&amp;",*"))/SUMIFS('AEO 2026 Table 23 '!Q:Q,'AEO 2026 Table 23 '!$B:$B,"*,"&amp;$A33&amp;",*"),"")</f>
        <v/>
      </c>
      <c r="P33" t="str">
        <f>IFERROR((SUMIFS('AEO 2026 Table 23 '!S:S,'AEO 2026 Table 23 '!$B:$B,"*,"&amp;$A33&amp;",*")-SUMIFS('AEO 2026 Table 23 '!R:R,'AEO 2026 Table 23 '!$B:$B,"*,"&amp;$A33&amp;",*"))/SUMIFS('AEO 2026 Table 23 '!R:R,'AEO 2026 Table 23 '!$B:$B,"*,"&amp;$A33&amp;",*"),"")</f>
        <v/>
      </c>
      <c r="Q33" t="str">
        <f>IFERROR((SUMIFS('AEO 2026 Table 23 '!T:T,'AEO 2026 Table 23 '!$B:$B,"*,"&amp;$A33&amp;",*")-SUMIFS('AEO 2026 Table 23 '!S:S,'AEO 2026 Table 23 '!$B:$B,"*,"&amp;$A33&amp;",*"))/SUMIFS('AEO 2026 Table 23 '!S:S,'AEO 2026 Table 23 '!$B:$B,"*,"&amp;$A33&amp;",*"),"")</f>
        <v/>
      </c>
      <c r="R33" t="str">
        <f>IFERROR((SUMIFS('AEO 2026 Table 23 '!U:U,'AEO 2026 Table 23 '!$B:$B,"*,"&amp;$A33&amp;",*")-SUMIFS('AEO 2026 Table 23 '!T:T,'AEO 2026 Table 23 '!$B:$B,"*,"&amp;$A33&amp;",*"))/SUMIFS('AEO 2026 Table 23 '!T:T,'AEO 2026 Table 23 '!$B:$B,"*,"&amp;$A33&amp;",*"),"")</f>
        <v/>
      </c>
      <c r="S33" t="str">
        <f>IFERROR((SUMIFS('AEO 2026 Table 23 '!V:V,'AEO 2026 Table 23 '!$B:$B,"*,"&amp;$A33&amp;",*")-SUMIFS('AEO 2026 Table 23 '!U:U,'AEO 2026 Table 23 '!$B:$B,"*,"&amp;$A33&amp;",*"))/SUMIFS('AEO 2026 Table 23 '!U:U,'AEO 2026 Table 23 '!$B:$B,"*,"&amp;$A33&amp;",*"),"")</f>
        <v/>
      </c>
      <c r="T33" t="str">
        <f>IFERROR((SUMIFS('AEO 2026 Table 23 '!W:W,'AEO 2026 Table 23 '!$B:$B,"*,"&amp;$A33&amp;",*")-SUMIFS('AEO 2026 Table 23 '!V:V,'AEO 2026 Table 23 '!$B:$B,"*,"&amp;$A33&amp;",*"))/SUMIFS('AEO 2026 Table 23 '!V:V,'AEO 2026 Table 23 '!$B:$B,"*,"&amp;$A33&amp;",*"),"")</f>
        <v/>
      </c>
      <c r="U33" t="str">
        <f>IFERROR((SUMIFS('AEO 2026 Table 23 '!X:X,'AEO 2026 Table 23 '!$B:$B,"*,"&amp;$A33&amp;",*")-SUMIFS('AEO 2026 Table 23 '!W:W,'AEO 2026 Table 23 '!$B:$B,"*,"&amp;$A33&amp;",*"))/SUMIFS('AEO 2026 Table 23 '!W:W,'AEO 2026 Table 23 '!$B:$B,"*,"&amp;$A33&amp;",*"),"")</f>
        <v/>
      </c>
      <c r="V33" t="str">
        <f>IFERROR((SUMIFS('AEO 2026 Table 23 '!Y:Y,'AEO 2026 Table 23 '!$B:$B,"*,"&amp;$A33&amp;",*")-SUMIFS('AEO 2026 Table 23 '!X:X,'AEO 2026 Table 23 '!$B:$B,"*,"&amp;$A33&amp;",*"))/SUMIFS('AEO 2026 Table 23 '!X:X,'AEO 2026 Table 23 '!$B:$B,"*,"&amp;$A33&amp;",*"),"")</f>
        <v/>
      </c>
      <c r="W33" t="str">
        <f>IFERROR((SUMIFS('AEO 2026 Table 23 '!Z:Z,'AEO 2026 Table 23 '!$B:$B,"*,"&amp;$A33&amp;",*")-SUMIFS('AEO 2026 Table 23 '!Y:Y,'AEO 2026 Table 23 '!$B:$B,"*,"&amp;$A33&amp;",*"))/SUMIFS('AEO 2026 Table 23 '!Y:Y,'AEO 2026 Table 23 '!$B:$B,"*,"&amp;$A33&amp;",*"),"")</f>
        <v/>
      </c>
      <c r="X33" t="str">
        <f>IFERROR((SUMIFS('AEO 2026 Table 23 '!AA:AA,'AEO 2026 Table 23 '!$B:$B,"*,"&amp;$A33&amp;",*")-SUMIFS('AEO 2026 Table 23 '!Z:Z,'AEO 2026 Table 23 '!$B:$B,"*,"&amp;$A33&amp;",*"))/SUMIFS('AEO 2026 Table 23 '!Z:Z,'AEO 2026 Table 23 '!$B:$B,"*,"&amp;$A33&amp;",*"),"")</f>
        <v/>
      </c>
      <c r="Y33" t="str">
        <f>IFERROR((SUMIFS('AEO 2026 Table 23 '!AB:AB,'AEO 2026 Table 23 '!$B:$B,"*,"&amp;$A33&amp;",*")-SUMIFS('AEO 2026 Table 23 '!AA:AA,'AEO 2026 Table 23 '!$B:$B,"*,"&amp;$A33&amp;",*"))/SUMIFS('AEO 2026 Table 23 '!AA:AA,'AEO 2026 Table 23 '!$B:$B,"*,"&amp;$A33&amp;",*"),"")</f>
        <v/>
      </c>
      <c r="Z33" t="str">
        <f>IFERROR((SUMIFS('AEO 2026 Table 23 '!AC:AC,'AEO 2026 Table 23 '!$B:$B,"*,"&amp;$A33&amp;",*")-SUMIFS('AEO 2026 Table 23 '!AB:AB,'AEO 2026 Table 23 '!$B:$B,"*,"&amp;$A33&amp;",*"))/SUMIFS('AEO 2026 Table 23 '!AB:AB,'AEO 2026 Table 23 '!$B:$B,"*,"&amp;$A33&amp;",*"),"")</f>
        <v/>
      </c>
      <c r="AA33" t="str">
        <f>IFERROR((SUMIFS('AEO 2026 Table 23 '!AD:AD,'AEO 2026 Table 23 '!$B:$B,"*,"&amp;$A33&amp;",*")-SUMIFS('AEO 2026 Table 23 '!AC:AC,'AEO 2026 Table 23 '!$B:$B,"*,"&amp;$A33&amp;",*"))/SUMIFS('AEO 2026 Table 23 '!AC:AC,'AEO 2026 Table 23 '!$B:$B,"*,"&amp;$A33&amp;",*"),"")</f>
        <v/>
      </c>
      <c r="AB33" t="str">
        <f>IFERROR((SUMIFS('AEO 2026 Table 23 '!AE:AE,'AEO 2026 Table 23 '!$B:$B,"*,"&amp;$A33&amp;",*")-SUMIFS('AEO 2026 Table 23 '!AD:AD,'AEO 2026 Table 23 '!$B:$B,"*,"&amp;$A33&amp;",*"))/SUMIFS('AEO 2026 Table 23 '!AD:AD,'AEO 2026 Table 23 '!$B:$B,"*,"&amp;$A33&amp;",*"),"")</f>
        <v/>
      </c>
      <c r="AC33" t="str">
        <f>IFERROR((SUMIFS('AEO 2026 Table 23 '!AF:AF,'AEO 2026 Table 23 '!$B:$B,"*,"&amp;$A33&amp;",*")-SUMIFS('AEO 2026 Table 23 '!AE:AE,'AEO 2026 Table 23 '!$B:$B,"*,"&amp;$A33&amp;",*"))/SUMIFS('AEO 2026 Table 23 '!AE:AE,'AEO 2026 Table 23 '!$B:$B,"*,"&amp;$A33&amp;",*"),"")</f>
        <v/>
      </c>
    </row>
    <row r="34" spans="1:29" x14ac:dyDescent="0.25">
      <c r="A34" t="s">
        <v>122</v>
      </c>
      <c r="B34">
        <f>IFERROR(SUMPRODUCT(--('BLS Table 2.11'!$L$1:$L$426=$A34),'BLS Table 2.11'!$J$1:$J$426,'BLS Table 2.11'!$K$1:$K$426)/SUMIFS('BLS Table 2.11'!$J$1:$J$426,'BLS Table 2.11'!$L$1:$L$426,$A34)/100,0)</f>
        <v>1.4897971727105101E-2</v>
      </c>
      <c r="D34" t="str">
        <f>IFERROR((SUMIFS('AEO 2026 Table 23 '!G:G,'AEO 2026 Table 23 '!$B:$B,"*,"&amp;$A34&amp;",*")-SUMIFS('AEO25 Table 23'!H:H,'AEO25 Table 23'!$B:$B,"*,"&amp;$A34&amp;",*"))/SUMIFS('AEO25 Table 23'!H:H,'AEO25 Table 23'!$B:$B,"*,"&amp;$A34&amp;",*"),"")</f>
        <v/>
      </c>
      <c r="E34" t="str">
        <f>IFERROR((SUMIFS('AEO 2026 Table 23 '!H:H,'AEO 2026 Table 23 '!$B:$B,"*,"&amp;$A34&amp;",*")-SUMIFS('AEO 2026 Table 23 '!G:G,'AEO 2026 Table 23 '!$B:$B,"*,"&amp;$A34&amp;",*"))/SUMIFS('AEO 2026 Table 23 '!G:G,'AEO 2026 Table 23 '!$B:$B,"*,"&amp;$A34&amp;",*"),"")</f>
        <v/>
      </c>
      <c r="F34" t="str">
        <f>IFERROR((SUMIFS('AEO 2026 Table 23 '!I:I,'AEO 2026 Table 23 '!$B:$B,"*,"&amp;$A34&amp;",*")-SUMIFS('AEO 2026 Table 23 '!H:H,'AEO 2026 Table 23 '!$B:$B,"*,"&amp;$A34&amp;",*"))/SUMIFS('AEO 2026 Table 23 '!H:H,'AEO 2026 Table 23 '!$B:$B,"*,"&amp;$A34&amp;",*"),"")</f>
        <v/>
      </c>
      <c r="G34" t="str">
        <f>IFERROR((SUMIFS('AEO 2026 Table 23 '!J:J,'AEO 2026 Table 23 '!$B:$B,"*,"&amp;$A34&amp;",*")-SUMIFS('AEO 2026 Table 23 '!I:I,'AEO 2026 Table 23 '!$B:$B,"*,"&amp;$A34&amp;",*"))/SUMIFS('AEO 2026 Table 23 '!I:I,'AEO 2026 Table 23 '!$B:$B,"*,"&amp;$A34&amp;",*"),"")</f>
        <v/>
      </c>
      <c r="H34" t="str">
        <f>IFERROR((SUMIFS('AEO 2026 Table 23 '!K:K,'AEO 2026 Table 23 '!$B:$B,"*,"&amp;$A34&amp;",*")-SUMIFS('AEO 2026 Table 23 '!J:J,'AEO 2026 Table 23 '!$B:$B,"*,"&amp;$A34&amp;",*"))/SUMIFS('AEO 2026 Table 23 '!J:J,'AEO 2026 Table 23 '!$B:$B,"*,"&amp;$A34&amp;",*"),"")</f>
        <v/>
      </c>
      <c r="I34" t="str">
        <f>IFERROR((SUMIFS('AEO 2026 Table 23 '!L:L,'AEO 2026 Table 23 '!$B:$B,"*,"&amp;$A34&amp;",*")-SUMIFS('AEO 2026 Table 23 '!K:K,'AEO 2026 Table 23 '!$B:$B,"*,"&amp;$A34&amp;",*"))/SUMIFS('AEO 2026 Table 23 '!K:K,'AEO 2026 Table 23 '!$B:$B,"*,"&amp;$A34&amp;",*"),"")</f>
        <v/>
      </c>
      <c r="J34" t="str">
        <f>IFERROR((SUMIFS('AEO 2026 Table 23 '!M:M,'AEO 2026 Table 23 '!$B:$B,"*,"&amp;$A34&amp;",*")-SUMIFS('AEO 2026 Table 23 '!L:L,'AEO 2026 Table 23 '!$B:$B,"*,"&amp;$A34&amp;",*"))/SUMIFS('AEO 2026 Table 23 '!L:L,'AEO 2026 Table 23 '!$B:$B,"*,"&amp;$A34&amp;",*"),"")</f>
        <v/>
      </c>
      <c r="K34" t="str">
        <f>IFERROR((SUMIFS('AEO 2026 Table 23 '!N:N,'AEO 2026 Table 23 '!$B:$B,"*,"&amp;$A34&amp;",*")-SUMIFS('AEO 2026 Table 23 '!M:M,'AEO 2026 Table 23 '!$B:$B,"*,"&amp;$A34&amp;",*"))/SUMIFS('AEO 2026 Table 23 '!M:M,'AEO 2026 Table 23 '!$B:$B,"*,"&amp;$A34&amp;",*"),"")</f>
        <v/>
      </c>
      <c r="L34" t="str">
        <f>IFERROR((SUMIFS('AEO 2026 Table 23 '!O:O,'AEO 2026 Table 23 '!$B:$B,"*,"&amp;$A34&amp;",*")-SUMIFS('AEO 2026 Table 23 '!N:N,'AEO 2026 Table 23 '!$B:$B,"*,"&amp;$A34&amp;",*"))/SUMIFS('AEO 2026 Table 23 '!N:N,'AEO 2026 Table 23 '!$B:$B,"*,"&amp;$A34&amp;",*"),"")</f>
        <v/>
      </c>
      <c r="M34" t="str">
        <f>IFERROR((SUMIFS('AEO 2026 Table 23 '!P:P,'AEO 2026 Table 23 '!$B:$B,"*,"&amp;$A34&amp;",*")-SUMIFS('AEO 2026 Table 23 '!O:O,'AEO 2026 Table 23 '!$B:$B,"*,"&amp;$A34&amp;",*"))/SUMIFS('AEO 2026 Table 23 '!O:O,'AEO 2026 Table 23 '!$B:$B,"*,"&amp;$A34&amp;",*"),"")</f>
        <v/>
      </c>
      <c r="N34" t="str">
        <f>IFERROR((SUMIFS('AEO 2026 Table 23 '!Q:Q,'AEO 2026 Table 23 '!$B:$B,"*,"&amp;$A34&amp;",*")-SUMIFS('AEO 2026 Table 23 '!P:P,'AEO 2026 Table 23 '!$B:$B,"*,"&amp;$A34&amp;",*"))/SUMIFS('AEO 2026 Table 23 '!P:P,'AEO 2026 Table 23 '!$B:$B,"*,"&amp;$A34&amp;",*"),"")</f>
        <v/>
      </c>
      <c r="O34" t="str">
        <f>IFERROR((SUMIFS('AEO 2026 Table 23 '!R:R,'AEO 2026 Table 23 '!$B:$B,"*,"&amp;$A34&amp;",*")-SUMIFS('AEO 2026 Table 23 '!Q:Q,'AEO 2026 Table 23 '!$B:$B,"*,"&amp;$A34&amp;",*"))/SUMIFS('AEO 2026 Table 23 '!Q:Q,'AEO 2026 Table 23 '!$B:$B,"*,"&amp;$A34&amp;",*"),"")</f>
        <v/>
      </c>
      <c r="P34" t="str">
        <f>IFERROR((SUMIFS('AEO 2026 Table 23 '!S:S,'AEO 2026 Table 23 '!$B:$B,"*,"&amp;$A34&amp;",*")-SUMIFS('AEO 2026 Table 23 '!R:R,'AEO 2026 Table 23 '!$B:$B,"*,"&amp;$A34&amp;",*"))/SUMIFS('AEO 2026 Table 23 '!R:R,'AEO 2026 Table 23 '!$B:$B,"*,"&amp;$A34&amp;",*"),"")</f>
        <v/>
      </c>
      <c r="Q34" t="str">
        <f>IFERROR((SUMIFS('AEO 2026 Table 23 '!T:T,'AEO 2026 Table 23 '!$B:$B,"*,"&amp;$A34&amp;",*")-SUMIFS('AEO 2026 Table 23 '!S:S,'AEO 2026 Table 23 '!$B:$B,"*,"&amp;$A34&amp;",*"))/SUMIFS('AEO 2026 Table 23 '!S:S,'AEO 2026 Table 23 '!$B:$B,"*,"&amp;$A34&amp;",*"),"")</f>
        <v/>
      </c>
      <c r="R34" t="str">
        <f>IFERROR((SUMIFS('AEO 2026 Table 23 '!U:U,'AEO 2026 Table 23 '!$B:$B,"*,"&amp;$A34&amp;",*")-SUMIFS('AEO 2026 Table 23 '!T:T,'AEO 2026 Table 23 '!$B:$B,"*,"&amp;$A34&amp;",*"))/SUMIFS('AEO 2026 Table 23 '!T:T,'AEO 2026 Table 23 '!$B:$B,"*,"&amp;$A34&amp;",*"),"")</f>
        <v/>
      </c>
      <c r="S34" t="str">
        <f>IFERROR((SUMIFS('AEO 2026 Table 23 '!V:V,'AEO 2026 Table 23 '!$B:$B,"*,"&amp;$A34&amp;",*")-SUMIFS('AEO 2026 Table 23 '!U:U,'AEO 2026 Table 23 '!$B:$B,"*,"&amp;$A34&amp;",*"))/SUMIFS('AEO 2026 Table 23 '!U:U,'AEO 2026 Table 23 '!$B:$B,"*,"&amp;$A34&amp;",*"),"")</f>
        <v/>
      </c>
      <c r="T34" t="str">
        <f>IFERROR((SUMIFS('AEO 2026 Table 23 '!W:W,'AEO 2026 Table 23 '!$B:$B,"*,"&amp;$A34&amp;",*")-SUMIFS('AEO 2026 Table 23 '!V:V,'AEO 2026 Table 23 '!$B:$B,"*,"&amp;$A34&amp;",*"))/SUMIFS('AEO 2026 Table 23 '!V:V,'AEO 2026 Table 23 '!$B:$B,"*,"&amp;$A34&amp;",*"),"")</f>
        <v/>
      </c>
      <c r="U34" t="str">
        <f>IFERROR((SUMIFS('AEO 2026 Table 23 '!X:X,'AEO 2026 Table 23 '!$B:$B,"*,"&amp;$A34&amp;",*")-SUMIFS('AEO 2026 Table 23 '!W:W,'AEO 2026 Table 23 '!$B:$B,"*,"&amp;$A34&amp;",*"))/SUMIFS('AEO 2026 Table 23 '!W:W,'AEO 2026 Table 23 '!$B:$B,"*,"&amp;$A34&amp;",*"),"")</f>
        <v/>
      </c>
      <c r="V34" t="str">
        <f>IFERROR((SUMIFS('AEO 2026 Table 23 '!Y:Y,'AEO 2026 Table 23 '!$B:$B,"*,"&amp;$A34&amp;",*")-SUMIFS('AEO 2026 Table 23 '!X:X,'AEO 2026 Table 23 '!$B:$B,"*,"&amp;$A34&amp;",*"))/SUMIFS('AEO 2026 Table 23 '!X:X,'AEO 2026 Table 23 '!$B:$B,"*,"&amp;$A34&amp;",*"),"")</f>
        <v/>
      </c>
      <c r="W34" t="str">
        <f>IFERROR((SUMIFS('AEO 2026 Table 23 '!Z:Z,'AEO 2026 Table 23 '!$B:$B,"*,"&amp;$A34&amp;",*")-SUMIFS('AEO 2026 Table 23 '!Y:Y,'AEO 2026 Table 23 '!$B:$B,"*,"&amp;$A34&amp;",*"))/SUMIFS('AEO 2026 Table 23 '!Y:Y,'AEO 2026 Table 23 '!$B:$B,"*,"&amp;$A34&amp;",*"),"")</f>
        <v/>
      </c>
      <c r="X34" t="str">
        <f>IFERROR((SUMIFS('AEO 2026 Table 23 '!AA:AA,'AEO 2026 Table 23 '!$B:$B,"*,"&amp;$A34&amp;",*")-SUMIFS('AEO 2026 Table 23 '!Z:Z,'AEO 2026 Table 23 '!$B:$B,"*,"&amp;$A34&amp;",*"))/SUMIFS('AEO 2026 Table 23 '!Z:Z,'AEO 2026 Table 23 '!$B:$B,"*,"&amp;$A34&amp;",*"),"")</f>
        <v/>
      </c>
      <c r="Y34" t="str">
        <f>IFERROR((SUMIFS('AEO 2026 Table 23 '!AB:AB,'AEO 2026 Table 23 '!$B:$B,"*,"&amp;$A34&amp;",*")-SUMIFS('AEO 2026 Table 23 '!AA:AA,'AEO 2026 Table 23 '!$B:$B,"*,"&amp;$A34&amp;",*"))/SUMIFS('AEO 2026 Table 23 '!AA:AA,'AEO 2026 Table 23 '!$B:$B,"*,"&amp;$A34&amp;",*"),"")</f>
        <v/>
      </c>
      <c r="Z34" t="str">
        <f>IFERROR((SUMIFS('AEO 2026 Table 23 '!AC:AC,'AEO 2026 Table 23 '!$B:$B,"*,"&amp;$A34&amp;",*")-SUMIFS('AEO 2026 Table 23 '!AB:AB,'AEO 2026 Table 23 '!$B:$B,"*,"&amp;$A34&amp;",*"))/SUMIFS('AEO 2026 Table 23 '!AB:AB,'AEO 2026 Table 23 '!$B:$B,"*,"&amp;$A34&amp;",*"),"")</f>
        <v/>
      </c>
      <c r="AA34" t="str">
        <f>IFERROR((SUMIFS('AEO 2026 Table 23 '!AD:AD,'AEO 2026 Table 23 '!$B:$B,"*,"&amp;$A34&amp;",*")-SUMIFS('AEO 2026 Table 23 '!AC:AC,'AEO 2026 Table 23 '!$B:$B,"*,"&amp;$A34&amp;",*"))/SUMIFS('AEO 2026 Table 23 '!AC:AC,'AEO 2026 Table 23 '!$B:$B,"*,"&amp;$A34&amp;",*"),"")</f>
        <v/>
      </c>
      <c r="AB34" t="str">
        <f>IFERROR((SUMIFS('AEO 2026 Table 23 '!AE:AE,'AEO 2026 Table 23 '!$B:$B,"*,"&amp;$A34&amp;",*")-SUMIFS('AEO 2026 Table 23 '!AD:AD,'AEO 2026 Table 23 '!$B:$B,"*,"&amp;$A34&amp;",*"))/SUMIFS('AEO 2026 Table 23 '!AD:AD,'AEO 2026 Table 23 '!$B:$B,"*,"&amp;$A34&amp;",*"),"")</f>
        <v/>
      </c>
      <c r="AC34" t="str">
        <f>IFERROR((SUMIFS('AEO 2026 Table 23 '!AF:AF,'AEO 2026 Table 23 '!$B:$B,"*,"&amp;$A34&amp;",*")-SUMIFS('AEO 2026 Table 23 '!AE:AE,'AEO 2026 Table 23 '!$B:$B,"*,"&amp;$A34&amp;",*"))/SUMIFS('AEO 2026 Table 23 '!AE:AE,'AEO 2026 Table 23 '!$B:$B,"*,"&amp;$A34&amp;",*"),"")</f>
        <v/>
      </c>
    </row>
    <row r="35" spans="1:29" x14ac:dyDescent="0.25">
      <c r="A35" t="s">
        <v>125</v>
      </c>
      <c r="B35">
        <f>IFERROR(SUMPRODUCT(--('BLS Table 2.11'!$L$1:$L$426=$A35),'BLS Table 2.11'!$J$1:$J$426,'BLS Table 2.11'!$K$1:$K$426)/SUMIFS('BLS Table 2.11'!$J$1:$J$426,'BLS Table 2.11'!$L$1:$L$426,$A35)/100,0)</f>
        <v>9.0000000000000011E-3</v>
      </c>
      <c r="D35">
        <f>IFERROR((SUMIFS('AEO 2026 Table 23 '!G:G,'AEO 2026 Table 23 '!$B:$B,"*,"&amp;$A35&amp;",*")-SUMIFS('AEO25 Table 23'!H:H,'AEO25 Table 23'!$B:$B,"*,"&amp;$A35&amp;",*"))/SUMIFS('AEO25 Table 23'!H:H,'AEO25 Table 23'!$B:$B,"*,"&amp;$A35&amp;",*"),"")</f>
        <v>5.9669924007771706E-2</v>
      </c>
      <c r="E35">
        <f>IFERROR((SUMIFS('AEO 2026 Table 23 '!H:H,'AEO 2026 Table 23 '!$B:$B,"*,"&amp;$A35&amp;",*")-SUMIFS('AEO 2026 Table 23 '!G:G,'AEO 2026 Table 23 '!$B:$B,"*,"&amp;$A35&amp;",*"))/SUMIFS('AEO 2026 Table 23 '!G:G,'AEO 2026 Table 23 '!$B:$B,"*,"&amp;$A35&amp;",*"),"")</f>
        <v>-3.5622398453959603E-3</v>
      </c>
      <c r="F35">
        <f>IFERROR((SUMIFS('AEO 2026 Table 23 '!I:I,'AEO 2026 Table 23 '!$B:$B,"*,"&amp;$A35&amp;",*")-SUMIFS('AEO 2026 Table 23 '!H:H,'AEO 2026 Table 23 '!$B:$B,"*,"&amp;$A35&amp;",*"))/SUMIFS('AEO 2026 Table 23 '!H:H,'AEO 2026 Table 23 '!$B:$B,"*,"&amp;$A35&amp;",*"),"")</f>
        <v>6.0002827825867341E-3</v>
      </c>
      <c r="G35">
        <f>IFERROR((SUMIFS('AEO 2026 Table 23 '!J:J,'AEO 2026 Table 23 '!$B:$B,"*,"&amp;$A35&amp;",*")-SUMIFS('AEO 2026 Table 23 '!I:I,'AEO 2026 Table 23 '!$B:$B,"*,"&amp;$A35&amp;",*"))/SUMIFS('AEO 2026 Table 23 '!I:I,'AEO 2026 Table 23 '!$B:$B,"*,"&amp;$A35&amp;",*"),"")</f>
        <v>6.2367169119028577E-3</v>
      </c>
      <c r="H35">
        <f>IFERROR((SUMIFS('AEO 2026 Table 23 '!K:K,'AEO 2026 Table 23 '!$B:$B,"*,"&amp;$A35&amp;",*")-SUMIFS('AEO 2026 Table 23 '!J:J,'AEO 2026 Table 23 '!$B:$B,"*,"&amp;$A35&amp;",*"))/SUMIFS('AEO 2026 Table 23 '!J:J,'AEO 2026 Table 23 '!$B:$B,"*,"&amp;$A35&amp;",*"),"")</f>
        <v>1.6493947059946858E-2</v>
      </c>
      <c r="I35">
        <f>IFERROR((SUMIFS('AEO 2026 Table 23 '!L:L,'AEO 2026 Table 23 '!$B:$B,"*,"&amp;$A35&amp;",*")-SUMIFS('AEO 2026 Table 23 '!K:K,'AEO 2026 Table 23 '!$B:$B,"*,"&amp;$A35&amp;",*"))/SUMIFS('AEO 2026 Table 23 '!K:K,'AEO 2026 Table 23 '!$B:$B,"*,"&amp;$A35&amp;",*"),"")</f>
        <v>1.6767179940399238E-2</v>
      </c>
      <c r="J35">
        <f>IFERROR((SUMIFS('AEO 2026 Table 23 '!M:M,'AEO 2026 Table 23 '!$B:$B,"*,"&amp;$A35&amp;",*")-SUMIFS('AEO 2026 Table 23 '!L:L,'AEO 2026 Table 23 '!$B:$B,"*,"&amp;$A35&amp;",*"))/SUMIFS('AEO 2026 Table 23 '!L:L,'AEO 2026 Table 23 '!$B:$B,"*,"&amp;$A35&amp;",*"),"")</f>
        <v>1.5267178023281685E-2</v>
      </c>
      <c r="K35">
        <f>IFERROR((SUMIFS('AEO 2026 Table 23 '!N:N,'AEO 2026 Table 23 '!$B:$B,"*,"&amp;$A35&amp;",*")-SUMIFS('AEO 2026 Table 23 '!M:M,'AEO 2026 Table 23 '!$B:$B,"*,"&amp;$A35&amp;",*"))/SUMIFS('AEO 2026 Table 23 '!M:M,'AEO 2026 Table 23 '!$B:$B,"*,"&amp;$A35&amp;",*"),"")</f>
        <v>1.5087377513292623E-2</v>
      </c>
      <c r="L35">
        <f>IFERROR((SUMIFS('AEO 2026 Table 23 '!O:O,'AEO 2026 Table 23 '!$B:$B,"*,"&amp;$A35&amp;",*")-SUMIFS('AEO 2026 Table 23 '!N:N,'AEO 2026 Table 23 '!$B:$B,"*,"&amp;$A35&amp;",*"))/SUMIFS('AEO 2026 Table 23 '!N:N,'AEO 2026 Table 23 '!$B:$B,"*,"&amp;$A35&amp;",*"),"")</f>
        <v>1.2507505364018977E-2</v>
      </c>
      <c r="M35">
        <f>IFERROR((SUMIFS('AEO 2026 Table 23 '!P:P,'AEO 2026 Table 23 '!$B:$B,"*,"&amp;$A35&amp;",*")-SUMIFS('AEO 2026 Table 23 '!O:O,'AEO 2026 Table 23 '!$B:$B,"*,"&amp;$A35&amp;",*"))/SUMIFS('AEO 2026 Table 23 '!O:O,'AEO 2026 Table 23 '!$B:$B,"*,"&amp;$A35&amp;",*"),"")</f>
        <v>7.935139952700945E-3</v>
      </c>
      <c r="N35">
        <f>IFERROR((SUMIFS('AEO 2026 Table 23 '!Q:Q,'AEO 2026 Table 23 '!$B:$B,"*,"&amp;$A35&amp;",*")-SUMIFS('AEO 2026 Table 23 '!P:P,'AEO 2026 Table 23 '!$B:$B,"*,"&amp;$A35&amp;",*"))/SUMIFS('AEO 2026 Table 23 '!P:P,'AEO 2026 Table 23 '!$B:$B,"*,"&amp;$A35&amp;",*"),"")</f>
        <v>1.0927655626535845E-2</v>
      </c>
      <c r="O35">
        <f>IFERROR((SUMIFS('AEO 2026 Table 23 '!R:R,'AEO 2026 Table 23 '!$B:$B,"*,"&amp;$A35&amp;",*")-SUMIFS('AEO 2026 Table 23 '!Q:Q,'AEO 2026 Table 23 '!$B:$B,"*,"&amp;$A35&amp;",*"))/SUMIFS('AEO 2026 Table 23 '!Q:Q,'AEO 2026 Table 23 '!$B:$B,"*,"&amp;$A35&amp;",*"),"")</f>
        <v>9.457709870963853E-3</v>
      </c>
      <c r="P35">
        <f>IFERROR((SUMIFS('AEO 2026 Table 23 '!S:S,'AEO 2026 Table 23 '!$B:$B,"*,"&amp;$A35&amp;",*")-SUMIFS('AEO 2026 Table 23 '!R:R,'AEO 2026 Table 23 '!$B:$B,"*,"&amp;$A35&amp;",*"))/SUMIFS('AEO 2026 Table 23 '!R:R,'AEO 2026 Table 23 '!$B:$B,"*,"&amp;$A35&amp;",*"),"")</f>
        <v>8.0154366911507225E-3</v>
      </c>
      <c r="Q35">
        <f>IFERROR((SUMIFS('AEO 2026 Table 23 '!T:T,'AEO 2026 Table 23 '!$B:$B,"*,"&amp;$A35&amp;",*")-SUMIFS('AEO 2026 Table 23 '!S:S,'AEO 2026 Table 23 '!$B:$B,"*,"&amp;$A35&amp;",*"))/SUMIFS('AEO 2026 Table 23 '!S:S,'AEO 2026 Table 23 '!$B:$B,"*,"&amp;$A35&amp;",*"),"")</f>
        <v>6.7917630994960322E-3</v>
      </c>
      <c r="R35">
        <f>IFERROR((SUMIFS('AEO 2026 Table 23 '!U:U,'AEO 2026 Table 23 '!$B:$B,"*,"&amp;$A35&amp;",*")-SUMIFS('AEO 2026 Table 23 '!T:T,'AEO 2026 Table 23 '!$B:$B,"*,"&amp;$A35&amp;",*"))/SUMIFS('AEO 2026 Table 23 '!T:T,'AEO 2026 Table 23 '!$B:$B,"*,"&amp;$A35&amp;",*"),"")</f>
        <v>5.827733722957187E-3</v>
      </c>
      <c r="S35">
        <f>IFERROR((SUMIFS('AEO 2026 Table 23 '!V:V,'AEO 2026 Table 23 '!$B:$B,"*,"&amp;$A35&amp;",*")-SUMIFS('AEO 2026 Table 23 '!U:U,'AEO 2026 Table 23 '!$B:$B,"*,"&amp;$A35&amp;",*"))/SUMIFS('AEO 2026 Table 23 '!U:U,'AEO 2026 Table 23 '!$B:$B,"*,"&amp;$A35&amp;",*"),"")</f>
        <v>3.610756382528506E-3</v>
      </c>
      <c r="T35">
        <f>IFERROR((SUMIFS('AEO 2026 Table 23 '!W:W,'AEO 2026 Table 23 '!$B:$B,"*,"&amp;$A35&amp;",*")-SUMIFS('AEO 2026 Table 23 '!V:V,'AEO 2026 Table 23 '!$B:$B,"*,"&amp;$A35&amp;",*"))/SUMIFS('AEO 2026 Table 23 '!V:V,'AEO 2026 Table 23 '!$B:$B,"*,"&amp;$A35&amp;",*"),"")</f>
        <v>2.3745631258577406E-3</v>
      </c>
      <c r="U35">
        <f>IFERROR((SUMIFS('AEO 2026 Table 23 '!X:X,'AEO 2026 Table 23 '!$B:$B,"*,"&amp;$A35&amp;",*")-SUMIFS('AEO 2026 Table 23 '!W:W,'AEO 2026 Table 23 '!$B:$B,"*,"&amp;$A35&amp;",*"))/SUMIFS('AEO 2026 Table 23 '!W:W,'AEO 2026 Table 23 '!$B:$B,"*,"&amp;$A35&amp;",*"),"")</f>
        <v>5.8975026223083054E-3</v>
      </c>
      <c r="V35">
        <f>IFERROR((SUMIFS('AEO 2026 Table 23 '!Y:Y,'AEO 2026 Table 23 '!$B:$B,"*,"&amp;$A35&amp;",*")-SUMIFS('AEO 2026 Table 23 '!X:X,'AEO 2026 Table 23 '!$B:$B,"*,"&amp;$A35&amp;",*"))/SUMIFS('AEO 2026 Table 23 '!X:X,'AEO 2026 Table 23 '!$B:$B,"*,"&amp;$A35&amp;",*"),"")</f>
        <v>4.2630783665079741E-3</v>
      </c>
      <c r="W35">
        <f>IFERROR((SUMIFS('AEO 2026 Table 23 '!Z:Z,'AEO 2026 Table 23 '!$B:$B,"*,"&amp;$A35&amp;",*")-SUMIFS('AEO 2026 Table 23 '!Y:Y,'AEO 2026 Table 23 '!$B:$B,"*,"&amp;$A35&amp;",*"))/SUMIFS('AEO 2026 Table 23 '!Y:Y,'AEO 2026 Table 23 '!$B:$B,"*,"&amp;$A35&amp;",*"),"")</f>
        <v>5.0921734152755719E-3</v>
      </c>
      <c r="X35">
        <f>IFERROR((SUMIFS('AEO 2026 Table 23 '!AA:AA,'AEO 2026 Table 23 '!$B:$B,"*,"&amp;$A35&amp;",*")-SUMIFS('AEO 2026 Table 23 '!Z:Z,'AEO 2026 Table 23 '!$B:$B,"*,"&amp;$A35&amp;",*"))/SUMIFS('AEO 2026 Table 23 '!Z:Z,'AEO 2026 Table 23 '!$B:$B,"*,"&amp;$A35&amp;",*"),"")</f>
        <v>9.7286040284667464E-3</v>
      </c>
      <c r="Y35">
        <f>IFERROR((SUMIFS('AEO 2026 Table 23 '!AB:AB,'AEO 2026 Table 23 '!$B:$B,"*,"&amp;$A35&amp;",*")-SUMIFS('AEO 2026 Table 23 '!AA:AA,'AEO 2026 Table 23 '!$B:$B,"*,"&amp;$A35&amp;",*"))/SUMIFS('AEO 2026 Table 23 '!AA:AA,'AEO 2026 Table 23 '!$B:$B,"*,"&amp;$A35&amp;",*"),"")</f>
        <v>1.0093288979207428E-2</v>
      </c>
      <c r="Z35">
        <f>IFERROR((SUMIFS('AEO 2026 Table 23 '!AC:AC,'AEO 2026 Table 23 '!$B:$B,"*,"&amp;$A35&amp;",*")-SUMIFS('AEO 2026 Table 23 '!AB:AB,'AEO 2026 Table 23 '!$B:$B,"*,"&amp;$A35&amp;",*"))/SUMIFS('AEO 2026 Table 23 '!AB:AB,'AEO 2026 Table 23 '!$B:$B,"*,"&amp;$A35&amp;",*"),"")</f>
        <v>9.1794346705411749E-3</v>
      </c>
      <c r="AA35">
        <f>IFERROR((SUMIFS('AEO 2026 Table 23 '!AD:AD,'AEO 2026 Table 23 '!$B:$B,"*,"&amp;$A35&amp;",*")-SUMIFS('AEO 2026 Table 23 '!AC:AC,'AEO 2026 Table 23 '!$B:$B,"*,"&amp;$A35&amp;",*"))/SUMIFS('AEO 2026 Table 23 '!AC:AC,'AEO 2026 Table 23 '!$B:$B,"*,"&amp;$A35&amp;",*"),"")</f>
        <v>9.2093321853761578E-3</v>
      </c>
      <c r="AB35">
        <f>IFERROR((SUMIFS('AEO 2026 Table 23 '!AE:AE,'AEO 2026 Table 23 '!$B:$B,"*,"&amp;$A35&amp;",*")-SUMIFS('AEO 2026 Table 23 '!AD:AD,'AEO 2026 Table 23 '!$B:$B,"*,"&amp;$A35&amp;",*"))/SUMIFS('AEO 2026 Table 23 '!AD:AD,'AEO 2026 Table 23 '!$B:$B,"*,"&amp;$A35&amp;",*"),"")</f>
        <v>1.0398181780053332E-2</v>
      </c>
      <c r="AC35">
        <f>IFERROR((SUMIFS('AEO 2026 Table 23 '!AF:AF,'AEO 2026 Table 23 '!$B:$B,"*,"&amp;$A35&amp;",*")-SUMIFS('AEO 2026 Table 23 '!AE:AE,'AEO 2026 Table 23 '!$B:$B,"*,"&amp;$A35&amp;",*"))/SUMIFS('AEO 2026 Table 23 '!AE:AE,'AEO 2026 Table 23 '!$B:$B,"*,"&amp;$A35&amp;",*"),"")</f>
        <v>1.185113293339303E-2</v>
      </c>
    </row>
    <row r="36" spans="1:29" x14ac:dyDescent="0.25">
      <c r="A36" t="s">
        <v>351</v>
      </c>
      <c r="B36">
        <f>IFERROR(SUMPRODUCT(--('BLS Table 2.11'!$L$1:$L$426=$A36),'BLS Table 2.11'!$J$1:$J$426,'BLS Table 2.11'!$K$1:$K$426)/SUMIFS('BLS Table 2.11'!$J$1:$J$426,'BLS Table 2.11'!$L$1:$L$426,$A36)/100,0)</f>
        <v>2.5273068254159422E-2</v>
      </c>
      <c r="D36" t="str">
        <f>IFERROR((SUMIFS('AEO 2026 Table 23 '!G:G,'AEO 2026 Table 23 '!$B:$B,"*,"&amp;$A36&amp;",*")-SUMIFS('AEO25 Table 23'!H:H,'AEO25 Table 23'!$B:$B,"*,"&amp;$A36&amp;",*"))/SUMIFS('AEO25 Table 23'!H:H,'AEO25 Table 23'!$B:$B,"*,"&amp;$A36&amp;",*"),"")</f>
        <v/>
      </c>
      <c r="E36" t="str">
        <f>IFERROR((SUMIFS('AEO 2026 Table 23 '!H:H,'AEO 2026 Table 23 '!$B:$B,"*,"&amp;$A36&amp;",*")-SUMIFS('AEO 2026 Table 23 '!G:G,'AEO 2026 Table 23 '!$B:$B,"*,"&amp;$A36&amp;",*"))/SUMIFS('AEO 2026 Table 23 '!G:G,'AEO 2026 Table 23 '!$B:$B,"*,"&amp;$A36&amp;",*"),"")</f>
        <v/>
      </c>
      <c r="F36" t="str">
        <f>IFERROR((SUMIFS('AEO 2026 Table 23 '!I:I,'AEO 2026 Table 23 '!$B:$B,"*,"&amp;$A36&amp;",*")-SUMIFS('AEO 2026 Table 23 '!H:H,'AEO 2026 Table 23 '!$B:$B,"*,"&amp;$A36&amp;",*"))/SUMIFS('AEO 2026 Table 23 '!H:H,'AEO 2026 Table 23 '!$B:$B,"*,"&amp;$A36&amp;",*"),"")</f>
        <v/>
      </c>
      <c r="G36" t="str">
        <f>IFERROR((SUMIFS('AEO 2026 Table 23 '!J:J,'AEO 2026 Table 23 '!$B:$B,"*,"&amp;$A36&amp;",*")-SUMIFS('AEO 2026 Table 23 '!I:I,'AEO 2026 Table 23 '!$B:$B,"*,"&amp;$A36&amp;",*"))/SUMIFS('AEO 2026 Table 23 '!I:I,'AEO 2026 Table 23 '!$B:$B,"*,"&amp;$A36&amp;",*"),"")</f>
        <v/>
      </c>
      <c r="H36" t="str">
        <f>IFERROR((SUMIFS('AEO 2026 Table 23 '!K:K,'AEO 2026 Table 23 '!$B:$B,"*,"&amp;$A36&amp;",*")-SUMIFS('AEO 2026 Table 23 '!J:J,'AEO 2026 Table 23 '!$B:$B,"*,"&amp;$A36&amp;",*"))/SUMIFS('AEO 2026 Table 23 '!J:J,'AEO 2026 Table 23 '!$B:$B,"*,"&amp;$A36&amp;",*"),"")</f>
        <v/>
      </c>
      <c r="I36" t="str">
        <f>IFERROR((SUMIFS('AEO 2026 Table 23 '!L:L,'AEO 2026 Table 23 '!$B:$B,"*,"&amp;$A36&amp;",*")-SUMIFS('AEO 2026 Table 23 '!K:K,'AEO 2026 Table 23 '!$B:$B,"*,"&amp;$A36&amp;",*"))/SUMIFS('AEO 2026 Table 23 '!K:K,'AEO 2026 Table 23 '!$B:$B,"*,"&amp;$A36&amp;",*"),"")</f>
        <v/>
      </c>
      <c r="J36" t="str">
        <f>IFERROR((SUMIFS('AEO 2026 Table 23 '!M:M,'AEO 2026 Table 23 '!$B:$B,"*,"&amp;$A36&amp;",*")-SUMIFS('AEO 2026 Table 23 '!L:L,'AEO 2026 Table 23 '!$B:$B,"*,"&amp;$A36&amp;",*"))/SUMIFS('AEO 2026 Table 23 '!L:L,'AEO 2026 Table 23 '!$B:$B,"*,"&amp;$A36&amp;",*"),"")</f>
        <v/>
      </c>
      <c r="K36" t="str">
        <f>IFERROR((SUMIFS('AEO 2026 Table 23 '!N:N,'AEO 2026 Table 23 '!$B:$B,"*,"&amp;$A36&amp;",*")-SUMIFS('AEO 2026 Table 23 '!M:M,'AEO 2026 Table 23 '!$B:$B,"*,"&amp;$A36&amp;",*"))/SUMIFS('AEO 2026 Table 23 '!M:M,'AEO 2026 Table 23 '!$B:$B,"*,"&amp;$A36&amp;",*"),"")</f>
        <v/>
      </c>
      <c r="L36" t="str">
        <f>IFERROR((SUMIFS('AEO 2026 Table 23 '!O:O,'AEO 2026 Table 23 '!$B:$B,"*,"&amp;$A36&amp;",*")-SUMIFS('AEO 2026 Table 23 '!N:N,'AEO 2026 Table 23 '!$B:$B,"*,"&amp;$A36&amp;",*"))/SUMIFS('AEO 2026 Table 23 '!N:N,'AEO 2026 Table 23 '!$B:$B,"*,"&amp;$A36&amp;",*"),"")</f>
        <v/>
      </c>
      <c r="M36" t="str">
        <f>IFERROR((SUMIFS('AEO 2026 Table 23 '!P:P,'AEO 2026 Table 23 '!$B:$B,"*,"&amp;$A36&amp;",*")-SUMIFS('AEO 2026 Table 23 '!O:O,'AEO 2026 Table 23 '!$B:$B,"*,"&amp;$A36&amp;",*"))/SUMIFS('AEO 2026 Table 23 '!O:O,'AEO 2026 Table 23 '!$B:$B,"*,"&amp;$A36&amp;",*"),"")</f>
        <v/>
      </c>
      <c r="N36" t="str">
        <f>IFERROR((SUMIFS('AEO 2026 Table 23 '!Q:Q,'AEO 2026 Table 23 '!$B:$B,"*,"&amp;$A36&amp;",*")-SUMIFS('AEO 2026 Table 23 '!P:P,'AEO 2026 Table 23 '!$B:$B,"*,"&amp;$A36&amp;",*"))/SUMIFS('AEO 2026 Table 23 '!P:P,'AEO 2026 Table 23 '!$B:$B,"*,"&amp;$A36&amp;",*"),"")</f>
        <v/>
      </c>
      <c r="O36" t="str">
        <f>IFERROR((SUMIFS('AEO 2026 Table 23 '!R:R,'AEO 2026 Table 23 '!$B:$B,"*,"&amp;$A36&amp;",*")-SUMIFS('AEO 2026 Table 23 '!Q:Q,'AEO 2026 Table 23 '!$B:$B,"*,"&amp;$A36&amp;",*"))/SUMIFS('AEO 2026 Table 23 '!Q:Q,'AEO 2026 Table 23 '!$B:$B,"*,"&amp;$A36&amp;",*"),"")</f>
        <v/>
      </c>
      <c r="P36" t="str">
        <f>IFERROR((SUMIFS('AEO 2026 Table 23 '!S:S,'AEO 2026 Table 23 '!$B:$B,"*,"&amp;$A36&amp;",*")-SUMIFS('AEO 2026 Table 23 '!R:R,'AEO 2026 Table 23 '!$B:$B,"*,"&amp;$A36&amp;",*"))/SUMIFS('AEO 2026 Table 23 '!R:R,'AEO 2026 Table 23 '!$B:$B,"*,"&amp;$A36&amp;",*"),"")</f>
        <v/>
      </c>
      <c r="Q36" t="str">
        <f>IFERROR((SUMIFS('AEO 2026 Table 23 '!T:T,'AEO 2026 Table 23 '!$B:$B,"*,"&amp;$A36&amp;",*")-SUMIFS('AEO 2026 Table 23 '!S:S,'AEO 2026 Table 23 '!$B:$B,"*,"&amp;$A36&amp;",*"))/SUMIFS('AEO 2026 Table 23 '!S:S,'AEO 2026 Table 23 '!$B:$B,"*,"&amp;$A36&amp;",*"),"")</f>
        <v/>
      </c>
      <c r="R36" t="str">
        <f>IFERROR((SUMIFS('AEO 2026 Table 23 '!U:U,'AEO 2026 Table 23 '!$B:$B,"*,"&amp;$A36&amp;",*")-SUMIFS('AEO 2026 Table 23 '!T:T,'AEO 2026 Table 23 '!$B:$B,"*,"&amp;$A36&amp;",*"))/SUMIFS('AEO 2026 Table 23 '!T:T,'AEO 2026 Table 23 '!$B:$B,"*,"&amp;$A36&amp;",*"),"")</f>
        <v/>
      </c>
      <c r="S36" t="str">
        <f>IFERROR((SUMIFS('AEO 2026 Table 23 '!V:V,'AEO 2026 Table 23 '!$B:$B,"*,"&amp;$A36&amp;",*")-SUMIFS('AEO 2026 Table 23 '!U:U,'AEO 2026 Table 23 '!$B:$B,"*,"&amp;$A36&amp;",*"))/SUMIFS('AEO 2026 Table 23 '!U:U,'AEO 2026 Table 23 '!$B:$B,"*,"&amp;$A36&amp;",*"),"")</f>
        <v/>
      </c>
      <c r="T36" t="str">
        <f>IFERROR((SUMIFS('AEO 2026 Table 23 '!W:W,'AEO 2026 Table 23 '!$B:$B,"*,"&amp;$A36&amp;",*")-SUMIFS('AEO 2026 Table 23 '!V:V,'AEO 2026 Table 23 '!$B:$B,"*,"&amp;$A36&amp;",*"))/SUMIFS('AEO 2026 Table 23 '!V:V,'AEO 2026 Table 23 '!$B:$B,"*,"&amp;$A36&amp;",*"),"")</f>
        <v/>
      </c>
      <c r="U36" t="str">
        <f>IFERROR((SUMIFS('AEO 2026 Table 23 '!X:X,'AEO 2026 Table 23 '!$B:$B,"*,"&amp;$A36&amp;",*")-SUMIFS('AEO 2026 Table 23 '!W:W,'AEO 2026 Table 23 '!$B:$B,"*,"&amp;$A36&amp;",*"))/SUMIFS('AEO 2026 Table 23 '!W:W,'AEO 2026 Table 23 '!$B:$B,"*,"&amp;$A36&amp;",*"),"")</f>
        <v/>
      </c>
      <c r="V36" t="str">
        <f>IFERROR((SUMIFS('AEO 2026 Table 23 '!Y:Y,'AEO 2026 Table 23 '!$B:$B,"*,"&amp;$A36&amp;",*")-SUMIFS('AEO 2026 Table 23 '!X:X,'AEO 2026 Table 23 '!$B:$B,"*,"&amp;$A36&amp;",*"))/SUMIFS('AEO 2026 Table 23 '!X:X,'AEO 2026 Table 23 '!$B:$B,"*,"&amp;$A36&amp;",*"),"")</f>
        <v/>
      </c>
      <c r="W36" t="str">
        <f>IFERROR((SUMIFS('AEO 2026 Table 23 '!Z:Z,'AEO 2026 Table 23 '!$B:$B,"*,"&amp;$A36&amp;",*")-SUMIFS('AEO 2026 Table 23 '!Y:Y,'AEO 2026 Table 23 '!$B:$B,"*,"&amp;$A36&amp;",*"))/SUMIFS('AEO 2026 Table 23 '!Y:Y,'AEO 2026 Table 23 '!$B:$B,"*,"&amp;$A36&amp;",*"),"")</f>
        <v/>
      </c>
      <c r="X36" t="str">
        <f>IFERROR((SUMIFS('AEO 2026 Table 23 '!AA:AA,'AEO 2026 Table 23 '!$B:$B,"*,"&amp;$A36&amp;",*")-SUMIFS('AEO 2026 Table 23 '!Z:Z,'AEO 2026 Table 23 '!$B:$B,"*,"&amp;$A36&amp;",*"))/SUMIFS('AEO 2026 Table 23 '!Z:Z,'AEO 2026 Table 23 '!$B:$B,"*,"&amp;$A36&amp;",*"),"")</f>
        <v/>
      </c>
      <c r="Y36" t="str">
        <f>IFERROR((SUMIFS('AEO 2026 Table 23 '!AB:AB,'AEO 2026 Table 23 '!$B:$B,"*,"&amp;$A36&amp;",*")-SUMIFS('AEO 2026 Table 23 '!AA:AA,'AEO 2026 Table 23 '!$B:$B,"*,"&amp;$A36&amp;",*"))/SUMIFS('AEO 2026 Table 23 '!AA:AA,'AEO 2026 Table 23 '!$B:$B,"*,"&amp;$A36&amp;",*"),"")</f>
        <v/>
      </c>
      <c r="Z36" t="str">
        <f>IFERROR((SUMIFS('AEO 2026 Table 23 '!AC:AC,'AEO 2026 Table 23 '!$B:$B,"*,"&amp;$A36&amp;",*")-SUMIFS('AEO 2026 Table 23 '!AB:AB,'AEO 2026 Table 23 '!$B:$B,"*,"&amp;$A36&amp;",*"))/SUMIFS('AEO 2026 Table 23 '!AB:AB,'AEO 2026 Table 23 '!$B:$B,"*,"&amp;$A36&amp;",*"),"")</f>
        <v/>
      </c>
      <c r="AA36" t="str">
        <f>IFERROR((SUMIFS('AEO 2026 Table 23 '!AD:AD,'AEO 2026 Table 23 '!$B:$B,"*,"&amp;$A36&amp;",*")-SUMIFS('AEO 2026 Table 23 '!AC:AC,'AEO 2026 Table 23 '!$B:$B,"*,"&amp;$A36&amp;",*"))/SUMIFS('AEO 2026 Table 23 '!AC:AC,'AEO 2026 Table 23 '!$B:$B,"*,"&amp;$A36&amp;",*"),"")</f>
        <v/>
      </c>
      <c r="AB36" t="str">
        <f>IFERROR((SUMIFS('AEO 2026 Table 23 '!AE:AE,'AEO 2026 Table 23 '!$B:$B,"*,"&amp;$A36&amp;",*")-SUMIFS('AEO 2026 Table 23 '!AD:AD,'AEO 2026 Table 23 '!$B:$B,"*,"&amp;$A36&amp;",*"))/SUMIFS('AEO 2026 Table 23 '!AD:AD,'AEO 2026 Table 23 '!$B:$B,"*,"&amp;$A36&amp;",*"),"")</f>
        <v/>
      </c>
      <c r="AC36" t="str">
        <f>IFERROR((SUMIFS('AEO 2026 Table 23 '!AF:AF,'AEO 2026 Table 23 '!$B:$B,"*,"&amp;$A36&amp;",*")-SUMIFS('AEO 2026 Table 23 '!AE:AE,'AEO 2026 Table 23 '!$B:$B,"*,"&amp;$A36&amp;",*"))/SUMIFS('AEO 2026 Table 23 '!AE:AE,'AEO 2026 Table 23 '!$B:$B,"*,"&amp;$A36&amp;",*"),"")</f>
        <v/>
      </c>
    </row>
    <row r="37" spans="1:29" x14ac:dyDescent="0.25">
      <c r="A37" t="s">
        <v>453</v>
      </c>
      <c r="B37">
        <f>IFERROR(SUMPRODUCT(--('BLS Table 2.11'!$L$1:$L$426=$A37),'BLS Table 2.11'!$J$1:$J$426,'BLS Table 2.11'!$K$1:$K$426)/SUMIFS('BLS Table 2.11'!$J$1:$J$426,'BLS Table 2.11'!$L$1:$L$426,$A37)/100,0)</f>
        <v>1.8504447739065972E-2</v>
      </c>
      <c r="D37" t="str">
        <f>IFERROR((SUMIFS('AEO 2026 Table 23 '!G:G,'AEO 2026 Table 23 '!$B:$B,"*,"&amp;$A37&amp;",*")-SUMIFS('AEO25 Table 23'!H:H,'AEO25 Table 23'!$B:$B,"*,"&amp;$A37&amp;",*"))/SUMIFS('AEO25 Table 23'!H:H,'AEO25 Table 23'!$B:$B,"*,"&amp;$A37&amp;",*"),"")</f>
        <v/>
      </c>
      <c r="E37" t="str">
        <f>IFERROR((SUMIFS('AEO 2026 Table 23 '!H:H,'AEO 2026 Table 23 '!$B:$B,"*,"&amp;$A37&amp;",*")-SUMIFS('AEO 2026 Table 23 '!G:G,'AEO 2026 Table 23 '!$B:$B,"*,"&amp;$A37&amp;",*"))/SUMIFS('AEO 2026 Table 23 '!G:G,'AEO 2026 Table 23 '!$B:$B,"*,"&amp;$A37&amp;",*"),"")</f>
        <v/>
      </c>
      <c r="F37" t="str">
        <f>IFERROR((SUMIFS('AEO 2026 Table 23 '!I:I,'AEO 2026 Table 23 '!$B:$B,"*,"&amp;$A37&amp;",*")-SUMIFS('AEO 2026 Table 23 '!H:H,'AEO 2026 Table 23 '!$B:$B,"*,"&amp;$A37&amp;",*"))/SUMIFS('AEO 2026 Table 23 '!H:H,'AEO 2026 Table 23 '!$B:$B,"*,"&amp;$A37&amp;",*"),"")</f>
        <v/>
      </c>
      <c r="G37" t="str">
        <f>IFERROR((SUMIFS('AEO 2026 Table 23 '!J:J,'AEO 2026 Table 23 '!$B:$B,"*,"&amp;$A37&amp;",*")-SUMIFS('AEO 2026 Table 23 '!I:I,'AEO 2026 Table 23 '!$B:$B,"*,"&amp;$A37&amp;",*"))/SUMIFS('AEO 2026 Table 23 '!I:I,'AEO 2026 Table 23 '!$B:$B,"*,"&amp;$A37&amp;",*"),"")</f>
        <v/>
      </c>
      <c r="H37" t="str">
        <f>IFERROR((SUMIFS('AEO 2026 Table 23 '!K:K,'AEO 2026 Table 23 '!$B:$B,"*,"&amp;$A37&amp;",*")-SUMIFS('AEO 2026 Table 23 '!J:J,'AEO 2026 Table 23 '!$B:$B,"*,"&amp;$A37&amp;",*"))/SUMIFS('AEO 2026 Table 23 '!J:J,'AEO 2026 Table 23 '!$B:$B,"*,"&amp;$A37&amp;",*"),"")</f>
        <v/>
      </c>
      <c r="I37" t="str">
        <f>IFERROR((SUMIFS('AEO 2026 Table 23 '!L:L,'AEO 2026 Table 23 '!$B:$B,"*,"&amp;$A37&amp;",*")-SUMIFS('AEO 2026 Table 23 '!K:K,'AEO 2026 Table 23 '!$B:$B,"*,"&amp;$A37&amp;",*"))/SUMIFS('AEO 2026 Table 23 '!K:K,'AEO 2026 Table 23 '!$B:$B,"*,"&amp;$A37&amp;",*"),"")</f>
        <v/>
      </c>
      <c r="J37" t="str">
        <f>IFERROR((SUMIFS('AEO 2026 Table 23 '!M:M,'AEO 2026 Table 23 '!$B:$B,"*,"&amp;$A37&amp;",*")-SUMIFS('AEO 2026 Table 23 '!L:L,'AEO 2026 Table 23 '!$B:$B,"*,"&amp;$A37&amp;",*"))/SUMIFS('AEO 2026 Table 23 '!L:L,'AEO 2026 Table 23 '!$B:$B,"*,"&amp;$A37&amp;",*"),"")</f>
        <v/>
      </c>
      <c r="K37" t="str">
        <f>IFERROR((SUMIFS('AEO 2026 Table 23 '!N:N,'AEO 2026 Table 23 '!$B:$B,"*,"&amp;$A37&amp;",*")-SUMIFS('AEO 2026 Table 23 '!M:M,'AEO 2026 Table 23 '!$B:$B,"*,"&amp;$A37&amp;",*"))/SUMIFS('AEO 2026 Table 23 '!M:M,'AEO 2026 Table 23 '!$B:$B,"*,"&amp;$A37&amp;",*"),"")</f>
        <v/>
      </c>
      <c r="L37" t="str">
        <f>IFERROR((SUMIFS('AEO 2026 Table 23 '!O:O,'AEO 2026 Table 23 '!$B:$B,"*,"&amp;$A37&amp;",*")-SUMIFS('AEO 2026 Table 23 '!N:N,'AEO 2026 Table 23 '!$B:$B,"*,"&amp;$A37&amp;",*"))/SUMIFS('AEO 2026 Table 23 '!N:N,'AEO 2026 Table 23 '!$B:$B,"*,"&amp;$A37&amp;",*"),"")</f>
        <v/>
      </c>
      <c r="M37" t="str">
        <f>IFERROR((SUMIFS('AEO 2026 Table 23 '!P:P,'AEO 2026 Table 23 '!$B:$B,"*,"&amp;$A37&amp;",*")-SUMIFS('AEO 2026 Table 23 '!O:O,'AEO 2026 Table 23 '!$B:$B,"*,"&amp;$A37&amp;",*"))/SUMIFS('AEO 2026 Table 23 '!O:O,'AEO 2026 Table 23 '!$B:$B,"*,"&amp;$A37&amp;",*"),"")</f>
        <v/>
      </c>
      <c r="N37" t="str">
        <f>IFERROR((SUMIFS('AEO 2026 Table 23 '!Q:Q,'AEO 2026 Table 23 '!$B:$B,"*,"&amp;$A37&amp;",*")-SUMIFS('AEO 2026 Table 23 '!P:P,'AEO 2026 Table 23 '!$B:$B,"*,"&amp;$A37&amp;",*"))/SUMIFS('AEO 2026 Table 23 '!P:P,'AEO 2026 Table 23 '!$B:$B,"*,"&amp;$A37&amp;",*"),"")</f>
        <v/>
      </c>
      <c r="O37" t="str">
        <f>IFERROR((SUMIFS('AEO 2026 Table 23 '!R:R,'AEO 2026 Table 23 '!$B:$B,"*,"&amp;$A37&amp;",*")-SUMIFS('AEO 2026 Table 23 '!Q:Q,'AEO 2026 Table 23 '!$B:$B,"*,"&amp;$A37&amp;",*"))/SUMIFS('AEO 2026 Table 23 '!Q:Q,'AEO 2026 Table 23 '!$B:$B,"*,"&amp;$A37&amp;",*"),"")</f>
        <v/>
      </c>
      <c r="P37" t="str">
        <f>IFERROR((SUMIFS('AEO 2026 Table 23 '!S:S,'AEO 2026 Table 23 '!$B:$B,"*,"&amp;$A37&amp;",*")-SUMIFS('AEO 2026 Table 23 '!R:R,'AEO 2026 Table 23 '!$B:$B,"*,"&amp;$A37&amp;",*"))/SUMIFS('AEO 2026 Table 23 '!R:R,'AEO 2026 Table 23 '!$B:$B,"*,"&amp;$A37&amp;",*"),"")</f>
        <v/>
      </c>
      <c r="Q37" t="str">
        <f>IFERROR((SUMIFS('AEO 2026 Table 23 '!T:T,'AEO 2026 Table 23 '!$B:$B,"*,"&amp;$A37&amp;",*")-SUMIFS('AEO 2026 Table 23 '!S:S,'AEO 2026 Table 23 '!$B:$B,"*,"&amp;$A37&amp;",*"))/SUMIFS('AEO 2026 Table 23 '!S:S,'AEO 2026 Table 23 '!$B:$B,"*,"&amp;$A37&amp;",*"),"")</f>
        <v/>
      </c>
      <c r="R37" t="str">
        <f>IFERROR((SUMIFS('AEO 2026 Table 23 '!U:U,'AEO 2026 Table 23 '!$B:$B,"*,"&amp;$A37&amp;",*")-SUMIFS('AEO 2026 Table 23 '!T:T,'AEO 2026 Table 23 '!$B:$B,"*,"&amp;$A37&amp;",*"))/SUMIFS('AEO 2026 Table 23 '!T:T,'AEO 2026 Table 23 '!$B:$B,"*,"&amp;$A37&amp;",*"),"")</f>
        <v/>
      </c>
      <c r="S37" t="str">
        <f>IFERROR((SUMIFS('AEO 2026 Table 23 '!V:V,'AEO 2026 Table 23 '!$B:$B,"*,"&amp;$A37&amp;",*")-SUMIFS('AEO 2026 Table 23 '!U:U,'AEO 2026 Table 23 '!$B:$B,"*,"&amp;$A37&amp;",*"))/SUMIFS('AEO 2026 Table 23 '!U:U,'AEO 2026 Table 23 '!$B:$B,"*,"&amp;$A37&amp;",*"),"")</f>
        <v/>
      </c>
      <c r="T37" t="str">
        <f>IFERROR((SUMIFS('AEO 2026 Table 23 '!W:W,'AEO 2026 Table 23 '!$B:$B,"*,"&amp;$A37&amp;",*")-SUMIFS('AEO 2026 Table 23 '!V:V,'AEO 2026 Table 23 '!$B:$B,"*,"&amp;$A37&amp;",*"))/SUMIFS('AEO 2026 Table 23 '!V:V,'AEO 2026 Table 23 '!$B:$B,"*,"&amp;$A37&amp;",*"),"")</f>
        <v/>
      </c>
      <c r="U37" t="str">
        <f>IFERROR((SUMIFS('AEO 2026 Table 23 '!X:X,'AEO 2026 Table 23 '!$B:$B,"*,"&amp;$A37&amp;",*")-SUMIFS('AEO 2026 Table 23 '!W:W,'AEO 2026 Table 23 '!$B:$B,"*,"&amp;$A37&amp;",*"))/SUMIFS('AEO 2026 Table 23 '!W:W,'AEO 2026 Table 23 '!$B:$B,"*,"&amp;$A37&amp;",*"),"")</f>
        <v/>
      </c>
      <c r="V37" t="str">
        <f>IFERROR((SUMIFS('AEO 2026 Table 23 '!Y:Y,'AEO 2026 Table 23 '!$B:$B,"*,"&amp;$A37&amp;",*")-SUMIFS('AEO 2026 Table 23 '!X:X,'AEO 2026 Table 23 '!$B:$B,"*,"&amp;$A37&amp;",*"))/SUMIFS('AEO 2026 Table 23 '!X:X,'AEO 2026 Table 23 '!$B:$B,"*,"&amp;$A37&amp;",*"),"")</f>
        <v/>
      </c>
      <c r="W37" t="str">
        <f>IFERROR((SUMIFS('AEO 2026 Table 23 '!Z:Z,'AEO 2026 Table 23 '!$B:$B,"*,"&amp;$A37&amp;",*")-SUMIFS('AEO 2026 Table 23 '!Y:Y,'AEO 2026 Table 23 '!$B:$B,"*,"&amp;$A37&amp;",*"))/SUMIFS('AEO 2026 Table 23 '!Y:Y,'AEO 2026 Table 23 '!$B:$B,"*,"&amp;$A37&amp;",*"),"")</f>
        <v/>
      </c>
      <c r="X37" t="str">
        <f>IFERROR((SUMIFS('AEO 2026 Table 23 '!AA:AA,'AEO 2026 Table 23 '!$B:$B,"*,"&amp;$A37&amp;",*")-SUMIFS('AEO 2026 Table 23 '!Z:Z,'AEO 2026 Table 23 '!$B:$B,"*,"&amp;$A37&amp;",*"))/SUMIFS('AEO 2026 Table 23 '!Z:Z,'AEO 2026 Table 23 '!$B:$B,"*,"&amp;$A37&amp;",*"),"")</f>
        <v/>
      </c>
      <c r="Y37" t="str">
        <f>IFERROR((SUMIFS('AEO 2026 Table 23 '!AB:AB,'AEO 2026 Table 23 '!$B:$B,"*,"&amp;$A37&amp;",*")-SUMIFS('AEO 2026 Table 23 '!AA:AA,'AEO 2026 Table 23 '!$B:$B,"*,"&amp;$A37&amp;",*"))/SUMIFS('AEO 2026 Table 23 '!AA:AA,'AEO 2026 Table 23 '!$B:$B,"*,"&amp;$A37&amp;",*"),"")</f>
        <v/>
      </c>
      <c r="Z37" t="str">
        <f>IFERROR((SUMIFS('AEO 2026 Table 23 '!AC:AC,'AEO 2026 Table 23 '!$B:$B,"*,"&amp;$A37&amp;",*")-SUMIFS('AEO 2026 Table 23 '!AB:AB,'AEO 2026 Table 23 '!$B:$B,"*,"&amp;$A37&amp;",*"))/SUMIFS('AEO 2026 Table 23 '!AB:AB,'AEO 2026 Table 23 '!$B:$B,"*,"&amp;$A37&amp;",*"),"")</f>
        <v/>
      </c>
      <c r="AA37" t="str">
        <f>IFERROR((SUMIFS('AEO 2026 Table 23 '!AD:AD,'AEO 2026 Table 23 '!$B:$B,"*,"&amp;$A37&amp;",*")-SUMIFS('AEO 2026 Table 23 '!AC:AC,'AEO 2026 Table 23 '!$B:$B,"*,"&amp;$A37&amp;",*"))/SUMIFS('AEO 2026 Table 23 '!AC:AC,'AEO 2026 Table 23 '!$B:$B,"*,"&amp;$A37&amp;",*"),"")</f>
        <v/>
      </c>
      <c r="AB37" t="str">
        <f>IFERROR((SUMIFS('AEO 2026 Table 23 '!AE:AE,'AEO 2026 Table 23 '!$B:$B,"*,"&amp;$A37&amp;",*")-SUMIFS('AEO 2026 Table 23 '!AD:AD,'AEO 2026 Table 23 '!$B:$B,"*,"&amp;$A37&amp;",*"))/SUMIFS('AEO 2026 Table 23 '!AD:AD,'AEO 2026 Table 23 '!$B:$B,"*,"&amp;$A37&amp;",*"),"")</f>
        <v/>
      </c>
      <c r="AC37" t="str">
        <f>IFERROR((SUMIFS('AEO 2026 Table 23 '!AF:AF,'AEO 2026 Table 23 '!$B:$B,"*,"&amp;$A37&amp;",*")-SUMIFS('AEO 2026 Table 23 '!AE:AE,'AEO 2026 Table 23 '!$B:$B,"*,"&amp;$A37&amp;",*"))/SUMIFS('AEO 2026 Table 23 '!AE:AE,'AEO 2026 Table 23 '!$B:$B,"*,"&amp;$A37&amp;",*"),"")</f>
        <v/>
      </c>
    </row>
    <row r="38" spans="1:29" x14ac:dyDescent="0.25">
      <c r="A38" t="s">
        <v>456</v>
      </c>
      <c r="B38">
        <f>IFERROR(SUMPRODUCT(--('BLS Table 2.11'!$L$1:$L$426=$A38),'BLS Table 2.11'!$J$1:$J$426,'BLS Table 2.11'!$K$1:$K$426)/SUMIFS('BLS Table 2.11'!$J$1:$J$426,'BLS Table 2.11'!$L$1:$L$426,$A38)/100,0)</f>
        <v>2.1000000000000001E-2</v>
      </c>
      <c r="D38" t="str">
        <f>IFERROR((SUMIFS('AEO 2026 Table 23 '!G:G,'AEO 2026 Table 23 '!$B:$B,"*,"&amp;$A38&amp;",*")-SUMIFS('AEO25 Table 23'!H:H,'AEO25 Table 23'!$B:$B,"*,"&amp;$A38&amp;",*"))/SUMIFS('AEO25 Table 23'!H:H,'AEO25 Table 23'!$B:$B,"*,"&amp;$A38&amp;",*"),"")</f>
        <v/>
      </c>
      <c r="E38" t="str">
        <f>IFERROR((SUMIFS('AEO 2026 Table 23 '!H:H,'AEO 2026 Table 23 '!$B:$B,"*,"&amp;$A38&amp;",*")-SUMIFS('AEO 2026 Table 23 '!G:G,'AEO 2026 Table 23 '!$B:$B,"*,"&amp;$A38&amp;",*"))/SUMIFS('AEO 2026 Table 23 '!G:G,'AEO 2026 Table 23 '!$B:$B,"*,"&amp;$A38&amp;",*"),"")</f>
        <v/>
      </c>
      <c r="F38" t="str">
        <f>IFERROR((SUMIFS('AEO 2026 Table 23 '!I:I,'AEO 2026 Table 23 '!$B:$B,"*,"&amp;$A38&amp;",*")-SUMIFS('AEO 2026 Table 23 '!H:H,'AEO 2026 Table 23 '!$B:$B,"*,"&amp;$A38&amp;",*"))/SUMIFS('AEO 2026 Table 23 '!H:H,'AEO 2026 Table 23 '!$B:$B,"*,"&amp;$A38&amp;",*"),"")</f>
        <v/>
      </c>
      <c r="G38" t="str">
        <f>IFERROR((SUMIFS('AEO 2026 Table 23 '!J:J,'AEO 2026 Table 23 '!$B:$B,"*,"&amp;$A38&amp;",*")-SUMIFS('AEO 2026 Table 23 '!I:I,'AEO 2026 Table 23 '!$B:$B,"*,"&amp;$A38&amp;",*"))/SUMIFS('AEO 2026 Table 23 '!I:I,'AEO 2026 Table 23 '!$B:$B,"*,"&amp;$A38&amp;",*"),"")</f>
        <v/>
      </c>
      <c r="H38" t="str">
        <f>IFERROR((SUMIFS('AEO 2026 Table 23 '!K:K,'AEO 2026 Table 23 '!$B:$B,"*,"&amp;$A38&amp;",*")-SUMIFS('AEO 2026 Table 23 '!J:J,'AEO 2026 Table 23 '!$B:$B,"*,"&amp;$A38&amp;",*"))/SUMIFS('AEO 2026 Table 23 '!J:J,'AEO 2026 Table 23 '!$B:$B,"*,"&amp;$A38&amp;",*"),"")</f>
        <v/>
      </c>
      <c r="I38" t="str">
        <f>IFERROR((SUMIFS('AEO 2026 Table 23 '!L:L,'AEO 2026 Table 23 '!$B:$B,"*,"&amp;$A38&amp;",*")-SUMIFS('AEO 2026 Table 23 '!K:K,'AEO 2026 Table 23 '!$B:$B,"*,"&amp;$A38&amp;",*"))/SUMIFS('AEO 2026 Table 23 '!K:K,'AEO 2026 Table 23 '!$B:$B,"*,"&amp;$A38&amp;",*"),"")</f>
        <v/>
      </c>
      <c r="J38" t="str">
        <f>IFERROR((SUMIFS('AEO 2026 Table 23 '!M:M,'AEO 2026 Table 23 '!$B:$B,"*,"&amp;$A38&amp;",*")-SUMIFS('AEO 2026 Table 23 '!L:L,'AEO 2026 Table 23 '!$B:$B,"*,"&amp;$A38&amp;",*"))/SUMIFS('AEO 2026 Table 23 '!L:L,'AEO 2026 Table 23 '!$B:$B,"*,"&amp;$A38&amp;",*"),"")</f>
        <v/>
      </c>
      <c r="K38" t="str">
        <f>IFERROR((SUMIFS('AEO 2026 Table 23 '!N:N,'AEO 2026 Table 23 '!$B:$B,"*,"&amp;$A38&amp;",*")-SUMIFS('AEO 2026 Table 23 '!M:M,'AEO 2026 Table 23 '!$B:$B,"*,"&amp;$A38&amp;",*"))/SUMIFS('AEO 2026 Table 23 '!M:M,'AEO 2026 Table 23 '!$B:$B,"*,"&amp;$A38&amp;",*"),"")</f>
        <v/>
      </c>
      <c r="L38" t="str">
        <f>IFERROR((SUMIFS('AEO 2026 Table 23 '!O:O,'AEO 2026 Table 23 '!$B:$B,"*,"&amp;$A38&amp;",*")-SUMIFS('AEO 2026 Table 23 '!N:N,'AEO 2026 Table 23 '!$B:$B,"*,"&amp;$A38&amp;",*"))/SUMIFS('AEO 2026 Table 23 '!N:N,'AEO 2026 Table 23 '!$B:$B,"*,"&amp;$A38&amp;",*"),"")</f>
        <v/>
      </c>
      <c r="M38" t="str">
        <f>IFERROR((SUMIFS('AEO 2026 Table 23 '!P:P,'AEO 2026 Table 23 '!$B:$B,"*,"&amp;$A38&amp;",*")-SUMIFS('AEO 2026 Table 23 '!O:O,'AEO 2026 Table 23 '!$B:$B,"*,"&amp;$A38&amp;",*"))/SUMIFS('AEO 2026 Table 23 '!O:O,'AEO 2026 Table 23 '!$B:$B,"*,"&amp;$A38&amp;",*"),"")</f>
        <v/>
      </c>
      <c r="N38" t="str">
        <f>IFERROR((SUMIFS('AEO 2026 Table 23 '!Q:Q,'AEO 2026 Table 23 '!$B:$B,"*,"&amp;$A38&amp;",*")-SUMIFS('AEO 2026 Table 23 '!P:P,'AEO 2026 Table 23 '!$B:$B,"*,"&amp;$A38&amp;",*"))/SUMIFS('AEO 2026 Table 23 '!P:P,'AEO 2026 Table 23 '!$B:$B,"*,"&amp;$A38&amp;",*"),"")</f>
        <v/>
      </c>
      <c r="O38" t="str">
        <f>IFERROR((SUMIFS('AEO 2026 Table 23 '!R:R,'AEO 2026 Table 23 '!$B:$B,"*,"&amp;$A38&amp;",*")-SUMIFS('AEO 2026 Table 23 '!Q:Q,'AEO 2026 Table 23 '!$B:$B,"*,"&amp;$A38&amp;",*"))/SUMIFS('AEO 2026 Table 23 '!Q:Q,'AEO 2026 Table 23 '!$B:$B,"*,"&amp;$A38&amp;",*"),"")</f>
        <v/>
      </c>
      <c r="P38" t="str">
        <f>IFERROR((SUMIFS('AEO 2026 Table 23 '!S:S,'AEO 2026 Table 23 '!$B:$B,"*,"&amp;$A38&amp;",*")-SUMIFS('AEO 2026 Table 23 '!R:R,'AEO 2026 Table 23 '!$B:$B,"*,"&amp;$A38&amp;",*"))/SUMIFS('AEO 2026 Table 23 '!R:R,'AEO 2026 Table 23 '!$B:$B,"*,"&amp;$A38&amp;",*"),"")</f>
        <v/>
      </c>
      <c r="Q38" t="str">
        <f>IFERROR((SUMIFS('AEO 2026 Table 23 '!T:T,'AEO 2026 Table 23 '!$B:$B,"*,"&amp;$A38&amp;",*")-SUMIFS('AEO 2026 Table 23 '!S:S,'AEO 2026 Table 23 '!$B:$B,"*,"&amp;$A38&amp;",*"))/SUMIFS('AEO 2026 Table 23 '!S:S,'AEO 2026 Table 23 '!$B:$B,"*,"&amp;$A38&amp;",*"),"")</f>
        <v/>
      </c>
      <c r="R38" t="str">
        <f>IFERROR((SUMIFS('AEO 2026 Table 23 '!U:U,'AEO 2026 Table 23 '!$B:$B,"*,"&amp;$A38&amp;",*")-SUMIFS('AEO 2026 Table 23 '!T:T,'AEO 2026 Table 23 '!$B:$B,"*,"&amp;$A38&amp;",*"))/SUMIFS('AEO 2026 Table 23 '!T:T,'AEO 2026 Table 23 '!$B:$B,"*,"&amp;$A38&amp;",*"),"")</f>
        <v/>
      </c>
      <c r="S38" t="str">
        <f>IFERROR((SUMIFS('AEO 2026 Table 23 '!V:V,'AEO 2026 Table 23 '!$B:$B,"*,"&amp;$A38&amp;",*")-SUMIFS('AEO 2026 Table 23 '!U:U,'AEO 2026 Table 23 '!$B:$B,"*,"&amp;$A38&amp;",*"))/SUMIFS('AEO 2026 Table 23 '!U:U,'AEO 2026 Table 23 '!$B:$B,"*,"&amp;$A38&amp;",*"),"")</f>
        <v/>
      </c>
      <c r="T38" t="str">
        <f>IFERROR((SUMIFS('AEO 2026 Table 23 '!W:W,'AEO 2026 Table 23 '!$B:$B,"*,"&amp;$A38&amp;",*")-SUMIFS('AEO 2026 Table 23 '!V:V,'AEO 2026 Table 23 '!$B:$B,"*,"&amp;$A38&amp;",*"))/SUMIFS('AEO 2026 Table 23 '!V:V,'AEO 2026 Table 23 '!$B:$B,"*,"&amp;$A38&amp;",*"),"")</f>
        <v/>
      </c>
      <c r="U38" t="str">
        <f>IFERROR((SUMIFS('AEO 2026 Table 23 '!X:X,'AEO 2026 Table 23 '!$B:$B,"*,"&amp;$A38&amp;",*")-SUMIFS('AEO 2026 Table 23 '!W:W,'AEO 2026 Table 23 '!$B:$B,"*,"&amp;$A38&amp;",*"))/SUMIFS('AEO 2026 Table 23 '!W:W,'AEO 2026 Table 23 '!$B:$B,"*,"&amp;$A38&amp;",*"),"")</f>
        <v/>
      </c>
      <c r="V38" t="str">
        <f>IFERROR((SUMIFS('AEO 2026 Table 23 '!Y:Y,'AEO 2026 Table 23 '!$B:$B,"*,"&amp;$A38&amp;",*")-SUMIFS('AEO 2026 Table 23 '!X:X,'AEO 2026 Table 23 '!$B:$B,"*,"&amp;$A38&amp;",*"))/SUMIFS('AEO 2026 Table 23 '!X:X,'AEO 2026 Table 23 '!$B:$B,"*,"&amp;$A38&amp;",*"),"")</f>
        <v/>
      </c>
      <c r="W38" t="str">
        <f>IFERROR((SUMIFS('AEO 2026 Table 23 '!Z:Z,'AEO 2026 Table 23 '!$B:$B,"*,"&amp;$A38&amp;",*")-SUMIFS('AEO 2026 Table 23 '!Y:Y,'AEO 2026 Table 23 '!$B:$B,"*,"&amp;$A38&amp;",*"))/SUMIFS('AEO 2026 Table 23 '!Y:Y,'AEO 2026 Table 23 '!$B:$B,"*,"&amp;$A38&amp;",*"),"")</f>
        <v/>
      </c>
      <c r="X38" t="str">
        <f>IFERROR((SUMIFS('AEO 2026 Table 23 '!AA:AA,'AEO 2026 Table 23 '!$B:$B,"*,"&amp;$A38&amp;",*")-SUMIFS('AEO 2026 Table 23 '!Z:Z,'AEO 2026 Table 23 '!$B:$B,"*,"&amp;$A38&amp;",*"))/SUMIFS('AEO 2026 Table 23 '!Z:Z,'AEO 2026 Table 23 '!$B:$B,"*,"&amp;$A38&amp;",*"),"")</f>
        <v/>
      </c>
      <c r="Y38" t="str">
        <f>IFERROR((SUMIFS('AEO 2026 Table 23 '!AB:AB,'AEO 2026 Table 23 '!$B:$B,"*,"&amp;$A38&amp;",*")-SUMIFS('AEO 2026 Table 23 '!AA:AA,'AEO 2026 Table 23 '!$B:$B,"*,"&amp;$A38&amp;",*"))/SUMIFS('AEO 2026 Table 23 '!AA:AA,'AEO 2026 Table 23 '!$B:$B,"*,"&amp;$A38&amp;",*"),"")</f>
        <v/>
      </c>
      <c r="Z38" t="str">
        <f>IFERROR((SUMIFS('AEO 2026 Table 23 '!AC:AC,'AEO 2026 Table 23 '!$B:$B,"*,"&amp;$A38&amp;",*")-SUMIFS('AEO 2026 Table 23 '!AB:AB,'AEO 2026 Table 23 '!$B:$B,"*,"&amp;$A38&amp;",*"))/SUMIFS('AEO 2026 Table 23 '!AB:AB,'AEO 2026 Table 23 '!$B:$B,"*,"&amp;$A38&amp;",*"),"")</f>
        <v/>
      </c>
      <c r="AA38" t="str">
        <f>IFERROR((SUMIFS('AEO 2026 Table 23 '!AD:AD,'AEO 2026 Table 23 '!$B:$B,"*,"&amp;$A38&amp;",*")-SUMIFS('AEO 2026 Table 23 '!AC:AC,'AEO 2026 Table 23 '!$B:$B,"*,"&amp;$A38&amp;",*"))/SUMIFS('AEO 2026 Table 23 '!AC:AC,'AEO 2026 Table 23 '!$B:$B,"*,"&amp;$A38&amp;",*"),"")</f>
        <v/>
      </c>
      <c r="AB38" t="str">
        <f>IFERROR((SUMIFS('AEO 2026 Table 23 '!AE:AE,'AEO 2026 Table 23 '!$B:$B,"*,"&amp;$A38&amp;",*")-SUMIFS('AEO 2026 Table 23 '!AD:AD,'AEO 2026 Table 23 '!$B:$B,"*,"&amp;$A38&amp;",*"))/SUMIFS('AEO 2026 Table 23 '!AD:AD,'AEO 2026 Table 23 '!$B:$B,"*,"&amp;$A38&amp;",*"),"")</f>
        <v/>
      </c>
      <c r="AC38" t="str">
        <f>IFERROR((SUMIFS('AEO 2026 Table 23 '!AF:AF,'AEO 2026 Table 23 '!$B:$B,"*,"&amp;$A38&amp;",*")-SUMIFS('AEO 2026 Table 23 '!AE:AE,'AEO 2026 Table 23 '!$B:$B,"*,"&amp;$A38&amp;",*"))/SUMIFS('AEO 2026 Table 23 '!AE:AE,'AEO 2026 Table 23 '!$B:$B,"*,"&amp;$A38&amp;",*"),"")</f>
        <v/>
      </c>
    </row>
    <row r="39" spans="1:29" x14ac:dyDescent="0.25">
      <c r="A39" t="s">
        <v>446</v>
      </c>
      <c r="B39">
        <f>IFERROR(SUMPRODUCT(--('BLS Table 2.11'!$L$1:$L$426=$A39),'BLS Table 2.11'!$J$1:$J$426,'BLS Table 2.11'!$K$1:$K$426)/SUMIFS('BLS Table 2.11'!$J$1:$J$426,'BLS Table 2.11'!$L$1:$L$426,$A39)/100,0)</f>
        <v>2.3E-2</v>
      </c>
      <c r="D39" t="str">
        <f>IFERROR((SUMIFS('AEO 2026 Table 23 '!G:G,'AEO 2026 Table 23 '!$B:$B,"*,"&amp;$A39&amp;",*")-SUMIFS('AEO25 Table 23'!H:H,'AEO25 Table 23'!$B:$B,"*,"&amp;$A39&amp;",*"))/SUMIFS('AEO25 Table 23'!H:H,'AEO25 Table 23'!$B:$B,"*,"&amp;$A39&amp;",*"),"")</f>
        <v/>
      </c>
      <c r="E39" t="str">
        <f>IFERROR((SUMIFS('AEO 2026 Table 23 '!H:H,'AEO 2026 Table 23 '!$B:$B,"*,"&amp;$A39&amp;",*")-SUMIFS('AEO 2026 Table 23 '!G:G,'AEO 2026 Table 23 '!$B:$B,"*,"&amp;$A39&amp;",*"))/SUMIFS('AEO 2026 Table 23 '!G:G,'AEO 2026 Table 23 '!$B:$B,"*,"&amp;$A39&amp;",*"),"")</f>
        <v/>
      </c>
      <c r="F39" t="str">
        <f>IFERROR((SUMIFS('AEO 2026 Table 23 '!I:I,'AEO 2026 Table 23 '!$B:$B,"*,"&amp;$A39&amp;",*")-SUMIFS('AEO 2026 Table 23 '!H:H,'AEO 2026 Table 23 '!$B:$B,"*,"&amp;$A39&amp;",*"))/SUMIFS('AEO 2026 Table 23 '!H:H,'AEO 2026 Table 23 '!$B:$B,"*,"&amp;$A39&amp;",*"),"")</f>
        <v/>
      </c>
      <c r="G39" t="str">
        <f>IFERROR((SUMIFS('AEO 2026 Table 23 '!J:J,'AEO 2026 Table 23 '!$B:$B,"*,"&amp;$A39&amp;",*")-SUMIFS('AEO 2026 Table 23 '!I:I,'AEO 2026 Table 23 '!$B:$B,"*,"&amp;$A39&amp;",*"))/SUMIFS('AEO 2026 Table 23 '!I:I,'AEO 2026 Table 23 '!$B:$B,"*,"&amp;$A39&amp;",*"),"")</f>
        <v/>
      </c>
      <c r="H39" t="str">
        <f>IFERROR((SUMIFS('AEO 2026 Table 23 '!K:K,'AEO 2026 Table 23 '!$B:$B,"*,"&amp;$A39&amp;",*")-SUMIFS('AEO 2026 Table 23 '!J:J,'AEO 2026 Table 23 '!$B:$B,"*,"&amp;$A39&amp;",*"))/SUMIFS('AEO 2026 Table 23 '!J:J,'AEO 2026 Table 23 '!$B:$B,"*,"&amp;$A39&amp;",*"),"")</f>
        <v/>
      </c>
      <c r="I39" t="str">
        <f>IFERROR((SUMIFS('AEO 2026 Table 23 '!L:L,'AEO 2026 Table 23 '!$B:$B,"*,"&amp;$A39&amp;",*")-SUMIFS('AEO 2026 Table 23 '!K:K,'AEO 2026 Table 23 '!$B:$B,"*,"&amp;$A39&amp;",*"))/SUMIFS('AEO 2026 Table 23 '!K:K,'AEO 2026 Table 23 '!$B:$B,"*,"&amp;$A39&amp;",*"),"")</f>
        <v/>
      </c>
      <c r="J39" t="str">
        <f>IFERROR((SUMIFS('AEO 2026 Table 23 '!M:M,'AEO 2026 Table 23 '!$B:$B,"*,"&amp;$A39&amp;",*")-SUMIFS('AEO 2026 Table 23 '!L:L,'AEO 2026 Table 23 '!$B:$B,"*,"&amp;$A39&amp;",*"))/SUMIFS('AEO 2026 Table 23 '!L:L,'AEO 2026 Table 23 '!$B:$B,"*,"&amp;$A39&amp;",*"),"")</f>
        <v/>
      </c>
      <c r="K39" t="str">
        <f>IFERROR((SUMIFS('AEO 2026 Table 23 '!N:N,'AEO 2026 Table 23 '!$B:$B,"*,"&amp;$A39&amp;",*")-SUMIFS('AEO 2026 Table 23 '!M:M,'AEO 2026 Table 23 '!$B:$B,"*,"&amp;$A39&amp;",*"))/SUMIFS('AEO 2026 Table 23 '!M:M,'AEO 2026 Table 23 '!$B:$B,"*,"&amp;$A39&amp;",*"),"")</f>
        <v/>
      </c>
      <c r="L39" t="str">
        <f>IFERROR((SUMIFS('AEO 2026 Table 23 '!O:O,'AEO 2026 Table 23 '!$B:$B,"*,"&amp;$A39&amp;",*")-SUMIFS('AEO 2026 Table 23 '!N:N,'AEO 2026 Table 23 '!$B:$B,"*,"&amp;$A39&amp;",*"))/SUMIFS('AEO 2026 Table 23 '!N:N,'AEO 2026 Table 23 '!$B:$B,"*,"&amp;$A39&amp;",*"),"")</f>
        <v/>
      </c>
      <c r="M39" t="str">
        <f>IFERROR((SUMIFS('AEO 2026 Table 23 '!P:P,'AEO 2026 Table 23 '!$B:$B,"*,"&amp;$A39&amp;",*")-SUMIFS('AEO 2026 Table 23 '!O:O,'AEO 2026 Table 23 '!$B:$B,"*,"&amp;$A39&amp;",*"))/SUMIFS('AEO 2026 Table 23 '!O:O,'AEO 2026 Table 23 '!$B:$B,"*,"&amp;$A39&amp;",*"),"")</f>
        <v/>
      </c>
      <c r="N39" t="str">
        <f>IFERROR((SUMIFS('AEO 2026 Table 23 '!Q:Q,'AEO 2026 Table 23 '!$B:$B,"*,"&amp;$A39&amp;",*")-SUMIFS('AEO 2026 Table 23 '!P:P,'AEO 2026 Table 23 '!$B:$B,"*,"&amp;$A39&amp;",*"))/SUMIFS('AEO 2026 Table 23 '!P:P,'AEO 2026 Table 23 '!$B:$B,"*,"&amp;$A39&amp;",*"),"")</f>
        <v/>
      </c>
      <c r="O39" t="str">
        <f>IFERROR((SUMIFS('AEO 2026 Table 23 '!R:R,'AEO 2026 Table 23 '!$B:$B,"*,"&amp;$A39&amp;",*")-SUMIFS('AEO 2026 Table 23 '!Q:Q,'AEO 2026 Table 23 '!$B:$B,"*,"&amp;$A39&amp;",*"))/SUMIFS('AEO 2026 Table 23 '!Q:Q,'AEO 2026 Table 23 '!$B:$B,"*,"&amp;$A39&amp;",*"),"")</f>
        <v/>
      </c>
      <c r="P39" t="str">
        <f>IFERROR((SUMIFS('AEO 2026 Table 23 '!S:S,'AEO 2026 Table 23 '!$B:$B,"*,"&amp;$A39&amp;",*")-SUMIFS('AEO 2026 Table 23 '!R:R,'AEO 2026 Table 23 '!$B:$B,"*,"&amp;$A39&amp;",*"))/SUMIFS('AEO 2026 Table 23 '!R:R,'AEO 2026 Table 23 '!$B:$B,"*,"&amp;$A39&amp;",*"),"")</f>
        <v/>
      </c>
      <c r="Q39" t="str">
        <f>IFERROR((SUMIFS('AEO 2026 Table 23 '!T:T,'AEO 2026 Table 23 '!$B:$B,"*,"&amp;$A39&amp;",*")-SUMIFS('AEO 2026 Table 23 '!S:S,'AEO 2026 Table 23 '!$B:$B,"*,"&amp;$A39&amp;",*"))/SUMIFS('AEO 2026 Table 23 '!S:S,'AEO 2026 Table 23 '!$B:$B,"*,"&amp;$A39&amp;",*"),"")</f>
        <v/>
      </c>
      <c r="R39" t="str">
        <f>IFERROR((SUMIFS('AEO 2026 Table 23 '!U:U,'AEO 2026 Table 23 '!$B:$B,"*,"&amp;$A39&amp;",*")-SUMIFS('AEO 2026 Table 23 '!T:T,'AEO 2026 Table 23 '!$B:$B,"*,"&amp;$A39&amp;",*"))/SUMIFS('AEO 2026 Table 23 '!T:T,'AEO 2026 Table 23 '!$B:$B,"*,"&amp;$A39&amp;",*"),"")</f>
        <v/>
      </c>
      <c r="S39" t="str">
        <f>IFERROR((SUMIFS('AEO 2026 Table 23 '!V:V,'AEO 2026 Table 23 '!$B:$B,"*,"&amp;$A39&amp;",*")-SUMIFS('AEO 2026 Table 23 '!U:U,'AEO 2026 Table 23 '!$B:$B,"*,"&amp;$A39&amp;",*"))/SUMIFS('AEO 2026 Table 23 '!U:U,'AEO 2026 Table 23 '!$B:$B,"*,"&amp;$A39&amp;",*"),"")</f>
        <v/>
      </c>
      <c r="T39" t="str">
        <f>IFERROR((SUMIFS('AEO 2026 Table 23 '!W:W,'AEO 2026 Table 23 '!$B:$B,"*,"&amp;$A39&amp;",*")-SUMIFS('AEO 2026 Table 23 '!V:V,'AEO 2026 Table 23 '!$B:$B,"*,"&amp;$A39&amp;",*"))/SUMIFS('AEO 2026 Table 23 '!V:V,'AEO 2026 Table 23 '!$B:$B,"*,"&amp;$A39&amp;",*"),"")</f>
        <v/>
      </c>
      <c r="U39" t="str">
        <f>IFERROR((SUMIFS('AEO 2026 Table 23 '!X:X,'AEO 2026 Table 23 '!$B:$B,"*,"&amp;$A39&amp;",*")-SUMIFS('AEO 2026 Table 23 '!W:W,'AEO 2026 Table 23 '!$B:$B,"*,"&amp;$A39&amp;",*"))/SUMIFS('AEO 2026 Table 23 '!W:W,'AEO 2026 Table 23 '!$B:$B,"*,"&amp;$A39&amp;",*"),"")</f>
        <v/>
      </c>
      <c r="V39" t="str">
        <f>IFERROR((SUMIFS('AEO 2026 Table 23 '!Y:Y,'AEO 2026 Table 23 '!$B:$B,"*,"&amp;$A39&amp;",*")-SUMIFS('AEO 2026 Table 23 '!X:X,'AEO 2026 Table 23 '!$B:$B,"*,"&amp;$A39&amp;",*"))/SUMIFS('AEO 2026 Table 23 '!X:X,'AEO 2026 Table 23 '!$B:$B,"*,"&amp;$A39&amp;",*"),"")</f>
        <v/>
      </c>
      <c r="W39" t="str">
        <f>IFERROR((SUMIFS('AEO 2026 Table 23 '!Z:Z,'AEO 2026 Table 23 '!$B:$B,"*,"&amp;$A39&amp;",*")-SUMIFS('AEO 2026 Table 23 '!Y:Y,'AEO 2026 Table 23 '!$B:$B,"*,"&amp;$A39&amp;",*"))/SUMIFS('AEO 2026 Table 23 '!Y:Y,'AEO 2026 Table 23 '!$B:$B,"*,"&amp;$A39&amp;",*"),"")</f>
        <v/>
      </c>
      <c r="X39" t="str">
        <f>IFERROR((SUMIFS('AEO 2026 Table 23 '!AA:AA,'AEO 2026 Table 23 '!$B:$B,"*,"&amp;$A39&amp;",*")-SUMIFS('AEO 2026 Table 23 '!Z:Z,'AEO 2026 Table 23 '!$B:$B,"*,"&amp;$A39&amp;",*"))/SUMIFS('AEO 2026 Table 23 '!Z:Z,'AEO 2026 Table 23 '!$B:$B,"*,"&amp;$A39&amp;",*"),"")</f>
        <v/>
      </c>
      <c r="Y39" t="str">
        <f>IFERROR((SUMIFS('AEO 2026 Table 23 '!AB:AB,'AEO 2026 Table 23 '!$B:$B,"*,"&amp;$A39&amp;",*")-SUMIFS('AEO 2026 Table 23 '!AA:AA,'AEO 2026 Table 23 '!$B:$B,"*,"&amp;$A39&amp;",*"))/SUMIFS('AEO 2026 Table 23 '!AA:AA,'AEO 2026 Table 23 '!$B:$B,"*,"&amp;$A39&amp;",*"),"")</f>
        <v/>
      </c>
      <c r="Z39" t="str">
        <f>IFERROR((SUMIFS('AEO 2026 Table 23 '!AC:AC,'AEO 2026 Table 23 '!$B:$B,"*,"&amp;$A39&amp;",*")-SUMIFS('AEO 2026 Table 23 '!AB:AB,'AEO 2026 Table 23 '!$B:$B,"*,"&amp;$A39&amp;",*"))/SUMIFS('AEO 2026 Table 23 '!AB:AB,'AEO 2026 Table 23 '!$B:$B,"*,"&amp;$A39&amp;",*"),"")</f>
        <v/>
      </c>
      <c r="AA39" t="str">
        <f>IFERROR((SUMIFS('AEO 2026 Table 23 '!AD:AD,'AEO 2026 Table 23 '!$B:$B,"*,"&amp;$A39&amp;",*")-SUMIFS('AEO 2026 Table 23 '!AC:AC,'AEO 2026 Table 23 '!$B:$B,"*,"&amp;$A39&amp;",*"))/SUMIFS('AEO 2026 Table 23 '!AC:AC,'AEO 2026 Table 23 '!$B:$B,"*,"&amp;$A39&amp;",*"),"")</f>
        <v/>
      </c>
      <c r="AB39" t="str">
        <f>IFERROR((SUMIFS('AEO 2026 Table 23 '!AE:AE,'AEO 2026 Table 23 '!$B:$B,"*,"&amp;$A39&amp;",*")-SUMIFS('AEO 2026 Table 23 '!AD:AD,'AEO 2026 Table 23 '!$B:$B,"*,"&amp;$A39&amp;",*"))/SUMIFS('AEO 2026 Table 23 '!AD:AD,'AEO 2026 Table 23 '!$B:$B,"*,"&amp;$A39&amp;",*"),"")</f>
        <v/>
      </c>
      <c r="AC39" t="str">
        <f>IFERROR((SUMIFS('AEO 2026 Table 23 '!AF:AF,'AEO 2026 Table 23 '!$B:$B,"*,"&amp;$A39&amp;",*")-SUMIFS('AEO 2026 Table 23 '!AE:AE,'AEO 2026 Table 23 '!$B:$B,"*,"&amp;$A39&amp;",*"))/SUMIFS('AEO 2026 Table 23 '!AE:AE,'AEO 2026 Table 23 '!$B:$B,"*,"&amp;$A39&amp;",*"),"")</f>
        <v/>
      </c>
    </row>
    <row r="40" spans="1:29" x14ac:dyDescent="0.25">
      <c r="A40" t="s">
        <v>487</v>
      </c>
      <c r="B40">
        <f>IFERROR(SUMPRODUCT(--('BLS Table 2.11'!$L$1:$L$426=$A40),'BLS Table 2.11'!$J$1:$J$426,'BLS Table 2.11'!$K$1:$K$426)/SUMIFS('BLS Table 2.11'!$J$1:$J$426,'BLS Table 2.11'!$L$1:$L$426,$A40)/100,0)</f>
        <v>2.5814833891321144E-2</v>
      </c>
      <c r="D40" t="str">
        <f>IFERROR((SUMIFS('AEO 2026 Table 23 '!G:G,'AEO 2026 Table 23 '!$B:$B,"*,"&amp;$A40&amp;",*")-SUMIFS('AEO25 Table 23'!H:H,'AEO25 Table 23'!$B:$B,"*,"&amp;$A40&amp;",*"))/SUMIFS('AEO25 Table 23'!H:H,'AEO25 Table 23'!$B:$B,"*,"&amp;$A40&amp;",*"),"")</f>
        <v/>
      </c>
      <c r="E40" t="str">
        <f>IFERROR((SUMIFS('AEO 2026 Table 23 '!H:H,'AEO 2026 Table 23 '!$B:$B,"*,"&amp;$A40&amp;",*")-SUMIFS('AEO 2026 Table 23 '!G:G,'AEO 2026 Table 23 '!$B:$B,"*,"&amp;$A40&amp;",*"))/SUMIFS('AEO 2026 Table 23 '!G:G,'AEO 2026 Table 23 '!$B:$B,"*,"&amp;$A40&amp;",*"),"")</f>
        <v/>
      </c>
      <c r="F40" t="str">
        <f>IFERROR((SUMIFS('AEO 2026 Table 23 '!I:I,'AEO 2026 Table 23 '!$B:$B,"*,"&amp;$A40&amp;",*")-SUMIFS('AEO 2026 Table 23 '!H:H,'AEO 2026 Table 23 '!$B:$B,"*,"&amp;$A40&amp;",*"))/SUMIFS('AEO 2026 Table 23 '!H:H,'AEO 2026 Table 23 '!$B:$B,"*,"&amp;$A40&amp;",*"),"")</f>
        <v/>
      </c>
      <c r="G40" t="str">
        <f>IFERROR((SUMIFS('AEO 2026 Table 23 '!J:J,'AEO 2026 Table 23 '!$B:$B,"*,"&amp;$A40&amp;",*")-SUMIFS('AEO 2026 Table 23 '!I:I,'AEO 2026 Table 23 '!$B:$B,"*,"&amp;$A40&amp;",*"))/SUMIFS('AEO 2026 Table 23 '!I:I,'AEO 2026 Table 23 '!$B:$B,"*,"&amp;$A40&amp;",*"),"")</f>
        <v/>
      </c>
      <c r="H40" t="str">
        <f>IFERROR((SUMIFS('AEO 2026 Table 23 '!K:K,'AEO 2026 Table 23 '!$B:$B,"*,"&amp;$A40&amp;",*")-SUMIFS('AEO 2026 Table 23 '!J:J,'AEO 2026 Table 23 '!$B:$B,"*,"&amp;$A40&amp;",*"))/SUMIFS('AEO 2026 Table 23 '!J:J,'AEO 2026 Table 23 '!$B:$B,"*,"&amp;$A40&amp;",*"),"")</f>
        <v/>
      </c>
      <c r="I40" t="str">
        <f>IFERROR((SUMIFS('AEO 2026 Table 23 '!L:L,'AEO 2026 Table 23 '!$B:$B,"*,"&amp;$A40&amp;",*")-SUMIFS('AEO 2026 Table 23 '!K:K,'AEO 2026 Table 23 '!$B:$B,"*,"&amp;$A40&amp;",*"))/SUMIFS('AEO 2026 Table 23 '!K:K,'AEO 2026 Table 23 '!$B:$B,"*,"&amp;$A40&amp;",*"),"")</f>
        <v/>
      </c>
      <c r="J40" t="str">
        <f>IFERROR((SUMIFS('AEO 2026 Table 23 '!M:M,'AEO 2026 Table 23 '!$B:$B,"*,"&amp;$A40&amp;",*")-SUMIFS('AEO 2026 Table 23 '!L:L,'AEO 2026 Table 23 '!$B:$B,"*,"&amp;$A40&amp;",*"))/SUMIFS('AEO 2026 Table 23 '!L:L,'AEO 2026 Table 23 '!$B:$B,"*,"&amp;$A40&amp;",*"),"")</f>
        <v/>
      </c>
      <c r="K40" t="str">
        <f>IFERROR((SUMIFS('AEO 2026 Table 23 '!N:N,'AEO 2026 Table 23 '!$B:$B,"*,"&amp;$A40&amp;",*")-SUMIFS('AEO 2026 Table 23 '!M:M,'AEO 2026 Table 23 '!$B:$B,"*,"&amp;$A40&amp;",*"))/SUMIFS('AEO 2026 Table 23 '!M:M,'AEO 2026 Table 23 '!$B:$B,"*,"&amp;$A40&amp;",*"),"")</f>
        <v/>
      </c>
      <c r="L40" t="str">
        <f>IFERROR((SUMIFS('AEO 2026 Table 23 '!O:O,'AEO 2026 Table 23 '!$B:$B,"*,"&amp;$A40&amp;",*")-SUMIFS('AEO 2026 Table 23 '!N:N,'AEO 2026 Table 23 '!$B:$B,"*,"&amp;$A40&amp;",*"))/SUMIFS('AEO 2026 Table 23 '!N:N,'AEO 2026 Table 23 '!$B:$B,"*,"&amp;$A40&amp;",*"),"")</f>
        <v/>
      </c>
      <c r="M40" t="str">
        <f>IFERROR((SUMIFS('AEO 2026 Table 23 '!P:P,'AEO 2026 Table 23 '!$B:$B,"*,"&amp;$A40&amp;",*")-SUMIFS('AEO 2026 Table 23 '!O:O,'AEO 2026 Table 23 '!$B:$B,"*,"&amp;$A40&amp;",*"))/SUMIFS('AEO 2026 Table 23 '!O:O,'AEO 2026 Table 23 '!$B:$B,"*,"&amp;$A40&amp;",*"),"")</f>
        <v/>
      </c>
      <c r="N40" t="str">
        <f>IFERROR((SUMIFS('AEO 2026 Table 23 '!Q:Q,'AEO 2026 Table 23 '!$B:$B,"*,"&amp;$A40&amp;",*")-SUMIFS('AEO 2026 Table 23 '!P:P,'AEO 2026 Table 23 '!$B:$B,"*,"&amp;$A40&amp;",*"))/SUMIFS('AEO 2026 Table 23 '!P:P,'AEO 2026 Table 23 '!$B:$B,"*,"&amp;$A40&amp;",*"),"")</f>
        <v/>
      </c>
      <c r="O40" t="str">
        <f>IFERROR((SUMIFS('AEO 2026 Table 23 '!R:R,'AEO 2026 Table 23 '!$B:$B,"*,"&amp;$A40&amp;",*")-SUMIFS('AEO 2026 Table 23 '!Q:Q,'AEO 2026 Table 23 '!$B:$B,"*,"&amp;$A40&amp;",*"))/SUMIFS('AEO 2026 Table 23 '!Q:Q,'AEO 2026 Table 23 '!$B:$B,"*,"&amp;$A40&amp;",*"),"")</f>
        <v/>
      </c>
      <c r="P40" t="str">
        <f>IFERROR((SUMIFS('AEO 2026 Table 23 '!S:S,'AEO 2026 Table 23 '!$B:$B,"*,"&amp;$A40&amp;",*")-SUMIFS('AEO 2026 Table 23 '!R:R,'AEO 2026 Table 23 '!$B:$B,"*,"&amp;$A40&amp;",*"))/SUMIFS('AEO 2026 Table 23 '!R:R,'AEO 2026 Table 23 '!$B:$B,"*,"&amp;$A40&amp;",*"),"")</f>
        <v/>
      </c>
      <c r="Q40" t="str">
        <f>IFERROR((SUMIFS('AEO 2026 Table 23 '!T:T,'AEO 2026 Table 23 '!$B:$B,"*,"&amp;$A40&amp;",*")-SUMIFS('AEO 2026 Table 23 '!S:S,'AEO 2026 Table 23 '!$B:$B,"*,"&amp;$A40&amp;",*"))/SUMIFS('AEO 2026 Table 23 '!S:S,'AEO 2026 Table 23 '!$B:$B,"*,"&amp;$A40&amp;",*"),"")</f>
        <v/>
      </c>
      <c r="R40" t="str">
        <f>IFERROR((SUMIFS('AEO 2026 Table 23 '!U:U,'AEO 2026 Table 23 '!$B:$B,"*,"&amp;$A40&amp;",*")-SUMIFS('AEO 2026 Table 23 '!T:T,'AEO 2026 Table 23 '!$B:$B,"*,"&amp;$A40&amp;",*"))/SUMIFS('AEO 2026 Table 23 '!T:T,'AEO 2026 Table 23 '!$B:$B,"*,"&amp;$A40&amp;",*"),"")</f>
        <v/>
      </c>
      <c r="S40" t="str">
        <f>IFERROR((SUMIFS('AEO 2026 Table 23 '!V:V,'AEO 2026 Table 23 '!$B:$B,"*,"&amp;$A40&amp;",*")-SUMIFS('AEO 2026 Table 23 '!U:U,'AEO 2026 Table 23 '!$B:$B,"*,"&amp;$A40&amp;",*"))/SUMIFS('AEO 2026 Table 23 '!U:U,'AEO 2026 Table 23 '!$B:$B,"*,"&amp;$A40&amp;",*"),"")</f>
        <v/>
      </c>
      <c r="T40" t="str">
        <f>IFERROR((SUMIFS('AEO 2026 Table 23 '!W:W,'AEO 2026 Table 23 '!$B:$B,"*,"&amp;$A40&amp;",*")-SUMIFS('AEO 2026 Table 23 '!V:V,'AEO 2026 Table 23 '!$B:$B,"*,"&amp;$A40&amp;",*"))/SUMIFS('AEO 2026 Table 23 '!V:V,'AEO 2026 Table 23 '!$B:$B,"*,"&amp;$A40&amp;",*"),"")</f>
        <v/>
      </c>
      <c r="U40" t="str">
        <f>IFERROR((SUMIFS('AEO 2026 Table 23 '!X:X,'AEO 2026 Table 23 '!$B:$B,"*,"&amp;$A40&amp;",*")-SUMIFS('AEO 2026 Table 23 '!W:W,'AEO 2026 Table 23 '!$B:$B,"*,"&amp;$A40&amp;",*"))/SUMIFS('AEO 2026 Table 23 '!W:W,'AEO 2026 Table 23 '!$B:$B,"*,"&amp;$A40&amp;",*"),"")</f>
        <v/>
      </c>
      <c r="V40" t="str">
        <f>IFERROR((SUMIFS('AEO 2026 Table 23 '!Y:Y,'AEO 2026 Table 23 '!$B:$B,"*,"&amp;$A40&amp;",*")-SUMIFS('AEO 2026 Table 23 '!X:X,'AEO 2026 Table 23 '!$B:$B,"*,"&amp;$A40&amp;",*"))/SUMIFS('AEO 2026 Table 23 '!X:X,'AEO 2026 Table 23 '!$B:$B,"*,"&amp;$A40&amp;",*"),"")</f>
        <v/>
      </c>
      <c r="W40" t="str">
        <f>IFERROR((SUMIFS('AEO 2026 Table 23 '!Z:Z,'AEO 2026 Table 23 '!$B:$B,"*,"&amp;$A40&amp;",*")-SUMIFS('AEO 2026 Table 23 '!Y:Y,'AEO 2026 Table 23 '!$B:$B,"*,"&amp;$A40&amp;",*"))/SUMIFS('AEO 2026 Table 23 '!Y:Y,'AEO 2026 Table 23 '!$B:$B,"*,"&amp;$A40&amp;",*"),"")</f>
        <v/>
      </c>
      <c r="X40" t="str">
        <f>IFERROR((SUMIFS('AEO 2026 Table 23 '!AA:AA,'AEO 2026 Table 23 '!$B:$B,"*,"&amp;$A40&amp;",*")-SUMIFS('AEO 2026 Table 23 '!Z:Z,'AEO 2026 Table 23 '!$B:$B,"*,"&amp;$A40&amp;",*"))/SUMIFS('AEO 2026 Table 23 '!Z:Z,'AEO 2026 Table 23 '!$B:$B,"*,"&amp;$A40&amp;",*"),"")</f>
        <v/>
      </c>
      <c r="Y40" t="str">
        <f>IFERROR((SUMIFS('AEO 2026 Table 23 '!AB:AB,'AEO 2026 Table 23 '!$B:$B,"*,"&amp;$A40&amp;",*")-SUMIFS('AEO 2026 Table 23 '!AA:AA,'AEO 2026 Table 23 '!$B:$B,"*,"&amp;$A40&amp;",*"))/SUMIFS('AEO 2026 Table 23 '!AA:AA,'AEO 2026 Table 23 '!$B:$B,"*,"&amp;$A40&amp;",*"),"")</f>
        <v/>
      </c>
      <c r="Z40" t="str">
        <f>IFERROR((SUMIFS('AEO 2026 Table 23 '!AC:AC,'AEO 2026 Table 23 '!$B:$B,"*,"&amp;$A40&amp;",*")-SUMIFS('AEO 2026 Table 23 '!AB:AB,'AEO 2026 Table 23 '!$B:$B,"*,"&amp;$A40&amp;",*"))/SUMIFS('AEO 2026 Table 23 '!AB:AB,'AEO 2026 Table 23 '!$B:$B,"*,"&amp;$A40&amp;",*"),"")</f>
        <v/>
      </c>
      <c r="AA40" t="str">
        <f>IFERROR((SUMIFS('AEO 2026 Table 23 '!AD:AD,'AEO 2026 Table 23 '!$B:$B,"*,"&amp;$A40&amp;",*")-SUMIFS('AEO 2026 Table 23 '!AC:AC,'AEO 2026 Table 23 '!$B:$B,"*,"&amp;$A40&amp;",*"))/SUMIFS('AEO 2026 Table 23 '!AC:AC,'AEO 2026 Table 23 '!$B:$B,"*,"&amp;$A40&amp;",*"),"")</f>
        <v/>
      </c>
      <c r="AB40" t="str">
        <f>IFERROR((SUMIFS('AEO 2026 Table 23 '!AE:AE,'AEO 2026 Table 23 '!$B:$B,"*,"&amp;$A40&amp;",*")-SUMIFS('AEO 2026 Table 23 '!AD:AD,'AEO 2026 Table 23 '!$B:$B,"*,"&amp;$A40&amp;",*"))/SUMIFS('AEO 2026 Table 23 '!AD:AD,'AEO 2026 Table 23 '!$B:$B,"*,"&amp;$A40&amp;",*"),"")</f>
        <v/>
      </c>
      <c r="AC40" t="str">
        <f>IFERROR((SUMIFS('AEO 2026 Table 23 '!AF:AF,'AEO 2026 Table 23 '!$B:$B,"*,"&amp;$A40&amp;",*")-SUMIFS('AEO 2026 Table 23 '!AE:AE,'AEO 2026 Table 23 '!$B:$B,"*,"&amp;$A40&amp;",*"))/SUMIFS('AEO 2026 Table 23 '!AE:AE,'AEO 2026 Table 23 '!$B:$B,"*,"&amp;$A40&amp;",*"),"")</f>
        <v/>
      </c>
    </row>
    <row r="41" spans="1:29" x14ac:dyDescent="0.25">
      <c r="A41" t="s">
        <v>512</v>
      </c>
      <c r="B41">
        <f>IFERROR(SUMPRODUCT(--('BLS Table 2.11'!$L$1:$L$426=$A41),'BLS Table 2.11'!$J$1:$J$426,'BLS Table 2.11'!$K$1:$K$426)/SUMIFS('BLS Table 2.11'!$J$1:$J$426,'BLS Table 2.11'!$L$1:$L$426,$A41)/100,0)</f>
        <v>2.7999999999999997E-2</v>
      </c>
      <c r="D41" t="str">
        <f>IFERROR((SUMIFS('AEO 2026 Table 23 '!G:G,'AEO 2026 Table 23 '!$B:$B,"*,"&amp;$A41&amp;",*")-SUMIFS('AEO25 Table 23'!H:H,'AEO25 Table 23'!$B:$B,"*,"&amp;$A41&amp;",*"))/SUMIFS('AEO25 Table 23'!H:H,'AEO25 Table 23'!$B:$B,"*,"&amp;$A41&amp;",*"),"")</f>
        <v/>
      </c>
      <c r="E41" t="str">
        <f>IFERROR((SUMIFS('AEO 2026 Table 23 '!H:H,'AEO 2026 Table 23 '!$B:$B,"*,"&amp;$A41&amp;",*")-SUMIFS('AEO 2026 Table 23 '!G:G,'AEO 2026 Table 23 '!$B:$B,"*,"&amp;$A41&amp;",*"))/SUMIFS('AEO 2026 Table 23 '!G:G,'AEO 2026 Table 23 '!$B:$B,"*,"&amp;$A41&amp;",*"),"")</f>
        <v/>
      </c>
      <c r="F41" t="str">
        <f>IFERROR((SUMIFS('AEO 2026 Table 23 '!I:I,'AEO 2026 Table 23 '!$B:$B,"*,"&amp;$A41&amp;",*")-SUMIFS('AEO 2026 Table 23 '!H:H,'AEO 2026 Table 23 '!$B:$B,"*,"&amp;$A41&amp;",*"))/SUMIFS('AEO 2026 Table 23 '!H:H,'AEO 2026 Table 23 '!$B:$B,"*,"&amp;$A41&amp;",*"),"")</f>
        <v/>
      </c>
      <c r="G41" t="str">
        <f>IFERROR((SUMIFS('AEO 2026 Table 23 '!J:J,'AEO 2026 Table 23 '!$B:$B,"*,"&amp;$A41&amp;",*")-SUMIFS('AEO 2026 Table 23 '!I:I,'AEO 2026 Table 23 '!$B:$B,"*,"&amp;$A41&amp;",*"))/SUMIFS('AEO 2026 Table 23 '!I:I,'AEO 2026 Table 23 '!$B:$B,"*,"&amp;$A41&amp;",*"),"")</f>
        <v/>
      </c>
      <c r="H41" t="str">
        <f>IFERROR((SUMIFS('AEO 2026 Table 23 '!K:K,'AEO 2026 Table 23 '!$B:$B,"*,"&amp;$A41&amp;",*")-SUMIFS('AEO 2026 Table 23 '!J:J,'AEO 2026 Table 23 '!$B:$B,"*,"&amp;$A41&amp;",*"))/SUMIFS('AEO 2026 Table 23 '!J:J,'AEO 2026 Table 23 '!$B:$B,"*,"&amp;$A41&amp;",*"),"")</f>
        <v/>
      </c>
      <c r="I41" t="str">
        <f>IFERROR((SUMIFS('AEO 2026 Table 23 '!L:L,'AEO 2026 Table 23 '!$B:$B,"*,"&amp;$A41&amp;",*")-SUMIFS('AEO 2026 Table 23 '!K:K,'AEO 2026 Table 23 '!$B:$B,"*,"&amp;$A41&amp;",*"))/SUMIFS('AEO 2026 Table 23 '!K:K,'AEO 2026 Table 23 '!$B:$B,"*,"&amp;$A41&amp;",*"),"")</f>
        <v/>
      </c>
      <c r="J41" t="str">
        <f>IFERROR((SUMIFS('AEO 2026 Table 23 '!M:M,'AEO 2026 Table 23 '!$B:$B,"*,"&amp;$A41&amp;",*")-SUMIFS('AEO 2026 Table 23 '!L:L,'AEO 2026 Table 23 '!$B:$B,"*,"&amp;$A41&amp;",*"))/SUMIFS('AEO 2026 Table 23 '!L:L,'AEO 2026 Table 23 '!$B:$B,"*,"&amp;$A41&amp;",*"),"")</f>
        <v/>
      </c>
      <c r="K41" t="str">
        <f>IFERROR((SUMIFS('AEO 2026 Table 23 '!N:N,'AEO 2026 Table 23 '!$B:$B,"*,"&amp;$A41&amp;",*")-SUMIFS('AEO 2026 Table 23 '!M:M,'AEO 2026 Table 23 '!$B:$B,"*,"&amp;$A41&amp;",*"))/SUMIFS('AEO 2026 Table 23 '!M:M,'AEO 2026 Table 23 '!$B:$B,"*,"&amp;$A41&amp;",*"),"")</f>
        <v/>
      </c>
      <c r="L41" t="str">
        <f>IFERROR((SUMIFS('AEO 2026 Table 23 '!O:O,'AEO 2026 Table 23 '!$B:$B,"*,"&amp;$A41&amp;",*")-SUMIFS('AEO 2026 Table 23 '!N:N,'AEO 2026 Table 23 '!$B:$B,"*,"&amp;$A41&amp;",*"))/SUMIFS('AEO 2026 Table 23 '!N:N,'AEO 2026 Table 23 '!$B:$B,"*,"&amp;$A41&amp;",*"),"")</f>
        <v/>
      </c>
      <c r="M41" t="str">
        <f>IFERROR((SUMIFS('AEO 2026 Table 23 '!P:P,'AEO 2026 Table 23 '!$B:$B,"*,"&amp;$A41&amp;",*")-SUMIFS('AEO 2026 Table 23 '!O:O,'AEO 2026 Table 23 '!$B:$B,"*,"&amp;$A41&amp;",*"))/SUMIFS('AEO 2026 Table 23 '!O:O,'AEO 2026 Table 23 '!$B:$B,"*,"&amp;$A41&amp;",*"),"")</f>
        <v/>
      </c>
      <c r="N41" t="str">
        <f>IFERROR((SUMIFS('AEO 2026 Table 23 '!Q:Q,'AEO 2026 Table 23 '!$B:$B,"*,"&amp;$A41&amp;",*")-SUMIFS('AEO 2026 Table 23 '!P:P,'AEO 2026 Table 23 '!$B:$B,"*,"&amp;$A41&amp;",*"))/SUMIFS('AEO 2026 Table 23 '!P:P,'AEO 2026 Table 23 '!$B:$B,"*,"&amp;$A41&amp;",*"),"")</f>
        <v/>
      </c>
      <c r="O41" t="str">
        <f>IFERROR((SUMIFS('AEO 2026 Table 23 '!R:R,'AEO 2026 Table 23 '!$B:$B,"*,"&amp;$A41&amp;",*")-SUMIFS('AEO 2026 Table 23 '!Q:Q,'AEO 2026 Table 23 '!$B:$B,"*,"&amp;$A41&amp;",*"))/SUMIFS('AEO 2026 Table 23 '!Q:Q,'AEO 2026 Table 23 '!$B:$B,"*,"&amp;$A41&amp;",*"),"")</f>
        <v/>
      </c>
      <c r="P41" t="str">
        <f>IFERROR((SUMIFS('AEO 2026 Table 23 '!S:S,'AEO 2026 Table 23 '!$B:$B,"*,"&amp;$A41&amp;",*")-SUMIFS('AEO 2026 Table 23 '!R:R,'AEO 2026 Table 23 '!$B:$B,"*,"&amp;$A41&amp;",*"))/SUMIFS('AEO 2026 Table 23 '!R:R,'AEO 2026 Table 23 '!$B:$B,"*,"&amp;$A41&amp;",*"),"")</f>
        <v/>
      </c>
      <c r="Q41" t="str">
        <f>IFERROR((SUMIFS('AEO 2026 Table 23 '!T:T,'AEO 2026 Table 23 '!$B:$B,"*,"&amp;$A41&amp;",*")-SUMIFS('AEO 2026 Table 23 '!S:S,'AEO 2026 Table 23 '!$B:$B,"*,"&amp;$A41&amp;",*"))/SUMIFS('AEO 2026 Table 23 '!S:S,'AEO 2026 Table 23 '!$B:$B,"*,"&amp;$A41&amp;",*"),"")</f>
        <v/>
      </c>
      <c r="R41" t="str">
        <f>IFERROR((SUMIFS('AEO 2026 Table 23 '!U:U,'AEO 2026 Table 23 '!$B:$B,"*,"&amp;$A41&amp;",*")-SUMIFS('AEO 2026 Table 23 '!T:T,'AEO 2026 Table 23 '!$B:$B,"*,"&amp;$A41&amp;",*"))/SUMIFS('AEO 2026 Table 23 '!T:T,'AEO 2026 Table 23 '!$B:$B,"*,"&amp;$A41&amp;",*"),"")</f>
        <v/>
      </c>
      <c r="S41" t="str">
        <f>IFERROR((SUMIFS('AEO 2026 Table 23 '!V:V,'AEO 2026 Table 23 '!$B:$B,"*,"&amp;$A41&amp;",*")-SUMIFS('AEO 2026 Table 23 '!U:U,'AEO 2026 Table 23 '!$B:$B,"*,"&amp;$A41&amp;",*"))/SUMIFS('AEO 2026 Table 23 '!U:U,'AEO 2026 Table 23 '!$B:$B,"*,"&amp;$A41&amp;",*"),"")</f>
        <v/>
      </c>
      <c r="T41" t="str">
        <f>IFERROR((SUMIFS('AEO 2026 Table 23 '!W:W,'AEO 2026 Table 23 '!$B:$B,"*,"&amp;$A41&amp;",*")-SUMIFS('AEO 2026 Table 23 '!V:V,'AEO 2026 Table 23 '!$B:$B,"*,"&amp;$A41&amp;",*"))/SUMIFS('AEO 2026 Table 23 '!V:V,'AEO 2026 Table 23 '!$B:$B,"*,"&amp;$A41&amp;",*"),"")</f>
        <v/>
      </c>
      <c r="U41" t="str">
        <f>IFERROR((SUMIFS('AEO 2026 Table 23 '!X:X,'AEO 2026 Table 23 '!$B:$B,"*,"&amp;$A41&amp;",*")-SUMIFS('AEO 2026 Table 23 '!W:W,'AEO 2026 Table 23 '!$B:$B,"*,"&amp;$A41&amp;",*"))/SUMIFS('AEO 2026 Table 23 '!W:W,'AEO 2026 Table 23 '!$B:$B,"*,"&amp;$A41&amp;",*"),"")</f>
        <v/>
      </c>
      <c r="V41" t="str">
        <f>IFERROR((SUMIFS('AEO 2026 Table 23 '!Y:Y,'AEO 2026 Table 23 '!$B:$B,"*,"&amp;$A41&amp;",*")-SUMIFS('AEO 2026 Table 23 '!X:X,'AEO 2026 Table 23 '!$B:$B,"*,"&amp;$A41&amp;",*"))/SUMIFS('AEO 2026 Table 23 '!X:X,'AEO 2026 Table 23 '!$B:$B,"*,"&amp;$A41&amp;",*"),"")</f>
        <v/>
      </c>
      <c r="W41" t="str">
        <f>IFERROR((SUMIFS('AEO 2026 Table 23 '!Z:Z,'AEO 2026 Table 23 '!$B:$B,"*,"&amp;$A41&amp;",*")-SUMIFS('AEO 2026 Table 23 '!Y:Y,'AEO 2026 Table 23 '!$B:$B,"*,"&amp;$A41&amp;",*"))/SUMIFS('AEO 2026 Table 23 '!Y:Y,'AEO 2026 Table 23 '!$B:$B,"*,"&amp;$A41&amp;",*"),"")</f>
        <v/>
      </c>
      <c r="X41" t="str">
        <f>IFERROR((SUMIFS('AEO 2026 Table 23 '!AA:AA,'AEO 2026 Table 23 '!$B:$B,"*,"&amp;$A41&amp;",*")-SUMIFS('AEO 2026 Table 23 '!Z:Z,'AEO 2026 Table 23 '!$B:$B,"*,"&amp;$A41&amp;",*"))/SUMIFS('AEO 2026 Table 23 '!Z:Z,'AEO 2026 Table 23 '!$B:$B,"*,"&amp;$A41&amp;",*"),"")</f>
        <v/>
      </c>
      <c r="Y41" t="str">
        <f>IFERROR((SUMIFS('AEO 2026 Table 23 '!AB:AB,'AEO 2026 Table 23 '!$B:$B,"*,"&amp;$A41&amp;",*")-SUMIFS('AEO 2026 Table 23 '!AA:AA,'AEO 2026 Table 23 '!$B:$B,"*,"&amp;$A41&amp;",*"))/SUMIFS('AEO 2026 Table 23 '!AA:AA,'AEO 2026 Table 23 '!$B:$B,"*,"&amp;$A41&amp;",*"),"")</f>
        <v/>
      </c>
      <c r="Z41" t="str">
        <f>IFERROR((SUMIFS('AEO 2026 Table 23 '!AC:AC,'AEO 2026 Table 23 '!$B:$B,"*,"&amp;$A41&amp;",*")-SUMIFS('AEO 2026 Table 23 '!AB:AB,'AEO 2026 Table 23 '!$B:$B,"*,"&amp;$A41&amp;",*"))/SUMIFS('AEO 2026 Table 23 '!AB:AB,'AEO 2026 Table 23 '!$B:$B,"*,"&amp;$A41&amp;",*"),"")</f>
        <v/>
      </c>
      <c r="AA41" t="str">
        <f>IFERROR((SUMIFS('AEO 2026 Table 23 '!AD:AD,'AEO 2026 Table 23 '!$B:$B,"*,"&amp;$A41&amp;",*")-SUMIFS('AEO 2026 Table 23 '!AC:AC,'AEO 2026 Table 23 '!$B:$B,"*,"&amp;$A41&amp;",*"))/SUMIFS('AEO 2026 Table 23 '!AC:AC,'AEO 2026 Table 23 '!$B:$B,"*,"&amp;$A41&amp;",*"),"")</f>
        <v/>
      </c>
      <c r="AB41" t="str">
        <f>IFERROR((SUMIFS('AEO 2026 Table 23 '!AE:AE,'AEO 2026 Table 23 '!$B:$B,"*,"&amp;$A41&amp;",*")-SUMIFS('AEO 2026 Table 23 '!AD:AD,'AEO 2026 Table 23 '!$B:$B,"*,"&amp;$A41&amp;",*"))/SUMIFS('AEO 2026 Table 23 '!AD:AD,'AEO 2026 Table 23 '!$B:$B,"*,"&amp;$A41&amp;",*"),"")</f>
        <v/>
      </c>
      <c r="AC41" t="str">
        <f>IFERROR((SUMIFS('AEO 2026 Table 23 '!AF:AF,'AEO 2026 Table 23 '!$B:$B,"*,"&amp;$A41&amp;",*")-SUMIFS('AEO 2026 Table 23 '!AE:AE,'AEO 2026 Table 23 '!$B:$B,"*,"&amp;$A41&amp;",*"))/SUMIFS('AEO 2026 Table 23 '!AE:AE,'AEO 2026 Table 23 '!$B:$B,"*,"&amp;$A41&amp;",*"),"")</f>
        <v/>
      </c>
    </row>
    <row r="42" spans="1:29" x14ac:dyDescent="0.25">
      <c r="A42" t="s">
        <v>863</v>
      </c>
      <c r="B42">
        <f>IFERROR(SUMPRODUCT(--('BLS Table 2.11'!$L$1:$L$426=$A42),'BLS Table 2.11'!$J$1:$J$426,'BLS Table 2.11'!$K$1:$K$426)/SUMIFS('BLS Table 2.11'!$J$1:$J$426,'BLS Table 2.11'!$L$1:$L$426,$A42)/100,0)</f>
        <v>2.3E-2</v>
      </c>
      <c r="D42" t="str">
        <f>IFERROR((SUMIFS('AEO 2026 Table 23 '!G:G,'AEO 2026 Table 23 '!$B:$B,"*,"&amp;$A42&amp;",*")-SUMIFS('AEO25 Table 23'!H:H,'AEO25 Table 23'!$B:$B,"*,"&amp;$A42&amp;",*"))/SUMIFS('AEO25 Table 23'!H:H,'AEO25 Table 23'!$B:$B,"*,"&amp;$A42&amp;",*"),"")</f>
        <v/>
      </c>
      <c r="E42" t="str">
        <f>IFERROR((SUMIFS('AEO 2026 Table 23 '!H:H,'AEO 2026 Table 23 '!$B:$B,"*,"&amp;$A42&amp;",*")-SUMIFS('AEO 2026 Table 23 '!G:G,'AEO 2026 Table 23 '!$B:$B,"*,"&amp;$A42&amp;",*"))/SUMIFS('AEO 2026 Table 23 '!G:G,'AEO 2026 Table 23 '!$B:$B,"*,"&amp;$A42&amp;",*"),"")</f>
        <v/>
      </c>
      <c r="F42" t="str">
        <f>IFERROR((SUMIFS('AEO 2026 Table 23 '!I:I,'AEO 2026 Table 23 '!$B:$B,"*,"&amp;$A42&amp;",*")-SUMIFS('AEO 2026 Table 23 '!H:H,'AEO 2026 Table 23 '!$B:$B,"*,"&amp;$A42&amp;",*"))/SUMIFS('AEO 2026 Table 23 '!H:H,'AEO 2026 Table 23 '!$B:$B,"*,"&amp;$A42&amp;",*"),"")</f>
        <v/>
      </c>
      <c r="G42" t="str">
        <f>IFERROR((SUMIFS('AEO 2026 Table 23 '!J:J,'AEO 2026 Table 23 '!$B:$B,"*,"&amp;$A42&amp;",*")-SUMIFS('AEO 2026 Table 23 '!I:I,'AEO 2026 Table 23 '!$B:$B,"*,"&amp;$A42&amp;",*"))/SUMIFS('AEO 2026 Table 23 '!I:I,'AEO 2026 Table 23 '!$B:$B,"*,"&amp;$A42&amp;",*"),"")</f>
        <v/>
      </c>
      <c r="H42" t="str">
        <f>IFERROR((SUMIFS('AEO 2026 Table 23 '!K:K,'AEO 2026 Table 23 '!$B:$B,"*,"&amp;$A42&amp;",*")-SUMIFS('AEO 2026 Table 23 '!J:J,'AEO 2026 Table 23 '!$B:$B,"*,"&amp;$A42&amp;",*"))/SUMIFS('AEO 2026 Table 23 '!J:J,'AEO 2026 Table 23 '!$B:$B,"*,"&amp;$A42&amp;",*"),"")</f>
        <v/>
      </c>
      <c r="I42" t="str">
        <f>IFERROR((SUMIFS('AEO 2026 Table 23 '!L:L,'AEO 2026 Table 23 '!$B:$B,"*,"&amp;$A42&amp;",*")-SUMIFS('AEO 2026 Table 23 '!K:K,'AEO 2026 Table 23 '!$B:$B,"*,"&amp;$A42&amp;",*"))/SUMIFS('AEO 2026 Table 23 '!K:K,'AEO 2026 Table 23 '!$B:$B,"*,"&amp;$A42&amp;",*"),"")</f>
        <v/>
      </c>
      <c r="J42" t="str">
        <f>IFERROR((SUMIFS('AEO 2026 Table 23 '!M:M,'AEO 2026 Table 23 '!$B:$B,"*,"&amp;$A42&amp;",*")-SUMIFS('AEO 2026 Table 23 '!L:L,'AEO 2026 Table 23 '!$B:$B,"*,"&amp;$A42&amp;",*"))/SUMIFS('AEO 2026 Table 23 '!L:L,'AEO 2026 Table 23 '!$B:$B,"*,"&amp;$A42&amp;",*"),"")</f>
        <v/>
      </c>
      <c r="K42" t="str">
        <f>IFERROR((SUMIFS('AEO 2026 Table 23 '!N:N,'AEO 2026 Table 23 '!$B:$B,"*,"&amp;$A42&amp;",*")-SUMIFS('AEO 2026 Table 23 '!M:M,'AEO 2026 Table 23 '!$B:$B,"*,"&amp;$A42&amp;",*"))/SUMIFS('AEO 2026 Table 23 '!M:M,'AEO 2026 Table 23 '!$B:$B,"*,"&amp;$A42&amp;",*"),"")</f>
        <v/>
      </c>
      <c r="L42" t="str">
        <f>IFERROR((SUMIFS('AEO 2026 Table 23 '!O:O,'AEO 2026 Table 23 '!$B:$B,"*,"&amp;$A42&amp;",*")-SUMIFS('AEO 2026 Table 23 '!N:N,'AEO 2026 Table 23 '!$B:$B,"*,"&amp;$A42&amp;",*"))/SUMIFS('AEO 2026 Table 23 '!N:N,'AEO 2026 Table 23 '!$B:$B,"*,"&amp;$A42&amp;",*"),"")</f>
        <v/>
      </c>
      <c r="M42" t="str">
        <f>IFERROR((SUMIFS('AEO 2026 Table 23 '!P:P,'AEO 2026 Table 23 '!$B:$B,"*,"&amp;$A42&amp;",*")-SUMIFS('AEO 2026 Table 23 '!O:O,'AEO 2026 Table 23 '!$B:$B,"*,"&amp;$A42&amp;",*"))/SUMIFS('AEO 2026 Table 23 '!O:O,'AEO 2026 Table 23 '!$B:$B,"*,"&amp;$A42&amp;",*"),"")</f>
        <v/>
      </c>
      <c r="N42" t="str">
        <f>IFERROR((SUMIFS('AEO 2026 Table 23 '!Q:Q,'AEO 2026 Table 23 '!$B:$B,"*,"&amp;$A42&amp;",*")-SUMIFS('AEO 2026 Table 23 '!P:P,'AEO 2026 Table 23 '!$B:$B,"*,"&amp;$A42&amp;",*"))/SUMIFS('AEO 2026 Table 23 '!P:P,'AEO 2026 Table 23 '!$B:$B,"*,"&amp;$A42&amp;",*"),"")</f>
        <v/>
      </c>
      <c r="O42" t="str">
        <f>IFERROR((SUMIFS('AEO 2026 Table 23 '!R:R,'AEO 2026 Table 23 '!$B:$B,"*,"&amp;$A42&amp;",*")-SUMIFS('AEO 2026 Table 23 '!Q:Q,'AEO 2026 Table 23 '!$B:$B,"*,"&amp;$A42&amp;",*"))/SUMIFS('AEO 2026 Table 23 '!Q:Q,'AEO 2026 Table 23 '!$B:$B,"*,"&amp;$A42&amp;",*"),"")</f>
        <v/>
      </c>
      <c r="P42" t="str">
        <f>IFERROR((SUMIFS('AEO 2026 Table 23 '!S:S,'AEO 2026 Table 23 '!$B:$B,"*,"&amp;$A42&amp;",*")-SUMIFS('AEO 2026 Table 23 '!R:R,'AEO 2026 Table 23 '!$B:$B,"*,"&amp;$A42&amp;",*"))/SUMIFS('AEO 2026 Table 23 '!R:R,'AEO 2026 Table 23 '!$B:$B,"*,"&amp;$A42&amp;",*"),"")</f>
        <v/>
      </c>
      <c r="Q42" t="str">
        <f>IFERROR((SUMIFS('AEO 2026 Table 23 '!T:T,'AEO 2026 Table 23 '!$B:$B,"*,"&amp;$A42&amp;",*")-SUMIFS('AEO 2026 Table 23 '!S:S,'AEO 2026 Table 23 '!$B:$B,"*,"&amp;$A42&amp;",*"))/SUMIFS('AEO 2026 Table 23 '!S:S,'AEO 2026 Table 23 '!$B:$B,"*,"&amp;$A42&amp;",*"),"")</f>
        <v/>
      </c>
      <c r="R42" t="str">
        <f>IFERROR((SUMIFS('AEO 2026 Table 23 '!U:U,'AEO 2026 Table 23 '!$B:$B,"*,"&amp;$A42&amp;",*")-SUMIFS('AEO 2026 Table 23 '!T:T,'AEO 2026 Table 23 '!$B:$B,"*,"&amp;$A42&amp;",*"))/SUMIFS('AEO 2026 Table 23 '!T:T,'AEO 2026 Table 23 '!$B:$B,"*,"&amp;$A42&amp;",*"),"")</f>
        <v/>
      </c>
      <c r="S42" t="str">
        <f>IFERROR((SUMIFS('AEO 2026 Table 23 '!V:V,'AEO 2026 Table 23 '!$B:$B,"*,"&amp;$A42&amp;",*")-SUMIFS('AEO 2026 Table 23 '!U:U,'AEO 2026 Table 23 '!$B:$B,"*,"&amp;$A42&amp;",*"))/SUMIFS('AEO 2026 Table 23 '!U:U,'AEO 2026 Table 23 '!$B:$B,"*,"&amp;$A42&amp;",*"),"")</f>
        <v/>
      </c>
      <c r="T42" t="str">
        <f>IFERROR((SUMIFS('AEO 2026 Table 23 '!W:W,'AEO 2026 Table 23 '!$B:$B,"*,"&amp;$A42&amp;",*")-SUMIFS('AEO 2026 Table 23 '!V:V,'AEO 2026 Table 23 '!$B:$B,"*,"&amp;$A42&amp;",*"))/SUMIFS('AEO 2026 Table 23 '!V:V,'AEO 2026 Table 23 '!$B:$B,"*,"&amp;$A42&amp;",*"),"")</f>
        <v/>
      </c>
      <c r="U42" t="str">
        <f>IFERROR((SUMIFS('AEO 2026 Table 23 '!X:X,'AEO 2026 Table 23 '!$B:$B,"*,"&amp;$A42&amp;",*")-SUMIFS('AEO 2026 Table 23 '!W:W,'AEO 2026 Table 23 '!$B:$B,"*,"&amp;$A42&amp;",*"))/SUMIFS('AEO 2026 Table 23 '!W:W,'AEO 2026 Table 23 '!$B:$B,"*,"&amp;$A42&amp;",*"),"")</f>
        <v/>
      </c>
      <c r="V42" t="str">
        <f>IFERROR((SUMIFS('AEO 2026 Table 23 '!Y:Y,'AEO 2026 Table 23 '!$B:$B,"*,"&amp;$A42&amp;",*")-SUMIFS('AEO 2026 Table 23 '!X:X,'AEO 2026 Table 23 '!$B:$B,"*,"&amp;$A42&amp;",*"))/SUMIFS('AEO 2026 Table 23 '!X:X,'AEO 2026 Table 23 '!$B:$B,"*,"&amp;$A42&amp;",*"),"")</f>
        <v/>
      </c>
      <c r="W42" t="str">
        <f>IFERROR((SUMIFS('AEO 2026 Table 23 '!Z:Z,'AEO 2026 Table 23 '!$B:$B,"*,"&amp;$A42&amp;",*")-SUMIFS('AEO 2026 Table 23 '!Y:Y,'AEO 2026 Table 23 '!$B:$B,"*,"&amp;$A42&amp;",*"))/SUMIFS('AEO 2026 Table 23 '!Y:Y,'AEO 2026 Table 23 '!$B:$B,"*,"&amp;$A42&amp;",*"),"")</f>
        <v/>
      </c>
      <c r="X42" t="str">
        <f>IFERROR((SUMIFS('AEO 2026 Table 23 '!AA:AA,'AEO 2026 Table 23 '!$B:$B,"*,"&amp;$A42&amp;",*")-SUMIFS('AEO 2026 Table 23 '!Z:Z,'AEO 2026 Table 23 '!$B:$B,"*,"&amp;$A42&amp;",*"))/SUMIFS('AEO 2026 Table 23 '!Z:Z,'AEO 2026 Table 23 '!$B:$B,"*,"&amp;$A42&amp;",*"),"")</f>
        <v/>
      </c>
      <c r="Y42" t="str">
        <f>IFERROR((SUMIFS('AEO 2026 Table 23 '!AB:AB,'AEO 2026 Table 23 '!$B:$B,"*,"&amp;$A42&amp;",*")-SUMIFS('AEO 2026 Table 23 '!AA:AA,'AEO 2026 Table 23 '!$B:$B,"*,"&amp;$A42&amp;",*"))/SUMIFS('AEO 2026 Table 23 '!AA:AA,'AEO 2026 Table 23 '!$B:$B,"*,"&amp;$A42&amp;",*"),"")</f>
        <v/>
      </c>
      <c r="Z42" t="str">
        <f>IFERROR((SUMIFS('AEO 2026 Table 23 '!AC:AC,'AEO 2026 Table 23 '!$B:$B,"*,"&amp;$A42&amp;",*")-SUMIFS('AEO 2026 Table 23 '!AB:AB,'AEO 2026 Table 23 '!$B:$B,"*,"&amp;$A42&amp;",*"))/SUMIFS('AEO 2026 Table 23 '!AB:AB,'AEO 2026 Table 23 '!$B:$B,"*,"&amp;$A42&amp;",*"),"")</f>
        <v/>
      </c>
      <c r="AA42" t="str">
        <f>IFERROR((SUMIFS('AEO 2026 Table 23 '!AD:AD,'AEO 2026 Table 23 '!$B:$B,"*,"&amp;$A42&amp;",*")-SUMIFS('AEO 2026 Table 23 '!AC:AC,'AEO 2026 Table 23 '!$B:$B,"*,"&amp;$A42&amp;",*"))/SUMIFS('AEO 2026 Table 23 '!AC:AC,'AEO 2026 Table 23 '!$B:$B,"*,"&amp;$A42&amp;",*"),"")</f>
        <v/>
      </c>
      <c r="AB42" t="str">
        <f>IFERROR((SUMIFS('AEO 2026 Table 23 '!AE:AE,'AEO 2026 Table 23 '!$B:$B,"*,"&amp;$A42&amp;",*")-SUMIFS('AEO 2026 Table 23 '!AD:AD,'AEO 2026 Table 23 '!$B:$B,"*,"&amp;$A42&amp;",*"))/SUMIFS('AEO 2026 Table 23 '!AD:AD,'AEO 2026 Table 23 '!$B:$B,"*,"&amp;$A42&amp;",*"),"")</f>
        <v/>
      </c>
      <c r="AC42" t="str">
        <f>IFERROR((SUMIFS('AEO 2026 Table 23 '!AF:AF,'AEO 2026 Table 23 '!$B:$B,"*,"&amp;$A42&amp;",*")-SUMIFS('AEO 2026 Table 23 '!AE:AE,'AEO 2026 Table 23 '!$B:$B,"*,"&amp;$A42&amp;",*"))/SUMIFS('AEO 2026 Table 23 '!AE:AE,'AEO 2026 Table 23 '!$B:$B,"*,"&amp;$A42&amp;",*"),"")</f>
        <v/>
      </c>
    </row>
    <row r="43" spans="1:29" x14ac:dyDescent="0.25">
      <c r="A43" t="s">
        <v>523</v>
      </c>
      <c r="B43">
        <f>IFERROR(SUMPRODUCT(--('BLS Table 2.11'!$L$1:$L$426=$A43),'BLS Table 2.11'!$J$1:$J$426,'BLS Table 2.11'!$K$1:$K$426)/SUMIFS('BLS Table 2.11'!$J$1:$J$426,'BLS Table 2.11'!$L$1:$L$426,$A43)/100,0)</f>
        <v>3.6673081381868769E-2</v>
      </c>
      <c r="D43" t="str">
        <f>IFERROR((SUMIFS('AEO 2026 Table 23 '!G:G,'AEO 2026 Table 23 '!$B:$B,"*,"&amp;$A43&amp;",*")-SUMIFS('AEO25 Table 23'!H:H,'AEO25 Table 23'!$B:$B,"*,"&amp;$A43&amp;",*"))/SUMIFS('AEO25 Table 23'!H:H,'AEO25 Table 23'!$B:$B,"*,"&amp;$A43&amp;",*"),"")</f>
        <v/>
      </c>
      <c r="E43" t="str">
        <f>IFERROR((SUMIFS('AEO 2026 Table 23 '!H:H,'AEO 2026 Table 23 '!$B:$B,"*,"&amp;$A43&amp;",*")-SUMIFS('AEO 2026 Table 23 '!G:G,'AEO 2026 Table 23 '!$B:$B,"*,"&amp;$A43&amp;",*"))/SUMIFS('AEO 2026 Table 23 '!G:G,'AEO 2026 Table 23 '!$B:$B,"*,"&amp;$A43&amp;",*"),"")</f>
        <v/>
      </c>
      <c r="F43" t="str">
        <f>IFERROR((SUMIFS('AEO 2026 Table 23 '!I:I,'AEO 2026 Table 23 '!$B:$B,"*,"&amp;$A43&amp;",*")-SUMIFS('AEO 2026 Table 23 '!H:H,'AEO 2026 Table 23 '!$B:$B,"*,"&amp;$A43&amp;",*"))/SUMIFS('AEO 2026 Table 23 '!H:H,'AEO 2026 Table 23 '!$B:$B,"*,"&amp;$A43&amp;",*"),"")</f>
        <v/>
      </c>
      <c r="G43" t="str">
        <f>IFERROR((SUMIFS('AEO 2026 Table 23 '!J:J,'AEO 2026 Table 23 '!$B:$B,"*,"&amp;$A43&amp;",*")-SUMIFS('AEO 2026 Table 23 '!I:I,'AEO 2026 Table 23 '!$B:$B,"*,"&amp;$A43&amp;",*"))/SUMIFS('AEO 2026 Table 23 '!I:I,'AEO 2026 Table 23 '!$B:$B,"*,"&amp;$A43&amp;",*"),"")</f>
        <v/>
      </c>
      <c r="H43" t="str">
        <f>IFERROR((SUMIFS('AEO 2026 Table 23 '!K:K,'AEO 2026 Table 23 '!$B:$B,"*,"&amp;$A43&amp;",*")-SUMIFS('AEO 2026 Table 23 '!J:J,'AEO 2026 Table 23 '!$B:$B,"*,"&amp;$A43&amp;",*"))/SUMIFS('AEO 2026 Table 23 '!J:J,'AEO 2026 Table 23 '!$B:$B,"*,"&amp;$A43&amp;",*"),"")</f>
        <v/>
      </c>
      <c r="I43" t="str">
        <f>IFERROR((SUMIFS('AEO 2026 Table 23 '!L:L,'AEO 2026 Table 23 '!$B:$B,"*,"&amp;$A43&amp;",*")-SUMIFS('AEO 2026 Table 23 '!K:K,'AEO 2026 Table 23 '!$B:$B,"*,"&amp;$A43&amp;",*"))/SUMIFS('AEO 2026 Table 23 '!K:K,'AEO 2026 Table 23 '!$B:$B,"*,"&amp;$A43&amp;",*"),"")</f>
        <v/>
      </c>
      <c r="J43" t="str">
        <f>IFERROR((SUMIFS('AEO 2026 Table 23 '!M:M,'AEO 2026 Table 23 '!$B:$B,"*,"&amp;$A43&amp;",*")-SUMIFS('AEO 2026 Table 23 '!L:L,'AEO 2026 Table 23 '!$B:$B,"*,"&amp;$A43&amp;",*"))/SUMIFS('AEO 2026 Table 23 '!L:L,'AEO 2026 Table 23 '!$B:$B,"*,"&amp;$A43&amp;",*"),"")</f>
        <v/>
      </c>
      <c r="K43" t="str">
        <f>IFERROR((SUMIFS('AEO 2026 Table 23 '!N:N,'AEO 2026 Table 23 '!$B:$B,"*,"&amp;$A43&amp;",*")-SUMIFS('AEO 2026 Table 23 '!M:M,'AEO 2026 Table 23 '!$B:$B,"*,"&amp;$A43&amp;",*"))/SUMIFS('AEO 2026 Table 23 '!M:M,'AEO 2026 Table 23 '!$B:$B,"*,"&amp;$A43&amp;",*"),"")</f>
        <v/>
      </c>
      <c r="L43" t="str">
        <f>IFERROR((SUMIFS('AEO 2026 Table 23 '!O:O,'AEO 2026 Table 23 '!$B:$B,"*,"&amp;$A43&amp;",*")-SUMIFS('AEO 2026 Table 23 '!N:N,'AEO 2026 Table 23 '!$B:$B,"*,"&amp;$A43&amp;",*"))/SUMIFS('AEO 2026 Table 23 '!N:N,'AEO 2026 Table 23 '!$B:$B,"*,"&amp;$A43&amp;",*"),"")</f>
        <v/>
      </c>
      <c r="M43" t="str">
        <f>IFERROR((SUMIFS('AEO 2026 Table 23 '!P:P,'AEO 2026 Table 23 '!$B:$B,"*,"&amp;$A43&amp;",*")-SUMIFS('AEO 2026 Table 23 '!O:O,'AEO 2026 Table 23 '!$B:$B,"*,"&amp;$A43&amp;",*"))/SUMIFS('AEO 2026 Table 23 '!O:O,'AEO 2026 Table 23 '!$B:$B,"*,"&amp;$A43&amp;",*"),"")</f>
        <v/>
      </c>
      <c r="N43" t="str">
        <f>IFERROR((SUMIFS('AEO 2026 Table 23 '!Q:Q,'AEO 2026 Table 23 '!$B:$B,"*,"&amp;$A43&amp;",*")-SUMIFS('AEO 2026 Table 23 '!P:P,'AEO 2026 Table 23 '!$B:$B,"*,"&amp;$A43&amp;",*"))/SUMIFS('AEO 2026 Table 23 '!P:P,'AEO 2026 Table 23 '!$B:$B,"*,"&amp;$A43&amp;",*"),"")</f>
        <v/>
      </c>
      <c r="O43" t="str">
        <f>IFERROR((SUMIFS('AEO 2026 Table 23 '!R:R,'AEO 2026 Table 23 '!$B:$B,"*,"&amp;$A43&amp;",*")-SUMIFS('AEO 2026 Table 23 '!Q:Q,'AEO 2026 Table 23 '!$B:$B,"*,"&amp;$A43&amp;",*"))/SUMIFS('AEO 2026 Table 23 '!Q:Q,'AEO 2026 Table 23 '!$B:$B,"*,"&amp;$A43&amp;",*"),"")</f>
        <v/>
      </c>
      <c r="P43" t="str">
        <f>IFERROR((SUMIFS('AEO 2026 Table 23 '!S:S,'AEO 2026 Table 23 '!$B:$B,"*,"&amp;$A43&amp;",*")-SUMIFS('AEO 2026 Table 23 '!R:R,'AEO 2026 Table 23 '!$B:$B,"*,"&amp;$A43&amp;",*"))/SUMIFS('AEO 2026 Table 23 '!R:R,'AEO 2026 Table 23 '!$B:$B,"*,"&amp;$A43&amp;",*"),"")</f>
        <v/>
      </c>
      <c r="Q43" t="str">
        <f>IFERROR((SUMIFS('AEO 2026 Table 23 '!T:T,'AEO 2026 Table 23 '!$B:$B,"*,"&amp;$A43&amp;",*")-SUMIFS('AEO 2026 Table 23 '!S:S,'AEO 2026 Table 23 '!$B:$B,"*,"&amp;$A43&amp;",*"))/SUMIFS('AEO 2026 Table 23 '!S:S,'AEO 2026 Table 23 '!$B:$B,"*,"&amp;$A43&amp;",*"),"")</f>
        <v/>
      </c>
      <c r="R43" t="str">
        <f>IFERROR((SUMIFS('AEO 2026 Table 23 '!U:U,'AEO 2026 Table 23 '!$B:$B,"*,"&amp;$A43&amp;",*")-SUMIFS('AEO 2026 Table 23 '!T:T,'AEO 2026 Table 23 '!$B:$B,"*,"&amp;$A43&amp;",*"))/SUMIFS('AEO 2026 Table 23 '!T:T,'AEO 2026 Table 23 '!$B:$B,"*,"&amp;$A43&amp;",*"),"")</f>
        <v/>
      </c>
      <c r="S43" t="str">
        <f>IFERROR((SUMIFS('AEO 2026 Table 23 '!V:V,'AEO 2026 Table 23 '!$B:$B,"*,"&amp;$A43&amp;",*")-SUMIFS('AEO 2026 Table 23 '!U:U,'AEO 2026 Table 23 '!$B:$B,"*,"&amp;$A43&amp;",*"))/SUMIFS('AEO 2026 Table 23 '!U:U,'AEO 2026 Table 23 '!$B:$B,"*,"&amp;$A43&amp;",*"),"")</f>
        <v/>
      </c>
      <c r="T43" t="str">
        <f>IFERROR((SUMIFS('AEO 2026 Table 23 '!W:W,'AEO 2026 Table 23 '!$B:$B,"*,"&amp;$A43&amp;",*")-SUMIFS('AEO 2026 Table 23 '!V:V,'AEO 2026 Table 23 '!$B:$B,"*,"&amp;$A43&amp;",*"))/SUMIFS('AEO 2026 Table 23 '!V:V,'AEO 2026 Table 23 '!$B:$B,"*,"&amp;$A43&amp;",*"),"")</f>
        <v/>
      </c>
      <c r="U43" t="str">
        <f>IFERROR((SUMIFS('AEO 2026 Table 23 '!X:X,'AEO 2026 Table 23 '!$B:$B,"*,"&amp;$A43&amp;",*")-SUMIFS('AEO 2026 Table 23 '!W:W,'AEO 2026 Table 23 '!$B:$B,"*,"&amp;$A43&amp;",*"))/SUMIFS('AEO 2026 Table 23 '!W:W,'AEO 2026 Table 23 '!$B:$B,"*,"&amp;$A43&amp;",*"),"")</f>
        <v/>
      </c>
      <c r="V43" t="str">
        <f>IFERROR((SUMIFS('AEO 2026 Table 23 '!Y:Y,'AEO 2026 Table 23 '!$B:$B,"*,"&amp;$A43&amp;",*")-SUMIFS('AEO 2026 Table 23 '!X:X,'AEO 2026 Table 23 '!$B:$B,"*,"&amp;$A43&amp;",*"))/SUMIFS('AEO 2026 Table 23 '!X:X,'AEO 2026 Table 23 '!$B:$B,"*,"&amp;$A43&amp;",*"),"")</f>
        <v/>
      </c>
      <c r="W43" t="str">
        <f>IFERROR((SUMIFS('AEO 2026 Table 23 '!Z:Z,'AEO 2026 Table 23 '!$B:$B,"*,"&amp;$A43&amp;",*")-SUMIFS('AEO 2026 Table 23 '!Y:Y,'AEO 2026 Table 23 '!$B:$B,"*,"&amp;$A43&amp;",*"))/SUMIFS('AEO 2026 Table 23 '!Y:Y,'AEO 2026 Table 23 '!$B:$B,"*,"&amp;$A43&amp;",*"),"")</f>
        <v/>
      </c>
      <c r="X43" t="str">
        <f>IFERROR((SUMIFS('AEO 2026 Table 23 '!AA:AA,'AEO 2026 Table 23 '!$B:$B,"*,"&amp;$A43&amp;",*")-SUMIFS('AEO 2026 Table 23 '!Z:Z,'AEO 2026 Table 23 '!$B:$B,"*,"&amp;$A43&amp;",*"))/SUMIFS('AEO 2026 Table 23 '!Z:Z,'AEO 2026 Table 23 '!$B:$B,"*,"&amp;$A43&amp;",*"),"")</f>
        <v/>
      </c>
      <c r="Y43" t="str">
        <f>IFERROR((SUMIFS('AEO 2026 Table 23 '!AB:AB,'AEO 2026 Table 23 '!$B:$B,"*,"&amp;$A43&amp;",*")-SUMIFS('AEO 2026 Table 23 '!AA:AA,'AEO 2026 Table 23 '!$B:$B,"*,"&amp;$A43&amp;",*"))/SUMIFS('AEO 2026 Table 23 '!AA:AA,'AEO 2026 Table 23 '!$B:$B,"*,"&amp;$A43&amp;",*"),"")</f>
        <v/>
      </c>
      <c r="Z43" t="str">
        <f>IFERROR((SUMIFS('AEO 2026 Table 23 '!AC:AC,'AEO 2026 Table 23 '!$B:$B,"*,"&amp;$A43&amp;",*")-SUMIFS('AEO 2026 Table 23 '!AB:AB,'AEO 2026 Table 23 '!$B:$B,"*,"&amp;$A43&amp;",*"))/SUMIFS('AEO 2026 Table 23 '!AB:AB,'AEO 2026 Table 23 '!$B:$B,"*,"&amp;$A43&amp;",*"),"")</f>
        <v/>
      </c>
      <c r="AA43" t="str">
        <f>IFERROR((SUMIFS('AEO 2026 Table 23 '!AD:AD,'AEO 2026 Table 23 '!$B:$B,"*,"&amp;$A43&amp;",*")-SUMIFS('AEO 2026 Table 23 '!AC:AC,'AEO 2026 Table 23 '!$B:$B,"*,"&amp;$A43&amp;",*"))/SUMIFS('AEO 2026 Table 23 '!AC:AC,'AEO 2026 Table 23 '!$B:$B,"*,"&amp;$A43&amp;",*"),"")</f>
        <v/>
      </c>
      <c r="AB43" t="str">
        <f>IFERROR((SUMIFS('AEO 2026 Table 23 '!AE:AE,'AEO 2026 Table 23 '!$B:$B,"*,"&amp;$A43&amp;",*")-SUMIFS('AEO 2026 Table 23 '!AD:AD,'AEO 2026 Table 23 '!$B:$B,"*,"&amp;$A43&amp;",*"))/SUMIFS('AEO 2026 Table 23 '!AD:AD,'AEO 2026 Table 23 '!$B:$B,"*,"&amp;$A43&amp;",*"),"")</f>
        <v/>
      </c>
      <c r="AC43" t="str">
        <f>IFERROR((SUMIFS('AEO 2026 Table 23 '!AF:AF,'AEO 2026 Table 23 '!$B:$B,"*,"&amp;$A43&amp;",*")-SUMIFS('AEO 2026 Table 23 '!AE:AE,'AEO 2026 Table 23 '!$B:$B,"*,"&amp;$A43&amp;",*"))/SUMIFS('AEO 2026 Table 23 '!AE:AE,'AEO 2026 Table 23 '!$B:$B,"*,"&amp;$A43&amp;",*"),"")</f>
        <v/>
      </c>
    </row>
    <row r="44" spans="1:29" x14ac:dyDescent="0.25">
      <c r="A44" t="s">
        <v>554</v>
      </c>
      <c r="B44">
        <f>IFERROR(SUMPRODUCT(--('BLS Table 2.11'!$L$1:$L$426=$A44),'BLS Table 2.11'!$J$1:$J$426,'BLS Table 2.11'!$K$1:$K$426)/SUMIFS('BLS Table 2.11'!$J$1:$J$426,'BLS Table 2.11'!$L$1:$L$426,$A44)/100,0)</f>
        <v>2.7000000000000003E-2</v>
      </c>
      <c r="D44" t="str">
        <f>IFERROR((SUMIFS('AEO 2026 Table 23 '!G:G,'AEO 2026 Table 23 '!$B:$B,"*,"&amp;$A44&amp;",*")-SUMIFS('AEO25 Table 23'!H:H,'AEO25 Table 23'!$B:$B,"*,"&amp;$A44&amp;",*"))/SUMIFS('AEO25 Table 23'!H:H,'AEO25 Table 23'!$B:$B,"*,"&amp;$A44&amp;",*"),"")</f>
        <v/>
      </c>
      <c r="E44" t="str">
        <f>IFERROR((SUMIFS('AEO 2026 Table 23 '!H:H,'AEO 2026 Table 23 '!$B:$B,"*,"&amp;$A44&amp;",*")-SUMIFS('AEO 2026 Table 23 '!G:G,'AEO 2026 Table 23 '!$B:$B,"*,"&amp;$A44&amp;",*"))/SUMIFS('AEO 2026 Table 23 '!G:G,'AEO 2026 Table 23 '!$B:$B,"*,"&amp;$A44&amp;",*"),"")</f>
        <v/>
      </c>
      <c r="F44" t="str">
        <f>IFERROR((SUMIFS('AEO 2026 Table 23 '!I:I,'AEO 2026 Table 23 '!$B:$B,"*,"&amp;$A44&amp;",*")-SUMIFS('AEO 2026 Table 23 '!H:H,'AEO 2026 Table 23 '!$B:$B,"*,"&amp;$A44&amp;",*"))/SUMIFS('AEO 2026 Table 23 '!H:H,'AEO 2026 Table 23 '!$B:$B,"*,"&amp;$A44&amp;",*"),"")</f>
        <v/>
      </c>
      <c r="G44" t="str">
        <f>IFERROR((SUMIFS('AEO 2026 Table 23 '!J:J,'AEO 2026 Table 23 '!$B:$B,"*,"&amp;$A44&amp;",*")-SUMIFS('AEO 2026 Table 23 '!I:I,'AEO 2026 Table 23 '!$B:$B,"*,"&amp;$A44&amp;",*"))/SUMIFS('AEO 2026 Table 23 '!I:I,'AEO 2026 Table 23 '!$B:$B,"*,"&amp;$A44&amp;",*"),"")</f>
        <v/>
      </c>
      <c r="H44" t="str">
        <f>IFERROR((SUMIFS('AEO 2026 Table 23 '!K:K,'AEO 2026 Table 23 '!$B:$B,"*,"&amp;$A44&amp;",*")-SUMIFS('AEO 2026 Table 23 '!J:J,'AEO 2026 Table 23 '!$B:$B,"*,"&amp;$A44&amp;",*"))/SUMIFS('AEO 2026 Table 23 '!J:J,'AEO 2026 Table 23 '!$B:$B,"*,"&amp;$A44&amp;",*"),"")</f>
        <v/>
      </c>
      <c r="I44" t="str">
        <f>IFERROR((SUMIFS('AEO 2026 Table 23 '!L:L,'AEO 2026 Table 23 '!$B:$B,"*,"&amp;$A44&amp;",*")-SUMIFS('AEO 2026 Table 23 '!K:K,'AEO 2026 Table 23 '!$B:$B,"*,"&amp;$A44&amp;",*"))/SUMIFS('AEO 2026 Table 23 '!K:K,'AEO 2026 Table 23 '!$B:$B,"*,"&amp;$A44&amp;",*"),"")</f>
        <v/>
      </c>
      <c r="J44" t="str">
        <f>IFERROR((SUMIFS('AEO 2026 Table 23 '!M:M,'AEO 2026 Table 23 '!$B:$B,"*,"&amp;$A44&amp;",*")-SUMIFS('AEO 2026 Table 23 '!L:L,'AEO 2026 Table 23 '!$B:$B,"*,"&amp;$A44&amp;",*"))/SUMIFS('AEO 2026 Table 23 '!L:L,'AEO 2026 Table 23 '!$B:$B,"*,"&amp;$A44&amp;",*"),"")</f>
        <v/>
      </c>
      <c r="K44" t="str">
        <f>IFERROR((SUMIFS('AEO 2026 Table 23 '!N:N,'AEO 2026 Table 23 '!$B:$B,"*,"&amp;$A44&amp;",*")-SUMIFS('AEO 2026 Table 23 '!M:M,'AEO 2026 Table 23 '!$B:$B,"*,"&amp;$A44&amp;",*"))/SUMIFS('AEO 2026 Table 23 '!M:M,'AEO 2026 Table 23 '!$B:$B,"*,"&amp;$A44&amp;",*"),"")</f>
        <v/>
      </c>
      <c r="L44" t="str">
        <f>IFERROR((SUMIFS('AEO 2026 Table 23 '!O:O,'AEO 2026 Table 23 '!$B:$B,"*,"&amp;$A44&amp;",*")-SUMIFS('AEO 2026 Table 23 '!N:N,'AEO 2026 Table 23 '!$B:$B,"*,"&amp;$A44&amp;",*"))/SUMIFS('AEO 2026 Table 23 '!N:N,'AEO 2026 Table 23 '!$B:$B,"*,"&amp;$A44&amp;",*"),"")</f>
        <v/>
      </c>
      <c r="M44" t="str">
        <f>IFERROR((SUMIFS('AEO 2026 Table 23 '!P:P,'AEO 2026 Table 23 '!$B:$B,"*,"&amp;$A44&amp;",*")-SUMIFS('AEO 2026 Table 23 '!O:O,'AEO 2026 Table 23 '!$B:$B,"*,"&amp;$A44&amp;",*"))/SUMIFS('AEO 2026 Table 23 '!O:O,'AEO 2026 Table 23 '!$B:$B,"*,"&amp;$A44&amp;",*"),"")</f>
        <v/>
      </c>
      <c r="N44" t="str">
        <f>IFERROR((SUMIFS('AEO 2026 Table 23 '!Q:Q,'AEO 2026 Table 23 '!$B:$B,"*,"&amp;$A44&amp;",*")-SUMIFS('AEO 2026 Table 23 '!P:P,'AEO 2026 Table 23 '!$B:$B,"*,"&amp;$A44&amp;",*"))/SUMIFS('AEO 2026 Table 23 '!P:P,'AEO 2026 Table 23 '!$B:$B,"*,"&amp;$A44&amp;",*"),"")</f>
        <v/>
      </c>
      <c r="O44" t="str">
        <f>IFERROR((SUMIFS('AEO 2026 Table 23 '!R:R,'AEO 2026 Table 23 '!$B:$B,"*,"&amp;$A44&amp;",*")-SUMIFS('AEO 2026 Table 23 '!Q:Q,'AEO 2026 Table 23 '!$B:$B,"*,"&amp;$A44&amp;",*"))/SUMIFS('AEO 2026 Table 23 '!Q:Q,'AEO 2026 Table 23 '!$B:$B,"*,"&amp;$A44&amp;",*"),"")</f>
        <v/>
      </c>
      <c r="P44" t="str">
        <f>IFERROR((SUMIFS('AEO 2026 Table 23 '!S:S,'AEO 2026 Table 23 '!$B:$B,"*,"&amp;$A44&amp;",*")-SUMIFS('AEO 2026 Table 23 '!R:R,'AEO 2026 Table 23 '!$B:$B,"*,"&amp;$A44&amp;",*"))/SUMIFS('AEO 2026 Table 23 '!R:R,'AEO 2026 Table 23 '!$B:$B,"*,"&amp;$A44&amp;",*"),"")</f>
        <v/>
      </c>
      <c r="Q44" t="str">
        <f>IFERROR((SUMIFS('AEO 2026 Table 23 '!T:T,'AEO 2026 Table 23 '!$B:$B,"*,"&amp;$A44&amp;",*")-SUMIFS('AEO 2026 Table 23 '!S:S,'AEO 2026 Table 23 '!$B:$B,"*,"&amp;$A44&amp;",*"))/SUMIFS('AEO 2026 Table 23 '!S:S,'AEO 2026 Table 23 '!$B:$B,"*,"&amp;$A44&amp;",*"),"")</f>
        <v/>
      </c>
      <c r="R44" t="str">
        <f>IFERROR((SUMIFS('AEO 2026 Table 23 '!U:U,'AEO 2026 Table 23 '!$B:$B,"*,"&amp;$A44&amp;",*")-SUMIFS('AEO 2026 Table 23 '!T:T,'AEO 2026 Table 23 '!$B:$B,"*,"&amp;$A44&amp;",*"))/SUMIFS('AEO 2026 Table 23 '!T:T,'AEO 2026 Table 23 '!$B:$B,"*,"&amp;$A44&amp;",*"),"")</f>
        <v/>
      </c>
      <c r="S44" t="str">
        <f>IFERROR((SUMIFS('AEO 2026 Table 23 '!V:V,'AEO 2026 Table 23 '!$B:$B,"*,"&amp;$A44&amp;",*")-SUMIFS('AEO 2026 Table 23 '!U:U,'AEO 2026 Table 23 '!$B:$B,"*,"&amp;$A44&amp;",*"))/SUMIFS('AEO 2026 Table 23 '!U:U,'AEO 2026 Table 23 '!$B:$B,"*,"&amp;$A44&amp;",*"),"")</f>
        <v/>
      </c>
      <c r="T44" t="str">
        <f>IFERROR((SUMIFS('AEO 2026 Table 23 '!W:W,'AEO 2026 Table 23 '!$B:$B,"*,"&amp;$A44&amp;",*")-SUMIFS('AEO 2026 Table 23 '!V:V,'AEO 2026 Table 23 '!$B:$B,"*,"&amp;$A44&amp;",*"))/SUMIFS('AEO 2026 Table 23 '!V:V,'AEO 2026 Table 23 '!$B:$B,"*,"&amp;$A44&amp;",*"),"")</f>
        <v/>
      </c>
      <c r="U44" t="str">
        <f>IFERROR((SUMIFS('AEO 2026 Table 23 '!X:X,'AEO 2026 Table 23 '!$B:$B,"*,"&amp;$A44&amp;",*")-SUMIFS('AEO 2026 Table 23 '!W:W,'AEO 2026 Table 23 '!$B:$B,"*,"&amp;$A44&amp;",*"))/SUMIFS('AEO 2026 Table 23 '!W:W,'AEO 2026 Table 23 '!$B:$B,"*,"&amp;$A44&amp;",*"),"")</f>
        <v/>
      </c>
      <c r="V44" t="str">
        <f>IFERROR((SUMIFS('AEO 2026 Table 23 '!Y:Y,'AEO 2026 Table 23 '!$B:$B,"*,"&amp;$A44&amp;",*")-SUMIFS('AEO 2026 Table 23 '!X:X,'AEO 2026 Table 23 '!$B:$B,"*,"&amp;$A44&amp;",*"))/SUMIFS('AEO 2026 Table 23 '!X:X,'AEO 2026 Table 23 '!$B:$B,"*,"&amp;$A44&amp;",*"),"")</f>
        <v/>
      </c>
      <c r="W44" t="str">
        <f>IFERROR((SUMIFS('AEO 2026 Table 23 '!Z:Z,'AEO 2026 Table 23 '!$B:$B,"*,"&amp;$A44&amp;",*")-SUMIFS('AEO 2026 Table 23 '!Y:Y,'AEO 2026 Table 23 '!$B:$B,"*,"&amp;$A44&amp;",*"))/SUMIFS('AEO 2026 Table 23 '!Y:Y,'AEO 2026 Table 23 '!$B:$B,"*,"&amp;$A44&amp;",*"),"")</f>
        <v/>
      </c>
      <c r="X44" t="str">
        <f>IFERROR((SUMIFS('AEO 2026 Table 23 '!AA:AA,'AEO 2026 Table 23 '!$B:$B,"*,"&amp;$A44&amp;",*")-SUMIFS('AEO 2026 Table 23 '!Z:Z,'AEO 2026 Table 23 '!$B:$B,"*,"&amp;$A44&amp;",*"))/SUMIFS('AEO 2026 Table 23 '!Z:Z,'AEO 2026 Table 23 '!$B:$B,"*,"&amp;$A44&amp;",*"),"")</f>
        <v/>
      </c>
      <c r="Y44" t="str">
        <f>IFERROR((SUMIFS('AEO 2026 Table 23 '!AB:AB,'AEO 2026 Table 23 '!$B:$B,"*,"&amp;$A44&amp;",*")-SUMIFS('AEO 2026 Table 23 '!AA:AA,'AEO 2026 Table 23 '!$B:$B,"*,"&amp;$A44&amp;",*"))/SUMIFS('AEO 2026 Table 23 '!AA:AA,'AEO 2026 Table 23 '!$B:$B,"*,"&amp;$A44&amp;",*"),"")</f>
        <v/>
      </c>
      <c r="Z44" t="str">
        <f>IFERROR((SUMIFS('AEO 2026 Table 23 '!AC:AC,'AEO 2026 Table 23 '!$B:$B,"*,"&amp;$A44&amp;",*")-SUMIFS('AEO 2026 Table 23 '!AB:AB,'AEO 2026 Table 23 '!$B:$B,"*,"&amp;$A44&amp;",*"))/SUMIFS('AEO 2026 Table 23 '!AB:AB,'AEO 2026 Table 23 '!$B:$B,"*,"&amp;$A44&amp;",*"),"")</f>
        <v/>
      </c>
      <c r="AA44" t="str">
        <f>IFERROR((SUMIFS('AEO 2026 Table 23 '!AD:AD,'AEO 2026 Table 23 '!$B:$B,"*,"&amp;$A44&amp;",*")-SUMIFS('AEO 2026 Table 23 '!AC:AC,'AEO 2026 Table 23 '!$B:$B,"*,"&amp;$A44&amp;",*"))/SUMIFS('AEO 2026 Table 23 '!AC:AC,'AEO 2026 Table 23 '!$B:$B,"*,"&amp;$A44&amp;",*"),"")</f>
        <v/>
      </c>
      <c r="AB44" t="str">
        <f>IFERROR((SUMIFS('AEO 2026 Table 23 '!AE:AE,'AEO 2026 Table 23 '!$B:$B,"*,"&amp;$A44&amp;",*")-SUMIFS('AEO 2026 Table 23 '!AD:AD,'AEO 2026 Table 23 '!$B:$B,"*,"&amp;$A44&amp;",*"))/SUMIFS('AEO 2026 Table 23 '!AD:AD,'AEO 2026 Table 23 '!$B:$B,"*,"&amp;$A44&amp;",*"),"")</f>
        <v/>
      </c>
      <c r="AC44" t="str">
        <f>IFERROR((SUMIFS('AEO 2026 Table 23 '!AF:AF,'AEO 2026 Table 23 '!$B:$B,"*,"&amp;$A44&amp;",*")-SUMIFS('AEO 2026 Table 23 '!AE:AE,'AEO 2026 Table 23 '!$B:$B,"*,"&amp;$A44&amp;",*"))/SUMIFS('AEO 2026 Table 23 '!AE:AE,'AEO 2026 Table 23 '!$B:$B,"*,"&amp;$A44&amp;",*"),"")</f>
        <v/>
      </c>
    </row>
    <row r="45" spans="1:29" x14ac:dyDescent="0.25">
      <c r="A45" t="s">
        <v>557</v>
      </c>
      <c r="B45">
        <f>IFERROR(SUMPRODUCT(--('BLS Table 2.11'!$L$1:$L$426=$A45),'BLS Table 2.11'!$J$1:$J$426,'BLS Table 2.11'!$K$1:$K$426)/SUMIFS('BLS Table 2.11'!$J$1:$J$426,'BLS Table 2.11'!$L$1:$L$426,$A45)/100,0)</f>
        <v>3.4040216736905479E-2</v>
      </c>
      <c r="D45" t="str">
        <f>IFERROR((SUMIFS('AEO 2026 Table 23 '!G:G,'AEO 2026 Table 23 '!$B:$B,"*,"&amp;$A45&amp;",*")-SUMIFS('AEO25 Table 23'!H:H,'AEO25 Table 23'!$B:$B,"*,"&amp;$A45&amp;",*"))/SUMIFS('AEO25 Table 23'!H:H,'AEO25 Table 23'!$B:$B,"*,"&amp;$A45&amp;",*"),"")</f>
        <v/>
      </c>
      <c r="E45" t="str">
        <f>IFERROR((SUMIFS('AEO 2026 Table 23 '!H:H,'AEO 2026 Table 23 '!$B:$B,"*,"&amp;$A45&amp;",*")-SUMIFS('AEO 2026 Table 23 '!G:G,'AEO 2026 Table 23 '!$B:$B,"*,"&amp;$A45&amp;",*"))/SUMIFS('AEO 2026 Table 23 '!G:G,'AEO 2026 Table 23 '!$B:$B,"*,"&amp;$A45&amp;",*"),"")</f>
        <v/>
      </c>
      <c r="F45" t="str">
        <f>IFERROR((SUMIFS('AEO 2026 Table 23 '!I:I,'AEO 2026 Table 23 '!$B:$B,"*,"&amp;$A45&amp;",*")-SUMIFS('AEO 2026 Table 23 '!H:H,'AEO 2026 Table 23 '!$B:$B,"*,"&amp;$A45&amp;",*"))/SUMIFS('AEO 2026 Table 23 '!H:H,'AEO 2026 Table 23 '!$B:$B,"*,"&amp;$A45&amp;",*"),"")</f>
        <v/>
      </c>
      <c r="G45" t="str">
        <f>IFERROR((SUMIFS('AEO 2026 Table 23 '!J:J,'AEO 2026 Table 23 '!$B:$B,"*,"&amp;$A45&amp;",*")-SUMIFS('AEO 2026 Table 23 '!I:I,'AEO 2026 Table 23 '!$B:$B,"*,"&amp;$A45&amp;",*"))/SUMIFS('AEO 2026 Table 23 '!I:I,'AEO 2026 Table 23 '!$B:$B,"*,"&amp;$A45&amp;",*"),"")</f>
        <v/>
      </c>
      <c r="H45" t="str">
        <f>IFERROR((SUMIFS('AEO 2026 Table 23 '!K:K,'AEO 2026 Table 23 '!$B:$B,"*,"&amp;$A45&amp;",*")-SUMIFS('AEO 2026 Table 23 '!J:J,'AEO 2026 Table 23 '!$B:$B,"*,"&amp;$A45&amp;",*"))/SUMIFS('AEO 2026 Table 23 '!J:J,'AEO 2026 Table 23 '!$B:$B,"*,"&amp;$A45&amp;",*"),"")</f>
        <v/>
      </c>
      <c r="I45" t="str">
        <f>IFERROR((SUMIFS('AEO 2026 Table 23 '!L:L,'AEO 2026 Table 23 '!$B:$B,"*,"&amp;$A45&amp;",*")-SUMIFS('AEO 2026 Table 23 '!K:K,'AEO 2026 Table 23 '!$B:$B,"*,"&amp;$A45&amp;",*"))/SUMIFS('AEO 2026 Table 23 '!K:K,'AEO 2026 Table 23 '!$B:$B,"*,"&amp;$A45&amp;",*"),"")</f>
        <v/>
      </c>
      <c r="J45" t="str">
        <f>IFERROR((SUMIFS('AEO 2026 Table 23 '!M:M,'AEO 2026 Table 23 '!$B:$B,"*,"&amp;$A45&amp;",*")-SUMIFS('AEO 2026 Table 23 '!L:L,'AEO 2026 Table 23 '!$B:$B,"*,"&amp;$A45&amp;",*"))/SUMIFS('AEO 2026 Table 23 '!L:L,'AEO 2026 Table 23 '!$B:$B,"*,"&amp;$A45&amp;",*"),"")</f>
        <v/>
      </c>
      <c r="K45" t="str">
        <f>IFERROR((SUMIFS('AEO 2026 Table 23 '!N:N,'AEO 2026 Table 23 '!$B:$B,"*,"&amp;$A45&amp;",*")-SUMIFS('AEO 2026 Table 23 '!M:M,'AEO 2026 Table 23 '!$B:$B,"*,"&amp;$A45&amp;",*"))/SUMIFS('AEO 2026 Table 23 '!M:M,'AEO 2026 Table 23 '!$B:$B,"*,"&amp;$A45&amp;",*"),"")</f>
        <v/>
      </c>
      <c r="L45" t="str">
        <f>IFERROR((SUMIFS('AEO 2026 Table 23 '!O:O,'AEO 2026 Table 23 '!$B:$B,"*,"&amp;$A45&amp;",*")-SUMIFS('AEO 2026 Table 23 '!N:N,'AEO 2026 Table 23 '!$B:$B,"*,"&amp;$A45&amp;",*"))/SUMIFS('AEO 2026 Table 23 '!N:N,'AEO 2026 Table 23 '!$B:$B,"*,"&amp;$A45&amp;",*"),"")</f>
        <v/>
      </c>
      <c r="M45" t="str">
        <f>IFERROR((SUMIFS('AEO 2026 Table 23 '!P:P,'AEO 2026 Table 23 '!$B:$B,"*,"&amp;$A45&amp;",*")-SUMIFS('AEO 2026 Table 23 '!O:O,'AEO 2026 Table 23 '!$B:$B,"*,"&amp;$A45&amp;",*"))/SUMIFS('AEO 2026 Table 23 '!O:O,'AEO 2026 Table 23 '!$B:$B,"*,"&amp;$A45&amp;",*"),"")</f>
        <v/>
      </c>
      <c r="N45" t="str">
        <f>IFERROR((SUMIFS('AEO 2026 Table 23 '!Q:Q,'AEO 2026 Table 23 '!$B:$B,"*,"&amp;$A45&amp;",*")-SUMIFS('AEO 2026 Table 23 '!P:P,'AEO 2026 Table 23 '!$B:$B,"*,"&amp;$A45&amp;",*"))/SUMIFS('AEO 2026 Table 23 '!P:P,'AEO 2026 Table 23 '!$B:$B,"*,"&amp;$A45&amp;",*"),"")</f>
        <v/>
      </c>
      <c r="O45" t="str">
        <f>IFERROR((SUMIFS('AEO 2026 Table 23 '!R:R,'AEO 2026 Table 23 '!$B:$B,"*,"&amp;$A45&amp;",*")-SUMIFS('AEO 2026 Table 23 '!Q:Q,'AEO 2026 Table 23 '!$B:$B,"*,"&amp;$A45&amp;",*"))/SUMIFS('AEO 2026 Table 23 '!Q:Q,'AEO 2026 Table 23 '!$B:$B,"*,"&amp;$A45&amp;",*"),"")</f>
        <v/>
      </c>
      <c r="P45" t="str">
        <f>IFERROR((SUMIFS('AEO 2026 Table 23 '!S:S,'AEO 2026 Table 23 '!$B:$B,"*,"&amp;$A45&amp;",*")-SUMIFS('AEO 2026 Table 23 '!R:R,'AEO 2026 Table 23 '!$B:$B,"*,"&amp;$A45&amp;",*"))/SUMIFS('AEO 2026 Table 23 '!R:R,'AEO 2026 Table 23 '!$B:$B,"*,"&amp;$A45&amp;",*"),"")</f>
        <v/>
      </c>
      <c r="Q45" t="str">
        <f>IFERROR((SUMIFS('AEO 2026 Table 23 '!T:T,'AEO 2026 Table 23 '!$B:$B,"*,"&amp;$A45&amp;",*")-SUMIFS('AEO 2026 Table 23 '!S:S,'AEO 2026 Table 23 '!$B:$B,"*,"&amp;$A45&amp;",*"))/SUMIFS('AEO 2026 Table 23 '!S:S,'AEO 2026 Table 23 '!$B:$B,"*,"&amp;$A45&amp;",*"),"")</f>
        <v/>
      </c>
      <c r="R45" t="str">
        <f>IFERROR((SUMIFS('AEO 2026 Table 23 '!U:U,'AEO 2026 Table 23 '!$B:$B,"*,"&amp;$A45&amp;",*")-SUMIFS('AEO 2026 Table 23 '!T:T,'AEO 2026 Table 23 '!$B:$B,"*,"&amp;$A45&amp;",*"))/SUMIFS('AEO 2026 Table 23 '!T:T,'AEO 2026 Table 23 '!$B:$B,"*,"&amp;$A45&amp;",*"),"")</f>
        <v/>
      </c>
      <c r="S45" t="str">
        <f>IFERROR((SUMIFS('AEO 2026 Table 23 '!V:V,'AEO 2026 Table 23 '!$B:$B,"*,"&amp;$A45&amp;",*")-SUMIFS('AEO 2026 Table 23 '!U:U,'AEO 2026 Table 23 '!$B:$B,"*,"&amp;$A45&amp;",*"))/SUMIFS('AEO 2026 Table 23 '!U:U,'AEO 2026 Table 23 '!$B:$B,"*,"&amp;$A45&amp;",*"),"")</f>
        <v/>
      </c>
      <c r="T45" t="str">
        <f>IFERROR((SUMIFS('AEO 2026 Table 23 '!W:W,'AEO 2026 Table 23 '!$B:$B,"*,"&amp;$A45&amp;",*")-SUMIFS('AEO 2026 Table 23 '!V:V,'AEO 2026 Table 23 '!$B:$B,"*,"&amp;$A45&amp;",*"))/SUMIFS('AEO 2026 Table 23 '!V:V,'AEO 2026 Table 23 '!$B:$B,"*,"&amp;$A45&amp;",*"),"")</f>
        <v/>
      </c>
      <c r="U45" t="str">
        <f>IFERROR((SUMIFS('AEO 2026 Table 23 '!X:X,'AEO 2026 Table 23 '!$B:$B,"*,"&amp;$A45&amp;",*")-SUMIFS('AEO 2026 Table 23 '!W:W,'AEO 2026 Table 23 '!$B:$B,"*,"&amp;$A45&amp;",*"))/SUMIFS('AEO 2026 Table 23 '!W:W,'AEO 2026 Table 23 '!$B:$B,"*,"&amp;$A45&amp;",*"),"")</f>
        <v/>
      </c>
      <c r="V45" t="str">
        <f>IFERROR((SUMIFS('AEO 2026 Table 23 '!Y:Y,'AEO 2026 Table 23 '!$B:$B,"*,"&amp;$A45&amp;",*")-SUMIFS('AEO 2026 Table 23 '!X:X,'AEO 2026 Table 23 '!$B:$B,"*,"&amp;$A45&amp;",*"))/SUMIFS('AEO 2026 Table 23 '!X:X,'AEO 2026 Table 23 '!$B:$B,"*,"&amp;$A45&amp;",*"),"")</f>
        <v/>
      </c>
      <c r="W45" t="str">
        <f>IFERROR((SUMIFS('AEO 2026 Table 23 '!Z:Z,'AEO 2026 Table 23 '!$B:$B,"*,"&amp;$A45&amp;",*")-SUMIFS('AEO 2026 Table 23 '!Y:Y,'AEO 2026 Table 23 '!$B:$B,"*,"&amp;$A45&amp;",*"))/SUMIFS('AEO 2026 Table 23 '!Y:Y,'AEO 2026 Table 23 '!$B:$B,"*,"&amp;$A45&amp;",*"),"")</f>
        <v/>
      </c>
      <c r="X45" t="str">
        <f>IFERROR((SUMIFS('AEO 2026 Table 23 '!AA:AA,'AEO 2026 Table 23 '!$B:$B,"*,"&amp;$A45&amp;",*")-SUMIFS('AEO 2026 Table 23 '!Z:Z,'AEO 2026 Table 23 '!$B:$B,"*,"&amp;$A45&amp;",*"))/SUMIFS('AEO 2026 Table 23 '!Z:Z,'AEO 2026 Table 23 '!$B:$B,"*,"&amp;$A45&amp;",*"),"")</f>
        <v/>
      </c>
      <c r="Y45" t="str">
        <f>IFERROR((SUMIFS('AEO 2026 Table 23 '!AB:AB,'AEO 2026 Table 23 '!$B:$B,"*,"&amp;$A45&amp;",*")-SUMIFS('AEO 2026 Table 23 '!AA:AA,'AEO 2026 Table 23 '!$B:$B,"*,"&amp;$A45&amp;",*"))/SUMIFS('AEO 2026 Table 23 '!AA:AA,'AEO 2026 Table 23 '!$B:$B,"*,"&amp;$A45&amp;",*"),"")</f>
        <v/>
      </c>
      <c r="Z45" t="str">
        <f>IFERROR((SUMIFS('AEO 2026 Table 23 '!AC:AC,'AEO 2026 Table 23 '!$B:$B,"*,"&amp;$A45&amp;",*")-SUMIFS('AEO 2026 Table 23 '!AB:AB,'AEO 2026 Table 23 '!$B:$B,"*,"&amp;$A45&amp;",*"))/SUMIFS('AEO 2026 Table 23 '!AB:AB,'AEO 2026 Table 23 '!$B:$B,"*,"&amp;$A45&amp;",*"),"")</f>
        <v/>
      </c>
      <c r="AA45" t="str">
        <f>IFERROR((SUMIFS('AEO 2026 Table 23 '!AD:AD,'AEO 2026 Table 23 '!$B:$B,"*,"&amp;$A45&amp;",*")-SUMIFS('AEO 2026 Table 23 '!AC:AC,'AEO 2026 Table 23 '!$B:$B,"*,"&amp;$A45&amp;",*"))/SUMIFS('AEO 2026 Table 23 '!AC:AC,'AEO 2026 Table 23 '!$B:$B,"*,"&amp;$A45&amp;",*"),"")</f>
        <v/>
      </c>
      <c r="AB45" t="str">
        <f>IFERROR((SUMIFS('AEO 2026 Table 23 '!AE:AE,'AEO 2026 Table 23 '!$B:$B,"*,"&amp;$A45&amp;",*")-SUMIFS('AEO 2026 Table 23 '!AD:AD,'AEO 2026 Table 23 '!$B:$B,"*,"&amp;$A45&amp;",*"))/SUMIFS('AEO 2026 Table 23 '!AD:AD,'AEO 2026 Table 23 '!$B:$B,"*,"&amp;$A45&amp;",*"),"")</f>
        <v/>
      </c>
      <c r="AC45" t="str">
        <f>IFERROR((SUMIFS('AEO 2026 Table 23 '!AF:AF,'AEO 2026 Table 23 '!$B:$B,"*,"&amp;$A45&amp;",*")-SUMIFS('AEO 2026 Table 23 '!AE:AE,'AEO 2026 Table 23 '!$B:$B,"*,"&amp;$A45&amp;",*"))/SUMIFS('AEO 2026 Table 23 '!AE:AE,'AEO 2026 Table 23 '!$B:$B,"*,"&amp;$A45&amp;",*"),"")</f>
        <v/>
      </c>
    </row>
    <row r="46" spans="1:29" x14ac:dyDescent="0.25">
      <c r="A46" t="s">
        <v>560</v>
      </c>
      <c r="B46">
        <f>IFERROR(SUMPRODUCT(--('BLS Table 2.11'!$L$1:$L$426=$A46),'BLS Table 2.11'!$J$1:$J$426,'BLS Table 2.11'!$K$1:$K$426)/SUMIFS('BLS Table 2.11'!$J$1:$J$426,'BLS Table 2.11'!$L$1:$L$426,$A46)/100,0)</f>
        <v>0.02</v>
      </c>
      <c r="D46" t="str">
        <f>IFERROR((SUMIFS('AEO 2026 Table 23 '!G:G,'AEO 2026 Table 23 '!$B:$B,"*,"&amp;$A46&amp;",*")-SUMIFS('AEO25 Table 23'!H:H,'AEO25 Table 23'!$B:$B,"*,"&amp;$A46&amp;",*"))/SUMIFS('AEO25 Table 23'!H:H,'AEO25 Table 23'!$B:$B,"*,"&amp;$A46&amp;",*"),"")</f>
        <v/>
      </c>
      <c r="E46" t="str">
        <f>IFERROR((SUMIFS('AEO 2026 Table 23 '!H:H,'AEO 2026 Table 23 '!$B:$B,"*,"&amp;$A46&amp;",*")-SUMIFS('AEO 2026 Table 23 '!G:G,'AEO 2026 Table 23 '!$B:$B,"*,"&amp;$A46&amp;",*"))/SUMIFS('AEO 2026 Table 23 '!G:G,'AEO 2026 Table 23 '!$B:$B,"*,"&amp;$A46&amp;",*"),"")</f>
        <v/>
      </c>
      <c r="F46" t="str">
        <f>IFERROR((SUMIFS('AEO 2026 Table 23 '!I:I,'AEO 2026 Table 23 '!$B:$B,"*,"&amp;$A46&amp;",*")-SUMIFS('AEO 2026 Table 23 '!H:H,'AEO 2026 Table 23 '!$B:$B,"*,"&amp;$A46&amp;",*"))/SUMIFS('AEO 2026 Table 23 '!H:H,'AEO 2026 Table 23 '!$B:$B,"*,"&amp;$A46&amp;",*"),"")</f>
        <v/>
      </c>
      <c r="G46" t="str">
        <f>IFERROR((SUMIFS('AEO 2026 Table 23 '!J:J,'AEO 2026 Table 23 '!$B:$B,"*,"&amp;$A46&amp;",*")-SUMIFS('AEO 2026 Table 23 '!I:I,'AEO 2026 Table 23 '!$B:$B,"*,"&amp;$A46&amp;",*"))/SUMIFS('AEO 2026 Table 23 '!I:I,'AEO 2026 Table 23 '!$B:$B,"*,"&amp;$A46&amp;",*"),"")</f>
        <v/>
      </c>
      <c r="H46" t="str">
        <f>IFERROR((SUMIFS('AEO 2026 Table 23 '!K:K,'AEO 2026 Table 23 '!$B:$B,"*,"&amp;$A46&amp;",*")-SUMIFS('AEO 2026 Table 23 '!J:J,'AEO 2026 Table 23 '!$B:$B,"*,"&amp;$A46&amp;",*"))/SUMIFS('AEO 2026 Table 23 '!J:J,'AEO 2026 Table 23 '!$B:$B,"*,"&amp;$A46&amp;",*"),"")</f>
        <v/>
      </c>
      <c r="I46" t="str">
        <f>IFERROR((SUMIFS('AEO 2026 Table 23 '!L:L,'AEO 2026 Table 23 '!$B:$B,"*,"&amp;$A46&amp;",*")-SUMIFS('AEO 2026 Table 23 '!K:K,'AEO 2026 Table 23 '!$B:$B,"*,"&amp;$A46&amp;",*"))/SUMIFS('AEO 2026 Table 23 '!K:K,'AEO 2026 Table 23 '!$B:$B,"*,"&amp;$A46&amp;",*"),"")</f>
        <v/>
      </c>
      <c r="J46" t="str">
        <f>IFERROR((SUMIFS('AEO 2026 Table 23 '!M:M,'AEO 2026 Table 23 '!$B:$B,"*,"&amp;$A46&amp;",*")-SUMIFS('AEO 2026 Table 23 '!L:L,'AEO 2026 Table 23 '!$B:$B,"*,"&amp;$A46&amp;",*"))/SUMIFS('AEO 2026 Table 23 '!L:L,'AEO 2026 Table 23 '!$B:$B,"*,"&amp;$A46&amp;",*"),"")</f>
        <v/>
      </c>
      <c r="K46" t="str">
        <f>IFERROR((SUMIFS('AEO 2026 Table 23 '!N:N,'AEO 2026 Table 23 '!$B:$B,"*,"&amp;$A46&amp;",*")-SUMIFS('AEO 2026 Table 23 '!M:M,'AEO 2026 Table 23 '!$B:$B,"*,"&amp;$A46&amp;",*"))/SUMIFS('AEO 2026 Table 23 '!M:M,'AEO 2026 Table 23 '!$B:$B,"*,"&amp;$A46&amp;",*"),"")</f>
        <v/>
      </c>
      <c r="L46" t="str">
        <f>IFERROR((SUMIFS('AEO 2026 Table 23 '!O:O,'AEO 2026 Table 23 '!$B:$B,"*,"&amp;$A46&amp;",*")-SUMIFS('AEO 2026 Table 23 '!N:N,'AEO 2026 Table 23 '!$B:$B,"*,"&amp;$A46&amp;",*"))/SUMIFS('AEO 2026 Table 23 '!N:N,'AEO 2026 Table 23 '!$B:$B,"*,"&amp;$A46&amp;",*"),"")</f>
        <v/>
      </c>
      <c r="M46" t="str">
        <f>IFERROR((SUMIFS('AEO 2026 Table 23 '!P:P,'AEO 2026 Table 23 '!$B:$B,"*,"&amp;$A46&amp;",*")-SUMIFS('AEO 2026 Table 23 '!O:O,'AEO 2026 Table 23 '!$B:$B,"*,"&amp;$A46&amp;",*"))/SUMIFS('AEO 2026 Table 23 '!O:O,'AEO 2026 Table 23 '!$B:$B,"*,"&amp;$A46&amp;",*"),"")</f>
        <v/>
      </c>
      <c r="N46" t="str">
        <f>IFERROR((SUMIFS('AEO 2026 Table 23 '!Q:Q,'AEO 2026 Table 23 '!$B:$B,"*,"&amp;$A46&amp;",*")-SUMIFS('AEO 2026 Table 23 '!P:P,'AEO 2026 Table 23 '!$B:$B,"*,"&amp;$A46&amp;",*"))/SUMIFS('AEO 2026 Table 23 '!P:P,'AEO 2026 Table 23 '!$B:$B,"*,"&amp;$A46&amp;",*"),"")</f>
        <v/>
      </c>
      <c r="O46" t="str">
        <f>IFERROR((SUMIFS('AEO 2026 Table 23 '!R:R,'AEO 2026 Table 23 '!$B:$B,"*,"&amp;$A46&amp;",*")-SUMIFS('AEO 2026 Table 23 '!Q:Q,'AEO 2026 Table 23 '!$B:$B,"*,"&amp;$A46&amp;",*"))/SUMIFS('AEO 2026 Table 23 '!Q:Q,'AEO 2026 Table 23 '!$B:$B,"*,"&amp;$A46&amp;",*"),"")</f>
        <v/>
      </c>
      <c r="P46" t="str">
        <f>IFERROR((SUMIFS('AEO 2026 Table 23 '!S:S,'AEO 2026 Table 23 '!$B:$B,"*,"&amp;$A46&amp;",*")-SUMIFS('AEO 2026 Table 23 '!R:R,'AEO 2026 Table 23 '!$B:$B,"*,"&amp;$A46&amp;",*"))/SUMIFS('AEO 2026 Table 23 '!R:R,'AEO 2026 Table 23 '!$B:$B,"*,"&amp;$A46&amp;",*"),"")</f>
        <v/>
      </c>
      <c r="Q46" t="str">
        <f>IFERROR((SUMIFS('AEO 2026 Table 23 '!T:T,'AEO 2026 Table 23 '!$B:$B,"*,"&amp;$A46&amp;",*")-SUMIFS('AEO 2026 Table 23 '!S:S,'AEO 2026 Table 23 '!$B:$B,"*,"&amp;$A46&amp;",*"))/SUMIFS('AEO 2026 Table 23 '!S:S,'AEO 2026 Table 23 '!$B:$B,"*,"&amp;$A46&amp;",*"),"")</f>
        <v/>
      </c>
      <c r="R46" t="str">
        <f>IFERROR((SUMIFS('AEO 2026 Table 23 '!U:U,'AEO 2026 Table 23 '!$B:$B,"*,"&amp;$A46&amp;",*")-SUMIFS('AEO 2026 Table 23 '!T:T,'AEO 2026 Table 23 '!$B:$B,"*,"&amp;$A46&amp;",*"))/SUMIFS('AEO 2026 Table 23 '!T:T,'AEO 2026 Table 23 '!$B:$B,"*,"&amp;$A46&amp;",*"),"")</f>
        <v/>
      </c>
      <c r="S46" t="str">
        <f>IFERROR((SUMIFS('AEO 2026 Table 23 '!V:V,'AEO 2026 Table 23 '!$B:$B,"*,"&amp;$A46&amp;",*")-SUMIFS('AEO 2026 Table 23 '!U:U,'AEO 2026 Table 23 '!$B:$B,"*,"&amp;$A46&amp;",*"))/SUMIFS('AEO 2026 Table 23 '!U:U,'AEO 2026 Table 23 '!$B:$B,"*,"&amp;$A46&amp;",*"),"")</f>
        <v/>
      </c>
      <c r="T46" t="str">
        <f>IFERROR((SUMIFS('AEO 2026 Table 23 '!W:W,'AEO 2026 Table 23 '!$B:$B,"*,"&amp;$A46&amp;",*")-SUMIFS('AEO 2026 Table 23 '!V:V,'AEO 2026 Table 23 '!$B:$B,"*,"&amp;$A46&amp;",*"))/SUMIFS('AEO 2026 Table 23 '!V:V,'AEO 2026 Table 23 '!$B:$B,"*,"&amp;$A46&amp;",*"),"")</f>
        <v/>
      </c>
      <c r="U46" t="str">
        <f>IFERROR((SUMIFS('AEO 2026 Table 23 '!X:X,'AEO 2026 Table 23 '!$B:$B,"*,"&amp;$A46&amp;",*")-SUMIFS('AEO 2026 Table 23 '!W:W,'AEO 2026 Table 23 '!$B:$B,"*,"&amp;$A46&amp;",*"))/SUMIFS('AEO 2026 Table 23 '!W:W,'AEO 2026 Table 23 '!$B:$B,"*,"&amp;$A46&amp;",*"),"")</f>
        <v/>
      </c>
      <c r="V46" t="str">
        <f>IFERROR((SUMIFS('AEO 2026 Table 23 '!Y:Y,'AEO 2026 Table 23 '!$B:$B,"*,"&amp;$A46&amp;",*")-SUMIFS('AEO 2026 Table 23 '!X:X,'AEO 2026 Table 23 '!$B:$B,"*,"&amp;$A46&amp;",*"))/SUMIFS('AEO 2026 Table 23 '!X:X,'AEO 2026 Table 23 '!$B:$B,"*,"&amp;$A46&amp;",*"),"")</f>
        <v/>
      </c>
      <c r="W46" t="str">
        <f>IFERROR((SUMIFS('AEO 2026 Table 23 '!Z:Z,'AEO 2026 Table 23 '!$B:$B,"*,"&amp;$A46&amp;",*")-SUMIFS('AEO 2026 Table 23 '!Y:Y,'AEO 2026 Table 23 '!$B:$B,"*,"&amp;$A46&amp;",*"))/SUMIFS('AEO 2026 Table 23 '!Y:Y,'AEO 2026 Table 23 '!$B:$B,"*,"&amp;$A46&amp;",*"),"")</f>
        <v/>
      </c>
      <c r="X46" t="str">
        <f>IFERROR((SUMIFS('AEO 2026 Table 23 '!AA:AA,'AEO 2026 Table 23 '!$B:$B,"*,"&amp;$A46&amp;",*")-SUMIFS('AEO 2026 Table 23 '!Z:Z,'AEO 2026 Table 23 '!$B:$B,"*,"&amp;$A46&amp;",*"))/SUMIFS('AEO 2026 Table 23 '!Z:Z,'AEO 2026 Table 23 '!$B:$B,"*,"&amp;$A46&amp;",*"),"")</f>
        <v/>
      </c>
      <c r="Y46" t="str">
        <f>IFERROR((SUMIFS('AEO 2026 Table 23 '!AB:AB,'AEO 2026 Table 23 '!$B:$B,"*,"&amp;$A46&amp;",*")-SUMIFS('AEO 2026 Table 23 '!AA:AA,'AEO 2026 Table 23 '!$B:$B,"*,"&amp;$A46&amp;",*"))/SUMIFS('AEO 2026 Table 23 '!AA:AA,'AEO 2026 Table 23 '!$B:$B,"*,"&amp;$A46&amp;",*"),"")</f>
        <v/>
      </c>
      <c r="Z46" t="str">
        <f>IFERROR((SUMIFS('AEO 2026 Table 23 '!AC:AC,'AEO 2026 Table 23 '!$B:$B,"*,"&amp;$A46&amp;",*")-SUMIFS('AEO 2026 Table 23 '!AB:AB,'AEO 2026 Table 23 '!$B:$B,"*,"&amp;$A46&amp;",*"))/SUMIFS('AEO 2026 Table 23 '!AB:AB,'AEO 2026 Table 23 '!$B:$B,"*,"&amp;$A46&amp;",*"),"")</f>
        <v/>
      </c>
      <c r="AA46" t="str">
        <f>IFERROR((SUMIFS('AEO 2026 Table 23 '!AD:AD,'AEO 2026 Table 23 '!$B:$B,"*,"&amp;$A46&amp;",*")-SUMIFS('AEO 2026 Table 23 '!AC:AC,'AEO 2026 Table 23 '!$B:$B,"*,"&amp;$A46&amp;",*"))/SUMIFS('AEO 2026 Table 23 '!AC:AC,'AEO 2026 Table 23 '!$B:$B,"*,"&amp;$A46&amp;",*"),"")</f>
        <v/>
      </c>
      <c r="AB46" t="str">
        <f>IFERROR((SUMIFS('AEO 2026 Table 23 '!AE:AE,'AEO 2026 Table 23 '!$B:$B,"*,"&amp;$A46&amp;",*")-SUMIFS('AEO 2026 Table 23 '!AD:AD,'AEO 2026 Table 23 '!$B:$B,"*,"&amp;$A46&amp;",*"))/SUMIFS('AEO 2026 Table 23 '!AD:AD,'AEO 2026 Table 23 '!$B:$B,"*,"&amp;$A46&amp;",*"),"")</f>
        <v/>
      </c>
      <c r="AC46" t="str">
        <f>IFERROR((SUMIFS('AEO 2026 Table 23 '!AF:AF,'AEO 2026 Table 23 '!$B:$B,"*,"&amp;$A46&amp;",*")-SUMIFS('AEO 2026 Table 23 '!AE:AE,'AEO 2026 Table 23 '!$B:$B,"*,"&amp;$A46&amp;",*"))/SUMIFS('AEO 2026 Table 23 '!AE:AE,'AEO 2026 Table 23 '!$B:$B,"*,"&amp;$A46&amp;",*"),"")</f>
        <v/>
      </c>
    </row>
    <row r="47" spans="1:29" x14ac:dyDescent="0.25">
      <c r="A47" t="s">
        <v>599</v>
      </c>
      <c r="B47">
        <f>IFERROR(SUMPRODUCT(--('BLS Table 2.11'!$L$1:$L$426=$A47),'BLS Table 2.11'!$J$1:$J$426,'BLS Table 2.11'!$K$1:$K$426)/SUMIFS('BLS Table 2.11'!$J$1:$J$426,'BLS Table 2.11'!$L$1:$L$426,$A47)/100,0)</f>
        <v>1.9E-2</v>
      </c>
      <c r="D47" t="str">
        <f>IFERROR((SUMIFS('AEO 2026 Table 23 '!G:G,'AEO 2026 Table 23 '!$B:$B,"*,"&amp;$A47&amp;",*")-SUMIFS('AEO25 Table 23'!H:H,'AEO25 Table 23'!$B:$B,"*,"&amp;$A47&amp;",*"))/SUMIFS('AEO25 Table 23'!H:H,'AEO25 Table 23'!$B:$B,"*,"&amp;$A47&amp;",*"),"")</f>
        <v/>
      </c>
      <c r="E47" t="str">
        <f>IFERROR((SUMIFS('AEO 2026 Table 23 '!H:H,'AEO 2026 Table 23 '!$B:$B,"*,"&amp;$A47&amp;",*")-SUMIFS('AEO 2026 Table 23 '!G:G,'AEO 2026 Table 23 '!$B:$B,"*,"&amp;$A47&amp;",*"))/SUMIFS('AEO 2026 Table 23 '!G:G,'AEO 2026 Table 23 '!$B:$B,"*,"&amp;$A47&amp;",*"),"")</f>
        <v/>
      </c>
      <c r="F47" t="str">
        <f>IFERROR((SUMIFS('AEO 2026 Table 23 '!I:I,'AEO 2026 Table 23 '!$B:$B,"*,"&amp;$A47&amp;",*")-SUMIFS('AEO 2026 Table 23 '!H:H,'AEO 2026 Table 23 '!$B:$B,"*,"&amp;$A47&amp;",*"))/SUMIFS('AEO 2026 Table 23 '!H:H,'AEO 2026 Table 23 '!$B:$B,"*,"&amp;$A47&amp;",*"),"")</f>
        <v/>
      </c>
      <c r="G47" t="str">
        <f>IFERROR((SUMIFS('AEO 2026 Table 23 '!J:J,'AEO 2026 Table 23 '!$B:$B,"*,"&amp;$A47&amp;",*")-SUMIFS('AEO 2026 Table 23 '!I:I,'AEO 2026 Table 23 '!$B:$B,"*,"&amp;$A47&amp;",*"))/SUMIFS('AEO 2026 Table 23 '!I:I,'AEO 2026 Table 23 '!$B:$B,"*,"&amp;$A47&amp;",*"),"")</f>
        <v/>
      </c>
      <c r="H47" t="str">
        <f>IFERROR((SUMIFS('AEO 2026 Table 23 '!K:K,'AEO 2026 Table 23 '!$B:$B,"*,"&amp;$A47&amp;",*")-SUMIFS('AEO 2026 Table 23 '!J:J,'AEO 2026 Table 23 '!$B:$B,"*,"&amp;$A47&amp;",*"))/SUMIFS('AEO 2026 Table 23 '!J:J,'AEO 2026 Table 23 '!$B:$B,"*,"&amp;$A47&amp;",*"),"")</f>
        <v/>
      </c>
      <c r="I47" t="str">
        <f>IFERROR((SUMIFS('AEO 2026 Table 23 '!L:L,'AEO 2026 Table 23 '!$B:$B,"*,"&amp;$A47&amp;",*")-SUMIFS('AEO 2026 Table 23 '!K:K,'AEO 2026 Table 23 '!$B:$B,"*,"&amp;$A47&amp;",*"))/SUMIFS('AEO 2026 Table 23 '!K:K,'AEO 2026 Table 23 '!$B:$B,"*,"&amp;$A47&amp;",*"),"")</f>
        <v/>
      </c>
      <c r="J47" t="str">
        <f>IFERROR((SUMIFS('AEO 2026 Table 23 '!M:M,'AEO 2026 Table 23 '!$B:$B,"*,"&amp;$A47&amp;",*")-SUMIFS('AEO 2026 Table 23 '!L:L,'AEO 2026 Table 23 '!$B:$B,"*,"&amp;$A47&amp;",*"))/SUMIFS('AEO 2026 Table 23 '!L:L,'AEO 2026 Table 23 '!$B:$B,"*,"&amp;$A47&amp;",*"),"")</f>
        <v/>
      </c>
      <c r="K47" t="str">
        <f>IFERROR((SUMIFS('AEO 2026 Table 23 '!N:N,'AEO 2026 Table 23 '!$B:$B,"*,"&amp;$A47&amp;",*")-SUMIFS('AEO 2026 Table 23 '!M:M,'AEO 2026 Table 23 '!$B:$B,"*,"&amp;$A47&amp;",*"))/SUMIFS('AEO 2026 Table 23 '!M:M,'AEO 2026 Table 23 '!$B:$B,"*,"&amp;$A47&amp;",*"),"")</f>
        <v/>
      </c>
      <c r="L47" t="str">
        <f>IFERROR((SUMIFS('AEO 2026 Table 23 '!O:O,'AEO 2026 Table 23 '!$B:$B,"*,"&amp;$A47&amp;",*")-SUMIFS('AEO 2026 Table 23 '!N:N,'AEO 2026 Table 23 '!$B:$B,"*,"&amp;$A47&amp;",*"))/SUMIFS('AEO 2026 Table 23 '!N:N,'AEO 2026 Table 23 '!$B:$B,"*,"&amp;$A47&amp;",*"),"")</f>
        <v/>
      </c>
      <c r="M47" t="str">
        <f>IFERROR((SUMIFS('AEO 2026 Table 23 '!P:P,'AEO 2026 Table 23 '!$B:$B,"*,"&amp;$A47&amp;",*")-SUMIFS('AEO 2026 Table 23 '!O:O,'AEO 2026 Table 23 '!$B:$B,"*,"&amp;$A47&amp;",*"))/SUMIFS('AEO 2026 Table 23 '!O:O,'AEO 2026 Table 23 '!$B:$B,"*,"&amp;$A47&amp;",*"),"")</f>
        <v/>
      </c>
      <c r="N47" t="str">
        <f>IFERROR((SUMIFS('AEO 2026 Table 23 '!Q:Q,'AEO 2026 Table 23 '!$B:$B,"*,"&amp;$A47&amp;",*")-SUMIFS('AEO 2026 Table 23 '!P:P,'AEO 2026 Table 23 '!$B:$B,"*,"&amp;$A47&amp;",*"))/SUMIFS('AEO 2026 Table 23 '!P:P,'AEO 2026 Table 23 '!$B:$B,"*,"&amp;$A47&amp;",*"),"")</f>
        <v/>
      </c>
      <c r="O47" t="str">
        <f>IFERROR((SUMIFS('AEO 2026 Table 23 '!R:R,'AEO 2026 Table 23 '!$B:$B,"*,"&amp;$A47&amp;",*")-SUMIFS('AEO 2026 Table 23 '!Q:Q,'AEO 2026 Table 23 '!$B:$B,"*,"&amp;$A47&amp;",*"))/SUMIFS('AEO 2026 Table 23 '!Q:Q,'AEO 2026 Table 23 '!$B:$B,"*,"&amp;$A47&amp;",*"),"")</f>
        <v/>
      </c>
      <c r="P47" t="str">
        <f>IFERROR((SUMIFS('AEO 2026 Table 23 '!S:S,'AEO 2026 Table 23 '!$B:$B,"*,"&amp;$A47&amp;",*")-SUMIFS('AEO 2026 Table 23 '!R:R,'AEO 2026 Table 23 '!$B:$B,"*,"&amp;$A47&amp;",*"))/SUMIFS('AEO 2026 Table 23 '!R:R,'AEO 2026 Table 23 '!$B:$B,"*,"&amp;$A47&amp;",*"),"")</f>
        <v/>
      </c>
      <c r="Q47" t="str">
        <f>IFERROR((SUMIFS('AEO 2026 Table 23 '!T:T,'AEO 2026 Table 23 '!$B:$B,"*,"&amp;$A47&amp;",*")-SUMIFS('AEO 2026 Table 23 '!S:S,'AEO 2026 Table 23 '!$B:$B,"*,"&amp;$A47&amp;",*"))/SUMIFS('AEO 2026 Table 23 '!S:S,'AEO 2026 Table 23 '!$B:$B,"*,"&amp;$A47&amp;",*"),"")</f>
        <v/>
      </c>
      <c r="R47" t="str">
        <f>IFERROR((SUMIFS('AEO 2026 Table 23 '!U:U,'AEO 2026 Table 23 '!$B:$B,"*,"&amp;$A47&amp;",*")-SUMIFS('AEO 2026 Table 23 '!T:T,'AEO 2026 Table 23 '!$B:$B,"*,"&amp;$A47&amp;",*"))/SUMIFS('AEO 2026 Table 23 '!T:T,'AEO 2026 Table 23 '!$B:$B,"*,"&amp;$A47&amp;",*"),"")</f>
        <v/>
      </c>
      <c r="S47" t="str">
        <f>IFERROR((SUMIFS('AEO 2026 Table 23 '!V:V,'AEO 2026 Table 23 '!$B:$B,"*,"&amp;$A47&amp;",*")-SUMIFS('AEO 2026 Table 23 '!U:U,'AEO 2026 Table 23 '!$B:$B,"*,"&amp;$A47&amp;",*"))/SUMIFS('AEO 2026 Table 23 '!U:U,'AEO 2026 Table 23 '!$B:$B,"*,"&amp;$A47&amp;",*"),"")</f>
        <v/>
      </c>
      <c r="T47" t="str">
        <f>IFERROR((SUMIFS('AEO 2026 Table 23 '!W:W,'AEO 2026 Table 23 '!$B:$B,"*,"&amp;$A47&amp;",*")-SUMIFS('AEO 2026 Table 23 '!V:V,'AEO 2026 Table 23 '!$B:$B,"*,"&amp;$A47&amp;",*"))/SUMIFS('AEO 2026 Table 23 '!V:V,'AEO 2026 Table 23 '!$B:$B,"*,"&amp;$A47&amp;",*"),"")</f>
        <v/>
      </c>
      <c r="U47" t="str">
        <f>IFERROR((SUMIFS('AEO 2026 Table 23 '!X:X,'AEO 2026 Table 23 '!$B:$B,"*,"&amp;$A47&amp;",*")-SUMIFS('AEO 2026 Table 23 '!W:W,'AEO 2026 Table 23 '!$B:$B,"*,"&amp;$A47&amp;",*"))/SUMIFS('AEO 2026 Table 23 '!W:W,'AEO 2026 Table 23 '!$B:$B,"*,"&amp;$A47&amp;",*"),"")</f>
        <v/>
      </c>
      <c r="V47" t="str">
        <f>IFERROR((SUMIFS('AEO 2026 Table 23 '!Y:Y,'AEO 2026 Table 23 '!$B:$B,"*,"&amp;$A47&amp;",*")-SUMIFS('AEO 2026 Table 23 '!X:X,'AEO 2026 Table 23 '!$B:$B,"*,"&amp;$A47&amp;",*"))/SUMIFS('AEO 2026 Table 23 '!X:X,'AEO 2026 Table 23 '!$B:$B,"*,"&amp;$A47&amp;",*"),"")</f>
        <v/>
      </c>
      <c r="W47" t="str">
        <f>IFERROR((SUMIFS('AEO 2026 Table 23 '!Z:Z,'AEO 2026 Table 23 '!$B:$B,"*,"&amp;$A47&amp;",*")-SUMIFS('AEO 2026 Table 23 '!Y:Y,'AEO 2026 Table 23 '!$B:$B,"*,"&amp;$A47&amp;",*"))/SUMIFS('AEO 2026 Table 23 '!Y:Y,'AEO 2026 Table 23 '!$B:$B,"*,"&amp;$A47&amp;",*"),"")</f>
        <v/>
      </c>
      <c r="X47" t="str">
        <f>IFERROR((SUMIFS('AEO 2026 Table 23 '!AA:AA,'AEO 2026 Table 23 '!$B:$B,"*,"&amp;$A47&amp;",*")-SUMIFS('AEO 2026 Table 23 '!Z:Z,'AEO 2026 Table 23 '!$B:$B,"*,"&amp;$A47&amp;",*"))/SUMIFS('AEO 2026 Table 23 '!Z:Z,'AEO 2026 Table 23 '!$B:$B,"*,"&amp;$A47&amp;",*"),"")</f>
        <v/>
      </c>
      <c r="Y47" t="str">
        <f>IFERROR((SUMIFS('AEO 2026 Table 23 '!AB:AB,'AEO 2026 Table 23 '!$B:$B,"*,"&amp;$A47&amp;",*")-SUMIFS('AEO 2026 Table 23 '!AA:AA,'AEO 2026 Table 23 '!$B:$B,"*,"&amp;$A47&amp;",*"))/SUMIFS('AEO 2026 Table 23 '!AA:AA,'AEO 2026 Table 23 '!$B:$B,"*,"&amp;$A47&amp;",*"),"")</f>
        <v/>
      </c>
      <c r="Z47" t="str">
        <f>IFERROR((SUMIFS('AEO 2026 Table 23 '!AC:AC,'AEO 2026 Table 23 '!$B:$B,"*,"&amp;$A47&amp;",*")-SUMIFS('AEO 2026 Table 23 '!AB:AB,'AEO 2026 Table 23 '!$B:$B,"*,"&amp;$A47&amp;",*"))/SUMIFS('AEO 2026 Table 23 '!AB:AB,'AEO 2026 Table 23 '!$B:$B,"*,"&amp;$A47&amp;",*"),"")</f>
        <v/>
      </c>
      <c r="AA47" t="str">
        <f>IFERROR((SUMIFS('AEO 2026 Table 23 '!AD:AD,'AEO 2026 Table 23 '!$B:$B,"*,"&amp;$A47&amp;",*")-SUMIFS('AEO 2026 Table 23 '!AC:AC,'AEO 2026 Table 23 '!$B:$B,"*,"&amp;$A47&amp;",*"))/SUMIFS('AEO 2026 Table 23 '!AC:AC,'AEO 2026 Table 23 '!$B:$B,"*,"&amp;$A47&amp;",*"),"")</f>
        <v/>
      </c>
      <c r="AB47" t="str">
        <f>IFERROR((SUMIFS('AEO 2026 Table 23 '!AE:AE,'AEO 2026 Table 23 '!$B:$B,"*,"&amp;$A47&amp;",*")-SUMIFS('AEO 2026 Table 23 '!AD:AD,'AEO 2026 Table 23 '!$B:$B,"*,"&amp;$A47&amp;",*"))/SUMIFS('AEO 2026 Table 23 '!AD:AD,'AEO 2026 Table 23 '!$B:$B,"*,"&amp;$A47&amp;",*"),"")</f>
        <v/>
      </c>
      <c r="AC47" t="str">
        <f>IFERROR((SUMIFS('AEO 2026 Table 23 '!AF:AF,'AEO 2026 Table 23 '!$B:$B,"*,"&amp;$A47&amp;",*")-SUMIFS('AEO 2026 Table 23 '!AE:AE,'AEO 2026 Table 23 '!$B:$B,"*,"&amp;$A47&amp;",*"))/SUMIFS('AEO 2026 Table 23 '!AE:AE,'AEO 2026 Table 23 '!$B:$B,"*,"&amp;$A47&amp;",*"),"")</f>
        <v/>
      </c>
    </row>
    <row r="48" spans="1:29" x14ac:dyDescent="0.25">
      <c r="A48" t="s">
        <v>615</v>
      </c>
      <c r="B48">
        <f>IFERROR(SUMPRODUCT(--('BLS Table 2.11'!$L$1:$L$426=$A48),'BLS Table 2.11'!$J$1:$J$426,'BLS Table 2.11'!$K$1:$K$426)/SUMIFS('BLS Table 2.11'!$J$1:$J$426,'BLS Table 2.11'!$L$1:$L$426,$A48)/100,0)</f>
        <v>2.229329587339228E-2</v>
      </c>
      <c r="D48" t="str">
        <f>IFERROR((SUMIFS('AEO 2026 Table 23 '!G:G,'AEO 2026 Table 23 '!$B:$B,"*,"&amp;$A48&amp;",*")-SUMIFS('AEO25 Table 23'!H:H,'AEO25 Table 23'!$B:$B,"*,"&amp;$A48&amp;",*"))/SUMIFS('AEO25 Table 23'!H:H,'AEO25 Table 23'!$B:$B,"*,"&amp;$A48&amp;",*"),"")</f>
        <v/>
      </c>
      <c r="E48" t="str">
        <f>IFERROR((SUMIFS('AEO 2026 Table 23 '!H:H,'AEO 2026 Table 23 '!$B:$B,"*,"&amp;$A48&amp;",*")-SUMIFS('AEO 2026 Table 23 '!G:G,'AEO 2026 Table 23 '!$B:$B,"*,"&amp;$A48&amp;",*"))/SUMIFS('AEO 2026 Table 23 '!G:G,'AEO 2026 Table 23 '!$B:$B,"*,"&amp;$A48&amp;",*"),"")</f>
        <v/>
      </c>
      <c r="F48" t="str">
        <f>IFERROR((SUMIFS('AEO 2026 Table 23 '!I:I,'AEO 2026 Table 23 '!$B:$B,"*,"&amp;$A48&amp;",*")-SUMIFS('AEO 2026 Table 23 '!H:H,'AEO 2026 Table 23 '!$B:$B,"*,"&amp;$A48&amp;",*"))/SUMIFS('AEO 2026 Table 23 '!H:H,'AEO 2026 Table 23 '!$B:$B,"*,"&amp;$A48&amp;",*"),"")</f>
        <v/>
      </c>
      <c r="G48" t="str">
        <f>IFERROR((SUMIFS('AEO 2026 Table 23 '!J:J,'AEO 2026 Table 23 '!$B:$B,"*,"&amp;$A48&amp;",*")-SUMIFS('AEO 2026 Table 23 '!I:I,'AEO 2026 Table 23 '!$B:$B,"*,"&amp;$A48&amp;",*"))/SUMIFS('AEO 2026 Table 23 '!I:I,'AEO 2026 Table 23 '!$B:$B,"*,"&amp;$A48&amp;",*"),"")</f>
        <v/>
      </c>
      <c r="H48" t="str">
        <f>IFERROR((SUMIFS('AEO 2026 Table 23 '!K:K,'AEO 2026 Table 23 '!$B:$B,"*,"&amp;$A48&amp;",*")-SUMIFS('AEO 2026 Table 23 '!J:J,'AEO 2026 Table 23 '!$B:$B,"*,"&amp;$A48&amp;",*"))/SUMIFS('AEO 2026 Table 23 '!J:J,'AEO 2026 Table 23 '!$B:$B,"*,"&amp;$A48&amp;",*"),"")</f>
        <v/>
      </c>
      <c r="I48" t="str">
        <f>IFERROR((SUMIFS('AEO 2026 Table 23 '!L:L,'AEO 2026 Table 23 '!$B:$B,"*,"&amp;$A48&amp;",*")-SUMIFS('AEO 2026 Table 23 '!K:K,'AEO 2026 Table 23 '!$B:$B,"*,"&amp;$A48&amp;",*"))/SUMIFS('AEO 2026 Table 23 '!K:K,'AEO 2026 Table 23 '!$B:$B,"*,"&amp;$A48&amp;",*"),"")</f>
        <v/>
      </c>
      <c r="J48" t="str">
        <f>IFERROR((SUMIFS('AEO 2026 Table 23 '!M:M,'AEO 2026 Table 23 '!$B:$B,"*,"&amp;$A48&amp;",*")-SUMIFS('AEO 2026 Table 23 '!L:L,'AEO 2026 Table 23 '!$B:$B,"*,"&amp;$A48&amp;",*"))/SUMIFS('AEO 2026 Table 23 '!L:L,'AEO 2026 Table 23 '!$B:$B,"*,"&amp;$A48&amp;",*"),"")</f>
        <v/>
      </c>
      <c r="K48" t="str">
        <f>IFERROR((SUMIFS('AEO 2026 Table 23 '!N:N,'AEO 2026 Table 23 '!$B:$B,"*,"&amp;$A48&amp;",*")-SUMIFS('AEO 2026 Table 23 '!M:M,'AEO 2026 Table 23 '!$B:$B,"*,"&amp;$A48&amp;",*"))/SUMIFS('AEO 2026 Table 23 '!M:M,'AEO 2026 Table 23 '!$B:$B,"*,"&amp;$A48&amp;",*"),"")</f>
        <v/>
      </c>
      <c r="L48" t="str">
        <f>IFERROR((SUMIFS('AEO 2026 Table 23 '!O:O,'AEO 2026 Table 23 '!$B:$B,"*,"&amp;$A48&amp;",*")-SUMIFS('AEO 2026 Table 23 '!N:N,'AEO 2026 Table 23 '!$B:$B,"*,"&amp;$A48&amp;",*"))/SUMIFS('AEO 2026 Table 23 '!N:N,'AEO 2026 Table 23 '!$B:$B,"*,"&amp;$A48&amp;",*"),"")</f>
        <v/>
      </c>
      <c r="M48" t="str">
        <f>IFERROR((SUMIFS('AEO 2026 Table 23 '!P:P,'AEO 2026 Table 23 '!$B:$B,"*,"&amp;$A48&amp;",*")-SUMIFS('AEO 2026 Table 23 '!O:O,'AEO 2026 Table 23 '!$B:$B,"*,"&amp;$A48&amp;",*"))/SUMIFS('AEO 2026 Table 23 '!O:O,'AEO 2026 Table 23 '!$B:$B,"*,"&amp;$A48&amp;",*"),"")</f>
        <v/>
      </c>
      <c r="N48" t="str">
        <f>IFERROR((SUMIFS('AEO 2026 Table 23 '!Q:Q,'AEO 2026 Table 23 '!$B:$B,"*,"&amp;$A48&amp;",*")-SUMIFS('AEO 2026 Table 23 '!P:P,'AEO 2026 Table 23 '!$B:$B,"*,"&amp;$A48&amp;",*"))/SUMIFS('AEO 2026 Table 23 '!P:P,'AEO 2026 Table 23 '!$B:$B,"*,"&amp;$A48&amp;",*"),"")</f>
        <v/>
      </c>
      <c r="O48" t="str">
        <f>IFERROR((SUMIFS('AEO 2026 Table 23 '!R:R,'AEO 2026 Table 23 '!$B:$B,"*,"&amp;$A48&amp;",*")-SUMIFS('AEO 2026 Table 23 '!Q:Q,'AEO 2026 Table 23 '!$B:$B,"*,"&amp;$A48&amp;",*"))/SUMIFS('AEO 2026 Table 23 '!Q:Q,'AEO 2026 Table 23 '!$B:$B,"*,"&amp;$A48&amp;",*"),"")</f>
        <v/>
      </c>
      <c r="P48" t="str">
        <f>IFERROR((SUMIFS('AEO 2026 Table 23 '!S:S,'AEO 2026 Table 23 '!$B:$B,"*,"&amp;$A48&amp;",*")-SUMIFS('AEO 2026 Table 23 '!R:R,'AEO 2026 Table 23 '!$B:$B,"*,"&amp;$A48&amp;",*"))/SUMIFS('AEO 2026 Table 23 '!R:R,'AEO 2026 Table 23 '!$B:$B,"*,"&amp;$A48&amp;",*"),"")</f>
        <v/>
      </c>
      <c r="Q48" t="str">
        <f>IFERROR((SUMIFS('AEO 2026 Table 23 '!T:T,'AEO 2026 Table 23 '!$B:$B,"*,"&amp;$A48&amp;",*")-SUMIFS('AEO 2026 Table 23 '!S:S,'AEO 2026 Table 23 '!$B:$B,"*,"&amp;$A48&amp;",*"))/SUMIFS('AEO 2026 Table 23 '!S:S,'AEO 2026 Table 23 '!$B:$B,"*,"&amp;$A48&amp;",*"),"")</f>
        <v/>
      </c>
      <c r="R48" t="str">
        <f>IFERROR((SUMIFS('AEO 2026 Table 23 '!U:U,'AEO 2026 Table 23 '!$B:$B,"*,"&amp;$A48&amp;",*")-SUMIFS('AEO 2026 Table 23 '!T:T,'AEO 2026 Table 23 '!$B:$B,"*,"&amp;$A48&amp;",*"))/SUMIFS('AEO 2026 Table 23 '!T:T,'AEO 2026 Table 23 '!$B:$B,"*,"&amp;$A48&amp;",*"),"")</f>
        <v/>
      </c>
      <c r="S48" t="str">
        <f>IFERROR((SUMIFS('AEO 2026 Table 23 '!V:V,'AEO 2026 Table 23 '!$B:$B,"*,"&amp;$A48&amp;",*")-SUMIFS('AEO 2026 Table 23 '!U:U,'AEO 2026 Table 23 '!$B:$B,"*,"&amp;$A48&amp;",*"))/SUMIFS('AEO 2026 Table 23 '!U:U,'AEO 2026 Table 23 '!$B:$B,"*,"&amp;$A48&amp;",*"),"")</f>
        <v/>
      </c>
      <c r="T48" t="str">
        <f>IFERROR((SUMIFS('AEO 2026 Table 23 '!W:W,'AEO 2026 Table 23 '!$B:$B,"*,"&amp;$A48&amp;",*")-SUMIFS('AEO 2026 Table 23 '!V:V,'AEO 2026 Table 23 '!$B:$B,"*,"&amp;$A48&amp;",*"))/SUMIFS('AEO 2026 Table 23 '!V:V,'AEO 2026 Table 23 '!$B:$B,"*,"&amp;$A48&amp;",*"),"")</f>
        <v/>
      </c>
      <c r="U48" t="str">
        <f>IFERROR((SUMIFS('AEO 2026 Table 23 '!X:X,'AEO 2026 Table 23 '!$B:$B,"*,"&amp;$A48&amp;",*")-SUMIFS('AEO 2026 Table 23 '!W:W,'AEO 2026 Table 23 '!$B:$B,"*,"&amp;$A48&amp;",*"))/SUMIFS('AEO 2026 Table 23 '!W:W,'AEO 2026 Table 23 '!$B:$B,"*,"&amp;$A48&amp;",*"),"")</f>
        <v/>
      </c>
      <c r="V48" t="str">
        <f>IFERROR((SUMIFS('AEO 2026 Table 23 '!Y:Y,'AEO 2026 Table 23 '!$B:$B,"*,"&amp;$A48&amp;",*")-SUMIFS('AEO 2026 Table 23 '!X:X,'AEO 2026 Table 23 '!$B:$B,"*,"&amp;$A48&amp;",*"))/SUMIFS('AEO 2026 Table 23 '!X:X,'AEO 2026 Table 23 '!$B:$B,"*,"&amp;$A48&amp;",*"),"")</f>
        <v/>
      </c>
      <c r="W48" t="str">
        <f>IFERROR((SUMIFS('AEO 2026 Table 23 '!Z:Z,'AEO 2026 Table 23 '!$B:$B,"*,"&amp;$A48&amp;",*")-SUMIFS('AEO 2026 Table 23 '!Y:Y,'AEO 2026 Table 23 '!$B:$B,"*,"&amp;$A48&amp;",*"))/SUMIFS('AEO 2026 Table 23 '!Y:Y,'AEO 2026 Table 23 '!$B:$B,"*,"&amp;$A48&amp;",*"),"")</f>
        <v/>
      </c>
      <c r="X48" t="str">
        <f>IFERROR((SUMIFS('AEO 2026 Table 23 '!AA:AA,'AEO 2026 Table 23 '!$B:$B,"*,"&amp;$A48&amp;",*")-SUMIFS('AEO 2026 Table 23 '!Z:Z,'AEO 2026 Table 23 '!$B:$B,"*,"&amp;$A48&amp;",*"))/SUMIFS('AEO 2026 Table 23 '!Z:Z,'AEO 2026 Table 23 '!$B:$B,"*,"&amp;$A48&amp;",*"),"")</f>
        <v/>
      </c>
      <c r="Y48" t="str">
        <f>IFERROR((SUMIFS('AEO 2026 Table 23 '!AB:AB,'AEO 2026 Table 23 '!$B:$B,"*,"&amp;$A48&amp;",*")-SUMIFS('AEO 2026 Table 23 '!AA:AA,'AEO 2026 Table 23 '!$B:$B,"*,"&amp;$A48&amp;",*"))/SUMIFS('AEO 2026 Table 23 '!AA:AA,'AEO 2026 Table 23 '!$B:$B,"*,"&amp;$A48&amp;",*"),"")</f>
        <v/>
      </c>
      <c r="Z48" t="str">
        <f>IFERROR((SUMIFS('AEO 2026 Table 23 '!AC:AC,'AEO 2026 Table 23 '!$B:$B,"*,"&amp;$A48&amp;",*")-SUMIFS('AEO 2026 Table 23 '!AB:AB,'AEO 2026 Table 23 '!$B:$B,"*,"&amp;$A48&amp;",*"))/SUMIFS('AEO 2026 Table 23 '!AB:AB,'AEO 2026 Table 23 '!$B:$B,"*,"&amp;$A48&amp;",*"),"")</f>
        <v/>
      </c>
      <c r="AA48" t="str">
        <f>IFERROR((SUMIFS('AEO 2026 Table 23 '!AD:AD,'AEO 2026 Table 23 '!$B:$B,"*,"&amp;$A48&amp;",*")-SUMIFS('AEO 2026 Table 23 '!AC:AC,'AEO 2026 Table 23 '!$B:$B,"*,"&amp;$A48&amp;",*"))/SUMIFS('AEO 2026 Table 23 '!AC:AC,'AEO 2026 Table 23 '!$B:$B,"*,"&amp;$A48&amp;",*"),"")</f>
        <v/>
      </c>
      <c r="AB48" t="str">
        <f>IFERROR((SUMIFS('AEO 2026 Table 23 '!AE:AE,'AEO 2026 Table 23 '!$B:$B,"*,"&amp;$A48&amp;",*")-SUMIFS('AEO 2026 Table 23 '!AD:AD,'AEO 2026 Table 23 '!$B:$B,"*,"&amp;$A48&amp;",*"))/SUMIFS('AEO 2026 Table 23 '!AD:AD,'AEO 2026 Table 23 '!$B:$B,"*,"&amp;$A48&amp;",*"),"")</f>
        <v/>
      </c>
      <c r="AC48" t="str">
        <f>IFERROR((SUMIFS('AEO 2026 Table 23 '!AF:AF,'AEO 2026 Table 23 '!$B:$B,"*,"&amp;$A48&amp;",*")-SUMIFS('AEO 2026 Table 23 '!AE:AE,'AEO 2026 Table 23 '!$B:$B,"*,"&amp;$A48&amp;",*"))/SUMIFS('AEO 2026 Table 23 '!AE:AE,'AEO 2026 Table 23 '!$B:$B,"*,"&amp;$A48&amp;",*"),"")</f>
        <v/>
      </c>
    </row>
    <row r="49" spans="1:29" x14ac:dyDescent="0.25">
      <c r="A49" t="s">
        <v>602</v>
      </c>
      <c r="B49">
        <f>IFERROR(SUMPRODUCT(--('BLS Table 2.11'!$L$1:$L$426=$A49),'BLS Table 2.11'!$J$1:$J$426,'BLS Table 2.11'!$K$1:$K$426)/SUMIFS('BLS Table 2.11'!$J$1:$J$426,'BLS Table 2.11'!$L$1:$L$426,$A49)/100,0)</f>
        <v>2.3824568611339355E-2</v>
      </c>
      <c r="D49" t="str">
        <f>IFERROR((SUMIFS('AEO 2026 Table 23 '!G:G,'AEO 2026 Table 23 '!$B:$B,"*,"&amp;$A49&amp;",*")-SUMIFS('AEO25 Table 23'!H:H,'AEO25 Table 23'!$B:$B,"*,"&amp;$A49&amp;",*"))/SUMIFS('AEO25 Table 23'!H:H,'AEO25 Table 23'!$B:$B,"*,"&amp;$A49&amp;",*"),"")</f>
        <v/>
      </c>
      <c r="E49" t="str">
        <f>IFERROR((SUMIFS('AEO 2026 Table 23 '!H:H,'AEO 2026 Table 23 '!$B:$B,"*,"&amp;$A49&amp;",*")-SUMIFS('AEO 2026 Table 23 '!G:G,'AEO 2026 Table 23 '!$B:$B,"*,"&amp;$A49&amp;",*"))/SUMIFS('AEO 2026 Table 23 '!G:G,'AEO 2026 Table 23 '!$B:$B,"*,"&amp;$A49&amp;",*"),"")</f>
        <v/>
      </c>
      <c r="F49" t="str">
        <f>IFERROR((SUMIFS('AEO 2026 Table 23 '!I:I,'AEO 2026 Table 23 '!$B:$B,"*,"&amp;$A49&amp;",*")-SUMIFS('AEO 2026 Table 23 '!H:H,'AEO 2026 Table 23 '!$B:$B,"*,"&amp;$A49&amp;",*"))/SUMIFS('AEO 2026 Table 23 '!H:H,'AEO 2026 Table 23 '!$B:$B,"*,"&amp;$A49&amp;",*"),"")</f>
        <v/>
      </c>
      <c r="G49" t="str">
        <f>IFERROR((SUMIFS('AEO 2026 Table 23 '!J:J,'AEO 2026 Table 23 '!$B:$B,"*,"&amp;$A49&amp;",*")-SUMIFS('AEO 2026 Table 23 '!I:I,'AEO 2026 Table 23 '!$B:$B,"*,"&amp;$A49&amp;",*"))/SUMIFS('AEO 2026 Table 23 '!I:I,'AEO 2026 Table 23 '!$B:$B,"*,"&amp;$A49&amp;",*"),"")</f>
        <v/>
      </c>
      <c r="H49" t="str">
        <f>IFERROR((SUMIFS('AEO 2026 Table 23 '!K:K,'AEO 2026 Table 23 '!$B:$B,"*,"&amp;$A49&amp;",*")-SUMIFS('AEO 2026 Table 23 '!J:J,'AEO 2026 Table 23 '!$B:$B,"*,"&amp;$A49&amp;",*"))/SUMIFS('AEO 2026 Table 23 '!J:J,'AEO 2026 Table 23 '!$B:$B,"*,"&amp;$A49&amp;",*"),"")</f>
        <v/>
      </c>
      <c r="I49" t="str">
        <f>IFERROR((SUMIFS('AEO 2026 Table 23 '!L:L,'AEO 2026 Table 23 '!$B:$B,"*,"&amp;$A49&amp;",*")-SUMIFS('AEO 2026 Table 23 '!K:K,'AEO 2026 Table 23 '!$B:$B,"*,"&amp;$A49&amp;",*"))/SUMIFS('AEO 2026 Table 23 '!K:K,'AEO 2026 Table 23 '!$B:$B,"*,"&amp;$A49&amp;",*"),"")</f>
        <v/>
      </c>
      <c r="J49" t="str">
        <f>IFERROR((SUMIFS('AEO 2026 Table 23 '!M:M,'AEO 2026 Table 23 '!$B:$B,"*,"&amp;$A49&amp;",*")-SUMIFS('AEO 2026 Table 23 '!L:L,'AEO 2026 Table 23 '!$B:$B,"*,"&amp;$A49&amp;",*"))/SUMIFS('AEO 2026 Table 23 '!L:L,'AEO 2026 Table 23 '!$B:$B,"*,"&amp;$A49&amp;",*"),"")</f>
        <v/>
      </c>
      <c r="K49" t="str">
        <f>IFERROR((SUMIFS('AEO 2026 Table 23 '!N:N,'AEO 2026 Table 23 '!$B:$B,"*,"&amp;$A49&amp;",*")-SUMIFS('AEO 2026 Table 23 '!M:M,'AEO 2026 Table 23 '!$B:$B,"*,"&amp;$A49&amp;",*"))/SUMIFS('AEO 2026 Table 23 '!M:M,'AEO 2026 Table 23 '!$B:$B,"*,"&amp;$A49&amp;",*"),"")</f>
        <v/>
      </c>
      <c r="L49" t="str">
        <f>IFERROR((SUMIFS('AEO 2026 Table 23 '!O:O,'AEO 2026 Table 23 '!$B:$B,"*,"&amp;$A49&amp;",*")-SUMIFS('AEO 2026 Table 23 '!N:N,'AEO 2026 Table 23 '!$B:$B,"*,"&amp;$A49&amp;",*"))/SUMIFS('AEO 2026 Table 23 '!N:N,'AEO 2026 Table 23 '!$B:$B,"*,"&amp;$A49&amp;",*"),"")</f>
        <v/>
      </c>
      <c r="M49" t="str">
        <f>IFERROR((SUMIFS('AEO 2026 Table 23 '!P:P,'AEO 2026 Table 23 '!$B:$B,"*,"&amp;$A49&amp;",*")-SUMIFS('AEO 2026 Table 23 '!O:O,'AEO 2026 Table 23 '!$B:$B,"*,"&amp;$A49&amp;",*"))/SUMIFS('AEO 2026 Table 23 '!O:O,'AEO 2026 Table 23 '!$B:$B,"*,"&amp;$A49&amp;",*"),"")</f>
        <v/>
      </c>
      <c r="N49" t="str">
        <f>IFERROR((SUMIFS('AEO 2026 Table 23 '!Q:Q,'AEO 2026 Table 23 '!$B:$B,"*,"&amp;$A49&amp;",*")-SUMIFS('AEO 2026 Table 23 '!P:P,'AEO 2026 Table 23 '!$B:$B,"*,"&amp;$A49&amp;",*"))/SUMIFS('AEO 2026 Table 23 '!P:P,'AEO 2026 Table 23 '!$B:$B,"*,"&amp;$A49&amp;",*"),"")</f>
        <v/>
      </c>
      <c r="O49" t="str">
        <f>IFERROR((SUMIFS('AEO 2026 Table 23 '!R:R,'AEO 2026 Table 23 '!$B:$B,"*,"&amp;$A49&amp;",*")-SUMIFS('AEO 2026 Table 23 '!Q:Q,'AEO 2026 Table 23 '!$B:$B,"*,"&amp;$A49&amp;",*"))/SUMIFS('AEO 2026 Table 23 '!Q:Q,'AEO 2026 Table 23 '!$B:$B,"*,"&amp;$A49&amp;",*"),"")</f>
        <v/>
      </c>
      <c r="P49" t="str">
        <f>IFERROR((SUMIFS('AEO 2026 Table 23 '!S:S,'AEO 2026 Table 23 '!$B:$B,"*,"&amp;$A49&amp;",*")-SUMIFS('AEO 2026 Table 23 '!R:R,'AEO 2026 Table 23 '!$B:$B,"*,"&amp;$A49&amp;",*"))/SUMIFS('AEO 2026 Table 23 '!R:R,'AEO 2026 Table 23 '!$B:$B,"*,"&amp;$A49&amp;",*"),"")</f>
        <v/>
      </c>
      <c r="Q49" t="str">
        <f>IFERROR((SUMIFS('AEO 2026 Table 23 '!T:T,'AEO 2026 Table 23 '!$B:$B,"*,"&amp;$A49&amp;",*")-SUMIFS('AEO 2026 Table 23 '!S:S,'AEO 2026 Table 23 '!$B:$B,"*,"&amp;$A49&amp;",*"))/SUMIFS('AEO 2026 Table 23 '!S:S,'AEO 2026 Table 23 '!$B:$B,"*,"&amp;$A49&amp;",*"),"")</f>
        <v/>
      </c>
      <c r="R49" t="str">
        <f>IFERROR((SUMIFS('AEO 2026 Table 23 '!U:U,'AEO 2026 Table 23 '!$B:$B,"*,"&amp;$A49&amp;",*")-SUMIFS('AEO 2026 Table 23 '!T:T,'AEO 2026 Table 23 '!$B:$B,"*,"&amp;$A49&amp;",*"))/SUMIFS('AEO 2026 Table 23 '!T:T,'AEO 2026 Table 23 '!$B:$B,"*,"&amp;$A49&amp;",*"),"")</f>
        <v/>
      </c>
      <c r="S49" t="str">
        <f>IFERROR((SUMIFS('AEO 2026 Table 23 '!V:V,'AEO 2026 Table 23 '!$B:$B,"*,"&amp;$A49&amp;",*")-SUMIFS('AEO 2026 Table 23 '!U:U,'AEO 2026 Table 23 '!$B:$B,"*,"&amp;$A49&amp;",*"))/SUMIFS('AEO 2026 Table 23 '!U:U,'AEO 2026 Table 23 '!$B:$B,"*,"&amp;$A49&amp;",*"),"")</f>
        <v/>
      </c>
      <c r="T49" t="str">
        <f>IFERROR((SUMIFS('AEO 2026 Table 23 '!W:W,'AEO 2026 Table 23 '!$B:$B,"*,"&amp;$A49&amp;",*")-SUMIFS('AEO 2026 Table 23 '!V:V,'AEO 2026 Table 23 '!$B:$B,"*,"&amp;$A49&amp;",*"))/SUMIFS('AEO 2026 Table 23 '!V:V,'AEO 2026 Table 23 '!$B:$B,"*,"&amp;$A49&amp;",*"),"")</f>
        <v/>
      </c>
      <c r="U49" t="str">
        <f>IFERROR((SUMIFS('AEO 2026 Table 23 '!X:X,'AEO 2026 Table 23 '!$B:$B,"*,"&amp;$A49&amp;",*")-SUMIFS('AEO 2026 Table 23 '!W:W,'AEO 2026 Table 23 '!$B:$B,"*,"&amp;$A49&amp;",*"))/SUMIFS('AEO 2026 Table 23 '!W:W,'AEO 2026 Table 23 '!$B:$B,"*,"&amp;$A49&amp;",*"),"")</f>
        <v/>
      </c>
      <c r="V49" t="str">
        <f>IFERROR((SUMIFS('AEO 2026 Table 23 '!Y:Y,'AEO 2026 Table 23 '!$B:$B,"*,"&amp;$A49&amp;",*")-SUMIFS('AEO 2026 Table 23 '!X:X,'AEO 2026 Table 23 '!$B:$B,"*,"&amp;$A49&amp;",*"))/SUMIFS('AEO 2026 Table 23 '!X:X,'AEO 2026 Table 23 '!$B:$B,"*,"&amp;$A49&amp;",*"),"")</f>
        <v/>
      </c>
      <c r="W49" t="str">
        <f>IFERROR((SUMIFS('AEO 2026 Table 23 '!Z:Z,'AEO 2026 Table 23 '!$B:$B,"*,"&amp;$A49&amp;",*")-SUMIFS('AEO 2026 Table 23 '!Y:Y,'AEO 2026 Table 23 '!$B:$B,"*,"&amp;$A49&amp;",*"))/SUMIFS('AEO 2026 Table 23 '!Y:Y,'AEO 2026 Table 23 '!$B:$B,"*,"&amp;$A49&amp;",*"),"")</f>
        <v/>
      </c>
      <c r="X49" t="str">
        <f>IFERROR((SUMIFS('AEO 2026 Table 23 '!AA:AA,'AEO 2026 Table 23 '!$B:$B,"*,"&amp;$A49&amp;",*")-SUMIFS('AEO 2026 Table 23 '!Z:Z,'AEO 2026 Table 23 '!$B:$B,"*,"&amp;$A49&amp;",*"))/SUMIFS('AEO 2026 Table 23 '!Z:Z,'AEO 2026 Table 23 '!$B:$B,"*,"&amp;$A49&amp;",*"),"")</f>
        <v/>
      </c>
      <c r="Y49" t="str">
        <f>IFERROR((SUMIFS('AEO 2026 Table 23 '!AB:AB,'AEO 2026 Table 23 '!$B:$B,"*,"&amp;$A49&amp;",*")-SUMIFS('AEO 2026 Table 23 '!AA:AA,'AEO 2026 Table 23 '!$B:$B,"*,"&amp;$A49&amp;",*"))/SUMIFS('AEO 2026 Table 23 '!AA:AA,'AEO 2026 Table 23 '!$B:$B,"*,"&amp;$A49&amp;",*"),"")</f>
        <v/>
      </c>
      <c r="Z49" t="str">
        <f>IFERROR((SUMIFS('AEO 2026 Table 23 '!AC:AC,'AEO 2026 Table 23 '!$B:$B,"*,"&amp;$A49&amp;",*")-SUMIFS('AEO 2026 Table 23 '!AB:AB,'AEO 2026 Table 23 '!$B:$B,"*,"&amp;$A49&amp;",*"))/SUMIFS('AEO 2026 Table 23 '!AB:AB,'AEO 2026 Table 23 '!$B:$B,"*,"&amp;$A49&amp;",*"),"")</f>
        <v/>
      </c>
      <c r="AA49" t="str">
        <f>IFERROR((SUMIFS('AEO 2026 Table 23 '!AD:AD,'AEO 2026 Table 23 '!$B:$B,"*,"&amp;$A49&amp;",*")-SUMIFS('AEO 2026 Table 23 '!AC:AC,'AEO 2026 Table 23 '!$B:$B,"*,"&amp;$A49&amp;",*"))/SUMIFS('AEO 2026 Table 23 '!AC:AC,'AEO 2026 Table 23 '!$B:$B,"*,"&amp;$A49&amp;",*"),"")</f>
        <v/>
      </c>
      <c r="AB49" t="str">
        <f>IFERROR((SUMIFS('AEO 2026 Table 23 '!AE:AE,'AEO 2026 Table 23 '!$B:$B,"*,"&amp;$A49&amp;",*")-SUMIFS('AEO 2026 Table 23 '!AD:AD,'AEO 2026 Table 23 '!$B:$B,"*,"&amp;$A49&amp;",*"))/SUMIFS('AEO 2026 Table 23 '!AD:AD,'AEO 2026 Table 23 '!$B:$B,"*,"&amp;$A49&amp;",*"),"")</f>
        <v/>
      </c>
      <c r="AC49" t="str">
        <f>IFERROR((SUMIFS('AEO 2026 Table 23 '!AF:AF,'AEO 2026 Table 23 '!$B:$B,"*,"&amp;$A49&amp;",*")-SUMIFS('AEO 2026 Table 23 '!AE:AE,'AEO 2026 Table 23 '!$B:$B,"*,"&amp;$A49&amp;",*"))/SUMIFS('AEO 2026 Table 23 '!AE:AE,'AEO 2026 Table 23 '!$B:$B,"*,"&amp;$A49&amp;",*"),"")</f>
        <v/>
      </c>
    </row>
    <row r="50" spans="1:29" x14ac:dyDescent="0.25">
      <c r="A50" t="s">
        <v>934</v>
      </c>
      <c r="B50">
        <f>IFERROR(SUMPRODUCT(--('BLS Table 2.11'!$L$1:$L$426=$A50),'BLS Table 2.11'!$J$1:$J$426,'BLS Table 2.11'!$K$1:$K$426)/SUMIFS('BLS Table 2.11'!$J$1:$J$426,'BLS Table 2.11'!$L$1:$L$426,$A50)/100,0)</f>
        <v>5.0652135576482191E-3</v>
      </c>
      <c r="D50" t="str">
        <f>IFERROR((SUMIFS('AEO 2026 Table 23 '!G:G,'AEO 2026 Table 23 '!$B:$B,"*,"&amp;$A50&amp;",*")-SUMIFS('AEO25 Table 23'!H:H,'AEO25 Table 23'!$B:$B,"*,"&amp;$A50&amp;",*"))/SUMIFS('AEO25 Table 23'!H:H,'AEO25 Table 23'!$B:$B,"*,"&amp;$A50&amp;",*"),"")</f>
        <v/>
      </c>
      <c r="E50" t="str">
        <f>IFERROR((SUMIFS('AEO 2026 Table 23 '!H:H,'AEO 2026 Table 23 '!$B:$B,"*,"&amp;$A50&amp;",*")-SUMIFS('AEO 2026 Table 23 '!G:G,'AEO 2026 Table 23 '!$B:$B,"*,"&amp;$A50&amp;",*"))/SUMIFS('AEO 2026 Table 23 '!G:G,'AEO 2026 Table 23 '!$B:$B,"*,"&amp;$A50&amp;",*"),"")</f>
        <v/>
      </c>
      <c r="F50" t="str">
        <f>IFERROR((SUMIFS('AEO 2026 Table 23 '!I:I,'AEO 2026 Table 23 '!$B:$B,"*,"&amp;$A50&amp;",*")-SUMIFS('AEO 2026 Table 23 '!H:H,'AEO 2026 Table 23 '!$B:$B,"*,"&amp;$A50&amp;",*"))/SUMIFS('AEO 2026 Table 23 '!H:H,'AEO 2026 Table 23 '!$B:$B,"*,"&amp;$A50&amp;",*"),"")</f>
        <v/>
      </c>
      <c r="G50" t="str">
        <f>IFERROR((SUMIFS('AEO 2026 Table 23 '!J:J,'AEO 2026 Table 23 '!$B:$B,"*,"&amp;$A50&amp;",*")-SUMIFS('AEO 2026 Table 23 '!I:I,'AEO 2026 Table 23 '!$B:$B,"*,"&amp;$A50&amp;",*"))/SUMIFS('AEO 2026 Table 23 '!I:I,'AEO 2026 Table 23 '!$B:$B,"*,"&amp;$A50&amp;",*"),"")</f>
        <v/>
      </c>
      <c r="H50" t="str">
        <f>IFERROR((SUMIFS('AEO 2026 Table 23 '!K:K,'AEO 2026 Table 23 '!$B:$B,"*,"&amp;$A50&amp;",*")-SUMIFS('AEO 2026 Table 23 '!J:J,'AEO 2026 Table 23 '!$B:$B,"*,"&amp;$A50&amp;",*"))/SUMIFS('AEO 2026 Table 23 '!J:J,'AEO 2026 Table 23 '!$B:$B,"*,"&amp;$A50&amp;",*"),"")</f>
        <v/>
      </c>
      <c r="I50" t="str">
        <f>IFERROR((SUMIFS('AEO 2026 Table 23 '!L:L,'AEO 2026 Table 23 '!$B:$B,"*,"&amp;$A50&amp;",*")-SUMIFS('AEO 2026 Table 23 '!K:K,'AEO 2026 Table 23 '!$B:$B,"*,"&amp;$A50&amp;",*"))/SUMIFS('AEO 2026 Table 23 '!K:K,'AEO 2026 Table 23 '!$B:$B,"*,"&amp;$A50&amp;",*"),"")</f>
        <v/>
      </c>
      <c r="J50" t="str">
        <f>IFERROR((SUMIFS('AEO 2026 Table 23 '!M:M,'AEO 2026 Table 23 '!$B:$B,"*,"&amp;$A50&amp;",*")-SUMIFS('AEO 2026 Table 23 '!L:L,'AEO 2026 Table 23 '!$B:$B,"*,"&amp;$A50&amp;",*"))/SUMIFS('AEO 2026 Table 23 '!L:L,'AEO 2026 Table 23 '!$B:$B,"*,"&amp;$A50&amp;",*"),"")</f>
        <v/>
      </c>
      <c r="K50" t="str">
        <f>IFERROR((SUMIFS('AEO 2026 Table 23 '!N:N,'AEO 2026 Table 23 '!$B:$B,"*,"&amp;$A50&amp;",*")-SUMIFS('AEO 2026 Table 23 '!M:M,'AEO 2026 Table 23 '!$B:$B,"*,"&amp;$A50&amp;",*"))/SUMIFS('AEO 2026 Table 23 '!M:M,'AEO 2026 Table 23 '!$B:$B,"*,"&amp;$A50&amp;",*"),"")</f>
        <v/>
      </c>
      <c r="L50" t="str">
        <f>IFERROR((SUMIFS('AEO 2026 Table 23 '!O:O,'AEO 2026 Table 23 '!$B:$B,"*,"&amp;$A50&amp;",*")-SUMIFS('AEO 2026 Table 23 '!N:N,'AEO 2026 Table 23 '!$B:$B,"*,"&amp;$A50&amp;",*"))/SUMIFS('AEO 2026 Table 23 '!N:N,'AEO 2026 Table 23 '!$B:$B,"*,"&amp;$A50&amp;",*"),"")</f>
        <v/>
      </c>
      <c r="M50" t="str">
        <f>IFERROR((SUMIFS('AEO 2026 Table 23 '!P:P,'AEO 2026 Table 23 '!$B:$B,"*,"&amp;$A50&amp;",*")-SUMIFS('AEO 2026 Table 23 '!O:O,'AEO 2026 Table 23 '!$B:$B,"*,"&amp;$A50&amp;",*"))/SUMIFS('AEO 2026 Table 23 '!O:O,'AEO 2026 Table 23 '!$B:$B,"*,"&amp;$A50&amp;",*"),"")</f>
        <v/>
      </c>
      <c r="N50" t="str">
        <f>IFERROR((SUMIFS('AEO 2026 Table 23 '!Q:Q,'AEO 2026 Table 23 '!$B:$B,"*,"&amp;$A50&amp;",*")-SUMIFS('AEO 2026 Table 23 '!P:P,'AEO 2026 Table 23 '!$B:$B,"*,"&amp;$A50&amp;",*"))/SUMIFS('AEO 2026 Table 23 '!P:P,'AEO 2026 Table 23 '!$B:$B,"*,"&amp;$A50&amp;",*"),"")</f>
        <v/>
      </c>
      <c r="O50" t="str">
        <f>IFERROR((SUMIFS('AEO 2026 Table 23 '!R:R,'AEO 2026 Table 23 '!$B:$B,"*,"&amp;$A50&amp;",*")-SUMIFS('AEO 2026 Table 23 '!Q:Q,'AEO 2026 Table 23 '!$B:$B,"*,"&amp;$A50&amp;",*"))/SUMIFS('AEO 2026 Table 23 '!Q:Q,'AEO 2026 Table 23 '!$B:$B,"*,"&amp;$A50&amp;",*"),"")</f>
        <v/>
      </c>
      <c r="P50" t="str">
        <f>IFERROR((SUMIFS('AEO 2026 Table 23 '!S:S,'AEO 2026 Table 23 '!$B:$B,"*,"&amp;$A50&amp;",*")-SUMIFS('AEO 2026 Table 23 '!R:R,'AEO 2026 Table 23 '!$B:$B,"*,"&amp;$A50&amp;",*"))/SUMIFS('AEO 2026 Table 23 '!R:R,'AEO 2026 Table 23 '!$B:$B,"*,"&amp;$A50&amp;",*"),"")</f>
        <v/>
      </c>
      <c r="Q50" t="str">
        <f>IFERROR((SUMIFS('AEO 2026 Table 23 '!T:T,'AEO 2026 Table 23 '!$B:$B,"*,"&amp;$A50&amp;",*")-SUMIFS('AEO 2026 Table 23 '!S:S,'AEO 2026 Table 23 '!$B:$B,"*,"&amp;$A50&amp;",*"))/SUMIFS('AEO 2026 Table 23 '!S:S,'AEO 2026 Table 23 '!$B:$B,"*,"&amp;$A50&amp;",*"),"")</f>
        <v/>
      </c>
      <c r="R50" t="str">
        <f>IFERROR((SUMIFS('AEO 2026 Table 23 '!U:U,'AEO 2026 Table 23 '!$B:$B,"*,"&amp;$A50&amp;",*")-SUMIFS('AEO 2026 Table 23 '!T:T,'AEO 2026 Table 23 '!$B:$B,"*,"&amp;$A50&amp;",*"))/SUMIFS('AEO 2026 Table 23 '!T:T,'AEO 2026 Table 23 '!$B:$B,"*,"&amp;$A50&amp;",*"),"")</f>
        <v/>
      </c>
      <c r="S50" t="str">
        <f>IFERROR((SUMIFS('AEO 2026 Table 23 '!V:V,'AEO 2026 Table 23 '!$B:$B,"*,"&amp;$A50&amp;",*")-SUMIFS('AEO 2026 Table 23 '!U:U,'AEO 2026 Table 23 '!$B:$B,"*,"&amp;$A50&amp;",*"))/SUMIFS('AEO 2026 Table 23 '!U:U,'AEO 2026 Table 23 '!$B:$B,"*,"&amp;$A50&amp;",*"),"")</f>
        <v/>
      </c>
      <c r="T50" t="str">
        <f>IFERROR((SUMIFS('AEO 2026 Table 23 '!W:W,'AEO 2026 Table 23 '!$B:$B,"*,"&amp;$A50&amp;",*")-SUMIFS('AEO 2026 Table 23 '!V:V,'AEO 2026 Table 23 '!$B:$B,"*,"&amp;$A50&amp;",*"))/SUMIFS('AEO 2026 Table 23 '!V:V,'AEO 2026 Table 23 '!$B:$B,"*,"&amp;$A50&amp;",*"),"")</f>
        <v/>
      </c>
      <c r="U50" t="str">
        <f>IFERROR((SUMIFS('AEO 2026 Table 23 '!X:X,'AEO 2026 Table 23 '!$B:$B,"*,"&amp;$A50&amp;",*")-SUMIFS('AEO 2026 Table 23 '!W:W,'AEO 2026 Table 23 '!$B:$B,"*,"&amp;$A50&amp;",*"))/SUMIFS('AEO 2026 Table 23 '!W:W,'AEO 2026 Table 23 '!$B:$B,"*,"&amp;$A50&amp;",*"),"")</f>
        <v/>
      </c>
      <c r="V50" t="str">
        <f>IFERROR((SUMIFS('AEO 2026 Table 23 '!Y:Y,'AEO 2026 Table 23 '!$B:$B,"*,"&amp;$A50&amp;",*")-SUMIFS('AEO 2026 Table 23 '!X:X,'AEO 2026 Table 23 '!$B:$B,"*,"&amp;$A50&amp;",*"))/SUMIFS('AEO 2026 Table 23 '!X:X,'AEO 2026 Table 23 '!$B:$B,"*,"&amp;$A50&amp;",*"),"")</f>
        <v/>
      </c>
      <c r="W50" t="str">
        <f>IFERROR((SUMIFS('AEO 2026 Table 23 '!Z:Z,'AEO 2026 Table 23 '!$B:$B,"*,"&amp;$A50&amp;",*")-SUMIFS('AEO 2026 Table 23 '!Y:Y,'AEO 2026 Table 23 '!$B:$B,"*,"&amp;$A50&amp;",*"))/SUMIFS('AEO 2026 Table 23 '!Y:Y,'AEO 2026 Table 23 '!$B:$B,"*,"&amp;$A50&amp;",*"),"")</f>
        <v/>
      </c>
      <c r="X50" t="str">
        <f>IFERROR((SUMIFS('AEO 2026 Table 23 '!AA:AA,'AEO 2026 Table 23 '!$B:$B,"*,"&amp;$A50&amp;",*")-SUMIFS('AEO 2026 Table 23 '!Z:Z,'AEO 2026 Table 23 '!$B:$B,"*,"&amp;$A50&amp;",*"))/SUMIFS('AEO 2026 Table 23 '!Z:Z,'AEO 2026 Table 23 '!$B:$B,"*,"&amp;$A50&amp;",*"),"")</f>
        <v/>
      </c>
      <c r="Y50" t="str">
        <f>IFERROR((SUMIFS('AEO 2026 Table 23 '!AB:AB,'AEO 2026 Table 23 '!$B:$B,"*,"&amp;$A50&amp;",*")-SUMIFS('AEO 2026 Table 23 '!AA:AA,'AEO 2026 Table 23 '!$B:$B,"*,"&amp;$A50&amp;",*"))/SUMIFS('AEO 2026 Table 23 '!AA:AA,'AEO 2026 Table 23 '!$B:$B,"*,"&amp;$A50&amp;",*"),"")</f>
        <v/>
      </c>
      <c r="Z50" t="str">
        <f>IFERROR((SUMIFS('AEO 2026 Table 23 '!AC:AC,'AEO 2026 Table 23 '!$B:$B,"*,"&amp;$A50&amp;",*")-SUMIFS('AEO 2026 Table 23 '!AB:AB,'AEO 2026 Table 23 '!$B:$B,"*,"&amp;$A50&amp;",*"))/SUMIFS('AEO 2026 Table 23 '!AB:AB,'AEO 2026 Table 23 '!$B:$B,"*,"&amp;$A50&amp;",*"),"")</f>
        <v/>
      </c>
      <c r="AA50" t="str">
        <f>IFERROR((SUMIFS('AEO 2026 Table 23 '!AD:AD,'AEO 2026 Table 23 '!$B:$B,"*,"&amp;$A50&amp;",*")-SUMIFS('AEO 2026 Table 23 '!AC:AC,'AEO 2026 Table 23 '!$B:$B,"*,"&amp;$A50&amp;",*"))/SUMIFS('AEO 2026 Table 23 '!AC:AC,'AEO 2026 Table 23 '!$B:$B,"*,"&amp;$A50&amp;",*"),"")</f>
        <v/>
      </c>
      <c r="AB50" t="str">
        <f>IFERROR((SUMIFS('AEO 2026 Table 23 '!AE:AE,'AEO 2026 Table 23 '!$B:$B,"*,"&amp;$A50&amp;",*")-SUMIFS('AEO 2026 Table 23 '!AD:AD,'AEO 2026 Table 23 '!$B:$B,"*,"&amp;$A50&amp;",*"))/SUMIFS('AEO 2026 Table 23 '!AD:AD,'AEO 2026 Table 23 '!$B:$B,"*,"&amp;$A50&amp;",*"),"")</f>
        <v/>
      </c>
      <c r="AC50" t="str">
        <f>IFERROR((SUMIFS('AEO 2026 Table 23 '!AF:AF,'AEO 2026 Table 23 '!$B:$B,"*,"&amp;$A50&amp;",*")-SUMIFS('AEO 2026 Table 23 '!AE:AE,'AEO 2026 Table 23 '!$B:$B,"*,"&amp;$A50&amp;",*"))/SUMIFS('AEO 2026 Table 23 '!AE:AE,'AEO 2026 Table 23 '!$B:$B,"*,"&amp;$A50&amp;",*"),"")</f>
        <v/>
      </c>
    </row>
    <row r="51" spans="1:29" x14ac:dyDescent="0.25">
      <c r="A51" t="s">
        <v>692</v>
      </c>
      <c r="B51">
        <f>IFERROR(SUMPRODUCT(--('BLS Table 2.11'!$L$1:$L$426=$A51),'BLS Table 2.11'!$J$1:$J$426,'BLS Table 2.11'!$K$1:$K$426)/SUMIFS('BLS Table 2.11'!$J$1:$J$426,'BLS Table 2.11'!$L$1:$L$426,$A51)/100,0)</f>
        <v>4.7258152010125967E-3</v>
      </c>
      <c r="D51" t="str">
        <f>IFERROR((SUMIFS('AEO 2026 Table 23 '!G:G,'AEO 2026 Table 23 '!$B:$B,"*,"&amp;$A51&amp;",*")-SUMIFS('AEO25 Table 23'!H:H,'AEO25 Table 23'!$B:$B,"*,"&amp;$A51&amp;",*"))/SUMIFS('AEO25 Table 23'!H:H,'AEO25 Table 23'!$B:$B,"*,"&amp;$A51&amp;",*"),"")</f>
        <v/>
      </c>
      <c r="E51" t="str">
        <f>IFERROR((SUMIFS('AEO 2026 Table 23 '!H:H,'AEO 2026 Table 23 '!$B:$B,"*,"&amp;$A51&amp;",*")-SUMIFS('AEO 2026 Table 23 '!G:G,'AEO 2026 Table 23 '!$B:$B,"*,"&amp;$A51&amp;",*"))/SUMIFS('AEO 2026 Table 23 '!G:G,'AEO 2026 Table 23 '!$B:$B,"*,"&amp;$A51&amp;",*"),"")</f>
        <v/>
      </c>
      <c r="F51" t="str">
        <f>IFERROR((SUMIFS('AEO 2026 Table 23 '!I:I,'AEO 2026 Table 23 '!$B:$B,"*,"&amp;$A51&amp;",*")-SUMIFS('AEO 2026 Table 23 '!H:H,'AEO 2026 Table 23 '!$B:$B,"*,"&amp;$A51&amp;",*"))/SUMIFS('AEO 2026 Table 23 '!H:H,'AEO 2026 Table 23 '!$B:$B,"*,"&amp;$A51&amp;",*"),"")</f>
        <v/>
      </c>
      <c r="G51" t="str">
        <f>IFERROR((SUMIFS('AEO 2026 Table 23 '!J:J,'AEO 2026 Table 23 '!$B:$B,"*,"&amp;$A51&amp;",*")-SUMIFS('AEO 2026 Table 23 '!I:I,'AEO 2026 Table 23 '!$B:$B,"*,"&amp;$A51&amp;",*"))/SUMIFS('AEO 2026 Table 23 '!I:I,'AEO 2026 Table 23 '!$B:$B,"*,"&amp;$A51&amp;",*"),"")</f>
        <v/>
      </c>
      <c r="H51" t="str">
        <f>IFERROR((SUMIFS('AEO 2026 Table 23 '!K:K,'AEO 2026 Table 23 '!$B:$B,"*,"&amp;$A51&amp;",*")-SUMIFS('AEO 2026 Table 23 '!J:J,'AEO 2026 Table 23 '!$B:$B,"*,"&amp;$A51&amp;",*"))/SUMIFS('AEO 2026 Table 23 '!J:J,'AEO 2026 Table 23 '!$B:$B,"*,"&amp;$A51&amp;",*"),"")</f>
        <v/>
      </c>
      <c r="I51" t="str">
        <f>IFERROR((SUMIFS('AEO 2026 Table 23 '!L:L,'AEO 2026 Table 23 '!$B:$B,"*,"&amp;$A51&amp;",*")-SUMIFS('AEO 2026 Table 23 '!K:K,'AEO 2026 Table 23 '!$B:$B,"*,"&amp;$A51&amp;",*"))/SUMIFS('AEO 2026 Table 23 '!K:K,'AEO 2026 Table 23 '!$B:$B,"*,"&amp;$A51&amp;",*"),"")</f>
        <v/>
      </c>
      <c r="J51" t="str">
        <f>IFERROR((SUMIFS('AEO 2026 Table 23 '!M:M,'AEO 2026 Table 23 '!$B:$B,"*,"&amp;$A51&amp;",*")-SUMIFS('AEO 2026 Table 23 '!L:L,'AEO 2026 Table 23 '!$B:$B,"*,"&amp;$A51&amp;",*"))/SUMIFS('AEO 2026 Table 23 '!L:L,'AEO 2026 Table 23 '!$B:$B,"*,"&amp;$A51&amp;",*"),"")</f>
        <v/>
      </c>
      <c r="K51" t="str">
        <f>IFERROR((SUMIFS('AEO 2026 Table 23 '!N:N,'AEO 2026 Table 23 '!$B:$B,"*,"&amp;$A51&amp;",*")-SUMIFS('AEO 2026 Table 23 '!M:M,'AEO 2026 Table 23 '!$B:$B,"*,"&amp;$A51&amp;",*"))/SUMIFS('AEO 2026 Table 23 '!M:M,'AEO 2026 Table 23 '!$B:$B,"*,"&amp;$A51&amp;",*"),"")</f>
        <v/>
      </c>
      <c r="L51" t="str">
        <f>IFERROR((SUMIFS('AEO 2026 Table 23 '!O:O,'AEO 2026 Table 23 '!$B:$B,"*,"&amp;$A51&amp;",*")-SUMIFS('AEO 2026 Table 23 '!N:N,'AEO 2026 Table 23 '!$B:$B,"*,"&amp;$A51&amp;",*"))/SUMIFS('AEO 2026 Table 23 '!N:N,'AEO 2026 Table 23 '!$B:$B,"*,"&amp;$A51&amp;",*"),"")</f>
        <v/>
      </c>
      <c r="M51" t="str">
        <f>IFERROR((SUMIFS('AEO 2026 Table 23 '!P:P,'AEO 2026 Table 23 '!$B:$B,"*,"&amp;$A51&amp;",*")-SUMIFS('AEO 2026 Table 23 '!O:O,'AEO 2026 Table 23 '!$B:$B,"*,"&amp;$A51&amp;",*"))/SUMIFS('AEO 2026 Table 23 '!O:O,'AEO 2026 Table 23 '!$B:$B,"*,"&amp;$A51&amp;",*"),"")</f>
        <v/>
      </c>
      <c r="N51" t="str">
        <f>IFERROR((SUMIFS('AEO 2026 Table 23 '!Q:Q,'AEO 2026 Table 23 '!$B:$B,"*,"&amp;$A51&amp;",*")-SUMIFS('AEO 2026 Table 23 '!P:P,'AEO 2026 Table 23 '!$B:$B,"*,"&amp;$A51&amp;",*"))/SUMIFS('AEO 2026 Table 23 '!P:P,'AEO 2026 Table 23 '!$B:$B,"*,"&amp;$A51&amp;",*"),"")</f>
        <v/>
      </c>
      <c r="O51" t="str">
        <f>IFERROR((SUMIFS('AEO 2026 Table 23 '!R:R,'AEO 2026 Table 23 '!$B:$B,"*,"&amp;$A51&amp;",*")-SUMIFS('AEO 2026 Table 23 '!Q:Q,'AEO 2026 Table 23 '!$B:$B,"*,"&amp;$A51&amp;",*"))/SUMIFS('AEO 2026 Table 23 '!Q:Q,'AEO 2026 Table 23 '!$B:$B,"*,"&amp;$A51&amp;",*"),"")</f>
        <v/>
      </c>
      <c r="P51" t="str">
        <f>IFERROR((SUMIFS('AEO 2026 Table 23 '!S:S,'AEO 2026 Table 23 '!$B:$B,"*,"&amp;$A51&amp;",*")-SUMIFS('AEO 2026 Table 23 '!R:R,'AEO 2026 Table 23 '!$B:$B,"*,"&amp;$A51&amp;",*"))/SUMIFS('AEO 2026 Table 23 '!R:R,'AEO 2026 Table 23 '!$B:$B,"*,"&amp;$A51&amp;",*"),"")</f>
        <v/>
      </c>
      <c r="Q51" t="str">
        <f>IFERROR((SUMIFS('AEO 2026 Table 23 '!T:T,'AEO 2026 Table 23 '!$B:$B,"*,"&amp;$A51&amp;",*")-SUMIFS('AEO 2026 Table 23 '!S:S,'AEO 2026 Table 23 '!$B:$B,"*,"&amp;$A51&amp;",*"))/SUMIFS('AEO 2026 Table 23 '!S:S,'AEO 2026 Table 23 '!$B:$B,"*,"&amp;$A51&amp;",*"),"")</f>
        <v/>
      </c>
      <c r="R51" t="str">
        <f>IFERROR((SUMIFS('AEO 2026 Table 23 '!U:U,'AEO 2026 Table 23 '!$B:$B,"*,"&amp;$A51&amp;",*")-SUMIFS('AEO 2026 Table 23 '!T:T,'AEO 2026 Table 23 '!$B:$B,"*,"&amp;$A51&amp;",*"))/SUMIFS('AEO 2026 Table 23 '!T:T,'AEO 2026 Table 23 '!$B:$B,"*,"&amp;$A51&amp;",*"),"")</f>
        <v/>
      </c>
      <c r="S51" t="str">
        <f>IFERROR((SUMIFS('AEO 2026 Table 23 '!V:V,'AEO 2026 Table 23 '!$B:$B,"*,"&amp;$A51&amp;",*")-SUMIFS('AEO 2026 Table 23 '!U:U,'AEO 2026 Table 23 '!$B:$B,"*,"&amp;$A51&amp;",*"))/SUMIFS('AEO 2026 Table 23 '!U:U,'AEO 2026 Table 23 '!$B:$B,"*,"&amp;$A51&amp;",*"),"")</f>
        <v/>
      </c>
      <c r="T51" t="str">
        <f>IFERROR((SUMIFS('AEO 2026 Table 23 '!W:W,'AEO 2026 Table 23 '!$B:$B,"*,"&amp;$A51&amp;",*")-SUMIFS('AEO 2026 Table 23 '!V:V,'AEO 2026 Table 23 '!$B:$B,"*,"&amp;$A51&amp;",*"))/SUMIFS('AEO 2026 Table 23 '!V:V,'AEO 2026 Table 23 '!$B:$B,"*,"&amp;$A51&amp;",*"),"")</f>
        <v/>
      </c>
      <c r="U51" t="str">
        <f>IFERROR((SUMIFS('AEO 2026 Table 23 '!X:X,'AEO 2026 Table 23 '!$B:$B,"*,"&amp;$A51&amp;",*")-SUMIFS('AEO 2026 Table 23 '!W:W,'AEO 2026 Table 23 '!$B:$B,"*,"&amp;$A51&amp;",*"))/SUMIFS('AEO 2026 Table 23 '!W:W,'AEO 2026 Table 23 '!$B:$B,"*,"&amp;$A51&amp;",*"),"")</f>
        <v/>
      </c>
      <c r="V51" t="str">
        <f>IFERROR((SUMIFS('AEO 2026 Table 23 '!Y:Y,'AEO 2026 Table 23 '!$B:$B,"*,"&amp;$A51&amp;",*")-SUMIFS('AEO 2026 Table 23 '!X:X,'AEO 2026 Table 23 '!$B:$B,"*,"&amp;$A51&amp;",*"))/SUMIFS('AEO 2026 Table 23 '!X:X,'AEO 2026 Table 23 '!$B:$B,"*,"&amp;$A51&amp;",*"),"")</f>
        <v/>
      </c>
      <c r="W51" t="str">
        <f>IFERROR((SUMIFS('AEO 2026 Table 23 '!Z:Z,'AEO 2026 Table 23 '!$B:$B,"*,"&amp;$A51&amp;",*")-SUMIFS('AEO 2026 Table 23 '!Y:Y,'AEO 2026 Table 23 '!$B:$B,"*,"&amp;$A51&amp;",*"))/SUMIFS('AEO 2026 Table 23 '!Y:Y,'AEO 2026 Table 23 '!$B:$B,"*,"&amp;$A51&amp;",*"),"")</f>
        <v/>
      </c>
      <c r="X51" t="str">
        <f>IFERROR((SUMIFS('AEO 2026 Table 23 '!AA:AA,'AEO 2026 Table 23 '!$B:$B,"*,"&amp;$A51&amp;",*")-SUMIFS('AEO 2026 Table 23 '!Z:Z,'AEO 2026 Table 23 '!$B:$B,"*,"&amp;$A51&amp;",*"))/SUMIFS('AEO 2026 Table 23 '!Z:Z,'AEO 2026 Table 23 '!$B:$B,"*,"&amp;$A51&amp;",*"),"")</f>
        <v/>
      </c>
      <c r="Y51" t="str">
        <f>IFERROR((SUMIFS('AEO 2026 Table 23 '!AB:AB,'AEO 2026 Table 23 '!$B:$B,"*,"&amp;$A51&amp;",*")-SUMIFS('AEO 2026 Table 23 '!AA:AA,'AEO 2026 Table 23 '!$B:$B,"*,"&amp;$A51&amp;",*"))/SUMIFS('AEO 2026 Table 23 '!AA:AA,'AEO 2026 Table 23 '!$B:$B,"*,"&amp;$A51&amp;",*"),"")</f>
        <v/>
      </c>
      <c r="Z51" t="str">
        <f>IFERROR((SUMIFS('AEO 2026 Table 23 '!AC:AC,'AEO 2026 Table 23 '!$B:$B,"*,"&amp;$A51&amp;",*")-SUMIFS('AEO 2026 Table 23 '!AB:AB,'AEO 2026 Table 23 '!$B:$B,"*,"&amp;$A51&amp;",*"))/SUMIFS('AEO 2026 Table 23 '!AB:AB,'AEO 2026 Table 23 '!$B:$B,"*,"&amp;$A51&amp;",*"),"")</f>
        <v/>
      </c>
      <c r="AA51" t="str">
        <f>IFERROR((SUMIFS('AEO 2026 Table 23 '!AD:AD,'AEO 2026 Table 23 '!$B:$B,"*,"&amp;$A51&amp;",*")-SUMIFS('AEO 2026 Table 23 '!AC:AC,'AEO 2026 Table 23 '!$B:$B,"*,"&amp;$A51&amp;",*"))/SUMIFS('AEO 2026 Table 23 '!AC:AC,'AEO 2026 Table 23 '!$B:$B,"*,"&amp;$A51&amp;",*"),"")</f>
        <v/>
      </c>
      <c r="AB51" t="str">
        <f>IFERROR((SUMIFS('AEO 2026 Table 23 '!AE:AE,'AEO 2026 Table 23 '!$B:$B,"*,"&amp;$A51&amp;",*")-SUMIFS('AEO 2026 Table 23 '!AD:AD,'AEO 2026 Table 23 '!$B:$B,"*,"&amp;$A51&amp;",*"))/SUMIFS('AEO 2026 Table 23 '!AD:AD,'AEO 2026 Table 23 '!$B:$B,"*,"&amp;$A51&amp;",*"),"")</f>
        <v/>
      </c>
      <c r="AC51" t="str">
        <f>IFERROR((SUMIFS('AEO 2026 Table 23 '!AF:AF,'AEO 2026 Table 23 '!$B:$B,"*,"&amp;$A51&amp;",*")-SUMIFS('AEO 2026 Table 23 '!AE:AE,'AEO 2026 Table 23 '!$B:$B,"*,"&amp;$A51&amp;",*"))/SUMIFS('AEO 2026 Table 23 '!AE:AE,'AEO 2026 Table 23 '!$B:$B,"*,"&amp;$A51&amp;",*"),"")</f>
        <v/>
      </c>
    </row>
    <row r="52" spans="1:29" x14ac:dyDescent="0.25">
      <c r="A52" t="s">
        <v>747</v>
      </c>
      <c r="B52">
        <f>IFERROR(SUMPRODUCT(--('BLS Table 2.11'!$L$1:$L$426=$A52),'BLS Table 2.11'!$J$1:$J$426,'BLS Table 2.11'!$K$1:$K$426)/SUMIFS('BLS Table 2.11'!$J$1:$J$426,'BLS Table 2.11'!$L$1:$L$426,$A52)/100,0)</f>
        <v>2.7703373647358368E-2</v>
      </c>
      <c r="D52" t="str">
        <f>IFERROR((SUMIFS('AEO 2026 Table 23 '!G:G,'AEO 2026 Table 23 '!$B:$B,"*,"&amp;$A52&amp;",*")-SUMIFS('AEO25 Table 23'!H:H,'AEO25 Table 23'!$B:$B,"*,"&amp;$A52&amp;",*"))/SUMIFS('AEO25 Table 23'!H:H,'AEO25 Table 23'!$B:$B,"*,"&amp;$A52&amp;",*"),"")</f>
        <v/>
      </c>
      <c r="E52" t="str">
        <f>IFERROR((SUMIFS('AEO 2026 Table 23 '!H:H,'AEO 2026 Table 23 '!$B:$B,"*,"&amp;$A52&amp;",*")-SUMIFS('AEO 2026 Table 23 '!G:G,'AEO 2026 Table 23 '!$B:$B,"*,"&amp;$A52&amp;",*"))/SUMIFS('AEO 2026 Table 23 '!G:G,'AEO 2026 Table 23 '!$B:$B,"*,"&amp;$A52&amp;",*"),"")</f>
        <v/>
      </c>
      <c r="F52" t="str">
        <f>IFERROR((SUMIFS('AEO 2026 Table 23 '!I:I,'AEO 2026 Table 23 '!$B:$B,"*,"&amp;$A52&amp;",*")-SUMIFS('AEO 2026 Table 23 '!H:H,'AEO 2026 Table 23 '!$B:$B,"*,"&amp;$A52&amp;",*"))/SUMIFS('AEO 2026 Table 23 '!H:H,'AEO 2026 Table 23 '!$B:$B,"*,"&amp;$A52&amp;",*"),"")</f>
        <v/>
      </c>
      <c r="G52" t="str">
        <f>IFERROR((SUMIFS('AEO 2026 Table 23 '!J:J,'AEO 2026 Table 23 '!$B:$B,"*,"&amp;$A52&amp;",*")-SUMIFS('AEO 2026 Table 23 '!I:I,'AEO 2026 Table 23 '!$B:$B,"*,"&amp;$A52&amp;",*"))/SUMIFS('AEO 2026 Table 23 '!I:I,'AEO 2026 Table 23 '!$B:$B,"*,"&amp;$A52&amp;",*"),"")</f>
        <v/>
      </c>
      <c r="H52" t="str">
        <f>IFERROR((SUMIFS('AEO 2026 Table 23 '!K:K,'AEO 2026 Table 23 '!$B:$B,"*,"&amp;$A52&amp;",*")-SUMIFS('AEO 2026 Table 23 '!J:J,'AEO 2026 Table 23 '!$B:$B,"*,"&amp;$A52&amp;",*"))/SUMIFS('AEO 2026 Table 23 '!J:J,'AEO 2026 Table 23 '!$B:$B,"*,"&amp;$A52&amp;",*"),"")</f>
        <v/>
      </c>
      <c r="I52" t="str">
        <f>IFERROR((SUMIFS('AEO 2026 Table 23 '!L:L,'AEO 2026 Table 23 '!$B:$B,"*,"&amp;$A52&amp;",*")-SUMIFS('AEO 2026 Table 23 '!K:K,'AEO 2026 Table 23 '!$B:$B,"*,"&amp;$A52&amp;",*"))/SUMIFS('AEO 2026 Table 23 '!K:K,'AEO 2026 Table 23 '!$B:$B,"*,"&amp;$A52&amp;",*"),"")</f>
        <v/>
      </c>
      <c r="J52" t="str">
        <f>IFERROR((SUMIFS('AEO 2026 Table 23 '!M:M,'AEO 2026 Table 23 '!$B:$B,"*,"&amp;$A52&amp;",*")-SUMIFS('AEO 2026 Table 23 '!L:L,'AEO 2026 Table 23 '!$B:$B,"*,"&amp;$A52&amp;",*"))/SUMIFS('AEO 2026 Table 23 '!L:L,'AEO 2026 Table 23 '!$B:$B,"*,"&amp;$A52&amp;",*"),"")</f>
        <v/>
      </c>
      <c r="K52" t="str">
        <f>IFERROR((SUMIFS('AEO 2026 Table 23 '!N:N,'AEO 2026 Table 23 '!$B:$B,"*,"&amp;$A52&amp;",*")-SUMIFS('AEO 2026 Table 23 '!M:M,'AEO 2026 Table 23 '!$B:$B,"*,"&amp;$A52&amp;",*"))/SUMIFS('AEO 2026 Table 23 '!M:M,'AEO 2026 Table 23 '!$B:$B,"*,"&amp;$A52&amp;",*"),"")</f>
        <v/>
      </c>
      <c r="L52" t="str">
        <f>IFERROR((SUMIFS('AEO 2026 Table 23 '!O:O,'AEO 2026 Table 23 '!$B:$B,"*,"&amp;$A52&amp;",*")-SUMIFS('AEO 2026 Table 23 '!N:N,'AEO 2026 Table 23 '!$B:$B,"*,"&amp;$A52&amp;",*"))/SUMIFS('AEO 2026 Table 23 '!N:N,'AEO 2026 Table 23 '!$B:$B,"*,"&amp;$A52&amp;",*"),"")</f>
        <v/>
      </c>
      <c r="M52" t="str">
        <f>IFERROR((SUMIFS('AEO 2026 Table 23 '!P:P,'AEO 2026 Table 23 '!$B:$B,"*,"&amp;$A52&amp;",*")-SUMIFS('AEO 2026 Table 23 '!O:O,'AEO 2026 Table 23 '!$B:$B,"*,"&amp;$A52&amp;",*"))/SUMIFS('AEO 2026 Table 23 '!O:O,'AEO 2026 Table 23 '!$B:$B,"*,"&amp;$A52&amp;",*"),"")</f>
        <v/>
      </c>
      <c r="N52" t="str">
        <f>IFERROR((SUMIFS('AEO 2026 Table 23 '!Q:Q,'AEO 2026 Table 23 '!$B:$B,"*,"&amp;$A52&amp;",*")-SUMIFS('AEO 2026 Table 23 '!P:P,'AEO 2026 Table 23 '!$B:$B,"*,"&amp;$A52&amp;",*"))/SUMIFS('AEO 2026 Table 23 '!P:P,'AEO 2026 Table 23 '!$B:$B,"*,"&amp;$A52&amp;",*"),"")</f>
        <v/>
      </c>
      <c r="O52" t="str">
        <f>IFERROR((SUMIFS('AEO 2026 Table 23 '!R:R,'AEO 2026 Table 23 '!$B:$B,"*,"&amp;$A52&amp;",*")-SUMIFS('AEO 2026 Table 23 '!Q:Q,'AEO 2026 Table 23 '!$B:$B,"*,"&amp;$A52&amp;",*"))/SUMIFS('AEO 2026 Table 23 '!Q:Q,'AEO 2026 Table 23 '!$B:$B,"*,"&amp;$A52&amp;",*"),"")</f>
        <v/>
      </c>
      <c r="P52" t="str">
        <f>IFERROR((SUMIFS('AEO 2026 Table 23 '!S:S,'AEO 2026 Table 23 '!$B:$B,"*,"&amp;$A52&amp;",*")-SUMIFS('AEO 2026 Table 23 '!R:R,'AEO 2026 Table 23 '!$B:$B,"*,"&amp;$A52&amp;",*"))/SUMIFS('AEO 2026 Table 23 '!R:R,'AEO 2026 Table 23 '!$B:$B,"*,"&amp;$A52&amp;",*"),"")</f>
        <v/>
      </c>
      <c r="Q52" t="str">
        <f>IFERROR((SUMIFS('AEO 2026 Table 23 '!T:T,'AEO 2026 Table 23 '!$B:$B,"*,"&amp;$A52&amp;",*")-SUMIFS('AEO 2026 Table 23 '!S:S,'AEO 2026 Table 23 '!$B:$B,"*,"&amp;$A52&amp;",*"))/SUMIFS('AEO 2026 Table 23 '!S:S,'AEO 2026 Table 23 '!$B:$B,"*,"&amp;$A52&amp;",*"),"")</f>
        <v/>
      </c>
      <c r="R52" t="str">
        <f>IFERROR((SUMIFS('AEO 2026 Table 23 '!U:U,'AEO 2026 Table 23 '!$B:$B,"*,"&amp;$A52&amp;",*")-SUMIFS('AEO 2026 Table 23 '!T:T,'AEO 2026 Table 23 '!$B:$B,"*,"&amp;$A52&amp;",*"))/SUMIFS('AEO 2026 Table 23 '!T:T,'AEO 2026 Table 23 '!$B:$B,"*,"&amp;$A52&amp;",*"),"")</f>
        <v/>
      </c>
      <c r="S52" t="str">
        <f>IFERROR((SUMIFS('AEO 2026 Table 23 '!V:V,'AEO 2026 Table 23 '!$B:$B,"*,"&amp;$A52&amp;",*")-SUMIFS('AEO 2026 Table 23 '!U:U,'AEO 2026 Table 23 '!$B:$B,"*,"&amp;$A52&amp;",*"))/SUMIFS('AEO 2026 Table 23 '!U:U,'AEO 2026 Table 23 '!$B:$B,"*,"&amp;$A52&amp;",*"),"")</f>
        <v/>
      </c>
      <c r="T52" t="str">
        <f>IFERROR((SUMIFS('AEO 2026 Table 23 '!W:W,'AEO 2026 Table 23 '!$B:$B,"*,"&amp;$A52&amp;",*")-SUMIFS('AEO 2026 Table 23 '!V:V,'AEO 2026 Table 23 '!$B:$B,"*,"&amp;$A52&amp;",*"))/SUMIFS('AEO 2026 Table 23 '!V:V,'AEO 2026 Table 23 '!$B:$B,"*,"&amp;$A52&amp;",*"),"")</f>
        <v/>
      </c>
      <c r="U52" t="str">
        <f>IFERROR((SUMIFS('AEO 2026 Table 23 '!X:X,'AEO 2026 Table 23 '!$B:$B,"*,"&amp;$A52&amp;",*")-SUMIFS('AEO 2026 Table 23 '!W:W,'AEO 2026 Table 23 '!$B:$B,"*,"&amp;$A52&amp;",*"))/SUMIFS('AEO 2026 Table 23 '!W:W,'AEO 2026 Table 23 '!$B:$B,"*,"&amp;$A52&amp;",*"),"")</f>
        <v/>
      </c>
      <c r="V52" t="str">
        <f>IFERROR((SUMIFS('AEO 2026 Table 23 '!Y:Y,'AEO 2026 Table 23 '!$B:$B,"*,"&amp;$A52&amp;",*")-SUMIFS('AEO 2026 Table 23 '!X:X,'AEO 2026 Table 23 '!$B:$B,"*,"&amp;$A52&amp;",*"))/SUMIFS('AEO 2026 Table 23 '!X:X,'AEO 2026 Table 23 '!$B:$B,"*,"&amp;$A52&amp;",*"),"")</f>
        <v/>
      </c>
      <c r="W52" t="str">
        <f>IFERROR((SUMIFS('AEO 2026 Table 23 '!Z:Z,'AEO 2026 Table 23 '!$B:$B,"*,"&amp;$A52&amp;",*")-SUMIFS('AEO 2026 Table 23 '!Y:Y,'AEO 2026 Table 23 '!$B:$B,"*,"&amp;$A52&amp;",*"))/SUMIFS('AEO 2026 Table 23 '!Y:Y,'AEO 2026 Table 23 '!$B:$B,"*,"&amp;$A52&amp;",*"),"")</f>
        <v/>
      </c>
      <c r="X52" t="str">
        <f>IFERROR((SUMIFS('AEO 2026 Table 23 '!AA:AA,'AEO 2026 Table 23 '!$B:$B,"*,"&amp;$A52&amp;",*")-SUMIFS('AEO 2026 Table 23 '!Z:Z,'AEO 2026 Table 23 '!$B:$B,"*,"&amp;$A52&amp;",*"))/SUMIFS('AEO 2026 Table 23 '!Z:Z,'AEO 2026 Table 23 '!$B:$B,"*,"&amp;$A52&amp;",*"),"")</f>
        <v/>
      </c>
      <c r="Y52" t="str">
        <f>IFERROR((SUMIFS('AEO 2026 Table 23 '!AB:AB,'AEO 2026 Table 23 '!$B:$B,"*,"&amp;$A52&amp;",*")-SUMIFS('AEO 2026 Table 23 '!AA:AA,'AEO 2026 Table 23 '!$B:$B,"*,"&amp;$A52&amp;",*"))/SUMIFS('AEO 2026 Table 23 '!AA:AA,'AEO 2026 Table 23 '!$B:$B,"*,"&amp;$A52&amp;",*"),"")</f>
        <v/>
      </c>
      <c r="Z52" t="str">
        <f>IFERROR((SUMIFS('AEO 2026 Table 23 '!AC:AC,'AEO 2026 Table 23 '!$B:$B,"*,"&amp;$A52&amp;",*")-SUMIFS('AEO 2026 Table 23 '!AB:AB,'AEO 2026 Table 23 '!$B:$B,"*,"&amp;$A52&amp;",*"))/SUMIFS('AEO 2026 Table 23 '!AB:AB,'AEO 2026 Table 23 '!$B:$B,"*,"&amp;$A52&amp;",*"),"")</f>
        <v/>
      </c>
      <c r="AA52" t="str">
        <f>IFERROR((SUMIFS('AEO 2026 Table 23 '!AD:AD,'AEO 2026 Table 23 '!$B:$B,"*,"&amp;$A52&amp;",*")-SUMIFS('AEO 2026 Table 23 '!AC:AC,'AEO 2026 Table 23 '!$B:$B,"*,"&amp;$A52&amp;",*"))/SUMIFS('AEO 2026 Table 23 '!AC:AC,'AEO 2026 Table 23 '!$B:$B,"*,"&amp;$A52&amp;",*"),"")</f>
        <v/>
      </c>
      <c r="AB52" t="str">
        <f>IFERROR((SUMIFS('AEO 2026 Table 23 '!AE:AE,'AEO 2026 Table 23 '!$B:$B,"*,"&amp;$A52&amp;",*")-SUMIFS('AEO 2026 Table 23 '!AD:AD,'AEO 2026 Table 23 '!$B:$B,"*,"&amp;$A52&amp;",*"))/SUMIFS('AEO 2026 Table 23 '!AD:AD,'AEO 2026 Table 23 '!$B:$B,"*,"&amp;$A52&amp;",*"),"")</f>
        <v/>
      </c>
      <c r="AC52" t="str">
        <f>IFERROR((SUMIFS('AEO 2026 Table 23 '!AF:AF,'AEO 2026 Table 23 '!$B:$B,"*,"&amp;$A52&amp;",*")-SUMIFS('AEO 2026 Table 23 '!AE:AE,'AEO 2026 Table 23 '!$B:$B,"*,"&amp;$A52&amp;",*"))/SUMIFS('AEO 2026 Table 23 '!AE:AE,'AEO 2026 Table 23 '!$B:$B,"*,"&amp;$A52&amp;",*"),"")</f>
        <v/>
      </c>
    </row>
    <row r="53" spans="1:29" x14ac:dyDescent="0.25">
      <c r="A53" t="s">
        <v>832</v>
      </c>
      <c r="B53">
        <f>IFERROR(SUMPRODUCT(--('BLS Table 2.11'!$L$1:$L$426=$A53),'BLS Table 2.11'!$J$1:$J$426,'BLS Table 2.11'!$K$1:$K$426)/SUMIFS('BLS Table 2.11'!$J$1:$J$426,'BLS Table 2.11'!$L$1:$L$426,$A53)/100,0)</f>
        <v>2.2000000000000002E-2</v>
      </c>
      <c r="D53" t="str">
        <f>IFERROR((SUMIFS('AEO 2026 Table 23 '!G:G,'AEO 2026 Table 23 '!$B:$B,"*,"&amp;$A53&amp;",*")-SUMIFS('AEO25 Table 23'!H:H,'AEO25 Table 23'!$B:$B,"*,"&amp;$A53&amp;",*"))/SUMIFS('AEO25 Table 23'!H:H,'AEO25 Table 23'!$B:$B,"*,"&amp;$A53&amp;",*"),"")</f>
        <v/>
      </c>
      <c r="E53" t="str">
        <f>IFERROR((SUMIFS('AEO 2026 Table 23 '!H:H,'AEO 2026 Table 23 '!$B:$B,"*,"&amp;$A53&amp;",*")-SUMIFS('AEO 2026 Table 23 '!G:G,'AEO 2026 Table 23 '!$B:$B,"*,"&amp;$A53&amp;",*"))/SUMIFS('AEO 2026 Table 23 '!G:G,'AEO 2026 Table 23 '!$B:$B,"*,"&amp;$A53&amp;",*"),"")</f>
        <v/>
      </c>
      <c r="F53" t="str">
        <f>IFERROR((SUMIFS('AEO 2026 Table 23 '!I:I,'AEO 2026 Table 23 '!$B:$B,"*,"&amp;$A53&amp;",*")-SUMIFS('AEO 2026 Table 23 '!H:H,'AEO 2026 Table 23 '!$B:$B,"*,"&amp;$A53&amp;",*"))/SUMIFS('AEO 2026 Table 23 '!H:H,'AEO 2026 Table 23 '!$B:$B,"*,"&amp;$A53&amp;",*"),"")</f>
        <v/>
      </c>
      <c r="G53" t="str">
        <f>IFERROR((SUMIFS('AEO 2026 Table 23 '!J:J,'AEO 2026 Table 23 '!$B:$B,"*,"&amp;$A53&amp;",*")-SUMIFS('AEO 2026 Table 23 '!I:I,'AEO 2026 Table 23 '!$B:$B,"*,"&amp;$A53&amp;",*"))/SUMIFS('AEO 2026 Table 23 '!I:I,'AEO 2026 Table 23 '!$B:$B,"*,"&amp;$A53&amp;",*"),"")</f>
        <v/>
      </c>
      <c r="H53" t="str">
        <f>IFERROR((SUMIFS('AEO 2026 Table 23 '!K:K,'AEO 2026 Table 23 '!$B:$B,"*,"&amp;$A53&amp;",*")-SUMIFS('AEO 2026 Table 23 '!J:J,'AEO 2026 Table 23 '!$B:$B,"*,"&amp;$A53&amp;",*"))/SUMIFS('AEO 2026 Table 23 '!J:J,'AEO 2026 Table 23 '!$B:$B,"*,"&amp;$A53&amp;",*"),"")</f>
        <v/>
      </c>
      <c r="I53" t="str">
        <f>IFERROR((SUMIFS('AEO 2026 Table 23 '!L:L,'AEO 2026 Table 23 '!$B:$B,"*,"&amp;$A53&amp;",*")-SUMIFS('AEO 2026 Table 23 '!K:K,'AEO 2026 Table 23 '!$B:$B,"*,"&amp;$A53&amp;",*"))/SUMIFS('AEO 2026 Table 23 '!K:K,'AEO 2026 Table 23 '!$B:$B,"*,"&amp;$A53&amp;",*"),"")</f>
        <v/>
      </c>
      <c r="J53" t="str">
        <f>IFERROR((SUMIFS('AEO 2026 Table 23 '!M:M,'AEO 2026 Table 23 '!$B:$B,"*,"&amp;$A53&amp;",*")-SUMIFS('AEO 2026 Table 23 '!L:L,'AEO 2026 Table 23 '!$B:$B,"*,"&amp;$A53&amp;",*"))/SUMIFS('AEO 2026 Table 23 '!L:L,'AEO 2026 Table 23 '!$B:$B,"*,"&amp;$A53&amp;",*"),"")</f>
        <v/>
      </c>
      <c r="K53" t="str">
        <f>IFERROR((SUMIFS('AEO 2026 Table 23 '!N:N,'AEO 2026 Table 23 '!$B:$B,"*,"&amp;$A53&amp;",*")-SUMIFS('AEO 2026 Table 23 '!M:M,'AEO 2026 Table 23 '!$B:$B,"*,"&amp;$A53&amp;",*"))/SUMIFS('AEO 2026 Table 23 '!M:M,'AEO 2026 Table 23 '!$B:$B,"*,"&amp;$A53&amp;",*"),"")</f>
        <v/>
      </c>
      <c r="L53" t="str">
        <f>IFERROR((SUMIFS('AEO 2026 Table 23 '!O:O,'AEO 2026 Table 23 '!$B:$B,"*,"&amp;$A53&amp;",*")-SUMIFS('AEO 2026 Table 23 '!N:N,'AEO 2026 Table 23 '!$B:$B,"*,"&amp;$A53&amp;",*"))/SUMIFS('AEO 2026 Table 23 '!N:N,'AEO 2026 Table 23 '!$B:$B,"*,"&amp;$A53&amp;",*"),"")</f>
        <v/>
      </c>
      <c r="M53" t="str">
        <f>IFERROR((SUMIFS('AEO 2026 Table 23 '!P:P,'AEO 2026 Table 23 '!$B:$B,"*,"&amp;$A53&amp;",*")-SUMIFS('AEO 2026 Table 23 '!O:O,'AEO 2026 Table 23 '!$B:$B,"*,"&amp;$A53&amp;",*"))/SUMIFS('AEO 2026 Table 23 '!O:O,'AEO 2026 Table 23 '!$B:$B,"*,"&amp;$A53&amp;",*"),"")</f>
        <v/>
      </c>
      <c r="N53" t="str">
        <f>IFERROR((SUMIFS('AEO 2026 Table 23 '!Q:Q,'AEO 2026 Table 23 '!$B:$B,"*,"&amp;$A53&amp;",*")-SUMIFS('AEO 2026 Table 23 '!P:P,'AEO 2026 Table 23 '!$B:$B,"*,"&amp;$A53&amp;",*"))/SUMIFS('AEO 2026 Table 23 '!P:P,'AEO 2026 Table 23 '!$B:$B,"*,"&amp;$A53&amp;",*"),"")</f>
        <v/>
      </c>
      <c r="O53" t="str">
        <f>IFERROR((SUMIFS('AEO 2026 Table 23 '!R:R,'AEO 2026 Table 23 '!$B:$B,"*,"&amp;$A53&amp;",*")-SUMIFS('AEO 2026 Table 23 '!Q:Q,'AEO 2026 Table 23 '!$B:$B,"*,"&amp;$A53&amp;",*"))/SUMIFS('AEO 2026 Table 23 '!Q:Q,'AEO 2026 Table 23 '!$B:$B,"*,"&amp;$A53&amp;",*"),"")</f>
        <v/>
      </c>
      <c r="P53" t="str">
        <f>IFERROR((SUMIFS('AEO 2026 Table 23 '!S:S,'AEO 2026 Table 23 '!$B:$B,"*,"&amp;$A53&amp;",*")-SUMIFS('AEO 2026 Table 23 '!R:R,'AEO 2026 Table 23 '!$B:$B,"*,"&amp;$A53&amp;",*"))/SUMIFS('AEO 2026 Table 23 '!R:R,'AEO 2026 Table 23 '!$B:$B,"*,"&amp;$A53&amp;",*"),"")</f>
        <v/>
      </c>
      <c r="Q53" t="str">
        <f>IFERROR((SUMIFS('AEO 2026 Table 23 '!T:T,'AEO 2026 Table 23 '!$B:$B,"*,"&amp;$A53&amp;",*")-SUMIFS('AEO 2026 Table 23 '!S:S,'AEO 2026 Table 23 '!$B:$B,"*,"&amp;$A53&amp;",*"))/SUMIFS('AEO 2026 Table 23 '!S:S,'AEO 2026 Table 23 '!$B:$B,"*,"&amp;$A53&amp;",*"),"")</f>
        <v/>
      </c>
      <c r="R53" t="str">
        <f>IFERROR((SUMIFS('AEO 2026 Table 23 '!U:U,'AEO 2026 Table 23 '!$B:$B,"*,"&amp;$A53&amp;",*")-SUMIFS('AEO 2026 Table 23 '!T:T,'AEO 2026 Table 23 '!$B:$B,"*,"&amp;$A53&amp;",*"))/SUMIFS('AEO 2026 Table 23 '!T:T,'AEO 2026 Table 23 '!$B:$B,"*,"&amp;$A53&amp;",*"),"")</f>
        <v/>
      </c>
      <c r="S53" t="str">
        <f>IFERROR((SUMIFS('AEO 2026 Table 23 '!V:V,'AEO 2026 Table 23 '!$B:$B,"*,"&amp;$A53&amp;",*")-SUMIFS('AEO 2026 Table 23 '!U:U,'AEO 2026 Table 23 '!$B:$B,"*,"&amp;$A53&amp;",*"))/SUMIFS('AEO 2026 Table 23 '!U:U,'AEO 2026 Table 23 '!$B:$B,"*,"&amp;$A53&amp;",*"),"")</f>
        <v/>
      </c>
      <c r="T53" t="str">
        <f>IFERROR((SUMIFS('AEO 2026 Table 23 '!W:W,'AEO 2026 Table 23 '!$B:$B,"*,"&amp;$A53&amp;",*")-SUMIFS('AEO 2026 Table 23 '!V:V,'AEO 2026 Table 23 '!$B:$B,"*,"&amp;$A53&amp;",*"))/SUMIFS('AEO 2026 Table 23 '!V:V,'AEO 2026 Table 23 '!$B:$B,"*,"&amp;$A53&amp;",*"),"")</f>
        <v/>
      </c>
      <c r="U53" t="str">
        <f>IFERROR((SUMIFS('AEO 2026 Table 23 '!X:X,'AEO 2026 Table 23 '!$B:$B,"*,"&amp;$A53&amp;",*")-SUMIFS('AEO 2026 Table 23 '!W:W,'AEO 2026 Table 23 '!$B:$B,"*,"&amp;$A53&amp;",*"))/SUMIFS('AEO 2026 Table 23 '!W:W,'AEO 2026 Table 23 '!$B:$B,"*,"&amp;$A53&amp;",*"),"")</f>
        <v/>
      </c>
      <c r="V53" t="str">
        <f>IFERROR((SUMIFS('AEO 2026 Table 23 '!Y:Y,'AEO 2026 Table 23 '!$B:$B,"*,"&amp;$A53&amp;",*")-SUMIFS('AEO 2026 Table 23 '!X:X,'AEO 2026 Table 23 '!$B:$B,"*,"&amp;$A53&amp;",*"))/SUMIFS('AEO 2026 Table 23 '!X:X,'AEO 2026 Table 23 '!$B:$B,"*,"&amp;$A53&amp;",*"),"")</f>
        <v/>
      </c>
      <c r="W53" t="str">
        <f>IFERROR((SUMIFS('AEO 2026 Table 23 '!Z:Z,'AEO 2026 Table 23 '!$B:$B,"*,"&amp;$A53&amp;",*")-SUMIFS('AEO 2026 Table 23 '!Y:Y,'AEO 2026 Table 23 '!$B:$B,"*,"&amp;$A53&amp;",*"))/SUMIFS('AEO 2026 Table 23 '!Y:Y,'AEO 2026 Table 23 '!$B:$B,"*,"&amp;$A53&amp;",*"),"")</f>
        <v/>
      </c>
      <c r="X53" t="str">
        <f>IFERROR((SUMIFS('AEO 2026 Table 23 '!AA:AA,'AEO 2026 Table 23 '!$B:$B,"*,"&amp;$A53&amp;",*")-SUMIFS('AEO 2026 Table 23 '!Z:Z,'AEO 2026 Table 23 '!$B:$B,"*,"&amp;$A53&amp;",*"))/SUMIFS('AEO 2026 Table 23 '!Z:Z,'AEO 2026 Table 23 '!$B:$B,"*,"&amp;$A53&amp;",*"),"")</f>
        <v/>
      </c>
      <c r="Y53" t="str">
        <f>IFERROR((SUMIFS('AEO 2026 Table 23 '!AB:AB,'AEO 2026 Table 23 '!$B:$B,"*,"&amp;$A53&amp;",*")-SUMIFS('AEO 2026 Table 23 '!AA:AA,'AEO 2026 Table 23 '!$B:$B,"*,"&amp;$A53&amp;",*"))/SUMIFS('AEO 2026 Table 23 '!AA:AA,'AEO 2026 Table 23 '!$B:$B,"*,"&amp;$A53&amp;",*"),"")</f>
        <v/>
      </c>
      <c r="Z53" t="str">
        <f>IFERROR((SUMIFS('AEO 2026 Table 23 '!AC:AC,'AEO 2026 Table 23 '!$B:$B,"*,"&amp;$A53&amp;",*")-SUMIFS('AEO 2026 Table 23 '!AB:AB,'AEO 2026 Table 23 '!$B:$B,"*,"&amp;$A53&amp;",*"))/SUMIFS('AEO 2026 Table 23 '!AB:AB,'AEO 2026 Table 23 '!$B:$B,"*,"&amp;$A53&amp;",*"),"")</f>
        <v/>
      </c>
      <c r="AA53" t="str">
        <f>IFERROR((SUMIFS('AEO 2026 Table 23 '!AD:AD,'AEO 2026 Table 23 '!$B:$B,"*,"&amp;$A53&amp;",*")-SUMIFS('AEO 2026 Table 23 '!AC:AC,'AEO 2026 Table 23 '!$B:$B,"*,"&amp;$A53&amp;",*"))/SUMIFS('AEO 2026 Table 23 '!AC:AC,'AEO 2026 Table 23 '!$B:$B,"*,"&amp;$A53&amp;",*"),"")</f>
        <v/>
      </c>
      <c r="AB53" t="str">
        <f>IFERROR((SUMIFS('AEO 2026 Table 23 '!AE:AE,'AEO 2026 Table 23 '!$B:$B,"*,"&amp;$A53&amp;",*")-SUMIFS('AEO 2026 Table 23 '!AD:AD,'AEO 2026 Table 23 '!$B:$B,"*,"&amp;$A53&amp;",*"))/SUMIFS('AEO 2026 Table 23 '!AD:AD,'AEO 2026 Table 23 '!$B:$B,"*,"&amp;$A53&amp;",*"),"")</f>
        <v/>
      </c>
      <c r="AC53" t="str">
        <f>IFERROR((SUMIFS('AEO 2026 Table 23 '!AF:AF,'AEO 2026 Table 23 '!$B:$B,"*,"&amp;$A53&amp;",*")-SUMIFS('AEO 2026 Table 23 '!AE:AE,'AEO 2026 Table 23 '!$B:$B,"*,"&amp;$A53&amp;",*"))/SUMIFS('AEO 2026 Table 23 '!AE:AE,'AEO 2026 Table 23 '!$B:$B,"*,"&amp;$A53&amp;",*"),"")</f>
        <v/>
      </c>
    </row>
    <row r="54" spans="1:29" x14ac:dyDescent="0.25">
      <c r="A54" t="s">
        <v>896</v>
      </c>
      <c r="B54">
        <f>IFERROR(SUMPRODUCT(--('BLS Table 2.11'!$L$1:$L$426=$A54),'BLS Table 2.11'!$J$1:$J$426,'BLS Table 2.11'!$K$1:$K$426)/SUMIFS('BLS Table 2.11'!$J$1:$J$426,'BLS Table 2.11'!$L$1:$L$426,$A54)/100,0)</f>
        <v>2.1070752718542581E-2</v>
      </c>
      <c r="D54" t="str">
        <f>IFERROR((SUMIFS('AEO 2026 Table 23 '!G:G,'AEO 2026 Table 23 '!$B:$B,"*,"&amp;$A54&amp;",*")-SUMIFS('AEO25 Table 23'!H:H,'AEO25 Table 23'!$B:$B,"*,"&amp;$A54&amp;",*"))/SUMIFS('AEO25 Table 23'!H:H,'AEO25 Table 23'!$B:$B,"*,"&amp;$A54&amp;",*"),"")</f>
        <v/>
      </c>
      <c r="E54" t="str">
        <f>IFERROR((SUMIFS('AEO 2026 Table 23 '!H:H,'AEO 2026 Table 23 '!$B:$B,"*,"&amp;$A54&amp;",*")-SUMIFS('AEO 2026 Table 23 '!G:G,'AEO 2026 Table 23 '!$B:$B,"*,"&amp;$A54&amp;",*"))/SUMIFS('AEO 2026 Table 23 '!G:G,'AEO 2026 Table 23 '!$B:$B,"*,"&amp;$A54&amp;",*"),"")</f>
        <v/>
      </c>
      <c r="F54" t="str">
        <f>IFERROR((SUMIFS('AEO 2026 Table 23 '!I:I,'AEO 2026 Table 23 '!$B:$B,"*,"&amp;$A54&amp;",*")-SUMIFS('AEO 2026 Table 23 '!H:H,'AEO 2026 Table 23 '!$B:$B,"*,"&amp;$A54&amp;",*"))/SUMIFS('AEO 2026 Table 23 '!H:H,'AEO 2026 Table 23 '!$B:$B,"*,"&amp;$A54&amp;",*"),"")</f>
        <v/>
      </c>
      <c r="G54" t="str">
        <f>IFERROR((SUMIFS('AEO 2026 Table 23 '!J:J,'AEO 2026 Table 23 '!$B:$B,"*,"&amp;$A54&amp;",*")-SUMIFS('AEO 2026 Table 23 '!I:I,'AEO 2026 Table 23 '!$B:$B,"*,"&amp;$A54&amp;",*"))/SUMIFS('AEO 2026 Table 23 '!I:I,'AEO 2026 Table 23 '!$B:$B,"*,"&amp;$A54&amp;",*"),"")</f>
        <v/>
      </c>
      <c r="H54" t="str">
        <f>IFERROR((SUMIFS('AEO 2026 Table 23 '!K:K,'AEO 2026 Table 23 '!$B:$B,"*,"&amp;$A54&amp;",*")-SUMIFS('AEO 2026 Table 23 '!J:J,'AEO 2026 Table 23 '!$B:$B,"*,"&amp;$A54&amp;",*"))/SUMIFS('AEO 2026 Table 23 '!J:J,'AEO 2026 Table 23 '!$B:$B,"*,"&amp;$A54&amp;",*"),"")</f>
        <v/>
      </c>
      <c r="I54" t="str">
        <f>IFERROR((SUMIFS('AEO 2026 Table 23 '!L:L,'AEO 2026 Table 23 '!$B:$B,"*,"&amp;$A54&amp;",*")-SUMIFS('AEO 2026 Table 23 '!K:K,'AEO 2026 Table 23 '!$B:$B,"*,"&amp;$A54&amp;",*"))/SUMIFS('AEO 2026 Table 23 '!K:K,'AEO 2026 Table 23 '!$B:$B,"*,"&amp;$A54&amp;",*"),"")</f>
        <v/>
      </c>
      <c r="J54" t="str">
        <f>IFERROR((SUMIFS('AEO 2026 Table 23 '!M:M,'AEO 2026 Table 23 '!$B:$B,"*,"&amp;$A54&amp;",*")-SUMIFS('AEO 2026 Table 23 '!L:L,'AEO 2026 Table 23 '!$B:$B,"*,"&amp;$A54&amp;",*"))/SUMIFS('AEO 2026 Table 23 '!L:L,'AEO 2026 Table 23 '!$B:$B,"*,"&amp;$A54&amp;",*"),"")</f>
        <v/>
      </c>
      <c r="K54" t="str">
        <f>IFERROR((SUMIFS('AEO 2026 Table 23 '!N:N,'AEO 2026 Table 23 '!$B:$B,"*,"&amp;$A54&amp;",*")-SUMIFS('AEO 2026 Table 23 '!M:M,'AEO 2026 Table 23 '!$B:$B,"*,"&amp;$A54&amp;",*"))/SUMIFS('AEO 2026 Table 23 '!M:M,'AEO 2026 Table 23 '!$B:$B,"*,"&amp;$A54&amp;",*"),"")</f>
        <v/>
      </c>
      <c r="L54" t="str">
        <f>IFERROR((SUMIFS('AEO 2026 Table 23 '!O:O,'AEO 2026 Table 23 '!$B:$B,"*,"&amp;$A54&amp;",*")-SUMIFS('AEO 2026 Table 23 '!N:N,'AEO 2026 Table 23 '!$B:$B,"*,"&amp;$A54&amp;",*"))/SUMIFS('AEO 2026 Table 23 '!N:N,'AEO 2026 Table 23 '!$B:$B,"*,"&amp;$A54&amp;",*"),"")</f>
        <v/>
      </c>
      <c r="M54" t="str">
        <f>IFERROR((SUMIFS('AEO 2026 Table 23 '!P:P,'AEO 2026 Table 23 '!$B:$B,"*,"&amp;$A54&amp;",*")-SUMIFS('AEO 2026 Table 23 '!O:O,'AEO 2026 Table 23 '!$B:$B,"*,"&amp;$A54&amp;",*"))/SUMIFS('AEO 2026 Table 23 '!O:O,'AEO 2026 Table 23 '!$B:$B,"*,"&amp;$A54&amp;",*"),"")</f>
        <v/>
      </c>
      <c r="N54" t="str">
        <f>IFERROR((SUMIFS('AEO 2026 Table 23 '!Q:Q,'AEO 2026 Table 23 '!$B:$B,"*,"&amp;$A54&amp;",*")-SUMIFS('AEO 2026 Table 23 '!P:P,'AEO 2026 Table 23 '!$B:$B,"*,"&amp;$A54&amp;",*"))/SUMIFS('AEO 2026 Table 23 '!P:P,'AEO 2026 Table 23 '!$B:$B,"*,"&amp;$A54&amp;",*"),"")</f>
        <v/>
      </c>
      <c r="O54" t="str">
        <f>IFERROR((SUMIFS('AEO 2026 Table 23 '!R:R,'AEO 2026 Table 23 '!$B:$B,"*,"&amp;$A54&amp;",*")-SUMIFS('AEO 2026 Table 23 '!Q:Q,'AEO 2026 Table 23 '!$B:$B,"*,"&amp;$A54&amp;",*"))/SUMIFS('AEO 2026 Table 23 '!Q:Q,'AEO 2026 Table 23 '!$B:$B,"*,"&amp;$A54&amp;",*"),"")</f>
        <v/>
      </c>
      <c r="P54" t="str">
        <f>IFERROR((SUMIFS('AEO 2026 Table 23 '!S:S,'AEO 2026 Table 23 '!$B:$B,"*,"&amp;$A54&amp;",*")-SUMIFS('AEO 2026 Table 23 '!R:R,'AEO 2026 Table 23 '!$B:$B,"*,"&amp;$A54&amp;",*"))/SUMIFS('AEO 2026 Table 23 '!R:R,'AEO 2026 Table 23 '!$B:$B,"*,"&amp;$A54&amp;",*"),"")</f>
        <v/>
      </c>
      <c r="Q54" t="str">
        <f>IFERROR((SUMIFS('AEO 2026 Table 23 '!T:T,'AEO 2026 Table 23 '!$B:$B,"*,"&amp;$A54&amp;",*")-SUMIFS('AEO 2026 Table 23 '!S:S,'AEO 2026 Table 23 '!$B:$B,"*,"&amp;$A54&amp;",*"))/SUMIFS('AEO 2026 Table 23 '!S:S,'AEO 2026 Table 23 '!$B:$B,"*,"&amp;$A54&amp;",*"),"")</f>
        <v/>
      </c>
      <c r="R54" t="str">
        <f>IFERROR((SUMIFS('AEO 2026 Table 23 '!U:U,'AEO 2026 Table 23 '!$B:$B,"*,"&amp;$A54&amp;",*")-SUMIFS('AEO 2026 Table 23 '!T:T,'AEO 2026 Table 23 '!$B:$B,"*,"&amp;$A54&amp;",*"))/SUMIFS('AEO 2026 Table 23 '!T:T,'AEO 2026 Table 23 '!$B:$B,"*,"&amp;$A54&amp;",*"),"")</f>
        <v/>
      </c>
      <c r="S54" t="str">
        <f>IFERROR((SUMIFS('AEO 2026 Table 23 '!V:V,'AEO 2026 Table 23 '!$B:$B,"*,"&amp;$A54&amp;",*")-SUMIFS('AEO 2026 Table 23 '!U:U,'AEO 2026 Table 23 '!$B:$B,"*,"&amp;$A54&amp;",*"))/SUMIFS('AEO 2026 Table 23 '!U:U,'AEO 2026 Table 23 '!$B:$B,"*,"&amp;$A54&amp;",*"),"")</f>
        <v/>
      </c>
      <c r="T54" t="str">
        <f>IFERROR((SUMIFS('AEO 2026 Table 23 '!W:W,'AEO 2026 Table 23 '!$B:$B,"*,"&amp;$A54&amp;",*")-SUMIFS('AEO 2026 Table 23 '!V:V,'AEO 2026 Table 23 '!$B:$B,"*,"&amp;$A54&amp;",*"))/SUMIFS('AEO 2026 Table 23 '!V:V,'AEO 2026 Table 23 '!$B:$B,"*,"&amp;$A54&amp;",*"),"")</f>
        <v/>
      </c>
      <c r="U54" t="str">
        <f>IFERROR((SUMIFS('AEO 2026 Table 23 '!X:X,'AEO 2026 Table 23 '!$B:$B,"*,"&amp;$A54&amp;",*")-SUMIFS('AEO 2026 Table 23 '!W:W,'AEO 2026 Table 23 '!$B:$B,"*,"&amp;$A54&amp;",*"))/SUMIFS('AEO 2026 Table 23 '!W:W,'AEO 2026 Table 23 '!$B:$B,"*,"&amp;$A54&amp;",*"),"")</f>
        <v/>
      </c>
      <c r="V54" t="str">
        <f>IFERROR((SUMIFS('AEO 2026 Table 23 '!Y:Y,'AEO 2026 Table 23 '!$B:$B,"*,"&amp;$A54&amp;",*")-SUMIFS('AEO 2026 Table 23 '!X:X,'AEO 2026 Table 23 '!$B:$B,"*,"&amp;$A54&amp;",*"))/SUMIFS('AEO 2026 Table 23 '!X:X,'AEO 2026 Table 23 '!$B:$B,"*,"&amp;$A54&amp;",*"),"")</f>
        <v/>
      </c>
      <c r="W54" t="str">
        <f>IFERROR((SUMIFS('AEO 2026 Table 23 '!Z:Z,'AEO 2026 Table 23 '!$B:$B,"*,"&amp;$A54&amp;",*")-SUMIFS('AEO 2026 Table 23 '!Y:Y,'AEO 2026 Table 23 '!$B:$B,"*,"&amp;$A54&amp;",*"))/SUMIFS('AEO 2026 Table 23 '!Y:Y,'AEO 2026 Table 23 '!$B:$B,"*,"&amp;$A54&amp;",*"),"")</f>
        <v/>
      </c>
      <c r="X54" t="str">
        <f>IFERROR((SUMIFS('AEO 2026 Table 23 '!AA:AA,'AEO 2026 Table 23 '!$B:$B,"*,"&amp;$A54&amp;",*")-SUMIFS('AEO 2026 Table 23 '!Z:Z,'AEO 2026 Table 23 '!$B:$B,"*,"&amp;$A54&amp;",*"))/SUMIFS('AEO 2026 Table 23 '!Z:Z,'AEO 2026 Table 23 '!$B:$B,"*,"&amp;$A54&amp;",*"),"")</f>
        <v/>
      </c>
      <c r="Y54" t="str">
        <f>IFERROR((SUMIFS('AEO 2026 Table 23 '!AB:AB,'AEO 2026 Table 23 '!$B:$B,"*,"&amp;$A54&amp;",*")-SUMIFS('AEO 2026 Table 23 '!AA:AA,'AEO 2026 Table 23 '!$B:$B,"*,"&amp;$A54&amp;",*"))/SUMIFS('AEO 2026 Table 23 '!AA:AA,'AEO 2026 Table 23 '!$B:$B,"*,"&amp;$A54&amp;",*"),"")</f>
        <v/>
      </c>
      <c r="Z54" t="str">
        <f>IFERROR((SUMIFS('AEO 2026 Table 23 '!AC:AC,'AEO 2026 Table 23 '!$B:$B,"*,"&amp;$A54&amp;",*")-SUMIFS('AEO 2026 Table 23 '!AB:AB,'AEO 2026 Table 23 '!$B:$B,"*,"&amp;$A54&amp;",*"))/SUMIFS('AEO 2026 Table 23 '!AB:AB,'AEO 2026 Table 23 '!$B:$B,"*,"&amp;$A54&amp;",*"),"")</f>
        <v/>
      </c>
      <c r="AA54" t="str">
        <f>IFERROR((SUMIFS('AEO 2026 Table 23 '!AD:AD,'AEO 2026 Table 23 '!$B:$B,"*,"&amp;$A54&amp;",*")-SUMIFS('AEO 2026 Table 23 '!AC:AC,'AEO 2026 Table 23 '!$B:$B,"*,"&amp;$A54&amp;",*"))/SUMIFS('AEO 2026 Table 23 '!AC:AC,'AEO 2026 Table 23 '!$B:$B,"*,"&amp;$A54&amp;",*"),"")</f>
        <v/>
      </c>
      <c r="AB54" t="str">
        <f>IFERROR((SUMIFS('AEO 2026 Table 23 '!AE:AE,'AEO 2026 Table 23 '!$B:$B,"*,"&amp;$A54&amp;",*")-SUMIFS('AEO 2026 Table 23 '!AD:AD,'AEO 2026 Table 23 '!$B:$B,"*,"&amp;$A54&amp;",*"))/SUMIFS('AEO 2026 Table 23 '!AD:AD,'AEO 2026 Table 23 '!$B:$B,"*,"&amp;$A54&amp;",*"),"")</f>
        <v/>
      </c>
      <c r="AC54" t="str">
        <f>IFERROR((SUMIFS('AEO 2026 Table 23 '!AF:AF,'AEO 2026 Table 23 '!$B:$B,"*,"&amp;$A54&amp;",*")-SUMIFS('AEO 2026 Table 23 '!AE:AE,'AEO 2026 Table 23 '!$B:$B,"*,"&amp;$A54&amp;",*"))/SUMIFS('AEO 2026 Table 23 '!AE:AE,'AEO 2026 Table 23 '!$B:$B,"*,"&amp;$A54&amp;",*"),"")</f>
        <v/>
      </c>
    </row>
    <row r="55" spans="1:29" x14ac:dyDescent="0.25">
      <c r="A55" t="s">
        <v>929</v>
      </c>
      <c r="B55">
        <f>IFERROR(SUMPRODUCT(--('BLS Table 2.11'!$L$1:$L$426=$A55),'BLS Table 2.11'!$J$1:$J$426,'BLS Table 2.11'!$K$1:$K$426)/SUMIFS('BLS Table 2.11'!$J$1:$J$426,'BLS Table 2.11'!$L$1:$L$426,$A55)/100,0)</f>
        <v>1.8000000000000002E-2</v>
      </c>
      <c r="D55" t="str">
        <f>IFERROR((SUMIFS('AEO 2026 Table 23 '!G:G,'AEO 2026 Table 23 '!$B:$B,"*,"&amp;$A55&amp;",*")-SUMIFS('AEO25 Table 23'!H:H,'AEO25 Table 23'!$B:$B,"*,"&amp;$A55&amp;",*"))/SUMIFS('AEO25 Table 23'!H:H,'AEO25 Table 23'!$B:$B,"*,"&amp;$A55&amp;",*"),"")</f>
        <v/>
      </c>
      <c r="E55" t="str">
        <f>IFERROR((SUMIFS('AEO 2026 Table 23 '!H:H,'AEO 2026 Table 23 '!$B:$B,"*,"&amp;$A55&amp;",*")-SUMIFS('AEO 2026 Table 23 '!G:G,'AEO 2026 Table 23 '!$B:$B,"*,"&amp;$A55&amp;",*"))/SUMIFS('AEO 2026 Table 23 '!G:G,'AEO 2026 Table 23 '!$B:$B,"*,"&amp;$A55&amp;",*"),"")</f>
        <v/>
      </c>
      <c r="F55" t="str">
        <f>IFERROR((SUMIFS('AEO 2026 Table 23 '!I:I,'AEO 2026 Table 23 '!$B:$B,"*,"&amp;$A55&amp;",*")-SUMIFS('AEO 2026 Table 23 '!H:H,'AEO 2026 Table 23 '!$B:$B,"*,"&amp;$A55&amp;",*"))/SUMIFS('AEO 2026 Table 23 '!H:H,'AEO 2026 Table 23 '!$B:$B,"*,"&amp;$A55&amp;",*"),"")</f>
        <v/>
      </c>
      <c r="G55" t="str">
        <f>IFERROR((SUMIFS('AEO 2026 Table 23 '!J:J,'AEO 2026 Table 23 '!$B:$B,"*,"&amp;$A55&amp;",*")-SUMIFS('AEO 2026 Table 23 '!I:I,'AEO 2026 Table 23 '!$B:$B,"*,"&amp;$A55&amp;",*"))/SUMIFS('AEO 2026 Table 23 '!I:I,'AEO 2026 Table 23 '!$B:$B,"*,"&amp;$A55&amp;",*"),"")</f>
        <v/>
      </c>
      <c r="H55" t="str">
        <f>IFERROR((SUMIFS('AEO 2026 Table 23 '!K:K,'AEO 2026 Table 23 '!$B:$B,"*,"&amp;$A55&amp;",*")-SUMIFS('AEO 2026 Table 23 '!J:J,'AEO 2026 Table 23 '!$B:$B,"*,"&amp;$A55&amp;",*"))/SUMIFS('AEO 2026 Table 23 '!J:J,'AEO 2026 Table 23 '!$B:$B,"*,"&amp;$A55&amp;",*"),"")</f>
        <v/>
      </c>
      <c r="I55" t="str">
        <f>IFERROR((SUMIFS('AEO 2026 Table 23 '!L:L,'AEO 2026 Table 23 '!$B:$B,"*,"&amp;$A55&amp;",*")-SUMIFS('AEO 2026 Table 23 '!K:K,'AEO 2026 Table 23 '!$B:$B,"*,"&amp;$A55&amp;",*"))/SUMIFS('AEO 2026 Table 23 '!K:K,'AEO 2026 Table 23 '!$B:$B,"*,"&amp;$A55&amp;",*"),"")</f>
        <v/>
      </c>
      <c r="J55" t="str">
        <f>IFERROR((SUMIFS('AEO 2026 Table 23 '!M:M,'AEO 2026 Table 23 '!$B:$B,"*,"&amp;$A55&amp;",*")-SUMIFS('AEO 2026 Table 23 '!L:L,'AEO 2026 Table 23 '!$B:$B,"*,"&amp;$A55&amp;",*"))/SUMIFS('AEO 2026 Table 23 '!L:L,'AEO 2026 Table 23 '!$B:$B,"*,"&amp;$A55&amp;",*"),"")</f>
        <v/>
      </c>
      <c r="K55" t="str">
        <f>IFERROR((SUMIFS('AEO 2026 Table 23 '!N:N,'AEO 2026 Table 23 '!$B:$B,"*,"&amp;$A55&amp;",*")-SUMIFS('AEO 2026 Table 23 '!M:M,'AEO 2026 Table 23 '!$B:$B,"*,"&amp;$A55&amp;",*"))/SUMIFS('AEO 2026 Table 23 '!M:M,'AEO 2026 Table 23 '!$B:$B,"*,"&amp;$A55&amp;",*"),"")</f>
        <v/>
      </c>
      <c r="L55" t="str">
        <f>IFERROR((SUMIFS('AEO 2026 Table 23 '!O:O,'AEO 2026 Table 23 '!$B:$B,"*,"&amp;$A55&amp;",*")-SUMIFS('AEO 2026 Table 23 '!N:N,'AEO 2026 Table 23 '!$B:$B,"*,"&amp;$A55&amp;",*"))/SUMIFS('AEO 2026 Table 23 '!N:N,'AEO 2026 Table 23 '!$B:$B,"*,"&amp;$A55&amp;",*"),"")</f>
        <v/>
      </c>
      <c r="M55" t="str">
        <f>IFERROR((SUMIFS('AEO 2026 Table 23 '!P:P,'AEO 2026 Table 23 '!$B:$B,"*,"&amp;$A55&amp;",*")-SUMIFS('AEO 2026 Table 23 '!O:O,'AEO 2026 Table 23 '!$B:$B,"*,"&amp;$A55&amp;",*"))/SUMIFS('AEO 2026 Table 23 '!O:O,'AEO 2026 Table 23 '!$B:$B,"*,"&amp;$A55&amp;",*"),"")</f>
        <v/>
      </c>
      <c r="N55" t="str">
        <f>IFERROR((SUMIFS('AEO 2026 Table 23 '!Q:Q,'AEO 2026 Table 23 '!$B:$B,"*,"&amp;$A55&amp;",*")-SUMIFS('AEO 2026 Table 23 '!P:P,'AEO 2026 Table 23 '!$B:$B,"*,"&amp;$A55&amp;",*"))/SUMIFS('AEO 2026 Table 23 '!P:P,'AEO 2026 Table 23 '!$B:$B,"*,"&amp;$A55&amp;",*"),"")</f>
        <v/>
      </c>
      <c r="O55" t="str">
        <f>IFERROR((SUMIFS('AEO 2026 Table 23 '!R:R,'AEO 2026 Table 23 '!$B:$B,"*,"&amp;$A55&amp;",*")-SUMIFS('AEO 2026 Table 23 '!Q:Q,'AEO 2026 Table 23 '!$B:$B,"*,"&amp;$A55&amp;",*"))/SUMIFS('AEO 2026 Table 23 '!Q:Q,'AEO 2026 Table 23 '!$B:$B,"*,"&amp;$A55&amp;",*"),"")</f>
        <v/>
      </c>
      <c r="P55" t="str">
        <f>IFERROR((SUMIFS('AEO 2026 Table 23 '!S:S,'AEO 2026 Table 23 '!$B:$B,"*,"&amp;$A55&amp;",*")-SUMIFS('AEO 2026 Table 23 '!R:R,'AEO 2026 Table 23 '!$B:$B,"*,"&amp;$A55&amp;",*"))/SUMIFS('AEO 2026 Table 23 '!R:R,'AEO 2026 Table 23 '!$B:$B,"*,"&amp;$A55&amp;",*"),"")</f>
        <v/>
      </c>
      <c r="Q55" t="str">
        <f>IFERROR((SUMIFS('AEO 2026 Table 23 '!T:T,'AEO 2026 Table 23 '!$B:$B,"*,"&amp;$A55&amp;",*")-SUMIFS('AEO 2026 Table 23 '!S:S,'AEO 2026 Table 23 '!$B:$B,"*,"&amp;$A55&amp;",*"))/SUMIFS('AEO 2026 Table 23 '!S:S,'AEO 2026 Table 23 '!$B:$B,"*,"&amp;$A55&amp;",*"),"")</f>
        <v/>
      </c>
      <c r="R55" t="str">
        <f>IFERROR((SUMIFS('AEO 2026 Table 23 '!U:U,'AEO 2026 Table 23 '!$B:$B,"*,"&amp;$A55&amp;",*")-SUMIFS('AEO 2026 Table 23 '!T:T,'AEO 2026 Table 23 '!$B:$B,"*,"&amp;$A55&amp;",*"))/SUMIFS('AEO 2026 Table 23 '!T:T,'AEO 2026 Table 23 '!$B:$B,"*,"&amp;$A55&amp;",*"),"")</f>
        <v/>
      </c>
      <c r="S55" t="str">
        <f>IFERROR((SUMIFS('AEO 2026 Table 23 '!V:V,'AEO 2026 Table 23 '!$B:$B,"*,"&amp;$A55&amp;",*")-SUMIFS('AEO 2026 Table 23 '!U:U,'AEO 2026 Table 23 '!$B:$B,"*,"&amp;$A55&amp;",*"))/SUMIFS('AEO 2026 Table 23 '!U:U,'AEO 2026 Table 23 '!$B:$B,"*,"&amp;$A55&amp;",*"),"")</f>
        <v/>
      </c>
      <c r="T55" t="str">
        <f>IFERROR((SUMIFS('AEO 2026 Table 23 '!W:W,'AEO 2026 Table 23 '!$B:$B,"*,"&amp;$A55&amp;",*")-SUMIFS('AEO 2026 Table 23 '!V:V,'AEO 2026 Table 23 '!$B:$B,"*,"&amp;$A55&amp;",*"))/SUMIFS('AEO 2026 Table 23 '!V:V,'AEO 2026 Table 23 '!$B:$B,"*,"&amp;$A55&amp;",*"),"")</f>
        <v/>
      </c>
      <c r="U55" t="str">
        <f>IFERROR((SUMIFS('AEO 2026 Table 23 '!X:X,'AEO 2026 Table 23 '!$B:$B,"*,"&amp;$A55&amp;",*")-SUMIFS('AEO 2026 Table 23 '!W:W,'AEO 2026 Table 23 '!$B:$B,"*,"&amp;$A55&amp;",*"))/SUMIFS('AEO 2026 Table 23 '!W:W,'AEO 2026 Table 23 '!$B:$B,"*,"&amp;$A55&amp;",*"),"")</f>
        <v/>
      </c>
      <c r="V55" t="str">
        <f>IFERROR((SUMIFS('AEO 2026 Table 23 '!Y:Y,'AEO 2026 Table 23 '!$B:$B,"*,"&amp;$A55&amp;",*")-SUMIFS('AEO 2026 Table 23 '!X:X,'AEO 2026 Table 23 '!$B:$B,"*,"&amp;$A55&amp;",*"))/SUMIFS('AEO 2026 Table 23 '!X:X,'AEO 2026 Table 23 '!$B:$B,"*,"&amp;$A55&amp;",*"),"")</f>
        <v/>
      </c>
      <c r="W55" t="str">
        <f>IFERROR((SUMIFS('AEO 2026 Table 23 '!Z:Z,'AEO 2026 Table 23 '!$B:$B,"*,"&amp;$A55&amp;",*")-SUMIFS('AEO 2026 Table 23 '!Y:Y,'AEO 2026 Table 23 '!$B:$B,"*,"&amp;$A55&amp;",*"))/SUMIFS('AEO 2026 Table 23 '!Y:Y,'AEO 2026 Table 23 '!$B:$B,"*,"&amp;$A55&amp;",*"),"")</f>
        <v/>
      </c>
      <c r="X55" t="str">
        <f>IFERROR((SUMIFS('AEO 2026 Table 23 '!AA:AA,'AEO 2026 Table 23 '!$B:$B,"*,"&amp;$A55&amp;",*")-SUMIFS('AEO 2026 Table 23 '!Z:Z,'AEO 2026 Table 23 '!$B:$B,"*,"&amp;$A55&amp;",*"))/SUMIFS('AEO 2026 Table 23 '!Z:Z,'AEO 2026 Table 23 '!$B:$B,"*,"&amp;$A55&amp;",*"),"")</f>
        <v/>
      </c>
      <c r="Y55" t="str">
        <f>IFERROR((SUMIFS('AEO 2026 Table 23 '!AB:AB,'AEO 2026 Table 23 '!$B:$B,"*,"&amp;$A55&amp;",*")-SUMIFS('AEO 2026 Table 23 '!AA:AA,'AEO 2026 Table 23 '!$B:$B,"*,"&amp;$A55&amp;",*"))/SUMIFS('AEO 2026 Table 23 '!AA:AA,'AEO 2026 Table 23 '!$B:$B,"*,"&amp;$A55&amp;",*"),"")</f>
        <v/>
      </c>
      <c r="Z55" t="str">
        <f>IFERROR((SUMIFS('AEO 2026 Table 23 '!AC:AC,'AEO 2026 Table 23 '!$B:$B,"*,"&amp;$A55&amp;",*")-SUMIFS('AEO 2026 Table 23 '!AB:AB,'AEO 2026 Table 23 '!$B:$B,"*,"&amp;$A55&amp;",*"))/SUMIFS('AEO 2026 Table 23 '!AB:AB,'AEO 2026 Table 23 '!$B:$B,"*,"&amp;$A55&amp;",*"),"")</f>
        <v/>
      </c>
      <c r="AA55" t="str">
        <f>IFERROR((SUMIFS('AEO 2026 Table 23 '!AD:AD,'AEO 2026 Table 23 '!$B:$B,"*,"&amp;$A55&amp;",*")-SUMIFS('AEO 2026 Table 23 '!AC:AC,'AEO 2026 Table 23 '!$B:$B,"*,"&amp;$A55&amp;",*"))/SUMIFS('AEO 2026 Table 23 '!AC:AC,'AEO 2026 Table 23 '!$B:$B,"*,"&amp;$A55&amp;",*"),"")</f>
        <v/>
      </c>
      <c r="AB55" t="str">
        <f>IFERROR((SUMIFS('AEO 2026 Table 23 '!AE:AE,'AEO 2026 Table 23 '!$B:$B,"*,"&amp;$A55&amp;",*")-SUMIFS('AEO 2026 Table 23 '!AD:AD,'AEO 2026 Table 23 '!$B:$B,"*,"&amp;$A55&amp;",*"))/SUMIFS('AEO 2026 Table 23 '!AD:AD,'AEO 2026 Table 23 '!$B:$B,"*,"&amp;$A55&amp;",*"),"")</f>
        <v/>
      </c>
      <c r="AC55" t="str">
        <f>IFERROR((SUMIFS('AEO 2026 Table 23 '!AF:AF,'AEO 2026 Table 23 '!$B:$B,"*,"&amp;$A55&amp;",*")-SUMIFS('AEO 2026 Table 23 '!AE:AE,'AEO 2026 Table 23 '!$B:$B,"*,"&amp;$A55&amp;",*"))/SUMIFS('AEO 2026 Table 23 '!AE:AE,'AEO 2026 Table 23 '!$B:$B,"*,"&amp;$A55&amp;",*"),"")</f>
        <v/>
      </c>
    </row>
    <row r="59" spans="1:29" x14ac:dyDescent="0.25">
      <c r="A59" s="1" t="s">
        <v>1221</v>
      </c>
    </row>
    <row r="60" spans="1:29" x14ac:dyDescent="0.25">
      <c r="C60" s="1">
        <v>2024</v>
      </c>
      <c r="D60" s="1">
        <v>2025</v>
      </c>
      <c r="E60" s="1">
        <v>2026</v>
      </c>
      <c r="F60" s="1">
        <v>2027</v>
      </c>
      <c r="G60" s="1">
        <v>2028</v>
      </c>
      <c r="H60" s="1">
        <v>2029</v>
      </c>
      <c r="I60" s="1">
        <v>2030</v>
      </c>
      <c r="J60" s="1">
        <v>2031</v>
      </c>
      <c r="K60" s="1">
        <v>2032</v>
      </c>
      <c r="L60" s="1">
        <v>2033</v>
      </c>
      <c r="M60" s="1">
        <v>2034</v>
      </c>
      <c r="N60" s="1">
        <v>2035</v>
      </c>
      <c r="O60" s="1">
        <v>2036</v>
      </c>
      <c r="P60" s="1">
        <v>2037</v>
      </c>
      <c r="Q60" s="1">
        <v>2038</v>
      </c>
      <c r="R60" s="1">
        <v>2039</v>
      </c>
      <c r="S60" s="1">
        <v>2040</v>
      </c>
      <c r="T60" s="1">
        <v>2041</v>
      </c>
      <c r="U60" s="1">
        <v>2042</v>
      </c>
      <c r="V60" s="1">
        <v>2043</v>
      </c>
      <c r="W60" s="1">
        <v>2044</v>
      </c>
      <c r="X60" s="1">
        <v>2045</v>
      </c>
      <c r="Y60" s="1">
        <v>2046</v>
      </c>
      <c r="Z60" s="1">
        <v>2047</v>
      </c>
      <c r="AA60" s="1">
        <v>2048</v>
      </c>
      <c r="AB60" s="1">
        <v>2049</v>
      </c>
      <c r="AC60" s="1">
        <v>2050</v>
      </c>
    </row>
    <row r="61" spans="1:29" x14ac:dyDescent="0.25">
      <c r="A61" t="s">
        <v>58</v>
      </c>
      <c r="C61">
        <v>0</v>
      </c>
      <c r="D61">
        <f t="shared" ref="D61:AC61" si="0">IF(D4="",$B4,D4)</f>
        <v>-9.9246442360578349E-2</v>
      </c>
      <c r="E61">
        <f t="shared" si="0"/>
        <v>2.4221655673883858E-3</v>
      </c>
      <c r="F61">
        <f t="shared" si="0"/>
        <v>1.4078996801101312E-2</v>
      </c>
      <c r="G61">
        <f t="shared" si="0"/>
        <v>2.0031825018195219E-2</v>
      </c>
      <c r="H61">
        <f t="shared" si="0"/>
        <v>1.3204714892339337E-2</v>
      </c>
      <c r="I61">
        <f t="shared" si="0"/>
        <v>1.2805134886959699E-2</v>
      </c>
      <c r="J61">
        <f t="shared" si="0"/>
        <v>1.2429849853809712E-2</v>
      </c>
      <c r="K61">
        <f t="shared" si="0"/>
        <v>1.2496007024267423E-2</v>
      </c>
      <c r="L61">
        <f t="shared" si="0"/>
        <v>6.7384862316785931E-3</v>
      </c>
      <c r="M61">
        <f t="shared" si="0"/>
        <v>1.3166996229270631E-2</v>
      </c>
      <c r="N61">
        <f t="shared" si="0"/>
        <v>1.4348560175009727E-2</v>
      </c>
      <c r="O61">
        <f t="shared" si="0"/>
        <v>1.4131660795059422E-2</v>
      </c>
      <c r="P61">
        <f t="shared" si="0"/>
        <v>1.352784547057437E-2</v>
      </c>
      <c r="Q61">
        <f t="shared" si="0"/>
        <v>1.4121592708991805E-2</v>
      </c>
      <c r="R61">
        <f t="shared" si="0"/>
        <v>1.4366256699279449E-2</v>
      </c>
      <c r="S61">
        <f t="shared" si="0"/>
        <v>1.1995192747679755E-2</v>
      </c>
      <c r="T61">
        <f t="shared" si="0"/>
        <v>1.1234927092096699E-2</v>
      </c>
      <c r="U61">
        <f t="shared" si="0"/>
        <v>1.2383112057571054E-2</v>
      </c>
      <c r="V61">
        <f t="shared" si="0"/>
        <v>1.1567985810791029E-2</v>
      </c>
      <c r="W61">
        <f t="shared" si="0"/>
        <v>1.2451080250240349E-2</v>
      </c>
      <c r="X61">
        <f t="shared" si="0"/>
        <v>1.3976865433354137E-2</v>
      </c>
      <c r="Y61">
        <f t="shared" si="0"/>
        <v>1.4480385595373062E-2</v>
      </c>
      <c r="Z61">
        <f t="shared" si="0"/>
        <v>1.4401250336012673E-2</v>
      </c>
      <c r="AA61">
        <f t="shared" si="0"/>
        <v>1.4399263693733538E-2</v>
      </c>
      <c r="AB61">
        <f t="shared" si="0"/>
        <v>1.4095495313647692E-2</v>
      </c>
      <c r="AC61">
        <f t="shared" si="0"/>
        <v>1.4017183131886454E-2</v>
      </c>
    </row>
    <row r="62" spans="1:29" x14ac:dyDescent="0.25">
      <c r="A62" t="s">
        <v>65</v>
      </c>
      <c r="C62">
        <v>0</v>
      </c>
      <c r="D62">
        <f t="shared" ref="D62:AC62" si="1">IF(D5="",$B5,D5)</f>
        <v>1.6E-2</v>
      </c>
      <c r="E62">
        <f t="shared" si="1"/>
        <v>1.6E-2</v>
      </c>
      <c r="F62">
        <f t="shared" si="1"/>
        <v>1.6E-2</v>
      </c>
      <c r="G62">
        <f t="shared" si="1"/>
        <v>1.6E-2</v>
      </c>
      <c r="H62">
        <f t="shared" si="1"/>
        <v>1.6E-2</v>
      </c>
      <c r="I62">
        <f t="shared" si="1"/>
        <v>1.6E-2</v>
      </c>
      <c r="J62">
        <f t="shared" si="1"/>
        <v>1.6E-2</v>
      </c>
      <c r="K62">
        <f t="shared" si="1"/>
        <v>1.6E-2</v>
      </c>
      <c r="L62">
        <f t="shared" si="1"/>
        <v>1.6E-2</v>
      </c>
      <c r="M62">
        <f t="shared" si="1"/>
        <v>1.6E-2</v>
      </c>
      <c r="N62">
        <f t="shared" si="1"/>
        <v>1.6E-2</v>
      </c>
      <c r="O62">
        <f t="shared" si="1"/>
        <v>1.6E-2</v>
      </c>
      <c r="P62">
        <f t="shared" si="1"/>
        <v>1.6E-2</v>
      </c>
      <c r="Q62">
        <f t="shared" si="1"/>
        <v>1.6E-2</v>
      </c>
      <c r="R62">
        <f t="shared" si="1"/>
        <v>1.6E-2</v>
      </c>
      <c r="S62">
        <f t="shared" si="1"/>
        <v>1.6E-2</v>
      </c>
      <c r="T62">
        <f t="shared" si="1"/>
        <v>1.6E-2</v>
      </c>
      <c r="U62">
        <f t="shared" si="1"/>
        <v>1.6E-2</v>
      </c>
      <c r="V62">
        <f t="shared" si="1"/>
        <v>1.6E-2</v>
      </c>
      <c r="W62">
        <f t="shared" si="1"/>
        <v>1.6E-2</v>
      </c>
      <c r="X62">
        <f t="shared" si="1"/>
        <v>1.6E-2</v>
      </c>
      <c r="Y62">
        <f t="shared" si="1"/>
        <v>1.6E-2</v>
      </c>
      <c r="Z62">
        <f t="shared" si="1"/>
        <v>1.6E-2</v>
      </c>
      <c r="AA62">
        <f t="shared" si="1"/>
        <v>1.6E-2</v>
      </c>
      <c r="AB62">
        <f t="shared" si="1"/>
        <v>1.6E-2</v>
      </c>
      <c r="AC62">
        <f t="shared" si="1"/>
        <v>1.6E-2</v>
      </c>
    </row>
    <row r="63" spans="1:29" x14ac:dyDescent="0.25">
      <c r="A63" t="s">
        <v>70</v>
      </c>
      <c r="C63">
        <v>0</v>
      </c>
      <c r="D63">
        <f t="shared" ref="D63:AC63" si="2">IF(D6="",$B6,D6)</f>
        <v>1.4999999999999999E-2</v>
      </c>
      <c r="E63">
        <f t="shared" si="2"/>
        <v>1.4999999999999999E-2</v>
      </c>
      <c r="F63">
        <f t="shared" si="2"/>
        <v>1.4999999999999999E-2</v>
      </c>
      <c r="G63">
        <f t="shared" si="2"/>
        <v>1.4999999999999999E-2</v>
      </c>
      <c r="H63">
        <f t="shared" si="2"/>
        <v>1.4999999999999999E-2</v>
      </c>
      <c r="I63">
        <f t="shared" si="2"/>
        <v>1.4999999999999999E-2</v>
      </c>
      <c r="J63">
        <f t="shared" si="2"/>
        <v>1.4999999999999999E-2</v>
      </c>
      <c r="K63">
        <f t="shared" si="2"/>
        <v>1.4999999999999999E-2</v>
      </c>
      <c r="L63">
        <f t="shared" si="2"/>
        <v>1.4999999999999999E-2</v>
      </c>
      <c r="M63">
        <f t="shared" si="2"/>
        <v>1.4999999999999999E-2</v>
      </c>
      <c r="N63">
        <f t="shared" si="2"/>
        <v>1.4999999999999999E-2</v>
      </c>
      <c r="O63">
        <f t="shared" si="2"/>
        <v>1.4999999999999999E-2</v>
      </c>
      <c r="P63">
        <f t="shared" si="2"/>
        <v>1.4999999999999999E-2</v>
      </c>
      <c r="Q63">
        <f t="shared" si="2"/>
        <v>1.4999999999999999E-2</v>
      </c>
      <c r="R63">
        <f t="shared" si="2"/>
        <v>1.4999999999999999E-2</v>
      </c>
      <c r="S63">
        <f t="shared" si="2"/>
        <v>1.4999999999999999E-2</v>
      </c>
      <c r="T63">
        <f t="shared" si="2"/>
        <v>1.4999999999999999E-2</v>
      </c>
      <c r="U63">
        <f t="shared" si="2"/>
        <v>1.4999999999999999E-2</v>
      </c>
      <c r="V63">
        <f t="shared" si="2"/>
        <v>1.4999999999999999E-2</v>
      </c>
      <c r="W63">
        <f t="shared" si="2"/>
        <v>1.4999999999999999E-2</v>
      </c>
      <c r="X63">
        <f t="shared" si="2"/>
        <v>1.4999999999999999E-2</v>
      </c>
      <c r="Y63">
        <f t="shared" si="2"/>
        <v>1.4999999999999999E-2</v>
      </c>
      <c r="Z63">
        <f t="shared" si="2"/>
        <v>1.4999999999999999E-2</v>
      </c>
      <c r="AA63">
        <f t="shared" si="2"/>
        <v>1.4999999999999999E-2</v>
      </c>
      <c r="AB63">
        <f t="shared" si="2"/>
        <v>1.4999999999999999E-2</v>
      </c>
      <c r="AC63">
        <f t="shared" si="2"/>
        <v>1.4999999999999999E-2</v>
      </c>
    </row>
    <row r="64" spans="1:29" x14ac:dyDescent="0.25">
      <c r="A64" t="s">
        <v>82</v>
      </c>
      <c r="C64">
        <v>0</v>
      </c>
      <c r="D64">
        <f t="shared" ref="D64:AC64" si="3">IF(D7="",$B7,D7)</f>
        <v>7.1210619379968615E-2</v>
      </c>
      <c r="E64">
        <f t="shared" si="3"/>
        <v>9.1485608285695852E-2</v>
      </c>
      <c r="F64">
        <f t="shared" si="3"/>
        <v>-7.0993907420503948E-3</v>
      </c>
      <c r="G64">
        <f t="shared" si="3"/>
        <v>5.5548707441967927E-3</v>
      </c>
      <c r="H64">
        <f t="shared" si="3"/>
        <v>5.9511703967789834E-3</v>
      </c>
      <c r="I64">
        <f t="shared" si="3"/>
        <v>2.1573224384578597E-2</v>
      </c>
      <c r="J64">
        <f t="shared" si="3"/>
        <v>1.6109320999214728E-2</v>
      </c>
      <c r="K64">
        <f t="shared" si="3"/>
        <v>1.4839112543048894E-2</v>
      </c>
      <c r="L64">
        <f t="shared" si="3"/>
        <v>1.0867988350010568E-2</v>
      </c>
      <c r="M64">
        <f t="shared" si="3"/>
        <v>1.3336208967205965E-2</v>
      </c>
      <c r="N64">
        <f t="shared" si="3"/>
        <v>3.635627550798287E-3</v>
      </c>
      <c r="O64">
        <f t="shared" si="3"/>
        <v>4.3625166094370098E-3</v>
      </c>
      <c r="P64">
        <f t="shared" si="3"/>
        <v>5.5360413090617495E-3</v>
      </c>
      <c r="Q64">
        <f t="shared" si="3"/>
        <v>5.0714214789581427E-3</v>
      </c>
      <c r="R64">
        <f t="shared" si="3"/>
        <v>6.490507410011179E-3</v>
      </c>
      <c r="S64">
        <f t="shared" si="3"/>
        <v>1.1807222899426144E-2</v>
      </c>
      <c r="T64">
        <f t="shared" si="3"/>
        <v>1.4138693735629397E-2</v>
      </c>
      <c r="U64">
        <f t="shared" si="3"/>
        <v>7.8695027068229235E-3</v>
      </c>
      <c r="V64">
        <f t="shared" si="3"/>
        <v>8.6050480547517853E-3</v>
      </c>
      <c r="W64">
        <f t="shared" si="3"/>
        <v>5.0751542531941845E-3</v>
      </c>
      <c r="X64">
        <f t="shared" si="3"/>
        <v>3.6314508985072508E-3</v>
      </c>
      <c r="Y64">
        <f t="shared" si="3"/>
        <v>3.7320076133156074E-3</v>
      </c>
      <c r="Z64">
        <f t="shared" si="3"/>
        <v>5.5185131598065205E-3</v>
      </c>
      <c r="AA64">
        <f t="shared" si="3"/>
        <v>2.1673219962289911E-3</v>
      </c>
      <c r="AB64">
        <f t="shared" si="3"/>
        <v>1.601512248964386E-5</v>
      </c>
      <c r="AC64">
        <f t="shared" si="3"/>
        <v>-1.8375142190435721E-3</v>
      </c>
    </row>
    <row r="65" spans="1:29" x14ac:dyDescent="0.25">
      <c r="A65" t="s">
        <v>77</v>
      </c>
      <c r="C65">
        <v>0</v>
      </c>
      <c r="D65">
        <f t="shared" ref="D65:AC65" si="4">IF(D8="",$B8,D8)</f>
        <v>7.1210619379968615E-2</v>
      </c>
      <c r="E65">
        <f t="shared" si="4"/>
        <v>9.1485608285695852E-2</v>
      </c>
      <c r="F65">
        <f t="shared" si="4"/>
        <v>-7.0993907420503948E-3</v>
      </c>
      <c r="G65">
        <f t="shared" si="4"/>
        <v>5.5548707441967927E-3</v>
      </c>
      <c r="H65">
        <f t="shared" si="4"/>
        <v>5.9511703967789834E-3</v>
      </c>
      <c r="I65">
        <f t="shared" si="4"/>
        <v>2.1573224384578597E-2</v>
      </c>
      <c r="J65">
        <f t="shared" si="4"/>
        <v>1.6109320999214728E-2</v>
      </c>
      <c r="K65">
        <f t="shared" si="4"/>
        <v>1.4839112543048894E-2</v>
      </c>
      <c r="L65">
        <f t="shared" si="4"/>
        <v>1.0867988350010568E-2</v>
      </c>
      <c r="M65">
        <f t="shared" si="4"/>
        <v>1.3336208967205965E-2</v>
      </c>
      <c r="N65">
        <f t="shared" si="4"/>
        <v>3.635627550798287E-3</v>
      </c>
      <c r="O65">
        <f t="shared" si="4"/>
        <v>4.3625166094370098E-3</v>
      </c>
      <c r="P65">
        <f t="shared" si="4"/>
        <v>5.5360413090617495E-3</v>
      </c>
      <c r="Q65">
        <f t="shared" si="4"/>
        <v>5.0714214789581427E-3</v>
      </c>
      <c r="R65">
        <f t="shared" si="4"/>
        <v>6.490507410011179E-3</v>
      </c>
      <c r="S65">
        <f t="shared" si="4"/>
        <v>1.1807222899426144E-2</v>
      </c>
      <c r="T65">
        <f t="shared" si="4"/>
        <v>1.4138693735629397E-2</v>
      </c>
      <c r="U65">
        <f t="shared" si="4"/>
        <v>7.8695027068229235E-3</v>
      </c>
      <c r="V65">
        <f t="shared" si="4"/>
        <v>8.6050480547517853E-3</v>
      </c>
      <c r="W65">
        <f t="shared" si="4"/>
        <v>5.0751542531941845E-3</v>
      </c>
      <c r="X65">
        <f t="shared" si="4"/>
        <v>3.6314508985072508E-3</v>
      </c>
      <c r="Y65">
        <f t="shared" si="4"/>
        <v>3.7320076133156074E-3</v>
      </c>
      <c r="Z65">
        <f t="shared" si="4"/>
        <v>5.5185131598065205E-3</v>
      </c>
      <c r="AA65">
        <f t="shared" si="4"/>
        <v>2.1673219962289911E-3</v>
      </c>
      <c r="AB65">
        <f t="shared" si="4"/>
        <v>1.601512248964386E-5</v>
      </c>
      <c r="AC65">
        <f t="shared" si="4"/>
        <v>-1.8375142190435721E-3</v>
      </c>
    </row>
    <row r="66" spans="1:29" x14ac:dyDescent="0.25">
      <c r="A66" t="s">
        <v>85</v>
      </c>
      <c r="C66">
        <v>0</v>
      </c>
      <c r="D66">
        <f t="shared" ref="D66:AC66" si="5">IF(D9="",$B9,D9)</f>
        <v>2.6000000000000002E-2</v>
      </c>
      <c r="E66">
        <f t="shared" si="5"/>
        <v>2.6000000000000002E-2</v>
      </c>
      <c r="F66">
        <f t="shared" si="5"/>
        <v>2.6000000000000002E-2</v>
      </c>
      <c r="G66">
        <f t="shared" si="5"/>
        <v>2.6000000000000002E-2</v>
      </c>
      <c r="H66">
        <f t="shared" si="5"/>
        <v>2.6000000000000002E-2</v>
      </c>
      <c r="I66">
        <f t="shared" si="5"/>
        <v>2.6000000000000002E-2</v>
      </c>
      <c r="J66">
        <f t="shared" si="5"/>
        <v>2.6000000000000002E-2</v>
      </c>
      <c r="K66">
        <f t="shared" si="5"/>
        <v>2.6000000000000002E-2</v>
      </c>
      <c r="L66">
        <f t="shared" si="5"/>
        <v>2.6000000000000002E-2</v>
      </c>
      <c r="M66">
        <f t="shared" si="5"/>
        <v>2.6000000000000002E-2</v>
      </c>
      <c r="N66">
        <f t="shared" si="5"/>
        <v>2.6000000000000002E-2</v>
      </c>
      <c r="O66">
        <f t="shared" si="5"/>
        <v>2.6000000000000002E-2</v>
      </c>
      <c r="P66">
        <f t="shared" si="5"/>
        <v>2.6000000000000002E-2</v>
      </c>
      <c r="Q66">
        <f t="shared" si="5"/>
        <v>2.6000000000000002E-2</v>
      </c>
      <c r="R66">
        <f t="shared" si="5"/>
        <v>2.6000000000000002E-2</v>
      </c>
      <c r="S66">
        <f t="shared" si="5"/>
        <v>2.6000000000000002E-2</v>
      </c>
      <c r="T66">
        <f t="shared" si="5"/>
        <v>2.6000000000000002E-2</v>
      </c>
      <c r="U66">
        <f t="shared" si="5"/>
        <v>2.6000000000000002E-2</v>
      </c>
      <c r="V66">
        <f t="shared" si="5"/>
        <v>2.6000000000000002E-2</v>
      </c>
      <c r="W66">
        <f t="shared" si="5"/>
        <v>2.6000000000000002E-2</v>
      </c>
      <c r="X66">
        <f t="shared" si="5"/>
        <v>2.6000000000000002E-2</v>
      </c>
      <c r="Y66">
        <f t="shared" si="5"/>
        <v>2.6000000000000002E-2</v>
      </c>
      <c r="Z66">
        <f t="shared" si="5"/>
        <v>2.6000000000000002E-2</v>
      </c>
      <c r="AA66">
        <f t="shared" si="5"/>
        <v>2.6000000000000002E-2</v>
      </c>
      <c r="AB66">
        <f t="shared" si="5"/>
        <v>2.6000000000000002E-2</v>
      </c>
      <c r="AC66">
        <f t="shared" si="5"/>
        <v>2.6000000000000002E-2</v>
      </c>
    </row>
    <row r="67" spans="1:29" x14ac:dyDescent="0.25">
      <c r="A67" t="s">
        <v>88</v>
      </c>
      <c r="C67">
        <v>0</v>
      </c>
      <c r="D67">
        <f t="shared" ref="D67:AC67" si="6">IF(D10="",$B10,D10)</f>
        <v>7.1210619379968615E-2</v>
      </c>
      <c r="E67">
        <f t="shared" si="6"/>
        <v>9.1485608285695852E-2</v>
      </c>
      <c r="F67">
        <f t="shared" si="6"/>
        <v>-7.0993907420503948E-3</v>
      </c>
      <c r="G67">
        <f t="shared" si="6"/>
        <v>5.5548707441967927E-3</v>
      </c>
      <c r="H67">
        <f t="shared" si="6"/>
        <v>5.9511703967789834E-3</v>
      </c>
      <c r="I67">
        <f t="shared" si="6"/>
        <v>2.1573224384578597E-2</v>
      </c>
      <c r="J67">
        <f t="shared" si="6"/>
        <v>1.6109320999214728E-2</v>
      </c>
      <c r="K67">
        <f t="shared" si="6"/>
        <v>1.4839112543048894E-2</v>
      </c>
      <c r="L67">
        <f t="shared" si="6"/>
        <v>1.0867988350010568E-2</v>
      </c>
      <c r="M67">
        <f t="shared" si="6"/>
        <v>1.3336208967205965E-2</v>
      </c>
      <c r="N67">
        <f t="shared" si="6"/>
        <v>3.635627550798287E-3</v>
      </c>
      <c r="O67">
        <f t="shared" si="6"/>
        <v>4.3625166094370098E-3</v>
      </c>
      <c r="P67">
        <f t="shared" si="6"/>
        <v>5.5360413090617495E-3</v>
      </c>
      <c r="Q67">
        <f t="shared" si="6"/>
        <v>5.0714214789581427E-3</v>
      </c>
      <c r="R67">
        <f t="shared" si="6"/>
        <v>6.490507410011179E-3</v>
      </c>
      <c r="S67">
        <f t="shared" si="6"/>
        <v>1.1807222899426144E-2</v>
      </c>
      <c r="T67">
        <f t="shared" si="6"/>
        <v>1.4138693735629397E-2</v>
      </c>
      <c r="U67">
        <f t="shared" si="6"/>
        <v>7.8695027068229235E-3</v>
      </c>
      <c r="V67">
        <f t="shared" si="6"/>
        <v>8.6050480547517853E-3</v>
      </c>
      <c r="W67">
        <f t="shared" si="6"/>
        <v>5.0751542531941845E-3</v>
      </c>
      <c r="X67">
        <f t="shared" si="6"/>
        <v>3.6314508985072508E-3</v>
      </c>
      <c r="Y67">
        <f t="shared" si="6"/>
        <v>3.7320076133156074E-3</v>
      </c>
      <c r="Z67">
        <f t="shared" si="6"/>
        <v>5.5185131598065205E-3</v>
      </c>
      <c r="AA67">
        <f t="shared" si="6"/>
        <v>2.1673219962289911E-3</v>
      </c>
      <c r="AB67">
        <f t="shared" si="6"/>
        <v>1.601512248964386E-5</v>
      </c>
      <c r="AC67">
        <f t="shared" si="6"/>
        <v>-1.8375142190435721E-3</v>
      </c>
    </row>
    <row r="68" spans="1:29" x14ac:dyDescent="0.25">
      <c r="A68" t="s">
        <v>91</v>
      </c>
      <c r="C68">
        <v>0</v>
      </c>
      <c r="D68">
        <f t="shared" ref="D68:AC68" si="7">IF(D11="",$B11,D11)</f>
        <v>-5.0000000000000001E-3</v>
      </c>
      <c r="E68">
        <f t="shared" si="7"/>
        <v>-5.0000000000000001E-3</v>
      </c>
      <c r="F68">
        <f t="shared" si="7"/>
        <v>-5.0000000000000001E-3</v>
      </c>
      <c r="G68">
        <f t="shared" si="7"/>
        <v>-5.0000000000000001E-3</v>
      </c>
      <c r="H68">
        <f t="shared" si="7"/>
        <v>-5.0000000000000001E-3</v>
      </c>
      <c r="I68">
        <f t="shared" si="7"/>
        <v>-5.0000000000000001E-3</v>
      </c>
      <c r="J68">
        <f t="shared" si="7"/>
        <v>-5.0000000000000001E-3</v>
      </c>
      <c r="K68">
        <f t="shared" si="7"/>
        <v>-5.0000000000000001E-3</v>
      </c>
      <c r="L68">
        <f t="shared" si="7"/>
        <v>-5.0000000000000001E-3</v>
      </c>
      <c r="M68">
        <f t="shared" si="7"/>
        <v>-5.0000000000000001E-3</v>
      </c>
      <c r="N68">
        <f t="shared" si="7"/>
        <v>-5.0000000000000001E-3</v>
      </c>
      <c r="O68">
        <f t="shared" si="7"/>
        <v>-5.0000000000000001E-3</v>
      </c>
      <c r="P68">
        <f t="shared" si="7"/>
        <v>-5.0000000000000001E-3</v>
      </c>
      <c r="Q68">
        <f t="shared" si="7"/>
        <v>-5.0000000000000001E-3</v>
      </c>
      <c r="R68">
        <f t="shared" si="7"/>
        <v>-5.0000000000000001E-3</v>
      </c>
      <c r="S68">
        <f t="shared" si="7"/>
        <v>-5.0000000000000001E-3</v>
      </c>
      <c r="T68">
        <f t="shared" si="7"/>
        <v>-5.0000000000000001E-3</v>
      </c>
      <c r="U68">
        <f t="shared" si="7"/>
        <v>-5.0000000000000001E-3</v>
      </c>
      <c r="V68">
        <f t="shared" si="7"/>
        <v>-5.0000000000000001E-3</v>
      </c>
      <c r="W68">
        <f t="shared" si="7"/>
        <v>-5.0000000000000001E-3</v>
      </c>
      <c r="X68">
        <f t="shared" si="7"/>
        <v>-5.0000000000000001E-3</v>
      </c>
      <c r="Y68">
        <f t="shared" si="7"/>
        <v>-5.0000000000000001E-3</v>
      </c>
      <c r="Z68">
        <f t="shared" si="7"/>
        <v>-5.0000000000000001E-3</v>
      </c>
      <c r="AA68">
        <f t="shared" si="7"/>
        <v>-5.0000000000000001E-3</v>
      </c>
      <c r="AB68">
        <f t="shared" si="7"/>
        <v>-5.0000000000000001E-3</v>
      </c>
      <c r="AC68">
        <f t="shared" si="7"/>
        <v>-5.0000000000000001E-3</v>
      </c>
    </row>
    <row r="69" spans="1:29" x14ac:dyDescent="0.25">
      <c r="A69" t="s">
        <v>174</v>
      </c>
      <c r="C69">
        <v>0</v>
      </c>
      <c r="D69">
        <f t="shared" ref="D69:AC69" si="8">IF(D12="",$B12,D12)</f>
        <v>-5.7729872669432442E-2</v>
      </c>
      <c r="E69">
        <f t="shared" si="8"/>
        <v>2.3084925389895744E-3</v>
      </c>
      <c r="F69">
        <f t="shared" si="8"/>
        <v>8.6668536975894779E-3</v>
      </c>
      <c r="G69">
        <f t="shared" si="8"/>
        <v>8.895905393281495E-3</v>
      </c>
      <c r="H69">
        <f t="shared" si="8"/>
        <v>6.2431210570281486E-3</v>
      </c>
      <c r="I69">
        <f t="shared" si="8"/>
        <v>8.2994653578576105E-3</v>
      </c>
      <c r="J69">
        <f t="shared" si="8"/>
        <v>8.8544070298389645E-3</v>
      </c>
      <c r="K69">
        <f t="shared" si="8"/>
        <v>8.5623904163661772E-3</v>
      </c>
      <c r="L69">
        <f t="shared" si="8"/>
        <v>8.6305305300598441E-3</v>
      </c>
      <c r="M69">
        <f t="shared" si="8"/>
        <v>8.8124025739757458E-3</v>
      </c>
      <c r="N69">
        <f t="shared" si="8"/>
        <v>8.3397468750246884E-3</v>
      </c>
      <c r="O69">
        <f t="shared" si="8"/>
        <v>9.1512585221738517E-3</v>
      </c>
      <c r="P69">
        <f t="shared" si="8"/>
        <v>8.9158346258822047E-3</v>
      </c>
      <c r="Q69">
        <f t="shared" si="8"/>
        <v>9.0395674055599434E-3</v>
      </c>
      <c r="R69">
        <f t="shared" si="8"/>
        <v>8.9126869878666404E-3</v>
      </c>
      <c r="S69">
        <f t="shared" si="8"/>
        <v>8.2219736659823149E-3</v>
      </c>
      <c r="T69">
        <f t="shared" si="8"/>
        <v>8.1518849867408989E-3</v>
      </c>
      <c r="U69">
        <f t="shared" si="8"/>
        <v>8.0671144690563253E-3</v>
      </c>
      <c r="V69">
        <f t="shared" si="8"/>
        <v>7.6174180419561087E-3</v>
      </c>
      <c r="W69">
        <f t="shared" si="8"/>
        <v>7.5910007208408424E-3</v>
      </c>
      <c r="X69">
        <f t="shared" si="8"/>
        <v>6.9485012197958293E-3</v>
      </c>
      <c r="Y69">
        <f t="shared" si="8"/>
        <v>7.1654398456569134E-3</v>
      </c>
      <c r="Z69">
        <f t="shared" si="8"/>
        <v>6.9713486623400201E-3</v>
      </c>
      <c r="AA69">
        <f t="shared" si="8"/>
        <v>6.9198623364609326E-3</v>
      </c>
      <c r="AB69">
        <f t="shared" si="8"/>
        <v>7.1706668477333618E-3</v>
      </c>
      <c r="AC69">
        <f t="shared" si="8"/>
        <v>6.5544717745132219E-3</v>
      </c>
    </row>
    <row r="70" spans="1:29" x14ac:dyDescent="0.25">
      <c r="A70" t="s">
        <v>201</v>
      </c>
      <c r="C70">
        <v>0</v>
      </c>
      <c r="D70">
        <f t="shared" ref="D70:AC70" si="9">IF(D13="",$B13,D13)</f>
        <v>-0.11327023120960888</v>
      </c>
      <c r="E70">
        <f t="shared" si="9"/>
        <v>1.2654387821285499E-2</v>
      </c>
      <c r="F70">
        <f t="shared" si="9"/>
        <v>1.3735723311174427E-2</v>
      </c>
      <c r="G70">
        <f t="shared" si="9"/>
        <v>-2.8978791575699502E-2</v>
      </c>
      <c r="H70">
        <f t="shared" si="9"/>
        <v>-3.7839861235331416E-2</v>
      </c>
      <c r="I70">
        <f t="shared" si="9"/>
        <v>-1.7721610152687448E-2</v>
      </c>
      <c r="J70">
        <f t="shared" si="9"/>
        <v>-5.5535893277420126E-3</v>
      </c>
      <c r="K70">
        <f t="shared" si="9"/>
        <v>-2.8541013618708145E-3</v>
      </c>
      <c r="L70">
        <f t="shared" si="9"/>
        <v>2.6110775606644635E-3</v>
      </c>
      <c r="M70">
        <f t="shared" si="9"/>
        <v>7.1811112665338961E-3</v>
      </c>
      <c r="N70">
        <f t="shared" si="9"/>
        <v>4.3095939225521436E-3</v>
      </c>
      <c r="O70">
        <f t="shared" si="9"/>
        <v>-5.0828396051350012E-4</v>
      </c>
      <c r="P70">
        <f t="shared" si="9"/>
        <v>1.2939081422887416E-3</v>
      </c>
      <c r="Q70">
        <f t="shared" si="9"/>
        <v>1.9871252582326238E-3</v>
      </c>
      <c r="R70">
        <f t="shared" si="9"/>
        <v>9.4922215564872351E-4</v>
      </c>
      <c r="S70">
        <f t="shared" si="9"/>
        <v>3.876368628577711E-3</v>
      </c>
      <c r="T70">
        <f t="shared" si="9"/>
        <v>3.6086342533489719E-3</v>
      </c>
      <c r="U70">
        <f t="shared" si="9"/>
        <v>2.3781021607383874E-3</v>
      </c>
      <c r="V70">
        <f t="shared" si="9"/>
        <v>2.2510324909582892E-3</v>
      </c>
      <c r="W70">
        <f t="shared" si="9"/>
        <v>2.9899080939919951E-3</v>
      </c>
      <c r="X70">
        <f t="shared" si="9"/>
        <v>3.7431770442513351E-3</v>
      </c>
      <c r="Y70">
        <f t="shared" si="9"/>
        <v>1.8182871550452167E-3</v>
      </c>
      <c r="Z70">
        <f t="shared" si="9"/>
        <v>-1.8549583248712398E-3</v>
      </c>
      <c r="AA70">
        <f t="shared" si="9"/>
        <v>-4.8402017735736042E-3</v>
      </c>
      <c r="AB70">
        <f t="shared" si="9"/>
        <v>-1.2979738378702281E-3</v>
      </c>
      <c r="AC70">
        <f t="shared" si="9"/>
        <v>-9.7529928707283859E-4</v>
      </c>
    </row>
    <row r="71" spans="1:29" x14ac:dyDescent="0.25">
      <c r="A71" t="s">
        <v>210</v>
      </c>
      <c r="C71">
        <v>0</v>
      </c>
      <c r="D71">
        <f t="shared" ref="D71:AC71" si="10">IF(D14="",$B14,D14)</f>
        <v>0.20646756047733122</v>
      </c>
      <c r="E71">
        <f t="shared" si="10"/>
        <v>-0.16081253587386876</v>
      </c>
      <c r="F71">
        <f t="shared" si="10"/>
        <v>-5.9926481842827915E-2</v>
      </c>
      <c r="G71">
        <f t="shared" si="10"/>
        <v>4.8577552390751753E-2</v>
      </c>
      <c r="H71">
        <f t="shared" si="10"/>
        <v>7.8415031909261301E-2</v>
      </c>
      <c r="I71">
        <f t="shared" si="10"/>
        <v>1.0858482705549129E-2</v>
      </c>
      <c r="J71">
        <f t="shared" si="10"/>
        <v>-2.5408865648140155E-2</v>
      </c>
      <c r="K71">
        <f t="shared" si="10"/>
        <v>-3.0799743817374369E-3</v>
      </c>
      <c r="L71">
        <f t="shared" si="10"/>
        <v>2.2848120700727528E-2</v>
      </c>
      <c r="M71">
        <f t="shared" si="10"/>
        <v>3.8984983101808264E-2</v>
      </c>
      <c r="N71">
        <f t="shared" si="10"/>
        <v>2.9219529050703422E-2</v>
      </c>
      <c r="O71">
        <f t="shared" si="10"/>
        <v>2.9233758232177085E-2</v>
      </c>
      <c r="P71">
        <f t="shared" si="10"/>
        <v>2.1060842040691512E-2</v>
      </c>
      <c r="Q71">
        <f t="shared" si="10"/>
        <v>2.228663552233685E-2</v>
      </c>
      <c r="R71">
        <f t="shared" si="10"/>
        <v>1.6015879083247499E-2</v>
      </c>
      <c r="S71">
        <f t="shared" si="10"/>
        <v>5.1785345412433161E-3</v>
      </c>
      <c r="T71">
        <f t="shared" si="10"/>
        <v>-1.8013354096578064E-2</v>
      </c>
      <c r="U71">
        <f t="shared" si="10"/>
        <v>-1.0618322301797024E-2</v>
      </c>
      <c r="V71">
        <f t="shared" si="10"/>
        <v>-1.9917091594533951E-2</v>
      </c>
      <c r="W71">
        <f t="shared" si="10"/>
        <v>-1.3377491184493832E-2</v>
      </c>
      <c r="X71">
        <f t="shared" si="10"/>
        <v>6.3217512353089273E-3</v>
      </c>
      <c r="Y71">
        <f t="shared" si="10"/>
        <v>6.0034817341983937E-3</v>
      </c>
      <c r="Z71">
        <f t="shared" si="10"/>
        <v>8.9925975681785075E-3</v>
      </c>
      <c r="AA71">
        <f t="shared" si="10"/>
        <v>8.075867794985786E-3</v>
      </c>
      <c r="AB71">
        <f t="shared" si="10"/>
        <v>1.3737245679554182E-2</v>
      </c>
      <c r="AC71">
        <f t="shared" si="10"/>
        <v>1.1236138525516472E-2</v>
      </c>
    </row>
    <row r="72" spans="1:29" x14ac:dyDescent="0.25">
      <c r="A72" t="s">
        <v>219</v>
      </c>
      <c r="C72">
        <v>0</v>
      </c>
      <c r="D72">
        <f t="shared" ref="D72:AC72" si="11">IF(D15="",$B15,D15)</f>
        <v>-5.0057662323048653E-2</v>
      </c>
      <c r="E72">
        <f t="shared" si="11"/>
        <v>-9.0657834221724697E-3</v>
      </c>
      <c r="F72">
        <f t="shared" si="11"/>
        <v>1.278485593459618E-3</v>
      </c>
      <c r="G72">
        <f t="shared" si="11"/>
        <v>-7.1926520481287977E-3</v>
      </c>
      <c r="H72">
        <f t="shared" si="11"/>
        <v>-6.3772334766012823E-3</v>
      </c>
      <c r="I72">
        <f t="shared" si="11"/>
        <v>-6.2658343162849952E-3</v>
      </c>
      <c r="J72">
        <f t="shared" si="11"/>
        <v>-2.3939717110985303E-3</v>
      </c>
      <c r="K72">
        <f t="shared" si="11"/>
        <v>-3.0197325726839135E-3</v>
      </c>
      <c r="L72">
        <f t="shared" si="11"/>
        <v>-4.098789524848997E-3</v>
      </c>
      <c r="M72">
        <f t="shared" si="11"/>
        <v>-3.4129947835764363E-3</v>
      </c>
      <c r="N72">
        <f t="shared" si="11"/>
        <v>-3.441524691247057E-3</v>
      </c>
      <c r="O72">
        <f t="shared" si="11"/>
        <v>-3.1894531324822219E-3</v>
      </c>
      <c r="P72">
        <f t="shared" si="11"/>
        <v>-3.1325195911242193E-3</v>
      </c>
      <c r="Q72">
        <f t="shared" si="11"/>
        <v>2.6629654801326336E-4</v>
      </c>
      <c r="R72">
        <f t="shared" si="11"/>
        <v>3.3503925536994628E-3</v>
      </c>
      <c r="S72">
        <f t="shared" si="11"/>
        <v>5.4952678620504352E-3</v>
      </c>
      <c r="T72">
        <f t="shared" si="11"/>
        <v>4.1677260381441997E-3</v>
      </c>
      <c r="U72">
        <f t="shared" si="11"/>
        <v>5.4302573644451667E-3</v>
      </c>
      <c r="V72">
        <f t="shared" si="11"/>
        <v>5.8086122465398774E-3</v>
      </c>
      <c r="W72">
        <f t="shared" si="11"/>
        <v>6.0143914031781237E-3</v>
      </c>
      <c r="X72">
        <f t="shared" si="11"/>
        <v>6.6741622098685756E-3</v>
      </c>
      <c r="Y72">
        <f t="shared" si="11"/>
        <v>5.8020804358370056E-3</v>
      </c>
      <c r="Z72">
        <f t="shared" si="11"/>
        <v>6.9906301916783384E-3</v>
      </c>
      <c r="AA72">
        <f t="shared" si="11"/>
        <v>6.8990934448158476E-3</v>
      </c>
      <c r="AB72">
        <f t="shared" si="11"/>
        <v>7.8737061824086206E-3</v>
      </c>
      <c r="AC72">
        <f t="shared" si="11"/>
        <v>6.1365801067141219E-3</v>
      </c>
    </row>
    <row r="73" spans="1:29" x14ac:dyDescent="0.25">
      <c r="A73" t="s">
        <v>228</v>
      </c>
      <c r="C73">
        <v>0</v>
      </c>
      <c r="D73">
        <f t="shared" ref="D73:AC73" si="12">IF(D16="",$B16,D16)</f>
        <v>9.2796417486756702E-4</v>
      </c>
      <c r="E73">
        <f t="shared" si="12"/>
        <v>3.8698790057806816E-3</v>
      </c>
      <c r="F73">
        <f t="shared" si="12"/>
        <v>-1.8900763962524704E-3</v>
      </c>
      <c r="G73">
        <f t="shared" si="12"/>
        <v>-3.4576233884962256E-3</v>
      </c>
      <c r="H73">
        <f t="shared" si="12"/>
        <v>-9.2395075582589505E-3</v>
      </c>
      <c r="I73">
        <f t="shared" si="12"/>
        <v>-5.5176591261427172E-3</v>
      </c>
      <c r="J73">
        <f t="shared" si="12"/>
        <v>-6.6166130145881713E-3</v>
      </c>
      <c r="K73">
        <f t="shared" si="12"/>
        <v>-2.6039774078813042E-3</v>
      </c>
      <c r="L73">
        <f t="shared" si="12"/>
        <v>-2.047554302618233E-3</v>
      </c>
      <c r="M73">
        <f t="shared" si="12"/>
        <v>7.399211509591157E-4</v>
      </c>
      <c r="N73">
        <f t="shared" si="12"/>
        <v>1.4693596677565349E-3</v>
      </c>
      <c r="O73">
        <f t="shared" si="12"/>
        <v>-3.5672139471945225E-3</v>
      </c>
      <c r="P73">
        <f t="shared" si="12"/>
        <v>-7.8846764577685975E-3</v>
      </c>
      <c r="Q73">
        <f t="shared" si="12"/>
        <v>-7.6665663555704677E-3</v>
      </c>
      <c r="R73">
        <f t="shared" si="12"/>
        <v>-3.9897848989846911E-3</v>
      </c>
      <c r="S73">
        <f t="shared" si="12"/>
        <v>-1.5007878017789199E-3</v>
      </c>
      <c r="T73">
        <f t="shared" si="12"/>
        <v>1.4814202478820341E-3</v>
      </c>
      <c r="U73">
        <f t="shared" si="12"/>
        <v>-1.7439522658663593E-3</v>
      </c>
      <c r="V73">
        <f t="shared" si="12"/>
        <v>-5.2166332897896784E-3</v>
      </c>
      <c r="W73">
        <f t="shared" si="12"/>
        <v>-5.7503196953714655E-3</v>
      </c>
      <c r="X73">
        <f t="shared" si="12"/>
        <v>-5.1943860581410671E-3</v>
      </c>
      <c r="Y73">
        <f t="shared" si="12"/>
        <v>6.9266482707921518E-4</v>
      </c>
      <c r="Z73">
        <f t="shared" si="12"/>
        <v>1.7998124256706656E-3</v>
      </c>
      <c r="AA73">
        <f t="shared" si="12"/>
        <v>-3.6608763437707497E-3</v>
      </c>
      <c r="AB73">
        <f t="shared" si="12"/>
        <v>-2.2638412545510677E-3</v>
      </c>
      <c r="AC73">
        <f t="shared" si="12"/>
        <v>-4.4962071149564459E-4</v>
      </c>
    </row>
    <row r="74" spans="1:29" x14ac:dyDescent="0.25">
      <c r="A74" t="s">
        <v>233</v>
      </c>
      <c r="C74">
        <v>0</v>
      </c>
      <c r="D74">
        <f t="shared" ref="D74:AC74" si="13">IF(D17="",$B17,D17)</f>
        <v>7.1677561450444349E-2</v>
      </c>
      <c r="E74">
        <f t="shared" si="13"/>
        <v>-1.3322752034657602E-2</v>
      </c>
      <c r="F74">
        <f t="shared" si="13"/>
        <v>-1.1656389221256275E-2</v>
      </c>
      <c r="G74">
        <f t="shared" si="13"/>
        <v>-3.9834844723168946E-3</v>
      </c>
      <c r="H74">
        <f t="shared" si="13"/>
        <v>-8.4588021519986026E-3</v>
      </c>
      <c r="I74">
        <f t="shared" si="13"/>
        <v>-3.5692082180841363E-4</v>
      </c>
      <c r="J74">
        <f t="shared" si="13"/>
        <v>4.6102925636148148E-3</v>
      </c>
      <c r="K74">
        <f t="shared" si="13"/>
        <v>5.8713176717311646E-3</v>
      </c>
      <c r="L74">
        <f t="shared" si="13"/>
        <v>1.096075900833852E-2</v>
      </c>
      <c r="M74">
        <f t="shared" si="13"/>
        <v>1.0947535287415971E-2</v>
      </c>
      <c r="N74">
        <f t="shared" si="13"/>
        <v>1.1647639652423818E-2</v>
      </c>
      <c r="O74">
        <f t="shared" si="13"/>
        <v>1.1971146388333052E-2</v>
      </c>
      <c r="P74">
        <f t="shared" si="13"/>
        <v>1.3049614317436706E-2</v>
      </c>
      <c r="Q74">
        <f t="shared" si="13"/>
        <v>1.3004727066106054E-2</v>
      </c>
      <c r="R74">
        <f t="shared" si="13"/>
        <v>1.50061184439188E-2</v>
      </c>
      <c r="S74">
        <f t="shared" si="13"/>
        <v>1.5748427723141875E-2</v>
      </c>
      <c r="T74">
        <f t="shared" si="13"/>
        <v>1.7359441201003255E-2</v>
      </c>
      <c r="U74">
        <f t="shared" si="13"/>
        <v>1.9693202215778183E-2</v>
      </c>
      <c r="V74">
        <f t="shared" si="13"/>
        <v>1.8617996755474743E-2</v>
      </c>
      <c r="W74">
        <f t="shared" si="13"/>
        <v>1.8944643380388912E-2</v>
      </c>
      <c r="X74">
        <f t="shared" si="13"/>
        <v>2.0332594185957849E-2</v>
      </c>
      <c r="Y74">
        <f t="shared" si="13"/>
        <v>2.159212028848706E-2</v>
      </c>
      <c r="Z74">
        <f t="shared" si="13"/>
        <v>2.2091861117516778E-2</v>
      </c>
      <c r="AA74">
        <f t="shared" si="13"/>
        <v>1.9605559354869986E-2</v>
      </c>
      <c r="AB74">
        <f t="shared" si="13"/>
        <v>1.8448737017635143E-2</v>
      </c>
      <c r="AC74">
        <f t="shared" si="13"/>
        <v>2.0216894756495168E-2</v>
      </c>
    </row>
    <row r="75" spans="1:29" x14ac:dyDescent="0.25">
      <c r="A75" t="s">
        <v>238</v>
      </c>
      <c r="C75">
        <v>0</v>
      </c>
      <c r="D75">
        <f t="shared" ref="D75:AC75" si="14">IF(D18="",$B18,D18)</f>
        <v>2.3999999999999994E-2</v>
      </c>
      <c r="E75">
        <f t="shared" si="14"/>
        <v>2.3999999999999994E-2</v>
      </c>
      <c r="F75">
        <f t="shared" si="14"/>
        <v>2.3999999999999994E-2</v>
      </c>
      <c r="G75">
        <f t="shared" si="14"/>
        <v>2.3999999999999994E-2</v>
      </c>
      <c r="H75">
        <f t="shared" si="14"/>
        <v>2.3999999999999994E-2</v>
      </c>
      <c r="I75">
        <f t="shared" si="14"/>
        <v>2.3999999999999994E-2</v>
      </c>
      <c r="J75">
        <f t="shared" si="14"/>
        <v>2.3999999999999994E-2</v>
      </c>
      <c r="K75">
        <f t="shared" si="14"/>
        <v>2.3999999999999994E-2</v>
      </c>
      <c r="L75">
        <f t="shared" si="14"/>
        <v>2.3999999999999994E-2</v>
      </c>
      <c r="M75">
        <f t="shared" si="14"/>
        <v>2.3999999999999994E-2</v>
      </c>
      <c r="N75">
        <f t="shared" si="14"/>
        <v>2.3999999999999994E-2</v>
      </c>
      <c r="O75">
        <f t="shared" si="14"/>
        <v>2.3999999999999994E-2</v>
      </c>
      <c r="P75">
        <f t="shared" si="14"/>
        <v>2.3999999999999994E-2</v>
      </c>
      <c r="Q75">
        <f t="shared" si="14"/>
        <v>2.3999999999999994E-2</v>
      </c>
      <c r="R75">
        <f t="shared" si="14"/>
        <v>2.3999999999999994E-2</v>
      </c>
      <c r="S75">
        <f t="shared" si="14"/>
        <v>2.3999999999999994E-2</v>
      </c>
      <c r="T75">
        <f t="shared" si="14"/>
        <v>2.3999999999999994E-2</v>
      </c>
      <c r="U75">
        <f t="shared" si="14"/>
        <v>2.3999999999999994E-2</v>
      </c>
      <c r="V75">
        <f t="shared" si="14"/>
        <v>2.3999999999999994E-2</v>
      </c>
      <c r="W75">
        <f t="shared" si="14"/>
        <v>2.3999999999999994E-2</v>
      </c>
      <c r="X75">
        <f t="shared" si="14"/>
        <v>2.3999999999999994E-2</v>
      </c>
      <c r="Y75">
        <f t="shared" si="14"/>
        <v>2.3999999999999994E-2</v>
      </c>
      <c r="Z75">
        <f t="shared" si="14"/>
        <v>2.3999999999999994E-2</v>
      </c>
      <c r="AA75">
        <f t="shared" si="14"/>
        <v>2.3999999999999994E-2</v>
      </c>
      <c r="AB75">
        <f t="shared" si="14"/>
        <v>2.3999999999999994E-2</v>
      </c>
      <c r="AC75">
        <f t="shared" si="14"/>
        <v>2.3999999999999994E-2</v>
      </c>
    </row>
    <row r="76" spans="1:29" x14ac:dyDescent="0.25">
      <c r="A76" t="s">
        <v>241</v>
      </c>
      <c r="C76">
        <v>0</v>
      </c>
      <c r="D76">
        <f t="shared" ref="D76:AC76" si="15">IF(D19="",$B19,D19)</f>
        <v>1.7724214122440893E-2</v>
      </c>
      <c r="E76">
        <f t="shared" si="15"/>
        <v>-5.8729664651617488E-3</v>
      </c>
      <c r="F76">
        <f t="shared" si="15"/>
        <v>2.2595816437962872E-2</v>
      </c>
      <c r="G76">
        <f t="shared" si="15"/>
        <v>1.2078391913637288E-2</v>
      </c>
      <c r="H76">
        <f t="shared" si="15"/>
        <v>4.3401578051765564E-3</v>
      </c>
      <c r="I76">
        <f t="shared" si="15"/>
        <v>1.0538330439854564E-2</v>
      </c>
      <c r="J76">
        <f t="shared" si="15"/>
        <v>1.1919624433299109E-2</v>
      </c>
      <c r="K76">
        <f t="shared" si="15"/>
        <v>7.2282865610519224E-3</v>
      </c>
      <c r="L76">
        <f t="shared" si="15"/>
        <v>6.6818769513966106E-3</v>
      </c>
      <c r="M76">
        <f t="shared" si="15"/>
        <v>4.4451834259098492E-3</v>
      </c>
      <c r="N76">
        <f t="shared" si="15"/>
        <v>7.801068903021984E-3</v>
      </c>
      <c r="O76">
        <f t="shared" si="15"/>
        <v>1.156324137291186E-2</v>
      </c>
      <c r="P76">
        <f t="shared" si="15"/>
        <v>1.3563166417312762E-2</v>
      </c>
      <c r="Q76">
        <f t="shared" si="15"/>
        <v>1.1960972313155602E-2</v>
      </c>
      <c r="R76">
        <f t="shared" si="15"/>
        <v>9.8546563948202822E-3</v>
      </c>
      <c r="S76">
        <f t="shared" si="15"/>
        <v>1.174260116409828E-2</v>
      </c>
      <c r="T76">
        <f t="shared" si="15"/>
        <v>1.1727669794060551E-2</v>
      </c>
      <c r="U76">
        <f t="shared" si="15"/>
        <v>1.2452812401855015E-2</v>
      </c>
      <c r="V76">
        <f t="shared" si="15"/>
        <v>1.1472657296259773E-2</v>
      </c>
      <c r="W76">
        <f t="shared" si="15"/>
        <v>1.1588169071967315E-2</v>
      </c>
      <c r="X76">
        <f t="shared" si="15"/>
        <v>1.2545356154554065E-2</v>
      </c>
      <c r="Y76">
        <f t="shared" si="15"/>
        <v>1.0739513161443172E-2</v>
      </c>
      <c r="Z76">
        <f t="shared" si="15"/>
        <v>9.7885266276422963E-3</v>
      </c>
      <c r="AA76">
        <f t="shared" si="15"/>
        <v>7.7790196882548965E-3</v>
      </c>
      <c r="AB76">
        <f t="shared" si="15"/>
        <v>1.0818719628259659E-2</v>
      </c>
      <c r="AC76">
        <f t="shared" si="15"/>
        <v>1.0677986911461358E-2</v>
      </c>
    </row>
    <row r="77" spans="1:29" x14ac:dyDescent="0.25">
      <c r="A77" t="s">
        <v>1214</v>
      </c>
      <c r="C77">
        <v>0</v>
      </c>
      <c r="D77">
        <f t="shared" ref="D77:AC77" si="16">IF(D20="",$B20,D20)</f>
        <v>-6.2233199213274646E-3</v>
      </c>
      <c r="E77">
        <f t="shared" si="16"/>
        <v>6.0720253666557411E-4</v>
      </c>
      <c r="F77">
        <f t="shared" si="16"/>
        <v>2.462216093873312E-3</v>
      </c>
      <c r="G77">
        <f t="shared" si="16"/>
        <v>-1.1643884753133231E-3</v>
      </c>
      <c r="H77">
        <f t="shared" si="16"/>
        <v>-1.5622717482911286E-3</v>
      </c>
      <c r="I77">
        <f t="shared" si="16"/>
        <v>4.2884677077444577E-4</v>
      </c>
      <c r="J77">
        <f t="shared" si="16"/>
        <v>1.7034488687376508E-3</v>
      </c>
      <c r="K77">
        <f t="shared" si="16"/>
        <v>4.0618398053844373E-3</v>
      </c>
      <c r="L77">
        <f t="shared" si="16"/>
        <v>6.6316131750683007E-3</v>
      </c>
      <c r="M77">
        <f t="shared" si="16"/>
        <v>8.3090056745117793E-3</v>
      </c>
      <c r="N77">
        <f t="shared" si="16"/>
        <v>1.0367982306368139E-2</v>
      </c>
      <c r="O77">
        <f t="shared" si="16"/>
        <v>1.022946050450438E-2</v>
      </c>
      <c r="P77">
        <f t="shared" si="16"/>
        <v>9.6879481922688502E-3</v>
      </c>
      <c r="Q77">
        <f t="shared" si="16"/>
        <v>1.0119030407614882E-2</v>
      </c>
      <c r="R77">
        <f t="shared" si="16"/>
        <v>9.9271535032241578E-3</v>
      </c>
      <c r="S77">
        <f t="shared" si="16"/>
        <v>1.0068817804085108E-2</v>
      </c>
      <c r="T77">
        <f t="shared" si="16"/>
        <v>1.0497726662871541E-2</v>
      </c>
      <c r="U77">
        <f t="shared" si="16"/>
        <v>1.0773685175757294E-2</v>
      </c>
      <c r="V77">
        <f t="shared" si="16"/>
        <v>1.1043783809229451E-2</v>
      </c>
      <c r="W77">
        <f t="shared" si="16"/>
        <v>1.0784684936775644E-2</v>
      </c>
      <c r="X77">
        <f t="shared" si="16"/>
        <v>1.1019399231148896E-2</v>
      </c>
      <c r="Y77">
        <f t="shared" si="16"/>
        <v>1.1072157805751538E-2</v>
      </c>
      <c r="Z77">
        <f t="shared" si="16"/>
        <v>1.0968535414627783E-2</v>
      </c>
      <c r="AA77">
        <f t="shared" si="16"/>
        <v>1.0972790190006026E-2</v>
      </c>
      <c r="AB77">
        <f t="shared" si="16"/>
        <v>1.0452646000722115E-2</v>
      </c>
      <c r="AC77">
        <f t="shared" si="16"/>
        <v>1.03805003689426E-2</v>
      </c>
    </row>
    <row r="78" spans="1:29" x14ac:dyDescent="0.25">
      <c r="A78" t="s">
        <v>248</v>
      </c>
      <c r="C78">
        <v>0</v>
      </c>
      <c r="D78">
        <f t="shared" ref="D78:AC78" si="17">IF(D21="",$B21,D21)</f>
        <v>3.3677125558882557E-3</v>
      </c>
      <c r="E78">
        <f t="shared" si="17"/>
        <v>-1.6100321389836129E-2</v>
      </c>
      <c r="F78">
        <f t="shared" si="17"/>
        <v>-1.7324661384306477E-2</v>
      </c>
      <c r="G78">
        <f t="shared" si="17"/>
        <v>-3.0661376246751849E-3</v>
      </c>
      <c r="H78">
        <f t="shared" si="17"/>
        <v>-2.8177861535687836E-3</v>
      </c>
      <c r="I78">
        <f t="shared" si="17"/>
        <v>2.9511020407673163E-3</v>
      </c>
      <c r="J78">
        <f t="shared" si="17"/>
        <v>7.4787593155879887E-3</v>
      </c>
      <c r="K78">
        <f t="shared" si="17"/>
        <v>6.8072293280255691E-3</v>
      </c>
      <c r="L78">
        <f t="shared" si="17"/>
        <v>9.3879042406030001E-3</v>
      </c>
      <c r="M78">
        <f t="shared" si="17"/>
        <v>9.8625353808258764E-3</v>
      </c>
      <c r="N78">
        <f t="shared" si="17"/>
        <v>9.5639538061506116E-3</v>
      </c>
      <c r="O78">
        <f t="shared" si="17"/>
        <v>9.9268087496195406E-3</v>
      </c>
      <c r="P78">
        <f t="shared" si="17"/>
        <v>8.8885770497311549E-3</v>
      </c>
      <c r="Q78">
        <f t="shared" si="17"/>
        <v>9.3959774844289499E-3</v>
      </c>
      <c r="R78">
        <f t="shared" si="17"/>
        <v>8.9707251884070752E-3</v>
      </c>
      <c r="S78">
        <f t="shared" si="17"/>
        <v>4.9701530218554868E-3</v>
      </c>
      <c r="T78">
        <f t="shared" si="17"/>
        <v>1.6208327591064715E-3</v>
      </c>
      <c r="U78">
        <f t="shared" si="17"/>
        <v>-3.5840713790091122E-4</v>
      </c>
      <c r="V78">
        <f t="shared" si="17"/>
        <v>-4.5139001149143727E-3</v>
      </c>
      <c r="W78">
        <f t="shared" si="17"/>
        <v>-6.31192957131947E-3</v>
      </c>
      <c r="X78">
        <f t="shared" si="17"/>
        <v>1.3658997888406691E-3</v>
      </c>
      <c r="Y78">
        <f t="shared" si="17"/>
        <v>6.2790367013127674E-3</v>
      </c>
      <c r="Z78">
        <f t="shared" si="17"/>
        <v>6.4781329571070587E-3</v>
      </c>
      <c r="AA78">
        <f t="shared" si="17"/>
        <v>6.6010760132313301E-3</v>
      </c>
      <c r="AB78">
        <f t="shared" si="17"/>
        <v>6.3618268496300704E-3</v>
      </c>
      <c r="AC78">
        <f t="shared" si="17"/>
        <v>7.3540183049794847E-3</v>
      </c>
    </row>
    <row r="79" spans="1:29" x14ac:dyDescent="0.25">
      <c r="A79" t="s">
        <v>253</v>
      </c>
      <c r="C79">
        <v>0</v>
      </c>
      <c r="D79">
        <f t="shared" ref="D79:AC79" si="18">IF(D22="",$B22,D22)</f>
        <v>-1.4318822532873773E-2</v>
      </c>
      <c r="E79">
        <f t="shared" si="18"/>
        <v>2.0563609513499132E-2</v>
      </c>
      <c r="F79">
        <f t="shared" si="18"/>
        <v>3.1026543084000401E-2</v>
      </c>
      <c r="G79">
        <f t="shared" si="18"/>
        <v>-1.4872726456593712E-3</v>
      </c>
      <c r="H79">
        <f t="shared" si="18"/>
        <v>7.6125995799030434E-3</v>
      </c>
      <c r="I79">
        <f t="shared" si="18"/>
        <v>1.8836635658027599E-2</v>
      </c>
      <c r="J79">
        <f t="shared" si="18"/>
        <v>1.4672424996196651E-2</v>
      </c>
      <c r="K79">
        <f t="shared" si="18"/>
        <v>1.8340012043860557E-2</v>
      </c>
      <c r="L79">
        <f t="shared" si="18"/>
        <v>1.535324769203778E-2</v>
      </c>
      <c r="M79">
        <f t="shared" si="18"/>
        <v>7.0187670888773711E-3</v>
      </c>
      <c r="N79">
        <f t="shared" si="18"/>
        <v>1.1483801200096662E-2</v>
      </c>
      <c r="O79">
        <f t="shared" si="18"/>
        <v>5.7291914443533647E-3</v>
      </c>
      <c r="P79">
        <f t="shared" si="18"/>
        <v>7.9507598625235005E-3</v>
      </c>
      <c r="Q79">
        <f t="shared" si="18"/>
        <v>5.3761127265107766E-3</v>
      </c>
      <c r="R79">
        <f t="shared" si="18"/>
        <v>4.0827830185148333E-3</v>
      </c>
      <c r="S79">
        <f t="shared" si="18"/>
        <v>9.2964978183850498E-3</v>
      </c>
      <c r="T79">
        <f t="shared" si="18"/>
        <v>1.0454172303255269E-2</v>
      </c>
      <c r="U79">
        <f t="shared" si="18"/>
        <v>9.6713155442675908E-3</v>
      </c>
      <c r="V79">
        <f t="shared" si="18"/>
        <v>7.4659860444099939E-3</v>
      </c>
      <c r="W79">
        <f t="shared" si="18"/>
        <v>7.0963412928564378E-3</v>
      </c>
      <c r="X79">
        <f t="shared" si="18"/>
        <v>1.1883353893068311E-2</v>
      </c>
      <c r="Y79">
        <f t="shared" si="18"/>
        <v>8.4753603571672761E-3</v>
      </c>
      <c r="Z79">
        <f t="shared" si="18"/>
        <v>1.1187094527957811E-2</v>
      </c>
      <c r="AA79">
        <f t="shared" si="18"/>
        <v>8.7894909652514851E-3</v>
      </c>
      <c r="AB79">
        <f t="shared" si="18"/>
        <v>4.0537222005076904E-3</v>
      </c>
      <c r="AC79">
        <f t="shared" si="18"/>
        <v>7.7592449126460423E-3</v>
      </c>
    </row>
    <row r="80" spans="1:29" x14ac:dyDescent="0.25">
      <c r="A80" t="s">
        <v>258</v>
      </c>
      <c r="C80">
        <v>0</v>
      </c>
      <c r="D80">
        <f t="shared" ref="D80:AC80" si="19">IF(D23="",$B23,D23)</f>
        <v>2.7423101302979209E-4</v>
      </c>
      <c r="E80">
        <f t="shared" si="19"/>
        <v>-4.7853998917997116E-4</v>
      </c>
      <c r="F80">
        <f t="shared" si="19"/>
        <v>6.4732140458175378E-3</v>
      </c>
      <c r="G80">
        <f t="shared" si="19"/>
        <v>5.4052435047520532E-3</v>
      </c>
      <c r="H80">
        <f t="shared" si="19"/>
        <v>3.7668562580090558E-3</v>
      </c>
      <c r="I80">
        <f t="shared" si="19"/>
        <v>4.71760218819651E-3</v>
      </c>
      <c r="J80">
        <f t="shared" si="19"/>
        <v>5.0813282536308901E-3</v>
      </c>
      <c r="K80">
        <f t="shared" si="19"/>
        <v>6.2623422653454597E-3</v>
      </c>
      <c r="L80">
        <f t="shared" si="19"/>
        <v>7.6622890664389811E-3</v>
      </c>
      <c r="M80">
        <f t="shared" si="19"/>
        <v>8.7262193702413362E-3</v>
      </c>
      <c r="N80">
        <f t="shared" si="19"/>
        <v>1.007830508702855E-2</v>
      </c>
      <c r="O80">
        <f t="shared" si="19"/>
        <v>1.0496363271853919E-2</v>
      </c>
      <c r="P80">
        <f t="shared" si="19"/>
        <v>1.0333604705824288E-2</v>
      </c>
      <c r="Q80">
        <f t="shared" si="19"/>
        <v>1.0283047527828019E-2</v>
      </c>
      <c r="R80">
        <f t="shared" si="19"/>
        <v>1.0105062793125693E-2</v>
      </c>
      <c r="S80">
        <f t="shared" si="19"/>
        <v>1.0084138683607019E-2</v>
      </c>
      <c r="T80">
        <f t="shared" si="19"/>
        <v>1.0167585683094033E-2</v>
      </c>
      <c r="U80">
        <f t="shared" si="19"/>
        <v>1.0138120945988576E-2</v>
      </c>
      <c r="V80">
        <f t="shared" si="19"/>
        <v>1.0029968774932861E-2</v>
      </c>
      <c r="W80">
        <f t="shared" si="19"/>
        <v>9.7784698021622408E-3</v>
      </c>
      <c r="X80">
        <f t="shared" si="19"/>
        <v>9.5127956937354936E-3</v>
      </c>
      <c r="Y80">
        <f t="shared" si="19"/>
        <v>9.1730845548896687E-3</v>
      </c>
      <c r="Z80">
        <f t="shared" si="19"/>
        <v>8.6965091156279688E-3</v>
      </c>
      <c r="AA80">
        <f t="shared" si="19"/>
        <v>8.1121648865610206E-3</v>
      </c>
      <c r="AB80">
        <f t="shared" si="19"/>
        <v>7.48897548075166E-3</v>
      </c>
      <c r="AC80">
        <f t="shared" si="19"/>
        <v>7.0854466429014972E-3</v>
      </c>
    </row>
    <row r="81" spans="1:29" x14ac:dyDescent="0.25">
      <c r="A81" t="s">
        <v>265</v>
      </c>
      <c r="C81">
        <v>0</v>
      </c>
      <c r="D81">
        <f t="shared" ref="D81:AC81" si="20">IF(D24="",$B24,D24)</f>
        <v>2.583505185322945E-2</v>
      </c>
      <c r="E81">
        <f t="shared" si="20"/>
        <v>2.1302773500079922E-2</v>
      </c>
      <c r="F81">
        <f t="shared" si="20"/>
        <v>1.7395990296488601E-2</v>
      </c>
      <c r="G81">
        <f t="shared" si="20"/>
        <v>-8.7007286699702351E-3</v>
      </c>
      <c r="H81">
        <f t="shared" si="20"/>
        <v>-3.7304698077702675E-3</v>
      </c>
      <c r="I81">
        <f t="shared" si="20"/>
        <v>-2.0828084827644779E-4</v>
      </c>
      <c r="J81">
        <f t="shared" si="20"/>
        <v>1.2447620621955792E-3</v>
      </c>
      <c r="K81">
        <f t="shared" si="20"/>
        <v>9.5114980984205844E-3</v>
      </c>
      <c r="L81">
        <f t="shared" si="20"/>
        <v>7.2478771041927471E-3</v>
      </c>
      <c r="M81">
        <f t="shared" si="20"/>
        <v>1.2476036700577314E-2</v>
      </c>
      <c r="N81">
        <f t="shared" si="20"/>
        <v>1.1810309432023953E-2</v>
      </c>
      <c r="O81">
        <f t="shared" si="20"/>
        <v>7.9120390195665073E-3</v>
      </c>
      <c r="P81">
        <f t="shared" si="20"/>
        <v>8.8272957889208442E-3</v>
      </c>
      <c r="Q81">
        <f t="shared" si="20"/>
        <v>1.0427693086454585E-2</v>
      </c>
      <c r="R81">
        <f t="shared" si="20"/>
        <v>7.1226284684474369E-3</v>
      </c>
      <c r="S81">
        <f t="shared" si="20"/>
        <v>9.8951308344954747E-3</v>
      </c>
      <c r="T81">
        <f t="shared" si="20"/>
        <v>9.038876868339837E-3</v>
      </c>
      <c r="U81">
        <f t="shared" si="20"/>
        <v>9.9646974072085219E-3</v>
      </c>
      <c r="V81">
        <f t="shared" si="20"/>
        <v>1.0126107037825011E-2</v>
      </c>
      <c r="W81">
        <f t="shared" si="20"/>
        <v>1.4210034173012122E-2</v>
      </c>
      <c r="X81">
        <f t="shared" si="20"/>
        <v>1.3590009721918109E-2</v>
      </c>
      <c r="Y81">
        <f t="shared" si="20"/>
        <v>1.1843832165229377E-2</v>
      </c>
      <c r="Z81">
        <f t="shared" si="20"/>
        <v>6.1499425535588379E-3</v>
      </c>
      <c r="AA81">
        <f t="shared" si="20"/>
        <v>3.5324314979772627E-3</v>
      </c>
      <c r="AB81">
        <f t="shared" si="20"/>
        <v>1.0748907107304761E-2</v>
      </c>
      <c r="AC81">
        <f t="shared" si="20"/>
        <v>9.654321392619734E-3</v>
      </c>
    </row>
    <row r="82" spans="1:29" x14ac:dyDescent="0.25">
      <c r="A82" t="s">
        <v>291</v>
      </c>
      <c r="C82">
        <v>0</v>
      </c>
      <c r="D82">
        <f t="shared" ref="D82:AC82" si="21">IF(D25="",$B25,D25)</f>
        <v>-6.5496145174722312E-2</v>
      </c>
      <c r="E82">
        <f t="shared" si="21"/>
        <v>1.049235557326296E-2</v>
      </c>
      <c r="F82">
        <f t="shared" si="21"/>
        <v>3.7470970080506746E-2</v>
      </c>
      <c r="G82">
        <f t="shared" si="21"/>
        <v>2.3952323404698484E-2</v>
      </c>
      <c r="H82">
        <f t="shared" si="21"/>
        <v>2.5456781846209971E-2</v>
      </c>
      <c r="I82">
        <f t="shared" si="21"/>
        <v>2.044704623110288E-2</v>
      </c>
      <c r="J82">
        <f t="shared" si="21"/>
        <v>1.6053906954425344E-2</v>
      </c>
      <c r="K82">
        <f t="shared" si="21"/>
        <v>1.9197945678032947E-2</v>
      </c>
      <c r="L82">
        <f t="shared" si="21"/>
        <v>1.3829789433627978E-2</v>
      </c>
      <c r="M82">
        <f t="shared" si="21"/>
        <v>1.7647761389281848E-2</v>
      </c>
      <c r="N82">
        <f t="shared" si="21"/>
        <v>2.0477310320871293E-2</v>
      </c>
      <c r="O82">
        <f t="shared" si="21"/>
        <v>1.9872186202292391E-2</v>
      </c>
      <c r="P82">
        <f t="shared" si="21"/>
        <v>2.1011163495363843E-2</v>
      </c>
      <c r="Q82">
        <f t="shared" si="21"/>
        <v>2.0562019562047316E-2</v>
      </c>
      <c r="R82">
        <f t="shared" si="21"/>
        <v>2.1821787250447627E-2</v>
      </c>
      <c r="S82">
        <f t="shared" si="21"/>
        <v>2.2229099579873086E-2</v>
      </c>
      <c r="T82">
        <f t="shared" si="21"/>
        <v>2.1383231961426E-2</v>
      </c>
      <c r="U82">
        <f t="shared" si="21"/>
        <v>2.2557698028721859E-2</v>
      </c>
      <c r="V82">
        <f t="shared" si="21"/>
        <v>2.3289221664284179E-2</v>
      </c>
      <c r="W82">
        <f t="shared" si="21"/>
        <v>2.5166225455832306E-2</v>
      </c>
      <c r="X82">
        <f t="shared" si="21"/>
        <v>2.5932976807984533E-2</v>
      </c>
      <c r="Y82">
        <f t="shared" si="21"/>
        <v>2.6600966858647983E-2</v>
      </c>
      <c r="Z82">
        <f t="shared" si="21"/>
        <v>2.4984846374277125E-2</v>
      </c>
      <c r="AA82">
        <f t="shared" si="21"/>
        <v>2.4501268917016789E-2</v>
      </c>
      <c r="AB82">
        <f t="shared" si="21"/>
        <v>2.4399332556645007E-2</v>
      </c>
      <c r="AC82">
        <f t="shared" si="21"/>
        <v>2.1273483357682858E-2</v>
      </c>
    </row>
    <row r="83" spans="1:29" x14ac:dyDescent="0.25">
      <c r="A83" t="s">
        <v>306</v>
      </c>
      <c r="C83">
        <v>0</v>
      </c>
      <c r="D83">
        <f t="shared" ref="D83:AC83" si="22">IF(D26="",$B26,D26)</f>
        <v>9.5838154987310364E-3</v>
      </c>
      <c r="E83">
        <f t="shared" si="22"/>
        <v>-1.3180751806413827E-2</v>
      </c>
      <c r="F83">
        <f t="shared" si="22"/>
        <v>-5.495876411580016E-3</v>
      </c>
      <c r="G83">
        <f t="shared" si="22"/>
        <v>-1.5659957935745084E-2</v>
      </c>
      <c r="H83">
        <f t="shared" si="22"/>
        <v>-3.6960462318567761E-3</v>
      </c>
      <c r="I83">
        <f t="shared" si="22"/>
        <v>1.8032865730730773E-2</v>
      </c>
      <c r="J83">
        <f t="shared" si="22"/>
        <v>1.612508868781946E-2</v>
      </c>
      <c r="K83">
        <f t="shared" si="22"/>
        <v>1.680996299942103E-2</v>
      </c>
      <c r="L83">
        <f t="shared" si="22"/>
        <v>5.4695342229286433E-3</v>
      </c>
      <c r="M83">
        <f t="shared" si="22"/>
        <v>4.4293113800551055E-3</v>
      </c>
      <c r="N83">
        <f t="shared" si="22"/>
        <v>1.0716080366278562E-2</v>
      </c>
      <c r="O83">
        <f t="shared" si="22"/>
        <v>7.5710519600504199E-3</v>
      </c>
      <c r="P83">
        <f t="shared" si="22"/>
        <v>6.9475790461157125E-3</v>
      </c>
      <c r="Q83">
        <f t="shared" si="22"/>
        <v>5.019167709294562E-3</v>
      </c>
      <c r="R83">
        <f t="shared" si="22"/>
        <v>4.7556991717196831E-3</v>
      </c>
      <c r="S83">
        <f t="shared" si="22"/>
        <v>6.585604364996599E-3</v>
      </c>
      <c r="T83">
        <f t="shared" si="22"/>
        <v>5.6606166948387285E-3</v>
      </c>
      <c r="U83">
        <f t="shared" si="22"/>
        <v>6.5817540342673689E-3</v>
      </c>
      <c r="V83">
        <f t="shared" si="22"/>
        <v>5.5774839144858415E-3</v>
      </c>
      <c r="W83">
        <f t="shared" si="22"/>
        <v>5.3389950121167217E-3</v>
      </c>
      <c r="X83">
        <f t="shared" si="22"/>
        <v>6.2995500713378073E-3</v>
      </c>
      <c r="Y83">
        <f t="shared" si="22"/>
        <v>7.9632206641985174E-3</v>
      </c>
      <c r="Z83">
        <f t="shared" si="22"/>
        <v>7.8306975688093548E-3</v>
      </c>
      <c r="AA83">
        <f t="shared" si="22"/>
        <v>6.7753977190839121E-3</v>
      </c>
      <c r="AB83">
        <f t="shared" si="22"/>
        <v>5.4717269479305167E-3</v>
      </c>
      <c r="AC83">
        <f t="shared" si="22"/>
        <v>3.8045208677786554E-3</v>
      </c>
    </row>
    <row r="84" spans="1:29" x14ac:dyDescent="0.25">
      <c r="A84" t="s">
        <v>280</v>
      </c>
      <c r="C84">
        <v>0</v>
      </c>
      <c r="D84">
        <f t="shared" ref="D84:AC84" si="23">IF(D27="",$B27,D27)</f>
        <v>2.4336435643808989E-2</v>
      </c>
      <c r="E84">
        <f t="shared" si="23"/>
        <v>-2.0461753244390066E-2</v>
      </c>
      <c r="F84">
        <f t="shared" si="23"/>
        <v>2.4109605222139355E-2</v>
      </c>
      <c r="G84">
        <f t="shared" si="23"/>
        <v>1.8829391438090048E-2</v>
      </c>
      <c r="H84">
        <f t="shared" si="23"/>
        <v>1.9451339355595697E-2</v>
      </c>
      <c r="I84">
        <f t="shared" si="23"/>
        <v>1.2885394239777163E-2</v>
      </c>
      <c r="J84">
        <f t="shared" si="23"/>
        <v>1.9511096698901231E-2</v>
      </c>
      <c r="K84">
        <f t="shared" si="23"/>
        <v>1.6240848175239804E-2</v>
      </c>
      <c r="L84">
        <f t="shared" si="23"/>
        <v>1.032807562481246E-3</v>
      </c>
      <c r="M84">
        <f t="shared" si="23"/>
        <v>7.7800945510172245E-3</v>
      </c>
      <c r="N84">
        <f t="shared" si="23"/>
        <v>1.3022632948495967E-2</v>
      </c>
      <c r="O84">
        <f t="shared" si="23"/>
        <v>9.2415695740314403E-3</v>
      </c>
      <c r="P84">
        <f t="shared" si="23"/>
        <v>6.1339695197402148E-3</v>
      </c>
      <c r="Q84">
        <f t="shared" si="23"/>
        <v>2.4439179119564824E-3</v>
      </c>
      <c r="R84">
        <f t="shared" si="23"/>
        <v>3.1025991674817874E-4</v>
      </c>
      <c r="S84">
        <f t="shared" si="23"/>
        <v>4.3434375026623409E-3</v>
      </c>
      <c r="T84">
        <f t="shared" si="23"/>
        <v>3.8234490974420297E-3</v>
      </c>
      <c r="U84">
        <f t="shared" si="23"/>
        <v>3.6062588998127042E-3</v>
      </c>
      <c r="V84">
        <f t="shared" si="23"/>
        <v>1.85583021089817E-3</v>
      </c>
      <c r="W84">
        <f t="shared" si="23"/>
        <v>1.4739561454598278E-3</v>
      </c>
      <c r="X84">
        <f t="shared" si="23"/>
        <v>3.1443737620083013E-3</v>
      </c>
      <c r="Y84">
        <f t="shared" si="23"/>
        <v>4.7004788198066619E-3</v>
      </c>
      <c r="Z84">
        <f t="shared" si="23"/>
        <v>5.3265069574338622E-3</v>
      </c>
      <c r="AA84">
        <f t="shared" si="23"/>
        <v>2.9188988858584882E-3</v>
      </c>
      <c r="AB84">
        <f t="shared" si="23"/>
        <v>8.0121113135311873E-4</v>
      </c>
      <c r="AC84">
        <f t="shared" si="23"/>
        <v>-6.5342532923039177E-4</v>
      </c>
    </row>
    <row r="85" spans="1:29" x14ac:dyDescent="0.25">
      <c r="A85" t="s">
        <v>319</v>
      </c>
      <c r="C85">
        <v>0</v>
      </c>
      <c r="D85">
        <f t="shared" ref="D85:AC85" si="24">IF(D28="",$B28,D28)</f>
        <v>-6.1192822458182292E-2</v>
      </c>
      <c r="E85">
        <f t="shared" si="24"/>
        <v>2.9380888594976902E-3</v>
      </c>
      <c r="F85">
        <f t="shared" si="24"/>
        <v>6.3339290520313812E-2</v>
      </c>
      <c r="G85">
        <f t="shared" si="24"/>
        <v>1.9604562754516788E-2</v>
      </c>
      <c r="H85">
        <f t="shared" si="24"/>
        <v>1.5932404751837544E-2</v>
      </c>
      <c r="I85">
        <f t="shared" si="24"/>
        <v>1.6641426870951888E-2</v>
      </c>
      <c r="J85">
        <f t="shared" si="24"/>
        <v>6.7021756724579655E-3</v>
      </c>
      <c r="K85">
        <f t="shared" si="24"/>
        <v>1.5883257366551745E-2</v>
      </c>
      <c r="L85">
        <f t="shared" si="24"/>
        <v>6.9136521435425487E-3</v>
      </c>
      <c r="M85">
        <f t="shared" si="24"/>
        <v>2.8542402586039105E-3</v>
      </c>
      <c r="N85">
        <f t="shared" si="24"/>
        <v>3.8463791260001942E-3</v>
      </c>
      <c r="O85">
        <f t="shared" si="24"/>
        <v>1.0277052427238266E-2</v>
      </c>
      <c r="P85">
        <f t="shared" si="24"/>
        <v>2.0572282292054985E-2</v>
      </c>
      <c r="Q85">
        <f t="shared" si="24"/>
        <v>1.8700062703327504E-2</v>
      </c>
      <c r="R85">
        <f t="shared" si="24"/>
        <v>1.8711123076861937E-2</v>
      </c>
      <c r="S85">
        <f t="shared" si="24"/>
        <v>1.7017403091970501E-2</v>
      </c>
      <c r="T85">
        <f t="shared" si="24"/>
        <v>1.4762044680125085E-2</v>
      </c>
      <c r="U85">
        <f t="shared" si="24"/>
        <v>1.4642211089780718E-2</v>
      </c>
      <c r="V85">
        <f t="shared" si="24"/>
        <v>1.2713600388710966E-2</v>
      </c>
      <c r="W85">
        <f t="shared" si="24"/>
        <v>1.2896278318495618E-2</v>
      </c>
      <c r="X85">
        <f t="shared" si="24"/>
        <v>1.336315733038511E-2</v>
      </c>
      <c r="Y85">
        <f t="shared" si="24"/>
        <v>1.2522422817884852E-2</v>
      </c>
      <c r="Z85">
        <f t="shared" si="24"/>
        <v>1.1331525364436211E-2</v>
      </c>
      <c r="AA85">
        <f t="shared" si="24"/>
        <v>1.1461454971234577E-2</v>
      </c>
      <c r="AB85">
        <f t="shared" si="24"/>
        <v>1.0357703802010182E-2</v>
      </c>
      <c r="AC85">
        <f t="shared" si="24"/>
        <v>8.2997084143176143E-3</v>
      </c>
    </row>
    <row r="86" spans="1:29" x14ac:dyDescent="0.25">
      <c r="A86" t="s">
        <v>331</v>
      </c>
      <c r="C86">
        <v>0</v>
      </c>
      <c r="D86">
        <f t="shared" ref="D86:AC86" si="25">IF(D29="",$B29,D29)</f>
        <v>1.3000000000000001E-2</v>
      </c>
      <c r="E86">
        <f t="shared" si="25"/>
        <v>1.3000000000000001E-2</v>
      </c>
      <c r="F86">
        <f t="shared" si="25"/>
        <v>1.3000000000000001E-2</v>
      </c>
      <c r="G86">
        <f t="shared" si="25"/>
        <v>1.3000000000000001E-2</v>
      </c>
      <c r="H86">
        <f t="shared" si="25"/>
        <v>1.3000000000000001E-2</v>
      </c>
      <c r="I86">
        <f t="shared" si="25"/>
        <v>1.3000000000000001E-2</v>
      </c>
      <c r="J86">
        <f t="shared" si="25"/>
        <v>1.3000000000000001E-2</v>
      </c>
      <c r="K86">
        <f t="shared" si="25"/>
        <v>1.3000000000000001E-2</v>
      </c>
      <c r="L86">
        <f t="shared" si="25"/>
        <v>1.3000000000000001E-2</v>
      </c>
      <c r="M86">
        <f t="shared" si="25"/>
        <v>1.3000000000000001E-2</v>
      </c>
      <c r="N86">
        <f t="shared" si="25"/>
        <v>1.3000000000000001E-2</v>
      </c>
      <c r="O86">
        <f t="shared" si="25"/>
        <v>1.3000000000000001E-2</v>
      </c>
      <c r="P86">
        <f t="shared" si="25"/>
        <v>1.3000000000000001E-2</v>
      </c>
      <c r="Q86">
        <f t="shared" si="25"/>
        <v>1.3000000000000001E-2</v>
      </c>
      <c r="R86">
        <f t="shared" si="25"/>
        <v>1.3000000000000001E-2</v>
      </c>
      <c r="S86">
        <f t="shared" si="25"/>
        <v>1.3000000000000001E-2</v>
      </c>
      <c r="T86">
        <f t="shared" si="25"/>
        <v>1.3000000000000001E-2</v>
      </c>
      <c r="U86">
        <f t="shared" si="25"/>
        <v>1.3000000000000001E-2</v>
      </c>
      <c r="V86">
        <f t="shared" si="25"/>
        <v>1.3000000000000001E-2</v>
      </c>
      <c r="W86">
        <f t="shared" si="25"/>
        <v>1.3000000000000001E-2</v>
      </c>
      <c r="X86">
        <f t="shared" si="25"/>
        <v>1.3000000000000001E-2</v>
      </c>
      <c r="Y86">
        <f t="shared" si="25"/>
        <v>1.3000000000000001E-2</v>
      </c>
      <c r="Z86">
        <f t="shared" si="25"/>
        <v>1.3000000000000001E-2</v>
      </c>
      <c r="AA86">
        <f t="shared" si="25"/>
        <v>1.3000000000000001E-2</v>
      </c>
      <c r="AB86">
        <f t="shared" si="25"/>
        <v>1.3000000000000001E-2</v>
      </c>
      <c r="AC86">
        <f t="shared" si="25"/>
        <v>1.3000000000000001E-2</v>
      </c>
    </row>
    <row r="87" spans="1:29" x14ac:dyDescent="0.25">
      <c r="A87" t="s">
        <v>326</v>
      </c>
      <c r="C87">
        <v>0</v>
      </c>
      <c r="D87">
        <f t="shared" ref="D87:AC87" si="26">IF(D30="",$B30,D30)</f>
        <v>-6.1192822458182292E-2</v>
      </c>
      <c r="E87">
        <f t="shared" si="26"/>
        <v>2.9380888594976902E-3</v>
      </c>
      <c r="F87">
        <f t="shared" si="26"/>
        <v>6.3339290520313812E-2</v>
      </c>
      <c r="G87">
        <f t="shared" si="26"/>
        <v>1.9604562754516788E-2</v>
      </c>
      <c r="H87">
        <f t="shared" si="26"/>
        <v>1.5932404751837544E-2</v>
      </c>
      <c r="I87">
        <f t="shared" si="26"/>
        <v>1.6641426870951888E-2</v>
      </c>
      <c r="J87">
        <f t="shared" si="26"/>
        <v>6.7021756724579655E-3</v>
      </c>
      <c r="K87">
        <f t="shared" si="26"/>
        <v>1.5883257366551745E-2</v>
      </c>
      <c r="L87">
        <f t="shared" si="26"/>
        <v>6.9136521435425487E-3</v>
      </c>
      <c r="M87">
        <f t="shared" si="26"/>
        <v>2.8542402586039105E-3</v>
      </c>
      <c r="N87">
        <f t="shared" si="26"/>
        <v>3.8463791260001942E-3</v>
      </c>
      <c r="O87">
        <f t="shared" si="26"/>
        <v>1.0277052427238266E-2</v>
      </c>
      <c r="P87">
        <f t="shared" si="26"/>
        <v>2.0572282292054985E-2</v>
      </c>
      <c r="Q87">
        <f t="shared" si="26"/>
        <v>1.8700062703327504E-2</v>
      </c>
      <c r="R87">
        <f t="shared" si="26"/>
        <v>1.8711123076861937E-2</v>
      </c>
      <c r="S87">
        <f t="shared" si="26"/>
        <v>1.7017403091970501E-2</v>
      </c>
      <c r="T87">
        <f t="shared" si="26"/>
        <v>1.4762044680125085E-2</v>
      </c>
      <c r="U87">
        <f t="shared" si="26"/>
        <v>1.4642211089780718E-2</v>
      </c>
      <c r="V87">
        <f t="shared" si="26"/>
        <v>1.2713600388710966E-2</v>
      </c>
      <c r="W87">
        <f t="shared" si="26"/>
        <v>1.2896278318495618E-2</v>
      </c>
      <c r="X87">
        <f t="shared" si="26"/>
        <v>1.336315733038511E-2</v>
      </c>
      <c r="Y87">
        <f t="shared" si="26"/>
        <v>1.2522422817884852E-2</v>
      </c>
      <c r="Z87">
        <f t="shared" si="26"/>
        <v>1.1331525364436211E-2</v>
      </c>
      <c r="AA87">
        <f t="shared" si="26"/>
        <v>1.1461454971234577E-2</v>
      </c>
      <c r="AB87">
        <f t="shared" si="26"/>
        <v>1.0357703802010182E-2</v>
      </c>
      <c r="AC87">
        <f t="shared" si="26"/>
        <v>8.2997084143176143E-3</v>
      </c>
    </row>
    <row r="88" spans="1:29" x14ac:dyDescent="0.25">
      <c r="A88" t="s">
        <v>336</v>
      </c>
      <c r="C88">
        <v>0</v>
      </c>
      <c r="D88">
        <f t="shared" ref="D88:AC88" si="27">IF(D31="",$B31,D31)</f>
        <v>-1.632229783085291E-2</v>
      </c>
      <c r="E88">
        <f t="shared" si="27"/>
        <v>5.5999459016875253E-3</v>
      </c>
      <c r="F88">
        <f t="shared" si="27"/>
        <v>2.5757109931396592E-2</v>
      </c>
      <c r="G88">
        <f t="shared" si="27"/>
        <v>1.1354110634450888E-2</v>
      </c>
      <c r="H88">
        <f t="shared" si="27"/>
        <v>1.5817217719252666E-2</v>
      </c>
      <c r="I88">
        <f t="shared" si="27"/>
        <v>2.3875865803752797E-2</v>
      </c>
      <c r="J88">
        <f t="shared" si="27"/>
        <v>2.5367352744672552E-2</v>
      </c>
      <c r="K88">
        <f t="shared" si="27"/>
        <v>1.0717953538114944E-2</v>
      </c>
      <c r="L88">
        <f t="shared" si="27"/>
        <v>4.251649523984118E-3</v>
      </c>
      <c r="M88">
        <f t="shared" si="27"/>
        <v>1.7918239151918502E-3</v>
      </c>
      <c r="N88">
        <f t="shared" si="27"/>
        <v>7.7910798401826641E-3</v>
      </c>
      <c r="O88">
        <f t="shared" si="27"/>
        <v>8.5717762642570985E-3</v>
      </c>
      <c r="P88">
        <f t="shared" si="27"/>
        <v>9.7625674798807287E-3</v>
      </c>
      <c r="Q88">
        <f t="shared" si="27"/>
        <v>1.1577806384322731E-2</v>
      </c>
      <c r="R88">
        <f t="shared" si="27"/>
        <v>4.9481819871324117E-3</v>
      </c>
      <c r="S88">
        <f t="shared" si="27"/>
        <v>1.0793203306688067E-2</v>
      </c>
      <c r="T88">
        <f t="shared" si="27"/>
        <v>1.1087318728565851E-2</v>
      </c>
      <c r="U88">
        <f t="shared" si="27"/>
        <v>9.320051786472822E-3</v>
      </c>
      <c r="V88">
        <f t="shared" si="27"/>
        <v>8.6730499813616642E-3</v>
      </c>
      <c r="W88">
        <f t="shared" si="27"/>
        <v>9.4775489895972537E-3</v>
      </c>
      <c r="X88">
        <f t="shared" si="27"/>
        <v>1.2076580439907935E-2</v>
      </c>
      <c r="Y88">
        <f t="shared" si="27"/>
        <v>8.1813883067160982E-3</v>
      </c>
      <c r="Z88">
        <f t="shared" si="27"/>
        <v>7.4069072932828311E-3</v>
      </c>
      <c r="AA88">
        <f t="shared" si="27"/>
        <v>3.1471864461374319E-3</v>
      </c>
      <c r="AB88">
        <f t="shared" si="27"/>
        <v>1.1445265042010417E-2</v>
      </c>
      <c r="AC88">
        <f t="shared" si="27"/>
        <v>2.5966262870745892E-3</v>
      </c>
    </row>
    <row r="89" spans="1:29" x14ac:dyDescent="0.25">
      <c r="A89" t="s">
        <v>98</v>
      </c>
      <c r="C89">
        <v>0</v>
      </c>
      <c r="D89">
        <f t="shared" ref="D89:AC89" si="28">IF(D32="",$B32,D32)</f>
        <v>0.02</v>
      </c>
      <c r="E89">
        <f t="shared" si="28"/>
        <v>0.02</v>
      </c>
      <c r="F89">
        <f t="shared" si="28"/>
        <v>0.02</v>
      </c>
      <c r="G89">
        <f t="shared" si="28"/>
        <v>0.02</v>
      </c>
      <c r="H89">
        <f t="shared" si="28"/>
        <v>0.02</v>
      </c>
      <c r="I89">
        <f t="shared" si="28"/>
        <v>0.02</v>
      </c>
      <c r="J89">
        <f t="shared" si="28"/>
        <v>0.02</v>
      </c>
      <c r="K89">
        <f t="shared" si="28"/>
        <v>0.02</v>
      </c>
      <c r="L89">
        <f t="shared" si="28"/>
        <v>0.02</v>
      </c>
      <c r="M89">
        <f t="shared" si="28"/>
        <v>0.02</v>
      </c>
      <c r="N89">
        <f t="shared" si="28"/>
        <v>0.02</v>
      </c>
      <c r="O89">
        <f t="shared" si="28"/>
        <v>0.02</v>
      </c>
      <c r="P89">
        <f t="shared" si="28"/>
        <v>0.02</v>
      </c>
      <c r="Q89">
        <f t="shared" si="28"/>
        <v>0.02</v>
      </c>
      <c r="R89">
        <f t="shared" si="28"/>
        <v>0.02</v>
      </c>
      <c r="S89">
        <f t="shared" si="28"/>
        <v>0.02</v>
      </c>
      <c r="T89">
        <f t="shared" si="28"/>
        <v>0.02</v>
      </c>
      <c r="U89">
        <f t="shared" si="28"/>
        <v>0.02</v>
      </c>
      <c r="V89">
        <f t="shared" si="28"/>
        <v>0.02</v>
      </c>
      <c r="W89">
        <f t="shared" si="28"/>
        <v>0.02</v>
      </c>
      <c r="X89">
        <f t="shared" si="28"/>
        <v>0.02</v>
      </c>
      <c r="Y89">
        <f t="shared" si="28"/>
        <v>0.02</v>
      </c>
      <c r="Z89">
        <f t="shared" si="28"/>
        <v>0.02</v>
      </c>
      <c r="AA89">
        <f t="shared" si="28"/>
        <v>0.02</v>
      </c>
      <c r="AB89">
        <f t="shared" si="28"/>
        <v>0.02</v>
      </c>
      <c r="AC89">
        <f t="shared" si="28"/>
        <v>0.02</v>
      </c>
    </row>
    <row r="90" spans="1:29" x14ac:dyDescent="0.25">
      <c r="A90" t="s">
        <v>119</v>
      </c>
      <c r="C90">
        <v>0</v>
      </c>
      <c r="D90">
        <f t="shared" ref="D90:AC90" si="29">IF(D33="",$B33,D33)</f>
        <v>6.9999999999999993E-3</v>
      </c>
      <c r="E90">
        <f t="shared" si="29"/>
        <v>6.9999999999999993E-3</v>
      </c>
      <c r="F90">
        <f t="shared" si="29"/>
        <v>6.9999999999999993E-3</v>
      </c>
      <c r="G90">
        <f t="shared" si="29"/>
        <v>6.9999999999999993E-3</v>
      </c>
      <c r="H90">
        <f t="shared" si="29"/>
        <v>6.9999999999999993E-3</v>
      </c>
      <c r="I90">
        <f t="shared" si="29"/>
        <v>6.9999999999999993E-3</v>
      </c>
      <c r="J90">
        <f t="shared" si="29"/>
        <v>6.9999999999999993E-3</v>
      </c>
      <c r="K90">
        <f t="shared" si="29"/>
        <v>6.9999999999999993E-3</v>
      </c>
      <c r="L90">
        <f t="shared" si="29"/>
        <v>6.9999999999999993E-3</v>
      </c>
      <c r="M90">
        <f t="shared" si="29"/>
        <v>6.9999999999999993E-3</v>
      </c>
      <c r="N90">
        <f t="shared" si="29"/>
        <v>6.9999999999999993E-3</v>
      </c>
      <c r="O90">
        <f t="shared" si="29"/>
        <v>6.9999999999999993E-3</v>
      </c>
      <c r="P90">
        <f t="shared" si="29"/>
        <v>6.9999999999999993E-3</v>
      </c>
      <c r="Q90">
        <f t="shared" si="29"/>
        <v>6.9999999999999993E-3</v>
      </c>
      <c r="R90">
        <f t="shared" si="29"/>
        <v>6.9999999999999993E-3</v>
      </c>
      <c r="S90">
        <f t="shared" si="29"/>
        <v>6.9999999999999993E-3</v>
      </c>
      <c r="T90">
        <f t="shared" si="29"/>
        <v>6.9999999999999993E-3</v>
      </c>
      <c r="U90">
        <f t="shared" si="29"/>
        <v>6.9999999999999993E-3</v>
      </c>
      <c r="V90">
        <f t="shared" si="29"/>
        <v>6.9999999999999993E-3</v>
      </c>
      <c r="W90">
        <f t="shared" si="29"/>
        <v>6.9999999999999993E-3</v>
      </c>
      <c r="X90">
        <f t="shared" si="29"/>
        <v>6.9999999999999993E-3</v>
      </c>
      <c r="Y90">
        <f t="shared" si="29"/>
        <v>6.9999999999999993E-3</v>
      </c>
      <c r="Z90">
        <f t="shared" si="29"/>
        <v>6.9999999999999993E-3</v>
      </c>
      <c r="AA90">
        <f t="shared" si="29"/>
        <v>6.9999999999999993E-3</v>
      </c>
      <c r="AB90">
        <f t="shared" si="29"/>
        <v>6.9999999999999993E-3</v>
      </c>
      <c r="AC90">
        <f t="shared" si="29"/>
        <v>6.9999999999999993E-3</v>
      </c>
    </row>
    <row r="91" spans="1:29" x14ac:dyDescent="0.25">
      <c r="A91" t="s">
        <v>122</v>
      </c>
      <c r="C91">
        <v>0</v>
      </c>
      <c r="D91">
        <f t="shared" ref="D91:AC91" si="30">IF(D34="",$B34,D34)</f>
        <v>1.4897971727105101E-2</v>
      </c>
      <c r="E91">
        <f t="shared" si="30"/>
        <v>1.4897971727105101E-2</v>
      </c>
      <c r="F91">
        <f t="shared" si="30"/>
        <v>1.4897971727105101E-2</v>
      </c>
      <c r="G91">
        <f t="shared" si="30"/>
        <v>1.4897971727105101E-2</v>
      </c>
      <c r="H91">
        <f t="shared" si="30"/>
        <v>1.4897971727105101E-2</v>
      </c>
      <c r="I91">
        <f t="shared" si="30"/>
        <v>1.4897971727105101E-2</v>
      </c>
      <c r="J91">
        <f t="shared" si="30"/>
        <v>1.4897971727105101E-2</v>
      </c>
      <c r="K91">
        <f t="shared" si="30"/>
        <v>1.4897971727105101E-2</v>
      </c>
      <c r="L91">
        <f t="shared" si="30"/>
        <v>1.4897971727105101E-2</v>
      </c>
      <c r="M91">
        <f t="shared" si="30"/>
        <v>1.4897971727105101E-2</v>
      </c>
      <c r="N91">
        <f t="shared" si="30"/>
        <v>1.4897971727105101E-2</v>
      </c>
      <c r="O91">
        <f t="shared" si="30"/>
        <v>1.4897971727105101E-2</v>
      </c>
      <c r="P91">
        <f t="shared" si="30"/>
        <v>1.4897971727105101E-2</v>
      </c>
      <c r="Q91">
        <f t="shared" si="30"/>
        <v>1.4897971727105101E-2</v>
      </c>
      <c r="R91">
        <f t="shared" si="30"/>
        <v>1.4897971727105101E-2</v>
      </c>
      <c r="S91">
        <f t="shared" si="30"/>
        <v>1.4897971727105101E-2</v>
      </c>
      <c r="T91">
        <f t="shared" si="30"/>
        <v>1.4897971727105101E-2</v>
      </c>
      <c r="U91">
        <f t="shared" si="30"/>
        <v>1.4897971727105101E-2</v>
      </c>
      <c r="V91">
        <f t="shared" si="30"/>
        <v>1.4897971727105101E-2</v>
      </c>
      <c r="W91">
        <f t="shared" si="30"/>
        <v>1.4897971727105101E-2</v>
      </c>
      <c r="X91">
        <f t="shared" si="30"/>
        <v>1.4897971727105101E-2</v>
      </c>
      <c r="Y91">
        <f t="shared" si="30"/>
        <v>1.4897971727105101E-2</v>
      </c>
      <c r="Z91">
        <f t="shared" si="30"/>
        <v>1.4897971727105101E-2</v>
      </c>
      <c r="AA91">
        <f t="shared" si="30"/>
        <v>1.4897971727105101E-2</v>
      </c>
      <c r="AB91">
        <f t="shared" si="30"/>
        <v>1.4897971727105101E-2</v>
      </c>
      <c r="AC91">
        <f t="shared" si="30"/>
        <v>1.4897971727105101E-2</v>
      </c>
    </row>
    <row r="92" spans="1:29" x14ac:dyDescent="0.25">
      <c r="A92" t="s">
        <v>125</v>
      </c>
      <c r="C92">
        <v>0</v>
      </c>
      <c r="D92">
        <f t="shared" ref="D92:AC92" si="31">IF(D35="",$B35,D35)</f>
        <v>5.9669924007771706E-2</v>
      </c>
      <c r="E92">
        <f t="shared" si="31"/>
        <v>-3.5622398453959603E-3</v>
      </c>
      <c r="F92">
        <f t="shared" si="31"/>
        <v>6.0002827825867341E-3</v>
      </c>
      <c r="G92">
        <f t="shared" si="31"/>
        <v>6.2367169119028577E-3</v>
      </c>
      <c r="H92">
        <f t="shared" si="31"/>
        <v>1.6493947059946858E-2</v>
      </c>
      <c r="I92">
        <f t="shared" si="31"/>
        <v>1.6767179940399238E-2</v>
      </c>
      <c r="J92">
        <f t="shared" si="31"/>
        <v>1.5267178023281685E-2</v>
      </c>
      <c r="K92">
        <f t="shared" si="31"/>
        <v>1.5087377513292623E-2</v>
      </c>
      <c r="L92">
        <f t="shared" si="31"/>
        <v>1.2507505364018977E-2</v>
      </c>
      <c r="M92">
        <f t="shared" si="31"/>
        <v>7.935139952700945E-3</v>
      </c>
      <c r="N92">
        <f t="shared" si="31"/>
        <v>1.0927655626535845E-2</v>
      </c>
      <c r="O92">
        <f t="shared" si="31"/>
        <v>9.457709870963853E-3</v>
      </c>
      <c r="P92">
        <f t="shared" si="31"/>
        <v>8.0154366911507225E-3</v>
      </c>
      <c r="Q92">
        <f t="shared" si="31"/>
        <v>6.7917630994960322E-3</v>
      </c>
      <c r="R92">
        <f t="shared" si="31"/>
        <v>5.827733722957187E-3</v>
      </c>
      <c r="S92">
        <f t="shared" si="31"/>
        <v>3.610756382528506E-3</v>
      </c>
      <c r="T92">
        <f t="shared" si="31"/>
        <v>2.3745631258577406E-3</v>
      </c>
      <c r="U92">
        <f t="shared" si="31"/>
        <v>5.8975026223083054E-3</v>
      </c>
      <c r="V92">
        <f t="shared" si="31"/>
        <v>4.2630783665079741E-3</v>
      </c>
      <c r="W92">
        <f t="shared" si="31"/>
        <v>5.0921734152755719E-3</v>
      </c>
      <c r="X92">
        <f t="shared" si="31"/>
        <v>9.7286040284667464E-3</v>
      </c>
      <c r="Y92">
        <f t="shared" si="31"/>
        <v>1.0093288979207428E-2</v>
      </c>
      <c r="Z92">
        <f t="shared" si="31"/>
        <v>9.1794346705411749E-3</v>
      </c>
      <c r="AA92">
        <f t="shared" si="31"/>
        <v>9.2093321853761578E-3</v>
      </c>
      <c r="AB92">
        <f t="shared" si="31"/>
        <v>1.0398181780053332E-2</v>
      </c>
      <c r="AC92">
        <f t="shared" si="31"/>
        <v>1.185113293339303E-2</v>
      </c>
    </row>
    <row r="93" spans="1:29" x14ac:dyDescent="0.25">
      <c r="A93" t="s">
        <v>351</v>
      </c>
      <c r="C93">
        <v>0</v>
      </c>
      <c r="D93">
        <f t="shared" ref="D93:AC93" si="32">IF(D36="",$B36,D36)</f>
        <v>2.5273068254159422E-2</v>
      </c>
      <c r="E93">
        <f t="shared" si="32"/>
        <v>2.5273068254159422E-2</v>
      </c>
      <c r="F93">
        <f t="shared" si="32"/>
        <v>2.5273068254159422E-2</v>
      </c>
      <c r="G93">
        <f t="shared" si="32"/>
        <v>2.5273068254159422E-2</v>
      </c>
      <c r="H93">
        <f t="shared" si="32"/>
        <v>2.5273068254159422E-2</v>
      </c>
      <c r="I93">
        <f t="shared" si="32"/>
        <v>2.5273068254159422E-2</v>
      </c>
      <c r="J93">
        <f t="shared" si="32"/>
        <v>2.5273068254159422E-2</v>
      </c>
      <c r="K93">
        <f t="shared" si="32"/>
        <v>2.5273068254159422E-2</v>
      </c>
      <c r="L93">
        <f t="shared" si="32"/>
        <v>2.5273068254159422E-2</v>
      </c>
      <c r="M93">
        <f t="shared" si="32"/>
        <v>2.5273068254159422E-2</v>
      </c>
      <c r="N93">
        <f t="shared" si="32"/>
        <v>2.5273068254159422E-2</v>
      </c>
      <c r="O93">
        <f t="shared" si="32"/>
        <v>2.5273068254159422E-2</v>
      </c>
      <c r="P93">
        <f t="shared" si="32"/>
        <v>2.5273068254159422E-2</v>
      </c>
      <c r="Q93">
        <f t="shared" si="32"/>
        <v>2.5273068254159422E-2</v>
      </c>
      <c r="R93">
        <f t="shared" si="32"/>
        <v>2.5273068254159422E-2</v>
      </c>
      <c r="S93">
        <f t="shared" si="32"/>
        <v>2.5273068254159422E-2</v>
      </c>
      <c r="T93">
        <f t="shared" si="32"/>
        <v>2.5273068254159422E-2</v>
      </c>
      <c r="U93">
        <f t="shared" si="32"/>
        <v>2.5273068254159422E-2</v>
      </c>
      <c r="V93">
        <f t="shared" si="32"/>
        <v>2.5273068254159422E-2</v>
      </c>
      <c r="W93">
        <f t="shared" si="32"/>
        <v>2.5273068254159422E-2</v>
      </c>
      <c r="X93">
        <f t="shared" si="32"/>
        <v>2.5273068254159422E-2</v>
      </c>
      <c r="Y93">
        <f t="shared" si="32"/>
        <v>2.5273068254159422E-2</v>
      </c>
      <c r="Z93">
        <f t="shared" si="32"/>
        <v>2.5273068254159422E-2</v>
      </c>
      <c r="AA93">
        <f t="shared" si="32"/>
        <v>2.5273068254159422E-2</v>
      </c>
      <c r="AB93">
        <f t="shared" si="32"/>
        <v>2.5273068254159422E-2</v>
      </c>
      <c r="AC93">
        <f t="shared" si="32"/>
        <v>2.5273068254159422E-2</v>
      </c>
    </row>
    <row r="94" spans="1:29" x14ac:dyDescent="0.25">
      <c r="A94" t="s">
        <v>453</v>
      </c>
      <c r="C94">
        <v>0</v>
      </c>
      <c r="D94">
        <f t="shared" ref="D94:AC94" si="33">IF(D37="",$B37,D37)</f>
        <v>1.8504447739065972E-2</v>
      </c>
      <c r="E94">
        <f t="shared" si="33"/>
        <v>1.8504447739065972E-2</v>
      </c>
      <c r="F94">
        <f t="shared" si="33"/>
        <v>1.8504447739065972E-2</v>
      </c>
      <c r="G94">
        <f t="shared" si="33"/>
        <v>1.8504447739065972E-2</v>
      </c>
      <c r="H94">
        <f t="shared" si="33"/>
        <v>1.8504447739065972E-2</v>
      </c>
      <c r="I94">
        <f t="shared" si="33"/>
        <v>1.8504447739065972E-2</v>
      </c>
      <c r="J94">
        <f t="shared" si="33"/>
        <v>1.8504447739065972E-2</v>
      </c>
      <c r="K94">
        <f t="shared" si="33"/>
        <v>1.8504447739065972E-2</v>
      </c>
      <c r="L94">
        <f t="shared" si="33"/>
        <v>1.8504447739065972E-2</v>
      </c>
      <c r="M94">
        <f t="shared" si="33"/>
        <v>1.8504447739065972E-2</v>
      </c>
      <c r="N94">
        <f t="shared" si="33"/>
        <v>1.8504447739065972E-2</v>
      </c>
      <c r="O94">
        <f t="shared" si="33"/>
        <v>1.8504447739065972E-2</v>
      </c>
      <c r="P94">
        <f t="shared" si="33"/>
        <v>1.8504447739065972E-2</v>
      </c>
      <c r="Q94">
        <f t="shared" si="33"/>
        <v>1.8504447739065972E-2</v>
      </c>
      <c r="R94">
        <f t="shared" si="33"/>
        <v>1.8504447739065972E-2</v>
      </c>
      <c r="S94">
        <f t="shared" si="33"/>
        <v>1.8504447739065972E-2</v>
      </c>
      <c r="T94">
        <f t="shared" si="33"/>
        <v>1.8504447739065972E-2</v>
      </c>
      <c r="U94">
        <f t="shared" si="33"/>
        <v>1.8504447739065972E-2</v>
      </c>
      <c r="V94">
        <f t="shared" si="33"/>
        <v>1.8504447739065972E-2</v>
      </c>
      <c r="W94">
        <f t="shared" si="33"/>
        <v>1.8504447739065972E-2</v>
      </c>
      <c r="X94">
        <f t="shared" si="33"/>
        <v>1.8504447739065972E-2</v>
      </c>
      <c r="Y94">
        <f t="shared" si="33"/>
        <v>1.8504447739065972E-2</v>
      </c>
      <c r="Z94">
        <f t="shared" si="33"/>
        <v>1.8504447739065972E-2</v>
      </c>
      <c r="AA94">
        <f t="shared" si="33"/>
        <v>1.8504447739065972E-2</v>
      </c>
      <c r="AB94">
        <f t="shared" si="33"/>
        <v>1.8504447739065972E-2</v>
      </c>
      <c r="AC94">
        <f t="shared" si="33"/>
        <v>1.8504447739065972E-2</v>
      </c>
    </row>
    <row r="95" spans="1:29" x14ac:dyDescent="0.25">
      <c r="A95" t="s">
        <v>456</v>
      </c>
      <c r="C95">
        <v>0</v>
      </c>
      <c r="D95">
        <f t="shared" ref="D95:AC95" si="34">IF(D38="",$B38,D38)</f>
        <v>2.1000000000000001E-2</v>
      </c>
      <c r="E95">
        <f t="shared" si="34"/>
        <v>2.1000000000000001E-2</v>
      </c>
      <c r="F95">
        <f t="shared" si="34"/>
        <v>2.1000000000000001E-2</v>
      </c>
      <c r="G95">
        <f t="shared" si="34"/>
        <v>2.1000000000000001E-2</v>
      </c>
      <c r="H95">
        <f t="shared" si="34"/>
        <v>2.1000000000000001E-2</v>
      </c>
      <c r="I95">
        <f t="shared" si="34"/>
        <v>2.1000000000000001E-2</v>
      </c>
      <c r="J95">
        <f t="shared" si="34"/>
        <v>2.1000000000000001E-2</v>
      </c>
      <c r="K95">
        <f t="shared" si="34"/>
        <v>2.1000000000000001E-2</v>
      </c>
      <c r="L95">
        <f t="shared" si="34"/>
        <v>2.1000000000000001E-2</v>
      </c>
      <c r="M95">
        <f t="shared" si="34"/>
        <v>2.1000000000000001E-2</v>
      </c>
      <c r="N95">
        <f t="shared" si="34"/>
        <v>2.1000000000000001E-2</v>
      </c>
      <c r="O95">
        <f t="shared" si="34"/>
        <v>2.1000000000000001E-2</v>
      </c>
      <c r="P95">
        <f t="shared" si="34"/>
        <v>2.1000000000000001E-2</v>
      </c>
      <c r="Q95">
        <f t="shared" si="34"/>
        <v>2.1000000000000001E-2</v>
      </c>
      <c r="R95">
        <f t="shared" si="34"/>
        <v>2.1000000000000001E-2</v>
      </c>
      <c r="S95">
        <f t="shared" si="34"/>
        <v>2.1000000000000001E-2</v>
      </c>
      <c r="T95">
        <f t="shared" si="34"/>
        <v>2.1000000000000001E-2</v>
      </c>
      <c r="U95">
        <f t="shared" si="34"/>
        <v>2.1000000000000001E-2</v>
      </c>
      <c r="V95">
        <f t="shared" si="34"/>
        <v>2.1000000000000001E-2</v>
      </c>
      <c r="W95">
        <f t="shared" si="34"/>
        <v>2.1000000000000001E-2</v>
      </c>
      <c r="X95">
        <f t="shared" si="34"/>
        <v>2.1000000000000001E-2</v>
      </c>
      <c r="Y95">
        <f t="shared" si="34"/>
        <v>2.1000000000000001E-2</v>
      </c>
      <c r="Z95">
        <f t="shared" si="34"/>
        <v>2.1000000000000001E-2</v>
      </c>
      <c r="AA95">
        <f t="shared" si="34"/>
        <v>2.1000000000000001E-2</v>
      </c>
      <c r="AB95">
        <f t="shared" si="34"/>
        <v>2.1000000000000001E-2</v>
      </c>
      <c r="AC95">
        <f t="shared" si="34"/>
        <v>2.1000000000000001E-2</v>
      </c>
    </row>
    <row r="96" spans="1:29" x14ac:dyDescent="0.25">
      <c r="A96" t="s">
        <v>446</v>
      </c>
      <c r="C96">
        <v>0</v>
      </c>
      <c r="D96">
        <f t="shared" ref="D96:AC96" si="35">IF(D39="",$B39,D39)</f>
        <v>2.3E-2</v>
      </c>
      <c r="E96">
        <f t="shared" si="35"/>
        <v>2.3E-2</v>
      </c>
      <c r="F96">
        <f t="shared" si="35"/>
        <v>2.3E-2</v>
      </c>
      <c r="G96">
        <f t="shared" si="35"/>
        <v>2.3E-2</v>
      </c>
      <c r="H96">
        <f t="shared" si="35"/>
        <v>2.3E-2</v>
      </c>
      <c r="I96">
        <f t="shared" si="35"/>
        <v>2.3E-2</v>
      </c>
      <c r="J96">
        <f t="shared" si="35"/>
        <v>2.3E-2</v>
      </c>
      <c r="K96">
        <f t="shared" si="35"/>
        <v>2.3E-2</v>
      </c>
      <c r="L96">
        <f t="shared" si="35"/>
        <v>2.3E-2</v>
      </c>
      <c r="M96">
        <f t="shared" si="35"/>
        <v>2.3E-2</v>
      </c>
      <c r="N96">
        <f t="shared" si="35"/>
        <v>2.3E-2</v>
      </c>
      <c r="O96">
        <f t="shared" si="35"/>
        <v>2.3E-2</v>
      </c>
      <c r="P96">
        <f t="shared" si="35"/>
        <v>2.3E-2</v>
      </c>
      <c r="Q96">
        <f t="shared" si="35"/>
        <v>2.3E-2</v>
      </c>
      <c r="R96">
        <f t="shared" si="35"/>
        <v>2.3E-2</v>
      </c>
      <c r="S96">
        <f t="shared" si="35"/>
        <v>2.3E-2</v>
      </c>
      <c r="T96">
        <f t="shared" si="35"/>
        <v>2.3E-2</v>
      </c>
      <c r="U96">
        <f t="shared" si="35"/>
        <v>2.3E-2</v>
      </c>
      <c r="V96">
        <f t="shared" si="35"/>
        <v>2.3E-2</v>
      </c>
      <c r="W96">
        <f t="shared" si="35"/>
        <v>2.3E-2</v>
      </c>
      <c r="X96">
        <f t="shared" si="35"/>
        <v>2.3E-2</v>
      </c>
      <c r="Y96">
        <f t="shared" si="35"/>
        <v>2.3E-2</v>
      </c>
      <c r="Z96">
        <f t="shared" si="35"/>
        <v>2.3E-2</v>
      </c>
      <c r="AA96">
        <f t="shared" si="35"/>
        <v>2.3E-2</v>
      </c>
      <c r="AB96">
        <f t="shared" si="35"/>
        <v>2.3E-2</v>
      </c>
      <c r="AC96">
        <f t="shared" si="35"/>
        <v>2.3E-2</v>
      </c>
    </row>
    <row r="97" spans="1:29" x14ac:dyDescent="0.25">
      <c r="A97" t="s">
        <v>487</v>
      </c>
      <c r="C97">
        <v>0</v>
      </c>
      <c r="D97">
        <f t="shared" ref="D97:AC97" si="36">IF(D40="",$B40,D40)</f>
        <v>2.5814833891321144E-2</v>
      </c>
      <c r="E97">
        <f t="shared" si="36"/>
        <v>2.5814833891321144E-2</v>
      </c>
      <c r="F97">
        <f t="shared" si="36"/>
        <v>2.5814833891321144E-2</v>
      </c>
      <c r="G97">
        <f t="shared" si="36"/>
        <v>2.5814833891321144E-2</v>
      </c>
      <c r="H97">
        <f t="shared" si="36"/>
        <v>2.5814833891321144E-2</v>
      </c>
      <c r="I97">
        <f t="shared" si="36"/>
        <v>2.5814833891321144E-2</v>
      </c>
      <c r="J97">
        <f t="shared" si="36"/>
        <v>2.5814833891321144E-2</v>
      </c>
      <c r="K97">
        <f t="shared" si="36"/>
        <v>2.5814833891321144E-2</v>
      </c>
      <c r="L97">
        <f t="shared" si="36"/>
        <v>2.5814833891321144E-2</v>
      </c>
      <c r="M97">
        <f t="shared" si="36"/>
        <v>2.5814833891321144E-2</v>
      </c>
      <c r="N97">
        <f t="shared" si="36"/>
        <v>2.5814833891321144E-2</v>
      </c>
      <c r="O97">
        <f t="shared" si="36"/>
        <v>2.5814833891321144E-2</v>
      </c>
      <c r="P97">
        <f t="shared" si="36"/>
        <v>2.5814833891321144E-2</v>
      </c>
      <c r="Q97">
        <f t="shared" si="36"/>
        <v>2.5814833891321144E-2</v>
      </c>
      <c r="R97">
        <f t="shared" si="36"/>
        <v>2.5814833891321144E-2</v>
      </c>
      <c r="S97">
        <f t="shared" si="36"/>
        <v>2.5814833891321144E-2</v>
      </c>
      <c r="T97">
        <f t="shared" si="36"/>
        <v>2.5814833891321144E-2</v>
      </c>
      <c r="U97">
        <f t="shared" si="36"/>
        <v>2.5814833891321144E-2</v>
      </c>
      <c r="V97">
        <f t="shared" si="36"/>
        <v>2.5814833891321144E-2</v>
      </c>
      <c r="W97">
        <f t="shared" si="36"/>
        <v>2.5814833891321144E-2</v>
      </c>
      <c r="X97">
        <f t="shared" si="36"/>
        <v>2.5814833891321144E-2</v>
      </c>
      <c r="Y97">
        <f t="shared" si="36"/>
        <v>2.5814833891321144E-2</v>
      </c>
      <c r="Z97">
        <f t="shared" si="36"/>
        <v>2.5814833891321144E-2</v>
      </c>
      <c r="AA97">
        <f t="shared" si="36"/>
        <v>2.5814833891321144E-2</v>
      </c>
      <c r="AB97">
        <f t="shared" si="36"/>
        <v>2.5814833891321144E-2</v>
      </c>
      <c r="AC97">
        <f t="shared" si="36"/>
        <v>2.5814833891321144E-2</v>
      </c>
    </row>
    <row r="98" spans="1:29" x14ac:dyDescent="0.25">
      <c r="A98" t="s">
        <v>512</v>
      </c>
      <c r="C98">
        <v>0</v>
      </c>
      <c r="D98">
        <f t="shared" ref="D98:AC98" si="37">IF(D41="",$B41,D41)</f>
        <v>2.7999999999999997E-2</v>
      </c>
      <c r="E98">
        <f t="shared" si="37"/>
        <v>2.7999999999999997E-2</v>
      </c>
      <c r="F98">
        <f t="shared" si="37"/>
        <v>2.7999999999999997E-2</v>
      </c>
      <c r="G98">
        <f t="shared" si="37"/>
        <v>2.7999999999999997E-2</v>
      </c>
      <c r="H98">
        <f t="shared" si="37"/>
        <v>2.7999999999999997E-2</v>
      </c>
      <c r="I98">
        <f t="shared" si="37"/>
        <v>2.7999999999999997E-2</v>
      </c>
      <c r="J98">
        <f t="shared" si="37"/>
        <v>2.7999999999999997E-2</v>
      </c>
      <c r="K98">
        <f t="shared" si="37"/>
        <v>2.7999999999999997E-2</v>
      </c>
      <c r="L98">
        <f t="shared" si="37"/>
        <v>2.7999999999999997E-2</v>
      </c>
      <c r="M98">
        <f t="shared" si="37"/>
        <v>2.7999999999999997E-2</v>
      </c>
      <c r="N98">
        <f t="shared" si="37"/>
        <v>2.7999999999999997E-2</v>
      </c>
      <c r="O98">
        <f t="shared" si="37"/>
        <v>2.7999999999999997E-2</v>
      </c>
      <c r="P98">
        <f t="shared" si="37"/>
        <v>2.7999999999999997E-2</v>
      </c>
      <c r="Q98">
        <f t="shared" si="37"/>
        <v>2.7999999999999997E-2</v>
      </c>
      <c r="R98">
        <f t="shared" si="37"/>
        <v>2.7999999999999997E-2</v>
      </c>
      <c r="S98">
        <f t="shared" si="37"/>
        <v>2.7999999999999997E-2</v>
      </c>
      <c r="T98">
        <f t="shared" si="37"/>
        <v>2.7999999999999997E-2</v>
      </c>
      <c r="U98">
        <f t="shared" si="37"/>
        <v>2.7999999999999997E-2</v>
      </c>
      <c r="V98">
        <f t="shared" si="37"/>
        <v>2.7999999999999997E-2</v>
      </c>
      <c r="W98">
        <f t="shared" si="37"/>
        <v>2.7999999999999997E-2</v>
      </c>
      <c r="X98">
        <f t="shared" si="37"/>
        <v>2.7999999999999997E-2</v>
      </c>
      <c r="Y98">
        <f t="shared" si="37"/>
        <v>2.7999999999999997E-2</v>
      </c>
      <c r="Z98">
        <f t="shared" si="37"/>
        <v>2.7999999999999997E-2</v>
      </c>
      <c r="AA98">
        <f t="shared" si="37"/>
        <v>2.7999999999999997E-2</v>
      </c>
      <c r="AB98">
        <f t="shared" si="37"/>
        <v>2.7999999999999997E-2</v>
      </c>
      <c r="AC98">
        <f t="shared" si="37"/>
        <v>2.7999999999999997E-2</v>
      </c>
    </row>
    <row r="99" spans="1:29" x14ac:dyDescent="0.25">
      <c r="A99" t="s">
        <v>863</v>
      </c>
      <c r="C99">
        <v>0</v>
      </c>
      <c r="D99">
        <f t="shared" ref="D99:AC99" si="38">IF(D42="",$B42,D42)</f>
        <v>2.3E-2</v>
      </c>
      <c r="E99">
        <f t="shared" si="38"/>
        <v>2.3E-2</v>
      </c>
      <c r="F99">
        <f t="shared" si="38"/>
        <v>2.3E-2</v>
      </c>
      <c r="G99">
        <f t="shared" si="38"/>
        <v>2.3E-2</v>
      </c>
      <c r="H99">
        <f t="shared" si="38"/>
        <v>2.3E-2</v>
      </c>
      <c r="I99">
        <f t="shared" si="38"/>
        <v>2.3E-2</v>
      </c>
      <c r="J99">
        <f t="shared" si="38"/>
        <v>2.3E-2</v>
      </c>
      <c r="K99">
        <f t="shared" si="38"/>
        <v>2.3E-2</v>
      </c>
      <c r="L99">
        <f t="shared" si="38"/>
        <v>2.3E-2</v>
      </c>
      <c r="M99">
        <f t="shared" si="38"/>
        <v>2.3E-2</v>
      </c>
      <c r="N99">
        <f t="shared" si="38"/>
        <v>2.3E-2</v>
      </c>
      <c r="O99">
        <f t="shared" si="38"/>
        <v>2.3E-2</v>
      </c>
      <c r="P99">
        <f t="shared" si="38"/>
        <v>2.3E-2</v>
      </c>
      <c r="Q99">
        <f t="shared" si="38"/>
        <v>2.3E-2</v>
      </c>
      <c r="R99">
        <f t="shared" si="38"/>
        <v>2.3E-2</v>
      </c>
      <c r="S99">
        <f t="shared" si="38"/>
        <v>2.3E-2</v>
      </c>
      <c r="T99">
        <f t="shared" si="38"/>
        <v>2.3E-2</v>
      </c>
      <c r="U99">
        <f t="shared" si="38"/>
        <v>2.3E-2</v>
      </c>
      <c r="V99">
        <f t="shared" si="38"/>
        <v>2.3E-2</v>
      </c>
      <c r="W99">
        <f t="shared" si="38"/>
        <v>2.3E-2</v>
      </c>
      <c r="X99">
        <f t="shared" si="38"/>
        <v>2.3E-2</v>
      </c>
      <c r="Y99">
        <f t="shared" si="38"/>
        <v>2.3E-2</v>
      </c>
      <c r="Z99">
        <f t="shared" si="38"/>
        <v>2.3E-2</v>
      </c>
      <c r="AA99">
        <f t="shared" si="38"/>
        <v>2.3E-2</v>
      </c>
      <c r="AB99">
        <f t="shared" si="38"/>
        <v>2.3E-2</v>
      </c>
      <c r="AC99">
        <f t="shared" si="38"/>
        <v>2.3E-2</v>
      </c>
    </row>
    <row r="100" spans="1:29" x14ac:dyDescent="0.25">
      <c r="A100" t="s">
        <v>523</v>
      </c>
      <c r="C100">
        <v>0</v>
      </c>
      <c r="D100">
        <f t="shared" ref="D100:AC100" si="39">IF(D43="",$B43,D43)</f>
        <v>3.6673081381868769E-2</v>
      </c>
      <c r="E100">
        <f t="shared" si="39"/>
        <v>3.6673081381868769E-2</v>
      </c>
      <c r="F100">
        <f t="shared" si="39"/>
        <v>3.6673081381868769E-2</v>
      </c>
      <c r="G100">
        <f t="shared" si="39"/>
        <v>3.6673081381868769E-2</v>
      </c>
      <c r="H100">
        <f t="shared" si="39"/>
        <v>3.6673081381868769E-2</v>
      </c>
      <c r="I100">
        <f t="shared" si="39"/>
        <v>3.6673081381868769E-2</v>
      </c>
      <c r="J100">
        <f t="shared" si="39"/>
        <v>3.6673081381868769E-2</v>
      </c>
      <c r="K100">
        <f t="shared" si="39"/>
        <v>3.6673081381868769E-2</v>
      </c>
      <c r="L100">
        <f t="shared" si="39"/>
        <v>3.6673081381868769E-2</v>
      </c>
      <c r="M100">
        <f t="shared" si="39"/>
        <v>3.6673081381868769E-2</v>
      </c>
      <c r="N100">
        <f t="shared" si="39"/>
        <v>3.6673081381868769E-2</v>
      </c>
      <c r="O100">
        <f t="shared" si="39"/>
        <v>3.6673081381868769E-2</v>
      </c>
      <c r="P100">
        <f t="shared" si="39"/>
        <v>3.6673081381868769E-2</v>
      </c>
      <c r="Q100">
        <f t="shared" si="39"/>
        <v>3.6673081381868769E-2</v>
      </c>
      <c r="R100">
        <f t="shared" si="39"/>
        <v>3.6673081381868769E-2</v>
      </c>
      <c r="S100">
        <f t="shared" si="39"/>
        <v>3.6673081381868769E-2</v>
      </c>
      <c r="T100">
        <f t="shared" si="39"/>
        <v>3.6673081381868769E-2</v>
      </c>
      <c r="U100">
        <f t="shared" si="39"/>
        <v>3.6673081381868769E-2</v>
      </c>
      <c r="V100">
        <f t="shared" si="39"/>
        <v>3.6673081381868769E-2</v>
      </c>
      <c r="W100">
        <f t="shared" si="39"/>
        <v>3.6673081381868769E-2</v>
      </c>
      <c r="X100">
        <f t="shared" si="39"/>
        <v>3.6673081381868769E-2</v>
      </c>
      <c r="Y100">
        <f t="shared" si="39"/>
        <v>3.6673081381868769E-2</v>
      </c>
      <c r="Z100">
        <f t="shared" si="39"/>
        <v>3.6673081381868769E-2</v>
      </c>
      <c r="AA100">
        <f t="shared" si="39"/>
        <v>3.6673081381868769E-2</v>
      </c>
      <c r="AB100">
        <f t="shared" si="39"/>
        <v>3.6673081381868769E-2</v>
      </c>
      <c r="AC100">
        <f t="shared" si="39"/>
        <v>3.6673081381868769E-2</v>
      </c>
    </row>
    <row r="101" spans="1:29" x14ac:dyDescent="0.25">
      <c r="A101" t="s">
        <v>554</v>
      </c>
      <c r="C101">
        <v>0</v>
      </c>
      <c r="D101">
        <f t="shared" ref="D101:AC101" si="40">IF(D44="",$B44,D44)</f>
        <v>2.7000000000000003E-2</v>
      </c>
      <c r="E101">
        <f t="shared" si="40"/>
        <v>2.7000000000000003E-2</v>
      </c>
      <c r="F101">
        <f t="shared" si="40"/>
        <v>2.7000000000000003E-2</v>
      </c>
      <c r="G101">
        <f t="shared" si="40"/>
        <v>2.7000000000000003E-2</v>
      </c>
      <c r="H101">
        <f t="shared" si="40"/>
        <v>2.7000000000000003E-2</v>
      </c>
      <c r="I101">
        <f t="shared" si="40"/>
        <v>2.7000000000000003E-2</v>
      </c>
      <c r="J101">
        <f t="shared" si="40"/>
        <v>2.7000000000000003E-2</v>
      </c>
      <c r="K101">
        <f t="shared" si="40"/>
        <v>2.7000000000000003E-2</v>
      </c>
      <c r="L101">
        <f t="shared" si="40"/>
        <v>2.7000000000000003E-2</v>
      </c>
      <c r="M101">
        <f t="shared" si="40"/>
        <v>2.7000000000000003E-2</v>
      </c>
      <c r="N101">
        <f t="shared" si="40"/>
        <v>2.7000000000000003E-2</v>
      </c>
      <c r="O101">
        <f t="shared" si="40"/>
        <v>2.7000000000000003E-2</v>
      </c>
      <c r="P101">
        <f t="shared" si="40"/>
        <v>2.7000000000000003E-2</v>
      </c>
      <c r="Q101">
        <f t="shared" si="40"/>
        <v>2.7000000000000003E-2</v>
      </c>
      <c r="R101">
        <f t="shared" si="40"/>
        <v>2.7000000000000003E-2</v>
      </c>
      <c r="S101">
        <f t="shared" si="40"/>
        <v>2.7000000000000003E-2</v>
      </c>
      <c r="T101">
        <f t="shared" si="40"/>
        <v>2.7000000000000003E-2</v>
      </c>
      <c r="U101">
        <f t="shared" si="40"/>
        <v>2.7000000000000003E-2</v>
      </c>
      <c r="V101">
        <f t="shared" si="40"/>
        <v>2.7000000000000003E-2</v>
      </c>
      <c r="W101">
        <f t="shared" si="40"/>
        <v>2.7000000000000003E-2</v>
      </c>
      <c r="X101">
        <f t="shared" si="40"/>
        <v>2.7000000000000003E-2</v>
      </c>
      <c r="Y101">
        <f t="shared" si="40"/>
        <v>2.7000000000000003E-2</v>
      </c>
      <c r="Z101">
        <f t="shared" si="40"/>
        <v>2.7000000000000003E-2</v>
      </c>
      <c r="AA101">
        <f t="shared" si="40"/>
        <v>2.7000000000000003E-2</v>
      </c>
      <c r="AB101">
        <f t="shared" si="40"/>
        <v>2.7000000000000003E-2</v>
      </c>
      <c r="AC101">
        <f t="shared" si="40"/>
        <v>2.7000000000000003E-2</v>
      </c>
    </row>
    <row r="102" spans="1:29" x14ac:dyDescent="0.25">
      <c r="A102" t="s">
        <v>557</v>
      </c>
      <c r="C102">
        <v>0</v>
      </c>
      <c r="D102">
        <f t="shared" ref="D102:AC102" si="41">IF(D45="",$B45,D45)</f>
        <v>3.4040216736905479E-2</v>
      </c>
      <c r="E102">
        <f t="shared" si="41"/>
        <v>3.4040216736905479E-2</v>
      </c>
      <c r="F102">
        <f t="shared" si="41"/>
        <v>3.4040216736905479E-2</v>
      </c>
      <c r="G102">
        <f t="shared" si="41"/>
        <v>3.4040216736905479E-2</v>
      </c>
      <c r="H102">
        <f t="shared" si="41"/>
        <v>3.4040216736905479E-2</v>
      </c>
      <c r="I102">
        <f t="shared" si="41"/>
        <v>3.4040216736905479E-2</v>
      </c>
      <c r="J102">
        <f t="shared" si="41"/>
        <v>3.4040216736905479E-2</v>
      </c>
      <c r="K102">
        <f t="shared" si="41"/>
        <v>3.4040216736905479E-2</v>
      </c>
      <c r="L102">
        <f t="shared" si="41"/>
        <v>3.4040216736905479E-2</v>
      </c>
      <c r="M102">
        <f t="shared" si="41"/>
        <v>3.4040216736905479E-2</v>
      </c>
      <c r="N102">
        <f t="shared" si="41"/>
        <v>3.4040216736905479E-2</v>
      </c>
      <c r="O102">
        <f t="shared" si="41"/>
        <v>3.4040216736905479E-2</v>
      </c>
      <c r="P102">
        <f t="shared" si="41"/>
        <v>3.4040216736905479E-2</v>
      </c>
      <c r="Q102">
        <f t="shared" si="41"/>
        <v>3.4040216736905479E-2</v>
      </c>
      <c r="R102">
        <f t="shared" si="41"/>
        <v>3.4040216736905479E-2</v>
      </c>
      <c r="S102">
        <f t="shared" si="41"/>
        <v>3.4040216736905479E-2</v>
      </c>
      <c r="T102">
        <f t="shared" si="41"/>
        <v>3.4040216736905479E-2</v>
      </c>
      <c r="U102">
        <f t="shared" si="41"/>
        <v>3.4040216736905479E-2</v>
      </c>
      <c r="V102">
        <f t="shared" si="41"/>
        <v>3.4040216736905479E-2</v>
      </c>
      <c r="W102">
        <f t="shared" si="41"/>
        <v>3.4040216736905479E-2</v>
      </c>
      <c r="X102">
        <f t="shared" si="41"/>
        <v>3.4040216736905479E-2</v>
      </c>
      <c r="Y102">
        <f t="shared" si="41"/>
        <v>3.4040216736905479E-2</v>
      </c>
      <c r="Z102">
        <f t="shared" si="41"/>
        <v>3.4040216736905479E-2</v>
      </c>
      <c r="AA102">
        <f t="shared" si="41"/>
        <v>3.4040216736905479E-2</v>
      </c>
      <c r="AB102">
        <f t="shared" si="41"/>
        <v>3.4040216736905479E-2</v>
      </c>
      <c r="AC102">
        <f t="shared" si="41"/>
        <v>3.4040216736905479E-2</v>
      </c>
    </row>
    <row r="103" spans="1:29" x14ac:dyDescent="0.25">
      <c r="A103" t="s">
        <v>560</v>
      </c>
      <c r="C103">
        <v>0</v>
      </c>
      <c r="D103">
        <f t="shared" ref="D103:AC103" si="42">IF(D46="",$B46,D46)</f>
        <v>0.02</v>
      </c>
      <c r="E103">
        <f t="shared" si="42"/>
        <v>0.02</v>
      </c>
      <c r="F103">
        <f t="shared" si="42"/>
        <v>0.02</v>
      </c>
      <c r="G103">
        <f t="shared" si="42"/>
        <v>0.02</v>
      </c>
      <c r="H103">
        <f t="shared" si="42"/>
        <v>0.02</v>
      </c>
      <c r="I103">
        <f t="shared" si="42"/>
        <v>0.02</v>
      </c>
      <c r="J103">
        <f t="shared" si="42"/>
        <v>0.02</v>
      </c>
      <c r="K103">
        <f t="shared" si="42"/>
        <v>0.02</v>
      </c>
      <c r="L103">
        <f t="shared" si="42"/>
        <v>0.02</v>
      </c>
      <c r="M103">
        <f t="shared" si="42"/>
        <v>0.02</v>
      </c>
      <c r="N103">
        <f t="shared" si="42"/>
        <v>0.02</v>
      </c>
      <c r="O103">
        <f t="shared" si="42"/>
        <v>0.02</v>
      </c>
      <c r="P103">
        <f t="shared" si="42"/>
        <v>0.02</v>
      </c>
      <c r="Q103">
        <f t="shared" si="42"/>
        <v>0.02</v>
      </c>
      <c r="R103">
        <f t="shared" si="42"/>
        <v>0.02</v>
      </c>
      <c r="S103">
        <f t="shared" si="42"/>
        <v>0.02</v>
      </c>
      <c r="T103">
        <f t="shared" si="42"/>
        <v>0.02</v>
      </c>
      <c r="U103">
        <f t="shared" si="42"/>
        <v>0.02</v>
      </c>
      <c r="V103">
        <f t="shared" si="42"/>
        <v>0.02</v>
      </c>
      <c r="W103">
        <f t="shared" si="42"/>
        <v>0.02</v>
      </c>
      <c r="X103">
        <f t="shared" si="42"/>
        <v>0.02</v>
      </c>
      <c r="Y103">
        <f t="shared" si="42"/>
        <v>0.02</v>
      </c>
      <c r="Z103">
        <f t="shared" si="42"/>
        <v>0.02</v>
      </c>
      <c r="AA103">
        <f t="shared" si="42"/>
        <v>0.02</v>
      </c>
      <c r="AB103">
        <f t="shared" si="42"/>
        <v>0.02</v>
      </c>
      <c r="AC103">
        <f t="shared" si="42"/>
        <v>0.02</v>
      </c>
    </row>
    <row r="104" spans="1:29" x14ac:dyDescent="0.25">
      <c r="A104" t="s">
        <v>599</v>
      </c>
      <c r="C104">
        <v>0</v>
      </c>
      <c r="D104">
        <f t="shared" ref="D104:AC104" si="43">IF(D47="",$B47,D47)</f>
        <v>1.9E-2</v>
      </c>
      <c r="E104">
        <f t="shared" si="43"/>
        <v>1.9E-2</v>
      </c>
      <c r="F104">
        <f t="shared" si="43"/>
        <v>1.9E-2</v>
      </c>
      <c r="G104">
        <f t="shared" si="43"/>
        <v>1.9E-2</v>
      </c>
      <c r="H104">
        <f t="shared" si="43"/>
        <v>1.9E-2</v>
      </c>
      <c r="I104">
        <f t="shared" si="43"/>
        <v>1.9E-2</v>
      </c>
      <c r="J104">
        <f t="shared" si="43"/>
        <v>1.9E-2</v>
      </c>
      <c r="K104">
        <f t="shared" si="43"/>
        <v>1.9E-2</v>
      </c>
      <c r="L104">
        <f t="shared" si="43"/>
        <v>1.9E-2</v>
      </c>
      <c r="M104">
        <f t="shared" si="43"/>
        <v>1.9E-2</v>
      </c>
      <c r="N104">
        <f t="shared" si="43"/>
        <v>1.9E-2</v>
      </c>
      <c r="O104">
        <f t="shared" si="43"/>
        <v>1.9E-2</v>
      </c>
      <c r="P104">
        <f t="shared" si="43"/>
        <v>1.9E-2</v>
      </c>
      <c r="Q104">
        <f t="shared" si="43"/>
        <v>1.9E-2</v>
      </c>
      <c r="R104">
        <f t="shared" si="43"/>
        <v>1.9E-2</v>
      </c>
      <c r="S104">
        <f t="shared" si="43"/>
        <v>1.9E-2</v>
      </c>
      <c r="T104">
        <f t="shared" si="43"/>
        <v>1.9E-2</v>
      </c>
      <c r="U104">
        <f t="shared" si="43"/>
        <v>1.9E-2</v>
      </c>
      <c r="V104">
        <f t="shared" si="43"/>
        <v>1.9E-2</v>
      </c>
      <c r="W104">
        <f t="shared" si="43"/>
        <v>1.9E-2</v>
      </c>
      <c r="X104">
        <f t="shared" si="43"/>
        <v>1.9E-2</v>
      </c>
      <c r="Y104">
        <f t="shared" si="43"/>
        <v>1.9E-2</v>
      </c>
      <c r="Z104">
        <f t="shared" si="43"/>
        <v>1.9E-2</v>
      </c>
      <c r="AA104">
        <f t="shared" si="43"/>
        <v>1.9E-2</v>
      </c>
      <c r="AB104">
        <f t="shared" si="43"/>
        <v>1.9E-2</v>
      </c>
      <c r="AC104">
        <f t="shared" si="43"/>
        <v>1.9E-2</v>
      </c>
    </row>
    <row r="105" spans="1:29" x14ac:dyDescent="0.25">
      <c r="A105" t="s">
        <v>615</v>
      </c>
      <c r="C105">
        <v>0</v>
      </c>
      <c r="D105">
        <f t="shared" ref="D105:AC105" si="44">IF(D48="",$B48,D48)</f>
        <v>2.229329587339228E-2</v>
      </c>
      <c r="E105">
        <f t="shared" si="44"/>
        <v>2.229329587339228E-2</v>
      </c>
      <c r="F105">
        <f t="shared" si="44"/>
        <v>2.229329587339228E-2</v>
      </c>
      <c r="G105">
        <f t="shared" si="44"/>
        <v>2.229329587339228E-2</v>
      </c>
      <c r="H105">
        <f t="shared" si="44"/>
        <v>2.229329587339228E-2</v>
      </c>
      <c r="I105">
        <f t="shared" si="44"/>
        <v>2.229329587339228E-2</v>
      </c>
      <c r="J105">
        <f t="shared" si="44"/>
        <v>2.229329587339228E-2</v>
      </c>
      <c r="K105">
        <f t="shared" si="44"/>
        <v>2.229329587339228E-2</v>
      </c>
      <c r="L105">
        <f t="shared" si="44"/>
        <v>2.229329587339228E-2</v>
      </c>
      <c r="M105">
        <f t="shared" si="44"/>
        <v>2.229329587339228E-2</v>
      </c>
      <c r="N105">
        <f t="shared" si="44"/>
        <v>2.229329587339228E-2</v>
      </c>
      <c r="O105">
        <f t="shared" si="44"/>
        <v>2.229329587339228E-2</v>
      </c>
      <c r="P105">
        <f t="shared" si="44"/>
        <v>2.229329587339228E-2</v>
      </c>
      <c r="Q105">
        <f t="shared" si="44"/>
        <v>2.229329587339228E-2</v>
      </c>
      <c r="R105">
        <f t="shared" si="44"/>
        <v>2.229329587339228E-2</v>
      </c>
      <c r="S105">
        <f t="shared" si="44"/>
        <v>2.229329587339228E-2</v>
      </c>
      <c r="T105">
        <f t="shared" si="44"/>
        <v>2.229329587339228E-2</v>
      </c>
      <c r="U105">
        <f t="shared" si="44"/>
        <v>2.229329587339228E-2</v>
      </c>
      <c r="V105">
        <f t="shared" si="44"/>
        <v>2.229329587339228E-2</v>
      </c>
      <c r="W105">
        <f t="shared" si="44"/>
        <v>2.229329587339228E-2</v>
      </c>
      <c r="X105">
        <f t="shared" si="44"/>
        <v>2.229329587339228E-2</v>
      </c>
      <c r="Y105">
        <f t="shared" si="44"/>
        <v>2.229329587339228E-2</v>
      </c>
      <c r="Z105">
        <f t="shared" si="44"/>
        <v>2.229329587339228E-2</v>
      </c>
      <c r="AA105">
        <f t="shared" si="44"/>
        <v>2.229329587339228E-2</v>
      </c>
      <c r="AB105">
        <f t="shared" si="44"/>
        <v>2.229329587339228E-2</v>
      </c>
      <c r="AC105">
        <f t="shared" si="44"/>
        <v>2.229329587339228E-2</v>
      </c>
    </row>
    <row r="106" spans="1:29" x14ac:dyDescent="0.25">
      <c r="A106" t="s">
        <v>602</v>
      </c>
      <c r="C106">
        <v>0</v>
      </c>
      <c r="D106">
        <f t="shared" ref="D106:AC106" si="45">IF(D49="",$B49,D49)</f>
        <v>2.3824568611339355E-2</v>
      </c>
      <c r="E106">
        <f t="shared" si="45"/>
        <v>2.3824568611339355E-2</v>
      </c>
      <c r="F106">
        <f t="shared" si="45"/>
        <v>2.3824568611339355E-2</v>
      </c>
      <c r="G106">
        <f t="shared" si="45"/>
        <v>2.3824568611339355E-2</v>
      </c>
      <c r="H106">
        <f t="shared" si="45"/>
        <v>2.3824568611339355E-2</v>
      </c>
      <c r="I106">
        <f t="shared" si="45"/>
        <v>2.3824568611339355E-2</v>
      </c>
      <c r="J106">
        <f t="shared" si="45"/>
        <v>2.3824568611339355E-2</v>
      </c>
      <c r="K106">
        <f t="shared" si="45"/>
        <v>2.3824568611339355E-2</v>
      </c>
      <c r="L106">
        <f t="shared" si="45"/>
        <v>2.3824568611339355E-2</v>
      </c>
      <c r="M106">
        <f t="shared" si="45"/>
        <v>2.3824568611339355E-2</v>
      </c>
      <c r="N106">
        <f t="shared" si="45"/>
        <v>2.3824568611339355E-2</v>
      </c>
      <c r="O106">
        <f t="shared" si="45"/>
        <v>2.3824568611339355E-2</v>
      </c>
      <c r="P106">
        <f t="shared" si="45"/>
        <v>2.3824568611339355E-2</v>
      </c>
      <c r="Q106">
        <f t="shared" si="45"/>
        <v>2.3824568611339355E-2</v>
      </c>
      <c r="R106">
        <f t="shared" si="45"/>
        <v>2.3824568611339355E-2</v>
      </c>
      <c r="S106">
        <f t="shared" si="45"/>
        <v>2.3824568611339355E-2</v>
      </c>
      <c r="T106">
        <f t="shared" si="45"/>
        <v>2.3824568611339355E-2</v>
      </c>
      <c r="U106">
        <f t="shared" si="45"/>
        <v>2.3824568611339355E-2</v>
      </c>
      <c r="V106">
        <f t="shared" si="45"/>
        <v>2.3824568611339355E-2</v>
      </c>
      <c r="W106">
        <f t="shared" si="45"/>
        <v>2.3824568611339355E-2</v>
      </c>
      <c r="X106">
        <f t="shared" si="45"/>
        <v>2.3824568611339355E-2</v>
      </c>
      <c r="Y106">
        <f t="shared" si="45"/>
        <v>2.3824568611339355E-2</v>
      </c>
      <c r="Z106">
        <f t="shared" si="45"/>
        <v>2.3824568611339355E-2</v>
      </c>
      <c r="AA106">
        <f t="shared" si="45"/>
        <v>2.3824568611339355E-2</v>
      </c>
      <c r="AB106">
        <f t="shared" si="45"/>
        <v>2.3824568611339355E-2</v>
      </c>
      <c r="AC106">
        <f t="shared" si="45"/>
        <v>2.3824568611339355E-2</v>
      </c>
    </row>
    <row r="107" spans="1:29" x14ac:dyDescent="0.25">
      <c r="A107" t="s">
        <v>934</v>
      </c>
      <c r="C107">
        <v>0</v>
      </c>
      <c r="D107">
        <f t="shared" ref="D107:AC107" si="46">IF(D50="",$B50,D50)</f>
        <v>5.0652135576482191E-3</v>
      </c>
      <c r="E107">
        <f t="shared" si="46"/>
        <v>5.0652135576482191E-3</v>
      </c>
      <c r="F107">
        <f t="shared" si="46"/>
        <v>5.0652135576482191E-3</v>
      </c>
      <c r="G107">
        <f t="shared" si="46"/>
        <v>5.0652135576482191E-3</v>
      </c>
      <c r="H107">
        <f t="shared" si="46"/>
        <v>5.0652135576482191E-3</v>
      </c>
      <c r="I107">
        <f t="shared" si="46"/>
        <v>5.0652135576482191E-3</v>
      </c>
      <c r="J107">
        <f t="shared" si="46"/>
        <v>5.0652135576482191E-3</v>
      </c>
      <c r="K107">
        <f t="shared" si="46"/>
        <v>5.0652135576482191E-3</v>
      </c>
      <c r="L107">
        <f t="shared" si="46"/>
        <v>5.0652135576482191E-3</v>
      </c>
      <c r="M107">
        <f t="shared" si="46"/>
        <v>5.0652135576482191E-3</v>
      </c>
      <c r="N107">
        <f t="shared" si="46"/>
        <v>5.0652135576482191E-3</v>
      </c>
      <c r="O107">
        <f t="shared" si="46"/>
        <v>5.0652135576482191E-3</v>
      </c>
      <c r="P107">
        <f t="shared" si="46"/>
        <v>5.0652135576482191E-3</v>
      </c>
      <c r="Q107">
        <f t="shared" si="46"/>
        <v>5.0652135576482191E-3</v>
      </c>
      <c r="R107">
        <f t="shared" si="46"/>
        <v>5.0652135576482191E-3</v>
      </c>
      <c r="S107">
        <f t="shared" si="46"/>
        <v>5.0652135576482191E-3</v>
      </c>
      <c r="T107">
        <f t="shared" si="46"/>
        <v>5.0652135576482191E-3</v>
      </c>
      <c r="U107">
        <f t="shared" si="46"/>
        <v>5.0652135576482191E-3</v>
      </c>
      <c r="V107">
        <f t="shared" si="46"/>
        <v>5.0652135576482191E-3</v>
      </c>
      <c r="W107">
        <f t="shared" si="46"/>
        <v>5.0652135576482191E-3</v>
      </c>
      <c r="X107">
        <f t="shared" si="46"/>
        <v>5.0652135576482191E-3</v>
      </c>
      <c r="Y107">
        <f t="shared" si="46"/>
        <v>5.0652135576482191E-3</v>
      </c>
      <c r="Z107">
        <f t="shared" si="46"/>
        <v>5.0652135576482191E-3</v>
      </c>
      <c r="AA107">
        <f t="shared" si="46"/>
        <v>5.0652135576482191E-3</v>
      </c>
      <c r="AB107">
        <f t="shared" si="46"/>
        <v>5.0652135576482191E-3</v>
      </c>
      <c r="AC107">
        <f t="shared" si="46"/>
        <v>5.0652135576482191E-3</v>
      </c>
    </row>
    <row r="108" spans="1:29" x14ac:dyDescent="0.25">
      <c r="A108" t="s">
        <v>692</v>
      </c>
      <c r="C108">
        <v>0</v>
      </c>
      <c r="D108">
        <f t="shared" ref="D108:AC108" si="47">IF(D51="",$B51,D51)</f>
        <v>4.7258152010125967E-3</v>
      </c>
      <c r="E108">
        <f t="shared" si="47"/>
        <v>4.7258152010125967E-3</v>
      </c>
      <c r="F108">
        <f t="shared" si="47"/>
        <v>4.7258152010125967E-3</v>
      </c>
      <c r="G108">
        <f t="shared" si="47"/>
        <v>4.7258152010125967E-3</v>
      </c>
      <c r="H108">
        <f t="shared" si="47"/>
        <v>4.7258152010125967E-3</v>
      </c>
      <c r="I108">
        <f t="shared" si="47"/>
        <v>4.7258152010125967E-3</v>
      </c>
      <c r="J108">
        <f t="shared" si="47"/>
        <v>4.7258152010125967E-3</v>
      </c>
      <c r="K108">
        <f t="shared" si="47"/>
        <v>4.7258152010125967E-3</v>
      </c>
      <c r="L108">
        <f t="shared" si="47"/>
        <v>4.7258152010125967E-3</v>
      </c>
      <c r="M108">
        <f t="shared" si="47"/>
        <v>4.7258152010125967E-3</v>
      </c>
      <c r="N108">
        <f t="shared" si="47"/>
        <v>4.7258152010125967E-3</v>
      </c>
      <c r="O108">
        <f t="shared" si="47"/>
        <v>4.7258152010125967E-3</v>
      </c>
      <c r="P108">
        <f t="shared" si="47"/>
        <v>4.7258152010125967E-3</v>
      </c>
      <c r="Q108">
        <f t="shared" si="47"/>
        <v>4.7258152010125967E-3</v>
      </c>
      <c r="R108">
        <f t="shared" si="47"/>
        <v>4.7258152010125967E-3</v>
      </c>
      <c r="S108">
        <f t="shared" si="47"/>
        <v>4.7258152010125967E-3</v>
      </c>
      <c r="T108">
        <f t="shared" si="47"/>
        <v>4.7258152010125967E-3</v>
      </c>
      <c r="U108">
        <f t="shared" si="47"/>
        <v>4.7258152010125967E-3</v>
      </c>
      <c r="V108">
        <f t="shared" si="47"/>
        <v>4.7258152010125967E-3</v>
      </c>
      <c r="W108">
        <f t="shared" si="47"/>
        <v>4.7258152010125967E-3</v>
      </c>
      <c r="X108">
        <f t="shared" si="47"/>
        <v>4.7258152010125967E-3</v>
      </c>
      <c r="Y108">
        <f t="shared" si="47"/>
        <v>4.7258152010125967E-3</v>
      </c>
      <c r="Z108">
        <f t="shared" si="47"/>
        <v>4.7258152010125967E-3</v>
      </c>
      <c r="AA108">
        <f t="shared" si="47"/>
        <v>4.7258152010125967E-3</v>
      </c>
      <c r="AB108">
        <f t="shared" si="47"/>
        <v>4.7258152010125967E-3</v>
      </c>
      <c r="AC108">
        <f t="shared" si="47"/>
        <v>4.7258152010125967E-3</v>
      </c>
    </row>
    <row r="109" spans="1:29" x14ac:dyDescent="0.25">
      <c r="A109" t="s">
        <v>747</v>
      </c>
      <c r="C109">
        <v>0</v>
      </c>
      <c r="D109">
        <f t="shared" ref="D109:AC109" si="48">IF(D52="",$B52,D52)</f>
        <v>2.7703373647358368E-2</v>
      </c>
      <c r="E109">
        <f t="shared" si="48"/>
        <v>2.7703373647358368E-2</v>
      </c>
      <c r="F109">
        <f t="shared" si="48"/>
        <v>2.7703373647358368E-2</v>
      </c>
      <c r="G109">
        <f t="shared" si="48"/>
        <v>2.7703373647358368E-2</v>
      </c>
      <c r="H109">
        <f t="shared" si="48"/>
        <v>2.7703373647358368E-2</v>
      </c>
      <c r="I109">
        <f t="shared" si="48"/>
        <v>2.7703373647358368E-2</v>
      </c>
      <c r="J109">
        <f t="shared" si="48"/>
        <v>2.7703373647358368E-2</v>
      </c>
      <c r="K109">
        <f t="shared" si="48"/>
        <v>2.7703373647358368E-2</v>
      </c>
      <c r="L109">
        <f t="shared" si="48"/>
        <v>2.7703373647358368E-2</v>
      </c>
      <c r="M109">
        <f t="shared" si="48"/>
        <v>2.7703373647358368E-2</v>
      </c>
      <c r="N109">
        <f t="shared" si="48"/>
        <v>2.7703373647358368E-2</v>
      </c>
      <c r="O109">
        <f t="shared" si="48"/>
        <v>2.7703373647358368E-2</v>
      </c>
      <c r="P109">
        <f t="shared" si="48"/>
        <v>2.7703373647358368E-2</v>
      </c>
      <c r="Q109">
        <f t="shared" si="48"/>
        <v>2.7703373647358368E-2</v>
      </c>
      <c r="R109">
        <f t="shared" si="48"/>
        <v>2.7703373647358368E-2</v>
      </c>
      <c r="S109">
        <f t="shared" si="48"/>
        <v>2.7703373647358368E-2</v>
      </c>
      <c r="T109">
        <f t="shared" si="48"/>
        <v>2.7703373647358368E-2</v>
      </c>
      <c r="U109">
        <f t="shared" si="48"/>
        <v>2.7703373647358368E-2</v>
      </c>
      <c r="V109">
        <f t="shared" si="48"/>
        <v>2.7703373647358368E-2</v>
      </c>
      <c r="W109">
        <f t="shared" si="48"/>
        <v>2.7703373647358368E-2</v>
      </c>
      <c r="X109">
        <f t="shared" si="48"/>
        <v>2.7703373647358368E-2</v>
      </c>
      <c r="Y109">
        <f t="shared" si="48"/>
        <v>2.7703373647358368E-2</v>
      </c>
      <c r="Z109">
        <f t="shared" si="48"/>
        <v>2.7703373647358368E-2</v>
      </c>
      <c r="AA109">
        <f t="shared" si="48"/>
        <v>2.7703373647358368E-2</v>
      </c>
      <c r="AB109">
        <f t="shared" si="48"/>
        <v>2.7703373647358368E-2</v>
      </c>
      <c r="AC109">
        <f t="shared" si="48"/>
        <v>2.7703373647358368E-2</v>
      </c>
    </row>
    <row r="110" spans="1:29" x14ac:dyDescent="0.25">
      <c r="A110" t="s">
        <v>832</v>
      </c>
      <c r="C110">
        <v>0</v>
      </c>
      <c r="D110">
        <f t="shared" ref="D110:AC110" si="49">IF(D53="",$B53,D53)</f>
        <v>2.2000000000000002E-2</v>
      </c>
      <c r="E110">
        <f t="shared" si="49"/>
        <v>2.2000000000000002E-2</v>
      </c>
      <c r="F110">
        <f t="shared" si="49"/>
        <v>2.2000000000000002E-2</v>
      </c>
      <c r="G110">
        <f t="shared" si="49"/>
        <v>2.2000000000000002E-2</v>
      </c>
      <c r="H110">
        <f t="shared" si="49"/>
        <v>2.2000000000000002E-2</v>
      </c>
      <c r="I110">
        <f t="shared" si="49"/>
        <v>2.2000000000000002E-2</v>
      </c>
      <c r="J110">
        <f t="shared" si="49"/>
        <v>2.2000000000000002E-2</v>
      </c>
      <c r="K110">
        <f t="shared" si="49"/>
        <v>2.2000000000000002E-2</v>
      </c>
      <c r="L110">
        <f t="shared" si="49"/>
        <v>2.2000000000000002E-2</v>
      </c>
      <c r="M110">
        <f t="shared" si="49"/>
        <v>2.2000000000000002E-2</v>
      </c>
      <c r="N110">
        <f t="shared" si="49"/>
        <v>2.2000000000000002E-2</v>
      </c>
      <c r="O110">
        <f t="shared" si="49"/>
        <v>2.2000000000000002E-2</v>
      </c>
      <c r="P110">
        <f t="shared" si="49"/>
        <v>2.2000000000000002E-2</v>
      </c>
      <c r="Q110">
        <f t="shared" si="49"/>
        <v>2.2000000000000002E-2</v>
      </c>
      <c r="R110">
        <f t="shared" si="49"/>
        <v>2.2000000000000002E-2</v>
      </c>
      <c r="S110">
        <f t="shared" si="49"/>
        <v>2.2000000000000002E-2</v>
      </c>
      <c r="T110">
        <f t="shared" si="49"/>
        <v>2.2000000000000002E-2</v>
      </c>
      <c r="U110">
        <f t="shared" si="49"/>
        <v>2.2000000000000002E-2</v>
      </c>
      <c r="V110">
        <f t="shared" si="49"/>
        <v>2.2000000000000002E-2</v>
      </c>
      <c r="W110">
        <f t="shared" si="49"/>
        <v>2.2000000000000002E-2</v>
      </c>
      <c r="X110">
        <f t="shared" si="49"/>
        <v>2.2000000000000002E-2</v>
      </c>
      <c r="Y110">
        <f t="shared" si="49"/>
        <v>2.2000000000000002E-2</v>
      </c>
      <c r="Z110">
        <f t="shared" si="49"/>
        <v>2.2000000000000002E-2</v>
      </c>
      <c r="AA110">
        <f t="shared" si="49"/>
        <v>2.2000000000000002E-2</v>
      </c>
      <c r="AB110">
        <f t="shared" si="49"/>
        <v>2.2000000000000002E-2</v>
      </c>
      <c r="AC110">
        <f t="shared" si="49"/>
        <v>2.2000000000000002E-2</v>
      </c>
    </row>
    <row r="111" spans="1:29" x14ac:dyDescent="0.25">
      <c r="A111" t="s">
        <v>896</v>
      </c>
      <c r="C111">
        <v>0</v>
      </c>
      <c r="D111">
        <f t="shared" ref="D111:AC111" si="50">IF(D54="",$B54,D54)</f>
        <v>2.1070752718542581E-2</v>
      </c>
      <c r="E111">
        <f t="shared" si="50"/>
        <v>2.1070752718542581E-2</v>
      </c>
      <c r="F111">
        <f t="shared" si="50"/>
        <v>2.1070752718542581E-2</v>
      </c>
      <c r="G111">
        <f t="shared" si="50"/>
        <v>2.1070752718542581E-2</v>
      </c>
      <c r="H111">
        <f t="shared" si="50"/>
        <v>2.1070752718542581E-2</v>
      </c>
      <c r="I111">
        <f t="shared" si="50"/>
        <v>2.1070752718542581E-2</v>
      </c>
      <c r="J111">
        <f t="shared" si="50"/>
        <v>2.1070752718542581E-2</v>
      </c>
      <c r="K111">
        <f t="shared" si="50"/>
        <v>2.1070752718542581E-2</v>
      </c>
      <c r="L111">
        <f t="shared" si="50"/>
        <v>2.1070752718542581E-2</v>
      </c>
      <c r="M111">
        <f t="shared" si="50"/>
        <v>2.1070752718542581E-2</v>
      </c>
      <c r="N111">
        <f t="shared" si="50"/>
        <v>2.1070752718542581E-2</v>
      </c>
      <c r="O111">
        <f t="shared" si="50"/>
        <v>2.1070752718542581E-2</v>
      </c>
      <c r="P111">
        <f t="shared" si="50"/>
        <v>2.1070752718542581E-2</v>
      </c>
      <c r="Q111">
        <f t="shared" si="50"/>
        <v>2.1070752718542581E-2</v>
      </c>
      <c r="R111">
        <f t="shared" si="50"/>
        <v>2.1070752718542581E-2</v>
      </c>
      <c r="S111">
        <f t="shared" si="50"/>
        <v>2.1070752718542581E-2</v>
      </c>
      <c r="T111">
        <f t="shared" si="50"/>
        <v>2.1070752718542581E-2</v>
      </c>
      <c r="U111">
        <f t="shared" si="50"/>
        <v>2.1070752718542581E-2</v>
      </c>
      <c r="V111">
        <f t="shared" si="50"/>
        <v>2.1070752718542581E-2</v>
      </c>
      <c r="W111">
        <f t="shared" si="50"/>
        <v>2.1070752718542581E-2</v>
      </c>
      <c r="X111">
        <f t="shared" si="50"/>
        <v>2.1070752718542581E-2</v>
      </c>
      <c r="Y111">
        <f t="shared" si="50"/>
        <v>2.1070752718542581E-2</v>
      </c>
      <c r="Z111">
        <f t="shared" si="50"/>
        <v>2.1070752718542581E-2</v>
      </c>
      <c r="AA111">
        <f t="shared" si="50"/>
        <v>2.1070752718542581E-2</v>
      </c>
      <c r="AB111">
        <f t="shared" si="50"/>
        <v>2.1070752718542581E-2</v>
      </c>
      <c r="AC111">
        <f t="shared" si="50"/>
        <v>2.1070752718542581E-2</v>
      </c>
    </row>
    <row r="112" spans="1:29" x14ac:dyDescent="0.25">
      <c r="A112" t="s">
        <v>929</v>
      </c>
      <c r="C112">
        <v>0</v>
      </c>
      <c r="D112">
        <f t="shared" ref="D112:AC112" si="51">IF(D55="",$B55,D55)</f>
        <v>1.8000000000000002E-2</v>
      </c>
      <c r="E112">
        <f t="shared" si="51"/>
        <v>1.8000000000000002E-2</v>
      </c>
      <c r="F112">
        <f t="shared" si="51"/>
        <v>1.8000000000000002E-2</v>
      </c>
      <c r="G112">
        <f t="shared" si="51"/>
        <v>1.8000000000000002E-2</v>
      </c>
      <c r="H112">
        <f t="shared" si="51"/>
        <v>1.8000000000000002E-2</v>
      </c>
      <c r="I112">
        <f t="shared" si="51"/>
        <v>1.8000000000000002E-2</v>
      </c>
      <c r="J112">
        <f t="shared" si="51"/>
        <v>1.8000000000000002E-2</v>
      </c>
      <c r="K112">
        <f t="shared" si="51"/>
        <v>1.8000000000000002E-2</v>
      </c>
      <c r="L112">
        <f t="shared" si="51"/>
        <v>1.8000000000000002E-2</v>
      </c>
      <c r="M112">
        <f t="shared" si="51"/>
        <v>1.8000000000000002E-2</v>
      </c>
      <c r="N112">
        <f t="shared" si="51"/>
        <v>1.8000000000000002E-2</v>
      </c>
      <c r="O112">
        <f t="shared" si="51"/>
        <v>1.8000000000000002E-2</v>
      </c>
      <c r="P112">
        <f t="shared" si="51"/>
        <v>1.8000000000000002E-2</v>
      </c>
      <c r="Q112">
        <f t="shared" si="51"/>
        <v>1.8000000000000002E-2</v>
      </c>
      <c r="R112">
        <f t="shared" si="51"/>
        <v>1.8000000000000002E-2</v>
      </c>
      <c r="S112">
        <f t="shared" si="51"/>
        <v>1.8000000000000002E-2</v>
      </c>
      <c r="T112">
        <f t="shared" si="51"/>
        <v>1.8000000000000002E-2</v>
      </c>
      <c r="U112">
        <f t="shared" si="51"/>
        <v>1.8000000000000002E-2</v>
      </c>
      <c r="V112">
        <f t="shared" si="51"/>
        <v>1.8000000000000002E-2</v>
      </c>
      <c r="W112">
        <f t="shared" si="51"/>
        <v>1.8000000000000002E-2</v>
      </c>
      <c r="X112">
        <f t="shared" si="51"/>
        <v>1.8000000000000002E-2</v>
      </c>
      <c r="Y112">
        <f t="shared" si="51"/>
        <v>1.8000000000000002E-2</v>
      </c>
      <c r="Z112">
        <f t="shared" si="51"/>
        <v>1.8000000000000002E-2</v>
      </c>
      <c r="AA112">
        <f t="shared" si="51"/>
        <v>1.8000000000000002E-2</v>
      </c>
      <c r="AB112">
        <f t="shared" si="51"/>
        <v>1.8000000000000002E-2</v>
      </c>
      <c r="AC112">
        <f t="shared" si="51"/>
        <v>1.8000000000000002E-2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72"/>
  <sheetViews>
    <sheetView workbookViewId="0"/>
  </sheetViews>
  <sheetFormatPr defaultRowHeight="15" x14ac:dyDescent="0.25"/>
  <sheetData>
    <row r="1" spans="1:29" x14ac:dyDescent="0.25">
      <c r="A1" s="1" t="s">
        <v>1222</v>
      </c>
    </row>
    <row r="3" spans="1:29" x14ac:dyDescent="0.25">
      <c r="C3" s="1">
        <v>2024</v>
      </c>
      <c r="D3" s="1">
        <v>2025</v>
      </c>
      <c r="E3" s="1">
        <v>2026</v>
      </c>
      <c r="F3" s="1">
        <v>2027</v>
      </c>
      <c r="G3" s="1">
        <v>2028</v>
      </c>
      <c r="H3" s="1">
        <v>2029</v>
      </c>
      <c r="I3" s="1">
        <v>2030</v>
      </c>
      <c r="J3" s="1">
        <v>2031</v>
      </c>
      <c r="K3" s="1">
        <v>2032</v>
      </c>
      <c r="L3" s="1">
        <v>2033</v>
      </c>
      <c r="M3" s="1">
        <v>2034</v>
      </c>
      <c r="N3" s="1">
        <v>2035</v>
      </c>
      <c r="O3" s="1">
        <v>2036</v>
      </c>
      <c r="P3" s="1">
        <v>2037</v>
      </c>
      <c r="Q3" s="1">
        <v>2038</v>
      </c>
      <c r="R3" s="1">
        <v>2039</v>
      </c>
      <c r="S3" s="1">
        <v>2040</v>
      </c>
      <c r="T3" s="1">
        <v>2041</v>
      </c>
      <c r="U3" s="1">
        <v>2042</v>
      </c>
      <c r="V3" s="1">
        <v>2043</v>
      </c>
      <c r="W3" s="1">
        <v>2044</v>
      </c>
      <c r="X3" s="1">
        <v>2045</v>
      </c>
      <c r="Y3" s="1">
        <v>2046</v>
      </c>
      <c r="Z3" s="1">
        <v>2047</v>
      </c>
      <c r="AA3" s="1">
        <v>2048</v>
      </c>
      <c r="AB3" s="1">
        <v>2049</v>
      </c>
      <c r="AC3" s="1">
        <v>2050</v>
      </c>
    </row>
    <row r="4" spans="1:29" x14ac:dyDescent="0.25">
      <c r="A4" s="1" t="s">
        <v>1223</v>
      </c>
      <c r="C4">
        <f>SUM(C$9:C$60)</f>
        <v>21443693900000</v>
      </c>
      <c r="D4">
        <f>$C$4*INDEX('GDP Forecast'!B:B,MATCH(2025,'GDP Forecast'!A:A,0))/INDEX('GDP Forecast'!B:B,MATCH(2024,'GDP Forecast'!A:A,0))</f>
        <v>21825493791390.945</v>
      </c>
      <c r="E4">
        <f>$C$4*INDEX('GDP Forecast'!B:B,MATCH(2026,'GDP Forecast'!A:A,0))/INDEX('GDP Forecast'!B:B,MATCH(2024,'GDP Forecast'!A:A,0))</f>
        <v>22402493627254.16</v>
      </c>
      <c r="F4">
        <f>$C$4*INDEX('GDP Forecast'!B:B,MATCH(2027,'GDP Forecast'!A:A,0))/INDEX('GDP Forecast'!B:B,MATCH(2024,'GDP Forecast'!A:A,0))</f>
        <v>22823193507579.383</v>
      </c>
      <c r="G4">
        <f>$C$4*INDEX('GDP Forecast'!B:B,MATCH(2028,'GDP Forecast'!A:A,0))/INDEX('GDP Forecast'!B:B,MATCH(2024,'GDP Forecast'!A:A,0))</f>
        <v>23114693424657.59</v>
      </c>
      <c r="H4">
        <f>$C$4*INDEX('GDP Forecast'!B:B,MATCH(2029,'GDP Forecast'!A:A,0))/INDEX('GDP Forecast'!B:B,MATCH(2024,'GDP Forecast'!A:A,0))</f>
        <v>23470593323416.199</v>
      </c>
      <c r="I4">
        <f>$C$4*INDEX('GDP Forecast'!B:B,MATCH(2030,'GDP Forecast'!A:A,0))/INDEX('GDP Forecast'!B:B,MATCH(2024,'GDP Forecast'!A:A,0))</f>
        <v>23881593206500.742</v>
      </c>
      <c r="J4">
        <f>$C$4*INDEX('GDP Forecast'!B:B,MATCH(2031,'GDP Forecast'!A:A,0))/INDEX('GDP Forecast'!B:B,MATCH(2024,'GDP Forecast'!A:A,0))</f>
        <v>24282793092373.051</v>
      </c>
      <c r="K4">
        <f>$C$4*INDEX('GDP Forecast'!B:B,MATCH(2032,'GDP Forecast'!A:A,0))/INDEX('GDP Forecast'!B:B,MATCH(2024,'GDP Forecast'!A:A,0))</f>
        <v>24738792962656.633</v>
      </c>
      <c r="L4">
        <f>$C$4*INDEX('GDP Forecast'!B:B,MATCH(2033,'GDP Forecast'!A:A,0))/INDEX('GDP Forecast'!B:B,MATCH(2024,'GDP Forecast'!A:A,0))</f>
        <v>25221192825430.313</v>
      </c>
      <c r="M4">
        <f>$C$4*INDEX('GDP Forecast'!B:B,MATCH(2034,'GDP Forecast'!A:A,0))/INDEX('GDP Forecast'!B:B,MATCH(2024,'GDP Forecast'!A:A,0))</f>
        <v>25733992679556.234</v>
      </c>
      <c r="N4">
        <f>$C$4*INDEX('GDP Forecast'!B:B,MATCH(2035,'GDP Forecast'!A:A,0))/INDEX('GDP Forecast'!B:B,MATCH(2024,'GDP Forecast'!A:A,0))</f>
        <v>26281792523725.848</v>
      </c>
      <c r="O4">
        <f>$C$4*INDEX('GDP Forecast'!B:B,MATCH(2036,'GDP Forecast'!A:A,0))/INDEX('GDP Forecast'!B:B,MATCH(2024,'GDP Forecast'!A:A,0))</f>
        <v>26744392392131.953</v>
      </c>
      <c r="P4">
        <f>$C$4*INDEX('GDP Forecast'!B:B,MATCH(2037,'GDP Forecast'!A:A,0))/INDEX('GDP Forecast'!B:B,MATCH(2024,'GDP Forecast'!A:A,0))</f>
        <v>27206592260651.848</v>
      </c>
      <c r="Q4">
        <f>$C$4*INDEX('GDP Forecast'!B:B,MATCH(2038,'GDP Forecast'!A:A,0))/INDEX('GDP Forecast'!B:B,MATCH(2024,'GDP Forecast'!A:A,0))</f>
        <v>27669992128830.379</v>
      </c>
      <c r="R4">
        <f>$C$4*INDEX('GDP Forecast'!B:B,MATCH(2039,'GDP Forecast'!A:A,0))/INDEX('GDP Forecast'!B:B,MATCH(2024,'GDP Forecast'!A:A,0))</f>
        <v>28125291999313.086</v>
      </c>
      <c r="S4">
        <f>$C$4*INDEX('GDP Forecast'!B:B,MATCH(2040,'GDP Forecast'!A:A,0))/INDEX('GDP Forecast'!B:B,MATCH(2024,'GDP Forecast'!A:A,0))</f>
        <v>28584291868743.27</v>
      </c>
      <c r="T4">
        <f>$C$4*INDEX('GDP Forecast'!B:B,MATCH(2041,'GDP Forecast'!A:A,0))/INDEX('GDP Forecast'!B:B,MATCH(2024,'GDP Forecast'!A:A,0))</f>
        <v>29029391742127.527</v>
      </c>
      <c r="U4">
        <f>$C$4*INDEX('GDP Forecast'!B:B,MATCH(2042,'GDP Forecast'!A:A,0))/INDEX('GDP Forecast'!B:B,MATCH(2024,'GDP Forecast'!A:A,0))</f>
        <v>29489891611131.012</v>
      </c>
      <c r="V4">
        <f>$C$4*INDEX('GDP Forecast'!B:B,MATCH(2043,'GDP Forecast'!A:A,0))/INDEX('GDP Forecast'!B:B,MATCH(2024,'GDP Forecast'!A:A,0))</f>
        <v>29963991476265.754</v>
      </c>
      <c r="W4">
        <f>$C$4*INDEX('GDP Forecast'!B:B,MATCH(2044,'GDP Forecast'!A:A,0))/INDEX('GDP Forecast'!B:B,MATCH(2024,'GDP Forecast'!A:A,0))</f>
        <v>30442791340063.516</v>
      </c>
      <c r="X4">
        <f>$C$4*INDEX('GDP Forecast'!B:B,MATCH(2045,'GDP Forecast'!A:A,0))/INDEX('GDP Forecast'!B:B,MATCH(2024,'GDP Forecast'!A:A,0))</f>
        <v>30924991202894.09</v>
      </c>
      <c r="Y4">
        <f>$C$4*INDEX('GDP Forecast'!B:B,MATCH(2046,'GDP Forecast'!A:A,0))/INDEX('GDP Forecast'!B:B,MATCH(2024,'GDP Forecast'!A:A,0))</f>
        <v>31395191069138.258</v>
      </c>
      <c r="Z4">
        <f>$C$4*INDEX('GDP Forecast'!B:B,MATCH(2047,'GDP Forecast'!A:A,0))/INDEX('GDP Forecast'!B:B,MATCH(2024,'GDP Forecast'!A:A,0))</f>
        <v>31846290940815.719</v>
      </c>
      <c r="AA4">
        <f>$C$4*INDEX('GDP Forecast'!B:B,MATCH(2048,'GDP Forecast'!A:A,0))/INDEX('GDP Forecast'!B:B,MATCH(2024,'GDP Forecast'!A:A,0))</f>
        <v>32295490813033.664</v>
      </c>
      <c r="AB4">
        <f>$C$4*INDEX('GDP Forecast'!B:B,MATCH(2049,'GDP Forecast'!A:A,0))/INDEX('GDP Forecast'!B:B,MATCH(2024,'GDP Forecast'!A:A,0))</f>
        <v>32734290688210.055</v>
      </c>
      <c r="AC4">
        <f>$C$4*INDEX('GDP Forecast'!B:B,MATCH(2050,'GDP Forecast'!A:A,0))/INDEX('GDP Forecast'!B:B,MATCH(2024,'GDP Forecast'!A:A,0))</f>
        <v>33186790559489.27</v>
      </c>
    </row>
    <row r="5" spans="1:29" x14ac:dyDescent="0.25">
      <c r="A5" s="1" t="s">
        <v>1224</v>
      </c>
      <c r="D5">
        <f>(D4-SUMPRODUCT(--($A$9:$A$60="AEO"),C$9:C$60,(1+'Growth Rates'!D$61:D$112))-SUMPRODUCT(--($A$9:$A$60=""),C$9:C$60))/SUMPRODUCT(--($A$9:$A$60=""),C$9:C$60,'Growth Rates'!D$61:D$112)</f>
        <v>0.91577978467249466</v>
      </c>
      <c r="E5">
        <f>(E4-SUMPRODUCT(--($A$9:$A$60="AEO"),D$9:D$60,(1+'Growth Rates'!E$61:E$112))-SUMPRODUCT(--($A$9:$A$60=""),D$9:D$60))/SUMPRODUCT(--($A$9:$A$60=""),D$9:D$60,'Growth Rates'!E$61:E$112)</f>
        <v>1.4787924840282662</v>
      </c>
      <c r="F5">
        <f>(F4-SUMPRODUCT(--($A$9:$A$60="AEO"),E$9:E$60,(1+'Growth Rates'!F$61:F$112))-SUMPRODUCT(--($A$9:$A$60=""),E$9:E$60))/SUMPRODUCT(--($A$9:$A$60=""),E$9:E$60,'Growth Rates'!F$61:F$112)</f>
        <v>0.96336027625814036</v>
      </c>
      <c r="G5">
        <f>(G4-SUMPRODUCT(--($A$9:$A$60="AEO"),F$9:F$60,(1+'Growth Rates'!G$61:G$112))-SUMPRODUCT(--($A$9:$A$60=""),F$9:F$60))/SUMPRODUCT(--($A$9:$A$60=""),F$9:F$60,'Growth Rates'!G$61:G$112)</f>
        <v>0.65311979078440141</v>
      </c>
      <c r="H5">
        <f>(H4-SUMPRODUCT(--($A$9:$A$60="AEO"),G$9:G$60,(1+'Growth Rates'!H$61:H$112))-SUMPRODUCT(--($A$9:$A$60=""),G$9:G$60))/SUMPRODUCT(--($A$9:$A$60=""),G$9:G$60,'Growth Rates'!H$61:H$112)</f>
        <v>0.77548600669044265</v>
      </c>
      <c r="I5">
        <f>(I4-SUMPRODUCT(--($A$9:$A$60="AEO"),H$9:H$60,(1+'Growth Rates'!I$61:I$112))-SUMPRODUCT(--($A$9:$A$60=""),H$9:H$60))/SUMPRODUCT(--($A$9:$A$60=""),H$9:H$60,'Growth Rates'!I$61:I$112)</f>
        <v>0.87346880730423238</v>
      </c>
      <c r="J5">
        <f>(J4-SUMPRODUCT(--($A$9:$A$60="AEO"),I$9:I$60,(1+'Growth Rates'!J$61:J$112))-SUMPRODUCT(--($A$9:$A$60=""),I$9:I$60))/SUMPRODUCT(--($A$9:$A$60=""),I$9:I$60,'Growth Rates'!J$61:J$112)</f>
        <v>0.8430297527728593</v>
      </c>
      <c r="K5">
        <f>(K4-SUMPRODUCT(--($A$9:$A$60="AEO"),J$9:J$60,(1+'Growth Rates'!K$61:K$112))-SUMPRODUCT(--($A$9:$A$60=""),J$9:J$60))/SUMPRODUCT(--($A$9:$A$60=""),J$9:J$60,'Growth Rates'!K$61:K$112)</f>
        <v>0.94304821807233064</v>
      </c>
      <c r="L5">
        <f>(L4-SUMPRODUCT(--($A$9:$A$60="AEO"),K$9:K$60,(1+'Growth Rates'!L$61:L$112))-SUMPRODUCT(--($A$9:$A$60=""),K$9:K$60))/SUMPRODUCT(--($A$9:$A$60=""),K$9:K$60,'Growth Rates'!L$61:L$112)</f>
        <v>1.003448357883026</v>
      </c>
      <c r="M5">
        <f>(M4-SUMPRODUCT(--($A$9:$A$60="AEO"),L$9:L$60,(1+'Growth Rates'!M$61:M$112))-SUMPRODUCT(--($A$9:$A$60=""),L$9:L$60))/SUMPRODUCT(--($A$9:$A$60=""),L$9:L$60,'Growth Rates'!M$61:M$112)</f>
        <v>1.0476996075439757</v>
      </c>
      <c r="N5">
        <f>(N4-SUMPRODUCT(--($A$9:$A$60="AEO"),M$9:M$60,(1+'Growth Rates'!N$61:N$112))-SUMPRODUCT(--($A$9:$A$60=""),M$9:M$60))/SUMPRODUCT(--($A$9:$A$60=""),M$9:M$60,'Growth Rates'!N$61:N$112)</f>
        <v>1.0870407030833431</v>
      </c>
      <c r="O5">
        <f>(O4-SUMPRODUCT(--($A$9:$A$60="AEO"),N$9:N$60,(1+'Growth Rates'!O$61:O$112))-SUMPRODUCT(--($A$9:$A$60=""),N$9:N$60))/SUMPRODUCT(--($A$9:$A$60=""),N$9:N$60,'Growth Rates'!O$61:O$112)</f>
        <v>0.88472846248081194</v>
      </c>
      <c r="P5">
        <f>(P4-SUMPRODUCT(--($A$9:$A$60="AEO"),O$9:O$60,(1+'Growth Rates'!P$61:P$112))-SUMPRODUCT(--($A$9:$A$60=""),O$9:O$60))/SUMPRODUCT(--($A$9:$A$60=""),O$9:O$60,'Growth Rates'!P$61:P$112)</f>
        <v>0.86216054796328889</v>
      </c>
      <c r="Q5">
        <f>(Q4-SUMPRODUCT(--($A$9:$A$60="AEO"),P$9:P$60,(1+'Growth Rates'!Q$61:Q$112))-SUMPRODUCT(--($A$9:$A$60=""),P$9:P$60))/SUMPRODUCT(--($A$9:$A$60=""),P$9:P$60,'Growth Rates'!Q$61:Q$112)</f>
        <v>0.85023972017746019</v>
      </c>
      <c r="R5">
        <f>(R4-SUMPRODUCT(--($A$9:$A$60="AEO"),Q$9:Q$60,(1+'Growth Rates'!R$61:R$112))-SUMPRODUCT(--($A$9:$A$60=""),Q$9:Q$60))/SUMPRODUCT(--($A$9:$A$60=""),Q$9:Q$60,'Growth Rates'!R$61:R$112)</f>
        <v>0.81945581767288467</v>
      </c>
      <c r="S5">
        <f>(S4-SUMPRODUCT(--($A$9:$A$60="AEO"),R$9:R$60,(1+'Growth Rates'!S$61:S$112))-SUMPRODUCT(--($A$9:$A$60=""),R$9:R$60))/SUMPRODUCT(--($A$9:$A$60=""),R$9:R$60,'Growth Rates'!S$61:S$112)</f>
        <v>0.80865884392490617</v>
      </c>
      <c r="T5">
        <f>(T4-SUMPRODUCT(--($A$9:$A$60="AEO"),S$9:S$60,(1+'Growth Rates'!T$61:T$112))-SUMPRODUCT(--($A$9:$A$60=""),S$9:S$60))/SUMPRODUCT(--($A$9:$A$60=""),S$9:S$60,'Growth Rates'!T$61:T$112)</f>
        <v>0.77123209645275881</v>
      </c>
      <c r="U5">
        <f>(U4-SUMPRODUCT(--($A$9:$A$60="AEO"),T$9:T$60,(1+'Growth Rates'!U$61:U$112))-SUMPRODUCT(--($A$9:$A$60=""),T$9:T$60))/SUMPRODUCT(--($A$9:$A$60=""),T$9:T$60,'Growth Rates'!U$61:U$112)</f>
        <v>0.77836878612708171</v>
      </c>
      <c r="V5">
        <f>(V4-SUMPRODUCT(--($A$9:$A$60="AEO"),U$9:U$60,(1+'Growth Rates'!V$61:V$112))-SUMPRODUCT(--($A$9:$A$60=""),U$9:U$60))/SUMPRODUCT(--($A$9:$A$60=""),U$9:U$60,'Growth Rates'!V$61:V$112)</f>
        <v>0.79567107176870222</v>
      </c>
      <c r="W5">
        <f>(W4-SUMPRODUCT(--($A$9:$A$60="AEO"),V$9:V$60,(1+'Growth Rates'!W$61:W$112))-SUMPRODUCT(--($A$9:$A$60=""),V$9:V$60))/SUMPRODUCT(--($A$9:$A$60=""),V$9:V$60,'Growth Rates'!W$61:W$112)</f>
        <v>0.78495768835269286</v>
      </c>
      <c r="X5">
        <f>(X4-SUMPRODUCT(--($A$9:$A$60="AEO"),W$9:W$60,(1+'Growth Rates'!X$61:X$112))-SUMPRODUCT(--($A$9:$A$60=""),W$9:W$60))/SUMPRODUCT(--($A$9:$A$60=""),W$9:W$60,'Growth Rates'!X$61:X$112)</f>
        <v>0.76029923866139726</v>
      </c>
      <c r="Y5">
        <f>(Y4-SUMPRODUCT(--($A$9:$A$60="AEO"),X$9:X$60,(1+'Growth Rates'!Y$61:Y$112))-SUMPRODUCT(--($A$9:$A$60=""),X$9:X$60))/SUMPRODUCT(--($A$9:$A$60=""),X$9:X$60,'Growth Rates'!Y$61:Y$112)</f>
        <v>0.72319739065866018</v>
      </c>
      <c r="Z5">
        <f>(Z4-SUMPRODUCT(--($A$9:$A$60="AEO"),Y$9:Y$60,(1+'Growth Rates'!Z$61:Z$112))-SUMPRODUCT(--($A$9:$A$60=""),Y$9:Y$60))/SUMPRODUCT(--($A$9:$A$60=""),Y$9:Y$60,'Growth Rates'!Z$61:Z$112)</f>
        <v>0.6808135035133126</v>
      </c>
      <c r="AA5">
        <f>(AA4-SUMPRODUCT(--($A$9:$A$60="AEO"),Z$9:Z$60,(1+'Growth Rates'!AA$61:AA$112))-SUMPRODUCT(--($A$9:$A$60=""),Z$9:Z$60))/SUMPRODUCT(--($A$9:$A$60=""),Z$9:Z$60,'Growth Rates'!AA$61:AA$112)</f>
        <v>0.67346111696888278</v>
      </c>
      <c r="AB5">
        <f>(AB4-SUMPRODUCT(--($A$9:$A$60="AEO"),AA$9:AA$60,(1+'Growth Rates'!AB$61:AB$112))-SUMPRODUCT(--($A$9:$A$60=""),AA$9:AA$60))/SUMPRODUCT(--($A$9:$A$60=""),AA$9:AA$60,'Growth Rates'!AB$61:AB$112)</f>
        <v>0.64026017800133572</v>
      </c>
      <c r="AC5">
        <f>(AC4-SUMPRODUCT(--($A$9:$A$60="AEO"),AB$9:AB$60,(1+'Growth Rates'!AC$61:AC$112))-SUMPRODUCT(--($A$9:$A$60=""),AB$9:AB$60))/SUMPRODUCT(--($A$9:$A$60=""),AB$9:AB$60,'Growth Rates'!AC$61:AC$112)</f>
        <v>0.65446869355555892</v>
      </c>
    </row>
    <row r="7" spans="1:29" x14ac:dyDescent="0.25">
      <c r="A7" s="1" t="s">
        <v>1225</v>
      </c>
    </row>
    <row r="8" spans="1:29" x14ac:dyDescent="0.25">
      <c r="A8" s="1" t="s">
        <v>1226</v>
      </c>
    </row>
    <row r="9" spans="1:29" x14ac:dyDescent="0.25">
      <c r="A9" t="s">
        <v>1227</v>
      </c>
      <c r="B9" t="s">
        <v>58</v>
      </c>
      <c r="C9">
        <f>'Data from BVAbIC'!B2</f>
        <v>179323977701.50699</v>
      </c>
      <c r="D9">
        <f>C9*(1+IF($A9="AEO",'Growth Rates'!D61,'Growth Rates'!D61*D$5))</f>
        <v>161526710884.68475</v>
      </c>
      <c r="E9">
        <f>D9*(1+IF($A9="AEO",'Growth Rates'!E61,'Growth Rates'!E61*E$5))</f>
        <v>161917955322.00314</v>
      </c>
      <c r="F9">
        <f>E9*(1+IF($A9="AEO",'Growth Rates'!F61,'Growth Rates'!F61*F$5))</f>
        <v>164197597697.02249</v>
      </c>
      <c r="G9">
        <f>F9*(1+IF($A9="AEO",'Growth Rates'!G61,'Growth Rates'!G61*G$5))</f>
        <v>167486775242.49725</v>
      </c>
      <c r="H9">
        <f>G9*(1+IF($A9="AEO",'Growth Rates'!H61,'Growth Rates'!H61*H$5))</f>
        <v>169698390357.81174</v>
      </c>
      <c r="I9">
        <f>H9*(1+IF($A9="AEO",'Growth Rates'!I61,'Growth Rates'!I61*I$5))</f>
        <v>171871401136.44348</v>
      </c>
      <c r="J9">
        <f>I9*(1+IF($A9="AEO",'Growth Rates'!J61,'Growth Rates'!J61*J$5))</f>
        <v>174007736846.7334</v>
      </c>
      <c r="K9">
        <f>J9*(1+IF($A9="AEO",'Growth Rates'!K61,'Growth Rates'!K61*K$5))</f>
        <v>176182138748.64706</v>
      </c>
      <c r="L9">
        <f>K9*(1+IF($A9="AEO",'Growth Rates'!L61,'Growth Rates'!L61*L$5))</f>
        <v>177369339664.8725</v>
      </c>
      <c r="M9">
        <f>L9*(1+IF($A9="AEO",'Growth Rates'!M61,'Growth Rates'!M61*M$5))</f>
        <v>179704761091.4281</v>
      </c>
      <c r="N9">
        <f>M9*(1+IF($A9="AEO",'Growth Rates'!N61,'Growth Rates'!N61*N$5))</f>
        <v>182283265669.6842</v>
      </c>
      <c r="O9">
        <f>N9*(1+IF($A9="AEO",'Growth Rates'!O61,'Growth Rates'!O61*O$5))</f>
        <v>184859230948.7439</v>
      </c>
      <c r="P9">
        <f>O9*(1+IF($A9="AEO",'Growth Rates'!P61,'Growth Rates'!P61*P$5))</f>
        <v>187359978058.8277</v>
      </c>
      <c r="Q9">
        <f>P9*(1+IF($A9="AEO",'Growth Rates'!Q61,'Growth Rates'!Q61*Q$5))</f>
        <v>190005799358.94009</v>
      </c>
      <c r="R9">
        <f>Q9*(1+IF($A9="AEO",'Growth Rates'!R61,'Growth Rates'!R61*R$5))</f>
        <v>192735471446.88242</v>
      </c>
      <c r="S9">
        <f>R9*(1+IF($A9="AEO",'Growth Rates'!S61,'Growth Rates'!S61*S$5))</f>
        <v>195047370576.2027</v>
      </c>
      <c r="T9">
        <f>S9*(1+IF($A9="AEO",'Growth Rates'!T61,'Growth Rates'!T61*T$5))</f>
        <v>197238713564.1315</v>
      </c>
      <c r="U9">
        <f>T9*(1+IF($A9="AEO",'Growth Rates'!U61,'Growth Rates'!U61*U$5))</f>
        <v>199681142656.28729</v>
      </c>
      <c r="V9">
        <f>U9*(1+IF($A9="AEO",'Growth Rates'!V61,'Growth Rates'!V61*V$5))</f>
        <v>201991051281.21777</v>
      </c>
      <c r="W9">
        <f>V9*(1+IF($A9="AEO",'Growth Rates'!W61,'Growth Rates'!W61*W$5))</f>
        <v>204506058070.55066</v>
      </c>
      <c r="X9">
        <f>W9*(1+IF($A9="AEO",'Growth Rates'!X61,'Growth Rates'!X61*X$5))</f>
        <v>207364411724.50845</v>
      </c>
      <c r="Y9">
        <f>X9*(1+IF($A9="AEO",'Growth Rates'!Y61,'Growth Rates'!Y61*Y$5))</f>
        <v>210367128365.03702</v>
      </c>
      <c r="Z9">
        <f>Y9*(1+IF($A9="AEO",'Growth Rates'!Z61,'Growth Rates'!Z61*Z$5))</f>
        <v>213396678043.09003</v>
      </c>
      <c r="AA9">
        <f>Z9*(1+IF($A9="AEO",'Growth Rates'!AA61,'Growth Rates'!AA61*AA$5))</f>
        <v>216469433081.59924</v>
      </c>
      <c r="AB9">
        <f>AA9*(1+IF($A9="AEO",'Growth Rates'!AB61,'Growth Rates'!AB61*AB$5))</f>
        <v>219520676961.1489</v>
      </c>
      <c r="AC9">
        <f>AB9*(1+IF($A9="AEO",'Growth Rates'!AC61,'Growth Rates'!AC61*AC$5))</f>
        <v>222597738491.34903</v>
      </c>
    </row>
    <row r="10" spans="1:29" x14ac:dyDescent="0.25">
      <c r="B10" t="s">
        <v>65</v>
      </c>
      <c r="C10">
        <f>'Data from BVAbIC'!C2</f>
        <v>11250222748.967661</v>
      </c>
      <c r="D10">
        <f>C10*(1+IF($A10="AEO",'Growth Rates'!D62,'Growth Rates'!D62*D$5))</f>
        <v>11415066374.032738</v>
      </c>
      <c r="E10">
        <f>D10*(1+IF($A10="AEO",'Growth Rates'!E62,'Growth Rates'!E62*E$5))</f>
        <v>11685154603.770393</v>
      </c>
      <c r="F10">
        <f>E10*(1+IF($A10="AEO",'Growth Rates'!F62,'Growth Rates'!F62*F$5))</f>
        <v>11865266824.04571</v>
      </c>
      <c r="G10">
        <f>F10*(1+IF($A10="AEO",'Growth Rates'!G62,'Growth Rates'!G62*G$5))</f>
        <v>11989257873.417259</v>
      </c>
      <c r="H10">
        <f>G10*(1+IF($A10="AEO",'Growth Rates'!H62,'Growth Rates'!H62*H$5))</f>
        <v>12138017900.800272</v>
      </c>
      <c r="I10">
        <f>H10*(1+IF($A10="AEO",'Growth Rates'!I62,'Growth Rates'!I62*I$5))</f>
        <v>12307652781.101862</v>
      </c>
      <c r="J10">
        <f>I10*(1+IF($A10="AEO",'Growth Rates'!J62,'Growth Rates'!J62*J$5))</f>
        <v>12473664260.802124</v>
      </c>
      <c r="K10">
        <f>J10*(1+IF($A10="AEO",'Growth Rates'!K62,'Growth Rates'!K62*K$5))</f>
        <v>12661876530.465834</v>
      </c>
      <c r="L10">
        <f>K10*(1+IF($A10="AEO",'Growth Rates'!L62,'Growth Rates'!L62*L$5))</f>
        <v>12865165157.861252</v>
      </c>
      <c r="M10">
        <f>L10*(1+IF($A10="AEO",'Growth Rates'!M62,'Growth Rates'!M62*M$5))</f>
        <v>13080826413.651325</v>
      </c>
      <c r="N10">
        <f>M10*(1+IF($A10="AEO",'Growth Rates'!N62,'Growth Rates'!N62*N$5))</f>
        <v>13308336665.517031</v>
      </c>
      <c r="O10">
        <f>N10*(1+IF($A10="AEO",'Growth Rates'!O62,'Growth Rates'!O62*O$5))</f>
        <v>13496724893.29719</v>
      </c>
      <c r="P10">
        <f>O10*(1+IF($A10="AEO",'Growth Rates'!P62,'Growth Rates'!P62*P$5))</f>
        <v>13682906392.972628</v>
      </c>
      <c r="Q10">
        <f>P10*(1+IF($A10="AEO",'Growth Rates'!Q62,'Growth Rates'!Q62*Q$5))</f>
        <v>13869046401.017035</v>
      </c>
      <c r="R10">
        <f>Q10*(1+IF($A10="AEO",'Growth Rates'!R62,'Growth Rates'!R62*R$5))</f>
        <v>14050887533.159252</v>
      </c>
      <c r="S10">
        <f>R10*(1+IF($A10="AEO",'Growth Rates'!S62,'Growth Rates'!S62*S$5))</f>
        <v>14232685524.658188</v>
      </c>
      <c r="T10">
        <f>S10*(1+IF($A10="AEO",'Growth Rates'!T62,'Growth Rates'!T62*T$5))</f>
        <v>14408312786.983547</v>
      </c>
      <c r="U10">
        <f>T10*(1+IF($A10="AEO",'Growth Rates'!U62,'Growth Rates'!U62*U$5))</f>
        <v>14587752481.929846</v>
      </c>
      <c r="V10">
        <f>U10*(1+IF($A10="AEO",'Growth Rates'!V62,'Growth Rates'!V62*V$5))</f>
        <v>14773465324.361744</v>
      </c>
      <c r="W10">
        <f>V10*(1+IF($A10="AEO",'Growth Rates'!W62,'Growth Rates'!W62*W$5))</f>
        <v>14959010047.40126</v>
      </c>
      <c r="X10">
        <f>W10*(1+IF($A10="AEO",'Growth Rates'!X62,'Growth Rates'!X62*X$5))</f>
        <v>15140983230.603939</v>
      </c>
      <c r="Y10">
        <f>X10*(1+IF($A10="AEO",'Growth Rates'!Y62,'Growth Rates'!Y62*Y$5))</f>
        <v>15316181943.63401</v>
      </c>
      <c r="Z10">
        <f>Y10*(1+IF($A10="AEO",'Growth Rates'!Z62,'Growth Rates'!Z62*Z$5))</f>
        <v>15483021359.465897</v>
      </c>
      <c r="AA10">
        <f>Z10*(1+IF($A10="AEO",'Growth Rates'!AA62,'Growth Rates'!AA62*AA$5))</f>
        <v>15649856765.206678</v>
      </c>
      <c r="AB10">
        <f>AA10*(1+IF($A10="AEO",'Growth Rates'!AB62,'Growth Rates'!AB62*AB$5))</f>
        <v>15810176446.457666</v>
      </c>
      <c r="AC10">
        <f>AB10*(1+IF($A10="AEO",'Growth Rates'!AC62,'Growth Rates'!AC62*AC$5))</f>
        <v>15975732694.838404</v>
      </c>
    </row>
    <row r="11" spans="1:29" x14ac:dyDescent="0.25">
      <c r="B11" t="s">
        <v>70</v>
      </c>
      <c r="C11">
        <f>'Data from BVAbIC'!D2</f>
        <v>6812799549.5253925</v>
      </c>
      <c r="D11">
        <f>C11*(1+IF($A11="AEO",'Growth Rates'!D63,'Growth Rates'!D63*D$5))</f>
        <v>6906384911.0926104</v>
      </c>
      <c r="E11">
        <f>D11*(1+IF($A11="AEO",'Growth Rates'!E63,'Growth Rates'!E63*E$5))</f>
        <v>7059581562.5675602</v>
      </c>
      <c r="F11">
        <f>E11*(1+IF($A11="AEO",'Growth Rates'!F63,'Growth Rates'!F63*F$5))</f>
        <v>7161595369.2332888</v>
      </c>
      <c r="G11">
        <f>F11*(1+IF($A11="AEO",'Growth Rates'!G63,'Growth Rates'!G63*G$5))</f>
        <v>7231756064.2718315</v>
      </c>
      <c r="H11">
        <f>G11*(1+IF($A11="AEO",'Growth Rates'!H63,'Growth Rates'!H63*H$5))</f>
        <v>7315877948.7464552</v>
      </c>
      <c r="I11">
        <f>H11*(1+IF($A11="AEO",'Growth Rates'!I63,'Growth Rates'!I63*I$5))</f>
        <v>7411730816.5405779</v>
      </c>
      <c r="J11">
        <f>I11*(1+IF($A11="AEO",'Growth Rates'!J63,'Growth Rates'!J63*J$5))</f>
        <v>7505455460.5088854</v>
      </c>
      <c r="K11">
        <f>J11*(1+IF($A11="AEO",'Growth Rates'!K63,'Growth Rates'!K63*K$5))</f>
        <v>7611625556.476697</v>
      </c>
      <c r="L11">
        <f>K11*(1+IF($A11="AEO",'Growth Rates'!L63,'Growth Rates'!L63*L$5))</f>
        <v>7726193653.9587021</v>
      </c>
      <c r="M11">
        <f>L11*(1+IF($A11="AEO",'Growth Rates'!M63,'Growth Rates'!M63*M$5))</f>
        <v>7847614604.8446217</v>
      </c>
      <c r="N11">
        <f>M11*(1+IF($A11="AEO",'Growth Rates'!N63,'Growth Rates'!N63*N$5))</f>
        <v>7975574752.3082838</v>
      </c>
      <c r="O11">
        <f>N11*(1+IF($A11="AEO",'Growth Rates'!O63,'Growth Rates'!O63*O$5))</f>
        <v>8081418022.1284418</v>
      </c>
      <c r="P11">
        <f>O11*(1+IF($A11="AEO",'Growth Rates'!P63,'Growth Rates'!P63*P$5))</f>
        <v>8185930218.9826212</v>
      </c>
      <c r="Q11">
        <f>P11*(1+IF($A11="AEO",'Growth Rates'!Q63,'Growth Rates'!Q63*Q$5))</f>
        <v>8290330264.2643213</v>
      </c>
      <c r="R11">
        <f>Q11*(1+IF($A11="AEO",'Growth Rates'!R63,'Growth Rates'!R63*R$5))</f>
        <v>8392233654.7465363</v>
      </c>
      <c r="S11">
        <f>R11*(1+IF($A11="AEO",'Growth Rates'!S63,'Growth Rates'!S63*S$5))</f>
        <v>8494030464.2244616</v>
      </c>
      <c r="T11">
        <f>S11*(1+IF($A11="AEO",'Growth Rates'!T63,'Growth Rates'!T63*T$5))</f>
        <v>8592293498.0583229</v>
      </c>
      <c r="U11">
        <f>T11*(1+IF($A11="AEO",'Growth Rates'!U63,'Growth Rates'!U63*U$5))</f>
        <v>8692613093.9602909</v>
      </c>
      <c r="V11">
        <f>U11*(1+IF($A11="AEO",'Growth Rates'!V63,'Growth Rates'!V63*V$5))</f>
        <v>8796360005.6144218</v>
      </c>
      <c r="W11">
        <f>V11*(1+IF($A11="AEO",'Growth Rates'!W63,'Growth Rates'!W63*W$5))</f>
        <v>8899931561.8533001</v>
      </c>
      <c r="X11">
        <f>W11*(1+IF($A11="AEO",'Growth Rates'!X63,'Growth Rates'!X63*X$5))</f>
        <v>9001430729.712534</v>
      </c>
      <c r="Y11">
        <f>X11*(1+IF($A11="AEO",'Growth Rates'!Y63,'Growth Rates'!Y63*Y$5))</f>
        <v>9099077897.951376</v>
      </c>
      <c r="Z11">
        <f>Y11*(1+IF($A11="AEO",'Growth Rates'!Z63,'Growth Rates'!Z63*Z$5))</f>
        <v>9191999524.4880486</v>
      </c>
      <c r="AA11">
        <f>Z11*(1+IF($A11="AEO",'Growth Rates'!AA63,'Growth Rates'!AA63*AA$5))</f>
        <v>9284856338.492136</v>
      </c>
      <c r="AB11">
        <f>AA11*(1+IF($A11="AEO",'Growth Rates'!AB63,'Growth Rates'!AB63*AB$5))</f>
        <v>9374027195.072134</v>
      </c>
      <c r="AC11">
        <f>AB11*(1+IF($A11="AEO",'Growth Rates'!AC63,'Growth Rates'!AC63*AC$5))</f>
        <v>9466052305.0478306</v>
      </c>
    </row>
    <row r="12" spans="1:29" x14ac:dyDescent="0.25">
      <c r="A12" t="s">
        <v>1227</v>
      </c>
      <c r="B12" t="s">
        <v>82</v>
      </c>
      <c r="C12">
        <f>'Data from BVAbIC'!E2</f>
        <v>19459700000</v>
      </c>
      <c r="D12">
        <f>C12*(1+IF($A12="AEO",'Growth Rates'!D64,'Growth Rates'!D64*D$5))</f>
        <v>20845437289.948376</v>
      </c>
      <c r="E12">
        <f>D12*(1+IF($A12="AEO",'Growth Rates'!E64,'Growth Rates'!E64*E$5))</f>
        <v>22752494800.400631</v>
      </c>
      <c r="F12">
        <f>E12*(1+IF($A12="AEO",'Growth Rates'!F64,'Growth Rates'!F64*F$5))</f>
        <v>22590965949.45612</v>
      </c>
      <c r="G12">
        <f>F12*(1+IF($A12="AEO",'Growth Rates'!G64,'Growth Rates'!G64*G$5))</f>
        <v>22716455845.291901</v>
      </c>
      <c r="H12">
        <f>G12*(1+IF($A12="AEO",'Growth Rates'!H64,'Growth Rates'!H64*H$5))</f>
        <v>22851645344.838139</v>
      </c>
      <c r="I12">
        <f>H12*(1+IF($A12="AEO",'Growth Rates'!I64,'Growth Rates'!I64*I$5))</f>
        <v>23344629017.41914</v>
      </c>
      <c r="J12">
        <f>I12*(1+IF($A12="AEO",'Growth Rates'!J64,'Growth Rates'!J64*J$5))</f>
        <v>23720695139.868328</v>
      </c>
      <c r="K12">
        <f>J12*(1+IF($A12="AEO",'Growth Rates'!K64,'Growth Rates'!K64*K$5))</f>
        <v>24072689204.64819</v>
      </c>
      <c r="L12">
        <f>K12*(1+IF($A12="AEO",'Growth Rates'!L64,'Growth Rates'!L64*L$5))</f>
        <v>24334310910.47773</v>
      </c>
      <c r="M12">
        <f>L12*(1+IF($A12="AEO",'Growth Rates'!M64,'Growth Rates'!M64*M$5))</f>
        <v>24658838365.852821</v>
      </c>
      <c r="N12">
        <f>M12*(1+IF($A12="AEO",'Growth Rates'!N64,'Growth Rates'!N64*N$5))</f>
        <v>24748488717.986397</v>
      </c>
      <c r="O12">
        <f>N12*(1+IF($A12="AEO",'Growth Rates'!O64,'Growth Rates'!O64*O$5))</f>
        <v>24856454411.077076</v>
      </c>
      <c r="P12">
        <f>O12*(1+IF($A12="AEO",'Growth Rates'!P64,'Growth Rates'!P64*P$5))</f>
        <v>24994060769.493607</v>
      </c>
      <c r="Q12">
        <f>P12*(1+IF($A12="AEO",'Growth Rates'!Q64,'Growth Rates'!Q64*Q$5))</f>
        <v>25120816186.126404</v>
      </c>
      <c r="R12">
        <f>Q12*(1+IF($A12="AEO",'Growth Rates'!R64,'Growth Rates'!R64*R$5))</f>
        <v>25283863029.727985</v>
      </c>
      <c r="S12">
        <f>R12*(1+IF($A12="AEO",'Growth Rates'!S64,'Growth Rates'!S64*S$5))</f>
        <v>25582395236.278545</v>
      </c>
      <c r="T12">
        <f>S12*(1+IF($A12="AEO",'Growth Rates'!T64,'Growth Rates'!T64*T$5))</f>
        <v>25944096887.548111</v>
      </c>
      <c r="U12">
        <f>T12*(1+IF($A12="AEO",'Growth Rates'!U64,'Growth Rates'!U64*U$5))</f>
        <v>26148264028.230747</v>
      </c>
      <c r="V12">
        <f>U12*(1+IF($A12="AEO",'Growth Rates'!V64,'Growth Rates'!V64*V$5))</f>
        <v>26373271096.742008</v>
      </c>
      <c r="W12">
        <f>V12*(1+IF($A12="AEO",'Growth Rates'!W64,'Growth Rates'!W64*W$5))</f>
        <v>26507119515.71928</v>
      </c>
      <c r="X12">
        <f>W12*(1+IF($A12="AEO",'Growth Rates'!X64,'Growth Rates'!X64*X$5))</f>
        <v>26603378818.701481</v>
      </c>
      <c r="Y12">
        <f>X12*(1+IF($A12="AEO",'Growth Rates'!Y64,'Growth Rates'!Y64*Y$5))</f>
        <v>26702662830.992794</v>
      </c>
      <c r="Z12">
        <f>Y12*(1+IF($A12="AEO",'Growth Rates'!Z64,'Growth Rates'!Z64*Z$5))</f>
        <v>26850021827.227505</v>
      </c>
      <c r="AA12">
        <f>Z12*(1+IF($A12="AEO",'Growth Rates'!AA64,'Growth Rates'!AA64*AA$5))</f>
        <v>26908214470.132885</v>
      </c>
      <c r="AB12">
        <f>AA12*(1+IF($A12="AEO",'Growth Rates'!AB64,'Growth Rates'!AB64*AB$5))</f>
        <v>26908645408.483604</v>
      </c>
      <c r="AC12">
        <f>AB12*(1+IF($A12="AEO",'Growth Rates'!AC64,'Growth Rates'!AC64*AC$5))</f>
        <v>26859200389.930313</v>
      </c>
    </row>
    <row r="13" spans="1:29" x14ac:dyDescent="0.25">
      <c r="A13" t="s">
        <v>1227</v>
      </c>
      <c r="B13" t="s">
        <v>77</v>
      </c>
      <c r="C13">
        <f>'Data from BVAbIC'!F2</f>
        <v>184888000000</v>
      </c>
      <c r="D13">
        <f>C13*(1+IF($A13="AEO",'Growth Rates'!D65,'Growth Rates'!D65*D$5))</f>
        <v>198053988995.92365</v>
      </c>
      <c r="E13">
        <f>D13*(1+IF($A13="AEO",'Growth Rates'!E65,'Growth Rates'!E65*E$5))</f>
        <v>216173078652.62424</v>
      </c>
      <c r="F13">
        <f>E13*(1+IF($A13="AEO",'Growth Rates'!F65,'Growth Rates'!F65*F$5))</f>
        <v>214638381499.35727</v>
      </c>
      <c r="G13">
        <f>F13*(1+IF($A13="AEO",'Growth Rates'!G65,'Growth Rates'!G65*G$5))</f>
        <v>215830669965.3298</v>
      </c>
      <c r="H13">
        <f>G13*(1+IF($A13="AEO",'Growth Rates'!H65,'Growth Rates'!H65*H$5))</f>
        <v>217115115059.14444</v>
      </c>
      <c r="I13">
        <f>H13*(1+IF($A13="AEO",'Growth Rates'!I65,'Growth Rates'!I65*I$5))</f>
        <v>221798988153.59894</v>
      </c>
      <c r="J13">
        <f>I13*(1+IF($A13="AEO",'Growth Rates'!J65,'Growth Rates'!J65*J$5))</f>
        <v>225372019251.06628</v>
      </c>
      <c r="K13">
        <f>J13*(1+IF($A13="AEO",'Growth Rates'!K65,'Growth Rates'!K65*K$5))</f>
        <v>228716340008.78705</v>
      </c>
      <c r="L13">
        <f>K13*(1+IF($A13="AEO",'Growth Rates'!L65,'Growth Rates'!L65*L$5))</f>
        <v>231202026527.45956</v>
      </c>
      <c r="M13">
        <f>L13*(1+IF($A13="AEO",'Growth Rates'!M65,'Growth Rates'!M65*M$5))</f>
        <v>234285385066.87128</v>
      </c>
      <c r="N13">
        <f>M13*(1+IF($A13="AEO",'Growth Rates'!N65,'Growth Rates'!N65*N$5))</f>
        <v>235137159467.56976</v>
      </c>
      <c r="O13">
        <f>N13*(1+IF($A13="AEO",'Growth Rates'!O65,'Growth Rates'!O65*O$5))</f>
        <v>236162949231.24286</v>
      </c>
      <c r="P13">
        <f>O13*(1+IF($A13="AEO",'Growth Rates'!P65,'Growth Rates'!P65*P$5))</f>
        <v>237470357073.85687</v>
      </c>
      <c r="Q13">
        <f>P13*(1+IF($A13="AEO",'Growth Rates'!Q65,'Growth Rates'!Q65*Q$5))</f>
        <v>238674669343.3371</v>
      </c>
      <c r="R13">
        <f>Q13*(1+IF($A13="AEO",'Growth Rates'!R65,'Growth Rates'!R65*R$5))</f>
        <v>240223789053.29199</v>
      </c>
      <c r="S13">
        <f>R13*(1+IF($A13="AEO",'Growth Rates'!S65,'Growth Rates'!S65*S$5))</f>
        <v>243060164876.38895</v>
      </c>
      <c r="T13">
        <f>S13*(1+IF($A13="AEO",'Growth Rates'!T65,'Growth Rates'!T65*T$5))</f>
        <v>246496718106.90778</v>
      </c>
      <c r="U13">
        <f>T13*(1+IF($A13="AEO",'Growth Rates'!U65,'Growth Rates'!U65*U$5))</f>
        <v>248436524697.27307</v>
      </c>
      <c r="V13">
        <f>U13*(1+IF($A13="AEO",'Growth Rates'!V65,'Growth Rates'!V65*V$5))</f>
        <v>250574332930.8486</v>
      </c>
      <c r="W13">
        <f>V13*(1+IF($A13="AEO",'Growth Rates'!W65,'Growth Rates'!W65*W$5))</f>
        <v>251846036322.36389</v>
      </c>
      <c r="X13">
        <f>W13*(1+IF($A13="AEO",'Growth Rates'!X65,'Growth Rates'!X65*X$5))</f>
        <v>252760602837.25226</v>
      </c>
      <c r="Y13">
        <f>X13*(1+IF($A13="AEO",'Growth Rates'!Y65,'Growth Rates'!Y65*Y$5))</f>
        <v>253703907331.38712</v>
      </c>
      <c r="Z13">
        <f>Y13*(1+IF($A13="AEO",'Growth Rates'!Z65,'Growth Rates'!Z65*Z$5))</f>
        <v>255103975682.68973</v>
      </c>
      <c r="AA13">
        <f>Z13*(1+IF($A13="AEO",'Growth Rates'!AA65,'Growth Rates'!AA65*AA$5))</f>
        <v>255656868140.5123</v>
      </c>
      <c r="AB13">
        <f>AA13*(1+IF($A13="AEO",'Growth Rates'!AB65,'Growth Rates'!AB65*AB$5))</f>
        <v>255660962516.57089</v>
      </c>
      <c r="AC13">
        <f>AB13*(1+IF($A13="AEO",'Growth Rates'!AC65,'Growth Rates'!AC65*AC$5))</f>
        <v>255191181862.69232</v>
      </c>
    </row>
    <row r="14" spans="1:29" x14ac:dyDescent="0.25">
      <c r="B14" t="s">
        <v>85</v>
      </c>
      <c r="C14">
        <f>'Data from BVAbIC'!G2</f>
        <v>16619382098.668261</v>
      </c>
      <c r="D14">
        <f>C14*(1+IF($A14="AEO",'Growth Rates'!D66,'Growth Rates'!D66*D$5))</f>
        <v>17015094146.820675</v>
      </c>
      <c r="E14">
        <f>D14*(1+IF($A14="AEO",'Growth Rates'!E66,'Growth Rates'!E66*E$5))</f>
        <v>17669300773.643822</v>
      </c>
      <c r="F14">
        <f>E14*(1+IF($A14="AEO",'Growth Rates'!F66,'Growth Rates'!F66*F$5))</f>
        <v>18111870237.983047</v>
      </c>
      <c r="G14">
        <f>F14*(1+IF($A14="AEO",'Growth Rates'!G66,'Growth Rates'!G66*G$5))</f>
        <v>18419429981.397236</v>
      </c>
      <c r="H14">
        <f>G14*(1+IF($A14="AEO",'Growth Rates'!H66,'Growth Rates'!H66*H$5))</f>
        <v>18790814246.643723</v>
      </c>
      <c r="I14">
        <f>H14*(1+IF($A14="AEO",'Growth Rates'!I66,'Growth Rates'!I66*I$5))</f>
        <v>19217557189.459293</v>
      </c>
      <c r="J14">
        <f>I14*(1+IF($A14="AEO",'Growth Rates'!J66,'Growth Rates'!J66*J$5))</f>
        <v>19638782474.103825</v>
      </c>
      <c r="K14">
        <f>J14*(1+IF($A14="AEO",'Growth Rates'!K66,'Growth Rates'!K66*K$5))</f>
        <v>20120310763.353981</v>
      </c>
      <c r="L14">
        <f>K14*(1+IF($A14="AEO",'Growth Rates'!L66,'Growth Rates'!L66*L$5))</f>
        <v>20645242776.039158</v>
      </c>
      <c r="M14">
        <f>L14*(1+IF($A14="AEO",'Growth Rates'!M66,'Growth Rates'!M66*M$5))</f>
        <v>21207623107.645924</v>
      </c>
      <c r="N14">
        <f>M14*(1+IF($A14="AEO",'Growth Rates'!N66,'Growth Rates'!N66*N$5))</f>
        <v>21807015395.521133</v>
      </c>
      <c r="O14">
        <f>N14*(1+IF($A14="AEO",'Growth Rates'!O66,'Growth Rates'!O66*O$5))</f>
        <v>22308640862.777679</v>
      </c>
      <c r="P14">
        <f>O14*(1+IF($A14="AEO",'Growth Rates'!P66,'Growth Rates'!P66*P$5))</f>
        <v>22808715243.572464</v>
      </c>
      <c r="Q14">
        <f>P14*(1+IF($A14="AEO",'Growth Rates'!Q66,'Growth Rates'!Q66*Q$5))</f>
        <v>23312930010.896328</v>
      </c>
      <c r="R14">
        <f>Q14*(1+IF($A14="AEO",'Growth Rates'!R66,'Growth Rates'!R66*R$5))</f>
        <v>23809631830.131504</v>
      </c>
      <c r="S14">
        <f>R14*(1+IF($A14="AEO",'Growth Rates'!S66,'Growth Rates'!S66*S$5))</f>
        <v>24310232433.232334</v>
      </c>
      <c r="T14">
        <f>S14*(1+IF($A14="AEO",'Growth Rates'!T66,'Growth Rates'!T66*T$5))</f>
        <v>24797702052.875462</v>
      </c>
      <c r="U14">
        <f>T14*(1+IF($A14="AEO",'Growth Rates'!U66,'Growth Rates'!U66*U$5))</f>
        <v>25299547741.262043</v>
      </c>
      <c r="V14">
        <f>U14*(1+IF($A14="AEO",'Growth Rates'!V66,'Growth Rates'!V66*V$5))</f>
        <v>25822930816.192429</v>
      </c>
      <c r="W14">
        <f>V14*(1+IF($A14="AEO",'Growth Rates'!W66,'Growth Rates'!W66*W$5))</f>
        <v>26349948426.271648</v>
      </c>
      <c r="X14">
        <f>W14*(1+IF($A14="AEO",'Growth Rates'!X66,'Growth Rates'!X66*X$5))</f>
        <v>26870828415.180447</v>
      </c>
      <c r="Y14">
        <f>X14*(1+IF($A14="AEO",'Growth Rates'!Y66,'Growth Rates'!Y66*Y$5))</f>
        <v>27376084153.042519</v>
      </c>
      <c r="Z14">
        <f>Y14*(1+IF($A14="AEO",'Growth Rates'!Z66,'Growth Rates'!Z66*Z$5))</f>
        <v>27860672354.924931</v>
      </c>
      <c r="AA14">
        <f>Z14*(1+IF($A14="AEO",'Growth Rates'!AA66,'Growth Rates'!AA66*AA$5))</f>
        <v>28348512422.539879</v>
      </c>
      <c r="AB14">
        <f>AA14*(1+IF($A14="AEO",'Growth Rates'!AB66,'Growth Rates'!AB66*AB$5))</f>
        <v>28820423436.392822</v>
      </c>
      <c r="AC14">
        <f>AB14*(1+IF($A14="AEO",'Growth Rates'!AC66,'Growth Rates'!AC66*AC$5))</f>
        <v>29310837123.120304</v>
      </c>
    </row>
    <row r="15" spans="1:29" x14ac:dyDescent="0.25">
      <c r="A15" t="s">
        <v>1227</v>
      </c>
      <c r="B15" t="s">
        <v>88</v>
      </c>
      <c r="C15">
        <f>'Data from BVAbIC'!H2</f>
        <v>23059017901.331741</v>
      </c>
      <c r="D15">
        <f>C15*(1+IF($A15="AEO",'Growth Rates'!D67,'Growth Rates'!D67*D$5))</f>
        <v>24701064848.37936</v>
      </c>
      <c r="E15">
        <f>D15*(1+IF($A15="AEO",'Growth Rates'!E67,'Growth Rates'!E67*E$5))</f>
        <v>26960856791.337765</v>
      </c>
      <c r="F15">
        <f>E15*(1+IF($A15="AEO",'Growth Rates'!F67,'Growth Rates'!F67*F$5))</f>
        <v>26769451134.235596</v>
      </c>
      <c r="G15">
        <f>F15*(1+IF($A15="AEO",'Growth Rates'!G67,'Growth Rates'!G67*G$5))</f>
        <v>26918151975.179367</v>
      </c>
      <c r="H15">
        <f>G15*(1+IF($A15="AEO",'Growth Rates'!H67,'Growth Rates'!H67*H$5))</f>
        <v>27078346484.350052</v>
      </c>
      <c r="I15">
        <f>H15*(1+IF($A15="AEO",'Growth Rates'!I67,'Growth Rates'!I67*I$5))</f>
        <v>27662513729.020298</v>
      </c>
      <c r="J15">
        <f>I15*(1+IF($A15="AEO",'Growth Rates'!J67,'Growth Rates'!J67*J$5))</f>
        <v>28108138042.326271</v>
      </c>
      <c r="K15">
        <f>J15*(1+IF($A15="AEO",'Growth Rates'!K67,'Growth Rates'!K67*K$5))</f>
        <v>28525237866.111904</v>
      </c>
      <c r="L15">
        <f>K15*(1+IF($A15="AEO",'Growth Rates'!L67,'Growth Rates'!L67*L$5))</f>
        <v>28835249818.922085</v>
      </c>
      <c r="M15">
        <f>L15*(1+IF($A15="AEO",'Growth Rates'!M67,'Growth Rates'!M67*M$5))</f>
        <v>29219802736.128819</v>
      </c>
      <c r="N15">
        <f>M15*(1+IF($A15="AEO",'Growth Rates'!N67,'Growth Rates'!N67*N$5))</f>
        <v>29326035055.98518</v>
      </c>
      <c r="O15">
        <f>N15*(1+IF($A15="AEO",'Growth Rates'!O67,'Growth Rates'!O67*O$5))</f>
        <v>29453970371.005848</v>
      </c>
      <c r="P15">
        <f>O15*(1+IF($A15="AEO",'Growth Rates'!P67,'Growth Rates'!P67*P$5))</f>
        <v>29617028767.695618</v>
      </c>
      <c r="Q15">
        <f>P15*(1+IF($A15="AEO",'Growth Rates'!Q67,'Growth Rates'!Q67*Q$5))</f>
        <v>29767229203.531033</v>
      </c>
      <c r="R15">
        <f>Q15*(1+IF($A15="AEO",'Growth Rates'!R67,'Growth Rates'!R67*R$5))</f>
        <v>29960433625.252052</v>
      </c>
      <c r="S15">
        <f>R15*(1+IF($A15="AEO",'Growth Rates'!S67,'Growth Rates'!S67*S$5))</f>
        <v>30314183143.228867</v>
      </c>
      <c r="T15">
        <f>S15*(1+IF($A15="AEO",'Growth Rates'!T67,'Growth Rates'!T67*T$5))</f>
        <v>30742786094.536758</v>
      </c>
      <c r="U15">
        <f>T15*(1+IF($A15="AEO",'Growth Rates'!U67,'Growth Rates'!U67*U$5))</f>
        <v>30984716532.922997</v>
      </c>
      <c r="V15">
        <f>U15*(1+IF($A15="AEO",'Growth Rates'!V67,'Growth Rates'!V67*V$5))</f>
        <v>31251341507.651657</v>
      </c>
      <c r="W15">
        <f>V15*(1+IF($A15="AEO",'Growth Rates'!W67,'Growth Rates'!W67*W$5))</f>
        <v>31409946886.422237</v>
      </c>
      <c r="X15">
        <f>W15*(1+IF($A15="AEO",'Growth Rates'!X67,'Growth Rates'!X67*X$5))</f>
        <v>31524010566.265003</v>
      </c>
      <c r="Y15">
        <f>X15*(1+IF($A15="AEO",'Growth Rates'!Y67,'Growth Rates'!Y67*Y$5))</f>
        <v>31641658413.700546</v>
      </c>
      <c r="Z15">
        <f>Y15*(1+IF($A15="AEO",'Growth Rates'!Z67,'Growth Rates'!Z67*Z$5))</f>
        <v>31816273322.054657</v>
      </c>
      <c r="AA15">
        <f>Z15*(1+IF($A15="AEO",'Growth Rates'!AA67,'Growth Rates'!AA67*AA$5))</f>
        <v>31885229431.06358</v>
      </c>
      <c r="AB15">
        <f>AA15*(1+IF($A15="AEO",'Growth Rates'!AB67,'Growth Rates'!AB67*AB$5))</f>
        <v>31885740076.91853</v>
      </c>
      <c r="AC15">
        <f>AB15*(1+IF($A15="AEO",'Growth Rates'!AC67,'Growth Rates'!AC67*AC$5))</f>
        <v>31827149576.142464</v>
      </c>
    </row>
    <row r="16" spans="1:29" x14ac:dyDescent="0.25">
      <c r="B16" t="s">
        <v>91</v>
      </c>
      <c r="C16">
        <f>'Data from BVAbIC'!I2</f>
        <v>51848900000</v>
      </c>
      <c r="D16">
        <f>C16*(1+IF($A16="AEO",'Growth Rates'!D68,'Growth Rates'!D68*D$5))</f>
        <v>51611489127.612473</v>
      </c>
      <c r="E16">
        <f>D16*(1+IF($A16="AEO",'Growth Rates'!E68,'Growth Rates'!E68*E$5))</f>
        <v>51229875716.555374</v>
      </c>
      <c r="F16">
        <f>E16*(1+IF($A16="AEO",'Growth Rates'!F68,'Growth Rates'!F68*F$5))</f>
        <v>50983111580.440521</v>
      </c>
      <c r="G16">
        <f>F16*(1+IF($A16="AEO",'Growth Rates'!G68,'Growth Rates'!G68*G$5))</f>
        <v>50816621184.595749</v>
      </c>
      <c r="H16">
        <f>G16*(1+IF($A16="AEO",'Growth Rates'!H68,'Growth Rates'!H68*H$5))</f>
        <v>50619583291.416031</v>
      </c>
      <c r="I16">
        <f>H16*(1+IF($A16="AEO",'Growth Rates'!I68,'Growth Rates'!I68*I$5))</f>
        <v>50398510156.197075</v>
      </c>
      <c r="J16">
        <f>I16*(1+IF($A16="AEO",'Growth Rates'!J68,'Growth Rates'!J68*J$5))</f>
        <v>50186072938.411575</v>
      </c>
      <c r="K16">
        <f>J16*(1+IF($A16="AEO",'Growth Rates'!K68,'Growth Rates'!K68*K$5))</f>
        <v>49949433505.128487</v>
      </c>
      <c r="L16">
        <f>K16*(1+IF($A16="AEO",'Growth Rates'!L68,'Growth Rates'!L68*L$5))</f>
        <v>49698825119.988945</v>
      </c>
      <c r="M16">
        <f>L16*(1+IF($A16="AEO",'Growth Rates'!M68,'Growth Rates'!M68*M$5))</f>
        <v>49438477922.120895</v>
      </c>
      <c r="N16">
        <f>M16*(1+IF($A16="AEO",'Growth Rates'!N68,'Growth Rates'!N68*N$5))</f>
        <v>49169769733.121735</v>
      </c>
      <c r="O16">
        <f>N16*(1+IF($A16="AEO",'Growth Rates'!O68,'Growth Rates'!O68*O$5))</f>
        <v>48952260259.239128</v>
      </c>
      <c r="P16">
        <f>O16*(1+IF($A16="AEO",'Growth Rates'!P68,'Growth Rates'!P68*P$5))</f>
        <v>48741236721.593391</v>
      </c>
      <c r="Q16">
        <f>P16*(1+IF($A16="AEO",'Growth Rates'!Q68,'Growth Rates'!Q68*Q$5))</f>
        <v>48534028044.237038</v>
      </c>
      <c r="R16">
        <f>Q16*(1+IF($A16="AEO",'Growth Rates'!R68,'Growth Rates'!R68*R$5))</f>
        <v>48335170586.057289</v>
      </c>
      <c r="S16">
        <f>R16*(1+IF($A16="AEO",'Growth Rates'!S68,'Growth Rates'!S68*S$5))</f>
        <v>48139737270.222115</v>
      </c>
      <c r="T16">
        <f>S16*(1+IF($A16="AEO",'Growth Rates'!T68,'Growth Rates'!T68*T$5))</f>
        <v>47954102717.734123</v>
      </c>
      <c r="U16">
        <f>T16*(1+IF($A16="AEO",'Growth Rates'!U68,'Growth Rates'!U68*U$5))</f>
        <v>47767472834.123039</v>
      </c>
      <c r="V16">
        <f>U16*(1+IF($A16="AEO",'Growth Rates'!V68,'Growth Rates'!V68*V$5))</f>
        <v>47577436852.594994</v>
      </c>
      <c r="W16">
        <f>V16*(1+IF($A16="AEO",'Growth Rates'!W68,'Growth Rates'!W68*W$5))</f>
        <v>47390705478.347198</v>
      </c>
      <c r="X16">
        <f>W16*(1+IF($A16="AEO",'Growth Rates'!X68,'Growth Rates'!X68*X$5))</f>
        <v>47210549891.873131</v>
      </c>
      <c r="Y16">
        <f>X16*(1+IF($A16="AEO",'Growth Rates'!Y68,'Growth Rates'!Y68*Y$5))</f>
        <v>47039837159.406311</v>
      </c>
      <c r="Z16">
        <f>Y16*(1+IF($A16="AEO",'Growth Rates'!Z68,'Growth Rates'!Z68*Z$5))</f>
        <v>46879710377.700356</v>
      </c>
      <c r="AA16">
        <f>Z16*(1+IF($A16="AEO",'Growth Rates'!AA68,'Growth Rates'!AA68*AA$5))</f>
        <v>46721852067.129639</v>
      </c>
      <c r="AB16">
        <f>AA16*(1+IF($A16="AEO",'Growth Rates'!AB68,'Growth Rates'!AB68*AB$5))</f>
        <v>46572281360.524376</v>
      </c>
      <c r="AC16">
        <f>AB16*(1+IF($A16="AEO",'Growth Rates'!AC68,'Growth Rates'!AC68*AC$5))</f>
        <v>46419880859.834755</v>
      </c>
    </row>
    <row r="17" spans="1:29" x14ac:dyDescent="0.25">
      <c r="A17" t="s">
        <v>1227</v>
      </c>
      <c r="B17" t="s">
        <v>174</v>
      </c>
      <c r="C17">
        <f>'Data from BVAbIC'!J2</f>
        <v>263619000000</v>
      </c>
      <c r="D17">
        <f>C17*(1+IF($A17="AEO",'Growth Rates'!D69,'Growth Rates'!D69*D$5))</f>
        <v>248400308696.7569</v>
      </c>
      <c r="E17">
        <f>D17*(1+IF($A17="AEO",'Growth Rates'!E69,'Growth Rates'!E69*E$5))</f>
        <v>248973738956.06607</v>
      </c>
      <c r="F17">
        <f>E17*(1+IF($A17="AEO",'Growth Rates'!F69,'Growth Rates'!F69*F$5))</f>
        <v>251131557926.14017</v>
      </c>
      <c r="G17">
        <f>F17*(1+IF($A17="AEO",'Growth Rates'!G69,'Growth Rates'!G69*G$5))</f>
        <v>253365600506.71851</v>
      </c>
      <c r="H17">
        <f>G17*(1+IF($A17="AEO",'Growth Rates'!H69,'Growth Rates'!H69*H$5))</f>
        <v>254947392622.36859</v>
      </c>
      <c r="I17">
        <f>H17*(1+IF($A17="AEO",'Growth Rates'!I69,'Growth Rates'!I69*I$5))</f>
        <v>257063319675.51407</v>
      </c>
      <c r="J17">
        <f>I17*(1+IF($A17="AEO",'Growth Rates'!J69,'Growth Rates'!J69*J$5))</f>
        <v>259339462940.36264</v>
      </c>
      <c r="K17">
        <f>J17*(1+IF($A17="AEO",'Growth Rates'!K69,'Growth Rates'!K69*K$5))</f>
        <v>261560028672.42874</v>
      </c>
      <c r="L17">
        <f>K17*(1+IF($A17="AEO",'Growth Rates'!L69,'Growth Rates'!L69*L$5))</f>
        <v>263817430485.32947</v>
      </c>
      <c r="M17">
        <f>L17*(1+IF($A17="AEO",'Growth Rates'!M69,'Growth Rates'!M69*M$5))</f>
        <v>266142295888.79807</v>
      </c>
      <c r="N17">
        <f>M17*(1+IF($A17="AEO",'Growth Rates'!N69,'Growth Rates'!N69*N$5))</f>
        <v>268361855269.24854</v>
      </c>
      <c r="O17">
        <f>N17*(1+IF($A17="AEO",'Growth Rates'!O69,'Growth Rates'!O69*O$5))</f>
        <v>270817703984.30762</v>
      </c>
      <c r="P17">
        <f>O17*(1+IF($A17="AEO",'Growth Rates'!P69,'Growth Rates'!P69*P$5))</f>
        <v>273232269846.79282</v>
      </c>
      <c r="Q17">
        <f>P17*(1+IF($A17="AEO",'Growth Rates'!Q69,'Growth Rates'!Q69*Q$5))</f>
        <v>275702171367.44702</v>
      </c>
      <c r="R17">
        <f>Q17*(1+IF($A17="AEO",'Growth Rates'!R69,'Growth Rates'!R69*R$5))</f>
        <v>278159418522.72021</v>
      </c>
      <c r="S17">
        <f>R17*(1+IF($A17="AEO",'Growth Rates'!S69,'Growth Rates'!S69*S$5))</f>
        <v>280446437936.75897</v>
      </c>
      <c r="T17">
        <f>S17*(1+IF($A17="AEO",'Growth Rates'!T69,'Growth Rates'!T69*T$5))</f>
        <v>282732605043.76056</v>
      </c>
      <c r="U17">
        <f>T17*(1+IF($A17="AEO",'Growth Rates'!U69,'Growth Rates'!U69*U$5))</f>
        <v>285013441332.78308</v>
      </c>
      <c r="V17">
        <f>U17*(1+IF($A17="AEO",'Growth Rates'!V69,'Growth Rates'!V69*V$5))</f>
        <v>287184507862.99146</v>
      </c>
      <c r="W17">
        <f>V17*(1+IF($A17="AEO",'Growth Rates'!W69,'Growth Rates'!W69*W$5))</f>
        <v>289364525669.19373</v>
      </c>
      <c r="X17">
        <f>W17*(1+IF($A17="AEO",'Growth Rates'!X69,'Growth Rates'!X69*X$5))</f>
        <v>291375175428.77179</v>
      </c>
      <c r="Y17">
        <f>X17*(1+IF($A17="AEO",'Growth Rates'!Y69,'Growth Rates'!Y69*Y$5))</f>
        <v>293463006720.8244</v>
      </c>
      <c r="Z17">
        <f>Y17*(1+IF($A17="AEO",'Growth Rates'!Z69,'Growth Rates'!Z69*Z$5))</f>
        <v>295508839660.17389</v>
      </c>
      <c r="AA17">
        <f>Z17*(1+IF($A17="AEO",'Growth Rates'!AA69,'Growth Rates'!AA69*AA$5))</f>
        <v>297553720149.82965</v>
      </c>
      <c r="AB17">
        <f>AA17*(1+IF($A17="AEO",'Growth Rates'!AB69,'Growth Rates'!AB69*AB$5))</f>
        <v>299687378746.32776</v>
      </c>
      <c r="AC17">
        <f>AB17*(1+IF($A17="AEO",'Growth Rates'!AC69,'Growth Rates'!AC69*AC$5))</f>
        <v>301651671211.49841</v>
      </c>
    </row>
    <row r="18" spans="1:29" x14ac:dyDescent="0.25">
      <c r="A18" t="s">
        <v>1227</v>
      </c>
      <c r="B18" t="s">
        <v>201</v>
      </c>
      <c r="C18">
        <f>'Data from BVAbIC'!K2</f>
        <v>21056500000</v>
      </c>
      <c r="D18">
        <f>C18*(1+IF($A18="AEO",'Growth Rates'!D70,'Growth Rates'!D70*D$5))</f>
        <v>18671425376.53487</v>
      </c>
      <c r="E18">
        <f>D18*(1+IF($A18="AEO",'Growth Rates'!E70,'Growth Rates'!E70*E$5))</f>
        <v>18907700834.425732</v>
      </c>
      <c r="F18">
        <f>E18*(1+IF($A18="AEO",'Growth Rates'!F70,'Growth Rates'!F70*F$5))</f>
        <v>19167411781.537865</v>
      </c>
      <c r="G18">
        <f>F18*(1+IF($A18="AEO",'Growth Rates'!G70,'Growth Rates'!G70*G$5))</f>
        <v>18611963350.475071</v>
      </c>
      <c r="H18">
        <f>G18*(1+IF($A18="AEO",'Growth Rates'!H70,'Growth Rates'!H70*H$5))</f>
        <v>17907689239.976021</v>
      </c>
      <c r="I18">
        <f>H18*(1+IF($A18="AEO",'Growth Rates'!I70,'Growth Rates'!I70*I$5))</f>
        <v>17590336152.52969</v>
      </c>
      <c r="J18">
        <f>I18*(1+IF($A18="AEO",'Growth Rates'!J70,'Growth Rates'!J70*J$5))</f>
        <v>17492646649.401608</v>
      </c>
      <c r="K18">
        <f>J18*(1+IF($A18="AEO",'Growth Rates'!K70,'Growth Rates'!K70*K$5))</f>
        <v>17442720862.776825</v>
      </c>
      <c r="L18">
        <f>K18*(1+IF($A18="AEO",'Growth Rates'!L70,'Growth Rates'!L70*L$5))</f>
        <v>17488265159.818554</v>
      </c>
      <c r="M18">
        <f>L18*(1+IF($A18="AEO",'Growth Rates'!M70,'Growth Rates'!M70*M$5))</f>
        <v>17613850337.78986</v>
      </c>
      <c r="N18">
        <f>M18*(1+IF($A18="AEO",'Growth Rates'!N70,'Growth Rates'!N70*N$5))</f>
        <v>17689758880.15834</v>
      </c>
      <c r="O18">
        <f>N18*(1+IF($A18="AEO",'Growth Rates'!O70,'Growth Rates'!O70*O$5))</f>
        <v>17680767459.454205</v>
      </c>
      <c r="P18">
        <f>O18*(1+IF($A18="AEO",'Growth Rates'!P70,'Growth Rates'!P70*P$5))</f>
        <v>17703644748.431904</v>
      </c>
      <c r="Q18">
        <f>P18*(1+IF($A18="AEO",'Growth Rates'!Q70,'Growth Rates'!Q70*Q$5))</f>
        <v>17738824108.074291</v>
      </c>
      <c r="R18">
        <f>Q18*(1+IF($A18="AEO",'Growth Rates'!R70,'Growth Rates'!R70*R$5))</f>
        <v>17755662192.932831</v>
      </c>
      <c r="S18">
        <f>R18*(1+IF($A18="AEO",'Growth Rates'!S70,'Growth Rates'!S70*S$5))</f>
        <v>17824489684.837139</v>
      </c>
      <c r="T18">
        <f>S18*(1+IF($A18="AEO",'Growth Rates'!T70,'Growth Rates'!T70*T$5))</f>
        <v>17888811748.862309</v>
      </c>
      <c r="U18">
        <f>T18*(1+IF($A18="AEO",'Growth Rates'!U70,'Growth Rates'!U70*U$5))</f>
        <v>17931353170.735317</v>
      </c>
      <c r="V18">
        <f>U18*(1+IF($A18="AEO",'Growth Rates'!V70,'Growth Rates'!V70*V$5))</f>
        <v>17971717229.329491</v>
      </c>
      <c r="W18">
        <f>V18*(1+IF($A18="AEO",'Growth Rates'!W70,'Growth Rates'!W70*W$5))</f>
        <v>18025451012.136398</v>
      </c>
      <c r="X18">
        <f>W18*(1+IF($A18="AEO",'Growth Rates'!X70,'Growth Rates'!X70*X$5))</f>
        <v>18092923466.577305</v>
      </c>
      <c r="Y18">
        <f>X18*(1+IF($A18="AEO",'Growth Rates'!Y70,'Growth Rates'!Y70*Y$5))</f>
        <v>18125821596.913799</v>
      </c>
      <c r="Z18">
        <f>Y18*(1+IF($A18="AEO",'Growth Rates'!Z70,'Growth Rates'!Z70*Z$5))</f>
        <v>18092198953.247475</v>
      </c>
      <c r="AA18">
        <f>Z18*(1+IF($A18="AEO",'Growth Rates'!AA70,'Growth Rates'!AA70*AA$5))</f>
        <v>18004629059.786121</v>
      </c>
      <c r="AB18">
        <f>AA18*(1+IF($A18="AEO",'Growth Rates'!AB70,'Growth Rates'!AB70*AB$5))</f>
        <v>17981259522.305962</v>
      </c>
      <c r="AC18">
        <f>AB18*(1+IF($A18="AEO",'Growth Rates'!AC70,'Growth Rates'!AC70*AC$5))</f>
        <v>17963722412.713184</v>
      </c>
    </row>
    <row r="19" spans="1:29" x14ac:dyDescent="0.25">
      <c r="A19" t="s">
        <v>1227</v>
      </c>
      <c r="B19" t="s">
        <v>210</v>
      </c>
      <c r="C19">
        <f>'Data from BVAbIC'!L2</f>
        <v>44040100000</v>
      </c>
      <c r="D19">
        <f>C19*(1+IF($A19="AEO",'Growth Rates'!D71,'Growth Rates'!D71*D$5))</f>
        <v>53132952010.177711</v>
      </c>
      <c r="E19">
        <f>D19*(1+IF($A19="AEO",'Growth Rates'!E71,'Growth Rates'!E71*E$5))</f>
        <v>44588507258.956459</v>
      </c>
      <c r="F19">
        <f>E19*(1+IF($A19="AEO",'Growth Rates'!F71,'Growth Rates'!F71*F$5))</f>
        <v>41916474888.303802</v>
      </c>
      <c r="G19">
        <f>F19*(1+IF($A19="AEO",'Growth Rates'!G71,'Growth Rates'!G71*G$5))</f>
        <v>43952674643.226006</v>
      </c>
      <c r="H19">
        <f>G19*(1+IF($A19="AEO",'Growth Rates'!H71,'Growth Rates'!H71*H$5))</f>
        <v>47399225027.871956</v>
      </c>
      <c r="I19">
        <f>H19*(1+IF($A19="AEO",'Growth Rates'!I71,'Growth Rates'!I71*I$5))</f>
        <v>47913908693.093536</v>
      </c>
      <c r="J19">
        <f>I19*(1+IF($A19="AEO",'Growth Rates'!J71,'Growth Rates'!J71*J$5))</f>
        <v>46696470624.433472</v>
      </c>
      <c r="K19">
        <f>J19*(1+IF($A19="AEO",'Growth Rates'!K71,'Growth Rates'!K71*K$5))</f>
        <v>46552646691.192657</v>
      </c>
      <c r="L19">
        <f>K19*(1+IF($A19="AEO",'Growth Rates'!L71,'Growth Rates'!L71*L$5))</f>
        <v>47616287181.731354</v>
      </c>
      <c r="M19">
        <f>L19*(1+IF($A19="AEO",'Growth Rates'!M71,'Growth Rates'!M71*M$5))</f>
        <v>49472607332.882004</v>
      </c>
      <c r="N19">
        <f>M19*(1+IF($A19="AEO",'Growth Rates'!N71,'Growth Rates'!N71*N$5))</f>
        <v>50918173620.059189</v>
      </c>
      <c r="O19">
        <f>N19*(1+IF($A19="AEO",'Growth Rates'!O71,'Growth Rates'!O71*O$5))</f>
        <v>52406703197.292015</v>
      </c>
      <c r="P19">
        <f>O19*(1+IF($A19="AEO",'Growth Rates'!P71,'Growth Rates'!P71*P$5))</f>
        <v>53510432495.203583</v>
      </c>
      <c r="Q19">
        <f>P19*(1+IF($A19="AEO",'Growth Rates'!Q71,'Growth Rates'!Q71*Q$5))</f>
        <v>54703000000.866791</v>
      </c>
      <c r="R19">
        <f>Q19*(1+IF($A19="AEO",'Growth Rates'!R71,'Growth Rates'!R71*R$5))</f>
        <v>55579116634.371559</v>
      </c>
      <c r="S19">
        <f>R19*(1+IF($A19="AEO",'Growth Rates'!S71,'Growth Rates'!S71*S$5))</f>
        <v>55866935009.634445</v>
      </c>
      <c r="T19">
        <f>S19*(1+IF($A19="AEO",'Growth Rates'!T71,'Growth Rates'!T71*T$5))</f>
        <v>54860584127.015381</v>
      </c>
      <c r="U19">
        <f>T19*(1+IF($A19="AEO",'Growth Rates'!U71,'Growth Rates'!U71*U$5))</f>
        <v>54278056763.089882</v>
      </c>
      <c r="V19">
        <f>U19*(1+IF($A19="AEO",'Growth Rates'!V71,'Growth Rates'!V71*V$5))</f>
        <v>53196995734.96611</v>
      </c>
      <c r="W19">
        <f>V19*(1+IF($A19="AEO",'Growth Rates'!W71,'Growth Rates'!W71*W$5))</f>
        <v>52485353393.480042</v>
      </c>
      <c r="X19">
        <f>W19*(1+IF($A19="AEO",'Growth Rates'!X71,'Growth Rates'!X71*X$5))</f>
        <v>52817152741.130898</v>
      </c>
      <c r="Y19">
        <f>X19*(1+IF($A19="AEO",'Growth Rates'!Y71,'Growth Rates'!Y71*Y$5))</f>
        <v>53134239552.864639</v>
      </c>
      <c r="Z19">
        <f>Y19*(1+IF($A19="AEO",'Growth Rates'!Z71,'Growth Rates'!Z71*Z$5))</f>
        <v>53612054386.254753</v>
      </c>
      <c r="AA19">
        <f>Z19*(1+IF($A19="AEO",'Growth Rates'!AA71,'Growth Rates'!AA71*AA$5))</f>
        <v>54045018249.695732</v>
      </c>
      <c r="AB19">
        <f>AA19*(1+IF($A19="AEO",'Growth Rates'!AB71,'Growth Rates'!AB71*AB$5))</f>
        <v>54787447943.147789</v>
      </c>
      <c r="AC19">
        <f>AB19*(1+IF($A19="AEO",'Growth Rates'!AC71,'Growth Rates'!AC71*AC$5))</f>
        <v>55403047297.696518</v>
      </c>
    </row>
    <row r="20" spans="1:29" x14ac:dyDescent="0.25">
      <c r="A20" t="s">
        <v>1227</v>
      </c>
      <c r="B20" t="s">
        <v>219</v>
      </c>
      <c r="C20">
        <f>'Data from BVAbIC'!M2</f>
        <v>84707600000</v>
      </c>
      <c r="D20">
        <f>C20*(1+IF($A20="AEO",'Growth Rates'!D72,'Growth Rates'!D72*D$5))</f>
        <v>80467335563.00412</v>
      </c>
      <c r="E20">
        <f>D20*(1+IF($A20="AEO",'Growth Rates'!E72,'Growth Rates'!E72*E$5))</f>
        <v>79737836126.230652</v>
      </c>
      <c r="F20">
        <f>E20*(1+IF($A20="AEO",'Growth Rates'!F72,'Growth Rates'!F72*F$5))</f>
        <v>79839779800.97168</v>
      </c>
      <c r="G20">
        <f>F20*(1+IF($A20="AEO",'Growth Rates'!G72,'Growth Rates'!G72*G$5))</f>
        <v>79265520045.264069</v>
      </c>
      <c r="H20">
        <f>G20*(1+IF($A20="AEO",'Growth Rates'!H72,'Growth Rates'!H72*H$5))</f>
        <v>78760025317.291199</v>
      </c>
      <c r="I20">
        <f>H20*(1+IF($A20="AEO",'Growth Rates'!I72,'Growth Rates'!I72*I$5))</f>
        <v>78266528047.906631</v>
      </c>
      <c r="J20">
        <f>I20*(1+IF($A20="AEO",'Growth Rates'!J72,'Growth Rates'!J72*J$5))</f>
        <v>78079160193.834045</v>
      </c>
      <c r="K20">
        <f>J20*(1+IF($A20="AEO",'Growth Rates'!K72,'Growth Rates'!K72*K$5))</f>
        <v>77843382010.54892</v>
      </c>
      <c r="L20">
        <f>K20*(1+IF($A20="AEO",'Growth Rates'!L72,'Growth Rates'!L72*L$5))</f>
        <v>77524318371.785263</v>
      </c>
      <c r="M20">
        <f>L20*(1+IF($A20="AEO",'Growth Rates'!M72,'Growth Rates'!M72*M$5))</f>
        <v>77259728277.582031</v>
      </c>
      <c r="N20">
        <f>M20*(1+IF($A20="AEO",'Growth Rates'!N72,'Growth Rates'!N72*N$5))</f>
        <v>76993837015.075699</v>
      </c>
      <c r="O20">
        <f>N20*(1+IF($A20="AEO",'Growth Rates'!O72,'Growth Rates'!O72*O$5))</f>
        <v>76748268780.426147</v>
      </c>
      <c r="P20">
        <f>O20*(1+IF($A20="AEO",'Growth Rates'!P72,'Growth Rates'!P72*P$5))</f>
        <v>76507853324.886597</v>
      </c>
      <c r="Q20">
        <f>P20*(1+IF($A20="AEO",'Growth Rates'!Q72,'Growth Rates'!Q72*Q$5))</f>
        <v>76528227102.122925</v>
      </c>
      <c r="R20">
        <f>Q20*(1+IF($A20="AEO",'Growth Rates'!R72,'Growth Rates'!R72*R$5))</f>
        <v>76784626704.353699</v>
      </c>
      <c r="S20">
        <f>R20*(1+IF($A20="AEO",'Growth Rates'!S72,'Growth Rates'!S72*S$5))</f>
        <v>77206578795.781662</v>
      </c>
      <c r="T20">
        <f>S20*(1+IF($A20="AEO",'Growth Rates'!T72,'Growth Rates'!T72*T$5))</f>
        <v>77528354664.544876</v>
      </c>
      <c r="U20">
        <f>T20*(1+IF($A20="AEO",'Growth Rates'!U72,'Growth Rates'!U72*U$5))</f>
        <v>77949353583.415329</v>
      </c>
      <c r="V20">
        <f>U20*(1+IF($A20="AEO",'Growth Rates'!V72,'Growth Rates'!V72*V$5))</f>
        <v>78402131153.249832</v>
      </c>
      <c r="W20">
        <f>V20*(1+IF($A20="AEO",'Growth Rates'!W72,'Growth Rates'!W72*W$5))</f>
        <v>78873672256.84877</v>
      </c>
      <c r="X20">
        <f>W20*(1+IF($A20="AEO",'Growth Rates'!X72,'Growth Rates'!X72*X$5))</f>
        <v>79400087939.578979</v>
      </c>
      <c r="Y20">
        <f>X20*(1+IF($A20="AEO",'Growth Rates'!Y72,'Growth Rates'!Y72*Y$5))</f>
        <v>79860773636.416946</v>
      </c>
      <c r="Z20">
        <f>Y20*(1+IF($A20="AEO",'Growth Rates'!Z72,'Growth Rates'!Z72*Z$5))</f>
        <v>80419050771.730484</v>
      </c>
      <c r="AA20">
        <f>Z20*(1+IF($A20="AEO",'Growth Rates'!AA72,'Growth Rates'!AA72*AA$5))</f>
        <v>80973869317.748047</v>
      </c>
      <c r="AB20">
        <f>AA20*(1+IF($A20="AEO",'Growth Rates'!AB72,'Growth Rates'!AB72*AB$5))</f>
        <v>81611433773.20874</v>
      </c>
      <c r="AC20">
        <f>AB20*(1+IF($A20="AEO",'Growth Rates'!AC72,'Growth Rates'!AC72*AC$5))</f>
        <v>82112248874.181839</v>
      </c>
    </row>
    <row r="21" spans="1:29" x14ac:dyDescent="0.25">
      <c r="A21" t="s">
        <v>1227</v>
      </c>
      <c r="B21" t="s">
        <v>228</v>
      </c>
      <c r="C21">
        <f>'Data from BVAbIC'!N2</f>
        <v>137808000000</v>
      </c>
      <c r="D21">
        <f>C21*(1+IF($A21="AEO",'Growth Rates'!D73,'Growth Rates'!D73*D$5))</f>
        <v>137935880887.01016</v>
      </c>
      <c r="E21">
        <f>D21*(1+IF($A21="AEO",'Growth Rates'!E73,'Growth Rates'!E73*E$5))</f>
        <v>138469676056.59866</v>
      </c>
      <c r="F21">
        <f>E21*(1+IF($A21="AEO",'Growth Rates'!F73,'Growth Rates'!F73*F$5))</f>
        <v>138207957790.28735</v>
      </c>
      <c r="G21">
        <f>F21*(1+IF($A21="AEO",'Growth Rates'!G73,'Growth Rates'!G73*G$5))</f>
        <v>137730086722.95535</v>
      </c>
      <c r="H21">
        <f>G21*(1+IF($A21="AEO",'Growth Rates'!H73,'Growth Rates'!H73*H$5))</f>
        <v>136457528545.67894</v>
      </c>
      <c r="I21">
        <f>H21*(1+IF($A21="AEO",'Growth Rates'!I73,'Growth Rates'!I73*I$5))</f>
        <v>135704602417.96799</v>
      </c>
      <c r="J21">
        <f>I21*(1+IF($A21="AEO",'Growth Rates'!J73,'Growth Rates'!J73*J$5))</f>
        <v>134806697579.46974</v>
      </c>
      <c r="K21">
        <f>J21*(1+IF($A21="AEO",'Growth Rates'!K73,'Growth Rates'!K73*K$5))</f>
        <v>134455663984.54172</v>
      </c>
      <c r="L21">
        <f>K21*(1+IF($A21="AEO",'Growth Rates'!L73,'Growth Rates'!L73*L$5))</f>
        <v>134180358711.23877</v>
      </c>
      <c r="M21">
        <f>L21*(1+IF($A21="AEO",'Growth Rates'!M73,'Growth Rates'!M73*M$5))</f>
        <v>134279641596.69249</v>
      </c>
      <c r="N21">
        <f>M21*(1+IF($A21="AEO",'Growth Rates'!N73,'Growth Rates'!N73*N$5))</f>
        <v>134476946686.25548</v>
      </c>
      <c r="O21">
        <f>N21*(1+IF($A21="AEO",'Growth Rates'!O73,'Growth Rates'!O73*O$5))</f>
        <v>133997238646.46013</v>
      </c>
      <c r="P21">
        <f>O21*(1+IF($A21="AEO",'Growth Rates'!P73,'Growth Rates'!P73*P$5))</f>
        <v>132940713773.49838</v>
      </c>
      <c r="Q21">
        <f>P21*(1+IF($A21="AEO",'Growth Rates'!Q73,'Growth Rates'!Q73*Q$5))</f>
        <v>131921514969.99695</v>
      </c>
      <c r="R21">
        <f>Q21*(1+IF($A21="AEO",'Growth Rates'!R73,'Growth Rates'!R73*R$5))</f>
        <v>131395176501.71848</v>
      </c>
      <c r="S21">
        <f>R21*(1+IF($A21="AEO",'Growth Rates'!S73,'Growth Rates'!S73*S$5))</f>
        <v>131197980223.61212</v>
      </c>
      <c r="T21">
        <f>S21*(1+IF($A21="AEO",'Growth Rates'!T73,'Growth Rates'!T73*T$5))</f>
        <v>131392339567.99661</v>
      </c>
      <c r="U21">
        <f>T21*(1+IF($A21="AEO",'Growth Rates'!U73,'Growth Rates'!U73*U$5))</f>
        <v>131163197599.68953</v>
      </c>
      <c r="V21">
        <f>U21*(1+IF($A21="AEO",'Growth Rates'!V73,'Growth Rates'!V73*V$5))</f>
        <v>130478967296.69572</v>
      </c>
      <c r="W21">
        <f>V21*(1+IF($A21="AEO",'Growth Rates'!W73,'Growth Rates'!W73*W$5))</f>
        <v>129728671521.2178</v>
      </c>
      <c r="X21">
        <f>W21*(1+IF($A21="AEO",'Growth Rates'!X73,'Growth Rates'!X73*X$5))</f>
        <v>129054810718.52682</v>
      </c>
      <c r="Y21">
        <f>X21*(1+IF($A21="AEO",'Growth Rates'!Y73,'Growth Rates'!Y73*Y$5))</f>
        <v>129144202446.67693</v>
      </c>
      <c r="Z21">
        <f>Y21*(1+IF($A21="AEO",'Growth Rates'!Z73,'Growth Rates'!Z73*Z$5))</f>
        <v>129376637786.94377</v>
      </c>
      <c r="AA21">
        <f>Z21*(1+IF($A21="AEO",'Growth Rates'!AA73,'Growth Rates'!AA73*AA$5))</f>
        <v>128903005914.23296</v>
      </c>
      <c r="AB21">
        <f>AA21*(1+IF($A21="AEO",'Growth Rates'!AB73,'Growth Rates'!AB73*AB$5))</f>
        <v>128611189971.60867</v>
      </c>
      <c r="AC21">
        <f>AB21*(1+IF($A21="AEO",'Growth Rates'!AC73,'Growth Rates'!AC73*AC$5))</f>
        <v>128553363716.86732</v>
      </c>
    </row>
    <row r="22" spans="1:29" x14ac:dyDescent="0.25">
      <c r="A22" t="s">
        <v>1227</v>
      </c>
      <c r="B22" t="s">
        <v>233</v>
      </c>
      <c r="C22">
        <f>'Data from BVAbIC'!O2</f>
        <v>269741000000</v>
      </c>
      <c r="D22">
        <f>C22*(1+IF($A22="AEO",'Growth Rates'!D74,'Growth Rates'!D74*D$5))</f>
        <v>289075377103.20428</v>
      </c>
      <c r="E22">
        <f>D22*(1+IF($A22="AEO",'Growth Rates'!E74,'Growth Rates'!E74*E$5))</f>
        <v>285224097534.73315</v>
      </c>
      <c r="F22">
        <f>E22*(1+IF($A22="AEO",'Growth Rates'!F74,'Growth Rates'!F74*F$5))</f>
        <v>281899414438.58673</v>
      </c>
      <c r="G22">
        <f>F22*(1+IF($A22="AEO",'Growth Rates'!G74,'Growth Rates'!G74*G$5))</f>
        <v>280776472498.41541</v>
      </c>
      <c r="H22">
        <f>G22*(1+IF($A22="AEO",'Growth Rates'!H74,'Growth Rates'!H74*H$5))</f>
        <v>278401439868.61523</v>
      </c>
      <c r="I22">
        <f>H22*(1+IF($A22="AEO",'Growth Rates'!I74,'Growth Rates'!I74*I$5))</f>
        <v>278302072597.90466</v>
      </c>
      <c r="J22">
        <f>I22*(1+IF($A22="AEO",'Growth Rates'!J74,'Growth Rates'!J74*J$5))</f>
        <v>279585126573.64142</v>
      </c>
      <c r="K22">
        <f>J22*(1+IF($A22="AEO",'Growth Rates'!K74,'Growth Rates'!K74*K$5))</f>
        <v>281226659668.04639</v>
      </c>
      <c r="L22">
        <f>K22*(1+IF($A22="AEO",'Growth Rates'!L74,'Growth Rates'!L74*L$5))</f>
        <v>284309117311.38788</v>
      </c>
      <c r="M22">
        <f>L22*(1+IF($A22="AEO",'Growth Rates'!M74,'Growth Rates'!M74*M$5))</f>
        <v>287421601405.68842</v>
      </c>
      <c r="N22">
        <f>M22*(1+IF($A22="AEO",'Growth Rates'!N74,'Growth Rates'!N74*N$5))</f>
        <v>290769384647.18451</v>
      </c>
      <c r="O22">
        <f>N22*(1+IF($A22="AEO",'Growth Rates'!O74,'Growth Rates'!O74*O$5))</f>
        <v>294250227516.04144</v>
      </c>
      <c r="P22">
        <f>O22*(1+IF($A22="AEO",'Growth Rates'!P74,'Growth Rates'!P74*P$5))</f>
        <v>298090079497.94379</v>
      </c>
      <c r="Q22">
        <f>P22*(1+IF($A22="AEO",'Growth Rates'!Q74,'Growth Rates'!Q74*Q$5))</f>
        <v>301966659622.92841</v>
      </c>
      <c r="R22">
        <f>Q22*(1+IF($A22="AEO",'Growth Rates'!R74,'Growth Rates'!R74*R$5))</f>
        <v>306498007083.34454</v>
      </c>
      <c r="S22">
        <f>R22*(1+IF($A22="AEO",'Growth Rates'!S74,'Growth Rates'!S74*S$5))</f>
        <v>311324868795.18365</v>
      </c>
      <c r="T22">
        <f>S22*(1+IF($A22="AEO",'Growth Rates'!T74,'Growth Rates'!T74*T$5))</f>
        <v>316729294549.44366</v>
      </c>
      <c r="U22">
        <f>T22*(1+IF($A22="AEO",'Growth Rates'!U74,'Growth Rates'!U74*U$5))</f>
        <v>322966708594.66663</v>
      </c>
      <c r="V22">
        <f>U22*(1+IF($A22="AEO",'Growth Rates'!V74,'Growth Rates'!V74*V$5))</f>
        <v>328979701727.40845</v>
      </c>
      <c r="W22">
        <f>V22*(1+IF($A22="AEO",'Growth Rates'!W74,'Growth Rates'!W74*W$5))</f>
        <v>335212104856.02087</v>
      </c>
      <c r="X22">
        <f>W22*(1+IF($A22="AEO",'Growth Rates'!X74,'Growth Rates'!X74*X$5))</f>
        <v>342027836550.27905</v>
      </c>
      <c r="Y22">
        <f>X22*(1+IF($A22="AEO",'Growth Rates'!Y74,'Growth Rates'!Y74*Y$5))</f>
        <v>349412942739.08368</v>
      </c>
      <c r="Z22">
        <f>Y22*(1+IF($A22="AEO",'Growth Rates'!Z74,'Growth Rates'!Z74*Z$5))</f>
        <v>357132124942.73834</v>
      </c>
      <c r="AA22">
        <f>Z22*(1+IF($A22="AEO",'Growth Rates'!AA74,'Growth Rates'!AA74*AA$5))</f>
        <v>364133900015.83405</v>
      </c>
      <c r="AB22">
        <f>AA22*(1+IF($A22="AEO",'Growth Rates'!AB74,'Growth Rates'!AB74*AB$5))</f>
        <v>370851710576.43201</v>
      </c>
      <c r="AC22">
        <f>AB22*(1+IF($A22="AEO",'Growth Rates'!AC74,'Growth Rates'!AC74*AC$5))</f>
        <v>378349180579.42194</v>
      </c>
    </row>
    <row r="23" spans="1:29" x14ac:dyDescent="0.25">
      <c r="B23" t="s">
        <v>238</v>
      </c>
      <c r="C23">
        <f>'Data from BVAbIC'!P2</f>
        <v>135756000000</v>
      </c>
      <c r="D23">
        <f>C23*(1+IF($A23="AEO",'Growth Rates'!D75,'Growth Rates'!D75*D$5))</f>
        <v>138739742410.75198</v>
      </c>
      <c r="E23">
        <f>D23*(1+IF($A23="AEO",'Growth Rates'!E75,'Growth Rates'!E75*E$5))</f>
        <v>143663757330.26489</v>
      </c>
      <c r="F23">
        <f>E23*(1+IF($A23="AEO",'Growth Rates'!F75,'Growth Rates'!F75*F$5))</f>
        <v>146985356297.06409</v>
      </c>
      <c r="G23">
        <f>F23*(1+IF($A23="AEO",'Growth Rates'!G75,'Growth Rates'!G75*G$5))</f>
        <v>149289333380.73871</v>
      </c>
      <c r="H23">
        <f>G23*(1+IF($A23="AEO",'Growth Rates'!H75,'Growth Rates'!H75*H$5))</f>
        <v>152067856316.3765</v>
      </c>
      <c r="I23">
        <f>H23*(1+IF($A23="AEO",'Growth Rates'!I75,'Growth Rates'!I75*I$5))</f>
        <v>155255693014.43994</v>
      </c>
      <c r="J23">
        <f>I23*(1+IF($A23="AEO",'Growth Rates'!J75,'Growth Rates'!J75*J$5))</f>
        <v>158396937058.40494</v>
      </c>
      <c r="K23">
        <f>J23*(1+IF($A23="AEO",'Growth Rates'!K75,'Growth Rates'!K75*K$5))</f>
        <v>161981959840.19</v>
      </c>
      <c r="L23">
        <f>K23*(1+IF($A23="AEO",'Growth Rates'!L75,'Growth Rates'!L75*L$5))</f>
        <v>165882932598.78952</v>
      </c>
      <c r="M23">
        <f>L23*(1+IF($A23="AEO",'Growth Rates'!M75,'Growth Rates'!M75*M$5))</f>
        <v>170054024199.9574</v>
      </c>
      <c r="N23">
        <f>M23*(1+IF($A23="AEO",'Growth Rates'!N75,'Growth Rates'!N75*N$5))</f>
        <v>174490559704.64078</v>
      </c>
      <c r="O23">
        <f>N23*(1+IF($A23="AEO",'Growth Rates'!O75,'Growth Rates'!O75*O$5))</f>
        <v>178195602055.15848</v>
      </c>
      <c r="P23">
        <f>O23*(1+IF($A23="AEO",'Growth Rates'!P75,'Growth Rates'!P75*P$5))</f>
        <v>181882799285.05902</v>
      </c>
      <c r="Q23">
        <f>P23*(1+IF($A23="AEO",'Growth Rates'!Q75,'Growth Rates'!Q75*Q$5))</f>
        <v>185594254813.92032</v>
      </c>
      <c r="R23">
        <f>Q23*(1+IF($A23="AEO",'Growth Rates'!R75,'Growth Rates'!R75*R$5))</f>
        <v>189244325817.93463</v>
      </c>
      <c r="S23">
        <f>R23*(1+IF($A23="AEO",'Growth Rates'!S75,'Growth Rates'!S75*S$5))</f>
        <v>192917144163.58136</v>
      </c>
      <c r="T23">
        <f>S23*(1+IF($A23="AEO",'Growth Rates'!T75,'Growth Rates'!T75*T$5))</f>
        <v>196487957608.42032</v>
      </c>
      <c r="U23">
        <f>T23*(1+IF($A23="AEO",'Growth Rates'!U75,'Growth Rates'!U75*U$5))</f>
        <v>200158519841.67444</v>
      </c>
      <c r="V23">
        <f>U23*(1+IF($A23="AEO",'Growth Rates'!V75,'Growth Rates'!V75*V$5))</f>
        <v>203980768097.81992</v>
      </c>
      <c r="W23">
        <f>V23*(1+IF($A23="AEO",'Growth Rates'!W75,'Growth Rates'!W75*W$5))</f>
        <v>207823558630.48721</v>
      </c>
      <c r="X23">
        <f>W23*(1+IF($A23="AEO",'Growth Rates'!X75,'Growth Rates'!X75*X$5))</f>
        <v>211615752872.15109</v>
      </c>
      <c r="Y23">
        <f>X23*(1+IF($A23="AEO",'Growth Rates'!Y75,'Growth Rates'!Y75*Y$5))</f>
        <v>215288711919.33688</v>
      </c>
      <c r="Z23">
        <f>Y23*(1+IF($A23="AEO",'Growth Rates'!Z75,'Growth Rates'!Z75*Z$5))</f>
        <v>218806427012.82504</v>
      </c>
      <c r="AA23">
        <f>Z23*(1+IF($A23="AEO",'Growth Rates'!AA75,'Growth Rates'!AA75*AA$5))</f>
        <v>222343009910.48972</v>
      </c>
      <c r="AB23">
        <f>AA23*(1+IF($A23="AEO",'Growth Rates'!AB75,'Growth Rates'!AB75*AB$5))</f>
        <v>225759586912.95316</v>
      </c>
      <c r="AC23">
        <f>AB23*(1+IF($A23="AEO",'Growth Rates'!AC75,'Growth Rates'!AC75*AC$5))</f>
        <v>229305648878.66266</v>
      </c>
    </row>
    <row r="24" spans="1:29" x14ac:dyDescent="0.25">
      <c r="A24" t="s">
        <v>1227</v>
      </c>
      <c r="B24" t="s">
        <v>241</v>
      </c>
      <c r="C24">
        <f>'Data from BVAbIC'!Q2</f>
        <v>74268200000</v>
      </c>
      <c r="D24">
        <f>C24*(1+IF($A24="AEO",'Growth Rates'!D76,'Growth Rates'!D76*D$5))</f>
        <v>75584545479.288269</v>
      </c>
      <c r="E24">
        <f>D24*(1+IF($A24="AEO",'Growth Rates'!E76,'Growth Rates'!E76*E$5))</f>
        <v>75140639978.403915</v>
      </c>
      <c r="F24">
        <f>E24*(1+IF($A24="AEO",'Growth Rates'!F76,'Growth Rates'!F76*F$5))</f>
        <v>76838504086.386993</v>
      </c>
      <c r="G24">
        <f>F24*(1+IF($A24="AEO",'Growth Rates'!G76,'Growth Rates'!G76*G$5))</f>
        <v>77766589652.800003</v>
      </c>
      <c r="H24">
        <f>G24*(1+IF($A24="AEO",'Growth Rates'!H76,'Growth Rates'!H76*H$5))</f>
        <v>78104108923.863556</v>
      </c>
      <c r="I24">
        <f>H24*(1+IF($A24="AEO",'Growth Rates'!I76,'Growth Rates'!I76*I$5))</f>
        <v>78927195832.41362</v>
      </c>
      <c r="J24">
        <f>I24*(1+IF($A24="AEO",'Growth Rates'!J76,'Growth Rates'!J76*J$5))</f>
        <v>79867978364.309433</v>
      </c>
      <c r="K24">
        <f>J24*(1+IF($A24="AEO",'Growth Rates'!K76,'Growth Rates'!K76*K$5))</f>
        <v>80445286998.978561</v>
      </c>
      <c r="L24">
        <f>K24*(1+IF($A24="AEO",'Growth Rates'!L76,'Growth Rates'!L76*L$5))</f>
        <v>80982812508.025513</v>
      </c>
      <c r="M24">
        <f>L24*(1+IF($A24="AEO",'Growth Rates'!M76,'Growth Rates'!M76*M$5))</f>
        <v>81342795963.969757</v>
      </c>
      <c r="N24">
        <f>M24*(1+IF($A24="AEO",'Growth Rates'!N76,'Growth Rates'!N76*N$5))</f>
        <v>81977356720.049133</v>
      </c>
      <c r="O24">
        <f>N24*(1+IF($A24="AEO",'Growth Rates'!O76,'Growth Rates'!O76*O$5))</f>
        <v>82925280682.916367</v>
      </c>
      <c r="P24">
        <f>O24*(1+IF($A24="AEO",'Growth Rates'!P76,'Growth Rates'!P76*P$5))</f>
        <v>84050010065.021133</v>
      </c>
      <c r="Q24">
        <f>P24*(1+IF($A24="AEO",'Growth Rates'!Q76,'Growth Rates'!Q76*Q$5))</f>
        <v>85055329908.3293</v>
      </c>
      <c r="R24">
        <f>Q24*(1+IF($A24="AEO",'Growth Rates'!R76,'Growth Rates'!R76*R$5))</f>
        <v>85893520959.123962</v>
      </c>
      <c r="S24">
        <f>R24*(1+IF($A24="AEO",'Growth Rates'!S76,'Growth Rates'!S76*S$5))</f>
        <v>86902134318.327057</v>
      </c>
      <c r="T24">
        <f>S24*(1+IF($A24="AEO",'Growth Rates'!T76,'Growth Rates'!T76*T$5))</f>
        <v>87921293854.01149</v>
      </c>
      <c r="U24">
        <f>T24*(1+IF($A24="AEO",'Growth Rates'!U76,'Growth Rates'!U76*U$5))</f>
        <v>89016161232.50386</v>
      </c>
      <c r="V24">
        <f>U24*(1+IF($A24="AEO",'Growth Rates'!V76,'Growth Rates'!V76*V$5))</f>
        <v>90037413144.152985</v>
      </c>
      <c r="W24">
        <f>V24*(1+IF($A24="AEO",'Growth Rates'!W76,'Growth Rates'!W76*W$5))</f>
        <v>91080781910.470001</v>
      </c>
      <c r="X24">
        <f>W24*(1+IF($A24="AEO",'Growth Rates'!X76,'Growth Rates'!X76*X$5))</f>
        <v>92223422758.372116</v>
      </c>
      <c r="Y24">
        <f>X24*(1+IF($A24="AEO",'Growth Rates'!Y76,'Growth Rates'!Y76*Y$5))</f>
        <v>93213857420.878998</v>
      </c>
      <c r="Z24">
        <f>Y24*(1+IF($A24="AEO",'Growth Rates'!Z76,'Growth Rates'!Z76*Z$5))</f>
        <v>94126283746.308517</v>
      </c>
      <c r="AA24">
        <f>Z24*(1+IF($A24="AEO",'Growth Rates'!AA76,'Growth Rates'!AA76*AA$5))</f>
        <v>94858493960.753326</v>
      </c>
      <c r="AB24">
        <f>AA24*(1+IF($A24="AEO",'Growth Rates'!AB76,'Growth Rates'!AB76*AB$5))</f>
        <v>95884741411.273682</v>
      </c>
      <c r="AC24">
        <f>AB24*(1+IF($A24="AEO",'Growth Rates'!AC76,'Growth Rates'!AC76*AC$5))</f>
        <v>96908597425.072113</v>
      </c>
    </row>
    <row r="25" spans="1:29" x14ac:dyDescent="0.25">
      <c r="A25" t="s">
        <v>1227</v>
      </c>
      <c r="B25" t="s">
        <v>1214</v>
      </c>
      <c r="C25">
        <f>'Data from BVAbIC'!R2</f>
        <v>10908300000</v>
      </c>
      <c r="D25">
        <f>C25*(1+IF($A25="AEO",'Growth Rates'!D77,'Growth Rates'!D77*D$5))</f>
        <v>10840414159.302183</v>
      </c>
      <c r="E25">
        <f>D25*(1+IF($A25="AEO",'Growth Rates'!E77,'Growth Rates'!E77*E$5))</f>
        <v>10846996486.278215</v>
      </c>
      <c r="F25">
        <f>E25*(1+IF($A25="AEO",'Growth Rates'!F77,'Growth Rates'!F77*F$5))</f>
        <v>10873704135.596916</v>
      </c>
      <c r="G25">
        <f>F25*(1+IF($A25="AEO",'Growth Rates'!G77,'Growth Rates'!G77*G$5))</f>
        <v>10861042919.817461</v>
      </c>
      <c r="H25">
        <f>G25*(1+IF($A25="AEO",'Growth Rates'!H77,'Growth Rates'!H77*H$5))</f>
        <v>10844075019.306852</v>
      </c>
      <c r="I25">
        <f>H25*(1+IF($A25="AEO",'Growth Rates'!I77,'Growth Rates'!I77*I$5))</f>
        <v>10848725465.860918</v>
      </c>
      <c r="J25">
        <f>I25*(1+IF($A25="AEO",'Growth Rates'!J77,'Growth Rates'!J77*J$5))</f>
        <v>10867205714.982985</v>
      </c>
      <c r="K25">
        <f>J25*(1+IF($A25="AEO",'Growth Rates'!K77,'Growth Rates'!K77*K$5))</f>
        <v>10911346563.729404</v>
      </c>
      <c r="L25">
        <f>K25*(1+IF($A25="AEO",'Growth Rates'!L77,'Growth Rates'!L77*L$5))</f>
        <v>10983706393.359169</v>
      </c>
      <c r="M25">
        <f>L25*(1+IF($A25="AEO",'Growth Rates'!M77,'Growth Rates'!M77*M$5))</f>
        <v>11074970072.108763</v>
      </c>
      <c r="N25">
        <f>M25*(1+IF($A25="AEO",'Growth Rates'!N77,'Growth Rates'!N77*N$5))</f>
        <v>11189795165.859941</v>
      </c>
      <c r="O25">
        <f>N25*(1+IF($A25="AEO",'Growth Rates'!O77,'Growth Rates'!O77*O$5))</f>
        <v>11304260733.562599</v>
      </c>
      <c r="P25">
        <f>O25*(1+IF($A25="AEO",'Growth Rates'!P77,'Growth Rates'!P77*P$5))</f>
        <v>11413775825.901253</v>
      </c>
      <c r="Q25">
        <f>P25*(1+IF($A25="AEO",'Growth Rates'!Q77,'Growth Rates'!Q77*Q$5))</f>
        <v>11529272170.549248</v>
      </c>
      <c r="R25">
        <f>Q25*(1+IF($A25="AEO",'Growth Rates'!R77,'Growth Rates'!R77*R$5))</f>
        <v>11643725025.16674</v>
      </c>
      <c r="S25">
        <f>R25*(1+IF($A25="AEO",'Growth Rates'!S77,'Growth Rates'!S77*S$5))</f>
        <v>11760963571.00601</v>
      </c>
      <c r="T25">
        <f>S25*(1+IF($A25="AEO",'Growth Rates'!T77,'Growth Rates'!T77*T$5))</f>
        <v>11884426951.866423</v>
      </c>
      <c r="U25">
        <f>T25*(1+IF($A25="AEO",'Growth Rates'!U77,'Growth Rates'!U77*U$5))</f>
        <v>12012466026.340118</v>
      </c>
      <c r="V25">
        <f>U25*(1+IF($A25="AEO",'Growth Rates'!V77,'Growth Rates'!V77*V$5))</f>
        <v>12145129104.150732</v>
      </c>
      <c r="W25">
        <f>V25*(1+IF($A25="AEO",'Growth Rates'!W77,'Growth Rates'!W77*W$5))</f>
        <v>12276110495.055462</v>
      </c>
      <c r="X25">
        <f>W25*(1+IF($A25="AEO",'Growth Rates'!X77,'Growth Rates'!X77*X$5))</f>
        <v>12411385857.606174</v>
      </c>
      <c r="Y25">
        <f>X25*(1+IF($A25="AEO",'Growth Rates'!Y77,'Growth Rates'!Y77*Y$5))</f>
        <v>12548806680.409662</v>
      </c>
      <c r="Z25">
        <f>Y25*(1+IF($A25="AEO",'Growth Rates'!Z77,'Growth Rates'!Z77*Z$5))</f>
        <v>12686448710.895054</v>
      </c>
      <c r="AA25">
        <f>Z25*(1+IF($A25="AEO",'Growth Rates'!AA77,'Growth Rates'!AA77*AA$5))</f>
        <v>12825654450.855978</v>
      </c>
      <c r="AB25">
        <f>AA25*(1+IF($A25="AEO",'Growth Rates'!AB77,'Growth Rates'!AB77*AB$5))</f>
        <v>12959716476.558363</v>
      </c>
      <c r="AC25">
        <f>AB25*(1+IF($A25="AEO",'Growth Rates'!AC77,'Growth Rates'!AC77*AC$5))</f>
        <v>13094244818.224669</v>
      </c>
    </row>
    <row r="26" spans="1:29" x14ac:dyDescent="0.25">
      <c r="A26" t="s">
        <v>1227</v>
      </c>
      <c r="B26" t="s">
        <v>248</v>
      </c>
      <c r="C26">
        <f>'Data from BVAbIC'!S2</f>
        <v>45826900000</v>
      </c>
      <c r="D26">
        <f>C26*(1+IF($A26="AEO",'Growth Rates'!D78,'Growth Rates'!D78*D$5))</f>
        <v>45981231826.527435</v>
      </c>
      <c r="E26">
        <f>D26*(1+IF($A26="AEO",'Growth Rates'!E78,'Growth Rates'!E78*E$5))</f>
        <v>45240919216.219788</v>
      </c>
      <c r="F26">
        <f>E26*(1+IF($A26="AEO",'Growth Rates'!F78,'Growth Rates'!F78*F$5))</f>
        <v>44457135610.084015</v>
      </c>
      <c r="G26">
        <f>F26*(1+IF($A26="AEO",'Growth Rates'!G78,'Growth Rates'!G78*G$5))</f>
        <v>44320823913.904648</v>
      </c>
      <c r="H26">
        <f>G26*(1+IF($A26="AEO",'Growth Rates'!H78,'Growth Rates'!H78*H$5))</f>
        <v>44195937309.965286</v>
      </c>
      <c r="I26">
        <f>H26*(1+IF($A26="AEO",'Growth Rates'!I78,'Growth Rates'!I78*I$5))</f>
        <v>44326364030.754349</v>
      </c>
      <c r="J26">
        <f>I26*(1+IF($A26="AEO",'Growth Rates'!J78,'Growth Rates'!J78*J$5))</f>
        <v>44657870238.675499</v>
      </c>
      <c r="K26">
        <f>J26*(1+IF($A26="AEO",'Growth Rates'!K78,'Growth Rates'!K78*K$5))</f>
        <v>44961866602.691368</v>
      </c>
      <c r="L26">
        <f>K26*(1+IF($A26="AEO",'Growth Rates'!L78,'Growth Rates'!L78*L$5))</f>
        <v>45383964300.836205</v>
      </c>
      <c r="M26">
        <f>L26*(1+IF($A26="AEO",'Growth Rates'!M78,'Growth Rates'!M78*M$5))</f>
        <v>45831565254.475342</v>
      </c>
      <c r="N26">
        <f>M26*(1+IF($A26="AEO",'Growth Rates'!N78,'Growth Rates'!N78*N$5))</f>
        <v>46269896227.432724</v>
      </c>
      <c r="O26">
        <f>N26*(1+IF($A26="AEO",'Growth Rates'!O78,'Growth Rates'!O78*O$5))</f>
        <v>46729208638.147194</v>
      </c>
      <c r="P26">
        <f>O26*(1+IF($A26="AEO",'Growth Rates'!P78,'Growth Rates'!P78*P$5))</f>
        <v>47144564809.600327</v>
      </c>
      <c r="Q26">
        <f>P26*(1+IF($A26="AEO",'Growth Rates'!Q78,'Growth Rates'!Q78*Q$5))</f>
        <v>47587534079.064537</v>
      </c>
      <c r="R26">
        <f>Q26*(1+IF($A26="AEO",'Growth Rates'!R78,'Growth Rates'!R78*R$5))</f>
        <v>48014428769.681778</v>
      </c>
      <c r="S26">
        <f>R26*(1+IF($A26="AEO",'Growth Rates'!S78,'Growth Rates'!S78*S$5))</f>
        <v>48253067827.92408</v>
      </c>
      <c r="T26">
        <f>S26*(1+IF($A26="AEO",'Growth Rates'!T78,'Growth Rates'!T78*T$5))</f>
        <v>48331277980.986969</v>
      </c>
      <c r="U26">
        <f>T26*(1+IF($A26="AEO",'Growth Rates'!U78,'Growth Rates'!U78*U$5))</f>
        <v>48313955705.974709</v>
      </c>
      <c r="V26">
        <f>U26*(1+IF($A26="AEO",'Growth Rates'!V78,'Growth Rates'!V78*V$5))</f>
        <v>48095871335.761543</v>
      </c>
      <c r="W26">
        <f>V26*(1+IF($A26="AEO",'Growth Rates'!W78,'Growth Rates'!W78*W$5))</f>
        <v>47792293583.218979</v>
      </c>
      <c r="X26">
        <f>W26*(1+IF($A26="AEO",'Growth Rates'!X78,'Growth Rates'!X78*X$5))</f>
        <v>47857573066.932503</v>
      </c>
      <c r="Y26">
        <f>X26*(1+IF($A26="AEO",'Growth Rates'!Y78,'Growth Rates'!Y78*Y$5))</f>
        <v>48158072524.655533</v>
      </c>
      <c r="Z26">
        <f>Y26*(1+IF($A26="AEO",'Growth Rates'!Z78,'Growth Rates'!Z78*Z$5))</f>
        <v>48470046921.428261</v>
      </c>
      <c r="AA26">
        <f>Z26*(1+IF($A26="AEO",'Growth Rates'!AA78,'Growth Rates'!AA78*AA$5))</f>
        <v>48790001385.5215</v>
      </c>
      <c r="AB26">
        <f>AA26*(1+IF($A26="AEO",'Growth Rates'!AB78,'Growth Rates'!AB78*AB$5))</f>
        <v>49100394926.329407</v>
      </c>
      <c r="AC26">
        <f>AB26*(1+IF($A26="AEO",'Growth Rates'!AC78,'Growth Rates'!AC78*AC$5))</f>
        <v>49461480129.399353</v>
      </c>
    </row>
    <row r="27" spans="1:29" x14ac:dyDescent="0.25">
      <c r="A27" t="s">
        <v>1227</v>
      </c>
      <c r="B27" t="s">
        <v>253</v>
      </c>
      <c r="C27">
        <f>'Data from BVAbIC'!T2</f>
        <v>42096300000</v>
      </c>
      <c r="D27">
        <f>C27*(1+IF($A27="AEO",'Growth Rates'!D79,'Growth Rates'!D79*D$5))</f>
        <v>41493530551.009384</v>
      </c>
      <c r="E27">
        <f>D27*(1+IF($A27="AEO",'Growth Rates'!E79,'Growth Rates'!E79*E$5))</f>
        <v>42346787310.596786</v>
      </c>
      <c r="F27">
        <f>E27*(1+IF($A27="AEO",'Growth Rates'!F79,'Growth Rates'!F79*F$5))</f>
        <v>43660661731.558022</v>
      </c>
      <c r="G27">
        <f>F27*(1+IF($A27="AEO",'Growth Rates'!G79,'Growth Rates'!G79*G$5))</f>
        <v>43595726423.673286</v>
      </c>
      <c r="H27">
        <f>G27*(1+IF($A27="AEO",'Growth Rates'!H79,'Growth Rates'!H79*H$5))</f>
        <v>43927603232.331711</v>
      </c>
      <c r="I27">
        <f>H27*(1+IF($A27="AEO",'Growth Rates'!I79,'Growth Rates'!I79*I$5))</f>
        <v>44755051489.749542</v>
      </c>
      <c r="J27">
        <f>I27*(1+IF($A27="AEO",'Growth Rates'!J79,'Growth Rates'!J79*J$5))</f>
        <v>45411716625.933815</v>
      </c>
      <c r="K27">
        <f>J27*(1+IF($A27="AEO",'Growth Rates'!K79,'Growth Rates'!K79*K$5))</f>
        <v>46244568055.785828</v>
      </c>
      <c r="L27">
        <f>K27*(1+IF($A27="AEO",'Growth Rates'!L79,'Growth Rates'!L79*L$5))</f>
        <v>46954572363.557602</v>
      </c>
      <c r="M27">
        <f>L27*(1+IF($A27="AEO",'Growth Rates'!M79,'Growth Rates'!M79*M$5))</f>
        <v>47284135570.735245</v>
      </c>
      <c r="N27">
        <f>M27*(1+IF($A27="AEO",'Growth Rates'!N79,'Growth Rates'!N79*N$5))</f>
        <v>47827137183.547989</v>
      </c>
      <c r="O27">
        <f>N27*(1+IF($A27="AEO",'Growth Rates'!O79,'Growth Rates'!O79*O$5))</f>
        <v>48101148008.707886</v>
      </c>
      <c r="P27">
        <f>O27*(1+IF($A27="AEO",'Growth Rates'!P79,'Growth Rates'!P79*P$5))</f>
        <v>48483588685.636818</v>
      </c>
      <c r="Q27">
        <f>P27*(1+IF($A27="AEO",'Growth Rates'!Q79,'Growth Rates'!Q79*Q$5))</f>
        <v>48744241923.796585</v>
      </c>
      <c r="R27">
        <f>Q27*(1+IF($A27="AEO",'Growth Rates'!R79,'Growth Rates'!R79*R$5))</f>
        <v>48943254086.973442</v>
      </c>
      <c r="S27">
        <f>R27*(1+IF($A27="AEO",'Growth Rates'!S79,'Growth Rates'!S79*S$5))</f>
        <v>49398254941.817657</v>
      </c>
      <c r="T27">
        <f>S27*(1+IF($A27="AEO",'Growth Rates'!T79,'Growth Rates'!T79*T$5))</f>
        <v>49914672810.459549</v>
      </c>
      <c r="U27">
        <f>T27*(1+IF($A27="AEO",'Growth Rates'!U79,'Growth Rates'!U79*U$5))</f>
        <v>50397413361.498375</v>
      </c>
      <c r="V27">
        <f>U27*(1+IF($A27="AEO",'Growth Rates'!V79,'Growth Rates'!V79*V$5))</f>
        <v>50773679746.329681</v>
      </c>
      <c r="W27">
        <f>V27*(1+IF($A27="AEO",'Growth Rates'!W79,'Growth Rates'!W79*W$5))</f>
        <v>51133987106.50383</v>
      </c>
      <c r="X27">
        <f>W27*(1+IF($A27="AEO",'Growth Rates'!X79,'Growth Rates'!X79*X$5))</f>
        <v>51741630371.254005</v>
      </c>
      <c r="Y27">
        <f>X27*(1+IF($A27="AEO",'Growth Rates'!Y79,'Growth Rates'!Y79*Y$5))</f>
        <v>52180159334.117729</v>
      </c>
      <c r="Z27">
        <f>Y27*(1+IF($A27="AEO",'Growth Rates'!Z79,'Growth Rates'!Z79*Z$5))</f>
        <v>52763903709.072403</v>
      </c>
      <c r="AA27">
        <f>Z27*(1+IF($A27="AEO",'Growth Rates'!AA79,'Growth Rates'!AA79*AA$5))</f>
        <v>53227671564.014694</v>
      </c>
      <c r="AB27">
        <f>AA27*(1+IF($A27="AEO",'Growth Rates'!AB79,'Growth Rates'!AB79*AB$5))</f>
        <v>53443441757.91507</v>
      </c>
      <c r="AC27">
        <f>AB27*(1+IF($A27="AEO",'Growth Rates'!AC79,'Growth Rates'!AC79*AC$5))</f>
        <v>53858122511.489464</v>
      </c>
    </row>
    <row r="28" spans="1:29" x14ac:dyDescent="0.25">
      <c r="A28" t="s">
        <v>1227</v>
      </c>
      <c r="B28" t="s">
        <v>258</v>
      </c>
      <c r="C28">
        <f>'Data from BVAbIC'!U2</f>
        <v>19343900000</v>
      </c>
      <c r="D28">
        <f>C28*(1+IF($A28="AEO",'Growth Rates'!D80,'Growth Rates'!D80*D$5))</f>
        <v>19349204697.292946</v>
      </c>
      <c r="E28">
        <f>D28*(1+IF($A28="AEO",'Growth Rates'!E80,'Growth Rates'!E80*E$5))</f>
        <v>19339945329.08646</v>
      </c>
      <c r="F28">
        <f>E28*(1+IF($A28="AEO",'Growth Rates'!F80,'Growth Rates'!F80*F$5))</f>
        <v>19465136934.836044</v>
      </c>
      <c r="G28">
        <f>F28*(1+IF($A28="AEO",'Growth Rates'!G80,'Growth Rates'!G80*G$5))</f>
        <v>19570350739.822174</v>
      </c>
      <c r="H28">
        <f>G28*(1+IF($A28="AEO",'Growth Rates'!H80,'Growth Rates'!H80*H$5))</f>
        <v>19644069437.977905</v>
      </c>
      <c r="I28">
        <f>H28*(1+IF($A28="AEO",'Growth Rates'!I80,'Growth Rates'!I80*I$5))</f>
        <v>19736742342.943592</v>
      </c>
      <c r="J28">
        <f>I28*(1+IF($A28="AEO",'Growth Rates'!J80,'Growth Rates'!J80*J$5))</f>
        <v>19837031209.445423</v>
      </c>
      <c r="K28">
        <f>J28*(1+IF($A28="AEO",'Growth Rates'!K80,'Growth Rates'!K80*K$5))</f>
        <v>19961257488.40731</v>
      </c>
      <c r="L28">
        <f>K28*(1+IF($A28="AEO",'Growth Rates'!L80,'Growth Rates'!L80*L$5))</f>
        <v>20114206413.413109</v>
      </c>
      <c r="M28">
        <f>L28*(1+IF($A28="AEO",'Growth Rates'!M80,'Growth Rates'!M80*M$5))</f>
        <v>20289727391.034866</v>
      </c>
      <c r="N28">
        <f>M28*(1+IF($A28="AEO",'Growth Rates'!N80,'Growth Rates'!N80*N$5))</f>
        <v>20494213453.814354</v>
      </c>
      <c r="O28">
        <f>N28*(1+IF($A28="AEO",'Growth Rates'!O80,'Growth Rates'!O80*O$5))</f>
        <v>20709328163.196507</v>
      </c>
      <c r="P28">
        <f>O28*(1+IF($A28="AEO",'Growth Rates'!P80,'Growth Rates'!P80*P$5))</f>
        <v>20923330174.158173</v>
      </c>
      <c r="Q28">
        <f>P28*(1+IF($A28="AEO",'Growth Rates'!Q80,'Growth Rates'!Q80*Q$5))</f>
        <v>21138485772.779476</v>
      </c>
      <c r="R28">
        <f>Q28*(1+IF($A28="AEO",'Growth Rates'!R80,'Growth Rates'!R80*R$5))</f>
        <v>21352091498.865005</v>
      </c>
      <c r="S28">
        <f>R28*(1+IF($A28="AEO",'Growth Rates'!S80,'Growth Rates'!S80*S$5))</f>
        <v>21567408950.724628</v>
      </c>
      <c r="T28">
        <f>S28*(1+IF($A28="AEO",'Growth Rates'!T80,'Growth Rates'!T80*T$5))</f>
        <v>21786697429.193451</v>
      </c>
      <c r="U28">
        <f>T28*(1+IF($A28="AEO",'Growth Rates'!U80,'Growth Rates'!U80*U$5))</f>
        <v>22007573602.74427</v>
      </c>
      <c r="V28">
        <f>U28*(1+IF($A28="AEO",'Growth Rates'!V80,'Growth Rates'!V80*V$5))</f>
        <v>22228308878.791832</v>
      </c>
      <c r="W28">
        <f>V28*(1+IF($A28="AEO",'Growth Rates'!W80,'Growth Rates'!W80*W$5))</f>
        <v>22445667725.916237</v>
      </c>
      <c r="X28">
        <f>W28*(1+IF($A28="AEO",'Growth Rates'!X80,'Growth Rates'!X80*X$5))</f>
        <v>22659188777.202351</v>
      </c>
      <c r="Y28">
        <f>X28*(1+IF($A28="AEO",'Growth Rates'!Y80,'Growth Rates'!Y80*Y$5))</f>
        <v>22867043431.800835</v>
      </c>
      <c r="Z28">
        <f>Y28*(1+IF($A28="AEO",'Growth Rates'!Z80,'Growth Rates'!Z80*Z$5))</f>
        <v>23065906883.45295</v>
      </c>
      <c r="AA28">
        <f>Z28*(1+IF($A28="AEO",'Growth Rates'!AA80,'Growth Rates'!AA80*AA$5))</f>
        <v>23253021323.349583</v>
      </c>
      <c r="AB28">
        <f>AA28*(1+IF($A28="AEO",'Growth Rates'!AB80,'Growth Rates'!AB80*AB$5))</f>
        <v>23427162629.893543</v>
      </c>
      <c r="AC28">
        <f>AB28*(1+IF($A28="AEO",'Growth Rates'!AC80,'Growth Rates'!AC80*AC$5))</f>
        <v>23593154540.702232</v>
      </c>
    </row>
    <row r="29" spans="1:29" x14ac:dyDescent="0.25">
      <c r="A29" t="s">
        <v>1227</v>
      </c>
      <c r="B29" t="s">
        <v>265</v>
      </c>
      <c r="C29">
        <f>'Data from BVAbIC'!V2</f>
        <v>139456000000</v>
      </c>
      <c r="D29">
        <f>C29*(1+IF($A29="AEO",'Growth Rates'!D81,'Growth Rates'!D81*D$5))</f>
        <v>143058852991.24399</v>
      </c>
      <c r="E29">
        <f>D29*(1+IF($A29="AEO",'Growth Rates'!E81,'Growth Rates'!E81*E$5))</f>
        <v>146106403333.69769</v>
      </c>
      <c r="F29">
        <f>E29*(1+IF($A29="AEO",'Growth Rates'!F81,'Growth Rates'!F81*F$5))</f>
        <v>148648068908.34555</v>
      </c>
      <c r="G29">
        <f>F29*(1+IF($A29="AEO",'Growth Rates'!G81,'Growth Rates'!G81*G$5))</f>
        <v>147354722393.45901</v>
      </c>
      <c r="H29">
        <f>G29*(1+IF($A29="AEO",'Growth Rates'!H81,'Growth Rates'!H81*H$5))</f>
        <v>146805020050.53784</v>
      </c>
      <c r="I29">
        <f>H29*(1+IF($A29="AEO",'Growth Rates'!I81,'Growth Rates'!I81*I$5))</f>
        <v>146774443376.43048</v>
      </c>
      <c r="J29">
        <f>I29*(1+IF($A29="AEO",'Growth Rates'!J81,'Growth Rates'!J81*J$5))</f>
        <v>146957142635.24533</v>
      </c>
      <c r="K29">
        <f>J29*(1+IF($A29="AEO",'Growth Rates'!K81,'Growth Rates'!K81*K$5))</f>
        <v>148354925217.96979</v>
      </c>
      <c r="L29">
        <f>K29*(1+IF($A29="AEO",'Growth Rates'!L81,'Growth Rates'!L81*L$5))</f>
        <v>149430183483.75134</v>
      </c>
      <c r="M29">
        <f>L29*(1+IF($A29="AEO",'Growth Rates'!M81,'Growth Rates'!M81*M$5))</f>
        <v>151294479937.06863</v>
      </c>
      <c r="N29">
        <f>M29*(1+IF($A29="AEO",'Growth Rates'!N81,'Growth Rates'!N81*N$5))</f>
        <v>153081314560.48254</v>
      </c>
      <c r="O29">
        <f>N29*(1+IF($A29="AEO",'Growth Rates'!O81,'Growth Rates'!O81*O$5))</f>
        <v>154292499894.45163</v>
      </c>
      <c r="P29">
        <f>O29*(1+IF($A29="AEO",'Growth Rates'!P81,'Growth Rates'!P81*P$5))</f>
        <v>155654485429.03198</v>
      </c>
      <c r="Q29">
        <f>P29*(1+IF($A29="AEO",'Growth Rates'!Q81,'Growth Rates'!Q81*Q$5))</f>
        <v>157277602630.61597</v>
      </c>
      <c r="R29">
        <f>Q29*(1+IF($A29="AEO",'Growth Rates'!R81,'Growth Rates'!R81*R$5))</f>
        <v>158397832560.56195</v>
      </c>
      <c r="S29">
        <f>R29*(1+IF($A29="AEO",'Growth Rates'!S81,'Growth Rates'!S81*S$5))</f>
        <v>159965199837.6492</v>
      </c>
      <c r="T29">
        <f>S29*(1+IF($A29="AEO",'Growth Rates'!T81,'Growth Rates'!T81*T$5))</f>
        <v>161411105582.20108</v>
      </c>
      <c r="U29">
        <f>T29*(1+IF($A29="AEO",'Growth Rates'!U81,'Growth Rates'!U81*U$5))</f>
        <v>163019518407.49069</v>
      </c>
      <c r="V29">
        <f>U29*(1+IF($A29="AEO",'Growth Rates'!V81,'Growth Rates'!V81*V$5))</f>
        <v>164670271500.13962</v>
      </c>
      <c r="W29">
        <f>V29*(1+IF($A29="AEO",'Growth Rates'!W81,'Growth Rates'!W81*W$5))</f>
        <v>167010241685.43576</v>
      </c>
      <c r="X29">
        <f>W29*(1+IF($A29="AEO",'Growth Rates'!X81,'Growth Rates'!X81*X$5))</f>
        <v>169279912493.60074</v>
      </c>
      <c r="Y29">
        <f>X29*(1+IF($A29="AEO",'Growth Rates'!Y81,'Growth Rates'!Y81*Y$5))</f>
        <v>171284835366.11966</v>
      </c>
      <c r="Z29">
        <f>Y29*(1+IF($A29="AEO",'Growth Rates'!Z81,'Growth Rates'!Z81*Z$5))</f>
        <v>172338227263.91708</v>
      </c>
      <c r="AA29">
        <f>Z29*(1+IF($A29="AEO",'Growth Rates'!AA81,'Growth Rates'!AA81*AA$5))</f>
        <v>172947000246.20969</v>
      </c>
      <c r="AB29">
        <f>AA29*(1+IF($A29="AEO",'Growth Rates'!AB81,'Growth Rates'!AB81*AB$5))</f>
        <v>174805991486.3432</v>
      </c>
      <c r="AC29">
        <f>AB29*(1+IF($A29="AEO",'Growth Rates'!AC81,'Growth Rates'!AC81*AC$5))</f>
        <v>176493624709.5079</v>
      </c>
    </row>
    <row r="30" spans="1:29" x14ac:dyDescent="0.25">
      <c r="A30" t="s">
        <v>1227</v>
      </c>
      <c r="B30" t="s">
        <v>291</v>
      </c>
      <c r="C30">
        <f>'Data from BVAbIC'!W2</f>
        <v>219416000000</v>
      </c>
      <c r="D30">
        <f>C30*(1+IF($A30="AEO",'Growth Rates'!D82,'Growth Rates'!D82*D$5))</f>
        <v>205045097810.34311</v>
      </c>
      <c r="E30">
        <f>D30*(1+IF($A30="AEO",'Growth Rates'!E82,'Growth Rates'!E82*E$5))</f>
        <v>207196503885.12372</v>
      </c>
      <c r="F30">
        <f>E30*(1+IF($A30="AEO",'Growth Rates'!F82,'Growth Rates'!F82*F$5))</f>
        <v>214960357882.98877</v>
      </c>
      <c r="G30">
        <f>F30*(1+IF($A30="AEO",'Growth Rates'!G82,'Growth Rates'!G82*G$5))</f>
        <v>220109157894.19186</v>
      </c>
      <c r="H30">
        <f>G30*(1+IF($A30="AEO",'Growth Rates'!H82,'Growth Rates'!H82*H$5))</f>
        <v>225712428709.05728</v>
      </c>
      <c r="I30">
        <f>H30*(1+IF($A30="AEO",'Growth Rates'!I82,'Growth Rates'!I82*I$5))</f>
        <v>230327581173.80588</v>
      </c>
      <c r="J30">
        <f>I30*(1+IF($A30="AEO",'Growth Rates'!J82,'Growth Rates'!J82*J$5))</f>
        <v>234025238731.00803</v>
      </c>
      <c r="K30">
        <f>J30*(1+IF($A30="AEO",'Growth Rates'!K82,'Growth Rates'!K82*K$5))</f>
        <v>238518042551.45459</v>
      </c>
      <c r="L30">
        <f>K30*(1+IF($A30="AEO",'Growth Rates'!L82,'Growth Rates'!L82*L$5))</f>
        <v>241816696856.06232</v>
      </c>
      <c r="M30">
        <f>L30*(1+IF($A30="AEO",'Growth Rates'!M82,'Growth Rates'!M82*M$5))</f>
        <v>246084220222.12241</v>
      </c>
      <c r="N30">
        <f>M30*(1+IF($A30="AEO",'Growth Rates'!N82,'Growth Rates'!N82*N$5))</f>
        <v>251123363164.68045</v>
      </c>
      <c r="O30">
        <f>N30*(1+IF($A30="AEO",'Growth Rates'!O82,'Growth Rates'!O82*O$5))</f>
        <v>256113733397.23486</v>
      </c>
      <c r="P30">
        <f>O30*(1+IF($A30="AEO",'Growth Rates'!P82,'Growth Rates'!P82*P$5))</f>
        <v>261494980923.05219</v>
      </c>
      <c r="Q30">
        <f>P30*(1+IF($A30="AEO",'Growth Rates'!Q82,'Growth Rates'!Q82*Q$5))</f>
        <v>266871845836.16916</v>
      </c>
      <c r="R30">
        <f>Q30*(1+IF($A30="AEO",'Growth Rates'!R82,'Growth Rates'!R82*R$5))</f>
        <v>272695466479.14029</v>
      </c>
      <c r="S30">
        <f>R30*(1+IF($A30="AEO",'Growth Rates'!S82,'Growth Rates'!S82*S$5))</f>
        <v>278757241158.48505</v>
      </c>
      <c r="T30">
        <f>S30*(1+IF($A30="AEO",'Growth Rates'!T82,'Growth Rates'!T82*T$5))</f>
        <v>284717971907.10413</v>
      </c>
      <c r="U30">
        <f>T30*(1+IF($A30="AEO",'Growth Rates'!U82,'Growth Rates'!U82*U$5))</f>
        <v>291140553940.73468</v>
      </c>
      <c r="V30">
        <f>U30*(1+IF($A30="AEO",'Growth Rates'!V82,'Growth Rates'!V82*V$5))</f>
        <v>297920990836.92291</v>
      </c>
      <c r="W30">
        <f>V30*(1+IF($A30="AEO",'Growth Rates'!W82,'Growth Rates'!W82*W$5))</f>
        <v>305418537660.34985</v>
      </c>
      <c r="X30">
        <f>W30*(1+IF($A30="AEO",'Growth Rates'!X82,'Growth Rates'!X82*X$5))</f>
        <v>313338949514.22424</v>
      </c>
      <c r="Y30">
        <f>X30*(1+IF($A30="AEO",'Growth Rates'!Y82,'Growth Rates'!Y82*Y$5))</f>
        <v>321674068525.7757</v>
      </c>
      <c r="Z30">
        <f>Y30*(1+IF($A30="AEO",'Growth Rates'!Z82,'Growth Rates'!Z82*Z$5))</f>
        <v>329711045710.4809</v>
      </c>
      <c r="AA30">
        <f>Z30*(1+IF($A30="AEO",'Growth Rates'!AA82,'Growth Rates'!AA82*AA$5))</f>
        <v>337789384706.34418</v>
      </c>
      <c r="AB30">
        <f>AA30*(1+IF($A30="AEO",'Growth Rates'!AB82,'Growth Rates'!AB82*AB$5))</f>
        <v>346031220237.89874</v>
      </c>
      <c r="AC30">
        <f>AB30*(1+IF($A30="AEO",'Growth Rates'!AC82,'Growth Rates'!AC82*AC$5))</f>
        <v>353392509642.86835</v>
      </c>
    </row>
    <row r="31" spans="1:29" x14ac:dyDescent="0.25">
      <c r="A31" t="s">
        <v>1227</v>
      </c>
      <c r="B31" t="s">
        <v>306</v>
      </c>
      <c r="C31">
        <f>'Data from BVAbIC'!X2</f>
        <v>58678400000</v>
      </c>
      <c r="D31">
        <f>C31*(1+IF($A31="AEO",'Growth Rates'!D83,'Growth Rates'!D83*D$5))</f>
        <v>59240762959.360741</v>
      </c>
      <c r="E31">
        <f>D31*(1+IF($A31="AEO",'Growth Rates'!E83,'Growth Rates'!E83*E$5))</f>
        <v>58459925165.97081</v>
      </c>
      <c r="F31">
        <f>E31*(1+IF($A31="AEO",'Growth Rates'!F83,'Growth Rates'!F83*F$5))</f>
        <v>58138636642.228416</v>
      </c>
      <c r="G31">
        <f>F31*(1+IF($A31="AEO",'Growth Rates'!G83,'Growth Rates'!G83*G$5))</f>
        <v>57228188037.969551</v>
      </c>
      <c r="H31">
        <f>G31*(1+IF($A31="AEO",'Growth Rates'!H83,'Growth Rates'!H83*H$5))</f>
        <v>57016670009.21582</v>
      </c>
      <c r="I31">
        <f>H31*(1+IF($A31="AEO",'Growth Rates'!I83,'Growth Rates'!I83*I$5))</f>
        <v>58044843963.905388</v>
      </c>
      <c r="J31">
        <f>I31*(1+IF($A31="AEO",'Growth Rates'!J83,'Growth Rates'!J83*J$5))</f>
        <v>58980822220.694008</v>
      </c>
      <c r="K31">
        <f>J31*(1+IF($A31="AEO",'Growth Rates'!K83,'Growth Rates'!K83*K$5))</f>
        <v>59972287659.8993</v>
      </c>
      <c r="L31">
        <f>K31*(1+IF($A31="AEO",'Growth Rates'!L83,'Growth Rates'!L83*L$5))</f>
        <v>60300308139.682442</v>
      </c>
      <c r="M31">
        <f>L31*(1+IF($A31="AEO",'Growth Rates'!M83,'Growth Rates'!M83*M$5))</f>
        <v>60567396980.746368</v>
      </c>
      <c r="N31">
        <f>M31*(1+IF($A31="AEO",'Growth Rates'!N83,'Growth Rates'!N83*N$5))</f>
        <v>61216442074.36834</v>
      </c>
      <c r="O31">
        <f>N31*(1+IF($A31="AEO",'Growth Rates'!O83,'Growth Rates'!O83*O$5))</f>
        <v>61679914938.122803</v>
      </c>
      <c r="P31">
        <f>O31*(1+IF($A31="AEO",'Growth Rates'!P83,'Growth Rates'!P83*P$5))</f>
        <v>62108441022.713104</v>
      </c>
      <c r="Q31">
        <f>P31*(1+IF($A31="AEO",'Growth Rates'!Q83,'Growth Rates'!Q83*Q$5))</f>
        <v>62420173704.368935</v>
      </c>
      <c r="R31">
        <f>Q31*(1+IF($A31="AEO",'Growth Rates'!R83,'Growth Rates'!R83*R$5))</f>
        <v>62717025272.753403</v>
      </c>
      <c r="S31">
        <f>R31*(1+IF($A31="AEO",'Growth Rates'!S83,'Growth Rates'!S83*S$5))</f>
        <v>63130054788.149246</v>
      </c>
      <c r="T31">
        <f>S31*(1+IF($A31="AEO",'Growth Rates'!T83,'Growth Rates'!T83*T$5))</f>
        <v>63487409830.229126</v>
      </c>
      <c r="U31">
        <f>T31*(1+IF($A31="AEO",'Growth Rates'!U83,'Growth Rates'!U83*U$5))</f>
        <v>63905268346.004425</v>
      </c>
      <c r="V31">
        <f>U31*(1+IF($A31="AEO",'Growth Rates'!V83,'Growth Rates'!V83*V$5))</f>
        <v>64261698952.255157</v>
      </c>
      <c r="W31">
        <f>V31*(1+IF($A31="AEO",'Growth Rates'!W83,'Growth Rates'!W83*W$5))</f>
        <v>64604791842.431396</v>
      </c>
      <c r="X31">
        <f>W31*(1+IF($A31="AEO",'Growth Rates'!X83,'Growth Rates'!X83*X$5))</f>
        <v>65011772963.49115</v>
      </c>
      <c r="Y31">
        <f>X31*(1+IF($A31="AEO",'Growth Rates'!Y83,'Growth Rates'!Y83*Y$5))</f>
        <v>65529476057.370201</v>
      </c>
      <c r="Z31">
        <f>Y31*(1+IF($A31="AEO",'Growth Rates'!Z83,'Growth Rates'!Z83*Z$5))</f>
        <v>66042617566.218002</v>
      </c>
      <c r="AA31">
        <f>Z31*(1+IF($A31="AEO",'Growth Rates'!AA83,'Growth Rates'!AA83*AA$5))</f>
        <v>66490082566.638481</v>
      </c>
      <c r="AB31">
        <f>AA31*(1+IF($A31="AEO",'Growth Rates'!AB83,'Growth Rates'!AB83*AB$5))</f>
        <v>66853898143.188484</v>
      </c>
      <c r="AC31">
        <f>AB31*(1+IF($A31="AEO",'Growth Rates'!AC83,'Growth Rates'!AC83*AC$5))</f>
        <v>67108245193.766586</v>
      </c>
    </row>
    <row r="32" spans="1:29" x14ac:dyDescent="0.25">
      <c r="A32" t="s">
        <v>1227</v>
      </c>
      <c r="B32" t="s">
        <v>280</v>
      </c>
      <c r="C32">
        <f>'Data from BVAbIC'!Y2</f>
        <v>152693000000</v>
      </c>
      <c r="D32">
        <f>C32*(1+IF($A32="AEO",'Growth Rates'!D84,'Growth Rates'!D84*D$5))</f>
        <v>156409003367.76013</v>
      </c>
      <c r="E32">
        <f>D32*(1+IF($A32="AEO",'Growth Rates'!E84,'Growth Rates'!E84*E$5))</f>
        <v>153208600935.64804</v>
      </c>
      <c r="F32">
        <f>E32*(1+IF($A32="AEO",'Growth Rates'!F84,'Growth Rates'!F84*F$5))</f>
        <v>156902399820.84283</v>
      </c>
      <c r="G32">
        <f>F32*(1+IF($A32="AEO",'Growth Rates'!G84,'Growth Rates'!G84*G$5))</f>
        <v>159856776524.6452</v>
      </c>
      <c r="H32">
        <f>G32*(1+IF($A32="AEO",'Growth Rates'!H84,'Growth Rates'!H84*H$5))</f>
        <v>162966204933.11771</v>
      </c>
      <c r="I32">
        <f>H32*(1+IF($A32="AEO",'Growth Rates'!I84,'Growth Rates'!I84*I$5))</f>
        <v>165066088731.44122</v>
      </c>
      <c r="J32">
        <f>I32*(1+IF($A32="AEO",'Growth Rates'!J84,'Growth Rates'!J84*J$5))</f>
        <v>168286709150.38977</v>
      </c>
      <c r="K32">
        <f>J32*(1+IF($A32="AEO",'Growth Rates'!K84,'Growth Rates'!K84*K$5))</f>
        <v>171019828043.612</v>
      </c>
      <c r="L32">
        <f>K32*(1+IF($A32="AEO",'Growth Rates'!L84,'Growth Rates'!L84*L$5))</f>
        <v>171196458615.34967</v>
      </c>
      <c r="M32">
        <f>L32*(1+IF($A32="AEO",'Growth Rates'!M84,'Growth Rates'!M84*M$5))</f>
        <v>172528383250.17639</v>
      </c>
      <c r="N32">
        <f>M32*(1+IF($A32="AEO",'Growth Rates'!N84,'Growth Rates'!N84*N$5))</f>
        <v>174775157058.44086</v>
      </c>
      <c r="O32">
        <f>N32*(1+IF($A32="AEO",'Growth Rates'!O84,'Growth Rates'!O84*O$5))</f>
        <v>176390353832.20874</v>
      </c>
      <c r="P32">
        <f>O32*(1+IF($A32="AEO",'Growth Rates'!P84,'Growth Rates'!P84*P$5))</f>
        <v>177472326886.19171</v>
      </c>
      <c r="Q32">
        <f>P32*(1+IF($A32="AEO",'Growth Rates'!Q84,'Growth Rates'!Q84*Q$5))</f>
        <v>177906054684.74545</v>
      </c>
      <c r="R32">
        <f>Q32*(1+IF($A32="AEO",'Growth Rates'!R84,'Growth Rates'!R84*R$5))</f>
        <v>177961251802.46094</v>
      </c>
      <c r="S32">
        <f>R32*(1+IF($A32="AEO",'Growth Rates'!S84,'Growth Rates'!S84*S$5))</f>
        <v>178734215377.56049</v>
      </c>
      <c r="T32">
        <f>S32*(1+IF($A32="AEO",'Growth Rates'!T84,'Growth Rates'!T84*T$5))</f>
        <v>179417596552.02783</v>
      </c>
      <c r="U32">
        <f>T32*(1+IF($A32="AEO",'Growth Rates'!U84,'Growth Rates'!U84*U$5))</f>
        <v>180064622856.37659</v>
      </c>
      <c r="V32">
        <f>U32*(1+IF($A32="AEO",'Growth Rates'!V84,'Growth Rates'!V84*V$5))</f>
        <v>180398792223.38745</v>
      </c>
      <c r="W32">
        <f>V32*(1+IF($A32="AEO",'Growth Rates'!W84,'Growth Rates'!W84*W$5))</f>
        <v>180664692131.81863</v>
      </c>
      <c r="X32">
        <f>W32*(1+IF($A32="AEO",'Growth Rates'!X84,'Growth Rates'!X84*X$5))</f>
        <v>181232769449.47922</v>
      </c>
      <c r="Y32">
        <f>X32*(1+IF($A32="AEO",'Growth Rates'!Y84,'Growth Rates'!Y84*Y$5))</f>
        <v>182084650243.73138</v>
      </c>
      <c r="Z32">
        <f>Y32*(1+IF($A32="AEO",'Growth Rates'!Z84,'Growth Rates'!Z84*Z$5))</f>
        <v>183054525400.0965</v>
      </c>
      <c r="AA32">
        <f>Z32*(1+IF($A32="AEO",'Growth Rates'!AA84,'Growth Rates'!AA84*AA$5))</f>
        <v>183588843050.33817</v>
      </c>
      <c r="AB32">
        <f>AA32*(1+IF($A32="AEO",'Growth Rates'!AB84,'Growth Rates'!AB84*AB$5))</f>
        <v>183735936474.98233</v>
      </c>
      <c r="AC32">
        <f>AB32*(1+IF($A32="AEO",'Growth Rates'!AC84,'Growth Rates'!AC84*AC$5))</f>
        <v>183615878760.19971</v>
      </c>
    </row>
    <row r="33" spans="1:29" x14ac:dyDescent="0.25">
      <c r="A33" t="s">
        <v>1227</v>
      </c>
      <c r="B33" t="s">
        <v>319</v>
      </c>
      <c r="C33">
        <f>'Data from BVAbIC'!Z2</f>
        <v>136030000000</v>
      </c>
      <c r="D33">
        <f>C33*(1+IF($A33="AEO",'Growth Rates'!D85,'Growth Rates'!D85*D$5))</f>
        <v>127705940361.01347</v>
      </c>
      <c r="E33">
        <f>D33*(1+IF($A33="AEO",'Growth Rates'!E85,'Growth Rates'!E85*E$5))</f>
        <v>128081151761.67984</v>
      </c>
      <c r="F33">
        <f>E33*(1+IF($A33="AEO",'Growth Rates'!F85,'Growth Rates'!F85*F$5))</f>
        <v>136193721043.28929</v>
      </c>
      <c r="G33">
        <f>F33*(1+IF($A33="AEO",'Growth Rates'!G85,'Growth Rates'!G85*G$5))</f>
        <v>138863739394.2536</v>
      </c>
      <c r="H33">
        <f>G33*(1+IF($A33="AEO",'Growth Rates'!H85,'Growth Rates'!H85*H$5))</f>
        <v>141076172695.63654</v>
      </c>
      <c r="I33">
        <f>H33*(1+IF($A33="AEO",'Growth Rates'!I85,'Growth Rates'!I85*I$5))</f>
        <v>143423881506.78473</v>
      </c>
      <c r="J33">
        <f>I33*(1+IF($A33="AEO",'Growth Rates'!J85,'Growth Rates'!J85*J$5))</f>
        <v>144385133556.26898</v>
      </c>
      <c r="K33">
        <f>J33*(1+IF($A33="AEO",'Growth Rates'!K85,'Growth Rates'!K85*K$5))</f>
        <v>146678439792.44714</v>
      </c>
      <c r="L33">
        <f>K33*(1+IF($A33="AEO",'Growth Rates'!L85,'Growth Rates'!L85*L$5))</f>
        <v>147692523502.12967</v>
      </c>
      <c r="M33">
        <f>L33*(1+IF($A33="AEO",'Growth Rates'!M85,'Growth Rates'!M85*M$5))</f>
        <v>148114073448.60425</v>
      </c>
      <c r="N33">
        <f>M33*(1+IF($A33="AEO",'Growth Rates'!N85,'Growth Rates'!N85*N$5))</f>
        <v>148683776328.98383</v>
      </c>
      <c r="O33">
        <f>N33*(1+IF($A33="AEO",'Growth Rates'!O85,'Growth Rates'!O85*O$5))</f>
        <v>150211807293.39655</v>
      </c>
      <c r="P33">
        <f>O33*(1+IF($A33="AEO",'Growth Rates'!P85,'Growth Rates'!P85*P$5))</f>
        <v>153302006996.63605</v>
      </c>
      <c r="Q33">
        <f>P33*(1+IF($A33="AEO",'Growth Rates'!Q85,'Growth Rates'!Q85*Q$5))</f>
        <v>156168764140.0191</v>
      </c>
      <c r="R33">
        <f>Q33*(1+IF($A33="AEO",'Growth Rates'!R85,'Growth Rates'!R85*R$5))</f>
        <v>159090857106.60443</v>
      </c>
      <c r="S33">
        <f>R33*(1+IF($A33="AEO",'Growth Rates'!S85,'Growth Rates'!S85*S$5))</f>
        <v>161798170350.23459</v>
      </c>
      <c r="T33">
        <f>S33*(1+IF($A33="AEO",'Growth Rates'!T85,'Growth Rates'!T85*T$5))</f>
        <v>164186642170.10724</v>
      </c>
      <c r="U33">
        <f>T33*(1+IF($A33="AEO",'Growth Rates'!U85,'Growth Rates'!U85*U$5))</f>
        <v>166590697642.88425</v>
      </c>
      <c r="V33">
        <f>U33*(1+IF($A33="AEO",'Growth Rates'!V85,'Growth Rates'!V85*V$5))</f>
        <v>168708665201.19244</v>
      </c>
      <c r="W33">
        <f>V33*(1+IF($A33="AEO",'Growth Rates'!W85,'Growth Rates'!W85*W$5))</f>
        <v>170884379102.36893</v>
      </c>
      <c r="X33">
        <f>W33*(1+IF($A33="AEO",'Growth Rates'!X85,'Growth Rates'!X85*X$5))</f>
        <v>173167933945.61908</v>
      </c>
      <c r="Y33">
        <f>X33*(1+IF($A33="AEO",'Growth Rates'!Y85,'Growth Rates'!Y85*Y$5))</f>
        <v>175336416032.98569</v>
      </c>
      <c r="Z33">
        <f>Y33*(1+IF($A33="AEO",'Growth Rates'!Z85,'Growth Rates'!Z85*Z$5))</f>
        <v>177323245078.57278</v>
      </c>
      <c r="AA33">
        <f>Z33*(1+IF($A33="AEO",'Growth Rates'!AA85,'Growth Rates'!AA85*AA$5))</f>
        <v>179355627467.39404</v>
      </c>
      <c r="AB33">
        <f>AA33*(1+IF($A33="AEO",'Growth Rates'!AB85,'Growth Rates'!AB85*AB$5))</f>
        <v>181213339931.92499</v>
      </c>
      <c r="AC33">
        <f>AB33*(1+IF($A33="AEO",'Growth Rates'!AC85,'Growth Rates'!AC85*AC$5))</f>
        <v>182717357814.14459</v>
      </c>
    </row>
    <row r="34" spans="1:29" x14ac:dyDescent="0.25">
      <c r="B34" t="s">
        <v>331</v>
      </c>
      <c r="C34">
        <f>'Data from BVAbIC'!AA2</f>
        <v>14323093965.29431</v>
      </c>
      <c r="D34">
        <f>C34*(1+IF($A34="AEO",'Growth Rates'!D86,'Growth Rates'!D86*D$5))</f>
        <v>14493612364.090263</v>
      </c>
      <c r="E34">
        <f>D34*(1+IF($A34="AEO",'Growth Rates'!E86,'Growth Rates'!E86*E$5))</f>
        <v>14772241949.485929</v>
      </c>
      <c r="F34">
        <f>E34*(1+IF($A34="AEO",'Growth Rates'!F86,'Growth Rates'!F86*F$5))</f>
        <v>14957244833.596245</v>
      </c>
      <c r="G34">
        <f>F34*(1+IF($A34="AEO",'Growth Rates'!G86,'Growth Rates'!G86*G$5))</f>
        <v>15084240177.609827</v>
      </c>
      <c r="H34">
        <f>G34*(1+IF($A34="AEO",'Growth Rates'!H86,'Growth Rates'!H86*H$5))</f>
        <v>15236309200.940649</v>
      </c>
      <c r="I34">
        <f>H34*(1+IF($A34="AEO",'Growth Rates'!I86,'Growth Rates'!I86*I$5))</f>
        <v>15409318931.671682</v>
      </c>
      <c r="J34">
        <f>I34*(1+IF($A34="AEO",'Growth Rates'!J86,'Growth Rates'!J86*J$5))</f>
        <v>15578195617.95343</v>
      </c>
      <c r="K34">
        <f>J34*(1+IF($A34="AEO",'Growth Rates'!K86,'Growth Rates'!K86*K$5))</f>
        <v>15769178482.99124</v>
      </c>
      <c r="L34">
        <f>K34*(1+IF($A34="AEO",'Growth Rates'!L86,'Growth Rates'!L86*L$5))</f>
        <v>15974884714.292225</v>
      </c>
      <c r="M34">
        <f>L34*(1+IF($A34="AEO",'Growth Rates'!M86,'Growth Rates'!M86*M$5))</f>
        <v>16192464160.086637</v>
      </c>
      <c r="N34">
        <f>M34*(1+IF($A34="AEO",'Growth Rates'!N86,'Growth Rates'!N86*N$5))</f>
        <v>16421288439.214659</v>
      </c>
      <c r="O34">
        <f>N34*(1+IF($A34="AEO",'Growth Rates'!O86,'Growth Rates'!O86*O$5))</f>
        <v>16610157395.760805</v>
      </c>
      <c r="P34">
        <f>O34*(1+IF($A34="AEO",'Growth Rates'!P86,'Growth Rates'!P86*P$5))</f>
        <v>16796325486.987917</v>
      </c>
      <c r="Q34">
        <f>P34*(1+IF($A34="AEO",'Growth Rates'!Q86,'Growth Rates'!Q86*Q$5))</f>
        <v>16981977227.054775</v>
      </c>
      <c r="R34">
        <f>Q34*(1+IF($A34="AEO",'Growth Rates'!R86,'Growth Rates'!R86*R$5))</f>
        <v>17162884967.500654</v>
      </c>
      <c r="S34">
        <f>R34*(1+IF($A34="AEO",'Growth Rates'!S86,'Growth Rates'!S86*S$5))</f>
        <v>17343310910.811714</v>
      </c>
      <c r="T34">
        <f>S34*(1+IF($A34="AEO",'Growth Rates'!T86,'Growth Rates'!T86*T$5))</f>
        <v>17517195245.243023</v>
      </c>
      <c r="U34">
        <f>T34*(1+IF($A34="AEO",'Growth Rates'!U86,'Growth Rates'!U86*U$5))</f>
        <v>17694448139.235107</v>
      </c>
      <c r="V34">
        <f>U34*(1+IF($A34="AEO",'Growth Rates'!V86,'Growth Rates'!V86*V$5))</f>
        <v>17877474625.934017</v>
      </c>
      <c r="W34">
        <f>V34*(1+IF($A34="AEO",'Growth Rates'!W86,'Growth Rates'!W86*W$5))</f>
        <v>18059904420.961456</v>
      </c>
      <c r="X34">
        <f>W34*(1+IF($A34="AEO",'Growth Rates'!X86,'Growth Rates'!X86*X$5))</f>
        <v>18238406531.521667</v>
      </c>
      <c r="Y34">
        <f>X34*(1+IF($A34="AEO",'Growth Rates'!Y86,'Growth Rates'!Y86*Y$5))</f>
        <v>18409876115.695457</v>
      </c>
      <c r="Z34">
        <f>Y34*(1+IF($A34="AEO",'Growth Rates'!Z86,'Growth Rates'!Z86*Z$5))</f>
        <v>18572814115.043903</v>
      </c>
      <c r="AA34">
        <f>Z34*(1+IF($A34="AEO",'Growth Rates'!AA86,'Growth Rates'!AA86*AA$5))</f>
        <v>18735419000.853153</v>
      </c>
      <c r="AB34">
        <f>AA34*(1+IF($A34="AEO",'Growth Rates'!AB86,'Growth Rates'!AB86*AB$5))</f>
        <v>18891361056.010559</v>
      </c>
      <c r="AC34">
        <f>AB34*(1+IF($A34="AEO",'Growth Rates'!AC86,'Growth Rates'!AC86*AC$5))</f>
        <v>19052090513.078136</v>
      </c>
    </row>
    <row r="35" spans="1:29" x14ac:dyDescent="0.25">
      <c r="A35" t="s">
        <v>1227</v>
      </c>
      <c r="B35" t="s">
        <v>326</v>
      </c>
      <c r="C35">
        <f>'Data from BVAbIC'!AB2</f>
        <v>130105906034.7057</v>
      </c>
      <c r="D35">
        <f>C35*(1+IF($A35="AEO",'Growth Rates'!D87,'Growth Rates'!D87*D$5))</f>
        <v>122144358425.96301</v>
      </c>
      <c r="E35">
        <f>D35*(1+IF($A35="AEO",'Growth Rates'!E87,'Growth Rates'!E87*E$5))</f>
        <v>122503229404.70482</v>
      </c>
      <c r="F35">
        <f>E35*(1+IF($A35="AEO",'Growth Rates'!F87,'Growth Rates'!F87*F$5))</f>
        <v>130262497041.64607</v>
      </c>
      <c r="G35">
        <f>F35*(1+IF($A35="AEO",'Growth Rates'!G87,'Growth Rates'!G87*G$5))</f>
        <v>132816236339.45908</v>
      </c>
      <c r="H35">
        <f>G35*(1+IF($A35="AEO",'Growth Rates'!H87,'Growth Rates'!H87*H$5))</f>
        <v>134932318374.43504</v>
      </c>
      <c r="I35">
        <f>H35*(1+IF($A35="AEO",'Growth Rates'!I87,'Growth Rates'!I87*I$5))</f>
        <v>137177784683.19119</v>
      </c>
      <c r="J35">
        <f>I35*(1+IF($A35="AEO",'Growth Rates'!J87,'Growth Rates'!J87*J$5))</f>
        <v>138097174294.49655</v>
      </c>
      <c r="K35">
        <f>J35*(1+IF($A35="AEO",'Growth Rates'!K87,'Growth Rates'!K87*K$5))</f>
        <v>140290607255.40958</v>
      </c>
      <c r="L35">
        <f>K35*(1+IF($A35="AEO",'Growth Rates'!L87,'Growth Rates'!L87*L$5))</f>
        <v>141260527712.9798</v>
      </c>
      <c r="M35">
        <f>L35*(1+IF($A35="AEO",'Growth Rates'!M87,'Growth Rates'!M87*M$5))</f>
        <v>141663719198.12979</v>
      </c>
      <c r="N35">
        <f>M35*(1+IF($A35="AEO",'Growth Rates'!N87,'Growth Rates'!N87*N$5))</f>
        <v>142208611570.56503</v>
      </c>
      <c r="O35">
        <f>N35*(1+IF($A35="AEO",'Growth Rates'!O87,'Growth Rates'!O87*O$5))</f>
        <v>143670096927.28049</v>
      </c>
      <c r="P35">
        <f>O35*(1+IF($A35="AEO",'Growth Rates'!P87,'Growth Rates'!P87*P$5))</f>
        <v>146625718718.19537</v>
      </c>
      <c r="Q35">
        <f>P35*(1+IF($A35="AEO",'Growth Rates'!Q87,'Growth Rates'!Q87*Q$5))</f>
        <v>149367628852.14609</v>
      </c>
      <c r="R35">
        <f>Q35*(1+IF($A35="AEO",'Growth Rates'!R87,'Growth Rates'!R87*R$5))</f>
        <v>152162464939.29764</v>
      </c>
      <c r="S35">
        <f>R35*(1+IF($A35="AEO",'Growth Rates'!S87,'Growth Rates'!S87*S$5))</f>
        <v>154751874940.63751</v>
      </c>
      <c r="T35">
        <f>S35*(1+IF($A35="AEO",'Growth Rates'!T87,'Growth Rates'!T87*T$5))</f>
        <v>157036329032.84433</v>
      </c>
      <c r="U35">
        <f>T35*(1+IF($A35="AEO",'Growth Rates'!U87,'Growth Rates'!U87*U$5))</f>
        <v>159335688111.30753</v>
      </c>
      <c r="V35">
        <f>U35*(1+IF($A35="AEO",'Growth Rates'!V87,'Growth Rates'!V87*V$5))</f>
        <v>161361418377.61496</v>
      </c>
      <c r="W35">
        <f>V35*(1+IF($A35="AEO",'Growth Rates'!W87,'Growth Rates'!W87*W$5))</f>
        <v>163442380138.87988</v>
      </c>
      <c r="X35">
        <f>W35*(1+IF($A35="AEO",'Growth Rates'!X87,'Growth Rates'!X87*X$5))</f>
        <v>165626486379.12836</v>
      </c>
      <c r="Y35">
        <f>X35*(1+IF($A35="AEO",'Growth Rates'!Y87,'Growth Rates'!Y87*Y$5))</f>
        <v>167700531271.40845</v>
      </c>
      <c r="Z35">
        <f>Y35*(1+IF($A35="AEO",'Growth Rates'!Z87,'Growth Rates'!Z87*Z$5))</f>
        <v>169600834095.13983</v>
      </c>
      <c r="AA35">
        <f>Z35*(1+IF($A35="AEO",'Growth Rates'!AA87,'Growth Rates'!AA87*AA$5))</f>
        <v>171544706418.20511</v>
      </c>
      <c r="AB35">
        <f>AA35*(1+IF($A35="AEO",'Growth Rates'!AB87,'Growth Rates'!AB87*AB$5))</f>
        <v>173321515676.08768</v>
      </c>
      <c r="AC35">
        <f>AB35*(1+IF($A35="AEO",'Growth Rates'!AC87,'Growth Rates'!AC87*AC$5))</f>
        <v>174760033718.1268</v>
      </c>
    </row>
    <row r="36" spans="1:29" x14ac:dyDescent="0.25">
      <c r="A36" t="s">
        <v>1227</v>
      </c>
      <c r="B36" t="s">
        <v>336</v>
      </c>
      <c r="C36">
        <f>'Data from BVAbIC'!AC2</f>
        <v>134673000000</v>
      </c>
      <c r="D36">
        <f>C36*(1+IF($A36="AEO",'Growth Rates'!D88,'Growth Rates'!D88*D$5))</f>
        <v>132474827184.22554</v>
      </c>
      <c r="E36">
        <f>D36*(1+IF($A36="AEO",'Growth Rates'!E88,'Growth Rates'!E88*E$5))</f>
        <v>133216679049.79262</v>
      </c>
      <c r="F36">
        <f>E36*(1+IF($A36="AEO",'Growth Rates'!F88,'Growth Rates'!F88*F$5))</f>
        <v>136647955696.77371</v>
      </c>
      <c r="G36">
        <f>F36*(1+IF($A36="AEO",'Growth Rates'!G88,'Growth Rates'!G88*G$5))</f>
        <v>138199471703.72641</v>
      </c>
      <c r="H36">
        <f>G36*(1+IF($A36="AEO",'Growth Rates'!H88,'Growth Rates'!H88*H$5))</f>
        <v>140385402836.34995</v>
      </c>
      <c r="I36">
        <f>H36*(1+IF($A36="AEO",'Growth Rates'!I88,'Growth Rates'!I88*I$5))</f>
        <v>143737225875.2764</v>
      </c>
      <c r="J36">
        <f>I36*(1+IF($A36="AEO",'Growth Rates'!J88,'Growth Rates'!J88*J$5))</f>
        <v>147383458786.59521</v>
      </c>
      <c r="K36">
        <f>J36*(1+IF($A36="AEO",'Growth Rates'!K88,'Growth Rates'!K88*K$5))</f>
        <v>148963107850.15662</v>
      </c>
      <c r="L36">
        <f>K36*(1+IF($A36="AEO",'Growth Rates'!L88,'Growth Rates'!L88*L$5))</f>
        <v>149596446776.73892</v>
      </c>
      <c r="M36">
        <f>L36*(1+IF($A36="AEO",'Growth Rates'!M88,'Growth Rates'!M88*M$5))</f>
        <v>149864497267.70123</v>
      </c>
      <c r="N36">
        <f>M36*(1+IF($A36="AEO",'Growth Rates'!N88,'Growth Rates'!N88*N$5))</f>
        <v>151032103531.12271</v>
      </c>
      <c r="O36">
        <f>N36*(1+IF($A36="AEO",'Growth Rates'!O88,'Growth Rates'!O88*O$5))</f>
        <v>152326716931.31161</v>
      </c>
      <c r="P36">
        <f>O36*(1+IF($A36="AEO",'Growth Rates'!P88,'Growth Rates'!P88*P$5))</f>
        <v>153813816784.34222</v>
      </c>
      <c r="Q36">
        <f>P36*(1+IF($A36="AEO",'Growth Rates'!Q88,'Growth Rates'!Q88*Q$5))</f>
        <v>155594643374.30505</v>
      </c>
      <c r="R36">
        <f>Q36*(1+IF($A36="AEO",'Growth Rates'!R88,'Growth Rates'!R88*R$5))</f>
        <v>156364553985.94409</v>
      </c>
      <c r="S36">
        <f>R36*(1+IF($A36="AEO",'Growth Rates'!S88,'Growth Rates'!S88*S$5))</f>
        <v>158052228407.07397</v>
      </c>
      <c r="T36">
        <f>S36*(1+IF($A36="AEO",'Growth Rates'!T88,'Growth Rates'!T88*T$5))</f>
        <v>159804603839.18329</v>
      </c>
      <c r="U36">
        <f>T36*(1+IF($A36="AEO",'Growth Rates'!U88,'Growth Rates'!U88*U$5))</f>
        <v>161293991022.68127</v>
      </c>
      <c r="V36">
        <f>U36*(1+IF($A36="AEO",'Growth Rates'!V88,'Growth Rates'!V88*V$5))</f>
        <v>162692901868.51428</v>
      </c>
      <c r="W36">
        <f>V36*(1+IF($A36="AEO",'Growth Rates'!W88,'Growth Rates'!W88*W$5))</f>
        <v>164234831816.23288</v>
      </c>
      <c r="X36">
        <f>W36*(1+IF($A36="AEO",'Growth Rates'!X88,'Growth Rates'!X88*X$5))</f>
        <v>166218226973.69635</v>
      </c>
      <c r="Y36">
        <f>X36*(1+IF($A36="AEO",'Growth Rates'!Y88,'Growth Rates'!Y88*Y$5))</f>
        <v>167578122832.22205</v>
      </c>
      <c r="Z36">
        <f>Y36*(1+IF($A36="AEO",'Growth Rates'!Z88,'Growth Rates'!Z88*Z$5))</f>
        <v>168819358452.42267</v>
      </c>
      <c r="AA36">
        <f>Z36*(1+IF($A36="AEO",'Growth Rates'!AA88,'Growth Rates'!AA88*AA$5))</f>
        <v>169350664449.18976</v>
      </c>
      <c r="AB36">
        <f>AA36*(1+IF($A36="AEO",'Growth Rates'!AB88,'Growth Rates'!AB88*AB$5))</f>
        <v>171288927688.85132</v>
      </c>
      <c r="AC36">
        <f>AB36*(1+IF($A36="AEO",'Growth Rates'!AC88,'Growth Rates'!AC88*AC$5))</f>
        <v>171733701021.17303</v>
      </c>
    </row>
    <row r="37" spans="1:29" x14ac:dyDescent="0.25">
      <c r="B37" t="s">
        <v>98</v>
      </c>
      <c r="C37">
        <f>'Data from BVAbIC'!AD2</f>
        <v>259989000000</v>
      </c>
      <c r="D37">
        <f>C37*(1+IF($A37="AEO",'Growth Rates'!D89,'Growth Rates'!D89*D$5))</f>
        <v>264750853408.74435</v>
      </c>
      <c r="E37">
        <f>D37*(1+IF($A37="AEO",'Growth Rates'!E89,'Growth Rates'!E89*E$5))</f>
        <v>272581084851.96277</v>
      </c>
      <c r="F37">
        <f>E37*(1+IF($A37="AEO",'Growth Rates'!F89,'Growth Rates'!F89*F$5))</f>
        <v>277832960636.07739</v>
      </c>
      <c r="G37">
        <f>F37*(1+IF($A37="AEO",'Growth Rates'!G89,'Growth Rates'!G89*G$5))</f>
        <v>281462124738.55035</v>
      </c>
      <c r="H37">
        <f>G37*(1+IF($A37="AEO",'Growth Rates'!H89,'Growth Rates'!H89*H$5))</f>
        <v>285827523521.51245</v>
      </c>
      <c r="I37">
        <f>H37*(1+IF($A37="AEO",'Growth Rates'!I89,'Growth Rates'!I89*I$5))</f>
        <v>290820752042.8136</v>
      </c>
      <c r="J37">
        <f>I37*(1+IF($A37="AEO",'Growth Rates'!J89,'Growth Rates'!J89*J$5))</f>
        <v>295724162976.73102</v>
      </c>
      <c r="K37">
        <f>J37*(1+IF($A37="AEO",'Growth Rates'!K89,'Growth Rates'!K89*K$5))</f>
        <v>301301805875.45374</v>
      </c>
      <c r="L37">
        <f>K37*(1+IF($A37="AEO",'Growth Rates'!L89,'Growth Rates'!L89*L$5))</f>
        <v>307348621922.11206</v>
      </c>
      <c r="M37">
        <f>L37*(1+IF($A37="AEO",'Growth Rates'!M89,'Growth Rates'!M89*M$5))</f>
        <v>313788802533.4516</v>
      </c>
      <c r="N37">
        <f>M37*(1+IF($A37="AEO",'Growth Rates'!N89,'Growth Rates'!N89*N$5))</f>
        <v>320610826543.96448</v>
      </c>
      <c r="O37">
        <f>N37*(1+IF($A37="AEO",'Growth Rates'!O89,'Growth Rates'!O89*O$5))</f>
        <v>326283897016.42334</v>
      </c>
      <c r="P37">
        <f>O37*(1+IF($A37="AEO",'Growth Rates'!P89,'Growth Rates'!P89*P$5))</f>
        <v>331910079085.28888</v>
      </c>
      <c r="Q37">
        <f>P37*(1+IF($A37="AEO",'Growth Rates'!Q89,'Growth Rates'!Q89*Q$5))</f>
        <v>337554141740.59998</v>
      </c>
      <c r="R37">
        <f>Q37*(1+IF($A37="AEO",'Growth Rates'!R89,'Growth Rates'!R89*R$5))</f>
        <v>343086355845.17822</v>
      </c>
      <c r="S37">
        <f>R37*(1+IF($A37="AEO",'Growth Rates'!S89,'Growth Rates'!S89*S$5))</f>
        <v>348635152162.86163</v>
      </c>
      <c r="T37">
        <f>S37*(1+IF($A37="AEO",'Growth Rates'!T89,'Growth Rates'!T89*T$5))</f>
        <v>354012724548.85541</v>
      </c>
      <c r="U37">
        <f>T37*(1+IF($A37="AEO",'Growth Rates'!U89,'Growth Rates'!U89*U$5))</f>
        <v>359523773642.46808</v>
      </c>
      <c r="V37">
        <f>U37*(1+IF($A37="AEO",'Growth Rates'!V89,'Growth Rates'!V89*V$5))</f>
        <v>365245026968.47668</v>
      </c>
      <c r="W37">
        <f>V37*(1+IF($A37="AEO",'Growth Rates'!W89,'Growth Rates'!W89*W$5))</f>
        <v>370979064809.50653</v>
      </c>
      <c r="X37">
        <f>W37*(1+IF($A37="AEO",'Growth Rates'!X89,'Growth Rates'!X89*X$5))</f>
        <v>376620166820.18622</v>
      </c>
      <c r="Y37">
        <f>X37*(1+IF($A37="AEO",'Growth Rates'!Y89,'Growth Rates'!Y89*Y$5))</f>
        <v>382067581258.46198</v>
      </c>
      <c r="Z37">
        <f>Y37*(1+IF($A37="AEO",'Growth Rates'!Z89,'Growth Rates'!Z89*Z$5))</f>
        <v>387269916629.97058</v>
      </c>
      <c r="AA37">
        <f>Z37*(1+IF($A37="AEO",'Growth Rates'!AA89,'Growth Rates'!AA89*AA$5))</f>
        <v>392486141242.41193</v>
      </c>
      <c r="AB37">
        <f>AA37*(1+IF($A37="AEO",'Growth Rates'!AB89,'Growth Rates'!AB89*AB$5))</f>
        <v>397512006175.51044</v>
      </c>
      <c r="AC37">
        <f>AB37*(1+IF($A37="AEO",'Growth Rates'!AC89,'Growth Rates'!AC89*AC$5))</f>
        <v>402715189442.59711</v>
      </c>
    </row>
    <row r="38" spans="1:29" x14ac:dyDescent="0.25">
      <c r="B38" t="s">
        <v>119</v>
      </c>
      <c r="C38">
        <f>'Data from BVAbIC'!AE2</f>
        <v>61106700000</v>
      </c>
      <c r="D38">
        <f>C38*(1+IF($A38="AEO",'Growth Rates'!D90,'Growth Rates'!D90*D$5))</f>
        <v>61498421963.976326</v>
      </c>
      <c r="E38">
        <f>D38*(1+IF($A38="AEO",'Growth Rates'!E90,'Growth Rates'!E90*E$5))</f>
        <v>62135025793.235817</v>
      </c>
      <c r="F38">
        <f>E38*(1+IF($A38="AEO",'Growth Rates'!F90,'Growth Rates'!F90*F$5))</f>
        <v>62554034702.530167</v>
      </c>
      <c r="G38">
        <f>F38*(1+IF($A38="AEO",'Growth Rates'!G90,'Growth Rates'!G90*G$5))</f>
        <v>62840021648.933617</v>
      </c>
      <c r="H38">
        <f>G38*(1+IF($A38="AEO",'Growth Rates'!H90,'Growth Rates'!H90*H$5))</f>
        <v>63181142551.075729</v>
      </c>
      <c r="I38">
        <f>H38*(1+IF($A38="AEO",'Growth Rates'!I90,'Growth Rates'!I90*I$5))</f>
        <v>63567449851.67318</v>
      </c>
      <c r="J38">
        <f>I38*(1+IF($A38="AEO",'Growth Rates'!J90,'Growth Rates'!J90*J$5))</f>
        <v>63942574612.403183</v>
      </c>
      <c r="K38">
        <f>J38*(1+IF($A38="AEO",'Growth Rates'!K90,'Growth Rates'!K90*K$5))</f>
        <v>64364681129.733475</v>
      </c>
      <c r="L38">
        <f>K38*(1+IF($A38="AEO",'Growth Rates'!L90,'Growth Rates'!L90*L$5))</f>
        <v>64816787564.830551</v>
      </c>
      <c r="M38">
        <f>L38*(1+IF($A38="AEO",'Growth Rates'!M90,'Growth Rates'!M90*M$5))</f>
        <v>65292147225.088097</v>
      </c>
      <c r="N38">
        <f>M38*(1+IF($A38="AEO",'Growth Rates'!N90,'Growth Rates'!N90*N$5))</f>
        <v>65788973776.465767</v>
      </c>
      <c r="O38">
        <f>N38*(1+IF($A38="AEO",'Growth Rates'!O90,'Growth Rates'!O90*O$5))</f>
        <v>66196411419.787872</v>
      </c>
      <c r="P38">
        <f>O38*(1+IF($A38="AEO",'Growth Rates'!P90,'Growth Rates'!P90*P$5))</f>
        <v>66595914960.188087</v>
      </c>
      <c r="Q38">
        <f>P38*(1+IF($A38="AEO",'Growth Rates'!Q90,'Growth Rates'!Q90*Q$5))</f>
        <v>66992272404.893082</v>
      </c>
      <c r="R38">
        <f>Q38*(1+IF($A38="AEO",'Growth Rates'!R90,'Growth Rates'!R90*R$5))</f>
        <v>67376552856.422295</v>
      </c>
      <c r="S38">
        <f>R38*(1+IF($A38="AEO",'Growth Rates'!S90,'Growth Rates'!S90*S$5))</f>
        <v>67757945373.805923</v>
      </c>
      <c r="T38">
        <f>S38*(1+IF($A38="AEO",'Growth Rates'!T90,'Growth Rates'!T90*T$5))</f>
        <v>68123745089.639732</v>
      </c>
      <c r="U38">
        <f>T38*(1+IF($A38="AEO",'Growth Rates'!U90,'Growth Rates'!U90*U$5))</f>
        <v>68494922867.042702</v>
      </c>
      <c r="V38">
        <f>U38*(1+IF($A38="AEO",'Growth Rates'!V90,'Growth Rates'!V90*V$5))</f>
        <v>68876418867.861038</v>
      </c>
      <c r="W38">
        <f>V38*(1+IF($A38="AEO",'Growth Rates'!W90,'Growth Rates'!W90*W$5))</f>
        <v>69254874389.616745</v>
      </c>
      <c r="X38">
        <f>W38*(1+IF($A38="AEO",'Growth Rates'!X90,'Growth Rates'!X90*X$5))</f>
        <v>69623455387.520859</v>
      </c>
      <c r="Y38">
        <f>X38*(1+IF($A38="AEO",'Growth Rates'!Y90,'Growth Rates'!Y90*Y$5))</f>
        <v>69975915896.375122</v>
      </c>
      <c r="Z38">
        <f>Y38*(1+IF($A38="AEO",'Growth Rates'!Z90,'Growth Rates'!Z90*Z$5))</f>
        <v>70309399735.61586</v>
      </c>
      <c r="AA38">
        <f>Z38*(1+IF($A38="AEO",'Growth Rates'!AA90,'Growth Rates'!AA90*AA$5))</f>
        <v>70640854263.771378</v>
      </c>
      <c r="AB38">
        <f>AA38*(1+IF($A38="AEO",'Growth Rates'!AB90,'Growth Rates'!AB90*AB$5))</f>
        <v>70957453945.246994</v>
      </c>
      <c r="AC38">
        <f>AB38*(1+IF($A38="AEO",'Growth Rates'!AC90,'Growth Rates'!AC90*AC$5))</f>
        <v>71282529970.518005</v>
      </c>
    </row>
    <row r="39" spans="1:29" x14ac:dyDescent="0.25">
      <c r="B39" t="s">
        <v>122</v>
      </c>
      <c r="C39">
        <f>'Data from BVAbIC'!AF2</f>
        <v>76304000000</v>
      </c>
      <c r="D39">
        <f>C39*(1+IF($A39="AEO",'Growth Rates'!D91,'Growth Rates'!D91*D$5))</f>
        <v>77345035413.310654</v>
      </c>
      <c r="E39">
        <f>D39*(1+IF($A39="AEO",'Growth Rates'!E91,'Growth Rates'!E91*E$5))</f>
        <v>79049024555.007339</v>
      </c>
      <c r="F39">
        <f>E39*(1+IF($A39="AEO",'Growth Rates'!F91,'Growth Rates'!F91*F$5))</f>
        <v>80183545179.555466</v>
      </c>
      <c r="G39">
        <f>F39*(1+IF($A39="AEO",'Growth Rates'!G91,'Growth Rates'!G91*G$5))</f>
        <v>80963743917.75386</v>
      </c>
      <c r="H39">
        <f>G39*(1+IF($A39="AEO",'Growth Rates'!H91,'Growth Rates'!H91*H$5))</f>
        <v>81899131701.920441</v>
      </c>
      <c r="I39">
        <f>H39*(1+IF($A39="AEO",'Growth Rates'!I91,'Growth Rates'!I91*I$5))</f>
        <v>82964878026.322571</v>
      </c>
      <c r="J39">
        <f>I39*(1+IF($A39="AEO",'Growth Rates'!J91,'Growth Rates'!J91*J$5))</f>
        <v>84006869888.25177</v>
      </c>
      <c r="K39">
        <f>J39*(1+IF($A39="AEO",'Growth Rates'!K91,'Growth Rates'!K91*K$5))</f>
        <v>85187124884.757477</v>
      </c>
      <c r="L39">
        <f>K39*(1+IF($A39="AEO",'Growth Rates'!L91,'Growth Rates'!L91*L$5))</f>
        <v>86460616626.822311</v>
      </c>
      <c r="M39">
        <f>L39*(1+IF($A39="AEO",'Growth Rates'!M91,'Growth Rates'!M91*M$5))</f>
        <v>87810145732.429047</v>
      </c>
      <c r="N39">
        <f>M39*(1+IF($A39="AEO",'Growth Rates'!N91,'Growth Rates'!N91*N$5))</f>
        <v>89232204845.352539</v>
      </c>
      <c r="O39">
        <f>N39*(1+IF($A39="AEO",'Growth Rates'!O91,'Growth Rates'!O91*O$5))</f>
        <v>90408344164.579468</v>
      </c>
      <c r="P39">
        <f>O39*(1+IF($A39="AEO",'Growth Rates'!P91,'Growth Rates'!P91*P$5))</f>
        <v>91569589030.217239</v>
      </c>
      <c r="Q39">
        <f>P39*(1+IF($A39="AEO",'Growth Rates'!Q91,'Growth Rates'!Q91*Q$5))</f>
        <v>92729487032.928223</v>
      </c>
      <c r="R39">
        <f>Q39*(1+IF($A39="AEO",'Growth Rates'!R91,'Growth Rates'!R91*R$5))</f>
        <v>93861549901.622665</v>
      </c>
      <c r="S39">
        <f>R39*(1+IF($A39="AEO",'Growth Rates'!S91,'Growth Rates'!S91*S$5))</f>
        <v>94992335340.952759</v>
      </c>
      <c r="T39">
        <f>S39*(1+IF($A39="AEO",'Growth Rates'!T91,'Growth Rates'!T91*T$5))</f>
        <v>96083777702.558441</v>
      </c>
      <c r="U39">
        <f>T39*(1+IF($A39="AEO",'Growth Rates'!U91,'Growth Rates'!U91*U$5))</f>
        <v>97197976350.751984</v>
      </c>
      <c r="V39">
        <f>U39*(1+IF($A39="AEO",'Growth Rates'!V91,'Growth Rates'!V91*V$5))</f>
        <v>98350149997.407196</v>
      </c>
      <c r="W39">
        <f>V39*(1+IF($A39="AEO",'Growth Rates'!W91,'Growth Rates'!W91*W$5))</f>
        <v>99500283938.534424</v>
      </c>
      <c r="X39">
        <f>W39*(1+IF($A39="AEO",'Growth Rates'!X91,'Growth Rates'!X91*X$5))</f>
        <v>100627315352.57336</v>
      </c>
      <c r="Y39">
        <f>X39*(1+IF($A39="AEO",'Growth Rates'!Y91,'Growth Rates'!Y91*Y$5))</f>
        <v>101711491585.42487</v>
      </c>
      <c r="Z39">
        <f>Y39*(1+IF($A39="AEO",'Growth Rates'!Z91,'Growth Rates'!Z91*Z$5))</f>
        <v>102743124832.82455</v>
      </c>
      <c r="AA39">
        <f>Z39*(1+IF($A39="AEO",'Growth Rates'!AA91,'Growth Rates'!AA91*AA$5))</f>
        <v>103773967633.72551</v>
      </c>
      <c r="AB39">
        <f>AA39*(1+IF($A39="AEO",'Growth Rates'!AB91,'Growth Rates'!AB91*AB$5))</f>
        <v>104763823721.46747</v>
      </c>
      <c r="AC39">
        <f>AB39*(1+IF($A39="AEO",'Growth Rates'!AC91,'Growth Rates'!AC91*AC$5))</f>
        <v>105785297832.01967</v>
      </c>
    </row>
    <row r="40" spans="1:29" x14ac:dyDescent="0.25">
      <c r="A40" t="s">
        <v>1227</v>
      </c>
      <c r="B40" t="s">
        <v>125</v>
      </c>
      <c r="C40">
        <f>'Data from BVAbIC'!AG2</f>
        <v>955445000000</v>
      </c>
      <c r="D40">
        <f>C40*(1+IF($A40="AEO",'Growth Rates'!D92,'Growth Rates'!D92*D$5))</f>
        <v>1012456330543.6053</v>
      </c>
      <c r="E40">
        <f>D40*(1+IF($A40="AEO",'Growth Rates'!E92,'Growth Rates'!E92*E$5))</f>
        <v>1008849718261.2196</v>
      </c>
      <c r="F40">
        <f>E40*(1+IF($A40="AEO",'Growth Rates'!F92,'Growth Rates'!F92*F$5))</f>
        <v>1014903101855.9198</v>
      </c>
      <c r="G40">
        <f>F40*(1+IF($A40="AEO",'Growth Rates'!G92,'Growth Rates'!G92*G$5))</f>
        <v>1021232765195.2073</v>
      </c>
      <c r="H40">
        <f>G40*(1+IF($A40="AEO",'Growth Rates'!H92,'Growth Rates'!H92*H$5))</f>
        <v>1038076924360.2201</v>
      </c>
      <c r="I40">
        <f>H40*(1+IF($A40="AEO",'Growth Rates'!I92,'Growth Rates'!I92*I$5))</f>
        <v>1055482546942.9441</v>
      </c>
      <c r="J40">
        <f>I40*(1+IF($A40="AEO",'Growth Rates'!J92,'Growth Rates'!J92*J$5))</f>
        <v>1071596786887.5887</v>
      </c>
      <c r="K40">
        <f>J40*(1+IF($A40="AEO",'Growth Rates'!K92,'Growth Rates'!K92*K$5))</f>
        <v>1087764372153.3933</v>
      </c>
      <c r="L40">
        <f>K40*(1+IF($A40="AEO",'Growth Rates'!L92,'Growth Rates'!L92*L$5))</f>
        <v>1101369590872.8906</v>
      </c>
      <c r="M40">
        <f>L40*(1+IF($A40="AEO",'Growth Rates'!M92,'Growth Rates'!M92*M$5))</f>
        <v>1110109112716.116</v>
      </c>
      <c r="N40">
        <f>M40*(1+IF($A40="AEO",'Growth Rates'!N92,'Growth Rates'!N92*N$5))</f>
        <v>1122240002807.7571</v>
      </c>
      <c r="O40">
        <f>N40*(1+IF($A40="AEO",'Growth Rates'!O92,'Growth Rates'!O92*O$5))</f>
        <v>1132853823159.9026</v>
      </c>
      <c r="P40">
        <f>O40*(1+IF($A40="AEO",'Growth Rates'!P92,'Growth Rates'!P92*P$5))</f>
        <v>1141934141259.7688</v>
      </c>
      <c r="Q40">
        <f>P40*(1+IF($A40="AEO",'Growth Rates'!Q92,'Growth Rates'!Q92*Q$5))</f>
        <v>1149689887422.4316</v>
      </c>
      <c r="R40">
        <f>Q40*(1+IF($A40="AEO",'Growth Rates'!R92,'Growth Rates'!R92*R$5))</f>
        <v>1156389973950.3062</v>
      </c>
      <c r="S40">
        <f>R40*(1+IF($A40="AEO",'Growth Rates'!S92,'Growth Rates'!S92*S$5))</f>
        <v>1160565416429.4392</v>
      </c>
      <c r="T40">
        <f>S40*(1+IF($A40="AEO",'Growth Rates'!T92,'Growth Rates'!T92*T$5))</f>
        <v>1163321252272.4385</v>
      </c>
      <c r="U40">
        <f>T40*(1+IF($A40="AEO",'Growth Rates'!U92,'Growth Rates'!U92*U$5))</f>
        <v>1170181942408.302</v>
      </c>
      <c r="V40">
        <f>U40*(1+IF($A40="AEO",'Growth Rates'!V92,'Growth Rates'!V92*V$5))</f>
        <v>1175170519731.8613</v>
      </c>
      <c r="W40">
        <f>V40*(1+IF($A40="AEO",'Growth Rates'!W92,'Growth Rates'!W92*W$5))</f>
        <v>1181154691810.8555</v>
      </c>
      <c r="X40">
        <f>W40*(1+IF($A40="AEO",'Growth Rates'!X92,'Growth Rates'!X92*X$5))</f>
        <v>1192645678103.8489</v>
      </c>
      <c r="Y40">
        <f>X40*(1+IF($A40="AEO",'Growth Rates'!Y92,'Growth Rates'!Y92*Y$5))</f>
        <v>1204683395582.7537</v>
      </c>
      <c r="Z40">
        <f>Y40*(1+IF($A40="AEO",'Growth Rates'!Z92,'Growth Rates'!Z92*Z$5))</f>
        <v>1215741708111.1912</v>
      </c>
      <c r="AA40">
        <f>Z40*(1+IF($A40="AEO",'Growth Rates'!AA92,'Growth Rates'!AA92*AA$5))</f>
        <v>1226937877352.8037</v>
      </c>
      <c r="AB40">
        <f>AA40*(1+IF($A40="AEO",'Growth Rates'!AB92,'Growth Rates'!AB92*AB$5))</f>
        <v>1239695800434.3511</v>
      </c>
      <c r="AC40">
        <f>AB40*(1+IF($A40="AEO",'Growth Rates'!AC92,'Growth Rates'!AC92*AC$5))</f>
        <v>1254387600162.2676</v>
      </c>
    </row>
    <row r="41" spans="1:29" x14ac:dyDescent="0.25">
      <c r="B41" t="s">
        <v>351</v>
      </c>
      <c r="C41">
        <f>'Data from BVAbIC'!AH2</f>
        <v>2695700000000</v>
      </c>
      <c r="D41">
        <f>C41*(1+IF($A41="AEO",'Growth Rates'!D93,'Growth Rates'!D93*D$5))</f>
        <v>2758090803880.7637</v>
      </c>
      <c r="E41">
        <f>D41*(1+IF($A41="AEO",'Growth Rates'!E93,'Growth Rates'!E93*E$5))</f>
        <v>2861170650839.9727</v>
      </c>
      <c r="F41">
        <f>E41*(1+IF($A41="AEO",'Growth Rates'!F93,'Growth Rates'!F93*F$5))</f>
        <v>2930831773001.4604</v>
      </c>
      <c r="G41">
        <f>F41*(1+IF($A41="AEO",'Growth Rates'!G93,'Growth Rates'!G93*G$5))</f>
        <v>2979209081808.6641</v>
      </c>
      <c r="H41">
        <f>G41*(1+IF($A41="AEO",'Growth Rates'!H93,'Growth Rates'!H93*H$5))</f>
        <v>3037598334789.7549</v>
      </c>
      <c r="I41">
        <f>H41*(1+IF($A41="AEO",'Growth Rates'!I93,'Growth Rates'!I93*I$5))</f>
        <v>3104654037287.5933</v>
      </c>
      <c r="J41">
        <f>I41*(1+IF($A41="AEO",'Growth Rates'!J93,'Growth Rates'!J93*J$5))</f>
        <v>3170801636260.835</v>
      </c>
      <c r="K41">
        <f>J41*(1+IF($A41="AEO",'Growth Rates'!K93,'Growth Rates'!K93*K$5))</f>
        <v>3246373640920.5151</v>
      </c>
      <c r="L41">
        <f>K41*(1+IF($A41="AEO",'Growth Rates'!L93,'Growth Rates'!L93*L$5))</f>
        <v>3328702386885.1548</v>
      </c>
      <c r="M41">
        <f>L41*(1+IF($A41="AEO",'Growth Rates'!M93,'Growth Rates'!M93*M$5))</f>
        <v>3416841711619.7729</v>
      </c>
      <c r="N41">
        <f>M41*(1+IF($A41="AEO",'Growth Rates'!N93,'Growth Rates'!N93*N$5))</f>
        <v>3510712104708.1147</v>
      </c>
      <c r="O41">
        <f>N41*(1+IF($A41="AEO",'Growth Rates'!O93,'Growth Rates'!O93*O$5))</f>
        <v>3589210935122.5239</v>
      </c>
      <c r="P41">
        <f>O41*(1+IF($A41="AEO",'Growth Rates'!P93,'Growth Rates'!P93*P$5))</f>
        <v>3667417839964.0894</v>
      </c>
      <c r="Q41">
        <f>P41*(1+IF($A41="AEO",'Growth Rates'!Q93,'Growth Rates'!Q93*Q$5))</f>
        <v>3746223925062.5815</v>
      </c>
      <c r="R41">
        <f>Q41*(1+IF($A41="AEO",'Growth Rates'!R93,'Growth Rates'!R93*R$5))</f>
        <v>3823808832478.2705</v>
      </c>
      <c r="S41">
        <f>R41*(1+IF($A41="AEO",'Growth Rates'!S93,'Growth Rates'!S93*S$5))</f>
        <v>3901957123091.9307</v>
      </c>
      <c r="T41">
        <f>S41*(1+IF($A41="AEO",'Growth Rates'!T93,'Growth Rates'!T93*T$5))</f>
        <v>3978011735676.1826</v>
      </c>
      <c r="U41">
        <f>T41*(1+IF($A41="AEO",'Growth Rates'!U93,'Growth Rates'!U93*U$5))</f>
        <v>4056266257488.3721</v>
      </c>
      <c r="V41">
        <f>U41*(1+IF($A41="AEO",'Growth Rates'!V93,'Growth Rates'!V93*V$5))</f>
        <v>4137833915653.0771</v>
      </c>
      <c r="W41">
        <f>V41*(1+IF($A41="AEO",'Growth Rates'!W93,'Growth Rates'!W93*W$5))</f>
        <v>4219921461675.5669</v>
      </c>
      <c r="X41">
        <f>W41*(1+IF($A41="AEO",'Growth Rates'!X93,'Growth Rates'!X93*X$5))</f>
        <v>4301007651564.8369</v>
      </c>
      <c r="Y41">
        <f>X41*(1+IF($A41="AEO",'Growth Rates'!Y93,'Growth Rates'!Y93*Y$5))</f>
        <v>4379618961998.6831</v>
      </c>
      <c r="Z41">
        <f>Y41*(1+IF($A41="AEO",'Growth Rates'!Z93,'Growth Rates'!Z93*Z$5))</f>
        <v>4454975763869.8301</v>
      </c>
      <c r="AA41">
        <f>Z41*(1+IF($A41="AEO",'Growth Rates'!AA93,'Growth Rates'!AA93*AA$5))</f>
        <v>4530801361556.1436</v>
      </c>
      <c r="AB41">
        <f>AA41*(1+IF($A41="AEO",'Growth Rates'!AB93,'Growth Rates'!AB93*AB$5))</f>
        <v>4604115795140.376</v>
      </c>
      <c r="AC41">
        <f>AB41*(1+IF($A41="AEO",'Growth Rates'!AC93,'Growth Rates'!AC93*AC$5))</f>
        <v>4680269859197.0918</v>
      </c>
    </row>
    <row r="42" spans="1:29" x14ac:dyDescent="0.25">
      <c r="B42" t="s">
        <v>453</v>
      </c>
      <c r="C42">
        <f>'Data from BVAbIC'!AI2</f>
        <v>361372297293.06482</v>
      </c>
      <c r="D42">
        <f>C42*(1+IF($A42="AEO",'Growth Rates'!D94,'Growth Rates'!D94*D$5))</f>
        <v>367496111941.59607</v>
      </c>
      <c r="E42">
        <f>D42*(1+IF($A42="AEO",'Growth Rates'!E94,'Growth Rates'!E94*E$5))</f>
        <v>377552363100.16669</v>
      </c>
      <c r="F42">
        <f>E42*(1+IF($A42="AEO",'Growth Rates'!F94,'Growth Rates'!F94*F$5))</f>
        <v>384282781380.27905</v>
      </c>
      <c r="G42">
        <f>F42*(1+IF($A42="AEO",'Growth Rates'!G94,'Growth Rates'!G94*G$5))</f>
        <v>388927077446.67029</v>
      </c>
      <c r="H42">
        <f>G42*(1+IF($A42="AEO",'Growth Rates'!H94,'Growth Rates'!H94*H$5))</f>
        <v>394508157782.54181</v>
      </c>
      <c r="I42">
        <f>H42*(1+IF($A42="AEO",'Growth Rates'!I94,'Growth Rates'!I94*I$5))</f>
        <v>400884615977.409</v>
      </c>
      <c r="J42">
        <f>I42*(1+IF($A42="AEO",'Growth Rates'!J94,'Growth Rates'!J94*J$5))</f>
        <v>407138335810.80103</v>
      </c>
      <c r="K42">
        <f>J42*(1+IF($A42="AEO",'Growth Rates'!K94,'Growth Rates'!K94*K$5))</f>
        <v>414243138543.7915</v>
      </c>
      <c r="L42">
        <f>K42*(1+IF($A42="AEO",'Growth Rates'!L94,'Growth Rates'!L94*L$5))</f>
        <v>421934911889.61017</v>
      </c>
      <c r="M42">
        <f>L42*(1+IF($A42="AEO",'Growth Rates'!M94,'Growth Rates'!M94*M$5))</f>
        <v>430115007331.29761</v>
      </c>
      <c r="N42">
        <f>M42*(1+IF($A42="AEO",'Growth Rates'!N94,'Growth Rates'!N94*N$5))</f>
        <v>438766808502.46417</v>
      </c>
      <c r="O42">
        <f>N42*(1+IF($A42="AEO",'Growth Rates'!O94,'Growth Rates'!O94*O$5))</f>
        <v>445950040519.66559</v>
      </c>
      <c r="P42">
        <f>O42*(1+IF($A42="AEO",'Growth Rates'!P94,'Growth Rates'!P94*P$5))</f>
        <v>453064640417.77045</v>
      </c>
      <c r="Q42">
        <f>P42*(1+IF($A42="AEO",'Growth Rates'!Q94,'Growth Rates'!Q94*Q$5))</f>
        <v>460192804479.32477</v>
      </c>
      <c r="R42">
        <f>Q42*(1+IF($A42="AEO",'Growth Rates'!R94,'Growth Rates'!R94*R$5))</f>
        <v>467170973667.15765</v>
      </c>
      <c r="S42">
        <f>R42*(1+IF($A42="AEO",'Growth Rates'!S94,'Growth Rates'!S94*S$5))</f>
        <v>474161619823.04602</v>
      </c>
      <c r="T42">
        <f>S42*(1+IF($A42="AEO",'Growth Rates'!T94,'Growth Rates'!T94*T$5))</f>
        <v>480928486522.88654</v>
      </c>
      <c r="U42">
        <f>T42*(1+IF($A42="AEO",'Growth Rates'!U94,'Growth Rates'!U94*U$5))</f>
        <v>487855436350.26514</v>
      </c>
      <c r="V42">
        <f>U42*(1+IF($A42="AEO",'Growth Rates'!V94,'Growth Rates'!V94*V$5))</f>
        <v>495038353311.38702</v>
      </c>
      <c r="W42">
        <f>V42*(1+IF($A42="AEO",'Growth Rates'!W94,'Growth Rates'!W94*W$5))</f>
        <v>502228888619.37512</v>
      </c>
      <c r="X42">
        <f>W42*(1+IF($A42="AEO",'Growth Rates'!X94,'Growth Rates'!X94*X$5))</f>
        <v>509294705433.47064</v>
      </c>
      <c r="Y42">
        <f>X42*(1+IF($A42="AEO",'Growth Rates'!Y94,'Growth Rates'!Y94*Y$5))</f>
        <v>516110274765.24768</v>
      </c>
      <c r="Z42">
        <f>Y42*(1+IF($A42="AEO",'Growth Rates'!Z94,'Growth Rates'!Z94*Z$5))</f>
        <v>522612272209.56952</v>
      </c>
      <c r="AA42">
        <f>Z42*(1+IF($A42="AEO",'Growth Rates'!AA94,'Growth Rates'!AA94*AA$5))</f>
        <v>529125079956.36395</v>
      </c>
      <c r="AB42">
        <f>AA42*(1+IF($A42="AEO",'Growth Rates'!AB94,'Growth Rates'!AB94*AB$5))</f>
        <v>535393974531.99432</v>
      </c>
      <c r="AC42">
        <f>AB42*(1+IF($A42="AEO",'Growth Rates'!AC94,'Growth Rates'!AC94*AC$5))</f>
        <v>541877907021.9295</v>
      </c>
    </row>
    <row r="43" spans="1:29" x14ac:dyDescent="0.25">
      <c r="B43" t="s">
        <v>456</v>
      </c>
      <c r="C43">
        <f>'Data from BVAbIC'!AJ2</f>
        <v>16243782662.17305</v>
      </c>
      <c r="D43">
        <f>C43*(1+IF($A43="AEO",'Growth Rates'!D95,'Growth Rates'!D95*D$5))</f>
        <v>16556172945.734314</v>
      </c>
      <c r="E43">
        <f>D43*(1+IF($A43="AEO",'Growth Rates'!E95,'Growth Rates'!E95*E$5))</f>
        <v>17070318972.179218</v>
      </c>
      <c r="F43">
        <f>E43*(1+IF($A43="AEO",'Growth Rates'!F95,'Growth Rates'!F95*F$5))</f>
        <v>17415661183.397137</v>
      </c>
      <c r="G43">
        <f>F43*(1+IF($A43="AEO",'Growth Rates'!G95,'Growth Rates'!G95*G$5))</f>
        <v>17654525956.155056</v>
      </c>
      <c r="H43">
        <f>G43*(1+IF($A43="AEO",'Growth Rates'!H95,'Growth Rates'!H95*H$5))</f>
        <v>17942033550.663834</v>
      </c>
      <c r="I43">
        <f>H43*(1+IF($A43="AEO",'Growth Rates'!I95,'Growth Rates'!I95*I$5))</f>
        <v>18271141490.232162</v>
      </c>
      <c r="J43">
        <f>I43*(1+IF($A43="AEO",'Growth Rates'!J95,'Growth Rates'!J95*J$5))</f>
        <v>18594606923.993317</v>
      </c>
      <c r="K43">
        <f>J43*(1+IF($A43="AEO",'Growth Rates'!K95,'Growth Rates'!K95*K$5))</f>
        <v>18962854753.427288</v>
      </c>
      <c r="L43">
        <f>K43*(1+IF($A43="AEO",'Growth Rates'!L95,'Growth Rates'!L95*L$5))</f>
        <v>19362447908.152409</v>
      </c>
      <c r="M43">
        <f>L43*(1+IF($A43="AEO",'Growth Rates'!M95,'Growth Rates'!M95*M$5))</f>
        <v>19788454518.71611</v>
      </c>
      <c r="N43">
        <f>M43*(1+IF($A43="AEO",'Growth Rates'!N95,'Growth Rates'!N95*N$5))</f>
        <v>20240182484.488228</v>
      </c>
      <c r="O43">
        <f>N43*(1+IF($A43="AEO",'Growth Rates'!O95,'Growth Rates'!O95*O$5))</f>
        <v>20616230860.614708</v>
      </c>
      <c r="P43">
        <f>O43*(1+IF($A43="AEO",'Growth Rates'!P95,'Growth Rates'!P95*P$5))</f>
        <v>20989495379.424938</v>
      </c>
      <c r="Q43">
        <f>P43*(1+IF($A43="AEO",'Growth Rates'!Q95,'Growth Rates'!Q95*Q$5))</f>
        <v>21364263535.664375</v>
      </c>
      <c r="R43">
        <f>Q43*(1+IF($A43="AEO",'Growth Rates'!R95,'Growth Rates'!R95*R$5))</f>
        <v>21731912006.60091</v>
      </c>
      <c r="S43">
        <f>R43*(1+IF($A43="AEO",'Growth Rates'!S95,'Growth Rates'!S95*S$5))</f>
        <v>22100959766.231159</v>
      </c>
      <c r="T43">
        <f>S43*(1+IF($A43="AEO",'Growth Rates'!T95,'Growth Rates'!T95*T$5))</f>
        <v>22458904126.447857</v>
      </c>
      <c r="U43">
        <f>T43*(1+IF($A43="AEO",'Growth Rates'!U95,'Growth Rates'!U95*U$5))</f>
        <v>22826011635.243462</v>
      </c>
      <c r="V43">
        <f>U43*(1+IF($A43="AEO",'Growth Rates'!V95,'Growth Rates'!V95*V$5))</f>
        <v>23207413575.225861</v>
      </c>
      <c r="W43">
        <f>V43*(1+IF($A43="AEO",'Growth Rates'!W95,'Growth Rates'!W95*W$5))</f>
        <v>23589967167.191601</v>
      </c>
      <c r="X43">
        <f>W43*(1+IF($A43="AEO",'Growth Rates'!X95,'Growth Rates'!X95*X$5))</f>
        <v>23966611282.814125</v>
      </c>
      <c r="Y43">
        <f>X43*(1+IF($A43="AEO",'Growth Rates'!Y95,'Growth Rates'!Y95*Y$5))</f>
        <v>24330595688.410019</v>
      </c>
      <c r="Z43">
        <f>Y43*(1+IF($A43="AEO",'Growth Rates'!Z95,'Growth Rates'!Z95*Z$5))</f>
        <v>24678452248.367054</v>
      </c>
      <c r="AA43">
        <f>Z43*(1+IF($A43="AEO",'Growth Rates'!AA95,'Growth Rates'!AA95*AA$5))</f>
        <v>25027471786.708271</v>
      </c>
      <c r="AB43">
        <f>AA43*(1+IF($A43="AEO",'Growth Rates'!AB95,'Growth Rates'!AB95*AB$5))</f>
        <v>25363977751.07098</v>
      </c>
      <c r="AC43">
        <f>AB43*(1+IF($A43="AEO",'Growth Rates'!AC95,'Growth Rates'!AC95*AC$5))</f>
        <v>25712576268.095409</v>
      </c>
    </row>
    <row r="44" spans="1:29" x14ac:dyDescent="0.25">
      <c r="B44" t="s">
        <v>446</v>
      </c>
      <c r="C44">
        <f>'Data from BVAbIC'!AK2</f>
        <v>126110928922.1524</v>
      </c>
      <c r="D44">
        <f>C44*(1+IF($A44="AEO",'Growth Rates'!D96,'Growth Rates'!D96*D$5))</f>
        <v>128767195226.81548</v>
      </c>
      <c r="E44">
        <f>D44*(1+IF($A44="AEO",'Growth Rates'!E96,'Growth Rates'!E96*E$5))</f>
        <v>133146854318.10423</v>
      </c>
      <c r="F44">
        <f>E44*(1+IF($A44="AEO",'Growth Rates'!F96,'Growth Rates'!F96*F$5))</f>
        <v>136097027296.35643</v>
      </c>
      <c r="G44">
        <f>F44*(1+IF($A44="AEO",'Growth Rates'!G96,'Growth Rates'!G96*G$5))</f>
        <v>138141443522.22244</v>
      </c>
      <c r="H44">
        <f>G44*(1+IF($A44="AEO",'Growth Rates'!H96,'Growth Rates'!H96*H$5))</f>
        <v>140605358919.319</v>
      </c>
      <c r="I44">
        <f>H44*(1+IF($A44="AEO",'Growth Rates'!I96,'Growth Rates'!I96*I$5))</f>
        <v>143430090007.90335</v>
      </c>
      <c r="J44">
        <f>I44*(1+IF($A44="AEO",'Growth Rates'!J96,'Growth Rates'!J96*J$5))</f>
        <v>146211154174.25305</v>
      </c>
      <c r="K44">
        <f>J44*(1+IF($A44="AEO",'Growth Rates'!K96,'Growth Rates'!K96*K$5))</f>
        <v>149382490047.5986</v>
      </c>
      <c r="L44">
        <f>K44*(1+IF($A44="AEO",'Growth Rates'!L96,'Growth Rates'!L96*L$5))</f>
        <v>152830135177.29761</v>
      </c>
      <c r="M44">
        <f>L44*(1+IF($A44="AEO",'Growth Rates'!M96,'Growth Rates'!M96*M$5))</f>
        <v>156512896848.159</v>
      </c>
      <c r="N44">
        <f>M44*(1+IF($A44="AEO",'Growth Rates'!N96,'Growth Rates'!N96*N$5))</f>
        <v>160426022305.08197</v>
      </c>
      <c r="O44">
        <f>N44*(1+IF($A44="AEO",'Growth Rates'!O96,'Growth Rates'!O96*O$5))</f>
        <v>163690492070.36737</v>
      </c>
      <c r="P44">
        <f>O44*(1+IF($A44="AEO",'Growth Rates'!P96,'Growth Rates'!P96*P$5))</f>
        <v>166936424210.18204</v>
      </c>
      <c r="Q44">
        <f>P44*(1+IF($A44="AEO",'Growth Rates'!Q96,'Growth Rates'!Q96*Q$5))</f>
        <v>170200951718.16351</v>
      </c>
      <c r="R44">
        <f>Q44*(1+IF($A44="AEO",'Growth Rates'!R96,'Growth Rates'!R96*R$5))</f>
        <v>173408811399.51846</v>
      </c>
      <c r="S44">
        <f>R44*(1+IF($A44="AEO",'Growth Rates'!S96,'Growth Rates'!S96*S$5))</f>
        <v>176634068485.43115</v>
      </c>
      <c r="T44">
        <f>S44*(1+IF($A44="AEO",'Growth Rates'!T96,'Growth Rates'!T96*T$5))</f>
        <v>179767263333.12015</v>
      </c>
      <c r="U44">
        <f>T44*(1+IF($A44="AEO",'Growth Rates'!U96,'Growth Rates'!U96*U$5))</f>
        <v>182985543543.67786</v>
      </c>
      <c r="V44">
        <f>U44*(1+IF($A44="AEO",'Growth Rates'!V96,'Growth Rates'!V96*V$5))</f>
        <v>186334258525.31812</v>
      </c>
      <c r="W44">
        <f>V44*(1+IF($A44="AEO",'Growth Rates'!W96,'Growth Rates'!W96*W$5))</f>
        <v>189698342228.47589</v>
      </c>
      <c r="X44">
        <f>W44*(1+IF($A44="AEO",'Growth Rates'!X96,'Growth Rates'!X96*X$5))</f>
        <v>193015574847.42358</v>
      </c>
      <c r="Y44">
        <f>X44*(1+IF($A44="AEO",'Growth Rates'!Y96,'Growth Rates'!Y96*Y$5))</f>
        <v>196226107129.40475</v>
      </c>
      <c r="Z44">
        <f>Y44*(1+IF($A44="AEO",'Growth Rates'!Z96,'Growth Rates'!Z96*Z$5))</f>
        <v>199298754949.34238</v>
      </c>
      <c r="AA44">
        <f>Z44*(1+IF($A44="AEO",'Growth Rates'!AA96,'Growth Rates'!AA96*AA$5))</f>
        <v>202385814078.07227</v>
      </c>
      <c r="AB44">
        <f>AA44*(1+IF($A44="AEO",'Growth Rates'!AB96,'Growth Rates'!AB96*AB$5))</f>
        <v>205366144357.04343</v>
      </c>
      <c r="AC44">
        <f>AB44*(1+IF($A44="AEO",'Growth Rates'!AC96,'Growth Rates'!AC96*AC$5))</f>
        <v>208457475737.59506</v>
      </c>
    </row>
    <row r="45" spans="1:29" x14ac:dyDescent="0.25">
      <c r="B45" t="s">
        <v>487</v>
      </c>
      <c r="C45">
        <f>'Data from BVAbIC'!AL2</f>
        <v>152411004029.24551</v>
      </c>
      <c r="D45">
        <f>C45*(1+IF($A45="AEO",'Growth Rates'!D97,'Growth Rates'!D97*D$5))</f>
        <v>156014107312.83914</v>
      </c>
      <c r="E45">
        <f>D45*(1+IF($A45="AEO",'Growth Rates'!E97,'Growth Rates'!E97*E$5))</f>
        <v>161969911900.68423</v>
      </c>
      <c r="F45">
        <f>E45*(1+IF($A45="AEO",'Growth Rates'!F97,'Growth Rates'!F97*F$5))</f>
        <v>165997939292.65274</v>
      </c>
      <c r="G45">
        <f>F45*(1+IF($A45="AEO",'Growth Rates'!G97,'Growth Rates'!G97*G$5))</f>
        <v>168796694247.85699</v>
      </c>
      <c r="H45">
        <f>G45*(1+IF($A45="AEO",'Growth Rates'!H97,'Growth Rates'!H97*H$5))</f>
        <v>172175842435.04602</v>
      </c>
      <c r="I45">
        <f>H45*(1+IF($A45="AEO",'Growth Rates'!I97,'Growth Rates'!I97*I$5))</f>
        <v>176058141182.98926</v>
      </c>
      <c r="J45">
        <f>I45*(1+IF($A45="AEO",'Growth Rates'!J97,'Growth Rates'!J97*J$5))</f>
        <v>179889636944.40045</v>
      </c>
      <c r="K45">
        <f>J45*(1+IF($A45="AEO",'Growth Rates'!K97,'Growth Rates'!K97*K$5))</f>
        <v>184268984154.49179</v>
      </c>
      <c r="L45">
        <f>K45*(1+IF($A45="AEO",'Growth Rates'!L97,'Growth Rates'!L97*L$5))</f>
        <v>189042260773.01981</v>
      </c>
      <c r="M45">
        <f>L45*(1+IF($A45="AEO",'Growth Rates'!M97,'Growth Rates'!M97*M$5))</f>
        <v>194155133928.61871</v>
      </c>
      <c r="N45">
        <f>M45*(1+IF($A45="AEO",'Growth Rates'!N97,'Growth Rates'!N97*N$5))</f>
        <v>199603471647.58798</v>
      </c>
      <c r="O45">
        <f>N45*(1+IF($A45="AEO",'Growth Rates'!O97,'Growth Rates'!O97*O$5))</f>
        <v>204162238949.21198</v>
      </c>
      <c r="P45">
        <f>O45*(1+IF($A45="AEO",'Growth Rates'!P97,'Growth Rates'!P97*P$5))</f>
        <v>208706182217.46643</v>
      </c>
      <c r="Q45">
        <f>P45*(1+IF($A45="AEO",'Growth Rates'!Q97,'Growth Rates'!Q97*Q$5))</f>
        <v>213287031873.69482</v>
      </c>
      <c r="R45">
        <f>Q45*(1+IF($A45="AEO",'Growth Rates'!R97,'Growth Rates'!R97*R$5))</f>
        <v>217798930447.6824</v>
      </c>
      <c r="S45">
        <f>R45*(1+IF($A45="AEO",'Growth Rates'!S97,'Growth Rates'!S97*S$5))</f>
        <v>222345568874.89639</v>
      </c>
      <c r="T45">
        <f>S45*(1+IF($A45="AEO",'Growth Rates'!T97,'Growth Rates'!T97*T$5))</f>
        <v>226772297603.04742</v>
      </c>
      <c r="U45">
        <f>T45*(1+IF($A45="AEO",'Growth Rates'!U97,'Growth Rates'!U97*U$5))</f>
        <v>231328937902.68643</v>
      </c>
      <c r="V45">
        <f>U45*(1+IF($A45="AEO",'Growth Rates'!V97,'Growth Rates'!V97*V$5))</f>
        <v>236080461248.55795</v>
      </c>
      <c r="W45">
        <f>V45*(1+IF($A45="AEO",'Growth Rates'!W97,'Growth Rates'!W97*W$5))</f>
        <v>240864290030.70267</v>
      </c>
      <c r="X45">
        <f>W45*(1+IF($A45="AEO",'Growth Rates'!X97,'Growth Rates'!X97*X$5))</f>
        <v>245591733102.78333</v>
      </c>
      <c r="Y45">
        <f>X45*(1+IF($A45="AEO",'Growth Rates'!Y97,'Growth Rates'!Y97*Y$5))</f>
        <v>250176739323.63263</v>
      </c>
      <c r="Z45">
        <f>Y45*(1+IF($A45="AEO",'Growth Rates'!Z97,'Growth Rates'!Z97*Z$5))</f>
        <v>254573617408.75201</v>
      </c>
      <c r="AA45">
        <f>Z45*(1+IF($A45="AEO",'Growth Rates'!AA97,'Growth Rates'!AA97*AA$5))</f>
        <v>258999452776.12607</v>
      </c>
      <c r="AB45">
        <f>AA45*(1+IF($A45="AEO",'Growth Rates'!AB97,'Growth Rates'!AB97*AB$5))</f>
        <v>263280250158.35889</v>
      </c>
      <c r="AC45">
        <f>AB45*(1+IF($A45="AEO",'Growth Rates'!AC97,'Growth Rates'!AC97*AC$5))</f>
        <v>267728370145.70303</v>
      </c>
    </row>
    <row r="46" spans="1:29" x14ac:dyDescent="0.25">
      <c r="B46" t="s">
        <v>512</v>
      </c>
      <c r="C46">
        <f>'Data from BVAbIC'!AM2</f>
        <v>66483987093.364311</v>
      </c>
      <c r="D46">
        <f>C46*(1+IF($A46="AEO",'Growth Rates'!D98,'Growth Rates'!D98*D$5))</f>
        <v>68188758452.131149</v>
      </c>
      <c r="E46">
        <f>D46*(1+IF($A46="AEO",'Growth Rates'!E98,'Growth Rates'!E98*E$5))</f>
        <v>71012195109.969604</v>
      </c>
      <c r="F46">
        <f>E46*(1+IF($A46="AEO",'Growth Rates'!F98,'Growth Rates'!F98*F$5))</f>
        <v>72927684291.137054</v>
      </c>
      <c r="G46">
        <f>F46*(1+IF($A46="AEO",'Growth Rates'!G98,'Growth Rates'!G98*G$5))</f>
        <v>74261338680.522369</v>
      </c>
      <c r="H46">
        <f>G46*(1+IF($A46="AEO",'Growth Rates'!H98,'Growth Rates'!H98*H$5))</f>
        <v>75873820292.098022</v>
      </c>
      <c r="I46">
        <f>H46*(1+IF($A46="AEO",'Growth Rates'!I98,'Growth Rates'!I98*I$5))</f>
        <v>77729475920.950363</v>
      </c>
      <c r="J46">
        <f>I46*(1+IF($A46="AEO",'Growth Rates'!J98,'Growth Rates'!J98*J$5))</f>
        <v>79564267225.27684</v>
      </c>
      <c r="K46">
        <f>J46*(1+IF($A46="AEO",'Growth Rates'!K98,'Growth Rates'!K98*K$5))</f>
        <v>81665189557.289627</v>
      </c>
      <c r="L46">
        <f>K46*(1+IF($A46="AEO",'Growth Rates'!L98,'Growth Rates'!L98*L$5))</f>
        <v>83959699967.298737</v>
      </c>
      <c r="M46">
        <f>L46*(1+IF($A46="AEO",'Growth Rates'!M98,'Growth Rates'!M98*M$5))</f>
        <v>86422707219.0457</v>
      </c>
      <c r="N46">
        <f>M46*(1+IF($A46="AEO",'Growth Rates'!N98,'Growth Rates'!N98*N$5))</f>
        <v>89053167230.742905</v>
      </c>
      <c r="O46">
        <f>N46*(1+IF($A46="AEO",'Growth Rates'!O98,'Growth Rates'!O98*O$5))</f>
        <v>91259227638.989746</v>
      </c>
      <c r="P46">
        <f>O46*(1+IF($A46="AEO",'Growth Rates'!P98,'Growth Rates'!P98*P$5))</f>
        <v>93462270598.811996</v>
      </c>
      <c r="Q46">
        <f>P46*(1+IF($A46="AEO",'Growth Rates'!Q98,'Growth Rates'!Q98*Q$5))</f>
        <v>95687299973.242355</v>
      </c>
      <c r="R46">
        <f>Q46*(1+IF($A46="AEO",'Growth Rates'!R98,'Growth Rates'!R98*R$5))</f>
        <v>97882822383.175903</v>
      </c>
      <c r="S46">
        <f>R46*(1+IF($A46="AEO",'Growth Rates'!S98,'Growth Rates'!S98*S$5))</f>
        <v>100099129062.85352</v>
      </c>
      <c r="T46">
        <f>S46*(1+IF($A46="AEO",'Growth Rates'!T98,'Growth Rates'!T98*T$5))</f>
        <v>102260719575.34024</v>
      </c>
      <c r="U46">
        <f>T46*(1+IF($A46="AEO",'Growth Rates'!U98,'Growth Rates'!U98*U$5))</f>
        <v>104489423035.94174</v>
      </c>
      <c r="V46">
        <f>U46*(1+IF($A46="AEO",'Growth Rates'!V98,'Growth Rates'!V98*V$5))</f>
        <v>106817320949.97577</v>
      </c>
      <c r="W46">
        <f>V46*(1+IF($A46="AEO",'Growth Rates'!W98,'Growth Rates'!W98*W$5))</f>
        <v>109165039115.18555</v>
      </c>
      <c r="X46">
        <f>W46*(1+IF($A46="AEO",'Growth Rates'!X98,'Growth Rates'!X98*X$5))</f>
        <v>111488985806.76163</v>
      </c>
      <c r="Y46">
        <f>X46*(1+IF($A46="AEO",'Growth Rates'!Y98,'Growth Rates'!Y98*Y$5))</f>
        <v>113746585028.19527</v>
      </c>
      <c r="Z46">
        <f>Y46*(1+IF($A46="AEO",'Growth Rates'!Z98,'Growth Rates'!Z98*Z$5))</f>
        <v>115914910938.03545</v>
      </c>
      <c r="AA46">
        <f>Z46*(1+IF($A46="AEO",'Growth Rates'!AA98,'Growth Rates'!AA98*AA$5))</f>
        <v>118100708129.05843</v>
      </c>
      <c r="AB46">
        <f>AA46*(1+IF($A46="AEO",'Growth Rates'!AB98,'Growth Rates'!AB98*AB$5))</f>
        <v>120217933180.50468</v>
      </c>
      <c r="AC46">
        <f>AB46*(1+IF($A46="AEO",'Growth Rates'!AC98,'Growth Rates'!AC98*AC$5))</f>
        <v>122420941643.28133</v>
      </c>
    </row>
    <row r="47" spans="1:29" x14ac:dyDescent="0.25">
      <c r="B47" t="s">
        <v>863</v>
      </c>
      <c r="C47">
        <f>'Data from BVAbIC'!AN2</f>
        <v>702900000000</v>
      </c>
      <c r="D47">
        <f>C47*(1+IF($A47="AEO",'Growth Rates'!D99,'Growth Rates'!D99*D$5))</f>
        <v>717705137044.86487</v>
      </c>
      <c r="E47">
        <f>D47*(1+IF($A47="AEO",'Growth Rates'!E99,'Growth Rates'!E99*E$5))</f>
        <v>742115887180.30469</v>
      </c>
      <c r="F47">
        <f>E47*(1+IF($A47="AEO",'Growth Rates'!F99,'Growth Rates'!F99*F$5))</f>
        <v>758559161400.36487</v>
      </c>
      <c r="G47">
        <f>F47*(1+IF($A47="AEO",'Growth Rates'!G99,'Growth Rates'!G99*G$5))</f>
        <v>769954051418.56689</v>
      </c>
      <c r="H47">
        <f>G47*(1+IF($A47="AEO",'Growth Rates'!H99,'Growth Rates'!H99*H$5))</f>
        <v>783687089049.97034</v>
      </c>
      <c r="I47">
        <f>H47*(1+IF($A47="AEO",'Growth Rates'!I99,'Growth Rates'!I99*I$5))</f>
        <v>799431192270.33093</v>
      </c>
      <c r="J47">
        <f>I47*(1+IF($A47="AEO",'Growth Rates'!J99,'Growth Rates'!J99*J$5))</f>
        <v>814931910719.03796</v>
      </c>
      <c r="K47">
        <f>J47*(1+IF($A47="AEO",'Growth Rates'!K99,'Growth Rates'!K99*K$5))</f>
        <v>832607872702.87695</v>
      </c>
      <c r="L47">
        <f>K47*(1+IF($A47="AEO",'Growth Rates'!L99,'Growth Rates'!L99*L$5))</f>
        <v>851823889763.23303</v>
      </c>
      <c r="M47">
        <f>L47*(1+IF($A47="AEO",'Growth Rates'!M99,'Growth Rates'!M99*M$5))</f>
        <v>872350367528.26807</v>
      </c>
      <c r="N47">
        <f>M47*(1+IF($A47="AEO",'Growth Rates'!N99,'Growth Rates'!N99*N$5))</f>
        <v>894160815735.88562</v>
      </c>
      <c r="O47">
        <f>N47*(1+IF($A47="AEO",'Growth Rates'!O99,'Growth Rates'!O99*O$5))</f>
        <v>912355874781.36731</v>
      </c>
      <c r="P47">
        <f>O47*(1+IF($A47="AEO",'Growth Rates'!P99,'Growth Rates'!P99*P$5))</f>
        <v>930447611322.96497</v>
      </c>
      <c r="Q47">
        <f>P47*(1+IF($A47="AEO",'Growth Rates'!Q99,'Growth Rates'!Q99*Q$5))</f>
        <v>948642992206.8584</v>
      </c>
      <c r="R47">
        <f>Q47*(1+IF($A47="AEO",'Growth Rates'!R99,'Growth Rates'!R99*R$5))</f>
        <v>966522525640.60437</v>
      </c>
      <c r="S47">
        <f>R47*(1+IF($A47="AEO",'Growth Rates'!S99,'Growth Rates'!S99*S$5))</f>
        <v>984499026369.47827</v>
      </c>
      <c r="T47">
        <f>S47*(1+IF($A47="AEO",'Growth Rates'!T99,'Growth Rates'!T99*T$5))</f>
        <v>1001962403074.9189</v>
      </c>
      <c r="U47">
        <f>T47*(1+IF($A47="AEO",'Growth Rates'!U99,'Growth Rates'!U99*U$5))</f>
        <v>1019900017041.7261</v>
      </c>
      <c r="V47">
        <f>U47*(1+IF($A47="AEO",'Growth Rates'!V99,'Growth Rates'!V99*V$5))</f>
        <v>1038564630653.8257</v>
      </c>
      <c r="W47">
        <f>V47*(1+IF($A47="AEO",'Growth Rates'!W99,'Growth Rates'!W99*W$5))</f>
        <v>1057314904362.5322</v>
      </c>
      <c r="X47">
        <f>W47*(1+IF($A47="AEO",'Growth Rates'!X99,'Growth Rates'!X99*X$5))</f>
        <v>1075804045849.2123</v>
      </c>
      <c r="Y47">
        <f>X47*(1+IF($A47="AEO",'Growth Rates'!Y99,'Growth Rates'!Y99*Y$5))</f>
        <v>1093698475462.0304</v>
      </c>
      <c r="Z47">
        <f>Y47*(1+IF($A47="AEO",'Growth Rates'!Z99,'Growth Rates'!Z99*Z$5))</f>
        <v>1110824383351.9592</v>
      </c>
      <c r="AA47">
        <f>Z47*(1+IF($A47="AEO",'Growth Rates'!AA99,'Growth Rates'!AA99*AA$5))</f>
        <v>1128030615041.2341</v>
      </c>
      <c r="AB47">
        <f>AA47*(1+IF($A47="AEO",'Growth Rates'!AB99,'Growth Rates'!AB99*AB$5))</f>
        <v>1144641975935.9111</v>
      </c>
      <c r="AC47">
        <f>AB47*(1+IF($A47="AEO",'Growth Rates'!AC99,'Growth Rates'!AC99*AC$5))</f>
        <v>1161872019723.2427</v>
      </c>
    </row>
    <row r="48" spans="1:29" x14ac:dyDescent="0.25">
      <c r="B48" t="s">
        <v>523</v>
      </c>
      <c r="C48">
        <f>'Data from BVAbIC'!AO2</f>
        <v>502078000000</v>
      </c>
      <c r="D48">
        <f>C48*(1+IF($A48="AEO",'Growth Rates'!D100,'Growth Rates'!D100*D$5))</f>
        <v>518940021807.11719</v>
      </c>
      <c r="E48">
        <f>D48*(1+IF($A48="AEO",'Growth Rates'!E100,'Growth Rates'!E100*E$5))</f>
        <v>547083113299.12317</v>
      </c>
      <c r="F48">
        <f>E48*(1+IF($A48="AEO",'Growth Rates'!F100,'Growth Rates'!F100*F$5))</f>
        <v>566411225868.03345</v>
      </c>
      <c r="G48">
        <f>F48*(1+IF($A48="AEO",'Growth Rates'!G100,'Growth Rates'!G100*G$5))</f>
        <v>579977859540.75171</v>
      </c>
      <c r="H48">
        <f>G48*(1+IF($A48="AEO",'Growth Rates'!H100,'Growth Rates'!H100*H$5))</f>
        <v>596472117509.65295</v>
      </c>
      <c r="I48">
        <f>H48*(1+IF($A48="AEO",'Growth Rates'!I100,'Growth Rates'!I100*I$5))</f>
        <v>615578785174.20435</v>
      </c>
      <c r="J48">
        <f>I48*(1+IF($A48="AEO",'Growth Rates'!J100,'Growth Rates'!J100*J$5))</f>
        <v>634610325904.73511</v>
      </c>
      <c r="K48">
        <f>J48*(1+IF($A48="AEO",'Growth Rates'!K100,'Growth Rates'!K100*K$5))</f>
        <v>656557996597.93286</v>
      </c>
      <c r="L48">
        <f>K48*(1+IF($A48="AEO",'Growth Rates'!L100,'Growth Rates'!L100*L$5))</f>
        <v>680719031016.88708</v>
      </c>
      <c r="M48">
        <f>L48*(1+IF($A48="AEO",'Growth Rates'!M100,'Growth Rates'!M100*M$5))</f>
        <v>706873871515.21997</v>
      </c>
      <c r="N48">
        <f>M48*(1+IF($A48="AEO",'Growth Rates'!N100,'Growth Rates'!N100*N$5))</f>
        <v>735053491830.39648</v>
      </c>
      <c r="O48">
        <f>N48*(1+IF($A48="AEO",'Growth Rates'!O100,'Growth Rates'!O100*O$5))</f>
        <v>758902830806.7688</v>
      </c>
      <c r="P48">
        <f>O48*(1+IF($A48="AEO",'Growth Rates'!P100,'Growth Rates'!P100*P$5))</f>
        <v>782897884213.28882</v>
      </c>
      <c r="Q48">
        <f>P48*(1+IF($A48="AEO",'Growth Rates'!Q100,'Growth Rates'!Q100*Q$5))</f>
        <v>807309353034.13318</v>
      </c>
      <c r="R48">
        <f>Q48*(1+IF($A48="AEO",'Growth Rates'!R100,'Growth Rates'!R100*R$5))</f>
        <v>831570589403.72375</v>
      </c>
      <c r="S48">
        <f>R48*(1+IF($A48="AEO",'Growth Rates'!S100,'Growth Rates'!S100*S$5))</f>
        <v>856231656443.83264</v>
      </c>
      <c r="T48">
        <f>S48*(1+IF($A48="AEO",'Growth Rates'!T100,'Growth Rates'!T100*T$5))</f>
        <v>880448848055.52014</v>
      </c>
      <c r="U48">
        <f>T48*(1+IF($A48="AEO",'Growth Rates'!U100,'Growth Rates'!U100*U$5))</f>
        <v>905581420522.97827</v>
      </c>
      <c r="V48">
        <f>U48*(1+IF($A48="AEO",'Growth Rates'!V100,'Growth Rates'!V100*V$5))</f>
        <v>932006023726.4043</v>
      </c>
      <c r="W48">
        <f>V48*(1+IF($A48="AEO",'Growth Rates'!W100,'Growth Rates'!W100*W$5))</f>
        <v>958835510747.92981</v>
      </c>
      <c r="X48">
        <f>W48*(1+IF($A48="AEO",'Growth Rates'!X100,'Growth Rates'!X100*X$5))</f>
        <v>985570257077.73938</v>
      </c>
      <c r="Y48">
        <f>X48*(1+IF($A48="AEO",'Growth Rates'!Y100,'Growth Rates'!Y100*Y$5))</f>
        <v>1011709429977.0167</v>
      </c>
      <c r="Z48">
        <f>Y48*(1+IF($A48="AEO",'Growth Rates'!Z100,'Growth Rates'!Z100*Z$5))</f>
        <v>1036969314529.9971</v>
      </c>
      <c r="AA48">
        <f>Z48*(1+IF($A48="AEO",'Growth Rates'!AA100,'Growth Rates'!AA100*AA$5))</f>
        <v>1062580273104.5796</v>
      </c>
      <c r="AB48">
        <f>AA48*(1+IF($A48="AEO",'Growth Rates'!AB100,'Growth Rates'!AB100*AB$5))</f>
        <v>1087529991156.5009</v>
      </c>
      <c r="AC48">
        <f>AB48*(1+IF($A48="AEO",'Growth Rates'!AC100,'Growth Rates'!AC100*AC$5))</f>
        <v>1113632215716.7095</v>
      </c>
    </row>
    <row r="49" spans="1:29" x14ac:dyDescent="0.25">
      <c r="B49" t="s">
        <v>554</v>
      </c>
      <c r="C49">
        <f>'Data from BVAbIC'!AP2</f>
        <v>276414000000</v>
      </c>
      <c r="D49">
        <f>C49*(1+IF($A49="AEO",'Growth Rates'!D101,'Growth Rates'!D101*D$5))</f>
        <v>283248627541.8125</v>
      </c>
      <c r="E49">
        <f>D49*(1+IF($A49="AEO",'Growth Rates'!E101,'Growth Rates'!E101*E$5))</f>
        <v>294558007962.85669</v>
      </c>
      <c r="F49">
        <f>E49*(1+IF($A49="AEO",'Growth Rates'!F101,'Growth Rates'!F101*F$5))</f>
        <v>302219676028.83563</v>
      </c>
      <c r="G49">
        <f>F49*(1+IF($A49="AEO",'Growth Rates'!G101,'Growth Rates'!G101*G$5))</f>
        <v>307549088621.46545</v>
      </c>
      <c r="H49">
        <f>G49*(1+IF($A49="AEO",'Growth Rates'!H101,'Growth Rates'!H101*H$5))</f>
        <v>313988589015.56677</v>
      </c>
      <c r="I49">
        <f>H49*(1+IF($A49="AEO",'Growth Rates'!I101,'Growth Rates'!I101*I$5))</f>
        <v>321393588451.14008</v>
      </c>
      <c r="J49">
        <f>I49*(1+IF($A49="AEO",'Growth Rates'!J101,'Growth Rates'!J101*J$5))</f>
        <v>328709086101.3382</v>
      </c>
      <c r="K49">
        <f>J49*(1+IF($A49="AEO",'Growth Rates'!K101,'Growth Rates'!K101*K$5))</f>
        <v>337078776084.96356</v>
      </c>
      <c r="L49">
        <f>K49*(1+IF($A49="AEO",'Growth Rates'!L101,'Growth Rates'!L101*L$5))</f>
        <v>346211286982.13483</v>
      </c>
      <c r="M49">
        <f>L49*(1+IF($A49="AEO",'Growth Rates'!M101,'Growth Rates'!M101*M$5))</f>
        <v>356004873578.59369</v>
      </c>
      <c r="N49">
        <f>M49*(1+IF($A49="AEO",'Growth Rates'!N101,'Growth Rates'!N101*N$5))</f>
        <v>366453651856.6449</v>
      </c>
      <c r="O49">
        <f>N49*(1+IF($A49="AEO",'Growth Rates'!O101,'Growth Rates'!O101*O$5))</f>
        <v>375207375208.04034</v>
      </c>
      <c r="P49">
        <f>O49*(1+IF($A49="AEO",'Growth Rates'!P101,'Growth Rates'!P101*P$5))</f>
        <v>383941578105.68958</v>
      </c>
      <c r="Q49">
        <f>P49*(1+IF($A49="AEO",'Growth Rates'!Q101,'Growth Rates'!Q101*Q$5))</f>
        <v>392755522363.88257</v>
      </c>
      <c r="R49">
        <f>Q49*(1+IF($A49="AEO",'Growth Rates'!R101,'Growth Rates'!R101*R$5))</f>
        <v>401445358902.43695</v>
      </c>
      <c r="S49">
        <f>R49*(1+IF($A49="AEO",'Growth Rates'!S101,'Growth Rates'!S101*S$5))</f>
        <v>410210432077.82172</v>
      </c>
      <c r="T49">
        <f>S49*(1+IF($A49="AEO",'Growth Rates'!T101,'Growth Rates'!T101*T$5))</f>
        <v>418752353268.81232</v>
      </c>
      <c r="U49">
        <f>T49*(1+IF($A49="AEO",'Growth Rates'!U101,'Growth Rates'!U101*U$5))</f>
        <v>427552834813.15833</v>
      </c>
      <c r="V49">
        <f>U49*(1+IF($A49="AEO",'Growth Rates'!V101,'Growth Rates'!V101*V$5))</f>
        <v>436738003215.62366</v>
      </c>
      <c r="W49">
        <f>V49*(1+IF($A49="AEO",'Growth Rates'!W101,'Growth Rates'!W101*W$5))</f>
        <v>445994166257.96112</v>
      </c>
      <c r="X49">
        <f>W49*(1+IF($A49="AEO",'Growth Rates'!X101,'Growth Rates'!X101*X$5))</f>
        <v>455149569934.40167</v>
      </c>
      <c r="Y49">
        <f>X49*(1+IF($A49="AEO",'Growth Rates'!Y101,'Growth Rates'!Y101*Y$5))</f>
        <v>464036970430.4729</v>
      </c>
      <c r="Z49">
        <f>Y49*(1+IF($A49="AEO",'Growth Rates'!Z101,'Growth Rates'!Z101*Z$5))</f>
        <v>472566881591.63171</v>
      </c>
      <c r="AA49">
        <f>Z49*(1+IF($A49="AEO",'Growth Rates'!AA101,'Growth Rates'!AA101*AA$5))</f>
        <v>481159777929.4502</v>
      </c>
      <c r="AB49">
        <f>AA49*(1+IF($A49="AEO",'Growth Rates'!AB101,'Growth Rates'!AB101*AB$5))</f>
        <v>489477598946.18347</v>
      </c>
      <c r="AC49">
        <f>AB49*(1+IF($A49="AEO",'Growth Rates'!AC101,'Growth Rates'!AC101*AC$5))</f>
        <v>498126988593.27307</v>
      </c>
    </row>
    <row r="50" spans="1:29" x14ac:dyDescent="0.25">
      <c r="B50" t="s">
        <v>557</v>
      </c>
      <c r="C50">
        <f>'Data from BVAbIC'!AQ2</f>
        <v>769467000000</v>
      </c>
      <c r="D50">
        <f>C50*(1+IF($A50="AEO",'Growth Rates'!D102,'Growth Rates'!D102*D$5))</f>
        <v>793453858220.74231</v>
      </c>
      <c r="E50">
        <f>D50*(1+IF($A50="AEO",'Growth Rates'!E102,'Growth Rates'!E102*E$5))</f>
        <v>833395069140.49158</v>
      </c>
      <c r="F50">
        <f>E50*(1+IF($A50="AEO",'Growth Rates'!F102,'Growth Rates'!F102*F$5))</f>
        <v>860724587475.31909</v>
      </c>
      <c r="G50">
        <f>F50*(1+IF($A50="AEO",'Growth Rates'!G102,'Growth Rates'!G102*G$5))</f>
        <v>879860508490.6532</v>
      </c>
      <c r="H50">
        <f>G50*(1+IF($A50="AEO",'Growth Rates'!H102,'Growth Rates'!H102*H$5))</f>
        <v>903086812568.8772</v>
      </c>
      <c r="I50">
        <f>H50*(1+IF($A50="AEO",'Growth Rates'!I102,'Growth Rates'!I102*I$5))</f>
        <v>929938353737.59546</v>
      </c>
      <c r="J50">
        <f>I50*(1+IF($A50="AEO",'Growth Rates'!J102,'Growth Rates'!J102*J$5))</f>
        <v>956624716095.05701</v>
      </c>
      <c r="K50">
        <f>J50*(1+IF($A50="AEO",'Growth Rates'!K102,'Growth Rates'!K102*K$5))</f>
        <v>987333867303.97632</v>
      </c>
      <c r="L50">
        <f>K50*(1+IF($A50="AEO",'Growth Rates'!L102,'Growth Rates'!L102*L$5))</f>
        <v>1021058822201.6646</v>
      </c>
      <c r="M50">
        <f>L50*(1+IF($A50="AEO",'Growth Rates'!M102,'Growth Rates'!M102*M$5))</f>
        <v>1057473784104.063</v>
      </c>
      <c r="N50">
        <f>M50*(1+IF($A50="AEO",'Growth Rates'!N102,'Growth Rates'!N102*N$5))</f>
        <v>1096603593484.6602</v>
      </c>
      <c r="O50">
        <f>N50*(1+IF($A50="AEO",'Growth Rates'!O102,'Growth Rates'!O102*O$5))</f>
        <v>1129629289599.7737</v>
      </c>
      <c r="P50">
        <f>O50*(1+IF($A50="AEO",'Growth Rates'!P102,'Growth Rates'!P102*P$5))</f>
        <v>1162781799005.6335</v>
      </c>
      <c r="Q50">
        <f>P50*(1+IF($A50="AEO",'Growth Rates'!Q102,'Growth Rates'!Q102*Q$5))</f>
        <v>1196435430240.0493</v>
      </c>
      <c r="R50">
        <f>Q50*(1+IF($A50="AEO",'Growth Rates'!R102,'Growth Rates'!R102*R$5))</f>
        <v>1229809342882.0178</v>
      </c>
      <c r="S50">
        <f>R50*(1+IF($A50="AEO",'Growth Rates'!S102,'Growth Rates'!S102*S$5))</f>
        <v>1263662209123.8481</v>
      </c>
      <c r="T50">
        <f>S50*(1+IF($A50="AEO",'Growth Rates'!T102,'Growth Rates'!T102*T$5))</f>
        <v>1296837016486.334</v>
      </c>
      <c r="U50">
        <f>T50*(1+IF($A50="AEO",'Growth Rates'!U102,'Growth Rates'!U102*U$5))</f>
        <v>1331197805409.645</v>
      </c>
      <c r="V50">
        <f>U50*(1+IF($A50="AEO",'Growth Rates'!V102,'Growth Rates'!V102*V$5))</f>
        <v>1367253052675.0598</v>
      </c>
      <c r="W50">
        <f>V50*(1+IF($A50="AEO",'Growth Rates'!W102,'Growth Rates'!W102*W$5))</f>
        <v>1403786231767.803</v>
      </c>
      <c r="X50">
        <f>W50*(1+IF($A50="AEO",'Growth Rates'!X102,'Growth Rates'!X102*X$5))</f>
        <v>1440117273505.4312</v>
      </c>
      <c r="Y50">
        <f>X50*(1+IF($A50="AEO",'Growth Rates'!Y102,'Growth Rates'!Y102*Y$5))</f>
        <v>1475569786647.7375</v>
      </c>
      <c r="Z50">
        <f>Y50*(1+IF($A50="AEO",'Growth Rates'!Z102,'Growth Rates'!Z102*Z$5))</f>
        <v>1509766174320.7268</v>
      </c>
      <c r="AA50">
        <f>Z50*(1+IF($A50="AEO",'Growth Rates'!AA102,'Growth Rates'!AA102*AA$5))</f>
        <v>1544377205124.6936</v>
      </c>
      <c r="AB50">
        <f>AA50*(1+IF($A50="AEO",'Growth Rates'!AB102,'Growth Rates'!AB102*AB$5))</f>
        <v>1578036281188.4624</v>
      </c>
      <c r="AC50">
        <f>AB50*(1+IF($A50="AEO",'Growth Rates'!AC102,'Growth Rates'!AC102*AC$5))</f>
        <v>1613192177716.0388</v>
      </c>
    </row>
    <row r="51" spans="1:29" x14ac:dyDescent="0.25">
      <c r="B51" t="s">
        <v>560</v>
      </c>
      <c r="C51">
        <f>'Data from BVAbIC'!AR2</f>
        <v>1631550000000</v>
      </c>
      <c r="D51">
        <f>C51*(1+IF($A51="AEO",'Growth Rates'!D103,'Growth Rates'!D103*D$5))</f>
        <v>1661432810153.6484</v>
      </c>
      <c r="E51">
        <f>D51*(1+IF($A51="AEO",'Growth Rates'!E103,'Growth Rates'!E103*E$5))</f>
        <v>1710571097201.1121</v>
      </c>
      <c r="F51">
        <f>E51*(1+IF($A51="AEO",'Growth Rates'!F103,'Growth Rates'!F103*F$5))</f>
        <v>1743529022096.2891</v>
      </c>
      <c r="G51">
        <f>F51*(1+IF($A51="AEO",'Growth Rates'!G103,'Growth Rates'!G103*G$5))</f>
        <v>1766303688299.0505</v>
      </c>
      <c r="H51">
        <f>G51*(1+IF($A51="AEO",'Growth Rates'!H103,'Growth Rates'!H103*H$5))</f>
        <v>1793698564175.8831</v>
      </c>
      <c r="I51">
        <f>H51*(1+IF($A51="AEO",'Growth Rates'!I103,'Growth Rates'!I103*I$5))</f>
        <v>1825033359086.1636</v>
      </c>
      <c r="J51">
        <f>I51*(1+IF($A51="AEO",'Growth Rates'!J103,'Growth Rates'!J103*J$5))</f>
        <v>1855804507516.4163</v>
      </c>
      <c r="K51">
        <f>J51*(1+IF($A51="AEO",'Growth Rates'!K103,'Growth Rates'!K103*K$5))</f>
        <v>1890806770194.4954</v>
      </c>
      <c r="L51">
        <f>K51*(1+IF($A51="AEO",'Growth Rates'!L103,'Growth Rates'!L103*L$5))</f>
        <v>1928753309167.011</v>
      </c>
      <c r="M51">
        <f>L51*(1+IF($A51="AEO",'Growth Rates'!M103,'Growth Rates'!M103*M$5))</f>
        <v>1969168390868.2793</v>
      </c>
      <c r="N51">
        <f>M51*(1+IF($A51="AEO",'Growth Rates'!N103,'Growth Rates'!N103*N$5))</f>
        <v>2011979714710.2583</v>
      </c>
      <c r="O51">
        <f>N51*(1+IF($A51="AEO",'Growth Rates'!O103,'Growth Rates'!O103*O$5))</f>
        <v>2047580829101.022</v>
      </c>
      <c r="P51">
        <f>O51*(1+IF($A51="AEO",'Growth Rates'!P103,'Growth Rates'!P103*P$5))</f>
        <v>2082887697293.3591</v>
      </c>
      <c r="Q51">
        <f>P51*(1+IF($A51="AEO",'Growth Rates'!Q103,'Growth Rates'!Q103*Q$5))</f>
        <v>2118306774351.5146</v>
      </c>
      <c r="R51">
        <f>Q51*(1+IF($A51="AEO",'Growth Rates'!R103,'Growth Rates'!R103*R$5))</f>
        <v>2153023950548.6794</v>
      </c>
      <c r="S51">
        <f>R51*(1+IF($A51="AEO",'Growth Rates'!S103,'Growth Rates'!S103*S$5))</f>
        <v>2187845187724.5459</v>
      </c>
      <c r="T51">
        <f>S51*(1+IF($A51="AEO",'Growth Rates'!T103,'Growth Rates'!T103*T$5))</f>
        <v>2221591916341.4033</v>
      </c>
      <c r="U51">
        <f>T51*(1+IF($A51="AEO",'Growth Rates'!U103,'Growth Rates'!U103*U$5))</f>
        <v>2256176272405.2515</v>
      </c>
      <c r="V51">
        <f>U51*(1+IF($A51="AEO",'Growth Rates'!V103,'Growth Rates'!V103*V$5))</f>
        <v>2292079756260.5273</v>
      </c>
      <c r="W51">
        <f>V51*(1+IF($A51="AEO",'Growth Rates'!W103,'Growth Rates'!W103*W$5))</f>
        <v>2328063468800.4126</v>
      </c>
      <c r="X51">
        <f>W51*(1+IF($A51="AEO",'Growth Rates'!X103,'Growth Rates'!X103*X$5))</f>
        <v>2363463966458.1001</v>
      </c>
      <c r="Y51">
        <f>X51*(1+IF($A51="AEO",'Growth Rates'!Y103,'Growth Rates'!Y103*Y$5))</f>
        <v>2397648985927.2651</v>
      </c>
      <c r="Z51">
        <f>Y51*(1+IF($A51="AEO",'Growth Rates'!Z103,'Growth Rates'!Z103*Z$5))</f>
        <v>2430296022053.3506</v>
      </c>
      <c r="AA51">
        <f>Z51*(1+IF($A51="AEO",'Growth Rates'!AA103,'Growth Rates'!AA103*AA$5))</f>
        <v>2463030219524.8926</v>
      </c>
      <c r="AB51">
        <f>AA51*(1+IF($A51="AEO",'Growth Rates'!AB103,'Growth Rates'!AB103*AB$5))</f>
        <v>2494569822860.4063</v>
      </c>
      <c r="AC51">
        <f>AB51*(1+IF($A51="AEO",'Growth Rates'!AC103,'Growth Rates'!AC103*AC$5))</f>
        <v>2527222179919.4175</v>
      </c>
    </row>
    <row r="52" spans="1:29" x14ac:dyDescent="0.25">
      <c r="B52" t="s">
        <v>599</v>
      </c>
      <c r="C52">
        <f>'Data from BVAbIC'!AS2</f>
        <v>2966020000000</v>
      </c>
      <c r="D52">
        <f>C52*(1+IF($A52="AEO",'Growth Rates'!D104,'Growth Rates'!D104*D$5))</f>
        <v>3017628201981.752</v>
      </c>
      <c r="E52">
        <f>D52*(1+IF($A52="AEO",'Growth Rates'!E104,'Growth Rates'!E104*E$5))</f>
        <v>3102414674170.7168</v>
      </c>
      <c r="F52">
        <f>E52*(1+IF($A52="AEO",'Growth Rates'!F104,'Growth Rates'!F104*F$5))</f>
        <v>3159200792264.6685</v>
      </c>
      <c r="G52">
        <f>F52*(1+IF($A52="AEO",'Growth Rates'!G104,'Growth Rates'!G104*G$5))</f>
        <v>3198404186913.9751</v>
      </c>
      <c r="H52">
        <f>G52*(1+IF($A52="AEO",'Growth Rates'!H104,'Growth Rates'!H104*H$5))</f>
        <v>3245530223037.1211</v>
      </c>
      <c r="I52">
        <f>H52*(1+IF($A52="AEO",'Growth Rates'!I104,'Growth Rates'!I104*I$5))</f>
        <v>3299392741883.8564</v>
      </c>
      <c r="J52">
        <f>I52*(1+IF($A52="AEO",'Growth Rates'!J104,'Growth Rates'!J104*J$5))</f>
        <v>3352240980586.1841</v>
      </c>
      <c r="K52">
        <f>J52*(1+IF($A52="AEO",'Growth Rates'!K104,'Growth Rates'!K104*K$5))</f>
        <v>3412306153368.71</v>
      </c>
      <c r="L52">
        <f>K52*(1+IF($A52="AEO",'Growth Rates'!L104,'Growth Rates'!L104*L$5))</f>
        <v>3477363540486.3574</v>
      </c>
      <c r="M52">
        <f>L52*(1+IF($A52="AEO",'Growth Rates'!M104,'Growth Rates'!M104*M$5))</f>
        <v>3546584956402.8076</v>
      </c>
      <c r="N52">
        <f>M52*(1+IF($A52="AEO",'Growth Rates'!N104,'Growth Rates'!N104*N$5))</f>
        <v>3619835318289.3125</v>
      </c>
      <c r="O52">
        <f>N52*(1+IF($A52="AEO",'Growth Rates'!O104,'Growth Rates'!O104*O$5))</f>
        <v>3680684173665.4053</v>
      </c>
      <c r="P52">
        <f>O52*(1+IF($A52="AEO",'Growth Rates'!P104,'Growth Rates'!P104*P$5))</f>
        <v>3740977646662.3013</v>
      </c>
      <c r="Q52">
        <f>P52*(1+IF($A52="AEO",'Growth Rates'!Q104,'Growth Rates'!Q104*Q$5))</f>
        <v>3801411474624.5786</v>
      </c>
      <c r="R52">
        <f>Q52*(1+IF($A52="AEO",'Growth Rates'!R104,'Growth Rates'!R104*R$5))</f>
        <v>3860598160841.3208</v>
      </c>
      <c r="S52">
        <f>R52*(1+IF($A52="AEO",'Growth Rates'!S104,'Growth Rates'!S104*S$5))</f>
        <v>3919914390907.8071</v>
      </c>
      <c r="T52">
        <f>S52*(1+IF($A52="AEO",'Growth Rates'!T104,'Growth Rates'!T104*T$5))</f>
        <v>3977354502986.4951</v>
      </c>
      <c r="U52">
        <f>T52*(1+IF($A52="AEO",'Growth Rates'!U104,'Growth Rates'!U104*U$5))</f>
        <v>4036175626319.7417</v>
      </c>
      <c r="V52">
        <f>U52*(1+IF($A52="AEO",'Growth Rates'!V104,'Growth Rates'!V104*V$5))</f>
        <v>4097193521862.1118</v>
      </c>
      <c r="W52">
        <f>V52*(1+IF($A52="AEO",'Growth Rates'!W104,'Growth Rates'!W104*W$5))</f>
        <v>4158299869419.5474</v>
      </c>
      <c r="X52">
        <f>W52*(1+IF($A52="AEO",'Growth Rates'!X104,'Growth Rates'!X104*X$5))</f>
        <v>4218369361691.6108</v>
      </c>
      <c r="Y52">
        <f>X52*(1+IF($A52="AEO",'Growth Rates'!Y104,'Growth Rates'!Y104*Y$5))</f>
        <v>4276332922280.5967</v>
      </c>
      <c r="Z52">
        <f>Y52*(1+IF($A52="AEO",'Growth Rates'!Z104,'Growth Rates'!Z104*Z$5))</f>
        <v>4331649241061.7334</v>
      </c>
      <c r="AA52">
        <f>Z52*(1+IF($A52="AEO",'Growth Rates'!AA104,'Growth Rates'!AA104*AA$5))</f>
        <v>4387075990449.5874</v>
      </c>
      <c r="AB52">
        <f>AA52*(1+IF($A52="AEO",'Growth Rates'!AB104,'Growth Rates'!AB104*AB$5))</f>
        <v>4440444521486.0498</v>
      </c>
      <c r="AC52">
        <f>AB52*(1+IF($A52="AEO",'Growth Rates'!AC104,'Growth Rates'!AC104*AC$5))</f>
        <v>4495661028056.9248</v>
      </c>
    </row>
    <row r="53" spans="1:29" x14ac:dyDescent="0.25">
      <c r="B53" t="s">
        <v>615</v>
      </c>
      <c r="C53">
        <f>'Data from BVAbIC'!AT2</f>
        <v>1713918800817.9651</v>
      </c>
      <c r="D53">
        <f>C53*(1+IF($A53="AEO",'Growth Rates'!D105,'Growth Rates'!D105*D$5))</f>
        <v>1748909738052.2915</v>
      </c>
      <c r="E53">
        <f>D53*(1+IF($A53="AEO",'Growth Rates'!E105,'Growth Rates'!E105*E$5))</f>
        <v>1806566322382.1177</v>
      </c>
      <c r="F53">
        <f>E53*(1+IF($A53="AEO",'Growth Rates'!F105,'Growth Rates'!F105*F$5))</f>
        <v>1845365000053.3394</v>
      </c>
      <c r="G53">
        <f>F53*(1+IF($A53="AEO",'Growth Rates'!G105,'Growth Rates'!G105*G$5))</f>
        <v>1872233870123.7219</v>
      </c>
      <c r="H53">
        <f>G53*(1+IF($A53="AEO",'Growth Rates'!H105,'Growth Rates'!H105*H$5))</f>
        <v>1904601309497.4963</v>
      </c>
      <c r="I53">
        <f>H53*(1+IF($A53="AEO",'Growth Rates'!I105,'Growth Rates'!I105*I$5))</f>
        <v>1941688655749.1321</v>
      </c>
      <c r="J53">
        <f>I53*(1+IF($A53="AEO",'Growth Rates'!J105,'Growth Rates'!J105*J$5))</f>
        <v>1978180580910.9456</v>
      </c>
      <c r="K53">
        <f>J53*(1+IF($A53="AEO",'Growth Rates'!K105,'Growth Rates'!K105*K$5))</f>
        <v>2019769162913.2061</v>
      </c>
      <c r="L53">
        <f>K53*(1+IF($A53="AEO",'Growth Rates'!L105,'Growth Rates'!L105*L$5))</f>
        <v>2064951744742.7007</v>
      </c>
      <c r="M53">
        <f>L53*(1+IF($A53="AEO",'Growth Rates'!M105,'Growth Rates'!M105*M$5))</f>
        <v>2113182156361.9875</v>
      </c>
      <c r="N53">
        <f>M53*(1+IF($A53="AEO",'Growth Rates'!N105,'Growth Rates'!N105*N$5))</f>
        <v>2164392421091.0676</v>
      </c>
      <c r="O53">
        <f>N53*(1+IF($A53="AEO",'Growth Rates'!O105,'Growth Rates'!O105*O$5))</f>
        <v>2207081843971.6992</v>
      </c>
      <c r="P53">
        <f>O53*(1+IF($A53="AEO",'Growth Rates'!P105,'Growth Rates'!P105*P$5))</f>
        <v>2249502840256.3364</v>
      </c>
      <c r="Q53">
        <f>P53*(1+IF($A53="AEO",'Growth Rates'!Q105,'Growth Rates'!Q105*Q$5))</f>
        <v>2292141369471.3252</v>
      </c>
      <c r="R53">
        <f>Q53*(1+IF($A53="AEO",'Growth Rates'!R105,'Growth Rates'!R105*R$5))</f>
        <v>2334015058389.9614</v>
      </c>
      <c r="S53">
        <f>R53*(1+IF($A53="AEO",'Growth Rates'!S105,'Growth Rates'!S105*S$5))</f>
        <v>2376091913664.1626</v>
      </c>
      <c r="T53">
        <f>S53*(1+IF($A53="AEO",'Growth Rates'!T105,'Growth Rates'!T105*T$5))</f>
        <v>2416944787388.2017</v>
      </c>
      <c r="U53">
        <f>T53*(1+IF($A53="AEO",'Growth Rates'!U105,'Growth Rates'!U105*U$5))</f>
        <v>2458884593767.1631</v>
      </c>
      <c r="V53">
        <f>U53*(1+IF($A53="AEO",'Growth Rates'!V105,'Growth Rates'!V105*V$5))</f>
        <v>2502500609872.9731</v>
      </c>
      <c r="W53">
        <f>V53*(1+IF($A53="AEO",'Growth Rates'!W105,'Growth Rates'!W105*W$5))</f>
        <v>2546292603766.6577</v>
      </c>
      <c r="X53">
        <f>W53*(1+IF($A53="AEO",'Growth Rates'!X105,'Growth Rates'!X105*X$5))</f>
        <v>2589451183466.3579</v>
      </c>
      <c r="Y53">
        <f>X53*(1+IF($A53="AEO",'Growth Rates'!Y105,'Growth Rates'!Y105*Y$5))</f>
        <v>2631199489515.8472</v>
      </c>
      <c r="Z53">
        <f>Y53*(1+IF($A53="AEO",'Growth Rates'!Z105,'Growth Rates'!Z105*Z$5))</f>
        <v>2671134722024.1294</v>
      </c>
      <c r="AA53">
        <f>Z53*(1+IF($A53="AEO",'Growth Rates'!AA105,'Growth Rates'!AA105*AA$5))</f>
        <v>2711238251763.103</v>
      </c>
      <c r="AB53">
        <f>AA53*(1+IF($A53="AEO",'Growth Rates'!AB105,'Growth Rates'!AB105*AB$5))</f>
        <v>2749937136934.5161</v>
      </c>
      <c r="AC53">
        <f>AB53*(1+IF($A53="AEO",'Growth Rates'!AC105,'Growth Rates'!AC105*AC$5))</f>
        <v>2790059446365.374</v>
      </c>
    </row>
    <row r="54" spans="1:29" x14ac:dyDescent="0.25">
      <c r="B54" t="s">
        <v>602</v>
      </c>
      <c r="C54">
        <f>'Data from BVAbIC'!AU2</f>
        <v>628401199182.03479</v>
      </c>
      <c r="D54">
        <f>C54*(1+IF($A54="AEO",'Growth Rates'!D106,'Growth Rates'!D106*D$5))</f>
        <v>642111693189.62646</v>
      </c>
      <c r="E54">
        <f>D54*(1+IF($A54="AEO",'Growth Rates'!E106,'Growth Rates'!E106*E$5))</f>
        <v>664734311023.12451</v>
      </c>
      <c r="F54">
        <f>E54*(1+IF($A54="AEO",'Growth Rates'!F106,'Growth Rates'!F106*F$5))</f>
        <v>679991055619.01392</v>
      </c>
      <c r="G54">
        <f>F54*(1+IF($A54="AEO",'Growth Rates'!G106,'Growth Rates'!G106*G$5))</f>
        <v>690571918583.32422</v>
      </c>
      <c r="H54">
        <f>G54*(1+IF($A54="AEO",'Growth Rates'!H106,'Growth Rates'!H106*H$5))</f>
        <v>703330662639.23254</v>
      </c>
      <c r="I54">
        <f>H54*(1+IF($A54="AEO",'Growth Rates'!I106,'Growth Rates'!I106*I$5))</f>
        <v>717966986057.77893</v>
      </c>
      <c r="J54">
        <f>I54*(1+IF($A54="AEO",'Growth Rates'!J106,'Growth Rates'!J106*J$5))</f>
        <v>732387223872.47607</v>
      </c>
      <c r="K54">
        <f>J54*(1+IF($A54="AEO",'Growth Rates'!K106,'Growth Rates'!K106*K$5))</f>
        <v>748842292734.74341</v>
      </c>
      <c r="L54">
        <f>K54*(1+IF($A54="AEO",'Growth Rates'!L106,'Growth Rates'!L106*L$5))</f>
        <v>766744658934.13025</v>
      </c>
      <c r="M54">
        <f>L54*(1+IF($A54="AEO",'Growth Rates'!M106,'Growth Rates'!M106*M$5))</f>
        <v>785883365606.16785</v>
      </c>
      <c r="N54">
        <f>M54*(1+IF($A54="AEO",'Growth Rates'!N106,'Growth Rates'!N106*N$5))</f>
        <v>806236389766.21411</v>
      </c>
      <c r="O54">
        <f>N54*(1+IF($A54="AEO",'Growth Rates'!O106,'Growth Rates'!O106*O$5))</f>
        <v>823230461263.63086</v>
      </c>
      <c r="P54">
        <f>O54*(1+IF($A54="AEO",'Growth Rates'!P106,'Growth Rates'!P106*P$5))</f>
        <v>840140111452.10229</v>
      </c>
      <c r="Q54">
        <f>P54*(1+IF($A54="AEO",'Growth Rates'!Q106,'Growth Rates'!Q106*Q$5))</f>
        <v>857158489054.52063</v>
      </c>
      <c r="R54">
        <f>Q54*(1+IF($A54="AEO",'Growth Rates'!R106,'Growth Rates'!R106*R$5))</f>
        <v>873892949683.83167</v>
      </c>
      <c r="S54">
        <f>R54*(1+IF($A54="AEO",'Growth Rates'!S106,'Growth Rates'!S106*S$5))</f>
        <v>890729325906.35828</v>
      </c>
      <c r="T54">
        <f>S54*(1+IF($A54="AEO",'Growth Rates'!T106,'Growth Rates'!T106*T$5))</f>
        <v>907095828816.44946</v>
      </c>
      <c r="U54">
        <f>T54*(1+IF($A54="AEO",'Growth Rates'!U106,'Growth Rates'!U106*U$5))</f>
        <v>923917286493.68176</v>
      </c>
      <c r="V54">
        <f>U54*(1+IF($A54="AEO",'Growth Rates'!V106,'Growth Rates'!V106*V$5))</f>
        <v>941431543051.70569</v>
      </c>
      <c r="W54">
        <f>V54*(1+IF($A54="AEO",'Growth Rates'!W106,'Growth Rates'!W106*W$5))</f>
        <v>959037516341.68616</v>
      </c>
      <c r="X54">
        <f>W54*(1+IF($A54="AEO",'Growth Rates'!X106,'Growth Rates'!X106*X$5))</f>
        <v>976409331425.44324</v>
      </c>
      <c r="Y54">
        <f>X54*(1+IF($A54="AEO",'Growth Rates'!Y106,'Growth Rates'!Y106*Y$5))</f>
        <v>993232733223.80298</v>
      </c>
      <c r="Z54">
        <f>Y54*(1+IF($A54="AEO",'Growth Rates'!Z106,'Growth Rates'!Z106*Z$5))</f>
        <v>1009343055586.9771</v>
      </c>
      <c r="AA54">
        <f>Z54*(1+IF($A54="AEO",'Growth Rates'!AA106,'Growth Rates'!AA106*AA$5))</f>
        <v>1025537884760.2166</v>
      </c>
      <c r="AB54">
        <f>AA54*(1+IF($A54="AEO",'Growth Rates'!AB106,'Growth Rates'!AB106*AB$5))</f>
        <v>1041181360216.0829</v>
      </c>
      <c r="AC54">
        <f>AB54*(1+IF($A54="AEO",'Growth Rates'!AC106,'Growth Rates'!AC106*AC$5))</f>
        <v>1057415912162.9608</v>
      </c>
    </row>
    <row r="55" spans="1:29" x14ac:dyDescent="0.25">
      <c r="B55" t="s">
        <v>934</v>
      </c>
      <c r="C55">
        <f>'Data from BVAbIC'!AV2</f>
        <v>2412650000000</v>
      </c>
      <c r="D55">
        <f>C55*(1+IF($A55="AEO",'Growth Rates'!D107,'Growth Rates'!D107*D$5))</f>
        <v>2423841366980.0352</v>
      </c>
      <c r="E55">
        <f>D55*(1+IF($A55="AEO",'Growth Rates'!E107,'Growth Rates'!E107*E$5))</f>
        <v>2441996907722.7568</v>
      </c>
      <c r="F55">
        <f>E55*(1+IF($A55="AEO",'Growth Rates'!F107,'Growth Rates'!F107*F$5))</f>
        <v>2453912938183.2407</v>
      </c>
      <c r="G55">
        <f>F55*(1+IF($A55="AEO",'Growth Rates'!G107,'Growth Rates'!G107*G$5))</f>
        <v>2462030951417.6509</v>
      </c>
      <c r="H55">
        <f>G55*(1+IF($A55="AEO",'Growth Rates'!H107,'Growth Rates'!H107*H$5))</f>
        <v>2471701814497.1016</v>
      </c>
      <c r="I55">
        <f>H55*(1+IF($A55="AEO",'Growth Rates'!I107,'Growth Rates'!I107*I$5))</f>
        <v>2482637379776.271</v>
      </c>
      <c r="J55">
        <f>I55*(1+IF($A55="AEO",'Growth Rates'!J107,'Growth Rates'!J107*J$5))</f>
        <v>2493238553537.9717</v>
      </c>
      <c r="K55">
        <f>J55*(1+IF($A55="AEO",'Growth Rates'!K107,'Growth Rates'!K107*K$5))</f>
        <v>2505148107411.2485</v>
      </c>
      <c r="L55">
        <f>K55*(1+IF($A55="AEO",'Growth Rates'!L107,'Growth Rates'!L107*L$5))</f>
        <v>2517880974161.8652</v>
      </c>
      <c r="M55">
        <f>L55*(1+IF($A55="AEO",'Growth Rates'!M107,'Growth Rates'!M107*M$5))</f>
        <v>2531242920954.7012</v>
      </c>
      <c r="N55">
        <f>M55*(1+IF($A55="AEO",'Growth Rates'!N107,'Growth Rates'!N107*N$5))</f>
        <v>2545180180660.0933</v>
      </c>
      <c r="O55">
        <f>N55*(1+IF($A55="AEO",'Growth Rates'!O107,'Growth Rates'!O107*O$5))</f>
        <v>2556585994855.2637</v>
      </c>
      <c r="P55">
        <f>O55*(1+IF($A55="AEO",'Growth Rates'!P107,'Growth Rates'!P107*P$5))</f>
        <v>2567750675680.4243</v>
      </c>
      <c r="Q55">
        <f>P55*(1+IF($A55="AEO",'Growth Rates'!Q107,'Growth Rates'!Q107*Q$5))</f>
        <v>2578809068235.1729</v>
      </c>
      <c r="R55">
        <f>Q55*(1+IF($A55="AEO",'Growth Rates'!R107,'Growth Rates'!R107*R$5))</f>
        <v>2589512979303.7368</v>
      </c>
      <c r="S55">
        <f>R55*(1+IF($A55="AEO",'Growth Rates'!S107,'Growth Rates'!S107*S$5))</f>
        <v>2600119701478.4609</v>
      </c>
      <c r="T55">
        <f>S55*(1+IF($A55="AEO",'Growth Rates'!T107,'Growth Rates'!T107*T$5))</f>
        <v>2610276952791.6519</v>
      </c>
      <c r="U55">
        <f>T55*(1+IF($A55="AEO",'Growth Rates'!U107,'Growth Rates'!U107*U$5))</f>
        <v>2620568241481.8418</v>
      </c>
      <c r="V55">
        <f>U55*(1+IF($A55="AEO",'Growth Rates'!V107,'Growth Rates'!V107*V$5))</f>
        <v>2631129770652.0044</v>
      </c>
      <c r="W55">
        <f>V55*(1+IF($A55="AEO",'Growth Rates'!W107,'Growth Rates'!W107*W$5))</f>
        <v>2641591085590.9688</v>
      </c>
      <c r="X55">
        <f>W55*(1+IF($A55="AEO",'Growth Rates'!X107,'Growth Rates'!X107*X$5))</f>
        <v>2651764058936.1611</v>
      </c>
      <c r="Y55">
        <f>X55*(1+IF($A55="AEO",'Growth Rates'!Y107,'Growth Rates'!Y107*Y$5))</f>
        <v>2661477866401.5444</v>
      </c>
      <c r="Z55">
        <f>Y55*(1+IF($A55="AEO",'Growth Rates'!Z107,'Growth Rates'!Z107*Z$5))</f>
        <v>2670655881769.9502</v>
      </c>
      <c r="AA55">
        <f>Z55*(1+IF($A55="AEO",'Growth Rates'!AA107,'Growth Rates'!AA107*AA$5))</f>
        <v>2679766088225.021</v>
      </c>
      <c r="AB55">
        <f>AA55*(1+IF($A55="AEO",'Growth Rates'!AB107,'Growth Rates'!AB107*AB$5))</f>
        <v>2688456715787.5918</v>
      </c>
      <c r="AC55">
        <f>AB55*(1+IF($A55="AEO",'Growth Rates'!AC107,'Growth Rates'!AC107*AC$5))</f>
        <v>2697369013515.9214</v>
      </c>
    </row>
    <row r="56" spans="1:29" x14ac:dyDescent="0.25">
      <c r="B56" t="s">
        <v>692</v>
      </c>
      <c r="C56">
        <f>'Data from BVAbIC'!AW2</f>
        <v>245035000000</v>
      </c>
      <c r="D56">
        <f>C56*(1+IF($A56="AEO",'Growth Rates'!D108,'Growth Rates'!D108*D$5))</f>
        <v>246095463949.87137</v>
      </c>
      <c r="E56">
        <f>D56*(1+IF($A56="AEO",'Growth Rates'!E108,'Growth Rates'!E108*E$5))</f>
        <v>247815302099.7254</v>
      </c>
      <c r="F56">
        <f>E56*(1+IF($A56="AEO",'Growth Rates'!F108,'Growth Rates'!F108*F$5))</f>
        <v>248943521566.6185</v>
      </c>
      <c r="G56">
        <f>F56*(1+IF($A56="AEO",'Growth Rates'!G108,'Growth Rates'!G108*G$5))</f>
        <v>249711891580.0177</v>
      </c>
      <c r="H56">
        <f>G56*(1+IF($A56="AEO",'Growth Rates'!H108,'Growth Rates'!H108*H$5))</f>
        <v>250627036608.90244</v>
      </c>
      <c r="I56">
        <f>H56*(1+IF($A56="AEO",'Growth Rates'!I108,'Growth Rates'!I108*I$5))</f>
        <v>251661587965.11954</v>
      </c>
      <c r="J56">
        <f>I56*(1+IF($A56="AEO",'Growth Rates'!J108,'Growth Rates'!J108*J$5))</f>
        <v>252664208441.39914</v>
      </c>
      <c r="K56">
        <f>J56*(1+IF($A56="AEO",'Growth Rates'!K108,'Growth Rates'!K108*K$5))</f>
        <v>253790249844.57123</v>
      </c>
      <c r="L56">
        <f>K56*(1+IF($A56="AEO",'Growth Rates'!L108,'Growth Rates'!L108*L$5))</f>
        <v>254993751507.73755</v>
      </c>
      <c r="M56">
        <f>L56*(1+IF($A56="AEO",'Growth Rates'!M108,'Growth Rates'!M108*M$5))</f>
        <v>256256285426.49933</v>
      </c>
      <c r="N56">
        <f>M56*(1+IF($A56="AEO",'Growth Rates'!N108,'Growth Rates'!N108*N$5))</f>
        <v>257572713294.62982</v>
      </c>
      <c r="O56">
        <f>N56*(1+IF($A56="AEO",'Growth Rates'!O108,'Growth Rates'!O108*O$5))</f>
        <v>258649641091.82715</v>
      </c>
      <c r="P56">
        <f>O56*(1+IF($A56="AEO",'Growth Rates'!P108,'Growth Rates'!P108*P$5))</f>
        <v>259703486144.1185</v>
      </c>
      <c r="Q56">
        <f>P56*(1+IF($A56="AEO",'Growth Rates'!Q108,'Growth Rates'!Q108*Q$5))</f>
        <v>260746994435.44257</v>
      </c>
      <c r="R56">
        <f>Q56*(1+IF($A56="AEO",'Growth Rates'!R108,'Growth Rates'!R108*R$5))</f>
        <v>261756762401.1991</v>
      </c>
      <c r="S56">
        <f>R56*(1+IF($A56="AEO",'Growth Rates'!S108,'Growth Rates'!S108*S$5))</f>
        <v>262757084782.4877</v>
      </c>
      <c r="T56">
        <f>S56*(1+IF($A56="AEO",'Growth Rates'!T108,'Growth Rates'!T108*T$5))</f>
        <v>263714755625.28116</v>
      </c>
      <c r="U56">
        <f>T56*(1+IF($A56="AEO",'Growth Rates'!U108,'Growth Rates'!U108*U$5))</f>
        <v>264684811113.60867</v>
      </c>
      <c r="V56">
        <f>U56*(1+IF($A56="AEO",'Growth Rates'!V108,'Growth Rates'!V108*V$5))</f>
        <v>265680077470.2908</v>
      </c>
      <c r="W56">
        <f>V56*(1+IF($A56="AEO",'Growth Rates'!W108,'Growth Rates'!W108*W$5))</f>
        <v>266665634980.43414</v>
      </c>
      <c r="X56">
        <f>W56*(1+IF($A56="AEO",'Growth Rates'!X108,'Growth Rates'!X108*X$5))</f>
        <v>267623773593.38657</v>
      </c>
      <c r="Y56">
        <f>X56*(1+IF($A56="AEO",'Growth Rates'!Y108,'Growth Rates'!Y108*Y$5))</f>
        <v>268538430620.96658</v>
      </c>
      <c r="Z56">
        <f>Y56*(1+IF($A56="AEO",'Growth Rates'!Z108,'Growth Rates'!Z108*Z$5))</f>
        <v>269402425846.4632</v>
      </c>
      <c r="AA56">
        <f>Z56*(1+IF($A56="AEO",'Growth Rates'!AA108,'Growth Rates'!AA108*AA$5))</f>
        <v>270259840227.06277</v>
      </c>
      <c r="AB56">
        <f>AA56*(1+IF($A56="AEO",'Growth Rates'!AB108,'Growth Rates'!AB108*AB$5))</f>
        <v>271077579285.04935</v>
      </c>
      <c r="AC56">
        <f>AB56*(1+IF($A56="AEO",'Growth Rates'!AC108,'Growth Rates'!AC108*AC$5))</f>
        <v>271915994615.13309</v>
      </c>
    </row>
    <row r="57" spans="1:29" x14ac:dyDescent="0.25">
      <c r="B57" t="s">
        <v>747</v>
      </c>
      <c r="C57">
        <f>'Data from BVAbIC'!AX2</f>
        <v>1617080000000</v>
      </c>
      <c r="D57">
        <f>C57*(1+IF($A57="AEO",'Growth Rates'!D109,'Growth Rates'!D109*D$5))</f>
        <v>1658105626123.1406</v>
      </c>
      <c r="E57">
        <f>D57*(1+IF($A57="AEO",'Growth Rates'!E109,'Growth Rates'!E109*E$5))</f>
        <v>1726034135899.1997</v>
      </c>
      <c r="F57">
        <f>E57*(1+IF($A57="AEO",'Growth Rates'!F109,'Growth Rates'!F109*F$5))</f>
        <v>1772099103974.6199</v>
      </c>
      <c r="G57">
        <f>F57*(1+IF($A57="AEO",'Growth Rates'!G109,'Growth Rates'!G109*G$5))</f>
        <v>1804162794600.6719</v>
      </c>
      <c r="H57">
        <f>G57*(1+IF($A57="AEO",'Growth Rates'!H109,'Growth Rates'!H109*H$5))</f>
        <v>1842922667808.6357</v>
      </c>
      <c r="I57">
        <f>H57*(1+IF($A57="AEO",'Growth Rates'!I109,'Growth Rates'!I109*I$5))</f>
        <v>1887517770857.9849</v>
      </c>
      <c r="J57">
        <f>I57*(1+IF($A57="AEO",'Growth Rates'!J109,'Growth Rates'!J109*J$5))</f>
        <v>1931600310939.4158</v>
      </c>
      <c r="K57">
        <f>J57*(1+IF($A57="AEO",'Growth Rates'!K109,'Growth Rates'!K109*K$5))</f>
        <v>1982064561155.1196</v>
      </c>
      <c r="L57">
        <f>K57*(1+IF($A57="AEO",'Growth Rates'!L109,'Growth Rates'!L109*L$5))</f>
        <v>2037163785186.751</v>
      </c>
      <c r="M57">
        <f>L57*(1+IF($A57="AEO",'Growth Rates'!M109,'Growth Rates'!M109*M$5))</f>
        <v>2096292084524.071</v>
      </c>
      <c r="N57">
        <f>M57*(1+IF($A57="AEO",'Growth Rates'!N109,'Growth Rates'!N109*N$5))</f>
        <v>2159421280792.8403</v>
      </c>
      <c r="O57">
        <f>N57*(1+IF($A57="AEO",'Growth Rates'!O109,'Growth Rates'!O109*O$5))</f>
        <v>2212348616859.1123</v>
      </c>
      <c r="P57">
        <f>O57*(1+IF($A57="AEO",'Growth Rates'!P109,'Growth Rates'!P109*P$5))</f>
        <v>2265190023326.6367</v>
      </c>
      <c r="Q57">
        <f>P57*(1+IF($A57="AEO",'Growth Rates'!Q109,'Growth Rates'!Q109*Q$5))</f>
        <v>2318545461342.8765</v>
      </c>
      <c r="R57">
        <f>Q57*(1+IF($A57="AEO",'Growth Rates'!R109,'Growth Rates'!R109*R$5))</f>
        <v>2371180363290.5894</v>
      </c>
      <c r="S57">
        <f>R57*(1+IF($A57="AEO",'Growth Rates'!S109,'Growth Rates'!S109*S$5))</f>
        <v>2424300916583.7881</v>
      </c>
      <c r="T57">
        <f>S57*(1+IF($A57="AEO",'Growth Rates'!T109,'Growth Rates'!T109*T$5))</f>
        <v>2476097877677.5156</v>
      </c>
      <c r="U57">
        <f>T57*(1+IF($A57="AEO",'Growth Rates'!U109,'Growth Rates'!U109*U$5))</f>
        <v>2529491068959.249</v>
      </c>
      <c r="V57">
        <f>U57*(1+IF($A57="AEO",'Growth Rates'!V109,'Growth Rates'!V109*V$5))</f>
        <v>2585248066401.8984</v>
      </c>
      <c r="W57">
        <f>V57*(1+IF($A57="AEO",'Growth Rates'!W109,'Growth Rates'!W109*W$5))</f>
        <v>2641466809164.1714</v>
      </c>
      <c r="X57">
        <f>W57*(1+IF($A57="AEO",'Growth Rates'!X109,'Growth Rates'!X109*X$5))</f>
        <v>2697103638627.3228</v>
      </c>
      <c r="Y57">
        <f>X57*(1+IF($A57="AEO",'Growth Rates'!Y109,'Growth Rates'!Y109*Y$5))</f>
        <v>2751140130347.7705</v>
      </c>
      <c r="Z57">
        <f>Y57*(1+IF($A57="AEO",'Growth Rates'!Z109,'Growth Rates'!Z109*Z$5))</f>
        <v>2803028919051.4219</v>
      </c>
      <c r="AA57">
        <f>Z57*(1+IF($A57="AEO",'Growth Rates'!AA109,'Growth Rates'!AA109*AA$5))</f>
        <v>2855325435922.2349</v>
      </c>
      <c r="AB57">
        <f>AA57*(1+IF($A57="AEO",'Growth Rates'!AB109,'Growth Rates'!AB109*AB$5))</f>
        <v>2905971390919.9985</v>
      </c>
      <c r="AC57">
        <f>AB57*(1+IF($A57="AEO",'Growth Rates'!AC109,'Growth Rates'!AC109*AC$5))</f>
        <v>2958659531351.9795</v>
      </c>
    </row>
    <row r="58" spans="1:29" x14ac:dyDescent="0.25">
      <c r="B58" t="s">
        <v>832</v>
      </c>
      <c r="C58">
        <f>'Data from BVAbIC'!AY2</f>
        <v>222923275035.23291</v>
      </c>
      <c r="D58">
        <f>C58*(1+IF($A58="AEO",'Growth Rates'!D110,'Growth Rates'!D110*D$5))</f>
        <v>227414544869.0585</v>
      </c>
      <c r="E58">
        <f>D58*(1+IF($A58="AEO",'Growth Rates'!E110,'Growth Rates'!E110*E$5))</f>
        <v>234813121102.70212</v>
      </c>
      <c r="F58">
        <f>E58*(1+IF($A58="AEO",'Growth Rates'!F110,'Growth Rates'!F110*F$5))</f>
        <v>239789733033.42188</v>
      </c>
      <c r="G58">
        <f>F58*(1+IF($A58="AEO",'Growth Rates'!G110,'Growth Rates'!G110*G$5))</f>
        <v>243235184279.38464</v>
      </c>
      <c r="H58">
        <f>G58*(1+IF($A58="AEO",'Growth Rates'!H110,'Growth Rates'!H110*H$5))</f>
        <v>247384944877.74017</v>
      </c>
      <c r="I58">
        <f>H58*(1+IF($A58="AEO",'Growth Rates'!I110,'Growth Rates'!I110*I$5))</f>
        <v>252138771598.18259</v>
      </c>
      <c r="J58">
        <f>I58*(1+IF($A58="AEO",'Growth Rates'!J110,'Growth Rates'!J110*J$5))</f>
        <v>256815102296.44968</v>
      </c>
      <c r="K58">
        <f>J58*(1+IF($A58="AEO",'Growth Rates'!K110,'Growth Rates'!K110*K$5))</f>
        <v>262143260837.53372</v>
      </c>
      <c r="L58">
        <f>K58*(1+IF($A58="AEO",'Growth Rates'!L110,'Growth Rates'!L110*L$5))</f>
        <v>267930299779.11929</v>
      </c>
      <c r="M58">
        <f>L58*(1+IF($A58="AEO",'Growth Rates'!M110,'Growth Rates'!M110*M$5))</f>
        <v>274105930117.52921</v>
      </c>
      <c r="N58">
        <f>M58*(1+IF($A58="AEO",'Growth Rates'!N110,'Growth Rates'!N110*N$5))</f>
        <v>280661144783.40326</v>
      </c>
      <c r="O58">
        <f>N58*(1+IF($A58="AEO",'Growth Rates'!O110,'Growth Rates'!O110*O$5))</f>
        <v>286123940651.65436</v>
      </c>
      <c r="P58">
        <f>O58*(1+IF($A58="AEO",'Growth Rates'!P110,'Growth Rates'!P110*P$5))</f>
        <v>291551005667.72253</v>
      </c>
      <c r="Q58">
        <f>P58*(1+IF($A58="AEO",'Growth Rates'!Q110,'Growth Rates'!Q110*Q$5))</f>
        <v>297004547068.20294</v>
      </c>
      <c r="R58">
        <f>Q58*(1+IF($A58="AEO",'Growth Rates'!R110,'Growth Rates'!R110*R$5))</f>
        <v>302358953355.55042</v>
      </c>
      <c r="S58">
        <f>R58*(1+IF($A58="AEO",'Growth Rates'!S110,'Growth Rates'!S110*S$5))</f>
        <v>307738068672.30896</v>
      </c>
      <c r="T58">
        <f>S58*(1+IF($A58="AEO",'Growth Rates'!T110,'Growth Rates'!T110*T$5))</f>
        <v>312959493141.23926</v>
      </c>
      <c r="U58">
        <f>T58*(1+IF($A58="AEO",'Growth Rates'!U110,'Growth Rates'!U110*U$5))</f>
        <v>318318646958.47174</v>
      </c>
      <c r="V58">
        <f>U58*(1+IF($A58="AEO",'Growth Rates'!V110,'Growth Rates'!V110*V$5))</f>
        <v>323890739616.23877</v>
      </c>
      <c r="W58">
        <f>V58*(1+IF($A58="AEO",'Growth Rates'!W110,'Growth Rates'!W110*W$5))</f>
        <v>329484031193.69489</v>
      </c>
      <c r="X58">
        <f>W58*(1+IF($A58="AEO",'Growth Rates'!X110,'Growth Rates'!X110*X$5))</f>
        <v>334995173271.18329</v>
      </c>
      <c r="Y58">
        <f>X58*(1+IF($A58="AEO",'Growth Rates'!Y110,'Growth Rates'!Y110*Y$5))</f>
        <v>340325061245.42847</v>
      </c>
      <c r="Z58">
        <f>Y58*(1+IF($A58="AEO",'Growth Rates'!Z110,'Growth Rates'!Z110*Z$5))</f>
        <v>345422414985.58588</v>
      </c>
      <c r="AA58">
        <f>Z58*(1+IF($A58="AEO",'Growth Rates'!AA110,'Growth Rates'!AA110*AA$5))</f>
        <v>350540243424.8761</v>
      </c>
      <c r="AB58">
        <f>AA58*(1+IF($A58="AEO",'Growth Rates'!AB110,'Growth Rates'!AB110*AB$5))</f>
        <v>355477856515.21667</v>
      </c>
      <c r="AC58">
        <f>AB58*(1+IF($A58="AEO",'Growth Rates'!AC110,'Growth Rates'!AC110*AC$5))</f>
        <v>360596137338.72839</v>
      </c>
    </row>
    <row r="59" spans="1:29" x14ac:dyDescent="0.25">
      <c r="B59" t="s">
        <v>896</v>
      </c>
      <c r="C59">
        <f>'Data from BVAbIC'!AZ2</f>
        <v>344791724964.76703</v>
      </c>
      <c r="D59">
        <f>C59*(1+IF($A59="AEO",'Growth Rates'!D111,'Growth Rates'!D111*D$5))</f>
        <v>351444884493.08661</v>
      </c>
      <c r="E59">
        <f>D59*(1+IF($A59="AEO",'Growth Rates'!E111,'Growth Rates'!E111*E$5))</f>
        <v>362395650803.76312</v>
      </c>
      <c r="F59">
        <f>E59*(1+IF($A59="AEO",'Growth Rates'!F111,'Growth Rates'!F111*F$5))</f>
        <v>369751820880.9682</v>
      </c>
      <c r="G59">
        <f>F59*(1+IF($A59="AEO",'Growth Rates'!G111,'Growth Rates'!G111*G$5))</f>
        <v>374840243982.69629</v>
      </c>
      <c r="H59">
        <f>G59*(1+IF($A59="AEO",'Growth Rates'!H111,'Growth Rates'!H111*H$5))</f>
        <v>380965161263.94434</v>
      </c>
      <c r="I59">
        <f>H59*(1+IF($A59="AEO",'Growth Rates'!I111,'Growth Rates'!I111*I$5))</f>
        <v>387976689908.11823</v>
      </c>
      <c r="J59">
        <f>I59*(1+IF($A59="AEO",'Growth Rates'!J111,'Growth Rates'!J111*J$5))</f>
        <v>394868425169.18829</v>
      </c>
      <c r="K59">
        <f>J59*(1+IF($A59="AEO",'Growth Rates'!K111,'Growth Rates'!K111*K$5))</f>
        <v>402714751323.3291</v>
      </c>
      <c r="L59">
        <f>K59*(1+IF($A59="AEO",'Growth Rates'!L111,'Growth Rates'!L111*L$5))</f>
        <v>411229515315.53125</v>
      </c>
      <c r="M59">
        <f>L59*(1+IF($A59="AEO",'Growth Rates'!M111,'Growth Rates'!M111*M$5))</f>
        <v>420307743808.6178</v>
      </c>
      <c r="N59">
        <f>M59*(1+IF($A59="AEO",'Growth Rates'!N111,'Growth Rates'!N111*N$5))</f>
        <v>429934794265.35297</v>
      </c>
      <c r="O59">
        <f>N59*(1+IF($A59="AEO",'Growth Rates'!O111,'Growth Rates'!O111*O$5))</f>
        <v>437949593408.99225</v>
      </c>
      <c r="P59">
        <f>O59*(1+IF($A59="AEO",'Growth Rates'!P111,'Growth Rates'!P111*P$5))</f>
        <v>445905548513.02356</v>
      </c>
      <c r="Q59">
        <f>P59*(1+IF($A59="AEO",'Growth Rates'!Q111,'Growth Rates'!Q111*Q$5))</f>
        <v>453894031535.92664</v>
      </c>
      <c r="R59">
        <f>Q59*(1+IF($A59="AEO",'Growth Rates'!R111,'Growth Rates'!R111*R$5))</f>
        <v>461731215933.72034</v>
      </c>
      <c r="S59">
        <f>R59*(1+IF($A59="AEO",'Growth Rates'!S111,'Growth Rates'!S111*S$5))</f>
        <v>469598677455.14215</v>
      </c>
      <c r="T59">
        <f>S59*(1+IF($A59="AEO",'Growth Rates'!T111,'Growth Rates'!T111*T$5))</f>
        <v>477229862959.57898</v>
      </c>
      <c r="U59">
        <f>T59*(1+IF($A59="AEO",'Growth Rates'!U111,'Growth Rates'!U111*U$5))</f>
        <v>485056822234.91663</v>
      </c>
      <c r="V59">
        <f>U59*(1+IF($A59="AEO",'Growth Rates'!V111,'Growth Rates'!V111*V$5))</f>
        <v>493188988255.04468</v>
      </c>
      <c r="W59">
        <f>V59*(1+IF($A59="AEO",'Growth Rates'!W111,'Growth Rates'!W111*W$5))</f>
        <v>501346161181.99219</v>
      </c>
      <c r="X59">
        <f>W59*(1+IF($A59="AEO",'Growth Rates'!X111,'Growth Rates'!X111*X$5))</f>
        <v>509377765413.08386</v>
      </c>
      <c r="Y59">
        <f>X59*(1+IF($A59="AEO",'Growth Rates'!Y111,'Growth Rates'!Y111*Y$5))</f>
        <v>517139823433.93384</v>
      </c>
      <c r="Z59">
        <f>Y59*(1+IF($A59="AEO",'Growth Rates'!Z111,'Growth Rates'!Z111*Z$5))</f>
        <v>524558325027.11255</v>
      </c>
      <c r="AA59">
        <f>Z59*(1+IF($A59="AEO",'Growth Rates'!AA111,'Growth Rates'!AA111*AA$5))</f>
        <v>532001982159.45166</v>
      </c>
      <c r="AB59">
        <f>AA59*(1+IF($A59="AEO",'Growth Rates'!AB111,'Growth Rates'!AB111*AB$5))</f>
        <v>539179095287.75323</v>
      </c>
      <c r="AC59">
        <f>AB59*(1+IF($A59="AEO",'Growth Rates'!AC111,'Growth Rates'!AC111*AC$5))</f>
        <v>546614454812.40015</v>
      </c>
    </row>
    <row r="60" spans="1:29" x14ac:dyDescent="0.25">
      <c r="B60" t="s">
        <v>929</v>
      </c>
      <c r="C60">
        <f>'Data from BVAbIC'!BA2</f>
        <v>11489000000</v>
      </c>
      <c r="D60">
        <f>C60*(1+IF($A60="AEO",'Growth Rates'!D112,'Growth Rates'!D112*D$5))</f>
        <v>11678385091.029842</v>
      </c>
      <c r="E60">
        <f>D60*(1+IF($A60="AEO",'Growth Rates'!E112,'Growth Rates'!E112*E$5))</f>
        <v>11989243436.797491</v>
      </c>
      <c r="F60">
        <f>E60*(1+IF($A60="AEO",'Growth Rates'!F112,'Growth Rates'!F112*F$5))</f>
        <v>12197142732.44668</v>
      </c>
      <c r="G60">
        <f>F60*(1+IF($A60="AEO",'Growth Rates'!G112,'Growth Rates'!G112*G$5))</f>
        <v>12340534248.019176</v>
      </c>
      <c r="H60">
        <f>G60*(1+IF($A60="AEO",'Growth Rates'!H112,'Growth Rates'!H112*H$5))</f>
        <v>12512792657.258791</v>
      </c>
      <c r="I60">
        <f>H60*(1+IF($A60="AEO",'Growth Rates'!I112,'Growth Rates'!I112*I$5))</f>
        <v>12709524270.669649</v>
      </c>
      <c r="J60">
        <f>I60*(1+IF($A60="AEO",'Growth Rates'!J112,'Growth Rates'!J112*J$5))</f>
        <v>12902385398.53739</v>
      </c>
      <c r="K60">
        <f>J60*(1+IF($A60="AEO",'Growth Rates'!K112,'Growth Rates'!K112*K$5))</f>
        <v>13121401686.598906</v>
      </c>
      <c r="L60">
        <f>K60*(1+IF($A60="AEO",'Growth Rates'!L112,'Growth Rates'!L112*L$5))</f>
        <v>13358401368.158649</v>
      </c>
      <c r="M60">
        <f>L60*(1+IF($A60="AEO",'Growth Rates'!M112,'Growth Rates'!M112*M$5))</f>
        <v>13610322021.833675</v>
      </c>
      <c r="N60">
        <f>M60*(1+IF($A60="AEO",'Growth Rates'!N112,'Growth Rates'!N112*N$5))</f>
        <v>13876631554.190163</v>
      </c>
      <c r="O60">
        <f>N60*(1+IF($A60="AEO",'Growth Rates'!O112,'Growth Rates'!O112*O$5))</f>
        <v>14097618470.378489</v>
      </c>
      <c r="P60">
        <f>O60*(1+IF($A60="AEO",'Growth Rates'!P112,'Growth Rates'!P112*P$5))</f>
        <v>14316397858.755669</v>
      </c>
      <c r="Q60">
        <f>P60*(1+IF($A60="AEO",'Growth Rates'!Q112,'Growth Rates'!Q112*Q$5))</f>
        <v>14535500520.724464</v>
      </c>
      <c r="R60">
        <f>Q60*(1+IF($A60="AEO",'Growth Rates'!R112,'Growth Rates'!R112*R$5))</f>
        <v>14749902129.085371</v>
      </c>
      <c r="S60">
        <f>R60*(1+IF($A60="AEO",'Growth Rates'!S112,'Growth Rates'!S112*S$5))</f>
        <v>14964599627.552181</v>
      </c>
      <c r="T60">
        <f>S60*(1+IF($A60="AEO",'Growth Rates'!T112,'Growth Rates'!T112*T$5))</f>
        <v>15172340859.33218</v>
      </c>
      <c r="U60">
        <f>T60*(1+IF($A60="AEO",'Growth Rates'!U112,'Growth Rates'!U112*U$5))</f>
        <v>15384915037.005106</v>
      </c>
      <c r="V60">
        <f>U60*(1+IF($A60="AEO",'Growth Rates'!V112,'Growth Rates'!V112*V$5))</f>
        <v>15605259010.063263</v>
      </c>
      <c r="W60">
        <f>V60*(1+IF($A60="AEO",'Growth Rates'!W112,'Growth Rates'!W112*W$5))</f>
        <v>15825749434.759579</v>
      </c>
      <c r="X60">
        <f>W60*(1+IF($A60="AEO",'Growth Rates'!X112,'Growth Rates'!X112*X$5))</f>
        <v>16042330929.196466</v>
      </c>
      <c r="Y60">
        <f>X60*(1+IF($A60="AEO",'Growth Rates'!Y112,'Growth Rates'!Y112*Y$5))</f>
        <v>16251162822.821863</v>
      </c>
      <c r="Z60">
        <f>Y60*(1+IF($A60="AEO",'Growth Rates'!Z112,'Growth Rates'!Z112*Z$5))</f>
        <v>16450315022.578133</v>
      </c>
      <c r="AA60">
        <f>Z60*(1+IF($A60="AEO",'Growth Rates'!AA112,'Growth Rates'!AA112*AA$5))</f>
        <v>16649730678.110849</v>
      </c>
      <c r="AB60">
        <f>AA60*(1+IF($A60="AEO",'Growth Rates'!AB112,'Growth Rates'!AB112*AB$5))</f>
        <v>16841613549.608398</v>
      </c>
      <c r="AC60">
        <f>AB60*(1+IF($A60="AEO",'Growth Rates'!AC112,'Growth Rates'!AC112*AC$5))</f>
        <v>17040015108.317633</v>
      </c>
    </row>
    <row r="63" spans="1:29" x14ac:dyDescent="0.25">
      <c r="A63" s="1" t="s">
        <v>1228</v>
      </c>
    </row>
    <row r="64" spans="1:29" x14ac:dyDescent="0.25">
      <c r="C64" s="1">
        <v>2024</v>
      </c>
      <c r="D64" s="1">
        <v>2025</v>
      </c>
      <c r="E64" s="1">
        <v>2026</v>
      </c>
      <c r="F64" s="1">
        <v>2027</v>
      </c>
      <c r="G64" s="1">
        <v>2028</v>
      </c>
      <c r="H64" s="1">
        <v>2029</v>
      </c>
      <c r="I64" s="1">
        <v>2030</v>
      </c>
      <c r="J64" s="1">
        <v>2031</v>
      </c>
      <c r="K64" s="1">
        <v>2032</v>
      </c>
      <c r="L64" s="1">
        <v>2033</v>
      </c>
      <c r="M64" s="1">
        <v>2034</v>
      </c>
      <c r="N64" s="1">
        <v>2035</v>
      </c>
      <c r="O64" s="1">
        <v>2036</v>
      </c>
      <c r="P64" s="1">
        <v>2037</v>
      </c>
      <c r="Q64" s="1">
        <v>2038</v>
      </c>
      <c r="R64" s="1">
        <v>2039</v>
      </c>
      <c r="S64" s="1">
        <v>2040</v>
      </c>
      <c r="T64" s="1">
        <v>2041</v>
      </c>
      <c r="U64" s="1">
        <v>2042</v>
      </c>
      <c r="V64" s="1">
        <v>2043</v>
      </c>
      <c r="W64" s="1">
        <v>2044</v>
      </c>
      <c r="X64" s="1">
        <v>2045</v>
      </c>
      <c r="Y64" s="1">
        <v>2046</v>
      </c>
      <c r="Z64" s="1">
        <v>2047</v>
      </c>
      <c r="AA64" s="1">
        <v>2048</v>
      </c>
      <c r="AB64" s="1">
        <v>2049</v>
      </c>
      <c r="AC64" s="1">
        <v>2050</v>
      </c>
    </row>
    <row r="65" spans="2:29" x14ac:dyDescent="0.25">
      <c r="B65" t="s">
        <v>58</v>
      </c>
      <c r="C65">
        <v>0</v>
      </c>
      <c r="D65">
        <f>IF($A9="AEO",'Growth Rates'!D61,'Growth Rates'!D61*D$5)</f>
        <v>-9.9246442360578349E-2</v>
      </c>
      <c r="E65">
        <f>IF($A9="AEO",'Growth Rates'!E61,'Growth Rates'!E61*E$5)</f>
        <v>2.4221655673883858E-3</v>
      </c>
      <c r="F65">
        <f>IF($A9="AEO",'Growth Rates'!F61,'Growth Rates'!F61*F$5)</f>
        <v>1.4078996801101312E-2</v>
      </c>
      <c r="G65">
        <f>IF($A9="AEO",'Growth Rates'!G61,'Growth Rates'!G61*G$5)</f>
        <v>2.0031825018195219E-2</v>
      </c>
      <c r="H65">
        <f>IF($A9="AEO",'Growth Rates'!H61,'Growth Rates'!H61*H$5)</f>
        <v>1.3204714892339337E-2</v>
      </c>
      <c r="I65">
        <f>IF($A9="AEO",'Growth Rates'!I61,'Growth Rates'!I61*I$5)</f>
        <v>1.2805134886959699E-2</v>
      </c>
      <c r="J65">
        <f>IF($A9="AEO",'Growth Rates'!J61,'Growth Rates'!J61*J$5)</f>
        <v>1.2429849853809712E-2</v>
      </c>
      <c r="K65">
        <f>IF($A9="AEO",'Growth Rates'!K61,'Growth Rates'!K61*K$5)</f>
        <v>1.2496007024267423E-2</v>
      </c>
      <c r="L65">
        <f>IF($A9="AEO",'Growth Rates'!L61,'Growth Rates'!L61*L$5)</f>
        <v>6.7384862316785931E-3</v>
      </c>
      <c r="M65">
        <f>IF($A9="AEO",'Growth Rates'!M61,'Growth Rates'!M61*M$5)</f>
        <v>1.3166996229270631E-2</v>
      </c>
      <c r="N65">
        <f>IF($A9="AEO",'Growth Rates'!N61,'Growth Rates'!N61*N$5)</f>
        <v>1.4348560175009727E-2</v>
      </c>
      <c r="O65">
        <f>IF($A9="AEO",'Growth Rates'!O61,'Growth Rates'!O61*O$5)</f>
        <v>1.4131660795059422E-2</v>
      </c>
      <c r="P65">
        <f>IF($A9="AEO",'Growth Rates'!P61,'Growth Rates'!P61*P$5)</f>
        <v>1.352784547057437E-2</v>
      </c>
      <c r="Q65">
        <f>IF($A9="AEO",'Growth Rates'!Q61,'Growth Rates'!Q61*Q$5)</f>
        <v>1.4121592708991805E-2</v>
      </c>
      <c r="R65">
        <f>IF($A9="AEO",'Growth Rates'!R61,'Growth Rates'!R61*R$5)</f>
        <v>1.4366256699279449E-2</v>
      </c>
      <c r="S65">
        <f>IF($A9="AEO",'Growth Rates'!S61,'Growth Rates'!S61*S$5)</f>
        <v>1.1995192747679755E-2</v>
      </c>
      <c r="T65">
        <f>IF($A9="AEO",'Growth Rates'!T61,'Growth Rates'!T61*T$5)</f>
        <v>1.1234927092096699E-2</v>
      </c>
      <c r="U65">
        <f>IF($A9="AEO",'Growth Rates'!U61,'Growth Rates'!U61*U$5)</f>
        <v>1.2383112057571054E-2</v>
      </c>
      <c r="V65">
        <f>IF($A9="AEO",'Growth Rates'!V61,'Growth Rates'!V61*V$5)</f>
        <v>1.1567985810791029E-2</v>
      </c>
      <c r="W65">
        <f>IF($A9="AEO",'Growth Rates'!W61,'Growth Rates'!W61*W$5)</f>
        <v>1.2451080250240349E-2</v>
      </c>
      <c r="X65">
        <f>IF($A9="AEO",'Growth Rates'!X61,'Growth Rates'!X61*X$5)</f>
        <v>1.3976865433354137E-2</v>
      </c>
      <c r="Y65">
        <f>IF($A9="AEO",'Growth Rates'!Y61,'Growth Rates'!Y61*Y$5)</f>
        <v>1.4480385595373062E-2</v>
      </c>
      <c r="Z65">
        <f>IF($A9="AEO",'Growth Rates'!Z61,'Growth Rates'!Z61*Z$5)</f>
        <v>1.4401250336012673E-2</v>
      </c>
      <c r="AA65">
        <f>IF($A9="AEO",'Growth Rates'!AA61,'Growth Rates'!AA61*AA$5)</f>
        <v>1.4399263693733538E-2</v>
      </c>
      <c r="AB65">
        <f>IF($A9="AEO",'Growth Rates'!AB61,'Growth Rates'!AB61*AB$5)</f>
        <v>1.4095495313647692E-2</v>
      </c>
      <c r="AC65">
        <f>IF($A9="AEO",'Growth Rates'!AC61,'Growth Rates'!AC61*AC$5)</f>
        <v>1.4017183131886454E-2</v>
      </c>
    </row>
    <row r="66" spans="2:29" x14ac:dyDescent="0.25">
      <c r="B66" t="s">
        <v>65</v>
      </c>
      <c r="C66">
        <v>0</v>
      </c>
      <c r="D66">
        <f>IF($A10="AEO",'Growth Rates'!D62,'Growth Rates'!D62*D$5)</f>
        <v>1.4652476554759914E-2</v>
      </c>
      <c r="E66">
        <f>IF($A10="AEO",'Growth Rates'!E62,'Growth Rates'!E62*E$5)</f>
        <v>2.3660679744452261E-2</v>
      </c>
      <c r="F66">
        <f>IF($A10="AEO",'Growth Rates'!F62,'Growth Rates'!F62*F$5)</f>
        <v>1.5413764420130247E-2</v>
      </c>
      <c r="G66">
        <f>IF($A10="AEO",'Growth Rates'!G62,'Growth Rates'!G62*G$5)</f>
        <v>1.0449916652550423E-2</v>
      </c>
      <c r="H66">
        <f>IF($A10="AEO",'Growth Rates'!H62,'Growth Rates'!H62*H$5)</f>
        <v>1.2407776107047084E-2</v>
      </c>
      <c r="I66">
        <f>IF($A10="AEO",'Growth Rates'!I62,'Growth Rates'!I62*I$5)</f>
        <v>1.3975500916867719E-2</v>
      </c>
      <c r="J66">
        <f>IF($A10="AEO",'Growth Rates'!J62,'Growth Rates'!J62*J$5)</f>
        <v>1.348847604436575E-2</v>
      </c>
      <c r="K66">
        <f>IF($A10="AEO",'Growth Rates'!K62,'Growth Rates'!K62*K$5)</f>
        <v>1.508877148915729E-2</v>
      </c>
      <c r="L66">
        <f>IF($A10="AEO",'Growth Rates'!L62,'Growth Rates'!L62*L$5)</f>
        <v>1.6055173726128417E-2</v>
      </c>
      <c r="M66">
        <f>IF($A10="AEO",'Growth Rates'!M62,'Growth Rates'!M62*M$5)</f>
        <v>1.6763193720703611E-2</v>
      </c>
      <c r="N66">
        <f>IF($A10="AEO",'Growth Rates'!N62,'Growth Rates'!N62*N$5)</f>
        <v>1.739265124933349E-2</v>
      </c>
      <c r="O66">
        <f>IF($A10="AEO",'Growth Rates'!O62,'Growth Rates'!O62*O$5)</f>
        <v>1.4155655399692992E-2</v>
      </c>
      <c r="P66">
        <f>IF($A10="AEO",'Growth Rates'!P62,'Growth Rates'!P62*P$5)</f>
        <v>1.3794568767412623E-2</v>
      </c>
      <c r="Q66">
        <f>IF($A10="AEO",'Growth Rates'!Q62,'Growth Rates'!Q62*Q$5)</f>
        <v>1.3603835522839364E-2</v>
      </c>
      <c r="R66">
        <f>IF($A10="AEO",'Growth Rates'!R62,'Growth Rates'!R62*R$5)</f>
        <v>1.3111293082766155E-2</v>
      </c>
      <c r="S66">
        <f>IF($A10="AEO",'Growth Rates'!S62,'Growth Rates'!S62*S$5)</f>
        <v>1.2938541502798499E-2</v>
      </c>
      <c r="T66">
        <f>IF($A10="AEO",'Growth Rates'!T62,'Growth Rates'!T62*T$5)</f>
        <v>1.2339713543244141E-2</v>
      </c>
      <c r="U66">
        <f>IF($A10="AEO",'Growth Rates'!U62,'Growth Rates'!U62*U$5)</f>
        <v>1.2453900578033307E-2</v>
      </c>
      <c r="V66">
        <f>IF($A10="AEO",'Growth Rates'!V62,'Growth Rates'!V62*V$5)</f>
        <v>1.2730737148299236E-2</v>
      </c>
      <c r="W66">
        <f>IF($A10="AEO",'Growth Rates'!W62,'Growth Rates'!W62*W$5)</f>
        <v>1.2559323013643086E-2</v>
      </c>
      <c r="X66">
        <f>IF($A10="AEO",'Growth Rates'!X62,'Growth Rates'!X62*X$5)</f>
        <v>1.2164787818582356E-2</v>
      </c>
      <c r="Y66">
        <f>IF($A10="AEO",'Growth Rates'!Y62,'Growth Rates'!Y62*Y$5)</f>
        <v>1.1571158250538564E-2</v>
      </c>
      <c r="Z66">
        <f>IF($A10="AEO",'Growth Rates'!Z62,'Growth Rates'!Z62*Z$5)</f>
        <v>1.0893016056213001E-2</v>
      </c>
      <c r="AA66">
        <f>IF($A10="AEO",'Growth Rates'!AA62,'Growth Rates'!AA62*AA$5)</f>
        <v>1.0775377871502125E-2</v>
      </c>
      <c r="AB66">
        <f>IF($A10="AEO",'Growth Rates'!AB62,'Growth Rates'!AB62*AB$5)</f>
        <v>1.0244162848021371E-2</v>
      </c>
      <c r="AC66">
        <f>IF($A10="AEO",'Growth Rates'!AC62,'Growth Rates'!AC62*AC$5)</f>
        <v>1.0471499096888943E-2</v>
      </c>
    </row>
    <row r="67" spans="2:29" x14ac:dyDescent="0.25">
      <c r="B67" t="s">
        <v>70</v>
      </c>
      <c r="C67">
        <v>0</v>
      </c>
      <c r="D67">
        <f>IF($A11="AEO",'Growth Rates'!D63,'Growth Rates'!D63*D$5)</f>
        <v>1.3736696770087419E-2</v>
      </c>
      <c r="E67">
        <f>IF($A11="AEO",'Growth Rates'!E63,'Growth Rates'!E63*E$5)</f>
        <v>2.2181887260423992E-2</v>
      </c>
      <c r="F67">
        <f>IF($A11="AEO",'Growth Rates'!F63,'Growth Rates'!F63*F$5)</f>
        <v>1.4450404143872105E-2</v>
      </c>
      <c r="G67">
        <f>IF($A11="AEO",'Growth Rates'!G63,'Growth Rates'!G63*G$5)</f>
        <v>9.7967968617660214E-3</v>
      </c>
      <c r="H67">
        <f>IF($A11="AEO",'Growth Rates'!H63,'Growth Rates'!H63*H$5)</f>
        <v>1.163229010035664E-2</v>
      </c>
      <c r="I67">
        <f>IF($A11="AEO",'Growth Rates'!I63,'Growth Rates'!I63*I$5)</f>
        <v>1.3102032109563485E-2</v>
      </c>
      <c r="J67">
        <f>IF($A11="AEO",'Growth Rates'!J63,'Growth Rates'!J63*J$5)</f>
        <v>1.2645446291592888E-2</v>
      </c>
      <c r="K67">
        <f>IF($A11="AEO",'Growth Rates'!K63,'Growth Rates'!K63*K$5)</f>
        <v>1.4145723271084959E-2</v>
      </c>
      <c r="L67">
        <f>IF($A11="AEO",'Growth Rates'!L63,'Growth Rates'!L63*L$5)</f>
        <v>1.5051725368245389E-2</v>
      </c>
      <c r="M67">
        <f>IF($A11="AEO",'Growth Rates'!M63,'Growth Rates'!M63*M$5)</f>
        <v>1.5715494113159634E-2</v>
      </c>
      <c r="N67">
        <f>IF($A11="AEO",'Growth Rates'!N63,'Growth Rates'!N63*N$5)</f>
        <v>1.6305610546250147E-2</v>
      </c>
      <c r="O67">
        <f>IF($A11="AEO",'Growth Rates'!O63,'Growth Rates'!O63*O$5)</f>
        <v>1.3270926937212178E-2</v>
      </c>
      <c r="P67">
        <f>IF($A11="AEO",'Growth Rates'!P63,'Growth Rates'!P63*P$5)</f>
        <v>1.2932408219449333E-2</v>
      </c>
      <c r="Q67">
        <f>IF($A11="AEO",'Growth Rates'!Q63,'Growth Rates'!Q63*Q$5)</f>
        <v>1.2753595802661902E-2</v>
      </c>
      <c r="R67">
        <f>IF($A11="AEO",'Growth Rates'!R63,'Growth Rates'!R63*R$5)</f>
        <v>1.229183726509327E-2</v>
      </c>
      <c r="S67">
        <f>IF($A11="AEO",'Growth Rates'!S63,'Growth Rates'!S63*S$5)</f>
        <v>1.2129882658873593E-2</v>
      </c>
      <c r="T67">
        <f>IF($A11="AEO",'Growth Rates'!T63,'Growth Rates'!T63*T$5)</f>
        <v>1.1568481446791382E-2</v>
      </c>
      <c r="U67">
        <f>IF($A11="AEO",'Growth Rates'!U63,'Growth Rates'!U63*U$5)</f>
        <v>1.1675531791906226E-2</v>
      </c>
      <c r="V67">
        <f>IF($A11="AEO",'Growth Rates'!V63,'Growth Rates'!V63*V$5)</f>
        <v>1.1935066076530533E-2</v>
      </c>
      <c r="W67">
        <f>IF($A11="AEO",'Growth Rates'!W63,'Growth Rates'!W63*W$5)</f>
        <v>1.1774365325290392E-2</v>
      </c>
      <c r="X67">
        <f>IF($A11="AEO",'Growth Rates'!X63,'Growth Rates'!X63*X$5)</f>
        <v>1.1404488579920959E-2</v>
      </c>
      <c r="Y67">
        <f>IF($A11="AEO",'Growth Rates'!Y63,'Growth Rates'!Y63*Y$5)</f>
        <v>1.0847960859879902E-2</v>
      </c>
      <c r="Z67">
        <f>IF($A11="AEO",'Growth Rates'!Z63,'Growth Rates'!Z63*Z$5)</f>
        <v>1.0212202552699688E-2</v>
      </c>
      <c r="AA67">
        <f>IF($A11="AEO",'Growth Rates'!AA63,'Growth Rates'!AA63*AA$5)</f>
        <v>1.0101916754533242E-2</v>
      </c>
      <c r="AB67">
        <f>IF($A11="AEO",'Growth Rates'!AB63,'Growth Rates'!AB63*AB$5)</f>
        <v>9.6039026700200352E-3</v>
      </c>
      <c r="AC67">
        <f>IF($A11="AEO",'Growth Rates'!AC63,'Growth Rates'!AC63*AC$5)</f>
        <v>9.8170304033333832E-3</v>
      </c>
    </row>
    <row r="68" spans="2:29" x14ac:dyDescent="0.25">
      <c r="B68" t="s">
        <v>82</v>
      </c>
      <c r="C68">
        <v>0</v>
      </c>
      <c r="D68">
        <f>IF($A12="AEO",'Growth Rates'!D64,'Growth Rates'!D64*D$5)</f>
        <v>7.1210619379968615E-2</v>
      </c>
      <c r="E68">
        <f>IF($A12="AEO",'Growth Rates'!E64,'Growth Rates'!E64*E$5)</f>
        <v>9.1485608285695852E-2</v>
      </c>
      <c r="F68">
        <f>IF($A12="AEO",'Growth Rates'!F64,'Growth Rates'!F64*F$5)</f>
        <v>-7.0993907420503948E-3</v>
      </c>
      <c r="G68">
        <f>IF($A12="AEO",'Growth Rates'!G64,'Growth Rates'!G64*G$5)</f>
        <v>5.5548707441967927E-3</v>
      </c>
      <c r="H68">
        <f>IF($A12="AEO",'Growth Rates'!H64,'Growth Rates'!H64*H$5)</f>
        <v>5.9511703967789834E-3</v>
      </c>
      <c r="I68">
        <f>IF($A12="AEO",'Growth Rates'!I64,'Growth Rates'!I64*I$5)</f>
        <v>2.1573224384578597E-2</v>
      </c>
      <c r="J68">
        <f>IF($A12="AEO",'Growth Rates'!J64,'Growth Rates'!J64*J$5)</f>
        <v>1.6109320999214728E-2</v>
      </c>
      <c r="K68">
        <f>IF($A12="AEO",'Growth Rates'!K64,'Growth Rates'!K64*K$5)</f>
        <v>1.4839112543048894E-2</v>
      </c>
      <c r="L68">
        <f>IF($A12="AEO",'Growth Rates'!L64,'Growth Rates'!L64*L$5)</f>
        <v>1.0867988350010568E-2</v>
      </c>
      <c r="M68">
        <f>IF($A12="AEO",'Growth Rates'!M64,'Growth Rates'!M64*M$5)</f>
        <v>1.3336208967205965E-2</v>
      </c>
      <c r="N68">
        <f>IF($A12="AEO",'Growth Rates'!N64,'Growth Rates'!N64*N$5)</f>
        <v>3.635627550798287E-3</v>
      </c>
      <c r="O68">
        <f>IF($A12="AEO",'Growth Rates'!O64,'Growth Rates'!O64*O$5)</f>
        <v>4.3625166094370098E-3</v>
      </c>
      <c r="P68">
        <f>IF($A12="AEO",'Growth Rates'!P64,'Growth Rates'!P64*P$5)</f>
        <v>5.5360413090617495E-3</v>
      </c>
      <c r="Q68">
        <f>IF($A12="AEO",'Growth Rates'!Q64,'Growth Rates'!Q64*Q$5)</f>
        <v>5.0714214789581427E-3</v>
      </c>
      <c r="R68">
        <f>IF($A12="AEO",'Growth Rates'!R64,'Growth Rates'!R64*R$5)</f>
        <v>6.490507410011179E-3</v>
      </c>
      <c r="S68">
        <f>IF($A12="AEO",'Growth Rates'!S64,'Growth Rates'!S64*S$5)</f>
        <v>1.1807222899426144E-2</v>
      </c>
      <c r="T68">
        <f>IF($A12="AEO",'Growth Rates'!T64,'Growth Rates'!T64*T$5)</f>
        <v>1.4138693735629397E-2</v>
      </c>
      <c r="U68">
        <f>IF($A12="AEO",'Growth Rates'!U64,'Growth Rates'!U64*U$5)</f>
        <v>7.8695027068229235E-3</v>
      </c>
      <c r="V68">
        <f>IF($A12="AEO",'Growth Rates'!V64,'Growth Rates'!V64*V$5)</f>
        <v>8.6050480547517853E-3</v>
      </c>
      <c r="W68">
        <f>IF($A12="AEO",'Growth Rates'!W64,'Growth Rates'!W64*W$5)</f>
        <v>5.0751542531941845E-3</v>
      </c>
      <c r="X68">
        <f>IF($A12="AEO",'Growth Rates'!X64,'Growth Rates'!X64*X$5)</f>
        <v>3.6314508985072508E-3</v>
      </c>
      <c r="Y68">
        <f>IF($A12="AEO",'Growth Rates'!Y64,'Growth Rates'!Y64*Y$5)</f>
        <v>3.7320076133156074E-3</v>
      </c>
      <c r="Z68">
        <f>IF($A12="AEO",'Growth Rates'!Z64,'Growth Rates'!Z64*Z$5)</f>
        <v>5.5185131598065205E-3</v>
      </c>
      <c r="AA68">
        <f>IF($A12="AEO",'Growth Rates'!AA64,'Growth Rates'!AA64*AA$5)</f>
        <v>2.1673219962289911E-3</v>
      </c>
      <c r="AB68">
        <f>IF($A12="AEO",'Growth Rates'!AB64,'Growth Rates'!AB64*AB$5)</f>
        <v>1.601512248964386E-5</v>
      </c>
      <c r="AC68">
        <f>IF($A12="AEO",'Growth Rates'!AC64,'Growth Rates'!AC64*AC$5)</f>
        <v>-1.8375142190435721E-3</v>
      </c>
    </row>
    <row r="69" spans="2:29" x14ac:dyDescent="0.25">
      <c r="B69" t="s">
        <v>77</v>
      </c>
      <c r="C69">
        <v>0</v>
      </c>
      <c r="D69">
        <f>IF($A13="AEO",'Growth Rates'!D65,'Growth Rates'!D65*D$5)</f>
        <v>7.1210619379968615E-2</v>
      </c>
      <c r="E69">
        <f>IF($A13="AEO",'Growth Rates'!E65,'Growth Rates'!E65*E$5)</f>
        <v>9.1485608285695852E-2</v>
      </c>
      <c r="F69">
        <f>IF($A13="AEO",'Growth Rates'!F65,'Growth Rates'!F65*F$5)</f>
        <v>-7.0993907420503948E-3</v>
      </c>
      <c r="G69">
        <f>IF($A13="AEO",'Growth Rates'!G65,'Growth Rates'!G65*G$5)</f>
        <v>5.5548707441967927E-3</v>
      </c>
      <c r="H69">
        <f>IF($A13="AEO",'Growth Rates'!H65,'Growth Rates'!H65*H$5)</f>
        <v>5.9511703967789834E-3</v>
      </c>
      <c r="I69">
        <f>IF($A13="AEO",'Growth Rates'!I65,'Growth Rates'!I65*I$5)</f>
        <v>2.1573224384578597E-2</v>
      </c>
      <c r="J69">
        <f>IF($A13="AEO",'Growth Rates'!J65,'Growth Rates'!J65*J$5)</f>
        <v>1.6109320999214728E-2</v>
      </c>
      <c r="K69">
        <f>IF($A13="AEO",'Growth Rates'!K65,'Growth Rates'!K65*K$5)</f>
        <v>1.4839112543048894E-2</v>
      </c>
      <c r="L69">
        <f>IF($A13="AEO",'Growth Rates'!L65,'Growth Rates'!L65*L$5)</f>
        <v>1.0867988350010568E-2</v>
      </c>
      <c r="M69">
        <f>IF($A13="AEO",'Growth Rates'!M65,'Growth Rates'!M65*M$5)</f>
        <v>1.3336208967205965E-2</v>
      </c>
      <c r="N69">
        <f>IF($A13="AEO",'Growth Rates'!N65,'Growth Rates'!N65*N$5)</f>
        <v>3.635627550798287E-3</v>
      </c>
      <c r="O69">
        <f>IF($A13="AEO",'Growth Rates'!O65,'Growth Rates'!O65*O$5)</f>
        <v>4.3625166094370098E-3</v>
      </c>
      <c r="P69">
        <f>IF($A13="AEO",'Growth Rates'!P65,'Growth Rates'!P65*P$5)</f>
        <v>5.5360413090617495E-3</v>
      </c>
      <c r="Q69">
        <f>IF($A13="AEO",'Growth Rates'!Q65,'Growth Rates'!Q65*Q$5)</f>
        <v>5.0714214789581427E-3</v>
      </c>
      <c r="R69">
        <f>IF($A13="AEO",'Growth Rates'!R65,'Growth Rates'!R65*R$5)</f>
        <v>6.490507410011179E-3</v>
      </c>
      <c r="S69">
        <f>IF($A13="AEO",'Growth Rates'!S65,'Growth Rates'!S65*S$5)</f>
        <v>1.1807222899426144E-2</v>
      </c>
      <c r="T69">
        <f>IF($A13="AEO",'Growth Rates'!T65,'Growth Rates'!T65*T$5)</f>
        <v>1.4138693735629397E-2</v>
      </c>
      <c r="U69">
        <f>IF($A13="AEO",'Growth Rates'!U65,'Growth Rates'!U65*U$5)</f>
        <v>7.8695027068229235E-3</v>
      </c>
      <c r="V69">
        <f>IF($A13="AEO",'Growth Rates'!V65,'Growth Rates'!V65*V$5)</f>
        <v>8.6050480547517853E-3</v>
      </c>
      <c r="W69">
        <f>IF($A13="AEO",'Growth Rates'!W65,'Growth Rates'!W65*W$5)</f>
        <v>5.0751542531941845E-3</v>
      </c>
      <c r="X69">
        <f>IF($A13="AEO",'Growth Rates'!X65,'Growth Rates'!X65*X$5)</f>
        <v>3.6314508985072508E-3</v>
      </c>
      <c r="Y69">
        <f>IF($A13="AEO",'Growth Rates'!Y65,'Growth Rates'!Y65*Y$5)</f>
        <v>3.7320076133156074E-3</v>
      </c>
      <c r="Z69">
        <f>IF($A13="AEO",'Growth Rates'!Z65,'Growth Rates'!Z65*Z$5)</f>
        <v>5.5185131598065205E-3</v>
      </c>
      <c r="AA69">
        <f>IF($A13="AEO",'Growth Rates'!AA65,'Growth Rates'!AA65*AA$5)</f>
        <v>2.1673219962289911E-3</v>
      </c>
      <c r="AB69">
        <f>IF($A13="AEO",'Growth Rates'!AB65,'Growth Rates'!AB65*AB$5)</f>
        <v>1.601512248964386E-5</v>
      </c>
      <c r="AC69">
        <f>IF($A13="AEO",'Growth Rates'!AC65,'Growth Rates'!AC65*AC$5)</f>
        <v>-1.8375142190435721E-3</v>
      </c>
    </row>
    <row r="70" spans="2:29" x14ac:dyDescent="0.25">
      <c r="B70" t="s">
        <v>85</v>
      </c>
      <c r="C70">
        <v>0</v>
      </c>
      <c r="D70">
        <f>IF($A14="AEO",'Growth Rates'!D66,'Growth Rates'!D66*D$5)</f>
        <v>2.3810274401484862E-2</v>
      </c>
      <c r="E70">
        <f>IF($A14="AEO",'Growth Rates'!E66,'Growth Rates'!E66*E$5)</f>
        <v>3.8448604584734924E-2</v>
      </c>
      <c r="F70">
        <f>IF($A14="AEO",'Growth Rates'!F66,'Growth Rates'!F66*F$5)</f>
        <v>2.5047367182711652E-2</v>
      </c>
      <c r="G70">
        <f>IF($A14="AEO",'Growth Rates'!G66,'Growth Rates'!G66*G$5)</f>
        <v>1.6981114560394438E-2</v>
      </c>
      <c r="H70">
        <f>IF($A14="AEO",'Growth Rates'!H66,'Growth Rates'!H66*H$5)</f>
        <v>2.0162636173951511E-2</v>
      </c>
      <c r="I70">
        <f>IF($A14="AEO",'Growth Rates'!I66,'Growth Rates'!I66*I$5)</f>
        <v>2.2710188989910042E-2</v>
      </c>
      <c r="J70">
        <f>IF($A14="AEO",'Growth Rates'!J66,'Growth Rates'!J66*J$5)</f>
        <v>2.1918773572094343E-2</v>
      </c>
      <c r="K70">
        <f>IF($A14="AEO",'Growth Rates'!K66,'Growth Rates'!K66*K$5)</f>
        <v>2.45192536698806E-2</v>
      </c>
      <c r="L70">
        <f>IF($A14="AEO",'Growth Rates'!L66,'Growth Rates'!L66*L$5)</f>
        <v>2.6089657304958679E-2</v>
      </c>
      <c r="M70">
        <f>IF($A14="AEO",'Growth Rates'!M66,'Growth Rates'!M66*M$5)</f>
        <v>2.7240189796143371E-2</v>
      </c>
      <c r="N70">
        <f>IF($A14="AEO",'Growth Rates'!N66,'Growth Rates'!N66*N$5)</f>
        <v>2.8263058280166922E-2</v>
      </c>
      <c r="O70">
        <f>IF($A14="AEO",'Growth Rates'!O66,'Growth Rates'!O66*O$5)</f>
        <v>2.3002940024501112E-2</v>
      </c>
      <c r="P70">
        <f>IF($A14="AEO",'Growth Rates'!P66,'Growth Rates'!P66*P$5)</f>
        <v>2.2416174247045513E-2</v>
      </c>
      <c r="Q70">
        <f>IF($A14="AEO",'Growth Rates'!Q66,'Growth Rates'!Q66*Q$5)</f>
        <v>2.2106232724613966E-2</v>
      </c>
      <c r="R70">
        <f>IF($A14="AEO",'Growth Rates'!R66,'Growth Rates'!R66*R$5)</f>
        <v>2.1305851259495003E-2</v>
      </c>
      <c r="S70">
        <f>IF($A14="AEO",'Growth Rates'!S66,'Growth Rates'!S66*S$5)</f>
        <v>2.1025129942047562E-2</v>
      </c>
      <c r="T70">
        <f>IF($A14="AEO",'Growth Rates'!T66,'Growth Rates'!T66*T$5)</f>
        <v>2.0052034507771731E-2</v>
      </c>
      <c r="U70">
        <f>IF($A14="AEO",'Growth Rates'!U66,'Growth Rates'!U66*U$5)</f>
        <v>2.0237588439304125E-2</v>
      </c>
      <c r="V70">
        <f>IF($A14="AEO",'Growth Rates'!V66,'Growth Rates'!V66*V$5)</f>
        <v>2.068744786598626E-2</v>
      </c>
      <c r="W70">
        <f>IF($A14="AEO",'Growth Rates'!W66,'Growth Rates'!W66*W$5)</f>
        <v>2.0408899897170017E-2</v>
      </c>
      <c r="X70">
        <f>IF($A14="AEO",'Growth Rates'!X66,'Growth Rates'!X66*X$5)</f>
        <v>1.9767780205196331E-2</v>
      </c>
      <c r="Y70">
        <f>IF($A14="AEO",'Growth Rates'!Y66,'Growth Rates'!Y66*Y$5)</f>
        <v>1.8803132157125167E-2</v>
      </c>
      <c r="Z70">
        <f>IF($A14="AEO",'Growth Rates'!Z66,'Growth Rates'!Z66*Z$5)</f>
        <v>1.770115109134613E-2</v>
      </c>
      <c r="AA70">
        <f>IF($A14="AEO",'Growth Rates'!AA66,'Growth Rates'!AA66*AA$5)</f>
        <v>1.7509989041190954E-2</v>
      </c>
      <c r="AB70">
        <f>IF($A14="AEO",'Growth Rates'!AB66,'Growth Rates'!AB66*AB$5)</f>
        <v>1.664676462803473E-2</v>
      </c>
      <c r="AC70">
        <f>IF($A14="AEO",'Growth Rates'!AC66,'Growth Rates'!AC66*AC$5)</f>
        <v>1.7016186032444532E-2</v>
      </c>
    </row>
    <row r="71" spans="2:29" x14ac:dyDescent="0.25">
      <c r="B71" t="s">
        <v>88</v>
      </c>
      <c r="C71">
        <v>0</v>
      </c>
      <c r="D71">
        <f>IF($A15="AEO",'Growth Rates'!D67,'Growth Rates'!D67*D$5)</f>
        <v>7.1210619379968615E-2</v>
      </c>
      <c r="E71">
        <f>IF($A15="AEO",'Growth Rates'!E67,'Growth Rates'!E67*E$5)</f>
        <v>9.1485608285695852E-2</v>
      </c>
      <c r="F71">
        <f>IF($A15="AEO",'Growth Rates'!F67,'Growth Rates'!F67*F$5)</f>
        <v>-7.0993907420503948E-3</v>
      </c>
      <c r="G71">
        <f>IF($A15="AEO",'Growth Rates'!G67,'Growth Rates'!G67*G$5)</f>
        <v>5.5548707441967927E-3</v>
      </c>
      <c r="H71">
        <f>IF($A15="AEO",'Growth Rates'!H67,'Growth Rates'!H67*H$5)</f>
        <v>5.9511703967789834E-3</v>
      </c>
      <c r="I71">
        <f>IF($A15="AEO",'Growth Rates'!I67,'Growth Rates'!I67*I$5)</f>
        <v>2.1573224384578597E-2</v>
      </c>
      <c r="J71">
        <f>IF($A15="AEO",'Growth Rates'!J67,'Growth Rates'!J67*J$5)</f>
        <v>1.6109320999214728E-2</v>
      </c>
      <c r="K71">
        <f>IF($A15="AEO",'Growth Rates'!K67,'Growth Rates'!K67*K$5)</f>
        <v>1.4839112543048894E-2</v>
      </c>
      <c r="L71">
        <f>IF($A15="AEO",'Growth Rates'!L67,'Growth Rates'!L67*L$5)</f>
        <v>1.0867988350010568E-2</v>
      </c>
      <c r="M71">
        <f>IF($A15="AEO",'Growth Rates'!M67,'Growth Rates'!M67*M$5)</f>
        <v>1.3336208967205965E-2</v>
      </c>
      <c r="N71">
        <f>IF($A15="AEO",'Growth Rates'!N67,'Growth Rates'!N67*N$5)</f>
        <v>3.635627550798287E-3</v>
      </c>
      <c r="O71">
        <f>IF($A15="AEO",'Growth Rates'!O67,'Growth Rates'!O67*O$5)</f>
        <v>4.3625166094370098E-3</v>
      </c>
      <c r="P71">
        <f>IF($A15="AEO",'Growth Rates'!P67,'Growth Rates'!P67*P$5)</f>
        <v>5.5360413090617495E-3</v>
      </c>
      <c r="Q71">
        <f>IF($A15="AEO",'Growth Rates'!Q67,'Growth Rates'!Q67*Q$5)</f>
        <v>5.0714214789581427E-3</v>
      </c>
      <c r="R71">
        <f>IF($A15="AEO",'Growth Rates'!R67,'Growth Rates'!R67*R$5)</f>
        <v>6.490507410011179E-3</v>
      </c>
      <c r="S71">
        <f>IF($A15="AEO",'Growth Rates'!S67,'Growth Rates'!S67*S$5)</f>
        <v>1.1807222899426144E-2</v>
      </c>
      <c r="T71">
        <f>IF($A15="AEO",'Growth Rates'!T67,'Growth Rates'!T67*T$5)</f>
        <v>1.4138693735629397E-2</v>
      </c>
      <c r="U71">
        <f>IF($A15="AEO",'Growth Rates'!U67,'Growth Rates'!U67*U$5)</f>
        <v>7.8695027068229235E-3</v>
      </c>
      <c r="V71">
        <f>IF($A15="AEO",'Growth Rates'!V67,'Growth Rates'!V67*V$5)</f>
        <v>8.6050480547517853E-3</v>
      </c>
      <c r="W71">
        <f>IF($A15="AEO",'Growth Rates'!W67,'Growth Rates'!W67*W$5)</f>
        <v>5.0751542531941845E-3</v>
      </c>
      <c r="X71">
        <f>IF($A15="AEO",'Growth Rates'!X67,'Growth Rates'!X67*X$5)</f>
        <v>3.6314508985072508E-3</v>
      </c>
      <c r="Y71">
        <f>IF($A15="AEO",'Growth Rates'!Y67,'Growth Rates'!Y67*Y$5)</f>
        <v>3.7320076133156074E-3</v>
      </c>
      <c r="Z71">
        <f>IF($A15="AEO",'Growth Rates'!Z67,'Growth Rates'!Z67*Z$5)</f>
        <v>5.5185131598065205E-3</v>
      </c>
      <c r="AA71">
        <f>IF($A15="AEO",'Growth Rates'!AA67,'Growth Rates'!AA67*AA$5)</f>
        <v>2.1673219962289911E-3</v>
      </c>
      <c r="AB71">
        <f>IF($A15="AEO",'Growth Rates'!AB67,'Growth Rates'!AB67*AB$5)</f>
        <v>1.601512248964386E-5</v>
      </c>
      <c r="AC71">
        <f>IF($A15="AEO",'Growth Rates'!AC67,'Growth Rates'!AC67*AC$5)</f>
        <v>-1.8375142190435721E-3</v>
      </c>
    </row>
    <row r="72" spans="2:29" x14ac:dyDescent="0.25">
      <c r="B72" t="s">
        <v>91</v>
      </c>
      <c r="C72">
        <v>0</v>
      </c>
      <c r="D72">
        <f>IF($A16="AEO",'Growth Rates'!D68,'Growth Rates'!D68*D$5)</f>
        <v>-4.5788989233624738E-3</v>
      </c>
      <c r="E72">
        <f>IF($A16="AEO",'Growth Rates'!E68,'Growth Rates'!E68*E$5)</f>
        <v>-7.393962420141331E-3</v>
      </c>
      <c r="F72">
        <f>IF($A16="AEO",'Growth Rates'!F68,'Growth Rates'!F68*F$5)</f>
        <v>-4.816801381290702E-3</v>
      </c>
      <c r="G72">
        <f>IF($A16="AEO",'Growth Rates'!G68,'Growth Rates'!G68*G$5)</f>
        <v>-3.2655989539220071E-3</v>
      </c>
      <c r="H72">
        <f>IF($A16="AEO",'Growth Rates'!H68,'Growth Rates'!H68*H$5)</f>
        <v>-3.8774300334522135E-3</v>
      </c>
      <c r="I72">
        <f>IF($A16="AEO",'Growth Rates'!I68,'Growth Rates'!I68*I$5)</f>
        <v>-4.3673440365211624E-3</v>
      </c>
      <c r="J72">
        <f>IF($A16="AEO",'Growth Rates'!J68,'Growth Rates'!J68*J$5)</f>
        <v>-4.2151487638642966E-3</v>
      </c>
      <c r="K72">
        <f>IF($A16="AEO",'Growth Rates'!K68,'Growth Rates'!K68*K$5)</f>
        <v>-4.7152410903616533E-3</v>
      </c>
      <c r="L72">
        <f>IF($A16="AEO",'Growth Rates'!L68,'Growth Rates'!L68*L$5)</f>
        <v>-5.01724178941513E-3</v>
      </c>
      <c r="M72">
        <f>IF($A16="AEO",'Growth Rates'!M68,'Growth Rates'!M68*M$5)</f>
        <v>-5.2384980377198787E-3</v>
      </c>
      <c r="N72">
        <f>IF($A16="AEO",'Growth Rates'!N68,'Growth Rates'!N68*N$5)</f>
        <v>-5.4352035154167158E-3</v>
      </c>
      <c r="O72">
        <f>IF($A16="AEO",'Growth Rates'!O68,'Growth Rates'!O68*O$5)</f>
        <v>-4.4236423124040594E-3</v>
      </c>
      <c r="P72">
        <f>IF($A16="AEO",'Growth Rates'!P68,'Growth Rates'!P68*P$5)</f>
        <v>-4.3108027398164449E-3</v>
      </c>
      <c r="Q72">
        <f>IF($A16="AEO",'Growth Rates'!Q68,'Growth Rates'!Q68*Q$5)</f>
        <v>-4.2511986008873012E-3</v>
      </c>
      <c r="R72">
        <f>IF($A16="AEO",'Growth Rates'!R68,'Growth Rates'!R68*R$5)</f>
        <v>-4.0972790883644231E-3</v>
      </c>
      <c r="S72">
        <f>IF($A16="AEO",'Growth Rates'!S68,'Growth Rates'!S68*S$5)</f>
        <v>-4.0432942196245306E-3</v>
      </c>
      <c r="T72">
        <f>IF($A16="AEO",'Growth Rates'!T68,'Growth Rates'!T68*T$5)</f>
        <v>-3.856160482263794E-3</v>
      </c>
      <c r="U72">
        <f>IF($A16="AEO",'Growth Rates'!U68,'Growth Rates'!U68*U$5)</f>
        <v>-3.8918439306354084E-3</v>
      </c>
      <c r="V72">
        <f>IF($A16="AEO",'Growth Rates'!V68,'Growth Rates'!V68*V$5)</f>
        <v>-3.9783553588435116E-3</v>
      </c>
      <c r="W72">
        <f>IF($A16="AEO",'Growth Rates'!W68,'Growth Rates'!W68*W$5)</f>
        <v>-3.9247884417634646E-3</v>
      </c>
      <c r="X72">
        <f>IF($A16="AEO",'Growth Rates'!X68,'Growth Rates'!X68*X$5)</f>
        <v>-3.8014961933069864E-3</v>
      </c>
      <c r="Y72">
        <f>IF($A16="AEO",'Growth Rates'!Y68,'Growth Rates'!Y68*Y$5)</f>
        <v>-3.6159869532933009E-3</v>
      </c>
      <c r="Z72">
        <f>IF($A16="AEO",'Growth Rates'!Z68,'Growth Rates'!Z68*Z$5)</f>
        <v>-3.4040675175665632E-3</v>
      </c>
      <c r="AA72">
        <f>IF($A16="AEO",'Growth Rates'!AA68,'Growth Rates'!AA68*AA$5)</f>
        <v>-3.3673055848444139E-3</v>
      </c>
      <c r="AB72">
        <f>IF($A16="AEO",'Growth Rates'!AB68,'Growth Rates'!AB68*AB$5)</f>
        <v>-3.2013008900066788E-3</v>
      </c>
      <c r="AC72">
        <f>IF($A16="AEO",'Growth Rates'!AC68,'Growth Rates'!AC68*AC$5)</f>
        <v>-3.2723434677777948E-3</v>
      </c>
    </row>
    <row r="73" spans="2:29" x14ac:dyDescent="0.25">
      <c r="B73" t="s">
        <v>174</v>
      </c>
      <c r="C73">
        <v>0</v>
      </c>
      <c r="D73">
        <f>IF($A17="AEO",'Growth Rates'!D69,'Growth Rates'!D69*D$5)</f>
        <v>-5.7729872669432442E-2</v>
      </c>
      <c r="E73">
        <f>IF($A17="AEO",'Growth Rates'!E69,'Growth Rates'!E69*E$5)</f>
        <v>2.3084925389895744E-3</v>
      </c>
      <c r="F73">
        <f>IF($A17="AEO",'Growth Rates'!F69,'Growth Rates'!F69*F$5)</f>
        <v>8.6668536975894779E-3</v>
      </c>
      <c r="G73">
        <f>IF($A17="AEO",'Growth Rates'!G69,'Growth Rates'!G69*G$5)</f>
        <v>8.895905393281495E-3</v>
      </c>
      <c r="H73">
        <f>IF($A17="AEO",'Growth Rates'!H69,'Growth Rates'!H69*H$5)</f>
        <v>6.2431210570281486E-3</v>
      </c>
      <c r="I73">
        <f>IF($A17="AEO",'Growth Rates'!I69,'Growth Rates'!I69*I$5)</f>
        <v>8.2994653578576105E-3</v>
      </c>
      <c r="J73">
        <f>IF($A17="AEO",'Growth Rates'!J69,'Growth Rates'!J69*J$5)</f>
        <v>8.8544070298389645E-3</v>
      </c>
      <c r="K73">
        <f>IF($A17="AEO",'Growth Rates'!K69,'Growth Rates'!K69*K$5)</f>
        <v>8.5623904163661772E-3</v>
      </c>
      <c r="L73">
        <f>IF($A17="AEO",'Growth Rates'!L69,'Growth Rates'!L69*L$5)</f>
        <v>8.6305305300598441E-3</v>
      </c>
      <c r="M73">
        <f>IF($A17="AEO",'Growth Rates'!M69,'Growth Rates'!M69*M$5)</f>
        <v>8.8124025739757458E-3</v>
      </c>
      <c r="N73">
        <f>IF($A17="AEO",'Growth Rates'!N69,'Growth Rates'!N69*N$5)</f>
        <v>8.3397468750246884E-3</v>
      </c>
      <c r="O73">
        <f>IF($A17="AEO",'Growth Rates'!O69,'Growth Rates'!O69*O$5)</f>
        <v>9.1512585221738517E-3</v>
      </c>
      <c r="P73">
        <f>IF($A17="AEO",'Growth Rates'!P69,'Growth Rates'!P69*P$5)</f>
        <v>8.9158346258822047E-3</v>
      </c>
      <c r="Q73">
        <f>IF($A17="AEO",'Growth Rates'!Q69,'Growth Rates'!Q69*Q$5)</f>
        <v>9.0395674055599434E-3</v>
      </c>
      <c r="R73">
        <f>IF($A17="AEO",'Growth Rates'!R69,'Growth Rates'!R69*R$5)</f>
        <v>8.9126869878666404E-3</v>
      </c>
      <c r="S73">
        <f>IF($A17="AEO",'Growth Rates'!S69,'Growth Rates'!S69*S$5)</f>
        <v>8.2219736659823149E-3</v>
      </c>
      <c r="T73">
        <f>IF($A17="AEO",'Growth Rates'!T69,'Growth Rates'!T69*T$5)</f>
        <v>8.1518849867408989E-3</v>
      </c>
      <c r="U73">
        <f>IF($A17="AEO",'Growth Rates'!U69,'Growth Rates'!U69*U$5)</f>
        <v>8.0671144690563253E-3</v>
      </c>
      <c r="V73">
        <f>IF($A17="AEO",'Growth Rates'!V69,'Growth Rates'!V69*V$5)</f>
        <v>7.6174180419561087E-3</v>
      </c>
      <c r="W73">
        <f>IF($A17="AEO",'Growth Rates'!W69,'Growth Rates'!W69*W$5)</f>
        <v>7.5910007208408424E-3</v>
      </c>
      <c r="X73">
        <f>IF($A17="AEO",'Growth Rates'!X69,'Growth Rates'!X69*X$5)</f>
        <v>6.9485012197958293E-3</v>
      </c>
      <c r="Y73">
        <f>IF($A17="AEO",'Growth Rates'!Y69,'Growth Rates'!Y69*Y$5)</f>
        <v>7.1654398456569134E-3</v>
      </c>
      <c r="Z73">
        <f>IF($A17="AEO",'Growth Rates'!Z69,'Growth Rates'!Z69*Z$5)</f>
        <v>6.9713486623400201E-3</v>
      </c>
      <c r="AA73">
        <f>IF($A17="AEO",'Growth Rates'!AA69,'Growth Rates'!AA69*AA$5)</f>
        <v>6.9198623364609326E-3</v>
      </c>
      <c r="AB73">
        <f>IF($A17="AEO",'Growth Rates'!AB69,'Growth Rates'!AB69*AB$5)</f>
        <v>7.1706668477333618E-3</v>
      </c>
      <c r="AC73">
        <f>IF($A17="AEO",'Growth Rates'!AC69,'Growth Rates'!AC69*AC$5)</f>
        <v>6.5544717745132219E-3</v>
      </c>
    </row>
    <row r="74" spans="2:29" x14ac:dyDescent="0.25">
      <c r="B74" t="s">
        <v>201</v>
      </c>
      <c r="C74">
        <v>0</v>
      </c>
      <c r="D74">
        <f>IF($A18="AEO",'Growth Rates'!D70,'Growth Rates'!D70*D$5)</f>
        <v>-0.11327023120960888</v>
      </c>
      <c r="E74">
        <f>IF($A18="AEO",'Growth Rates'!E70,'Growth Rates'!E70*E$5)</f>
        <v>1.2654387821285499E-2</v>
      </c>
      <c r="F74">
        <f>IF($A18="AEO",'Growth Rates'!F70,'Growth Rates'!F70*F$5)</f>
        <v>1.3735723311174427E-2</v>
      </c>
      <c r="G74">
        <f>IF($A18="AEO",'Growth Rates'!G70,'Growth Rates'!G70*G$5)</f>
        <v>-2.8978791575699502E-2</v>
      </c>
      <c r="H74">
        <f>IF($A18="AEO",'Growth Rates'!H70,'Growth Rates'!H70*H$5)</f>
        <v>-3.7839861235331416E-2</v>
      </c>
      <c r="I74">
        <f>IF($A18="AEO",'Growth Rates'!I70,'Growth Rates'!I70*I$5)</f>
        <v>-1.7721610152687448E-2</v>
      </c>
      <c r="J74">
        <f>IF($A18="AEO",'Growth Rates'!J70,'Growth Rates'!J70*J$5)</f>
        <v>-5.5535893277420126E-3</v>
      </c>
      <c r="K74">
        <f>IF($A18="AEO",'Growth Rates'!K70,'Growth Rates'!K70*K$5)</f>
        <v>-2.8541013618708145E-3</v>
      </c>
      <c r="L74">
        <f>IF($A18="AEO",'Growth Rates'!L70,'Growth Rates'!L70*L$5)</f>
        <v>2.6110775606644635E-3</v>
      </c>
      <c r="M74">
        <f>IF($A18="AEO",'Growth Rates'!M70,'Growth Rates'!M70*M$5)</f>
        <v>7.1811112665338961E-3</v>
      </c>
      <c r="N74">
        <f>IF($A18="AEO",'Growth Rates'!N70,'Growth Rates'!N70*N$5)</f>
        <v>4.3095939225521436E-3</v>
      </c>
      <c r="O74">
        <f>IF($A18="AEO",'Growth Rates'!O70,'Growth Rates'!O70*O$5)</f>
        <v>-5.0828396051350012E-4</v>
      </c>
      <c r="P74">
        <f>IF($A18="AEO",'Growth Rates'!P70,'Growth Rates'!P70*P$5)</f>
        <v>1.2939081422887416E-3</v>
      </c>
      <c r="Q74">
        <f>IF($A18="AEO",'Growth Rates'!Q70,'Growth Rates'!Q70*Q$5)</f>
        <v>1.9871252582326238E-3</v>
      </c>
      <c r="R74">
        <f>IF($A18="AEO",'Growth Rates'!R70,'Growth Rates'!R70*R$5)</f>
        <v>9.4922215564872351E-4</v>
      </c>
      <c r="S74">
        <f>IF($A18="AEO",'Growth Rates'!S70,'Growth Rates'!S70*S$5)</f>
        <v>3.876368628577711E-3</v>
      </c>
      <c r="T74">
        <f>IF($A18="AEO",'Growth Rates'!T70,'Growth Rates'!T70*T$5)</f>
        <v>3.6086342533489719E-3</v>
      </c>
      <c r="U74">
        <f>IF($A18="AEO",'Growth Rates'!U70,'Growth Rates'!U70*U$5)</f>
        <v>2.3781021607383874E-3</v>
      </c>
      <c r="V74">
        <f>IF($A18="AEO",'Growth Rates'!V70,'Growth Rates'!V70*V$5)</f>
        <v>2.2510324909582892E-3</v>
      </c>
      <c r="W74">
        <f>IF($A18="AEO",'Growth Rates'!W70,'Growth Rates'!W70*W$5)</f>
        <v>2.9899080939919951E-3</v>
      </c>
      <c r="X74">
        <f>IF($A18="AEO",'Growth Rates'!X70,'Growth Rates'!X70*X$5)</f>
        <v>3.7431770442513351E-3</v>
      </c>
      <c r="Y74">
        <f>IF($A18="AEO",'Growth Rates'!Y70,'Growth Rates'!Y70*Y$5)</f>
        <v>1.8182871550452167E-3</v>
      </c>
      <c r="Z74">
        <f>IF($A18="AEO",'Growth Rates'!Z70,'Growth Rates'!Z70*Z$5)</f>
        <v>-1.8549583248712398E-3</v>
      </c>
      <c r="AA74">
        <f>IF($A18="AEO",'Growth Rates'!AA70,'Growth Rates'!AA70*AA$5)</f>
        <v>-4.8402017735736042E-3</v>
      </c>
      <c r="AB74">
        <f>IF($A18="AEO",'Growth Rates'!AB70,'Growth Rates'!AB70*AB$5)</f>
        <v>-1.2979738378702281E-3</v>
      </c>
      <c r="AC74">
        <f>IF($A18="AEO",'Growth Rates'!AC70,'Growth Rates'!AC70*AC$5)</f>
        <v>-9.7529928707283859E-4</v>
      </c>
    </row>
    <row r="75" spans="2:29" x14ac:dyDescent="0.25">
      <c r="B75" t="s">
        <v>210</v>
      </c>
      <c r="C75">
        <v>0</v>
      </c>
      <c r="D75">
        <f>IF($A19="AEO",'Growth Rates'!D71,'Growth Rates'!D71*D$5)</f>
        <v>0.20646756047733122</v>
      </c>
      <c r="E75">
        <f>IF($A19="AEO",'Growth Rates'!E71,'Growth Rates'!E71*E$5)</f>
        <v>-0.16081253587386876</v>
      </c>
      <c r="F75">
        <f>IF($A19="AEO",'Growth Rates'!F71,'Growth Rates'!F71*F$5)</f>
        <v>-5.9926481842827915E-2</v>
      </c>
      <c r="G75">
        <f>IF($A19="AEO",'Growth Rates'!G71,'Growth Rates'!G71*G$5)</f>
        <v>4.8577552390751753E-2</v>
      </c>
      <c r="H75">
        <f>IF($A19="AEO",'Growth Rates'!H71,'Growth Rates'!H71*H$5)</f>
        <v>7.8415031909261301E-2</v>
      </c>
      <c r="I75">
        <f>IF($A19="AEO",'Growth Rates'!I71,'Growth Rates'!I71*I$5)</f>
        <v>1.0858482705549129E-2</v>
      </c>
      <c r="J75">
        <f>IF($A19="AEO",'Growth Rates'!J71,'Growth Rates'!J71*J$5)</f>
        <v>-2.5408865648140155E-2</v>
      </c>
      <c r="K75">
        <f>IF($A19="AEO",'Growth Rates'!K71,'Growth Rates'!K71*K$5)</f>
        <v>-3.0799743817374369E-3</v>
      </c>
      <c r="L75">
        <f>IF($A19="AEO",'Growth Rates'!L71,'Growth Rates'!L71*L$5)</f>
        <v>2.2848120700727528E-2</v>
      </c>
      <c r="M75">
        <f>IF($A19="AEO",'Growth Rates'!M71,'Growth Rates'!M71*M$5)</f>
        <v>3.8984983101808264E-2</v>
      </c>
      <c r="N75">
        <f>IF($A19="AEO",'Growth Rates'!N71,'Growth Rates'!N71*N$5)</f>
        <v>2.9219529050703422E-2</v>
      </c>
      <c r="O75">
        <f>IF($A19="AEO",'Growth Rates'!O71,'Growth Rates'!O71*O$5)</f>
        <v>2.9233758232177085E-2</v>
      </c>
      <c r="P75">
        <f>IF($A19="AEO",'Growth Rates'!P71,'Growth Rates'!P71*P$5)</f>
        <v>2.1060842040691512E-2</v>
      </c>
      <c r="Q75">
        <f>IF($A19="AEO",'Growth Rates'!Q71,'Growth Rates'!Q71*Q$5)</f>
        <v>2.228663552233685E-2</v>
      </c>
      <c r="R75">
        <f>IF($A19="AEO",'Growth Rates'!R71,'Growth Rates'!R71*R$5)</f>
        <v>1.6015879083247499E-2</v>
      </c>
      <c r="S75">
        <f>IF($A19="AEO",'Growth Rates'!S71,'Growth Rates'!S71*S$5)</f>
        <v>5.1785345412433161E-3</v>
      </c>
      <c r="T75">
        <f>IF($A19="AEO",'Growth Rates'!T71,'Growth Rates'!T71*T$5)</f>
        <v>-1.8013354096578064E-2</v>
      </c>
      <c r="U75">
        <f>IF($A19="AEO",'Growth Rates'!U71,'Growth Rates'!U71*U$5)</f>
        <v>-1.0618322301797024E-2</v>
      </c>
      <c r="V75">
        <f>IF($A19="AEO",'Growth Rates'!V71,'Growth Rates'!V71*V$5)</f>
        <v>-1.9917091594533951E-2</v>
      </c>
      <c r="W75">
        <f>IF($A19="AEO",'Growth Rates'!W71,'Growth Rates'!W71*W$5)</f>
        <v>-1.3377491184493832E-2</v>
      </c>
      <c r="X75">
        <f>IF($A19="AEO",'Growth Rates'!X71,'Growth Rates'!X71*X$5)</f>
        <v>6.3217512353089273E-3</v>
      </c>
      <c r="Y75">
        <f>IF($A19="AEO",'Growth Rates'!Y71,'Growth Rates'!Y71*Y$5)</f>
        <v>6.0034817341983937E-3</v>
      </c>
      <c r="Z75">
        <f>IF($A19="AEO",'Growth Rates'!Z71,'Growth Rates'!Z71*Z$5)</f>
        <v>8.9925975681785075E-3</v>
      </c>
      <c r="AA75">
        <f>IF($A19="AEO",'Growth Rates'!AA71,'Growth Rates'!AA71*AA$5)</f>
        <v>8.075867794985786E-3</v>
      </c>
      <c r="AB75">
        <f>IF($A19="AEO",'Growth Rates'!AB71,'Growth Rates'!AB71*AB$5)</f>
        <v>1.3737245679554182E-2</v>
      </c>
      <c r="AC75">
        <f>IF($A19="AEO",'Growth Rates'!AC71,'Growth Rates'!AC71*AC$5)</f>
        <v>1.1236138525516472E-2</v>
      </c>
    </row>
    <row r="76" spans="2:29" x14ac:dyDescent="0.25">
      <c r="B76" t="s">
        <v>219</v>
      </c>
      <c r="C76">
        <v>0</v>
      </c>
      <c r="D76">
        <f>IF($A20="AEO",'Growth Rates'!D72,'Growth Rates'!D72*D$5)</f>
        <v>-5.0057662323048653E-2</v>
      </c>
      <c r="E76">
        <f>IF($A20="AEO",'Growth Rates'!E72,'Growth Rates'!E72*E$5)</f>
        <v>-9.0657834221724697E-3</v>
      </c>
      <c r="F76">
        <f>IF($A20="AEO",'Growth Rates'!F72,'Growth Rates'!F72*F$5)</f>
        <v>1.278485593459618E-3</v>
      </c>
      <c r="G76">
        <f>IF($A20="AEO",'Growth Rates'!G72,'Growth Rates'!G72*G$5)</f>
        <v>-7.1926520481287977E-3</v>
      </c>
      <c r="H76">
        <f>IF($A20="AEO",'Growth Rates'!H72,'Growth Rates'!H72*H$5)</f>
        <v>-6.3772334766012823E-3</v>
      </c>
      <c r="I76">
        <f>IF($A20="AEO",'Growth Rates'!I72,'Growth Rates'!I72*I$5)</f>
        <v>-6.2658343162849952E-3</v>
      </c>
      <c r="J76">
        <f>IF($A20="AEO",'Growth Rates'!J72,'Growth Rates'!J72*J$5)</f>
        <v>-2.3939717110985303E-3</v>
      </c>
      <c r="K76">
        <f>IF($A20="AEO",'Growth Rates'!K72,'Growth Rates'!K72*K$5)</f>
        <v>-3.0197325726839135E-3</v>
      </c>
      <c r="L76">
        <f>IF($A20="AEO",'Growth Rates'!L72,'Growth Rates'!L72*L$5)</f>
        <v>-4.098789524848997E-3</v>
      </c>
      <c r="M76">
        <f>IF($A20="AEO",'Growth Rates'!M72,'Growth Rates'!M72*M$5)</f>
        <v>-3.4129947835764363E-3</v>
      </c>
      <c r="N76">
        <f>IF($A20="AEO",'Growth Rates'!N72,'Growth Rates'!N72*N$5)</f>
        <v>-3.441524691247057E-3</v>
      </c>
      <c r="O76">
        <f>IF($A20="AEO",'Growth Rates'!O72,'Growth Rates'!O72*O$5)</f>
        <v>-3.1894531324822219E-3</v>
      </c>
      <c r="P76">
        <f>IF($A20="AEO",'Growth Rates'!P72,'Growth Rates'!P72*P$5)</f>
        <v>-3.1325195911242193E-3</v>
      </c>
      <c r="Q76">
        <f>IF($A20="AEO",'Growth Rates'!Q72,'Growth Rates'!Q72*Q$5)</f>
        <v>2.6629654801326336E-4</v>
      </c>
      <c r="R76">
        <f>IF($A20="AEO",'Growth Rates'!R72,'Growth Rates'!R72*R$5)</f>
        <v>3.3503925536994628E-3</v>
      </c>
      <c r="S76">
        <f>IF($A20="AEO",'Growth Rates'!S72,'Growth Rates'!S72*S$5)</f>
        <v>5.4952678620504352E-3</v>
      </c>
      <c r="T76">
        <f>IF($A20="AEO",'Growth Rates'!T72,'Growth Rates'!T72*T$5)</f>
        <v>4.1677260381441997E-3</v>
      </c>
      <c r="U76">
        <f>IF($A20="AEO",'Growth Rates'!U72,'Growth Rates'!U72*U$5)</f>
        <v>5.4302573644451667E-3</v>
      </c>
      <c r="V76">
        <f>IF($A20="AEO",'Growth Rates'!V72,'Growth Rates'!V72*V$5)</f>
        <v>5.8086122465398774E-3</v>
      </c>
      <c r="W76">
        <f>IF($A20="AEO",'Growth Rates'!W72,'Growth Rates'!W72*W$5)</f>
        <v>6.0143914031781237E-3</v>
      </c>
      <c r="X76">
        <f>IF($A20="AEO",'Growth Rates'!X72,'Growth Rates'!X72*X$5)</f>
        <v>6.6741622098685756E-3</v>
      </c>
      <c r="Y76">
        <f>IF($A20="AEO",'Growth Rates'!Y72,'Growth Rates'!Y72*Y$5)</f>
        <v>5.8020804358370056E-3</v>
      </c>
      <c r="Z76">
        <f>IF($A20="AEO",'Growth Rates'!Z72,'Growth Rates'!Z72*Z$5)</f>
        <v>6.9906301916783384E-3</v>
      </c>
      <c r="AA76">
        <f>IF($A20="AEO",'Growth Rates'!AA72,'Growth Rates'!AA72*AA$5)</f>
        <v>6.8990934448158476E-3</v>
      </c>
      <c r="AB76">
        <f>IF($A20="AEO",'Growth Rates'!AB72,'Growth Rates'!AB72*AB$5)</f>
        <v>7.8737061824086206E-3</v>
      </c>
      <c r="AC76">
        <f>IF($A20="AEO",'Growth Rates'!AC72,'Growth Rates'!AC72*AC$5)</f>
        <v>6.1365801067141219E-3</v>
      </c>
    </row>
    <row r="77" spans="2:29" x14ac:dyDescent="0.25">
      <c r="B77" t="s">
        <v>228</v>
      </c>
      <c r="C77">
        <v>0</v>
      </c>
      <c r="D77">
        <f>IF($A21="AEO",'Growth Rates'!D73,'Growth Rates'!D73*D$5)</f>
        <v>9.2796417486756702E-4</v>
      </c>
      <c r="E77">
        <f>IF($A21="AEO",'Growth Rates'!E73,'Growth Rates'!E73*E$5)</f>
        <v>3.8698790057806816E-3</v>
      </c>
      <c r="F77">
        <f>IF($A21="AEO",'Growth Rates'!F73,'Growth Rates'!F73*F$5)</f>
        <v>-1.8900763962524704E-3</v>
      </c>
      <c r="G77">
        <f>IF($A21="AEO",'Growth Rates'!G73,'Growth Rates'!G73*G$5)</f>
        <v>-3.4576233884962256E-3</v>
      </c>
      <c r="H77">
        <f>IF($A21="AEO",'Growth Rates'!H73,'Growth Rates'!H73*H$5)</f>
        <v>-9.2395075582589505E-3</v>
      </c>
      <c r="I77">
        <f>IF($A21="AEO",'Growth Rates'!I73,'Growth Rates'!I73*I$5)</f>
        <v>-5.5176591261427172E-3</v>
      </c>
      <c r="J77">
        <f>IF($A21="AEO",'Growth Rates'!J73,'Growth Rates'!J73*J$5)</f>
        <v>-6.6166130145881713E-3</v>
      </c>
      <c r="K77">
        <f>IF($A21="AEO",'Growth Rates'!K73,'Growth Rates'!K73*K$5)</f>
        <v>-2.6039774078813042E-3</v>
      </c>
      <c r="L77">
        <f>IF($A21="AEO",'Growth Rates'!L73,'Growth Rates'!L73*L$5)</f>
        <v>-2.047554302618233E-3</v>
      </c>
      <c r="M77">
        <f>IF($A21="AEO",'Growth Rates'!M73,'Growth Rates'!M73*M$5)</f>
        <v>7.399211509591157E-4</v>
      </c>
      <c r="N77">
        <f>IF($A21="AEO",'Growth Rates'!N73,'Growth Rates'!N73*N$5)</f>
        <v>1.4693596677565349E-3</v>
      </c>
      <c r="O77">
        <f>IF($A21="AEO",'Growth Rates'!O73,'Growth Rates'!O73*O$5)</f>
        <v>-3.5672139471945225E-3</v>
      </c>
      <c r="P77">
        <f>IF($A21="AEO",'Growth Rates'!P73,'Growth Rates'!P73*P$5)</f>
        <v>-7.8846764577685975E-3</v>
      </c>
      <c r="Q77">
        <f>IF($A21="AEO",'Growth Rates'!Q73,'Growth Rates'!Q73*Q$5)</f>
        <v>-7.6665663555704677E-3</v>
      </c>
      <c r="R77">
        <f>IF($A21="AEO",'Growth Rates'!R73,'Growth Rates'!R73*R$5)</f>
        <v>-3.9897848989846911E-3</v>
      </c>
      <c r="S77">
        <f>IF($A21="AEO",'Growth Rates'!S73,'Growth Rates'!S73*S$5)</f>
        <v>-1.5007878017789199E-3</v>
      </c>
      <c r="T77">
        <f>IF($A21="AEO",'Growth Rates'!T73,'Growth Rates'!T73*T$5)</f>
        <v>1.4814202478820341E-3</v>
      </c>
      <c r="U77">
        <f>IF($A21="AEO",'Growth Rates'!U73,'Growth Rates'!U73*U$5)</f>
        <v>-1.7439522658663593E-3</v>
      </c>
      <c r="V77">
        <f>IF($A21="AEO",'Growth Rates'!V73,'Growth Rates'!V73*V$5)</f>
        <v>-5.2166332897896784E-3</v>
      </c>
      <c r="W77">
        <f>IF($A21="AEO",'Growth Rates'!W73,'Growth Rates'!W73*W$5)</f>
        <v>-5.7503196953714655E-3</v>
      </c>
      <c r="X77">
        <f>IF($A21="AEO",'Growth Rates'!X73,'Growth Rates'!X73*X$5)</f>
        <v>-5.1943860581410671E-3</v>
      </c>
      <c r="Y77">
        <f>IF($A21="AEO",'Growth Rates'!Y73,'Growth Rates'!Y73*Y$5)</f>
        <v>6.9266482707921518E-4</v>
      </c>
      <c r="Z77">
        <f>IF($A21="AEO",'Growth Rates'!Z73,'Growth Rates'!Z73*Z$5)</f>
        <v>1.7998124256706656E-3</v>
      </c>
      <c r="AA77">
        <f>IF($A21="AEO",'Growth Rates'!AA73,'Growth Rates'!AA73*AA$5)</f>
        <v>-3.6608763437707497E-3</v>
      </c>
      <c r="AB77">
        <f>IF($A21="AEO",'Growth Rates'!AB73,'Growth Rates'!AB73*AB$5)</f>
        <v>-2.2638412545510677E-3</v>
      </c>
      <c r="AC77">
        <f>IF($A21="AEO",'Growth Rates'!AC73,'Growth Rates'!AC73*AC$5)</f>
        <v>-4.4962071149564459E-4</v>
      </c>
    </row>
    <row r="78" spans="2:29" x14ac:dyDescent="0.25">
      <c r="B78" t="s">
        <v>233</v>
      </c>
      <c r="C78">
        <v>0</v>
      </c>
      <c r="D78">
        <f>IF($A22="AEO",'Growth Rates'!D74,'Growth Rates'!D74*D$5)</f>
        <v>7.1677561450444349E-2</v>
      </c>
      <c r="E78">
        <f>IF($A22="AEO",'Growth Rates'!E74,'Growth Rates'!E74*E$5)</f>
        <v>-1.3322752034657602E-2</v>
      </c>
      <c r="F78">
        <f>IF($A22="AEO",'Growth Rates'!F74,'Growth Rates'!F74*F$5)</f>
        <v>-1.1656389221256275E-2</v>
      </c>
      <c r="G78">
        <f>IF($A22="AEO",'Growth Rates'!G74,'Growth Rates'!G74*G$5)</f>
        <v>-3.9834844723168946E-3</v>
      </c>
      <c r="H78">
        <f>IF($A22="AEO",'Growth Rates'!H74,'Growth Rates'!H74*H$5)</f>
        <v>-8.4588021519986026E-3</v>
      </c>
      <c r="I78">
        <f>IF($A22="AEO",'Growth Rates'!I74,'Growth Rates'!I74*I$5)</f>
        <v>-3.5692082180841363E-4</v>
      </c>
      <c r="J78">
        <f>IF($A22="AEO",'Growth Rates'!J74,'Growth Rates'!J74*J$5)</f>
        <v>4.6102925636148148E-3</v>
      </c>
      <c r="K78">
        <f>IF($A22="AEO",'Growth Rates'!K74,'Growth Rates'!K74*K$5)</f>
        <v>5.8713176717311646E-3</v>
      </c>
      <c r="L78">
        <f>IF($A22="AEO",'Growth Rates'!L74,'Growth Rates'!L74*L$5)</f>
        <v>1.096075900833852E-2</v>
      </c>
      <c r="M78">
        <f>IF($A22="AEO",'Growth Rates'!M74,'Growth Rates'!M74*M$5)</f>
        <v>1.0947535287415971E-2</v>
      </c>
      <c r="N78">
        <f>IF($A22="AEO",'Growth Rates'!N74,'Growth Rates'!N74*N$5)</f>
        <v>1.1647639652423818E-2</v>
      </c>
      <c r="O78">
        <f>IF($A22="AEO",'Growth Rates'!O74,'Growth Rates'!O74*O$5)</f>
        <v>1.1971146388333052E-2</v>
      </c>
      <c r="P78">
        <f>IF($A22="AEO",'Growth Rates'!P74,'Growth Rates'!P74*P$5)</f>
        <v>1.3049614317436706E-2</v>
      </c>
      <c r="Q78">
        <f>IF($A22="AEO",'Growth Rates'!Q74,'Growth Rates'!Q74*Q$5)</f>
        <v>1.3004727066106054E-2</v>
      </c>
      <c r="R78">
        <f>IF($A22="AEO",'Growth Rates'!R74,'Growth Rates'!R74*R$5)</f>
        <v>1.50061184439188E-2</v>
      </c>
      <c r="S78">
        <f>IF($A22="AEO",'Growth Rates'!S74,'Growth Rates'!S74*S$5)</f>
        <v>1.5748427723141875E-2</v>
      </c>
      <c r="T78">
        <f>IF($A22="AEO",'Growth Rates'!T74,'Growth Rates'!T74*T$5)</f>
        <v>1.7359441201003255E-2</v>
      </c>
      <c r="U78">
        <f>IF($A22="AEO",'Growth Rates'!U74,'Growth Rates'!U74*U$5)</f>
        <v>1.9693202215778183E-2</v>
      </c>
      <c r="V78">
        <f>IF($A22="AEO",'Growth Rates'!V74,'Growth Rates'!V74*V$5)</f>
        <v>1.8617996755474743E-2</v>
      </c>
      <c r="W78">
        <f>IF($A22="AEO",'Growth Rates'!W74,'Growth Rates'!W74*W$5)</f>
        <v>1.8944643380388912E-2</v>
      </c>
      <c r="X78">
        <f>IF($A22="AEO",'Growth Rates'!X74,'Growth Rates'!X74*X$5)</f>
        <v>2.0332594185957849E-2</v>
      </c>
      <c r="Y78">
        <f>IF($A22="AEO",'Growth Rates'!Y74,'Growth Rates'!Y74*Y$5)</f>
        <v>2.159212028848706E-2</v>
      </c>
      <c r="Z78">
        <f>IF($A22="AEO",'Growth Rates'!Z74,'Growth Rates'!Z74*Z$5)</f>
        <v>2.2091861117516778E-2</v>
      </c>
      <c r="AA78">
        <f>IF($A22="AEO",'Growth Rates'!AA74,'Growth Rates'!AA74*AA$5)</f>
        <v>1.9605559354869986E-2</v>
      </c>
      <c r="AB78">
        <f>IF($A22="AEO",'Growth Rates'!AB74,'Growth Rates'!AB74*AB$5)</f>
        <v>1.8448737017635143E-2</v>
      </c>
      <c r="AC78">
        <f>IF($A22="AEO",'Growth Rates'!AC74,'Growth Rates'!AC74*AC$5)</f>
        <v>2.0216894756495168E-2</v>
      </c>
    </row>
    <row r="79" spans="2:29" x14ac:dyDescent="0.25">
      <c r="B79" t="s">
        <v>238</v>
      </c>
      <c r="C79">
        <v>0</v>
      </c>
      <c r="D79">
        <f>IF($A23="AEO",'Growth Rates'!D75,'Growth Rates'!D75*D$5)</f>
        <v>2.1978714832139867E-2</v>
      </c>
      <c r="E79">
        <f>IF($A23="AEO",'Growth Rates'!E75,'Growth Rates'!E75*E$5)</f>
        <v>3.5491019616678381E-2</v>
      </c>
      <c r="F79">
        <f>IF($A23="AEO",'Growth Rates'!F75,'Growth Rates'!F75*F$5)</f>
        <v>2.3120646630195363E-2</v>
      </c>
      <c r="G79">
        <f>IF($A23="AEO",'Growth Rates'!G75,'Growth Rates'!G75*G$5)</f>
        <v>1.567487497882563E-2</v>
      </c>
      <c r="H79">
        <f>IF($A23="AEO",'Growth Rates'!H75,'Growth Rates'!H75*H$5)</f>
        <v>1.8611664160570619E-2</v>
      </c>
      <c r="I79">
        <f>IF($A23="AEO",'Growth Rates'!I75,'Growth Rates'!I75*I$5)</f>
        <v>2.096325137530157E-2</v>
      </c>
      <c r="J79">
        <f>IF($A23="AEO",'Growth Rates'!J75,'Growth Rates'!J75*J$5)</f>
        <v>2.0232714066548616E-2</v>
      </c>
      <c r="K79">
        <f>IF($A23="AEO",'Growth Rates'!K75,'Growth Rates'!K75*K$5)</f>
        <v>2.2633157233735931E-2</v>
      </c>
      <c r="L79">
        <f>IF($A23="AEO",'Growth Rates'!L75,'Growth Rates'!L75*L$5)</f>
        <v>2.4082760589192617E-2</v>
      </c>
      <c r="M79">
        <f>IF($A23="AEO",'Growth Rates'!M75,'Growth Rates'!M75*M$5)</f>
        <v>2.5144790581055412E-2</v>
      </c>
      <c r="N79">
        <f>IF($A23="AEO",'Growth Rates'!N75,'Growth Rates'!N75*N$5)</f>
        <v>2.6088976874000226E-2</v>
      </c>
      <c r="O79">
        <f>IF($A23="AEO",'Growth Rates'!O75,'Growth Rates'!O75*O$5)</f>
        <v>2.1233483099539482E-2</v>
      </c>
      <c r="P79">
        <f>IF($A23="AEO",'Growth Rates'!P75,'Growth Rates'!P75*P$5)</f>
        <v>2.069185315111893E-2</v>
      </c>
      <c r="Q79">
        <f>IF($A23="AEO",'Growth Rates'!Q75,'Growth Rates'!Q75*Q$5)</f>
        <v>2.0405753284259039E-2</v>
      </c>
      <c r="R79">
        <f>IF($A23="AEO",'Growth Rates'!R75,'Growth Rates'!R75*R$5)</f>
        <v>1.9666939624149227E-2</v>
      </c>
      <c r="S79">
        <f>IF($A23="AEO",'Growth Rates'!S75,'Growth Rates'!S75*S$5)</f>
        <v>1.9407812254197743E-2</v>
      </c>
      <c r="T79">
        <f>IF($A23="AEO",'Growth Rates'!T75,'Growth Rates'!T75*T$5)</f>
        <v>1.8509570314866206E-2</v>
      </c>
      <c r="U79">
        <f>IF($A23="AEO",'Growth Rates'!U75,'Growth Rates'!U75*U$5)</f>
        <v>1.8680850867049955E-2</v>
      </c>
      <c r="V79">
        <f>IF($A23="AEO",'Growth Rates'!V75,'Growth Rates'!V75*V$5)</f>
        <v>1.9096105722448849E-2</v>
      </c>
      <c r="W79">
        <f>IF($A23="AEO",'Growth Rates'!W75,'Growth Rates'!W75*W$5)</f>
        <v>1.8838984520464622E-2</v>
      </c>
      <c r="X79">
        <f>IF($A23="AEO",'Growth Rates'!X75,'Growth Rates'!X75*X$5)</f>
        <v>1.824718172787353E-2</v>
      </c>
      <c r="Y79">
        <f>IF($A23="AEO",'Growth Rates'!Y75,'Growth Rates'!Y75*Y$5)</f>
        <v>1.735673737580784E-2</v>
      </c>
      <c r="Z79">
        <f>IF($A23="AEO",'Growth Rates'!Z75,'Growth Rates'!Z75*Z$5)</f>
        <v>1.6339524084319497E-2</v>
      </c>
      <c r="AA79">
        <f>IF($A23="AEO",'Growth Rates'!AA75,'Growth Rates'!AA75*AA$5)</f>
        <v>1.6163066807253181E-2</v>
      </c>
      <c r="AB79">
        <f>IF($A23="AEO",'Growth Rates'!AB75,'Growth Rates'!AB75*AB$5)</f>
        <v>1.5366244272032053E-2</v>
      </c>
      <c r="AC79">
        <f>IF($A23="AEO",'Growth Rates'!AC75,'Growth Rates'!AC75*AC$5)</f>
        <v>1.5707248645333408E-2</v>
      </c>
    </row>
    <row r="80" spans="2:29" x14ac:dyDescent="0.25">
      <c r="B80" t="s">
        <v>241</v>
      </c>
      <c r="C80">
        <v>0</v>
      </c>
      <c r="D80">
        <f>IF($A24="AEO",'Growth Rates'!D76,'Growth Rates'!D76*D$5)</f>
        <v>1.7724214122440893E-2</v>
      </c>
      <c r="E80">
        <f>IF($A24="AEO",'Growth Rates'!E76,'Growth Rates'!E76*E$5)</f>
        <v>-5.8729664651617488E-3</v>
      </c>
      <c r="F80">
        <f>IF($A24="AEO",'Growth Rates'!F76,'Growth Rates'!F76*F$5)</f>
        <v>2.2595816437962872E-2</v>
      </c>
      <c r="G80">
        <f>IF($A24="AEO",'Growth Rates'!G76,'Growth Rates'!G76*G$5)</f>
        <v>1.2078391913637288E-2</v>
      </c>
      <c r="H80">
        <f>IF($A24="AEO",'Growth Rates'!H76,'Growth Rates'!H76*H$5)</f>
        <v>4.3401578051765564E-3</v>
      </c>
      <c r="I80">
        <f>IF($A24="AEO",'Growth Rates'!I76,'Growth Rates'!I76*I$5)</f>
        <v>1.0538330439854564E-2</v>
      </c>
      <c r="J80">
        <f>IF($A24="AEO",'Growth Rates'!J76,'Growth Rates'!J76*J$5)</f>
        <v>1.1919624433299109E-2</v>
      </c>
      <c r="K80">
        <f>IF($A24="AEO",'Growth Rates'!K76,'Growth Rates'!K76*K$5)</f>
        <v>7.2282865610519224E-3</v>
      </c>
      <c r="L80">
        <f>IF($A24="AEO",'Growth Rates'!L76,'Growth Rates'!L76*L$5)</f>
        <v>6.6818769513966106E-3</v>
      </c>
      <c r="M80">
        <f>IF($A24="AEO",'Growth Rates'!M76,'Growth Rates'!M76*M$5)</f>
        <v>4.4451834259098492E-3</v>
      </c>
      <c r="N80">
        <f>IF($A24="AEO",'Growth Rates'!N76,'Growth Rates'!N76*N$5)</f>
        <v>7.801068903021984E-3</v>
      </c>
      <c r="O80">
        <f>IF($A24="AEO",'Growth Rates'!O76,'Growth Rates'!O76*O$5)</f>
        <v>1.156324137291186E-2</v>
      </c>
      <c r="P80">
        <f>IF($A24="AEO",'Growth Rates'!P76,'Growth Rates'!P76*P$5)</f>
        <v>1.3563166417312762E-2</v>
      </c>
      <c r="Q80">
        <f>IF($A24="AEO",'Growth Rates'!Q76,'Growth Rates'!Q76*Q$5)</f>
        <v>1.1960972313155602E-2</v>
      </c>
      <c r="R80">
        <f>IF($A24="AEO",'Growth Rates'!R76,'Growth Rates'!R76*R$5)</f>
        <v>9.8546563948202822E-3</v>
      </c>
      <c r="S80">
        <f>IF($A24="AEO",'Growth Rates'!S76,'Growth Rates'!S76*S$5)</f>
        <v>1.174260116409828E-2</v>
      </c>
      <c r="T80">
        <f>IF($A24="AEO",'Growth Rates'!T76,'Growth Rates'!T76*T$5)</f>
        <v>1.1727669794060551E-2</v>
      </c>
      <c r="U80">
        <f>IF($A24="AEO",'Growth Rates'!U76,'Growth Rates'!U76*U$5)</f>
        <v>1.2452812401855015E-2</v>
      </c>
      <c r="V80">
        <f>IF($A24="AEO",'Growth Rates'!V76,'Growth Rates'!V76*V$5)</f>
        <v>1.1472657296259773E-2</v>
      </c>
      <c r="W80">
        <f>IF($A24="AEO",'Growth Rates'!W76,'Growth Rates'!W76*W$5)</f>
        <v>1.1588169071967315E-2</v>
      </c>
      <c r="X80">
        <f>IF($A24="AEO",'Growth Rates'!X76,'Growth Rates'!X76*X$5)</f>
        <v>1.2545356154554065E-2</v>
      </c>
      <c r="Y80">
        <f>IF($A24="AEO",'Growth Rates'!Y76,'Growth Rates'!Y76*Y$5)</f>
        <v>1.0739513161443172E-2</v>
      </c>
      <c r="Z80">
        <f>IF($A24="AEO",'Growth Rates'!Z76,'Growth Rates'!Z76*Z$5)</f>
        <v>9.7885266276422963E-3</v>
      </c>
      <c r="AA80">
        <f>IF($A24="AEO",'Growth Rates'!AA76,'Growth Rates'!AA76*AA$5)</f>
        <v>7.7790196882548965E-3</v>
      </c>
      <c r="AB80">
        <f>IF($A24="AEO",'Growth Rates'!AB76,'Growth Rates'!AB76*AB$5)</f>
        <v>1.0818719628259659E-2</v>
      </c>
      <c r="AC80">
        <f>IF($A24="AEO",'Growth Rates'!AC76,'Growth Rates'!AC76*AC$5)</f>
        <v>1.0677986911461358E-2</v>
      </c>
    </row>
    <row r="81" spans="2:29" x14ac:dyDescent="0.25">
      <c r="B81" t="s">
        <v>1214</v>
      </c>
      <c r="C81">
        <v>0</v>
      </c>
      <c r="D81">
        <f>IF($A25="AEO",'Growth Rates'!D77,'Growth Rates'!D77*D$5)</f>
        <v>-6.2233199213274646E-3</v>
      </c>
      <c r="E81">
        <f>IF($A25="AEO",'Growth Rates'!E77,'Growth Rates'!E77*E$5)</f>
        <v>6.0720253666557411E-4</v>
      </c>
      <c r="F81">
        <f>IF($A25="AEO",'Growth Rates'!F77,'Growth Rates'!F77*F$5)</f>
        <v>2.462216093873312E-3</v>
      </c>
      <c r="G81">
        <f>IF($A25="AEO",'Growth Rates'!G77,'Growth Rates'!G77*G$5)</f>
        <v>-1.1643884753133231E-3</v>
      </c>
      <c r="H81">
        <f>IF($A25="AEO",'Growth Rates'!H77,'Growth Rates'!H77*H$5)</f>
        <v>-1.5622717482911286E-3</v>
      </c>
      <c r="I81">
        <f>IF($A25="AEO",'Growth Rates'!I77,'Growth Rates'!I77*I$5)</f>
        <v>4.2884677077444577E-4</v>
      </c>
      <c r="J81">
        <f>IF($A25="AEO",'Growth Rates'!J77,'Growth Rates'!J77*J$5)</f>
        <v>1.7034488687376508E-3</v>
      </c>
      <c r="K81">
        <f>IF($A25="AEO",'Growth Rates'!K77,'Growth Rates'!K77*K$5)</f>
        <v>4.0618398053844373E-3</v>
      </c>
      <c r="L81">
        <f>IF($A25="AEO",'Growth Rates'!L77,'Growth Rates'!L77*L$5)</f>
        <v>6.6316131750683007E-3</v>
      </c>
      <c r="M81">
        <f>IF($A25="AEO",'Growth Rates'!M77,'Growth Rates'!M77*M$5)</f>
        <v>8.3090056745117793E-3</v>
      </c>
      <c r="N81">
        <f>IF($A25="AEO",'Growth Rates'!N77,'Growth Rates'!N77*N$5)</f>
        <v>1.0367982306368139E-2</v>
      </c>
      <c r="O81">
        <f>IF($A25="AEO",'Growth Rates'!O77,'Growth Rates'!O77*O$5)</f>
        <v>1.022946050450438E-2</v>
      </c>
      <c r="P81">
        <f>IF($A25="AEO",'Growth Rates'!P77,'Growth Rates'!P77*P$5)</f>
        <v>9.6879481922688502E-3</v>
      </c>
      <c r="Q81">
        <f>IF($A25="AEO",'Growth Rates'!Q77,'Growth Rates'!Q77*Q$5)</f>
        <v>1.0119030407614882E-2</v>
      </c>
      <c r="R81">
        <f>IF($A25="AEO",'Growth Rates'!R77,'Growth Rates'!R77*R$5)</f>
        <v>9.9271535032241578E-3</v>
      </c>
      <c r="S81">
        <f>IF($A25="AEO",'Growth Rates'!S77,'Growth Rates'!S77*S$5)</f>
        <v>1.0068817804085108E-2</v>
      </c>
      <c r="T81">
        <f>IF($A25="AEO",'Growth Rates'!T77,'Growth Rates'!T77*T$5)</f>
        <v>1.0497726662871541E-2</v>
      </c>
      <c r="U81">
        <f>IF($A25="AEO",'Growth Rates'!U77,'Growth Rates'!U77*U$5)</f>
        <v>1.0773685175757294E-2</v>
      </c>
      <c r="V81">
        <f>IF($A25="AEO",'Growth Rates'!V77,'Growth Rates'!V77*V$5)</f>
        <v>1.1043783809229451E-2</v>
      </c>
      <c r="W81">
        <f>IF($A25="AEO",'Growth Rates'!W77,'Growth Rates'!W77*W$5)</f>
        <v>1.0784684936775644E-2</v>
      </c>
      <c r="X81">
        <f>IF($A25="AEO",'Growth Rates'!X77,'Growth Rates'!X77*X$5)</f>
        <v>1.1019399231148896E-2</v>
      </c>
      <c r="Y81">
        <f>IF($A25="AEO",'Growth Rates'!Y77,'Growth Rates'!Y77*Y$5)</f>
        <v>1.1072157805751538E-2</v>
      </c>
      <c r="Z81">
        <f>IF($A25="AEO",'Growth Rates'!Z77,'Growth Rates'!Z77*Z$5)</f>
        <v>1.0968535414627783E-2</v>
      </c>
      <c r="AA81">
        <f>IF($A25="AEO",'Growth Rates'!AA77,'Growth Rates'!AA77*AA$5)</f>
        <v>1.0972790190006026E-2</v>
      </c>
      <c r="AB81">
        <f>IF($A25="AEO",'Growth Rates'!AB77,'Growth Rates'!AB77*AB$5)</f>
        <v>1.0452646000722115E-2</v>
      </c>
      <c r="AC81">
        <f>IF($A25="AEO",'Growth Rates'!AC77,'Growth Rates'!AC77*AC$5)</f>
        <v>1.03805003689426E-2</v>
      </c>
    </row>
    <row r="82" spans="2:29" x14ac:dyDescent="0.25">
      <c r="B82" t="s">
        <v>248</v>
      </c>
      <c r="C82">
        <v>0</v>
      </c>
      <c r="D82">
        <f>IF($A26="AEO",'Growth Rates'!D78,'Growth Rates'!D78*D$5)</f>
        <v>3.3677125558882557E-3</v>
      </c>
      <c r="E82">
        <f>IF($A26="AEO",'Growth Rates'!E78,'Growth Rates'!E78*E$5)</f>
        <v>-1.6100321389836129E-2</v>
      </c>
      <c r="F82">
        <f>IF($A26="AEO",'Growth Rates'!F78,'Growth Rates'!F78*F$5)</f>
        <v>-1.7324661384306477E-2</v>
      </c>
      <c r="G82">
        <f>IF($A26="AEO",'Growth Rates'!G78,'Growth Rates'!G78*G$5)</f>
        <v>-3.0661376246751849E-3</v>
      </c>
      <c r="H82">
        <f>IF($A26="AEO",'Growth Rates'!H78,'Growth Rates'!H78*H$5)</f>
        <v>-2.8177861535687836E-3</v>
      </c>
      <c r="I82">
        <f>IF($A26="AEO",'Growth Rates'!I78,'Growth Rates'!I78*I$5)</f>
        <v>2.9511020407673163E-3</v>
      </c>
      <c r="J82">
        <f>IF($A26="AEO",'Growth Rates'!J78,'Growth Rates'!J78*J$5)</f>
        <v>7.4787593155879887E-3</v>
      </c>
      <c r="K82">
        <f>IF($A26="AEO",'Growth Rates'!K78,'Growth Rates'!K78*K$5)</f>
        <v>6.8072293280255691E-3</v>
      </c>
      <c r="L82">
        <f>IF($A26="AEO",'Growth Rates'!L78,'Growth Rates'!L78*L$5)</f>
        <v>9.3879042406030001E-3</v>
      </c>
      <c r="M82">
        <f>IF($A26="AEO",'Growth Rates'!M78,'Growth Rates'!M78*M$5)</f>
        <v>9.8625353808258764E-3</v>
      </c>
      <c r="N82">
        <f>IF($A26="AEO",'Growth Rates'!N78,'Growth Rates'!N78*N$5)</f>
        <v>9.5639538061506116E-3</v>
      </c>
      <c r="O82">
        <f>IF($A26="AEO",'Growth Rates'!O78,'Growth Rates'!O78*O$5)</f>
        <v>9.9268087496195406E-3</v>
      </c>
      <c r="P82">
        <f>IF($A26="AEO",'Growth Rates'!P78,'Growth Rates'!P78*P$5)</f>
        <v>8.8885770497311549E-3</v>
      </c>
      <c r="Q82">
        <f>IF($A26="AEO",'Growth Rates'!Q78,'Growth Rates'!Q78*Q$5)</f>
        <v>9.3959774844289499E-3</v>
      </c>
      <c r="R82">
        <f>IF($A26="AEO",'Growth Rates'!R78,'Growth Rates'!R78*R$5)</f>
        <v>8.9707251884070752E-3</v>
      </c>
      <c r="S82">
        <f>IF($A26="AEO",'Growth Rates'!S78,'Growth Rates'!S78*S$5)</f>
        <v>4.9701530218554868E-3</v>
      </c>
      <c r="T82">
        <f>IF($A26="AEO",'Growth Rates'!T78,'Growth Rates'!T78*T$5)</f>
        <v>1.6208327591064715E-3</v>
      </c>
      <c r="U82">
        <f>IF($A26="AEO",'Growth Rates'!U78,'Growth Rates'!U78*U$5)</f>
        <v>-3.5840713790091122E-4</v>
      </c>
      <c r="V82">
        <f>IF($A26="AEO",'Growth Rates'!V78,'Growth Rates'!V78*V$5)</f>
        <v>-4.5139001149143727E-3</v>
      </c>
      <c r="W82">
        <f>IF($A26="AEO",'Growth Rates'!W78,'Growth Rates'!W78*W$5)</f>
        <v>-6.31192957131947E-3</v>
      </c>
      <c r="X82">
        <f>IF($A26="AEO",'Growth Rates'!X78,'Growth Rates'!X78*X$5)</f>
        <v>1.3658997888406691E-3</v>
      </c>
      <c r="Y82">
        <f>IF($A26="AEO",'Growth Rates'!Y78,'Growth Rates'!Y78*Y$5)</f>
        <v>6.2790367013127674E-3</v>
      </c>
      <c r="Z82">
        <f>IF($A26="AEO",'Growth Rates'!Z78,'Growth Rates'!Z78*Z$5)</f>
        <v>6.4781329571070587E-3</v>
      </c>
      <c r="AA82">
        <f>IF($A26="AEO",'Growth Rates'!AA78,'Growth Rates'!AA78*AA$5)</f>
        <v>6.6010760132313301E-3</v>
      </c>
      <c r="AB82">
        <f>IF($A26="AEO",'Growth Rates'!AB78,'Growth Rates'!AB78*AB$5)</f>
        <v>6.3618268496300704E-3</v>
      </c>
      <c r="AC82">
        <f>IF($A26="AEO",'Growth Rates'!AC78,'Growth Rates'!AC78*AC$5)</f>
        <v>7.3540183049794847E-3</v>
      </c>
    </row>
    <row r="83" spans="2:29" x14ac:dyDescent="0.25">
      <c r="B83" t="s">
        <v>253</v>
      </c>
      <c r="C83">
        <v>0</v>
      </c>
      <c r="D83">
        <f>IF($A27="AEO",'Growth Rates'!D79,'Growth Rates'!D79*D$5)</f>
        <v>-1.4318822532873773E-2</v>
      </c>
      <c r="E83">
        <f>IF($A27="AEO",'Growth Rates'!E79,'Growth Rates'!E79*E$5)</f>
        <v>2.0563609513499132E-2</v>
      </c>
      <c r="F83">
        <f>IF($A27="AEO",'Growth Rates'!F79,'Growth Rates'!F79*F$5)</f>
        <v>3.1026543084000401E-2</v>
      </c>
      <c r="G83">
        <f>IF($A27="AEO",'Growth Rates'!G79,'Growth Rates'!G79*G$5)</f>
        <v>-1.4872726456593712E-3</v>
      </c>
      <c r="H83">
        <f>IF($A27="AEO",'Growth Rates'!H79,'Growth Rates'!H79*H$5)</f>
        <v>7.6125995799030434E-3</v>
      </c>
      <c r="I83">
        <f>IF($A27="AEO",'Growth Rates'!I79,'Growth Rates'!I79*I$5)</f>
        <v>1.8836635658027599E-2</v>
      </c>
      <c r="J83">
        <f>IF($A27="AEO",'Growth Rates'!J79,'Growth Rates'!J79*J$5)</f>
        <v>1.4672424996196651E-2</v>
      </c>
      <c r="K83">
        <f>IF($A27="AEO",'Growth Rates'!K79,'Growth Rates'!K79*K$5)</f>
        <v>1.8340012043860557E-2</v>
      </c>
      <c r="L83">
        <f>IF($A27="AEO",'Growth Rates'!L79,'Growth Rates'!L79*L$5)</f>
        <v>1.535324769203778E-2</v>
      </c>
      <c r="M83">
        <f>IF($A27="AEO",'Growth Rates'!M79,'Growth Rates'!M79*M$5)</f>
        <v>7.0187670888773711E-3</v>
      </c>
      <c r="N83">
        <f>IF($A27="AEO",'Growth Rates'!N79,'Growth Rates'!N79*N$5)</f>
        <v>1.1483801200096662E-2</v>
      </c>
      <c r="O83">
        <f>IF($A27="AEO",'Growth Rates'!O79,'Growth Rates'!O79*O$5)</f>
        <v>5.7291914443533647E-3</v>
      </c>
      <c r="P83">
        <f>IF($A27="AEO",'Growth Rates'!P79,'Growth Rates'!P79*P$5)</f>
        <v>7.9507598625235005E-3</v>
      </c>
      <c r="Q83">
        <f>IF($A27="AEO",'Growth Rates'!Q79,'Growth Rates'!Q79*Q$5)</f>
        <v>5.3761127265107766E-3</v>
      </c>
      <c r="R83">
        <f>IF($A27="AEO",'Growth Rates'!R79,'Growth Rates'!R79*R$5)</f>
        <v>4.0827830185148333E-3</v>
      </c>
      <c r="S83">
        <f>IF($A27="AEO",'Growth Rates'!S79,'Growth Rates'!S79*S$5)</f>
        <v>9.2964978183850498E-3</v>
      </c>
      <c r="T83">
        <f>IF($A27="AEO",'Growth Rates'!T79,'Growth Rates'!T79*T$5)</f>
        <v>1.0454172303255269E-2</v>
      </c>
      <c r="U83">
        <f>IF($A27="AEO",'Growth Rates'!U79,'Growth Rates'!U79*U$5)</f>
        <v>9.6713155442675908E-3</v>
      </c>
      <c r="V83">
        <f>IF($A27="AEO",'Growth Rates'!V79,'Growth Rates'!V79*V$5)</f>
        <v>7.4659860444099939E-3</v>
      </c>
      <c r="W83">
        <f>IF($A27="AEO",'Growth Rates'!W79,'Growth Rates'!W79*W$5)</f>
        <v>7.0963412928564378E-3</v>
      </c>
      <c r="X83">
        <f>IF($A27="AEO",'Growth Rates'!X79,'Growth Rates'!X79*X$5)</f>
        <v>1.1883353893068311E-2</v>
      </c>
      <c r="Y83">
        <f>IF($A27="AEO",'Growth Rates'!Y79,'Growth Rates'!Y79*Y$5)</f>
        <v>8.4753603571672761E-3</v>
      </c>
      <c r="Z83">
        <f>IF($A27="AEO",'Growth Rates'!Z79,'Growth Rates'!Z79*Z$5)</f>
        <v>1.1187094527957811E-2</v>
      </c>
      <c r="AA83">
        <f>IF($A27="AEO",'Growth Rates'!AA79,'Growth Rates'!AA79*AA$5)</f>
        <v>8.7894909652514851E-3</v>
      </c>
      <c r="AB83">
        <f>IF($A27="AEO",'Growth Rates'!AB79,'Growth Rates'!AB79*AB$5)</f>
        <v>4.0537222005076904E-3</v>
      </c>
      <c r="AC83">
        <f>IF($A27="AEO",'Growth Rates'!AC79,'Growth Rates'!AC79*AC$5)</f>
        <v>7.7592449126460423E-3</v>
      </c>
    </row>
    <row r="84" spans="2:29" x14ac:dyDescent="0.25">
      <c r="B84" t="s">
        <v>258</v>
      </c>
      <c r="C84">
        <v>0</v>
      </c>
      <c r="D84">
        <f>IF($A28="AEO",'Growth Rates'!D80,'Growth Rates'!D80*D$5)</f>
        <v>2.7423101302979209E-4</v>
      </c>
      <c r="E84">
        <f>IF($A28="AEO",'Growth Rates'!E80,'Growth Rates'!E80*E$5)</f>
        <v>-4.7853998917997116E-4</v>
      </c>
      <c r="F84">
        <f>IF($A28="AEO",'Growth Rates'!F80,'Growth Rates'!F80*F$5)</f>
        <v>6.4732140458175378E-3</v>
      </c>
      <c r="G84">
        <f>IF($A28="AEO",'Growth Rates'!G80,'Growth Rates'!G80*G$5)</f>
        <v>5.4052435047520532E-3</v>
      </c>
      <c r="H84">
        <f>IF($A28="AEO",'Growth Rates'!H80,'Growth Rates'!H80*H$5)</f>
        <v>3.7668562580090558E-3</v>
      </c>
      <c r="I84">
        <f>IF($A28="AEO",'Growth Rates'!I80,'Growth Rates'!I80*I$5)</f>
        <v>4.71760218819651E-3</v>
      </c>
      <c r="J84">
        <f>IF($A28="AEO",'Growth Rates'!J80,'Growth Rates'!J80*J$5)</f>
        <v>5.0813282536308901E-3</v>
      </c>
      <c r="K84">
        <f>IF($A28="AEO",'Growth Rates'!K80,'Growth Rates'!K80*K$5)</f>
        <v>6.2623422653454597E-3</v>
      </c>
      <c r="L84">
        <f>IF($A28="AEO",'Growth Rates'!L80,'Growth Rates'!L80*L$5)</f>
        <v>7.6622890664389811E-3</v>
      </c>
      <c r="M84">
        <f>IF($A28="AEO",'Growth Rates'!M80,'Growth Rates'!M80*M$5)</f>
        <v>8.7262193702413362E-3</v>
      </c>
      <c r="N84">
        <f>IF($A28="AEO",'Growth Rates'!N80,'Growth Rates'!N80*N$5)</f>
        <v>1.007830508702855E-2</v>
      </c>
      <c r="O84">
        <f>IF($A28="AEO",'Growth Rates'!O80,'Growth Rates'!O80*O$5)</f>
        <v>1.0496363271853919E-2</v>
      </c>
      <c r="P84">
        <f>IF($A28="AEO",'Growth Rates'!P80,'Growth Rates'!P80*P$5)</f>
        <v>1.0333604705824288E-2</v>
      </c>
      <c r="Q84">
        <f>IF($A28="AEO",'Growth Rates'!Q80,'Growth Rates'!Q80*Q$5)</f>
        <v>1.0283047527828019E-2</v>
      </c>
      <c r="R84">
        <f>IF($A28="AEO",'Growth Rates'!R80,'Growth Rates'!R80*R$5)</f>
        <v>1.0105062793125693E-2</v>
      </c>
      <c r="S84">
        <f>IF($A28="AEO",'Growth Rates'!S80,'Growth Rates'!S80*S$5)</f>
        <v>1.0084138683607019E-2</v>
      </c>
      <c r="T84">
        <f>IF($A28="AEO",'Growth Rates'!T80,'Growth Rates'!T80*T$5)</f>
        <v>1.0167585683094033E-2</v>
      </c>
      <c r="U84">
        <f>IF($A28="AEO",'Growth Rates'!U80,'Growth Rates'!U80*U$5)</f>
        <v>1.0138120945988576E-2</v>
      </c>
      <c r="V84">
        <f>IF($A28="AEO",'Growth Rates'!V80,'Growth Rates'!V80*V$5)</f>
        <v>1.0029968774932861E-2</v>
      </c>
      <c r="W84">
        <f>IF($A28="AEO",'Growth Rates'!W80,'Growth Rates'!W80*W$5)</f>
        <v>9.7784698021622408E-3</v>
      </c>
      <c r="X84">
        <f>IF($A28="AEO",'Growth Rates'!X80,'Growth Rates'!X80*X$5)</f>
        <v>9.5127956937354936E-3</v>
      </c>
      <c r="Y84">
        <f>IF($A28="AEO",'Growth Rates'!Y80,'Growth Rates'!Y80*Y$5)</f>
        <v>9.1730845548896687E-3</v>
      </c>
      <c r="Z84">
        <f>IF($A28="AEO",'Growth Rates'!Z80,'Growth Rates'!Z80*Z$5)</f>
        <v>8.6965091156279688E-3</v>
      </c>
      <c r="AA84">
        <f>IF($A28="AEO",'Growth Rates'!AA80,'Growth Rates'!AA80*AA$5)</f>
        <v>8.1121648865610206E-3</v>
      </c>
      <c r="AB84">
        <f>IF($A28="AEO",'Growth Rates'!AB80,'Growth Rates'!AB80*AB$5)</f>
        <v>7.48897548075166E-3</v>
      </c>
      <c r="AC84">
        <f>IF($A28="AEO",'Growth Rates'!AC80,'Growth Rates'!AC80*AC$5)</f>
        <v>7.0854466429014972E-3</v>
      </c>
    </row>
    <row r="85" spans="2:29" x14ac:dyDescent="0.25">
      <c r="B85" t="s">
        <v>265</v>
      </c>
      <c r="C85">
        <v>0</v>
      </c>
      <c r="D85">
        <f>IF($A29="AEO",'Growth Rates'!D81,'Growth Rates'!D81*D$5)</f>
        <v>2.583505185322945E-2</v>
      </c>
      <c r="E85">
        <f>IF($A29="AEO",'Growth Rates'!E81,'Growth Rates'!E81*E$5)</f>
        <v>2.1302773500079922E-2</v>
      </c>
      <c r="F85">
        <f>IF($A29="AEO",'Growth Rates'!F81,'Growth Rates'!F81*F$5)</f>
        <v>1.7395990296488601E-2</v>
      </c>
      <c r="G85">
        <f>IF($A29="AEO",'Growth Rates'!G81,'Growth Rates'!G81*G$5)</f>
        <v>-8.7007286699702351E-3</v>
      </c>
      <c r="H85">
        <f>IF($A29="AEO",'Growth Rates'!H81,'Growth Rates'!H81*H$5)</f>
        <v>-3.7304698077702675E-3</v>
      </c>
      <c r="I85">
        <f>IF($A29="AEO",'Growth Rates'!I81,'Growth Rates'!I81*I$5)</f>
        <v>-2.0828084827644779E-4</v>
      </c>
      <c r="J85">
        <f>IF($A29="AEO",'Growth Rates'!J81,'Growth Rates'!J81*J$5)</f>
        <v>1.2447620621955792E-3</v>
      </c>
      <c r="K85">
        <f>IF($A29="AEO",'Growth Rates'!K81,'Growth Rates'!K81*K$5)</f>
        <v>9.5114980984205844E-3</v>
      </c>
      <c r="L85">
        <f>IF($A29="AEO",'Growth Rates'!L81,'Growth Rates'!L81*L$5)</f>
        <v>7.2478771041927471E-3</v>
      </c>
      <c r="M85">
        <f>IF($A29="AEO",'Growth Rates'!M81,'Growth Rates'!M81*M$5)</f>
        <v>1.2476036700577314E-2</v>
      </c>
      <c r="N85">
        <f>IF($A29="AEO",'Growth Rates'!N81,'Growth Rates'!N81*N$5)</f>
        <v>1.1810309432023953E-2</v>
      </c>
      <c r="O85">
        <f>IF($A29="AEO",'Growth Rates'!O81,'Growth Rates'!O81*O$5)</f>
        <v>7.9120390195665073E-3</v>
      </c>
      <c r="P85">
        <f>IF($A29="AEO",'Growth Rates'!P81,'Growth Rates'!P81*P$5)</f>
        <v>8.8272957889208442E-3</v>
      </c>
      <c r="Q85">
        <f>IF($A29="AEO",'Growth Rates'!Q81,'Growth Rates'!Q81*Q$5)</f>
        <v>1.0427693086454585E-2</v>
      </c>
      <c r="R85">
        <f>IF($A29="AEO",'Growth Rates'!R81,'Growth Rates'!R81*R$5)</f>
        <v>7.1226284684474369E-3</v>
      </c>
      <c r="S85">
        <f>IF($A29="AEO",'Growth Rates'!S81,'Growth Rates'!S81*S$5)</f>
        <v>9.8951308344954747E-3</v>
      </c>
      <c r="T85">
        <f>IF($A29="AEO",'Growth Rates'!T81,'Growth Rates'!T81*T$5)</f>
        <v>9.038876868339837E-3</v>
      </c>
      <c r="U85">
        <f>IF($A29="AEO",'Growth Rates'!U81,'Growth Rates'!U81*U$5)</f>
        <v>9.9646974072085219E-3</v>
      </c>
      <c r="V85">
        <f>IF($A29="AEO",'Growth Rates'!V81,'Growth Rates'!V81*V$5)</f>
        <v>1.0126107037825011E-2</v>
      </c>
      <c r="W85">
        <f>IF($A29="AEO",'Growth Rates'!W81,'Growth Rates'!W81*W$5)</f>
        <v>1.4210034173012122E-2</v>
      </c>
      <c r="X85">
        <f>IF($A29="AEO",'Growth Rates'!X81,'Growth Rates'!X81*X$5)</f>
        <v>1.3590009721918109E-2</v>
      </c>
      <c r="Y85">
        <f>IF($A29="AEO",'Growth Rates'!Y81,'Growth Rates'!Y81*Y$5)</f>
        <v>1.1843832165229377E-2</v>
      </c>
      <c r="Z85">
        <f>IF($A29="AEO",'Growth Rates'!Z81,'Growth Rates'!Z81*Z$5)</f>
        <v>6.1499425535588379E-3</v>
      </c>
      <c r="AA85">
        <f>IF($A29="AEO",'Growth Rates'!AA81,'Growth Rates'!AA81*AA$5)</f>
        <v>3.5324314979772627E-3</v>
      </c>
      <c r="AB85">
        <f>IF($A29="AEO",'Growth Rates'!AB81,'Growth Rates'!AB81*AB$5)</f>
        <v>1.0748907107304761E-2</v>
      </c>
      <c r="AC85">
        <f>IF($A29="AEO",'Growth Rates'!AC81,'Growth Rates'!AC81*AC$5)</f>
        <v>9.654321392619734E-3</v>
      </c>
    </row>
    <row r="86" spans="2:29" x14ac:dyDescent="0.25">
      <c r="B86" t="s">
        <v>291</v>
      </c>
      <c r="C86">
        <v>0</v>
      </c>
      <c r="D86">
        <f>IF($A30="AEO",'Growth Rates'!D82,'Growth Rates'!D82*D$5)</f>
        <v>-6.5496145174722312E-2</v>
      </c>
      <c r="E86">
        <f>IF($A30="AEO",'Growth Rates'!E82,'Growth Rates'!E82*E$5)</f>
        <v>1.049235557326296E-2</v>
      </c>
      <c r="F86">
        <f>IF($A30="AEO",'Growth Rates'!F82,'Growth Rates'!F82*F$5)</f>
        <v>3.7470970080506746E-2</v>
      </c>
      <c r="G86">
        <f>IF($A30="AEO",'Growth Rates'!G82,'Growth Rates'!G82*G$5)</f>
        <v>2.3952323404698484E-2</v>
      </c>
      <c r="H86">
        <f>IF($A30="AEO",'Growth Rates'!H82,'Growth Rates'!H82*H$5)</f>
        <v>2.5456781846209971E-2</v>
      </c>
      <c r="I86">
        <f>IF($A30="AEO",'Growth Rates'!I82,'Growth Rates'!I82*I$5)</f>
        <v>2.044704623110288E-2</v>
      </c>
      <c r="J86">
        <f>IF($A30="AEO",'Growth Rates'!J82,'Growth Rates'!J82*J$5)</f>
        <v>1.6053906954425344E-2</v>
      </c>
      <c r="K86">
        <f>IF($A30="AEO",'Growth Rates'!K82,'Growth Rates'!K82*K$5)</f>
        <v>1.9197945678032947E-2</v>
      </c>
      <c r="L86">
        <f>IF($A30="AEO",'Growth Rates'!L82,'Growth Rates'!L82*L$5)</f>
        <v>1.3829789433627978E-2</v>
      </c>
      <c r="M86">
        <f>IF($A30="AEO",'Growth Rates'!M82,'Growth Rates'!M82*M$5)</f>
        <v>1.7647761389281848E-2</v>
      </c>
      <c r="N86">
        <f>IF($A30="AEO",'Growth Rates'!N82,'Growth Rates'!N82*N$5)</f>
        <v>2.0477310320871293E-2</v>
      </c>
      <c r="O86">
        <f>IF($A30="AEO",'Growth Rates'!O82,'Growth Rates'!O82*O$5)</f>
        <v>1.9872186202292391E-2</v>
      </c>
      <c r="P86">
        <f>IF($A30="AEO",'Growth Rates'!P82,'Growth Rates'!P82*P$5)</f>
        <v>2.1011163495363843E-2</v>
      </c>
      <c r="Q86">
        <f>IF($A30="AEO",'Growth Rates'!Q82,'Growth Rates'!Q82*Q$5)</f>
        <v>2.0562019562047316E-2</v>
      </c>
      <c r="R86">
        <f>IF($A30="AEO",'Growth Rates'!R82,'Growth Rates'!R82*R$5)</f>
        <v>2.1821787250447627E-2</v>
      </c>
      <c r="S86">
        <f>IF($A30="AEO",'Growth Rates'!S82,'Growth Rates'!S82*S$5)</f>
        <v>2.2229099579873086E-2</v>
      </c>
      <c r="T86">
        <f>IF($A30="AEO",'Growth Rates'!T82,'Growth Rates'!T82*T$5)</f>
        <v>2.1383231961426E-2</v>
      </c>
      <c r="U86">
        <f>IF($A30="AEO",'Growth Rates'!U82,'Growth Rates'!U82*U$5)</f>
        <v>2.2557698028721859E-2</v>
      </c>
      <c r="V86">
        <f>IF($A30="AEO",'Growth Rates'!V82,'Growth Rates'!V82*V$5)</f>
        <v>2.3289221664284179E-2</v>
      </c>
      <c r="W86">
        <f>IF($A30="AEO",'Growth Rates'!W82,'Growth Rates'!W82*W$5)</f>
        <v>2.5166225455832306E-2</v>
      </c>
      <c r="X86">
        <f>IF($A30="AEO",'Growth Rates'!X82,'Growth Rates'!X82*X$5)</f>
        <v>2.5932976807984533E-2</v>
      </c>
      <c r="Y86">
        <f>IF($A30="AEO",'Growth Rates'!Y82,'Growth Rates'!Y82*Y$5)</f>
        <v>2.6600966858647983E-2</v>
      </c>
      <c r="Z86">
        <f>IF($A30="AEO",'Growth Rates'!Z82,'Growth Rates'!Z82*Z$5)</f>
        <v>2.4984846374277125E-2</v>
      </c>
      <c r="AA86">
        <f>IF($A30="AEO",'Growth Rates'!AA82,'Growth Rates'!AA82*AA$5)</f>
        <v>2.4501268917016789E-2</v>
      </c>
      <c r="AB86">
        <f>IF($A30="AEO",'Growth Rates'!AB82,'Growth Rates'!AB82*AB$5)</f>
        <v>2.4399332556645007E-2</v>
      </c>
      <c r="AC86">
        <f>IF($A30="AEO",'Growth Rates'!AC82,'Growth Rates'!AC82*AC$5)</f>
        <v>2.1273483357682858E-2</v>
      </c>
    </row>
    <row r="87" spans="2:29" x14ac:dyDescent="0.25">
      <c r="B87" t="s">
        <v>306</v>
      </c>
      <c r="C87">
        <v>0</v>
      </c>
      <c r="D87">
        <f>IF($A31="AEO",'Growth Rates'!D83,'Growth Rates'!D83*D$5)</f>
        <v>9.5838154987310364E-3</v>
      </c>
      <c r="E87">
        <f>IF($A31="AEO",'Growth Rates'!E83,'Growth Rates'!E83*E$5)</f>
        <v>-1.3180751806413827E-2</v>
      </c>
      <c r="F87">
        <f>IF($A31="AEO",'Growth Rates'!F83,'Growth Rates'!F83*F$5)</f>
        <v>-5.495876411580016E-3</v>
      </c>
      <c r="G87">
        <f>IF($A31="AEO",'Growth Rates'!G83,'Growth Rates'!G83*G$5)</f>
        <v>-1.5659957935745084E-2</v>
      </c>
      <c r="H87">
        <f>IF($A31="AEO",'Growth Rates'!H83,'Growth Rates'!H83*H$5)</f>
        <v>-3.6960462318567761E-3</v>
      </c>
      <c r="I87">
        <f>IF($A31="AEO",'Growth Rates'!I83,'Growth Rates'!I83*I$5)</f>
        <v>1.8032865730730773E-2</v>
      </c>
      <c r="J87">
        <f>IF($A31="AEO",'Growth Rates'!J83,'Growth Rates'!J83*J$5)</f>
        <v>1.612508868781946E-2</v>
      </c>
      <c r="K87">
        <f>IF($A31="AEO",'Growth Rates'!K83,'Growth Rates'!K83*K$5)</f>
        <v>1.680996299942103E-2</v>
      </c>
      <c r="L87">
        <f>IF($A31="AEO",'Growth Rates'!L83,'Growth Rates'!L83*L$5)</f>
        <v>5.4695342229286433E-3</v>
      </c>
      <c r="M87">
        <f>IF($A31="AEO",'Growth Rates'!M83,'Growth Rates'!M83*M$5)</f>
        <v>4.4293113800551055E-3</v>
      </c>
      <c r="N87">
        <f>IF($A31="AEO",'Growth Rates'!N83,'Growth Rates'!N83*N$5)</f>
        <v>1.0716080366278562E-2</v>
      </c>
      <c r="O87">
        <f>IF($A31="AEO",'Growth Rates'!O83,'Growth Rates'!O83*O$5)</f>
        <v>7.5710519600504199E-3</v>
      </c>
      <c r="P87">
        <f>IF($A31="AEO",'Growth Rates'!P83,'Growth Rates'!P83*P$5)</f>
        <v>6.9475790461157125E-3</v>
      </c>
      <c r="Q87">
        <f>IF($A31="AEO",'Growth Rates'!Q83,'Growth Rates'!Q83*Q$5)</f>
        <v>5.019167709294562E-3</v>
      </c>
      <c r="R87">
        <f>IF($A31="AEO",'Growth Rates'!R83,'Growth Rates'!R83*R$5)</f>
        <v>4.7556991717196831E-3</v>
      </c>
      <c r="S87">
        <f>IF($A31="AEO",'Growth Rates'!S83,'Growth Rates'!S83*S$5)</f>
        <v>6.585604364996599E-3</v>
      </c>
      <c r="T87">
        <f>IF($A31="AEO",'Growth Rates'!T83,'Growth Rates'!T83*T$5)</f>
        <v>5.6606166948387285E-3</v>
      </c>
      <c r="U87">
        <f>IF($A31="AEO",'Growth Rates'!U83,'Growth Rates'!U83*U$5)</f>
        <v>6.5817540342673689E-3</v>
      </c>
      <c r="V87">
        <f>IF($A31="AEO",'Growth Rates'!V83,'Growth Rates'!V83*V$5)</f>
        <v>5.5774839144858415E-3</v>
      </c>
      <c r="W87">
        <f>IF($A31="AEO",'Growth Rates'!W83,'Growth Rates'!W83*W$5)</f>
        <v>5.3389950121167217E-3</v>
      </c>
      <c r="X87">
        <f>IF($A31="AEO",'Growth Rates'!X83,'Growth Rates'!X83*X$5)</f>
        <v>6.2995500713378073E-3</v>
      </c>
      <c r="Y87">
        <f>IF($A31="AEO",'Growth Rates'!Y83,'Growth Rates'!Y83*Y$5)</f>
        <v>7.9632206641985174E-3</v>
      </c>
      <c r="Z87">
        <f>IF($A31="AEO",'Growth Rates'!Z83,'Growth Rates'!Z83*Z$5)</f>
        <v>7.8306975688093548E-3</v>
      </c>
      <c r="AA87">
        <f>IF($A31="AEO",'Growth Rates'!AA83,'Growth Rates'!AA83*AA$5)</f>
        <v>6.7753977190839121E-3</v>
      </c>
      <c r="AB87">
        <f>IF($A31="AEO",'Growth Rates'!AB83,'Growth Rates'!AB83*AB$5)</f>
        <v>5.4717269479305167E-3</v>
      </c>
      <c r="AC87">
        <f>IF($A31="AEO",'Growth Rates'!AC83,'Growth Rates'!AC83*AC$5)</f>
        <v>3.8045208677786554E-3</v>
      </c>
    </row>
    <row r="88" spans="2:29" x14ac:dyDescent="0.25">
      <c r="B88" t="s">
        <v>280</v>
      </c>
      <c r="C88">
        <v>0</v>
      </c>
      <c r="D88">
        <f>IF($A32="AEO",'Growth Rates'!D84,'Growth Rates'!D84*D$5)</f>
        <v>2.4336435643808989E-2</v>
      </c>
      <c r="E88">
        <f>IF($A32="AEO",'Growth Rates'!E84,'Growth Rates'!E84*E$5)</f>
        <v>-2.0461753244390066E-2</v>
      </c>
      <c r="F88">
        <f>IF($A32="AEO",'Growth Rates'!F84,'Growth Rates'!F84*F$5)</f>
        <v>2.4109605222139355E-2</v>
      </c>
      <c r="G88">
        <f>IF($A32="AEO",'Growth Rates'!G84,'Growth Rates'!G84*G$5)</f>
        <v>1.8829391438090048E-2</v>
      </c>
      <c r="H88">
        <f>IF($A32="AEO",'Growth Rates'!H84,'Growth Rates'!H84*H$5)</f>
        <v>1.9451339355595697E-2</v>
      </c>
      <c r="I88">
        <f>IF($A32="AEO",'Growth Rates'!I84,'Growth Rates'!I84*I$5)</f>
        <v>1.2885394239777163E-2</v>
      </c>
      <c r="J88">
        <f>IF($A32="AEO",'Growth Rates'!J84,'Growth Rates'!J84*J$5)</f>
        <v>1.9511096698901231E-2</v>
      </c>
      <c r="K88">
        <f>IF($A32="AEO",'Growth Rates'!K84,'Growth Rates'!K84*K$5)</f>
        <v>1.6240848175239804E-2</v>
      </c>
      <c r="L88">
        <f>IF($A32="AEO",'Growth Rates'!L84,'Growth Rates'!L84*L$5)</f>
        <v>1.032807562481246E-3</v>
      </c>
      <c r="M88">
        <f>IF($A32="AEO",'Growth Rates'!M84,'Growth Rates'!M84*M$5)</f>
        <v>7.7800945510172245E-3</v>
      </c>
      <c r="N88">
        <f>IF($A32="AEO",'Growth Rates'!N84,'Growth Rates'!N84*N$5)</f>
        <v>1.3022632948495967E-2</v>
      </c>
      <c r="O88">
        <f>IF($A32="AEO",'Growth Rates'!O84,'Growth Rates'!O84*O$5)</f>
        <v>9.2415695740314403E-3</v>
      </c>
      <c r="P88">
        <f>IF($A32="AEO",'Growth Rates'!P84,'Growth Rates'!P84*P$5)</f>
        <v>6.1339695197402148E-3</v>
      </c>
      <c r="Q88">
        <f>IF($A32="AEO",'Growth Rates'!Q84,'Growth Rates'!Q84*Q$5)</f>
        <v>2.4439179119564824E-3</v>
      </c>
      <c r="R88">
        <f>IF($A32="AEO",'Growth Rates'!R84,'Growth Rates'!R84*R$5)</f>
        <v>3.1025991674817874E-4</v>
      </c>
      <c r="S88">
        <f>IF($A32="AEO",'Growth Rates'!S84,'Growth Rates'!S84*S$5)</f>
        <v>4.3434375026623409E-3</v>
      </c>
      <c r="T88">
        <f>IF($A32="AEO",'Growth Rates'!T84,'Growth Rates'!T84*T$5)</f>
        <v>3.8234490974420297E-3</v>
      </c>
      <c r="U88">
        <f>IF($A32="AEO",'Growth Rates'!U84,'Growth Rates'!U84*U$5)</f>
        <v>3.6062588998127042E-3</v>
      </c>
      <c r="V88">
        <f>IF($A32="AEO",'Growth Rates'!V84,'Growth Rates'!V84*V$5)</f>
        <v>1.85583021089817E-3</v>
      </c>
      <c r="W88">
        <f>IF($A32="AEO",'Growth Rates'!W84,'Growth Rates'!W84*W$5)</f>
        <v>1.4739561454598278E-3</v>
      </c>
      <c r="X88">
        <f>IF($A32="AEO",'Growth Rates'!X84,'Growth Rates'!X84*X$5)</f>
        <v>3.1443737620083013E-3</v>
      </c>
      <c r="Y88">
        <f>IF($A32="AEO",'Growth Rates'!Y84,'Growth Rates'!Y84*Y$5)</f>
        <v>4.7004788198066619E-3</v>
      </c>
      <c r="Z88">
        <f>IF($A32="AEO",'Growth Rates'!Z84,'Growth Rates'!Z84*Z$5)</f>
        <v>5.3265069574338622E-3</v>
      </c>
      <c r="AA88">
        <f>IF($A32="AEO",'Growth Rates'!AA84,'Growth Rates'!AA84*AA$5)</f>
        <v>2.9188988858584882E-3</v>
      </c>
      <c r="AB88">
        <f>IF($A32="AEO",'Growth Rates'!AB84,'Growth Rates'!AB84*AB$5)</f>
        <v>8.0121113135311873E-4</v>
      </c>
      <c r="AC88">
        <f>IF($A32="AEO",'Growth Rates'!AC84,'Growth Rates'!AC84*AC$5)</f>
        <v>-6.5342532923039177E-4</v>
      </c>
    </row>
    <row r="89" spans="2:29" x14ac:dyDescent="0.25">
      <c r="B89" t="s">
        <v>319</v>
      </c>
      <c r="C89">
        <v>0</v>
      </c>
      <c r="D89">
        <f>IF($A33="AEO",'Growth Rates'!D85,'Growth Rates'!D85*D$5)</f>
        <v>-6.1192822458182292E-2</v>
      </c>
      <c r="E89">
        <f>IF($A33="AEO",'Growth Rates'!E85,'Growth Rates'!E85*E$5)</f>
        <v>2.9380888594976902E-3</v>
      </c>
      <c r="F89">
        <f>IF($A33="AEO",'Growth Rates'!F85,'Growth Rates'!F85*F$5)</f>
        <v>6.3339290520313812E-2</v>
      </c>
      <c r="G89">
        <f>IF($A33="AEO",'Growth Rates'!G85,'Growth Rates'!G85*G$5)</f>
        <v>1.9604562754516788E-2</v>
      </c>
      <c r="H89">
        <f>IF($A33="AEO",'Growth Rates'!H85,'Growth Rates'!H85*H$5)</f>
        <v>1.5932404751837544E-2</v>
      </c>
      <c r="I89">
        <f>IF($A33="AEO",'Growth Rates'!I85,'Growth Rates'!I85*I$5)</f>
        <v>1.6641426870951888E-2</v>
      </c>
      <c r="J89">
        <f>IF($A33="AEO",'Growth Rates'!J85,'Growth Rates'!J85*J$5)</f>
        <v>6.7021756724579655E-3</v>
      </c>
      <c r="K89">
        <f>IF($A33="AEO",'Growth Rates'!K85,'Growth Rates'!K85*K$5)</f>
        <v>1.5883257366551745E-2</v>
      </c>
      <c r="L89">
        <f>IF($A33="AEO",'Growth Rates'!L85,'Growth Rates'!L85*L$5)</f>
        <v>6.9136521435425487E-3</v>
      </c>
      <c r="M89">
        <f>IF($A33="AEO",'Growth Rates'!M85,'Growth Rates'!M85*M$5)</f>
        <v>2.8542402586039105E-3</v>
      </c>
      <c r="N89">
        <f>IF($A33="AEO",'Growth Rates'!N85,'Growth Rates'!N85*N$5)</f>
        <v>3.8463791260001942E-3</v>
      </c>
      <c r="O89">
        <f>IF($A33="AEO",'Growth Rates'!O85,'Growth Rates'!O85*O$5)</f>
        <v>1.0277052427238266E-2</v>
      </c>
      <c r="P89">
        <f>IF($A33="AEO",'Growth Rates'!P85,'Growth Rates'!P85*P$5)</f>
        <v>2.0572282292054985E-2</v>
      </c>
      <c r="Q89">
        <f>IF($A33="AEO",'Growth Rates'!Q85,'Growth Rates'!Q85*Q$5)</f>
        <v>1.8700062703327504E-2</v>
      </c>
      <c r="R89">
        <f>IF($A33="AEO",'Growth Rates'!R85,'Growth Rates'!R85*R$5)</f>
        <v>1.8711123076861937E-2</v>
      </c>
      <c r="S89">
        <f>IF($A33="AEO",'Growth Rates'!S85,'Growth Rates'!S85*S$5)</f>
        <v>1.7017403091970501E-2</v>
      </c>
      <c r="T89">
        <f>IF($A33="AEO",'Growth Rates'!T85,'Growth Rates'!T85*T$5)</f>
        <v>1.4762044680125085E-2</v>
      </c>
      <c r="U89">
        <f>IF($A33="AEO",'Growth Rates'!U85,'Growth Rates'!U85*U$5)</f>
        <v>1.4642211089780718E-2</v>
      </c>
      <c r="V89">
        <f>IF($A33="AEO",'Growth Rates'!V85,'Growth Rates'!V85*V$5)</f>
        <v>1.2713600388710966E-2</v>
      </c>
      <c r="W89">
        <f>IF($A33="AEO",'Growth Rates'!W85,'Growth Rates'!W85*W$5)</f>
        <v>1.2896278318495618E-2</v>
      </c>
      <c r="X89">
        <f>IF($A33="AEO",'Growth Rates'!X85,'Growth Rates'!X85*X$5)</f>
        <v>1.336315733038511E-2</v>
      </c>
      <c r="Y89">
        <f>IF($A33="AEO",'Growth Rates'!Y85,'Growth Rates'!Y85*Y$5)</f>
        <v>1.2522422817884852E-2</v>
      </c>
      <c r="Z89">
        <f>IF($A33="AEO",'Growth Rates'!Z85,'Growth Rates'!Z85*Z$5)</f>
        <v>1.1331525364436211E-2</v>
      </c>
      <c r="AA89">
        <f>IF($A33="AEO",'Growth Rates'!AA85,'Growth Rates'!AA85*AA$5)</f>
        <v>1.1461454971234577E-2</v>
      </c>
      <c r="AB89">
        <f>IF($A33="AEO",'Growth Rates'!AB85,'Growth Rates'!AB85*AB$5)</f>
        <v>1.0357703802010182E-2</v>
      </c>
      <c r="AC89">
        <f>IF($A33="AEO",'Growth Rates'!AC85,'Growth Rates'!AC85*AC$5)</f>
        <v>8.2997084143176143E-3</v>
      </c>
    </row>
    <row r="90" spans="2:29" x14ac:dyDescent="0.25">
      <c r="B90" t="s">
        <v>331</v>
      </c>
      <c r="C90">
        <v>0</v>
      </c>
      <c r="D90">
        <f>IF($A34="AEO",'Growth Rates'!D86,'Growth Rates'!D86*D$5)</f>
        <v>1.1905137200742431E-2</v>
      </c>
      <c r="E90">
        <f>IF($A34="AEO",'Growth Rates'!E86,'Growth Rates'!E86*E$5)</f>
        <v>1.9224302292367462E-2</v>
      </c>
      <c r="F90">
        <f>IF($A34="AEO",'Growth Rates'!F86,'Growth Rates'!F86*F$5)</f>
        <v>1.2523683591355826E-2</v>
      </c>
      <c r="G90">
        <f>IF($A34="AEO",'Growth Rates'!G86,'Growth Rates'!G86*G$5)</f>
        <v>8.4905572801972189E-3</v>
      </c>
      <c r="H90">
        <f>IF($A34="AEO",'Growth Rates'!H86,'Growth Rates'!H86*H$5)</f>
        <v>1.0081318086975755E-2</v>
      </c>
      <c r="I90">
        <f>IF($A34="AEO",'Growth Rates'!I86,'Growth Rates'!I86*I$5)</f>
        <v>1.1355094494955021E-2</v>
      </c>
      <c r="J90">
        <f>IF($A34="AEO",'Growth Rates'!J86,'Growth Rates'!J86*J$5)</f>
        <v>1.0959386786047172E-2</v>
      </c>
      <c r="K90">
        <f>IF($A34="AEO",'Growth Rates'!K86,'Growth Rates'!K86*K$5)</f>
        <v>1.22596268349403E-2</v>
      </c>
      <c r="L90">
        <f>IF($A34="AEO",'Growth Rates'!L86,'Growth Rates'!L86*L$5)</f>
        <v>1.3044828652479339E-2</v>
      </c>
      <c r="M90">
        <f>IF($A34="AEO",'Growth Rates'!M86,'Growth Rates'!M86*M$5)</f>
        <v>1.3620094898071686E-2</v>
      </c>
      <c r="N90">
        <f>IF($A34="AEO",'Growth Rates'!N86,'Growth Rates'!N86*N$5)</f>
        <v>1.4131529140083461E-2</v>
      </c>
      <c r="O90">
        <f>IF($A34="AEO",'Growth Rates'!O86,'Growth Rates'!O86*O$5)</f>
        <v>1.1501470012250556E-2</v>
      </c>
      <c r="P90">
        <f>IF($A34="AEO",'Growth Rates'!P86,'Growth Rates'!P86*P$5)</f>
        <v>1.1208087123522757E-2</v>
      </c>
      <c r="Q90">
        <f>IF($A34="AEO",'Growth Rates'!Q86,'Growth Rates'!Q86*Q$5)</f>
        <v>1.1053116362306983E-2</v>
      </c>
      <c r="R90">
        <f>IF($A34="AEO",'Growth Rates'!R86,'Growth Rates'!R86*R$5)</f>
        <v>1.0652925629747501E-2</v>
      </c>
      <c r="S90">
        <f>IF($A34="AEO",'Growth Rates'!S86,'Growth Rates'!S86*S$5)</f>
        <v>1.0512564971023781E-2</v>
      </c>
      <c r="T90">
        <f>IF($A34="AEO",'Growth Rates'!T86,'Growth Rates'!T86*T$5)</f>
        <v>1.0026017253885865E-2</v>
      </c>
      <c r="U90">
        <f>IF($A34="AEO",'Growth Rates'!U86,'Growth Rates'!U86*U$5)</f>
        <v>1.0118794219652063E-2</v>
      </c>
      <c r="V90">
        <f>IF($A34="AEO",'Growth Rates'!V86,'Growth Rates'!V86*V$5)</f>
        <v>1.034372393299313E-2</v>
      </c>
      <c r="W90">
        <f>IF($A34="AEO",'Growth Rates'!W86,'Growth Rates'!W86*W$5)</f>
        <v>1.0204449948585008E-2</v>
      </c>
      <c r="X90">
        <f>IF($A34="AEO",'Growth Rates'!X86,'Growth Rates'!X86*X$5)</f>
        <v>9.8838901025981654E-3</v>
      </c>
      <c r="Y90">
        <f>IF($A34="AEO",'Growth Rates'!Y86,'Growth Rates'!Y86*Y$5)</f>
        <v>9.4015660785625836E-3</v>
      </c>
      <c r="Z90">
        <f>IF($A34="AEO",'Growth Rates'!Z86,'Growth Rates'!Z86*Z$5)</f>
        <v>8.8505755456730652E-3</v>
      </c>
      <c r="AA90">
        <f>IF($A34="AEO",'Growth Rates'!AA86,'Growth Rates'!AA86*AA$5)</f>
        <v>8.7549945205954768E-3</v>
      </c>
      <c r="AB90">
        <f>IF($A34="AEO",'Growth Rates'!AB86,'Growth Rates'!AB86*AB$5)</f>
        <v>8.3233823140173649E-3</v>
      </c>
      <c r="AC90">
        <f>IF($A34="AEO",'Growth Rates'!AC86,'Growth Rates'!AC86*AC$5)</f>
        <v>8.5080930162222661E-3</v>
      </c>
    </row>
    <row r="91" spans="2:29" x14ac:dyDescent="0.25">
      <c r="B91" t="s">
        <v>326</v>
      </c>
      <c r="C91">
        <v>0</v>
      </c>
      <c r="D91">
        <f>IF($A35="AEO",'Growth Rates'!D87,'Growth Rates'!D87*D$5)</f>
        <v>-6.1192822458182292E-2</v>
      </c>
      <c r="E91">
        <f>IF($A35="AEO",'Growth Rates'!E87,'Growth Rates'!E87*E$5)</f>
        <v>2.9380888594976902E-3</v>
      </c>
      <c r="F91">
        <f>IF($A35="AEO",'Growth Rates'!F87,'Growth Rates'!F87*F$5)</f>
        <v>6.3339290520313812E-2</v>
      </c>
      <c r="G91">
        <f>IF($A35="AEO",'Growth Rates'!G87,'Growth Rates'!G87*G$5)</f>
        <v>1.9604562754516788E-2</v>
      </c>
      <c r="H91">
        <f>IF($A35="AEO",'Growth Rates'!H87,'Growth Rates'!H87*H$5)</f>
        <v>1.5932404751837544E-2</v>
      </c>
      <c r="I91">
        <f>IF($A35="AEO",'Growth Rates'!I87,'Growth Rates'!I87*I$5)</f>
        <v>1.6641426870951888E-2</v>
      </c>
      <c r="J91">
        <f>IF($A35="AEO",'Growth Rates'!J87,'Growth Rates'!J87*J$5)</f>
        <v>6.7021756724579655E-3</v>
      </c>
      <c r="K91">
        <f>IF($A35="AEO",'Growth Rates'!K87,'Growth Rates'!K87*K$5)</f>
        <v>1.5883257366551745E-2</v>
      </c>
      <c r="L91">
        <f>IF($A35="AEO",'Growth Rates'!L87,'Growth Rates'!L87*L$5)</f>
        <v>6.9136521435425487E-3</v>
      </c>
      <c r="M91">
        <f>IF($A35="AEO",'Growth Rates'!M87,'Growth Rates'!M87*M$5)</f>
        <v>2.8542402586039105E-3</v>
      </c>
      <c r="N91">
        <f>IF($A35="AEO",'Growth Rates'!N87,'Growth Rates'!N87*N$5)</f>
        <v>3.8463791260001942E-3</v>
      </c>
      <c r="O91">
        <f>IF($A35="AEO",'Growth Rates'!O87,'Growth Rates'!O87*O$5)</f>
        <v>1.0277052427238266E-2</v>
      </c>
      <c r="P91">
        <f>IF($A35="AEO",'Growth Rates'!P87,'Growth Rates'!P87*P$5)</f>
        <v>2.0572282292054985E-2</v>
      </c>
      <c r="Q91">
        <f>IF($A35="AEO",'Growth Rates'!Q87,'Growth Rates'!Q87*Q$5)</f>
        <v>1.8700062703327504E-2</v>
      </c>
      <c r="R91">
        <f>IF($A35="AEO",'Growth Rates'!R87,'Growth Rates'!R87*R$5)</f>
        <v>1.8711123076861937E-2</v>
      </c>
      <c r="S91">
        <f>IF($A35="AEO",'Growth Rates'!S87,'Growth Rates'!S87*S$5)</f>
        <v>1.7017403091970501E-2</v>
      </c>
      <c r="T91">
        <f>IF($A35="AEO",'Growth Rates'!T87,'Growth Rates'!T87*T$5)</f>
        <v>1.4762044680125085E-2</v>
      </c>
      <c r="U91">
        <f>IF($A35="AEO",'Growth Rates'!U87,'Growth Rates'!U87*U$5)</f>
        <v>1.4642211089780718E-2</v>
      </c>
      <c r="V91">
        <f>IF($A35="AEO",'Growth Rates'!V87,'Growth Rates'!V87*V$5)</f>
        <v>1.2713600388710966E-2</v>
      </c>
      <c r="W91">
        <f>IF($A35="AEO",'Growth Rates'!W87,'Growth Rates'!W87*W$5)</f>
        <v>1.2896278318495618E-2</v>
      </c>
      <c r="X91">
        <f>IF($A35="AEO",'Growth Rates'!X87,'Growth Rates'!X87*X$5)</f>
        <v>1.336315733038511E-2</v>
      </c>
      <c r="Y91">
        <f>IF($A35="AEO",'Growth Rates'!Y87,'Growth Rates'!Y87*Y$5)</f>
        <v>1.2522422817884852E-2</v>
      </c>
      <c r="Z91">
        <f>IF($A35="AEO",'Growth Rates'!Z87,'Growth Rates'!Z87*Z$5)</f>
        <v>1.1331525364436211E-2</v>
      </c>
      <c r="AA91">
        <f>IF($A35="AEO",'Growth Rates'!AA87,'Growth Rates'!AA87*AA$5)</f>
        <v>1.1461454971234577E-2</v>
      </c>
      <c r="AB91">
        <f>IF($A35="AEO",'Growth Rates'!AB87,'Growth Rates'!AB87*AB$5)</f>
        <v>1.0357703802010182E-2</v>
      </c>
      <c r="AC91">
        <f>IF($A35="AEO",'Growth Rates'!AC87,'Growth Rates'!AC87*AC$5)</f>
        <v>8.2997084143176143E-3</v>
      </c>
    </row>
    <row r="92" spans="2:29" x14ac:dyDescent="0.25">
      <c r="B92" t="s">
        <v>336</v>
      </c>
      <c r="C92">
        <v>0</v>
      </c>
      <c r="D92">
        <f>IF($A36="AEO",'Growth Rates'!D88,'Growth Rates'!D88*D$5)</f>
        <v>-1.632229783085291E-2</v>
      </c>
      <c r="E92">
        <f>IF($A36="AEO",'Growth Rates'!E88,'Growth Rates'!E88*E$5)</f>
        <v>5.5999459016875253E-3</v>
      </c>
      <c r="F92">
        <f>IF($A36="AEO",'Growth Rates'!F88,'Growth Rates'!F88*F$5)</f>
        <v>2.5757109931396592E-2</v>
      </c>
      <c r="G92">
        <f>IF($A36="AEO",'Growth Rates'!G88,'Growth Rates'!G88*G$5)</f>
        <v>1.1354110634450888E-2</v>
      </c>
      <c r="H92">
        <f>IF($A36="AEO",'Growth Rates'!H88,'Growth Rates'!H88*H$5)</f>
        <v>1.5817217719252666E-2</v>
      </c>
      <c r="I92">
        <f>IF($A36="AEO",'Growth Rates'!I88,'Growth Rates'!I88*I$5)</f>
        <v>2.3875865803752797E-2</v>
      </c>
      <c r="J92">
        <f>IF($A36="AEO",'Growth Rates'!J88,'Growth Rates'!J88*J$5)</f>
        <v>2.5367352744672552E-2</v>
      </c>
      <c r="K92">
        <f>IF($A36="AEO",'Growth Rates'!K88,'Growth Rates'!K88*K$5)</f>
        <v>1.0717953538114944E-2</v>
      </c>
      <c r="L92">
        <f>IF($A36="AEO",'Growth Rates'!L88,'Growth Rates'!L88*L$5)</f>
        <v>4.251649523984118E-3</v>
      </c>
      <c r="M92">
        <f>IF($A36="AEO",'Growth Rates'!M88,'Growth Rates'!M88*M$5)</f>
        <v>1.7918239151918502E-3</v>
      </c>
      <c r="N92">
        <f>IF($A36="AEO",'Growth Rates'!N88,'Growth Rates'!N88*N$5)</f>
        <v>7.7910798401826641E-3</v>
      </c>
      <c r="O92">
        <f>IF($A36="AEO",'Growth Rates'!O88,'Growth Rates'!O88*O$5)</f>
        <v>8.5717762642570985E-3</v>
      </c>
      <c r="P92">
        <f>IF($A36="AEO",'Growth Rates'!P88,'Growth Rates'!P88*P$5)</f>
        <v>9.7625674798807287E-3</v>
      </c>
      <c r="Q92">
        <f>IF($A36="AEO",'Growth Rates'!Q88,'Growth Rates'!Q88*Q$5)</f>
        <v>1.1577806384322731E-2</v>
      </c>
      <c r="R92">
        <f>IF($A36="AEO",'Growth Rates'!R88,'Growth Rates'!R88*R$5)</f>
        <v>4.9481819871324117E-3</v>
      </c>
      <c r="S92">
        <f>IF($A36="AEO",'Growth Rates'!S88,'Growth Rates'!S88*S$5)</f>
        <v>1.0793203306688067E-2</v>
      </c>
      <c r="T92">
        <f>IF($A36="AEO",'Growth Rates'!T88,'Growth Rates'!T88*T$5)</f>
        <v>1.1087318728565851E-2</v>
      </c>
      <c r="U92">
        <f>IF($A36="AEO",'Growth Rates'!U88,'Growth Rates'!U88*U$5)</f>
        <v>9.320051786472822E-3</v>
      </c>
      <c r="V92">
        <f>IF($A36="AEO",'Growth Rates'!V88,'Growth Rates'!V88*V$5)</f>
        <v>8.6730499813616642E-3</v>
      </c>
      <c r="W92">
        <f>IF($A36="AEO",'Growth Rates'!W88,'Growth Rates'!W88*W$5)</f>
        <v>9.4775489895972537E-3</v>
      </c>
      <c r="X92">
        <f>IF($A36="AEO",'Growth Rates'!X88,'Growth Rates'!X88*X$5)</f>
        <v>1.2076580439907935E-2</v>
      </c>
      <c r="Y92">
        <f>IF($A36="AEO",'Growth Rates'!Y88,'Growth Rates'!Y88*Y$5)</f>
        <v>8.1813883067160982E-3</v>
      </c>
      <c r="Z92">
        <f>IF($A36="AEO",'Growth Rates'!Z88,'Growth Rates'!Z88*Z$5)</f>
        <v>7.4069072932828311E-3</v>
      </c>
      <c r="AA92">
        <f>IF($A36="AEO",'Growth Rates'!AA88,'Growth Rates'!AA88*AA$5)</f>
        <v>3.1471864461374319E-3</v>
      </c>
      <c r="AB92">
        <f>IF($A36="AEO",'Growth Rates'!AB88,'Growth Rates'!AB88*AB$5)</f>
        <v>1.1445265042010417E-2</v>
      </c>
      <c r="AC92">
        <f>IF($A36="AEO",'Growth Rates'!AC88,'Growth Rates'!AC88*AC$5)</f>
        <v>2.5966262870745892E-3</v>
      </c>
    </row>
    <row r="93" spans="2:29" x14ac:dyDescent="0.25">
      <c r="B93" t="s">
        <v>98</v>
      </c>
      <c r="C93">
        <v>0</v>
      </c>
      <c r="D93">
        <f>IF($A37="AEO",'Growth Rates'!D89,'Growth Rates'!D89*D$5)</f>
        <v>1.8315595693449895E-2</v>
      </c>
      <c r="E93">
        <f>IF($A37="AEO",'Growth Rates'!E89,'Growth Rates'!E89*E$5)</f>
        <v>2.9575849680565324E-2</v>
      </c>
      <c r="F93">
        <f>IF($A37="AEO",'Growth Rates'!F89,'Growth Rates'!F89*F$5)</f>
        <v>1.9267205525162808E-2</v>
      </c>
      <c r="G93">
        <f>IF($A37="AEO",'Growth Rates'!G89,'Growth Rates'!G89*G$5)</f>
        <v>1.3062395815688028E-2</v>
      </c>
      <c r="H93">
        <f>IF($A37="AEO",'Growth Rates'!H89,'Growth Rates'!H89*H$5)</f>
        <v>1.5509720133808854E-2</v>
      </c>
      <c r="I93">
        <f>IF($A37="AEO",'Growth Rates'!I89,'Growth Rates'!I89*I$5)</f>
        <v>1.746937614608465E-2</v>
      </c>
      <c r="J93">
        <f>IF($A37="AEO",'Growth Rates'!J89,'Growth Rates'!J89*J$5)</f>
        <v>1.6860595055457187E-2</v>
      </c>
      <c r="K93">
        <f>IF($A37="AEO",'Growth Rates'!K89,'Growth Rates'!K89*K$5)</f>
        <v>1.8860964361446613E-2</v>
      </c>
      <c r="L93">
        <f>IF($A37="AEO",'Growth Rates'!L89,'Growth Rates'!L89*L$5)</f>
        <v>2.006896715766052E-2</v>
      </c>
      <c r="M93">
        <f>IF($A37="AEO",'Growth Rates'!M89,'Growth Rates'!M89*M$5)</f>
        <v>2.0953992150879515E-2</v>
      </c>
      <c r="N93">
        <f>IF($A37="AEO",'Growth Rates'!N89,'Growth Rates'!N89*N$5)</f>
        <v>2.1740814061666863E-2</v>
      </c>
      <c r="O93">
        <f>IF($A37="AEO",'Growth Rates'!O89,'Growth Rates'!O89*O$5)</f>
        <v>1.7694569249616238E-2</v>
      </c>
      <c r="P93">
        <f>IF($A37="AEO",'Growth Rates'!P89,'Growth Rates'!P89*P$5)</f>
        <v>1.724321095926578E-2</v>
      </c>
      <c r="Q93">
        <f>IF($A37="AEO",'Growth Rates'!Q89,'Growth Rates'!Q89*Q$5)</f>
        <v>1.7004794403549205E-2</v>
      </c>
      <c r="R93">
        <f>IF($A37="AEO",'Growth Rates'!R89,'Growth Rates'!R89*R$5)</f>
        <v>1.6389116353457692E-2</v>
      </c>
      <c r="S93">
        <f>IF($A37="AEO",'Growth Rates'!S89,'Growth Rates'!S89*S$5)</f>
        <v>1.6173176878498122E-2</v>
      </c>
      <c r="T93">
        <f>IF($A37="AEO",'Growth Rates'!T89,'Growth Rates'!T89*T$5)</f>
        <v>1.5424641929055176E-2</v>
      </c>
      <c r="U93">
        <f>IF($A37="AEO",'Growth Rates'!U89,'Growth Rates'!U89*U$5)</f>
        <v>1.5567375722541634E-2</v>
      </c>
      <c r="V93">
        <f>IF($A37="AEO",'Growth Rates'!V89,'Growth Rates'!V89*V$5)</f>
        <v>1.5913421435374046E-2</v>
      </c>
      <c r="W93">
        <f>IF($A37="AEO",'Growth Rates'!W89,'Growth Rates'!W89*W$5)</f>
        <v>1.5699153767053858E-2</v>
      </c>
      <c r="X93">
        <f>IF($A37="AEO",'Growth Rates'!X89,'Growth Rates'!X89*X$5)</f>
        <v>1.5205984773227946E-2</v>
      </c>
      <c r="Y93">
        <f>IF($A37="AEO",'Growth Rates'!Y89,'Growth Rates'!Y89*Y$5)</f>
        <v>1.4463947813173204E-2</v>
      </c>
      <c r="Z93">
        <f>IF($A37="AEO",'Growth Rates'!Z89,'Growth Rates'!Z89*Z$5)</f>
        <v>1.3616270070266253E-2</v>
      </c>
      <c r="AA93">
        <f>IF($A37="AEO",'Growth Rates'!AA89,'Growth Rates'!AA89*AA$5)</f>
        <v>1.3469222339377656E-2</v>
      </c>
      <c r="AB93">
        <f>IF($A37="AEO",'Growth Rates'!AB89,'Growth Rates'!AB89*AB$5)</f>
        <v>1.2805203560026715E-2</v>
      </c>
      <c r="AC93">
        <f>IF($A37="AEO",'Growth Rates'!AC89,'Growth Rates'!AC89*AC$5)</f>
        <v>1.3089373871111179E-2</v>
      </c>
    </row>
    <row r="94" spans="2:29" x14ac:dyDescent="0.25">
      <c r="B94" t="s">
        <v>119</v>
      </c>
      <c r="C94">
        <v>0</v>
      </c>
      <c r="D94">
        <f>IF($A38="AEO",'Growth Rates'!D90,'Growth Rates'!D90*D$5)</f>
        <v>6.4104584927074616E-3</v>
      </c>
      <c r="E94">
        <f>IF($A38="AEO",'Growth Rates'!E90,'Growth Rates'!E90*E$5)</f>
        <v>1.0351547388197862E-2</v>
      </c>
      <c r="F94">
        <f>IF($A38="AEO",'Growth Rates'!F90,'Growth Rates'!F90*F$5)</f>
        <v>6.743521933806982E-3</v>
      </c>
      <c r="G94">
        <f>IF($A38="AEO",'Growth Rates'!G90,'Growth Rates'!G90*G$5)</f>
        <v>4.5718385354908096E-3</v>
      </c>
      <c r="H94">
        <f>IF($A38="AEO",'Growth Rates'!H90,'Growth Rates'!H90*H$5)</f>
        <v>5.4284020468330979E-3</v>
      </c>
      <c r="I94">
        <f>IF($A38="AEO",'Growth Rates'!I90,'Growth Rates'!I90*I$5)</f>
        <v>6.114281651129626E-3</v>
      </c>
      <c r="J94">
        <f>IF($A38="AEO",'Growth Rates'!J90,'Growth Rates'!J90*J$5)</f>
        <v>5.9012082694100141E-3</v>
      </c>
      <c r="K94">
        <f>IF($A38="AEO",'Growth Rates'!K90,'Growth Rates'!K90*K$5)</f>
        <v>6.6013375265063139E-3</v>
      </c>
      <c r="L94">
        <f>IF($A38="AEO",'Growth Rates'!L90,'Growth Rates'!L90*L$5)</f>
        <v>7.0241385051811817E-3</v>
      </c>
      <c r="M94">
        <f>IF($A38="AEO",'Growth Rates'!M90,'Growth Rates'!M90*M$5)</f>
        <v>7.3338972528078292E-3</v>
      </c>
      <c r="N94">
        <f>IF($A38="AEO",'Growth Rates'!N90,'Growth Rates'!N90*N$5)</f>
        <v>7.6092849215834008E-3</v>
      </c>
      <c r="O94">
        <f>IF($A38="AEO",'Growth Rates'!O90,'Growth Rates'!O90*O$5)</f>
        <v>6.1930992373656832E-3</v>
      </c>
      <c r="P94">
        <f>IF($A38="AEO",'Growth Rates'!P90,'Growth Rates'!P90*P$5)</f>
        <v>6.0351238357430215E-3</v>
      </c>
      <c r="Q94">
        <f>IF($A38="AEO",'Growth Rates'!Q90,'Growth Rates'!Q90*Q$5)</f>
        <v>5.9516780412422208E-3</v>
      </c>
      <c r="R94">
        <f>IF($A38="AEO",'Growth Rates'!R90,'Growth Rates'!R90*R$5)</f>
        <v>5.736190723710192E-3</v>
      </c>
      <c r="S94">
        <f>IF($A38="AEO",'Growth Rates'!S90,'Growth Rates'!S90*S$5)</f>
        <v>5.6606119074743425E-3</v>
      </c>
      <c r="T94">
        <f>IF($A38="AEO",'Growth Rates'!T90,'Growth Rates'!T90*T$5)</f>
        <v>5.3986246751693114E-3</v>
      </c>
      <c r="U94">
        <f>IF($A38="AEO",'Growth Rates'!U90,'Growth Rates'!U90*U$5)</f>
        <v>5.4485815028895712E-3</v>
      </c>
      <c r="V94">
        <f>IF($A38="AEO",'Growth Rates'!V90,'Growth Rates'!V90*V$5)</f>
        <v>5.5696975023809148E-3</v>
      </c>
      <c r="W94">
        <f>IF($A38="AEO",'Growth Rates'!W90,'Growth Rates'!W90*W$5)</f>
        <v>5.4947038184688492E-3</v>
      </c>
      <c r="X94">
        <f>IF($A38="AEO",'Growth Rates'!X90,'Growth Rates'!X90*X$5)</f>
        <v>5.3220946706297803E-3</v>
      </c>
      <c r="Y94">
        <f>IF($A38="AEO",'Growth Rates'!Y90,'Growth Rates'!Y90*Y$5)</f>
        <v>5.0623817346106209E-3</v>
      </c>
      <c r="Z94">
        <f>IF($A38="AEO",'Growth Rates'!Z90,'Growth Rates'!Z90*Z$5)</f>
        <v>4.7656945245931875E-3</v>
      </c>
      <c r="AA94">
        <f>IF($A38="AEO",'Growth Rates'!AA90,'Growth Rates'!AA90*AA$5)</f>
        <v>4.7142278187821789E-3</v>
      </c>
      <c r="AB94">
        <f>IF($A38="AEO",'Growth Rates'!AB90,'Growth Rates'!AB90*AB$5)</f>
        <v>4.4818212460093496E-3</v>
      </c>
      <c r="AC94">
        <f>IF($A38="AEO",'Growth Rates'!AC90,'Growth Rates'!AC90*AC$5)</f>
        <v>4.5812808548889123E-3</v>
      </c>
    </row>
    <row r="95" spans="2:29" x14ac:dyDescent="0.25">
      <c r="B95" t="s">
        <v>122</v>
      </c>
      <c r="C95">
        <v>0</v>
      </c>
      <c r="D95">
        <f>IF($A39="AEO",'Growth Rates'!D91,'Growth Rates'!D91*D$5)</f>
        <v>1.3643261340305224E-2</v>
      </c>
      <c r="E95">
        <f>IF($A39="AEO",'Growth Rates'!E91,'Growth Rates'!E91*E$5)</f>
        <v>2.2031008617308633E-2</v>
      </c>
      <c r="F95">
        <f>IF($A39="AEO",'Growth Rates'!F91,'Growth Rates'!F91*F$5)</f>
        <v>1.4352114158709935E-2</v>
      </c>
      <c r="G95">
        <f>IF($A39="AEO",'Growth Rates'!G91,'Growth Rates'!G91*G$5)</f>
        <v>9.7301601775188103E-3</v>
      </c>
      <c r="H95">
        <f>IF($A39="AEO",'Growth Rates'!H91,'Growth Rates'!H91*H$5)</f>
        <v>1.1553168602439852E-2</v>
      </c>
      <c r="I95">
        <f>IF($A39="AEO",'Growth Rates'!I91,'Growth Rates'!I91*I$5)</f>
        <v>1.3012913595726667E-2</v>
      </c>
      <c r="J95">
        <f>IF($A39="AEO",'Growth Rates'!J91,'Growth Rates'!J91*J$5)</f>
        <v>1.255943342191846E-2</v>
      </c>
      <c r="K95">
        <f>IF($A39="AEO",'Growth Rates'!K91,'Growth Rates'!K91*K$5)</f>
        <v>1.4049505690138428E-2</v>
      </c>
      <c r="L95">
        <f>IF($A39="AEO",'Growth Rates'!L91,'Growth Rates'!L91*L$5)</f>
        <v>1.4949345265351363E-2</v>
      </c>
      <c r="M95">
        <f>IF($A39="AEO",'Growth Rates'!M91,'Growth Rates'!M91*M$5)</f>
        <v>1.5608599131689261E-2</v>
      </c>
      <c r="N95">
        <f>IF($A39="AEO",'Growth Rates'!N91,'Growth Rates'!N91*N$5)</f>
        <v>1.6194701660748097E-2</v>
      </c>
      <c r="O95">
        <f>IF($A39="AEO",'Growth Rates'!O91,'Growth Rates'!O91*O$5)</f>
        <v>1.3180659620204302E-2</v>
      </c>
      <c r="P95">
        <f>IF($A39="AEO",'Growth Rates'!P91,'Growth Rates'!P91*P$5)</f>
        <v>1.284444346778252E-2</v>
      </c>
      <c r="Q95">
        <f>IF($A39="AEO",'Growth Rates'!Q91,'Growth Rates'!Q91*Q$5)</f>
        <v>1.2666847312465555E-2</v>
      </c>
      <c r="R95">
        <f>IF($A39="AEO",'Growth Rates'!R91,'Growth Rates'!R91*R$5)</f>
        <v>1.2208229603302428E-2</v>
      </c>
      <c r="S95">
        <f>IF($A39="AEO",'Growth Rates'!S91,'Growth Rates'!S91*S$5)</f>
        <v>1.204737659366675E-2</v>
      </c>
      <c r="T95">
        <f>IF($A39="AEO",'Growth Rates'!T91,'Growth Rates'!T91*T$5)</f>
        <v>1.1489793967989196E-2</v>
      </c>
      <c r="U95">
        <f>IF($A39="AEO",'Growth Rates'!U91,'Growth Rates'!U91*U$5)</f>
        <v>1.159611616898238E-2</v>
      </c>
      <c r="V95">
        <f>IF($A39="AEO",'Growth Rates'!V91,'Growth Rates'!V91*V$5)</f>
        <v>1.185388513128554E-2</v>
      </c>
      <c r="W95">
        <f>IF($A39="AEO",'Growth Rates'!W91,'Growth Rates'!W91*W$5)</f>
        <v>1.1694277448052195E-2</v>
      </c>
      <c r="X95">
        <f>IF($A39="AEO",'Growth Rates'!X91,'Growth Rates'!X91*X$5)</f>
        <v>1.132691656171703E-2</v>
      </c>
      <c r="Y95">
        <f>IF($A39="AEO",'Growth Rates'!Y91,'Growth Rates'!Y91*Y$5)</f>
        <v>1.0774174279148903E-2</v>
      </c>
      <c r="Z95">
        <f>IF($A39="AEO",'Growth Rates'!Z91,'Growth Rates'!Z91*Z$5)</f>
        <v>1.01427403267727E-2</v>
      </c>
      <c r="AA95">
        <f>IF($A39="AEO",'Growth Rates'!AA91,'Growth Rates'!AA91*AA$5)</f>
        <v>1.0033204679907037E-2</v>
      </c>
      <c r="AB95">
        <f>IF($A39="AEO",'Growth Rates'!AB91,'Growth Rates'!AB91*AB$5)</f>
        <v>9.5385780298551798E-3</v>
      </c>
      <c r="AC95">
        <f>IF($A39="AEO",'Growth Rates'!AC91,'Growth Rates'!AC91*AC$5)</f>
        <v>9.7502560928661303E-3</v>
      </c>
    </row>
    <row r="96" spans="2:29" x14ac:dyDescent="0.25">
      <c r="B96" t="s">
        <v>125</v>
      </c>
      <c r="C96">
        <v>0</v>
      </c>
      <c r="D96">
        <f>IF($A40="AEO",'Growth Rates'!D92,'Growth Rates'!D92*D$5)</f>
        <v>5.9669924007771706E-2</v>
      </c>
      <c r="E96">
        <f>IF($A40="AEO",'Growth Rates'!E92,'Growth Rates'!E92*E$5)</f>
        <v>-3.5622398453959603E-3</v>
      </c>
      <c r="F96">
        <f>IF($A40="AEO",'Growth Rates'!F92,'Growth Rates'!F92*F$5)</f>
        <v>6.0002827825867341E-3</v>
      </c>
      <c r="G96">
        <f>IF($A40="AEO",'Growth Rates'!G92,'Growth Rates'!G92*G$5)</f>
        <v>6.2367169119028577E-3</v>
      </c>
      <c r="H96">
        <f>IF($A40="AEO",'Growth Rates'!H92,'Growth Rates'!H92*H$5)</f>
        <v>1.6493947059946858E-2</v>
      </c>
      <c r="I96">
        <f>IF($A40="AEO",'Growth Rates'!I92,'Growth Rates'!I92*I$5)</f>
        <v>1.6767179940399238E-2</v>
      </c>
      <c r="J96">
        <f>IF($A40="AEO",'Growth Rates'!J92,'Growth Rates'!J92*J$5)</f>
        <v>1.5267178023281685E-2</v>
      </c>
      <c r="K96">
        <f>IF($A40="AEO",'Growth Rates'!K92,'Growth Rates'!K92*K$5)</f>
        <v>1.5087377513292623E-2</v>
      </c>
      <c r="L96">
        <f>IF($A40="AEO",'Growth Rates'!L92,'Growth Rates'!L92*L$5)</f>
        <v>1.2507505364018977E-2</v>
      </c>
      <c r="M96">
        <f>IF($A40="AEO",'Growth Rates'!M92,'Growth Rates'!M92*M$5)</f>
        <v>7.935139952700945E-3</v>
      </c>
      <c r="N96">
        <f>IF($A40="AEO",'Growth Rates'!N92,'Growth Rates'!N92*N$5)</f>
        <v>1.0927655626535845E-2</v>
      </c>
      <c r="O96">
        <f>IF($A40="AEO",'Growth Rates'!O92,'Growth Rates'!O92*O$5)</f>
        <v>9.457709870963853E-3</v>
      </c>
      <c r="P96">
        <f>IF($A40="AEO",'Growth Rates'!P92,'Growth Rates'!P92*P$5)</f>
        <v>8.0154366911507225E-3</v>
      </c>
      <c r="Q96">
        <f>IF($A40="AEO",'Growth Rates'!Q92,'Growth Rates'!Q92*Q$5)</f>
        <v>6.7917630994960322E-3</v>
      </c>
      <c r="R96">
        <f>IF($A40="AEO",'Growth Rates'!R92,'Growth Rates'!R92*R$5)</f>
        <v>5.827733722957187E-3</v>
      </c>
      <c r="S96">
        <f>IF($A40="AEO",'Growth Rates'!S92,'Growth Rates'!S92*S$5)</f>
        <v>3.610756382528506E-3</v>
      </c>
      <c r="T96">
        <f>IF($A40="AEO",'Growth Rates'!T92,'Growth Rates'!T92*T$5)</f>
        <v>2.3745631258577406E-3</v>
      </c>
      <c r="U96">
        <f>IF($A40="AEO",'Growth Rates'!U92,'Growth Rates'!U92*U$5)</f>
        <v>5.8975026223083054E-3</v>
      </c>
      <c r="V96">
        <f>IF($A40="AEO",'Growth Rates'!V92,'Growth Rates'!V92*V$5)</f>
        <v>4.2630783665079741E-3</v>
      </c>
      <c r="W96">
        <f>IF($A40="AEO",'Growth Rates'!W92,'Growth Rates'!W92*W$5)</f>
        <v>5.0921734152755719E-3</v>
      </c>
      <c r="X96">
        <f>IF($A40="AEO",'Growth Rates'!X92,'Growth Rates'!X92*X$5)</f>
        <v>9.7286040284667464E-3</v>
      </c>
      <c r="Y96">
        <f>IF($A40="AEO",'Growth Rates'!Y92,'Growth Rates'!Y92*Y$5)</f>
        <v>1.0093288979207428E-2</v>
      </c>
      <c r="Z96">
        <f>IF($A40="AEO",'Growth Rates'!Z92,'Growth Rates'!Z92*Z$5)</f>
        <v>9.1794346705411749E-3</v>
      </c>
      <c r="AA96">
        <f>IF($A40="AEO",'Growth Rates'!AA92,'Growth Rates'!AA92*AA$5)</f>
        <v>9.2093321853761578E-3</v>
      </c>
      <c r="AB96">
        <f>IF($A40="AEO",'Growth Rates'!AB92,'Growth Rates'!AB92*AB$5)</f>
        <v>1.0398181780053332E-2</v>
      </c>
      <c r="AC96">
        <f>IF($A40="AEO",'Growth Rates'!AC92,'Growth Rates'!AC92*AC$5)</f>
        <v>1.185113293339303E-2</v>
      </c>
    </row>
    <row r="97" spans="2:29" x14ac:dyDescent="0.25">
      <c r="B97" t="s">
        <v>351</v>
      </c>
      <c r="C97">
        <v>0</v>
      </c>
      <c r="D97">
        <f>IF($A41="AEO",'Growth Rates'!D93,'Growth Rates'!D93*D$5)</f>
        <v>2.3144565003807377E-2</v>
      </c>
      <c r="E97">
        <f>IF($A41="AEO",'Growth Rates'!E93,'Growth Rates'!E93*E$5)</f>
        <v>3.7373623382584327E-2</v>
      </c>
      <c r="F97">
        <f>IF($A41="AEO",'Growth Rates'!F93,'Growth Rates'!F93*F$5)</f>
        <v>2.4347070015217857E-2</v>
      </c>
      <c r="G97">
        <f>IF($A41="AEO",'Growth Rates'!G93,'Growth Rates'!G93*G$5)</f>
        <v>1.6506341050636499E-2</v>
      </c>
      <c r="H97">
        <f>IF($A41="AEO",'Growth Rates'!H93,'Growth Rates'!H93*H$5)</f>
        <v>1.9598910777233088E-2</v>
      </c>
      <c r="I97">
        <f>IF($A41="AEO",'Growth Rates'!I93,'Growth Rates'!I93*I$5)</f>
        <v>2.207523678487909E-2</v>
      </c>
      <c r="J97">
        <f>IF($A41="AEO",'Growth Rates'!J93,'Growth Rates'!J93*J$5)</f>
        <v>2.1305948482115616E-2</v>
      </c>
      <c r="K97">
        <f>IF($A41="AEO",'Growth Rates'!K93,'Growth Rates'!K93*K$5)</f>
        <v>2.383372198230543E-2</v>
      </c>
      <c r="L97">
        <f>IF($A41="AEO",'Growth Rates'!L93,'Growth Rates'!L93*L$5)</f>
        <v>2.5360218838301907E-2</v>
      </c>
      <c r="M97">
        <f>IF($A41="AEO",'Growth Rates'!M93,'Growth Rates'!M93*M$5)</f>
        <v>2.6478583691314939E-2</v>
      </c>
      <c r="N97">
        <f>IF($A41="AEO",'Growth Rates'!N93,'Growth Rates'!N93*N$5)</f>
        <v>2.7472853884074777E-2</v>
      </c>
      <c r="O97">
        <f>IF($A41="AEO",'Growth Rates'!O93,'Growth Rates'!O93*O$5)</f>
        <v>2.2359802818675084E-2</v>
      </c>
      <c r="P97">
        <f>IF($A41="AEO",'Growth Rates'!P93,'Growth Rates'!P93*P$5)</f>
        <v>2.1789442374719688E-2</v>
      </c>
      <c r="Q97">
        <f>IF($A41="AEO",'Growth Rates'!Q93,'Growth Rates'!Q93*Q$5)</f>
        <v>2.1488166480442359E-2</v>
      </c>
      <c r="R97">
        <f>IF($A41="AEO",'Growth Rates'!R93,'Growth Rates'!R93*R$5)</f>
        <v>2.0710162811314832E-2</v>
      </c>
      <c r="S97">
        <f>IF($A41="AEO",'Growth Rates'!S93,'Growth Rates'!S93*S$5)</f>
        <v>2.0437290156843806E-2</v>
      </c>
      <c r="T97">
        <f>IF($A41="AEO",'Growth Rates'!T93,'Growth Rates'!T93*T$5)</f>
        <v>1.9491401413449037E-2</v>
      </c>
      <c r="U97">
        <f>IF($A41="AEO",'Growth Rates'!U93,'Growth Rates'!U93*U$5)</f>
        <v>1.9671767458696955E-2</v>
      </c>
      <c r="V97">
        <f>IF($A41="AEO",'Growth Rates'!V93,'Growth Rates'!V93*V$5)</f>
        <v>2.0109049304670591E-2</v>
      </c>
      <c r="W97">
        <f>IF($A41="AEO",'Growth Rates'!W93,'Growth Rates'!W93*W$5)</f>
        <v>1.9838289234364807E-2</v>
      </c>
      <c r="X97">
        <f>IF($A41="AEO",'Growth Rates'!X93,'Growth Rates'!X93*X$5)</f>
        <v>1.9215094552274936E-2</v>
      </c>
      <c r="Y97">
        <f>IF($A41="AEO",'Growth Rates'!Y93,'Growth Rates'!Y93*Y$5)</f>
        <v>1.8277417015346315E-2</v>
      </c>
      <c r="Z97">
        <f>IF($A41="AEO",'Growth Rates'!Z93,'Growth Rates'!Z93*Z$5)</f>
        <v>1.7206246142645355E-2</v>
      </c>
      <c r="AA97">
        <f>IF($A41="AEO",'Growth Rates'!AA93,'Growth Rates'!AA93*AA$5)</f>
        <v>1.7020428775677016E-2</v>
      </c>
      <c r="AB97">
        <f>IF($A41="AEO",'Growth Rates'!AB93,'Growth Rates'!AB93*AB$5)</f>
        <v>1.6181339179048019E-2</v>
      </c>
      <c r="AC97">
        <f>IF($A41="AEO",'Growth Rates'!AC93,'Growth Rates'!AC93*AC$5)</f>
        <v>1.6540431962440188E-2</v>
      </c>
    </row>
    <row r="98" spans="2:29" x14ac:dyDescent="0.25">
      <c r="B98" t="s">
        <v>453</v>
      </c>
      <c r="C98">
        <v>0</v>
      </c>
      <c r="D98">
        <f>IF($A42="AEO",'Growth Rates'!D94,'Growth Rates'!D94*D$5)</f>
        <v>1.6945999165965266E-2</v>
      </c>
      <c r="E98">
        <f>IF($A42="AEO",'Growth Rates'!E94,'Growth Rates'!E94*E$5)</f>
        <v>2.7364238237624603E-2</v>
      </c>
      <c r="F98">
        <f>IF($A42="AEO",'Growth Rates'!F94,'Growth Rates'!F94*F$5)</f>
        <v>1.7826449885910915E-2</v>
      </c>
      <c r="G98">
        <f>IF($A42="AEO",'Growth Rates'!G94,'Growth Rates'!G94*G$5)</f>
        <v>1.2085621035919657E-2</v>
      </c>
      <c r="H98">
        <f>IF($A42="AEO",'Growth Rates'!H94,'Growth Rates'!H94*H$5)</f>
        <v>1.4349940283180261E-2</v>
      </c>
      <c r="I98">
        <f>IF($A42="AEO",'Growth Rates'!I94,'Growth Rates'!I94*I$5)</f>
        <v>1.6163057896465455E-2</v>
      </c>
      <c r="J98">
        <f>IF($A42="AEO",'Growth Rates'!J94,'Growth Rates'!J94*J$5)</f>
        <v>1.5599800002663082E-2</v>
      </c>
      <c r="K98">
        <f>IF($A42="AEO",'Growth Rates'!K94,'Growth Rates'!K94*K$5)</f>
        <v>1.7450586466738732E-2</v>
      </c>
      <c r="L98">
        <f>IF($A42="AEO",'Growth Rates'!L94,'Growth Rates'!L94*L$5)</f>
        <v>1.8568257697298023E-2</v>
      </c>
      <c r="M98">
        <f>IF($A42="AEO",'Growth Rates'!M94,'Growth Rates'!M94*M$5)</f>
        <v>1.9387102634037427E-2</v>
      </c>
      <c r="N98">
        <f>IF($A42="AEO",'Growth Rates'!N94,'Growth Rates'!N94*N$5)</f>
        <v>2.0115087880443253E-2</v>
      </c>
      <c r="O98">
        <f>IF($A42="AEO",'Growth Rates'!O94,'Growth Rates'!O94*O$5)</f>
        <v>1.6371411597240374E-2</v>
      </c>
      <c r="P98">
        <f>IF($A42="AEO",'Growth Rates'!P94,'Growth Rates'!P94*P$5)</f>
        <v>1.5953804802471161E-2</v>
      </c>
      <c r="Q98">
        <f>IF($A42="AEO",'Growth Rates'!Q94,'Growth Rates'!Q94*Q$5)</f>
        <v>1.5733216467701889E-2</v>
      </c>
      <c r="R98">
        <f>IF($A42="AEO",'Growth Rates'!R94,'Growth Rates'!R94*R$5)</f>
        <v>1.5163577352601468E-2</v>
      </c>
      <c r="S98">
        <f>IF($A42="AEO",'Growth Rates'!S94,'Growth Rates'!S94*S$5)</f>
        <v>1.4963785316141932E-2</v>
      </c>
      <c r="T98">
        <f>IF($A42="AEO",'Growth Rates'!T94,'Growth Rates'!T94*T$5)</f>
        <v>1.4271224023500362E-2</v>
      </c>
      <c r="U98">
        <f>IF($A42="AEO",'Growth Rates'!U94,'Growth Rates'!U94*U$5)</f>
        <v>1.4403284524608801E-2</v>
      </c>
      <c r="V98">
        <f>IF($A42="AEO",'Growth Rates'!V94,'Growth Rates'!V94*V$5)</f>
        <v>1.4723453765030561E-2</v>
      </c>
      <c r="W98">
        <f>IF($A42="AEO",'Growth Rates'!W94,'Growth Rates'!W94*W$5)</f>
        <v>1.452520852150044E-2</v>
      </c>
      <c r="X98">
        <f>IF($A42="AEO",'Growth Rates'!X94,'Growth Rates'!X94*X$5)</f>
        <v>1.4068917527861472E-2</v>
      </c>
      <c r="Y98">
        <f>IF($A42="AEO",'Growth Rates'!Y94,'Growth Rates'!Y94*Y$5)</f>
        <v>1.3382368320472056E-2</v>
      </c>
      <c r="Z98">
        <f>IF($A42="AEO",'Growth Rates'!Z94,'Growth Rates'!Z94*Z$5)</f>
        <v>1.25980778958125E-2</v>
      </c>
      <c r="AA98">
        <f>IF($A42="AEO",'Growth Rates'!AA94,'Growth Rates'!AA94*AA$5)</f>
        <v>1.2462026043243687E-2</v>
      </c>
      <c r="AB98">
        <f>IF($A42="AEO",'Growth Rates'!AB94,'Growth Rates'!AB94*AB$5)</f>
        <v>1.1847661003230793E-2</v>
      </c>
      <c r="AC98">
        <f>IF($A42="AEO",'Growth Rates'!AC94,'Growth Rates'!AC94*AC$5)</f>
        <v>1.2110581736753622E-2</v>
      </c>
    </row>
    <row r="99" spans="2:29" x14ac:dyDescent="0.25">
      <c r="B99" t="s">
        <v>456</v>
      </c>
      <c r="C99">
        <v>0</v>
      </c>
      <c r="D99">
        <f>IF($A43="AEO",'Growth Rates'!D95,'Growth Rates'!D95*D$5)</f>
        <v>1.9231375478122387E-2</v>
      </c>
      <c r="E99">
        <f>IF($A43="AEO",'Growth Rates'!E95,'Growth Rates'!E95*E$5)</f>
        <v>3.1054642164593593E-2</v>
      </c>
      <c r="F99">
        <f>IF($A43="AEO",'Growth Rates'!F95,'Growth Rates'!F95*F$5)</f>
        <v>2.0230565801420949E-2</v>
      </c>
      <c r="G99">
        <f>IF($A43="AEO",'Growth Rates'!G95,'Growth Rates'!G95*G$5)</f>
        <v>1.3715515606472431E-2</v>
      </c>
      <c r="H99">
        <f>IF($A43="AEO",'Growth Rates'!H95,'Growth Rates'!H95*H$5)</f>
        <v>1.6285206140499296E-2</v>
      </c>
      <c r="I99">
        <f>IF($A43="AEO",'Growth Rates'!I95,'Growth Rates'!I95*I$5)</f>
        <v>1.8342844953388882E-2</v>
      </c>
      <c r="J99">
        <f>IF($A43="AEO",'Growth Rates'!J95,'Growth Rates'!J95*J$5)</f>
        <v>1.7703624808230047E-2</v>
      </c>
      <c r="K99">
        <f>IF($A43="AEO",'Growth Rates'!K95,'Growth Rates'!K95*K$5)</f>
        <v>1.9804012579518946E-2</v>
      </c>
      <c r="L99">
        <f>IF($A43="AEO",'Growth Rates'!L95,'Growth Rates'!L95*L$5)</f>
        <v>2.1072415515543546E-2</v>
      </c>
      <c r="M99">
        <f>IF($A43="AEO",'Growth Rates'!M95,'Growth Rates'!M95*M$5)</f>
        <v>2.2001691758423491E-2</v>
      </c>
      <c r="N99">
        <f>IF($A43="AEO",'Growth Rates'!N95,'Growth Rates'!N95*N$5)</f>
        <v>2.2827854764750206E-2</v>
      </c>
      <c r="O99">
        <f>IF($A43="AEO",'Growth Rates'!O95,'Growth Rates'!O95*O$5)</f>
        <v>1.8579297712097053E-2</v>
      </c>
      <c r="P99">
        <f>IF($A43="AEO",'Growth Rates'!P95,'Growth Rates'!P95*P$5)</f>
        <v>1.8105371507229066E-2</v>
      </c>
      <c r="Q99">
        <f>IF($A43="AEO",'Growth Rates'!Q95,'Growth Rates'!Q95*Q$5)</f>
        <v>1.7855034123726667E-2</v>
      </c>
      <c r="R99">
        <f>IF($A43="AEO",'Growth Rates'!R95,'Growth Rates'!R95*R$5)</f>
        <v>1.720857217113058E-2</v>
      </c>
      <c r="S99">
        <f>IF($A43="AEO",'Growth Rates'!S95,'Growth Rates'!S95*S$5)</f>
        <v>1.6981835722423032E-2</v>
      </c>
      <c r="T99">
        <f>IF($A43="AEO",'Growth Rates'!T95,'Growth Rates'!T95*T$5)</f>
        <v>1.6195874025507935E-2</v>
      </c>
      <c r="U99">
        <f>IF($A43="AEO",'Growth Rates'!U95,'Growth Rates'!U95*U$5)</f>
        <v>1.6345744508668717E-2</v>
      </c>
      <c r="V99">
        <f>IF($A43="AEO",'Growth Rates'!V95,'Growth Rates'!V95*V$5)</f>
        <v>1.6709092507142746E-2</v>
      </c>
      <c r="W99">
        <f>IF($A43="AEO",'Growth Rates'!W95,'Growth Rates'!W95*W$5)</f>
        <v>1.6484111455406552E-2</v>
      </c>
      <c r="X99">
        <f>IF($A43="AEO",'Growth Rates'!X95,'Growth Rates'!X95*X$5)</f>
        <v>1.5966284011889344E-2</v>
      </c>
      <c r="Y99">
        <f>IF($A43="AEO",'Growth Rates'!Y95,'Growth Rates'!Y95*Y$5)</f>
        <v>1.5187145203831865E-2</v>
      </c>
      <c r="Z99">
        <f>IF($A43="AEO",'Growth Rates'!Z95,'Growth Rates'!Z95*Z$5)</f>
        <v>1.4297083573779566E-2</v>
      </c>
      <c r="AA99">
        <f>IF($A43="AEO",'Growth Rates'!AA95,'Growth Rates'!AA95*AA$5)</f>
        <v>1.414268345634654E-2</v>
      </c>
      <c r="AB99">
        <f>IF($A43="AEO",'Growth Rates'!AB95,'Growth Rates'!AB95*AB$5)</f>
        <v>1.3445463738028051E-2</v>
      </c>
      <c r="AC99">
        <f>IF($A43="AEO",'Growth Rates'!AC95,'Growth Rates'!AC95*AC$5)</f>
        <v>1.3743842564666738E-2</v>
      </c>
    </row>
    <row r="100" spans="2:29" x14ac:dyDescent="0.25">
      <c r="B100" t="s">
        <v>446</v>
      </c>
      <c r="C100">
        <v>0</v>
      </c>
      <c r="D100">
        <f>IF($A44="AEO",'Growth Rates'!D96,'Growth Rates'!D96*D$5)</f>
        <v>2.1062935047467375E-2</v>
      </c>
      <c r="E100">
        <f>IF($A44="AEO",'Growth Rates'!E96,'Growth Rates'!E96*E$5)</f>
        <v>3.4012227132650126E-2</v>
      </c>
      <c r="F100">
        <f>IF($A44="AEO",'Growth Rates'!F96,'Growth Rates'!F96*F$5)</f>
        <v>2.2157286353937228E-2</v>
      </c>
      <c r="G100">
        <f>IF($A44="AEO",'Growth Rates'!G96,'Growth Rates'!G96*G$5)</f>
        <v>1.5021755188041231E-2</v>
      </c>
      <c r="H100">
        <f>IF($A44="AEO",'Growth Rates'!H96,'Growth Rates'!H96*H$5)</f>
        <v>1.7836178153880181E-2</v>
      </c>
      <c r="I100">
        <f>IF($A44="AEO",'Growth Rates'!I96,'Growth Rates'!I96*I$5)</f>
        <v>2.0089782567997344E-2</v>
      </c>
      <c r="J100">
        <f>IF($A44="AEO",'Growth Rates'!J96,'Growth Rates'!J96*J$5)</f>
        <v>1.9389684313775763E-2</v>
      </c>
      <c r="K100">
        <f>IF($A44="AEO",'Growth Rates'!K96,'Growth Rates'!K96*K$5)</f>
        <v>2.1690109015663605E-2</v>
      </c>
      <c r="L100">
        <f>IF($A44="AEO",'Growth Rates'!L96,'Growth Rates'!L96*L$5)</f>
        <v>2.3079312231309598E-2</v>
      </c>
      <c r="M100">
        <f>IF($A44="AEO",'Growth Rates'!M96,'Growth Rates'!M96*M$5)</f>
        <v>2.409709097351144E-2</v>
      </c>
      <c r="N100">
        <f>IF($A44="AEO",'Growth Rates'!N96,'Growth Rates'!N96*N$5)</f>
        <v>2.5001936170916891E-2</v>
      </c>
      <c r="O100">
        <f>IF($A44="AEO",'Growth Rates'!O96,'Growth Rates'!O96*O$5)</f>
        <v>2.0348754637058673E-2</v>
      </c>
      <c r="P100">
        <f>IF($A44="AEO",'Growth Rates'!P96,'Growth Rates'!P96*P$5)</f>
        <v>1.9829692603155643E-2</v>
      </c>
      <c r="Q100">
        <f>IF($A44="AEO",'Growth Rates'!Q96,'Growth Rates'!Q96*Q$5)</f>
        <v>1.9555513564081584E-2</v>
      </c>
      <c r="R100">
        <f>IF($A44="AEO",'Growth Rates'!R96,'Growth Rates'!R96*R$5)</f>
        <v>1.8847483806476346E-2</v>
      </c>
      <c r="S100">
        <f>IF($A44="AEO",'Growth Rates'!S96,'Growth Rates'!S96*S$5)</f>
        <v>1.859915341027284E-2</v>
      </c>
      <c r="T100">
        <f>IF($A44="AEO",'Growth Rates'!T96,'Growth Rates'!T96*T$5)</f>
        <v>1.7738338218413453E-2</v>
      </c>
      <c r="U100">
        <f>IF($A44="AEO",'Growth Rates'!U96,'Growth Rates'!U96*U$5)</f>
        <v>1.790248208092288E-2</v>
      </c>
      <c r="V100">
        <f>IF($A44="AEO",'Growth Rates'!V96,'Growth Rates'!V96*V$5)</f>
        <v>1.8300434650680149E-2</v>
      </c>
      <c r="W100">
        <f>IF($A44="AEO",'Growth Rates'!W96,'Growth Rates'!W96*W$5)</f>
        <v>1.8054026832111936E-2</v>
      </c>
      <c r="X100">
        <f>IF($A44="AEO",'Growth Rates'!X96,'Growth Rates'!X96*X$5)</f>
        <v>1.7486882489212138E-2</v>
      </c>
      <c r="Y100">
        <f>IF($A44="AEO",'Growth Rates'!Y96,'Growth Rates'!Y96*Y$5)</f>
        <v>1.6633539985149184E-2</v>
      </c>
      <c r="Z100">
        <f>IF($A44="AEO",'Growth Rates'!Z96,'Growth Rates'!Z96*Z$5)</f>
        <v>1.5658710580806191E-2</v>
      </c>
      <c r="AA100">
        <f>IF($A44="AEO",'Growth Rates'!AA96,'Growth Rates'!AA96*AA$5)</f>
        <v>1.5489605690284304E-2</v>
      </c>
      <c r="AB100">
        <f>IF($A44="AEO",'Growth Rates'!AB96,'Growth Rates'!AB96*AB$5)</f>
        <v>1.4725984094030722E-2</v>
      </c>
      <c r="AC100">
        <f>IF($A44="AEO",'Growth Rates'!AC96,'Growth Rates'!AC96*AC$5)</f>
        <v>1.5052779951777855E-2</v>
      </c>
    </row>
    <row r="101" spans="2:29" x14ac:dyDescent="0.25">
      <c r="B101" t="s">
        <v>487</v>
      </c>
      <c r="C101">
        <v>0</v>
      </c>
      <c r="D101">
        <f>IF($A45="AEO",'Growth Rates'!D97,'Growth Rates'!D97*D$5)</f>
        <v>2.3640703022350294E-2</v>
      </c>
      <c r="E101">
        <f>IF($A45="AEO",'Growth Rates'!E97,'Growth Rates'!E97*E$5)</f>
        <v>3.8174782334923871E-2</v>
      </c>
      <c r="F101">
        <f>IF($A45="AEO",'Growth Rates'!F97,'Growth Rates'!F97*F$5)</f>
        <v>2.4868985509101143E-2</v>
      </c>
      <c r="G101">
        <f>IF($A45="AEO",'Growth Rates'!G97,'Growth Rates'!G97*G$5)</f>
        <v>1.6860178910233739E-2</v>
      </c>
      <c r="H101">
        <f>IF($A45="AEO",'Growth Rates'!H97,'Growth Rates'!H97*H$5)</f>
        <v>2.0019042447757734E-2</v>
      </c>
      <c r="I101">
        <f>IF($A45="AEO",'Growth Rates'!I97,'Growth Rates'!I97*I$5)</f>
        <v>2.2548452169809156E-2</v>
      </c>
      <c r="J101">
        <f>IF($A45="AEO",'Growth Rates'!J97,'Growth Rates'!J97*J$5)</f>
        <v>2.1762673033272895E-2</v>
      </c>
      <c r="K101">
        <f>IF($A45="AEO",'Growth Rates'!K97,'Growth Rates'!K97*K$5)</f>
        <v>2.4344633101043615E-2</v>
      </c>
      <c r="L101">
        <f>IF($A45="AEO",'Growth Rates'!L97,'Growth Rates'!L97*L$5)</f>
        <v>2.5903852677269287E-2</v>
      </c>
      <c r="M101">
        <f>IF($A45="AEO",'Growth Rates'!M97,'Growth Rates'!M97*M$5)</f>
        <v>2.7046191336750087E-2</v>
      </c>
      <c r="N101">
        <f>IF($A45="AEO",'Growth Rates'!N97,'Growth Rates'!N97*N$5)</f>
        <v>2.8061775183201451E-2</v>
      </c>
      <c r="O101">
        <f>IF($A45="AEO",'Growth Rates'!O97,'Growth Rates'!O97*O$5)</f>
        <v>2.2839118297866112E-2</v>
      </c>
      <c r="P101">
        <f>IF($A45="AEO",'Growth Rates'!P97,'Growth Rates'!P97*P$5)</f>
        <v>2.225653133332272E-2</v>
      </c>
      <c r="Q101">
        <f>IF($A45="AEO",'Growth Rates'!Q97,'Growth Rates'!Q97*Q$5)</f>
        <v>2.1948797144184504E-2</v>
      </c>
      <c r="R101">
        <f>IF($A45="AEO",'Growth Rates'!R97,'Growth Rates'!R97*R$5)</f>
        <v>2.1154115814502262E-2</v>
      </c>
      <c r="S101">
        <f>IF($A45="AEO",'Growth Rates'!S97,'Growth Rates'!S97*S$5)</f>
        <v>2.0875393730669243E-2</v>
      </c>
      <c r="T101">
        <f>IF($A45="AEO",'Growth Rates'!T97,'Growth Rates'!T97*T$5)</f>
        <v>1.9909228461583335E-2</v>
      </c>
      <c r="U101">
        <f>IF($A45="AEO",'Growth Rates'!U97,'Growth Rates'!U97*U$5)</f>
        <v>2.009346092005989E-2</v>
      </c>
      <c r="V101">
        <f>IF($A45="AEO",'Growth Rates'!V97,'Growth Rates'!V97*V$5)</f>
        <v>2.0540116549838512E-2</v>
      </c>
      <c r="W101">
        <f>IF($A45="AEO",'Growth Rates'!W97,'Growth Rates'!W97*W$5)</f>
        <v>2.0263552336540196E-2</v>
      </c>
      <c r="X101">
        <f>IF($A45="AEO",'Growth Rates'!X97,'Growth Rates'!X97*X$5)</f>
        <v>1.9626998553741903E-2</v>
      </c>
      <c r="Y101">
        <f>IF($A45="AEO",'Growth Rates'!Y97,'Growth Rates'!Y97*Y$5)</f>
        <v>1.8669220510490199E-2</v>
      </c>
      <c r="Z101">
        <f>IF($A45="AEO",'Growth Rates'!Z97,'Growth Rates'!Z97*Z$5)</f>
        <v>1.757508750416455E-2</v>
      </c>
      <c r="AA101">
        <f>IF($A45="AEO",'Growth Rates'!AA97,'Growth Rates'!AA97*AA$5)</f>
        <v>1.7385286866815307E-2</v>
      </c>
      <c r="AB101">
        <f>IF($A45="AEO",'Growth Rates'!AB97,'Growth Rates'!AB97*AB$5)</f>
        <v>1.6528210142332189E-2</v>
      </c>
      <c r="AC101">
        <f>IF($A45="AEO",'Growth Rates'!AC97,'Growth Rates'!AC97*AC$5)</f>
        <v>1.6895000611206714E-2</v>
      </c>
    </row>
    <row r="102" spans="2:29" x14ac:dyDescent="0.25">
      <c r="B102" t="s">
        <v>512</v>
      </c>
      <c r="C102">
        <v>0</v>
      </c>
      <c r="D102">
        <f>IF($A46="AEO",'Growth Rates'!D98,'Growth Rates'!D98*D$5)</f>
        <v>2.5641833970829846E-2</v>
      </c>
      <c r="E102">
        <f>IF($A46="AEO",'Growth Rates'!E98,'Growth Rates'!E98*E$5)</f>
        <v>4.1406189552791448E-2</v>
      </c>
      <c r="F102">
        <f>IF($A46="AEO",'Growth Rates'!F98,'Growth Rates'!F98*F$5)</f>
        <v>2.6974087735227928E-2</v>
      </c>
      <c r="G102">
        <f>IF($A46="AEO",'Growth Rates'!G98,'Growth Rates'!G98*G$5)</f>
        <v>1.8287354141963238E-2</v>
      </c>
      <c r="H102">
        <f>IF($A46="AEO",'Growth Rates'!H98,'Growth Rates'!H98*H$5)</f>
        <v>2.1713608187332391E-2</v>
      </c>
      <c r="I102">
        <f>IF($A46="AEO",'Growth Rates'!I98,'Growth Rates'!I98*I$5)</f>
        <v>2.4457126604518504E-2</v>
      </c>
      <c r="J102">
        <f>IF($A46="AEO",'Growth Rates'!J98,'Growth Rates'!J98*J$5)</f>
        <v>2.3604833077640056E-2</v>
      </c>
      <c r="K102">
        <f>IF($A46="AEO",'Growth Rates'!K98,'Growth Rates'!K98*K$5)</f>
        <v>2.6405350106025256E-2</v>
      </c>
      <c r="L102">
        <f>IF($A46="AEO",'Growth Rates'!L98,'Growth Rates'!L98*L$5)</f>
        <v>2.8096554020724727E-2</v>
      </c>
      <c r="M102">
        <f>IF($A46="AEO",'Growth Rates'!M98,'Growth Rates'!M98*M$5)</f>
        <v>2.9335589011231317E-2</v>
      </c>
      <c r="N102">
        <f>IF($A46="AEO",'Growth Rates'!N98,'Growth Rates'!N98*N$5)</f>
        <v>3.0437139686333603E-2</v>
      </c>
      <c r="O102">
        <f>IF($A46="AEO",'Growth Rates'!O98,'Growth Rates'!O98*O$5)</f>
        <v>2.4772396949462733E-2</v>
      </c>
      <c r="P102">
        <f>IF($A46="AEO",'Growth Rates'!P98,'Growth Rates'!P98*P$5)</f>
        <v>2.4140495342972086E-2</v>
      </c>
      <c r="Q102">
        <f>IF($A46="AEO",'Growth Rates'!Q98,'Growth Rates'!Q98*Q$5)</f>
        <v>2.3806712164968883E-2</v>
      </c>
      <c r="R102">
        <f>IF($A46="AEO",'Growth Rates'!R98,'Growth Rates'!R98*R$5)</f>
        <v>2.2944762894840768E-2</v>
      </c>
      <c r="S102">
        <f>IF($A46="AEO",'Growth Rates'!S98,'Growth Rates'!S98*S$5)</f>
        <v>2.264244762989737E-2</v>
      </c>
      <c r="T102">
        <f>IF($A46="AEO",'Growth Rates'!T98,'Growth Rates'!T98*T$5)</f>
        <v>2.1594498700677246E-2</v>
      </c>
      <c r="U102">
        <f>IF($A46="AEO",'Growth Rates'!U98,'Growth Rates'!U98*U$5)</f>
        <v>2.1794326011558285E-2</v>
      </c>
      <c r="V102">
        <f>IF($A46="AEO",'Growth Rates'!V98,'Growth Rates'!V98*V$5)</f>
        <v>2.2278790009523659E-2</v>
      </c>
      <c r="W102">
        <f>IF($A46="AEO",'Growth Rates'!W98,'Growth Rates'!W98*W$5)</f>
        <v>2.1978815273875397E-2</v>
      </c>
      <c r="X102">
        <f>IF($A46="AEO",'Growth Rates'!X98,'Growth Rates'!X98*X$5)</f>
        <v>2.1288378682519121E-2</v>
      </c>
      <c r="Y102">
        <f>IF($A46="AEO",'Growth Rates'!Y98,'Growth Rates'!Y98*Y$5)</f>
        <v>2.0249526938442484E-2</v>
      </c>
      <c r="Z102">
        <f>IF($A46="AEO",'Growth Rates'!Z98,'Growth Rates'!Z98*Z$5)</f>
        <v>1.906277809837275E-2</v>
      </c>
      <c r="AA102">
        <f>IF($A46="AEO",'Growth Rates'!AA98,'Growth Rates'!AA98*AA$5)</f>
        <v>1.8856911275128715E-2</v>
      </c>
      <c r="AB102">
        <f>IF($A46="AEO",'Growth Rates'!AB98,'Growth Rates'!AB98*AB$5)</f>
        <v>1.7927284984037398E-2</v>
      </c>
      <c r="AC102">
        <f>IF($A46="AEO",'Growth Rates'!AC98,'Growth Rates'!AC98*AC$5)</f>
        <v>1.8325123419555649E-2</v>
      </c>
    </row>
    <row r="103" spans="2:29" x14ac:dyDescent="0.25">
      <c r="B103" t="s">
        <v>863</v>
      </c>
      <c r="C103">
        <v>0</v>
      </c>
      <c r="D103">
        <f>IF($A47="AEO",'Growth Rates'!D99,'Growth Rates'!D99*D$5)</f>
        <v>2.1062935047467375E-2</v>
      </c>
      <c r="E103">
        <f>IF($A47="AEO",'Growth Rates'!E99,'Growth Rates'!E99*E$5)</f>
        <v>3.4012227132650126E-2</v>
      </c>
      <c r="F103">
        <f>IF($A47="AEO",'Growth Rates'!F99,'Growth Rates'!F99*F$5)</f>
        <v>2.2157286353937228E-2</v>
      </c>
      <c r="G103">
        <f>IF($A47="AEO",'Growth Rates'!G99,'Growth Rates'!G99*G$5)</f>
        <v>1.5021755188041231E-2</v>
      </c>
      <c r="H103">
        <f>IF($A47="AEO",'Growth Rates'!H99,'Growth Rates'!H99*H$5)</f>
        <v>1.7836178153880181E-2</v>
      </c>
      <c r="I103">
        <f>IF($A47="AEO",'Growth Rates'!I99,'Growth Rates'!I99*I$5)</f>
        <v>2.0089782567997344E-2</v>
      </c>
      <c r="J103">
        <f>IF($A47="AEO",'Growth Rates'!J99,'Growth Rates'!J99*J$5)</f>
        <v>1.9389684313775763E-2</v>
      </c>
      <c r="K103">
        <f>IF($A47="AEO",'Growth Rates'!K99,'Growth Rates'!K99*K$5)</f>
        <v>2.1690109015663605E-2</v>
      </c>
      <c r="L103">
        <f>IF($A47="AEO",'Growth Rates'!L99,'Growth Rates'!L99*L$5)</f>
        <v>2.3079312231309598E-2</v>
      </c>
      <c r="M103">
        <f>IF($A47="AEO",'Growth Rates'!M99,'Growth Rates'!M99*M$5)</f>
        <v>2.409709097351144E-2</v>
      </c>
      <c r="N103">
        <f>IF($A47="AEO",'Growth Rates'!N99,'Growth Rates'!N99*N$5)</f>
        <v>2.5001936170916891E-2</v>
      </c>
      <c r="O103">
        <f>IF($A47="AEO",'Growth Rates'!O99,'Growth Rates'!O99*O$5)</f>
        <v>2.0348754637058673E-2</v>
      </c>
      <c r="P103">
        <f>IF($A47="AEO",'Growth Rates'!P99,'Growth Rates'!P99*P$5)</f>
        <v>1.9829692603155643E-2</v>
      </c>
      <c r="Q103">
        <f>IF($A47="AEO",'Growth Rates'!Q99,'Growth Rates'!Q99*Q$5)</f>
        <v>1.9555513564081584E-2</v>
      </c>
      <c r="R103">
        <f>IF($A47="AEO",'Growth Rates'!R99,'Growth Rates'!R99*R$5)</f>
        <v>1.8847483806476346E-2</v>
      </c>
      <c r="S103">
        <f>IF($A47="AEO",'Growth Rates'!S99,'Growth Rates'!S99*S$5)</f>
        <v>1.859915341027284E-2</v>
      </c>
      <c r="T103">
        <f>IF($A47="AEO",'Growth Rates'!T99,'Growth Rates'!T99*T$5)</f>
        <v>1.7738338218413453E-2</v>
      </c>
      <c r="U103">
        <f>IF($A47="AEO",'Growth Rates'!U99,'Growth Rates'!U99*U$5)</f>
        <v>1.790248208092288E-2</v>
      </c>
      <c r="V103">
        <f>IF($A47="AEO",'Growth Rates'!V99,'Growth Rates'!V99*V$5)</f>
        <v>1.8300434650680149E-2</v>
      </c>
      <c r="W103">
        <f>IF($A47="AEO",'Growth Rates'!W99,'Growth Rates'!W99*W$5)</f>
        <v>1.8054026832111936E-2</v>
      </c>
      <c r="X103">
        <f>IF($A47="AEO",'Growth Rates'!X99,'Growth Rates'!X99*X$5)</f>
        <v>1.7486882489212138E-2</v>
      </c>
      <c r="Y103">
        <f>IF($A47="AEO",'Growth Rates'!Y99,'Growth Rates'!Y99*Y$5)</f>
        <v>1.6633539985149184E-2</v>
      </c>
      <c r="Z103">
        <f>IF($A47="AEO",'Growth Rates'!Z99,'Growth Rates'!Z99*Z$5)</f>
        <v>1.5658710580806191E-2</v>
      </c>
      <c r="AA103">
        <f>IF($A47="AEO",'Growth Rates'!AA99,'Growth Rates'!AA99*AA$5)</f>
        <v>1.5489605690284304E-2</v>
      </c>
      <c r="AB103">
        <f>IF($A47="AEO",'Growth Rates'!AB99,'Growth Rates'!AB99*AB$5)</f>
        <v>1.4725984094030722E-2</v>
      </c>
      <c r="AC103">
        <f>IF($A47="AEO",'Growth Rates'!AC99,'Growth Rates'!AC99*AC$5)</f>
        <v>1.5052779951777855E-2</v>
      </c>
    </row>
    <row r="104" spans="2:29" x14ac:dyDescent="0.25">
      <c r="B104" t="s">
        <v>523</v>
      </c>
      <c r="C104">
        <v>0</v>
      </c>
      <c r="D104">
        <f>IF($A48="AEO",'Growth Rates'!D100,'Growth Rates'!D100*D$5)</f>
        <v>3.3584466571164651E-2</v>
      </c>
      <c r="E104">
        <f>IF($A48="AEO",'Growth Rates'!E100,'Growth Rates'!E100*E$5)</f>
        <v>5.4231877113664478E-2</v>
      </c>
      <c r="F104">
        <f>IF($A48="AEO",'Growth Rates'!F100,'Growth Rates'!F100*F$5)</f>
        <v>3.5329389811274363E-2</v>
      </c>
      <c r="G104">
        <f>IF($A48="AEO",'Growth Rates'!G100,'Growth Rates'!G100*G$5)</f>
        <v>2.3951915239545457E-2</v>
      </c>
      <c r="H104">
        <f>IF($A48="AEO",'Growth Rates'!H100,'Growth Rates'!H100*H$5)</f>
        <v>2.8439461433859031E-2</v>
      </c>
      <c r="I104">
        <f>IF($A48="AEO",'Growth Rates'!I100,'Growth Rates'!I100*I$5)</f>
        <v>3.2032792654791961E-2</v>
      </c>
      <c r="J104">
        <f>IF($A48="AEO",'Growth Rates'!J100,'Growth Rates'!J100*J$5)</f>
        <v>3.0916498730775777E-2</v>
      </c>
      <c r="K104">
        <f>IF($A48="AEO",'Growth Rates'!K100,'Growth Rates'!K100*K$5)</f>
        <v>3.4584484048392906E-2</v>
      </c>
      <c r="L104">
        <f>IF($A48="AEO",'Growth Rates'!L100,'Growth Rates'!L100*L$5)</f>
        <v>3.6799543291146791E-2</v>
      </c>
      <c r="M104">
        <f>IF($A48="AEO",'Growth Rates'!M100,'Growth Rates'!M100*M$5)</f>
        <v>3.842237297121219E-2</v>
      </c>
      <c r="N104">
        <f>IF($A48="AEO",'Growth Rates'!N100,'Growth Rates'!N100*N$5)</f>
        <v>3.9865132169579286E-2</v>
      </c>
      <c r="O104">
        <f>IF($A48="AEO",'Growth Rates'!O100,'Growth Rates'!O100*O$5)</f>
        <v>3.2445718905414443E-2</v>
      </c>
      <c r="P104">
        <f>IF($A48="AEO",'Growth Rates'!P100,'Growth Rates'!P100*P$5)</f>
        <v>3.1618083939694265E-2</v>
      </c>
      <c r="Q104">
        <f>IF($A48="AEO",'Growth Rates'!Q100,'Growth Rates'!Q100*Q$5)</f>
        <v>3.1180910452165329E-2</v>
      </c>
      <c r="R104">
        <f>IF($A48="AEO",'Growth Rates'!R100,'Growth Rates'!R100*R$5)</f>
        <v>3.0051969890363517E-2</v>
      </c>
      <c r="S104">
        <f>IF($A48="AEO",'Growth Rates'!S100,'Growth Rates'!S100*S$5)</f>
        <v>2.9656011593425999E-2</v>
      </c>
      <c r="T104">
        <f>IF($A48="AEO",'Growth Rates'!T100,'Growth Rates'!T100*T$5)</f>
        <v>2.8283457437521288E-2</v>
      </c>
      <c r="U104">
        <f>IF($A48="AEO",'Growth Rates'!U100,'Growth Rates'!U100*U$5)</f>
        <v>2.8545181838744875E-2</v>
      </c>
      <c r="V104">
        <f>IF($A48="AEO",'Growth Rates'!V100,'Growth Rates'!V100*V$5)</f>
        <v>2.9179709968172363E-2</v>
      </c>
      <c r="W104">
        <f>IF($A48="AEO",'Growth Rates'!W100,'Growth Rates'!W100*W$5)</f>
        <v>2.8786817186281888E-2</v>
      </c>
      <c r="X104">
        <f>IF($A48="AEO",'Growth Rates'!X100,'Growth Rates'!X100*X$5)</f>
        <v>2.7882515854002289E-2</v>
      </c>
      <c r="Y104">
        <f>IF($A48="AEO",'Growth Rates'!Y100,'Growth Rates'!Y100*Y$5)</f>
        <v>2.6521876762780186E-2</v>
      </c>
      <c r="Z104">
        <f>IF($A48="AEO",'Growth Rates'!Z100,'Growth Rates'!Z100*Z$5)</f>
        <v>2.4967529020218912E-2</v>
      </c>
      <c r="AA104">
        <f>IF($A48="AEO",'Growth Rates'!AA100,'Growth Rates'!AA100*AA$5)</f>
        <v>2.4697894350124081E-2</v>
      </c>
      <c r="AB104">
        <f>IF($A48="AEO",'Growth Rates'!AB100,'Growth Rates'!AB100*AB$5)</f>
        <v>2.3480313613412768E-2</v>
      </c>
      <c r="AC104">
        <f>IF($A48="AEO",'Growth Rates'!AC100,'Growth Rates'!AC100*AC$5)</f>
        <v>2.4001383660648346E-2</v>
      </c>
    </row>
    <row r="105" spans="2:29" x14ac:dyDescent="0.25">
      <c r="B105" t="s">
        <v>554</v>
      </c>
      <c r="C105">
        <v>0</v>
      </c>
      <c r="D105">
        <f>IF($A49="AEO",'Growth Rates'!D101,'Growth Rates'!D101*D$5)</f>
        <v>2.4726054186157358E-2</v>
      </c>
      <c r="E105">
        <f>IF($A49="AEO",'Growth Rates'!E101,'Growth Rates'!E101*E$5)</f>
        <v>3.9927397068763193E-2</v>
      </c>
      <c r="F105">
        <f>IF($A49="AEO",'Growth Rates'!F101,'Growth Rates'!F101*F$5)</f>
        <v>2.6010727458969794E-2</v>
      </c>
      <c r="G105">
        <f>IF($A49="AEO",'Growth Rates'!G101,'Growth Rates'!G101*G$5)</f>
        <v>1.7634234351178842E-2</v>
      </c>
      <c r="H105">
        <f>IF($A49="AEO",'Growth Rates'!H101,'Growth Rates'!H101*H$5)</f>
        <v>2.0938122180641953E-2</v>
      </c>
      <c r="I105">
        <f>IF($A49="AEO",'Growth Rates'!I101,'Growth Rates'!I101*I$5)</f>
        <v>2.3583657797214278E-2</v>
      </c>
      <c r="J105">
        <f>IF($A49="AEO",'Growth Rates'!J101,'Growth Rates'!J101*J$5)</f>
        <v>2.2761803324867203E-2</v>
      </c>
      <c r="K105">
        <f>IF($A49="AEO",'Growth Rates'!K101,'Growth Rates'!K101*K$5)</f>
        <v>2.546230188795293E-2</v>
      </c>
      <c r="L105">
        <f>IF($A49="AEO",'Growth Rates'!L101,'Growth Rates'!L101*L$5)</f>
        <v>2.7093105662841704E-2</v>
      </c>
      <c r="M105">
        <f>IF($A49="AEO",'Growth Rates'!M101,'Growth Rates'!M101*M$5)</f>
        <v>2.8287889403687348E-2</v>
      </c>
      <c r="N105">
        <f>IF($A49="AEO",'Growth Rates'!N101,'Growth Rates'!N101*N$5)</f>
        <v>2.9350098983250267E-2</v>
      </c>
      <c r="O105">
        <f>IF($A49="AEO",'Growth Rates'!O101,'Growth Rates'!O101*O$5)</f>
        <v>2.3887668486981924E-2</v>
      </c>
      <c r="P105">
        <f>IF($A49="AEO",'Growth Rates'!P101,'Growth Rates'!P101*P$5)</f>
        <v>2.3278334795008803E-2</v>
      </c>
      <c r="Q105">
        <f>IF($A49="AEO",'Growth Rates'!Q101,'Growth Rates'!Q101*Q$5)</f>
        <v>2.2956472444791428E-2</v>
      </c>
      <c r="R105">
        <f>IF($A49="AEO",'Growth Rates'!R101,'Growth Rates'!R101*R$5)</f>
        <v>2.2125307077167887E-2</v>
      </c>
      <c r="S105">
        <f>IF($A49="AEO",'Growth Rates'!S101,'Growth Rates'!S101*S$5)</f>
        <v>2.1833788785972467E-2</v>
      </c>
      <c r="T105">
        <f>IF($A49="AEO",'Growth Rates'!T101,'Growth Rates'!T101*T$5)</f>
        <v>2.082326660422449E-2</v>
      </c>
      <c r="U105">
        <f>IF($A49="AEO",'Growth Rates'!U101,'Growth Rates'!U101*U$5)</f>
        <v>2.101595722543121E-2</v>
      </c>
      <c r="V105">
        <f>IF($A49="AEO",'Growth Rates'!V101,'Growth Rates'!V101*V$5)</f>
        <v>2.1483118937754963E-2</v>
      </c>
      <c r="W105">
        <f>IF($A49="AEO",'Growth Rates'!W101,'Growth Rates'!W101*W$5)</f>
        <v>2.119385758552271E-2</v>
      </c>
      <c r="X105">
        <f>IF($A49="AEO",'Growth Rates'!X101,'Growth Rates'!X101*X$5)</f>
        <v>2.052807944385773E-2</v>
      </c>
      <c r="Y105">
        <f>IF($A49="AEO",'Growth Rates'!Y101,'Growth Rates'!Y101*Y$5)</f>
        <v>1.9526329547783827E-2</v>
      </c>
      <c r="Z105">
        <f>IF($A49="AEO",'Growth Rates'!Z101,'Growth Rates'!Z101*Z$5)</f>
        <v>1.8381964594859444E-2</v>
      </c>
      <c r="AA105">
        <f>IF($A49="AEO",'Growth Rates'!AA101,'Growth Rates'!AA101*AA$5)</f>
        <v>1.8183450158159836E-2</v>
      </c>
      <c r="AB105">
        <f>IF($A49="AEO",'Growth Rates'!AB101,'Growth Rates'!AB101*AB$5)</f>
        <v>1.7287024806036066E-2</v>
      </c>
      <c r="AC105">
        <f>IF($A49="AEO",'Growth Rates'!AC101,'Growth Rates'!AC101*AC$5)</f>
        <v>1.7670654726000094E-2</v>
      </c>
    </row>
    <row r="106" spans="2:29" x14ac:dyDescent="0.25">
      <c r="B106" t="s">
        <v>557</v>
      </c>
      <c r="C106">
        <v>0</v>
      </c>
      <c r="D106">
        <f>IF($A50="AEO",'Growth Rates'!D102,'Growth Rates'!D102*D$5)</f>
        <v>3.1173342353528349E-2</v>
      </c>
      <c r="E106">
        <f>IF($A50="AEO",'Growth Rates'!E102,'Growth Rates'!E102*E$5)</f>
        <v>5.0338416665229015E-2</v>
      </c>
      <c r="F106">
        <f>IF($A50="AEO",'Growth Rates'!F102,'Growth Rates'!F102*F$5)</f>
        <v>3.2792992599552234E-2</v>
      </c>
      <c r="G106">
        <f>IF($A50="AEO",'Growth Rates'!G102,'Growth Rates'!G102*G$5)</f>
        <v>2.2232339233463384E-2</v>
      </c>
      <c r="H106">
        <f>IF($A50="AEO",'Growth Rates'!H102,'Growth Rates'!H102*H$5)</f>
        <v>2.639771174418E-2</v>
      </c>
      <c r="I106">
        <f>IF($A50="AEO",'Growth Rates'!I102,'Growth Rates'!I102*I$5)</f>
        <v>2.9733067513562399E-2</v>
      </c>
      <c r="J106">
        <f>IF($A50="AEO",'Growth Rates'!J102,'Growth Rates'!J102*J$5)</f>
        <v>2.8696915500047972E-2</v>
      </c>
      <c r="K106">
        <f>IF($A50="AEO",'Growth Rates'!K102,'Growth Rates'!K102*K$5)</f>
        <v>3.2101565736534637E-2</v>
      </c>
      <c r="L106">
        <f>IF($A50="AEO",'Growth Rates'!L102,'Growth Rates'!L102*L$5)</f>
        <v>3.4157599586630102E-2</v>
      </c>
      <c r="M106">
        <f>IF($A50="AEO",'Growth Rates'!M102,'Growth Rates'!M102*M$5)</f>
        <v>3.5663921715967745E-2</v>
      </c>
      <c r="N106">
        <f>IF($A50="AEO",'Growth Rates'!N102,'Growth Rates'!N102*N$5)</f>
        <v>3.7003101134795116E-2</v>
      </c>
      <c r="O106">
        <f>IF($A50="AEO",'Growth Rates'!O102,'Growth Rates'!O102*O$5)</f>
        <v>3.0116348616155985E-2</v>
      </c>
      <c r="P106">
        <f>IF($A50="AEO",'Growth Rates'!P102,'Growth Rates'!P102*P$5)</f>
        <v>2.9348131914679547E-2</v>
      </c>
      <c r="Q106">
        <f>IF($A50="AEO",'Growth Rates'!Q102,'Growth Rates'!Q102*Q$5)</f>
        <v>2.8942344353166612E-2</v>
      </c>
      <c r="R106">
        <f>IF($A50="AEO",'Growth Rates'!R102,'Growth Rates'!R102*R$5)</f>
        <v>2.7894453639903092E-2</v>
      </c>
      <c r="S106">
        <f>IF($A50="AEO",'Growth Rates'!S102,'Growth Rates'!S102*S$5)</f>
        <v>2.7526922313419227E-2</v>
      </c>
      <c r="T106">
        <f>IF($A50="AEO",'Growth Rates'!T102,'Growth Rates'!T102*T$5)</f>
        <v>2.6252907717709901E-2</v>
      </c>
      <c r="U106">
        <f>IF($A50="AEO",'Growth Rates'!U102,'Growth Rates'!U102*U$5)</f>
        <v>2.6495842181007888E-2</v>
      </c>
      <c r="V106">
        <f>IF($A50="AEO",'Growth Rates'!V102,'Growth Rates'!V102*V$5)</f>
        <v>2.7084815734292497E-2</v>
      </c>
      <c r="W106">
        <f>IF($A50="AEO",'Growth Rates'!W102,'Growth Rates'!W102*W$5)</f>
        <v>2.672012984082597E-2</v>
      </c>
      <c r="X106">
        <f>IF($A50="AEO",'Growth Rates'!X102,'Growth Rates'!X102*X$5)</f>
        <v>2.588075086893819E-2</v>
      </c>
      <c r="Y106">
        <f>IF($A50="AEO",'Growth Rates'!Y102,'Growth Rates'!Y102*Y$5)</f>
        <v>2.4617795921585296E-2</v>
      </c>
      <c r="Z106">
        <f>IF($A50="AEO",'Growth Rates'!Z102,'Growth Rates'!Z102*Z$5)</f>
        <v>2.317503921700512E-2</v>
      </c>
      <c r="AA106">
        <f>IF($A50="AEO",'Growth Rates'!AA102,'Growth Rates'!AA102*AA$5)</f>
        <v>2.2924762385499221E-2</v>
      </c>
      <c r="AB106">
        <f>IF($A50="AEO",'Growth Rates'!AB102,'Growth Rates'!AB102*AB$5)</f>
        <v>2.179459522717515E-2</v>
      </c>
      <c r="AC106">
        <f>IF($A50="AEO",'Growth Rates'!AC102,'Growth Rates'!AC102*AC$5)</f>
        <v>2.2278256176150601E-2</v>
      </c>
    </row>
    <row r="107" spans="2:29" x14ac:dyDescent="0.25">
      <c r="B107" t="s">
        <v>560</v>
      </c>
      <c r="C107">
        <v>0</v>
      </c>
      <c r="D107">
        <f>IF($A51="AEO",'Growth Rates'!D103,'Growth Rates'!D103*D$5)</f>
        <v>1.8315595693449895E-2</v>
      </c>
      <c r="E107">
        <f>IF($A51="AEO",'Growth Rates'!E103,'Growth Rates'!E103*E$5)</f>
        <v>2.9575849680565324E-2</v>
      </c>
      <c r="F107">
        <f>IF($A51="AEO",'Growth Rates'!F103,'Growth Rates'!F103*F$5)</f>
        <v>1.9267205525162808E-2</v>
      </c>
      <c r="G107">
        <f>IF($A51="AEO",'Growth Rates'!G103,'Growth Rates'!G103*G$5)</f>
        <v>1.3062395815688028E-2</v>
      </c>
      <c r="H107">
        <f>IF($A51="AEO",'Growth Rates'!H103,'Growth Rates'!H103*H$5)</f>
        <v>1.5509720133808854E-2</v>
      </c>
      <c r="I107">
        <f>IF($A51="AEO",'Growth Rates'!I103,'Growth Rates'!I103*I$5)</f>
        <v>1.746937614608465E-2</v>
      </c>
      <c r="J107">
        <f>IF($A51="AEO",'Growth Rates'!J103,'Growth Rates'!J103*J$5)</f>
        <v>1.6860595055457187E-2</v>
      </c>
      <c r="K107">
        <f>IF($A51="AEO",'Growth Rates'!K103,'Growth Rates'!K103*K$5)</f>
        <v>1.8860964361446613E-2</v>
      </c>
      <c r="L107">
        <f>IF($A51="AEO",'Growth Rates'!L103,'Growth Rates'!L103*L$5)</f>
        <v>2.006896715766052E-2</v>
      </c>
      <c r="M107">
        <f>IF($A51="AEO",'Growth Rates'!M103,'Growth Rates'!M103*M$5)</f>
        <v>2.0953992150879515E-2</v>
      </c>
      <c r="N107">
        <f>IF($A51="AEO",'Growth Rates'!N103,'Growth Rates'!N103*N$5)</f>
        <v>2.1740814061666863E-2</v>
      </c>
      <c r="O107">
        <f>IF($A51="AEO",'Growth Rates'!O103,'Growth Rates'!O103*O$5)</f>
        <v>1.7694569249616238E-2</v>
      </c>
      <c r="P107">
        <f>IF($A51="AEO",'Growth Rates'!P103,'Growth Rates'!P103*P$5)</f>
        <v>1.724321095926578E-2</v>
      </c>
      <c r="Q107">
        <f>IF($A51="AEO",'Growth Rates'!Q103,'Growth Rates'!Q103*Q$5)</f>
        <v>1.7004794403549205E-2</v>
      </c>
      <c r="R107">
        <f>IF($A51="AEO",'Growth Rates'!R103,'Growth Rates'!R103*R$5)</f>
        <v>1.6389116353457692E-2</v>
      </c>
      <c r="S107">
        <f>IF($A51="AEO",'Growth Rates'!S103,'Growth Rates'!S103*S$5)</f>
        <v>1.6173176878498122E-2</v>
      </c>
      <c r="T107">
        <f>IF($A51="AEO",'Growth Rates'!T103,'Growth Rates'!T103*T$5)</f>
        <v>1.5424641929055176E-2</v>
      </c>
      <c r="U107">
        <f>IF($A51="AEO",'Growth Rates'!U103,'Growth Rates'!U103*U$5)</f>
        <v>1.5567375722541634E-2</v>
      </c>
      <c r="V107">
        <f>IF($A51="AEO",'Growth Rates'!V103,'Growth Rates'!V103*V$5)</f>
        <v>1.5913421435374046E-2</v>
      </c>
      <c r="W107">
        <f>IF($A51="AEO",'Growth Rates'!W103,'Growth Rates'!W103*W$5)</f>
        <v>1.5699153767053858E-2</v>
      </c>
      <c r="X107">
        <f>IF($A51="AEO",'Growth Rates'!X103,'Growth Rates'!X103*X$5)</f>
        <v>1.5205984773227946E-2</v>
      </c>
      <c r="Y107">
        <f>IF($A51="AEO",'Growth Rates'!Y103,'Growth Rates'!Y103*Y$5)</f>
        <v>1.4463947813173204E-2</v>
      </c>
      <c r="Z107">
        <f>IF($A51="AEO",'Growth Rates'!Z103,'Growth Rates'!Z103*Z$5)</f>
        <v>1.3616270070266253E-2</v>
      </c>
      <c r="AA107">
        <f>IF($A51="AEO",'Growth Rates'!AA103,'Growth Rates'!AA103*AA$5)</f>
        <v>1.3469222339377656E-2</v>
      </c>
      <c r="AB107">
        <f>IF($A51="AEO",'Growth Rates'!AB103,'Growth Rates'!AB103*AB$5)</f>
        <v>1.2805203560026715E-2</v>
      </c>
      <c r="AC107">
        <f>IF($A51="AEO",'Growth Rates'!AC103,'Growth Rates'!AC103*AC$5)</f>
        <v>1.3089373871111179E-2</v>
      </c>
    </row>
    <row r="108" spans="2:29" x14ac:dyDescent="0.25">
      <c r="B108" t="s">
        <v>599</v>
      </c>
      <c r="C108">
        <v>0</v>
      </c>
      <c r="D108">
        <f>IF($A52="AEO",'Growth Rates'!D104,'Growth Rates'!D104*D$5)</f>
        <v>1.73998159087774E-2</v>
      </c>
      <c r="E108">
        <f>IF($A52="AEO",'Growth Rates'!E104,'Growth Rates'!E104*E$5)</f>
        <v>2.8097057196537059E-2</v>
      </c>
      <c r="F108">
        <f>IF($A52="AEO",'Growth Rates'!F104,'Growth Rates'!F104*F$5)</f>
        <v>1.8303845248904667E-2</v>
      </c>
      <c r="G108">
        <f>IF($A52="AEO",'Growth Rates'!G104,'Growth Rates'!G104*G$5)</f>
        <v>1.2409276024903626E-2</v>
      </c>
      <c r="H108">
        <f>IF($A52="AEO",'Growth Rates'!H104,'Growth Rates'!H104*H$5)</f>
        <v>1.473423412711841E-2</v>
      </c>
      <c r="I108">
        <f>IF($A52="AEO",'Growth Rates'!I104,'Growth Rates'!I104*I$5)</f>
        <v>1.6595907338780413E-2</v>
      </c>
      <c r="J108">
        <f>IF($A52="AEO",'Growth Rates'!J104,'Growth Rates'!J104*J$5)</f>
        <v>1.6017565302684326E-2</v>
      </c>
      <c r="K108">
        <f>IF($A52="AEO",'Growth Rates'!K104,'Growth Rates'!K104*K$5)</f>
        <v>1.791791614337428E-2</v>
      </c>
      <c r="L108">
        <f>IF($A52="AEO",'Growth Rates'!L104,'Growth Rates'!L104*L$5)</f>
        <v>1.9065518799777494E-2</v>
      </c>
      <c r="M108">
        <f>IF($A52="AEO",'Growth Rates'!M104,'Growth Rates'!M104*M$5)</f>
        <v>1.9906292543335539E-2</v>
      </c>
      <c r="N108">
        <f>IF($A52="AEO",'Growth Rates'!N104,'Growth Rates'!N104*N$5)</f>
        <v>2.0653773358583517E-2</v>
      </c>
      <c r="O108">
        <f>IF($A52="AEO",'Growth Rates'!O104,'Growth Rates'!O104*O$5)</f>
        <v>1.6809840787135426E-2</v>
      </c>
      <c r="P108">
        <f>IF($A52="AEO",'Growth Rates'!P104,'Growth Rates'!P104*P$5)</f>
        <v>1.638105041130249E-2</v>
      </c>
      <c r="Q108">
        <f>IF($A52="AEO",'Growth Rates'!Q104,'Growth Rates'!Q104*Q$5)</f>
        <v>1.6154554683371743E-2</v>
      </c>
      <c r="R108">
        <f>IF($A52="AEO",'Growth Rates'!R104,'Growth Rates'!R104*R$5)</f>
        <v>1.5569660535784808E-2</v>
      </c>
      <c r="S108">
        <f>IF($A52="AEO",'Growth Rates'!S104,'Growth Rates'!S104*S$5)</f>
        <v>1.5364518034573216E-2</v>
      </c>
      <c r="T108">
        <f>IF($A52="AEO",'Growth Rates'!T104,'Growth Rates'!T104*T$5)</f>
        <v>1.4653409832602417E-2</v>
      </c>
      <c r="U108">
        <f>IF($A52="AEO",'Growth Rates'!U104,'Growth Rates'!U104*U$5)</f>
        <v>1.4789006936414552E-2</v>
      </c>
      <c r="V108">
        <f>IF($A52="AEO",'Growth Rates'!V104,'Growth Rates'!V104*V$5)</f>
        <v>1.5117750363605341E-2</v>
      </c>
      <c r="W108">
        <f>IF($A52="AEO",'Growth Rates'!W104,'Growth Rates'!W104*W$5)</f>
        <v>1.4914196078701165E-2</v>
      </c>
      <c r="X108">
        <f>IF($A52="AEO",'Growth Rates'!X104,'Growth Rates'!X104*X$5)</f>
        <v>1.4445685534566547E-2</v>
      </c>
      <c r="Y108">
        <f>IF($A52="AEO",'Growth Rates'!Y104,'Growth Rates'!Y104*Y$5)</f>
        <v>1.3740750422514544E-2</v>
      </c>
      <c r="Z108">
        <f>IF($A52="AEO",'Growth Rates'!Z104,'Growth Rates'!Z104*Z$5)</f>
        <v>1.2935456566752939E-2</v>
      </c>
      <c r="AA108">
        <f>IF($A52="AEO",'Growth Rates'!AA104,'Growth Rates'!AA104*AA$5)</f>
        <v>1.2795761222408773E-2</v>
      </c>
      <c r="AB108">
        <f>IF($A52="AEO",'Growth Rates'!AB104,'Growth Rates'!AB104*AB$5)</f>
        <v>1.2164943382025378E-2</v>
      </c>
      <c r="AC108">
        <f>IF($A52="AEO",'Growth Rates'!AC104,'Growth Rates'!AC104*AC$5)</f>
        <v>1.2434905177555619E-2</v>
      </c>
    </row>
    <row r="109" spans="2:29" x14ac:dyDescent="0.25">
      <c r="B109" t="s">
        <v>615</v>
      </c>
      <c r="C109">
        <v>0</v>
      </c>
      <c r="D109">
        <f>IF($A53="AEO",'Growth Rates'!D105,'Growth Rates'!D105*D$5)</f>
        <v>2.0415749694575394E-2</v>
      </c>
      <c r="E109">
        <f>IF($A53="AEO",'Growth Rates'!E105,'Growth Rates'!E105*E$5)</f>
        <v>3.2967158381790866E-2</v>
      </c>
      <c r="F109">
        <f>IF($A53="AEO",'Growth Rates'!F105,'Growth Rates'!F105*F$5)</f>
        <v>2.1476475671295646E-2</v>
      </c>
      <c r="G109">
        <f>IF($A53="AEO",'Growth Rates'!G105,'Growth Rates'!G105*G$5)</f>
        <v>1.4560192736724726E-2</v>
      </c>
      <c r="H109">
        <f>IF($A53="AEO",'Growth Rates'!H105,'Growth Rates'!H105*H$5)</f>
        <v>1.7288138992825504E-2</v>
      </c>
      <c r="I109">
        <f>IF($A53="AEO",'Growth Rates'!I105,'Growth Rates'!I105*I$5)</f>
        <v>1.9472498557412319E-2</v>
      </c>
      <c r="J109">
        <f>IF($A53="AEO",'Growth Rates'!J105,'Growth Rates'!J105*J$5)</f>
        <v>1.87939117086381E-2</v>
      </c>
      <c r="K109">
        <f>IF($A53="AEO",'Growth Rates'!K105,'Growth Rates'!K105*K$5)</f>
        <v>2.102365294836183E-2</v>
      </c>
      <c r="L109">
        <f>IF($A53="AEO",'Growth Rates'!L105,'Growth Rates'!L105*L$5)</f>
        <v>2.2370171135955921E-2</v>
      </c>
      <c r="M109">
        <f>IF($A53="AEO",'Growth Rates'!M105,'Growth Rates'!M105*M$5)</f>
        <v>2.3356677337414825E-2</v>
      </c>
      <c r="N109">
        <f>IF($A53="AEO",'Growth Rates'!N105,'Growth Rates'!N105*N$5)</f>
        <v>2.4233720020257334E-2</v>
      </c>
      <c r="O109">
        <f>IF($A53="AEO",'Growth Rates'!O105,'Growth Rates'!O105*O$5)</f>
        <v>1.972351338169618E-2</v>
      </c>
      <c r="P109">
        <f>IF($A53="AEO",'Growth Rates'!P105,'Growth Rates'!P105*P$5)</f>
        <v>1.9220400186111614E-2</v>
      </c>
      <c r="Q109">
        <f>IF($A53="AEO",'Growth Rates'!Q105,'Growth Rates'!Q105*Q$5)</f>
        <v>1.8954645645226378E-2</v>
      </c>
      <c r="R109">
        <f>IF($A53="AEO",'Growth Rates'!R105,'Growth Rates'!R105*R$5)</f>
        <v>1.8268370998554218E-2</v>
      </c>
      <c r="S109">
        <f>IF($A53="AEO",'Growth Rates'!S105,'Growth Rates'!S105*S$5)</f>
        <v>1.8027670868253281E-2</v>
      </c>
      <c r="T109">
        <f>IF($A53="AEO",'Growth Rates'!T105,'Growth Rates'!T105*T$5)</f>
        <v>1.7193305313277965E-2</v>
      </c>
      <c r="U109">
        <f>IF($A53="AEO",'Growth Rates'!U105,'Growth Rates'!U105*U$5)</f>
        <v>1.7352405647744228E-2</v>
      </c>
      <c r="V109">
        <f>IF($A53="AEO",'Growth Rates'!V105,'Growth Rates'!V105*V$5)</f>
        <v>1.7738130620838823E-2</v>
      </c>
      <c r="W109">
        <f>IF($A53="AEO",'Growth Rates'!W105,'Growth Rates'!W105*W$5)</f>
        <v>1.749929399454063E-2</v>
      </c>
      <c r="X109">
        <f>IF($A53="AEO",'Growth Rates'!X105,'Growth Rates'!X105*X$5)</f>
        <v>1.694957587979342E-2</v>
      </c>
      <c r="Y109">
        <f>IF($A53="AEO",'Growth Rates'!Y105,'Growth Rates'!Y105*Y$5)</f>
        <v>1.6122453404818774E-2</v>
      </c>
      <c r="Z109">
        <f>IF($A53="AEO",'Growth Rates'!Z105,'Growth Rates'!Z105*Z$5)</f>
        <v>1.5177576868423073E-2</v>
      </c>
      <c r="AA109">
        <f>IF($A53="AEO",'Growth Rates'!AA105,'Growth Rates'!AA105*AA$5)</f>
        <v>1.501366793981255E-2</v>
      </c>
      <c r="AB109">
        <f>IF($A53="AEO",'Growth Rates'!AB105,'Growth Rates'!AB105*AB$5)</f>
        <v>1.4273509584134585E-2</v>
      </c>
      <c r="AC109">
        <f>IF($A53="AEO",'Growth Rates'!AC105,'Growth Rates'!AC105*AC$5)</f>
        <v>1.4590264225306578E-2</v>
      </c>
    </row>
    <row r="110" spans="2:29" x14ac:dyDescent="0.25">
      <c r="B110" t="s">
        <v>602</v>
      </c>
      <c r="C110">
        <v>0</v>
      </c>
      <c r="D110">
        <f>IF($A54="AEO",'Growth Rates'!D106,'Growth Rates'!D106*D$5)</f>
        <v>2.1818058312807431E-2</v>
      </c>
      <c r="E110">
        <f>IF($A54="AEO",'Growth Rates'!E106,'Growth Rates'!E106*E$5)</f>
        <v>3.5231592997664388E-2</v>
      </c>
      <c r="F110">
        <f>IF($A54="AEO",'Growth Rates'!F106,'Growth Rates'!F106*F$5)</f>
        <v>2.2951642999150899E-2</v>
      </c>
      <c r="G110">
        <f>IF($A54="AEO",'Growth Rates'!G106,'Growth Rates'!G106*G$5)</f>
        <v>1.5560297266966576E-2</v>
      </c>
      <c r="H110">
        <f>IF($A54="AEO",'Growth Rates'!H106,'Growth Rates'!H106*H$5)</f>
        <v>1.8475619573530021E-2</v>
      </c>
      <c r="I110">
        <f>IF($A54="AEO",'Growth Rates'!I106,'Growth Rates'!I106*I$5)</f>
        <v>2.0810017529484439E-2</v>
      </c>
      <c r="J110">
        <f>IF($A54="AEO",'Growth Rates'!J106,'Growth Rates'!J106*J$5)</f>
        <v>2.0084820186337442E-2</v>
      </c>
      <c r="K110">
        <f>IF($A54="AEO",'Growth Rates'!K106,'Growth Rates'!K106*K$5)</f>
        <v>2.2467716975265558E-2</v>
      </c>
      <c r="L110">
        <f>IF($A54="AEO",'Growth Rates'!L106,'Growth Rates'!L106*L$5)</f>
        <v>2.390672425031996E-2</v>
      </c>
      <c r="M110">
        <f>IF($A54="AEO",'Growth Rates'!M106,'Growth Rates'!M106*M$5)</f>
        <v>2.4960991184004765E-2</v>
      </c>
      <c r="N110">
        <f>IF($A54="AEO",'Growth Rates'!N106,'Growth Rates'!N106*N$5)</f>
        <v>2.5898275813927681E-2</v>
      </c>
      <c r="O110">
        <f>IF($A54="AEO",'Growth Rates'!O106,'Growth Rates'!O106*O$5)</f>
        <v>2.107827395677888E-2</v>
      </c>
      <c r="P110">
        <f>IF($A54="AEO",'Growth Rates'!P106,'Growth Rates'!P106*P$5)</f>
        <v>2.054060312894131E-2</v>
      </c>
      <c r="Q110">
        <f>IF($A54="AEO",'Growth Rates'!Q106,'Growth Rates'!Q106*Q$5)</f>
        <v>2.0256594549453874E-2</v>
      </c>
      <c r="R110">
        <f>IF($A54="AEO",'Growth Rates'!R106,'Growth Rates'!R106*R$5)</f>
        <v>1.9523181352108832E-2</v>
      </c>
      <c r="S110">
        <f>IF($A54="AEO",'Growth Rates'!S106,'Growth Rates'!S106*S$5)</f>
        <v>1.9265948110255289E-2</v>
      </c>
      <c r="T110">
        <f>IF($A54="AEO",'Growth Rates'!T106,'Growth Rates'!T106*T$5)</f>
        <v>1.8374271997205843E-2</v>
      </c>
      <c r="U110">
        <f>IF($A54="AEO",'Growth Rates'!U106,'Growth Rates'!U106*U$5)</f>
        <v>1.8544300550009586E-2</v>
      </c>
      <c r="V110">
        <f>IF($A54="AEO",'Growth Rates'!V106,'Growth Rates'!V106*V$5)</f>
        <v>1.8956520041411365E-2</v>
      </c>
      <c r="W110">
        <f>IF($A54="AEO",'Growth Rates'!W106,'Growth Rates'!W106*W$5)</f>
        <v>1.8701278303157067E-2</v>
      </c>
      <c r="X110">
        <f>IF($A54="AEO",'Growth Rates'!X106,'Growth Rates'!X106*X$5)</f>
        <v>1.8113801376637532E-2</v>
      </c>
      <c r="Y110">
        <f>IF($A54="AEO",'Growth Rates'!Y106,'Growth Rates'!Y106*Y$5)</f>
        <v>1.7229865853288839E-2</v>
      </c>
      <c r="Z110">
        <f>IF($A54="AEO",'Growth Rates'!Z106,'Growth Rates'!Z106*Z$5)</f>
        <v>1.6220088025979244E-2</v>
      </c>
      <c r="AA110">
        <f>IF($A54="AEO",'Growth Rates'!AA106,'Growth Rates'!AA106*AA$5)</f>
        <v>1.6044920588294386E-2</v>
      </c>
      <c r="AB110">
        <f>IF($A54="AEO",'Growth Rates'!AB106,'Growth Rates'!AB106*AB$5)</f>
        <v>1.5253922539901172E-2</v>
      </c>
      <c r="AC110">
        <f>IF($A54="AEO",'Growth Rates'!AC106,'Growth Rates'!AC106*AC$5)</f>
        <v>1.5592434293588045E-2</v>
      </c>
    </row>
    <row r="111" spans="2:29" x14ac:dyDescent="0.25">
      <c r="B111" t="s">
        <v>934</v>
      </c>
      <c r="C111">
        <v>0</v>
      </c>
      <c r="D111">
        <f>IF($A55="AEO",'Growth Rates'!D107,'Growth Rates'!D107*D$5)</f>
        <v>4.6386201811432866E-3</v>
      </c>
      <c r="E111">
        <f>IF($A55="AEO",'Growth Rates'!E107,'Growth Rates'!E107*E$5)</f>
        <v>7.4903997390482618E-3</v>
      </c>
      <c r="F111">
        <f>IF($A55="AEO",'Growth Rates'!F107,'Growth Rates'!F107*F$5)</f>
        <v>4.8796255322024664E-3</v>
      </c>
      <c r="G111">
        <f>IF($A55="AEO",'Growth Rates'!G107,'Growth Rates'!G107*G$5)</f>
        <v>3.3081912190495184E-3</v>
      </c>
      <c r="H111">
        <f>IF($A55="AEO",'Growth Rates'!H107,'Growth Rates'!H107*H$5)</f>
        <v>3.928002234854908E-3</v>
      </c>
      <c r="I111">
        <f>IF($A55="AEO",'Growth Rates'!I107,'Growth Rates'!I107*I$5)</f>
        <v>4.4243060449402176E-3</v>
      </c>
      <c r="J111">
        <f>IF($A55="AEO",'Growth Rates'!J107,'Growth Rates'!J107*J$5)</f>
        <v>4.2701257332459133E-3</v>
      </c>
      <c r="K111">
        <f>IF($A55="AEO",'Growth Rates'!K107,'Growth Rates'!K107*K$5)</f>
        <v>4.7767406196959636E-3</v>
      </c>
      <c r="L111">
        <f>IF($A55="AEO",'Growth Rates'!L107,'Growth Rates'!L107*L$5)</f>
        <v>5.0826802267489452E-3</v>
      </c>
      <c r="M111">
        <f>IF($A55="AEO",'Growth Rates'!M107,'Growth Rates'!M107*M$5)</f>
        <v>5.3068222564744642E-3</v>
      </c>
      <c r="N111">
        <f>IF($A55="AEO",'Growth Rates'!N107,'Growth Rates'!N107*N$5)</f>
        <v>5.5060933069732022E-3</v>
      </c>
      <c r="O111">
        <f>IF($A55="AEO",'Growth Rates'!O107,'Growth Rates'!O107*O$5)</f>
        <v>4.4813386029950728E-3</v>
      </c>
      <c r="P111">
        <f>IF($A55="AEO",'Growth Rates'!P107,'Growth Rates'!P107*P$5)</f>
        <v>4.3670272964130685E-3</v>
      </c>
      <c r="Q111">
        <f>IF($A55="AEO",'Growth Rates'!Q107,'Growth Rates'!Q107*Q$5)</f>
        <v>4.3066457578938991E-3</v>
      </c>
      <c r="R111">
        <f>IF($A55="AEO",'Growth Rates'!R107,'Growth Rates'!R107*R$5)</f>
        <v>4.1507187175704027E-3</v>
      </c>
      <c r="S111">
        <f>IF($A55="AEO",'Growth Rates'!S107,'Growth Rates'!S107*S$5)</f>
        <v>4.0960297397605698E-3</v>
      </c>
      <c r="T111">
        <f>IF($A55="AEO",'Growth Rates'!T107,'Growth Rates'!T107*T$5)</f>
        <v>3.9064552710459726E-3</v>
      </c>
      <c r="U111">
        <f>IF($A55="AEO",'Growth Rates'!U107,'Growth Rates'!U107*U$5)</f>
        <v>3.9426041283410814E-3</v>
      </c>
      <c r="V111">
        <f>IF($A55="AEO",'Growth Rates'!V107,'Growth Rates'!V107*V$5)</f>
        <v>4.03024390015132E-3</v>
      </c>
      <c r="W111">
        <f>IF($A55="AEO",'Growth Rates'!W107,'Growth Rates'!W107*W$5)</f>
        <v>3.9759783252242657E-3</v>
      </c>
      <c r="X111">
        <f>IF($A55="AEO",'Growth Rates'!X107,'Growth Rates'!X107*X$5)</f>
        <v>3.8510780115373284E-3</v>
      </c>
      <c r="Y111">
        <f>IF($A55="AEO",'Growth Rates'!Y107,'Growth Rates'!Y107*Y$5)</f>
        <v>3.6631492280200613E-3</v>
      </c>
      <c r="Z111">
        <f>IF($A55="AEO",'Growth Rates'!Z107,'Growth Rates'!Z107*Z$5)</f>
        <v>3.4484657882256145E-3</v>
      </c>
      <c r="AA111">
        <f>IF($A55="AEO",'Growth Rates'!AA107,'Growth Rates'!AA107*AA$5)</f>
        <v>3.4112243802196982E-3</v>
      </c>
      <c r="AB111">
        <f>IF($A55="AEO",'Growth Rates'!AB107,'Growth Rates'!AB107*AB$5)</f>
        <v>3.2430545340346277E-3</v>
      </c>
      <c r="AC111">
        <f>IF($A55="AEO",'Growth Rates'!AC107,'Growth Rates'!AC107*AC$5)</f>
        <v>3.3150236996539349E-3</v>
      </c>
    </row>
    <row r="112" spans="2:29" x14ac:dyDescent="0.25">
      <c r="B112" t="s">
        <v>692</v>
      </c>
      <c r="C112">
        <v>0</v>
      </c>
      <c r="D112">
        <f>IF($A56="AEO",'Growth Rates'!D108,'Growth Rates'!D108*D$5)</f>
        <v>4.3278060271853182E-3</v>
      </c>
      <c r="E112">
        <f>IF($A56="AEO",'Growth Rates'!E108,'Growth Rates'!E108*E$5)</f>
        <v>6.9885000001639582E-3</v>
      </c>
      <c r="F112">
        <f>IF($A56="AEO",'Growth Rates'!F108,'Growth Rates'!F108*F$5)</f>
        <v>4.5526626375924145E-3</v>
      </c>
      <c r="G112">
        <f>IF($A56="AEO",'Growth Rates'!G108,'Growth Rates'!G108*G$5)</f>
        <v>3.086523435371091E-3</v>
      </c>
      <c r="H112">
        <f>IF($A56="AEO",'Growth Rates'!H108,'Growth Rates'!H108*H$5)</f>
        <v>3.6648035585902503E-3</v>
      </c>
      <c r="I112">
        <f>IF($A56="AEO",'Growth Rates'!I108,'Growth Rates'!I108*I$5)</f>
        <v>4.1278521671686838E-3</v>
      </c>
      <c r="J112">
        <f>IF($A56="AEO",'Growth Rates'!J108,'Growth Rates'!J108*J$5)</f>
        <v>3.9840028205598696E-3</v>
      </c>
      <c r="K112">
        <f>IF($A56="AEO",'Growth Rates'!K108,'Growth Rates'!K108*K$5)</f>
        <v>4.4566716042540623E-3</v>
      </c>
      <c r="L112">
        <f>IF($A56="AEO",'Growth Rates'!L108,'Growth Rates'!L108*L$5)</f>
        <v>4.7421115031147324E-3</v>
      </c>
      <c r="M112">
        <f>IF($A56="AEO",'Growth Rates'!M108,'Growth Rates'!M108*M$5)</f>
        <v>4.9512347314262526E-3</v>
      </c>
      <c r="N112">
        <f>IF($A56="AEO",'Growth Rates'!N108,'Growth Rates'!N108*N$5)</f>
        <v>5.1371534787506834E-3</v>
      </c>
      <c r="O112">
        <f>IF($A56="AEO",'Growth Rates'!O108,'Growth Rates'!O108*O$5)</f>
        <v>4.1810632167603237E-3</v>
      </c>
      <c r="P112">
        <f>IF($A56="AEO",'Growth Rates'!P108,'Growth Rates'!P108*P$5)</f>
        <v>4.0744114232782605E-3</v>
      </c>
      <c r="Q112">
        <f>IF($A56="AEO",'Growth Rates'!Q108,'Growth Rates'!Q108*Q$5)</f>
        <v>4.0180757941193383E-3</v>
      </c>
      <c r="R112">
        <f>IF($A56="AEO",'Growth Rates'!R108,'Growth Rates'!R108*R$5)</f>
        <v>3.8725967597167251E-3</v>
      </c>
      <c r="S112">
        <f>IF($A56="AEO",'Growth Rates'!S108,'Growth Rates'!S108*S$5)</f>
        <v>3.8215722570535946E-3</v>
      </c>
      <c r="T112">
        <f>IF($A56="AEO",'Growth Rates'!T108,'Growth Rates'!T108*T$5)</f>
        <v>3.6447003649252609E-3</v>
      </c>
      <c r="U112">
        <f>IF($A56="AEO",'Growth Rates'!U108,'Growth Rates'!U108*U$5)</f>
        <v>3.6784270414730856E-3</v>
      </c>
      <c r="V112">
        <f>IF($A56="AEO",'Growth Rates'!V108,'Growth Rates'!V108*V$5)</f>
        <v>3.7601944459705176E-3</v>
      </c>
      <c r="W112">
        <f>IF($A56="AEO",'Growth Rates'!W108,'Growth Rates'!W108*W$5)</f>
        <v>3.7095649757688644E-3</v>
      </c>
      <c r="X112">
        <f>IF($A56="AEO",'Growth Rates'!X108,'Growth Rates'!X108*X$5)</f>
        <v>3.5930336993843354E-3</v>
      </c>
      <c r="Y112">
        <f>IF($A56="AEO",'Growth Rates'!Y108,'Growth Rates'!Y108*Y$5)</f>
        <v>3.4176972221073416E-3</v>
      </c>
      <c r="Z112">
        <f>IF($A56="AEO",'Growth Rates'!Z108,'Growth Rates'!Z108*Z$5)</f>
        <v>3.2173988039578558E-3</v>
      </c>
      <c r="AA112">
        <f>IF($A56="AEO",'Growth Rates'!AA108,'Growth Rates'!AA108*AA$5)</f>
        <v>3.1826527838624686E-3</v>
      </c>
      <c r="AB112">
        <f>IF($A56="AEO",'Growth Rates'!AB108,'Growth Rates'!AB108*AB$5)</f>
        <v>3.0257512818017435E-3</v>
      </c>
      <c r="AC112">
        <f>IF($A56="AEO",'Growth Rates'!AC108,'Growth Rates'!AC108*AC$5)</f>
        <v>3.0928981005917153E-3</v>
      </c>
    </row>
    <row r="113" spans="1:29" x14ac:dyDescent="0.25">
      <c r="B113" t="s">
        <v>747</v>
      </c>
      <c r="C113">
        <v>0</v>
      </c>
      <c r="D113">
        <f>IF($A57="AEO",'Growth Rates'!D109,'Growth Rates'!D109*D$5)</f>
        <v>2.537018955347951E-2</v>
      </c>
      <c r="E113">
        <f>IF($A57="AEO",'Growth Rates'!E109,'Growth Rates'!E109*E$5)</f>
        <v>4.096754073194029E-2</v>
      </c>
      <c r="F113">
        <f>IF($A57="AEO",'Growth Rates'!F109,'Growth Rates'!F109*F$5)</f>
        <v>2.6688329690201643E-2</v>
      </c>
      <c r="G113">
        <f>IF($A57="AEO",'Growth Rates'!G109,'Growth Rates'!G109*G$5)</f>
        <v>1.8093621600584798E-2</v>
      </c>
      <c r="H113">
        <f>IF($A57="AEO",'Growth Rates'!H109,'Growth Rates'!H109*H$5)</f>
        <v>2.1483578601643183E-2</v>
      </c>
      <c r="I113">
        <f>IF($A57="AEO",'Growth Rates'!I109,'Growth Rates'!I109*I$5)</f>
        <v>2.4198032738061617E-2</v>
      </c>
      <c r="J113">
        <f>IF($A57="AEO",'Growth Rates'!J109,'Growth Rates'!J109*J$5)</f>
        <v>2.3354768236906669E-2</v>
      </c>
      <c r="K113">
        <f>IF($A57="AEO",'Growth Rates'!K109,'Growth Rates'!K109*K$5)</f>
        <v>2.6125617152733271E-2</v>
      </c>
      <c r="L113">
        <f>IF($A57="AEO",'Growth Rates'!L109,'Growth Rates'!L109*L$5)</f>
        <v>2.7798904794261652E-2</v>
      </c>
      <c r="M113">
        <f>IF($A57="AEO",'Growth Rates'!M109,'Growth Rates'!M109*M$5)</f>
        <v>2.9024813697981482E-2</v>
      </c>
      <c r="N113">
        <f>IF($A57="AEO",'Growth Rates'!N109,'Growth Rates'!N109*N$5)</f>
        <v>3.0114694767405002E-2</v>
      </c>
      <c r="O113">
        <f>IF($A57="AEO",'Growth Rates'!O109,'Growth Rates'!O109*O$5)</f>
        <v>2.4509963172558814E-2</v>
      </c>
      <c r="P113">
        <f>IF($A57="AEO",'Growth Rates'!P109,'Growth Rates'!P109*P$5)</f>
        <v>2.3884755804238229E-2</v>
      </c>
      <c r="Q113">
        <f>IF($A57="AEO",'Growth Rates'!Q109,'Growth Rates'!Q109*Q$5)</f>
        <v>2.3554508657901603E-2</v>
      </c>
      <c r="R113">
        <f>IF($A57="AEO",'Growth Rates'!R109,'Growth Rates'!R109*R$5)</f>
        <v>2.2701690704493498E-2</v>
      </c>
      <c r="S113">
        <f>IF($A57="AEO",'Growth Rates'!S109,'Growth Rates'!S109*S$5)</f>
        <v>2.2402578106492529E-2</v>
      </c>
      <c r="T113">
        <f>IF($A57="AEO",'Growth Rates'!T109,'Growth Rates'!T109*T$5)</f>
        <v>2.1365730936866306E-2</v>
      </c>
      <c r="U113">
        <f>IF($A57="AEO",'Growth Rates'!U109,'Growth Rates'!U109*U$5)</f>
        <v>2.1563441317519319E-2</v>
      </c>
      <c r="V113">
        <f>IF($A57="AEO",'Growth Rates'!V109,'Growth Rates'!V109*V$5)</f>
        <v>2.2042773001602452E-2</v>
      </c>
      <c r="W113">
        <f>IF($A57="AEO",'Growth Rates'!W109,'Growth Rates'!W109*W$5)</f>
        <v>2.1745976137801333E-2</v>
      </c>
      <c r="X113">
        <f>IF($A57="AEO",'Growth Rates'!X109,'Growth Rates'!X109*X$5)</f>
        <v>2.1062853892438782E-2</v>
      </c>
      <c r="Y113">
        <f>IF($A57="AEO",'Growth Rates'!Y109,'Growth Rates'!Y109*Y$5)</f>
        <v>2.003500753421146E-2</v>
      </c>
      <c r="Z113">
        <f>IF($A57="AEO",'Growth Rates'!Z109,'Growth Rates'!Z109*Z$5)</f>
        <v>1.8860830871996428E-2</v>
      </c>
      <c r="AA113">
        <f>IF($A57="AEO",'Growth Rates'!AA109,'Growth Rates'!AA109*AA$5)</f>
        <v>1.8657144960356278E-2</v>
      </c>
      <c r="AB113">
        <f>IF($A57="AEO",'Growth Rates'!AB109,'Growth Rates'!AB109*AB$5)</f>
        <v>1.7737366942695183E-2</v>
      </c>
      <c r="AC113">
        <f>IF($A57="AEO",'Growth Rates'!AC109,'Growth Rates'!AC109*AC$5)</f>
        <v>1.8130990758068132E-2</v>
      </c>
    </row>
    <row r="114" spans="1:29" x14ac:dyDescent="0.25">
      <c r="B114" t="s">
        <v>832</v>
      </c>
      <c r="C114">
        <v>0</v>
      </c>
      <c r="D114">
        <f>IF($A58="AEO",'Growth Rates'!D110,'Growth Rates'!D110*D$5)</f>
        <v>2.0147155262794883E-2</v>
      </c>
      <c r="E114">
        <f>IF($A58="AEO",'Growth Rates'!E110,'Growth Rates'!E110*E$5)</f>
        <v>3.2533434648621858E-2</v>
      </c>
      <c r="F114">
        <f>IF($A58="AEO",'Growth Rates'!F110,'Growth Rates'!F110*F$5)</f>
        <v>2.1193926077679091E-2</v>
      </c>
      <c r="G114">
        <f>IF($A58="AEO",'Growth Rates'!G110,'Growth Rates'!G110*G$5)</f>
        <v>1.4368635397256833E-2</v>
      </c>
      <c r="H114">
        <f>IF($A58="AEO",'Growth Rates'!H110,'Growth Rates'!H110*H$5)</f>
        <v>1.7060692147189738E-2</v>
      </c>
      <c r="I114">
        <f>IF($A58="AEO",'Growth Rates'!I110,'Growth Rates'!I110*I$5)</f>
        <v>1.9216313760693115E-2</v>
      </c>
      <c r="J114">
        <f>IF($A58="AEO",'Growth Rates'!J110,'Growth Rates'!J110*J$5)</f>
        <v>1.8546654561002907E-2</v>
      </c>
      <c r="K114">
        <f>IF($A58="AEO",'Growth Rates'!K110,'Growth Rates'!K110*K$5)</f>
        <v>2.0747060797591275E-2</v>
      </c>
      <c r="L114">
        <f>IF($A58="AEO",'Growth Rates'!L110,'Growth Rates'!L110*L$5)</f>
        <v>2.2075863873426575E-2</v>
      </c>
      <c r="M114">
        <f>IF($A58="AEO",'Growth Rates'!M110,'Growth Rates'!M110*M$5)</f>
        <v>2.3049391365967467E-2</v>
      </c>
      <c r="N114">
        <f>IF($A58="AEO",'Growth Rates'!N110,'Growth Rates'!N110*N$5)</f>
        <v>2.3914895467833552E-2</v>
      </c>
      <c r="O114">
        <f>IF($A58="AEO",'Growth Rates'!O110,'Growth Rates'!O110*O$5)</f>
        <v>1.9464026174577865E-2</v>
      </c>
      <c r="P114">
        <f>IF($A58="AEO",'Growth Rates'!P110,'Growth Rates'!P110*P$5)</f>
        <v>1.8967532055192356E-2</v>
      </c>
      <c r="Q114">
        <f>IF($A58="AEO",'Growth Rates'!Q110,'Growth Rates'!Q110*Q$5)</f>
        <v>1.8705273843904125E-2</v>
      </c>
      <c r="R114">
        <f>IF($A58="AEO",'Growth Rates'!R110,'Growth Rates'!R110*R$5)</f>
        <v>1.8028027988803465E-2</v>
      </c>
      <c r="S114">
        <f>IF($A58="AEO",'Growth Rates'!S110,'Growth Rates'!S110*S$5)</f>
        <v>1.7790494566347938E-2</v>
      </c>
      <c r="T114">
        <f>IF($A58="AEO",'Growth Rates'!T110,'Growth Rates'!T110*T$5)</f>
        <v>1.6967106121960694E-2</v>
      </c>
      <c r="U114">
        <f>IF($A58="AEO",'Growth Rates'!U110,'Growth Rates'!U110*U$5)</f>
        <v>1.7124113294795799E-2</v>
      </c>
      <c r="V114">
        <f>IF($A58="AEO",'Growth Rates'!V110,'Growth Rates'!V110*V$5)</f>
        <v>1.750476357891145E-2</v>
      </c>
      <c r="W114">
        <f>IF($A58="AEO",'Growth Rates'!W110,'Growth Rates'!W110*W$5)</f>
        <v>1.7269069143759246E-2</v>
      </c>
      <c r="X114">
        <f>IF($A58="AEO",'Growth Rates'!X110,'Growth Rates'!X110*X$5)</f>
        <v>1.6726583250550743E-2</v>
      </c>
      <c r="Y114">
        <f>IF($A58="AEO",'Growth Rates'!Y110,'Growth Rates'!Y110*Y$5)</f>
        <v>1.5910342594490527E-2</v>
      </c>
      <c r="Z114">
        <f>IF($A58="AEO",'Growth Rates'!Z110,'Growth Rates'!Z110*Z$5)</f>
        <v>1.4977897077292879E-2</v>
      </c>
      <c r="AA114">
        <f>IF($A58="AEO",'Growth Rates'!AA110,'Growth Rates'!AA110*AA$5)</f>
        <v>1.4816144573315423E-2</v>
      </c>
      <c r="AB114">
        <f>IF($A58="AEO",'Growth Rates'!AB110,'Growth Rates'!AB110*AB$5)</f>
        <v>1.4085723916029387E-2</v>
      </c>
      <c r="AC114">
        <f>IF($A58="AEO",'Growth Rates'!AC110,'Growth Rates'!AC110*AC$5)</f>
        <v>1.4398311258222298E-2</v>
      </c>
    </row>
    <row r="115" spans="1:29" x14ac:dyDescent="0.25">
      <c r="B115" t="s">
        <v>896</v>
      </c>
      <c r="C115">
        <v>0</v>
      </c>
      <c r="D115">
        <f>IF($A59="AEO",'Growth Rates'!D111,'Growth Rates'!D111*D$5)</f>
        <v>1.9296169387474308E-2</v>
      </c>
      <c r="E115">
        <f>IF($A59="AEO",'Growth Rates'!E111,'Growth Rates'!E111*E$5)</f>
        <v>3.1159270752998926E-2</v>
      </c>
      <c r="F115">
        <f>IF($A59="AEO",'Growth Rates'!F111,'Growth Rates'!F111*F$5)</f>
        <v>2.0298726159902143E-2</v>
      </c>
      <c r="G115">
        <f>IF($A59="AEO",'Growth Rates'!G111,'Growth Rates'!G111*G$5)</f>
        <v>1.3761725607204388E-2</v>
      </c>
      <c r="H115">
        <f>IF($A59="AEO",'Growth Rates'!H111,'Growth Rates'!H111*H$5)</f>
        <v>1.6340073883664374E-2</v>
      </c>
      <c r="I115">
        <f>IF($A59="AEO",'Growth Rates'!I111,'Growth Rates'!I111*I$5)</f>
        <v>1.8404645246067799E-2</v>
      </c>
      <c r="J115">
        <f>IF($A59="AEO",'Growth Rates'!J111,'Growth Rates'!J111*J$5)</f>
        <v>1.7763271455051004E-2</v>
      </c>
      <c r="K115">
        <f>IF($A59="AEO",'Growth Rates'!K111,'Growth Rates'!K111*K$5)</f>
        <v>1.9870735804664297E-2</v>
      </c>
      <c r="L115">
        <f>IF($A59="AEO",'Growth Rates'!L111,'Growth Rates'!L111*L$5)</f>
        <v>2.114341221478086E-2</v>
      </c>
      <c r="M115">
        <f>IF($A59="AEO",'Growth Rates'!M111,'Growth Rates'!M111*M$5)</f>
        <v>2.2075819353873222E-2</v>
      </c>
      <c r="N115">
        <f>IF($A59="AEO",'Growth Rates'!N111,'Growth Rates'!N111*N$5)</f>
        <v>2.2904765849659791E-2</v>
      </c>
      <c r="O115">
        <f>IF($A59="AEO",'Growth Rates'!O111,'Growth Rates'!O111*O$5)</f>
        <v>1.8641894655989567E-2</v>
      </c>
      <c r="P115">
        <f>IF($A59="AEO",'Growth Rates'!P111,'Growth Rates'!P111*P$5)</f>
        <v>1.8166371709817632E-2</v>
      </c>
      <c r="Q115">
        <f>IF($A59="AEO",'Growth Rates'!Q111,'Growth Rates'!Q111*Q$5)</f>
        <v>1.7915190895342104E-2</v>
      </c>
      <c r="R115">
        <f>IF($A59="AEO",'Growth Rates'!R111,'Growth Rates'!R111*R$5)</f>
        <v>1.7266550897956468E-2</v>
      </c>
      <c r="S115">
        <f>IF($A59="AEO",'Growth Rates'!S111,'Growth Rates'!S111*S$5)</f>
        <v>1.7039050534004216E-2</v>
      </c>
      <c r="T115">
        <f>IF($A59="AEO",'Growth Rates'!T111,'Growth Rates'!T111*T$5)</f>
        <v>1.6250440792959262E-2</v>
      </c>
      <c r="U115">
        <f>IF($A59="AEO",'Growth Rates'!U111,'Growth Rates'!U111*U$5)</f>
        <v>1.6400816216315894E-2</v>
      </c>
      <c r="V115">
        <f>IF($A59="AEO",'Growth Rates'!V111,'Growth Rates'!V111*V$5)</f>
        <v>1.6765388398536071E-2</v>
      </c>
      <c r="W115">
        <f>IF($A59="AEO",'Growth Rates'!W111,'Growth Rates'!W111*W$5)</f>
        <v>1.6539649345798404E-2</v>
      </c>
      <c r="X115">
        <f>IF($A59="AEO",'Growth Rates'!X111,'Growth Rates'!X111*X$5)</f>
        <v>1.602007724993049E-2</v>
      </c>
      <c r="Y115">
        <f>IF($A59="AEO",'Growth Rates'!Y111,'Growth Rates'!Y111*Y$5)</f>
        <v>1.5238313385263866E-2</v>
      </c>
      <c r="Z115">
        <f>IF($A59="AEO",'Growth Rates'!Z111,'Growth Rates'!Z111*Z$5)</f>
        <v>1.4345252979973631E-2</v>
      </c>
      <c r="AA115">
        <f>IF($A59="AEO",'Growth Rates'!AA111,'Growth Rates'!AA111*AA$5)</f>
        <v>1.419033266120481E-2</v>
      </c>
      <c r="AB115">
        <f>IF($A59="AEO",'Growth Rates'!AB111,'Growth Rates'!AB111*AB$5)</f>
        <v>1.3490763886196201E-2</v>
      </c>
      <c r="AC115">
        <f>IF($A59="AEO",'Growth Rates'!AC111,'Growth Rates'!AC111*AC$5)</f>
        <v>1.3790148003936804E-2</v>
      </c>
    </row>
    <row r="116" spans="1:29" x14ac:dyDescent="0.25">
      <c r="B116" t="s">
        <v>929</v>
      </c>
      <c r="C116">
        <v>0</v>
      </c>
      <c r="D116">
        <f>IF($A60="AEO",'Growth Rates'!D112,'Growth Rates'!D112*D$5)</f>
        <v>1.6484036124104907E-2</v>
      </c>
      <c r="E116">
        <f>IF($A60="AEO",'Growth Rates'!E112,'Growth Rates'!E112*E$5)</f>
        <v>2.6618264712508794E-2</v>
      </c>
      <c r="F116">
        <f>IF($A60="AEO",'Growth Rates'!F112,'Growth Rates'!F112*F$5)</f>
        <v>1.7340484972646529E-2</v>
      </c>
      <c r="G116">
        <f>IF($A60="AEO",'Growth Rates'!G112,'Growth Rates'!G112*G$5)</f>
        <v>1.1756156234119226E-2</v>
      </c>
      <c r="H116">
        <f>IF($A60="AEO",'Growth Rates'!H112,'Growth Rates'!H112*H$5)</f>
        <v>1.395874812042797E-2</v>
      </c>
      <c r="I116">
        <f>IF($A60="AEO",'Growth Rates'!I112,'Growth Rates'!I112*I$5)</f>
        <v>1.5722438531476184E-2</v>
      </c>
      <c r="J116">
        <f>IF($A60="AEO",'Growth Rates'!J112,'Growth Rates'!J112*J$5)</f>
        <v>1.517453554991147E-2</v>
      </c>
      <c r="K116">
        <f>IF($A60="AEO",'Growth Rates'!K112,'Growth Rates'!K112*K$5)</f>
        <v>1.6974867925301954E-2</v>
      </c>
      <c r="L116">
        <f>IF($A60="AEO",'Growth Rates'!L112,'Growth Rates'!L112*L$5)</f>
        <v>1.8062070441894468E-2</v>
      </c>
      <c r="M116">
        <f>IF($A60="AEO",'Growth Rates'!M112,'Growth Rates'!M112*M$5)</f>
        <v>1.8858592935791566E-2</v>
      </c>
      <c r="N116">
        <f>IF($A60="AEO",'Growth Rates'!N112,'Growth Rates'!N112*N$5)</f>
        <v>1.9566732655500178E-2</v>
      </c>
      <c r="O116">
        <f>IF($A60="AEO",'Growth Rates'!O112,'Growth Rates'!O112*O$5)</f>
        <v>1.5925112324654617E-2</v>
      </c>
      <c r="P116">
        <f>IF($A60="AEO",'Growth Rates'!P112,'Growth Rates'!P112*P$5)</f>
        <v>1.5518889863339201E-2</v>
      </c>
      <c r="Q116">
        <f>IF($A60="AEO",'Growth Rates'!Q112,'Growth Rates'!Q112*Q$5)</f>
        <v>1.5304314963194286E-2</v>
      </c>
      <c r="R116">
        <f>IF($A60="AEO",'Growth Rates'!R112,'Growth Rates'!R112*R$5)</f>
        <v>1.4750204718111925E-2</v>
      </c>
      <c r="S116">
        <f>IF($A60="AEO",'Growth Rates'!S112,'Growth Rates'!S112*S$5)</f>
        <v>1.4555859190648312E-2</v>
      </c>
      <c r="T116">
        <f>IF($A60="AEO",'Growth Rates'!T112,'Growth Rates'!T112*T$5)</f>
        <v>1.3882177736149659E-2</v>
      </c>
      <c r="U116">
        <f>IF($A60="AEO",'Growth Rates'!U112,'Growth Rates'!U112*U$5)</f>
        <v>1.4010638150287472E-2</v>
      </c>
      <c r="V116">
        <f>IF($A60="AEO",'Growth Rates'!V112,'Growth Rates'!V112*V$5)</f>
        <v>1.4322079291836641E-2</v>
      </c>
      <c r="W116">
        <f>IF($A60="AEO",'Growth Rates'!W112,'Growth Rates'!W112*W$5)</f>
        <v>1.4129238390348473E-2</v>
      </c>
      <c r="X116">
        <f>IF($A60="AEO",'Growth Rates'!X112,'Growth Rates'!X112*X$5)</f>
        <v>1.3685386295905152E-2</v>
      </c>
      <c r="Y116">
        <f>IF($A60="AEO",'Growth Rates'!Y112,'Growth Rates'!Y112*Y$5)</f>
        <v>1.3017553031855885E-2</v>
      </c>
      <c r="Z116">
        <f>IF($A60="AEO",'Growth Rates'!Z112,'Growth Rates'!Z112*Z$5)</f>
        <v>1.2254643063239628E-2</v>
      </c>
      <c r="AA116">
        <f>IF($A60="AEO",'Growth Rates'!AA112,'Growth Rates'!AA112*AA$5)</f>
        <v>1.2122300105439892E-2</v>
      </c>
      <c r="AB116">
        <f>IF($A60="AEO",'Growth Rates'!AB112,'Growth Rates'!AB112*AB$5)</f>
        <v>1.1524683204024045E-2</v>
      </c>
      <c r="AC116">
        <f>IF($A60="AEO",'Growth Rates'!AC112,'Growth Rates'!AC112*AC$5)</f>
        <v>1.1780436484000062E-2</v>
      </c>
    </row>
    <row r="119" spans="1:29" x14ac:dyDescent="0.25">
      <c r="A119" s="1" t="s">
        <v>1229</v>
      </c>
    </row>
    <row r="120" spans="1:29" x14ac:dyDescent="0.25">
      <c r="C120" s="1">
        <v>2024</v>
      </c>
      <c r="D120" s="1">
        <v>2025</v>
      </c>
      <c r="E120" s="1">
        <v>2026</v>
      </c>
      <c r="F120" s="1">
        <v>2027</v>
      </c>
      <c r="G120" s="1">
        <v>2028</v>
      </c>
      <c r="H120" s="1">
        <v>2029</v>
      </c>
      <c r="I120" s="1">
        <v>2030</v>
      </c>
      <c r="J120" s="1">
        <v>2031</v>
      </c>
      <c r="K120" s="1">
        <v>2032</v>
      </c>
      <c r="L120" s="1">
        <v>2033</v>
      </c>
      <c r="M120" s="1">
        <v>2034</v>
      </c>
      <c r="N120" s="1">
        <v>2035</v>
      </c>
      <c r="O120" s="1">
        <v>2036</v>
      </c>
      <c r="P120" s="1">
        <v>2037</v>
      </c>
      <c r="Q120" s="1">
        <v>2038</v>
      </c>
      <c r="R120" s="1">
        <v>2039</v>
      </c>
      <c r="S120" s="1">
        <v>2040</v>
      </c>
      <c r="T120" s="1">
        <v>2041</v>
      </c>
      <c r="U120" s="1">
        <v>2042</v>
      </c>
      <c r="V120" s="1">
        <v>2043</v>
      </c>
      <c r="W120" s="1">
        <v>2044</v>
      </c>
      <c r="X120" s="1">
        <v>2045</v>
      </c>
      <c r="Y120" s="1">
        <v>2046</v>
      </c>
      <c r="Z120" s="1">
        <v>2047</v>
      </c>
      <c r="AA120" s="1">
        <v>2048</v>
      </c>
      <c r="AB120" s="1">
        <v>2049</v>
      </c>
      <c r="AC120" s="1">
        <v>2050</v>
      </c>
    </row>
    <row r="121" spans="1:29" x14ac:dyDescent="0.25">
      <c r="B121" t="s">
        <v>58</v>
      </c>
      <c r="C121">
        <v>0</v>
      </c>
      <c r="D121">
        <f t="shared" ref="D121:AC121" si="0">(1+C121)*(1+D65)-1</f>
        <v>-9.9246442360578335E-2</v>
      </c>
      <c r="E121">
        <f t="shared" si="0"/>
        <v>-9.7064668108561514E-2</v>
      </c>
      <c r="F121">
        <f t="shared" si="0"/>
        <v>-8.4352244459260706E-2</v>
      </c>
      <c r="G121">
        <f t="shared" si="0"/>
        <v>-6.6010148841965433E-2</v>
      </c>
      <c r="H121">
        <f t="shared" si="0"/>
        <v>-5.3677079145085127E-2</v>
      </c>
      <c r="I121">
        <f t="shared" si="0"/>
        <v>-4.1559286496916203E-2</v>
      </c>
      <c r="J121">
        <f t="shared" si="0"/>
        <v>-2.9646012334294536E-2</v>
      </c>
      <c r="K121">
        <f t="shared" si="0"/>
        <v>-1.752046208839797E-2</v>
      </c>
      <c r="L121">
        <f t="shared" si="0"/>
        <v>-1.0900037249274686E-2</v>
      </c>
      <c r="M121">
        <f t="shared" si="0"/>
        <v>2.1234382306358768E-3</v>
      </c>
      <c r="N121">
        <f t="shared" si="0"/>
        <v>1.6502466686875827E-2</v>
      </c>
      <c r="O121">
        <f t="shared" si="0"/>
        <v>3.0867334743436059E-2</v>
      </c>
      <c r="P121">
        <f t="shared" si="0"/>
        <v>4.4812748748507936E-2</v>
      </c>
      <c r="Q121">
        <f t="shared" si="0"/>
        <v>5.9567168843496443E-2</v>
      </c>
      <c r="R121">
        <f t="shared" si="0"/>
        <v>7.4789182781231034E-2</v>
      </c>
      <c r="S121">
        <f t="shared" si="0"/>
        <v>8.7681486191813152E-2</v>
      </c>
      <c r="T121">
        <f t="shared" si="0"/>
        <v>9.9901508388601457E-2</v>
      </c>
      <c r="U121">
        <f t="shared" si="0"/>
        <v>0.11352171201926886</v>
      </c>
      <c r="V121">
        <f t="shared" si="0"/>
        <v>0.12640291538391568</v>
      </c>
      <c r="W121">
        <f t="shared" si="0"/>
        <v>0.1404278484774657</v>
      </c>
      <c r="X121">
        <f t="shared" si="0"/>
        <v>0.15636745505208482</v>
      </c>
      <c r="Y121">
        <f t="shared" si="0"/>
        <v>0.17311210169117919</v>
      </c>
      <c r="Z121">
        <f t="shared" si="0"/>
        <v>0.19000638273983994</v>
      </c>
      <c r="AA121">
        <f t="shared" si="0"/>
        <v>0.20714159844213698</v>
      </c>
      <c r="AB121">
        <f t="shared" si="0"/>
        <v>0.22415685718588718</v>
      </c>
      <c r="AC121">
        <f t="shared" si="0"/>
        <v>0.24131608803521631</v>
      </c>
    </row>
    <row r="122" spans="1:29" x14ac:dyDescent="0.25">
      <c r="B122" t="s">
        <v>65</v>
      </c>
      <c r="C122">
        <v>0</v>
      </c>
      <c r="D122">
        <f t="shared" ref="D122:AC122" si="1">(1+C122)*(1+D66)-1</f>
        <v>1.4652476554759986E-2</v>
      </c>
      <c r="E122">
        <f t="shared" si="1"/>
        <v>3.8659843854437659E-2</v>
      </c>
      <c r="F122">
        <f t="shared" si="1"/>
        <v>5.4669502000259218E-2</v>
      </c>
      <c r="G122">
        <f t="shared" si="1"/>
        <v>6.569071039214891E-2</v>
      </c>
      <c r="H122">
        <f t="shared" si="1"/>
        <v>7.8913562126054604E-2</v>
      </c>
      <c r="I122">
        <f t="shared" si="1"/>
        <v>9.3991919602768093E-2</v>
      </c>
      <c r="J122">
        <f t="shared" si="1"/>
        <v>0.10874820340305957</v>
      </c>
      <c r="K122">
        <f t="shared" si="1"/>
        <v>0.12547785168322201</v>
      </c>
      <c r="L122">
        <f t="shared" si="1"/>
        <v>0.14354759411690599</v>
      </c>
      <c r="M122">
        <f t="shared" si="1"/>
        <v>0.16271710396593209</v>
      </c>
      <c r="N122">
        <f t="shared" si="1"/>
        <v>0.18293983705684647</v>
      </c>
      <c r="O122">
        <f t="shared" si="1"/>
        <v>0.19968512574879238</v>
      </c>
      <c r="P122">
        <f t="shared" si="1"/>
        <v>0.21623426471517604</v>
      </c>
      <c r="Q122">
        <f t="shared" si="1"/>
        <v>0.23277971560960276</v>
      </c>
      <c r="R122">
        <f t="shared" si="1"/>
        <v>0.24894305176744935</v>
      </c>
      <c r="S122">
        <f t="shared" si="1"/>
        <v>0.26510255327737431</v>
      </c>
      <c r="T122">
        <f t="shared" si="1"/>
        <v>0.28071355638764395</v>
      </c>
      <c r="U122">
        <f t="shared" si="1"/>
        <v>0.29666343568783504</v>
      </c>
      <c r="V122">
        <f t="shared" si="1"/>
        <v>0.31317091705738753</v>
      </c>
      <c r="W122">
        <f t="shared" si="1"/>
        <v>0.32966345477683334</v>
      </c>
      <c r="X122">
        <f t="shared" si="1"/>
        <v>0.34583852857431685</v>
      </c>
      <c r="Y122">
        <f t="shared" si="1"/>
        <v>0.36141143916812246</v>
      </c>
      <c r="Z122">
        <f t="shared" si="1"/>
        <v>0.37624131583409293</v>
      </c>
      <c r="AA122">
        <f t="shared" si="1"/>
        <v>0.39107083605457849</v>
      </c>
      <c r="AB122">
        <f t="shared" si="1"/>
        <v>0.40532119223225482</v>
      </c>
      <c r="AC122">
        <f t="shared" si="1"/>
        <v>0.42003701182755382</v>
      </c>
    </row>
    <row r="123" spans="1:29" x14ac:dyDescent="0.25">
      <c r="B123" t="s">
        <v>70</v>
      </c>
      <c r="C123">
        <v>0</v>
      </c>
      <c r="D123">
        <f t="shared" ref="D123:AC123" si="2">(1+C123)*(1+D67)-1</f>
        <v>1.3736696770087375E-2</v>
      </c>
      <c r="E123">
        <f t="shared" si="2"/>
        <v>3.6223289889596222E-2</v>
      </c>
      <c r="F123">
        <f t="shared" si="2"/>
        <v>5.1197135211793476E-2</v>
      </c>
      <c r="G123">
        <f t="shared" si="2"/>
        <v>6.1495500007133774E-2</v>
      </c>
      <c r="H123">
        <f t="shared" si="2"/>
        <v>7.3843123603440031E-2</v>
      </c>
      <c r="I123">
        <f t="shared" si="2"/>
        <v>8.7912650689526251E-2</v>
      </c>
      <c r="J123">
        <f t="shared" si="2"/>
        <v>0.101669791683765</v>
      </c>
      <c r="K123">
        <f t="shared" si="2"/>
        <v>0.11725370769303733</v>
      </c>
      <c r="L123">
        <f t="shared" si="2"/>
        <v>0.13407030366788675</v>
      </c>
      <c r="M123">
        <f t="shared" si="2"/>
        <v>0.15189277884908869</v>
      </c>
      <c r="N123">
        <f t="shared" si="2"/>
        <v>0.17067509389203983</v>
      </c>
      <c r="O123">
        <f t="shared" si="2"/>
        <v>0.18621103753029522</v>
      </c>
      <c r="P123">
        <f t="shared" si="2"/>
        <v>0.20155160290205343</v>
      </c>
      <c r="Q123">
        <f t="shared" si="2"/>
        <v>0.21687570638150677</v>
      </c>
      <c r="R123">
        <f t="shared" si="2"/>
        <v>0.23183334453619375</v>
      </c>
      <c r="S123">
        <f t="shared" si="2"/>
        <v>0.24677533846070565</v>
      </c>
      <c r="T123">
        <f t="shared" si="2"/>
        <v>0.26119863583200531</v>
      </c>
      <c r="U123">
        <f t="shared" si="2"/>
        <v>0.27592380060057065</v>
      </c>
      <c r="V123">
        <f t="shared" si="2"/>
        <v>0.29115203546935642</v>
      </c>
      <c r="W123">
        <f t="shared" si="2"/>
        <v>0.30635453122546497</v>
      </c>
      <c r="X123">
        <f t="shared" si="2"/>
        <v>0.32125283655815373</v>
      </c>
      <c r="Y123">
        <f t="shared" si="2"/>
        <v>0.33558573561514193</v>
      </c>
      <c r="Z123">
        <f t="shared" si="2"/>
        <v>0.34922500767373998</v>
      </c>
      <c r="AA123">
        <f t="shared" si="2"/>
        <v>0.36285476638439462</v>
      </c>
      <c r="AB123">
        <f t="shared" si="2"/>
        <v>0.37594349091412327</v>
      </c>
      <c r="AC123">
        <f t="shared" si="2"/>
        <v>0.38945116999769591</v>
      </c>
    </row>
    <row r="124" spans="1:29" x14ac:dyDescent="0.25">
      <c r="B124" t="s">
        <v>82</v>
      </c>
      <c r="C124">
        <v>0</v>
      </c>
      <c r="D124">
        <f t="shared" ref="D124:AC124" si="3">(1+C124)*(1+D68)-1</f>
        <v>7.1210619379968643E-2</v>
      </c>
      <c r="E124">
        <f t="shared" si="3"/>
        <v>0.16921097449604217</v>
      </c>
      <c r="F124">
        <f t="shared" si="3"/>
        <v>0.16091028892820125</v>
      </c>
      <c r="G124">
        <f t="shared" si="3"/>
        <v>0.16735899552880551</v>
      </c>
      <c r="H124">
        <f t="shared" si="3"/>
        <v>0.17430614782541021</v>
      </c>
      <c r="I124">
        <f t="shared" si="3"/>
        <v>0.19963971784863777</v>
      </c>
      <c r="J124">
        <f t="shared" si="3"/>
        <v>0.21896509914686879</v>
      </c>
      <c r="K124">
        <f t="shared" si="3"/>
        <v>0.23705345943915801</v>
      </c>
      <c r="L124">
        <f t="shared" si="3"/>
        <v>0.250497742024683</v>
      </c>
      <c r="M124">
        <f t="shared" si="3"/>
        <v>0.26717464122534351</v>
      </c>
      <c r="N124">
        <f t="shared" si="3"/>
        <v>0.27178161626265518</v>
      </c>
      <c r="O124">
        <f t="shared" si="3"/>
        <v>0.27732978468717762</v>
      </c>
      <c r="P124">
        <f t="shared" si="3"/>
        <v>0.28440113514050069</v>
      </c>
      <c r="Q124">
        <f t="shared" si="3"/>
        <v>0.29091487464485066</v>
      </c>
      <c r="R124">
        <f t="shared" si="3"/>
        <v>0.29929356720442679</v>
      </c>
      <c r="S124">
        <f t="shared" si="3"/>
        <v>0.31463461596419995</v>
      </c>
      <c r="T124">
        <f t="shared" si="3"/>
        <v>0.33322183217357448</v>
      </c>
      <c r="U124">
        <f t="shared" si="3"/>
        <v>0.34371362499065983</v>
      </c>
      <c r="V124">
        <f t="shared" si="3"/>
        <v>0.35527634530552898</v>
      </c>
      <c r="W124">
        <f t="shared" si="3"/>
        <v>0.36215458181365978</v>
      </c>
      <c r="X124">
        <f t="shared" si="3"/>
        <v>0.3671011792936929</v>
      </c>
      <c r="Y124">
        <f t="shared" si="3"/>
        <v>0.37220321130298961</v>
      </c>
      <c r="Z124">
        <f t="shared" si="3"/>
        <v>0.37977573278249399</v>
      </c>
      <c r="AA124">
        <f t="shared" si="3"/>
        <v>0.38276615107801648</v>
      </c>
      <c r="AB124">
        <f t="shared" si="3"/>
        <v>0.3827882962473006</v>
      </c>
      <c r="AC124">
        <f t="shared" si="3"/>
        <v>0.38024740309101923</v>
      </c>
    </row>
    <row r="125" spans="1:29" x14ac:dyDescent="0.25">
      <c r="B125" t="s">
        <v>77</v>
      </c>
      <c r="C125">
        <v>0</v>
      </c>
      <c r="D125">
        <f t="shared" ref="D125:AC125" si="4">(1+C125)*(1+D69)-1</f>
        <v>7.1210619379968643E-2</v>
      </c>
      <c r="E125">
        <f t="shared" si="4"/>
        <v>0.16921097449604217</v>
      </c>
      <c r="F125">
        <f t="shared" si="4"/>
        <v>0.16091028892820125</v>
      </c>
      <c r="G125">
        <f t="shared" si="4"/>
        <v>0.16735899552880551</v>
      </c>
      <c r="H125">
        <f t="shared" si="4"/>
        <v>0.17430614782541021</v>
      </c>
      <c r="I125">
        <f t="shared" si="4"/>
        <v>0.19963971784863777</v>
      </c>
      <c r="J125">
        <f t="shared" si="4"/>
        <v>0.21896509914686879</v>
      </c>
      <c r="K125">
        <f t="shared" si="4"/>
        <v>0.23705345943915801</v>
      </c>
      <c r="L125">
        <f t="shared" si="4"/>
        <v>0.250497742024683</v>
      </c>
      <c r="M125">
        <f t="shared" si="4"/>
        <v>0.26717464122534351</v>
      </c>
      <c r="N125">
        <f t="shared" si="4"/>
        <v>0.27178161626265518</v>
      </c>
      <c r="O125">
        <f t="shared" si="4"/>
        <v>0.27732978468717762</v>
      </c>
      <c r="P125">
        <f t="shared" si="4"/>
        <v>0.28440113514050069</v>
      </c>
      <c r="Q125">
        <f t="shared" si="4"/>
        <v>0.29091487464485066</v>
      </c>
      <c r="R125">
        <f t="shared" si="4"/>
        <v>0.29929356720442679</v>
      </c>
      <c r="S125">
        <f t="shared" si="4"/>
        <v>0.31463461596419995</v>
      </c>
      <c r="T125">
        <f t="shared" si="4"/>
        <v>0.33322183217357448</v>
      </c>
      <c r="U125">
        <f t="shared" si="4"/>
        <v>0.34371362499065983</v>
      </c>
      <c r="V125">
        <f t="shared" si="4"/>
        <v>0.35527634530552898</v>
      </c>
      <c r="W125">
        <f t="shared" si="4"/>
        <v>0.36215458181365978</v>
      </c>
      <c r="X125">
        <f t="shared" si="4"/>
        <v>0.3671011792936929</v>
      </c>
      <c r="Y125">
        <f t="shared" si="4"/>
        <v>0.37220321130298961</v>
      </c>
      <c r="Z125">
        <f t="shared" si="4"/>
        <v>0.37977573278249399</v>
      </c>
      <c r="AA125">
        <f t="shared" si="4"/>
        <v>0.38276615107801648</v>
      </c>
      <c r="AB125">
        <f t="shared" si="4"/>
        <v>0.3827882962473006</v>
      </c>
      <c r="AC125">
        <f t="shared" si="4"/>
        <v>0.38024740309101923</v>
      </c>
    </row>
    <row r="126" spans="1:29" x14ac:dyDescent="0.25">
      <c r="B126" t="s">
        <v>85</v>
      </c>
      <c r="C126">
        <v>0</v>
      </c>
      <c r="D126">
        <f t="shared" ref="D126:AC126" si="5">(1+C126)*(1+D70)-1</f>
        <v>2.3810274401484754E-2</v>
      </c>
      <c r="E126">
        <f t="shared" si="5"/>
        <v>6.3174350811736391E-2</v>
      </c>
      <c r="F126">
        <f t="shared" si="5"/>
        <v>8.9804069155758892E-2</v>
      </c>
      <c r="G126">
        <f t="shared" si="5"/>
        <v>0.10831015690247692</v>
      </c>
      <c r="H126">
        <f t="shared" si="5"/>
        <v>0.13065661136399664</v>
      </c>
      <c r="I126">
        <f t="shared" si="5"/>
        <v>0.15633403669076418</v>
      </c>
      <c r="J126">
        <f t="shared" si="5"/>
        <v>0.18167946061469475</v>
      </c>
      <c r="K126">
        <f t="shared" si="5"/>
        <v>0.21065335906599425</v>
      </c>
      <c r="L126">
        <f t="shared" si="5"/>
        <v>0.24223889031912327</v>
      </c>
      <c r="M126">
        <f t="shared" si="5"/>
        <v>0.2760777134635668</v>
      </c>
      <c r="N126">
        <f t="shared" si="5"/>
        <v>0.31214357224920963</v>
      </c>
      <c r="O126">
        <f t="shared" si="5"/>
        <v>0.34232673214519282</v>
      </c>
      <c r="P126">
        <f t="shared" si="5"/>
        <v>0.37241656206942664</v>
      </c>
      <c r="Q126">
        <f t="shared" si="5"/>
        <v>0.40275552198564801</v>
      </c>
      <c r="R126">
        <f t="shared" si="5"/>
        <v>0.43264242249050944</v>
      </c>
      <c r="S126">
        <f t="shared" si="5"/>
        <v>0.46276391558386232</v>
      </c>
      <c r="T126">
        <f t="shared" si="5"/>
        <v>0.49209530809587321</v>
      </c>
      <c r="U126">
        <f t="shared" si="5"/>
        <v>0.52229171885333425</v>
      </c>
      <c r="V126">
        <f t="shared" si="5"/>
        <v>0.55378404942393522</v>
      </c>
      <c r="W126">
        <f t="shared" si="5"/>
        <v>0.58549507255044797</v>
      </c>
      <c r="X126">
        <f t="shared" si="5"/>
        <v>0.61683679066104702</v>
      </c>
      <c r="Y126">
        <f t="shared" si="5"/>
        <v>0.64723838651234877</v>
      </c>
      <c r="Z126">
        <f t="shared" si="5"/>
        <v>0.67639640207546892</v>
      </c>
      <c r="AA126">
        <f t="shared" si="5"/>
        <v>0.7057500847045024</v>
      </c>
      <c r="AB126">
        <f t="shared" si="5"/>
        <v>0.73414530487882868</v>
      </c>
      <c r="AC126">
        <f t="shared" si="5"/>
        <v>0.76365384399393688</v>
      </c>
    </row>
    <row r="127" spans="1:29" x14ac:dyDescent="0.25">
      <c r="B127" t="s">
        <v>88</v>
      </c>
      <c r="C127">
        <v>0</v>
      </c>
      <c r="D127">
        <f t="shared" ref="D127:AC127" si="6">(1+C127)*(1+D71)-1</f>
        <v>7.1210619379968643E-2</v>
      </c>
      <c r="E127">
        <f t="shared" si="6"/>
        <v>0.16921097449604217</v>
      </c>
      <c r="F127">
        <f t="shared" si="6"/>
        <v>0.16091028892820125</v>
      </c>
      <c r="G127">
        <f t="shared" si="6"/>
        <v>0.16735899552880551</v>
      </c>
      <c r="H127">
        <f t="shared" si="6"/>
        <v>0.17430614782541021</v>
      </c>
      <c r="I127">
        <f t="shared" si="6"/>
        <v>0.19963971784863777</v>
      </c>
      <c r="J127">
        <f t="shared" si="6"/>
        <v>0.21896509914686879</v>
      </c>
      <c r="K127">
        <f t="shared" si="6"/>
        <v>0.23705345943915801</v>
      </c>
      <c r="L127">
        <f t="shared" si="6"/>
        <v>0.250497742024683</v>
      </c>
      <c r="M127">
        <f t="shared" si="6"/>
        <v>0.26717464122534351</v>
      </c>
      <c r="N127">
        <f t="shared" si="6"/>
        <v>0.27178161626265518</v>
      </c>
      <c r="O127">
        <f t="shared" si="6"/>
        <v>0.27732978468717762</v>
      </c>
      <c r="P127">
        <f t="shared" si="6"/>
        <v>0.28440113514050069</v>
      </c>
      <c r="Q127">
        <f t="shared" si="6"/>
        <v>0.29091487464485066</v>
      </c>
      <c r="R127">
        <f t="shared" si="6"/>
        <v>0.29929356720442679</v>
      </c>
      <c r="S127">
        <f t="shared" si="6"/>
        <v>0.31463461596419995</v>
      </c>
      <c r="T127">
        <f t="shared" si="6"/>
        <v>0.33322183217357448</v>
      </c>
      <c r="U127">
        <f t="shared" si="6"/>
        <v>0.34371362499065983</v>
      </c>
      <c r="V127">
        <f t="shared" si="6"/>
        <v>0.35527634530552898</v>
      </c>
      <c r="W127">
        <f t="shared" si="6"/>
        <v>0.36215458181365978</v>
      </c>
      <c r="X127">
        <f t="shared" si="6"/>
        <v>0.3671011792936929</v>
      </c>
      <c r="Y127">
        <f t="shared" si="6"/>
        <v>0.37220321130298961</v>
      </c>
      <c r="Z127">
        <f t="shared" si="6"/>
        <v>0.37977573278249399</v>
      </c>
      <c r="AA127">
        <f t="shared" si="6"/>
        <v>0.38276615107801648</v>
      </c>
      <c r="AB127">
        <f t="shared" si="6"/>
        <v>0.3827882962473006</v>
      </c>
      <c r="AC127">
        <f t="shared" si="6"/>
        <v>0.38024740309101923</v>
      </c>
    </row>
    <row r="128" spans="1:29" x14ac:dyDescent="0.25">
      <c r="B128" t="s">
        <v>91</v>
      </c>
      <c r="C128">
        <v>0</v>
      </c>
      <c r="D128">
        <f t="shared" ref="D128:AC128" si="7">(1+C128)*(1+D72)-1</f>
        <v>-4.5788989233624955E-3</v>
      </c>
      <c r="E128">
        <f t="shared" si="7"/>
        <v>-1.1939005136938907E-2</v>
      </c>
      <c r="F128">
        <f t="shared" si="7"/>
        <v>-1.6698298701794734E-2</v>
      </c>
      <c r="G128">
        <f t="shared" si="7"/>
        <v>-1.9909367708943804E-2</v>
      </c>
      <c r="H128">
        <f t="shared" si="7"/>
        <v>-2.3709600562094257E-2</v>
      </c>
      <c r="I128">
        <f t="shared" si="7"/>
        <v>-2.7973396615992296E-2</v>
      </c>
      <c r="J128">
        <f t="shared" si="7"/>
        <v>-3.2070633351689581E-2</v>
      </c>
      <c r="K128">
        <f t="shared" si="7"/>
        <v>-3.6634653673877415E-2</v>
      </c>
      <c r="L128">
        <f t="shared" si="7"/>
        <v>-4.1468090547939207E-2</v>
      </c>
      <c r="M128">
        <f t="shared" si="7"/>
        <v>-4.6489358074695786E-2</v>
      </c>
      <c r="N128">
        <f t="shared" si="7"/>
        <v>-5.1671882467675401E-2</v>
      </c>
      <c r="O128">
        <f t="shared" si="7"/>
        <v>-5.5866946854433941E-2</v>
      </c>
      <c r="P128">
        <f t="shared" si="7"/>
        <v>-5.9936918206685119E-2</v>
      </c>
      <c r="Q128">
        <f t="shared" si="7"/>
        <v>-6.3933313064750696E-2</v>
      </c>
      <c r="R128">
        <f t="shared" si="7"/>
        <v>-6.7768639526445074E-2</v>
      </c>
      <c r="S128">
        <f t="shared" si="7"/>
        <v>-7.1537925197600494E-2</v>
      </c>
      <c r="T128">
        <f t="shared" si="7"/>
        <v>-7.5118223959734109E-2</v>
      </c>
      <c r="U128">
        <f t="shared" si="7"/>
        <v>-7.871771948637174E-2</v>
      </c>
      <c r="V128">
        <f t="shared" si="7"/>
        <v>-8.2382907784060655E-2</v>
      </c>
      <c r="W128">
        <f t="shared" si="7"/>
        <v>-8.5984360741554355E-2</v>
      </c>
      <c r="X128">
        <f t="shared" si="7"/>
        <v>-8.9458987714818305E-2</v>
      </c>
      <c r="Y128">
        <f t="shared" si="7"/>
        <v>-9.2751492135680014E-2</v>
      </c>
      <c r="Z128">
        <f t="shared" si="7"/>
        <v>-9.5839827311661741E-2</v>
      </c>
      <c r="AA128">
        <f t="shared" si="7"/>
        <v>-9.8884410910749065E-2</v>
      </c>
      <c r="AB128">
        <f t="shared" si="7"/>
        <v>-0.10176915304809941</v>
      </c>
      <c r="AC128">
        <f t="shared" si="7"/>
        <v>-0.10470847289267904</v>
      </c>
    </row>
    <row r="129" spans="2:29" x14ac:dyDescent="0.25">
      <c r="B129" t="s">
        <v>174</v>
      </c>
      <c r="C129">
        <v>0</v>
      </c>
      <c r="D129">
        <f t="shared" ref="D129:AC129" si="8">(1+C129)*(1+D73)-1</f>
        <v>-5.7729872669432414E-2</v>
      </c>
      <c r="E129">
        <f t="shared" si="8"/>
        <v>-5.555464911077701E-2</v>
      </c>
      <c r="F129">
        <f t="shared" si="8"/>
        <v>-4.736927942925151E-2</v>
      </c>
      <c r="G129">
        <f t="shared" si="8"/>
        <v>-3.8894766664320457E-2</v>
      </c>
      <c r="H129">
        <f t="shared" si="8"/>
        <v>-3.2894470344062454E-2</v>
      </c>
      <c r="I129">
        <f t="shared" si="8"/>
        <v>-2.4868011503290433E-2</v>
      </c>
      <c r="J129">
        <f t="shared" si="8"/>
        <v>-1.6233795969324394E-2</v>
      </c>
      <c r="K129">
        <f t="shared" si="8"/>
        <v>-7.8104056519873177E-3</v>
      </c>
      <c r="L129">
        <f t="shared" si="8"/>
        <v>7.5271693364076242E-4</v>
      </c>
      <c r="M129">
        <f t="shared" si="8"/>
        <v>9.5717527522600765E-3</v>
      </c>
      <c r="N129">
        <f t="shared" si="8"/>
        <v>1.7991325622388921E-2</v>
      </c>
      <c r="O129">
        <f t="shared" si="8"/>
        <v>2.7307227416489832E-2</v>
      </c>
      <c r="P129">
        <f t="shared" si="8"/>
        <v>3.6466528766108786E-2</v>
      </c>
      <c r="Q129">
        <f t="shared" si="8"/>
        <v>4.5835737816496636E-2</v>
      </c>
      <c r="R129">
        <f t="shared" si="8"/>
        <v>5.5156944388379703E-2</v>
      </c>
      <c r="S129">
        <f t="shared" si="8"/>
        <v>6.3832416998619301E-2</v>
      </c>
      <c r="T129">
        <f t="shared" si="8"/>
        <v>7.2504656507158538E-2</v>
      </c>
      <c r="U129">
        <f t="shared" si="8"/>
        <v>8.1156674339797563E-2</v>
      </c>
      <c r="V129">
        <f t="shared" si="8"/>
        <v>8.9392296697094809E-2</v>
      </c>
      <c r="W129">
        <f t="shared" si="8"/>
        <v>9.7661874406600901E-2</v>
      </c>
      <c r="X129">
        <f t="shared" si="8"/>
        <v>0.1052889792798386</v>
      </c>
      <c r="Y129">
        <f t="shared" si="8"/>
        <v>0.11320886097293581</v>
      </c>
      <c r="Z129">
        <f t="shared" si="8"/>
        <v>0.12096942807678457</v>
      </c>
      <c r="AA129">
        <f t="shared" si="8"/>
        <v>0.12872638220245736</v>
      </c>
      <c r="AB129">
        <f t="shared" si="8"/>
        <v>0.13682010305147863</v>
      </c>
      <c r="AC129">
        <f t="shared" si="8"/>
        <v>0.14427135832962867</v>
      </c>
    </row>
    <row r="130" spans="2:29" x14ac:dyDescent="0.25">
      <c r="B130" t="s">
        <v>201</v>
      </c>
      <c r="C130">
        <v>0</v>
      </c>
      <c r="D130">
        <f t="shared" ref="D130:AC130" si="9">(1+C130)*(1+D74)-1</f>
        <v>-0.11327023120960888</v>
      </c>
      <c r="E130">
        <f t="shared" si="9"/>
        <v>-0.10204920882265645</v>
      </c>
      <c r="F130">
        <f t="shared" si="9"/>
        <v>-8.9715205207994364E-2</v>
      </c>
      <c r="G130">
        <f t="shared" si="9"/>
        <v>-0.1160941585508003</v>
      </c>
      <c r="H130">
        <f t="shared" si="9"/>
        <v>-0.14954103293633692</v>
      </c>
      <c r="I130">
        <f t="shared" si="9"/>
        <v>-0.16461253520149643</v>
      </c>
      <c r="J130">
        <f t="shared" si="9"/>
        <v>-0.16925193411053086</v>
      </c>
      <c r="K130">
        <f t="shared" si="9"/>
        <v>-0.17162297329675757</v>
      </c>
      <c r="L130">
        <f t="shared" si="9"/>
        <v>-0.16946001663056276</v>
      </c>
      <c r="M130">
        <f t="shared" si="9"/>
        <v>-0.16349581659868162</v>
      </c>
      <c r="N130">
        <f t="shared" si="9"/>
        <v>-0.15989082325370585</v>
      </c>
      <c r="O130">
        <f t="shared" si="9"/>
        <v>-0.16031783727332616</v>
      </c>
      <c r="P130">
        <f t="shared" si="9"/>
        <v>-0.15923136568603957</v>
      </c>
      <c r="Q130">
        <f t="shared" si="9"/>
        <v>-0.1575606530964645</v>
      </c>
      <c r="R130">
        <f t="shared" si="9"/>
        <v>-0.15676099100359353</v>
      </c>
      <c r="S130">
        <f t="shared" si="9"/>
        <v>-0.153492285762727</v>
      </c>
      <c r="T130">
        <f t="shared" si="9"/>
        <v>-0.1504375490294062</v>
      </c>
      <c r="U130">
        <f t="shared" si="9"/>
        <v>-0.14841720272907089</v>
      </c>
      <c r="V130">
        <f t="shared" si="9"/>
        <v>-0.14650026218367285</v>
      </c>
      <c r="W130">
        <f t="shared" si="9"/>
        <v>-0.14394837640935587</v>
      </c>
      <c r="X130">
        <f t="shared" si="9"/>
        <v>-0.14074402362323735</v>
      </c>
      <c r="Y130">
        <f t="shared" si="9"/>
        <v>-0.13918164951849565</v>
      </c>
      <c r="Z130">
        <f t="shared" si="9"/>
        <v>-0.14077843168392323</v>
      </c>
      <c r="AA130">
        <f t="shared" si="9"/>
        <v>-0.14493723744277942</v>
      </c>
      <c r="AB130">
        <f t="shared" si="9"/>
        <v>-0.14604708653831577</v>
      </c>
      <c r="AC130">
        <f t="shared" si="9"/>
        <v>-0.14687994620600875</v>
      </c>
    </row>
    <row r="131" spans="2:29" x14ac:dyDescent="0.25">
      <c r="B131" t="s">
        <v>210</v>
      </c>
      <c r="C131">
        <v>0</v>
      </c>
      <c r="D131">
        <f t="shared" ref="D131:AC131" si="10">(1+C131)*(1+D75)-1</f>
        <v>0.20646756047733117</v>
      </c>
      <c r="E131">
        <f t="shared" si="10"/>
        <v>1.2452452627411459E-2</v>
      </c>
      <c r="F131">
        <f t="shared" si="10"/>
        <v>-4.8220260891691735E-2</v>
      </c>
      <c r="G131">
        <f t="shared" si="10"/>
        <v>-1.9851307507019467E-3</v>
      </c>
      <c r="H131">
        <f t="shared" si="10"/>
        <v>7.6274237067398998E-2</v>
      </c>
      <c r="I131">
        <f t="shared" si="10"/>
        <v>8.7960942257023333E-2</v>
      </c>
      <c r="J131">
        <f t="shared" si="10"/>
        <v>6.031708884479059E-2</v>
      </c>
      <c r="K131">
        <f t="shared" si="10"/>
        <v>5.7051339374630139E-2</v>
      </c>
      <c r="L131">
        <f t="shared" si="10"/>
        <v>8.1202975963527546E-2</v>
      </c>
      <c r="M131">
        <f t="shared" si="10"/>
        <v>0.12335365571109058</v>
      </c>
      <c r="N131">
        <f t="shared" si="10"/>
        <v>0.15617752048835465</v>
      </c>
      <c r="O131">
        <f t="shared" si="10"/>
        <v>0.18997693459578913</v>
      </c>
      <c r="P131">
        <f t="shared" si="10"/>
        <v>0.21503885084737728</v>
      </c>
      <c r="Q131">
        <f t="shared" si="10"/>
        <v>0.24211797886169162</v>
      </c>
      <c r="R131">
        <f t="shared" si="10"/>
        <v>0.26201159021826825</v>
      </c>
      <c r="S131">
        <f t="shared" si="10"/>
        <v>0.26854696082966312</v>
      </c>
      <c r="T131">
        <f t="shared" si="10"/>
        <v>0.24569617523610043</v>
      </c>
      <c r="U131">
        <f t="shared" si="10"/>
        <v>0.23246897175732761</v>
      </c>
      <c r="V131">
        <f t="shared" si="10"/>
        <v>0.20792177435941595</v>
      </c>
      <c r="W131">
        <f t="shared" si="10"/>
        <v>0.19176281147136476</v>
      </c>
      <c r="X131">
        <f t="shared" si="10"/>
        <v>0.19929683949697896</v>
      </c>
      <c r="Y131">
        <f t="shared" si="10"/>
        <v>0.20649679616678074</v>
      </c>
      <c r="Z131">
        <f t="shared" si="10"/>
        <v>0.2173463363220054</v>
      </c>
      <c r="AA131">
        <f t="shared" si="10"/>
        <v>0.22717746439485209</v>
      </c>
      <c r="AB131">
        <f t="shared" si="10"/>
        <v>0.24403550271565644</v>
      </c>
      <c r="AC131">
        <f t="shared" si="10"/>
        <v>0.25801365795483</v>
      </c>
    </row>
    <row r="132" spans="2:29" x14ac:dyDescent="0.25">
      <c r="B132" t="s">
        <v>219</v>
      </c>
      <c r="C132">
        <v>0</v>
      </c>
      <c r="D132">
        <f t="shared" ref="D132:AC132" si="11">(1+C132)*(1+D76)-1</f>
        <v>-5.0057662323048646E-2</v>
      </c>
      <c r="E132">
        <f t="shared" si="11"/>
        <v>-5.8669633819980138E-2</v>
      </c>
      <c r="F132">
        <f t="shared" si="11"/>
        <v>-5.7466156508133026E-2</v>
      </c>
      <c r="G132">
        <f t="shared" si="11"/>
        <v>-6.4245474487955478E-2</v>
      </c>
      <c r="H132">
        <f t="shared" si="11"/>
        <v>-7.0212999573932011E-2</v>
      </c>
      <c r="I132">
        <f t="shared" si="11"/>
        <v>-7.603889086803739E-2</v>
      </c>
      <c r="J132">
        <f t="shared" si="11"/>
        <v>-7.8250827625454544E-2</v>
      </c>
      <c r="K132">
        <f t="shared" si="11"/>
        <v>-8.1034263625118452E-2</v>
      </c>
      <c r="L132">
        <f t="shared" si="11"/>
        <v>-8.4800910759066928E-2</v>
      </c>
      <c r="M132">
        <f t="shared" si="11"/>
        <v>-8.7924480476580191E-2</v>
      </c>
      <c r="N132">
        <f t="shared" si="11"/>
        <v>-9.1063410897301966E-2</v>
      </c>
      <c r="O132">
        <f t="shared" si="11"/>
        <v>-9.3962421548643205E-2</v>
      </c>
      <c r="P132">
        <f t="shared" si="11"/>
        <v>-9.6800602013436876E-2</v>
      </c>
      <c r="Q132">
        <f t="shared" si="11"/>
        <v>-9.6560083131585261E-2</v>
      </c>
      <c r="R132">
        <f t="shared" si="11"/>
        <v>-9.3533204761394373E-2</v>
      </c>
      <c r="S132">
        <f t="shared" si="11"/>
        <v>-8.8551926913503887E-2</v>
      </c>
      <c r="T132">
        <f t="shared" si="11"/>
        <v>-8.4753261046884854E-2</v>
      </c>
      <c r="U132">
        <f t="shared" si="11"/>
        <v>-7.9783235702400312E-2</v>
      </c>
      <c r="V132">
        <f t="shared" si="11"/>
        <v>-7.4438053335829868E-2</v>
      </c>
      <c r="W132">
        <f t="shared" si="11"/>
        <v>-6.8871361520704166E-2</v>
      </c>
      <c r="X132">
        <f t="shared" si="11"/>
        <v>-6.2656857949239364E-2</v>
      </c>
      <c r="Y132">
        <f t="shared" si="11"/>
        <v>-5.7218317643080718E-2</v>
      </c>
      <c r="Z132">
        <f t="shared" si="11"/>
        <v>-5.0627679550235061E-2</v>
      </c>
      <c r="AA132">
        <f t="shared" si="11"/>
        <v>-4.4077871197530483E-2</v>
      </c>
      <c r="AB132">
        <f t="shared" si="11"/>
        <v>-3.6551221222077324E-2</v>
      </c>
      <c r="AC132">
        <f t="shared" si="11"/>
        <v>-3.0638940612390697E-2</v>
      </c>
    </row>
    <row r="133" spans="2:29" x14ac:dyDescent="0.25">
      <c r="B133" t="s">
        <v>228</v>
      </c>
      <c r="C133">
        <v>0</v>
      </c>
      <c r="D133">
        <f t="shared" ref="D133:AC133" si="12">(1+C133)*(1+D77)-1</f>
        <v>9.2796417486762373E-4</v>
      </c>
      <c r="E133">
        <f t="shared" si="12"/>
        <v>4.8014342897266804E-3</v>
      </c>
      <c r="F133">
        <f t="shared" si="12"/>
        <v>2.9022828158549174E-3</v>
      </c>
      <c r="G133">
        <f t="shared" si="12"/>
        <v>-5.6537557358538049E-4</v>
      </c>
      <c r="H133">
        <f t="shared" si="12"/>
        <v>-9.799659339958966E-3</v>
      </c>
      <c r="I133">
        <f t="shared" si="12"/>
        <v>-1.5263247286311565E-2</v>
      </c>
      <c r="J133">
        <f t="shared" si="12"/>
        <v>-2.1778869300260184E-2</v>
      </c>
      <c r="K133">
        <f t="shared" si="12"/>
        <v>-2.4326135024514417E-2</v>
      </c>
      <c r="L133">
        <f t="shared" si="12"/>
        <v>-2.6323880244697118E-2</v>
      </c>
      <c r="M133">
        <f t="shared" si="12"/>
        <v>-2.5603436689506376E-2</v>
      </c>
      <c r="N133">
        <f t="shared" si="12"/>
        <v>-2.4171697678977311E-2</v>
      </c>
      <c r="O133">
        <f t="shared" si="12"/>
        <v>-2.7652686009083993E-2</v>
      </c>
      <c r="P133">
        <f t="shared" si="12"/>
        <v>-3.5319329984482728E-2</v>
      </c>
      <c r="Q133">
        <f t="shared" si="12"/>
        <v>-4.271511835309294E-2</v>
      </c>
      <c r="R133">
        <f t="shared" si="12"/>
        <v>-4.6534479117914196E-2</v>
      </c>
      <c r="S133">
        <f t="shared" si="12"/>
        <v>-4.7965428541070776E-2</v>
      </c>
      <c r="T133">
        <f t="shared" si="12"/>
        <v>-4.655506525022779E-2</v>
      </c>
      <c r="U133">
        <f t="shared" si="12"/>
        <v>-4.8217827704563399E-2</v>
      </c>
      <c r="V133">
        <f t="shared" si="12"/>
        <v>-5.3182926269188191E-2</v>
      </c>
      <c r="W133">
        <f t="shared" si="12"/>
        <v>-5.8627427136176413E-2</v>
      </c>
      <c r="X133">
        <f t="shared" si="12"/>
        <v>-6.3517279704176643E-2</v>
      </c>
      <c r="Y133">
        <f t="shared" si="12"/>
        <v>-6.2868611062660174E-2</v>
      </c>
      <c r="Z133">
        <f t="shared" si="12"/>
        <v>-6.1181950344364799E-2</v>
      </c>
      <c r="AA133">
        <f t="shared" si="12"/>
        <v>-6.4618847133454116E-2</v>
      </c>
      <c r="AB133">
        <f t="shared" si="12"/>
        <v>-6.6736401576042881E-2</v>
      </c>
      <c r="AC133">
        <f t="shared" si="12"/>
        <v>-6.7156016219179326E-2</v>
      </c>
    </row>
    <row r="134" spans="2:29" x14ac:dyDescent="0.25">
      <c r="B134" t="s">
        <v>233</v>
      </c>
      <c r="C134">
        <v>0</v>
      </c>
      <c r="D134">
        <f t="shared" ref="D134:AC134" si="13">(1+C134)*(1+D78)-1</f>
        <v>7.1677561450444349E-2</v>
      </c>
      <c r="E134">
        <f t="shared" si="13"/>
        <v>5.739986703813349E-2</v>
      </c>
      <c r="F134">
        <f t="shared" si="13"/>
        <v>4.5074402625432386E-2</v>
      </c>
      <c r="G134">
        <f t="shared" si="13"/>
        <v>4.0911364970158237E-2</v>
      </c>
      <c r="H134">
        <f t="shared" si="13"/>
        <v>3.2106501676108845E-2</v>
      </c>
      <c r="I134">
        <f t="shared" si="13"/>
        <v>3.1738121375336936E-2</v>
      </c>
      <c r="J134">
        <f t="shared" si="13"/>
        <v>3.6494735963911618E-2</v>
      </c>
      <c r="K134">
        <f t="shared" si="13"/>
        <v>4.2580325823832865E-2</v>
      </c>
      <c r="L134">
        <f t="shared" si="13"/>
        <v>5.4007797522023004E-2</v>
      </c>
      <c r="M134">
        <f t="shared" si="13"/>
        <v>6.5546585078607E-2</v>
      </c>
      <c r="N134">
        <f t="shared" si="13"/>
        <v>7.7957687734473424E-2</v>
      </c>
      <c r="O134">
        <f t="shared" si="13"/>
        <v>9.0862077014771669E-2</v>
      </c>
      <c r="P134">
        <f t="shared" si="13"/>
        <v>0.10509740639333254</v>
      </c>
      <c r="Q134">
        <f t="shared" si="13"/>
        <v>0.11946889654493953</v>
      </c>
      <c r="R134">
        <f t="shared" si="13"/>
        <v>0.13626777940077583</v>
      </c>
      <c r="S134">
        <f t="shared" si="13"/>
        <v>0.15416221039880385</v>
      </c>
      <c r="T134">
        <f t="shared" si="13"/>
        <v>0.17419782142664175</v>
      </c>
      <c r="U134">
        <f t="shared" si="13"/>
        <v>0.1973215365653227</v>
      </c>
      <c r="V134">
        <f t="shared" si="13"/>
        <v>0.21961326504835577</v>
      </c>
      <c r="W134">
        <f t="shared" si="13"/>
        <v>0.24271840341668849</v>
      </c>
      <c r="X134">
        <f t="shared" si="13"/>
        <v>0.26798609240078131</v>
      </c>
      <c r="Y134">
        <f t="shared" si="13"/>
        <v>0.29536460063202763</v>
      </c>
      <c r="Z134">
        <f t="shared" si="13"/>
        <v>0.32398161548573778</v>
      </c>
      <c r="AA134">
        <f t="shared" si="13"/>
        <v>0.34993901563290009</v>
      </c>
      <c r="AB134">
        <f t="shared" si="13"/>
        <v>0.37484368552215663</v>
      </c>
      <c r="AC134">
        <f t="shared" si="13"/>
        <v>0.40263875561898987</v>
      </c>
    </row>
    <row r="135" spans="2:29" x14ac:dyDescent="0.25">
      <c r="B135" t="s">
        <v>238</v>
      </c>
      <c r="C135">
        <v>0</v>
      </c>
      <c r="D135">
        <f t="shared" ref="D135:AC135" si="14">(1+C135)*(1+D79)-1</f>
        <v>2.1978714832139978E-2</v>
      </c>
      <c r="E135">
        <f t="shared" si="14"/>
        <v>5.8249781448075355E-2</v>
      </c>
      <c r="F135">
        <f t="shared" si="14"/>
        <v>8.2717200691417858E-2</v>
      </c>
      <c r="G135">
        <f t="shared" si="14"/>
        <v>9.9688657449679807E-2</v>
      </c>
      <c r="H135">
        <f t="shared" si="14"/>
        <v>0.12015569342332211</v>
      </c>
      <c r="I135">
        <f t="shared" si="14"/>
        <v>0.14363779880403049</v>
      </c>
      <c r="J135">
        <f t="shared" si="14"/>
        <v>0.1667766953829295</v>
      </c>
      <c r="K135">
        <f t="shared" si="14"/>
        <v>0.1931845357861901</v>
      </c>
      <c r="L135">
        <f t="shared" si="14"/>
        <v>0.22191971330025595</v>
      </c>
      <c r="M135">
        <f t="shared" si="14"/>
        <v>0.25264462859805414</v>
      </c>
      <c r="N135">
        <f t="shared" si="14"/>
        <v>0.28532484534488933</v>
      </c>
      <c r="O135">
        <f t="shared" si="14"/>
        <v>0.31261676872593824</v>
      </c>
      <c r="P135">
        <f t="shared" si="14"/>
        <v>0.33977724214811156</v>
      </c>
      <c r="Q135">
        <f t="shared" si="14"/>
        <v>0.36711640600725093</v>
      </c>
      <c r="R135">
        <f t="shared" si="14"/>
        <v>0.39400340182337934</v>
      </c>
      <c r="S135">
        <f t="shared" si="14"/>
        <v>0.42105795812768054</v>
      </c>
      <c r="T135">
        <f t="shared" si="14"/>
        <v>0.4473611303251448</v>
      </c>
      <c r="U135">
        <f t="shared" si="14"/>
        <v>0.47439906775151375</v>
      </c>
      <c r="V135">
        <f t="shared" si="14"/>
        <v>0.50255434822637657</v>
      </c>
      <c r="W135">
        <f t="shared" si="14"/>
        <v>0.53086094633377012</v>
      </c>
      <c r="X135">
        <f t="shared" si="14"/>
        <v>0.55879484422162684</v>
      </c>
      <c r="Y135">
        <f t="shared" si="14"/>
        <v>0.58585043695554506</v>
      </c>
      <c r="Z135">
        <f t="shared" si="14"/>
        <v>0.61176247836430897</v>
      </c>
      <c r="AA135">
        <f t="shared" si="14"/>
        <v>0.63781350297953532</v>
      </c>
      <c r="AB135">
        <f t="shared" si="14"/>
        <v>0.66298054533835149</v>
      </c>
      <c r="AC135">
        <f t="shared" si="14"/>
        <v>0.6891013942563331</v>
      </c>
    </row>
    <row r="136" spans="2:29" x14ac:dyDescent="0.25">
      <c r="B136" t="s">
        <v>241</v>
      </c>
      <c r="C136">
        <v>0</v>
      </c>
      <c r="D136">
        <f t="shared" ref="D136:AC136" si="15">(1+C136)*(1+D80)-1</f>
        <v>1.7724214122440962E-2</v>
      </c>
      <c r="E136">
        <f t="shared" si="15"/>
        <v>1.1747153942116784E-2</v>
      </c>
      <c r="F136">
        <f t="shared" si="15"/>
        <v>3.4608406914224288E-2</v>
      </c>
      <c r="G136">
        <f t="shared" si="15"/>
        <v>4.7104812730078383E-2</v>
      </c>
      <c r="H136">
        <f t="shared" si="15"/>
        <v>5.1649412855886645E-2</v>
      </c>
      <c r="I136">
        <f t="shared" si="15"/>
        <v>6.2732041875440903E-2</v>
      </c>
      <c r="J136">
        <f t="shared" si="15"/>
        <v>7.5399408687829128E-2</v>
      </c>
      <c r="K136">
        <f t="shared" si="15"/>
        <v>8.3172703781410728E-2</v>
      </c>
      <c r="L136">
        <f t="shared" si="15"/>
        <v>9.041033050518954E-2</v>
      </c>
      <c r="M136">
        <f t="shared" si="15"/>
        <v>9.5257404433792159E-2</v>
      </c>
      <c r="N136">
        <f t="shared" si="15"/>
        <v>0.10380158291232511</v>
      </c>
      <c r="O136">
        <f t="shared" si="15"/>
        <v>0.11656510704334244</v>
      </c>
      <c r="P136">
        <f t="shared" si="15"/>
        <v>0.13170926540593597</v>
      </c>
      <c r="Q136">
        <f t="shared" si="15"/>
        <v>0.14524560859599789</v>
      </c>
      <c r="R136">
        <f t="shared" si="15"/>
        <v>0.15653161055638831</v>
      </c>
      <c r="S136">
        <f t="shared" si="15"/>
        <v>0.17011229999282418</v>
      </c>
      <c r="T136">
        <f t="shared" si="15"/>
        <v>0.18383499066910858</v>
      </c>
      <c r="U136">
        <f t="shared" si="15"/>
        <v>0.19857706572266287</v>
      </c>
      <c r="V136">
        <f t="shared" si="15"/>
        <v>0.21232792964085556</v>
      </c>
      <c r="W136">
        <f t="shared" si="15"/>
        <v>0.22637659066020177</v>
      </c>
      <c r="X136">
        <f t="shared" si="15"/>
        <v>0.24176192176964184</v>
      </c>
      <c r="Y136">
        <f t="shared" si="15"/>
        <v>0.25509784027186577</v>
      </c>
      <c r="Z136">
        <f t="shared" si="15"/>
        <v>0.26738339890166318</v>
      </c>
      <c r="AA136">
        <f t="shared" si="15"/>
        <v>0.27724239931428674</v>
      </c>
      <c r="AB136">
        <f t="shared" si="15"/>
        <v>0.29106052672979366</v>
      </c>
      <c r="AC136">
        <f t="shared" si="15"/>
        <v>0.30484645413611866</v>
      </c>
    </row>
    <row r="137" spans="2:29" x14ac:dyDescent="0.25">
      <c r="B137" t="s">
        <v>1214</v>
      </c>
      <c r="C137">
        <v>0</v>
      </c>
      <c r="D137">
        <f t="shared" ref="D137:AC137" si="16">(1+C137)*(1+D81)-1</f>
        <v>-6.2233199213275192E-3</v>
      </c>
      <c r="E137">
        <f t="shared" si="16"/>
        <v>-5.6198962003047859E-3</v>
      </c>
      <c r="F137">
        <f t="shared" si="16"/>
        <v>-3.1715175053018685E-3</v>
      </c>
      <c r="G137">
        <f t="shared" si="16"/>
        <v>-4.3322131021827914E-3</v>
      </c>
      <c r="H137">
        <f t="shared" si="16"/>
        <v>-5.8877167563368138E-3</v>
      </c>
      <c r="I137">
        <f t="shared" si="16"/>
        <v>-5.4613949138805351E-3</v>
      </c>
      <c r="J137">
        <f t="shared" si="16"/>
        <v>-3.7672492521305667E-3</v>
      </c>
      <c r="K137">
        <f t="shared" si="16"/>
        <v>2.7928859028469866E-4</v>
      </c>
      <c r="L137">
        <f t="shared" si="16"/>
        <v>6.9127538992479476E-3</v>
      </c>
      <c r="M137">
        <f t="shared" si="16"/>
        <v>1.5279197685135193E-2</v>
      </c>
      <c r="N137">
        <f t="shared" si="16"/>
        <v>2.5805594442758206E-2</v>
      </c>
      <c r="O137">
        <f t="shared" si="16"/>
        <v>3.6299032256410069E-2</v>
      </c>
      <c r="P137">
        <f t="shared" si="16"/>
        <v>4.633864359260853E-2</v>
      </c>
      <c r="Q137">
        <f t="shared" si="16"/>
        <v>5.6926576143784713E-2</v>
      </c>
      <c r="R137">
        <f t="shared" si="16"/>
        <v>6.7418848506801243E-2</v>
      </c>
      <c r="S137">
        <f t="shared" si="16"/>
        <v>7.8166494413062448E-2</v>
      </c>
      <c r="T137">
        <f t="shared" si="16"/>
        <v>8.9484791568477329E-2</v>
      </c>
      <c r="U137">
        <f t="shared" si="16"/>
        <v>0.10122255771661171</v>
      </c>
      <c r="V137">
        <f t="shared" si="16"/>
        <v>0.11338422156988059</v>
      </c>
      <c r="W137">
        <f t="shared" si="16"/>
        <v>0.12539171961308893</v>
      </c>
      <c r="X137">
        <f t="shared" si="16"/>
        <v>0.1377928602629348</v>
      </c>
      <c r="Y137">
        <f t="shared" si="16"/>
        <v>0.15039068236202335</v>
      </c>
      <c r="Z137">
        <f t="shared" si="16"/>
        <v>0.16300878330216917</v>
      </c>
      <c r="AA137">
        <f t="shared" si="16"/>
        <v>0.17577023467047814</v>
      </c>
      <c r="AB137">
        <f t="shared" si="16"/>
        <v>0.18806014471167476</v>
      </c>
      <c r="AC137">
        <f t="shared" si="16"/>
        <v>0.20039280348218025</v>
      </c>
    </row>
    <row r="138" spans="2:29" x14ac:dyDescent="0.25">
      <c r="B138" t="s">
        <v>248</v>
      </c>
      <c r="C138">
        <v>0</v>
      </c>
      <c r="D138">
        <f t="shared" ref="D138:AC138" si="17">(1+C138)*(1+D82)-1</f>
        <v>3.3677125558881915E-3</v>
      </c>
      <c r="E138">
        <f t="shared" si="17"/>
        <v>-1.2786830088446277E-2</v>
      </c>
      <c r="F138">
        <f t="shared" si="17"/>
        <v>-2.9889963971291733E-2</v>
      </c>
      <c r="G138">
        <f t="shared" si="17"/>
        <v>-3.2864454852834402E-2</v>
      </c>
      <c r="H138">
        <f t="shared" si="17"/>
        <v>-3.5589636000574298E-2</v>
      </c>
      <c r="I138">
        <f t="shared" si="17"/>
        <v>-3.274356260723843E-2</v>
      </c>
      <c r="J138">
        <f t="shared" si="17"/>
        <v>-2.5509684515524822E-2</v>
      </c>
      <c r="K138">
        <f t="shared" si="17"/>
        <v>-1.8876105460082115E-2</v>
      </c>
      <c r="L138">
        <f t="shared" si="17"/>
        <v>-9.6654082899737537E-3</v>
      </c>
      <c r="M138">
        <f t="shared" si="17"/>
        <v>1.0180165962214716E-4</v>
      </c>
      <c r="N138">
        <f t="shared" si="17"/>
        <v>9.6667290921428339E-3</v>
      </c>
      <c r="O138">
        <f t="shared" si="17"/>
        <v>1.9689497612694451E-2</v>
      </c>
      <c r="P138">
        <f t="shared" si="17"/>
        <v>2.8753086279026396E-2</v>
      </c>
      <c r="Q138">
        <f t="shared" si="17"/>
        <v>3.8419227114740995E-2</v>
      </c>
      <c r="R138">
        <f t="shared" si="17"/>
        <v>4.7734600631545332E-2</v>
      </c>
      <c r="S138">
        <f t="shared" si="17"/>
        <v>5.2942001922976933E-2</v>
      </c>
      <c r="T138">
        <f t="shared" si="17"/>
        <v>5.4648644813132918E-2</v>
      </c>
      <c r="U138">
        <f t="shared" si="17"/>
        <v>5.4270651210854393E-2</v>
      </c>
      <c r="V138">
        <f t="shared" si="17"/>
        <v>4.951177879720281E-2</v>
      </c>
      <c r="W138">
        <f t="shared" si="17"/>
        <v>4.2887334365164786E-2</v>
      </c>
      <c r="X138">
        <f t="shared" si="17"/>
        <v>4.4311813954958756E-2</v>
      </c>
      <c r="Y138">
        <f t="shared" si="17"/>
        <v>5.0869086162396382E-2</v>
      </c>
      <c r="Z138">
        <f t="shared" si="17"/>
        <v>5.767675582306997E-2</v>
      </c>
      <c r="AA138">
        <f t="shared" si="17"/>
        <v>6.4658560485685967E-2</v>
      </c>
      <c r="AB138">
        <f t="shared" si="17"/>
        <v>7.1431733901472505E-2</v>
      </c>
      <c r="AC138">
        <f t="shared" si="17"/>
        <v>7.9311062485119654E-2</v>
      </c>
    </row>
    <row r="139" spans="2:29" x14ac:dyDescent="0.25">
      <c r="B139" t="s">
        <v>253</v>
      </c>
      <c r="C139">
        <v>0</v>
      </c>
      <c r="D139">
        <f t="shared" ref="D139:AC139" si="18">(1+C139)*(1+D83)-1</f>
        <v>-1.4318822532873754E-2</v>
      </c>
      <c r="E139">
        <f t="shared" si="18"/>
        <v>5.9503403053662307E-3</v>
      </c>
      <c r="F139">
        <f t="shared" si="18"/>
        <v>3.7161501879215519E-2</v>
      </c>
      <c r="G139">
        <f t="shared" si="18"/>
        <v>3.5618959948339635E-2</v>
      </c>
      <c r="H139">
        <f t="shared" si="18"/>
        <v>4.3502712407782029E-2</v>
      </c>
      <c r="I139">
        <f t="shared" si="18"/>
        <v>6.3158792809570929E-2</v>
      </c>
      <c r="J139">
        <f t="shared" si="18"/>
        <v>7.8757910456116464E-2</v>
      </c>
      <c r="K139">
        <f t="shared" si="18"/>
        <v>9.8542343526291543E-2</v>
      </c>
      <c r="L139">
        <f t="shared" si="18"/>
        <v>0.11540853622664238</v>
      </c>
      <c r="M139">
        <f t="shared" si="18"/>
        <v>0.12323732895136263</v>
      </c>
      <c r="N139">
        <f t="shared" si="18"/>
        <v>0.13613636313756761</v>
      </c>
      <c r="O139">
        <f t="shared" si="18"/>
        <v>0.14264550586887403</v>
      </c>
      <c r="P139">
        <f t="shared" si="18"/>
        <v>0.1517304058940292</v>
      </c>
      <c r="Q139">
        <f t="shared" si="18"/>
        <v>0.15792223838666564</v>
      </c>
      <c r="R139">
        <f t="shared" si="18"/>
        <v>0.1626497836383114</v>
      </c>
      <c r="S139">
        <f t="shared" si="18"/>
        <v>0.17345835481545091</v>
      </c>
      <c r="T139">
        <f t="shared" si="18"/>
        <v>0.18572589064738598</v>
      </c>
      <c r="U139">
        <f t="shared" si="18"/>
        <v>0.19719341988484462</v>
      </c>
      <c r="V139">
        <f t="shared" si="18"/>
        <v>0.20613164925016436</v>
      </c>
      <c r="W139">
        <f t="shared" si="18"/>
        <v>0.21469077107735934</v>
      </c>
      <c r="X139">
        <f t="shared" si="18"/>
        <v>0.22912537138071554</v>
      </c>
      <c r="Y139">
        <f t="shared" si="18"/>
        <v>0.23954265182730405</v>
      </c>
      <c r="Z139">
        <f t="shared" si="18"/>
        <v>0.25340953264473143</v>
      </c>
      <c r="AA139">
        <f t="shared" si="18"/>
        <v>0.26442636440767231</v>
      </c>
      <c r="AB139">
        <f t="shared" si="18"/>
        <v>0.2695519976319789</v>
      </c>
      <c r="AC139">
        <f t="shared" si="18"/>
        <v>0.27940276251094431</v>
      </c>
    </row>
    <row r="140" spans="2:29" x14ac:dyDescent="0.25">
      <c r="B140" t="s">
        <v>258</v>
      </c>
      <c r="C140">
        <v>0</v>
      </c>
      <c r="D140">
        <f t="shared" ref="D140:AC140" si="19">(1+C140)*(1+D84)-1</f>
        <v>2.742310130297021E-4</v>
      </c>
      <c r="E140">
        <f t="shared" si="19"/>
        <v>-2.0444020665633111E-4</v>
      </c>
      <c r="F140">
        <f t="shared" si="19"/>
        <v>6.2674504539439457E-3</v>
      </c>
      <c r="G140">
        <f t="shared" si="19"/>
        <v>1.1706571054553416E-2</v>
      </c>
      <c r="H140">
        <f t="shared" si="19"/>
        <v>1.551752428299924E-2</v>
      </c>
      <c r="I140">
        <f t="shared" si="19"/>
        <v>2.0308331977708649E-2</v>
      </c>
      <c r="J140">
        <f t="shared" si="19"/>
        <v>2.5492853532401938E-2</v>
      </c>
      <c r="K140">
        <f t="shared" si="19"/>
        <v>3.1914840771887443E-2</v>
      </c>
      <c r="L140">
        <f t="shared" si="19"/>
        <v>3.9821670573830126E-2</v>
      </c>
      <c r="M140">
        <f t="shared" si="19"/>
        <v>4.8895382577188062E-2</v>
      </c>
      <c r="N140">
        <f t="shared" si="19"/>
        <v>5.9466470247176551E-2</v>
      </c>
      <c r="O140">
        <f t="shared" si="19"/>
        <v>7.0587015193239733E-2</v>
      </c>
      <c r="P140">
        <f t="shared" si="19"/>
        <v>8.1650038211434905E-2</v>
      </c>
      <c r="Q140">
        <f t="shared" si="19"/>
        <v>9.2772696962839962E-2</v>
      </c>
      <c r="R140">
        <f t="shared" si="19"/>
        <v>0.1038152336842626</v>
      </c>
      <c r="S140">
        <f t="shared" si="19"/>
        <v>0.1149462595818127</v>
      </c>
      <c r="T140">
        <f t="shared" si="19"/>
        <v>0.12628257120815611</v>
      </c>
      <c r="U140">
        <f t="shared" si="19"/>
        <v>0.13770096013442346</v>
      </c>
      <c r="V140">
        <f t="shared" si="19"/>
        <v>0.14911206523978282</v>
      </c>
      <c r="W140">
        <f t="shared" si="19"/>
        <v>0.16034862286903051</v>
      </c>
      <c r="X140">
        <f t="shared" si="19"/>
        <v>0.17138678225189108</v>
      </c>
      <c r="Y140">
        <f t="shared" si="19"/>
        <v>0.18213201225196785</v>
      </c>
      <c r="Z140">
        <f t="shared" si="19"/>
        <v>0.19241243407239272</v>
      </c>
      <c r="AA140">
        <f t="shared" si="19"/>
        <v>0.20208548035037355</v>
      </c>
      <c r="AB140">
        <f t="shared" si="19"/>
        <v>0.2110878690384852</v>
      </c>
      <c r="AC140">
        <f t="shared" si="19"/>
        <v>0.21966896751442277</v>
      </c>
    </row>
    <row r="141" spans="2:29" x14ac:dyDescent="0.25">
      <c r="B141" t="s">
        <v>265</v>
      </c>
      <c r="C141">
        <v>0</v>
      </c>
      <c r="D141">
        <f t="shared" ref="D141:AC141" si="20">(1+C141)*(1+D85)-1</f>
        <v>2.583505185322954E-2</v>
      </c>
      <c r="E141">
        <f t="shared" si="20"/>
        <v>4.7688183611301671E-2</v>
      </c>
      <c r="F141">
        <f t="shared" si="20"/>
        <v>6.5913757087149749E-2</v>
      </c>
      <c r="G141">
        <f t="shared" si="20"/>
        <v>5.6639530701146024E-2</v>
      </c>
      <c r="H141">
        <f t="shared" si="20"/>
        <v>5.2697768834168768E-2</v>
      </c>
      <c r="I141">
        <f t="shared" si="20"/>
        <v>5.2478512049897397E-2</v>
      </c>
      <c r="J141">
        <f t="shared" si="20"/>
        <v>5.3788597372973257E-2</v>
      </c>
      <c r="K141">
        <f t="shared" si="20"/>
        <v>6.3811705613023628E-2</v>
      </c>
      <c r="L141">
        <f t="shared" si="20"/>
        <v>7.1522082117308594E-2</v>
      </c>
      <c r="M141">
        <f t="shared" si="20"/>
        <v>8.4890430939283279E-2</v>
      </c>
      <c r="N141">
        <f t="shared" si="20"/>
        <v>9.7703322628517997E-2</v>
      </c>
      <c r="O141">
        <f t="shared" si="20"/>
        <v>0.10638839414906265</v>
      </c>
      <c r="P141">
        <f t="shared" si="20"/>
        <v>0.11615481176164555</v>
      </c>
      <c r="Q141">
        <f t="shared" si="20"/>
        <v>0.12779373157566543</v>
      </c>
      <c r="R141">
        <f t="shared" si="20"/>
        <v>0.13582658731472264</v>
      </c>
      <c r="S141">
        <f t="shared" si="20"/>
        <v>0.1470657400015003</v>
      </c>
      <c r="T141">
        <f t="shared" si="20"/>
        <v>0.15743392598526507</v>
      </c>
      <c r="U141">
        <f t="shared" si="20"/>
        <v>0.16896740482654571</v>
      </c>
      <c r="V141">
        <f t="shared" si="20"/>
        <v>0.18080449389154762</v>
      </c>
      <c r="W141">
        <f t="shared" si="20"/>
        <v>0.19758376610139261</v>
      </c>
      <c r="X141">
        <f t="shared" si="20"/>
        <v>0.21385894112552184</v>
      </c>
      <c r="Y141">
        <f t="shared" si="20"/>
        <v>0.22823568269647554</v>
      </c>
      <c r="Z141">
        <f t="shared" si="20"/>
        <v>0.23578926158729008</v>
      </c>
      <c r="AA141">
        <f t="shared" si="20"/>
        <v>0.24015460249978293</v>
      </c>
      <c r="AB141">
        <f t="shared" si="20"/>
        <v>0.25348490912074961</v>
      </c>
      <c r="AC141">
        <f t="shared" si="20"/>
        <v>0.2655864552942</v>
      </c>
    </row>
    <row r="142" spans="2:29" x14ac:dyDescent="0.25">
      <c r="B142" t="s">
        <v>291</v>
      </c>
      <c r="C142">
        <v>0</v>
      </c>
      <c r="D142">
        <f t="shared" ref="D142:AC142" si="21">(1+C142)*(1+D86)-1</f>
        <v>-6.5496145174722353E-2</v>
      </c>
      <c r="E142">
        <f t="shared" si="21"/>
        <v>-5.5690998445310558E-2</v>
      </c>
      <c r="F142">
        <f t="shared" si="21"/>
        <v>-2.0306824101301579E-2</v>
      </c>
      <c r="G142">
        <f t="shared" si="21"/>
        <v>3.1591036852003374E-3</v>
      </c>
      <c r="H142">
        <f t="shared" si="21"/>
        <v>2.8696306144754047E-2</v>
      </c>
      <c r="I142">
        <f t="shared" si="21"/>
        <v>4.9730107074260621E-2</v>
      </c>
      <c r="J142">
        <f t="shared" si="21"/>
        <v>6.6582376540489818E-2</v>
      </c>
      <c r="K142">
        <f t="shared" si="21"/>
        <v>8.7058567066461423E-2</v>
      </c>
      <c r="L142">
        <f t="shared" si="21"/>
        <v>0.10209235815101181</v>
      </c>
      <c r="M142">
        <f t="shared" si="21"/>
        <v>0.12154182111661171</v>
      </c>
      <c r="N142">
        <f t="shared" si="21"/>
        <v>0.1445079810254517</v>
      </c>
      <c r="O142">
        <f t="shared" si="21"/>
        <v>0.16725185673439924</v>
      </c>
      <c r="P142">
        <f t="shared" si="21"/>
        <v>0.19177717633651259</v>
      </c>
      <c r="Q142">
        <f t="shared" si="21"/>
        <v>0.21628252194994535</v>
      </c>
      <c r="R142">
        <f t="shared" si="21"/>
        <v>0.24282398038037489</v>
      </c>
      <c r="S142">
        <f t="shared" si="21"/>
        <v>0.27045083840050443</v>
      </c>
      <c r="T142">
        <f t="shared" si="21"/>
        <v>0.29761718337361054</v>
      </c>
      <c r="U142">
        <f t="shared" si="21"/>
        <v>0.32688843995303296</v>
      </c>
      <c r="V142">
        <f t="shared" si="21"/>
        <v>0.35779063895487528</v>
      </c>
      <c r="W142">
        <f t="shared" si="21"/>
        <v>0.39196110429663222</v>
      </c>
      <c r="X142">
        <f t="shared" si="21"/>
        <v>0.42805879933197333</v>
      </c>
      <c r="Y142">
        <f t="shared" si="21"/>
        <v>0.46604654412520374</v>
      </c>
      <c r="Z142">
        <f t="shared" si="21"/>
        <v>0.50267549180771209</v>
      </c>
      <c r="AA142">
        <f t="shared" si="21"/>
        <v>0.53949294812750326</v>
      </c>
      <c r="AB142">
        <f t="shared" si="21"/>
        <v>0.57705554853747598</v>
      </c>
      <c r="AC142">
        <f t="shared" si="21"/>
        <v>0.61060501350342933</v>
      </c>
    </row>
    <row r="143" spans="2:29" x14ac:dyDescent="0.25">
      <c r="B143" t="s">
        <v>306</v>
      </c>
      <c r="C143">
        <v>0</v>
      </c>
      <c r="D143">
        <f t="shared" ref="D143:AC143" si="22">(1+C143)*(1+D87)-1</f>
        <v>9.5838154987311075E-3</v>
      </c>
      <c r="E143">
        <f t="shared" si="22"/>
        <v>-3.7232582011299531E-3</v>
      </c>
      <c r="F143">
        <f t="shared" si="22"/>
        <v>-9.1986720457881699E-3</v>
      </c>
      <c r="G143">
        <f t="shared" si="22"/>
        <v>-2.4714579164231476E-2</v>
      </c>
      <c r="H143">
        <f t="shared" si="22"/>
        <v>-2.8319279168896427E-2</v>
      </c>
      <c r="I143">
        <f t="shared" si="22"/>
        <v>-1.0797091197009556E-2</v>
      </c>
      <c r="J143">
        <f t="shared" si="22"/>
        <v>5.1538934376875734E-3</v>
      </c>
      <c r="K143">
        <f t="shared" si="22"/>
        <v>2.2050493195099108E-2</v>
      </c>
      <c r="L143">
        <f t="shared" si="22"/>
        <v>2.7640633345190846E-2</v>
      </c>
      <c r="M143">
        <f t="shared" si="22"/>
        <v>3.2192373697073728E-2</v>
      </c>
      <c r="N143">
        <f t="shared" si="22"/>
        <v>4.325343012707128E-2</v>
      </c>
      <c r="O143">
        <f t="shared" si="22"/>
        <v>5.1151956054064307E-2</v>
      </c>
      <c r="P143">
        <f t="shared" si="22"/>
        <v>5.8454917358229164E-2</v>
      </c>
      <c r="Q143">
        <f t="shared" si="22"/>
        <v>6.3767480101177609E-2</v>
      </c>
      <c r="R143">
        <f t="shared" si="22"/>
        <v>6.8826438225197073E-2</v>
      </c>
      <c r="S143">
        <f t="shared" si="22"/>
        <v>7.5865306282196565E-2</v>
      </c>
      <c r="T143">
        <f t="shared" si="22"/>
        <v>8.1955367396335355E-2</v>
      </c>
      <c r="U143">
        <f t="shared" si="22"/>
        <v>8.907653150059347E-2</v>
      </c>
      <c r="V143">
        <f t="shared" si="22"/>
        <v>9.515083833668192E-2</v>
      </c>
      <c r="W143">
        <f t="shared" si="22"/>
        <v>0.10099784320007688</v>
      </c>
      <c r="X143">
        <f t="shared" si="22"/>
        <v>0.10793363424175073</v>
      </c>
      <c r="Y143">
        <f t="shared" si="22"/>
        <v>0.11675635425250519</v>
      </c>
      <c r="Z143">
        <f t="shared" si="22"/>
        <v>0.12550133552070264</v>
      </c>
      <c r="AA143">
        <f t="shared" si="22"/>
        <v>0.13312705470221542</v>
      </c>
      <c r="AB143">
        <f t="shared" si="22"/>
        <v>0.13932721654285873</v>
      </c>
      <c r="AC143">
        <f t="shared" si="22"/>
        <v>0.14366181071342421</v>
      </c>
    </row>
    <row r="144" spans="2:29" x14ac:dyDescent="0.25">
      <c r="B144" t="s">
        <v>280</v>
      </c>
      <c r="C144">
        <v>0</v>
      </c>
      <c r="D144">
        <f t="shared" ref="D144:AC144" si="23">(1+C144)*(1+D88)-1</f>
        <v>2.433643564380894E-2</v>
      </c>
      <c r="E144">
        <f t="shared" si="23"/>
        <v>3.3767162584272814E-3</v>
      </c>
      <c r="F144">
        <f t="shared" si="23"/>
        <v>2.7567732776504705E-2</v>
      </c>
      <c r="G144">
        <f t="shared" si="23"/>
        <v>4.6916207846104285E-2</v>
      </c>
      <c r="H144">
        <f t="shared" si="23"/>
        <v>6.728013028179225E-2</v>
      </c>
      <c r="I144">
        <f t="shared" si="23"/>
        <v>8.1032455524753688E-2</v>
      </c>
      <c r="J144">
        <f t="shared" si="23"/>
        <v>0.10212458429914784</v>
      </c>
      <c r="K144">
        <f t="shared" si="23"/>
        <v>0.12002402234294962</v>
      </c>
      <c r="L144">
        <f t="shared" si="23"/>
        <v>0.12118079162338602</v>
      </c>
      <c r="M144">
        <f t="shared" si="23"/>
        <v>0.12990368419100018</v>
      </c>
      <c r="N144">
        <f t="shared" si="23"/>
        <v>0.14461800513737288</v>
      </c>
      <c r="O144">
        <f t="shared" si="23"/>
        <v>0.15519607206753916</v>
      </c>
      <c r="P144">
        <f t="shared" si="23"/>
        <v>0.16228200956292516</v>
      </c>
      <c r="Q144">
        <f t="shared" si="23"/>
        <v>0.16512253138484079</v>
      </c>
      <c r="R144">
        <f t="shared" si="23"/>
        <v>0.16548402220442959</v>
      </c>
      <c r="S144">
        <f t="shared" si="23"/>
        <v>0.170546229215226</v>
      </c>
      <c r="T144">
        <f t="shared" si="23"/>
        <v>0.17502175313883317</v>
      </c>
      <c r="U144">
        <f t="shared" si="23"/>
        <v>0.1792591857935637</v>
      </c>
      <c r="V144">
        <f t="shared" si="23"/>
        <v>0.18144769061703858</v>
      </c>
      <c r="W144">
        <f t="shared" si="23"/>
        <v>0.18318909270116279</v>
      </c>
      <c r="X144">
        <f t="shared" si="23"/>
        <v>0.18690948143974673</v>
      </c>
      <c r="Y144">
        <f t="shared" si="23"/>
        <v>0.1924885243182819</v>
      </c>
      <c r="Z144">
        <f t="shared" si="23"/>
        <v>0.19884032273972307</v>
      </c>
      <c r="AA144">
        <f t="shared" si="23"/>
        <v>0.20233961642209009</v>
      </c>
      <c r="AB144">
        <f t="shared" si="23"/>
        <v>0.20330294430643425</v>
      </c>
      <c r="AC144">
        <f t="shared" si="23"/>
        <v>0.20251667568388698</v>
      </c>
    </row>
    <row r="145" spans="2:29" x14ac:dyDescent="0.25">
      <c r="B145" t="s">
        <v>319</v>
      </c>
      <c r="C145">
        <v>0</v>
      </c>
      <c r="D145">
        <f t="shared" ref="D145:AC145" si="24">(1+C145)*(1+D89)-1</f>
        <v>-6.119282245818225E-2</v>
      </c>
      <c r="E145">
        <f t="shared" si="24"/>
        <v>-5.8434523548630213E-2</v>
      </c>
      <c r="F145">
        <f t="shared" si="24"/>
        <v>1.2035657082207774E-3</v>
      </c>
      <c r="G145">
        <f t="shared" si="24"/>
        <v>2.0831723842193561E-2</v>
      </c>
      <c r="H145">
        <f t="shared" si="24"/>
        <v>3.7096028049963259E-2</v>
      </c>
      <c r="I145">
        <f t="shared" si="24"/>
        <v>5.4354785758911284E-2</v>
      </c>
      <c r="J145">
        <f t="shared" si="24"/>
        <v>6.1421256754164322E-2</v>
      </c>
      <c r="K145">
        <f t="shared" si="24"/>
        <v>7.8280083749519447E-2</v>
      </c>
      <c r="L145">
        <f t="shared" si="24"/>
        <v>8.5734937161873415E-2</v>
      </c>
      <c r="M145">
        <f t="shared" si="24"/>
        <v>8.8833885529693513E-2</v>
      </c>
      <c r="N145">
        <f t="shared" si="24"/>
        <v>9.3021953458676476E-2</v>
      </c>
      <c r="O145">
        <f t="shared" si="24"/>
        <v>0.10425499737849364</v>
      </c>
      <c r="P145">
        <f t="shared" si="24"/>
        <v>0.12697204290697628</v>
      </c>
      <c r="Q145">
        <f t="shared" si="24"/>
        <v>0.14804649077423382</v>
      </c>
      <c r="R145">
        <f t="shared" si="24"/>
        <v>0.16952772996107002</v>
      </c>
      <c r="S145">
        <f t="shared" si="24"/>
        <v>0.18943005476905483</v>
      </c>
      <c r="T145">
        <f t="shared" si="24"/>
        <v>0.20698847438143919</v>
      </c>
      <c r="U145">
        <f t="shared" si="24"/>
        <v>0.22466145440626462</v>
      </c>
      <c r="V145">
        <f t="shared" si="24"/>
        <v>0.24023131074904347</v>
      </c>
      <c r="W145">
        <f t="shared" si="24"/>
        <v>0.25622567891177583</v>
      </c>
      <c r="X145">
        <f t="shared" si="24"/>
        <v>0.27301282030154383</v>
      </c>
      <c r="Y145">
        <f t="shared" si="24"/>
        <v>0.28895402508994783</v>
      </c>
      <c r="Z145">
        <f t="shared" si="24"/>
        <v>0.30355984031884664</v>
      </c>
      <c r="AA145">
        <f t="shared" si="24"/>
        <v>0.3185005327309709</v>
      </c>
      <c r="AB145">
        <f t="shared" si="24"/>
        <v>0.33215717071179096</v>
      </c>
      <c r="AC145">
        <f t="shared" si="24"/>
        <v>0.34321368679074138</v>
      </c>
    </row>
    <row r="146" spans="2:29" x14ac:dyDescent="0.25">
      <c r="B146" t="s">
        <v>331</v>
      </c>
      <c r="C146">
        <v>0</v>
      </c>
      <c r="D146">
        <f t="shared" ref="D146:AC146" si="25">(1+C146)*(1+D90)-1</f>
        <v>1.1905137200742377E-2</v>
      </c>
      <c r="E146">
        <f t="shared" si="25"/>
        <v>3.1358307449488976E-2</v>
      </c>
      <c r="F146">
        <f t="shared" si="25"/>
        <v>4.4274712561302554E-2</v>
      </c>
      <c r="G146">
        <f t="shared" si="25"/>
        <v>5.31411868245657E-2</v>
      </c>
      <c r="H146">
        <f t="shared" si="25"/>
        <v>6.3758238119439259E-2</v>
      </c>
      <c r="I146">
        <f t="shared" si="25"/>
        <v>7.5837313433072318E-2</v>
      </c>
      <c r="J146">
        <f t="shared" si="25"/>
        <v>8.7627830669847251E-2</v>
      </c>
      <c r="K146">
        <f t="shared" si="25"/>
        <v>0.10096174200915509</v>
      </c>
      <c r="L146">
        <f t="shared" si="25"/>
        <v>0.11532359928659974</v>
      </c>
      <c r="M146">
        <f t="shared" si="25"/>
        <v>0.13051441255094209</v>
      </c>
      <c r="N146">
        <f t="shared" si="25"/>
        <v>0.14649030991518996</v>
      </c>
      <c r="O146">
        <f t="shared" si="25"/>
        <v>0.15967663383401542</v>
      </c>
      <c r="P146">
        <f t="shared" si="25"/>
        <v>0.17267439058114054</v>
      </c>
      <c r="Q146">
        <f t="shared" si="25"/>
        <v>0.18563609707533124</v>
      </c>
      <c r="R146">
        <f t="shared" si="25"/>
        <v>0.19826659024141868</v>
      </c>
      <c r="S146">
        <f t="shared" si="25"/>
        <v>0.21086344562393888</v>
      </c>
      <c r="T146">
        <f t="shared" si="25"/>
        <v>0.22300358342186422</v>
      </c>
      <c r="U146">
        <f t="shared" si="25"/>
        <v>0.2353789050124071</v>
      </c>
      <c r="V146">
        <f t="shared" si="25"/>
        <v>0.24815732335849883</v>
      </c>
      <c r="W146">
        <f t="shared" si="25"/>
        <v>0.26089408229267042</v>
      </c>
      <c r="X146">
        <f t="shared" si="25"/>
        <v>0.27335662083306755</v>
      </c>
      <c r="Y146">
        <f t="shared" si="25"/>
        <v>0.28532816724540488</v>
      </c>
      <c r="Z146">
        <f t="shared" si="25"/>
        <v>0.29670406129059201</v>
      </c>
      <c r="AA146">
        <f t="shared" si="25"/>
        <v>0.3080566982420252</v>
      </c>
      <c r="AB146">
        <f t="shared" si="25"/>
        <v>0.31894415422990496</v>
      </c>
      <c r="AC146">
        <f t="shared" si="25"/>
        <v>0.33016585377729557</v>
      </c>
    </row>
    <row r="147" spans="2:29" x14ac:dyDescent="0.25">
      <c r="B147" t="s">
        <v>326</v>
      </c>
      <c r="C147">
        <v>0</v>
      </c>
      <c r="D147">
        <f t="shared" ref="D147:AC147" si="26">(1+C147)*(1+D91)-1</f>
        <v>-6.119282245818225E-2</v>
      </c>
      <c r="E147">
        <f t="shared" si="26"/>
        <v>-5.8434523548630213E-2</v>
      </c>
      <c r="F147">
        <f t="shared" si="26"/>
        <v>1.2035657082207774E-3</v>
      </c>
      <c r="G147">
        <f t="shared" si="26"/>
        <v>2.0831723842193561E-2</v>
      </c>
      <c r="H147">
        <f t="shared" si="26"/>
        <v>3.7096028049963259E-2</v>
      </c>
      <c r="I147">
        <f t="shared" si="26"/>
        <v>5.4354785758911284E-2</v>
      </c>
      <c r="J147">
        <f t="shared" si="26"/>
        <v>6.1421256754164322E-2</v>
      </c>
      <c r="K147">
        <f t="shared" si="26"/>
        <v>7.8280083749519447E-2</v>
      </c>
      <c r="L147">
        <f t="shared" si="26"/>
        <v>8.5734937161873415E-2</v>
      </c>
      <c r="M147">
        <f t="shared" si="26"/>
        <v>8.8833885529693513E-2</v>
      </c>
      <c r="N147">
        <f t="shared" si="26"/>
        <v>9.3021953458676476E-2</v>
      </c>
      <c r="O147">
        <f t="shared" si="26"/>
        <v>0.10425499737849364</v>
      </c>
      <c r="P147">
        <f t="shared" si="26"/>
        <v>0.12697204290697628</v>
      </c>
      <c r="Q147">
        <f t="shared" si="26"/>
        <v>0.14804649077423382</v>
      </c>
      <c r="R147">
        <f t="shared" si="26"/>
        <v>0.16952772996107002</v>
      </c>
      <c r="S147">
        <f t="shared" si="26"/>
        <v>0.18943005476905483</v>
      </c>
      <c r="T147">
        <f t="shared" si="26"/>
        <v>0.20698847438143919</v>
      </c>
      <c r="U147">
        <f t="shared" si="26"/>
        <v>0.22466145440626462</v>
      </c>
      <c r="V147">
        <f t="shared" si="26"/>
        <v>0.24023131074904347</v>
      </c>
      <c r="W147">
        <f t="shared" si="26"/>
        <v>0.25622567891177583</v>
      </c>
      <c r="X147">
        <f t="shared" si="26"/>
        <v>0.27301282030154383</v>
      </c>
      <c r="Y147">
        <f t="shared" si="26"/>
        <v>0.28895402508994783</v>
      </c>
      <c r="Z147">
        <f t="shared" si="26"/>
        <v>0.30355984031884664</v>
      </c>
      <c r="AA147">
        <f t="shared" si="26"/>
        <v>0.3185005327309709</v>
      </c>
      <c r="AB147">
        <f t="shared" si="26"/>
        <v>0.33215717071179096</v>
      </c>
      <c r="AC147">
        <f t="shared" si="26"/>
        <v>0.34321368679074138</v>
      </c>
    </row>
    <row r="148" spans="2:29" x14ac:dyDescent="0.25">
      <c r="B148" t="s">
        <v>336</v>
      </c>
      <c r="C148">
        <v>0</v>
      </c>
      <c r="D148">
        <f t="shared" ref="D148:AC148" si="27">(1+C148)*(1+D92)-1</f>
        <v>-1.6322297830852928E-2</v>
      </c>
      <c r="E148">
        <f t="shared" si="27"/>
        <v>-1.0813755914009349E-2</v>
      </c>
      <c r="F148">
        <f t="shared" si="27"/>
        <v>1.4664822917539011E-2</v>
      </c>
      <c r="G148">
        <f t="shared" si="27"/>
        <v>2.6185439573830127E-2</v>
      </c>
      <c r="H148">
        <f t="shared" si="27"/>
        <v>4.2416838091896336E-2</v>
      </c>
      <c r="I148">
        <f t="shared" si="27"/>
        <v>6.73054426297508E-2</v>
      </c>
      <c r="J148">
        <f t="shared" si="27"/>
        <v>9.4380156279248562E-2</v>
      </c>
      <c r="K148">
        <f t="shared" si="27"/>
        <v>0.10610967194728449</v>
      </c>
      <c r="L148">
        <f t="shared" si="27"/>
        <v>0.11081246260749333</v>
      </c>
      <c r="M148">
        <f t="shared" si="27"/>
        <v>0.1128028429432868</v>
      </c>
      <c r="N148">
        <f t="shared" si="27"/>
        <v>0.12147277873904017</v>
      </c>
      <c r="O148">
        <f t="shared" si="27"/>
        <v>0.13108579248484609</v>
      </c>
      <c r="P148">
        <f t="shared" si="27"/>
        <v>0.14212809385951375</v>
      </c>
      <c r="Q148">
        <f t="shared" si="27"/>
        <v>0.15535143179631494</v>
      </c>
      <c r="R148">
        <f t="shared" si="27"/>
        <v>0.16106832093993706</v>
      </c>
      <c r="S148">
        <f t="shared" si="27"/>
        <v>0.17359996738079664</v>
      </c>
      <c r="T148">
        <f t="shared" si="27"/>
        <v>0.18661204427898204</v>
      </c>
      <c r="U148">
        <f t="shared" si="27"/>
        <v>0.19767132998211467</v>
      </c>
      <c r="V148">
        <f t="shared" si="27"/>
        <v>0.20805879328829335</v>
      </c>
      <c r="W148">
        <f t="shared" si="27"/>
        <v>0.21950822968399697</v>
      </c>
      <c r="X148">
        <f t="shared" si="27"/>
        <v>0.23423571891690553</v>
      </c>
      <c r="Y148">
        <f t="shared" si="27"/>
        <v>0.24433348059538362</v>
      </c>
      <c r="Z148">
        <f t="shared" si="27"/>
        <v>0.25355014332808157</v>
      </c>
      <c r="AA148">
        <f t="shared" si="27"/>
        <v>0.2574952993487174</v>
      </c>
      <c r="AB148">
        <f t="shared" si="27"/>
        <v>0.27188766633884587</v>
      </c>
      <c r="AC148">
        <f t="shared" si="27"/>
        <v>0.27519028328746731</v>
      </c>
    </row>
    <row r="149" spans="2:29" x14ac:dyDescent="0.25">
      <c r="B149" t="s">
        <v>98</v>
      </c>
      <c r="C149">
        <v>0</v>
      </c>
      <c r="D149">
        <f t="shared" ref="D149:AC149" si="28">(1+C149)*(1+D93)-1</f>
        <v>1.8315595693449982E-2</v>
      </c>
      <c r="E149">
        <f t="shared" si="28"/>
        <v>4.8433144679054907E-2</v>
      </c>
      <c r="F149">
        <f t="shared" si="28"/>
        <v>6.8633521556979105E-2</v>
      </c>
      <c r="G149">
        <f t="shared" si="28"/>
        <v>8.2592435597468983E-2</v>
      </c>
      <c r="H149">
        <f t="shared" si="28"/>
        <v>9.9383141292564092E-2</v>
      </c>
      <c r="I149">
        <f t="shared" si="28"/>
        <v>0.11858867891646807</v>
      </c>
      <c r="J149">
        <f t="shared" si="28"/>
        <v>0.13744874966529741</v>
      </c>
      <c r="K149">
        <f t="shared" si="28"/>
        <v>0.15890212999570652</v>
      </c>
      <c r="L149">
        <f t="shared" si="28"/>
        <v>0.18216009878153328</v>
      </c>
      <c r="M149">
        <f t="shared" si="28"/>
        <v>0.20693107221248441</v>
      </c>
      <c r="N149">
        <f t="shared" si="28"/>
        <v>0.23317073623870432</v>
      </c>
      <c r="O149">
        <f t="shared" si="28"/>
        <v>0.25499116122768029</v>
      </c>
      <c r="P149">
        <f t="shared" si="28"/>
        <v>0.27663123857274297</v>
      </c>
      <c r="Q149">
        <f t="shared" si="28"/>
        <v>0.29834009031382092</v>
      </c>
      <c r="R149">
        <f t="shared" si="28"/>
        <v>0.31961873712033295</v>
      </c>
      <c r="S149">
        <f t="shared" si="28"/>
        <v>0.34096116436796042</v>
      </c>
      <c r="T149">
        <f t="shared" si="28"/>
        <v>0.36164501016910511</v>
      </c>
      <c r="U149">
        <f t="shared" si="28"/>
        <v>0.38284224964313163</v>
      </c>
      <c r="V149">
        <f t="shared" si="28"/>
        <v>0.40484800114034347</v>
      </c>
      <c r="W149">
        <f t="shared" si="28"/>
        <v>0.42690292592958401</v>
      </c>
      <c r="X149">
        <f t="shared" si="28"/>
        <v>0.44860039009414376</v>
      </c>
      <c r="Y149">
        <f t="shared" si="28"/>
        <v>0.46955287053860784</v>
      </c>
      <c r="Z149">
        <f t="shared" si="28"/>
        <v>0.4895626993063964</v>
      </c>
      <c r="AA149">
        <f t="shared" si="28"/>
        <v>0.50962595049179793</v>
      </c>
      <c r="AB149">
        <f t="shared" si="28"/>
        <v>0.52895701808734441</v>
      </c>
      <c r="AC149">
        <f t="shared" si="28"/>
        <v>0.54897010812994873</v>
      </c>
    </row>
    <row r="150" spans="2:29" x14ac:dyDescent="0.25">
      <c r="B150" t="s">
        <v>119</v>
      </c>
      <c r="C150">
        <v>0</v>
      </c>
      <c r="D150">
        <f t="shared" ref="D150:AC150" si="29">(1+C150)*(1+D94)-1</f>
        <v>6.4104584927073827E-3</v>
      </c>
      <c r="E150">
        <f t="shared" si="29"/>
        <v>1.6828364045772704E-2</v>
      </c>
      <c r="F150">
        <f t="shared" si="29"/>
        <v>2.3685368421632491E-2</v>
      </c>
      <c r="G150">
        <f t="shared" si="29"/>
        <v>2.8365492637200562E-2</v>
      </c>
      <c r="H150">
        <f t="shared" si="29"/>
        <v>3.3947873982324905E-2</v>
      </c>
      <c r="I150">
        <f t="shared" si="29"/>
        <v>4.0269722496439675E-2</v>
      </c>
      <c r="J150">
        <f t="shared" si="29"/>
        <v>4.6408570785252623E-2</v>
      </c>
      <c r="K150">
        <f t="shared" si="29"/>
        <v>5.3316266951635161E-2</v>
      </c>
      <c r="L150">
        <f t="shared" si="29"/>
        <v>6.0714906300463944E-2</v>
      </c>
      <c r="M150">
        <f t="shared" si="29"/>
        <v>6.849408043779337E-2</v>
      </c>
      <c r="N150">
        <f t="shared" si="29"/>
        <v>7.6624556332869798E-2</v>
      </c>
      <c r="O150">
        <f t="shared" si="29"/>
        <v>8.3292199051624216E-2</v>
      </c>
      <c r="P150">
        <f t="shared" si="29"/>
        <v>8.983000162319521E-2</v>
      </c>
      <c r="Q150">
        <f t="shared" si="29"/>
        <v>9.6316318912543109E-2</v>
      </c>
      <c r="R150">
        <f t="shared" si="29"/>
        <v>0.1026049984113413</v>
      </c>
      <c r="S150">
        <f t="shared" si="29"/>
        <v>0.10884641739458911</v>
      </c>
      <c r="T150">
        <f t="shared" si="29"/>
        <v>0.11483266302450867</v>
      </c>
      <c r="U150">
        <f t="shared" si="29"/>
        <v>0.12090691965108102</v>
      </c>
      <c r="V150">
        <f t="shared" si="29"/>
        <v>0.12715003212186304</v>
      </c>
      <c r="W150">
        <f t="shared" si="29"/>
        <v>0.13334338770735044</v>
      </c>
      <c r="X150">
        <f t="shared" si="29"/>
        <v>0.13937514851106125</v>
      </c>
      <c r="Y150">
        <f t="shared" si="29"/>
        <v>0.14514310045175294</v>
      </c>
      <c r="Z150">
        <f t="shared" si="29"/>
        <v>0.15060050265545133</v>
      </c>
      <c r="AA150">
        <f t="shared" si="29"/>
        <v>0.15602469555337439</v>
      </c>
      <c r="AB150">
        <f t="shared" si="29"/>
        <v>0.16120579159481707</v>
      </c>
      <c r="AC150">
        <f t="shared" si="29"/>
        <v>0.16652560145643647</v>
      </c>
    </row>
    <row r="151" spans="2:29" x14ac:dyDescent="0.25">
      <c r="B151" t="s">
        <v>122</v>
      </c>
      <c r="C151">
        <v>0</v>
      </c>
      <c r="D151">
        <f t="shared" ref="D151:AC151" si="30">(1+C151)*(1+D95)-1</f>
        <v>1.3643261340305246E-2</v>
      </c>
      <c r="E151">
        <f t="shared" si="30"/>
        <v>3.5974844765770175E-2</v>
      </c>
      <c r="F151">
        <f t="shared" si="30"/>
        <v>5.0843274003400385E-2</v>
      </c>
      <c r="G151">
        <f t="shared" si="30"/>
        <v>6.1068147380921811E-2</v>
      </c>
      <c r="H151">
        <f t="shared" si="30"/>
        <v>7.3326846586292183E-2</v>
      </c>
      <c r="I151">
        <f t="shared" si="30"/>
        <v>8.7293956100893411E-2</v>
      </c>
      <c r="J151">
        <f t="shared" si="30"/>
        <v>0.10094975215259705</v>
      </c>
      <c r="K151">
        <f t="shared" si="30"/>
        <v>0.11641755196002146</v>
      </c>
      <c r="L151">
        <f t="shared" si="30"/>
        <v>0.13310726340457002</v>
      </c>
      <c r="M151">
        <f t="shared" si="30"/>
        <v>0.15079348045225727</v>
      </c>
      <c r="N151">
        <f t="shared" si="30"/>
        <v>0.16943023754131548</v>
      </c>
      <c r="O151">
        <f t="shared" si="30"/>
        <v>0.18484409945192204</v>
      </c>
      <c r="P151">
        <f t="shared" si="30"/>
        <v>0.20006276250546806</v>
      </c>
      <c r="Q151">
        <f t="shared" si="30"/>
        <v>0.21526377428350041</v>
      </c>
      <c r="R151">
        <f t="shared" si="30"/>
        <v>0.23009999346852927</v>
      </c>
      <c r="S151">
        <f t="shared" si="30"/>
        <v>0.24491947133771186</v>
      </c>
      <c r="T151">
        <f t="shared" si="30"/>
        <v>0.25922333957012023</v>
      </c>
      <c r="U151">
        <f t="shared" si="30"/>
        <v>0.27382543969846918</v>
      </c>
      <c r="V151">
        <f t="shared" si="30"/>
        <v>0.28892522013796396</v>
      </c>
      <c r="W151">
        <f t="shared" si="30"/>
        <v>0.30399826927204909</v>
      </c>
      <c r="X151">
        <f t="shared" si="30"/>
        <v>0.31876854886471717</v>
      </c>
      <c r="Y151">
        <f t="shared" si="30"/>
        <v>0.33297719104404599</v>
      </c>
      <c r="Z151">
        <f t="shared" si="30"/>
        <v>0.34649723255431653</v>
      </c>
      <c r="AA151">
        <f t="shared" si="30"/>
        <v>0.36000691488946224</v>
      </c>
      <c r="AB151">
        <f t="shared" si="30"/>
        <v>0.37297944696827789</v>
      </c>
      <c r="AC151">
        <f t="shared" si="30"/>
        <v>0.38636634818646032</v>
      </c>
    </row>
    <row r="152" spans="2:29" x14ac:dyDescent="0.25">
      <c r="B152" t="s">
        <v>125</v>
      </c>
      <c r="C152">
        <v>0</v>
      </c>
      <c r="D152">
        <f t="shared" ref="D152:AC152" si="31">(1+C152)*(1+D96)-1</f>
        <v>5.9669924007771602E-2</v>
      </c>
      <c r="E152">
        <f t="shared" si="31"/>
        <v>5.5895125581503446E-2</v>
      </c>
      <c r="F152">
        <f t="shared" si="31"/>
        <v>6.2230794923747279E-2</v>
      </c>
      <c r="G152">
        <f t="shared" si="31"/>
        <v>6.8855627686792209E-2</v>
      </c>
      <c r="H152">
        <f t="shared" si="31"/>
        <v>8.6485275824584429E-2</v>
      </c>
      <c r="I152">
        <f t="shared" si="31"/>
        <v>0.1047025699469295</v>
      </c>
      <c r="J152">
        <f t="shared" si="31"/>
        <v>0.12156826074508587</v>
      </c>
      <c r="K152">
        <f t="shared" si="31"/>
        <v>0.13848978450187399</v>
      </c>
      <c r="L152">
        <f t="shared" si="31"/>
        <v>0.15272945158841189</v>
      </c>
      <c r="M152">
        <f t="shared" si="31"/>
        <v>0.16187652111436623</v>
      </c>
      <c r="N152">
        <f t="shared" si="31"/>
        <v>0.17457310761766154</v>
      </c>
      <c r="O152">
        <f t="shared" si="31"/>
        <v>0.18568187929174584</v>
      </c>
      <c r="P152">
        <f t="shared" si="31"/>
        <v>0.19518563733105343</v>
      </c>
      <c r="Q152">
        <f t="shared" si="31"/>
        <v>0.20330305503972612</v>
      </c>
      <c r="R152">
        <f t="shared" si="31"/>
        <v>0.21031558483251844</v>
      </c>
      <c r="S152">
        <f t="shared" si="31"/>
        <v>0.2146857395553261</v>
      </c>
      <c r="T152">
        <f t="shared" si="31"/>
        <v>0.21757008752197948</v>
      </c>
      <c r="U152">
        <f t="shared" si="31"/>
        <v>0.22475071030598448</v>
      </c>
      <c r="V152">
        <f t="shared" si="31"/>
        <v>0.22997191856345522</v>
      </c>
      <c r="W152">
        <f t="shared" si="31"/>
        <v>0.23623514886869956</v>
      </c>
      <c r="X152">
        <f t="shared" si="31"/>
        <v>0.24826199111811587</v>
      </c>
      <c r="Y152">
        <f t="shared" si="31"/>
        <v>0.26086106011623178</v>
      </c>
      <c r="Z152">
        <f t="shared" si="31"/>
        <v>0.27243505184619798</v>
      </c>
      <c r="AA152">
        <f t="shared" si="31"/>
        <v>0.28415332892296585</v>
      </c>
      <c r="AB152">
        <f t="shared" si="31"/>
        <v>0.29750618867056744</v>
      </c>
      <c r="AC152">
        <f t="shared" si="31"/>
        <v>0.31288310699440247</v>
      </c>
    </row>
    <row r="153" spans="2:29" x14ac:dyDescent="0.25">
      <c r="B153" t="s">
        <v>351</v>
      </c>
      <c r="C153">
        <v>0</v>
      </c>
      <c r="D153">
        <f t="shared" ref="D153:AC153" si="32">(1+C153)*(1+D97)-1</f>
        <v>2.3144565003807349E-2</v>
      </c>
      <c r="E153">
        <f t="shared" si="32"/>
        <v>6.1383184642197719E-2</v>
      </c>
      <c r="F153">
        <f t="shared" si="32"/>
        <v>8.7224755351656302E-2</v>
      </c>
      <c r="G153">
        <f t="shared" si="32"/>
        <v>0.1051708579621855</v>
      </c>
      <c r="H153">
        <f t="shared" si="32"/>
        <v>0.12683100300098471</v>
      </c>
      <c r="I153">
        <f t="shared" si="32"/>
        <v>0.15170606420877419</v>
      </c>
      <c r="J153">
        <f t="shared" si="32"/>
        <v>0.17624425427934653</v>
      </c>
      <c r="K153">
        <f t="shared" si="32"/>
        <v>0.20427853281912478</v>
      </c>
      <c r="L153">
        <f t="shared" si="32"/>
        <v>0.23481929995368711</v>
      </c>
      <c r="M153">
        <f t="shared" si="32"/>
        <v>0.26751556613116168</v>
      </c>
      <c r="N153">
        <f t="shared" si="32"/>
        <v>0.30233783607527331</v>
      </c>
      <c r="O153">
        <f t="shared" si="32"/>
        <v>0.33145785329321642</v>
      </c>
      <c r="P153">
        <f t="shared" si="32"/>
        <v>0.36046957746191688</v>
      </c>
      <c r="Q153">
        <f t="shared" si="32"/>
        <v>0.3897035742339956</v>
      </c>
      <c r="R153">
        <f t="shared" si="32"/>
        <v>0.4184845615158479</v>
      </c>
      <c r="S153">
        <f t="shared" si="32"/>
        <v>0.44747454208255055</v>
      </c>
      <c r="T153">
        <f t="shared" si="32"/>
        <v>0.47568784941802988</v>
      </c>
      <c r="U153">
        <f t="shared" si="32"/>
        <v>0.50471723763340615</v>
      </c>
      <c r="V153">
        <f t="shared" si="32"/>
        <v>0.53497567075456387</v>
      </c>
      <c r="W153">
        <f t="shared" si="32"/>
        <v>0.5654269620787058</v>
      </c>
      <c r="X153">
        <f t="shared" si="32"/>
        <v>0.59550678916972855</v>
      </c>
      <c r="Y153">
        <f t="shared" si="32"/>
        <v>0.62466853210619999</v>
      </c>
      <c r="Z153">
        <f t="shared" si="32"/>
        <v>0.65262297876982966</v>
      </c>
      <c r="AA153">
        <f t="shared" si="32"/>
        <v>0.6807513304730286</v>
      </c>
      <c r="AB153">
        <f t="shared" si="32"/>
        <v>0.70794813782704891</v>
      </c>
      <c r="AC153">
        <f t="shared" si="32"/>
        <v>0.73619833779615385</v>
      </c>
    </row>
    <row r="154" spans="2:29" x14ac:dyDescent="0.25">
      <c r="B154" t="s">
        <v>453</v>
      </c>
      <c r="C154">
        <v>0</v>
      </c>
      <c r="D154">
        <f t="shared" ref="D154:AC154" si="33">(1+C154)*(1+D98)-1</f>
        <v>1.6945999165965286E-2</v>
      </c>
      <c r="E154">
        <f t="shared" si="33"/>
        <v>4.4773951761942099E-2</v>
      </c>
      <c r="F154">
        <f t="shared" si="33"/>
        <v>6.3398562255131408E-2</v>
      </c>
      <c r="G154">
        <f t="shared" si="33"/>
        <v>7.6250394288688739E-2</v>
      </c>
      <c r="H154">
        <f t="shared" si="33"/>
        <v>9.1694523176480525E-2</v>
      </c>
      <c r="I154">
        <f t="shared" si="33"/>
        <v>0.10933964495983628</v>
      </c>
      <c r="J154">
        <f t="shared" si="33"/>
        <v>0.12664512155623497</v>
      </c>
      <c r="K154">
        <f t="shared" si="33"/>
        <v>0.14630573966728133</v>
      </c>
      <c r="L154">
        <f t="shared" si="33"/>
        <v>0.16759064004131541</v>
      </c>
      <c r="M154">
        <f t="shared" si="33"/>
        <v>0.19022683961433806</v>
      </c>
      <c r="N154">
        <f t="shared" si="33"/>
        <v>0.21416835709084281</v>
      </c>
      <c r="O154">
        <f t="shared" si="33"/>
        <v>0.23404600701312228</v>
      </c>
      <c r="P154">
        <f t="shared" si="33"/>
        <v>0.25373373612627859</v>
      </c>
      <c r="Q154">
        <f t="shared" si="33"/>
        <v>0.27345900038961402</v>
      </c>
      <c r="R154">
        <f t="shared" si="33"/>
        <v>0.29276919444738847</v>
      </c>
      <c r="S154">
        <f t="shared" si="33"/>
        <v>0.31211391513642095</v>
      </c>
      <c r="T154">
        <f t="shared" si="33"/>
        <v>0.33083938676368496</v>
      </c>
      <c r="U154">
        <f t="shared" si="33"/>
        <v>0.35000784510779814</v>
      </c>
      <c r="V154">
        <f t="shared" si="33"/>
        <v>0.36988462319767135</v>
      </c>
      <c r="W154">
        <f t="shared" si="33"/>
        <v>0.3897824830000145</v>
      </c>
      <c r="X154">
        <f t="shared" si="33"/>
        <v>0.40933521813500828</v>
      </c>
      <c r="Y154">
        <f t="shared" si="33"/>
        <v>0.42819546111110385</v>
      </c>
      <c r="Z154">
        <f t="shared" si="33"/>
        <v>0.44618797878062755</v>
      </c>
      <c r="AA154">
        <f t="shared" si="33"/>
        <v>0.46421041103561778</v>
      </c>
      <c r="AB154">
        <f t="shared" si="33"/>
        <v>0.48155787962296892</v>
      </c>
      <c r="AC154">
        <f t="shared" si="33"/>
        <v>0.49950040742187451</v>
      </c>
    </row>
    <row r="155" spans="2:29" x14ac:dyDescent="0.25">
      <c r="B155" t="s">
        <v>456</v>
      </c>
      <c r="C155">
        <v>0</v>
      </c>
      <c r="D155">
        <f t="shared" ref="D155:AC155" si="34">(1+C155)*(1+D99)-1</f>
        <v>1.923137547812237E-2</v>
      </c>
      <c r="E155">
        <f t="shared" si="34"/>
        <v>5.0883241126522094E-2</v>
      </c>
      <c r="F155">
        <f t="shared" si="34"/>
        <v>7.2143203685742785E-2</v>
      </c>
      <c r="G155">
        <f t="shared" si="34"/>
        <v>8.6848200528267805E-2</v>
      </c>
      <c r="H155">
        <f t="shared" si="34"/>
        <v>0.10454774751730134</v>
      </c>
      <c r="I155">
        <f t="shared" si="34"/>
        <v>0.12480829559362605</v>
      </c>
      <c r="J155">
        <f t="shared" si="34"/>
        <v>0.14472147964000026</v>
      </c>
      <c r="K155">
        <f t="shared" si="34"/>
        <v>0.16739155822283625</v>
      </c>
      <c r="L155">
        <f t="shared" si="34"/>
        <v>0.19199131820704562</v>
      </c>
      <c r="M155">
        <f t="shared" si="34"/>
        <v>0.21821714376895396</v>
      </c>
      <c r="N155">
        <f t="shared" si="34"/>
        <v>0.24602642779884043</v>
      </c>
      <c r="O155">
        <f t="shared" si="34"/>
        <v>0.26917672375805601</v>
      </c>
      <c r="P155">
        <f t="shared" si="34"/>
        <v>0.29215563985002335</v>
      </c>
      <c r="Q155">
        <f t="shared" si="34"/>
        <v>0.31522712289271149</v>
      </c>
      <c r="R155">
        <f t="shared" si="34"/>
        <v>0.33786030375843912</v>
      </c>
      <c r="S155">
        <f t="shared" si="34"/>
        <v>0.36057962765641571</v>
      </c>
      <c r="T155">
        <f t="shared" si="34"/>
        <v>0.38261540390761151</v>
      </c>
      <c r="U155">
        <f t="shared" si="34"/>
        <v>0.40521528205363522</v>
      </c>
      <c r="V155">
        <f t="shared" si="34"/>
        <v>0.42869515419392012</v>
      </c>
      <c r="W155">
        <f t="shared" si="34"/>
        <v>0.45224592435145206</v>
      </c>
      <c r="X155">
        <f t="shared" si="34"/>
        <v>0.47543289523475596</v>
      </c>
      <c r="Y155">
        <f t="shared" si="34"/>
        <v>0.49784050885319631</v>
      </c>
      <c r="Z155">
        <f t="shared" si="34"/>
        <v>0.51925525978846276</v>
      </c>
      <c r="AA155">
        <f t="shared" si="34"/>
        <v>0.54074160601704047</v>
      </c>
      <c r="AB155">
        <f t="shared" si="34"/>
        <v>0.56145759141041385</v>
      </c>
      <c r="AC155">
        <f t="shared" si="34"/>
        <v>0.5829180187181624</v>
      </c>
    </row>
    <row r="156" spans="2:29" x14ac:dyDescent="0.25">
      <c r="B156" t="s">
        <v>446</v>
      </c>
      <c r="C156">
        <v>0</v>
      </c>
      <c r="D156">
        <f t="shared" ref="D156:AC156" si="35">(1+C156)*(1+D100)-1</f>
        <v>2.1062935047467368E-2</v>
      </c>
      <c r="E156">
        <f t="shared" si="35"/>
        <v>5.5791559511032318E-2</v>
      </c>
      <c r="F156">
        <f t="shared" si="35"/>
        <v>7.9185035425188177E-2</v>
      </c>
      <c r="G156">
        <f t="shared" si="35"/>
        <v>9.5396288829942888E-2</v>
      </c>
      <c r="H156">
        <f t="shared" si="35"/>
        <v>0.11493397218661294</v>
      </c>
      <c r="I156">
        <f t="shared" si="35"/>
        <v>0.13733275326551553</v>
      </c>
      <c r="J156">
        <f t="shared" si="35"/>
        <v>0.15938527631105126</v>
      </c>
      <c r="K156">
        <f t="shared" si="35"/>
        <v>0.18453246934539314</v>
      </c>
      <c r="L156">
        <f t="shared" si="35"/>
        <v>0.21187066405353949</v>
      </c>
      <c r="M156">
        <f t="shared" si="35"/>
        <v>0.24107322169336731</v>
      </c>
      <c r="N156">
        <f t="shared" si="35"/>
        <v>0.27210245516557907</v>
      </c>
      <c r="O156">
        <f t="shared" si="35"/>
        <v>0.29798815589894345</v>
      </c>
      <c r="P156">
        <f t="shared" si="35"/>
        <v>0.32372686203295631</v>
      </c>
      <c r="Q156">
        <f t="shared" si="35"/>
        <v>0.3496130206385808</v>
      </c>
      <c r="R156">
        <f t="shared" si="35"/>
        <v>0.37504983019007598</v>
      </c>
      <c r="S156">
        <f t="shared" si="35"/>
        <v>0.40062459292855079</v>
      </c>
      <c r="T156">
        <f t="shared" si="35"/>
        <v>0.42546934567494521</v>
      </c>
      <c r="U156">
        <f t="shared" si="35"/>
        <v>0.45098878509279561</v>
      </c>
      <c r="V156">
        <f t="shared" si="35"/>
        <v>0.47754251053325603</v>
      </c>
      <c r="W156">
        <f t="shared" si="35"/>
        <v>0.50421810266400935</v>
      </c>
      <c r="X156">
        <f t="shared" si="35"/>
        <v>0.5305221878634403</v>
      </c>
      <c r="Y156">
        <f t="shared" si="35"/>
        <v>0.5559801898734249</v>
      </c>
      <c r="Z156">
        <f t="shared" si="35"/>
        <v>0.58034483333612075</v>
      </c>
      <c r="AA156">
        <f t="shared" si="35"/>
        <v>0.60482375165917523</v>
      </c>
      <c r="AB156">
        <f t="shared" si="35"/>
        <v>0.62845636069983102</v>
      </c>
      <c r="AC156">
        <f t="shared" si="35"/>
        <v>0.65296915595851868</v>
      </c>
    </row>
    <row r="157" spans="2:29" x14ac:dyDescent="0.25">
      <c r="B157" t="s">
        <v>487</v>
      </c>
      <c r="C157">
        <v>0</v>
      </c>
      <c r="D157">
        <f t="shared" ref="D157:AC157" si="36">(1+C157)*(1+D101)-1</f>
        <v>2.3640703022350218E-2</v>
      </c>
      <c r="E157">
        <f t="shared" si="36"/>
        <v>6.271796404939689E-2</v>
      </c>
      <c r="F157">
        <f t="shared" si="36"/>
        <v>8.9146681697602759E-2</v>
      </c>
      <c r="G157">
        <f t="shared" si="36"/>
        <v>0.10750988961051178</v>
      </c>
      <c r="H157">
        <f t="shared" si="36"/>
        <v>0.12968117710193616</v>
      </c>
      <c r="I157">
        <f t="shared" si="36"/>
        <v>0.15515373909095298</v>
      </c>
      <c r="J157">
        <f t="shared" si="36"/>
        <v>0.18029297221795204</v>
      </c>
      <c r="K157">
        <f t="shared" si="36"/>
        <v>0.20902677157833827</v>
      </c>
      <c r="L157">
        <f t="shared" si="36"/>
        <v>0.24034522295217808</v>
      </c>
      <c r="M157">
        <f t="shared" si="36"/>
        <v>0.27389183717576659</v>
      </c>
      <c r="N157">
        <f t="shared" si="36"/>
        <v>0.3096395035183086</v>
      </c>
      <c r="O157">
        <f t="shared" si="36"/>
        <v>0.33955051506672174</v>
      </c>
      <c r="P157">
        <f t="shared" si="36"/>
        <v>0.36936426307787285</v>
      </c>
      <c r="Q157">
        <f t="shared" si="36"/>
        <v>0.39942016150466486</v>
      </c>
      <c r="R157">
        <f t="shared" si="36"/>
        <v>0.42902365767428408</v>
      </c>
      <c r="S157">
        <f t="shared" si="36"/>
        <v>0.45885508917867579</v>
      </c>
      <c r="T157">
        <f t="shared" si="36"/>
        <v>0.48789976844147764</v>
      </c>
      <c r="U157">
        <f t="shared" si="36"/>
        <v>0.51779682429162244</v>
      </c>
      <c r="V157">
        <f t="shared" si="36"/>
        <v>0.54897254796154704</v>
      </c>
      <c r="W157">
        <f t="shared" si="36"/>
        <v>0.58036023425502981</v>
      </c>
      <c r="X157">
        <f t="shared" si="36"/>
        <v>0.61137796228714447</v>
      </c>
      <c r="Y157">
        <f t="shared" si="36"/>
        <v>0.6414611327908275</v>
      </c>
      <c r="Z157">
        <f t="shared" si="36"/>
        <v>0.6703099558343113</v>
      </c>
      <c r="AA157">
        <f t="shared" si="36"/>
        <v>0.69934877357298864</v>
      </c>
      <c r="AB157">
        <f t="shared" si="36"/>
        <v>0.7274359672077173</v>
      </c>
      <c r="AC157">
        <f t="shared" si="36"/>
        <v>0.75662099892951229</v>
      </c>
    </row>
    <row r="158" spans="2:29" x14ac:dyDescent="0.25">
      <c r="B158" t="s">
        <v>512</v>
      </c>
      <c r="C158">
        <v>0</v>
      </c>
      <c r="D158">
        <f t="shared" ref="D158:AC158" si="37">(1+C158)*(1+D102)-1</f>
        <v>2.5641833970829753E-2</v>
      </c>
      <c r="E158">
        <f t="shared" si="37"/>
        <v>6.8109754161498559E-2</v>
      </c>
      <c r="F158">
        <f t="shared" si="37"/>
        <v>9.6921040381103607E-2</v>
      </c>
      <c r="G158">
        <f t="shared" si="37"/>
        <v>0.11698082391232356</v>
      </c>
      <c r="H158">
        <f t="shared" si="37"/>
        <v>0.1412345078755195</v>
      </c>
      <c r="I158">
        <f t="shared" si="37"/>
        <v>0.16914582472007655</v>
      </c>
      <c r="J158">
        <f t="shared" si="37"/>
        <v>0.19674331675601398</v>
      </c>
      <c r="K158">
        <f t="shared" si="37"/>
        <v>0.22834374302200255</v>
      </c>
      <c r="L158">
        <f t="shared" si="37"/>
        <v>0.26285596935383948</v>
      </c>
      <c r="M158">
        <f t="shared" si="37"/>
        <v>0.29990259305118383</v>
      </c>
      <c r="N158">
        <f t="shared" si="37"/>
        <v>0.33946790985451014</v>
      </c>
      <c r="O158">
        <f t="shared" si="37"/>
        <v>0.37264974061849321</v>
      </c>
      <c r="P158">
        <f t="shared" si="37"/>
        <v>0.40578618528942578</v>
      </c>
      <c r="Q158">
        <f t="shared" si="37"/>
        <v>0.43925333236810093</v>
      </c>
      <c r="R158">
        <f t="shared" si="37"/>
        <v>0.47227665882489633</v>
      </c>
      <c r="S158">
        <f t="shared" si="37"/>
        <v>0.50561260596905933</v>
      </c>
      <c r="T158">
        <f t="shared" si="37"/>
        <v>0.53812555543238161</v>
      </c>
      <c r="U158">
        <f t="shared" si="37"/>
        <v>0.57164796523418415</v>
      </c>
      <c r="V158">
        <f t="shared" si="37"/>
        <v>0.60666238022053154</v>
      </c>
      <c r="W158">
        <f t="shared" si="37"/>
        <v>0.64197491588288358</v>
      </c>
      <c r="X158">
        <f t="shared" si="37"/>
        <v>0.67692989967939576</v>
      </c>
      <c r="Y158">
        <f t="shared" si="37"/>
        <v>0.71088693685683313</v>
      </c>
      <c r="Z158">
        <f t="shared" si="37"/>
        <v>0.74350119488553967</v>
      </c>
      <c r="AA158">
        <f t="shared" si="37"/>
        <v>0.77637824222557716</v>
      </c>
      <c r="AB158">
        <f t="shared" si="37"/>
        <v>0.80822388121339861</v>
      </c>
      <c r="AC158">
        <f t="shared" si="37"/>
        <v>0.841359807006822</v>
      </c>
    </row>
    <row r="159" spans="2:29" x14ac:dyDescent="0.25">
      <c r="B159" t="s">
        <v>863</v>
      </c>
      <c r="C159">
        <v>0</v>
      </c>
      <c r="D159">
        <f t="shared" ref="D159:AC159" si="38">(1+C159)*(1+D103)-1</f>
        <v>2.1062935047467368E-2</v>
      </c>
      <c r="E159">
        <f t="shared" si="38"/>
        <v>5.5791559511032318E-2</v>
      </c>
      <c r="F159">
        <f t="shared" si="38"/>
        <v>7.9185035425188177E-2</v>
      </c>
      <c r="G159">
        <f t="shared" si="38"/>
        <v>9.5396288829942888E-2</v>
      </c>
      <c r="H159">
        <f t="shared" si="38"/>
        <v>0.11493397218661294</v>
      </c>
      <c r="I159">
        <f t="shared" si="38"/>
        <v>0.13733275326551553</v>
      </c>
      <c r="J159">
        <f t="shared" si="38"/>
        <v>0.15938527631105126</v>
      </c>
      <c r="K159">
        <f t="shared" si="38"/>
        <v>0.18453246934539314</v>
      </c>
      <c r="L159">
        <f t="shared" si="38"/>
        <v>0.21187066405353949</v>
      </c>
      <c r="M159">
        <f t="shared" si="38"/>
        <v>0.24107322169336731</v>
      </c>
      <c r="N159">
        <f t="shared" si="38"/>
        <v>0.27210245516557907</v>
      </c>
      <c r="O159">
        <f t="shared" si="38"/>
        <v>0.29798815589894345</v>
      </c>
      <c r="P159">
        <f t="shared" si="38"/>
        <v>0.32372686203295631</v>
      </c>
      <c r="Q159">
        <f t="shared" si="38"/>
        <v>0.3496130206385808</v>
      </c>
      <c r="R159">
        <f t="shared" si="38"/>
        <v>0.37504983019007598</v>
      </c>
      <c r="S159">
        <f t="shared" si="38"/>
        <v>0.40062459292855079</v>
      </c>
      <c r="T159">
        <f t="shared" si="38"/>
        <v>0.42546934567494521</v>
      </c>
      <c r="U159">
        <f t="shared" si="38"/>
        <v>0.45098878509279561</v>
      </c>
      <c r="V159">
        <f t="shared" si="38"/>
        <v>0.47754251053325603</v>
      </c>
      <c r="W159">
        <f t="shared" si="38"/>
        <v>0.50421810266400935</v>
      </c>
      <c r="X159">
        <f t="shared" si="38"/>
        <v>0.5305221878634403</v>
      </c>
      <c r="Y159">
        <f t="shared" si="38"/>
        <v>0.5559801898734249</v>
      </c>
      <c r="Z159">
        <f t="shared" si="38"/>
        <v>0.58034483333612075</v>
      </c>
      <c r="AA159">
        <f t="shared" si="38"/>
        <v>0.60482375165917523</v>
      </c>
      <c r="AB159">
        <f t="shared" si="38"/>
        <v>0.62845636069983102</v>
      </c>
      <c r="AC159">
        <f t="shared" si="38"/>
        <v>0.65296915595851868</v>
      </c>
    </row>
    <row r="160" spans="2:29" x14ac:dyDescent="0.25">
      <c r="B160" t="s">
        <v>523</v>
      </c>
      <c r="C160">
        <v>0</v>
      </c>
      <c r="D160">
        <f t="shared" ref="D160:AC160" si="39">(1+C160)*(1+D104)-1</f>
        <v>3.3584466571164651E-2</v>
      </c>
      <c r="E160">
        <f t="shared" si="39"/>
        <v>8.9637692348844444E-2</v>
      </c>
      <c r="F160">
        <f t="shared" si="39"/>
        <v>0.12813392713489424</v>
      </c>
      <c r="G160">
        <f t="shared" si="39"/>
        <v>0.15515489533648497</v>
      </c>
      <c r="H160">
        <f t="shared" si="39"/>
        <v>0.18800687843254038</v>
      </c>
      <c r="I160">
        <f t="shared" si="39"/>
        <v>0.22606205644183652</v>
      </c>
      <c r="J160">
        <f t="shared" si="39"/>
        <v>0.26396760245367279</v>
      </c>
      <c r="K160">
        <f t="shared" si="39"/>
        <v>0.30768126983841726</v>
      </c>
      <c r="L160">
        <f t="shared" si="39"/>
        <v>0.35580334333885788</v>
      </c>
      <c r="M160">
        <f t="shared" si="39"/>
        <v>0.40789652507223972</v>
      </c>
      <c r="N160">
        <f t="shared" si="39"/>
        <v>0.46402250612533602</v>
      </c>
      <c r="O160">
        <f t="shared" si="39"/>
        <v>0.51152376883027895</v>
      </c>
      <c r="P160">
        <f t="shared" si="39"/>
        <v>0.55931525422999773</v>
      </c>
      <c r="Q160">
        <f t="shared" si="39"/>
        <v>0.60793612353883875</v>
      </c>
      <c r="R160">
        <f t="shared" si="39"/>
        <v>0.65625777150905562</v>
      </c>
      <c r="S160">
        <f t="shared" si="39"/>
        <v>0.70537577118262984</v>
      </c>
      <c r="T160">
        <f t="shared" si="39"/>
        <v>0.75360969422185375</v>
      </c>
      <c r="U160">
        <f t="shared" si="39"/>
        <v>0.80366680181760208</v>
      </c>
      <c r="V160">
        <f t="shared" si="39"/>
        <v>0.85629727597386074</v>
      </c>
      <c r="W160">
        <f t="shared" si="39"/>
        <v>0.90973416630071346</v>
      </c>
      <c r="X160">
        <f t="shared" si="39"/>
        <v>0.96298235946952304</v>
      </c>
      <c r="Y160">
        <f t="shared" si="39"/>
        <v>1.0150443356948853</v>
      </c>
      <c r="Z160">
        <f t="shared" si="39"/>
        <v>1.0653550136233751</v>
      </c>
      <c r="AA160">
        <f t="shared" si="39"/>
        <v>1.1163649335453445</v>
      </c>
      <c r="AB160">
        <f t="shared" si="39"/>
        <v>1.1660578459054185</v>
      </c>
      <c r="AC160">
        <f t="shared" si="39"/>
        <v>1.2180462312961517</v>
      </c>
    </row>
    <row r="161" spans="2:29" x14ac:dyDescent="0.25">
      <c r="B161" t="s">
        <v>554</v>
      </c>
      <c r="C161">
        <v>0</v>
      </c>
      <c r="D161">
        <f t="shared" ref="D161:AC161" si="40">(1+C161)*(1+D105)-1</f>
        <v>2.4726054186157365E-2</v>
      </c>
      <c r="E161">
        <f t="shared" si="40"/>
        <v>6.5640698238355055E-2</v>
      </c>
      <c r="F161">
        <f t="shared" si="40"/>
        <v>9.3358788009419102E-2</v>
      </c>
      <c r="G161">
        <f t="shared" si="40"/>
        <v>0.11263933310709806</v>
      </c>
      <c r="H161">
        <f t="shared" si="40"/>
        <v>0.13593591140668249</v>
      </c>
      <c r="I161">
        <f t="shared" si="40"/>
        <v>0.16272543522086447</v>
      </c>
      <c r="J161">
        <f t="shared" si="40"/>
        <v>0.18919116289818239</v>
      </c>
      <c r="K161">
        <f t="shared" si="40"/>
        <v>0.21947070729038165</v>
      </c>
      <c r="L161">
        <f t="shared" si="40"/>
        <v>0.25250995601574022</v>
      </c>
      <c r="M161">
        <f t="shared" si="40"/>
        <v>0.28794081912853065</v>
      </c>
      <c r="N161">
        <f t="shared" si="40"/>
        <v>0.32574200965452138</v>
      </c>
      <c r="O161">
        <f t="shared" si="40"/>
        <v>0.35741089528041381</v>
      </c>
      <c r="P161">
        <f t="shared" si="40"/>
        <v>0.38900916055514378</v>
      </c>
      <c r="Q161">
        <f t="shared" si="40"/>
        <v>0.4208959110749908</v>
      </c>
      <c r="R161">
        <f t="shared" si="40"/>
        <v>0.45233366943221709</v>
      </c>
      <c r="S161">
        <f t="shared" si="40"/>
        <v>0.48404361601735646</v>
      </c>
      <c r="T161">
        <f t="shared" si="40"/>
        <v>0.51494625188598331</v>
      </c>
      <c r="U161">
        <f t="shared" si="40"/>
        <v>0.54678429751444635</v>
      </c>
      <c r="V161">
        <f t="shared" si="40"/>
        <v>0.58001404854900085</v>
      </c>
      <c r="W161">
        <f t="shared" si="40"/>
        <v>0.61350064127707338</v>
      </c>
      <c r="X161">
        <f t="shared" si="40"/>
        <v>0.64662271062392462</v>
      </c>
      <c r="Y161">
        <f t="shared" si="40"/>
        <v>0.67877520831243254</v>
      </c>
      <c r="Z161">
        <f t="shared" si="40"/>
        <v>0.70963439475435952</v>
      </c>
      <c r="AA161">
        <f t="shared" si="40"/>
        <v>0.74072144656005134</v>
      </c>
      <c r="AB161">
        <f t="shared" si="40"/>
        <v>0.77081334138713409</v>
      </c>
      <c r="AC161">
        <f t="shared" si="40"/>
        <v>0.80210477252698076</v>
      </c>
    </row>
    <row r="162" spans="2:29" x14ac:dyDescent="0.25">
      <c r="B162" t="s">
        <v>557</v>
      </c>
      <c r="C162">
        <v>0</v>
      </c>
      <c r="D162">
        <f t="shared" ref="D162:AC162" si="41">(1+C162)*(1+D106)-1</f>
        <v>3.1173342353528311E-2</v>
      </c>
      <c r="E162">
        <f t="shared" si="41"/>
        <v>8.3080975714997063E-2</v>
      </c>
      <c r="F162">
        <f t="shared" si="41"/>
        <v>0.11859844213633486</v>
      </c>
      <c r="G162">
        <f t="shared" si="41"/>
        <v>0.14346750216793347</v>
      </c>
      <c r="H162">
        <f t="shared" si="41"/>
        <v>0.17365242767900013</v>
      </c>
      <c r="I162">
        <f t="shared" si="41"/>
        <v>0.20854871454863622</v>
      </c>
      <c r="J162">
        <f t="shared" si="41"/>
        <v>0.24323033488773005</v>
      </c>
      <c r="K162">
        <f t="shared" si="41"/>
        <v>0.28313997520878242</v>
      </c>
      <c r="L162">
        <f t="shared" si="41"/>
        <v>0.32696895669556247</v>
      </c>
      <c r="M162">
        <f t="shared" si="41"/>
        <v>0.37429387368667255</v>
      </c>
      <c r="N162">
        <f t="shared" si="41"/>
        <v>0.42514700888362977</v>
      </c>
      <c r="O162">
        <f t="shared" si="41"/>
        <v>0.46806723303244113</v>
      </c>
      <c r="P162">
        <f t="shared" si="41"/>
        <v>0.51115226384709578</v>
      </c>
      <c r="Q162">
        <f t="shared" si="41"/>
        <v>0.5548885530374259</v>
      </c>
      <c r="R162">
        <f t="shared" si="41"/>
        <v>0.59826131969534435</v>
      </c>
      <c r="S162">
        <f t="shared" si="41"/>
        <v>0.64225653487914092</v>
      </c>
      <c r="T162">
        <f t="shared" si="41"/>
        <v>0.68537054413812881</v>
      </c>
      <c r="U162">
        <f t="shared" si="41"/>
        <v>0.73002585609213222</v>
      </c>
      <c r="V162">
        <f t="shared" si="41"/>
        <v>0.77688328761994918</v>
      </c>
      <c r="W162">
        <f t="shared" si="41"/>
        <v>0.82436183977714794</v>
      </c>
      <c r="X162">
        <f t="shared" si="41"/>
        <v>0.87157769404721819</v>
      </c>
      <c r="Y162">
        <f t="shared" si="41"/>
        <v>0.91765181177066357</v>
      </c>
      <c r="Z162">
        <f t="shared" si="41"/>
        <v>0.96209346771300974</v>
      </c>
      <c r="AA162">
        <f t="shared" si="41"/>
        <v>1.0070739942384703</v>
      </c>
      <c r="AB162">
        <f t="shared" si="41"/>
        <v>1.0508173595338874</v>
      </c>
      <c r="AC162">
        <f t="shared" si="41"/>
        <v>1.0965059940400801</v>
      </c>
    </row>
    <row r="163" spans="2:29" x14ac:dyDescent="0.25">
      <c r="B163" t="s">
        <v>560</v>
      </c>
      <c r="C163">
        <v>0</v>
      </c>
      <c r="D163">
        <f t="shared" ref="D163:AC163" si="42">(1+C163)*(1+D107)-1</f>
        <v>1.8315595693449982E-2</v>
      </c>
      <c r="E163">
        <f t="shared" si="42"/>
        <v>4.8433144679054907E-2</v>
      </c>
      <c r="F163">
        <f t="shared" si="42"/>
        <v>6.8633521556979105E-2</v>
      </c>
      <c r="G163">
        <f t="shared" si="42"/>
        <v>8.2592435597468983E-2</v>
      </c>
      <c r="H163">
        <f t="shared" si="42"/>
        <v>9.9383141292564092E-2</v>
      </c>
      <c r="I163">
        <f t="shared" si="42"/>
        <v>0.11858867891646807</v>
      </c>
      <c r="J163">
        <f t="shared" si="42"/>
        <v>0.13744874966529741</v>
      </c>
      <c r="K163">
        <f t="shared" si="42"/>
        <v>0.15890212999570652</v>
      </c>
      <c r="L163">
        <f t="shared" si="42"/>
        <v>0.18216009878153328</v>
      </c>
      <c r="M163">
        <f t="shared" si="42"/>
        <v>0.20693107221248441</v>
      </c>
      <c r="N163">
        <f t="shared" si="42"/>
        <v>0.23317073623870432</v>
      </c>
      <c r="O163">
        <f t="shared" si="42"/>
        <v>0.25499116122768029</v>
      </c>
      <c r="P163">
        <f t="shared" si="42"/>
        <v>0.27663123857274297</v>
      </c>
      <c r="Q163">
        <f t="shared" si="42"/>
        <v>0.29834009031382092</v>
      </c>
      <c r="R163">
        <f t="shared" si="42"/>
        <v>0.31961873712033295</v>
      </c>
      <c r="S163">
        <f t="shared" si="42"/>
        <v>0.34096116436796042</v>
      </c>
      <c r="T163">
        <f t="shared" si="42"/>
        <v>0.36164501016910511</v>
      </c>
      <c r="U163">
        <f t="shared" si="42"/>
        <v>0.38284224964313163</v>
      </c>
      <c r="V163">
        <f t="shared" si="42"/>
        <v>0.40484800114034347</v>
      </c>
      <c r="W163">
        <f t="shared" si="42"/>
        <v>0.42690292592958401</v>
      </c>
      <c r="X163">
        <f t="shared" si="42"/>
        <v>0.44860039009414376</v>
      </c>
      <c r="Y163">
        <f t="shared" si="42"/>
        <v>0.46955287053860784</v>
      </c>
      <c r="Z163">
        <f t="shared" si="42"/>
        <v>0.4895626993063964</v>
      </c>
      <c r="AA163">
        <f t="shared" si="42"/>
        <v>0.50962595049179793</v>
      </c>
      <c r="AB163">
        <f t="shared" si="42"/>
        <v>0.52895701808734441</v>
      </c>
      <c r="AC163">
        <f t="shared" si="42"/>
        <v>0.54897010812994873</v>
      </c>
    </row>
    <row r="164" spans="2:29" x14ac:dyDescent="0.25">
      <c r="B164" t="s">
        <v>599</v>
      </c>
      <c r="C164">
        <v>0</v>
      </c>
      <c r="D164">
        <f t="shared" ref="D164:AC164" si="43">(1+C164)*(1+D108)-1</f>
        <v>1.7399815908777372E-2</v>
      </c>
      <c r="E164">
        <f t="shared" si="43"/>
        <v>4.5985756728112559E-2</v>
      </c>
      <c r="F164">
        <f t="shared" si="43"/>
        <v>6.5131318151822271E-2</v>
      </c>
      <c r="G164">
        <f t="shared" si="43"/>
        <v>7.8348826681537753E-2</v>
      </c>
      <c r="H164">
        <f t="shared" si="43"/>
        <v>9.4237470764567011E-2</v>
      </c>
      <c r="I164">
        <f t="shared" si="43"/>
        <v>0.1123973344359972</v>
      </c>
      <c r="J164">
        <f t="shared" si="43"/>
        <v>0.13021523138285773</v>
      </c>
      <c r="K164">
        <f t="shared" si="43"/>
        <v>0.15046633312274005</v>
      </c>
      <c r="L164">
        <f t="shared" si="43"/>
        <v>0.17240057062540259</v>
      </c>
      <c r="M164">
        <f t="shared" si="43"/>
        <v>0.19573871936224529</v>
      </c>
      <c r="N164">
        <f t="shared" si="43"/>
        <v>0.22043523586803593</v>
      </c>
      <c r="O164">
        <f t="shared" si="43"/>
        <v>0.24095055787398745</v>
      </c>
      <c r="P164">
        <f t="shared" si="43"/>
        <v>0.26127863152045516</v>
      </c>
      <c r="Q164">
        <f t="shared" si="43"/>
        <v>0.28165402614432056</v>
      </c>
      <c r="R164">
        <f t="shared" si="43"/>
        <v>0.30160894425570972</v>
      </c>
      <c r="S164">
        <f t="shared" si="43"/>
        <v>0.32160753835368827</v>
      </c>
      <c r="T164">
        <f t="shared" si="43"/>
        <v>0.34097359525104154</v>
      </c>
      <c r="U164">
        <f t="shared" si="43"/>
        <v>0.36080526305275784</v>
      </c>
      <c r="V164">
        <f t="shared" si="43"/>
        <v>0.38137757731306965</v>
      </c>
      <c r="W164">
        <f t="shared" si="43"/>
        <v>0.40197971335983795</v>
      </c>
      <c r="X164">
        <f t="shared" si="43"/>
        <v>0.42223227142487585</v>
      </c>
      <c r="Y164">
        <f t="shared" si="43"/>
        <v>0.44177481010937081</v>
      </c>
      <c r="Z164">
        <f t="shared" si="43"/>
        <v>0.46042482554457909</v>
      </c>
      <c r="AA164">
        <f t="shared" si="43"/>
        <v>0.4791120728955256</v>
      </c>
      <c r="AB164">
        <f t="shared" si="43"/>
        <v>0.49710538751797007</v>
      </c>
      <c r="AC164">
        <f t="shared" si="43"/>
        <v>0.51572175105256379</v>
      </c>
    </row>
    <row r="165" spans="2:29" x14ac:dyDescent="0.25">
      <c r="B165" t="s">
        <v>615</v>
      </c>
      <c r="C165">
        <v>0</v>
      </c>
      <c r="D165">
        <f t="shared" ref="D165:AC165" si="44">(1+C165)*(1+D109)-1</f>
        <v>2.041574969457538E-2</v>
      </c>
      <c r="E165">
        <f t="shared" si="44"/>
        <v>5.4055957330030102E-2</v>
      </c>
      <c r="F165">
        <f t="shared" si="44"/>
        <v>7.6693364453812807E-2</v>
      </c>
      <c r="G165">
        <f t="shared" si="44"/>
        <v>9.2370227358612889E-2</v>
      </c>
      <c r="H165">
        <f t="shared" si="44"/>
        <v>0.11125527568081295</v>
      </c>
      <c r="I165">
        <f t="shared" si="44"/>
        <v>0.1328941924334246</v>
      </c>
      <c r="J165">
        <f t="shared" si="44"/>
        <v>0.15418570586124725</v>
      </c>
      <c r="K165">
        <f t="shared" si="44"/>
        <v>0.17845090557923404</v>
      </c>
      <c r="L165">
        <f t="shared" si="44"/>
        <v>0.2048130540123636</v>
      </c>
      <c r="M165">
        <f t="shared" si="44"/>
        <v>0.23295348376683567</v>
      </c>
      <c r="N165">
        <f t="shared" si="44"/>
        <v>0.26283253329044221</v>
      </c>
      <c r="O165">
        <f t="shared" si="44"/>
        <v>0.28774002765963758</v>
      </c>
      <c r="P165">
        <f t="shared" si="44"/>
        <v>0.31249090632693033</v>
      </c>
      <c r="Q165">
        <f t="shared" si="44"/>
        <v>0.33736870636893923</v>
      </c>
      <c r="R165">
        <f t="shared" si="44"/>
        <v>0.3618002540587435</v>
      </c>
      <c r="S165">
        <f t="shared" si="44"/>
        <v>0.3863503408272182</v>
      </c>
      <c r="T165">
        <f t="shared" si="44"/>
        <v>0.41018628550822767</v>
      </c>
      <c r="U165">
        <f t="shared" si="44"/>
        <v>0.43465640997325217</v>
      </c>
      <c r="V165">
        <f t="shared" si="44"/>
        <v>0.46010453276938135</v>
      </c>
      <c r="W165">
        <f t="shared" si="44"/>
        <v>0.48565533125107407</v>
      </c>
      <c r="X165">
        <f t="shared" si="44"/>
        <v>0.510836559019334</v>
      </c>
      <c r="Y165">
        <f t="shared" si="44"/>
        <v>0.53519495104441983</v>
      </c>
      <c r="Z165">
        <f t="shared" si="44"/>
        <v>0.55849549042191149</v>
      </c>
      <c r="AA165">
        <f t="shared" si="44"/>
        <v>0.58189422420080139</v>
      </c>
      <c r="AB165">
        <f t="shared" si="44"/>
        <v>0.60447340657101867</v>
      </c>
      <c r="AC165">
        <f t="shared" si="44"/>
        <v>0.62788309751536775</v>
      </c>
    </row>
    <row r="166" spans="2:29" x14ac:dyDescent="0.25">
      <c r="B166" t="s">
        <v>602</v>
      </c>
      <c r="C166">
        <v>0</v>
      </c>
      <c r="D166">
        <f t="shared" ref="D166:AC166" si="45">(1+C166)*(1+D110)-1</f>
        <v>2.1818058312807365E-2</v>
      </c>
      <c r="E166">
        <f t="shared" si="45"/>
        <v>5.78183362609479E-2</v>
      </c>
      <c r="F166">
        <f t="shared" si="45"/>
        <v>8.2097005072764961E-2</v>
      </c>
      <c r="G166">
        <f t="shared" si="45"/>
        <v>9.8934756143391533E-2</v>
      </c>
      <c r="H166">
        <f t="shared" si="45"/>
        <v>0.11923825663402687</v>
      </c>
      <c r="I166">
        <f t="shared" si="45"/>
        <v>0.14252962437425065</v>
      </c>
      <c r="J166">
        <f t="shared" si="45"/>
        <v>0.16547712643737111</v>
      </c>
      <c r="K166">
        <f t="shared" si="45"/>
        <v>0.19166273665531186</v>
      </c>
      <c r="L166">
        <f t="shared" si="45"/>
        <v>0.22015148909991211</v>
      </c>
      <c r="M166">
        <f t="shared" si="45"/>
        <v>0.25060767966248521</v>
      </c>
      <c r="N166">
        <f t="shared" si="45"/>
        <v>0.28299626228540031</v>
      </c>
      <c r="O166">
        <f t="shared" si="45"/>
        <v>0.31003960898737537</v>
      </c>
      <c r="P166">
        <f t="shared" si="45"/>
        <v>0.3369486126787784</v>
      </c>
      <c r="Q166">
        <f t="shared" si="45"/>
        <v>0.36403063865926732</v>
      </c>
      <c r="R166">
        <f t="shared" si="45"/>
        <v>0.39066085618764501</v>
      </c>
      <c r="S166">
        <f t="shared" si="45"/>
        <v>0.4174532560819193</v>
      </c>
      <c r="T166">
        <f t="shared" si="45"/>
        <v>0.44349792775249353</v>
      </c>
      <c r="U166">
        <f t="shared" si="45"/>
        <v>0.47026658716805181</v>
      </c>
      <c r="V166">
        <f t="shared" si="45"/>
        <v>0.49813772519392052</v>
      </c>
      <c r="W166">
        <f t="shared" si="45"/>
        <v>0.52615481572923062</v>
      </c>
      <c r="X166">
        <f t="shared" si="45"/>
        <v>0.55379928093134878</v>
      </c>
      <c r="Y166">
        <f t="shared" si="45"/>
        <v>0.58057103410473254</v>
      </c>
      <c r="Z166">
        <f t="shared" si="45"/>
        <v>0.60620803540922452</v>
      </c>
      <c r="AA166">
        <f t="shared" si="45"/>
        <v>0.63197951578564604</v>
      </c>
      <c r="AB166">
        <f t="shared" si="45"/>
        <v>0.65687360490614566</v>
      </c>
      <c r="AC166">
        <f t="shared" si="45"/>
        <v>0.68270829772342512</v>
      </c>
    </row>
    <row r="167" spans="2:29" x14ac:dyDescent="0.25">
      <c r="B167" t="s">
        <v>934</v>
      </c>
      <c r="C167">
        <v>0</v>
      </c>
      <c r="D167">
        <f t="shared" ref="D167:AC167" si="46">(1+C167)*(1+D111)-1</f>
        <v>4.6386201811432493E-3</v>
      </c>
      <c r="E167">
        <f t="shared" si="46"/>
        <v>1.2163765039585828E-2</v>
      </c>
      <c r="F167">
        <f t="shared" si="46"/>
        <v>1.710274519024324E-2</v>
      </c>
      <c r="G167">
        <f t="shared" si="46"/>
        <v>2.0467515560752769E-2</v>
      </c>
      <c r="H167">
        <f t="shared" si="46"/>
        <v>2.4475914242472196E-2</v>
      </c>
      <c r="I167">
        <f t="shared" si="46"/>
        <v>2.9008509222750778E-2</v>
      </c>
      <c r="J167">
        <f t="shared" si="46"/>
        <v>3.3402504937711797E-2</v>
      </c>
      <c r="K167">
        <f t="shared" si="46"/>
        <v>3.8338800659543315E-2</v>
      </c>
      <c r="L167">
        <f t="shared" si="46"/>
        <v>4.3616344750321723E-2</v>
      </c>
      <c r="M167">
        <f t="shared" si="46"/>
        <v>4.9154631195863274E-2</v>
      </c>
      <c r="N167">
        <f t="shared" si="46"/>
        <v>5.4931374488670803E-2</v>
      </c>
      <c r="O167">
        <f t="shared" si="46"/>
        <v>5.9658879180677582E-2</v>
      </c>
      <c r="P167">
        <f t="shared" si="46"/>
        <v>6.4286438430946058E-2</v>
      </c>
      <c r="Q167">
        <f t="shared" si="46"/>
        <v>6.8869943106198761E-2</v>
      </c>
      <c r="R167">
        <f t="shared" si="46"/>
        <v>7.3306521585698059E-2</v>
      </c>
      <c r="S167">
        <f t="shared" si="46"/>
        <v>7.7702817017992087E-2</v>
      </c>
      <c r="T167">
        <f t="shared" si="46"/>
        <v>8.1912814868153161E-2</v>
      </c>
      <c r="U167">
        <f t="shared" si="46"/>
        <v>8.6178368798557337E-2</v>
      </c>
      <c r="V167">
        <f t="shared" si="46"/>
        <v>9.0555932543884055E-2</v>
      </c>
      <c r="W167">
        <f t="shared" si="46"/>
        <v>9.4891959294123307E-2</v>
      </c>
      <c r="X167">
        <f t="shared" si="46"/>
        <v>9.9108473643569894E-2</v>
      </c>
      <c r="Y167">
        <f t="shared" si="46"/>
        <v>0.10313467200030768</v>
      </c>
      <c r="Z167">
        <f t="shared" si="46"/>
        <v>0.10693879417650631</v>
      </c>
      <c r="AA167">
        <f t="shared" si="46"/>
        <v>0.11071481077861223</v>
      </c>
      <c r="AB167">
        <f t="shared" si="46"/>
        <v>0.11431691948172729</v>
      </c>
      <c r="AC167">
        <f t="shared" si="46"/>
        <v>0.11801090647873469</v>
      </c>
    </row>
    <row r="168" spans="2:29" x14ac:dyDescent="0.25">
      <c r="B168" t="s">
        <v>692</v>
      </c>
      <c r="C168">
        <v>0</v>
      </c>
      <c r="D168">
        <f t="shared" ref="D168:AC168" si="47">(1+C168)*(1+D112)-1</f>
        <v>4.3278060271854102E-3</v>
      </c>
      <c r="E168">
        <f t="shared" si="47"/>
        <v>1.1346550899770991E-2</v>
      </c>
      <c r="F168">
        <f t="shared" si="47"/>
        <v>1.5950870555710317E-2</v>
      </c>
      <c r="G168">
        <f t="shared" si="47"/>
        <v>1.908662672686634E-2</v>
      </c>
      <c r="H168">
        <f t="shared" si="47"/>
        <v>2.2821379023006738E-2</v>
      </c>
      <c r="I168">
        <f t="shared" si="47"/>
        <v>2.7043434469033123E-2</v>
      </c>
      <c r="J168">
        <f t="shared" si="47"/>
        <v>3.1135178408795205E-2</v>
      </c>
      <c r="K168">
        <f t="shared" si="47"/>
        <v>3.573060927855698E-2</v>
      </c>
      <c r="L168">
        <f t="shared" si="47"/>
        <v>4.0642159314944859E-2</v>
      </c>
      <c r="M168">
        <f t="shared" si="47"/>
        <v>4.5794622917131322E-2</v>
      </c>
      <c r="N168">
        <f t="shared" si="47"/>
        <v>5.1167030402308855E-2</v>
      </c>
      <c r="O168">
        <f t="shared" si="47"/>
        <v>5.5562026207795157E-2</v>
      </c>
      <c r="P168">
        <f t="shared" si="47"/>
        <v>5.9862820185354826E-2</v>
      </c>
      <c r="Q168">
        <f t="shared" si="47"/>
        <v>6.4121429328228619E-2</v>
      </c>
      <c r="R168">
        <f t="shared" si="47"/>
        <v>6.8242342527390143E-2</v>
      </c>
      <c r="S168">
        <f t="shared" si="47"/>
        <v>7.2324707827402746E-2</v>
      </c>
      <c r="T168">
        <f t="shared" si="47"/>
        <v>7.6233010081339758E-2</v>
      </c>
      <c r="U168">
        <f t="shared" si="47"/>
        <v>8.0191854688548947E-2</v>
      </c>
      <c r="V168">
        <f t="shared" si="47"/>
        <v>8.4253586101131317E-2</v>
      </c>
      <c r="W168">
        <f t="shared" si="47"/>
        <v>8.8275695228983819E-2</v>
      </c>
      <c r="X168">
        <f t="shared" si="47"/>
        <v>9.2185906476162538E-2</v>
      </c>
      <c r="Y168">
        <f t="shared" si="47"/>
        <v>9.5918667214750952E-2</v>
      </c>
      <c r="Z168">
        <f t="shared" si="47"/>
        <v>9.9444674623882845E-2</v>
      </c>
      <c r="AA168">
        <f t="shared" si="47"/>
        <v>0.10294382527827728</v>
      </c>
      <c r="AB168">
        <f t="shared" si="47"/>
        <v>0.1062810589713683</v>
      </c>
      <c r="AC168">
        <f t="shared" si="47"/>
        <v>0.10970267355738139</v>
      </c>
    </row>
    <row r="169" spans="2:29" x14ac:dyDescent="0.25">
      <c r="B169" t="s">
        <v>747</v>
      </c>
      <c r="C169">
        <v>0</v>
      </c>
      <c r="D169">
        <f t="shared" ref="D169:AC169" si="48">(1+C169)*(1+D113)-1</f>
        <v>2.5370189553479472E-2</v>
      </c>
      <c r="E169">
        <f t="shared" si="48"/>
        <v>6.7377084559328893E-2</v>
      </c>
      <c r="F169">
        <f t="shared" si="48"/>
        <v>9.5863596095814518E-2</v>
      </c>
      <c r="G169">
        <f t="shared" si="48"/>
        <v>0.11569173732942817</v>
      </c>
      <c r="H169">
        <f t="shared" si="48"/>
        <v>0.13966078846354879</v>
      </c>
      <c r="I169">
        <f t="shared" si="48"/>
        <v>0.16723833753307482</v>
      </c>
      <c r="J169">
        <f t="shared" si="48"/>
        <v>0.19449891838339206</v>
      </c>
      <c r="K169">
        <f t="shared" si="48"/>
        <v>0.22570593981443055</v>
      </c>
      <c r="L169">
        <f t="shared" si="48"/>
        <v>0.25977922254109309</v>
      </c>
      <c r="M169">
        <f t="shared" si="48"/>
        <v>0.29634407977593624</v>
      </c>
      <c r="N169">
        <f t="shared" si="48"/>
        <v>0.33538308605192091</v>
      </c>
      <c r="O169">
        <f t="shared" si="48"/>
        <v>0.36811327631231139</v>
      </c>
      <c r="P169">
        <f t="shared" si="48"/>
        <v>0.40079032782956747</v>
      </c>
      <c r="Q169">
        <f t="shared" si="48"/>
        <v>0.43378525573433402</v>
      </c>
      <c r="R169">
        <f t="shared" si="48"/>
        <v>0.46633460514667791</v>
      </c>
      <c r="S169">
        <f t="shared" si="48"/>
        <v>0.49918428066872922</v>
      </c>
      <c r="T169">
        <f t="shared" si="48"/>
        <v>0.53121544863427661</v>
      </c>
      <c r="U169">
        <f t="shared" si="48"/>
        <v>0.56423372310538089</v>
      </c>
      <c r="V169">
        <f t="shared" si="48"/>
        <v>0.59871377198524423</v>
      </c>
      <c r="W169">
        <f t="shared" si="48"/>
        <v>0.63347936352200973</v>
      </c>
      <c r="X169">
        <f t="shared" si="48"/>
        <v>0.66788510069218754</v>
      </c>
      <c r="Y169">
        <f t="shared" si="48"/>
        <v>0.70130119125075452</v>
      </c>
      <c r="Z169">
        <f t="shared" si="48"/>
        <v>0.73338914528126109</v>
      </c>
      <c r="AA169">
        <f t="shared" si="48"/>
        <v>0.76572923783748159</v>
      </c>
      <c r="AB169">
        <f t="shared" si="48"/>
        <v>0.7970486252504505</v>
      </c>
      <c r="AC169">
        <f t="shared" si="48"/>
        <v>0.82963089726666572</v>
      </c>
    </row>
    <row r="170" spans="2:29" x14ac:dyDescent="0.25">
      <c r="B170" t="s">
        <v>832</v>
      </c>
      <c r="C170">
        <v>0</v>
      </c>
      <c r="D170">
        <f t="shared" ref="D170:AC170" si="49">(1+C170)*(1+D114)-1</f>
        <v>2.014715526279498E-2</v>
      </c>
      <c r="E170">
        <f t="shared" si="49"/>
        <v>5.3336046070514564E-2</v>
      </c>
      <c r="F170">
        <f t="shared" si="49"/>
        <v>7.566037236588774E-2</v>
      </c>
      <c r="G170">
        <f t="shared" si="49"/>
        <v>9.1116144067690641E-2</v>
      </c>
      <c r="H170">
        <f t="shared" si="49"/>
        <v>0.10973134069845814</v>
      </c>
      <c r="I170">
        <f t="shared" si="49"/>
        <v>0.13105628633139443</v>
      </c>
      <c r="J170">
        <f t="shared" si="49"/>
        <v>0.1520335965630335</v>
      </c>
      <c r="K170">
        <f t="shared" si="49"/>
        <v>0.17593490763179442</v>
      </c>
      <c r="L170">
        <f t="shared" si="49"/>
        <v>0.20189468657668441</v>
      </c>
      <c r="M170">
        <f t="shared" si="49"/>
        <v>0.22959762758826718</v>
      </c>
      <c r="N170">
        <f t="shared" si="49"/>
        <v>0.25900332631953682</v>
      </c>
      <c r="O170">
        <f t="shared" si="49"/>
        <v>0.2835086000169007</v>
      </c>
      <c r="P170">
        <f t="shared" si="49"/>
        <v>0.30785359053083616</v>
      </c>
      <c r="Q170">
        <f t="shared" si="49"/>
        <v>0.33231735008944874</v>
      </c>
      <c r="R170">
        <f t="shared" si="49"/>
        <v>0.3563364045668298</v>
      </c>
      <c r="S170">
        <f t="shared" si="49"/>
        <v>0.38046630000241577</v>
      </c>
      <c r="T170">
        <f t="shared" si="49"/>
        <v>0.40388881821234723</v>
      </c>
      <c r="U170">
        <f t="shared" si="49"/>
        <v>0.42792916938871262</v>
      </c>
      <c r="V170">
        <f t="shared" si="49"/>
        <v>0.45292473190629345</v>
      </c>
      <c r="W170">
        <f t="shared" si="49"/>
        <v>0.47801538956226097</v>
      </c>
      <c r="X170">
        <f t="shared" si="49"/>
        <v>0.50273753702136936</v>
      </c>
      <c r="Y170">
        <f t="shared" si="49"/>
        <v>0.52664660606498015</v>
      </c>
      <c r="Z170">
        <f t="shared" si="49"/>
        <v>0.54951256180401997</v>
      </c>
      <c r="AA170">
        <f t="shared" si="49"/>
        <v>0.57247036393787676</v>
      </c>
      <c r="AB170">
        <f t="shared" si="49"/>
        <v>0.59461974735044398</v>
      </c>
      <c r="AC170">
        <f t="shared" si="49"/>
        <v>0.61757957881130343</v>
      </c>
    </row>
    <row r="171" spans="2:29" x14ac:dyDescent="0.25">
      <c r="B171" t="s">
        <v>896</v>
      </c>
      <c r="C171">
        <v>0</v>
      </c>
      <c r="D171">
        <f t="shared" ref="D171:AC171" si="50">(1+C171)*(1+D115)-1</f>
        <v>1.9296169387474249E-2</v>
      </c>
      <c r="E171">
        <f t="shared" si="50"/>
        <v>5.1056694706913097E-2</v>
      </c>
      <c r="F171">
        <f t="shared" si="50"/>
        <v>7.2391806731300523E-2</v>
      </c>
      <c r="G171">
        <f t="shared" si="50"/>
        <v>8.7149768518950843E-2</v>
      </c>
      <c r="H171">
        <f t="shared" si="50"/>
        <v>0.10491387605915903</v>
      </c>
      <c r="I171">
        <f t="shared" si="50"/>
        <v>0.12524942397548555</v>
      </c>
      <c r="J171">
        <f t="shared" si="50"/>
        <v>0.14523753494820202</v>
      </c>
      <c r="K171">
        <f t="shared" si="50"/>
        <v>0.16799424743874281</v>
      </c>
      <c r="L171">
        <f t="shared" si="50"/>
        <v>0.19268963127683292</v>
      </c>
      <c r="M171">
        <f t="shared" si="50"/>
        <v>0.21901923212213803</v>
      </c>
      <c r="N171">
        <f t="shared" si="50"/>
        <v>0.2469405822001276</v>
      </c>
      <c r="O171">
        <f t="shared" si="50"/>
        <v>0.27018591717578078</v>
      </c>
      <c r="P171">
        <f t="shared" si="50"/>
        <v>0.29326058668777177</v>
      </c>
      <c r="Q171">
        <f t="shared" si="50"/>
        <v>0.31642959697570539</v>
      </c>
      <c r="R171">
        <f t="shared" si="50"/>
        <v>0.33915979561546261</v>
      </c>
      <c r="S171">
        <f t="shared" si="50"/>
        <v>0.36197780704606108</v>
      </c>
      <c r="T171">
        <f t="shared" si="50"/>
        <v>0.38411054676078771</v>
      </c>
      <c r="U171">
        <f t="shared" si="50"/>
        <v>0.40681108946127575</v>
      </c>
      <c r="V171">
        <f t="shared" si="50"/>
        <v>0.43039682377946176</v>
      </c>
      <c r="W171">
        <f t="shared" si="50"/>
        <v>0.45405508567011776</v>
      </c>
      <c r="X171">
        <f t="shared" si="50"/>
        <v>0.47734916046820741</v>
      </c>
      <c r="Y171">
        <f t="shared" si="50"/>
        <v>0.49986146995487846</v>
      </c>
      <c r="Z171">
        <f t="shared" si="50"/>
        <v>0.52137736217629649</v>
      </c>
      <c r="AA171">
        <f t="shared" si="50"/>
        <v>0.54296621304880421</v>
      </c>
      <c r="AB171">
        <f t="shared" si="50"/>
        <v>0.56378200591342398</v>
      </c>
      <c r="AC171">
        <f t="shared" si="50"/>
        <v>0.58534679122086342</v>
      </c>
    </row>
    <row r="172" spans="2:29" x14ac:dyDescent="0.25">
      <c r="B172" t="s">
        <v>929</v>
      </c>
      <c r="C172">
        <v>0</v>
      </c>
      <c r="D172">
        <f t="shared" ref="D172:AC172" si="51">(1+C172)*(1+D116)-1</f>
        <v>1.6484036124104984E-2</v>
      </c>
      <c r="E172">
        <f t="shared" si="51"/>
        <v>4.3541077273695716E-2</v>
      </c>
      <c r="F172">
        <f t="shared" si="51"/>
        <v>6.1636585642499631E-2</v>
      </c>
      <c r="G172">
        <f t="shared" si="51"/>
        <v>7.4117351207169779E-2</v>
      </c>
      <c r="H172">
        <f t="shared" si="51"/>
        <v>8.9110684764451831E-2</v>
      </c>
      <c r="I172">
        <f t="shared" si="51"/>
        <v>0.10623416055963486</v>
      </c>
      <c r="J172">
        <f t="shared" si="51"/>
        <v>0.12302075015557357</v>
      </c>
      <c r="K172">
        <f t="shared" si="51"/>
        <v>0.14208387906683795</v>
      </c>
      <c r="L172">
        <f t="shared" si="51"/>
        <v>0.16271227854109527</v>
      </c>
      <c r="M172">
        <f t="shared" si="51"/>
        <v>0.18463939610354863</v>
      </c>
      <c r="N172">
        <f t="shared" si="51"/>
        <v>0.20781891846028011</v>
      </c>
      <c r="O172">
        <f t="shared" si="51"/>
        <v>0.22705357040460306</v>
      </c>
      <c r="P172">
        <f t="shared" si="51"/>
        <v>0.24609607962012925</v>
      </c>
      <c r="Q172">
        <f t="shared" si="51"/>
        <v>0.26516672649703721</v>
      </c>
      <c r="R172">
        <f t="shared" si="51"/>
        <v>0.28382819471541199</v>
      </c>
      <c r="S172">
        <f t="shared" si="51"/>
        <v>0.3025154171426736</v>
      </c>
      <c r="T172">
        <f t="shared" si="51"/>
        <v>0.32059716766752344</v>
      </c>
      <c r="U172">
        <f t="shared" si="51"/>
        <v>0.33909957672600788</v>
      </c>
      <c r="V172">
        <f t="shared" si="51"/>
        <v>0.35827826704354249</v>
      </c>
      <c r="W172">
        <f t="shared" si="51"/>
        <v>0.37746970447903005</v>
      </c>
      <c r="X172">
        <f t="shared" si="51"/>
        <v>0.39632090949573207</v>
      </c>
      <c r="Y172">
        <f t="shared" si="51"/>
        <v>0.41449759098458205</v>
      </c>
      <c r="Z172">
        <f t="shared" si="51"/>
        <v>0.43183175407591023</v>
      </c>
      <c r="AA172">
        <f t="shared" si="51"/>
        <v>0.44918884829931671</v>
      </c>
      <c r="AB172">
        <f t="shared" si="51"/>
        <v>0.46589029067877097</v>
      </c>
      <c r="AC172">
        <f t="shared" si="51"/>
        <v>0.48315911814062451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2"/>
  <sheetViews>
    <sheetView workbookViewId="0"/>
  </sheetViews>
  <sheetFormatPr defaultRowHeight="15" x14ac:dyDescent="0.25"/>
  <cols>
    <col min="1" max="1" width="80" customWidth="1"/>
  </cols>
  <sheetData>
    <row r="1" spans="1:29" x14ac:dyDescent="0.25">
      <c r="A1" s="1" t="s">
        <v>1230</v>
      </c>
    </row>
    <row r="3" spans="1:29" x14ac:dyDescent="0.25">
      <c r="A3" t="s">
        <v>1231</v>
      </c>
    </row>
    <row r="4" spans="1:29" x14ac:dyDescent="0.25">
      <c r="A4" t="s">
        <v>1232</v>
      </c>
      <c r="B4">
        <f>MAX(D7:AC7)</f>
        <v>0</v>
      </c>
      <c r="C4" s="1" t="str">
        <f>IF(B4&lt;0.000000001,"PASS","FAIL")</f>
        <v>PASS</v>
      </c>
    </row>
    <row r="5" spans="1:29" x14ac:dyDescent="0.25">
      <c r="A5" t="s">
        <v>1216</v>
      </c>
      <c r="D5" s="1">
        <v>2025</v>
      </c>
      <c r="E5" s="1">
        <v>2026</v>
      </c>
      <c r="F5" s="1">
        <v>2027</v>
      </c>
      <c r="G5" s="1">
        <v>2028</v>
      </c>
      <c r="H5" s="1">
        <v>2029</v>
      </c>
      <c r="I5" s="1">
        <v>2030</v>
      </c>
      <c r="J5" s="1">
        <v>2031</v>
      </c>
      <c r="K5" s="1">
        <v>2032</v>
      </c>
      <c r="L5" s="1">
        <v>2033</v>
      </c>
      <c r="M5" s="1">
        <v>2034</v>
      </c>
      <c r="N5" s="1">
        <v>2035</v>
      </c>
      <c r="O5" s="1">
        <v>2036</v>
      </c>
      <c r="P5" s="1">
        <v>2037</v>
      </c>
      <c r="Q5" s="1">
        <v>2038</v>
      </c>
      <c r="R5" s="1">
        <v>2039</v>
      </c>
      <c r="S5" s="1">
        <v>2040</v>
      </c>
      <c r="T5" s="1">
        <v>2041</v>
      </c>
      <c r="U5" s="1">
        <v>2042</v>
      </c>
      <c r="V5" s="1">
        <v>2043</v>
      </c>
      <c r="W5" s="1">
        <v>2044</v>
      </c>
      <c r="X5" s="1">
        <v>2045</v>
      </c>
      <c r="Y5" s="1">
        <v>2046</v>
      </c>
      <c r="Z5" s="1">
        <v>2047</v>
      </c>
      <c r="AA5" s="1">
        <v>2048</v>
      </c>
      <c r="AB5" s="1">
        <v>2049</v>
      </c>
      <c r="AC5" s="1">
        <v>2050</v>
      </c>
    </row>
    <row r="6" spans="1:29" x14ac:dyDescent="0.25">
      <c r="A6" t="s">
        <v>1233</v>
      </c>
      <c r="D6">
        <f>SUM('Rescale to Fit GDP Proj'!D9:D60)/'Rescale to Fit GDP Proj'!D4-1</f>
        <v>0</v>
      </c>
      <c r="E6">
        <f>SUM('Rescale to Fit GDP Proj'!E9:E60)/'Rescale to Fit GDP Proj'!E4-1</f>
        <v>0</v>
      </c>
      <c r="F6">
        <f>SUM('Rescale to Fit GDP Proj'!F9:F60)/'Rescale to Fit GDP Proj'!F4-1</f>
        <v>0</v>
      </c>
      <c r="G6">
        <f>SUM('Rescale to Fit GDP Proj'!G9:G60)/'Rescale to Fit GDP Proj'!G4-1</f>
        <v>0</v>
      </c>
      <c r="H6">
        <f>SUM('Rescale to Fit GDP Proj'!H9:H60)/'Rescale to Fit GDP Proj'!H4-1</f>
        <v>0</v>
      </c>
      <c r="I6">
        <f>SUM('Rescale to Fit GDP Proj'!I9:I60)/'Rescale to Fit GDP Proj'!I4-1</f>
        <v>0</v>
      </c>
      <c r="J6">
        <f>SUM('Rescale to Fit GDP Proj'!J9:J60)/'Rescale to Fit GDP Proj'!J4-1</f>
        <v>0</v>
      </c>
      <c r="K6">
        <f>SUM('Rescale to Fit GDP Proj'!K9:K60)/'Rescale to Fit GDP Proj'!K4-1</f>
        <v>0</v>
      </c>
      <c r="L6">
        <f>SUM('Rescale to Fit GDP Proj'!L9:L60)/'Rescale to Fit GDP Proj'!L4-1</f>
        <v>0</v>
      </c>
      <c r="M6">
        <f>SUM('Rescale to Fit GDP Proj'!M9:M60)/'Rescale to Fit GDP Proj'!M4-1</f>
        <v>0</v>
      </c>
      <c r="N6">
        <f>SUM('Rescale to Fit GDP Proj'!N9:N60)/'Rescale to Fit GDP Proj'!N4-1</f>
        <v>0</v>
      </c>
      <c r="O6">
        <f>SUM('Rescale to Fit GDP Proj'!O9:O60)/'Rescale to Fit GDP Proj'!O4-1</f>
        <v>0</v>
      </c>
      <c r="P6">
        <f>SUM('Rescale to Fit GDP Proj'!P9:P60)/'Rescale to Fit GDP Proj'!P4-1</f>
        <v>0</v>
      </c>
      <c r="Q6">
        <f>SUM('Rescale to Fit GDP Proj'!Q9:Q60)/'Rescale to Fit GDP Proj'!Q4-1</f>
        <v>0</v>
      </c>
      <c r="R6">
        <f>SUM('Rescale to Fit GDP Proj'!R9:R60)/'Rescale to Fit GDP Proj'!R4-1</f>
        <v>0</v>
      </c>
      <c r="S6">
        <f>SUM('Rescale to Fit GDP Proj'!S9:S60)/'Rescale to Fit GDP Proj'!S4-1</f>
        <v>0</v>
      </c>
      <c r="T6">
        <f>SUM('Rescale to Fit GDP Proj'!T9:T60)/'Rescale to Fit GDP Proj'!T4-1</f>
        <v>0</v>
      </c>
      <c r="U6">
        <f>SUM('Rescale to Fit GDP Proj'!U9:U60)/'Rescale to Fit GDP Proj'!U4-1</f>
        <v>0</v>
      </c>
      <c r="V6">
        <f>SUM('Rescale to Fit GDP Proj'!V9:V60)/'Rescale to Fit GDP Proj'!V4-1</f>
        <v>0</v>
      </c>
      <c r="W6">
        <f>SUM('Rescale to Fit GDP Proj'!W9:W60)/'Rescale to Fit GDP Proj'!W4-1</f>
        <v>0</v>
      </c>
      <c r="X6">
        <f>SUM('Rescale to Fit GDP Proj'!X9:X60)/'Rescale to Fit GDP Proj'!X4-1</f>
        <v>0</v>
      </c>
      <c r="Y6">
        <f>SUM('Rescale to Fit GDP Proj'!Y9:Y60)/'Rescale to Fit GDP Proj'!Y4-1</f>
        <v>0</v>
      </c>
      <c r="Z6">
        <f>SUM('Rescale to Fit GDP Proj'!Z9:Z60)/'Rescale to Fit GDP Proj'!Z4-1</f>
        <v>0</v>
      </c>
      <c r="AA6">
        <f>SUM('Rescale to Fit GDP Proj'!AA9:AA60)/'Rescale to Fit GDP Proj'!AA4-1</f>
        <v>0</v>
      </c>
      <c r="AB6">
        <f>SUM('Rescale to Fit GDP Proj'!AB9:AB60)/'Rescale to Fit GDP Proj'!AB4-1</f>
        <v>0</v>
      </c>
      <c r="AC6">
        <f>SUM('Rescale to Fit GDP Proj'!AC9:AC60)/'Rescale to Fit GDP Proj'!AC4-1</f>
        <v>0</v>
      </c>
    </row>
    <row r="7" spans="1:29" x14ac:dyDescent="0.25">
      <c r="A7" t="s">
        <v>1234</v>
      </c>
      <c r="D7">
        <f t="shared" ref="D7:AC7" si="0">ABS(D6)</f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si="0"/>
        <v>0</v>
      </c>
    </row>
    <row r="8" spans="1:29" x14ac:dyDescent="0.25">
      <c r="A8" t="s">
        <v>1235</v>
      </c>
    </row>
    <row r="9" spans="1:29" x14ac:dyDescent="0.25">
      <c r="A9" t="s">
        <v>1236</v>
      </c>
      <c r="B9">
        <f>MIN('Rescale to Fit GDP Proj'!D5:AC5)</f>
        <v>0.64026017800133572</v>
      </c>
      <c r="C9">
        <f>MAX('Rescale to Fit GDP Proj'!D5:AC5)</f>
        <v>1.4787924840282662</v>
      </c>
    </row>
    <row r="11" spans="1:29" x14ac:dyDescent="0.25">
      <c r="A11" t="s">
        <v>1237</v>
      </c>
    </row>
    <row r="12" spans="1:29" x14ac:dyDescent="0.25">
      <c r="B12">
        <f>SUMPRODUCT(--(COUNTIF('BLS Table 2.11'!$L$1:$L$426,'Rescale to Fit GDP Proj'!B65:B116)+COUNTIF('AEO 2026 Table 23 '!$B$1:$B$47,"*,"&amp;'Rescale to Fit GDP Proj'!B65:B116&amp;",*")=0))</f>
        <v>0</v>
      </c>
      <c r="C12" s="1" t="str">
        <f>IF(B12=0,"PASS","FAIL")</f>
        <v>PASS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3864"/>
  </sheetPr>
  <dimension ref="A1:AB53"/>
  <sheetViews>
    <sheetView workbookViewId="0">
      <pane xSplit="1" ySplit="1" topLeftCell="B23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28" x14ac:dyDescent="0.25">
      <c r="A1" t="s">
        <v>1238</v>
      </c>
      <c r="B1" s="1" t="s">
        <v>1239</v>
      </c>
      <c r="C1" s="1" t="s">
        <v>1240</v>
      </c>
      <c r="D1" s="1" t="s">
        <v>1241</v>
      </c>
      <c r="E1" s="1" t="s">
        <v>1242</v>
      </c>
      <c r="F1" s="1" t="s">
        <v>1243</v>
      </c>
      <c r="G1" s="1" t="s">
        <v>1244</v>
      </c>
      <c r="H1" s="1" t="s">
        <v>1245</v>
      </c>
      <c r="I1" s="1" t="s">
        <v>1246</v>
      </c>
      <c r="J1" s="1" t="s">
        <v>1247</v>
      </c>
      <c r="K1" s="1" t="s">
        <v>1248</v>
      </c>
      <c r="L1" s="1" t="s">
        <v>1249</v>
      </c>
      <c r="M1" s="1" t="s">
        <v>1250</v>
      </c>
      <c r="N1" s="1" t="s">
        <v>1251</v>
      </c>
      <c r="O1" s="1" t="s">
        <v>1252</v>
      </c>
      <c r="P1" s="1" t="s">
        <v>1253</v>
      </c>
      <c r="Q1" s="1" t="s">
        <v>1254</v>
      </c>
      <c r="R1" s="1" t="s">
        <v>1255</v>
      </c>
      <c r="S1" s="1" t="s">
        <v>1256</v>
      </c>
      <c r="T1" s="1" t="s">
        <v>1257</v>
      </c>
      <c r="U1" s="1" t="s">
        <v>1258</v>
      </c>
      <c r="V1" s="1" t="s">
        <v>1259</v>
      </c>
      <c r="W1" s="1" t="s">
        <v>1260</v>
      </c>
      <c r="X1" s="1" t="s">
        <v>1261</v>
      </c>
      <c r="Y1" s="1" t="s">
        <v>1262</v>
      </c>
      <c r="Z1" s="1" t="s">
        <v>1263</v>
      </c>
      <c r="AA1" s="1" t="s">
        <v>1264</v>
      </c>
      <c r="AB1" s="1" t="s">
        <v>1265</v>
      </c>
    </row>
    <row r="2" spans="1:28" x14ac:dyDescent="0.25">
      <c r="A2" t="s">
        <v>58</v>
      </c>
      <c r="B2">
        <f>(1+'Rescale to Fit GDP Proj'!C121)/(1+'Rescale to Fit GDP Proj'!$D$121)-1</f>
        <v>0.1101815713286447</v>
      </c>
      <c r="C2">
        <f>(1+'Rescale to Fit GDP Proj'!D121)/(1+'Rescale to Fit GDP Proj'!$D$121)-1</f>
        <v>0</v>
      </c>
      <c r="D2">
        <f>(1+'Rescale to Fit GDP Proj'!E121)/(1+'Rescale to Fit GDP Proj'!$D$121)-1</f>
        <v>2.4221655673883902E-3</v>
      </c>
      <c r="E2">
        <f>(1+'Rescale to Fit GDP Proj'!F121)/(1+'Rescale to Fit GDP Proj'!$D$121)-1</f>
        <v>1.6535264029764685E-2</v>
      </c>
      <c r="F2">
        <f>(1+'Rescale to Fit GDP Proj'!G121)/(1+'Rescale to Fit GDP Proj'!$D$121)-1</f>
        <v>3.6898320563633735E-2</v>
      </c>
      <c r="G2">
        <f>(1+'Rescale to Fit GDP Proj'!H121)/(1+'Rescale to Fit GDP Proj'!$D$121)-1</f>
        <v>5.0590267259021937E-2</v>
      </c>
      <c r="H2">
        <f>(1+'Rescale to Fit GDP Proj'!I121)/(1+'Rescale to Fit GDP Proj'!$D$121)-1</f>
        <v>6.4043217342200753E-2</v>
      </c>
      <c r="I2">
        <f>(1+'Rescale to Fit GDP Proj'!J121)/(1+'Rescale to Fit GDP Proj'!$D$121)-1</f>
        <v>7.7269114771729042E-2</v>
      </c>
      <c r="J2">
        <f>(1+'Rescale to Fit GDP Proj'!K121)/(1+'Rescale to Fit GDP Proj'!$D$121)-1</f>
        <v>9.0730677196942944E-2</v>
      </c>
      <c r="K2">
        <f>(1+'Rescale to Fit GDP Proj'!L121)/(1+'Rescale to Fit GDP Proj'!$D$121)-1</f>
        <v>9.8080550847704062E-2</v>
      </c>
      <c r="L2">
        <f>(1+'Rescale to Fit GDP Proj'!M121)/(1+'Rescale to Fit GDP Proj'!$D$121)-1</f>
        <v>0.11253897332015117</v>
      </c>
      <c r="M2">
        <f>(1+'Rescale to Fit GDP Proj'!N121)/(1+'Rescale to Fit GDP Proj'!$D$121)-1</f>
        <v>0.12850230572587895</v>
      </c>
      <c r="N2">
        <f>(1+'Rescale to Fit GDP Proj'!O121)/(1+'Rescale to Fit GDP Proj'!$D$121)-1</f>
        <v>0.14444991751683967</v>
      </c>
      <c r="O2">
        <f>(1+'Rescale to Fit GDP Proj'!P121)/(1+'Rescale to Fit GDP Proj'!$D$121)-1</f>
        <v>0.15993185914981889</v>
      </c>
      <c r="P2">
        <f>(1+'Rescale to Fit GDP Proj'!Q121)/(1+'Rescale to Fit GDP Proj'!$D$121)-1</f>
        <v>0.17631194443491616</v>
      </c>
      <c r="Q2">
        <f>(1+'Rescale to Fit GDP Proj'!R121)/(1+'Rescale to Fit GDP Proj'!$D$121)-1</f>
        <v>0.19321114378709692</v>
      </c>
      <c r="R2">
        <f>(1+'Rescale to Fit GDP Proj'!S121)/(1+'Rescale to Fit GDP Proj'!$D$121)-1</f>
        <v>0.20752394144550257</v>
      </c>
      <c r="S2">
        <f>(1+'Rescale to Fit GDP Proj'!T121)/(1+'Rescale to Fit GDP Proj'!$D$121)-1</f>
        <v>0.22109038488960397</v>
      </c>
      <c r="T2">
        <f>(1+'Rescale to Fit GDP Proj'!U121)/(1+'Rescale to Fit GDP Proj'!$D$121)-1</f>
        <v>0.2362112839581143</v>
      </c>
      <c r="U2">
        <f>(1+'Rescale to Fit GDP Proj'!V121)/(1+'Rescale to Fit GDP Proj'!$D$121)-1</f>
        <v>0.25051175855008179</v>
      </c>
      <c r="V2">
        <f>(1+'Rescale to Fit GDP Proj'!W121)/(1+'Rescale to Fit GDP Proj'!$D$121)-1</f>
        <v>0.26608198080965839</v>
      </c>
      <c r="W2">
        <f>(1+'Rescale to Fit GDP Proj'!X121)/(1+'Rescale to Fit GDP Proj'!$D$121)-1</f>
        <v>0.28377783828302938</v>
      </c>
      <c r="X2">
        <f>(1+'Rescale to Fit GDP Proj'!Y121)/(1+'Rescale to Fit GDP Proj'!$D$121)-1</f>
        <v>0.30236743640016206</v>
      </c>
      <c r="Y2">
        <f>(1+'Rescale to Fit GDP Proj'!Z121)/(1+'Rescale to Fit GDP Proj'!$D$121)-1</f>
        <v>0.32112315588123197</v>
      </c>
      <c r="Z2">
        <f>(1+'Rescale to Fit GDP Proj'!AA121)/(1+'Rescale to Fit GDP Proj'!$D$121)-1</f>
        <v>0.34014635657466341</v>
      </c>
      <c r="AA2">
        <f>(1+'Rescale to Fit GDP Proj'!AB121)/(1+'Rescale to Fit GDP Proj'!$D$121)-1</f>
        <v>0.3590363832633634</v>
      </c>
      <c r="AB2">
        <f>(1+'Rescale to Fit GDP Proj'!AC121)/(1+'Rescale to Fit GDP Proj'!$D$121)-1</f>
        <v>0.37808624513046252</v>
      </c>
    </row>
    <row r="3" spans="1:28" x14ac:dyDescent="0.25">
      <c r="A3" t="s">
        <v>65</v>
      </c>
      <c r="B3">
        <f>(1+'Rescale to Fit GDP Proj'!C122)/(1+'Rescale to Fit GDP Proj'!$D$122)-1</f>
        <v>-1.444088187170478E-2</v>
      </c>
      <c r="C3">
        <f>(1+'Rescale to Fit GDP Proj'!D122)/(1+'Rescale to Fit GDP Proj'!$D$122)-1</f>
        <v>0</v>
      </c>
      <c r="D3">
        <f>(1+'Rescale to Fit GDP Proj'!E122)/(1+'Rescale to Fit GDP Proj'!$D$122)-1</f>
        <v>2.3660679744452295E-2</v>
      </c>
      <c r="E3">
        <f>(1+'Rescale to Fit GDP Proj'!F122)/(1+'Rescale to Fit GDP Proj'!$D$122)-1</f>
        <v>3.9439144308183849E-2</v>
      </c>
      <c r="F3">
        <f>(1+'Rescale to Fit GDP Proj'!G122)/(1+'Rescale to Fit GDP Proj'!$D$122)-1</f>
        <v>5.0301196731602715E-2</v>
      </c>
      <c r="G3">
        <f>(1+'Rescale to Fit GDP Proj'!H122)/(1+'Rescale to Fit GDP Proj'!$D$122)-1</f>
        <v>6.3333098825612E-2</v>
      </c>
      <c r="H3">
        <f>(1+'Rescale to Fit GDP Proj'!I122)/(1+'Rescale to Fit GDP Proj'!$D$122)-1</f>
        <v>7.8193711523184994E-2</v>
      </c>
      <c r="I3">
        <f>(1+'Rescale to Fit GDP Proj'!J122)/(1+'Rescale to Fit GDP Proj'!$D$122)-1</f>
        <v>9.2736901572251007E-2</v>
      </c>
      <c r="J3">
        <f>(1+'Rescale to Fit GDP Proj'!K122)/(1+'Rescale to Fit GDP Proj'!$D$122)-1</f>
        <v>0.10922495897784446</v>
      </c>
      <c r="K3">
        <f>(1+'Rescale to Fit GDP Proj'!L122)/(1+'Rescale to Fit GDP Proj'!$D$122)-1</f>
        <v>0.12703375839559161</v>
      </c>
      <c r="L3">
        <f>(1+'Rescale to Fit GDP Proj'!M122)/(1+'Rescale to Fit GDP Proj'!$D$122)-1</f>
        <v>0.1459264436173493</v>
      </c>
      <c r="M3">
        <f>(1+'Rescale to Fit GDP Proj'!N122)/(1+'Rescale to Fit GDP Proj'!$D$122)-1</f>
        <v>0.16585714260857487</v>
      </c>
      <c r="N3">
        <f>(1+'Rescale to Fit GDP Proj'!O122)/(1+'Rescale to Fit GDP Proj'!$D$122)-1</f>
        <v>0.18236061456461283</v>
      </c>
      <c r="O3">
        <f>(1+'Rescale to Fit GDP Proj'!P122)/(1+'Rescale to Fit GDP Proj'!$D$122)-1</f>
        <v>0.19867076937010442</v>
      </c>
      <c r="P3">
        <f>(1+'Rescale to Fit GDP Proj'!Q122)/(1+'Rescale to Fit GDP Proj'!$D$122)-1</f>
        <v>0.2149772893626507</v>
      </c>
      <c r="Q3">
        <f>(1+'Rescale to Fit GDP Proj'!R122)/(1+'Rescale to Fit GDP Proj'!$D$122)-1</f>
        <v>0.23090721269238923</v>
      </c>
      <c r="R3">
        <f>(1+'Rescale to Fit GDP Proj'!S122)/(1+'Rescale to Fit GDP Proj'!$D$122)-1</f>
        <v>0.2468333567499037</v>
      </c>
      <c r="S3">
        <f>(1+'Rescale to Fit GDP Proj'!T122)/(1+'Rescale to Fit GDP Proj'!$D$122)-1</f>
        <v>0.26221892320835916</v>
      </c>
      <c r="T3">
        <f>(1+'Rescale to Fit GDP Proj'!U122)/(1+'Rescale to Fit GDP Proj'!$D$122)-1</f>
        <v>0.27793847218570811</v>
      </c>
      <c r="U3">
        <f>(1+'Rescale to Fit GDP Proj'!V122)/(1+'Rescale to Fit GDP Proj'!$D$122)-1</f>
        <v>0.2942075709668035</v>
      </c>
      <c r="V3">
        <f>(1+'Rescale to Fit GDP Proj'!W122)/(1+'Rescale to Fit GDP Proj'!$D$122)-1</f>
        <v>0.31046194189727827</v>
      </c>
      <c r="W3">
        <f>(1+'Rescale to Fit GDP Proj'!X122)/(1+'Rescale to Fit GDP Proj'!$D$122)-1</f>
        <v>0.32640343336478628</v>
      </c>
      <c r="X3">
        <f>(1+'Rescale to Fit GDP Proj'!Y122)/(1+'Rescale to Fit GDP Proj'!$D$122)-1</f>
        <v>0.34175145739630808</v>
      </c>
      <c r="Y3">
        <f>(1+'Rescale to Fit GDP Proj'!Z122)/(1+'Rescale to Fit GDP Proj'!$D$122)-1</f>
        <v>0.35636717756517333</v>
      </c>
      <c r="Z3">
        <f>(1+'Rescale to Fit GDP Proj'!AA122)/(1+'Rescale to Fit GDP Proj'!$D$122)-1</f>
        <v>0.37098254643594064</v>
      </c>
      <c r="AA3">
        <f>(1+'Rescale to Fit GDP Proj'!AB122)/(1+'Rescale to Fit GDP Proj'!$D$122)-1</f>
        <v>0.38502711490342545</v>
      </c>
      <c r="AB3">
        <f>(1+'Rescale to Fit GDP Proj'!AC122)/(1+'Rescale to Fit GDP Proj'!$D$122)-1</f>
        <v>0.39953042508630343</v>
      </c>
    </row>
    <row r="4" spans="1:28" x14ac:dyDescent="0.25">
      <c r="A4" t="s">
        <v>70</v>
      </c>
      <c r="B4">
        <f>(1+'Rescale to Fit GDP Proj'!C123)/(1+'Rescale to Fit GDP Proj'!$D$123)-1</f>
        <v>-1.3550556879172393E-2</v>
      </c>
      <c r="C4">
        <f>(1+'Rescale to Fit GDP Proj'!D123)/(1+'Rescale to Fit GDP Proj'!$D$123)-1</f>
        <v>0</v>
      </c>
      <c r="D4">
        <f>(1+'Rescale to Fit GDP Proj'!E123)/(1+'Rescale to Fit GDP Proj'!$D$123)-1</f>
        <v>2.2181887260424027E-2</v>
      </c>
      <c r="E4">
        <f>(1+'Rescale to Fit GDP Proj'!F123)/(1+'Rescale to Fit GDP Proj'!$D$123)-1</f>
        <v>3.6952828639883029E-2</v>
      </c>
      <c r="F4">
        <f>(1+'Rescale to Fit GDP Proj'!G123)/(1+'Rescale to Fit GDP Proj'!$D$123)-1</f>
        <v>4.7111644857301682E-2</v>
      </c>
      <c r="G4">
        <f>(1+'Rescale to Fit GDP Proj'!H123)/(1+'Rescale to Fit GDP Proj'!$D$123)-1</f>
        <v>5.9291951277743449E-2</v>
      </c>
      <c r="H4">
        <f>(1+'Rescale to Fit GDP Proj'!I123)/(1+'Rescale to Fit GDP Proj'!$D$123)-1</f>
        <v>7.3170828436786683E-2</v>
      </c>
      <c r="I4">
        <f>(1+'Rescale to Fit GDP Proj'!J123)/(1+'Rescale to Fit GDP Proj'!$D$123)-1</f>
        <v>8.6741552509488118E-2</v>
      </c>
      <c r="J4">
        <f>(1+'Rescale to Fit GDP Proj'!K123)/(1+'Rescale to Fit GDP Proj'!$D$123)-1</f>
        <v>0.10211429777847658</v>
      </c>
      <c r="K4">
        <f>(1+'Rescale to Fit GDP Proj'!L123)/(1+'Rescale to Fit GDP Proj'!$D$123)-1</f>
        <v>0.11870301951305473</v>
      </c>
      <c r="L4">
        <f>(1+'Rescale to Fit GDP Proj'!M123)/(1+'Rescale to Fit GDP Proj'!$D$123)-1</f>
        <v>0.13628399023058613</v>
      </c>
      <c r="M4">
        <f>(1+'Rescale to Fit GDP Proj'!N123)/(1+'Rescale to Fit GDP Proj'!$D$123)-1</f>
        <v>0.15481179444522519</v>
      </c>
      <c r="N4">
        <f>(1+'Rescale to Fit GDP Proj'!O123)/(1+'Rescale to Fit GDP Proj'!$D$123)-1</f>
        <v>0.17013721739553889</v>
      </c>
      <c r="O4">
        <f>(1+'Rescale to Fit GDP Proj'!P123)/(1+'Rescale to Fit GDP Proj'!$D$123)-1</f>
        <v>0.18526990956366851</v>
      </c>
      <c r="P4">
        <f>(1+'Rescale to Fit GDP Proj'!Q123)/(1+'Rescale to Fit GDP Proj'!$D$123)-1</f>
        <v>0.20038636290730105</v>
      </c>
      <c r="Q4">
        <f>(1+'Rescale to Fit GDP Proj'!R123)/(1+'Rescale to Fit GDP Proj'!$D$123)-1</f>
        <v>0.21514131673539483</v>
      </c>
      <c r="R4">
        <f>(1+'Rescale to Fit GDP Proj'!S123)/(1+'Rescale to Fit GDP Proj'!$D$123)-1</f>
        <v>0.22988083832134443</v>
      </c>
      <c r="S4">
        <f>(1+'Rescale to Fit GDP Proj'!T123)/(1+'Rescale to Fit GDP Proj'!$D$123)-1</f>
        <v>0.2441086919812292</v>
      </c>
      <c r="T4">
        <f>(1+'Rescale to Fit GDP Proj'!U123)/(1+'Rescale to Fit GDP Proj'!$D$123)-1</f>
        <v>0.25863432256704288</v>
      </c>
      <c r="U4">
        <f>(1+'Rescale to Fit GDP Proj'!V123)/(1+'Rescale to Fit GDP Proj'!$D$123)-1</f>
        <v>0.27365620637306964</v>
      </c>
      <c r="V4">
        <f>(1+'Rescale to Fit GDP Proj'!W123)/(1+'Rescale to Fit GDP Proj'!$D$123)-1</f>
        <v>0.28865269984572972</v>
      </c>
      <c r="W4">
        <f>(1+'Rescale to Fit GDP Proj'!X123)/(1+'Rescale to Fit GDP Proj'!$D$123)-1</f>
        <v>0.30334912484460475</v>
      </c>
      <c r="X4">
        <f>(1+'Rescale to Fit GDP Proj'!Y123)/(1+'Rescale to Fit GDP Proj'!$D$123)-1</f>
        <v>0.31748780513767771</v>
      </c>
      <c r="Y4">
        <f>(1+'Rescale to Fit GDP Proj'!Z123)/(1+'Rescale to Fit GDP Proj'!$D$123)-1</f>
        <v>0.33094225746445516</v>
      </c>
      <c r="Z4">
        <f>(1+'Rescale to Fit GDP Proj'!AA123)/(1+'Rescale to Fit GDP Proj'!$D$123)-1</f>
        <v>0.34438732535445182</v>
      </c>
      <c r="AA4">
        <f>(1+'Rescale to Fit GDP Proj'!AB123)/(1+'Rescale to Fit GDP Proj'!$D$123)-1</f>
        <v>0.35729869037796447</v>
      </c>
      <c r="AB4">
        <f>(1+'Rescale to Fit GDP Proj'!AC123)/(1+'Rescale to Fit GDP Proj'!$D$123)-1</f>
        <v>0.37062333288780946</v>
      </c>
    </row>
    <row r="5" spans="1:28" x14ac:dyDescent="0.25">
      <c r="A5" t="s">
        <v>82</v>
      </c>
      <c r="B5">
        <f>(1+'Rescale to Fit GDP Proj'!C124)/(1+'Rescale to Fit GDP Proj'!$D$124)-1</f>
        <v>-6.647676758580523E-2</v>
      </c>
      <c r="C5">
        <f>(1+'Rescale to Fit GDP Proj'!D124)/(1+'Rescale to Fit GDP Proj'!$D$124)-1</f>
        <v>0</v>
      </c>
      <c r="D5">
        <f>(1+'Rescale to Fit GDP Proj'!E124)/(1+'Rescale to Fit GDP Proj'!$D$124)-1</f>
        <v>9.1485608285695852E-2</v>
      </c>
      <c r="E5">
        <f>(1+'Rescale to Fit GDP Proj'!F124)/(1+'Rescale to Fit GDP Proj'!$D$124)-1</f>
        <v>8.373672546315114E-2</v>
      </c>
      <c r="F5">
        <f>(1+'Rescale to Fit GDP Proj'!G124)/(1+'Rescale to Fit GDP Proj'!$D$124)-1</f>
        <v>8.9756742893838171E-2</v>
      </c>
      <c r="G5">
        <f>(1+'Rescale to Fit GDP Proj'!H124)/(1+'Rescale to Fit GDP Proj'!$D$124)-1</f>
        <v>9.6242070961838122E-2</v>
      </c>
      <c r="H5">
        <f>(1+'Rescale to Fit GDP Proj'!I124)/(1+'Rescale to Fit GDP Proj'!$D$124)-1</f>
        <v>0.11989154713851291</v>
      </c>
      <c r="I5">
        <f>(1+'Rescale to Fit GDP Proj'!J124)/(1+'Rescale to Fit GDP Proj'!$D$124)-1</f>
        <v>0.13793223955567435</v>
      </c>
      <c r="J5">
        <f>(1+'Rescale to Fit GDP Proj'!K124)/(1+'Rescale to Fit GDP Proj'!$D$124)-1</f>
        <v>0.15481814412480466</v>
      </c>
      <c r="K5">
        <f>(1+'Rescale to Fit GDP Proj'!L124)/(1+'Rescale to Fit GDP Proj'!$D$124)-1</f>
        <v>0.167368694261534</v>
      </c>
      <c r="L5">
        <f>(1+'Rescale to Fit GDP Proj'!M124)/(1+'Rescale to Fit GDP Proj'!$D$124)-1</f>
        <v>0.18293696710998031</v>
      </c>
      <c r="M5">
        <f>(1+'Rescale to Fit GDP Proj'!N124)/(1+'Rescale to Fit GDP Proj'!$D$124)-1</f>
        <v>0.18723768533846297</v>
      </c>
      <c r="N5">
        <f>(1+'Rescale to Fit GDP Proj'!O124)/(1+'Rescale to Fit GDP Proj'!$D$124)-1</f>
        <v>0.19241702946010153</v>
      </c>
      <c r="O5">
        <f>(1+'Rescale to Fit GDP Proj'!P124)/(1+'Rescale to Fit GDP Proj'!$D$124)-1</f>
        <v>0.19901829939282112</v>
      </c>
      <c r="P5">
        <f>(1+'Rescale to Fit GDP Proj'!Q124)/(1+'Rescale to Fit GDP Proj'!$D$124)-1</f>
        <v>0.2050990265500261</v>
      </c>
      <c r="Q5">
        <f>(1+'Rescale to Fit GDP Proj'!R124)/(1+'Rescale to Fit GDP Proj'!$D$124)-1</f>
        <v>0.2129207307116463</v>
      </c>
      <c r="R5">
        <f>(1+'Rescale to Fit GDP Proj'!S124)/(1+'Rescale to Fit GDP Proj'!$D$124)-1</f>
        <v>0.22724195613849352</v>
      </c>
      <c r="S5">
        <f>(1+'Rescale to Fit GDP Proj'!T124)/(1+'Rescale to Fit GDP Proj'!$D$124)-1</f>
        <v>0.24459355429585039</v>
      </c>
      <c r="T5">
        <f>(1+'Rescale to Fit GDP Proj'!U124)/(1+'Rescale to Fit GDP Proj'!$D$124)-1</f>
        <v>0.25438788664027578</v>
      </c>
      <c r="U5">
        <f>(1+'Rescale to Fit GDP Proj'!V124)/(1+'Rescale to Fit GDP Proj'!$D$124)-1</f>
        <v>0.26518195468411387</v>
      </c>
      <c r="V5">
        <f>(1+'Rescale to Fit GDP Proj'!W124)/(1+'Rescale to Fit GDP Proj'!$D$124)-1</f>
        <v>0.27160294826249332</v>
      </c>
      <c r="W5">
        <f>(1+'Rescale to Fit GDP Proj'!X124)/(1+'Rescale to Fit GDP Proj'!$D$124)-1</f>
        <v>0.27622071193150588</v>
      </c>
      <c r="X5">
        <f>(1+'Rescale to Fit GDP Proj'!Y124)/(1+'Rescale to Fit GDP Proj'!$D$124)-1</f>
        <v>0.28098357734470514</v>
      </c>
      <c r="Y5">
        <f>(1+'Rescale to Fit GDP Proj'!Z124)/(1+'Rescale to Fit GDP Proj'!$D$124)-1</f>
        <v>0.28805270207377798</v>
      </c>
      <c r="Z5">
        <f>(1+'Rescale to Fit GDP Proj'!AA124)/(1+'Rescale to Fit GDP Proj'!$D$124)-1</f>
        <v>0.29084432702728469</v>
      </c>
      <c r="AA5">
        <f>(1+'Rescale to Fit GDP Proj'!AB124)/(1+'Rescale to Fit GDP Proj'!$D$124)-1</f>
        <v>0.29086500005729721</v>
      </c>
      <c r="AB5">
        <f>(1+'Rescale to Fit GDP Proj'!AC124)/(1+'Rescale to Fit GDP Proj'!$D$124)-1</f>
        <v>0.28849301726482635</v>
      </c>
    </row>
    <row r="6" spans="1:28" x14ac:dyDescent="0.25">
      <c r="A6" t="s">
        <v>77</v>
      </c>
      <c r="B6">
        <f>(1+'Rescale to Fit GDP Proj'!C125)/(1+'Rescale to Fit GDP Proj'!$D$125)-1</f>
        <v>-6.647676758580523E-2</v>
      </c>
      <c r="C6">
        <f>(1+'Rescale to Fit GDP Proj'!D125)/(1+'Rescale to Fit GDP Proj'!$D$125)-1</f>
        <v>0</v>
      </c>
      <c r="D6">
        <f>(1+'Rescale to Fit GDP Proj'!E125)/(1+'Rescale to Fit GDP Proj'!$D$125)-1</f>
        <v>9.1485608285695852E-2</v>
      </c>
      <c r="E6">
        <f>(1+'Rescale to Fit GDP Proj'!F125)/(1+'Rescale to Fit GDP Proj'!$D$125)-1</f>
        <v>8.373672546315114E-2</v>
      </c>
      <c r="F6">
        <f>(1+'Rescale to Fit GDP Proj'!G125)/(1+'Rescale to Fit GDP Proj'!$D$125)-1</f>
        <v>8.9756742893838171E-2</v>
      </c>
      <c r="G6">
        <f>(1+'Rescale to Fit GDP Proj'!H125)/(1+'Rescale to Fit GDP Proj'!$D$125)-1</f>
        <v>9.6242070961838122E-2</v>
      </c>
      <c r="H6">
        <f>(1+'Rescale to Fit GDP Proj'!I125)/(1+'Rescale to Fit GDP Proj'!$D$125)-1</f>
        <v>0.11989154713851291</v>
      </c>
      <c r="I6">
        <f>(1+'Rescale to Fit GDP Proj'!J125)/(1+'Rescale to Fit GDP Proj'!$D$125)-1</f>
        <v>0.13793223955567435</v>
      </c>
      <c r="J6">
        <f>(1+'Rescale to Fit GDP Proj'!K125)/(1+'Rescale to Fit GDP Proj'!$D$125)-1</f>
        <v>0.15481814412480466</v>
      </c>
      <c r="K6">
        <f>(1+'Rescale to Fit GDP Proj'!L125)/(1+'Rescale to Fit GDP Proj'!$D$125)-1</f>
        <v>0.167368694261534</v>
      </c>
      <c r="L6">
        <f>(1+'Rescale to Fit GDP Proj'!M125)/(1+'Rescale to Fit GDP Proj'!$D$125)-1</f>
        <v>0.18293696710998031</v>
      </c>
      <c r="M6">
        <f>(1+'Rescale to Fit GDP Proj'!N125)/(1+'Rescale to Fit GDP Proj'!$D$125)-1</f>
        <v>0.18723768533846297</v>
      </c>
      <c r="N6">
        <f>(1+'Rescale to Fit GDP Proj'!O125)/(1+'Rescale to Fit GDP Proj'!$D$125)-1</f>
        <v>0.19241702946010153</v>
      </c>
      <c r="O6">
        <f>(1+'Rescale to Fit GDP Proj'!P125)/(1+'Rescale to Fit GDP Proj'!$D$125)-1</f>
        <v>0.19901829939282112</v>
      </c>
      <c r="P6">
        <f>(1+'Rescale to Fit GDP Proj'!Q125)/(1+'Rescale to Fit GDP Proj'!$D$125)-1</f>
        <v>0.2050990265500261</v>
      </c>
      <c r="Q6">
        <f>(1+'Rescale to Fit GDP Proj'!R125)/(1+'Rescale to Fit GDP Proj'!$D$125)-1</f>
        <v>0.2129207307116463</v>
      </c>
      <c r="R6">
        <f>(1+'Rescale to Fit GDP Proj'!S125)/(1+'Rescale to Fit GDP Proj'!$D$125)-1</f>
        <v>0.22724195613849352</v>
      </c>
      <c r="S6">
        <f>(1+'Rescale to Fit GDP Proj'!T125)/(1+'Rescale to Fit GDP Proj'!$D$125)-1</f>
        <v>0.24459355429585039</v>
      </c>
      <c r="T6">
        <f>(1+'Rescale to Fit GDP Proj'!U125)/(1+'Rescale to Fit GDP Proj'!$D$125)-1</f>
        <v>0.25438788664027578</v>
      </c>
      <c r="U6">
        <f>(1+'Rescale to Fit GDP Proj'!V125)/(1+'Rescale to Fit GDP Proj'!$D$125)-1</f>
        <v>0.26518195468411387</v>
      </c>
      <c r="V6">
        <f>(1+'Rescale to Fit GDP Proj'!W125)/(1+'Rescale to Fit GDP Proj'!$D$125)-1</f>
        <v>0.27160294826249332</v>
      </c>
      <c r="W6">
        <f>(1+'Rescale to Fit GDP Proj'!X125)/(1+'Rescale to Fit GDP Proj'!$D$125)-1</f>
        <v>0.27622071193150588</v>
      </c>
      <c r="X6">
        <f>(1+'Rescale to Fit GDP Proj'!Y125)/(1+'Rescale to Fit GDP Proj'!$D$125)-1</f>
        <v>0.28098357734470514</v>
      </c>
      <c r="Y6">
        <f>(1+'Rescale to Fit GDP Proj'!Z125)/(1+'Rescale to Fit GDP Proj'!$D$125)-1</f>
        <v>0.28805270207377798</v>
      </c>
      <c r="Z6">
        <f>(1+'Rescale to Fit GDP Proj'!AA125)/(1+'Rescale to Fit GDP Proj'!$D$125)-1</f>
        <v>0.29084432702728469</v>
      </c>
      <c r="AA6">
        <f>(1+'Rescale to Fit GDP Proj'!AB125)/(1+'Rescale to Fit GDP Proj'!$D$125)-1</f>
        <v>0.29086500005729721</v>
      </c>
      <c r="AB6">
        <f>(1+'Rescale to Fit GDP Proj'!AC125)/(1+'Rescale to Fit GDP Proj'!$D$125)-1</f>
        <v>0.28849301726482635</v>
      </c>
    </row>
    <row r="7" spans="1:28" x14ac:dyDescent="0.25">
      <c r="A7" t="s">
        <v>85</v>
      </c>
      <c r="B7">
        <f>(1+'Rescale to Fit GDP Proj'!C126)/(1+'Rescale to Fit GDP Proj'!$D$126)-1</f>
        <v>-2.3256530039615142E-2</v>
      </c>
      <c r="C7">
        <f>(1+'Rescale to Fit GDP Proj'!D126)/(1+'Rescale to Fit GDP Proj'!$D$126)-1</f>
        <v>0</v>
      </c>
      <c r="D7">
        <f>(1+'Rescale to Fit GDP Proj'!E126)/(1+'Rescale to Fit GDP Proj'!$D$126)-1</f>
        <v>3.844860458473498E-2</v>
      </c>
      <c r="E7">
        <f>(1+'Rescale to Fit GDP Proj'!F126)/(1+'Rescale to Fit GDP Proj'!$D$126)-1</f>
        <v>6.4459008084143177E-2</v>
      </c>
      <c r="F7">
        <f>(1+'Rescale to Fit GDP Proj'!G126)/(1+'Rescale to Fit GDP Proj'!$D$126)-1</f>
        <v>8.2534708445263893E-2</v>
      </c>
      <c r="G7">
        <f>(1+'Rescale to Fit GDP Proj'!H126)/(1+'Rescale to Fit GDP Proj'!$D$126)-1</f>
        <v>0.10436146191732032</v>
      </c>
      <c r="H7">
        <f>(1+'Rescale to Fit GDP Proj'!I126)/(1+'Rescale to Fit GDP Proj'!$D$126)-1</f>
        <v>0.12944171943063587</v>
      </c>
      <c r="I7">
        <f>(1+'Rescale to Fit GDP Proj'!J126)/(1+'Rescale to Fit GDP Proj'!$D$126)-1</f>
        <v>0.15419769674171291</v>
      </c>
      <c r="J7">
        <f>(1+'Rescale to Fit GDP Proj'!K126)/(1+'Rescale to Fit GDP Proj'!$D$126)-1</f>
        <v>0.18249776285331487</v>
      </c>
      <c r="K7">
        <f>(1+'Rescale to Fit GDP Proj'!L126)/(1+'Rescale to Fit GDP Proj'!$D$126)-1</f>
        <v>0.21334872425003848</v>
      </c>
      <c r="L7">
        <f>(1+'Rescale to Fit GDP Proj'!M126)/(1+'Rescale to Fit GDP Proj'!$D$126)-1</f>
        <v>0.2464005737875179</v>
      </c>
      <c r="M7">
        <f>(1+'Rescale to Fit GDP Proj'!N126)/(1+'Rescale to Fit GDP Proj'!$D$126)-1</f>
        <v>0.28162766584490795</v>
      </c>
      <c r="N7">
        <f>(1+'Rescale to Fit GDP Proj'!O126)/(1+'Rescale to Fit GDP Proj'!$D$126)-1</f>
        <v>0.3111088701760798</v>
      </c>
      <c r="O7">
        <f>(1+'Rescale to Fit GDP Proj'!P126)/(1+'Rescale to Fit GDP Proj'!$D$126)-1</f>
        <v>0.34049891506679364</v>
      </c>
      <c r="P7">
        <f>(1+'Rescale to Fit GDP Proj'!Q126)/(1+'Rescale to Fit GDP Proj'!$D$126)-1</f>
        <v>0.3701322960503528</v>
      </c>
      <c r="Q7">
        <f>(1+'Rescale to Fit GDP Proj'!R126)/(1+'Rescale to Fit GDP Proj'!$D$126)-1</f>
        <v>0.39932413095583197</v>
      </c>
      <c r="R7">
        <f>(1+'Rescale to Fit GDP Proj'!S126)/(1+'Rescale to Fit GDP Proj'!$D$126)-1</f>
        <v>0.42874510264022114</v>
      </c>
      <c r="S7">
        <f>(1+'Rescale to Fit GDP Proj'!T126)/(1+'Rescale to Fit GDP Proj'!$D$126)-1</f>
        <v>0.45739434874117268</v>
      </c>
      <c r="T7">
        <f>(1+'Rescale to Fit GDP Proj'!U126)/(1+'Rescale to Fit GDP Proj'!$D$126)-1</f>
        <v>0.48688849576476434</v>
      </c>
      <c r="U7">
        <f>(1+'Rescale to Fit GDP Proj'!V126)/(1+'Rescale to Fit GDP Proj'!$D$126)-1</f>
        <v>0.51764842400343269</v>
      </c>
      <c r="V7">
        <f>(1+'Rescale to Fit GDP Proj'!W126)/(1+'Rescale to Fit GDP Proj'!$D$126)-1</f>
        <v>0.54862195876801678</v>
      </c>
      <c r="W7">
        <f>(1+'Rescale to Fit GDP Proj'!X126)/(1+'Rescale to Fit GDP Proj'!$D$126)-1</f>
        <v>0.57923477726988337</v>
      </c>
      <c r="X7">
        <f>(1+'Rescale to Fit GDP Proj'!Y126)/(1+'Rescale to Fit GDP Proj'!$D$126)-1</f>
        <v>0.60892933749401723</v>
      </c>
      <c r="Y7">
        <f>(1+'Rescale to Fit GDP Proj'!Z126)/(1+'Rescale to Fit GDP Proj'!$D$126)-1</f>
        <v>0.63740923879229805</v>
      </c>
      <c r="Z7">
        <f>(1+'Rescale to Fit GDP Proj'!AA126)/(1+'Rescale to Fit GDP Proj'!$D$126)-1</f>
        <v>0.6660802566194961</v>
      </c>
      <c r="AA7">
        <f>(1+'Rescale to Fit GDP Proj'!AB126)/(1+'Rescale to Fit GDP Proj'!$D$126)-1</f>
        <v>0.69381510250285672</v>
      </c>
      <c r="AB7">
        <f>(1+'Rescale to Fit GDP Proj'!AC126)/(1+'Rescale to Fit GDP Proj'!$D$126)-1</f>
        <v>0.7226373753916091</v>
      </c>
    </row>
    <row r="8" spans="1:28" x14ac:dyDescent="0.25">
      <c r="A8" t="s">
        <v>88</v>
      </c>
      <c r="B8">
        <f>(1+'Rescale to Fit GDP Proj'!C127)/(1+'Rescale to Fit GDP Proj'!$D$127)-1</f>
        <v>-6.647676758580523E-2</v>
      </c>
      <c r="C8">
        <f>(1+'Rescale to Fit GDP Proj'!D127)/(1+'Rescale to Fit GDP Proj'!$D$127)-1</f>
        <v>0</v>
      </c>
      <c r="D8">
        <f>(1+'Rescale to Fit GDP Proj'!E127)/(1+'Rescale to Fit GDP Proj'!$D$127)-1</f>
        <v>9.1485608285695852E-2</v>
      </c>
      <c r="E8">
        <f>(1+'Rescale to Fit GDP Proj'!F127)/(1+'Rescale to Fit GDP Proj'!$D$127)-1</f>
        <v>8.373672546315114E-2</v>
      </c>
      <c r="F8">
        <f>(1+'Rescale to Fit GDP Proj'!G127)/(1+'Rescale to Fit GDP Proj'!$D$127)-1</f>
        <v>8.9756742893838171E-2</v>
      </c>
      <c r="G8">
        <f>(1+'Rescale to Fit GDP Proj'!H127)/(1+'Rescale to Fit GDP Proj'!$D$127)-1</f>
        <v>9.6242070961838122E-2</v>
      </c>
      <c r="H8">
        <f>(1+'Rescale to Fit GDP Proj'!I127)/(1+'Rescale to Fit GDP Proj'!$D$127)-1</f>
        <v>0.11989154713851291</v>
      </c>
      <c r="I8">
        <f>(1+'Rescale to Fit GDP Proj'!J127)/(1+'Rescale to Fit GDP Proj'!$D$127)-1</f>
        <v>0.13793223955567435</v>
      </c>
      <c r="J8">
        <f>(1+'Rescale to Fit GDP Proj'!K127)/(1+'Rescale to Fit GDP Proj'!$D$127)-1</f>
        <v>0.15481814412480466</v>
      </c>
      <c r="K8">
        <f>(1+'Rescale to Fit GDP Proj'!L127)/(1+'Rescale to Fit GDP Proj'!$D$127)-1</f>
        <v>0.167368694261534</v>
      </c>
      <c r="L8">
        <f>(1+'Rescale to Fit GDP Proj'!M127)/(1+'Rescale to Fit GDP Proj'!$D$127)-1</f>
        <v>0.18293696710998031</v>
      </c>
      <c r="M8">
        <f>(1+'Rescale to Fit GDP Proj'!N127)/(1+'Rescale to Fit GDP Proj'!$D$127)-1</f>
        <v>0.18723768533846297</v>
      </c>
      <c r="N8">
        <f>(1+'Rescale to Fit GDP Proj'!O127)/(1+'Rescale to Fit GDP Proj'!$D$127)-1</f>
        <v>0.19241702946010153</v>
      </c>
      <c r="O8">
        <f>(1+'Rescale to Fit GDP Proj'!P127)/(1+'Rescale to Fit GDP Proj'!$D$127)-1</f>
        <v>0.19901829939282112</v>
      </c>
      <c r="P8">
        <f>(1+'Rescale to Fit GDP Proj'!Q127)/(1+'Rescale to Fit GDP Proj'!$D$127)-1</f>
        <v>0.2050990265500261</v>
      </c>
      <c r="Q8">
        <f>(1+'Rescale to Fit GDP Proj'!R127)/(1+'Rescale to Fit GDP Proj'!$D$127)-1</f>
        <v>0.2129207307116463</v>
      </c>
      <c r="R8">
        <f>(1+'Rescale to Fit GDP Proj'!S127)/(1+'Rescale to Fit GDP Proj'!$D$127)-1</f>
        <v>0.22724195613849352</v>
      </c>
      <c r="S8">
        <f>(1+'Rescale to Fit GDP Proj'!T127)/(1+'Rescale to Fit GDP Proj'!$D$127)-1</f>
        <v>0.24459355429585039</v>
      </c>
      <c r="T8">
        <f>(1+'Rescale to Fit GDP Proj'!U127)/(1+'Rescale to Fit GDP Proj'!$D$127)-1</f>
        <v>0.25438788664027578</v>
      </c>
      <c r="U8">
        <f>(1+'Rescale to Fit GDP Proj'!V127)/(1+'Rescale to Fit GDP Proj'!$D$127)-1</f>
        <v>0.26518195468411387</v>
      </c>
      <c r="V8">
        <f>(1+'Rescale to Fit GDP Proj'!W127)/(1+'Rescale to Fit GDP Proj'!$D$127)-1</f>
        <v>0.27160294826249332</v>
      </c>
      <c r="W8">
        <f>(1+'Rescale to Fit GDP Proj'!X127)/(1+'Rescale to Fit GDP Proj'!$D$127)-1</f>
        <v>0.27622071193150588</v>
      </c>
      <c r="X8">
        <f>(1+'Rescale to Fit GDP Proj'!Y127)/(1+'Rescale to Fit GDP Proj'!$D$127)-1</f>
        <v>0.28098357734470514</v>
      </c>
      <c r="Y8">
        <f>(1+'Rescale to Fit GDP Proj'!Z127)/(1+'Rescale to Fit GDP Proj'!$D$127)-1</f>
        <v>0.28805270207377798</v>
      </c>
      <c r="Z8">
        <f>(1+'Rescale to Fit GDP Proj'!AA127)/(1+'Rescale to Fit GDP Proj'!$D$127)-1</f>
        <v>0.29084432702728469</v>
      </c>
      <c r="AA8">
        <f>(1+'Rescale to Fit GDP Proj'!AB127)/(1+'Rescale to Fit GDP Proj'!$D$127)-1</f>
        <v>0.29086500005729721</v>
      </c>
      <c r="AB8">
        <f>(1+'Rescale to Fit GDP Proj'!AC127)/(1+'Rescale to Fit GDP Proj'!$D$127)-1</f>
        <v>0.28849301726482635</v>
      </c>
    </row>
    <row r="9" spans="1:28" x14ac:dyDescent="0.25">
      <c r="A9" t="s">
        <v>91</v>
      </c>
      <c r="B9">
        <f>(1+'Rescale to Fit GDP Proj'!C128)/(1+'Rescale to Fit GDP Proj'!$D$128)-1</f>
        <v>4.5999616829601742E-3</v>
      </c>
      <c r="C9">
        <f>(1+'Rescale to Fit GDP Proj'!D128)/(1+'Rescale to Fit GDP Proj'!$D$128)-1</f>
        <v>0</v>
      </c>
      <c r="D9">
        <f>(1+'Rescale to Fit GDP Proj'!E128)/(1+'Rescale to Fit GDP Proj'!$D$128)-1</f>
        <v>-7.3939624201413423E-3</v>
      </c>
      <c r="E9">
        <f>(1+'Rescale to Fit GDP Proj'!F128)/(1+'Rescale to Fit GDP Proj'!$D$128)-1</f>
        <v>-1.2175148553033477E-2</v>
      </c>
      <c r="F9">
        <f>(1+'Rescale to Fit GDP Proj'!G128)/(1+'Rescale to Fit GDP Proj'!$D$128)-1</f>
        <v>-1.5400988354576817E-2</v>
      </c>
      <c r="G9">
        <f>(1+'Rescale to Fit GDP Proj'!H128)/(1+'Rescale to Fit GDP Proj'!$D$128)-1</f>
        <v>-1.9218702133238064E-2</v>
      </c>
      <c r="H9">
        <f>(1+'Rescale to Fit GDP Proj'!I128)/(1+'Rescale to Fit GDP Proj'!$D$128)-1</f>
        <v>-2.350211148560799E-2</v>
      </c>
      <c r="I9">
        <f>(1+'Rescale to Fit GDP Proj'!J128)/(1+'Rescale to Fit GDP Proj'!$D$128)-1</f>
        <v>-2.761819535329546E-2</v>
      </c>
      <c r="J9">
        <f>(1+'Rescale to Fit GDP Proj'!K128)/(1+'Rescale to Fit GDP Proj'!$D$128)-1</f>
        <v>-3.2203209994085658E-2</v>
      </c>
      <c r="K9">
        <f>(1+'Rescale to Fit GDP Proj'!L128)/(1+'Rescale to Fit GDP Proj'!$D$128)-1</f>
        <v>-3.7058880492565116E-2</v>
      </c>
      <c r="L9">
        <f>(1+'Rescale to Fit GDP Proj'!M128)/(1+'Rescale to Fit GDP Proj'!$D$128)-1</f>
        <v>-4.2103245657544641E-2</v>
      </c>
      <c r="M9">
        <f>(1+'Rescale to Fit GDP Proj'!N128)/(1+'Rescale to Fit GDP Proj'!$D$128)-1</f>
        <v>-4.7309609464152969E-2</v>
      </c>
      <c r="N9">
        <f>(1+'Rescale to Fit GDP Proj'!O128)/(1+'Rescale to Fit GDP Proj'!$D$128)-1</f>
        <v>-5.15239709863482E-2</v>
      </c>
      <c r="O9">
        <f>(1+'Rescale to Fit GDP Proj'!P128)/(1+'Rescale to Fit GDP Proj'!$D$128)-1</f>
        <v>-5.5612664050870508E-2</v>
      </c>
      <c r="P9">
        <f>(1+'Rescale to Fit GDP Proj'!Q128)/(1+'Rescale to Fit GDP Proj'!$D$128)-1</f>
        <v>-5.96274421721531E-2</v>
      </c>
      <c r="Q9">
        <f>(1+'Rescale to Fit GDP Proj'!R128)/(1+'Rescale to Fit GDP Proj'!$D$128)-1</f>
        <v>-6.3480410988612901E-2</v>
      </c>
      <c r="R9">
        <f>(1+'Rescale to Fit GDP Proj'!S128)/(1+'Rescale to Fit GDP Proj'!$D$128)-1</f>
        <v>-6.7267035229427785E-2</v>
      </c>
      <c r="S9">
        <f>(1+'Rescale to Fit GDP Proj'!T128)/(1+'Rescale to Fit GDP Proj'!$D$128)-1</f>
        <v>-7.08638032286808E-2</v>
      </c>
      <c r="T9">
        <f>(1+'Rescale to Fit GDP Proj'!U128)/(1+'Rescale to Fit GDP Proj'!$D$128)-1</f>
        <v>-7.4479856296818969E-2</v>
      </c>
      <c r="U9">
        <f>(1+'Rescale to Fit GDP Proj'!V128)/(1+'Rescale to Fit GDP Proj'!$D$128)-1</f>
        <v>-7.8161904320238063E-2</v>
      </c>
      <c r="V9">
        <f>(1+'Rescale to Fit GDP Proj'!W128)/(1+'Rescale to Fit GDP Proj'!$D$128)-1</f>
        <v>-8.1779923823339207E-2</v>
      </c>
      <c r="W9">
        <f>(1+'Rescale to Fit GDP Proj'!X128)/(1+'Rescale to Fit GDP Proj'!$D$128)-1</f>
        <v>-8.5270533947542804E-2</v>
      </c>
      <c r="X9">
        <f>(1+'Rescale to Fit GDP Proj'!Y128)/(1+'Rescale to Fit GDP Proj'!$D$128)-1</f>
        <v>-8.8578183762581419E-2</v>
      </c>
      <c r="Y9">
        <f>(1+'Rescale to Fit GDP Proj'!Z128)/(1+'Rescale to Fit GDP Proj'!$D$128)-1</f>
        <v>-9.1680725162036736E-2</v>
      </c>
      <c r="Z9">
        <f>(1+'Rescale to Fit GDP Proj'!AA128)/(1+'Rescale to Fit GDP Proj'!$D$128)-1</f>
        <v>-9.4739313729020447E-2</v>
      </c>
      <c r="AA9">
        <f>(1+'Rescale to Fit GDP Proj'!AB128)/(1+'Rescale to Fit GDP Proj'!$D$128)-1</f>
        <v>-9.7637325569667865E-2</v>
      </c>
      <c r="AB9">
        <f>(1+'Rescale to Fit GDP Proj'!AC128)/(1+'Rescale to Fit GDP Proj'!$D$128)-1</f>
        <v>-0.1005901661729065</v>
      </c>
    </row>
    <row r="10" spans="1:28" x14ac:dyDescent="0.25">
      <c r="A10" t="s">
        <v>174</v>
      </c>
      <c r="B10">
        <f>(1+'Rescale to Fit GDP Proj'!C129)/(1+'Rescale to Fit GDP Proj'!$D$129)-1</f>
        <v>6.126679706272764E-2</v>
      </c>
      <c r="C10">
        <f>(1+'Rescale to Fit GDP Proj'!D129)/(1+'Rescale to Fit GDP Proj'!$D$129)-1</f>
        <v>0</v>
      </c>
      <c r="D10">
        <f>(1+'Rescale to Fit GDP Proj'!E129)/(1+'Rescale to Fit GDP Proj'!$D$129)-1</f>
        <v>2.3084925389895705E-3</v>
      </c>
      <c r="E10">
        <f>(1+'Rescale to Fit GDP Proj'!F129)/(1+'Rescale to Fit GDP Proj'!$D$129)-1</f>
        <v>1.0995353603676428E-2</v>
      </c>
      <c r="F10">
        <f>(1+'Rescale to Fit GDP Proj'!G129)/(1+'Rescale to Fit GDP Proj'!$D$129)-1</f>
        <v>1.9989072622382142E-2</v>
      </c>
      <c r="G10">
        <f>(1+'Rescale to Fit GDP Proj'!H129)/(1+'Rescale to Fit GDP Proj'!$D$129)-1</f>
        <v>2.6356987879609495E-2</v>
      </c>
      <c r="H10">
        <f>(1+'Rescale to Fit GDP Proj'!I129)/(1+'Rescale to Fit GDP Proj'!$D$129)-1</f>
        <v>3.487520214531159E-2</v>
      </c>
      <c r="I10">
        <f>(1+'Rescale to Fit GDP Proj'!J129)/(1+'Rescale to Fit GDP Proj'!$D$129)-1</f>
        <v>4.403840841019302E-2</v>
      </c>
      <c r="J10">
        <f>(1+'Rescale to Fit GDP Proj'!K129)/(1+'Rescale to Fit GDP Proj'!$D$129)-1</f>
        <v>5.2977872872682408E-2</v>
      </c>
      <c r="K10">
        <f>(1+'Rescale to Fit GDP Proj'!L129)/(1+'Rescale to Fit GDP Proj'!$D$129)-1</f>
        <v>6.206563055198755E-2</v>
      </c>
      <c r="L10">
        <f>(1+'Rescale to Fit GDP Proj'!M129)/(1+'Rescale to Fit GDP Proj'!$D$129)-1</f>
        <v>7.142498044839507E-2</v>
      </c>
      <c r="M10">
        <f>(1+'Rescale to Fit GDP Proj'!N129)/(1+'Rescale to Fit GDP Proj'!$D$129)-1</f>
        <v>8.0360393580912959E-2</v>
      </c>
      <c r="N10">
        <f>(1+'Rescale to Fit GDP Proj'!O129)/(1+'Rescale to Fit GDP Proj'!$D$129)-1</f>
        <v>9.0247050839689313E-2</v>
      </c>
      <c r="O10">
        <f>(1+'Rescale to Fit GDP Proj'!P129)/(1+'Rescale to Fit GDP Proj'!$D$129)-1</f>
        <v>9.9967513246331796E-2</v>
      </c>
      <c r="P10">
        <f>(1+'Rescale to Fit GDP Proj'!Q129)/(1+'Rescale to Fit GDP Proj'!$D$129)-1</f>
        <v>0.10991074372624787</v>
      </c>
      <c r="Q10">
        <f>(1+'Rescale to Fit GDP Proj'!R129)/(1+'Rescale to Fit GDP Proj'!$D$129)-1</f>
        <v>0.11980303076955034</v>
      </c>
      <c r="R10">
        <f>(1+'Rescale to Fit GDP Proj'!S129)/(1+'Rescale to Fit GDP Proj'!$D$129)-1</f>
        <v>0.12901002179962484</v>
      </c>
      <c r="S10">
        <f>(1+'Rescale to Fit GDP Proj'!T129)/(1+'Rescale to Fit GDP Proj'!$D$129)-1</f>
        <v>0.13821358164621311</v>
      </c>
      <c r="T10">
        <f>(1+'Rescale to Fit GDP Proj'!U129)/(1+'Rescale to Fit GDP Proj'!$D$129)-1</f>
        <v>0.14739568089958754</v>
      </c>
      <c r="U10">
        <f>(1+'Rescale to Fit GDP Proj'!V129)/(1+'Rescale to Fit GDP Proj'!$D$129)-1</f>
        <v>0.15613587346053448</v>
      </c>
      <c r="V10">
        <f>(1+'Rescale to Fit GDP Proj'!W129)/(1+'Rescale to Fit GDP Proj'!$D$129)-1</f>
        <v>0.16491210170936332</v>
      </c>
      <c r="W10">
        <f>(1+'Rescale to Fit GDP Proj'!X129)/(1+'Rescale to Fit GDP Proj'!$D$129)-1</f>
        <v>0.17300649486904573</v>
      </c>
      <c r="X10">
        <f>(1+'Rescale to Fit GDP Proj'!Y129)/(1+'Rescale to Fit GDP Proj'!$D$129)-1</f>
        <v>0.18141160234659481</v>
      </c>
      <c r="Y10">
        <f>(1+'Rescale to Fit GDP Proj'!Z129)/(1+'Rescale to Fit GDP Proj'!$D$129)-1</f>
        <v>0.18964763454028688</v>
      </c>
      <c r="Z10">
        <f>(1+'Rescale to Fit GDP Proj'!AA129)/(1+'Rescale to Fit GDP Proj'!$D$129)-1</f>
        <v>0.19787983240020202</v>
      </c>
      <c r="AA10">
        <f>(1+'Rescale to Fit GDP Proj'!AB129)/(1+'Rescale to Fit GDP Proj'!$D$129)-1</f>
        <v>0.20646942960196268</v>
      </c>
      <c r="AB10">
        <f>(1+'Rescale to Fit GDP Proj'!AC129)/(1+'Rescale to Fit GDP Proj'!$D$129)-1</f>
        <v>0.21437719942510181</v>
      </c>
    </row>
    <row r="11" spans="1:28" x14ac:dyDescent="0.25">
      <c r="A11" t="s">
        <v>201</v>
      </c>
      <c r="B11">
        <f>(1+'Rescale to Fit GDP Proj'!C130)/(1+'Rescale to Fit GDP Proj'!$D$130)-1</f>
        <v>0.12773929013810315</v>
      </c>
      <c r="C11">
        <f>(1+'Rescale to Fit GDP Proj'!D130)/(1+'Rescale to Fit GDP Proj'!$D$130)-1</f>
        <v>0</v>
      </c>
      <c r="D11">
        <f>(1+'Rescale to Fit GDP Proj'!E130)/(1+'Rescale to Fit GDP Proj'!$D$130)-1</f>
        <v>1.2654387821285473E-2</v>
      </c>
      <c r="E11">
        <f>(1+'Rescale to Fit GDP Proj'!F130)/(1+'Rescale to Fit GDP Proj'!$D$130)-1</f>
        <v>2.656392830224541E-2</v>
      </c>
      <c r="F11">
        <f>(1+'Rescale to Fit GDP Proj'!G130)/(1+'Rescale to Fit GDP Proj'!$D$130)-1</f>
        <v>-3.1846538151567572E-3</v>
      </c>
      <c r="G11">
        <f>(1+'Rescale to Fit GDP Proj'!H130)/(1+'Rescale to Fit GDP Proj'!$D$130)-1</f>
        <v>-4.0904008192040209E-2</v>
      </c>
      <c r="H11">
        <f>(1+'Rescale to Fit GDP Proj'!I130)/(1+'Rescale to Fit GDP Proj'!$D$130)-1</f>
        <v>-5.7900733457865949E-2</v>
      </c>
      <c r="I11">
        <f>(1+'Rescale to Fit GDP Proj'!J130)/(1+'Rescale to Fit GDP Proj'!$D$130)-1</f>
        <v>-6.3132765890207887E-2</v>
      </c>
      <c r="J11">
        <f>(1+'Rescale to Fit GDP Proj'!K130)/(1+'Rescale to Fit GDP Proj'!$D$130)-1</f>
        <v>-6.5806679938972934E-2</v>
      </c>
      <c r="K11">
        <f>(1+'Rescale to Fit GDP Proj'!L130)/(1+'Rescale to Fit GDP Proj'!$D$130)-1</f>
        <v>-6.3367428723638874E-2</v>
      </c>
      <c r="L11">
        <f>(1+'Rescale to Fit GDP Proj'!M130)/(1+'Rescale to Fit GDP Proj'!$D$130)-1</f>
        <v>-5.6641366013443606E-2</v>
      </c>
      <c r="M11">
        <f>(1+'Rescale to Fit GDP Proj'!N130)/(1+'Rescale to Fit GDP Proj'!$D$130)-1</f>
        <v>-5.2575873377628035E-2</v>
      </c>
      <c r="N11">
        <f>(1+'Rescale to Fit GDP Proj'!O130)/(1+'Rescale to Fit GDP Proj'!$D$130)-1</f>
        <v>-5.3057433864993619E-2</v>
      </c>
      <c r="O11">
        <f>(1+'Rescale to Fit GDP Proj'!P130)/(1+'Rescale to Fit GDP Proj'!$D$130)-1</f>
        <v>-5.1832177168391835E-2</v>
      </c>
      <c r="P11">
        <f>(1+'Rescale to Fit GDP Proj'!Q130)/(1+'Rescale to Fit GDP Proj'!$D$130)-1</f>
        <v>-4.994804893859961E-2</v>
      </c>
      <c r="Q11">
        <f>(1+'Rescale to Fit GDP Proj'!R130)/(1+'Rescale to Fit GDP Proj'!$D$130)-1</f>
        <v>-4.9046238577635015E-2</v>
      </c>
      <c r="R11">
        <f>(1+'Rescale to Fit GDP Proj'!S130)/(1+'Rescale to Fit GDP Proj'!$D$130)-1</f>
        <v>-4.5359991249629528E-2</v>
      </c>
      <c r="S11">
        <f>(1+'Rescale to Fit GDP Proj'!T130)/(1+'Rescale to Fit GDP Proj'!$D$130)-1</f>
        <v>-4.1915044614435515E-2</v>
      </c>
      <c r="T11">
        <f>(1+'Rescale to Fit GDP Proj'!U130)/(1+'Rescale to Fit GDP Proj'!$D$130)-1</f>
        <v>-3.9636620711862247E-2</v>
      </c>
      <c r="U11">
        <f>(1+'Rescale to Fit GDP Proj'!V130)/(1+'Rescale to Fit GDP Proj'!$D$130)-1</f>
        <v>-3.7474811541958086E-2</v>
      </c>
      <c r="V11">
        <f>(1+'Rescale to Fit GDP Proj'!W130)/(1+'Rescale to Fit GDP Proj'!$D$130)-1</f>
        <v>-3.4596949690316348E-2</v>
      </c>
      <c r="W11">
        <f>(1+'Rescale to Fit GDP Proj'!X130)/(1+'Rescale to Fit GDP Proj'!$D$130)-1</f>
        <v>-3.0983275153946943E-2</v>
      </c>
      <c r="X11">
        <f>(1+'Rescale to Fit GDP Proj'!Y130)/(1+'Rescale to Fit GDP Proj'!$D$130)-1</f>
        <v>-2.922132449013537E-2</v>
      </c>
      <c r="Y11">
        <f>(1+'Rescale to Fit GDP Proj'!Z130)/(1+'Rescale to Fit GDP Proj'!$D$130)-1</f>
        <v>-3.10220784758799E-2</v>
      </c>
      <c r="Z11">
        <f>(1+'Rescale to Fit GDP Proj'!AA130)/(1+'Rescale to Fit GDP Proj'!$D$130)-1</f>
        <v>-3.5712127130194671E-2</v>
      </c>
      <c r="AA11">
        <f>(1+'Rescale to Fit GDP Proj'!AB130)/(1+'Rescale to Fit GDP Proj'!$D$130)-1</f>
        <v>-3.6963747561355231E-2</v>
      </c>
      <c r="AB11">
        <f>(1+'Rescale to Fit GDP Proj'!AC130)/(1+'Rescale to Fit GDP Proj'!$D$130)-1</f>
        <v>-3.7902996131783939E-2</v>
      </c>
    </row>
    <row r="12" spans="1:28" x14ac:dyDescent="0.25">
      <c r="A12" t="s">
        <v>210</v>
      </c>
      <c r="B12">
        <f>(1+'Rescale to Fit GDP Proj'!C131)/(1+'Rescale to Fit GDP Proj'!$D$131)-1</f>
        <v>-0.17113395108248386</v>
      </c>
      <c r="C12">
        <f>(1+'Rescale to Fit GDP Proj'!D131)/(1+'Rescale to Fit GDP Proj'!$D$131)-1</f>
        <v>0</v>
      </c>
      <c r="D12">
        <f>(1+'Rescale to Fit GDP Proj'!E131)/(1+'Rescale to Fit GDP Proj'!$D$131)-1</f>
        <v>-0.16081253587386868</v>
      </c>
      <c r="E12">
        <f>(1+'Rescale to Fit GDP Proj'!F131)/(1+'Rescale to Fit GDP Proj'!$D$131)-1</f>
        <v>-0.21110208820555221</v>
      </c>
      <c r="F12">
        <f>(1+'Rescale to Fit GDP Proj'!G131)/(1+'Rescale to Fit GDP Proj'!$D$131)-1</f>
        <v>-0.17277935856440274</v>
      </c>
      <c r="G12">
        <f>(1+'Rescale to Fit GDP Proj'!H131)/(1+'Rescale to Fit GDP Proj'!$D$131)-1</f>
        <v>-0.10791282557023085</v>
      </c>
      <c r="H12">
        <f>(1+'Rescale to Fit GDP Proj'!I131)/(1+'Rescale to Fit GDP Proj'!$D$131)-1</f>
        <v>-9.8226112414843136E-2</v>
      </c>
      <c r="I12">
        <f>(1+'Rescale to Fit GDP Proj'!J131)/(1+'Rescale to Fit GDP Proj'!$D$131)-1</f>
        <v>-0.12113916396949542</v>
      </c>
      <c r="J12">
        <f>(1+'Rescale to Fit GDP Proj'!K131)/(1+'Rescale to Fit GDP Proj'!$D$131)-1</f>
        <v>-0.12384603282958184</v>
      </c>
      <c r="K12">
        <f>(1+'Rescale to Fit GDP Proj'!L131)/(1+'Rescale to Fit GDP Proj'!$D$131)-1</f>
        <v>-0.10382756123525072</v>
      </c>
      <c r="L12">
        <f>(1+'Rescale to Fit GDP Proj'!M131)/(1+'Rescale to Fit GDP Proj'!$D$131)-1</f>
        <v>-6.8890293853700602E-2</v>
      </c>
      <c r="M12">
        <f>(1+'Rescale to Fit GDP Proj'!N131)/(1+'Rescale to Fit GDP Proj'!$D$131)-1</f>
        <v>-4.1683706745566873E-2</v>
      </c>
      <c r="N12">
        <f>(1+'Rescale to Fit GDP Proj'!O131)/(1+'Rescale to Fit GDP Proj'!$D$131)-1</f>
        <v>-1.3668519918610733E-2</v>
      </c>
      <c r="O12">
        <f>(1+'Rescale to Fit GDP Proj'!P131)/(1+'Rescale to Fit GDP Proj'!$D$131)-1</f>
        <v>7.1044515831448773E-3</v>
      </c>
      <c r="P12">
        <f>(1+'Rescale to Fit GDP Proj'!Q131)/(1+'Rescale to Fit GDP Proj'!$D$131)-1</f>
        <v>2.9549421428501255E-2</v>
      </c>
      <c r="Q12">
        <f>(1+'Rescale to Fit GDP Proj'!R131)/(1+'Rescale to Fit GDP Proj'!$D$131)-1</f>
        <v>4.6038560472327461E-2</v>
      </c>
      <c r="R12">
        <f>(1+'Rescale to Fit GDP Proj'!S131)/(1+'Rescale to Fit GDP Proj'!$D$131)-1</f>
        <v>5.1455507289206004E-2</v>
      </c>
      <c r="S12">
        <f>(1+'Rescale to Fit GDP Proj'!T131)/(1+'Rescale to Fit GDP Proj'!$D$131)-1</f>
        <v>3.2515266919608488E-2</v>
      </c>
      <c r="T12">
        <f>(1+'Rescale to Fit GDP Proj'!U131)/(1+'Rescale to Fit GDP Proj'!$D$131)-1</f>
        <v>2.1551687033930067E-2</v>
      </c>
      <c r="U12">
        <f>(1+'Rescale to Fit GDP Proj'!V131)/(1+'Rescale to Fit GDP Proj'!$D$131)-1</f>
        <v>1.2053485147245357E-3</v>
      </c>
      <c r="V12">
        <f>(1+'Rescale to Fit GDP Proj'!W131)/(1+'Rescale to Fit GDP Proj'!$D$131)-1</f>
        <v>-1.2188267208899206E-2</v>
      </c>
      <c r="W12">
        <f>(1+'Rescale to Fit GDP Proj'!X131)/(1+'Rescale to Fit GDP Proj'!$D$131)-1</f>
        <v>-5.9435671668744972E-3</v>
      </c>
      <c r="X12">
        <f>(1+'Rescale to Fit GDP Proj'!Y131)/(1+'Rescale to Fit GDP Proj'!$D$131)-1</f>
        <v>2.4232470401397421E-5</v>
      </c>
      <c r="Y12">
        <f>(1+'Rescale to Fit GDP Proj'!Z131)/(1+'Rescale to Fit GDP Proj'!$D$131)-1</f>
        <v>9.0170479514344315E-3</v>
      </c>
      <c r="Z12">
        <f>(1+'Rescale to Fit GDP Proj'!AA131)/(1+'Rescale to Fit GDP Proj'!$D$131)-1</f>
        <v>1.7165736233576867E-2</v>
      </c>
      <c r="AA12">
        <f>(1+'Rescale to Fit GDP Proj'!AB131)/(1+'Rescale to Fit GDP Proj'!$D$131)-1</f>
        <v>3.1138791849042224E-2</v>
      </c>
      <c r="AB12">
        <f>(1+'Rescale to Fit GDP Proj'!AC131)/(1+'Rescale to Fit GDP Proj'!$D$131)-1</f>
        <v>4.2724810153291548E-2</v>
      </c>
    </row>
    <row r="13" spans="1:28" x14ac:dyDescent="0.25">
      <c r="A13" t="s">
        <v>219</v>
      </c>
      <c r="B13">
        <f>(1+'Rescale to Fit GDP Proj'!C132)/(1+'Rescale to Fit GDP Proj'!$D$132)-1</f>
        <v>5.2695474596345271E-2</v>
      </c>
      <c r="C13">
        <f>(1+'Rescale to Fit GDP Proj'!D132)/(1+'Rescale to Fit GDP Proj'!$D$132)-1</f>
        <v>0</v>
      </c>
      <c r="D13">
        <f>(1+'Rescale to Fit GDP Proj'!E132)/(1+'Rescale to Fit GDP Proj'!$D$132)-1</f>
        <v>-9.0657834221724576E-3</v>
      </c>
      <c r="E13">
        <f>(1+'Rescale to Fit GDP Proj'!F132)/(1+'Rescale to Fit GDP Proj'!$D$132)-1</f>
        <v>-7.7988883022116484E-3</v>
      </c>
      <c r="F13">
        <f>(1+'Rescale to Fit GDP Proj'!G132)/(1+'Rescale to Fit GDP Proj'!$D$132)-1</f>
        <v>-1.4935445660420377E-2</v>
      </c>
      <c r="G13">
        <f>(1+'Rescale to Fit GDP Proj'!H132)/(1+'Rescale to Fit GDP Proj'!$D$132)-1</f>
        <v>-2.1217432312968021E-2</v>
      </c>
      <c r="H13">
        <f>(1+'Rescale to Fit GDP Proj'!I132)/(1+'Rescale to Fit GDP Proj'!$D$132)-1</f>
        <v>-2.7350321713763059E-2</v>
      </c>
      <c r="I13">
        <f>(1+'Rescale to Fit GDP Proj'!J132)/(1+'Rescale to Fit GDP Proj'!$D$132)-1</f>
        <v>-2.9678817528389412E-2</v>
      </c>
      <c r="J13">
        <f>(1+'Rescale to Fit GDP Proj'!K132)/(1+'Rescale to Fit GDP Proj'!$D$132)-1</f>
        <v>-3.260892800906412E-2</v>
      </c>
      <c r="K13">
        <f>(1+'Rescale to Fit GDP Proj'!L132)/(1+'Rescale to Fit GDP Proj'!$D$132)-1</f>
        <v>-3.657406040137301E-2</v>
      </c>
      <c r="L13">
        <f>(1+'Rescale to Fit GDP Proj'!M132)/(1+'Rescale to Fit GDP Proj'!$D$132)-1</f>
        <v>-3.986222810758544E-2</v>
      </c>
      <c r="M13">
        <f>(1+'Rescale to Fit GDP Proj'!N132)/(1+'Rescale to Fit GDP Proj'!$D$132)-1</f>
        <v>-4.3166565956551994E-2</v>
      </c>
      <c r="N13">
        <f>(1+'Rescale to Fit GDP Proj'!O132)/(1+'Rescale to Fit GDP Proj'!$D$132)-1</f>
        <v>-4.621834135002556E-2</v>
      </c>
      <c r="O13">
        <f>(1+'Rescale to Fit GDP Proj'!P132)/(1+'Rescale to Fit GDP Proj'!$D$132)-1</f>
        <v>-4.9206081081401565E-2</v>
      </c>
      <c r="P13">
        <f>(1+'Rescale to Fit GDP Proj'!Q132)/(1+'Rescale to Fit GDP Proj'!$D$132)-1</f>
        <v>-4.8952887942921408E-2</v>
      </c>
      <c r="Q13">
        <f>(1+'Rescale to Fit GDP Proj'!R132)/(1+'Rescale to Fit GDP Proj'!$D$132)-1</f>
        <v>-4.5766506780467897E-2</v>
      </c>
      <c r="R13">
        <f>(1+'Rescale to Fit GDP Proj'!S132)/(1+'Rescale to Fit GDP Proj'!$D$132)-1</f>
        <v>-4.0522738132286573E-2</v>
      </c>
      <c r="S13">
        <f>(1+'Rescale to Fit GDP Proj'!T132)/(1+'Rescale to Fit GDP Proj'!$D$132)-1</f>
        <v>-3.6523899764993151E-2</v>
      </c>
      <c r="T13">
        <f>(1+'Rescale to Fit GDP Proj'!U132)/(1+'Rescale to Fit GDP Proj'!$D$132)-1</f>
        <v>-3.1291976576225067E-2</v>
      </c>
      <c r="U13">
        <f>(1+'Rescale to Fit GDP Proj'!V132)/(1+'Rescale to Fit GDP Proj'!$D$132)-1</f>
        <v>-2.5665127288044154E-2</v>
      </c>
      <c r="V13">
        <f>(1+'Rescale to Fit GDP Proj'!W132)/(1+'Rescale to Fit GDP Proj'!$D$132)-1</f>
        <v>-1.9805096005788836E-2</v>
      </c>
      <c r="W13">
        <f>(1+'Rescale to Fit GDP Proj'!X132)/(1+'Rescale to Fit GDP Proj'!$D$132)-1</f>
        <v>-1.326311621924503E-2</v>
      </c>
      <c r="X13">
        <f>(1+'Rescale to Fit GDP Proj'!Y132)/(1+'Rescale to Fit GDP Proj'!$D$132)-1</f>
        <v>-7.5379894505419598E-3</v>
      </c>
      <c r="Y13">
        <f>(1+'Rescale to Fit GDP Proj'!Z132)/(1+'Rescale to Fit GDP Proj'!$D$132)-1</f>
        <v>-6.0005455550105058E-4</v>
      </c>
      <c r="Z13">
        <f>(1+'Rescale to Fit GDP Proj'!AA132)/(1+'Rescale to Fit GDP Proj'!$D$132)-1</f>
        <v>6.2948990568643115E-3</v>
      </c>
      <c r="AA13">
        <f>(1+'Rescale to Fit GDP Proj'!AB132)/(1+'Rescale to Fit GDP Proj'!$D$132)-1</f>
        <v>1.4218169424894622E-2</v>
      </c>
      <c r="AB13">
        <f>(1+'Rescale to Fit GDP Proj'!AC132)/(1+'Rescale to Fit GDP Proj'!$D$132)-1</f>
        <v>2.0442000467255417E-2</v>
      </c>
    </row>
    <row r="14" spans="1:28" x14ac:dyDescent="0.25">
      <c r="A14" t="s">
        <v>228</v>
      </c>
      <c r="B14">
        <f>(1+'Rescale to Fit GDP Proj'!C133)/(1+'Rescale to Fit GDP Proj'!$D$133)-1</f>
        <v>-9.2710385570315967E-4</v>
      </c>
      <c r="C14">
        <f>(1+'Rescale to Fit GDP Proj'!D133)/(1+'Rescale to Fit GDP Proj'!$D$133)-1</f>
        <v>0</v>
      </c>
      <c r="D14">
        <f>(1+'Rescale to Fit GDP Proj'!E133)/(1+'Rescale to Fit GDP Proj'!$D$133)-1</f>
        <v>3.8698790057807297E-3</v>
      </c>
      <c r="E14">
        <f>(1+'Rescale to Fit GDP Proj'!F133)/(1+'Rescale to Fit GDP Proj'!$D$133)-1</f>
        <v>1.9724882425629087E-3</v>
      </c>
      <c r="F14">
        <f>(1+'Rescale to Fit GDP Proj'!G133)/(1+'Rescale to Fit GDP Proj'!$D$133)-1</f>
        <v>-1.4919552674143022E-3</v>
      </c>
      <c r="G14">
        <f>(1+'Rescale to Fit GDP Proj'!H133)/(1+'Rescale to Fit GDP Proj'!$D$133)-1</f>
        <v>-1.0717677893703481E-2</v>
      </c>
      <c r="H14">
        <f>(1+'Rescale to Fit GDP Proj'!I133)/(1+'Rescale to Fit GDP Proj'!$D$133)-1</f>
        <v>-1.6176200526605067E-2</v>
      </c>
      <c r="I14">
        <f>(1+'Rescale to Fit GDP Proj'!J133)/(1+'Rescale to Fit GDP Proj'!$D$133)-1</f>
        <v>-2.2685781882262224E-2</v>
      </c>
      <c r="J14">
        <f>(1+'Rescale to Fit GDP Proj'!K133)/(1+'Rescale to Fit GDP Proj'!$D$133)-1</f>
        <v>-2.5230686026642024E-2</v>
      </c>
      <c r="K14">
        <f>(1+'Rescale to Fit GDP Proj'!L133)/(1+'Rescale to Fit GDP Proj'!$D$133)-1</f>
        <v>-2.7226579129528306E-2</v>
      </c>
      <c r="L14">
        <f>(1+'Rescale to Fit GDP Proj'!M133)/(1+'Rescale to Fit GDP Proj'!$D$133)-1</f>
        <v>-2.6506803500335407E-2</v>
      </c>
      <c r="M14">
        <f>(1+'Rescale to Fit GDP Proj'!N133)/(1+'Rescale to Fit GDP Proj'!$D$133)-1</f>
        <v>-2.507639186056343E-2</v>
      </c>
      <c r="N14">
        <f>(1+'Rescale to Fit GDP Proj'!O133)/(1+'Rescale to Fit GDP Proj'!$D$133)-1</f>
        <v>-2.8554152952967593E-2</v>
      </c>
      <c r="O14">
        <f>(1+'Rescale to Fit GDP Proj'!P133)/(1+'Rescale to Fit GDP Proj'!$D$133)-1</f>
        <v>-3.6213689153176465E-2</v>
      </c>
      <c r="P14">
        <f>(1+'Rescale to Fit GDP Proj'!Q133)/(1+'Rescale to Fit GDP Proj'!$D$133)-1</f>
        <v>-4.3602620857874141E-2</v>
      </c>
      <c r="Q14">
        <f>(1+'Rescale to Fit GDP Proj'!R133)/(1+'Rescale to Fit GDP Proj'!$D$133)-1</f>
        <v>-4.7418440678604012E-2</v>
      </c>
      <c r="R14">
        <f>(1+'Rescale to Fit GDP Proj'!S133)/(1+'Rescale to Fit GDP Proj'!$D$133)-1</f>
        <v>-4.8848063463033053E-2</v>
      </c>
      <c r="S14">
        <f>(1+'Rescale to Fit GDP Proj'!T133)/(1+'Rescale to Fit GDP Proj'!$D$133)-1</f>
        <v>-4.7439007725434967E-2</v>
      </c>
      <c r="T14">
        <f>(1+'Rescale to Fit GDP Proj'!U133)/(1+'Rescale to Fit GDP Proj'!$D$133)-1</f>
        <v>-4.9100228626288045E-2</v>
      </c>
      <c r="U14">
        <f>(1+'Rescale to Fit GDP Proj'!V133)/(1+'Rescale to Fit GDP Proj'!$D$133)-1</f>
        <v>-5.4060724028889617E-2</v>
      </c>
      <c r="V14">
        <f>(1+'Rescale to Fit GDP Proj'!W133)/(1+'Rescale to Fit GDP Proj'!$D$133)-1</f>
        <v>-5.9500177278131616E-2</v>
      </c>
      <c r="W14">
        <f>(1+'Rescale to Fit GDP Proj'!X133)/(1+'Rescale to Fit GDP Proj'!$D$133)-1</f>
        <v>-6.4385496444962276E-2</v>
      </c>
      <c r="X14">
        <f>(1+'Rescale to Fit GDP Proj'!Y133)/(1+'Rescale to Fit GDP Proj'!$D$133)-1</f>
        <v>-6.3737429186644379E-2</v>
      </c>
      <c r="Y14">
        <f>(1+'Rescale to Fit GDP Proj'!Z133)/(1+'Rescale to Fit GDP Proj'!$D$133)-1</f>
        <v>-6.205233217800421E-2</v>
      </c>
      <c r="Z14">
        <f>(1+'Rescale to Fit GDP Proj'!AA133)/(1+'Rescale to Fit GDP Proj'!$D$133)-1</f>
        <v>-6.5486042606828776E-2</v>
      </c>
      <c r="AA14">
        <f>(1+'Rescale to Fit GDP Proj'!AB133)/(1+'Rescale to Fit GDP Proj'!$D$133)-1</f>
        <v>-6.7601633856529175E-2</v>
      </c>
      <c r="AB14">
        <f>(1+'Rescale to Fit GDP Proj'!AC133)/(1+'Rescale to Fit GDP Proj'!$D$133)-1</f>
        <v>-6.8020859473312045E-2</v>
      </c>
    </row>
    <row r="15" spans="1:28" x14ac:dyDescent="0.25">
      <c r="A15" t="s">
        <v>233</v>
      </c>
      <c r="B15">
        <f>(1+'Rescale to Fit GDP Proj'!C134)/(1+'Rescale to Fit GDP Proj'!$D$134)-1</f>
        <v>-6.6883514247917608E-2</v>
      </c>
      <c r="C15">
        <f>(1+'Rescale to Fit GDP Proj'!D134)/(1+'Rescale to Fit GDP Proj'!$D$134)-1</f>
        <v>0</v>
      </c>
      <c r="D15">
        <f>(1+'Rescale to Fit GDP Proj'!E134)/(1+'Rescale to Fit GDP Proj'!$D$134)-1</f>
        <v>-1.3322752034657603E-2</v>
      </c>
      <c r="E15">
        <f>(1+'Rescale to Fit GDP Proj'!F134)/(1+'Rescale to Fit GDP Proj'!$D$134)-1</f>
        <v>-2.4823846072699607E-2</v>
      </c>
      <c r="F15">
        <f>(1+'Rescale to Fit GDP Proj'!G134)/(1+'Rescale to Fit GDP Proj'!$D$134)-1</f>
        <v>-2.8708445139642658E-2</v>
      </c>
      <c r="G15">
        <f>(1+'Rescale to Fit GDP Proj'!H134)/(1+'Rescale to Fit GDP Proj'!$D$134)-1</f>
        <v>-3.6924408234113582E-2</v>
      </c>
      <c r="H15">
        <f>(1+'Rescale to Fit GDP Proj'!I134)/(1+'Rescale to Fit GDP Proj'!$D$134)-1</f>
        <v>-3.7268149965790087E-2</v>
      </c>
      <c r="I15">
        <f>(1+'Rescale to Fit GDP Proj'!J134)/(1+'Rescale to Fit GDP Proj'!$D$134)-1</f>
        <v>-3.2829674476822168E-2</v>
      </c>
      <c r="J15">
        <f>(1+'Rescale to Fit GDP Proj'!K134)/(1+'Rescale to Fit GDP Proj'!$D$134)-1</f>
        <v>-2.7151110253003985E-2</v>
      </c>
      <c r="K15">
        <f>(1+'Rescale to Fit GDP Proj'!L134)/(1+'Rescale to Fit GDP Proj'!$D$134)-1</f>
        <v>-1.6487948020957433E-2</v>
      </c>
      <c r="L15">
        <f>(1+'Rescale to Fit GDP Proj'!M134)/(1+'Rescale to Fit GDP Proj'!$D$134)-1</f>
        <v>-5.7209151263178937E-3</v>
      </c>
      <c r="M15">
        <f>(1+'Rescale to Fit GDP Proj'!N134)/(1+'Rescale to Fit GDP Proj'!$D$134)-1</f>
        <v>5.8600893682325683E-3</v>
      </c>
      <c r="N15">
        <f>(1+'Rescale to Fit GDP Proj'!O134)/(1+'Rescale to Fit GDP Proj'!$D$134)-1</f>
        <v>1.7901387744241326E-2</v>
      </c>
      <c r="O15">
        <f>(1+'Rescale to Fit GDP Proj'!P134)/(1+'Rescale to Fit GDP Proj'!$D$134)-1</f>
        <v>3.1184608267487368E-2</v>
      </c>
      <c r="P15">
        <f>(1+'Rescale to Fit GDP Proj'!Q134)/(1+'Rescale to Fit GDP Proj'!$D$134)-1</f>
        <v>4.4594882652775558E-2</v>
      </c>
      <c r="Q15">
        <f>(1+'Rescale to Fit GDP Proj'!R134)/(1+'Rescale to Fit GDP Proj'!$D$134)-1</f>
        <v>6.0270197187774377E-2</v>
      </c>
      <c r="R15">
        <f>(1+'Rescale to Fit GDP Proj'!S134)/(1+'Rescale to Fit GDP Proj'!$D$134)-1</f>
        <v>7.6967785755187368E-2</v>
      </c>
      <c r="S15">
        <f>(1+'Rescale to Fit GDP Proj'!T134)/(1+'Rescale to Fit GDP Proj'!$D$134)-1</f>
        <v>9.5663344707379139E-2</v>
      </c>
      <c r="T15">
        <f>(1+'Rescale to Fit GDP Proj'!U134)/(1+'Rescale to Fit GDP Proj'!$D$134)-1</f>
        <v>0.11724046451511727</v>
      </c>
      <c r="U15">
        <f>(1+'Rescale to Fit GDP Proj'!V134)/(1+'Rescale to Fit GDP Proj'!$D$134)-1</f>
        <v>0.13804124385854477</v>
      </c>
      <c r="V15">
        <f>(1+'Rescale to Fit GDP Proj'!W134)/(1+'Rescale to Fit GDP Proj'!$D$134)-1</f>
        <v>0.15960102937561893</v>
      </c>
      <c r="W15">
        <f>(1+'Rescale to Fit GDP Proj'!X134)/(1+'Rescale to Fit GDP Proj'!$D$134)-1</f>
        <v>0.18317872652353229</v>
      </c>
      <c r="X15">
        <f>(1+'Rescale to Fit GDP Proj'!Y134)/(1+'Rescale to Fit GDP Proj'!$D$134)-1</f>
        <v>0.20872606390940729</v>
      </c>
      <c r="Y15">
        <f>(1+'Rescale to Fit GDP Proj'!Z134)/(1+'Rescale to Fit GDP Proj'!$D$134)-1</f>
        <v>0.2354290722424166</v>
      </c>
      <c r="Z15">
        <f>(1+'Rescale to Fit GDP Proj'!AA134)/(1+'Rescale to Fit GDP Proj'!$D$134)-1</f>
        <v>0.25965035024699712</v>
      </c>
      <c r="AA15">
        <f>(1+'Rescale to Fit GDP Proj'!AB134)/(1+'Rescale to Fit GDP Proj'!$D$134)-1</f>
        <v>0.28288930829287606</v>
      </c>
      <c r="AB15">
        <f>(1+'Rescale to Fit GDP Proj'!AC134)/(1+'Rescale to Fit GDP Proj'!$D$134)-1</f>
        <v>0.30882534642286585</v>
      </c>
    </row>
    <row r="16" spans="1:28" x14ac:dyDescent="0.25">
      <c r="A16" t="s">
        <v>238</v>
      </c>
      <c r="B16">
        <f>(1+'Rescale to Fit GDP Proj'!C135)/(1+'Rescale to Fit GDP Proj'!$D$135)-1</f>
        <v>-2.1506039718009129E-2</v>
      </c>
      <c r="C16">
        <f>(1+'Rescale to Fit GDP Proj'!D135)/(1+'Rescale to Fit GDP Proj'!$D$135)-1</f>
        <v>0</v>
      </c>
      <c r="D16">
        <f>(1+'Rescale to Fit GDP Proj'!E135)/(1+'Rescale to Fit GDP Proj'!$D$135)-1</f>
        <v>3.5491019616678443E-2</v>
      </c>
      <c r="E16">
        <f>(1+'Rescale to Fit GDP Proj'!F135)/(1+'Rescale to Fit GDP Proj'!$D$135)-1</f>
        <v>5.9432241569976618E-2</v>
      </c>
      <c r="F16">
        <f>(1+'Rescale to Fit GDP Proj'!G135)/(1+'Rescale to Fit GDP Proj'!$D$135)-1</f>
        <v>7.6038709505122704E-2</v>
      </c>
      <c r="G16">
        <f>(1+'Rescale to Fit GDP Proj'!H135)/(1+'Rescale to Fit GDP Proj'!$D$135)-1</f>
        <v>9.6065580590205979E-2</v>
      </c>
      <c r="H16">
        <f>(1+'Rescale to Fit GDP Proj'!I135)/(1+'Rescale to Fit GDP Proj'!$D$135)-1</f>
        <v>0.11904267887993436</v>
      </c>
      <c r="I16">
        <f>(1+'Rescale to Fit GDP Proj'!J135)/(1+'Rescale to Fit GDP Proj'!$D$135)-1</f>
        <v>0.14168394942997664</v>
      </c>
      <c r="J16">
        <f>(1+'Rescale to Fit GDP Proj'!K135)/(1+'Rescale to Fit GDP Proj'!$D$135)-1</f>
        <v>0.16752386176865786</v>
      </c>
      <c r="K16">
        <f>(1+'Rescale to Fit GDP Proj'!L135)/(1+'Rescale to Fit GDP Proj'!$D$135)-1</f>
        <v>0.19564105941380228</v>
      </c>
      <c r="L16">
        <f>(1+'Rescale to Fit GDP Proj'!M135)/(1+'Rescale to Fit GDP Proj'!$D$135)-1</f>
        <v>0.22570520346287348</v>
      </c>
      <c r="M16">
        <f>(1+'Rescale to Fit GDP Proj'!N135)/(1+'Rescale to Fit GDP Proj'!$D$135)-1</f>
        <v>0.2576825981703581</v>
      </c>
      <c r="N16">
        <f>(1+'Rescale to Fit GDP Proj'!O135)/(1+'Rescale to Fit GDP Proj'!$D$135)-1</f>
        <v>0.28438758036319345</v>
      </c>
      <c r="O16">
        <f>(1+'Rescale to Fit GDP Proj'!P135)/(1+'Rescale to Fit GDP Proj'!$D$135)-1</f>
        <v>0.31096393956518953</v>
      </c>
      <c r="P16">
        <f>(1+'Rescale to Fit GDP Proj'!Q135)/(1+'Rescale to Fit GDP Proj'!$D$135)-1</f>
        <v>0.33771514628051702</v>
      </c>
      <c r="Q16">
        <f>(1+'Rescale to Fit GDP Proj'!R135)/(1+'Rescale to Fit GDP Proj'!$D$135)-1</f>
        <v>0.3640239092967259</v>
      </c>
      <c r="R16">
        <f>(1+'Rescale to Fit GDP Proj'!S135)/(1+'Rescale to Fit GDP Proj'!$D$135)-1</f>
        <v>0.39049662923859363</v>
      </c>
      <c r="S16">
        <f>(1+'Rescale to Fit GDP Proj'!T135)/(1+'Rescale to Fit GDP Proj'!$D$135)-1</f>
        <v>0.41623412437006957</v>
      </c>
      <c r="T16">
        <f>(1+'Rescale to Fit GDP Proj'!U135)/(1+'Rescale to Fit GDP Proj'!$D$135)-1</f>
        <v>0.44269058284025409</v>
      </c>
      <c r="U16">
        <f>(1+'Rescale to Fit GDP Proj'!V135)/(1+'Rescale to Fit GDP Proj'!$D$135)-1</f>
        <v>0.47024035473495274</v>
      </c>
      <c r="V16">
        <f>(1+'Rescale to Fit GDP Proj'!W135)/(1+'Rescale to Fit GDP Proj'!$D$135)-1</f>
        <v>0.49793819001916684</v>
      </c>
      <c r="W16">
        <f>(1+'Rescale to Fit GDP Proj'!X135)/(1+'Rescale to Fit GDP Proj'!$D$135)-1</f>
        <v>0.52527134038956858</v>
      </c>
      <c r="X16">
        <f>(1+'Rescale to Fit GDP Proj'!Y135)/(1+'Rescale to Fit GDP Proj'!$D$135)-1</f>
        <v>0.55174507447155685</v>
      </c>
      <c r="Y16">
        <f>(1+'Rescale to Fit GDP Proj'!Z135)/(1+'Rescale to Fit GDP Proj'!$D$135)-1</f>
        <v>0.57709985048860912</v>
      </c>
      <c r="Z16">
        <f>(1+'Rescale to Fit GDP Proj'!AA135)/(1+'Rescale to Fit GDP Proj'!$D$135)-1</f>
        <v>0.60259062073376568</v>
      </c>
      <c r="AA16">
        <f>(1+'Rescale to Fit GDP Proj'!AB135)/(1+'Rescale to Fit GDP Proj'!$D$135)-1</f>
        <v>0.62721641968002828</v>
      </c>
      <c r="AB16">
        <f>(1+'Rescale to Fit GDP Proj'!AC135)/(1+'Rescale to Fit GDP Proj'!$D$135)-1</f>
        <v>0.6527755125837118</v>
      </c>
    </row>
    <row r="17" spans="1:28" x14ac:dyDescent="0.25">
      <c r="A17" t="s">
        <v>241</v>
      </c>
      <c r="B17">
        <f>(1+'Rescale to Fit GDP Proj'!C136)/(1+'Rescale to Fit GDP Proj'!$D$136)-1</f>
        <v>-1.7415537408357884E-2</v>
      </c>
      <c r="C17">
        <f>(1+'Rescale to Fit GDP Proj'!D136)/(1+'Rescale to Fit GDP Proj'!$D$136)-1</f>
        <v>0</v>
      </c>
      <c r="D17">
        <f>(1+'Rescale to Fit GDP Proj'!E136)/(1+'Rescale to Fit GDP Proj'!$D$136)-1</f>
        <v>-5.8729664651617774E-3</v>
      </c>
      <c r="E17">
        <f>(1+'Rescale to Fit GDP Proj'!F136)/(1+'Rescale to Fit GDP Proj'!$D$136)-1</f>
        <v>1.6590145500608111E-2</v>
      </c>
      <c r="F17">
        <f>(1+'Rescale to Fit GDP Proj'!G136)/(1+'Rescale to Fit GDP Proj'!$D$136)-1</f>
        <v>2.8868919693506134E-2</v>
      </c>
      <c r="G17">
        <f>(1+'Rescale to Fit GDP Proj'!H136)/(1+'Rescale to Fit GDP Proj'!$D$136)-1</f>
        <v>3.3334373165817333E-2</v>
      </c>
      <c r="H17">
        <f>(1+'Rescale to Fit GDP Proj'!I136)/(1+'Rescale to Fit GDP Proj'!$D$136)-1</f>
        <v>4.4223992245098653E-2</v>
      </c>
      <c r="I17">
        <f>(1+'Rescale to Fit GDP Proj'!J136)/(1+'Rescale to Fit GDP Proj'!$D$136)-1</f>
        <v>5.6670750056900365E-2</v>
      </c>
      <c r="J17">
        <f>(1+'Rescale to Fit GDP Proj'!K136)/(1+'Rescale to Fit GDP Proj'!$D$136)-1</f>
        <v>6.4308669038993349E-2</v>
      </c>
      <c r="K17">
        <f>(1+'Rescale to Fit GDP Proj'!L136)/(1+'Rescale to Fit GDP Proj'!$D$136)-1</f>
        <v>7.1420248603816461E-2</v>
      </c>
      <c r="L17">
        <f>(1+'Rescale to Fit GDP Proj'!M136)/(1+'Rescale to Fit GDP Proj'!$D$136)-1</f>
        <v>7.6182908135094429E-2</v>
      </c>
      <c r="M17">
        <f>(1+'Rescale to Fit GDP Proj'!N136)/(1+'Rescale to Fit GDP Proj'!$D$136)-1</f>
        <v>8.4578285153710908E-2</v>
      </c>
      <c r="N17">
        <f>(1+'Rescale to Fit GDP Proj'!O136)/(1+'Rescale to Fit GDP Proj'!$D$136)-1</f>
        <v>9.711952565276194E-2</v>
      </c>
      <c r="O17">
        <f>(1+'Rescale to Fit GDP Proj'!P136)/(1+'Rescale to Fit GDP Proj'!$D$136)-1</f>
        <v>0.11199994035887362</v>
      </c>
      <c r="P17">
        <f>(1+'Rescale to Fit GDP Proj'!Q136)/(1+'Rescale to Fit GDP Proj'!$D$136)-1</f>
        <v>0.12530054085773679</v>
      </c>
      <c r="Q17">
        <f>(1+'Rescale to Fit GDP Proj'!R136)/(1+'Rescale to Fit GDP Proj'!$D$136)-1</f>
        <v>0.13638999102879512</v>
      </c>
      <c r="R17">
        <f>(1+'Rescale to Fit GDP Proj'!S136)/(1+'Rescale to Fit GDP Proj'!$D$136)-1</f>
        <v>0.14973416546031948</v>
      </c>
      <c r="S17">
        <f>(1+'Rescale to Fit GDP Proj'!T136)/(1+'Rescale to Fit GDP Proj'!$D$136)-1</f>
        <v>0.16321786810378769</v>
      </c>
      <c r="T17">
        <f>(1+'Rescale to Fit GDP Proj'!U136)/(1+'Rescale to Fit GDP Proj'!$D$136)-1</f>
        <v>0.17770320199777001</v>
      </c>
      <c r="U17">
        <f>(1+'Rescale to Fit GDP Proj'!V136)/(1+'Rescale to Fit GDP Proj'!$D$136)-1</f>
        <v>0.19121458723099827</v>
      </c>
      <c r="V17">
        <f>(1+'Rescale to Fit GDP Proj'!W136)/(1+'Rescale to Fit GDP Proj'!$D$136)-1</f>
        <v>0.20501858326882472</v>
      </c>
      <c r="W17">
        <f>(1+'Rescale to Fit GDP Proj'!X136)/(1+'Rescale to Fit GDP Proj'!$D$136)-1</f>
        <v>0.22013597056878842</v>
      </c>
      <c r="X17">
        <f>(1+'Rescale to Fit GDP Proj'!Y136)/(1+'Rescale to Fit GDP Proj'!$D$136)-1</f>
        <v>0.23323963688346194</v>
      </c>
      <c r="Y17">
        <f>(1+'Rescale to Fit GDP Proj'!Z136)/(1+'Rescale to Fit GDP Proj'!$D$136)-1</f>
        <v>0.24531123590735948</v>
      </c>
      <c r="Z17">
        <f>(1+'Rescale to Fit GDP Proj'!AA136)/(1+'Rescale to Fit GDP Proj'!$D$136)-1</f>
        <v>0.25499853652948801</v>
      </c>
      <c r="AA17">
        <f>(1+'Rescale to Fit GDP Proj'!AB136)/(1+'Rescale to Fit GDP Proj'!$D$136)-1</f>
        <v>0.26857601383007679</v>
      </c>
      <c r="AB17">
        <f>(1+'Rescale to Fit GDP Proj'!AC136)/(1+'Rescale to Fit GDP Proj'!$D$136)-1</f>
        <v>0.28212185190194794</v>
      </c>
    </row>
    <row r="18" spans="1:28" x14ac:dyDescent="0.25">
      <c r="A18" t="s">
        <v>1214</v>
      </c>
      <c r="B18">
        <f>(1+'Rescale to Fit GDP Proj'!C137)/(1+'Rescale to Fit GDP Proj'!$D$137)-1</f>
        <v>6.2622921689357014E-3</v>
      </c>
      <c r="C18">
        <f>(1+'Rescale to Fit GDP Proj'!D137)/(1+'Rescale to Fit GDP Proj'!$D$137)-1</f>
        <v>0</v>
      </c>
      <c r="D18">
        <f>(1+'Rescale to Fit GDP Proj'!E137)/(1+'Rescale to Fit GDP Proj'!$D$137)-1</f>
        <v>6.072025366654632E-4</v>
      </c>
      <c r="E18">
        <f>(1+'Rescale to Fit GDP Proj'!F137)/(1+'Rescale to Fit GDP Proj'!$D$137)-1</f>
        <v>3.0709136943967152E-3</v>
      </c>
      <c r="F18">
        <f>(1+'Rescale to Fit GDP Proj'!G137)/(1+'Rescale to Fit GDP Proj'!$D$137)-1</f>
        <v>1.9029494825688609E-3</v>
      </c>
      <c r="G18">
        <f>(1+'Rescale to Fit GDP Proj'!H137)/(1+'Rescale to Fit GDP Proj'!$D$137)-1</f>
        <v>3.3770481006278885E-4</v>
      </c>
      <c r="H18">
        <f>(1+'Rescale to Fit GDP Proj'!I137)/(1+'Rescale to Fit GDP Proj'!$D$137)-1</f>
        <v>7.6669640445437004E-4</v>
      </c>
      <c r="I18">
        <f>(1+'Rescale to Fit GDP Proj'!J137)/(1+'Rescale to Fit GDP Proj'!$D$137)-1</f>
        <v>2.4714513013150974E-3</v>
      </c>
      <c r="J18">
        <f>(1+'Rescale to Fit GDP Proj'!K137)/(1+'Rescale to Fit GDP Proj'!$D$137)-1</f>
        <v>6.5433297459720485E-3</v>
      </c>
      <c r="K18">
        <f>(1+'Rescale to Fit GDP Proj'!L137)/(1+'Rescale to Fit GDP Proj'!$D$137)-1</f>
        <v>1.3218335752792632E-2</v>
      </c>
      <c r="L18">
        <f>(1+'Rescale to Fit GDP Proj'!M137)/(1+'Rescale to Fit GDP Proj'!$D$137)-1</f>
        <v>2.1637172654082049E-2</v>
      </c>
      <c r="M18">
        <f>(1+'Rescale to Fit GDP Proj'!N137)/(1+'Rescale to Fit GDP Proj'!$D$137)-1</f>
        <v>3.2229488783687366E-2</v>
      </c>
      <c r="N18">
        <f>(1+'Rescale to Fit GDP Proj'!O137)/(1+'Rescale to Fit GDP Proj'!$D$137)-1</f>
        <v>4.2788639570785048E-2</v>
      </c>
      <c r="O18">
        <f>(1+'Rescale to Fit GDP Proj'!P137)/(1+'Rescale to Fit GDP Proj'!$D$137)-1</f>
        <v>5.289112188643319E-2</v>
      </c>
      <c r="P18">
        <f>(1+'Rescale to Fit GDP Proj'!Q137)/(1+'Rescale to Fit GDP Proj'!$D$137)-1</f>
        <v>6.3545359164709936E-2</v>
      </c>
      <c r="Q18">
        <f>(1+'Rescale to Fit GDP Proj'!R137)/(1+'Rescale to Fit GDP Proj'!$D$137)-1</f>
        <v>7.4103337202779729E-2</v>
      </c>
      <c r="R18">
        <f>(1+'Rescale to Fit GDP Proj'!S137)/(1+'Rescale to Fit GDP Proj'!$D$137)-1</f>
        <v>8.4918288007834075E-2</v>
      </c>
      <c r="S18">
        <f>(1+'Rescale to Fit GDP Proj'!T137)/(1+'Rescale to Fit GDP Proj'!$D$137)-1</f>
        <v>9.6307463646891023E-2</v>
      </c>
      <c r="T18">
        <f>(1+'Rescale to Fit GDP Proj'!U137)/(1+'Rescale to Fit GDP Proj'!$D$137)-1</f>
        <v>0.10811873511605574</v>
      </c>
      <c r="U18">
        <f>(1+'Rescale to Fit GDP Proj'!V137)/(1+'Rescale to Fit GDP Proj'!$D$137)-1</f>
        <v>0.12035655886163421</v>
      </c>
      <c r="V18">
        <f>(1+'Rescale to Fit GDP Proj'!W137)/(1+'Rescale to Fit GDP Proj'!$D$137)-1</f>
        <v>0.13243925136580703</v>
      </c>
      <c r="W18">
        <f>(1+'Rescale to Fit GDP Proj'!X137)/(1+'Rescale to Fit GDP Proj'!$D$137)-1</f>
        <v>0.14491805158163018</v>
      </c>
      <c r="X18">
        <f>(1+'Rescale to Fit GDP Proj'!Y137)/(1+'Rescale to Fit GDP Proj'!$D$137)-1</f>
        <v>0.15759476492339553</v>
      </c>
      <c r="Y18">
        <f>(1+'Rescale to Fit GDP Proj'!Z137)/(1+'Rescale to Fit GDP Proj'!$D$137)-1</f>
        <v>0.17029188409824569</v>
      </c>
      <c r="Z18">
        <f>(1+'Rescale to Fit GDP Proj'!AA137)/(1+'Rescale to Fit GDP Proj'!$D$137)-1</f>
        <v>0.18313325140352266</v>
      </c>
      <c r="AA18">
        <f>(1+'Rescale to Fit GDP Proj'!AB137)/(1+'Rescale to Fit GDP Proj'!$D$137)-1</f>
        <v>0.19550012445212728</v>
      </c>
      <c r="AB18">
        <f>(1+'Rescale to Fit GDP Proj'!AC137)/(1+'Rescale to Fit GDP Proj'!$D$137)-1</f>
        <v>0.20791001393507336</v>
      </c>
    </row>
    <row r="19" spans="1:28" x14ac:dyDescent="0.25">
      <c r="A19" t="s">
        <v>248</v>
      </c>
      <c r="B19">
        <f>(1+'Rescale to Fit GDP Proj'!C138)/(1+'Rescale to Fit GDP Proj'!$D$138)-1</f>
        <v>-3.3564091347025871E-3</v>
      </c>
      <c r="C19">
        <f>(1+'Rescale to Fit GDP Proj'!D138)/(1+'Rescale to Fit GDP Proj'!$D$138)-1</f>
        <v>0</v>
      </c>
      <c r="D19">
        <f>(1+'Rescale to Fit GDP Proj'!E138)/(1+'Rescale to Fit GDP Proj'!$D$138)-1</f>
        <v>-1.6100321389836081E-2</v>
      </c>
      <c r="E19">
        <f>(1+'Rescale to Fit GDP Proj'!F138)/(1+'Rescale to Fit GDP Proj'!$D$138)-1</f>
        <v>-3.3146050157885076E-2</v>
      </c>
      <c r="F19">
        <f>(1+'Rescale to Fit GDP Proj'!G138)/(1+'Rescale to Fit GDP Proj'!$D$138)-1</f>
        <v>-3.611055743106184E-2</v>
      </c>
      <c r="G19">
        <f>(1+'Rescale to Fit GDP Proj'!H138)/(1+'Rescale to Fit GDP Proj'!$D$138)-1</f>
        <v>-3.882659175590375E-2</v>
      </c>
      <c r="H19">
        <f>(1+'Rescale to Fit GDP Proj'!I138)/(1+'Rescale to Fit GDP Proj'!$D$138)-1</f>
        <v>-3.5990070949303399E-2</v>
      </c>
      <c r="I19">
        <f>(1+'Rescale to Fit GDP Proj'!J138)/(1+'Rescale to Fit GDP Proj'!$D$138)-1</f>
        <v>-2.878047271209605E-2</v>
      </c>
      <c r="J19">
        <f>(1+'Rescale to Fit GDP Proj'!K138)/(1+'Rescale to Fit GDP Proj'!$D$138)-1</f>
        <v>-2.2169158661990873E-2</v>
      </c>
      <c r="K19">
        <f>(1+'Rescale to Fit GDP Proj'!L138)/(1+'Rescale to Fit GDP Proj'!$D$138)-1</f>
        <v>-1.2989376360001192E-2</v>
      </c>
      <c r="L19">
        <f>(1+'Rescale to Fit GDP Proj'!M138)/(1+'Rescale to Fit GDP Proj'!$D$138)-1</f>
        <v>-3.2549491631006511E-3</v>
      </c>
      <c r="M19">
        <f>(1+'Rescale to Fit GDP Proj'!N138)/(1+'Rescale to Fit GDP Proj'!$D$138)-1</f>
        <v>6.2778744596128089E-3</v>
      </c>
      <c r="N19">
        <f>(1+'Rescale to Fit GDP Proj'!O138)/(1+'Rescale to Fit GDP Proj'!$D$138)-1</f>
        <v>1.6267002468346892E-2</v>
      </c>
      <c r="O19">
        <f>(1+'Rescale to Fit GDP Proj'!P138)/(1+'Rescale to Fit GDP Proj'!$D$138)-1</f>
        <v>2.5300170022886093E-2</v>
      </c>
      <c r="P19">
        <f>(1+'Rescale to Fit GDP Proj'!Q138)/(1+'Rescale to Fit GDP Proj'!$D$138)-1</f>
        <v>3.4933867335202207E-2</v>
      </c>
      <c r="Q19">
        <f>(1+'Rescale to Fit GDP Proj'!R138)/(1+'Rescale to Fit GDP Proj'!$D$138)-1</f>
        <v>4.4217974647241753E-2</v>
      </c>
      <c r="R19">
        <f>(1+'Rescale to Fit GDP Proj'!S138)/(1+'Rescale to Fit GDP Proj'!$D$138)-1</f>
        <v>4.9407897769410569E-2</v>
      </c>
      <c r="S19">
        <f>(1+'Rescale to Fit GDP Proj'!T138)/(1+'Rescale to Fit GDP Proj'!$D$138)-1</f>
        <v>5.110881246778054E-2</v>
      </c>
      <c r="T19">
        <f>(1+'Rescale to Fit GDP Proj'!U138)/(1+'Rescale to Fit GDP Proj'!$D$138)-1</f>
        <v>5.0732087566681461E-2</v>
      </c>
      <c r="U19">
        <f>(1+'Rescale to Fit GDP Proj'!V138)/(1+'Rescale to Fit GDP Proj'!$D$138)-1</f>
        <v>4.598918787587003E-2</v>
      </c>
      <c r="V19">
        <f>(1+'Rescale to Fit GDP Proj'!W138)/(1+'Rescale to Fit GDP Proj'!$D$138)-1</f>
        <v>3.9386977789635846E-2</v>
      </c>
      <c r="W19">
        <f>(1+'Rescale to Fit GDP Proj'!X138)/(1+'Rescale to Fit GDP Proj'!$D$138)-1</f>
        <v>4.0806676243122508E-2</v>
      </c>
      <c r="X19">
        <f>(1+'Rescale to Fit GDP Proj'!Y138)/(1+'Rescale to Fit GDP Proj'!$D$138)-1</f>
        <v>4.7341939562224322E-2</v>
      </c>
      <c r="Y19">
        <f>(1+'Rescale to Fit GDP Proj'!Z138)/(1+'Rescale to Fit GDP Proj'!$D$138)-1</f>
        <v>5.4126759898262877E-2</v>
      </c>
      <c r="Z19">
        <f>(1+'Rescale to Fit GDP Proj'!AA138)/(1+'Rescale to Fit GDP Proj'!$D$138)-1</f>
        <v>6.1085130767932538E-2</v>
      </c>
      <c r="AA19">
        <f>(1+'Rescale to Fit GDP Proj'!AB138)/(1+'Rescale to Fit GDP Proj'!$D$138)-1</f>
        <v>6.7835570642595489E-2</v>
      </c>
      <c r="AB19">
        <f>(1+'Rescale to Fit GDP Proj'!AC138)/(1+'Rescale to Fit GDP Proj'!$D$138)-1</f>
        <v>7.5688452975809062E-2</v>
      </c>
    </row>
    <row r="20" spans="1:28" x14ac:dyDescent="0.25">
      <c r="A20" t="s">
        <v>253</v>
      </c>
      <c r="B20">
        <f>(1+'Rescale to Fit GDP Proj'!C139)/(1+'Rescale to Fit GDP Proj'!$D$139)-1</f>
        <v>1.4526829628286553E-2</v>
      </c>
      <c r="C20">
        <f>(1+'Rescale to Fit GDP Proj'!D139)/(1+'Rescale to Fit GDP Proj'!$D$139)-1</f>
        <v>0</v>
      </c>
      <c r="D20">
        <f>(1+'Rescale to Fit GDP Proj'!E139)/(1+'Rescale to Fit GDP Proj'!$D$139)-1</f>
        <v>2.0563609513499115E-2</v>
      </c>
      <c r="E20">
        <f>(1+'Rescale to Fit GDP Proj'!F139)/(1+'Rescale to Fit GDP Proj'!$D$139)-1</f>
        <v>5.2228170314032596E-2</v>
      </c>
      <c r="F20">
        <f>(1+'Rescale to Fit GDP Proj'!G139)/(1+'Rescale to Fit GDP Proj'!$D$139)-1</f>
        <v>5.0663220139332443E-2</v>
      </c>
      <c r="G20">
        <f>(1+'Rescale to Fit GDP Proj'!H139)/(1+'Rescale to Fit GDP Proj'!$D$139)-1</f>
        <v>5.8661498527584621E-2</v>
      </c>
      <c r="H20">
        <f>(1+'Rescale to Fit GDP Proj'!I139)/(1+'Rescale to Fit GDP Proj'!$D$139)-1</f>
        <v>7.8603119460530335E-2</v>
      </c>
      <c r="I20">
        <f>(1+'Rescale to Fit GDP Proj'!J139)/(1+'Rescale to Fit GDP Proj'!$D$139)-1</f>
        <v>9.4428842831478788E-2</v>
      </c>
      <c r="J20">
        <f>(1+'Rescale to Fit GDP Proj'!K139)/(1+'Rescale to Fit GDP Proj'!$D$139)-1</f>
        <v>0.11450068099015653</v>
      </c>
      <c r="K20">
        <f>(1+'Rescale to Fit GDP Proj'!L139)/(1+'Rescale to Fit GDP Proj'!$D$139)-1</f>
        <v>0.13161188599834328</v>
      </c>
      <c r="L20">
        <f>(1+'Rescale to Fit GDP Proj'!M139)/(1+'Rescale to Fit GDP Proj'!$D$139)-1</f>
        <v>0.13955440626117066</v>
      </c>
      <c r="M20">
        <f>(1+'Rescale to Fit GDP Proj'!N139)/(1+'Rescale to Fit GDP Proj'!$D$139)-1</f>
        <v>0.15264082251936806</v>
      </c>
      <c r="N20">
        <f>(1+'Rescale to Fit GDP Proj'!O139)/(1+'Rescale to Fit GDP Proj'!$D$139)-1</f>
        <v>0.15924452245815846</v>
      </c>
      <c r="O20">
        <f>(1+'Rescale to Fit GDP Proj'!P139)/(1+'Rescale to Fit GDP Proj'!$D$139)-1</f>
        <v>0.168461397278169</v>
      </c>
      <c r="P20">
        <f>(1+'Rescale to Fit GDP Proj'!Q139)/(1+'Rescale to Fit GDP Proj'!$D$139)-1</f>
        <v>0.17474317746651291</v>
      </c>
      <c r="Q20">
        <f>(1+'Rescale to Fit GDP Proj'!R139)/(1+'Rescale to Fit GDP Proj'!$D$139)-1</f>
        <v>0.1795393989625893</v>
      </c>
      <c r="R20">
        <f>(1+'Rescale to Fit GDP Proj'!S139)/(1+'Rescale to Fit GDP Proj'!$D$139)-1</f>
        <v>0.19050498441174435</v>
      </c>
      <c r="S20">
        <f>(1+'Rescale to Fit GDP Proj'!T139)/(1+'Rescale to Fit GDP Proj'!$D$139)-1</f>
        <v>0.20295072864666874</v>
      </c>
      <c r="T20">
        <f>(1+'Rescale to Fit GDP Proj'!U139)/(1+'Rescale to Fit GDP Proj'!$D$139)-1</f>
        <v>0.2145848447276173</v>
      </c>
      <c r="U20">
        <f>(1+'Rescale to Fit GDP Proj'!V139)/(1+'Rescale to Fit GDP Proj'!$D$139)-1</f>
        <v>0.22365291822810573</v>
      </c>
      <c r="V20">
        <f>(1+'Rescale to Fit GDP Proj'!W139)/(1+'Rescale to Fit GDP Proj'!$D$139)-1</f>
        <v>0.2323363769598521</v>
      </c>
      <c r="W20">
        <f>(1+'Rescale to Fit GDP Proj'!X139)/(1+'Rescale to Fit GDP Proj'!$D$139)-1</f>
        <v>0.24698066624256754</v>
      </c>
      <c r="X20">
        <f>(1+'Rescale to Fit GDP Proj'!Y139)/(1+'Rescale to Fit GDP Proj'!$D$139)-1</f>
        <v>0.2575492767473937</v>
      </c>
      <c r="Y20">
        <f>(1+'Rescale to Fit GDP Proj'!Z139)/(1+'Rescale to Fit GDP Proj'!$D$139)-1</f>
        <v>0.27161759937993168</v>
      </c>
      <c r="Z20">
        <f>(1+'Rescale to Fit GDP Proj'!AA139)/(1+'Rescale to Fit GDP Proj'!$D$139)-1</f>
        <v>0.28279447078093622</v>
      </c>
      <c r="AA20">
        <f>(1+'Rescale to Fit GDP Proj'!AB139)/(1+'Rescale to Fit GDP Proj'!$D$139)-1</f>
        <v>0.28799456320582939</v>
      </c>
      <c r="AB20">
        <f>(1+'Rescale to Fit GDP Proj'!AC139)/(1+'Rescale to Fit GDP Proj'!$D$139)-1</f>
        <v>0.29798842846789997</v>
      </c>
    </row>
    <row r="21" spans="1:28" x14ac:dyDescent="0.25">
      <c r="A21" t="s">
        <v>258</v>
      </c>
      <c r="B21">
        <f>(1+'Rescale to Fit GDP Proj'!C140)/(1+'Rescale to Fit GDP Proj'!$D$140)-1</f>
        <v>-2.7415583099843488E-4</v>
      </c>
      <c r="C21">
        <f>(1+'Rescale to Fit GDP Proj'!D140)/(1+'Rescale to Fit GDP Proj'!$D$140)-1</f>
        <v>0</v>
      </c>
      <c r="D21">
        <f>(1+'Rescale to Fit GDP Proj'!E140)/(1+'Rescale to Fit GDP Proj'!$D$140)-1</f>
        <v>-4.7853998918001572E-4</v>
      </c>
      <c r="E21">
        <f>(1+'Rescale to Fit GDP Proj'!F140)/(1+'Rescale to Fit GDP Proj'!$D$140)-1</f>
        <v>5.9915763648581422E-3</v>
      </c>
      <c r="F21">
        <f>(1+'Rescale to Fit GDP Proj'!G140)/(1+'Rescale to Fit GDP Proj'!$D$140)-1</f>
        <v>1.1429205798839437E-2</v>
      </c>
      <c r="G21">
        <f>(1+'Rescale to Fit GDP Proj'!H140)/(1+'Rescale to Fit GDP Proj'!$D$140)-1</f>
        <v>1.5239114232235895E-2</v>
      </c>
      <c r="H21">
        <f>(1+'Rescale to Fit GDP Proj'!I140)/(1+'Rescale to Fit GDP Proj'!$D$140)-1</f>
        <v>2.0028608499080613E-2</v>
      </c>
      <c r="I21">
        <f>(1+'Rescale to Fit GDP Proj'!J140)/(1+'Rescale to Fit GDP Proj'!$D$140)-1</f>
        <v>2.5211708686958767E-2</v>
      </c>
      <c r="J21">
        <f>(1+'Rescale to Fit GDP Proj'!K140)/(1+'Rescale to Fit GDP Proj'!$D$140)-1</f>
        <v>3.1631935301196012E-2</v>
      </c>
      <c r="K21">
        <f>(1+'Rescale to Fit GDP Proj'!L140)/(1+'Rescale to Fit GDP Proj'!$D$140)-1</f>
        <v>3.9536597399643769E-2</v>
      </c>
      <c r="L21">
        <f>(1+'Rescale to Fit GDP Proj'!M140)/(1+'Rescale to Fit GDP Proj'!$D$140)-1</f>
        <v>4.8607821791947226E-2</v>
      </c>
      <c r="M21">
        <f>(1+'Rescale to Fit GDP Proj'!N140)/(1+'Rescale to Fit GDP Proj'!$D$140)-1</f>
        <v>5.9176011336610879E-2</v>
      </c>
      <c r="N21">
        <f>(1+'Rescale to Fit GDP Proj'!O140)/(1+'Rescale to Fit GDP Proj'!$D$140)-1</f>
        <v>7.0293507520433396E-2</v>
      </c>
      <c r="O21">
        <f>(1+'Rescale to Fit GDP Proj'!P140)/(1+'Rescale to Fit GDP Proj'!$D$140)-1</f>
        <v>8.1353497546359455E-2</v>
      </c>
      <c r="P21">
        <f>(1+'Rescale to Fit GDP Proj'!Q140)/(1+'Rescale to Fit GDP Proj'!$D$140)-1</f>
        <v>9.247310695601163E-2</v>
      </c>
      <c r="Q21">
        <f>(1+'Rescale to Fit GDP Proj'!R140)/(1+'Rescale to Fit GDP Proj'!$D$140)-1</f>
        <v>0.10351261630160313</v>
      </c>
      <c r="R21">
        <f>(1+'Rescale to Fit GDP Proj'!S140)/(1+'Rescale to Fit GDP Proj'!$D$140)-1</f>
        <v>0.1146405905634984</v>
      </c>
      <c r="S21">
        <f>(1+'Rescale to Fit GDP Proj'!T140)/(1+'Rescale to Fit GDP Proj'!$D$140)-1</f>
        <v>0.12597379427390742</v>
      </c>
      <c r="T21">
        <f>(1+'Rescale to Fit GDP Proj'!U140)/(1+'Rescale to Fit GDP Proj'!$D$140)-1</f>
        <v>0.13738905278227009</v>
      </c>
      <c r="U21">
        <f>(1+'Rescale to Fit GDP Proj'!V140)/(1+'Rescale to Fit GDP Proj'!$D$140)-1</f>
        <v>0.14879702946662676</v>
      </c>
      <c r="V21">
        <f>(1+'Rescale to Fit GDP Proj'!W140)/(1+'Rescale to Fit GDP Proj'!$D$140)-1</f>
        <v>0.16003050652808004</v>
      </c>
      <c r="W21">
        <f>(1+'Rescale to Fit GDP Proj'!X140)/(1+'Rescale to Fit GDP Proj'!$D$140)-1</f>
        <v>0.17106563973518218</v>
      </c>
      <c r="X21">
        <f>(1+'Rescale to Fit GDP Proj'!Y140)/(1+'Rescale to Fit GDP Proj'!$D$140)-1</f>
        <v>0.18180792386779898</v>
      </c>
      <c r="Y21">
        <f>(1+'Rescale to Fit GDP Proj'!Z140)/(1+'Rescale to Fit GDP Proj'!$D$140)-1</f>
        <v>0.19208552725063677</v>
      </c>
      <c r="Z21">
        <f>(1+'Rescale to Fit GDP Proj'!AA140)/(1+'Rescale to Fit GDP Proj'!$D$140)-1</f>
        <v>0.20175592160657696</v>
      </c>
      <c r="AA21">
        <f>(1+'Rescale to Fit GDP Proj'!AB140)/(1+'Rescale to Fit GDP Proj'!$D$140)-1</f>
        <v>0.21075584223733679</v>
      </c>
      <c r="AB21">
        <f>(1+'Rescale to Fit GDP Proj'!AC140)/(1+'Rescale to Fit GDP Proj'!$D$140)-1</f>
        <v>0.21933458815509077</v>
      </c>
    </row>
    <row r="22" spans="1:28" x14ac:dyDescent="0.25">
      <c r="A22" t="s">
        <v>265</v>
      </c>
      <c r="B22">
        <f>(1+'Rescale to Fit GDP Proj'!C141)/(1+'Rescale to Fit GDP Proj'!$D$141)-1</f>
        <v>-2.5184411281869434E-2</v>
      </c>
      <c r="C22">
        <f>(1+'Rescale to Fit GDP Proj'!D141)/(1+'Rescale to Fit GDP Proj'!$D$141)-1</f>
        <v>0</v>
      </c>
      <c r="D22">
        <f>(1+'Rescale to Fit GDP Proj'!E141)/(1+'Rescale to Fit GDP Proj'!$D$141)-1</f>
        <v>2.1302773500079919E-2</v>
      </c>
      <c r="E22">
        <f>(1+'Rescale to Fit GDP Proj'!F141)/(1+'Rescale to Fit GDP Proj'!$D$141)-1</f>
        <v>3.9069346637664371E-2</v>
      </c>
      <c r="F22">
        <f>(1+'Rescale to Fit GDP Proj'!G141)/(1+'Rescale to Fit GDP Proj'!$D$141)-1</f>
        <v>3.0028686183286801E-2</v>
      </c>
      <c r="G22">
        <f>(1+'Rescale to Fit GDP Proj'!H141)/(1+'Rescale to Fit GDP Proj'!$D$141)-1</f>
        <v>2.6186195268342871E-2</v>
      </c>
      <c r="H22">
        <f>(1+'Rescale to Fit GDP Proj'!I141)/(1+'Rescale to Fit GDP Proj'!$D$141)-1</f>
        <v>2.5972460337102765E-2</v>
      </c>
      <c r="I22">
        <f>(1+'Rescale to Fit GDP Proj'!J141)/(1+'Rescale to Fit GDP Proj'!$D$141)-1</f>
        <v>2.7249551932587934E-2</v>
      </c>
      <c r="J22">
        <f>(1+'Rescale to Fit GDP Proj'!K141)/(1+'Rescale to Fit GDP Proj'!$D$141)-1</f>
        <v>3.7020234092398185E-2</v>
      </c>
      <c r="K22">
        <f>(1+'Rescale to Fit GDP Proj'!L141)/(1+'Rescale to Fit GDP Proj'!$D$141)-1</f>
        <v>4.4536429303661196E-2</v>
      </c>
      <c r="L22">
        <f>(1+'Rescale to Fit GDP Proj'!M141)/(1+'Rescale to Fit GDP Proj'!$D$141)-1</f>
        <v>5.7568104130743869E-2</v>
      </c>
      <c r="M22">
        <f>(1+'Rescale to Fit GDP Proj'!N141)/(1+'Rescale to Fit GDP Proj'!$D$141)-1</f>
        <v>7.0058310685966907E-2</v>
      </c>
      <c r="N22">
        <f>(1+'Rescale to Fit GDP Proj'!O141)/(1+'Rescale to Fit GDP Proj'!$D$141)-1</f>
        <v>7.8524653793325738E-2</v>
      </c>
      <c r="O22">
        <f>(1+'Rescale to Fit GDP Proj'!P141)/(1+'Rescale to Fit GDP Proj'!$D$141)-1</f>
        <v>8.8045109928002852E-2</v>
      </c>
      <c r="P22">
        <f>(1+'Rescale to Fit GDP Proj'!Q141)/(1+'Rescale to Fit GDP Proj'!$D$141)-1</f>
        <v>9.9390910398549748E-2</v>
      </c>
      <c r="Q22">
        <f>(1+'Rescale to Fit GDP Proj'!R141)/(1+'Rescale to Fit GDP Proj'!$D$141)-1</f>
        <v>0.10722146339490646</v>
      </c>
      <c r="R22">
        <f>(1+'Rescale to Fit GDP Proj'!S141)/(1+'Rescale to Fit GDP Proj'!$D$141)-1</f>
        <v>0.11817756463796059</v>
      </c>
      <c r="S22">
        <f>(1+'Rescale to Fit GDP Proj'!T141)/(1+'Rescale to Fit GDP Proj'!$D$141)-1</f>
        <v>0.12828463396166345</v>
      </c>
      <c r="T22">
        <f>(1+'Rescale to Fit GDP Proj'!U141)/(1+'Rescale to Fit GDP Proj'!$D$141)-1</f>
        <v>0.13952764892829439</v>
      </c>
      <c r="U22">
        <f>(1+'Rescale to Fit GDP Proj'!V141)/(1+'Rescale to Fit GDP Proj'!$D$141)-1</f>
        <v>0.15106662787390324</v>
      </c>
      <c r="V22">
        <f>(1+'Rescale to Fit GDP Proj'!W141)/(1+'Rescale to Fit GDP Proj'!$D$141)-1</f>
        <v>0.16742332399140514</v>
      </c>
      <c r="W22">
        <f>(1+'Rescale to Fit GDP Proj'!X141)/(1+'Rescale to Fit GDP Proj'!$D$141)-1</f>
        <v>0.18328861831404231</v>
      </c>
      <c r="X22">
        <f>(1+'Rescale to Fit GDP Proj'!Y141)/(1+'Rescale to Fit GDP Proj'!$D$141)-1</f>
        <v>0.1973032901123799</v>
      </c>
      <c r="Y22">
        <f>(1+'Rescale to Fit GDP Proj'!Z141)/(1+'Rescale to Fit GDP Proj'!$D$141)-1</f>
        <v>0.20466663656575812</v>
      </c>
      <c r="Z22">
        <f>(1+'Rescale to Fit GDP Proj'!AA141)/(1+'Rescale to Fit GDP Proj'!$D$141)-1</f>
        <v>0.20892203893732519</v>
      </c>
      <c r="AA22">
        <f>(1+'Rescale to Fit GDP Proj'!AB141)/(1+'Rescale to Fit GDP Proj'!$D$141)-1</f>
        <v>0.22191662963383596</v>
      </c>
      <c r="AB22">
        <f>(1+'Rescale to Fit GDP Proj'!AC141)/(1+'Rescale to Fit GDP Proj'!$D$141)-1</f>
        <v>0.2337134054913077</v>
      </c>
    </row>
    <row r="23" spans="1:28" x14ac:dyDescent="0.25">
      <c r="A23" t="s">
        <v>291</v>
      </c>
      <c r="B23">
        <f>(1+'Rescale to Fit GDP Proj'!C142)/(1+'Rescale to Fit GDP Proj'!$D$142)-1</f>
        <v>7.0086543609783281E-2</v>
      </c>
      <c r="C23">
        <f>(1+'Rescale to Fit GDP Proj'!D142)/(1+'Rescale to Fit GDP Proj'!$D$142)-1</f>
        <v>0</v>
      </c>
      <c r="D23">
        <f>(1+'Rescale to Fit GDP Proj'!E142)/(1+'Rescale to Fit GDP Proj'!$D$142)-1</f>
        <v>1.0492355573263001E-2</v>
      </c>
      <c r="E23">
        <f>(1+'Rescale to Fit GDP Proj'!F142)/(1+'Rescale to Fit GDP Proj'!$D$142)-1</f>
        <v>4.8356484395529531E-2</v>
      </c>
      <c r="F23">
        <f>(1+'Rescale to Fit GDP Proj'!G142)/(1+'Rescale to Fit GDP Proj'!$D$142)-1</f>
        <v>7.3467057953184201E-2</v>
      </c>
      <c r="G23">
        <f>(1+'Rescale to Fit GDP Proj'!H142)/(1+'Rescale to Fit GDP Proj'!$D$142)-1</f>
        <v>0.10079407466659118</v>
      </c>
      <c r="H23">
        <f>(1+'Rescale to Fit GDP Proj'!I142)/(1+'Rescale to Fit GDP Proj'!$D$142)-1</f>
        <v>0.12330206200222316</v>
      </c>
      <c r="I23">
        <f>(1+'Rescale to Fit GDP Proj'!J142)/(1+'Rescale to Fit GDP Proj'!$D$142)-1</f>
        <v>0.14133544878732107</v>
      </c>
      <c r="J23">
        <f>(1+'Rescale to Fit GDP Proj'!K142)/(1+'Rescale to Fit GDP Proj'!$D$142)-1</f>
        <v>0.16324674473355349</v>
      </c>
      <c r="K23">
        <f>(1+'Rescale to Fit GDP Proj'!L142)/(1+'Rescale to Fit GDP Proj'!$D$142)-1</f>
        <v>0.17933420227257146</v>
      </c>
      <c r="L23">
        <f>(1+'Rescale to Fit GDP Proj'!M142)/(1+'Rescale to Fit GDP Proj'!$D$142)-1</f>
        <v>0.20014681087249686</v>
      </c>
      <c r="M23">
        <f>(1+'Rescale to Fit GDP Proj'!N142)/(1+'Rescale to Fit GDP Proj'!$D$142)-1</f>
        <v>0.22472258954933699</v>
      </c>
      <c r="N23">
        <f>(1+'Rescale to Fit GDP Proj'!O142)/(1+'Rescale to Fit GDP Proj'!$D$142)-1</f>
        <v>0.24906050489501519</v>
      </c>
      <c r="O23">
        <f>(1+'Rescale to Fit GDP Proj'!P142)/(1+'Rescale to Fit GDP Proj'!$D$142)-1</f>
        <v>0.27530471937896595</v>
      </c>
      <c r="P23">
        <f>(1+'Rescale to Fit GDP Proj'!Q142)/(1+'Rescale to Fit GDP Proj'!$D$142)-1</f>
        <v>0.30152755996640734</v>
      </c>
      <c r="Q23">
        <f>(1+'Rescale to Fit GDP Proj'!R142)/(1+'Rescale to Fit GDP Proj'!$D$142)-1</f>
        <v>0.32992921748058834</v>
      </c>
      <c r="R23">
        <f>(1+'Rescale to Fit GDP Proj'!S142)/(1+'Rescale to Fit GDP Proj'!$D$142)-1</f>
        <v>0.35949234649014694</v>
      </c>
      <c r="S23">
        <f>(1+'Rescale to Fit GDP Proj'!T142)/(1+'Rescale to Fit GDP Proj'!$D$142)-1</f>
        <v>0.38856268668492921</v>
      </c>
      <c r="T23">
        <f>(1+'Rescale to Fit GDP Proj'!U142)/(1+'Rescale to Fit GDP Proj'!$D$142)-1</f>
        <v>0.41988546446511843</v>
      </c>
      <c r="U23">
        <f>(1+'Rescale to Fit GDP Proj'!V142)/(1+'Rescale to Fit GDP Proj'!$D$142)-1</f>
        <v>0.4529534917849416</v>
      </c>
      <c r="V23">
        <f>(1+'Rescale to Fit GDP Proj'!W142)/(1+'Rescale to Fit GDP Proj'!$D$142)-1</f>
        <v>0.48951884693604009</v>
      </c>
      <c r="W23">
        <f>(1+'Rescale to Fit GDP Proj'!X142)/(1+'Rescale to Fit GDP Proj'!$D$142)-1</f>
        <v>0.5281465046486884</v>
      </c>
      <c r="X23">
        <f>(1+'Rescale to Fit GDP Proj'!Y142)/(1+'Rescale to Fit GDP Proj'!$D$142)-1</f>
        <v>0.56879667917400689</v>
      </c>
      <c r="Y23">
        <f>(1+'Rescale to Fit GDP Proj'!Z142)/(1+'Rescale to Fit GDP Proj'!$D$142)-1</f>
        <v>0.60799282319564574</v>
      </c>
      <c r="Z23">
        <f>(1+'Rescale to Fit GDP Proj'!AA142)/(1+'Rescale to Fit GDP Proj'!$D$142)-1</f>
        <v>0.64739068777339526</v>
      </c>
      <c r="AA23">
        <f>(1+'Rescale to Fit GDP Proj'!AB142)/(1+'Rescale to Fit GDP Proj'!$D$142)-1</f>
        <v>0.6875859210150983</v>
      </c>
      <c r="AB23">
        <f>(1+'Rescale to Fit GDP Proj'!AC142)/(1+'Rescale to Fit GDP Proj'!$D$142)-1</f>
        <v>0.72348675202047286</v>
      </c>
    </row>
    <row r="24" spans="1:28" x14ac:dyDescent="0.25">
      <c r="A24" t="s">
        <v>306</v>
      </c>
      <c r="B24">
        <f>(1+'Rescale to Fit GDP Proj'!C143)/(1+'Rescale to Fit GDP Proj'!$D$143)-1</f>
        <v>-9.4928378918165413E-3</v>
      </c>
      <c r="C24">
        <f>(1+'Rescale to Fit GDP Proj'!D143)/(1+'Rescale to Fit GDP Proj'!$D$143)-1</f>
        <v>0</v>
      </c>
      <c r="D24">
        <f>(1+'Rescale to Fit GDP Proj'!E143)/(1+'Rescale to Fit GDP Proj'!$D$143)-1</f>
        <v>-1.3180751806413871E-2</v>
      </c>
      <c r="E24">
        <f>(1+'Rescale to Fit GDP Proj'!F143)/(1+'Rescale to Fit GDP Proj'!$D$143)-1</f>
        <v>-1.860418843505407E-2</v>
      </c>
      <c r="F24">
        <f>(1+'Rescale to Fit GDP Proj'!G143)/(1+'Rescale to Fit GDP Proj'!$D$143)-1</f>
        <v>-3.3972805562477504E-2</v>
      </c>
      <c r="G24">
        <f>(1+'Rescale to Fit GDP Proj'!H143)/(1+'Rescale to Fit GDP Proj'!$D$143)-1</f>
        <v>-3.754328673434959E-2</v>
      </c>
      <c r="H24">
        <f>(1+'Rescale to Fit GDP Proj'!I143)/(1+'Rescale to Fit GDP Proj'!$D$143)-1</f>
        <v>-2.0187434052389763E-2</v>
      </c>
      <c r="I24">
        <f>(1+'Rescale to Fit GDP Proj'!J143)/(1+'Rescale to Fit GDP Proj'!$D$143)-1</f>
        <v>-4.3878695290446856E-3</v>
      </c>
      <c r="J24">
        <f>(1+'Rescale to Fit GDP Proj'!K143)/(1+'Rescale to Fit GDP Proj'!$D$143)-1</f>
        <v>1.2348333545946888E-2</v>
      </c>
      <c r="K24">
        <f>(1+'Rescale to Fit GDP Proj'!L143)/(1+'Rescale to Fit GDP Proj'!$D$143)-1</f>
        <v>1.7885407401801334E-2</v>
      </c>
      <c r="L24">
        <f>(1+'Rescale to Fit GDP Proj'!M143)/(1+'Rescale to Fit GDP Proj'!$D$143)-1</f>
        <v>2.2393938820397974E-2</v>
      </c>
      <c r="M24">
        <f>(1+'Rescale to Fit GDP Proj'!N143)/(1+'Rescale to Fit GDP Proj'!$D$143)-1</f>
        <v>3.3349994434793473E-2</v>
      </c>
      <c r="N24">
        <f>(1+'Rescale to Fit GDP Proj'!O143)/(1+'Rescale to Fit GDP Proj'!$D$143)-1</f>
        <v>4.1173540935577124E-2</v>
      </c>
      <c r="O24">
        <f>(1+'Rescale to Fit GDP Proj'!P143)/(1+'Rescale to Fit GDP Proj'!$D$143)-1</f>
        <v>4.8407176411951358E-2</v>
      </c>
      <c r="P24">
        <f>(1+'Rescale to Fit GDP Proj'!Q143)/(1+'Rescale to Fit GDP Proj'!$D$143)-1</f>
        <v>5.3669307857990844E-2</v>
      </c>
      <c r="Q24">
        <f>(1+'Rescale to Fit GDP Proj'!R143)/(1+'Rescale to Fit GDP Proj'!$D$143)-1</f>
        <v>5.868024211263756E-2</v>
      </c>
      <c r="R24">
        <f>(1+'Rescale to Fit GDP Proj'!S143)/(1+'Rescale to Fit GDP Proj'!$D$143)-1</f>
        <v>6.5652291336230073E-2</v>
      </c>
      <c r="S24">
        <f>(1+'Rescale to Fit GDP Proj'!T143)/(1+'Rescale to Fit GDP Proj'!$D$143)-1</f>
        <v>7.168454048746109E-2</v>
      </c>
      <c r="T24">
        <f>(1+'Rescale to Fit GDP Proj'!U143)/(1+'Rescale to Fit GDP Proj'!$D$143)-1</f>
        <v>7.873810453527641E-2</v>
      </c>
      <c r="U24">
        <f>(1+'Rescale to Fit GDP Proj'!V143)/(1+'Rescale to Fit GDP Proj'!$D$143)-1</f>
        <v>8.4754748961264781E-2</v>
      </c>
      <c r="V24">
        <f>(1+'Rescale to Fit GDP Proj'!W143)/(1+'Rescale to Fit GDP Proj'!$D$143)-1</f>
        <v>9.054624915533882E-2</v>
      </c>
      <c r="W24">
        <f>(1+'Rescale to Fit GDP Proj'!X143)/(1+'Rescale to Fit GDP Proj'!$D$143)-1</f>
        <v>9.7416199857002672E-2</v>
      </c>
      <c r="X24">
        <f>(1+'Rescale to Fit GDP Proj'!Y143)/(1+'Rescale to Fit GDP Proj'!$D$143)-1</f>
        <v>0.10615516721693008</v>
      </c>
      <c r="Y24">
        <f>(1+'Rescale to Fit GDP Proj'!Z143)/(1+'Rescale to Fit GDP Proj'!$D$143)-1</f>
        <v>0.11481713379558145</v>
      </c>
      <c r="Z24">
        <f>(1+'Rescale to Fit GDP Proj'!AA143)/(1+'Rescale to Fit GDP Proj'!$D$143)-1</f>
        <v>0.1223704632610958</v>
      </c>
      <c r="AA24">
        <f>(1+'Rescale to Fit GDP Proj'!AB143)/(1+'Rescale to Fit GDP Proj'!$D$143)-1</f>
        <v>0.1285117679704828</v>
      </c>
      <c r="AB24">
        <f>(1+'Rescale to Fit GDP Proj'!AC143)/(1+'Rescale to Fit GDP Proj'!$D$143)-1</f>
        <v>0.13280521454126015</v>
      </c>
    </row>
    <row r="25" spans="1:28" x14ac:dyDescent="0.25">
      <c r="A25" t="s">
        <v>280</v>
      </c>
      <c r="B25">
        <f>(1+'Rescale to Fit GDP Proj'!C144)/(1+'Rescale to Fit GDP Proj'!$D$144)-1</f>
        <v>-2.3758244651829852E-2</v>
      </c>
      <c r="C25">
        <f>(1+'Rescale to Fit GDP Proj'!D144)/(1+'Rescale to Fit GDP Proj'!$D$144)-1</f>
        <v>0</v>
      </c>
      <c r="D25">
        <f>(1+'Rescale to Fit GDP Proj'!E144)/(1+'Rescale to Fit GDP Proj'!$D$144)-1</f>
        <v>-2.0461753244390035E-2</v>
      </c>
      <c r="E25">
        <f>(1+'Rescale to Fit GDP Proj'!F144)/(1+'Rescale to Fit GDP Proj'!$D$144)-1</f>
        <v>3.1545271848745227E-3</v>
      </c>
      <c r="F25">
        <f>(1+'Rescale to Fit GDP Proj'!G144)/(1+'Rescale to Fit GDP Proj'!$D$144)-1</f>
        <v>2.2043316450130579E-2</v>
      </c>
      <c r="G25">
        <f>(1+'Rescale to Fit GDP Proj'!H144)/(1+'Rescale to Fit GDP Proj'!$D$144)-1</f>
        <v>4.1923427834520632E-2</v>
      </c>
      <c r="H25">
        <f>(1+'Rescale to Fit GDP Proj'!I144)/(1+'Rescale to Fit GDP Proj'!$D$144)-1</f>
        <v>5.5349021969828271E-2</v>
      </c>
      <c r="I25">
        <f>(1+'Rescale to Fit GDP Proj'!J144)/(1+'Rescale to Fit GDP Proj'!$D$144)-1</f>
        <v>7.5940038788572473E-2</v>
      </c>
      <c r="J25">
        <f>(1+'Rescale to Fit GDP Proj'!K144)/(1+'Rescale to Fit GDP Proj'!$D$144)-1</f>
        <v>9.3414217604199212E-2</v>
      </c>
      <c r="K25">
        <f>(1+'Rescale to Fit GDP Proj'!L144)/(1+'Rescale to Fit GDP Proj'!$D$144)-1</f>
        <v>9.4543504077065466E-2</v>
      </c>
      <c r="L25">
        <f>(1+'Rescale to Fit GDP Proj'!M144)/(1+'Rescale to Fit GDP Proj'!$D$144)-1</f>
        <v>0.10305915602898663</v>
      </c>
      <c r="M25">
        <f>(1+'Rescale to Fit GDP Proj'!N144)/(1+'Rescale to Fit GDP Proj'!$D$144)-1</f>
        <v>0.11742389053842972</v>
      </c>
      <c r="N25">
        <f>(1+'Rescale to Fit GDP Proj'!O144)/(1+'Rescale to Fit GDP Proj'!$D$144)-1</f>
        <v>0.12775064116652568</v>
      </c>
      <c r="O25">
        <f>(1+'Rescale to Fit GDP Proj'!P144)/(1+'Rescale to Fit GDP Proj'!$D$144)-1</f>
        <v>0.13466822922530874</v>
      </c>
      <c r="P25">
        <f>(1+'Rescale to Fit GDP Proj'!Q144)/(1+'Rescale to Fit GDP Proj'!$D$144)-1</f>
        <v>0.13744126523484046</v>
      </c>
      <c r="Q25">
        <f>(1+'Rescale to Fit GDP Proj'!R144)/(1+'Rescale to Fit GDP Proj'!$D$144)-1</f>
        <v>0.13779416766709818</v>
      </c>
      <c r="R25">
        <f>(1+'Rescale to Fit GDP Proj'!S144)/(1+'Rescale to Fit GDP Proj'!$D$144)-1</f>
        <v>0.14273610552525384</v>
      </c>
      <c r="S25">
        <f>(1+'Rescale to Fit GDP Proj'!T144)/(1+'Rescale to Fit GDP Proj'!$D$144)-1</f>
        <v>0.14710529885653889</v>
      </c>
      <c r="T25">
        <f>(1+'Rescale to Fit GDP Proj'!U144)/(1+'Rescale to Fit GDP Proj'!$D$144)-1</f>
        <v>0.15124205754956255</v>
      </c>
      <c r="U25">
        <f>(1+'Rescale to Fit GDP Proj'!V144)/(1+'Rescale to Fit GDP Proj'!$D$144)-1</f>
        <v>0.15337856734001964</v>
      </c>
      <c r="V25">
        <f>(1+'Rescale to Fit GDP Proj'!W144)/(1+'Rescale to Fit GDP Proj'!$D$144)-1</f>
        <v>0.155078596767392</v>
      </c>
      <c r="W25">
        <f>(1+'Rescale to Fit GDP Proj'!X144)/(1+'Rescale to Fit GDP Proj'!$D$144)-1</f>
        <v>0.15871059560012468</v>
      </c>
      <c r="X25">
        <f>(1+'Rescale to Fit GDP Proj'!Y144)/(1+'Rescale to Fit GDP Proj'!$D$144)-1</f>
        <v>0.16415709021302871</v>
      </c>
      <c r="Y25">
        <f>(1+'Rescale to Fit GDP Proj'!Z144)/(1+'Rescale to Fit GDP Proj'!$D$144)-1</f>
        <v>0.17035798105359401</v>
      </c>
      <c r="Z25">
        <f>(1+'Rescale to Fit GDP Proj'!AA144)/(1+'Rescale to Fit GDP Proj'!$D$144)-1</f>
        <v>0.17377413766054683</v>
      </c>
      <c r="AA25">
        <f>(1+'Rescale to Fit GDP Proj'!AB144)/(1+'Rescale to Fit GDP Proj'!$D$144)-1</f>
        <v>0.17471457856533479</v>
      </c>
      <c r="AB25">
        <f>(1+'Rescale to Fit GDP Proj'!AC144)/(1+'Rescale to Fit GDP Proj'!$D$144)-1</f>
        <v>0.17394699030508409</v>
      </c>
    </row>
    <row r="26" spans="1:28" x14ac:dyDescent="0.25">
      <c r="A26" t="s">
        <v>319</v>
      </c>
      <c r="B26">
        <f>(1+'Rescale to Fit GDP Proj'!C145)/(1+'Rescale to Fit GDP Proj'!$D$145)-1</f>
        <v>6.5181459965410804E-2</v>
      </c>
      <c r="C26">
        <f>(1+'Rescale to Fit GDP Proj'!D145)/(1+'Rescale to Fit GDP Proj'!$D$145)-1</f>
        <v>0</v>
      </c>
      <c r="D26">
        <f>(1+'Rescale to Fit GDP Proj'!E145)/(1+'Rescale to Fit GDP Proj'!$D$145)-1</f>
        <v>2.9380888594976451E-3</v>
      </c>
      <c r="E26">
        <f>(1+'Rescale to Fit GDP Proj'!F145)/(1+'Rescale to Fit GDP Proj'!$D$145)-1</f>
        <v>6.6463475843657749E-2</v>
      </c>
      <c r="F26">
        <f>(1+'Rescale to Fit GDP Proj'!G145)/(1+'Rescale to Fit GDP Proj'!$D$145)-1</f>
        <v>8.7371025981234807E-2</v>
      </c>
      <c r="G26">
        <f>(1+'Rescale to Fit GDP Proj'!H145)/(1+'Rescale to Fit GDP Proj'!$D$145)-1</f>
        <v>0.10469546128258833</v>
      </c>
      <c r="H26">
        <f>(1+'Rescale to Fit GDP Proj'!I145)/(1+'Rescale to Fit GDP Proj'!$D$145)-1</f>
        <v>0.12307917001619506</v>
      </c>
      <c r="I26">
        <f>(1+'Rescale to Fit GDP Proj'!J145)/(1+'Rescale to Fit GDP Proj'!$D$145)-1</f>
        <v>0.1306062439077218</v>
      </c>
      <c r="J26">
        <f>(1+'Rescale to Fit GDP Proj'!K145)/(1+'Rescale to Fit GDP Proj'!$D$145)-1</f>
        <v>0.14856395385993859</v>
      </c>
      <c r="K26">
        <f>(1+'Rescale to Fit GDP Proj'!L145)/(1+'Rescale to Fit GDP Proj'!$D$145)-1</f>
        <v>0.15650472550153771</v>
      </c>
      <c r="L26">
        <f>(1+'Rescale to Fit GDP Proj'!M145)/(1+'Rescale to Fit GDP Proj'!$D$145)-1</f>
        <v>0.15980566784832995</v>
      </c>
      <c r="M26">
        <f>(1+'Rescale to Fit GDP Proj'!N145)/(1+'Rescale to Fit GDP Proj'!$D$145)-1</f>
        <v>0.16426672015935817</v>
      </c>
      <c r="N26">
        <f>(1+'Rescale to Fit GDP Proj'!O145)/(1+'Rescale to Fit GDP Proj'!$D$145)-1</f>
        <v>0.17623195028172467</v>
      </c>
      <c r="O26">
        <f>(1+'Rescale to Fit GDP Proj'!P145)/(1+'Rescale to Fit GDP Proj'!$D$145)-1</f>
        <v>0.20042972600385456</v>
      </c>
      <c r="P26">
        <f>(1+'Rescale to Fit GDP Proj'!Q145)/(1+'Rescale to Fit GDP Proj'!$D$145)-1</f>
        <v>0.22287783715106491</v>
      </c>
      <c r="Q26">
        <f>(1+'Rescale to Fit GDP Proj'!R145)/(1+'Rescale to Fit GDP Proj'!$D$145)-1</f>
        <v>0.24575925486996519</v>
      </c>
      <c r="R26">
        <f>(1+'Rescale to Fit GDP Proj'!S145)/(1+'Rescale to Fit GDP Proj'!$D$145)-1</f>
        <v>0.26695884226564037</v>
      </c>
      <c r="S26">
        <f>(1+'Rescale to Fit GDP Proj'!T145)/(1+'Rescale to Fit GDP Proj'!$D$145)-1</f>
        <v>0.28566174530304522</v>
      </c>
      <c r="T26">
        <f>(1+'Rescale to Fit GDP Proj'!U145)/(1+'Rescale to Fit GDP Proj'!$D$145)-1</f>
        <v>0.30448667596782819</v>
      </c>
      <c r="U26">
        <f>(1+'Rescale to Fit GDP Proj'!V145)/(1+'Rescale to Fit GDP Proj'!$D$145)-1</f>
        <v>0.32107139827848119</v>
      </c>
      <c r="V26">
        <f>(1+'Rescale to Fit GDP Proj'!W145)/(1+'Rescale to Fit GDP Proj'!$D$145)-1</f>
        <v>0.3381083027092846</v>
      </c>
      <c r="W26">
        <f>(1+'Rescale to Fit GDP Proj'!X145)/(1+'Rescale to Fit GDP Proj'!$D$145)-1</f>
        <v>0.35598965448348352</v>
      </c>
      <c r="X26">
        <f>(1+'Rescale to Fit GDP Proj'!Y145)/(1+'Rescale to Fit GDP Proj'!$D$145)-1</f>
        <v>0.37296993027360337</v>
      </c>
      <c r="Y26">
        <f>(1+'Rescale to Fit GDP Proj'!Z145)/(1+'Rescale to Fit GDP Proj'!$D$145)-1</f>
        <v>0.38852777386310677</v>
      </c>
      <c r="Z26">
        <f>(1+'Rescale to Fit GDP Proj'!AA145)/(1+'Rescale to Fit GDP Proj'!$D$145)-1</f>
        <v>0.40444232241954747</v>
      </c>
      <c r="AA26">
        <f>(1+'Rescale to Fit GDP Proj'!AB145)/(1+'Rescale to Fit GDP Proj'!$D$145)-1</f>
        <v>0.41898912000217647</v>
      </c>
      <c r="AB26">
        <f>(1+'Rescale to Fit GDP Proj'!AC145)/(1+'Rescale to Fit GDP Proj'!$D$145)-1</f>
        <v>0.43076631594128378</v>
      </c>
    </row>
    <row r="27" spans="1:28" x14ac:dyDescent="0.25">
      <c r="A27" t="s">
        <v>331</v>
      </c>
      <c r="B27">
        <f>(1+'Rescale to Fit GDP Proj'!C146)/(1+'Rescale to Fit GDP Proj'!$D$146)-1</f>
        <v>-1.1765072399647858E-2</v>
      </c>
      <c r="C27">
        <f>(1+'Rescale to Fit GDP Proj'!D146)/(1+'Rescale to Fit GDP Proj'!$D$146)-1</f>
        <v>0</v>
      </c>
      <c r="D27">
        <f>(1+'Rescale to Fit GDP Proj'!E146)/(1+'Rescale to Fit GDP Proj'!$D$146)-1</f>
        <v>1.922430229236749E-2</v>
      </c>
      <c r="E27">
        <f>(1+'Rescale to Fit GDP Proj'!F146)/(1+'Rescale to Fit GDP Proj'!$D$146)-1</f>
        <v>3.1988744962897275E-2</v>
      </c>
      <c r="F27">
        <f>(1+'Rescale to Fit GDP Proj'!G146)/(1+'Rescale to Fit GDP Proj'!$D$146)-1</f>
        <v>4.0750904514523567E-2</v>
      </c>
      <c r="G27">
        <f>(1+'Rescale to Fit GDP Proj'!H146)/(1+'Rescale to Fit GDP Proj'!$D$146)-1</f>
        <v>5.1243045432242118E-2</v>
      </c>
      <c r="H27">
        <f>(1+'Rescale to Fit GDP Proj'!I146)/(1+'Rescale to Fit GDP Proj'!$D$146)-1</f>
        <v>6.3180009550289462E-2</v>
      </c>
      <c r="I27">
        <f>(1+'Rescale to Fit GDP Proj'!J146)/(1+'Rescale to Fit GDP Proj'!$D$146)-1</f>
        <v>7.4831810498144469E-2</v>
      </c>
      <c r="J27">
        <f>(1+'Rescale to Fit GDP Proj'!K146)/(1+'Rescale to Fit GDP Proj'!$D$146)-1</f>
        <v>8.8008847405175006E-2</v>
      </c>
      <c r="K27">
        <f>(1+'Rescale to Fit GDP Proj'!L146)/(1+'Rescale to Fit GDP Proj'!$D$146)-1</f>
        <v>0.10220173639195695</v>
      </c>
      <c r="L27">
        <f>(1+'Rescale to Fit GDP Proj'!M146)/(1+'Rescale to Fit GDP Proj'!$D$146)-1</f>
        <v>0.11721382863843477</v>
      </c>
      <c r="M27">
        <f>(1+'Rescale to Fit GDP Proj'!N146)/(1+'Rescale to Fit GDP Proj'!$D$146)-1</f>
        <v>0.13300176841354294</v>
      </c>
      <c r="N27">
        <f>(1+'Rescale to Fit GDP Proj'!O146)/(1+'Rescale to Fit GDP Proj'!$D$146)-1</f>
        <v>0.1460329542767782</v>
      </c>
      <c r="O27">
        <f>(1+'Rescale to Fit GDP Proj'!P146)/(1+'Rescale to Fit GDP Proj'!$D$146)-1</f>
        <v>0.15887779147474035</v>
      </c>
      <c r="P27">
        <f>(1+'Rescale to Fit GDP Proj'!Q146)/(1+'Rescale to Fit GDP Proj'!$D$146)-1</f>
        <v>0.17168700255360392</v>
      </c>
      <c r="Q27">
        <f>(1+'Rescale to Fit GDP Proj'!R146)/(1+'Rescale to Fit GDP Proj'!$D$146)-1</f>
        <v>0.18416889705314921</v>
      </c>
      <c r="R27">
        <f>(1+'Rescale to Fit GDP Proj'!S146)/(1+'Rescale to Fit GDP Proj'!$D$146)-1</f>
        <v>0.19661754952008614</v>
      </c>
      <c r="S27">
        <f>(1+'Rescale to Fit GDP Proj'!T146)/(1+'Rescale to Fit GDP Proj'!$D$146)-1</f>
        <v>0.20861485771787724</v>
      </c>
      <c r="T27">
        <f>(1+'Rescale to Fit GDP Proj'!U146)/(1+'Rescale to Fit GDP Proj'!$D$146)-1</f>
        <v>0.22084458275393848</v>
      </c>
      <c r="U27">
        <f>(1+'Rescale to Fit GDP Proj'!V146)/(1+'Rescale to Fit GDP Proj'!$D$146)-1</f>
        <v>0.23347266208303541</v>
      </c>
      <c r="V27">
        <f>(1+'Rescale to Fit GDP Proj'!W146)/(1+'Rescale to Fit GDP Proj'!$D$146)-1</f>
        <v>0.24605957212620955</v>
      </c>
      <c r="W27">
        <f>(1+'Rescale to Fit GDP Proj'!X146)/(1+'Rescale to Fit GDP Proj'!$D$146)-1</f>
        <v>0.25837548799839549</v>
      </c>
      <c r="X27">
        <f>(1+'Rescale to Fit GDP Proj'!Y146)/(1+'Rescale to Fit GDP Proj'!$D$146)-1</f>
        <v>0.27020618830045584</v>
      </c>
      <c r="Y27">
        <f>(1+'Rescale to Fit GDP Proj'!Z146)/(1+'Rescale to Fit GDP Proj'!$D$146)-1</f>
        <v>0.28144824412859082</v>
      </c>
      <c r="Z27">
        <f>(1+'Rescale to Fit GDP Proj'!AA146)/(1+'Rescale to Fit GDP Proj'!$D$146)-1</f>
        <v>0.29266731648436339</v>
      </c>
      <c r="AA27">
        <f>(1+'Rescale to Fit GDP Proj'!AB146)/(1+'Rescale to Fit GDP Proj'!$D$146)-1</f>
        <v>0.3034266807642978</v>
      </c>
      <c r="AB27">
        <f>(1+'Rescale to Fit GDP Proj'!AC146)/(1+'Rescale to Fit GDP Proj'!$D$146)-1</f>
        <v>0.31451635620406626</v>
      </c>
    </row>
    <row r="28" spans="1:28" x14ac:dyDescent="0.25">
      <c r="A28" t="s">
        <v>326</v>
      </c>
      <c r="B28">
        <f>(1+'Rescale to Fit GDP Proj'!C147)/(1+'Rescale to Fit GDP Proj'!$D$147)-1</f>
        <v>6.5181459965410804E-2</v>
      </c>
      <c r="C28">
        <f>(1+'Rescale to Fit GDP Proj'!D147)/(1+'Rescale to Fit GDP Proj'!$D$147)-1</f>
        <v>0</v>
      </c>
      <c r="D28">
        <f>(1+'Rescale to Fit GDP Proj'!E147)/(1+'Rescale to Fit GDP Proj'!$D$147)-1</f>
        <v>2.9380888594976451E-3</v>
      </c>
      <c r="E28">
        <f>(1+'Rescale to Fit GDP Proj'!F147)/(1+'Rescale to Fit GDP Proj'!$D$147)-1</f>
        <v>6.6463475843657749E-2</v>
      </c>
      <c r="F28">
        <f>(1+'Rescale to Fit GDP Proj'!G147)/(1+'Rescale to Fit GDP Proj'!$D$147)-1</f>
        <v>8.7371025981234807E-2</v>
      </c>
      <c r="G28">
        <f>(1+'Rescale to Fit GDP Proj'!H147)/(1+'Rescale to Fit GDP Proj'!$D$147)-1</f>
        <v>0.10469546128258833</v>
      </c>
      <c r="H28">
        <f>(1+'Rescale to Fit GDP Proj'!I147)/(1+'Rescale to Fit GDP Proj'!$D$147)-1</f>
        <v>0.12307917001619506</v>
      </c>
      <c r="I28">
        <f>(1+'Rescale to Fit GDP Proj'!J147)/(1+'Rescale to Fit GDP Proj'!$D$147)-1</f>
        <v>0.1306062439077218</v>
      </c>
      <c r="J28">
        <f>(1+'Rescale to Fit GDP Proj'!K147)/(1+'Rescale to Fit GDP Proj'!$D$147)-1</f>
        <v>0.14856395385993859</v>
      </c>
      <c r="K28">
        <f>(1+'Rescale to Fit GDP Proj'!L147)/(1+'Rescale to Fit GDP Proj'!$D$147)-1</f>
        <v>0.15650472550153771</v>
      </c>
      <c r="L28">
        <f>(1+'Rescale to Fit GDP Proj'!M147)/(1+'Rescale to Fit GDP Proj'!$D$147)-1</f>
        <v>0.15980566784832995</v>
      </c>
      <c r="M28">
        <f>(1+'Rescale to Fit GDP Proj'!N147)/(1+'Rescale to Fit GDP Proj'!$D$147)-1</f>
        <v>0.16426672015935817</v>
      </c>
      <c r="N28">
        <f>(1+'Rescale to Fit GDP Proj'!O147)/(1+'Rescale to Fit GDP Proj'!$D$147)-1</f>
        <v>0.17623195028172467</v>
      </c>
      <c r="O28">
        <f>(1+'Rescale to Fit GDP Proj'!P147)/(1+'Rescale to Fit GDP Proj'!$D$147)-1</f>
        <v>0.20042972600385456</v>
      </c>
      <c r="P28">
        <f>(1+'Rescale to Fit GDP Proj'!Q147)/(1+'Rescale to Fit GDP Proj'!$D$147)-1</f>
        <v>0.22287783715106491</v>
      </c>
      <c r="Q28">
        <f>(1+'Rescale to Fit GDP Proj'!R147)/(1+'Rescale to Fit GDP Proj'!$D$147)-1</f>
        <v>0.24575925486996519</v>
      </c>
      <c r="R28">
        <f>(1+'Rescale to Fit GDP Proj'!S147)/(1+'Rescale to Fit GDP Proj'!$D$147)-1</f>
        <v>0.26695884226564037</v>
      </c>
      <c r="S28">
        <f>(1+'Rescale to Fit GDP Proj'!T147)/(1+'Rescale to Fit GDP Proj'!$D$147)-1</f>
        <v>0.28566174530304522</v>
      </c>
      <c r="T28">
        <f>(1+'Rescale to Fit GDP Proj'!U147)/(1+'Rescale to Fit GDP Proj'!$D$147)-1</f>
        <v>0.30448667596782819</v>
      </c>
      <c r="U28">
        <f>(1+'Rescale to Fit GDP Proj'!V147)/(1+'Rescale to Fit GDP Proj'!$D$147)-1</f>
        <v>0.32107139827848119</v>
      </c>
      <c r="V28">
        <f>(1+'Rescale to Fit GDP Proj'!W147)/(1+'Rescale to Fit GDP Proj'!$D$147)-1</f>
        <v>0.3381083027092846</v>
      </c>
      <c r="W28">
        <f>(1+'Rescale to Fit GDP Proj'!X147)/(1+'Rescale to Fit GDP Proj'!$D$147)-1</f>
        <v>0.35598965448348352</v>
      </c>
      <c r="X28">
        <f>(1+'Rescale to Fit GDP Proj'!Y147)/(1+'Rescale to Fit GDP Proj'!$D$147)-1</f>
        <v>0.37296993027360337</v>
      </c>
      <c r="Y28">
        <f>(1+'Rescale to Fit GDP Proj'!Z147)/(1+'Rescale to Fit GDP Proj'!$D$147)-1</f>
        <v>0.38852777386310677</v>
      </c>
      <c r="Z28">
        <f>(1+'Rescale to Fit GDP Proj'!AA147)/(1+'Rescale to Fit GDP Proj'!$D$147)-1</f>
        <v>0.40444232241954747</v>
      </c>
      <c r="AA28">
        <f>(1+'Rescale to Fit GDP Proj'!AB147)/(1+'Rescale to Fit GDP Proj'!$D$147)-1</f>
        <v>0.41898912000217647</v>
      </c>
      <c r="AB28">
        <f>(1+'Rescale to Fit GDP Proj'!AC147)/(1+'Rescale to Fit GDP Proj'!$D$147)-1</f>
        <v>0.43076631594128378</v>
      </c>
    </row>
    <row r="29" spans="1:28" x14ac:dyDescent="0.25">
      <c r="A29" t="s">
        <v>336</v>
      </c>
      <c r="B29">
        <f>(1+'Rescale to Fit GDP Proj'!C148)/(1+'Rescale to Fit GDP Proj'!$D$148)-1</f>
        <v>1.6593135937573944E-2</v>
      </c>
      <c r="C29">
        <f>(1+'Rescale to Fit GDP Proj'!D148)/(1+'Rescale to Fit GDP Proj'!$D$148)-1</f>
        <v>0</v>
      </c>
      <c r="D29">
        <f>(1+'Rescale to Fit GDP Proj'!E148)/(1+'Rescale to Fit GDP Proj'!$D$148)-1</f>
        <v>5.599945901687553E-3</v>
      </c>
      <c r="E29">
        <f>(1+'Rescale to Fit GDP Proj'!F148)/(1+'Rescale to Fit GDP Proj'!$D$148)-1</f>
        <v>3.1501294255283918E-2</v>
      </c>
      <c r="F29">
        <f>(1+'Rescale to Fit GDP Proj'!G148)/(1+'Rescale to Fit GDP Proj'!$D$148)-1</f>
        <v>4.3213074069837543E-2</v>
      </c>
      <c r="G29">
        <f>(1+'Rescale to Fit GDP Proj'!H148)/(1+'Rescale to Fit GDP Proj'!$D$148)-1</f>
        <v>5.9713802389971038E-2</v>
      </c>
      <c r="H29">
        <f>(1+'Rescale to Fit GDP Proj'!I148)/(1+'Rescale to Fit GDP Proj'!$D$148)-1</f>
        <v>8.5015386926218683E-2</v>
      </c>
      <c r="I29">
        <f>(1+'Rescale to Fit GDP Proj'!J148)/(1+'Rescale to Fit GDP Proj'!$D$148)-1</f>
        <v>0.11253935497977352</v>
      </c>
      <c r="J29">
        <f>(1+'Rescale to Fit GDP Proj'!K148)/(1+'Rescale to Fit GDP Proj'!$D$148)-1</f>
        <v>0.12446350009577101</v>
      </c>
      <c r="K29">
        <f>(1+'Rescale to Fit GDP Proj'!L148)/(1+'Rescale to Fit GDP Proj'!$D$148)-1</f>
        <v>0.1292443248006907</v>
      </c>
      <c r="L29">
        <f>(1+'Rescale to Fit GDP Proj'!M148)/(1+'Rescale to Fit GDP Proj'!$D$148)-1</f>
        <v>0.13126773178796336</v>
      </c>
      <c r="M29">
        <f>(1+'Rescale to Fit GDP Proj'!N148)/(1+'Rescale to Fit GDP Proj'!$D$148)-1</f>
        <v>0.1400815290069457</v>
      </c>
      <c r="N29">
        <f>(1+'Rescale to Fit GDP Proj'!O148)/(1+'Rescale to Fit GDP Proj'!$D$148)-1</f>
        <v>0.14985405279660546</v>
      </c>
      <c r="O29">
        <f>(1+'Rescale to Fit GDP Proj'!P148)/(1+'Rescale to Fit GDP Proj'!$D$148)-1</f>
        <v>0.16107958057904681</v>
      </c>
      <c r="P29">
        <f>(1+'Rescale to Fit GDP Proj'!Q148)/(1+'Rescale to Fit GDP Proj'!$D$148)-1</f>
        <v>0.17452233515978177</v>
      </c>
      <c r="Q29">
        <f>(1+'Rescale to Fit GDP Proj'!R148)/(1+'Rescale to Fit GDP Proj'!$D$148)-1</f>
        <v>0.18033408542210405</v>
      </c>
      <c r="R29">
        <f>(1+'Rescale to Fit GDP Proj'!S148)/(1+'Rescale to Fit GDP Proj'!$D$148)-1</f>
        <v>0.19307367117587848</v>
      </c>
      <c r="S29">
        <f>(1+'Rescale to Fit GDP Proj'!T148)/(1+'Rescale to Fit GDP Proj'!$D$148)-1</f>
        <v>0.20630165923486565</v>
      </c>
      <c r="T29">
        <f>(1+'Rescale to Fit GDP Proj'!U148)/(1+'Rescale to Fit GDP Proj'!$D$148)-1</f>
        <v>0.2175444531690427</v>
      </c>
      <c r="U29">
        <f>(1+'Rescale to Fit GDP Proj'!V148)/(1+'Rescale to Fit GDP Proj'!$D$148)-1</f>
        <v>0.22810427706590741</v>
      </c>
      <c r="V29">
        <f>(1+'Rescale to Fit GDP Proj'!W148)/(1+'Rescale to Fit GDP Proj'!$D$148)-1</f>
        <v>0.23974369551613361</v>
      </c>
      <c r="W29">
        <f>(1+'Rescale to Fit GDP Proj'!X148)/(1+'Rescale to Fit GDP Proj'!$D$148)-1</f>
        <v>0.25471555997990292</v>
      </c>
      <c r="X29">
        <f>(1+'Rescale to Fit GDP Proj'!Y148)/(1+'Rescale to Fit GDP Proj'!$D$148)-1</f>
        <v>0.26498087519057711</v>
      </c>
      <c r="Y29">
        <f>(1+'Rescale to Fit GDP Proj'!Z148)/(1+'Rescale to Fit GDP Proj'!$D$148)-1</f>
        <v>0.27435047126088952</v>
      </c>
      <c r="Z29">
        <f>(1+'Rescale to Fit GDP Proj'!AA148)/(1+'Rescale to Fit GDP Proj'!$D$148)-1</f>
        <v>0.27836108979167085</v>
      </c>
      <c r="AA29">
        <f>(1+'Rescale to Fit GDP Proj'!AB148)/(1+'Rescale to Fit GDP Proj'!$D$148)-1</f>
        <v>0.29299227128372984</v>
      </c>
      <c r="AB29">
        <f>(1+'Rescale to Fit GDP Proj'!AC148)/(1+'Rescale to Fit GDP Proj'!$D$148)-1</f>
        <v>0.29634968900432956</v>
      </c>
    </row>
    <row r="30" spans="1:28" x14ac:dyDescent="0.25">
      <c r="A30" t="s">
        <v>98</v>
      </c>
      <c r="B30">
        <f>(1+'Rescale to Fit GDP Proj'!C149)/(1+'Rescale to Fit GDP Proj'!$D$149)-1</f>
        <v>-1.7986168306670658E-2</v>
      </c>
      <c r="C30">
        <f>(1+'Rescale to Fit GDP Proj'!D149)/(1+'Rescale to Fit GDP Proj'!$D$149)-1</f>
        <v>0</v>
      </c>
      <c r="D30">
        <f>(1+'Rescale to Fit GDP Proj'!E149)/(1+'Rescale to Fit GDP Proj'!$D$149)-1</f>
        <v>2.9575849680565369E-2</v>
      </c>
      <c r="E30">
        <f>(1+'Rescale to Fit GDP Proj'!F149)/(1+'Rescale to Fit GDP Proj'!$D$149)-1</f>
        <v>4.9412899180105052E-2</v>
      </c>
      <c r="F30">
        <f>(1+'Rescale to Fit GDP Proj'!G149)/(1+'Rescale to Fit GDP Proj'!$D$149)-1</f>
        <v>6.3120745843284309E-2</v>
      </c>
      <c r="G30">
        <f>(1+'Rescale to Fit GDP Proj'!H149)/(1+'Rescale to Fit GDP Proj'!$D$149)-1</f>
        <v>7.9609451079759808E-2</v>
      </c>
      <c r="H30">
        <f>(1+'Rescale to Fit GDP Proj'!I149)/(1+'Rescale to Fit GDP Proj'!$D$149)-1</f>
        <v>9.8469554671540171E-2</v>
      </c>
      <c r="I30">
        <f>(1+'Rescale to Fit GDP Proj'!J149)/(1+'Rescale to Fit GDP Proj'!$D$149)-1</f>
        <v>0.11699040501360525</v>
      </c>
      <c r="J30">
        <f>(1+'Rescale to Fit GDP Proj'!K149)/(1+'Rescale to Fit GDP Proj'!$D$149)-1</f>
        <v>0.13805792123464466</v>
      </c>
      <c r="K30">
        <f>(1+'Rescale to Fit GDP Proj'!L149)/(1+'Rescale to Fit GDP Proj'!$D$149)-1</f>
        <v>0.16089756827941826</v>
      </c>
      <c r="L30">
        <f>(1+'Rescale to Fit GDP Proj'!M149)/(1+'Rescale to Fit GDP Proj'!$D$149)-1</f>
        <v>0.18522300681312021</v>
      </c>
      <c r="M30">
        <f>(1+'Rescale to Fit GDP Proj'!N149)/(1+'Rescale to Fit GDP Proj'!$D$149)-1</f>
        <v>0.21099071982585405</v>
      </c>
      <c r="N30">
        <f>(1+'Rescale to Fit GDP Proj'!O149)/(1+'Rescale to Fit GDP Proj'!$D$149)-1</f>
        <v>0.23241867897845525</v>
      </c>
      <c r="O30">
        <f>(1+'Rescale to Fit GDP Proj'!P149)/(1+'Rescale to Fit GDP Proj'!$D$149)-1</f>
        <v>0.25366953425022021</v>
      </c>
      <c r="P30">
        <f>(1+'Rescale to Fit GDP Proj'!Q149)/(1+'Rescale to Fit GDP Proj'!$D$149)-1</f>
        <v>0.27498792693013852</v>
      </c>
      <c r="Q30">
        <f>(1+'Rescale to Fit GDP Proj'!R149)/(1+'Rescale to Fit GDP Proj'!$D$149)-1</f>
        <v>0.29588385241385051</v>
      </c>
      <c r="R30">
        <f>(1+'Rescale to Fit GDP Proj'!S149)/(1+'Rescale to Fit GDP Proj'!$D$149)-1</f>
        <v>0.31684241117292933</v>
      </c>
      <c r="S30">
        <f>(1+'Rescale to Fit GDP Proj'!T149)/(1+'Rescale to Fit GDP Proj'!$D$149)-1</f>
        <v>0.33715423384226528</v>
      </c>
      <c r="T30">
        <f>(1+'Rescale to Fit GDP Proj'!U149)/(1+'Rescale to Fit GDP Proj'!$D$149)-1</f>
        <v>0.35797021619947511</v>
      </c>
      <c r="U30">
        <f>(1+'Rescale to Fit GDP Proj'!V149)/(1+'Rescale to Fit GDP Proj'!$D$149)-1</f>
        <v>0.37958016854654342</v>
      </c>
      <c r="V30">
        <f>(1+'Rescale to Fit GDP Proj'!W149)/(1+'Rescale to Fit GDP Proj'!$D$149)-1</f>
        <v>0.4012384097465338</v>
      </c>
      <c r="W30">
        <f>(1+'Rescale to Fit GDP Proj'!X149)/(1+'Rescale to Fit GDP Proj'!$D$149)-1</f>
        <v>0.42254561966880178</v>
      </c>
      <c r="X30">
        <f>(1+'Rescale to Fit GDP Proj'!Y149)/(1+'Rescale to Fit GDP Proj'!$D$149)-1</f>
        <v>0.44312124527354935</v>
      </c>
      <c r="Y30">
        <f>(1+'Rescale to Fit GDP Proj'!Z149)/(1+'Rescale to Fit GDP Proj'!$D$149)-1</f>
        <v>0.46277117389333289</v>
      </c>
      <c r="Z30">
        <f>(1+'Rescale to Fit GDP Proj'!AA149)/(1+'Rescale to Fit GDP Proj'!$D$149)-1</f>
        <v>0.48247356406613484</v>
      </c>
      <c r="AA30">
        <f>(1+'Rescale to Fit GDP Proj'!AB149)/(1+'Rescale to Fit GDP Proj'!$D$149)-1</f>
        <v>0.50145693982636019</v>
      </c>
      <c r="AB30">
        <f>(1+'Rescale to Fit GDP Proj'!AC149)/(1+'Rescale to Fit GDP Proj'!$D$149)-1</f>
        <v>0.52111007106312157</v>
      </c>
    </row>
    <row r="31" spans="1:28" x14ac:dyDescent="0.25">
      <c r="A31" t="s">
        <v>119</v>
      </c>
      <c r="B31">
        <f>(1+'Rescale to Fit GDP Proj'!C150)/(1+'Rescale to Fit GDP Proj'!$D$150)-1</f>
        <v>-6.3696262679029392E-3</v>
      </c>
      <c r="C31">
        <f>(1+'Rescale to Fit GDP Proj'!D150)/(1+'Rescale to Fit GDP Proj'!$D$150)-1</f>
        <v>0</v>
      </c>
      <c r="D31">
        <f>(1+'Rescale to Fit GDP Proj'!E150)/(1+'Rescale to Fit GDP Proj'!$D$150)-1</f>
        <v>1.0351547388197879E-2</v>
      </c>
      <c r="E31">
        <f>(1+'Rescale to Fit GDP Proj'!F150)/(1+'Rescale to Fit GDP Proj'!$D$150)-1</f>
        <v>1.7164875208866226E-2</v>
      </c>
      <c r="F31">
        <f>(1+'Rescale to Fit GDP Proj'!G150)/(1+'Rescale to Fit GDP Proj'!$D$150)-1</f>
        <v>2.1815188782293715E-2</v>
      </c>
      <c r="G31">
        <f>(1+'Rescale to Fit GDP Proj'!H150)/(1+'Rescale to Fit GDP Proj'!$D$150)-1</f>
        <v>2.7362012444564598E-2</v>
      </c>
      <c r="H31">
        <f>(1+'Rescale to Fit GDP Proj'!I150)/(1+'Rescale to Fit GDP Proj'!$D$150)-1</f>
        <v>3.3643593146322148E-2</v>
      </c>
      <c r="I31">
        <f>(1+'Rescale to Fit GDP Proj'!J150)/(1+'Rescale to Fit GDP Proj'!$D$150)-1</f>
        <v>3.9743339265820188E-2</v>
      </c>
      <c r="J31">
        <f>(1+'Rescale to Fit GDP Proj'!K150)/(1+'Rescale to Fit GDP Proj'!$D$150)-1</f>
        <v>4.6607035989250534E-2</v>
      </c>
      <c r="K31">
        <f>(1+'Rescale to Fit GDP Proj'!L150)/(1+'Rescale to Fit GDP Proj'!$D$150)-1</f>
        <v>5.3958548770536297E-2</v>
      </c>
      <c r="L31">
        <f>(1+'Rescale to Fit GDP Proj'!M150)/(1+'Rescale to Fit GDP Proj'!$D$150)-1</f>
        <v>6.1688172475937941E-2</v>
      </c>
      <c r="M31">
        <f>(1+'Rescale to Fit GDP Proj'!N150)/(1+'Rescale to Fit GDP Proj'!$D$150)-1</f>
        <v>6.9766860278182685E-2</v>
      </c>
      <c r="N31">
        <f>(1+'Rescale to Fit GDP Proj'!O150)/(1+'Rescale to Fit GDP Proj'!$D$150)-1</f>
        <v>7.6392032604730709E-2</v>
      </c>
      <c r="O31">
        <f>(1+'Rescale to Fit GDP Proj'!P150)/(1+'Rescale to Fit GDP Proj'!$D$150)-1</f>
        <v>8.2888191817307444E-2</v>
      </c>
      <c r="P31">
        <f>(1+'Rescale to Fit GDP Proj'!Q150)/(1+'Rescale to Fit GDP Proj'!$D$150)-1</f>
        <v>8.9333193689667079E-2</v>
      </c>
      <c r="Q31">
        <f>(1+'Rescale to Fit GDP Proj'!R150)/(1+'Rescale to Fit GDP Proj'!$D$150)-1</f>
        <v>9.5581816650339269E-2</v>
      </c>
      <c r="R31">
        <f>(1+'Rescale to Fit GDP Proj'!S150)/(1+'Rescale to Fit GDP Proj'!$D$150)-1</f>
        <v>0.10178348012728256</v>
      </c>
      <c r="S31">
        <f>(1+'Rescale to Fit GDP Proj'!T150)/(1+'Rescale to Fit GDP Proj'!$D$150)-1</f>
        <v>0.10773159560979151</v>
      </c>
      <c r="T31">
        <f>(1+'Rescale to Fit GDP Proj'!U150)/(1+'Rescale to Fit GDP Proj'!$D$150)-1</f>
        <v>0.11376716149179744</v>
      </c>
      <c r="U31">
        <f>(1+'Rescale to Fit GDP Proj'!V150)/(1+'Rescale to Fit GDP Proj'!$D$150)-1</f>
        <v>0.11997050766939199</v>
      </c>
      <c r="V31">
        <f>(1+'Rescale to Fit GDP Proj'!W150)/(1+'Rescale to Fit GDP Proj'!$D$150)-1</f>
        <v>0.1261244138944555</v>
      </c>
      <c r="W31">
        <f>(1+'Rescale to Fit GDP Proj'!X150)/(1+'Rescale to Fit GDP Proj'!$D$150)-1</f>
        <v>0.13211775463610942</v>
      </c>
      <c r="X31">
        <f>(1+'Rescale to Fit GDP Proj'!Y150)/(1+'Rescale to Fit GDP Proj'!$D$150)-1</f>
        <v>0.13784896687860759</v>
      </c>
      <c r="Y31">
        <f>(1+'Rescale to Fit GDP Proj'!Z150)/(1+'Rescale to Fit GDP Proj'!$D$150)-1</f>
        <v>0.14327160746987477</v>
      </c>
      <c r="Z31">
        <f>(1+'Rescale to Fit GDP Proj'!AA150)/(1+'Rescale to Fit GDP Proj'!$D$150)-1</f>
        <v>0.14866125028623323</v>
      </c>
      <c r="AA31">
        <f>(1+'Rescale to Fit GDP Proj'!AB150)/(1+'Rescale to Fit GDP Proj'!$D$150)-1</f>
        <v>0.15380934468223373</v>
      </c>
      <c r="AB31">
        <f>(1+'Rescale to Fit GDP Proj'!AC150)/(1+'Rescale to Fit GDP Proj'!$D$150)-1</f>
        <v>0.15909526934321838</v>
      </c>
    </row>
    <row r="32" spans="1:28" x14ac:dyDescent="0.25">
      <c r="A32" t="s">
        <v>122</v>
      </c>
      <c r="B32">
        <f>(1+'Rescale to Fit GDP Proj'!C151)/(1+'Rescale to Fit GDP Proj'!$D$151)-1</f>
        <v>-1.3459628116370248E-2</v>
      </c>
      <c r="C32">
        <f>(1+'Rescale to Fit GDP Proj'!D151)/(1+'Rescale to Fit GDP Proj'!$D$151)-1</f>
        <v>0</v>
      </c>
      <c r="D32">
        <f>(1+'Rescale to Fit GDP Proj'!E151)/(1+'Rescale to Fit GDP Proj'!$D$151)-1</f>
        <v>2.2031008617308556E-2</v>
      </c>
      <c r="E32">
        <f>(1+'Rescale to Fit GDP Proj'!F151)/(1+'Rescale to Fit GDP Proj'!$D$151)-1</f>
        <v>3.6699314326725574E-2</v>
      </c>
      <c r="F32">
        <f>(1+'Rescale to Fit GDP Proj'!G151)/(1+'Rescale to Fit GDP Proj'!$D$151)-1</f>
        <v>4.6786564711048584E-2</v>
      </c>
      <c r="G32">
        <f>(1+'Rescale to Fit GDP Proj'!H151)/(1+'Rescale to Fit GDP Proj'!$D$151)-1</f>
        <v>5.8880266383924296E-2</v>
      </c>
      <c r="H32">
        <f>(1+'Rescale to Fit GDP Proj'!I151)/(1+'Rescale to Fit GDP Proj'!$D$151)-1</f>
        <v>7.2659383798598265E-2</v>
      </c>
      <c r="I32">
        <f>(1+'Rescale to Fit GDP Proj'!J151)/(1+'Rescale to Fit GDP Proj'!$D$151)-1</f>
        <v>8.613137791381309E-2</v>
      </c>
      <c r="J32">
        <f>(1+'Rescale to Fit GDP Proj'!K151)/(1+'Rescale to Fit GDP Proj'!$D$151)-1</f>
        <v>0.10139098688805115</v>
      </c>
      <c r="K32">
        <f>(1+'Rescale to Fit GDP Proj'!L151)/(1+'Rescale to Fit GDP Proj'!$D$151)-1</f>
        <v>0.11785606102318646</v>
      </c>
      <c r="L32">
        <f>(1+'Rescale to Fit GDP Proj'!M151)/(1+'Rescale to Fit GDP Proj'!$D$151)-1</f>
        <v>0.13530422816662635</v>
      </c>
      <c r="M32">
        <f>(1+'Rescale to Fit GDP Proj'!N151)/(1+'Rescale to Fit GDP Proj'!$D$151)-1</f>
        <v>0.15369014143597082</v>
      </c>
      <c r="N32">
        <f>(1+'Rescale to Fit GDP Proj'!O151)/(1+'Rescale to Fit GDP Proj'!$D$151)-1</f>
        <v>0.16889653849742348</v>
      </c>
      <c r="O32">
        <f>(1+'Rescale to Fit GDP Proj'!P151)/(1+'Rescale to Fit GDP Proj'!$D$151)-1</f>
        <v>0.18391036400584038</v>
      </c>
      <c r="P32">
        <f>(1+'Rescale to Fit GDP Proj'!Q151)/(1+'Rescale to Fit GDP Proj'!$D$151)-1</f>
        <v>0.19890677581834804</v>
      </c>
      <c r="Q32">
        <f>(1+'Rescale to Fit GDP Proj'!R151)/(1+'Rescale to Fit GDP Proj'!$D$151)-1</f>
        <v>0.21354330501049335</v>
      </c>
      <c r="R32">
        <f>(1+'Rescale to Fit GDP Proj'!S151)/(1+'Rescale to Fit GDP Proj'!$D$151)-1</f>
        <v>0.22816331821867797</v>
      </c>
      <c r="S32">
        <f>(1+'Rescale to Fit GDP Proj'!T151)/(1+'Rescale to Fit GDP Proj'!$D$151)-1</f>
        <v>0.24227466170405254</v>
      </c>
      <c r="T32">
        <f>(1+'Rescale to Fit GDP Proj'!U151)/(1+'Rescale to Fit GDP Proj'!$D$151)-1</f>
        <v>0.25668022299495585</v>
      </c>
      <c r="U32">
        <f>(1+'Rescale to Fit GDP Proj'!V151)/(1+'Rescale to Fit GDP Proj'!$D$151)-1</f>
        <v>0.27157676600509628</v>
      </c>
      <c r="V32">
        <f>(1+'Rescale to Fit GDP Proj'!W151)/(1+'Rescale to Fit GDP Proj'!$D$151)-1</f>
        <v>0.28644693750325678</v>
      </c>
      <c r="W32">
        <f>(1+'Rescale to Fit GDP Proj'!X151)/(1+'Rescale to Fit GDP Proj'!$D$151)-1</f>
        <v>0.30101841462543288</v>
      </c>
      <c r="X32">
        <f>(1+'Rescale to Fit GDP Proj'!Y151)/(1+'Rescale to Fit GDP Proj'!$D$151)-1</f>
        <v>0.31503581376498935</v>
      </c>
      <c r="Y32">
        <f>(1+'Rescale to Fit GDP Proj'!Z151)/(1+'Rescale to Fit GDP Proj'!$D$151)-1</f>
        <v>0.32837388054441363</v>
      </c>
      <c r="Z32">
        <f>(1+'Rescale to Fit GDP Proj'!AA151)/(1+'Rescale to Fit GDP Proj'!$D$151)-1</f>
        <v>0.34170172757935813</v>
      </c>
      <c r="AA32">
        <f>(1+'Rescale to Fit GDP Proj'!AB151)/(1+'Rescale to Fit GDP Proj'!$D$151)-1</f>
        <v>0.35449965420066509</v>
      </c>
      <c r="AB32">
        <f>(1+'Rescale to Fit GDP Proj'!AC151)/(1+'Rescale to Fit GDP Proj'!$D$151)-1</f>
        <v>0.36770637270682016</v>
      </c>
    </row>
    <row r="33" spans="1:28" x14ac:dyDescent="0.25">
      <c r="A33" t="s">
        <v>125</v>
      </c>
      <c r="B33">
        <f>(1+'Rescale to Fit GDP Proj'!C152)/(1+'Rescale to Fit GDP Proj'!$D$152)-1</f>
        <v>-5.6309915621738482E-2</v>
      </c>
      <c r="C33">
        <f>(1+'Rescale to Fit GDP Proj'!D152)/(1+'Rescale to Fit GDP Proj'!$D$152)-1</f>
        <v>0</v>
      </c>
      <c r="D33">
        <f>(1+'Rescale to Fit GDP Proj'!E152)/(1+'Rescale to Fit GDP Proj'!$D$152)-1</f>
        <v>-3.5622398453959425E-3</v>
      </c>
      <c r="E33">
        <f>(1+'Rescale to Fit GDP Proj'!F152)/(1+'Rescale to Fit GDP Proj'!$D$152)-1</f>
        <v>2.4166684907789282E-3</v>
      </c>
      <c r="F33">
        <f>(1+'Rescale to Fit GDP Proj'!G152)/(1+'Rescale to Fit GDP Proj'!$D$152)-1</f>
        <v>8.6684574799287262E-3</v>
      </c>
      <c r="G33">
        <f>(1+'Rescale to Fit GDP Proj'!H152)/(1+'Rescale to Fit GDP Proj'!$D$152)-1</f>
        <v>2.5305381618640821E-2</v>
      </c>
      <c r="H33">
        <f>(1+'Rescale to Fit GDP Proj'!I152)/(1+'Rescale to Fit GDP Proj'!$D$152)-1</f>
        <v>4.249686144610032E-2</v>
      </c>
      <c r="I33">
        <f>(1+'Rescale to Fit GDP Proj'!J152)/(1+'Rescale to Fit GDP Proj'!$D$152)-1</f>
        <v>5.8412846618510095E-2</v>
      </c>
      <c r="J33">
        <f>(1+'Rescale to Fit GDP Proj'!K152)/(1+'Rescale to Fit GDP Proj'!$D$152)-1</f>
        <v>7.43815208003622E-2</v>
      </c>
      <c r="K33">
        <f>(1+'Rescale to Fit GDP Proj'!L152)/(1+'Rescale to Fit GDP Proj'!$D$152)-1</f>
        <v>8.7819353434775538E-2</v>
      </c>
      <c r="L33">
        <f>(1+'Rescale to Fit GDP Proj'!M152)/(1+'Rescale to Fit GDP Proj'!$D$152)-1</f>
        <v>9.6451352247537203E-2</v>
      </c>
      <c r="M33">
        <f>(1+'Rescale to Fit GDP Proj'!N152)/(1+'Rescale to Fit GDP Proj'!$D$152)-1</f>
        <v>0.10843299503614801</v>
      </c>
      <c r="N33">
        <f>(1+'Rescale to Fit GDP Proj'!O152)/(1+'Rescale to Fit GDP Proj'!$D$152)-1</f>
        <v>0.11891623271460339</v>
      </c>
      <c r="O33">
        <f>(1+'Rescale to Fit GDP Proj'!P152)/(1+'Rescale to Fit GDP Proj'!$D$152)-1</f>
        <v>0.12788483494062808</v>
      </c>
      <c r="P33">
        <f>(1+'Rescale to Fit GDP Proj'!Q152)/(1+'Rescale to Fit GDP Proj'!$D$152)-1</f>
        <v>0.13554516154305896</v>
      </c>
      <c r="Q33">
        <f>(1+'Rescale to Fit GDP Proj'!R152)/(1+'Rescale to Fit GDP Proj'!$D$152)-1</f>
        <v>0.14216281637492423</v>
      </c>
      <c r="R33">
        <f>(1+'Rescale to Fit GDP Proj'!S152)/(1+'Rescale to Fit GDP Proj'!$D$152)-1</f>
        <v>0.14628688805403667</v>
      </c>
      <c r="S33">
        <f>(1+'Rescale to Fit GDP Proj'!T152)/(1+'Rescale to Fit GDP Proj'!$D$152)-1</f>
        <v>0.14900881863006421</v>
      </c>
      <c r="T33">
        <f>(1+'Rescale to Fit GDP Proj'!U152)/(1+'Rescale to Fit GDP Proj'!$D$152)-1</f>
        <v>0.15578510115099031</v>
      </c>
      <c r="U33">
        <f>(1+'Rescale to Fit GDP Proj'!V152)/(1+'Rescale to Fit GDP Proj'!$D$152)-1</f>
        <v>0.16071230361203925</v>
      </c>
      <c r="V33">
        <f>(1+'Rescale to Fit GDP Proj'!W152)/(1+'Rescale to Fit GDP Proj'!$D$152)-1</f>
        <v>0.16662285194727589</v>
      </c>
      <c r="W33">
        <f>(1+'Rescale to Fit GDP Proj'!X152)/(1+'Rescale to Fit GDP Proj'!$D$152)-1</f>
        <v>0.17797246372443154</v>
      </c>
      <c r="X33">
        <f>(1+'Rescale to Fit GDP Proj'!Y152)/(1+'Rescale to Fit GDP Proj'!$D$152)-1</f>
        <v>0.189862080210351</v>
      </c>
      <c r="Y33">
        <f>(1+'Rescale to Fit GDP Proj'!Z152)/(1+'Rescale to Fit GDP Proj'!$D$152)-1</f>
        <v>0.20078434144259627</v>
      </c>
      <c r="Z33">
        <f>(1+'Rescale to Fit GDP Proj'!AA152)/(1+'Rescale to Fit GDP Proj'!$D$152)-1</f>
        <v>0.21184276332593921</v>
      </c>
      <c r="AA33">
        <f>(1+'Rescale to Fit GDP Proj'!AB152)/(1+'Rescale to Fit GDP Proj'!$D$152)-1</f>
        <v>0.22444372466784435</v>
      </c>
      <c r="AB33">
        <f>(1+'Rescale to Fit GDP Proj'!AC152)/(1+'Rescale to Fit GDP Proj'!$D$152)-1</f>
        <v>0.23895477001834187</v>
      </c>
    </row>
    <row r="34" spans="1:28" x14ac:dyDescent="0.25">
      <c r="A34" t="s">
        <v>351</v>
      </c>
      <c r="B34">
        <f>(1+'Rescale to Fit GDP Proj'!C153)/(1+'Rescale to Fit GDP Proj'!$D$153)-1</f>
        <v>-2.2621011531954172E-2</v>
      </c>
      <c r="C34">
        <f>(1+'Rescale to Fit GDP Proj'!D153)/(1+'Rescale to Fit GDP Proj'!$D$153)-1</f>
        <v>0</v>
      </c>
      <c r="D34">
        <f>(1+'Rescale to Fit GDP Proj'!E153)/(1+'Rescale to Fit GDP Proj'!$D$153)-1</f>
        <v>3.737362338258432E-2</v>
      </c>
      <c r="E34">
        <f>(1+'Rescale to Fit GDP Proj'!F153)/(1+'Rescale to Fit GDP Proj'!$D$153)-1</f>
        <v>6.2630631623020516E-2</v>
      </c>
      <c r="F34">
        <f>(1+'Rescale to Fit GDP Proj'!G153)/(1+'Rescale to Fit GDP Proj'!$D$153)-1</f>
        <v>8.0170775239443159E-2</v>
      </c>
      <c r="G34">
        <f>(1+'Rescale to Fit GDP Proj'!H153)/(1+'Rescale to Fit GDP Proj'!$D$153)-1</f>
        <v>0.10134094588753606</v>
      </c>
      <c r="H34">
        <f>(1+'Rescale to Fit GDP Proj'!I153)/(1+'Rescale to Fit GDP Proj'!$D$153)-1</f>
        <v>0.12565330804888597</v>
      </c>
      <c r="I34">
        <f>(1+'Rescale to Fit GDP Proj'!J153)/(1+'Rescale to Fit GDP Proj'!$D$153)-1</f>
        <v>0.1496364194388986</v>
      </c>
      <c r="J34">
        <f>(1+'Rescale to Fit GDP Proj'!K153)/(1+'Rescale to Fit GDP Proj'!$D$153)-1</f>
        <v>0.17703653424053845</v>
      </c>
      <c r="K34">
        <f>(1+'Rescale to Fit GDP Proj'!L153)/(1+'Rescale to Fit GDP Proj'!$D$153)-1</f>
        <v>0.20688643832955522</v>
      </c>
      <c r="L34">
        <f>(1+'Rescale to Fit GDP Proj'!M153)/(1+'Rescale to Fit GDP Proj'!$D$153)-1</f>
        <v>0.23884308189277736</v>
      </c>
      <c r="M34">
        <f>(1+'Rescale to Fit GDP Proj'!N153)/(1+'Rescale to Fit GDP Proj'!$D$153)-1</f>
        <v>0.27287763686691435</v>
      </c>
      <c r="N34">
        <f>(1+'Rescale to Fit GDP Proj'!O153)/(1+'Rescale to Fit GDP Proj'!$D$153)-1</f>
        <v>0.30133892983955968</v>
      </c>
      <c r="O34">
        <f>(1+'Rescale to Fit GDP Proj'!P153)/(1+'Rescale to Fit GDP Proj'!$D$153)-1</f>
        <v>0.32969437946127811</v>
      </c>
      <c r="P34">
        <f>(1+'Rescale to Fit GDP Proj'!Q153)/(1+'Rescale to Fit GDP Proj'!$D$153)-1</f>
        <v>0.35826707365525046</v>
      </c>
      <c r="Q34">
        <f>(1+'Rescale to Fit GDP Proj'!R153)/(1+'Rescale to Fit GDP Proj'!$D$153)-1</f>
        <v>0.38639700589189907</v>
      </c>
      <c r="R34">
        <f>(1+'Rescale to Fit GDP Proj'!S153)/(1+'Rescale to Fit GDP Proj'!$D$153)-1</f>
        <v>0.41473120377389106</v>
      </c>
      <c r="S34">
        <f>(1+'Rescale to Fit GDP Proj'!T153)/(1+'Rescale to Fit GDP Proj'!$D$153)-1</f>
        <v>0.44230629755877993</v>
      </c>
      <c r="T34">
        <f>(1+'Rescale to Fit GDP Proj'!U153)/(1+'Rescale to Fit GDP Proj'!$D$153)-1</f>
        <v>0.47067901164857062</v>
      </c>
      <c r="U34">
        <f>(1+'Rescale to Fit GDP Proj'!V153)/(1+'Rescale to Fit GDP Proj'!$D$153)-1</f>
        <v>0.50025296840515576</v>
      </c>
      <c r="V34">
        <f>(1+'Rescale to Fit GDP Proj'!W153)/(1+'Rescale to Fit GDP Proj'!$D$153)-1</f>
        <v>0.53001542071709151</v>
      </c>
      <c r="W34">
        <f>(1+'Rescale to Fit GDP Proj'!X153)/(1+'Rescale to Fit GDP Proj'!$D$153)-1</f>
        <v>0.55941481169260898</v>
      </c>
      <c r="X34">
        <f>(1+'Rescale to Fit GDP Proj'!Y153)/(1+'Rescale to Fit GDP Proj'!$D$153)-1</f>
        <v>0.58791688650582263</v>
      </c>
      <c r="Y34">
        <f>(1+'Rescale to Fit GDP Proj'!Z153)/(1+'Rescale to Fit GDP Proj'!$D$153)-1</f>
        <v>0.61523897530910499</v>
      </c>
      <c r="Z34">
        <f>(1+'Rescale to Fit GDP Proj'!AA153)/(1+'Rescale to Fit GDP Proj'!$D$153)-1</f>
        <v>0.64273103524405095</v>
      </c>
      <c r="AA34">
        <f>(1+'Rescale to Fit GDP Proj'!AB153)/(1+'Rescale to Fit GDP Proj'!$D$153)-1</f>
        <v>0.66931262330528352</v>
      </c>
      <c r="AB34">
        <f>(1+'Rescale to Fit GDP Proj'!AC153)/(1+'Rescale to Fit GDP Proj'!$D$153)-1</f>
        <v>0.6969237751751074</v>
      </c>
    </row>
    <row r="35" spans="1:28" x14ac:dyDescent="0.25">
      <c r="A35" t="s">
        <v>453</v>
      </c>
      <c r="B35">
        <f>(1+'Rescale to Fit GDP Proj'!C154)/(1+'Rescale to Fit GDP Proj'!$D$154)-1</f>
        <v>-1.6663617517413187E-2</v>
      </c>
      <c r="C35">
        <f>(1+'Rescale to Fit GDP Proj'!D154)/(1+'Rescale to Fit GDP Proj'!$D$154)-1</f>
        <v>0</v>
      </c>
      <c r="D35">
        <f>(1+'Rescale to Fit GDP Proj'!E154)/(1+'Rescale to Fit GDP Proj'!$D$154)-1</f>
        <v>2.7364238237624683E-2</v>
      </c>
      <c r="E35">
        <f>(1+'Rescale to Fit GDP Proj'!F154)/(1+'Rescale to Fit GDP Proj'!$D$154)-1</f>
        <v>4.5678495345144787E-2</v>
      </c>
      <c r="F35">
        <f>(1+'Rescale to Fit GDP Proj'!G154)/(1+'Rescale to Fit GDP Proj'!$D$154)-1</f>
        <v>5.8316169365296933E-2</v>
      </c>
      <c r="G35">
        <f>(1+'Rescale to Fit GDP Proj'!H154)/(1+'Rescale to Fit GDP Proj'!$D$154)-1</f>
        <v>7.3502943196412929E-2</v>
      </c>
      <c r="H35">
        <f>(1+'Rescale to Fit GDP Proj'!I154)/(1+'Rescale to Fit GDP Proj'!$D$154)-1</f>
        <v>9.0854033419322633E-2</v>
      </c>
      <c r="I35">
        <f>(1+'Rescale to Fit GDP Proj'!J154)/(1+'Rescale to Fit GDP Proj'!$D$154)-1</f>
        <v>0.10787113817276239</v>
      </c>
      <c r="J35">
        <f>(1+'Rescale to Fit GDP Proj'!K154)/(1+'Rescale to Fit GDP Proj'!$D$154)-1</f>
        <v>0.1272041392634502</v>
      </c>
      <c r="K35">
        <f>(1+'Rescale to Fit GDP Proj'!L154)/(1+'Rescale to Fit GDP Proj'!$D$154)-1</f>
        <v>0.14813435619875515</v>
      </c>
      <c r="L35">
        <f>(1+'Rescale to Fit GDP Proj'!M154)/(1+'Rescale to Fit GDP Proj'!$D$154)-1</f>
        <v>0.17039335480004514</v>
      </c>
      <c r="M35">
        <f>(1+'Rescale to Fit GDP Proj'!N154)/(1+'Rescale to Fit GDP Proj'!$D$154)-1</f>
        <v>0.19393591998653492</v>
      </c>
      <c r="N35">
        <f>(1+'Rescale to Fit GDP Proj'!O154)/(1+'Rescale to Fit GDP Proj'!$D$154)-1</f>
        <v>0.21348233635336467</v>
      </c>
      <c r="O35">
        <f>(1+'Rescale to Fit GDP Proj'!P154)/(1+'Rescale to Fit GDP Proj'!$D$154)-1</f>
        <v>0.23284199667879268</v>
      </c>
      <c r="P35">
        <f>(1+'Rescale to Fit GDP Proj'!Q154)/(1+'Rescale to Fit GDP Proj'!$D$154)-1</f>
        <v>0.25223856668301403</v>
      </c>
      <c r="Q35">
        <f>(1+'Rescale to Fit GDP Proj'!R154)/(1+'Rescale to Fit GDP Proj'!$D$154)-1</f>
        <v>0.27122698305282267</v>
      </c>
      <c r="R35">
        <f>(1+'Rescale to Fit GDP Proj'!S154)/(1+'Rescale to Fit GDP Proj'!$D$154)-1</f>
        <v>0.2902493507153121</v>
      </c>
      <c r="S35">
        <f>(1+'Rescale to Fit GDP Proj'!T154)/(1+'Rescale to Fit GDP Proj'!$D$154)-1</f>
        <v>0.30866278824554616</v>
      </c>
      <c r="T35">
        <f>(1+'Rescale to Fit GDP Proj'!U154)/(1+'Rescale to Fit GDP Proj'!$D$154)-1</f>
        <v>0.32751183073141443</v>
      </c>
      <c r="U35">
        <f>(1+'Rescale to Fit GDP Proj'!V154)/(1+'Rescale to Fit GDP Proj'!$D$154)-1</f>
        <v>0.34705738979371969</v>
      </c>
      <c r="V35">
        <f>(1+'Rescale to Fit GDP Proj'!W154)/(1+'Rescale to Fit GDP Proj'!$D$154)-1</f>
        <v>0.36662367927090145</v>
      </c>
      <c r="W35">
        <f>(1+'Rescale to Fit GDP Proj'!X154)/(1+'Rescale to Fit GDP Proj'!$D$154)-1</f>
        <v>0.38585059510618636</v>
      </c>
      <c r="X35">
        <f>(1+'Rescale to Fit GDP Proj'!Y154)/(1+'Rescale to Fit GDP Proj'!$D$154)-1</f>
        <v>0.40439655820704279</v>
      </c>
      <c r="Y35">
        <f>(1+'Rescale to Fit GDP Proj'!Z154)/(1+'Rescale to Fit GDP Proj'!$D$154)-1</f>
        <v>0.42208925544394615</v>
      </c>
      <c r="Z35">
        <f>(1+'Rescale to Fit GDP Proj'!AA154)/(1+'Rescale to Fit GDP Proj'!$D$154)-1</f>
        <v>0.43981136878110583</v>
      </c>
      <c r="AA35">
        <f>(1+'Rescale to Fit GDP Proj'!AB154)/(1+'Rescale to Fit GDP Proj'!$D$154)-1</f>
        <v>0.45686976578702199</v>
      </c>
      <c r="AB35">
        <f>(1+'Rescale to Fit GDP Proj'!AC154)/(1+'Rescale to Fit GDP Proj'!$D$154)-1</f>
        <v>0.474513306165391</v>
      </c>
    </row>
    <row r="36" spans="1:28" x14ac:dyDescent="0.25">
      <c r="A36" t="s">
        <v>456</v>
      </c>
      <c r="B36">
        <f>(1+'Rescale to Fit GDP Proj'!C155)/(1+'Rescale to Fit GDP Proj'!$D$155)-1</f>
        <v>-1.8868508113872529E-2</v>
      </c>
      <c r="C36">
        <f>(1+'Rescale to Fit GDP Proj'!D155)/(1+'Rescale to Fit GDP Proj'!$D$155)-1</f>
        <v>0</v>
      </c>
      <c r="D36">
        <f>(1+'Rescale to Fit GDP Proj'!E155)/(1+'Rescale to Fit GDP Proj'!$D$155)-1</f>
        <v>3.1054642164593638E-2</v>
      </c>
      <c r="E36">
        <f>(1+'Rescale to Fit GDP Proj'!F155)/(1+'Rescale to Fit GDP Proj'!$D$155)-1</f>
        <v>5.1913460947765167E-2</v>
      </c>
      <c r="F36">
        <f>(1+'Rescale to Fit GDP Proj'!G155)/(1+'Rescale to Fit GDP Proj'!$D$155)-1</f>
        <v>6.634099643805258E-2</v>
      </c>
      <c r="G36">
        <f>(1+'Rescale to Fit GDP Proj'!H155)/(1+'Rescale to Fit GDP Proj'!$D$155)-1</f>
        <v>8.370657938111159E-2</v>
      </c>
      <c r="H36">
        <f>(1+'Rescale to Fit GDP Proj'!I155)/(1+'Rescale to Fit GDP Proj'!$D$155)-1</f>
        <v>0.10358484114166666</v>
      </c>
      <c r="I36">
        <f>(1+'Rescale to Fit GDP Proj'!J155)/(1+'Rescale to Fit GDP Proj'!$D$155)-1</f>
        <v>0.12312229311328871</v>
      </c>
      <c r="J36">
        <f>(1+'Rescale to Fit GDP Proj'!K155)/(1+'Rescale to Fit GDP Proj'!$D$155)-1</f>
        <v>0.14536462113444237</v>
      </c>
      <c r="K36">
        <f>(1+'Rescale to Fit GDP Proj'!L155)/(1+'Rescale to Fit GDP Proj'!$D$155)-1</f>
        <v>0.16950022034779044</v>
      </c>
      <c r="L36">
        <f>(1+'Rescale to Fit GDP Proj'!M155)/(1+'Rescale to Fit GDP Proj'!$D$155)-1</f>
        <v>0.19523120370729097</v>
      </c>
      <c r="M36">
        <f>(1+'Rescale to Fit GDP Proj'!N155)/(1+'Rescale to Fit GDP Proj'!$D$155)-1</f>
        <v>0.22251576803581852</v>
      </c>
      <c r="N36">
        <f>(1+'Rescale to Fit GDP Proj'!O155)/(1+'Rescale to Fit GDP Proj'!$D$155)-1</f>
        <v>0.24522925244788896</v>
      </c>
      <c r="O36">
        <f>(1+'Rescale to Fit GDP Proj'!P155)/(1+'Rescale to Fit GDP Proj'!$D$155)-1</f>
        <v>0.26777459067512699</v>
      </c>
      <c r="P36">
        <f>(1+'Rescale to Fit GDP Proj'!Q155)/(1+'Rescale to Fit GDP Proj'!$D$155)-1</f>
        <v>0.29041074925282517</v>
      </c>
      <c r="Q36">
        <f>(1+'Rescale to Fit GDP Proj'!R155)/(1+'Rescale to Fit GDP Proj'!$D$155)-1</f>
        <v>0.31261687576174513</v>
      </c>
      <c r="R36">
        <f>(1+'Rescale to Fit GDP Proj'!S155)/(1+'Rescale to Fit GDP Proj'!$D$155)-1</f>
        <v>0.33490751991241097</v>
      </c>
      <c r="S36">
        <f>(1+'Rescale to Fit GDP Proj'!T155)/(1+'Rescale to Fit GDP Proj'!$D$155)-1</f>
        <v>0.35652751394061566</v>
      </c>
      <c r="T36">
        <f>(1+'Rescale to Fit GDP Proj'!U155)/(1+'Rescale to Fit GDP Proj'!$D$155)-1</f>
        <v>0.37870096610246851</v>
      </c>
      <c r="U36">
        <f>(1+'Rescale to Fit GDP Proj'!V155)/(1+'Rescale to Fit GDP Proj'!$D$155)-1</f>
        <v>0.40173780808476178</v>
      </c>
      <c r="V36">
        <f>(1+'Rescale to Fit GDP Proj'!W155)/(1+'Rescale to Fit GDP Proj'!$D$155)-1</f>
        <v>0.42484421034448849</v>
      </c>
      <c r="W36">
        <f>(1+'Rescale to Fit GDP Proj'!X155)/(1+'Rescale to Fit GDP Proj'!$D$155)-1</f>
        <v>0.44759367767954461</v>
      </c>
      <c r="X36">
        <f>(1+'Rescale to Fit GDP Proj'!Y155)/(1+'Rescale to Fit GDP Proj'!$D$155)-1</f>
        <v>0.46957849305861288</v>
      </c>
      <c r="Y36">
        <f>(1+'Rescale to Fit GDP Proj'!Z155)/(1+'Rescale to Fit GDP Proj'!$D$155)-1</f>
        <v>0.49058917959210069</v>
      </c>
      <c r="Z36">
        <f>(1+'Rescale to Fit GDP Proj'!AA155)/(1+'Rescale to Fit GDP Proj'!$D$155)-1</f>
        <v>0.51167011052252698</v>
      </c>
      <c r="AA36">
        <f>(1+'Rescale to Fit GDP Proj'!AB155)/(1+'Rescale to Fit GDP Proj'!$D$155)-1</f>
        <v>0.53199521617741863</v>
      </c>
      <c r="AB36">
        <f>(1+'Rescale to Fit GDP Proj'!AC155)/(1+'Rescale to Fit GDP Proj'!$D$155)-1</f>
        <v>0.55305071723838384</v>
      </c>
    </row>
    <row r="37" spans="1:28" x14ac:dyDescent="0.25">
      <c r="A37" t="s">
        <v>446</v>
      </c>
      <c r="B37">
        <f>(1+'Rescale to Fit GDP Proj'!C156)/(1+'Rescale to Fit GDP Proj'!$D$156)-1</f>
        <v>-2.0628439564783774E-2</v>
      </c>
      <c r="C37">
        <f>(1+'Rescale to Fit GDP Proj'!D156)/(1+'Rescale to Fit GDP Proj'!$D$156)-1</f>
        <v>0</v>
      </c>
      <c r="D37">
        <f>(1+'Rescale to Fit GDP Proj'!E156)/(1+'Rescale to Fit GDP Proj'!$D$156)-1</f>
        <v>3.4012227132650175E-2</v>
      </c>
      <c r="E37">
        <f>(1+'Rescale to Fit GDP Proj'!F156)/(1+'Rescale to Fit GDP Proj'!$D$156)-1</f>
        <v>5.6923132142700616E-2</v>
      </c>
      <c r="F37">
        <f>(1+'Rescale to Fit GDP Proj'!G156)/(1+'Rescale to Fit GDP Proj'!$D$156)-1</f>
        <v>7.2799972686325987E-2</v>
      </c>
      <c r="G37">
        <f>(1+'Rescale to Fit GDP Proj'!H156)/(1+'Rescale to Fit GDP Proj'!$D$156)-1</f>
        <v>9.1934624122637087E-2</v>
      </c>
      <c r="H37">
        <f>(1+'Rescale to Fit GDP Proj'!I156)/(1+'Rescale to Fit GDP Proj'!$D$156)-1</f>
        <v>0.11387135329972886</v>
      </c>
      <c r="I37">
        <f>(1+'Rescale to Fit GDP Proj'!J156)/(1+'Rescale to Fit GDP Proj'!$D$156)-1</f>
        <v>0.1354689672063687</v>
      </c>
      <c r="J37">
        <f>(1+'Rescale to Fit GDP Proj'!K156)/(1+'Rescale to Fit GDP Proj'!$D$156)-1</f>
        <v>0.16009741288897761</v>
      </c>
      <c r="K37">
        <f>(1+'Rescale to Fit GDP Proj'!L156)/(1+'Rescale to Fit GDP Proj'!$D$156)-1</f>
        <v>0.18687166329977667</v>
      </c>
      <c r="L37">
        <f>(1+'Rescale to Fit GDP Proj'!M156)/(1+'Rescale to Fit GDP Proj'!$D$156)-1</f>
        <v>0.21547181774419433</v>
      </c>
      <c r="M37">
        <f>(1+'Rescale to Fit GDP Proj'!N156)/(1+'Rescale to Fit GDP Proj'!$D$156)-1</f>
        <v>0.24586096654898282</v>
      </c>
      <c r="N37">
        <f>(1+'Rescale to Fit GDP Proj'!O156)/(1+'Rescale to Fit GDP Proj'!$D$156)-1</f>
        <v>0.271212685669177</v>
      </c>
      <c r="O37">
        <f>(1+'Rescale to Fit GDP Proj'!P156)/(1+'Rescale to Fit GDP Proj'!$D$156)-1</f>
        <v>0.29642044245922872</v>
      </c>
      <c r="P37">
        <f>(1+'Rescale to Fit GDP Proj'!Q156)/(1+'Rescale to Fit GDP Proj'!$D$156)-1</f>
        <v>0.3217726100064926</v>
      </c>
      <c r="Q37">
        <f>(1+'Rescale to Fit GDP Proj'!R156)/(1+'Rescale to Fit GDP Proj'!$D$156)-1</f>
        <v>0.34668469786943379</v>
      </c>
      <c r="R37">
        <f>(1+'Rescale to Fit GDP Proj'!S156)/(1+'Rescale to Fit GDP Proj'!$D$156)-1</f>
        <v>0.37173189316037436</v>
      </c>
      <c r="S37">
        <f>(1+'Rescale to Fit GDP Proj'!T156)/(1+'Rescale to Fit GDP Proj'!$D$156)-1</f>
        <v>0.39606413742623769</v>
      </c>
      <c r="T37">
        <f>(1+'Rescale to Fit GDP Proj'!U156)/(1+'Rescale to Fit GDP Proj'!$D$156)-1</f>
        <v>0.42105715063033</v>
      </c>
      <c r="U37">
        <f>(1+'Rescale to Fit GDP Proj'!V156)/(1+'Rescale to Fit GDP Proj'!$D$156)-1</f>
        <v>0.44706311415032185</v>
      </c>
      <c r="V37">
        <f>(1+'Rescale to Fit GDP Proj'!W156)/(1+'Rescale to Fit GDP Proj'!$D$156)-1</f>
        <v>0.47318843044095127</v>
      </c>
      <c r="W37">
        <f>(1+'Rescale to Fit GDP Proj'!X156)/(1+'Rescale to Fit GDP Proj'!$D$156)-1</f>
        <v>0.49894990340853873</v>
      </c>
      <c r="X37">
        <f>(1+'Rescale to Fit GDP Proj'!Y156)/(1+'Rescale to Fit GDP Proj'!$D$156)-1</f>
        <v>0.52388274656262035</v>
      </c>
      <c r="Y37">
        <f>(1+'Rescale to Fit GDP Proj'!Z156)/(1+'Rescale to Fit GDP Proj'!$D$156)-1</f>
        <v>0.54774478545012828</v>
      </c>
      <c r="Z37">
        <f>(1+'Rescale to Fit GDP Proj'!AA156)/(1+'Rescale to Fit GDP Proj'!$D$156)-1</f>
        <v>0.5717187418859444</v>
      </c>
      <c r="AA37">
        <f>(1+'Rescale to Fit GDP Proj'!AB156)/(1+'Rescale to Fit GDP Proj'!$D$156)-1</f>
        <v>0.59486384707924689</v>
      </c>
      <c r="AB37">
        <f>(1+'Rescale to Fit GDP Proj'!AC156)/(1+'Rescale to Fit GDP Proj'!$D$156)-1</f>
        <v>0.61887098162237675</v>
      </c>
    </row>
    <row r="38" spans="1:28" x14ac:dyDescent="0.25">
      <c r="A38" t="s">
        <v>487</v>
      </c>
      <c r="B38">
        <f>(1+'Rescale to Fit GDP Proj'!C157)/(1+'Rescale to Fit GDP Proj'!$D$157)-1</f>
        <v>-2.3094727429800233E-2</v>
      </c>
      <c r="C38">
        <f>(1+'Rescale to Fit GDP Proj'!D157)/(1+'Rescale to Fit GDP Proj'!$D$157)-1</f>
        <v>0</v>
      </c>
      <c r="D38">
        <f>(1+'Rescale to Fit GDP Proj'!E157)/(1+'Rescale to Fit GDP Proj'!$D$157)-1</f>
        <v>3.8174782334923885E-2</v>
      </c>
      <c r="E38">
        <f>(1+'Rescale to Fit GDP Proj'!F157)/(1+'Rescale to Fit GDP Proj'!$D$157)-1</f>
        <v>6.3993135952725266E-2</v>
      </c>
      <c r="F38">
        <f>(1+'Rescale to Fit GDP Proj'!G157)/(1+'Rescale to Fit GDP Proj'!$D$157)-1</f>
        <v>8.193225058414888E-2</v>
      </c>
      <c r="G38">
        <f>(1+'Rescale to Fit GDP Proj'!H157)/(1+'Rescale to Fit GDP Proj'!$D$157)-1</f>
        <v>0.10359149823419123</v>
      </c>
      <c r="H38">
        <f>(1+'Rescale to Fit GDP Proj'!I157)/(1+'Rescale to Fit GDP Proj'!$D$157)-1</f>
        <v>0.12847577834713286</v>
      </c>
      <c r="I38">
        <f>(1+'Rescale to Fit GDP Proj'!J157)/(1+'Rescale to Fit GDP Proj'!$D$157)-1</f>
        <v>0.15303442773726972</v>
      </c>
      <c r="J38">
        <f>(1+'Rescale to Fit GDP Proj'!K157)/(1+'Rescale to Fit GDP Proj'!$D$157)-1</f>
        <v>0.1811046278334052</v>
      </c>
      <c r="K38">
        <f>(1+'Rescale to Fit GDP Proj'!L157)/(1+'Rescale to Fit GDP Proj'!$D$157)-1</f>
        <v>0.21169978810924284</v>
      </c>
      <c r="L38">
        <f>(1+'Rescale to Fit GDP Proj'!M157)/(1+'Rescale to Fit GDP Proj'!$D$157)-1</f>
        <v>0.24447165242114477</v>
      </c>
      <c r="M38">
        <f>(1+'Rescale to Fit GDP Proj'!N157)/(1+'Rescale to Fit GDP Proj'!$D$157)-1</f>
        <v>0.27939373615325436</v>
      </c>
      <c r="N38">
        <f>(1+'Rescale to Fit GDP Proj'!O157)/(1+'Rescale to Fit GDP Proj'!$D$157)-1</f>
        <v>0.30861396104280736</v>
      </c>
      <c r="O38">
        <f>(1+'Rescale to Fit GDP Proj'!P157)/(1+'Rescale to Fit GDP Proj'!$D$157)-1</f>
        <v>0.33773916866998022</v>
      </c>
      <c r="P38">
        <f>(1+'Rescale to Fit GDP Proj'!Q157)/(1+'Rescale to Fit GDP Proj'!$D$157)-1</f>
        <v>0.36710093431494761</v>
      </c>
      <c r="Q38">
        <f>(1+'Rescale to Fit GDP Proj'!R157)/(1+'Rescale to Fit GDP Proj'!$D$157)-1</f>
        <v>0.39602074580956037</v>
      </c>
      <c r="R38">
        <f>(1+'Rescale to Fit GDP Proj'!S157)/(1+'Rescale to Fit GDP Proj'!$D$157)-1</f>
        <v>0.42516322853451749</v>
      </c>
      <c r="S38">
        <f>(1+'Rescale to Fit GDP Proj'!T157)/(1+'Rescale to Fit GDP Proj'!$D$157)-1</f>
        <v>0.45353712884645891</v>
      </c>
      <c r="T38">
        <f>(1+'Rescale to Fit GDP Proj'!U157)/(1+'Rescale to Fit GDP Proj'!$D$157)-1</f>
        <v>0.48274372034079116</v>
      </c>
      <c r="U38">
        <f>(1+'Rescale to Fit GDP Proj'!V157)/(1+'Rescale to Fit GDP Proj'!$D$157)-1</f>
        <v>0.51319944917013194</v>
      </c>
      <c r="V38">
        <f>(1+'Rescale to Fit GDP Proj'!W157)/(1+'Rescale to Fit GDP Proj'!$D$157)-1</f>
        <v>0.54386224540401473</v>
      </c>
      <c r="W38">
        <f>(1+'Rescale to Fit GDP Proj'!X157)/(1+'Rescale to Fit GDP Proj'!$D$157)-1</f>
        <v>0.5741636274617361</v>
      </c>
      <c r="X38">
        <f>(1+'Rescale to Fit GDP Proj'!Y157)/(1+'Rescale to Fit GDP Proj'!$D$157)-1</f>
        <v>0.6035520353424122</v>
      </c>
      <c r="Y38">
        <f>(1+'Rescale to Fit GDP Proj'!Z157)/(1+'Rescale to Fit GDP Proj'!$D$157)-1</f>
        <v>0.63173460268103621</v>
      </c>
      <c r="Z38">
        <f>(1+'Rescale to Fit GDP Proj'!AA157)/(1+'Rescale to Fit GDP Proj'!$D$157)-1</f>
        <v>0.66010277683915519</v>
      </c>
      <c r="AA38">
        <f>(1+'Rescale to Fit GDP Proj'!AB157)/(1+'Rescale to Fit GDP Proj'!$D$157)-1</f>
        <v>0.68754130439262173</v>
      </c>
      <c r="AB38">
        <f>(1+'Rescale to Fit GDP Proj'!AC157)/(1+'Rescale to Fit GDP Proj'!$D$157)-1</f>
        <v>0.71605231576177197</v>
      </c>
    </row>
    <row r="39" spans="1:28" x14ac:dyDescent="0.25">
      <c r="A39" t="s">
        <v>512</v>
      </c>
      <c r="B39">
        <f>(1+'Rescale to Fit GDP Proj'!C158)/(1+'Rescale to Fit GDP Proj'!$D$158)-1</f>
        <v>-2.5000768417914432E-2</v>
      </c>
      <c r="C39">
        <f>(1+'Rescale to Fit GDP Proj'!D158)/(1+'Rescale to Fit GDP Proj'!$D$158)-1</f>
        <v>0</v>
      </c>
      <c r="D39">
        <f>(1+'Rescale to Fit GDP Proj'!E158)/(1+'Rescale to Fit GDP Proj'!$D$158)-1</f>
        <v>4.1406189552791517E-2</v>
      </c>
      <c r="E39">
        <f>(1+'Rescale to Fit GDP Proj'!F158)/(1+'Rescale to Fit GDP Proj'!$D$158)-1</f>
        <v>6.9497171477797881E-2</v>
      </c>
      <c r="F39">
        <f>(1+'Rescale to Fit GDP Proj'!G158)/(1+'Rescale to Fit GDP Proj'!$D$158)-1</f>
        <v>8.9055445006440248E-2</v>
      </c>
      <c r="G39">
        <f>(1+'Rescale to Fit GDP Proj'!H158)/(1+'Rescale to Fit GDP Proj'!$D$158)-1</f>
        <v>0.11270276823359104</v>
      </c>
      <c r="H39">
        <f>(1+'Rescale to Fit GDP Proj'!I158)/(1+'Rescale to Fit GDP Proj'!$D$158)-1</f>
        <v>0.13991628070947826</v>
      </c>
      <c r="I39">
        <f>(1+'Rescale to Fit GDP Proj'!J158)/(1+'Rescale to Fit GDP Proj'!$D$158)-1</f>
        <v>0.16682381423810999</v>
      </c>
      <c r="J39">
        <f>(1+'Rescale to Fit GDP Proj'!K158)/(1+'Rescale to Fit GDP Proj'!$D$158)-1</f>
        <v>0.19763420556511524</v>
      </c>
      <c r="K39">
        <f>(1+'Rescale to Fit GDP Proj'!L158)/(1+'Rescale to Fit GDP Proj'!$D$158)-1</f>
        <v>0.23128359971884338</v>
      </c>
      <c r="L39">
        <f>(1+'Rescale to Fit GDP Proj'!M158)/(1+'Rescale to Fit GDP Proj'!$D$158)-1</f>
        <v>0.26740402935646479</v>
      </c>
      <c r="M39">
        <f>(1+'Rescale to Fit GDP Proj'!N158)/(1+'Rescale to Fit GDP Proj'!$D$158)-1</f>
        <v>0.30598018283700967</v>
      </c>
      <c r="N39">
        <f>(1+'Rescale to Fit GDP Proj'!O158)/(1+'Rescale to Fit GDP Proj'!$D$158)-1</f>
        <v>0.33833244233437987</v>
      </c>
      <c r="O39">
        <f>(1+'Rescale to Fit GDP Proj'!P158)/(1+'Rescale to Fit GDP Proj'!$D$158)-1</f>
        <v>0.37064045042590155</v>
      </c>
      <c r="P39">
        <f>(1+'Rescale to Fit GDP Proj'!Q158)/(1+'Rescale to Fit GDP Proj'!$D$158)-1</f>
        <v>0.4032708931108544</v>
      </c>
      <c r="Q39">
        <f>(1+'Rescale to Fit GDP Proj'!R158)/(1+'Rescale to Fit GDP Proj'!$D$158)-1</f>
        <v>0.43546861103051437</v>
      </c>
      <c r="R39">
        <f>(1+'Rescale to Fit GDP Proj'!S158)/(1+'Rescale to Fit GDP Proj'!$D$158)-1</f>
        <v>0.46797113388013423</v>
      </c>
      <c r="S39">
        <f>(1+'Rescale to Fit GDP Proj'!T158)/(1+'Rescale to Fit GDP Proj'!$D$158)-1</f>
        <v>0.49967123462334073</v>
      </c>
      <c r="T39">
        <f>(1+'Rescale to Fit GDP Proj'!U158)/(1+'Rescale to Fit GDP Proj'!$D$158)-1</f>
        <v>0.53235555842087789</v>
      </c>
      <c r="U39">
        <f>(1+'Rescale to Fit GDP Proj'!V158)/(1+'Rescale to Fit GDP Proj'!$D$158)-1</f>
        <v>0.56649458612686288</v>
      </c>
      <c r="V39">
        <f>(1+'Rescale to Fit GDP Proj'!W158)/(1+'Rescale to Fit GDP Proj'!$D$158)-1</f>
        <v>0.60092428126287101</v>
      </c>
      <c r="W39">
        <f>(1+'Rescale to Fit GDP Proj'!X158)/(1+'Rescale to Fit GDP Proj'!$D$158)-1</f>
        <v>0.63500536360443482</v>
      </c>
      <c r="X39">
        <f>(1+'Rescale to Fit GDP Proj'!Y158)/(1+'Rescale to Fit GDP Proj'!$D$158)-1</f>
        <v>0.66811344875924039</v>
      </c>
      <c r="Y39">
        <f>(1+'Rescale to Fit GDP Proj'!Z158)/(1+'Rescale to Fit GDP Proj'!$D$158)-1</f>
        <v>0.69991232527584923</v>
      </c>
      <c r="Z39">
        <f>(1+'Rescale to Fit GDP Proj'!AA158)/(1+'Rescale to Fit GDP Proj'!$D$158)-1</f>
        <v>0.73196742116907365</v>
      </c>
      <c r="AA39">
        <f>(1+'Rescale to Fit GDP Proj'!AB158)/(1+'Rescale to Fit GDP Proj'!$D$158)-1</f>
        <v>0.76301689471143996</v>
      </c>
      <c r="AB39">
        <f>(1+'Rescale to Fit GDP Proj'!AC158)/(1+'Rescale to Fit GDP Proj'!$D$158)-1</f>
        <v>0.79532439689778878</v>
      </c>
    </row>
    <row r="40" spans="1:28" x14ac:dyDescent="0.25">
      <c r="A40" t="s">
        <v>863</v>
      </c>
      <c r="B40">
        <f>(1+'Rescale to Fit GDP Proj'!C159)/(1+'Rescale to Fit GDP Proj'!$D$159)-1</f>
        <v>-2.0628439564783774E-2</v>
      </c>
      <c r="C40">
        <f>(1+'Rescale to Fit GDP Proj'!D159)/(1+'Rescale to Fit GDP Proj'!$D$159)-1</f>
        <v>0</v>
      </c>
      <c r="D40">
        <f>(1+'Rescale to Fit GDP Proj'!E159)/(1+'Rescale to Fit GDP Proj'!$D$159)-1</f>
        <v>3.4012227132650175E-2</v>
      </c>
      <c r="E40">
        <f>(1+'Rescale to Fit GDP Proj'!F159)/(1+'Rescale to Fit GDP Proj'!$D$159)-1</f>
        <v>5.6923132142700616E-2</v>
      </c>
      <c r="F40">
        <f>(1+'Rescale to Fit GDP Proj'!G159)/(1+'Rescale to Fit GDP Proj'!$D$159)-1</f>
        <v>7.2799972686325987E-2</v>
      </c>
      <c r="G40">
        <f>(1+'Rescale to Fit GDP Proj'!H159)/(1+'Rescale to Fit GDP Proj'!$D$159)-1</f>
        <v>9.1934624122637087E-2</v>
      </c>
      <c r="H40">
        <f>(1+'Rescale to Fit GDP Proj'!I159)/(1+'Rescale to Fit GDP Proj'!$D$159)-1</f>
        <v>0.11387135329972886</v>
      </c>
      <c r="I40">
        <f>(1+'Rescale to Fit GDP Proj'!J159)/(1+'Rescale to Fit GDP Proj'!$D$159)-1</f>
        <v>0.1354689672063687</v>
      </c>
      <c r="J40">
        <f>(1+'Rescale to Fit GDP Proj'!K159)/(1+'Rescale to Fit GDP Proj'!$D$159)-1</f>
        <v>0.16009741288897761</v>
      </c>
      <c r="K40">
        <f>(1+'Rescale to Fit GDP Proj'!L159)/(1+'Rescale to Fit GDP Proj'!$D$159)-1</f>
        <v>0.18687166329977667</v>
      </c>
      <c r="L40">
        <f>(1+'Rescale to Fit GDP Proj'!M159)/(1+'Rescale to Fit GDP Proj'!$D$159)-1</f>
        <v>0.21547181774419433</v>
      </c>
      <c r="M40">
        <f>(1+'Rescale to Fit GDP Proj'!N159)/(1+'Rescale to Fit GDP Proj'!$D$159)-1</f>
        <v>0.24586096654898282</v>
      </c>
      <c r="N40">
        <f>(1+'Rescale to Fit GDP Proj'!O159)/(1+'Rescale to Fit GDP Proj'!$D$159)-1</f>
        <v>0.271212685669177</v>
      </c>
      <c r="O40">
        <f>(1+'Rescale to Fit GDP Proj'!P159)/(1+'Rescale to Fit GDP Proj'!$D$159)-1</f>
        <v>0.29642044245922872</v>
      </c>
      <c r="P40">
        <f>(1+'Rescale to Fit GDP Proj'!Q159)/(1+'Rescale to Fit GDP Proj'!$D$159)-1</f>
        <v>0.3217726100064926</v>
      </c>
      <c r="Q40">
        <f>(1+'Rescale to Fit GDP Proj'!R159)/(1+'Rescale to Fit GDP Proj'!$D$159)-1</f>
        <v>0.34668469786943379</v>
      </c>
      <c r="R40">
        <f>(1+'Rescale to Fit GDP Proj'!S159)/(1+'Rescale to Fit GDP Proj'!$D$159)-1</f>
        <v>0.37173189316037436</v>
      </c>
      <c r="S40">
        <f>(1+'Rescale to Fit GDP Proj'!T159)/(1+'Rescale to Fit GDP Proj'!$D$159)-1</f>
        <v>0.39606413742623769</v>
      </c>
      <c r="T40">
        <f>(1+'Rescale to Fit GDP Proj'!U159)/(1+'Rescale to Fit GDP Proj'!$D$159)-1</f>
        <v>0.42105715063033</v>
      </c>
      <c r="U40">
        <f>(1+'Rescale to Fit GDP Proj'!V159)/(1+'Rescale to Fit GDP Proj'!$D$159)-1</f>
        <v>0.44706311415032185</v>
      </c>
      <c r="V40">
        <f>(1+'Rescale to Fit GDP Proj'!W159)/(1+'Rescale to Fit GDP Proj'!$D$159)-1</f>
        <v>0.47318843044095127</v>
      </c>
      <c r="W40">
        <f>(1+'Rescale to Fit GDP Proj'!X159)/(1+'Rescale to Fit GDP Proj'!$D$159)-1</f>
        <v>0.49894990340853873</v>
      </c>
      <c r="X40">
        <f>(1+'Rescale to Fit GDP Proj'!Y159)/(1+'Rescale to Fit GDP Proj'!$D$159)-1</f>
        <v>0.52388274656262035</v>
      </c>
      <c r="Y40">
        <f>(1+'Rescale to Fit GDP Proj'!Z159)/(1+'Rescale to Fit GDP Proj'!$D$159)-1</f>
        <v>0.54774478545012828</v>
      </c>
      <c r="Z40">
        <f>(1+'Rescale to Fit GDP Proj'!AA159)/(1+'Rescale to Fit GDP Proj'!$D$159)-1</f>
        <v>0.5717187418859444</v>
      </c>
      <c r="AA40">
        <f>(1+'Rescale to Fit GDP Proj'!AB159)/(1+'Rescale to Fit GDP Proj'!$D$159)-1</f>
        <v>0.59486384707924689</v>
      </c>
      <c r="AB40">
        <f>(1+'Rescale to Fit GDP Proj'!AC159)/(1+'Rescale to Fit GDP Proj'!$D$159)-1</f>
        <v>0.61887098162237675</v>
      </c>
    </row>
    <row r="41" spans="1:28" x14ac:dyDescent="0.25">
      <c r="A41" t="s">
        <v>523</v>
      </c>
      <c r="B41">
        <f>(1+'Rescale to Fit GDP Proj'!C160)/(1+'Rescale to Fit GDP Proj'!$D$160)-1</f>
        <v>-3.2493199789058846E-2</v>
      </c>
      <c r="C41">
        <f>(1+'Rescale to Fit GDP Proj'!D160)/(1+'Rescale to Fit GDP Proj'!$D$160)-1</f>
        <v>0</v>
      </c>
      <c r="D41">
        <f>(1+'Rescale to Fit GDP Proj'!E160)/(1+'Rescale to Fit GDP Proj'!$D$160)-1</f>
        <v>5.4231877113664506E-2</v>
      </c>
      <c r="E41">
        <f>(1+'Rescale to Fit GDP Proj'!F160)/(1+'Rescale to Fit GDP Proj'!$D$160)-1</f>
        <v>9.1477246051684613E-2</v>
      </c>
      <c r="F41">
        <f>(1+'Rescale to Fit GDP Proj'!G160)/(1+'Rescale to Fit GDP Proj'!$D$160)-1</f>
        <v>0.11762021653500732</v>
      </c>
      <c r="G41">
        <f>(1+'Rescale to Fit GDP Proj'!H160)/(1+'Rescale to Fit GDP Proj'!$D$160)-1</f>
        <v>0.14940473358085571</v>
      </c>
      <c r="H41">
        <f>(1+'Rescale to Fit GDP Proj'!I160)/(1+'Rescale to Fit GDP Proj'!$D$160)-1</f>
        <v>0.18622337708808767</v>
      </c>
      <c r="I41">
        <f>(1+'Rescale to Fit GDP Proj'!J160)/(1+'Rescale to Fit GDP Proj'!$D$160)-1</f>
        <v>0.22289725062024801</v>
      </c>
      <c r="J41">
        <f>(1+'Rescale to Fit GDP Proj'!K160)/(1+'Rescale to Fit GDP Proj'!$D$160)-1</f>
        <v>0.26519052107714747</v>
      </c>
      <c r="K41">
        <f>(1+'Rescale to Fit GDP Proj'!L160)/(1+'Rescale to Fit GDP Proj'!$D$160)-1</f>
        <v>0.31174895442907435</v>
      </c>
      <c r="L41">
        <f>(1+'Rescale to Fit GDP Proj'!M160)/(1+'Rescale to Fit GDP Proj'!$D$160)-1</f>
        <v>0.36214946200074571</v>
      </c>
      <c r="M41">
        <f>(1+'Rescale to Fit GDP Proj'!N160)/(1+'Rescale to Fit GDP Proj'!$D$160)-1</f>
        <v>0.41645173033812677</v>
      </c>
      <c r="N41">
        <f>(1+'Rescale to Fit GDP Proj'!O160)/(1+'Rescale to Fit GDP Proj'!$D$160)-1</f>
        <v>0.46240952502376542</v>
      </c>
      <c r="O41">
        <f>(1+'Rescale to Fit GDP Proj'!P160)/(1+'Rescale to Fit GDP Proj'!$D$160)-1</f>
        <v>0.50864811214017536</v>
      </c>
      <c r="P41">
        <f>(1+'Rescale to Fit GDP Proj'!Q160)/(1+'Rescale to Fit GDP Proj'!$D$160)-1</f>
        <v>0.55568913382864649</v>
      </c>
      <c r="Q41">
        <f>(1+'Rescale to Fit GDP Proj'!R160)/(1+'Rescale to Fit GDP Proj'!$D$160)-1</f>
        <v>0.60244065683723047</v>
      </c>
      <c r="R41">
        <f>(1+'Rescale to Fit GDP Proj'!S160)/(1+'Rescale to Fit GDP Proj'!$D$160)-1</f>
        <v>0.64996265553417243</v>
      </c>
      <c r="S41">
        <f>(1+'Rescale to Fit GDP Proj'!T160)/(1+'Rescale to Fit GDP Proj'!$D$160)-1</f>
        <v>0.69662930407547274</v>
      </c>
      <c r="T41">
        <f>(1+'Rescale to Fit GDP Proj'!U160)/(1+'Rescale to Fit GDP Proj'!$D$160)-1</f>
        <v>0.74505989607324996</v>
      </c>
      <c r="U41">
        <f>(1+'Rescale to Fit GDP Proj'!V160)/(1+'Rescale to Fit GDP Proj'!$D$160)-1</f>
        <v>0.7959802377177565</v>
      </c>
      <c r="V41">
        <f>(1+'Rescale to Fit GDP Proj'!W160)/(1+'Rescale to Fit GDP Proj'!$D$160)-1</f>
        <v>0.84768079249111272</v>
      </c>
      <c r="W41">
        <f>(1+'Rescale to Fit GDP Proj'!X160)/(1+'Rescale to Fit GDP Proj'!$D$160)-1</f>
        <v>0.89919878148088173</v>
      </c>
      <c r="X41">
        <f>(1+'Rescale to Fit GDP Proj'!Y160)/(1+'Rescale to Fit GDP Proj'!$D$160)-1</f>
        <v>0.94956909751134</v>
      </c>
      <c r="Y41">
        <f>(1+'Rescale to Fit GDP Proj'!Z160)/(1+'Rescale to Fit GDP Proj'!$D$160)-1</f>
        <v>0.99824502053037656</v>
      </c>
      <c r="Z41">
        <f>(1+'Rescale to Fit GDP Proj'!AA160)/(1+'Rescale to Fit GDP Proj'!$D$160)-1</f>
        <v>1.0475974649330975</v>
      </c>
      <c r="AA41">
        <f>(1+'Rescale to Fit GDP Proj'!AB160)/(1+'Rescale to Fit GDP Proj'!$D$160)-1</f>
        <v>1.0956756955637554</v>
      </c>
      <c r="AB41">
        <f>(1+'Rescale to Fit GDP Proj'!AC160)/(1+'Rescale to Fit GDP Proj'!$D$160)-1</f>
        <v>1.1459748119612767</v>
      </c>
    </row>
    <row r="42" spans="1:28" x14ac:dyDescent="0.25">
      <c r="A42" t="s">
        <v>554</v>
      </c>
      <c r="B42">
        <f>(1+'Rescale to Fit GDP Proj'!C161)/(1+'Rescale to Fit GDP Proj'!$D$161)-1</f>
        <v>-2.4129428626458505E-2</v>
      </c>
      <c r="C42">
        <f>(1+'Rescale to Fit GDP Proj'!D161)/(1+'Rescale to Fit GDP Proj'!$D$161)-1</f>
        <v>0</v>
      </c>
      <c r="D42">
        <f>(1+'Rescale to Fit GDP Proj'!E161)/(1+'Rescale to Fit GDP Proj'!$D$161)-1</f>
        <v>3.9927397068763248E-2</v>
      </c>
      <c r="E42">
        <f>(1+'Rescale to Fit GDP Proj'!F161)/(1+'Rescale to Fit GDP Proj'!$D$161)-1</f>
        <v>6.6976665171034622E-2</v>
      </c>
      <c r="F42">
        <f>(1+'Rescale to Fit GDP Proj'!G161)/(1+'Rescale to Fit GDP Proj'!$D$161)-1</f>
        <v>8.5791981731899947E-2</v>
      </c>
      <c r="G42">
        <f>(1+'Rescale to Fit GDP Proj'!H161)/(1+'Rescale to Fit GDP Proj'!$D$161)-1</f>
        <v>0.10852642690816383</v>
      </c>
      <c r="H42">
        <f>(1+'Rescale to Fit GDP Proj'!I161)/(1+'Rescale to Fit GDP Proj'!$D$161)-1</f>
        <v>0.13466953481953459</v>
      </c>
      <c r="I42">
        <f>(1+'Rescale to Fit GDP Proj'!J161)/(1+'Rescale to Fit GDP Proj'!$D$161)-1</f>
        <v>0.16049665960981541</v>
      </c>
      <c r="J42">
        <f>(1+'Rescale to Fit GDP Proj'!K161)/(1+'Rescale to Fit GDP Proj'!$D$161)-1</f>
        <v>0.19004557589676141</v>
      </c>
      <c r="K42">
        <f>(1+'Rescale to Fit GDP Proj'!L161)/(1+'Rescale to Fit GDP Proj'!$D$161)-1</f>
        <v>0.22228760642812961</v>
      </c>
      <c r="L42">
        <f>(1+'Rescale to Fit GDP Proj'!M161)/(1+'Rescale to Fit GDP Proj'!$D$161)-1</f>
        <v>0.2568635430582662</v>
      </c>
      <c r="M42">
        <f>(1+'Rescale to Fit GDP Proj'!N161)/(1+'Rescale to Fit GDP Proj'!$D$161)-1</f>
        <v>0.2937526124554648</v>
      </c>
      <c r="N42">
        <f>(1+'Rescale to Fit GDP Proj'!O161)/(1+'Rescale to Fit GDP Proj'!$D$161)-1</f>
        <v>0.32465734596596785</v>
      </c>
      <c r="O42">
        <f>(1+'Rescale to Fit GDP Proj'!P161)/(1+'Rescale to Fit GDP Proj'!$D$161)-1</f>
        <v>0.35549316315403146</v>
      </c>
      <c r="P42">
        <f>(1+'Rescale to Fit GDP Proj'!Q161)/(1+'Rescale to Fit GDP Proj'!$D$161)-1</f>
        <v>0.38661050460308011</v>
      </c>
      <c r="Q42">
        <f>(1+'Rescale to Fit GDP Proj'!R161)/(1+'Rescale to Fit GDP Proj'!$D$161)-1</f>
        <v>0.41728968781384967</v>
      </c>
      <c r="R42">
        <f>(1+'Rescale to Fit GDP Proj'!S161)/(1+'Rescale to Fit GDP Proj'!$D$161)-1</f>
        <v>0.44823449150611427</v>
      </c>
      <c r="S42">
        <f>(1+'Rescale to Fit GDP Proj'!T161)/(1+'Rescale to Fit GDP Proj'!$D$161)-1</f>
        <v>0.4783914644281797</v>
      </c>
      <c r="T42">
        <f>(1+'Rescale to Fit GDP Proj'!U161)/(1+'Rescale to Fit GDP Proj'!$D$161)-1</f>
        <v>0.50946127620704473</v>
      </c>
      <c r="U42">
        <f>(1+'Rescale to Fit GDP Proj'!V161)/(1+'Rescale to Fit GDP Proj'!$D$161)-1</f>
        <v>0.54188921233573595</v>
      </c>
      <c r="V42">
        <f>(1+'Rescale to Fit GDP Proj'!W161)/(1+'Rescale to Fit GDP Proj'!$D$161)-1</f>
        <v>0.5745677927146331</v>
      </c>
      <c r="W42">
        <f>(1+'Rescale to Fit GDP Proj'!X161)/(1+'Rescale to Fit GDP Proj'!$D$161)-1</f>
        <v>0.60689064545321902</v>
      </c>
      <c r="X42">
        <f>(1+'Rescale to Fit GDP Proj'!Y161)/(1+'Rescale to Fit GDP Proj'!$D$161)-1</f>
        <v>0.63826732174358969</v>
      </c>
      <c r="Y42">
        <f>(1+'Rescale to Fit GDP Proj'!Z161)/(1+'Rescale to Fit GDP Proj'!$D$161)-1</f>
        <v>0.66838189364879552</v>
      </c>
      <c r="Z42">
        <f>(1+'Rescale to Fit GDP Proj'!AA161)/(1+'Rescale to Fit GDP Proj'!$D$161)-1</f>
        <v>0.69871883265673485</v>
      </c>
      <c r="AA42">
        <f>(1+'Rescale to Fit GDP Proj'!AB161)/(1+'Rescale to Fit GDP Proj'!$D$161)-1</f>
        <v>0.72808462725535272</v>
      </c>
      <c r="AB42">
        <f>(1+'Rescale to Fit GDP Proj'!AC161)/(1+'Rescale to Fit GDP Proj'!$D$161)-1</f>
        <v>0.75862101404089066</v>
      </c>
    </row>
    <row r="43" spans="1:28" x14ac:dyDescent="0.25">
      <c r="A43" t="s">
        <v>557</v>
      </c>
      <c r="B43">
        <f>(1+'Rescale to Fit GDP Proj'!C162)/(1+'Rescale to Fit GDP Proj'!$D$162)-1</f>
        <v>-3.0230942823229801E-2</v>
      </c>
      <c r="C43">
        <f>(1+'Rescale to Fit GDP Proj'!D162)/(1+'Rescale to Fit GDP Proj'!$D$162)-1</f>
        <v>0</v>
      </c>
      <c r="D43">
        <f>(1+'Rescale to Fit GDP Proj'!E162)/(1+'Rescale to Fit GDP Proj'!$D$162)-1</f>
        <v>5.033841666522898E-2</v>
      </c>
      <c r="E43">
        <f>(1+'Rescale to Fit GDP Proj'!F162)/(1+'Rescale to Fit GDP Proj'!$D$162)-1</f>
        <v>8.4782156589957358E-2</v>
      </c>
      <c r="F43">
        <f>(1+'Rescale to Fit GDP Proj'!G162)/(1+'Rescale to Fit GDP Proj'!$D$162)-1</f>
        <v>0.10889940148967314</v>
      </c>
      <c r="G43">
        <f>(1+'Rescale to Fit GDP Proj'!H162)/(1+'Rescale to Fit GDP Proj'!$D$162)-1</f>
        <v>0.13817180824349129</v>
      </c>
      <c r="H43">
        <f>(1+'Rescale to Fit GDP Proj'!I162)/(1+'Rescale to Fit GDP Proj'!$D$162)-1</f>
        <v>0.17201314746002838</v>
      </c>
      <c r="I43">
        <f>(1+'Rescale to Fit GDP Proj'!J162)/(1+'Rescale to Fit GDP Proj'!$D$162)-1</f>
        <v>0.2056463097176342</v>
      </c>
      <c r="J43">
        <f>(1+'Rescale to Fit GDP Proj'!K162)/(1+'Rescale to Fit GDP Proj'!$D$162)-1</f>
        <v>0.24434944398404523</v>
      </c>
      <c r="K43">
        <f>(1+'Rescale to Fit GDP Proj'!L162)/(1+'Rescale to Fit GDP Proj'!$D$162)-1</f>
        <v>0.28685343403749797</v>
      </c>
      <c r="L43">
        <f>(1+'Rescale to Fit GDP Proj'!M162)/(1+'Rescale to Fit GDP Proj'!$D$162)-1</f>
        <v>0.33274767416893569</v>
      </c>
      <c r="M43">
        <f>(1+'Rescale to Fit GDP Proj'!N162)/(1+'Rescale to Fit GDP Proj'!$D$162)-1</f>
        <v>0.38206347114337169</v>
      </c>
      <c r="N43">
        <f>(1+'Rescale to Fit GDP Proj'!O162)/(1+'Rescale to Fit GDP Proj'!$D$162)-1</f>
        <v>0.42368617644998019</v>
      </c>
      <c r="O43">
        <f>(1+'Rescale to Fit GDP Proj'!P162)/(1+'Rescale to Fit GDP Proj'!$D$162)-1</f>
        <v>0.4654687061615399</v>
      </c>
      <c r="P43">
        <f>(1+'Rescale to Fit GDP Proj'!Q162)/(1+'Rescale to Fit GDP Proj'!$D$162)-1</f>
        <v>0.507882806094057</v>
      </c>
      <c r="Q43">
        <f>(1+'Rescale to Fit GDP Proj'!R162)/(1+'Rescale to Fit GDP Proj'!$D$162)-1</f>
        <v>0.54994437312305444</v>
      </c>
      <c r="R43">
        <f>(1+'Rescale to Fit GDP Proj'!S162)/(1+'Rescale to Fit GDP Proj'!$D$162)-1</f>
        <v>0.592609571472134</v>
      </c>
      <c r="S43">
        <f>(1+'Rescale to Fit GDP Proj'!T162)/(1+'Rescale to Fit GDP Proj'!$D$162)-1</f>
        <v>0.6344202035823332</v>
      </c>
      <c r="T43">
        <f>(1+'Rescale to Fit GDP Proj'!U162)/(1+'Rescale to Fit GDP Proj'!$D$162)-1</f>
        <v>0.67772554335390178</v>
      </c>
      <c r="U43">
        <f>(1+'Rescale to Fit GDP Proj'!V162)/(1+'Rescale to Fit GDP Proj'!$D$162)-1</f>
        <v>0.72316643054835783</v>
      </c>
      <c r="V43">
        <f>(1+'Rescale to Fit GDP Proj'!W162)/(1+'Rescale to Fit GDP Proj'!$D$162)-1</f>
        <v>0.7692096613099626</v>
      </c>
      <c r="W43">
        <f>(1+'Rescale to Fit GDP Proj'!X162)/(1+'Rescale to Fit GDP Proj'!$D$162)-1</f>
        <v>0.8149981357892444</v>
      </c>
      <c r="X43">
        <f>(1+'Rescale to Fit GDP Proj'!Y162)/(1+'Rescale to Fit GDP Proj'!$D$162)-1</f>
        <v>0.85967938949416145</v>
      </c>
      <c r="Y43">
        <f>(1+'Rescale to Fit GDP Proj'!Z162)/(1+'Rescale to Fit GDP Proj'!$D$162)-1</f>
        <v>0.90277753227674506</v>
      </c>
      <c r="Z43">
        <f>(1+'Rescale to Fit GDP Proj'!AA162)/(1+'Rescale to Fit GDP Proj'!$D$162)-1</f>
        <v>0.94639825507665565</v>
      </c>
      <c r="AA43">
        <f>(1+'Rescale to Fit GDP Proj'!AB162)/(1+'Rescale to Fit GDP Proj'!$D$162)-1</f>
        <v>0.98881921719693122</v>
      </c>
      <c r="AB43">
        <f>(1+'Rescale to Fit GDP Proj'!AC162)/(1+'Rescale to Fit GDP Proj'!$D$162)-1</f>
        <v>1.0331266412056959</v>
      </c>
    </row>
    <row r="44" spans="1:28" x14ac:dyDescent="0.25">
      <c r="A44" t="s">
        <v>560</v>
      </c>
      <c r="B44">
        <f>(1+'Rescale to Fit GDP Proj'!C163)/(1+'Rescale to Fit GDP Proj'!$D$163)-1</f>
        <v>-1.7986168306670658E-2</v>
      </c>
      <c r="C44">
        <f>(1+'Rescale to Fit GDP Proj'!D163)/(1+'Rescale to Fit GDP Proj'!$D$163)-1</f>
        <v>0</v>
      </c>
      <c r="D44">
        <f>(1+'Rescale to Fit GDP Proj'!E163)/(1+'Rescale to Fit GDP Proj'!$D$163)-1</f>
        <v>2.9575849680565369E-2</v>
      </c>
      <c r="E44">
        <f>(1+'Rescale to Fit GDP Proj'!F163)/(1+'Rescale to Fit GDP Proj'!$D$163)-1</f>
        <v>4.9412899180105052E-2</v>
      </c>
      <c r="F44">
        <f>(1+'Rescale to Fit GDP Proj'!G163)/(1+'Rescale to Fit GDP Proj'!$D$163)-1</f>
        <v>6.3120745843284309E-2</v>
      </c>
      <c r="G44">
        <f>(1+'Rescale to Fit GDP Proj'!H163)/(1+'Rescale to Fit GDP Proj'!$D$163)-1</f>
        <v>7.9609451079759808E-2</v>
      </c>
      <c r="H44">
        <f>(1+'Rescale to Fit GDP Proj'!I163)/(1+'Rescale to Fit GDP Proj'!$D$163)-1</f>
        <v>9.8469554671540171E-2</v>
      </c>
      <c r="I44">
        <f>(1+'Rescale to Fit GDP Proj'!J163)/(1+'Rescale to Fit GDP Proj'!$D$163)-1</f>
        <v>0.11699040501360525</v>
      </c>
      <c r="J44">
        <f>(1+'Rescale to Fit GDP Proj'!K163)/(1+'Rescale to Fit GDP Proj'!$D$163)-1</f>
        <v>0.13805792123464466</v>
      </c>
      <c r="K44">
        <f>(1+'Rescale to Fit GDP Proj'!L163)/(1+'Rescale to Fit GDP Proj'!$D$163)-1</f>
        <v>0.16089756827941826</v>
      </c>
      <c r="L44">
        <f>(1+'Rescale to Fit GDP Proj'!M163)/(1+'Rescale to Fit GDP Proj'!$D$163)-1</f>
        <v>0.18522300681312021</v>
      </c>
      <c r="M44">
        <f>(1+'Rescale to Fit GDP Proj'!N163)/(1+'Rescale to Fit GDP Proj'!$D$163)-1</f>
        <v>0.21099071982585405</v>
      </c>
      <c r="N44">
        <f>(1+'Rescale to Fit GDP Proj'!O163)/(1+'Rescale to Fit GDP Proj'!$D$163)-1</f>
        <v>0.23241867897845525</v>
      </c>
      <c r="O44">
        <f>(1+'Rescale to Fit GDP Proj'!P163)/(1+'Rescale to Fit GDP Proj'!$D$163)-1</f>
        <v>0.25366953425022021</v>
      </c>
      <c r="P44">
        <f>(1+'Rescale to Fit GDP Proj'!Q163)/(1+'Rescale to Fit GDP Proj'!$D$163)-1</f>
        <v>0.27498792693013852</v>
      </c>
      <c r="Q44">
        <f>(1+'Rescale to Fit GDP Proj'!R163)/(1+'Rescale to Fit GDP Proj'!$D$163)-1</f>
        <v>0.29588385241385051</v>
      </c>
      <c r="R44">
        <f>(1+'Rescale to Fit GDP Proj'!S163)/(1+'Rescale to Fit GDP Proj'!$D$163)-1</f>
        <v>0.31684241117292933</v>
      </c>
      <c r="S44">
        <f>(1+'Rescale to Fit GDP Proj'!T163)/(1+'Rescale to Fit GDP Proj'!$D$163)-1</f>
        <v>0.33715423384226528</v>
      </c>
      <c r="T44">
        <f>(1+'Rescale to Fit GDP Proj'!U163)/(1+'Rescale to Fit GDP Proj'!$D$163)-1</f>
        <v>0.35797021619947511</v>
      </c>
      <c r="U44">
        <f>(1+'Rescale to Fit GDP Proj'!V163)/(1+'Rescale to Fit GDP Proj'!$D$163)-1</f>
        <v>0.37958016854654342</v>
      </c>
      <c r="V44">
        <f>(1+'Rescale to Fit GDP Proj'!W163)/(1+'Rescale to Fit GDP Proj'!$D$163)-1</f>
        <v>0.4012384097465338</v>
      </c>
      <c r="W44">
        <f>(1+'Rescale to Fit GDP Proj'!X163)/(1+'Rescale to Fit GDP Proj'!$D$163)-1</f>
        <v>0.42254561966880178</v>
      </c>
      <c r="X44">
        <f>(1+'Rescale to Fit GDP Proj'!Y163)/(1+'Rescale to Fit GDP Proj'!$D$163)-1</f>
        <v>0.44312124527354935</v>
      </c>
      <c r="Y44">
        <f>(1+'Rescale to Fit GDP Proj'!Z163)/(1+'Rescale to Fit GDP Proj'!$D$163)-1</f>
        <v>0.46277117389333289</v>
      </c>
      <c r="Z44">
        <f>(1+'Rescale to Fit GDP Proj'!AA163)/(1+'Rescale to Fit GDP Proj'!$D$163)-1</f>
        <v>0.48247356406613484</v>
      </c>
      <c r="AA44">
        <f>(1+'Rescale to Fit GDP Proj'!AB163)/(1+'Rescale to Fit GDP Proj'!$D$163)-1</f>
        <v>0.50145693982636019</v>
      </c>
      <c r="AB44">
        <f>(1+'Rescale to Fit GDP Proj'!AC163)/(1+'Rescale to Fit GDP Proj'!$D$163)-1</f>
        <v>0.52111007106312157</v>
      </c>
    </row>
    <row r="45" spans="1:28" x14ac:dyDescent="0.25">
      <c r="A45" t="s">
        <v>599</v>
      </c>
      <c r="B45">
        <f>(1+'Rescale to Fit GDP Proj'!C164)/(1+'Rescale to Fit GDP Proj'!$D$164)-1</f>
        <v>-1.7102240079761799E-2</v>
      </c>
      <c r="C45">
        <f>(1+'Rescale to Fit GDP Proj'!D164)/(1+'Rescale to Fit GDP Proj'!$D$164)-1</f>
        <v>0</v>
      </c>
      <c r="D45">
        <f>(1+'Rescale to Fit GDP Proj'!E164)/(1+'Rescale to Fit GDP Proj'!$D$164)-1</f>
        <v>2.8097057196537101E-2</v>
      </c>
      <c r="E45">
        <f>(1+'Rescale to Fit GDP Proj'!F164)/(1+'Rescale to Fit GDP Proj'!$D$164)-1</f>
        <v>4.6915186632316752E-2</v>
      </c>
      <c r="F45">
        <f>(1+'Rescale to Fit GDP Proj'!G164)/(1+'Rescale to Fit GDP Proj'!$D$164)-1</f>
        <v>5.9906646157900756E-2</v>
      </c>
      <c r="G45">
        <f>(1+'Rescale to Fit GDP Proj'!H164)/(1+'Rescale to Fit GDP Proj'!$D$164)-1</f>
        <v>7.5523558835280058E-2</v>
      </c>
      <c r="H45">
        <f>(1+'Rescale to Fit GDP Proj'!I164)/(1+'Rescale to Fit GDP Proj'!$D$164)-1</f>
        <v>9.3372848158385757E-2</v>
      </c>
      <c r="I45">
        <f>(1+'Rescale to Fit GDP Proj'!J164)/(1+'Rescale to Fit GDP Proj'!$D$164)-1</f>
        <v>0.11088601915394447</v>
      </c>
      <c r="J45">
        <f>(1+'Rescale to Fit GDP Proj'!K164)/(1+'Rescale to Fit GDP Proj'!$D$164)-1</f>
        <v>0.13079078168999181</v>
      </c>
      <c r="K45">
        <f>(1+'Rescale to Fit GDP Proj'!L164)/(1+'Rescale to Fit GDP Proj'!$D$164)-1</f>
        <v>0.15234989459691728</v>
      </c>
      <c r="L45">
        <f>(1+'Rescale to Fit GDP Proj'!M164)/(1+'Rescale to Fit GDP Proj'!$D$164)-1</f>
        <v>0.17528890871104519</v>
      </c>
      <c r="M45">
        <f>(1+'Rescale to Fit GDP Proj'!N164)/(1+'Rescale to Fit GDP Proj'!$D$164)-1</f>
        <v>0.19956305946242003</v>
      </c>
      <c r="N45">
        <f>(1+'Rescale to Fit GDP Proj'!O164)/(1+'Rescale to Fit GDP Proj'!$D$164)-1</f>
        <v>0.21972752350611224</v>
      </c>
      <c r="O45">
        <f>(1+'Rescale to Fit GDP Proj'!P164)/(1+'Rescale to Fit GDP Proj'!$D$164)-1</f>
        <v>0.23970794155671893</v>
      </c>
      <c r="P45">
        <f>(1+'Rescale to Fit GDP Proj'!Q164)/(1+'Rescale to Fit GDP Proj'!$D$164)-1</f>
        <v>0.25973487129000716</v>
      </c>
      <c r="Q45">
        <f>(1+'Rescale to Fit GDP Proj'!R164)/(1+'Rescale to Fit GDP Proj'!$D$164)-1</f>
        <v>0.27934851560108331</v>
      </c>
      <c r="R45">
        <f>(1+'Rescale to Fit GDP Proj'!S164)/(1+'Rescale to Fit GDP Proj'!$D$164)-1</f>
        <v>0.29900508894154054</v>
      </c>
      <c r="S45">
        <f>(1+'Rescale to Fit GDP Proj'!T164)/(1+'Rescale to Fit GDP Proj'!$D$164)-1</f>
        <v>0.31803994288443693</v>
      </c>
      <c r="T45">
        <f>(1+'Rescale to Fit GDP Proj'!U164)/(1+'Rescale to Fit GDP Proj'!$D$164)-1</f>
        <v>0.3375324447422261</v>
      </c>
      <c r="U45">
        <f>(1+'Rescale to Fit GDP Proj'!V164)/(1+'Rescale to Fit GDP Proj'!$D$164)-1</f>
        <v>0.35775292634506184</v>
      </c>
      <c r="V45">
        <f>(1+'Rescale to Fit GDP Proj'!W164)/(1+'Rescale to Fit GDP Proj'!$D$164)-1</f>
        <v>0.37800271971500243</v>
      </c>
      <c r="W45">
        <f>(1+'Rescale to Fit GDP Proj'!X164)/(1+'Rescale to Fit GDP Proj'!$D$164)-1</f>
        <v>0.39790891366978265</v>
      </c>
      <c r="X45">
        <f>(1+'Rescale to Fit GDP Proj'!Y164)/(1+'Rescale to Fit GDP Proj'!$D$164)-1</f>
        <v>0.41711723116592747</v>
      </c>
      <c r="Y45">
        <f>(1+'Rescale to Fit GDP Proj'!Z164)/(1+'Rescale to Fit GDP Proj'!$D$164)-1</f>
        <v>0.43544828955967141</v>
      </c>
      <c r="Z45">
        <f>(1+'Rescale to Fit GDP Proj'!AA164)/(1+'Rescale to Fit GDP Proj'!$D$164)-1</f>
        <v>0.45381594311999218</v>
      </c>
      <c r="AA45">
        <f>(1+'Rescale to Fit GDP Proj'!AB164)/(1+'Rescale to Fit GDP Proj'!$D$164)-1</f>
        <v>0.47150153175593301</v>
      </c>
      <c r="AB45">
        <f>(1+'Rescale to Fit GDP Proj'!AC164)/(1+'Rescale to Fit GDP Proj'!$D$164)-1</f>
        <v>0.48979951377194597</v>
      </c>
    </row>
    <row r="46" spans="1:28" x14ac:dyDescent="0.25">
      <c r="A46" t="s">
        <v>615</v>
      </c>
      <c r="B46">
        <f>(1+'Rescale to Fit GDP Proj'!C165)/(1+'Rescale to Fit GDP Proj'!$D$165)-1</f>
        <v>-2.0007285952501341E-2</v>
      </c>
      <c r="C46">
        <f>(1+'Rescale to Fit GDP Proj'!D165)/(1+'Rescale to Fit GDP Proj'!$D$165)-1</f>
        <v>0</v>
      </c>
      <c r="D46">
        <f>(1+'Rescale to Fit GDP Proj'!E165)/(1+'Rescale to Fit GDP Proj'!$D$165)-1</f>
        <v>3.2967158381790762E-2</v>
      </c>
      <c r="E46">
        <f>(1+'Rescale to Fit GDP Proj'!F165)/(1+'Rescale to Fit GDP Proj'!$D$165)-1</f>
        <v>5.5151652428024667E-2</v>
      </c>
      <c r="F46">
        <f>(1+'Rescale to Fit GDP Proj'!G165)/(1+'Rescale to Fit GDP Proj'!$D$165)-1</f>
        <v>7.0514863853850196E-2</v>
      </c>
      <c r="G46">
        <f>(1+'Rescale to Fit GDP Proj'!H165)/(1+'Rescale to Fit GDP Proj'!$D$165)-1</f>
        <v>8.9022073614041242E-2</v>
      </c>
      <c r="H46">
        <f>(1+'Rescale to Fit GDP Proj'!I165)/(1+'Rescale to Fit GDP Proj'!$D$165)-1</f>
        <v>0.11022805437148109</v>
      </c>
      <c r="I46">
        <f>(1+'Rescale to Fit GDP Proj'!J165)/(1+'Rescale to Fit GDP Proj'!$D$165)-1</f>
        <v>0.13109358240179159</v>
      </c>
      <c r="J46">
        <f>(1+'Rescale to Fit GDP Proj'!K165)/(1+'Rescale to Fit GDP Proj'!$D$165)-1</f>
        <v>0.15487330133032629</v>
      </c>
      <c r="K46">
        <f>(1+'Rescale to Fit GDP Proj'!L165)/(1+'Rescale to Fit GDP Proj'!$D$165)-1</f>
        <v>0.18070801472143172</v>
      </c>
      <c r="L46">
        <f>(1+'Rescale to Fit GDP Proj'!M165)/(1+'Rescale to Fit GDP Proj'!$D$165)-1</f>
        <v>0.20828543085097984</v>
      </c>
      <c r="M46">
        <f>(1+'Rescale to Fit GDP Proj'!N165)/(1+'Rescale to Fit GDP Proj'!$D$165)-1</f>
        <v>0.23756668168677875</v>
      </c>
      <c r="N46">
        <f>(1+'Rescale to Fit GDP Proj'!O165)/(1+'Rescale to Fit GDP Proj'!$D$165)-1</f>
        <v>0.26197584469376922</v>
      </c>
      <c r="O46">
        <f>(1+'Rescale to Fit GDP Proj'!P165)/(1+'Rescale to Fit GDP Proj'!$D$165)-1</f>
        <v>0.28623152545398978</v>
      </c>
      <c r="P46">
        <f>(1+'Rescale to Fit GDP Proj'!Q165)/(1+'Rescale to Fit GDP Proj'!$D$165)-1</f>
        <v>0.31061158823668911</v>
      </c>
      <c r="Q46">
        <f>(1+'Rescale to Fit GDP Proj'!R165)/(1+'Rescale to Fit GDP Proj'!$D$165)-1</f>
        <v>0.33455432696560128</v>
      </c>
      <c r="R46">
        <f>(1+'Rescale to Fit GDP Proj'!S165)/(1+'Rescale to Fit GDP Proj'!$D$165)-1</f>
        <v>0.35861323312794036</v>
      </c>
      <c r="S46">
        <f>(1+'Rescale to Fit GDP Proj'!T165)/(1+'Rescale to Fit GDP Proj'!$D$165)-1</f>
        <v>0.38197228524776894</v>
      </c>
      <c r="T46">
        <f>(1+'Rescale to Fit GDP Proj'!U165)/(1+'Rescale to Fit GDP Proj'!$D$165)-1</f>
        <v>0.40595282893532825</v>
      </c>
      <c r="U46">
        <f>(1+'Rescale to Fit GDP Proj'!V165)/(1+'Rescale to Fit GDP Proj'!$D$165)-1</f>
        <v>0.4308918038617211</v>
      </c>
      <c r="V46">
        <f>(1+'Rescale to Fit GDP Proj'!W165)/(1+'Rescale to Fit GDP Proj'!$D$165)-1</f>
        <v>0.45593140021187573</v>
      </c>
      <c r="W46">
        <f>(1+'Rescale to Fit GDP Proj'!X165)/(1+'Rescale to Fit GDP Proj'!$D$165)-1</f>
        <v>0.48060881995554094</v>
      </c>
      <c r="X46">
        <f>(1+'Rescale to Fit GDP Proj'!Y165)/(1+'Rescale to Fit GDP Proj'!$D$165)-1</f>
        <v>0.50447986666603795</v>
      </c>
      <c r="Y46">
        <f>(1+'Rescale to Fit GDP Proj'!Z165)/(1+'Rescale to Fit GDP Proj'!$D$165)-1</f>
        <v>0.52731422548935658</v>
      </c>
      <c r="Z46">
        <f>(1+'Rescale to Fit GDP Proj'!AA165)/(1+'Rescale to Fit GDP Proj'!$D$165)-1</f>
        <v>0.55024481411060577</v>
      </c>
      <c r="AA46">
        <f>(1+'Rescale to Fit GDP Proj'!AB165)/(1+'Rescale to Fit GDP Proj'!$D$165)-1</f>
        <v>0.57237224832256839</v>
      </c>
      <c r="AB46">
        <f>(1+'Rescale to Fit GDP Proj'!AC165)/(1+'Rescale to Fit GDP Proj'!$D$165)-1</f>
        <v>0.59531357488613423</v>
      </c>
    </row>
    <row r="47" spans="1:28" x14ac:dyDescent="0.25">
      <c r="A47" t="s">
        <v>602</v>
      </c>
      <c r="B47">
        <f>(1+'Rescale to Fit GDP Proj'!C166)/(1+'Rescale to Fit GDP Proj'!$D$166)-1</f>
        <v>-2.1352194879813213E-2</v>
      </c>
      <c r="C47">
        <f>(1+'Rescale to Fit GDP Proj'!D166)/(1+'Rescale to Fit GDP Proj'!$D$166)-1</f>
        <v>0</v>
      </c>
      <c r="D47">
        <f>(1+'Rescale to Fit GDP Proj'!E166)/(1+'Rescale to Fit GDP Proj'!$D$166)-1</f>
        <v>3.5231592997664318E-2</v>
      </c>
      <c r="E47">
        <f>(1+'Rescale to Fit GDP Proj'!F166)/(1+'Rescale to Fit GDP Proj'!$D$166)-1</f>
        <v>5.8991858941589204E-2</v>
      </c>
      <c r="F47">
        <f>(1+'Rescale to Fit GDP Proj'!G166)/(1+'Rescale to Fit GDP Proj'!$D$166)-1</f>
        <v>7.5470087070017788E-2</v>
      </c>
      <c r="G47">
        <f>(1+'Rescale to Fit GDP Proj'!H166)/(1+'Rescale to Fit GDP Proj'!$D$166)-1</f>
        <v>9.5340063261434738E-2</v>
      </c>
      <c r="H47">
        <f>(1+'Rescale to Fit GDP Proj'!I166)/(1+'Rescale to Fit GDP Proj'!$D$166)-1</f>
        <v>0.11813410917865186</v>
      </c>
      <c r="I47">
        <f>(1+'Rescale to Fit GDP Proj'!J166)/(1+'Rescale to Fit GDP Proj'!$D$166)-1</f>
        <v>0.14059163170571565</v>
      </c>
      <c r="J47">
        <f>(1+'Rescale to Fit GDP Proj'!K166)/(1+'Rescale to Fit GDP Proj'!$D$166)-1</f>
        <v>0.16621812167123617</v>
      </c>
      <c r="K47">
        <f>(1+'Rescale to Fit GDP Proj'!L166)/(1+'Rescale to Fit GDP Proj'!$D$166)-1</f>
        <v>0.19409857672175646</v>
      </c>
      <c r="L47">
        <f>(1+'Rescale to Fit GDP Proj'!M166)/(1+'Rescale to Fit GDP Proj'!$D$166)-1</f>
        <v>0.22390446076814086</v>
      </c>
      <c r="M47">
        <f>(1+'Rescale to Fit GDP Proj'!N166)/(1+'Rescale to Fit GDP Proj'!$D$166)-1</f>
        <v>0.25560147606301054</v>
      </c>
      <c r="N47">
        <f>(1+'Rescale to Fit GDP Proj'!O166)/(1+'Rescale to Fit GDP Proj'!$D$166)-1</f>
        <v>0.28206738795600272</v>
      </c>
      <c r="O47">
        <f>(1+'Rescale to Fit GDP Proj'!P166)/(1+'Rescale to Fit GDP Proj'!$D$166)-1</f>
        <v>0.30840182535656524</v>
      </c>
      <c r="P47">
        <f>(1+'Rescale to Fit GDP Proj'!Q166)/(1+'Rescale to Fit GDP Proj'!$D$166)-1</f>
        <v>0.33490559064057868</v>
      </c>
      <c r="Q47">
        <f>(1+'Rescale to Fit GDP Proj'!R166)/(1+'Rescale to Fit GDP Proj'!$D$166)-1</f>
        <v>0.36096719457459847</v>
      </c>
      <c r="R47">
        <f>(1+'Rescale to Fit GDP Proj'!S166)/(1+'Rescale to Fit GDP Proj'!$D$166)-1</f>
        <v>0.38718751792503237</v>
      </c>
      <c r="S47">
        <f>(1+'Rescale to Fit GDP Proj'!T166)/(1+'Rescale to Fit GDP Proj'!$D$166)-1</f>
        <v>0.4126760786905157</v>
      </c>
      <c r="T47">
        <f>(1+'Rescale to Fit GDP Proj'!U166)/(1+'Rescale to Fit GDP Proj'!$D$166)-1</f>
        <v>0.43887316847356184</v>
      </c>
      <c r="U47">
        <f>(1+'Rescale to Fit GDP Proj'!V166)/(1+'Rescale to Fit GDP Proj'!$D$166)-1</f>
        <v>0.46614919652877984</v>
      </c>
      <c r="V47">
        <f>(1+'Rescale to Fit GDP Proj'!W166)/(1+'Rescale to Fit GDP Proj'!$D$166)-1</f>
        <v>0.49356806068701475</v>
      </c>
      <c r="W47">
        <f>(1+'Rescale to Fit GDP Proj'!X166)/(1+'Rescale to Fit GDP Proj'!$D$166)-1</f>
        <v>0.52062225588078914</v>
      </c>
      <c r="X47">
        <f>(1+'Rescale to Fit GDP Proj'!Y166)/(1+'Rescale to Fit GDP Proj'!$D$166)-1</f>
        <v>0.54682237336314055</v>
      </c>
      <c r="Y47">
        <f>(1+'Rescale to Fit GDP Proj'!Z166)/(1+'Rescale to Fit GDP Proj'!$D$166)-1</f>
        <v>0.57191196841964498</v>
      </c>
      <c r="Z47">
        <f>(1+'Rescale to Fit GDP Proj'!AA166)/(1+'Rescale to Fit GDP Proj'!$D$166)-1</f>
        <v>0.59713317112472786</v>
      </c>
      <c r="AA47">
        <f>(1+'Rescale to Fit GDP Proj'!AB166)/(1+'Rescale to Fit GDP Proj'!$D$166)-1</f>
        <v>0.62149571680297111</v>
      </c>
      <c r="AB47">
        <f>(1+'Rescale to Fit GDP Proj'!AC166)/(1+'Rescale to Fit GDP Proj'!$D$166)-1</f>
        <v>0.64677878222455587</v>
      </c>
    </row>
    <row r="48" spans="1:28" x14ac:dyDescent="0.25">
      <c r="A48" t="s">
        <v>934</v>
      </c>
      <c r="B48">
        <f>(1+'Rescale to Fit GDP Proj'!C167)/(1+'Rescale to Fit GDP Proj'!$D$167)-1</f>
        <v>-4.6172027313731157E-3</v>
      </c>
      <c r="C48">
        <f>(1+'Rescale to Fit GDP Proj'!D167)/(1+'Rescale to Fit GDP Proj'!$D$167)-1</f>
        <v>0</v>
      </c>
      <c r="D48">
        <f>(1+'Rescale to Fit GDP Proj'!E167)/(1+'Rescale to Fit GDP Proj'!$D$167)-1</f>
        <v>7.4903997390483035E-3</v>
      </c>
      <c r="E48">
        <f>(1+'Rescale to Fit GDP Proj'!F167)/(1+'Rescale to Fit GDP Proj'!$D$167)-1</f>
        <v>1.2406575617063709E-2</v>
      </c>
      <c r="F48">
        <f>(1+'Rescale to Fit GDP Proj'!G167)/(1+'Rescale to Fit GDP Proj'!$D$167)-1</f>
        <v>1.5755810160628103E-2</v>
      </c>
      <c r="G48">
        <f>(1+'Rescale to Fit GDP Proj'!H167)/(1+'Rescale to Fit GDP Proj'!$D$167)-1</f>
        <v>1.9745701253006009E-2</v>
      </c>
      <c r="H48">
        <f>(1+'Rescale to Fit GDP Proj'!I167)/(1+'Rescale to Fit GDP Proj'!$D$167)-1</f>
        <v>2.4257368323361339E-2</v>
      </c>
      <c r="I48">
        <f>(1+'Rescale to Fit GDP Proj'!J167)/(1+'Rescale to Fit GDP Proj'!$D$167)-1</f>
        <v>2.8631076069305594E-2</v>
      </c>
      <c r="J48">
        <f>(1+'Rescale to Fit GDP Proj'!K167)/(1+'Rescale to Fit GDP Proj'!$D$167)-1</f>
        <v>3.3544579913047379E-2</v>
      </c>
      <c r="K48">
        <f>(1+'Rescale to Fit GDP Proj'!L167)/(1+'Rescale to Fit GDP Proj'!$D$167)-1</f>
        <v>3.8797756512835013E-2</v>
      </c>
      <c r="L48">
        <f>(1+'Rescale to Fit GDP Proj'!M167)/(1+'Rescale to Fit GDP Proj'!$D$167)-1</f>
        <v>4.4310471567073018E-2</v>
      </c>
      <c r="M48">
        <f>(1+'Rescale to Fit GDP Proj'!N167)/(1+'Rescale to Fit GDP Proj'!$D$167)-1</f>
        <v>5.0060542464970492E-2</v>
      </c>
      <c r="N48">
        <f>(1+'Rescale to Fit GDP Proj'!O167)/(1+'Rescale to Fit GDP Proj'!$D$167)-1</f>
        <v>5.4766219309400732E-2</v>
      </c>
      <c r="O48">
        <f>(1+'Rescale to Fit GDP Proj'!P167)/(1+'Rescale to Fit GDP Proj'!$D$167)-1</f>
        <v>5.93724121804593E-2</v>
      </c>
      <c r="P48">
        <f>(1+'Rescale to Fit GDP Proj'!Q167)/(1+'Rescale to Fit GDP Proj'!$D$167)-1</f>
        <v>6.3934753885406259E-2</v>
      </c>
      <c r="Q48">
        <f>(1+'Rescale to Fit GDP Proj'!R167)/(1+'Rescale to Fit GDP Proj'!$D$167)-1</f>
        <v>6.8350847782632007E-2</v>
      </c>
      <c r="R48">
        <f>(1+'Rescale to Fit GDP Proj'!S167)/(1+'Rescale to Fit GDP Proj'!$D$167)-1</f>
        <v>7.2726844627648113E-2</v>
      </c>
      <c r="S48">
        <f>(1+'Rescale to Fit GDP Proj'!T167)/(1+'Rescale to Fit GDP Proj'!$D$167)-1</f>
        <v>7.6917404064236417E-2</v>
      </c>
      <c r="T48">
        <f>(1+'Rescale to Fit GDP Proj'!U167)/(1+'Rescale to Fit GDP Proj'!$D$167)-1</f>
        <v>8.1163263067382196E-2</v>
      </c>
      <c r="U48">
        <f>(1+'Rescale to Fit GDP Proj'!V167)/(1+'Rescale to Fit GDP Proj'!$D$167)-1</f>
        <v>8.5520614713427312E-2</v>
      </c>
      <c r="V48">
        <f>(1+'Rescale to Fit GDP Proj'!W167)/(1+'Rescale to Fit GDP Proj'!$D$167)-1</f>
        <v>8.9836621149112172E-2</v>
      </c>
      <c r="W48">
        <f>(1+'Rescale to Fit GDP Proj'!X167)/(1+'Rescale to Fit GDP Proj'!$D$167)-1</f>
        <v>9.4033666996987453E-2</v>
      </c>
      <c r="X48">
        <f>(1+'Rescale to Fit GDP Proj'!Y167)/(1+'Rescale to Fit GDP Proj'!$D$167)-1</f>
        <v>9.8041275579675569E-2</v>
      </c>
      <c r="Y48">
        <f>(1+'Rescale to Fit GDP Proj'!Z167)/(1+'Rescale to Fit GDP Proj'!$D$167)-1</f>
        <v>0.10182783335257173</v>
      </c>
      <c r="Z48">
        <f>(1+'Rescale to Fit GDP Proj'!AA167)/(1+'Rescale to Fit GDP Proj'!$D$167)-1</f>
        <v>0.10558641532050861</v>
      </c>
      <c r="AA48">
        <f>(1+'Rescale to Fit GDP Proj'!AB167)/(1+'Rescale to Fit GDP Proj'!$D$167)-1</f>
        <v>0.10917189235748093</v>
      </c>
      <c r="AB48">
        <f>(1+'Rescale to Fit GDP Proj'!AC167)/(1+'Rescale to Fit GDP Proj'!$D$167)-1</f>
        <v>0.11284882346763614</v>
      </c>
    </row>
    <row r="49" spans="1:28" x14ac:dyDescent="0.25">
      <c r="A49" t="s">
        <v>692</v>
      </c>
      <c r="B49">
        <f>(1+'Rescale to Fit GDP Proj'!C168)/(1+'Rescale to Fit GDP Proj'!$D$168)-1</f>
        <v>-4.3091568322746188E-3</v>
      </c>
      <c r="C49">
        <f>(1+'Rescale to Fit GDP Proj'!D168)/(1+'Rescale to Fit GDP Proj'!$D$168)-1</f>
        <v>0</v>
      </c>
      <c r="D49">
        <f>(1+'Rescale to Fit GDP Proj'!E168)/(1+'Rescale to Fit GDP Proj'!$D$168)-1</f>
        <v>6.988500000163933E-3</v>
      </c>
      <c r="E49">
        <f>(1+'Rescale to Fit GDP Proj'!F168)/(1+'Rescale to Fit GDP Proj'!$D$168)-1</f>
        <v>1.157297892059983E-2</v>
      </c>
      <c r="F49">
        <f>(1+'Rescale to Fit GDP Proj'!G168)/(1+'Rescale to Fit GDP Proj'!$D$168)-1</f>
        <v>1.4695222626626592E-2</v>
      </c>
      <c r="G49">
        <f>(1+'Rescale to Fit GDP Proj'!H168)/(1+'Rescale to Fit GDP Proj'!$D$168)-1</f>
        <v>1.8413881289393252E-2</v>
      </c>
      <c r="H49">
        <f>(1+'Rescale to Fit GDP Proj'!I168)/(1+'Rescale to Fit GDP Proj'!$D$168)-1</f>
        <v>2.2617743236348131E-2</v>
      </c>
      <c r="I49">
        <f>(1+'Rescale to Fit GDP Proj'!J168)/(1+'Rescale to Fit GDP Proj'!$D$168)-1</f>
        <v>2.6691855209756143E-2</v>
      </c>
      <c r="J49">
        <f>(1+'Rescale to Fit GDP Proj'!K168)/(1+'Rescale to Fit GDP Proj'!$D$168)-1</f>
        <v>3.1267483647188454E-2</v>
      </c>
      <c r="K49">
        <f>(1+'Rescale to Fit GDP Proj'!L168)/(1+'Rescale to Fit GDP Proj'!$D$168)-1</f>
        <v>3.6157869044179947E-2</v>
      </c>
      <c r="L49">
        <f>(1+'Rescale to Fit GDP Proj'!M168)/(1+'Rescale to Fit GDP Proj'!$D$168)-1</f>
        <v>4.1288129872631973E-2</v>
      </c>
      <c r="M49">
        <f>(1+'Rescale to Fit GDP Proj'!N168)/(1+'Rescale to Fit GDP Proj'!$D$168)-1</f>
        <v>4.6637386811388959E-2</v>
      </c>
      <c r="N49">
        <f>(1+'Rescale to Fit GDP Proj'!O168)/(1+'Rescale to Fit GDP Proj'!$D$168)-1</f>
        <v>5.1013443890672194E-2</v>
      </c>
      <c r="O49">
        <f>(1+'Rescale to Fit GDP Proj'!P168)/(1+'Rescale to Fit GDP Proj'!$D$168)-1</f>
        <v>5.5295705072479162E-2</v>
      </c>
      <c r="P49">
        <f>(1+'Rescale to Fit GDP Proj'!Q168)/(1+'Rescale to Fit GDP Proj'!$D$168)-1</f>
        <v>5.9535963200669118E-2</v>
      </c>
      <c r="Q49">
        <f>(1+'Rescale to Fit GDP Proj'!R168)/(1+'Rescale to Fit GDP Proj'!$D$168)-1</f>
        <v>6.3639118738563205E-2</v>
      </c>
      <c r="R49">
        <f>(1+'Rescale to Fit GDP Proj'!S168)/(1+'Rescale to Fit GDP Proj'!$D$168)-1</f>
        <v>6.7703892486251416E-2</v>
      </c>
      <c r="S49">
        <f>(1+'Rescale to Fit GDP Proj'!T168)/(1+'Rescale to Fit GDP Proj'!$D$168)-1</f>
        <v>7.1595353252828398E-2</v>
      </c>
      <c r="T49">
        <f>(1+'Rescale to Fit GDP Proj'!U168)/(1+'Rescale to Fit GDP Proj'!$D$168)-1</f>
        <v>7.5537138577750351E-2</v>
      </c>
      <c r="U49">
        <f>(1+'Rescale to Fit GDP Proj'!V168)/(1+'Rescale to Fit GDP Proj'!$D$168)-1</f>
        <v>7.95813673526653E-2</v>
      </c>
      <c r="V49">
        <f>(1+'Rescale to Fit GDP Proj'!W168)/(1+'Rescale to Fit GDP Proj'!$D$168)-1</f>
        <v>8.3586144581489386E-2</v>
      </c>
      <c r="W49">
        <f>(1+'Rescale to Fit GDP Proj'!X168)/(1+'Rescale to Fit GDP Proj'!$D$168)-1</f>
        <v>8.7479506115156758E-2</v>
      </c>
      <c r="X49">
        <f>(1+'Rescale to Fit GDP Proj'!Y168)/(1+'Rescale to Fit GDP Proj'!$D$168)-1</f>
        <v>9.1196181802305265E-2</v>
      </c>
      <c r="Y49">
        <f>(1+'Rescale to Fit GDP Proj'!Z168)/(1+'Rescale to Fit GDP Proj'!$D$168)-1</f>
        <v>9.4706995092519453E-2</v>
      </c>
      <c r="Z49">
        <f>(1+'Rescale to Fit GDP Proj'!AA168)/(1+'Rescale to Fit GDP Proj'!$D$168)-1</f>
        <v>9.8191067357964235E-2</v>
      </c>
      <c r="AA49">
        <f>(1+'Rescale to Fit GDP Proj'!AB168)/(1+'Rescale to Fit GDP Proj'!$D$168)-1</f>
        <v>0.10151392038768581</v>
      </c>
      <c r="AB49">
        <f>(1+'Rescale to Fit GDP Proj'!AC168)/(1+'Rescale to Fit GDP Proj'!$D$168)-1</f>
        <v>0.10492079069982818</v>
      </c>
    </row>
    <row r="50" spans="1:28" x14ac:dyDescent="0.25">
      <c r="A50" t="s">
        <v>747</v>
      </c>
      <c r="B50">
        <f>(1+'Rescale to Fit GDP Proj'!C169)/(1+'Rescale to Fit GDP Proj'!$D$169)-1</f>
        <v>-2.4742468439157062E-2</v>
      </c>
      <c r="C50">
        <f>(1+'Rescale to Fit GDP Proj'!D169)/(1+'Rescale to Fit GDP Proj'!$D$169)-1</f>
        <v>0</v>
      </c>
      <c r="D50">
        <f>(1+'Rescale to Fit GDP Proj'!E169)/(1+'Rescale to Fit GDP Proj'!$D$169)-1</f>
        <v>4.0967540731940311E-2</v>
      </c>
      <c r="E50">
        <f>(1+'Rescale to Fit GDP Proj'!F169)/(1+'Rescale to Fit GDP Proj'!$D$169)-1</f>
        <v>6.8749225655792667E-2</v>
      </c>
      <c r="F50">
        <f>(1+'Rescale to Fit GDP Proj'!G169)/(1+'Rescale to Fit GDP Proj'!$D$169)-1</f>
        <v>8.8086769730726378E-2</v>
      </c>
      <c r="G50">
        <f>(1+'Rescale to Fit GDP Proj'!H169)/(1+'Rescale to Fit GDP Proj'!$D$169)-1</f>
        <v>0.11146276737364458</v>
      </c>
      <c r="H50">
        <f>(1+'Rescale to Fit GDP Proj'!I169)/(1+'Rescale to Fit GDP Proj'!$D$169)-1</f>
        <v>0.13835797980568865</v>
      </c>
      <c r="I50">
        <f>(1+'Rescale to Fit GDP Proj'!J169)/(1+'Rescale to Fit GDP Proj'!$D$169)-1</f>
        <v>0.16494406659468375</v>
      </c>
      <c r="J50">
        <f>(1+'Rescale to Fit GDP Proj'!K169)/(1+'Rescale to Fit GDP Proj'!$D$169)-1</f>
        <v>0.19537894928288457</v>
      </c>
      <c r="K50">
        <f>(1+'Rescale to Fit GDP Proj'!L169)/(1+'Rescale to Fit GDP Proj'!$D$169)-1</f>
        <v>0.22860917488706423</v>
      </c>
      <c r="L50">
        <f>(1+'Rescale to Fit GDP Proj'!M169)/(1+'Rescale to Fit GDP Proj'!$D$169)-1</f>
        <v>0.26426932729579211</v>
      </c>
      <c r="M50">
        <f>(1+'Rescale to Fit GDP Proj'!N169)/(1+'Rescale to Fit GDP Proj'!$D$169)-1</f>
        <v>0.30234241219109714</v>
      </c>
      <c r="N50">
        <f>(1+'Rescale to Fit GDP Proj'!O169)/(1+'Rescale to Fit GDP Proj'!$D$169)-1</f>
        <v>0.33426277675196214</v>
      </c>
      <c r="O50">
        <f>(1+'Rescale to Fit GDP Proj'!P169)/(1+'Rescale to Fit GDP Proj'!$D$169)-1</f>
        <v>0.36613131735336801</v>
      </c>
      <c r="P50">
        <f>(1+'Rescale to Fit GDP Proj'!Q169)/(1+'Rescale to Fit GDP Proj'!$D$169)-1</f>
        <v>0.39830986929579848</v>
      </c>
      <c r="Q50">
        <f>(1+'Rescale to Fit GDP Proj'!R169)/(1+'Rescale to Fit GDP Proj'!$D$169)-1</f>
        <v>0.43005386745759244</v>
      </c>
      <c r="R50">
        <f>(1+'Rescale to Fit GDP Proj'!S169)/(1+'Rescale to Fit GDP Proj'!$D$169)-1</f>
        <v>0.46209076091980283</v>
      </c>
      <c r="S50">
        <f>(1+'Rescale to Fit GDP Proj'!T169)/(1+'Rescale to Fit GDP Proj'!$D$169)-1</f>
        <v>0.49332939872289328</v>
      </c>
      <c r="T50">
        <f>(1+'Rescale to Fit GDP Proj'!U169)/(1+'Rescale to Fit GDP Proj'!$D$169)-1</f>
        <v>0.52553071957998077</v>
      </c>
      <c r="U50">
        <f>(1+'Rescale to Fit GDP Proj'!V169)/(1+'Rescale to Fit GDP Proj'!$D$169)-1</f>
        <v>0.55915764693865366</v>
      </c>
      <c r="V50">
        <f>(1+'Rescale to Fit GDP Proj'!W169)/(1+'Rescale to Fit GDP Proj'!$D$169)-1</f>
        <v>0.59306305192405206</v>
      </c>
      <c r="W50">
        <f>(1+'Rescale to Fit GDP Proj'!X169)/(1+'Rescale to Fit GDP Proj'!$D$169)-1</f>
        <v>0.6266175062281707</v>
      </c>
      <c r="X50">
        <f>(1+'Rescale to Fit GDP Proj'!Y169)/(1+'Rescale to Fit GDP Proj'!$D$169)-1</f>
        <v>0.6592068002207323</v>
      </c>
      <c r="Y50">
        <f>(1+'Rescale to Fit GDP Proj'!Z169)/(1+'Rescale to Fit GDP Proj'!$D$169)-1</f>
        <v>0.69050081906136196</v>
      </c>
      <c r="Z50">
        <f>(1+'Rescale to Fit GDP Proj'!AA169)/(1+'Rescale to Fit GDP Proj'!$D$169)-1</f>
        <v>0.72204073789819079</v>
      </c>
      <c r="AA50">
        <f>(1+'Rescale to Fit GDP Proj'!AB169)/(1+'Rescale to Fit GDP Proj'!$D$169)-1</f>
        <v>0.75258520635656057</v>
      </c>
      <c r="AB50">
        <f>(1+'Rescale to Fit GDP Proj'!AC169)/(1+'Rescale to Fit GDP Proj'!$D$169)-1</f>
        <v>0.78436131253573871</v>
      </c>
    </row>
    <row r="51" spans="1:28" x14ac:dyDescent="0.25">
      <c r="A51" t="s">
        <v>832</v>
      </c>
      <c r="B51">
        <f>(1+'Rescale to Fit GDP Proj'!C170)/(1+'Rescale to Fit GDP Proj'!$D$170)-1</f>
        <v>-1.9749263779111348E-2</v>
      </c>
      <c r="C51">
        <f>(1+'Rescale to Fit GDP Proj'!D170)/(1+'Rescale to Fit GDP Proj'!$D$170)-1</f>
        <v>0</v>
      </c>
      <c r="D51">
        <f>(1+'Rescale to Fit GDP Proj'!E170)/(1+'Rescale to Fit GDP Proj'!$D$170)-1</f>
        <v>3.2533434648621906E-2</v>
      </c>
      <c r="E51">
        <f>(1+'Rescale to Fit GDP Proj'!F170)/(1+'Rescale to Fit GDP Proj'!$D$170)-1</f>
        <v>5.4416871935296651E-2</v>
      </c>
      <c r="F51">
        <f>(1+'Rescale to Fit GDP Proj'!G170)/(1+'Rescale to Fit GDP Proj'!$D$170)-1</f>
        <v>6.9567403524851024E-2</v>
      </c>
      <c r="G51">
        <f>(1+'Rescale to Fit GDP Proj'!H170)/(1+'Rescale to Fit GDP Proj'!$D$170)-1</f>
        <v>8.7814963727057327E-2</v>
      </c>
      <c r="H51">
        <f>(1+'Rescale to Fit GDP Proj'!I170)/(1+'Rescale to Fit GDP Proj'!$D$170)-1</f>
        <v>0.1087187573836137</v>
      </c>
      <c r="I51">
        <f>(1+'Rescale to Fit GDP Proj'!J170)/(1+'Rescale to Fit GDP Proj'!$D$170)-1</f>
        <v>0.12928178118211187</v>
      </c>
      <c r="J51">
        <f>(1+'Rescale to Fit GDP Proj'!K170)/(1+'Rescale to Fit GDP Proj'!$D$170)-1</f>
        <v>0.15271105895390913</v>
      </c>
      <c r="K51">
        <f>(1+'Rescale to Fit GDP Proj'!L170)/(1+'Rescale to Fit GDP Proj'!$D$170)-1</f>
        <v>0.17815815137676916</v>
      </c>
      <c r="L51">
        <f>(1+'Rescale to Fit GDP Proj'!M170)/(1+'Rescale to Fit GDP Proj'!$D$170)-1</f>
        <v>0.20531397969885701</v>
      </c>
      <c r="M51">
        <f>(1+'Rescale to Fit GDP Proj'!N170)/(1+'Rescale to Fit GDP Proj'!$D$170)-1</f>
        <v>0.23413893752927373</v>
      </c>
      <c r="N51">
        <f>(1+'Rescale to Fit GDP Proj'!O170)/(1+'Rescale to Fit GDP Proj'!$D$170)-1</f>
        <v>0.25816025011240895</v>
      </c>
      <c r="O51">
        <f>(1+'Rescale to Fit GDP Proj'!P170)/(1+'Rescale to Fit GDP Proj'!$D$170)-1</f>
        <v>0.28202444498698487</v>
      </c>
      <c r="P51">
        <f>(1+'Rescale to Fit GDP Proj'!Q170)/(1+'Rescale to Fit GDP Proj'!$D$170)-1</f>
        <v>0.30600506330504551</v>
      </c>
      <c r="Q51">
        <f>(1+'Rescale to Fit GDP Proj'!R170)/(1+'Rescale to Fit GDP Proj'!$D$170)-1</f>
        <v>0.32954975913982798</v>
      </c>
      <c r="R51">
        <f>(1+'Rescale to Fit GDP Proj'!S170)/(1+'Rescale to Fit GDP Proj'!$D$170)-1</f>
        <v>0.35320310690549417</v>
      </c>
      <c r="S51">
        <f>(1+'Rescale to Fit GDP Proj'!T170)/(1+'Rescale to Fit GDP Proj'!$D$170)-1</f>
        <v>0.37616304762492669</v>
      </c>
      <c r="T51">
        <f>(1+'Rescale to Fit GDP Proj'!U170)/(1+'Rescale to Fit GDP Proj'!$D$170)-1</f>
        <v>0.39972861956456751</v>
      </c>
      <c r="U51">
        <f>(1+'Rescale to Fit GDP Proj'!V170)/(1+'Rescale to Fit GDP Proj'!$D$170)-1</f>
        <v>0.42423053812468137</v>
      </c>
      <c r="V51">
        <f>(1+'Rescale to Fit GDP Proj'!W170)/(1+'Rescale to Fit GDP Proj'!$D$170)-1</f>
        <v>0.44882567376420979</v>
      </c>
      <c r="W51">
        <f>(1+'Rescale to Fit GDP Proj'!X170)/(1+'Rescale to Fit GDP Proj'!$D$170)-1</f>
        <v>0.47305957701196233</v>
      </c>
      <c r="X51">
        <f>(1+'Rescale to Fit GDP Proj'!Y170)/(1+'Rescale to Fit GDP Proj'!$D$170)-1</f>
        <v>0.49649645954431776</v>
      </c>
      <c r="Y51">
        <f>(1+'Rescale to Fit GDP Proj'!Z170)/(1+'Rescale to Fit GDP Proj'!$D$170)-1</f>
        <v>0.51891082949190581</v>
      </c>
      <c r="Z51">
        <f>(1+'Rescale to Fit GDP Proj'!AA170)/(1+'Rescale to Fit GDP Proj'!$D$170)-1</f>
        <v>0.54141523193563246</v>
      </c>
      <c r="AA51">
        <f>(1+'Rescale to Fit GDP Proj'!AB170)/(1+'Rescale to Fit GDP Proj'!$D$170)-1</f>
        <v>0.56312718133264017</v>
      </c>
      <c r="AB51">
        <f>(1+'Rescale to Fit GDP Proj'!AC170)/(1+'Rescale to Fit GDP Proj'!$D$170)-1</f>
        <v>0.58563357302565522</v>
      </c>
    </row>
    <row r="52" spans="1:28" x14ac:dyDescent="0.25">
      <c r="A52" t="s">
        <v>896</v>
      </c>
      <c r="B52">
        <f>(1+'Rescale to Fit GDP Proj'!C171)/(1+'Rescale to Fit GDP Proj'!$D$171)-1</f>
        <v>-1.8930875997571817E-2</v>
      </c>
      <c r="C52">
        <f>(1+'Rescale to Fit GDP Proj'!D171)/(1+'Rescale to Fit GDP Proj'!$D$171)-1</f>
        <v>0</v>
      </c>
      <c r="D52">
        <f>(1+'Rescale to Fit GDP Proj'!E171)/(1+'Rescale to Fit GDP Proj'!$D$171)-1</f>
        <v>3.1159270752998847E-2</v>
      </c>
      <c r="E52">
        <f>(1+'Rescale to Fit GDP Proj'!F171)/(1+'Rescale to Fit GDP Proj'!$D$171)-1</f>
        <v>5.2090490417258328E-2</v>
      </c>
      <c r="F52">
        <f>(1+'Rescale to Fit GDP Proj'!G171)/(1+'Rescale to Fit GDP Proj'!$D$171)-1</f>
        <v>6.6569071060329721E-2</v>
      </c>
      <c r="G52">
        <f>(1+'Rescale to Fit GDP Proj'!H171)/(1+'Rescale to Fit GDP Proj'!$D$171)-1</f>
        <v>8.3996888483486742E-2</v>
      </c>
      <c r="H52">
        <f>(1+'Rescale to Fit GDP Proj'!I171)/(1+'Rescale to Fit GDP Proj'!$D$171)-1</f>
        <v>0.10394746666386645</v>
      </c>
      <c r="I52">
        <f>(1+'Rescale to Fit GDP Proj'!J171)/(1+'Rescale to Fit GDP Proj'!$D$171)-1</f>
        <v>0.12355718518633285</v>
      </c>
      <c r="J52">
        <f>(1+'Rescale to Fit GDP Proj'!K171)/(1+'Rescale to Fit GDP Proj'!$D$171)-1</f>
        <v>0.14588309317460268</v>
      </c>
      <c r="K52">
        <f>(1+'Rescale to Fit GDP Proj'!L171)/(1+'Rescale to Fit GDP Proj'!$D$171)-1</f>
        <v>0.17011097176354162</v>
      </c>
      <c r="L52">
        <f>(1+'Rescale to Fit GDP Proj'!M171)/(1+'Rescale to Fit GDP Proj'!$D$171)-1</f>
        <v>0.1959421302001787</v>
      </c>
      <c r="M52">
        <f>(1+'Rescale to Fit GDP Proj'!N171)/(1+'Rescale to Fit GDP Proj'!$D$171)-1</f>
        <v>0.22333490466215689</v>
      </c>
      <c r="N52">
        <f>(1+'Rescale to Fit GDP Proj'!O171)/(1+'Rescale to Fit GDP Proj'!$D$171)-1</f>
        <v>0.24614018508386404</v>
      </c>
      <c r="O52">
        <f>(1+'Rescale to Fit GDP Proj'!P171)/(1+'Rescale to Fit GDP Proj'!$D$171)-1</f>
        <v>0.2687780308886385</v>
      </c>
      <c r="P52">
        <f>(1+'Rescale to Fit GDP Proj'!Q171)/(1+'Rescale to Fit GDP Proj'!$D$171)-1</f>
        <v>0.29150843151582495</v>
      </c>
      <c r="Q52">
        <f>(1+'Rescale to Fit GDP Proj'!R171)/(1+'Rescale to Fit GDP Proj'!$D$171)-1</f>
        <v>0.31380832758373267</v>
      </c>
      <c r="R52">
        <f>(1+'Rescale to Fit GDP Proj'!S171)/(1+'Rescale to Fit GDP Proj'!$D$171)-1</f>
        <v>0.33619437406942732</v>
      </c>
      <c r="S52">
        <f>(1+'Rescale to Fit GDP Proj'!T171)/(1+'Rescale to Fit GDP Proj'!$D$171)-1</f>
        <v>0.35790812163312791</v>
      </c>
      <c r="T52">
        <f>(1+'Rescale to Fit GDP Proj'!U171)/(1+'Rescale to Fit GDP Proj'!$D$171)-1</f>
        <v>0.3801789231746755</v>
      </c>
      <c r="U52">
        <f>(1+'Rescale to Fit GDP Proj'!V171)/(1+'Rescale to Fit GDP Proj'!$D$171)-1</f>
        <v>0.40331815888117206</v>
      </c>
      <c r="V52">
        <f>(1+'Rescale to Fit GDP Proj'!W171)/(1+'Rescale to Fit GDP Proj'!$D$171)-1</f>
        <v>0.42652854914965799</v>
      </c>
      <c r="W52">
        <f>(1+'Rescale to Fit GDP Proj'!X171)/(1+'Rescale to Fit GDP Proj'!$D$171)-1</f>
        <v>0.44938164670626701</v>
      </c>
      <c r="X52">
        <f>(1+'Rescale to Fit GDP Proj'!Y171)/(1+'Rescale to Fit GDP Proj'!$D$171)-1</f>
        <v>0.47146777845362675</v>
      </c>
      <c r="Y52">
        <f>(1+'Rescale to Fit GDP Proj'!Z171)/(1+'Rescale to Fit GDP Proj'!$D$171)-1</f>
        <v>0.49257635598742411</v>
      </c>
      <c r="Z52">
        <f>(1+'Rescale to Fit GDP Proj'!AA171)/(1+'Rescale to Fit GDP Proj'!$D$171)-1</f>
        <v>0.5137565110011344</v>
      </c>
      <c r="AA52">
        <f>(1+'Rescale to Fit GDP Proj'!AB171)/(1+'Rescale to Fit GDP Proj'!$D$171)-1</f>
        <v>0.53417824267224279</v>
      </c>
      <c r="AB52">
        <f>(1+'Rescale to Fit GDP Proj'!AC171)/(1+'Rescale to Fit GDP Proj'!$D$171)-1</f>
        <v>0.55533478770311295</v>
      </c>
    </row>
    <row r="53" spans="1:28" x14ac:dyDescent="0.25">
      <c r="A53" t="s">
        <v>929</v>
      </c>
      <c r="B53">
        <f>(1+'Rescale to Fit GDP Proj'!C172)/(1+'Rescale to Fit GDP Proj'!$D$172)-1</f>
        <v>-1.6216719139987013E-2</v>
      </c>
      <c r="C53">
        <f>(1+'Rescale to Fit GDP Proj'!D172)/(1+'Rescale to Fit GDP Proj'!$D$172)-1</f>
        <v>0</v>
      </c>
      <c r="D53">
        <f>(1+'Rescale to Fit GDP Proj'!E172)/(1+'Rescale to Fit GDP Proj'!$D$172)-1</f>
        <v>2.6618264712508832E-2</v>
      </c>
      <c r="E53">
        <f>(1+'Rescale to Fit GDP Proj'!F172)/(1+'Rescale to Fit GDP Proj'!$D$172)-1</f>
        <v>4.4420323304400489E-2</v>
      </c>
      <c r="F53">
        <f>(1+'Rescale to Fit GDP Proj'!G172)/(1+'Rescale to Fit GDP Proj'!$D$172)-1</f>
        <v>5.6698691799256462E-2</v>
      </c>
      <c r="G53">
        <f>(1+'Rescale to Fit GDP Proj'!H172)/(1+'Rescale to Fit GDP Proj'!$D$172)-1</f>
        <v>7.14488826772679E-2</v>
      </c>
      <c r="H53">
        <f>(1+'Rescale to Fit GDP Proj'!I172)/(1+'Rescale to Fit GDP Proj'!$D$172)-1</f>
        <v>8.8294671874779906E-2</v>
      </c>
      <c r="I53">
        <f>(1+'Rescale to Fit GDP Proj'!J172)/(1+'Rescale to Fit GDP Proj'!$D$172)-1</f>
        <v>0.1048090380619231</v>
      </c>
      <c r="J53">
        <f>(1+'Rescale to Fit GDP Proj'!K172)/(1+'Rescale to Fit GDP Proj'!$D$172)-1</f>
        <v>0.12356302556570409</v>
      </c>
      <c r="K53">
        <f>(1+'Rescale to Fit GDP Proj'!L172)/(1+'Rescale to Fit GDP Proj'!$D$172)-1</f>
        <v>0.14385690007938012</v>
      </c>
      <c r="L53">
        <f>(1+'Rescale to Fit GDP Proj'!M172)/(1+'Rescale to Fit GDP Proj'!$D$172)-1</f>
        <v>0.16542843173477362</v>
      </c>
      <c r="M53">
        <f>(1+'Rescale to Fit GDP Proj'!N172)/(1+'Rescale to Fit GDP Proj'!$D$172)-1</f>
        <v>0.18823205828764689</v>
      </c>
      <c r="N53">
        <f>(1+'Rescale to Fit GDP Proj'!O172)/(1+'Rescale to Fit GDP Proj'!$D$172)-1</f>
        <v>0.20715478728363346</v>
      </c>
      <c r="O53">
        <f>(1+'Rescale to Fit GDP Proj'!P172)/(1+'Rescale to Fit GDP Proj'!$D$172)-1</f>
        <v>0.22588848947549067</v>
      </c>
      <c r="P53">
        <f>(1+'Rescale to Fit GDP Proj'!Q172)/(1+'Rescale to Fit GDP Proj'!$D$172)-1</f>
        <v>0.24464987302817809</v>
      </c>
      <c r="Q53">
        <f>(1+'Rescale to Fit GDP Proj'!R172)/(1+'Rescale to Fit GDP Proj'!$D$172)-1</f>
        <v>0.2630087134577157</v>
      </c>
      <c r="R53">
        <f>(1+'Rescale to Fit GDP Proj'!S172)/(1+'Rescale to Fit GDP Proj'!$D$172)-1</f>
        <v>0.28139289044736793</v>
      </c>
      <c r="S53">
        <f>(1+'Rescale to Fit GDP Proj'!T172)/(1+'Rescale to Fit GDP Proj'!$D$172)-1</f>
        <v>0.29918141430239698</v>
      </c>
      <c r="T53">
        <f>(1+'Rescale to Fit GDP Proj'!U172)/(1+'Rescale to Fit GDP Proj'!$D$172)-1</f>
        <v>0.31738377498976678</v>
      </c>
      <c r="U53">
        <f>(1+'Rescale to Fit GDP Proj'!V172)/(1+'Rescale to Fit GDP Proj'!$D$172)-1</f>
        <v>0.33625144987294919</v>
      </c>
      <c r="V53">
        <f>(1+'Rescale to Fit GDP Proj'!W172)/(1+'Rescale to Fit GDP Proj'!$D$172)-1</f>
        <v>0.35513166515765282</v>
      </c>
      <c r="W53">
        <f>(1+'Rescale to Fit GDP Proj'!X172)/(1+'Rescale to Fit GDP Proj'!$D$172)-1</f>
        <v>0.37367716547714869</v>
      </c>
      <c r="X53">
        <f>(1+'Rescale to Fit GDP Proj'!Y172)/(1+'Rescale to Fit GDP Proj'!$D$172)-1</f>
        <v>0.39155908082739699</v>
      </c>
      <c r="Y53">
        <f>(1+'Rescale to Fit GDP Proj'!Z172)/(1+'Rescale to Fit GDP Proj'!$D$172)-1</f>
        <v>0.40861214066434637</v>
      </c>
      <c r="Z53">
        <f>(1+'Rescale to Fit GDP Proj'!AA172)/(1+'Rescale to Fit GDP Proj'!$D$172)-1</f>
        <v>0.42568775976564543</v>
      </c>
      <c r="AA53">
        <f>(1+'Rescale to Fit GDP Proj'!AB172)/(1+'Rescale to Fit GDP Proj'!$D$172)-1</f>
        <v>0.4421183595447995</v>
      </c>
      <c r="AB53">
        <f>(1+'Rescale to Fit GDP Proj'!AC172)/(1+'Rescale to Fit GDP Proj'!$D$172)-1</f>
        <v>0.45910714328182722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3864"/>
  </sheetPr>
  <dimension ref="A1:AF5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32" x14ac:dyDescent="0.25">
      <c r="A1" t="s">
        <v>1238</v>
      </c>
      <c r="B1" s="1" t="s">
        <v>1266</v>
      </c>
      <c r="C1" s="1" t="s">
        <v>1267</v>
      </c>
      <c r="D1" s="1" t="s">
        <v>1268</v>
      </c>
      <c r="E1" s="1" t="s">
        <v>1269</v>
      </c>
      <c r="F1" s="1" t="s">
        <v>1239</v>
      </c>
      <c r="G1" s="1" t="s">
        <v>1240</v>
      </c>
      <c r="H1" s="1" t="s">
        <v>1241</v>
      </c>
      <c r="I1" s="1" t="s">
        <v>1242</v>
      </c>
      <c r="J1" s="1" t="s">
        <v>1243</v>
      </c>
      <c r="K1" s="1" t="s">
        <v>1244</v>
      </c>
      <c r="L1" s="1" t="s">
        <v>1245</v>
      </c>
      <c r="M1" s="1" t="s">
        <v>1246</v>
      </c>
      <c r="N1" s="1" t="s">
        <v>1247</v>
      </c>
      <c r="O1" s="1" t="s">
        <v>1248</v>
      </c>
      <c r="P1" s="1" t="s">
        <v>1249</v>
      </c>
      <c r="Q1" s="1" t="s">
        <v>1250</v>
      </c>
      <c r="R1" s="1" t="s">
        <v>1251</v>
      </c>
      <c r="S1" s="1" t="s">
        <v>1252</v>
      </c>
      <c r="T1" s="1" t="s">
        <v>1253</v>
      </c>
      <c r="U1" s="1" t="s">
        <v>1254</v>
      </c>
      <c r="V1" s="1" t="s">
        <v>1255</v>
      </c>
      <c r="W1" s="1" t="s">
        <v>1256</v>
      </c>
      <c r="X1" s="1" t="s">
        <v>1257</v>
      </c>
      <c r="Y1" s="1" t="s">
        <v>1258</v>
      </c>
      <c r="Z1" s="1" t="s">
        <v>1259</v>
      </c>
      <c r="AA1" s="1" t="s">
        <v>1260</v>
      </c>
      <c r="AB1" s="1" t="s">
        <v>1261</v>
      </c>
      <c r="AC1" s="1" t="s">
        <v>1262</v>
      </c>
      <c r="AD1" s="1" t="s">
        <v>1263</v>
      </c>
      <c r="AE1" s="1" t="s">
        <v>1264</v>
      </c>
      <c r="AF1" s="1" t="s">
        <v>1265</v>
      </c>
    </row>
    <row r="2" spans="1:32" x14ac:dyDescent="0.25">
      <c r="A2" t="s">
        <v>58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65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70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82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85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174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201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219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233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238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241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1214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248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253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258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306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319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331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326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336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98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119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122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351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453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446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487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512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863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523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554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557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560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599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615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602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934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692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747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832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896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929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BLS Table 2.11</vt:lpstr>
      <vt:lpstr>AEO25 Table 23</vt:lpstr>
      <vt:lpstr>AEO 2026 Table 23 </vt:lpstr>
      <vt:lpstr>Data from BVAbIC</vt:lpstr>
      <vt:lpstr>GDP Forecast</vt:lpstr>
      <vt:lpstr>Growth Rates</vt:lpstr>
      <vt:lpstr>Rescale to Fit GDP Proj</vt:lpstr>
      <vt:lpstr>Checks</vt:lpstr>
      <vt:lpstr>BPCiObIC</vt:lpstr>
      <vt:lpstr>BPCiDCSbIC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2026-07-20T15:07:22Z</dcterms:created>
  <dcterms:modified xsi:type="dcterms:W3CDTF">2026-07-20T16:44:48Z</dcterms:modified>
</cp:coreProperties>
</file>