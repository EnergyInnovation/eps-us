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RobbieOrvis\Models\EPS Structure Research\isic42-staging\io-model\BPCiOaDCSbIC\"/>
    </mc:Choice>
  </mc:AlternateContent>
  <xr:revisionPtr revIDLastSave="0" documentId="11_9F58E5D6C0DF5C896474C3DFC4E548345FAB9FDA" xr6:coauthVersionLast="47" xr6:coauthVersionMax="47" xr10:uidLastSave="{00000000-0000-0000-0000-000000000000}"/>
  <bookViews>
    <workbookView xWindow="-108" yWindow="-108" windowWidth="23256" windowHeight="13896" xr2:uid="{00000000-000D-0000-FFFF-FFFF00000000}"/>
  </bookViews>
  <sheets>
    <sheet name="About" sheetId="1" r:id="rId1"/>
    <sheet name="BLS Table 2.11" sheetId="2" r:id="rId2"/>
    <sheet name="AEO25 Table 23" sheetId="3" r:id="rId3"/>
    <sheet name="AEO 2026 Table 23 " sheetId="4" r:id="rId4"/>
    <sheet name="Data from BVAbIC" sheetId="5" r:id="rId5"/>
    <sheet name="GDP Forecast" sheetId="6" r:id="rId6"/>
    <sheet name="Growth Rates" sheetId="7" r:id="rId7"/>
    <sheet name="Rescale to Fit GDP Proj" sheetId="8" r:id="rId8"/>
    <sheet name="Collapse 52 to 42" sheetId="9" r:id="rId9"/>
    <sheet name="Checks" sheetId="10" r:id="rId10"/>
    <sheet name="BPCiObIC" sheetId="11" r:id="rId11"/>
    <sheet name="BPCiDCSbIC"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0" l="1"/>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2" i="10"/>
  <c r="C12" i="10" s="1"/>
  <c r="D124" i="8"/>
  <c r="AC92" i="8"/>
  <c r="F92" i="8"/>
  <c r="AC88" i="8"/>
  <c r="U86" i="8"/>
  <c r="W85" i="8"/>
  <c r="K85" i="8"/>
  <c r="W84" i="8"/>
  <c r="N82" i="8"/>
  <c r="O81" i="8"/>
  <c r="G81" i="8"/>
  <c r="F81" i="8"/>
  <c r="E81" i="8"/>
  <c r="N78" i="8"/>
  <c r="M78" i="8"/>
  <c r="K74" i="8"/>
  <c r="G74" i="8"/>
  <c r="C60" i="8"/>
  <c r="C59" i="8"/>
  <c r="C58" i="8"/>
  <c r="C57" i="8"/>
  <c r="C56" i="8"/>
  <c r="C55" i="8"/>
  <c r="C54" i="8"/>
  <c r="C53" i="8"/>
  <c r="C52" i="8"/>
  <c r="C51" i="8"/>
  <c r="C50" i="8"/>
  <c r="C49" i="8"/>
  <c r="C48" i="8"/>
  <c r="C47" i="8"/>
  <c r="C46" i="8"/>
  <c r="C45" i="8"/>
  <c r="C44" i="8"/>
  <c r="C43" i="8"/>
  <c r="C42" i="8"/>
  <c r="C41" i="8"/>
  <c r="C40" i="8"/>
  <c r="C39" i="8"/>
  <c r="C38" i="8"/>
  <c r="C37" i="8"/>
  <c r="C36" i="8"/>
  <c r="C35" i="8"/>
  <c r="C34" i="8"/>
  <c r="C33" i="8"/>
  <c r="C32" i="8"/>
  <c r="C31" i="8"/>
  <c r="C30" i="8"/>
  <c r="C29" i="8"/>
  <c r="C28" i="8"/>
  <c r="C27" i="8"/>
  <c r="C26" i="8"/>
  <c r="C25" i="8"/>
  <c r="C24" i="8"/>
  <c r="C23" i="8"/>
  <c r="C22" i="8"/>
  <c r="C21" i="8"/>
  <c r="C20" i="8"/>
  <c r="C19" i="8"/>
  <c r="C18" i="8"/>
  <c r="C17" i="8"/>
  <c r="C16" i="8"/>
  <c r="C15" i="8"/>
  <c r="C14" i="8"/>
  <c r="C13" i="8"/>
  <c r="C12" i="8"/>
  <c r="C11" i="8"/>
  <c r="C10" i="8"/>
  <c r="C9" i="8"/>
  <c r="AB112" i="7"/>
  <c r="V112" i="7"/>
  <c r="T112" i="7"/>
  <c r="N112" i="7"/>
  <c r="AB111" i="7"/>
  <c r="Z111" i="7"/>
  <c r="R111" i="7"/>
  <c r="Q111" i="7"/>
  <c r="P111" i="7"/>
  <c r="O111" i="7"/>
  <c r="H111" i="7"/>
  <c r="X110" i="7"/>
  <c r="R109" i="7"/>
  <c r="M109" i="7"/>
  <c r="G109" i="7"/>
  <c r="E109" i="7"/>
  <c r="AC107" i="7"/>
  <c r="AB107" i="7"/>
  <c r="X107" i="7"/>
  <c r="J107" i="7"/>
  <c r="G107" i="7"/>
  <c r="AA106" i="7"/>
  <c r="Z106" i="7"/>
  <c r="M106" i="7"/>
  <c r="G106" i="7"/>
  <c r="X105" i="7"/>
  <c r="T105" i="7"/>
  <c r="O105" i="7"/>
  <c r="T104" i="7"/>
  <c r="Q104" i="7"/>
  <c r="P104" i="7"/>
  <c r="O104" i="7"/>
  <c r="U103" i="7"/>
  <c r="T103" i="7"/>
  <c r="P103" i="7"/>
  <c r="AB102" i="7"/>
  <c r="Z102" i="7"/>
  <c r="S102" i="7"/>
  <c r="R102" i="7"/>
  <c r="N102" i="7"/>
  <c r="K102" i="7"/>
  <c r="J102" i="7"/>
  <c r="H102" i="7"/>
  <c r="E102" i="7"/>
  <c r="D102" i="7"/>
  <c r="V101" i="7"/>
  <c r="Y100" i="7"/>
  <c r="R100" i="7"/>
  <c r="K100" i="7"/>
  <c r="G100" i="7"/>
  <c r="S99" i="7"/>
  <c r="P99" i="7"/>
  <c r="O99" i="7"/>
  <c r="J99" i="7"/>
  <c r="H99" i="7"/>
  <c r="Z98" i="7"/>
  <c r="U98" i="7"/>
  <c r="T98" i="7"/>
  <c r="Q98" i="7"/>
  <c r="R97" i="7"/>
  <c r="P97" i="7"/>
  <c r="O97" i="7"/>
  <c r="AA96" i="7"/>
  <c r="U96" i="7"/>
  <c r="L96" i="7"/>
  <c r="K96" i="7"/>
  <c r="H96" i="7"/>
  <c r="G96" i="7"/>
  <c r="AB93" i="7"/>
  <c r="R93" i="7"/>
  <c r="Q93" i="7"/>
  <c r="I93" i="7"/>
  <c r="G93" i="7"/>
  <c r="E93" i="7"/>
  <c r="P92" i="7"/>
  <c r="P96" i="8" s="1"/>
  <c r="M91" i="7"/>
  <c r="X90" i="7"/>
  <c r="M90" i="7"/>
  <c r="L90" i="7"/>
  <c r="AA89" i="7"/>
  <c r="Z89" i="7"/>
  <c r="G89" i="7"/>
  <c r="AA88" i="7"/>
  <c r="AA92" i="8" s="1"/>
  <c r="Z88" i="7"/>
  <c r="Z92" i="8" s="1"/>
  <c r="L88" i="7"/>
  <c r="L92" i="8" s="1"/>
  <c r="I88" i="7"/>
  <c r="I92" i="8" s="1"/>
  <c r="AA87" i="7"/>
  <c r="AA91" i="8" s="1"/>
  <c r="Z87" i="7"/>
  <c r="Z91" i="8" s="1"/>
  <c r="Y87" i="7"/>
  <c r="Y91" i="8" s="1"/>
  <c r="K87" i="7"/>
  <c r="K91" i="8" s="1"/>
  <c r="Y85" i="7"/>
  <c r="Y89" i="8" s="1"/>
  <c r="AA84" i="7"/>
  <c r="AA88" i="8" s="1"/>
  <c r="Z84" i="7"/>
  <c r="Z88" i="8" s="1"/>
  <c r="Y84" i="7"/>
  <c r="Y88" i="8" s="1"/>
  <c r="U84" i="7"/>
  <c r="U88" i="8" s="1"/>
  <c r="J84" i="7"/>
  <c r="J88" i="8" s="1"/>
  <c r="P83" i="7"/>
  <c r="P87" i="8" s="1"/>
  <c r="H83" i="7"/>
  <c r="H87" i="8" s="1"/>
  <c r="P82" i="7"/>
  <c r="P86" i="8" s="1"/>
  <c r="O82" i="7"/>
  <c r="O86" i="8" s="1"/>
  <c r="G82" i="7"/>
  <c r="G86" i="8" s="1"/>
  <c r="E82" i="7"/>
  <c r="E86" i="8" s="1"/>
  <c r="Z81" i="7"/>
  <c r="Z85" i="8" s="1"/>
  <c r="Y81" i="7"/>
  <c r="Y85" i="8" s="1"/>
  <c r="Z80" i="7"/>
  <c r="Z84" i="8" s="1"/>
  <c r="W80" i="7"/>
  <c r="V80" i="7"/>
  <c r="V84" i="8" s="1"/>
  <c r="F80" i="7"/>
  <c r="F84" i="8" s="1"/>
  <c r="U79" i="7"/>
  <c r="U83" i="8" s="1"/>
  <c r="H79" i="7"/>
  <c r="H83" i="8" s="1"/>
  <c r="G79" i="7"/>
  <c r="G83" i="8" s="1"/>
  <c r="N78" i="7"/>
  <c r="M78" i="7"/>
  <c r="M82" i="8" s="1"/>
  <c r="D78" i="7"/>
  <c r="D82" i="8" s="1"/>
  <c r="D138" i="8" s="1"/>
  <c r="X77" i="7"/>
  <c r="X81" i="8" s="1"/>
  <c r="S77" i="7"/>
  <c r="S81" i="8" s="1"/>
  <c r="P77" i="7"/>
  <c r="P81" i="8" s="1"/>
  <c r="N77" i="7"/>
  <c r="N81" i="8" s="1"/>
  <c r="Z76" i="7"/>
  <c r="Z80" i="8" s="1"/>
  <c r="Y76" i="7"/>
  <c r="Y80" i="8" s="1"/>
  <c r="V76" i="7"/>
  <c r="V80" i="8" s="1"/>
  <c r="T76" i="7"/>
  <c r="T80" i="8" s="1"/>
  <c r="R75" i="7"/>
  <c r="L75" i="7"/>
  <c r="Y74" i="7"/>
  <c r="Y78" i="8" s="1"/>
  <c r="X74" i="7"/>
  <c r="X78" i="8" s="1"/>
  <c r="AB73" i="7"/>
  <c r="AB77" i="8" s="1"/>
  <c r="S73" i="7"/>
  <c r="S77" i="8" s="1"/>
  <c r="O73" i="7"/>
  <c r="O77" i="8" s="1"/>
  <c r="W72" i="7"/>
  <c r="W76" i="8" s="1"/>
  <c r="S72" i="7"/>
  <c r="S76" i="8" s="1"/>
  <c r="J72" i="7"/>
  <c r="J76" i="8" s="1"/>
  <c r="I72" i="7"/>
  <c r="I76" i="8" s="1"/>
  <c r="AB71" i="7"/>
  <c r="AB75" i="8" s="1"/>
  <c r="AA71" i="7"/>
  <c r="AA75" i="8" s="1"/>
  <c r="L71" i="7"/>
  <c r="L75" i="8" s="1"/>
  <c r="V70" i="7"/>
  <c r="V74" i="8" s="1"/>
  <c r="H70" i="7"/>
  <c r="H74" i="8" s="1"/>
  <c r="AA69" i="7"/>
  <c r="AA73" i="8" s="1"/>
  <c r="S69" i="7"/>
  <c r="S73" i="8" s="1"/>
  <c r="K69" i="7"/>
  <c r="K73" i="8" s="1"/>
  <c r="J69" i="7"/>
  <c r="J73" i="8" s="1"/>
  <c r="K68" i="7"/>
  <c r="AC67" i="7"/>
  <c r="AC71" i="8" s="1"/>
  <c r="Q67" i="7"/>
  <c r="Q71" i="8" s="1"/>
  <c r="P67" i="7"/>
  <c r="P71" i="8" s="1"/>
  <c r="O67" i="7"/>
  <c r="O71" i="8" s="1"/>
  <c r="M67" i="7"/>
  <c r="M71" i="8" s="1"/>
  <c r="AA66" i="7"/>
  <c r="AA65" i="7"/>
  <c r="AA69" i="8" s="1"/>
  <c r="Z65" i="7"/>
  <c r="Z69" i="8" s="1"/>
  <c r="H65" i="7"/>
  <c r="H69" i="8" s="1"/>
  <c r="G65" i="7"/>
  <c r="G69" i="8" s="1"/>
  <c r="S64" i="7"/>
  <c r="S68" i="8" s="1"/>
  <c r="G61" i="7"/>
  <c r="G65" i="8" s="1"/>
  <c r="AC55" i="7"/>
  <c r="AB55" i="7"/>
  <c r="AA55" i="7"/>
  <c r="AA112" i="7" s="1"/>
  <c r="Z55" i="7"/>
  <c r="Y55" i="7"/>
  <c r="Y112" i="7" s="1"/>
  <c r="X55" i="7"/>
  <c r="X112" i="7" s="1"/>
  <c r="W55" i="7"/>
  <c r="W112" i="7" s="1"/>
  <c r="V55" i="7"/>
  <c r="U55" i="7"/>
  <c r="T55" i="7"/>
  <c r="S55" i="7"/>
  <c r="R55" i="7"/>
  <c r="Q55" i="7"/>
  <c r="Q112" i="7" s="1"/>
  <c r="P55" i="7"/>
  <c r="P112" i="7" s="1"/>
  <c r="O55" i="7"/>
  <c r="N55" i="7"/>
  <c r="M55" i="7"/>
  <c r="L55" i="7"/>
  <c r="L112" i="7" s="1"/>
  <c r="K55" i="7"/>
  <c r="J55" i="7"/>
  <c r="I55" i="7"/>
  <c r="I112" i="7" s="1"/>
  <c r="H55" i="7"/>
  <c r="H112" i="7" s="1"/>
  <c r="G55" i="7"/>
  <c r="F55" i="7"/>
  <c r="F112" i="7" s="1"/>
  <c r="E55" i="7"/>
  <c r="E112" i="7" s="1"/>
  <c r="D55" i="7"/>
  <c r="B55" i="7"/>
  <c r="O112" i="7" s="1"/>
  <c r="AC54" i="7"/>
  <c r="AC111" i="7" s="1"/>
  <c r="AB54" i="7"/>
  <c r="AA54" i="7"/>
  <c r="Z54" i="7"/>
  <c r="Y54" i="7"/>
  <c r="Y111" i="7" s="1"/>
  <c r="X54" i="7"/>
  <c r="X111" i="7" s="1"/>
  <c r="W54" i="7"/>
  <c r="V54" i="7"/>
  <c r="V111" i="7" s="1"/>
  <c r="U54" i="7"/>
  <c r="U111" i="7" s="1"/>
  <c r="T54" i="7"/>
  <c r="S54" i="7"/>
  <c r="S111" i="7" s="1"/>
  <c r="R54" i="7"/>
  <c r="Q54" i="7"/>
  <c r="P54" i="7"/>
  <c r="O54" i="7"/>
  <c r="N54" i="7"/>
  <c r="M54" i="7"/>
  <c r="M111" i="7" s="1"/>
  <c r="L54" i="7"/>
  <c r="L111" i="7" s="1"/>
  <c r="K54" i="7"/>
  <c r="K111" i="7" s="1"/>
  <c r="J54" i="7"/>
  <c r="J111" i="7" s="1"/>
  <c r="I54" i="7"/>
  <c r="H54" i="7"/>
  <c r="G54" i="7"/>
  <c r="G111" i="7" s="1"/>
  <c r="F54" i="7"/>
  <c r="F111" i="7" s="1"/>
  <c r="E54" i="7"/>
  <c r="D54" i="7"/>
  <c r="B54" i="7"/>
  <c r="T111" i="7" s="1"/>
  <c r="AC53" i="7"/>
  <c r="AB53" i="7"/>
  <c r="AA53" i="7"/>
  <c r="Z53" i="7"/>
  <c r="Y53" i="7"/>
  <c r="X53" i="7"/>
  <c r="W53" i="7"/>
  <c r="V53" i="7"/>
  <c r="V110" i="7" s="1"/>
  <c r="U53" i="7"/>
  <c r="T53" i="7"/>
  <c r="S53" i="7"/>
  <c r="R53" i="7"/>
  <c r="R110" i="7" s="1"/>
  <c r="Q53" i="7"/>
  <c r="P53" i="7"/>
  <c r="P110" i="7" s="1"/>
  <c r="O53" i="7"/>
  <c r="O110" i="7" s="1"/>
  <c r="N53" i="7"/>
  <c r="M53" i="7"/>
  <c r="L53" i="7"/>
  <c r="K53" i="7"/>
  <c r="K110" i="7" s="1"/>
  <c r="J53" i="7"/>
  <c r="J110" i="7" s="1"/>
  <c r="I53" i="7"/>
  <c r="H53" i="7"/>
  <c r="G53" i="7"/>
  <c r="F53" i="7"/>
  <c r="E53" i="7"/>
  <c r="D53" i="7"/>
  <c r="B53" i="7"/>
  <c r="U110" i="7" s="1"/>
  <c r="AC52" i="7"/>
  <c r="AC109" i="7" s="1"/>
  <c r="AB52" i="7"/>
  <c r="AB109" i="7" s="1"/>
  <c r="AA52" i="7"/>
  <c r="AA109" i="7" s="1"/>
  <c r="Z52" i="7"/>
  <c r="Z109" i="7" s="1"/>
  <c r="Y52" i="7"/>
  <c r="Y109" i="7" s="1"/>
  <c r="X52" i="7"/>
  <c r="X109" i="7" s="1"/>
  <c r="W52" i="7"/>
  <c r="W109" i="7" s="1"/>
  <c r="V52" i="7"/>
  <c r="V109" i="7" s="1"/>
  <c r="U52" i="7"/>
  <c r="U109" i="7" s="1"/>
  <c r="T52" i="7"/>
  <c r="T109" i="7" s="1"/>
  <c r="S52" i="7"/>
  <c r="S109" i="7" s="1"/>
  <c r="R52" i="7"/>
  <c r="Q52" i="7"/>
  <c r="Q109" i="7" s="1"/>
  <c r="P52" i="7"/>
  <c r="P109" i="7" s="1"/>
  <c r="O52" i="7"/>
  <c r="O109" i="7" s="1"/>
  <c r="N52" i="7"/>
  <c r="N109" i="7" s="1"/>
  <c r="M52" i="7"/>
  <c r="L52" i="7"/>
  <c r="L109" i="7" s="1"/>
  <c r="K52" i="7"/>
  <c r="K109" i="7" s="1"/>
  <c r="J52" i="7"/>
  <c r="J109" i="7" s="1"/>
  <c r="I52" i="7"/>
  <c r="I109" i="7" s="1"/>
  <c r="H52" i="7"/>
  <c r="H109" i="7" s="1"/>
  <c r="G52" i="7"/>
  <c r="F52" i="7"/>
  <c r="F109" i="7" s="1"/>
  <c r="E52" i="7"/>
  <c r="D52" i="7"/>
  <c r="D109" i="7" s="1"/>
  <c r="B52" i="7"/>
  <c r="AC51" i="7"/>
  <c r="AB51" i="7"/>
  <c r="AA51" i="7"/>
  <c r="Z51" i="7"/>
  <c r="Y51" i="7"/>
  <c r="X51" i="7"/>
  <c r="W51" i="7"/>
  <c r="V51" i="7"/>
  <c r="U51" i="7"/>
  <c r="T51" i="7"/>
  <c r="S51" i="7"/>
  <c r="R51" i="7"/>
  <c r="Q51" i="7"/>
  <c r="P51" i="7"/>
  <c r="O51" i="7"/>
  <c r="N51" i="7"/>
  <c r="M51" i="7"/>
  <c r="L51" i="7"/>
  <c r="K51" i="7"/>
  <c r="J51" i="7"/>
  <c r="I51" i="7"/>
  <c r="H51" i="7"/>
  <c r="G51" i="7"/>
  <c r="F51" i="7"/>
  <c r="E51" i="7"/>
  <c r="D51" i="7"/>
  <c r="B51" i="7"/>
  <c r="E108" i="7" s="1"/>
  <c r="AC50" i="7"/>
  <c r="AB50" i="7"/>
  <c r="AA50" i="7"/>
  <c r="AA107" i="7" s="1"/>
  <c r="Z50" i="7"/>
  <c r="Z107" i="7" s="1"/>
  <c r="Y50" i="7"/>
  <c r="X50" i="7"/>
  <c r="W50" i="7"/>
  <c r="W107" i="7" s="1"/>
  <c r="V50" i="7"/>
  <c r="V107" i="7" s="1"/>
  <c r="U50" i="7"/>
  <c r="T50" i="7"/>
  <c r="T107" i="7" s="1"/>
  <c r="S50" i="7"/>
  <c r="S107" i="7" s="1"/>
  <c r="R50" i="7"/>
  <c r="R107" i="7" s="1"/>
  <c r="Q50" i="7"/>
  <c r="Q107" i="7" s="1"/>
  <c r="P50" i="7"/>
  <c r="P107" i="7" s="1"/>
  <c r="O50" i="7"/>
  <c r="O107" i="7" s="1"/>
  <c r="N50" i="7"/>
  <c r="N107" i="7" s="1"/>
  <c r="M50" i="7"/>
  <c r="M107" i="7" s="1"/>
  <c r="L50" i="7"/>
  <c r="L107" i="7" s="1"/>
  <c r="K50" i="7"/>
  <c r="K107" i="7" s="1"/>
  <c r="J50" i="7"/>
  <c r="I50" i="7"/>
  <c r="I107" i="7" s="1"/>
  <c r="H50" i="7"/>
  <c r="H107" i="7" s="1"/>
  <c r="G50" i="7"/>
  <c r="F50" i="7"/>
  <c r="F107" i="7" s="1"/>
  <c r="E50" i="7"/>
  <c r="E107" i="7" s="1"/>
  <c r="D50" i="7"/>
  <c r="D107" i="7" s="1"/>
  <c r="B50" i="7"/>
  <c r="AC49" i="7"/>
  <c r="AB49" i="7"/>
  <c r="AA49" i="7"/>
  <c r="Z49" i="7"/>
  <c r="Y49" i="7"/>
  <c r="X49" i="7"/>
  <c r="X106" i="7" s="1"/>
  <c r="W49" i="7"/>
  <c r="W106" i="7" s="1"/>
  <c r="V49" i="7"/>
  <c r="V106" i="7" s="1"/>
  <c r="U49" i="7"/>
  <c r="T49" i="7"/>
  <c r="S49" i="7"/>
  <c r="R49" i="7"/>
  <c r="Q49" i="7"/>
  <c r="P49" i="7"/>
  <c r="P106" i="7" s="1"/>
  <c r="O49" i="7"/>
  <c r="N49" i="7"/>
  <c r="N106" i="7" s="1"/>
  <c r="M49" i="7"/>
  <c r="L49" i="7"/>
  <c r="K49" i="7"/>
  <c r="J49" i="7"/>
  <c r="I49" i="7"/>
  <c r="I106" i="7" s="1"/>
  <c r="H49" i="7"/>
  <c r="G49" i="7"/>
  <c r="F49" i="7"/>
  <c r="E49" i="7"/>
  <c r="D49" i="7"/>
  <c r="B49" i="7"/>
  <c r="H106" i="7" s="1"/>
  <c r="AC48" i="7"/>
  <c r="AC105" i="7" s="1"/>
  <c r="AB48" i="7"/>
  <c r="AB105" i="7" s="1"/>
  <c r="AA48" i="7"/>
  <c r="AA105" i="7" s="1"/>
  <c r="Z48" i="7"/>
  <c r="Z105" i="7" s="1"/>
  <c r="Y48" i="7"/>
  <c r="X48" i="7"/>
  <c r="W48" i="7"/>
  <c r="V48" i="7"/>
  <c r="U48" i="7"/>
  <c r="U105" i="7" s="1"/>
  <c r="T48" i="7"/>
  <c r="S48" i="7"/>
  <c r="S105" i="7" s="1"/>
  <c r="R48" i="7"/>
  <c r="R105" i="7" s="1"/>
  <c r="Q48" i="7"/>
  <c r="P48" i="7"/>
  <c r="O48" i="7"/>
  <c r="N48" i="7"/>
  <c r="N105" i="7" s="1"/>
  <c r="M48" i="7"/>
  <c r="L48" i="7"/>
  <c r="K48" i="7"/>
  <c r="J48" i="7"/>
  <c r="I48" i="7"/>
  <c r="H48" i="7"/>
  <c r="H105" i="7" s="1"/>
  <c r="G48" i="7"/>
  <c r="G105" i="7" s="1"/>
  <c r="F48" i="7"/>
  <c r="F105" i="7" s="1"/>
  <c r="E48" i="7"/>
  <c r="E105" i="7" s="1"/>
  <c r="D48" i="7"/>
  <c r="B48" i="7"/>
  <c r="J105" i="7" s="1"/>
  <c r="AC47" i="7"/>
  <c r="AB47" i="7"/>
  <c r="AB104" i="7" s="1"/>
  <c r="AA47" i="7"/>
  <c r="AA104" i="7" s="1"/>
  <c r="Z47" i="7"/>
  <c r="Z104" i="7" s="1"/>
  <c r="Y47" i="7"/>
  <c r="Y104" i="7" s="1"/>
  <c r="X47" i="7"/>
  <c r="X104" i="7" s="1"/>
  <c r="W47" i="7"/>
  <c r="W104" i="7" s="1"/>
  <c r="V47" i="7"/>
  <c r="V104" i="7" s="1"/>
  <c r="U47" i="7"/>
  <c r="U104" i="7" s="1"/>
  <c r="T47" i="7"/>
  <c r="S47" i="7"/>
  <c r="S104" i="7" s="1"/>
  <c r="R47" i="7"/>
  <c r="Q47" i="7"/>
  <c r="P47" i="7"/>
  <c r="O47" i="7"/>
  <c r="N47" i="7"/>
  <c r="M47" i="7"/>
  <c r="M104" i="7" s="1"/>
  <c r="L47" i="7"/>
  <c r="L104" i="7" s="1"/>
  <c r="K47" i="7"/>
  <c r="K104" i="7" s="1"/>
  <c r="J47" i="7"/>
  <c r="J104" i="7" s="1"/>
  <c r="I47" i="7"/>
  <c r="H47" i="7"/>
  <c r="H104" i="7" s="1"/>
  <c r="G47" i="7"/>
  <c r="F47" i="7"/>
  <c r="F104" i="7" s="1"/>
  <c r="E47" i="7"/>
  <c r="E104" i="7" s="1"/>
  <c r="D47" i="7"/>
  <c r="D104" i="7" s="1"/>
  <c r="B47" i="7"/>
  <c r="AC46" i="7"/>
  <c r="AC103" i="7" s="1"/>
  <c r="AB46" i="7"/>
  <c r="AB103" i="7" s="1"/>
  <c r="AA46" i="7"/>
  <c r="Z46" i="7"/>
  <c r="Y46" i="7"/>
  <c r="X46" i="7"/>
  <c r="X103" i="7" s="1"/>
  <c r="W46" i="7"/>
  <c r="V46" i="7"/>
  <c r="U46" i="7"/>
  <c r="T46" i="7"/>
  <c r="S46" i="7"/>
  <c r="R46" i="7"/>
  <c r="R103" i="7" s="1"/>
  <c r="Q46" i="7"/>
  <c r="Q103" i="7" s="1"/>
  <c r="P46" i="7"/>
  <c r="O46" i="7"/>
  <c r="O103" i="7" s="1"/>
  <c r="N46" i="7"/>
  <c r="M46" i="7"/>
  <c r="M103" i="7" s="1"/>
  <c r="L46" i="7"/>
  <c r="L103" i="7" s="1"/>
  <c r="K46" i="7"/>
  <c r="J46" i="7"/>
  <c r="I46" i="7"/>
  <c r="I103" i="7" s="1"/>
  <c r="H46" i="7"/>
  <c r="H103" i="7" s="1"/>
  <c r="G46" i="7"/>
  <c r="G103" i="7" s="1"/>
  <c r="F46" i="7"/>
  <c r="F103" i="7" s="1"/>
  <c r="E46" i="7"/>
  <c r="E103" i="7" s="1"/>
  <c r="D46" i="7"/>
  <c r="B46" i="7"/>
  <c r="AC45" i="7"/>
  <c r="AC102" i="7" s="1"/>
  <c r="AB45" i="7"/>
  <c r="AA45" i="7"/>
  <c r="Z45" i="7"/>
  <c r="Y45" i="7"/>
  <c r="X45" i="7"/>
  <c r="W45" i="7"/>
  <c r="W102" i="7" s="1"/>
  <c r="V45" i="7"/>
  <c r="V102" i="7" s="1"/>
  <c r="U45" i="7"/>
  <c r="U102" i="7" s="1"/>
  <c r="T45" i="7"/>
  <c r="T102" i="7" s="1"/>
  <c r="S45" i="7"/>
  <c r="R45" i="7"/>
  <c r="Q45" i="7"/>
  <c r="P45" i="7"/>
  <c r="P102" i="7" s="1"/>
  <c r="O45" i="7"/>
  <c r="O102" i="7" s="1"/>
  <c r="N45" i="7"/>
  <c r="M45" i="7"/>
  <c r="M102" i="7" s="1"/>
  <c r="L45" i="7"/>
  <c r="L102" i="7" s="1"/>
  <c r="K45" i="7"/>
  <c r="J45" i="7"/>
  <c r="I45" i="7"/>
  <c r="I102" i="7" s="1"/>
  <c r="H45" i="7"/>
  <c r="G45" i="7"/>
  <c r="G102" i="7" s="1"/>
  <c r="F45" i="7"/>
  <c r="F102" i="7" s="1"/>
  <c r="E45" i="7"/>
  <c r="D45" i="7"/>
  <c r="B45" i="7"/>
  <c r="AC44" i="7"/>
  <c r="AB44" i="7"/>
  <c r="AA44" i="7"/>
  <c r="Z44" i="7"/>
  <c r="Y44" i="7"/>
  <c r="Y101" i="7" s="1"/>
  <c r="X44" i="7"/>
  <c r="W44" i="7"/>
  <c r="V44" i="7"/>
  <c r="U44" i="7"/>
  <c r="T44" i="7"/>
  <c r="S44" i="7"/>
  <c r="S101" i="7" s="1"/>
  <c r="R44" i="7"/>
  <c r="Q44" i="7"/>
  <c r="Q101" i="7" s="1"/>
  <c r="P44" i="7"/>
  <c r="P101" i="7" s="1"/>
  <c r="O44" i="7"/>
  <c r="N44" i="7"/>
  <c r="M44" i="7"/>
  <c r="L44" i="7"/>
  <c r="K44" i="7"/>
  <c r="K101" i="7" s="1"/>
  <c r="J44" i="7"/>
  <c r="I44" i="7"/>
  <c r="H44" i="7"/>
  <c r="G44" i="7"/>
  <c r="F44" i="7"/>
  <c r="E44" i="7"/>
  <c r="E101" i="7" s="1"/>
  <c r="D44" i="7"/>
  <c r="D101" i="7" s="1"/>
  <c r="B44" i="7"/>
  <c r="I101" i="7" s="1"/>
  <c r="AC43" i="7"/>
  <c r="AC100" i="7" s="1"/>
  <c r="AB43" i="7"/>
  <c r="AA43" i="7"/>
  <c r="Z43" i="7"/>
  <c r="Y43" i="7"/>
  <c r="X43" i="7"/>
  <c r="X100" i="7" s="1"/>
  <c r="W43" i="7"/>
  <c r="V43" i="7"/>
  <c r="V100" i="7" s="1"/>
  <c r="U43" i="7"/>
  <c r="U100" i="7" s="1"/>
  <c r="T43" i="7"/>
  <c r="S43" i="7"/>
  <c r="R43" i="7"/>
  <c r="Q43" i="7"/>
  <c r="Q100" i="7" s="1"/>
  <c r="P43" i="7"/>
  <c r="O43" i="7"/>
  <c r="N43" i="7"/>
  <c r="M43" i="7"/>
  <c r="L43" i="7"/>
  <c r="K43" i="7"/>
  <c r="J43" i="7"/>
  <c r="J100" i="7" s="1"/>
  <c r="I43" i="7"/>
  <c r="I100" i="7" s="1"/>
  <c r="H43" i="7"/>
  <c r="H100" i="7" s="1"/>
  <c r="G43" i="7"/>
  <c r="F43" i="7"/>
  <c r="F100" i="7" s="1"/>
  <c r="E43" i="7"/>
  <c r="D43" i="7"/>
  <c r="B43" i="7"/>
  <c r="AA100" i="7" s="1"/>
  <c r="AC42" i="7"/>
  <c r="AC99" i="7" s="1"/>
  <c r="AB42" i="7"/>
  <c r="AB99" i="7" s="1"/>
  <c r="AA42" i="7"/>
  <c r="AA99" i="7" s="1"/>
  <c r="Z42" i="7"/>
  <c r="Z99" i="7" s="1"/>
  <c r="Y42" i="7"/>
  <c r="Y99" i="7" s="1"/>
  <c r="X42" i="7"/>
  <c r="X99" i="7" s="1"/>
  <c r="W42" i="7"/>
  <c r="W99" i="7" s="1"/>
  <c r="V42" i="7"/>
  <c r="V99" i="7" s="1"/>
  <c r="U42" i="7"/>
  <c r="U99" i="7" s="1"/>
  <c r="T42" i="7"/>
  <c r="T99" i="7" s="1"/>
  <c r="S42" i="7"/>
  <c r="R42" i="7"/>
  <c r="R99" i="7" s="1"/>
  <c r="Q42" i="7"/>
  <c r="P42" i="7"/>
  <c r="O42" i="7"/>
  <c r="N42" i="7"/>
  <c r="N99" i="7" s="1"/>
  <c r="M42" i="7"/>
  <c r="M99" i="7" s="1"/>
  <c r="L42" i="7"/>
  <c r="K42" i="7"/>
  <c r="K99" i="7" s="1"/>
  <c r="J42" i="7"/>
  <c r="I42" i="7"/>
  <c r="I99" i="7" s="1"/>
  <c r="H42" i="7"/>
  <c r="G42" i="7"/>
  <c r="G99" i="7" s="1"/>
  <c r="F42" i="7"/>
  <c r="F99" i="7" s="1"/>
  <c r="E42" i="7"/>
  <c r="E99" i="7" s="1"/>
  <c r="D42" i="7"/>
  <c r="D99" i="7" s="1"/>
  <c r="B42" i="7"/>
  <c r="AC41" i="7"/>
  <c r="AC98" i="7" s="1"/>
  <c r="AB41" i="7"/>
  <c r="AB98" i="7" s="1"/>
  <c r="AA41" i="7"/>
  <c r="AA98" i="7" s="1"/>
  <c r="Z41" i="7"/>
  <c r="Y41" i="7"/>
  <c r="X41" i="7"/>
  <c r="X98" i="7" s="1"/>
  <c r="W41" i="7"/>
  <c r="W98" i="7" s="1"/>
  <c r="V41" i="7"/>
  <c r="V98" i="7" s="1"/>
  <c r="U41" i="7"/>
  <c r="T41" i="7"/>
  <c r="S41" i="7"/>
  <c r="S98" i="7" s="1"/>
  <c r="R41" i="7"/>
  <c r="R98" i="7" s="1"/>
  <c r="Q41" i="7"/>
  <c r="P41" i="7"/>
  <c r="P98" i="7" s="1"/>
  <c r="O41" i="7"/>
  <c r="N41" i="7"/>
  <c r="N98" i="7" s="1"/>
  <c r="M41" i="7"/>
  <c r="M98" i="7" s="1"/>
  <c r="L41" i="7"/>
  <c r="L98" i="7" s="1"/>
  <c r="K41" i="7"/>
  <c r="K98" i="7" s="1"/>
  <c r="J41" i="7"/>
  <c r="J98" i="7" s="1"/>
  <c r="I41" i="7"/>
  <c r="I98" i="7" s="1"/>
  <c r="H41" i="7"/>
  <c r="H98" i="7" s="1"/>
  <c r="G41" i="7"/>
  <c r="G98" i="7" s="1"/>
  <c r="F41" i="7"/>
  <c r="F98" i="7" s="1"/>
  <c r="E41" i="7"/>
  <c r="E98" i="7" s="1"/>
  <c r="D41" i="7"/>
  <c r="D98" i="7" s="1"/>
  <c r="B41" i="7"/>
  <c r="AC40" i="7"/>
  <c r="AB40" i="7"/>
  <c r="AA40" i="7"/>
  <c r="Z40" i="7"/>
  <c r="Z97" i="7" s="1"/>
  <c r="Y40" i="7"/>
  <c r="X40" i="7"/>
  <c r="X97" i="7" s="1"/>
  <c r="W40" i="7"/>
  <c r="W97" i="7" s="1"/>
  <c r="V40" i="7"/>
  <c r="U40" i="7"/>
  <c r="T40" i="7"/>
  <c r="S40" i="7"/>
  <c r="R40" i="7"/>
  <c r="Q40" i="7"/>
  <c r="Q97" i="7" s="1"/>
  <c r="P40" i="7"/>
  <c r="O40" i="7"/>
  <c r="N40" i="7"/>
  <c r="N97" i="7" s="1"/>
  <c r="M40" i="7"/>
  <c r="L40" i="7"/>
  <c r="K40" i="7"/>
  <c r="K97" i="7" s="1"/>
  <c r="J40" i="7"/>
  <c r="J97" i="7" s="1"/>
  <c r="I40" i="7"/>
  <c r="I97" i="7" s="1"/>
  <c r="H40" i="7"/>
  <c r="G40" i="7"/>
  <c r="F40" i="7"/>
  <c r="E40" i="7"/>
  <c r="D40" i="7"/>
  <c r="B40" i="7"/>
  <c r="T97" i="7" s="1"/>
  <c r="AC39" i="7"/>
  <c r="AC96" i="7" s="1"/>
  <c r="AB39" i="7"/>
  <c r="AB96" i="7" s="1"/>
  <c r="AA39" i="7"/>
  <c r="Z39" i="7"/>
  <c r="Z96" i="7" s="1"/>
  <c r="Y39" i="7"/>
  <c r="X39" i="7"/>
  <c r="X96" i="7" s="1"/>
  <c r="W39" i="7"/>
  <c r="W96" i="7" s="1"/>
  <c r="V39" i="7"/>
  <c r="V96" i="7" s="1"/>
  <c r="U39" i="7"/>
  <c r="T39" i="7"/>
  <c r="T96" i="7" s="1"/>
  <c r="S39" i="7"/>
  <c r="S96" i="7" s="1"/>
  <c r="R39" i="7"/>
  <c r="R96" i="7" s="1"/>
  <c r="Q39" i="7"/>
  <c r="Q96" i="7" s="1"/>
  <c r="P39" i="7"/>
  <c r="P96" i="7" s="1"/>
  <c r="O39" i="7"/>
  <c r="O96" i="7" s="1"/>
  <c r="N39" i="7"/>
  <c r="M39" i="7"/>
  <c r="M96" i="7" s="1"/>
  <c r="L39" i="7"/>
  <c r="K39" i="7"/>
  <c r="J39" i="7"/>
  <c r="I39" i="7"/>
  <c r="I96" i="7" s="1"/>
  <c r="H39" i="7"/>
  <c r="G39" i="7"/>
  <c r="F39" i="7"/>
  <c r="F96" i="7" s="1"/>
  <c r="E39" i="7"/>
  <c r="D39" i="7"/>
  <c r="D96" i="7" s="1"/>
  <c r="B39" i="7"/>
  <c r="AC38" i="7"/>
  <c r="AB38" i="7"/>
  <c r="AA38" i="7"/>
  <c r="Z38" i="7"/>
  <c r="Y38" i="7"/>
  <c r="X38" i="7"/>
  <c r="X95" i="7" s="1"/>
  <c r="W38" i="7"/>
  <c r="V38" i="7"/>
  <c r="U38" i="7"/>
  <c r="U95" i="7" s="1"/>
  <c r="T38" i="7"/>
  <c r="T95" i="7" s="1"/>
  <c r="S38" i="7"/>
  <c r="R38" i="7"/>
  <c r="Q38" i="7"/>
  <c r="P38" i="7"/>
  <c r="O38" i="7"/>
  <c r="N38" i="7"/>
  <c r="M38" i="7"/>
  <c r="L38" i="7"/>
  <c r="K38" i="7"/>
  <c r="J38" i="7"/>
  <c r="I38" i="7"/>
  <c r="H38" i="7"/>
  <c r="G38" i="7"/>
  <c r="F38" i="7"/>
  <c r="E38" i="7"/>
  <c r="D38" i="7"/>
  <c r="B38" i="7"/>
  <c r="S95" i="7" s="1"/>
  <c r="AC37" i="7"/>
  <c r="AB37" i="7"/>
  <c r="AA37" i="7"/>
  <c r="Z37" i="7"/>
  <c r="Y37" i="7"/>
  <c r="X37" i="7"/>
  <c r="W37" i="7"/>
  <c r="V37" i="7"/>
  <c r="U37" i="7"/>
  <c r="T37" i="7"/>
  <c r="S37" i="7"/>
  <c r="R37" i="7"/>
  <c r="Q37" i="7"/>
  <c r="P37" i="7"/>
  <c r="O37" i="7"/>
  <c r="N37" i="7"/>
  <c r="M37" i="7"/>
  <c r="L37" i="7"/>
  <c r="K37" i="7"/>
  <c r="J37" i="7"/>
  <c r="I37" i="7"/>
  <c r="H37" i="7"/>
  <c r="G37" i="7"/>
  <c r="F37" i="7"/>
  <c r="E37" i="7"/>
  <c r="D37" i="7"/>
  <c r="B37" i="7"/>
  <c r="M94" i="7" s="1"/>
  <c r="AC36" i="7"/>
  <c r="AC93" i="7" s="1"/>
  <c r="AB36" i="7"/>
  <c r="AA36" i="7"/>
  <c r="AA93" i="7" s="1"/>
  <c r="Z36" i="7"/>
  <c r="Z93" i="7" s="1"/>
  <c r="Y36" i="7"/>
  <c r="X36" i="7"/>
  <c r="X93" i="7" s="1"/>
  <c r="W36" i="7"/>
  <c r="W93" i="7" s="1"/>
  <c r="V36" i="7"/>
  <c r="V93" i="7" s="1"/>
  <c r="U36" i="7"/>
  <c r="U93" i="7" s="1"/>
  <c r="T36" i="7"/>
  <c r="T93" i="7" s="1"/>
  <c r="S36" i="7"/>
  <c r="S93" i="7" s="1"/>
  <c r="R36" i="7"/>
  <c r="Q36" i="7"/>
  <c r="P36" i="7"/>
  <c r="P93" i="7" s="1"/>
  <c r="O36" i="7"/>
  <c r="O93" i="7" s="1"/>
  <c r="N36" i="7"/>
  <c r="N93" i="7" s="1"/>
  <c r="M36" i="7"/>
  <c r="M93" i="7" s="1"/>
  <c r="L36" i="7"/>
  <c r="L93" i="7" s="1"/>
  <c r="K36" i="7"/>
  <c r="K93" i="7" s="1"/>
  <c r="J36" i="7"/>
  <c r="J93" i="7" s="1"/>
  <c r="I36" i="7"/>
  <c r="H36" i="7"/>
  <c r="H93" i="7" s="1"/>
  <c r="G36" i="7"/>
  <c r="F36" i="7"/>
  <c r="F93" i="7" s="1"/>
  <c r="E36" i="7"/>
  <c r="D36" i="7"/>
  <c r="D93" i="7" s="1"/>
  <c r="B36" i="7"/>
  <c r="AC35" i="7"/>
  <c r="AC92" i="7" s="1"/>
  <c r="AC96" i="8" s="1"/>
  <c r="AB35" i="7"/>
  <c r="AB92" i="7" s="1"/>
  <c r="AB96" i="8" s="1"/>
  <c r="AA35" i="7"/>
  <c r="AA92" i="7" s="1"/>
  <c r="AA96" i="8" s="1"/>
  <c r="Z35" i="7"/>
  <c r="Z92" i="7" s="1"/>
  <c r="Z96" i="8" s="1"/>
  <c r="Y35" i="7"/>
  <c r="Y92" i="7" s="1"/>
  <c r="Y96" i="8" s="1"/>
  <c r="X35" i="7"/>
  <c r="X92" i="7" s="1"/>
  <c r="X96" i="8" s="1"/>
  <c r="W35" i="7"/>
  <c r="W92" i="7" s="1"/>
  <c r="W96" i="8" s="1"/>
  <c r="V35" i="7"/>
  <c r="V92" i="7" s="1"/>
  <c r="V96" i="8" s="1"/>
  <c r="U35" i="7"/>
  <c r="U92" i="7" s="1"/>
  <c r="U96" i="8" s="1"/>
  <c r="T35" i="7"/>
  <c r="T92" i="7" s="1"/>
  <c r="T96" i="8" s="1"/>
  <c r="S35" i="7"/>
  <c r="S92" i="7" s="1"/>
  <c r="S96" i="8" s="1"/>
  <c r="R35" i="7"/>
  <c r="R92" i="7" s="1"/>
  <c r="R96" i="8" s="1"/>
  <c r="Q35" i="7"/>
  <c r="Q92" i="7" s="1"/>
  <c r="Q96" i="8" s="1"/>
  <c r="P35" i="7"/>
  <c r="O35" i="7"/>
  <c r="O92" i="7" s="1"/>
  <c r="O96" i="8" s="1"/>
  <c r="N35" i="7"/>
  <c r="N92" i="7" s="1"/>
  <c r="N96" i="8" s="1"/>
  <c r="M35" i="7"/>
  <c r="M92" i="7" s="1"/>
  <c r="M96" i="8" s="1"/>
  <c r="L35" i="7"/>
  <c r="L92" i="7" s="1"/>
  <c r="L96" i="8" s="1"/>
  <c r="K35" i="7"/>
  <c r="K92" i="7" s="1"/>
  <c r="K96" i="8" s="1"/>
  <c r="J35" i="7"/>
  <c r="J92" i="7" s="1"/>
  <c r="J96" i="8" s="1"/>
  <c r="I35" i="7"/>
  <c r="I92" i="7" s="1"/>
  <c r="I96" i="8" s="1"/>
  <c r="H35" i="7"/>
  <c r="H92" i="7" s="1"/>
  <c r="H96" i="8" s="1"/>
  <c r="G35" i="7"/>
  <c r="G92" i="7" s="1"/>
  <c r="G96" i="8" s="1"/>
  <c r="F35" i="7"/>
  <c r="F92" i="7" s="1"/>
  <c r="F96" i="8" s="1"/>
  <c r="E35" i="7"/>
  <c r="E92" i="7" s="1"/>
  <c r="E96" i="8" s="1"/>
  <c r="D35" i="7"/>
  <c r="D92" i="7" s="1"/>
  <c r="D96" i="8" s="1"/>
  <c r="D152" i="8" s="1"/>
  <c r="B35" i="7"/>
  <c r="AC34" i="7"/>
  <c r="AB34" i="7"/>
  <c r="AA34" i="7"/>
  <c r="Z34" i="7"/>
  <c r="Y34" i="7"/>
  <c r="X34" i="7"/>
  <c r="X91" i="7" s="1"/>
  <c r="W34" i="7"/>
  <c r="W91" i="7" s="1"/>
  <c r="V34" i="7"/>
  <c r="V91" i="7" s="1"/>
  <c r="U34" i="7"/>
  <c r="T34" i="7"/>
  <c r="S34" i="7"/>
  <c r="R34" i="7"/>
  <c r="R91" i="7" s="1"/>
  <c r="Q34" i="7"/>
  <c r="P34" i="7"/>
  <c r="O34" i="7"/>
  <c r="N34" i="7"/>
  <c r="M34" i="7"/>
  <c r="L34" i="7"/>
  <c r="K34" i="7"/>
  <c r="J34" i="7"/>
  <c r="I34" i="7"/>
  <c r="H34" i="7"/>
  <c r="G34" i="7"/>
  <c r="F34" i="7"/>
  <c r="E34" i="7"/>
  <c r="D34" i="7"/>
  <c r="B34" i="7"/>
  <c r="AC33" i="7"/>
  <c r="AC90" i="7" s="1"/>
  <c r="AB33" i="7"/>
  <c r="AB90" i="7" s="1"/>
  <c r="AA33" i="7"/>
  <c r="AA90" i="7" s="1"/>
  <c r="Z33" i="7"/>
  <c r="Z90" i="7" s="1"/>
  <c r="Y33" i="7"/>
  <c r="X33" i="7"/>
  <c r="W33" i="7"/>
  <c r="W90" i="7" s="1"/>
  <c r="V33" i="7"/>
  <c r="U33" i="7"/>
  <c r="T33" i="7"/>
  <c r="S33" i="7"/>
  <c r="R33" i="7"/>
  <c r="Q33" i="7"/>
  <c r="Q90" i="7" s="1"/>
  <c r="P33" i="7"/>
  <c r="P90" i="7" s="1"/>
  <c r="O33" i="7"/>
  <c r="O90" i="7" s="1"/>
  <c r="N33" i="7"/>
  <c r="N90" i="7" s="1"/>
  <c r="M33" i="7"/>
  <c r="L33" i="7"/>
  <c r="K33" i="7"/>
  <c r="K90" i="7" s="1"/>
  <c r="J33" i="7"/>
  <c r="J90" i="7" s="1"/>
  <c r="I33" i="7"/>
  <c r="I90" i="7" s="1"/>
  <c r="H33" i="7"/>
  <c r="H90" i="7" s="1"/>
  <c r="G33" i="7"/>
  <c r="G90" i="7" s="1"/>
  <c r="F33" i="7"/>
  <c r="F90" i="7" s="1"/>
  <c r="E33" i="7"/>
  <c r="E90" i="7" s="1"/>
  <c r="D33" i="7"/>
  <c r="D90" i="7" s="1"/>
  <c r="B33" i="7"/>
  <c r="AC32" i="7"/>
  <c r="AC89" i="7" s="1"/>
  <c r="AB32" i="7"/>
  <c r="AB89" i="7" s="1"/>
  <c r="AA32" i="7"/>
  <c r="Z32" i="7"/>
  <c r="Y32" i="7"/>
  <c r="X32" i="7"/>
  <c r="X89" i="7" s="1"/>
  <c r="W32" i="7"/>
  <c r="V32" i="7"/>
  <c r="V89" i="7" s="1"/>
  <c r="U32" i="7"/>
  <c r="U89" i="7" s="1"/>
  <c r="T32" i="7"/>
  <c r="T89" i="7" s="1"/>
  <c r="S32" i="7"/>
  <c r="S89" i="7" s="1"/>
  <c r="R32" i="7"/>
  <c r="Q32" i="7"/>
  <c r="Q89" i="7" s="1"/>
  <c r="P32" i="7"/>
  <c r="P89" i="7" s="1"/>
  <c r="O32" i="7"/>
  <c r="O89" i="7" s="1"/>
  <c r="N32" i="7"/>
  <c r="N89" i="7" s="1"/>
  <c r="M32" i="7"/>
  <c r="M89" i="7" s="1"/>
  <c r="L32" i="7"/>
  <c r="L89" i="7" s="1"/>
  <c r="K32" i="7"/>
  <c r="K89" i="7" s="1"/>
  <c r="J32" i="7"/>
  <c r="J89" i="7" s="1"/>
  <c r="I32" i="7"/>
  <c r="I89" i="7" s="1"/>
  <c r="H32" i="7"/>
  <c r="H89" i="7" s="1"/>
  <c r="G32" i="7"/>
  <c r="F32" i="7"/>
  <c r="F89" i="7" s="1"/>
  <c r="E32" i="7"/>
  <c r="D32" i="7"/>
  <c r="B32" i="7"/>
  <c r="AC31" i="7"/>
  <c r="AC88" i="7" s="1"/>
  <c r="AB31" i="7"/>
  <c r="AB88" i="7" s="1"/>
  <c r="AB92" i="8" s="1"/>
  <c r="AA31" i="7"/>
  <c r="Z31" i="7"/>
  <c r="Y31" i="7"/>
  <c r="Y88" i="7" s="1"/>
  <c r="Y92" i="8" s="1"/>
  <c r="X31" i="7"/>
  <c r="X88" i="7" s="1"/>
  <c r="X92" i="8" s="1"/>
  <c r="W31" i="7"/>
  <c r="W88" i="7" s="1"/>
  <c r="W92" i="8" s="1"/>
  <c r="V31" i="7"/>
  <c r="V88" i="7" s="1"/>
  <c r="V92" i="8" s="1"/>
  <c r="U31" i="7"/>
  <c r="U88" i="7" s="1"/>
  <c r="U92" i="8" s="1"/>
  <c r="T31" i="7"/>
  <c r="T88" i="7" s="1"/>
  <c r="T92" i="8" s="1"/>
  <c r="S31" i="7"/>
  <c r="S88" i="7" s="1"/>
  <c r="S92" i="8" s="1"/>
  <c r="R31" i="7"/>
  <c r="R88" i="7" s="1"/>
  <c r="R92" i="8" s="1"/>
  <c r="Q31" i="7"/>
  <c r="Q88" i="7" s="1"/>
  <c r="Q92" i="8" s="1"/>
  <c r="P31" i="7"/>
  <c r="P88" i="7" s="1"/>
  <c r="P92" i="8" s="1"/>
  <c r="O31" i="7"/>
  <c r="O88" i="7" s="1"/>
  <c r="O92" i="8" s="1"/>
  <c r="N31" i="7"/>
  <c r="N88" i="7" s="1"/>
  <c r="N92" i="8" s="1"/>
  <c r="M31" i="7"/>
  <c r="M88" i="7" s="1"/>
  <c r="M92" i="8" s="1"/>
  <c r="L31" i="7"/>
  <c r="K31" i="7"/>
  <c r="K88" i="7" s="1"/>
  <c r="K92" i="8" s="1"/>
  <c r="J31" i="7"/>
  <c r="J88" i="7" s="1"/>
  <c r="J92" i="8" s="1"/>
  <c r="I31" i="7"/>
  <c r="H31" i="7"/>
  <c r="H88" i="7" s="1"/>
  <c r="H92" i="8" s="1"/>
  <c r="G31" i="7"/>
  <c r="G88" i="7" s="1"/>
  <c r="G92" i="8" s="1"/>
  <c r="F31" i="7"/>
  <c r="F88" i="7" s="1"/>
  <c r="E31" i="7"/>
  <c r="E88" i="7" s="1"/>
  <c r="E92" i="8" s="1"/>
  <c r="D31" i="7"/>
  <c r="D88" i="7" s="1"/>
  <c r="D92" i="8" s="1"/>
  <c r="D148" i="8" s="1"/>
  <c r="B31" i="7"/>
  <c r="AC30" i="7"/>
  <c r="AC87" i="7" s="1"/>
  <c r="AC91" i="8" s="1"/>
  <c r="AB30" i="7"/>
  <c r="AB87" i="7" s="1"/>
  <c r="AB91" i="8" s="1"/>
  <c r="AA30" i="7"/>
  <c r="Z30" i="7"/>
  <c r="Y30" i="7"/>
  <c r="X30" i="7"/>
  <c r="X87" i="7" s="1"/>
  <c r="X91" i="8" s="1"/>
  <c r="W30" i="7"/>
  <c r="W87" i="7" s="1"/>
  <c r="W91" i="8" s="1"/>
  <c r="V30" i="7"/>
  <c r="V87" i="7" s="1"/>
  <c r="V91" i="8" s="1"/>
  <c r="U30" i="7"/>
  <c r="U87" i="7" s="1"/>
  <c r="U91" i="8" s="1"/>
  <c r="T30" i="7"/>
  <c r="T87" i="7" s="1"/>
  <c r="T91" i="8" s="1"/>
  <c r="S30" i="7"/>
  <c r="S87" i="7" s="1"/>
  <c r="S91" i="8" s="1"/>
  <c r="R30" i="7"/>
  <c r="R87" i="7" s="1"/>
  <c r="R91" i="8" s="1"/>
  <c r="Q30" i="7"/>
  <c r="Q87" i="7" s="1"/>
  <c r="Q91" i="8" s="1"/>
  <c r="P30" i="7"/>
  <c r="P87" i="7" s="1"/>
  <c r="P91" i="8" s="1"/>
  <c r="O30" i="7"/>
  <c r="O87" i="7" s="1"/>
  <c r="O91" i="8" s="1"/>
  <c r="N30" i="7"/>
  <c r="N87" i="7" s="1"/>
  <c r="N91" i="8" s="1"/>
  <c r="M30" i="7"/>
  <c r="M87" i="7" s="1"/>
  <c r="M91" i="8" s="1"/>
  <c r="L30" i="7"/>
  <c r="L87" i="7" s="1"/>
  <c r="L91" i="8" s="1"/>
  <c r="K30" i="7"/>
  <c r="J30" i="7"/>
  <c r="J87" i="7" s="1"/>
  <c r="J91" i="8" s="1"/>
  <c r="I30" i="7"/>
  <c r="I87" i="7" s="1"/>
  <c r="I91" i="8" s="1"/>
  <c r="H30" i="7"/>
  <c r="H87" i="7" s="1"/>
  <c r="H91" i="8" s="1"/>
  <c r="G30" i="7"/>
  <c r="G87" i="7" s="1"/>
  <c r="G91" i="8" s="1"/>
  <c r="F30" i="7"/>
  <c r="F87" i="7" s="1"/>
  <c r="F91" i="8" s="1"/>
  <c r="E30" i="7"/>
  <c r="E87" i="7" s="1"/>
  <c r="E91" i="8" s="1"/>
  <c r="D30" i="7"/>
  <c r="D87" i="7" s="1"/>
  <c r="B30" i="7"/>
  <c r="AC29" i="7"/>
  <c r="AB29" i="7"/>
  <c r="AA29" i="7"/>
  <c r="Z29" i="7"/>
  <c r="Z86" i="7" s="1"/>
  <c r="Y29" i="7"/>
  <c r="X29" i="7"/>
  <c r="W29" i="7"/>
  <c r="V29" i="7"/>
  <c r="U29" i="7"/>
  <c r="U86" i="7" s="1"/>
  <c r="T29" i="7"/>
  <c r="S29" i="7"/>
  <c r="S86" i="7" s="1"/>
  <c r="R29" i="7"/>
  <c r="Q29" i="7"/>
  <c r="P29" i="7"/>
  <c r="O29" i="7"/>
  <c r="N29" i="7"/>
  <c r="M29" i="7"/>
  <c r="L29" i="7"/>
  <c r="K29" i="7"/>
  <c r="J29" i="7"/>
  <c r="I29" i="7"/>
  <c r="H29" i="7"/>
  <c r="G29" i="7"/>
  <c r="F29" i="7"/>
  <c r="E29" i="7"/>
  <c r="D29" i="7"/>
  <c r="B29" i="7"/>
  <c r="AC28" i="7"/>
  <c r="AC85" i="7" s="1"/>
  <c r="AC89" i="8" s="1"/>
  <c r="AB28" i="7"/>
  <c r="AB85" i="7" s="1"/>
  <c r="AB89" i="8" s="1"/>
  <c r="AA28" i="7"/>
  <c r="AA85" i="7" s="1"/>
  <c r="AA89" i="8" s="1"/>
  <c r="Z28" i="7"/>
  <c r="Z85" i="7" s="1"/>
  <c r="Z89" i="8" s="1"/>
  <c r="Y28" i="7"/>
  <c r="X28" i="7"/>
  <c r="X85" i="7" s="1"/>
  <c r="X89" i="8" s="1"/>
  <c r="W28" i="7"/>
  <c r="W85" i="7" s="1"/>
  <c r="W89" i="8" s="1"/>
  <c r="V28" i="7"/>
  <c r="V85" i="7" s="1"/>
  <c r="V89" i="8" s="1"/>
  <c r="U28" i="7"/>
  <c r="U85" i="7" s="1"/>
  <c r="U89" i="8" s="1"/>
  <c r="T28" i="7"/>
  <c r="T85" i="7" s="1"/>
  <c r="T89" i="8" s="1"/>
  <c r="S28" i="7"/>
  <c r="S85" i="7" s="1"/>
  <c r="S89" i="8" s="1"/>
  <c r="R28" i="7"/>
  <c r="R85" i="7" s="1"/>
  <c r="R89" i="8" s="1"/>
  <c r="Q28" i="7"/>
  <c r="Q85" i="7" s="1"/>
  <c r="Q89" i="8" s="1"/>
  <c r="P28" i="7"/>
  <c r="P85" i="7" s="1"/>
  <c r="P89" i="8" s="1"/>
  <c r="O28" i="7"/>
  <c r="O85" i="7" s="1"/>
  <c r="O89" i="8" s="1"/>
  <c r="N28" i="7"/>
  <c r="N85" i="7" s="1"/>
  <c r="N89" i="8" s="1"/>
  <c r="M28" i="7"/>
  <c r="M85" i="7" s="1"/>
  <c r="M89" i="8" s="1"/>
  <c r="L28" i="7"/>
  <c r="L85" i="7" s="1"/>
  <c r="L89" i="8" s="1"/>
  <c r="K28" i="7"/>
  <c r="K85" i="7" s="1"/>
  <c r="K89" i="8" s="1"/>
  <c r="J28" i="7"/>
  <c r="J85" i="7" s="1"/>
  <c r="J89" i="8" s="1"/>
  <c r="I28" i="7"/>
  <c r="I85" i="7" s="1"/>
  <c r="I89" i="8" s="1"/>
  <c r="H28" i="7"/>
  <c r="H85" i="7" s="1"/>
  <c r="H89" i="8" s="1"/>
  <c r="G28" i="7"/>
  <c r="G85" i="7" s="1"/>
  <c r="G89" i="8" s="1"/>
  <c r="F28" i="7"/>
  <c r="F85" i="7" s="1"/>
  <c r="F89" i="8" s="1"/>
  <c r="E28" i="7"/>
  <c r="E85" i="7" s="1"/>
  <c r="E89" i="8" s="1"/>
  <c r="D28" i="7"/>
  <c r="D85" i="7" s="1"/>
  <c r="D89" i="8" s="1"/>
  <c r="D145" i="8" s="1"/>
  <c r="B28" i="7"/>
  <c r="AC27" i="7"/>
  <c r="AC84" i="7" s="1"/>
  <c r="AB27" i="7"/>
  <c r="AB84" i="7" s="1"/>
  <c r="AB88" i="8" s="1"/>
  <c r="AA27" i="7"/>
  <c r="Z27" i="7"/>
  <c r="Y27" i="7"/>
  <c r="X27" i="7"/>
  <c r="X84" i="7" s="1"/>
  <c r="X88" i="8" s="1"/>
  <c r="W27" i="7"/>
  <c r="W84" i="7" s="1"/>
  <c r="W88" i="8" s="1"/>
  <c r="V27" i="7"/>
  <c r="V84" i="7" s="1"/>
  <c r="V88" i="8" s="1"/>
  <c r="U27" i="7"/>
  <c r="T27" i="7"/>
  <c r="T84" i="7" s="1"/>
  <c r="T88" i="8" s="1"/>
  <c r="S27" i="7"/>
  <c r="S84" i="7" s="1"/>
  <c r="S88" i="8" s="1"/>
  <c r="R27" i="7"/>
  <c r="R84" i="7" s="1"/>
  <c r="R88" i="8" s="1"/>
  <c r="Q27" i="7"/>
  <c r="Q84" i="7" s="1"/>
  <c r="Q88" i="8" s="1"/>
  <c r="P27" i="7"/>
  <c r="P84" i="7" s="1"/>
  <c r="P88" i="8" s="1"/>
  <c r="O27" i="7"/>
  <c r="O84" i="7" s="1"/>
  <c r="O88" i="8" s="1"/>
  <c r="N27" i="7"/>
  <c r="N84" i="7" s="1"/>
  <c r="N88" i="8" s="1"/>
  <c r="M27" i="7"/>
  <c r="M84" i="7" s="1"/>
  <c r="M88" i="8" s="1"/>
  <c r="L27" i="7"/>
  <c r="L84" i="7" s="1"/>
  <c r="L88" i="8" s="1"/>
  <c r="K27" i="7"/>
  <c r="K84" i="7" s="1"/>
  <c r="K88" i="8" s="1"/>
  <c r="J27" i="7"/>
  <c r="I27" i="7"/>
  <c r="I84" i="7" s="1"/>
  <c r="I88" i="8" s="1"/>
  <c r="H27" i="7"/>
  <c r="H84" i="7" s="1"/>
  <c r="H88" i="8" s="1"/>
  <c r="G27" i="7"/>
  <c r="G84" i="7" s="1"/>
  <c r="G88" i="8" s="1"/>
  <c r="F27" i="7"/>
  <c r="F84" i="7" s="1"/>
  <c r="F88" i="8" s="1"/>
  <c r="E27" i="7"/>
  <c r="E84" i="7" s="1"/>
  <c r="E88" i="8" s="1"/>
  <c r="D27" i="7"/>
  <c r="D84" i="7" s="1"/>
  <c r="D88" i="8" s="1"/>
  <c r="D144" i="8" s="1"/>
  <c r="B27" i="7"/>
  <c r="AC26" i="7"/>
  <c r="AC83" i="7" s="1"/>
  <c r="AC87" i="8" s="1"/>
  <c r="AB26" i="7"/>
  <c r="AB83" i="7" s="1"/>
  <c r="AB87" i="8" s="1"/>
  <c r="AA26" i="7"/>
  <c r="AA83" i="7" s="1"/>
  <c r="AA87" i="8" s="1"/>
  <c r="Z26" i="7"/>
  <c r="Z83" i="7" s="1"/>
  <c r="Z87" i="8" s="1"/>
  <c r="Y26" i="7"/>
  <c r="Y83" i="7" s="1"/>
  <c r="Y87" i="8" s="1"/>
  <c r="X26" i="7"/>
  <c r="X83" i="7" s="1"/>
  <c r="X87" i="8" s="1"/>
  <c r="W26" i="7"/>
  <c r="W83" i="7" s="1"/>
  <c r="W87" i="8" s="1"/>
  <c r="V26" i="7"/>
  <c r="V83" i="7" s="1"/>
  <c r="V87" i="8" s="1"/>
  <c r="U26" i="7"/>
  <c r="U83" i="7" s="1"/>
  <c r="U87" i="8" s="1"/>
  <c r="T26" i="7"/>
  <c r="T83" i="7" s="1"/>
  <c r="T87" i="8" s="1"/>
  <c r="S26" i="7"/>
  <c r="S83" i="7" s="1"/>
  <c r="S87" i="8" s="1"/>
  <c r="R26" i="7"/>
  <c r="R83" i="7" s="1"/>
  <c r="R87" i="8" s="1"/>
  <c r="Q26" i="7"/>
  <c r="Q83" i="7" s="1"/>
  <c r="Q87" i="8" s="1"/>
  <c r="P26" i="7"/>
  <c r="O26" i="7"/>
  <c r="O83" i="7" s="1"/>
  <c r="O87" i="8" s="1"/>
  <c r="N26" i="7"/>
  <c r="N83" i="7" s="1"/>
  <c r="N87" i="8" s="1"/>
  <c r="M26" i="7"/>
  <c r="M83" i="7" s="1"/>
  <c r="M87" i="8" s="1"/>
  <c r="L26" i="7"/>
  <c r="L83" i="7" s="1"/>
  <c r="L87" i="8" s="1"/>
  <c r="K26" i="7"/>
  <c r="K83" i="7" s="1"/>
  <c r="K87" i="8" s="1"/>
  <c r="J26" i="7"/>
  <c r="J83" i="7" s="1"/>
  <c r="J87" i="8" s="1"/>
  <c r="I26" i="7"/>
  <c r="I83" i="7" s="1"/>
  <c r="I87" i="8" s="1"/>
  <c r="H26" i="7"/>
  <c r="G26" i="7"/>
  <c r="G83" i="7" s="1"/>
  <c r="G87" i="8" s="1"/>
  <c r="F26" i="7"/>
  <c r="F83" i="7" s="1"/>
  <c r="F87" i="8" s="1"/>
  <c r="E26" i="7"/>
  <c r="E83" i="7" s="1"/>
  <c r="E87" i="8" s="1"/>
  <c r="D26" i="7"/>
  <c r="D83" i="7" s="1"/>
  <c r="D87" i="8" s="1"/>
  <c r="D143" i="8" s="1"/>
  <c r="B26" i="7"/>
  <c r="AC25" i="7"/>
  <c r="AC82" i="7" s="1"/>
  <c r="AC86" i="8" s="1"/>
  <c r="AB25" i="7"/>
  <c r="AB82" i="7" s="1"/>
  <c r="AB86" i="8" s="1"/>
  <c r="AA25" i="7"/>
  <c r="AA82" i="7" s="1"/>
  <c r="AA86" i="8" s="1"/>
  <c r="Z25" i="7"/>
  <c r="Z82" i="7" s="1"/>
  <c r="Z86" i="8" s="1"/>
  <c r="Y25" i="7"/>
  <c r="Y82" i="7" s="1"/>
  <c r="Y86" i="8" s="1"/>
  <c r="X25" i="7"/>
  <c r="X82" i="7" s="1"/>
  <c r="X86" i="8" s="1"/>
  <c r="W25" i="7"/>
  <c r="W82" i="7" s="1"/>
  <c r="W86" i="8" s="1"/>
  <c r="V25" i="7"/>
  <c r="V82" i="7" s="1"/>
  <c r="V86" i="8" s="1"/>
  <c r="U25" i="7"/>
  <c r="U82" i="7" s="1"/>
  <c r="T25" i="7"/>
  <c r="T82" i="7" s="1"/>
  <c r="T86" i="8" s="1"/>
  <c r="S25" i="7"/>
  <c r="S82" i="7" s="1"/>
  <c r="S86" i="8" s="1"/>
  <c r="R25" i="7"/>
  <c r="R82" i="7" s="1"/>
  <c r="R86" i="8" s="1"/>
  <c r="Q25" i="7"/>
  <c r="Q82" i="7" s="1"/>
  <c r="Q86" i="8" s="1"/>
  <c r="P25" i="7"/>
  <c r="O25" i="7"/>
  <c r="N25" i="7"/>
  <c r="N82" i="7" s="1"/>
  <c r="N86" i="8" s="1"/>
  <c r="M25" i="7"/>
  <c r="M82" i="7" s="1"/>
  <c r="M86" i="8" s="1"/>
  <c r="L25" i="7"/>
  <c r="L82" i="7" s="1"/>
  <c r="L86" i="8" s="1"/>
  <c r="K25" i="7"/>
  <c r="K82" i="7" s="1"/>
  <c r="K86" i="8" s="1"/>
  <c r="J25" i="7"/>
  <c r="J82" i="7" s="1"/>
  <c r="J86" i="8" s="1"/>
  <c r="I25" i="7"/>
  <c r="I82" i="7" s="1"/>
  <c r="I86" i="8" s="1"/>
  <c r="H25" i="7"/>
  <c r="H82" i="7" s="1"/>
  <c r="H86" i="8" s="1"/>
  <c r="G25" i="7"/>
  <c r="F25" i="7"/>
  <c r="F82" i="7" s="1"/>
  <c r="F86" i="8" s="1"/>
  <c r="E25" i="7"/>
  <c r="D25" i="7"/>
  <c r="D82" i="7" s="1"/>
  <c r="B25" i="7"/>
  <c r="AC24" i="7"/>
  <c r="AC81" i="7" s="1"/>
  <c r="AC85" i="8" s="1"/>
  <c r="AB24" i="7"/>
  <c r="AB81" i="7" s="1"/>
  <c r="AB85" i="8" s="1"/>
  <c r="AA24" i="7"/>
  <c r="AA81" i="7" s="1"/>
  <c r="AA85" i="8" s="1"/>
  <c r="Z24" i="7"/>
  <c r="Y24" i="7"/>
  <c r="X24" i="7"/>
  <c r="X81" i="7" s="1"/>
  <c r="X85" i="8" s="1"/>
  <c r="W24" i="7"/>
  <c r="W81" i="7" s="1"/>
  <c r="V24" i="7"/>
  <c r="V81" i="7" s="1"/>
  <c r="V85" i="8" s="1"/>
  <c r="U24" i="7"/>
  <c r="U81" i="7" s="1"/>
  <c r="U85" i="8" s="1"/>
  <c r="T24" i="7"/>
  <c r="T81" i="7" s="1"/>
  <c r="T85" i="8" s="1"/>
  <c r="S24" i="7"/>
  <c r="S81" i="7" s="1"/>
  <c r="S85" i="8" s="1"/>
  <c r="R24" i="7"/>
  <c r="R81" i="7" s="1"/>
  <c r="R85" i="8" s="1"/>
  <c r="Q24" i="7"/>
  <c r="Q81" i="7" s="1"/>
  <c r="Q85" i="8" s="1"/>
  <c r="P24" i="7"/>
  <c r="P81" i="7" s="1"/>
  <c r="P85" i="8" s="1"/>
  <c r="O24" i="7"/>
  <c r="O81" i="7" s="1"/>
  <c r="O85" i="8" s="1"/>
  <c r="N24" i="7"/>
  <c r="N81" i="7" s="1"/>
  <c r="N85" i="8" s="1"/>
  <c r="M24" i="7"/>
  <c r="M81" i="7" s="1"/>
  <c r="M85" i="8" s="1"/>
  <c r="L24" i="7"/>
  <c r="L81" i="7" s="1"/>
  <c r="L85" i="8" s="1"/>
  <c r="K24" i="7"/>
  <c r="K81" i="7" s="1"/>
  <c r="J24" i="7"/>
  <c r="J81" i="7" s="1"/>
  <c r="J85" i="8" s="1"/>
  <c r="I24" i="7"/>
  <c r="I81" i="7" s="1"/>
  <c r="I85" i="8" s="1"/>
  <c r="H24" i="7"/>
  <c r="H81" i="7" s="1"/>
  <c r="H85" i="8" s="1"/>
  <c r="G24" i="7"/>
  <c r="G81" i="7" s="1"/>
  <c r="G85" i="8" s="1"/>
  <c r="F24" i="7"/>
  <c r="F81" i="7" s="1"/>
  <c r="F85" i="8" s="1"/>
  <c r="E24" i="7"/>
  <c r="E81" i="7" s="1"/>
  <c r="E85" i="8" s="1"/>
  <c r="D24" i="7"/>
  <c r="D81" i="7" s="1"/>
  <c r="B24" i="7"/>
  <c r="AC23" i="7"/>
  <c r="AC80" i="7" s="1"/>
  <c r="AC84" i="8" s="1"/>
  <c r="AB23" i="7"/>
  <c r="AB80" i="7" s="1"/>
  <c r="AB84" i="8" s="1"/>
  <c r="AA23" i="7"/>
  <c r="AA80" i="7" s="1"/>
  <c r="AA84" i="8" s="1"/>
  <c r="Z23" i="7"/>
  <c r="Y23" i="7"/>
  <c r="Y80" i="7" s="1"/>
  <c r="Y84" i="8" s="1"/>
  <c r="X23" i="7"/>
  <c r="X80" i="7" s="1"/>
  <c r="X84" i="8" s="1"/>
  <c r="W23" i="7"/>
  <c r="V23" i="7"/>
  <c r="U23" i="7"/>
  <c r="U80" i="7" s="1"/>
  <c r="U84" i="8" s="1"/>
  <c r="T23" i="7"/>
  <c r="T80" i="7" s="1"/>
  <c r="T84" i="8" s="1"/>
  <c r="S23" i="7"/>
  <c r="S80" i="7" s="1"/>
  <c r="S84" i="8" s="1"/>
  <c r="R23" i="7"/>
  <c r="R80" i="7" s="1"/>
  <c r="R84" i="8" s="1"/>
  <c r="Q23" i="7"/>
  <c r="Q80" i="7" s="1"/>
  <c r="Q84" i="8" s="1"/>
  <c r="P23" i="7"/>
  <c r="P80" i="7" s="1"/>
  <c r="P84" i="8" s="1"/>
  <c r="O23" i="7"/>
  <c r="O80" i="7" s="1"/>
  <c r="O84" i="8" s="1"/>
  <c r="N23" i="7"/>
  <c r="N80" i="7" s="1"/>
  <c r="N84" i="8" s="1"/>
  <c r="M23" i="7"/>
  <c r="M80" i="7" s="1"/>
  <c r="M84" i="8" s="1"/>
  <c r="L23" i="7"/>
  <c r="L80" i="7" s="1"/>
  <c r="L84" i="8" s="1"/>
  <c r="K23" i="7"/>
  <c r="K80" i="7" s="1"/>
  <c r="K84" i="8" s="1"/>
  <c r="J23" i="7"/>
  <c r="J80" i="7" s="1"/>
  <c r="J84" i="8" s="1"/>
  <c r="I23" i="7"/>
  <c r="I80" i="7" s="1"/>
  <c r="I84" i="8" s="1"/>
  <c r="H23" i="7"/>
  <c r="H80" i="7" s="1"/>
  <c r="H84" i="8" s="1"/>
  <c r="G23" i="7"/>
  <c r="G80" i="7" s="1"/>
  <c r="G84" i="8" s="1"/>
  <c r="F23" i="7"/>
  <c r="E23" i="7"/>
  <c r="E80" i="7" s="1"/>
  <c r="E84" i="8" s="1"/>
  <c r="D23" i="7"/>
  <c r="D80" i="7" s="1"/>
  <c r="D84" i="8" s="1"/>
  <c r="D140" i="8" s="1"/>
  <c r="B23" i="7"/>
  <c r="AC22" i="7"/>
  <c r="AC79" i="7" s="1"/>
  <c r="AC83" i="8" s="1"/>
  <c r="AB22" i="7"/>
  <c r="AB79" i="7" s="1"/>
  <c r="AB83" i="8" s="1"/>
  <c r="AA22" i="7"/>
  <c r="AA79" i="7" s="1"/>
  <c r="AA83" i="8" s="1"/>
  <c r="Z22" i="7"/>
  <c r="Z79" i="7" s="1"/>
  <c r="Z83" i="8" s="1"/>
  <c r="Y22" i="7"/>
  <c r="Y79" i="7" s="1"/>
  <c r="Y83" i="8" s="1"/>
  <c r="X22" i="7"/>
  <c r="X79" i="7" s="1"/>
  <c r="X83" i="8" s="1"/>
  <c r="W22" i="7"/>
  <c r="W79" i="7" s="1"/>
  <c r="W83" i="8" s="1"/>
  <c r="V22" i="7"/>
  <c r="V79" i="7" s="1"/>
  <c r="V83" i="8" s="1"/>
  <c r="U22" i="7"/>
  <c r="T22" i="7"/>
  <c r="T79" i="7" s="1"/>
  <c r="T83" i="8" s="1"/>
  <c r="S22" i="7"/>
  <c r="S79" i="7" s="1"/>
  <c r="S83" i="8" s="1"/>
  <c r="R22" i="7"/>
  <c r="R79" i="7" s="1"/>
  <c r="R83" i="8" s="1"/>
  <c r="Q22" i="7"/>
  <c r="Q79" i="7" s="1"/>
  <c r="Q83" i="8" s="1"/>
  <c r="P22" i="7"/>
  <c r="P79" i="7" s="1"/>
  <c r="P83" i="8" s="1"/>
  <c r="O22" i="7"/>
  <c r="O79" i="7" s="1"/>
  <c r="O83" i="8" s="1"/>
  <c r="N22" i="7"/>
  <c r="N79" i="7" s="1"/>
  <c r="N83" i="8" s="1"/>
  <c r="M22" i="7"/>
  <c r="M79" i="7" s="1"/>
  <c r="M83" i="8" s="1"/>
  <c r="L22" i="7"/>
  <c r="L79" i="7" s="1"/>
  <c r="L83" i="8" s="1"/>
  <c r="K22" i="7"/>
  <c r="K79" i="7" s="1"/>
  <c r="K83" i="8" s="1"/>
  <c r="J22" i="7"/>
  <c r="J79" i="7" s="1"/>
  <c r="J83" i="8" s="1"/>
  <c r="I22" i="7"/>
  <c r="I79" i="7" s="1"/>
  <c r="I83" i="8" s="1"/>
  <c r="H22" i="7"/>
  <c r="G22" i="7"/>
  <c r="F22" i="7"/>
  <c r="F79" i="7" s="1"/>
  <c r="F83" i="8" s="1"/>
  <c r="E22" i="7"/>
  <c r="E79" i="7" s="1"/>
  <c r="E83" i="8" s="1"/>
  <c r="D22" i="7"/>
  <c r="D79" i="7" s="1"/>
  <c r="B22" i="7"/>
  <c r="AC21" i="7"/>
  <c r="AC78" i="7" s="1"/>
  <c r="AC82" i="8" s="1"/>
  <c r="AB21" i="7"/>
  <c r="AB78" i="7" s="1"/>
  <c r="AB82" i="8" s="1"/>
  <c r="AA21" i="7"/>
  <c r="AA78" i="7" s="1"/>
  <c r="AA82" i="8" s="1"/>
  <c r="Z21" i="7"/>
  <c r="Z78" i="7" s="1"/>
  <c r="Z82" i="8" s="1"/>
  <c r="Y21" i="7"/>
  <c r="Y78" i="7" s="1"/>
  <c r="Y82" i="8" s="1"/>
  <c r="X21" i="7"/>
  <c r="X78" i="7" s="1"/>
  <c r="X82" i="8" s="1"/>
  <c r="W21" i="7"/>
  <c r="W78" i="7" s="1"/>
  <c r="W82" i="8" s="1"/>
  <c r="V21" i="7"/>
  <c r="V78" i="7" s="1"/>
  <c r="V82" i="8" s="1"/>
  <c r="U21" i="7"/>
  <c r="U78" i="7" s="1"/>
  <c r="U82" i="8" s="1"/>
  <c r="T21" i="7"/>
  <c r="T78" i="7" s="1"/>
  <c r="T82" i="8" s="1"/>
  <c r="S21" i="7"/>
  <c r="S78" i="7" s="1"/>
  <c r="S82" i="8" s="1"/>
  <c r="R21" i="7"/>
  <c r="R78" i="7" s="1"/>
  <c r="R82" i="8" s="1"/>
  <c r="Q21" i="7"/>
  <c r="Q78" i="7" s="1"/>
  <c r="Q82" i="8" s="1"/>
  <c r="P21" i="7"/>
  <c r="P78" i="7" s="1"/>
  <c r="P82" i="8" s="1"/>
  <c r="O21" i="7"/>
  <c r="O78" i="7" s="1"/>
  <c r="O82" i="8" s="1"/>
  <c r="N21" i="7"/>
  <c r="M21" i="7"/>
  <c r="L21" i="7"/>
  <c r="L78" i="7" s="1"/>
  <c r="L82" i="8" s="1"/>
  <c r="K21" i="7"/>
  <c r="K78" i="7" s="1"/>
  <c r="K82" i="8" s="1"/>
  <c r="J21" i="7"/>
  <c r="J78" i="7" s="1"/>
  <c r="J82" i="8" s="1"/>
  <c r="I21" i="7"/>
  <c r="I78" i="7" s="1"/>
  <c r="I82" i="8" s="1"/>
  <c r="H21" i="7"/>
  <c r="H78" i="7" s="1"/>
  <c r="H82" i="8" s="1"/>
  <c r="G21" i="7"/>
  <c r="G78" i="7" s="1"/>
  <c r="G82" i="8" s="1"/>
  <c r="F21" i="7"/>
  <c r="F78" i="7" s="1"/>
  <c r="F82" i="8" s="1"/>
  <c r="E21" i="7"/>
  <c r="E78" i="7" s="1"/>
  <c r="E82" i="8" s="1"/>
  <c r="D21" i="7"/>
  <c r="B21" i="7"/>
  <c r="AC20" i="7"/>
  <c r="AC77" i="7" s="1"/>
  <c r="AC81" i="8" s="1"/>
  <c r="AB20" i="7"/>
  <c r="AB77" i="7" s="1"/>
  <c r="AB81" i="8" s="1"/>
  <c r="AA20" i="7"/>
  <c r="AA77" i="7" s="1"/>
  <c r="AA81" i="8" s="1"/>
  <c r="Z20" i="7"/>
  <c r="Z77" i="7" s="1"/>
  <c r="Z81" i="8" s="1"/>
  <c r="Y20" i="7"/>
  <c r="Y77" i="7" s="1"/>
  <c r="Y81" i="8" s="1"/>
  <c r="X20" i="7"/>
  <c r="W20" i="7"/>
  <c r="W77" i="7" s="1"/>
  <c r="W81" i="8" s="1"/>
  <c r="V20" i="7"/>
  <c r="V77" i="7" s="1"/>
  <c r="V81" i="8" s="1"/>
  <c r="U20" i="7"/>
  <c r="U77" i="7" s="1"/>
  <c r="U81" i="8" s="1"/>
  <c r="T20" i="7"/>
  <c r="T77" i="7" s="1"/>
  <c r="T81" i="8" s="1"/>
  <c r="S20" i="7"/>
  <c r="R20" i="7"/>
  <c r="R77" i="7" s="1"/>
  <c r="R81" i="8" s="1"/>
  <c r="Q20" i="7"/>
  <c r="Q77" i="7" s="1"/>
  <c r="Q81" i="8" s="1"/>
  <c r="P20" i="7"/>
  <c r="O20" i="7"/>
  <c r="O77" i="7" s="1"/>
  <c r="N20" i="7"/>
  <c r="M20" i="7"/>
  <c r="M77" i="7" s="1"/>
  <c r="M81" i="8" s="1"/>
  <c r="L20" i="7"/>
  <c r="L77" i="7" s="1"/>
  <c r="L81" i="8" s="1"/>
  <c r="K20" i="7"/>
  <c r="K77" i="7" s="1"/>
  <c r="K81" i="8" s="1"/>
  <c r="J20" i="7"/>
  <c r="J77" i="7" s="1"/>
  <c r="J81" i="8" s="1"/>
  <c r="I20" i="7"/>
  <c r="I77" i="7" s="1"/>
  <c r="I81" i="8" s="1"/>
  <c r="H20" i="7"/>
  <c r="H77" i="7" s="1"/>
  <c r="H81" i="8" s="1"/>
  <c r="G20" i="7"/>
  <c r="G77" i="7" s="1"/>
  <c r="F20" i="7"/>
  <c r="F77" i="7" s="1"/>
  <c r="E20" i="7"/>
  <c r="E77" i="7" s="1"/>
  <c r="D20" i="7"/>
  <c r="D77" i="7" s="1"/>
  <c r="B20" i="7"/>
  <c r="AC19" i="7"/>
  <c r="AC76" i="7" s="1"/>
  <c r="AC80" i="8" s="1"/>
  <c r="AB19" i="7"/>
  <c r="AB76" i="7" s="1"/>
  <c r="AB80" i="8" s="1"/>
  <c r="AA19" i="7"/>
  <c r="AA76" i="7" s="1"/>
  <c r="AA80" i="8" s="1"/>
  <c r="Z19" i="7"/>
  <c r="Y19" i="7"/>
  <c r="X19" i="7"/>
  <c r="X76" i="7" s="1"/>
  <c r="X80" i="8" s="1"/>
  <c r="W19" i="7"/>
  <c r="W76" i="7" s="1"/>
  <c r="W80" i="8" s="1"/>
  <c r="V19" i="7"/>
  <c r="U19" i="7"/>
  <c r="U76" i="7" s="1"/>
  <c r="U80" i="8" s="1"/>
  <c r="T19" i="7"/>
  <c r="S19" i="7"/>
  <c r="S76" i="7" s="1"/>
  <c r="S80" i="8" s="1"/>
  <c r="R19" i="7"/>
  <c r="R76" i="7" s="1"/>
  <c r="R80" i="8" s="1"/>
  <c r="Q19" i="7"/>
  <c r="Q76" i="7" s="1"/>
  <c r="Q80" i="8" s="1"/>
  <c r="P19" i="7"/>
  <c r="P76" i="7" s="1"/>
  <c r="P80" i="8" s="1"/>
  <c r="O19" i="7"/>
  <c r="O76" i="7" s="1"/>
  <c r="O80" i="8" s="1"/>
  <c r="N19" i="7"/>
  <c r="N76" i="7" s="1"/>
  <c r="N80" i="8" s="1"/>
  <c r="M19" i="7"/>
  <c r="M76" i="7" s="1"/>
  <c r="M80" i="8" s="1"/>
  <c r="L19" i="7"/>
  <c r="L76" i="7" s="1"/>
  <c r="L80" i="8" s="1"/>
  <c r="K19" i="7"/>
  <c r="K76" i="7" s="1"/>
  <c r="K80" i="8" s="1"/>
  <c r="J19" i="7"/>
  <c r="J76" i="7" s="1"/>
  <c r="J80" i="8" s="1"/>
  <c r="I19" i="7"/>
  <c r="I76" i="7" s="1"/>
  <c r="I80" i="8" s="1"/>
  <c r="H19" i="7"/>
  <c r="H76" i="7" s="1"/>
  <c r="H80" i="8" s="1"/>
  <c r="G19" i="7"/>
  <c r="G76" i="7" s="1"/>
  <c r="G80" i="8" s="1"/>
  <c r="F19" i="7"/>
  <c r="F76" i="7" s="1"/>
  <c r="F80" i="8" s="1"/>
  <c r="E19" i="7"/>
  <c r="E76" i="7" s="1"/>
  <c r="E80" i="8" s="1"/>
  <c r="D19" i="7"/>
  <c r="D76" i="7" s="1"/>
  <c r="D80" i="8" s="1"/>
  <c r="D136" i="8" s="1"/>
  <c r="E136" i="8" s="1"/>
  <c r="B19" i="7"/>
  <c r="AC18" i="7"/>
  <c r="AB18" i="7"/>
  <c r="AA18" i="7"/>
  <c r="Z18" i="7"/>
  <c r="Y18" i="7"/>
  <c r="X18" i="7"/>
  <c r="X75" i="7" s="1"/>
  <c r="W18" i="7"/>
  <c r="W75" i="7" s="1"/>
  <c r="V18" i="7"/>
  <c r="V75" i="7" s="1"/>
  <c r="U18" i="7"/>
  <c r="T18" i="7"/>
  <c r="T75" i="7" s="1"/>
  <c r="S18" i="7"/>
  <c r="R18" i="7"/>
  <c r="Q18" i="7"/>
  <c r="Q75" i="7" s="1"/>
  <c r="P18" i="7"/>
  <c r="P75" i="7" s="1"/>
  <c r="O18" i="7"/>
  <c r="O75" i="7" s="1"/>
  <c r="N18" i="7"/>
  <c r="N75" i="7" s="1"/>
  <c r="M18" i="7"/>
  <c r="M75" i="7" s="1"/>
  <c r="L18" i="7"/>
  <c r="K18" i="7"/>
  <c r="J18" i="7"/>
  <c r="J75" i="7" s="1"/>
  <c r="I18" i="7"/>
  <c r="H18" i="7"/>
  <c r="G18" i="7"/>
  <c r="F18" i="7"/>
  <c r="E18" i="7"/>
  <c r="D18" i="7"/>
  <c r="B18" i="7"/>
  <c r="S75" i="7" s="1"/>
  <c r="AC17" i="7"/>
  <c r="AC74" i="7" s="1"/>
  <c r="AC78" i="8" s="1"/>
  <c r="AB17" i="7"/>
  <c r="AB74" i="7" s="1"/>
  <c r="AB78" i="8" s="1"/>
  <c r="AA17" i="7"/>
  <c r="AA74" i="7" s="1"/>
  <c r="AA78" i="8" s="1"/>
  <c r="Z17" i="7"/>
  <c r="Z74" i="7" s="1"/>
  <c r="Z78" i="8" s="1"/>
  <c r="Y17" i="7"/>
  <c r="X17" i="7"/>
  <c r="W17" i="7"/>
  <c r="W74" i="7" s="1"/>
  <c r="W78" i="8" s="1"/>
  <c r="V17" i="7"/>
  <c r="V74" i="7" s="1"/>
  <c r="V78" i="8" s="1"/>
  <c r="U17" i="7"/>
  <c r="U74" i="7" s="1"/>
  <c r="U78" i="8" s="1"/>
  <c r="T17" i="7"/>
  <c r="T74" i="7" s="1"/>
  <c r="T78" i="8" s="1"/>
  <c r="S17" i="7"/>
  <c r="S74" i="7" s="1"/>
  <c r="S78" i="8" s="1"/>
  <c r="R17" i="7"/>
  <c r="R74" i="7" s="1"/>
  <c r="R78" i="8" s="1"/>
  <c r="Q17" i="7"/>
  <c r="Q74" i="7" s="1"/>
  <c r="Q78" i="8" s="1"/>
  <c r="P17" i="7"/>
  <c r="P74" i="7" s="1"/>
  <c r="P78" i="8" s="1"/>
  <c r="O17" i="7"/>
  <c r="O74" i="7" s="1"/>
  <c r="O78" i="8" s="1"/>
  <c r="N17" i="7"/>
  <c r="N74" i="7" s="1"/>
  <c r="M17" i="7"/>
  <c r="M74" i="7" s="1"/>
  <c r="L17" i="7"/>
  <c r="L74" i="7" s="1"/>
  <c r="L78" i="8" s="1"/>
  <c r="K17" i="7"/>
  <c r="K74" i="7" s="1"/>
  <c r="K78" i="8" s="1"/>
  <c r="J17" i="7"/>
  <c r="J74" i="7" s="1"/>
  <c r="J78" i="8" s="1"/>
  <c r="I17" i="7"/>
  <c r="I74" i="7" s="1"/>
  <c r="I78" i="8" s="1"/>
  <c r="H17" i="7"/>
  <c r="H74" i="7" s="1"/>
  <c r="H78" i="8" s="1"/>
  <c r="G17" i="7"/>
  <c r="G74" i="7" s="1"/>
  <c r="G78" i="8" s="1"/>
  <c r="F17" i="7"/>
  <c r="F74" i="7" s="1"/>
  <c r="F78" i="8" s="1"/>
  <c r="E17" i="7"/>
  <c r="E74" i="7" s="1"/>
  <c r="E78" i="8" s="1"/>
  <c r="D17" i="7"/>
  <c r="D74" i="7" s="1"/>
  <c r="D78" i="8" s="1"/>
  <c r="D134" i="8" s="1"/>
  <c r="B17" i="7"/>
  <c r="AC16" i="7"/>
  <c r="AC73" i="7" s="1"/>
  <c r="AC77" i="8" s="1"/>
  <c r="AB16" i="7"/>
  <c r="AA16" i="7"/>
  <c r="AA73" i="7" s="1"/>
  <c r="AA77" i="8" s="1"/>
  <c r="Z16" i="7"/>
  <c r="Z73" i="7" s="1"/>
  <c r="Z77" i="8" s="1"/>
  <c r="Y16" i="7"/>
  <c r="Y73" i="7" s="1"/>
  <c r="Y77" i="8" s="1"/>
  <c r="X16" i="7"/>
  <c r="X73" i="7" s="1"/>
  <c r="X77" i="8" s="1"/>
  <c r="W16" i="7"/>
  <c r="W73" i="7" s="1"/>
  <c r="W77" i="8" s="1"/>
  <c r="V16" i="7"/>
  <c r="V73" i="7" s="1"/>
  <c r="V77" i="8" s="1"/>
  <c r="U16" i="7"/>
  <c r="U73" i="7" s="1"/>
  <c r="U77" i="8" s="1"/>
  <c r="T16" i="7"/>
  <c r="T73" i="7" s="1"/>
  <c r="T77" i="8" s="1"/>
  <c r="S16" i="7"/>
  <c r="R16" i="7"/>
  <c r="R73" i="7" s="1"/>
  <c r="R77" i="8" s="1"/>
  <c r="Q16" i="7"/>
  <c r="Q73" i="7" s="1"/>
  <c r="Q77" i="8" s="1"/>
  <c r="P16" i="7"/>
  <c r="P73" i="7" s="1"/>
  <c r="P77" i="8" s="1"/>
  <c r="O16" i="7"/>
  <c r="N16" i="7"/>
  <c r="N73" i="7" s="1"/>
  <c r="N77" i="8" s="1"/>
  <c r="M16" i="7"/>
  <c r="M73" i="7" s="1"/>
  <c r="M77" i="8" s="1"/>
  <c r="L16" i="7"/>
  <c r="L73" i="7" s="1"/>
  <c r="L77" i="8" s="1"/>
  <c r="K16" i="7"/>
  <c r="K73" i="7" s="1"/>
  <c r="K77" i="8" s="1"/>
  <c r="J16" i="7"/>
  <c r="J73" i="7" s="1"/>
  <c r="J77" i="8" s="1"/>
  <c r="I16" i="7"/>
  <c r="I73" i="7" s="1"/>
  <c r="I77" i="8" s="1"/>
  <c r="H16" i="7"/>
  <c r="H73" i="7" s="1"/>
  <c r="H77" i="8" s="1"/>
  <c r="G16" i="7"/>
  <c r="G73" i="7" s="1"/>
  <c r="G77" i="8" s="1"/>
  <c r="F16" i="7"/>
  <c r="F73" i="7" s="1"/>
  <c r="F77" i="8" s="1"/>
  <c r="E16" i="7"/>
  <c r="E73" i="7" s="1"/>
  <c r="E77" i="8" s="1"/>
  <c r="D16" i="7"/>
  <c r="D73" i="7" s="1"/>
  <c r="D77" i="8" s="1"/>
  <c r="D133" i="8" s="1"/>
  <c r="B16" i="7"/>
  <c r="AC15" i="7"/>
  <c r="AC72" i="7" s="1"/>
  <c r="AC76" i="8" s="1"/>
  <c r="AB15" i="7"/>
  <c r="AB72" i="7" s="1"/>
  <c r="AB76" i="8" s="1"/>
  <c r="AA15" i="7"/>
  <c r="AA72" i="7" s="1"/>
  <c r="AA76" i="8" s="1"/>
  <c r="Z15" i="7"/>
  <c r="Z72" i="7" s="1"/>
  <c r="Z76" i="8" s="1"/>
  <c r="Y15" i="7"/>
  <c r="Y72" i="7" s="1"/>
  <c r="Y76" i="8" s="1"/>
  <c r="X15" i="7"/>
  <c r="X72" i="7" s="1"/>
  <c r="X76" i="8" s="1"/>
  <c r="W15" i="7"/>
  <c r="V15" i="7"/>
  <c r="V72" i="7" s="1"/>
  <c r="V76" i="8" s="1"/>
  <c r="U15" i="7"/>
  <c r="U72" i="7" s="1"/>
  <c r="U76" i="8" s="1"/>
  <c r="T15" i="7"/>
  <c r="T72" i="7" s="1"/>
  <c r="T76" i="8" s="1"/>
  <c r="S15" i="7"/>
  <c r="R15" i="7"/>
  <c r="R72" i="7" s="1"/>
  <c r="R76" i="8" s="1"/>
  <c r="Q15" i="7"/>
  <c r="Q72" i="7" s="1"/>
  <c r="Q76" i="8" s="1"/>
  <c r="P15" i="7"/>
  <c r="P72" i="7" s="1"/>
  <c r="P76" i="8" s="1"/>
  <c r="O15" i="7"/>
  <c r="O72" i="7" s="1"/>
  <c r="O76" i="8" s="1"/>
  <c r="N15" i="7"/>
  <c r="N72" i="7" s="1"/>
  <c r="N76" i="8" s="1"/>
  <c r="M15" i="7"/>
  <c r="M72" i="7" s="1"/>
  <c r="M76" i="8" s="1"/>
  <c r="L15" i="7"/>
  <c r="L72" i="7" s="1"/>
  <c r="L76" i="8" s="1"/>
  <c r="K15" i="7"/>
  <c r="K72" i="7" s="1"/>
  <c r="K76" i="8" s="1"/>
  <c r="J15" i="7"/>
  <c r="I15" i="7"/>
  <c r="H15" i="7"/>
  <c r="H72" i="7" s="1"/>
  <c r="H76" i="8" s="1"/>
  <c r="G15" i="7"/>
  <c r="G72" i="7" s="1"/>
  <c r="G76" i="8" s="1"/>
  <c r="F15" i="7"/>
  <c r="F72" i="7" s="1"/>
  <c r="F76" i="8" s="1"/>
  <c r="E15" i="7"/>
  <c r="E72" i="7" s="1"/>
  <c r="E76" i="8" s="1"/>
  <c r="D15" i="7"/>
  <c r="D72" i="7" s="1"/>
  <c r="D76" i="8" s="1"/>
  <c r="D132" i="8" s="1"/>
  <c r="B15" i="7"/>
  <c r="AC14" i="7"/>
  <c r="AC71" i="7" s="1"/>
  <c r="AC75" i="8" s="1"/>
  <c r="AB14" i="7"/>
  <c r="AA14" i="7"/>
  <c r="Z14" i="7"/>
  <c r="Z71" i="7" s="1"/>
  <c r="Z75" i="8" s="1"/>
  <c r="Y14" i="7"/>
  <c r="Y71" i="7" s="1"/>
  <c r="Y75" i="8" s="1"/>
  <c r="X14" i="7"/>
  <c r="X71" i="7" s="1"/>
  <c r="X75" i="8" s="1"/>
  <c r="W14" i="7"/>
  <c r="W71" i="7" s="1"/>
  <c r="W75" i="8" s="1"/>
  <c r="V14" i="7"/>
  <c r="V71" i="7" s="1"/>
  <c r="V75" i="8" s="1"/>
  <c r="U14" i="7"/>
  <c r="U71" i="7" s="1"/>
  <c r="U75" i="8" s="1"/>
  <c r="T14" i="7"/>
  <c r="T71" i="7" s="1"/>
  <c r="T75" i="8" s="1"/>
  <c r="S14" i="7"/>
  <c r="S71" i="7" s="1"/>
  <c r="S75" i="8" s="1"/>
  <c r="R14" i="7"/>
  <c r="R71" i="7" s="1"/>
  <c r="R75" i="8" s="1"/>
  <c r="Q14" i="7"/>
  <c r="Q71" i="7" s="1"/>
  <c r="Q75" i="8" s="1"/>
  <c r="P14" i="7"/>
  <c r="P71" i="7" s="1"/>
  <c r="P75" i="8" s="1"/>
  <c r="O14" i="7"/>
  <c r="O71" i="7" s="1"/>
  <c r="O75" i="8" s="1"/>
  <c r="N14" i="7"/>
  <c r="N71" i="7" s="1"/>
  <c r="N75" i="8" s="1"/>
  <c r="M14" i="7"/>
  <c r="M71" i="7" s="1"/>
  <c r="M75" i="8" s="1"/>
  <c r="L14" i="7"/>
  <c r="K14" i="7"/>
  <c r="K71" i="7" s="1"/>
  <c r="K75" i="8" s="1"/>
  <c r="J14" i="7"/>
  <c r="J71" i="7" s="1"/>
  <c r="J75" i="8" s="1"/>
  <c r="I14" i="7"/>
  <c r="I71" i="7" s="1"/>
  <c r="I75" i="8" s="1"/>
  <c r="H14" i="7"/>
  <c r="H71" i="7" s="1"/>
  <c r="H75" i="8" s="1"/>
  <c r="G14" i="7"/>
  <c r="G71" i="7" s="1"/>
  <c r="G75" i="8" s="1"/>
  <c r="F14" i="7"/>
  <c r="F71" i="7" s="1"/>
  <c r="F75" i="8" s="1"/>
  <c r="E14" i="7"/>
  <c r="E71" i="7" s="1"/>
  <c r="E75" i="8" s="1"/>
  <c r="D14" i="7"/>
  <c r="D71" i="7" s="1"/>
  <c r="D75" i="8" s="1"/>
  <c r="D131" i="8" s="1"/>
  <c r="B14" i="7"/>
  <c r="AC13" i="7"/>
  <c r="AC70" i="7" s="1"/>
  <c r="AC74" i="8" s="1"/>
  <c r="AB13" i="7"/>
  <c r="AB70" i="7" s="1"/>
  <c r="AB74" i="8" s="1"/>
  <c r="AA13" i="7"/>
  <c r="AA70" i="7" s="1"/>
  <c r="AA74" i="8" s="1"/>
  <c r="Z13" i="7"/>
  <c r="Z70" i="7" s="1"/>
  <c r="Z74" i="8" s="1"/>
  <c r="Y13" i="7"/>
  <c r="Y70" i="7" s="1"/>
  <c r="Y74" i="8" s="1"/>
  <c r="X13" i="7"/>
  <c r="X70" i="7" s="1"/>
  <c r="X74" i="8" s="1"/>
  <c r="W13" i="7"/>
  <c r="W70" i="7" s="1"/>
  <c r="W74" i="8" s="1"/>
  <c r="V13" i="7"/>
  <c r="U13" i="7"/>
  <c r="U70" i="7" s="1"/>
  <c r="U74" i="8" s="1"/>
  <c r="T13" i="7"/>
  <c r="T70" i="7" s="1"/>
  <c r="T74" i="8" s="1"/>
  <c r="S13" i="7"/>
  <c r="S70" i="7" s="1"/>
  <c r="S74" i="8" s="1"/>
  <c r="R13" i="7"/>
  <c r="R70" i="7" s="1"/>
  <c r="R74" i="8" s="1"/>
  <c r="Q13" i="7"/>
  <c r="Q70" i="7" s="1"/>
  <c r="Q74" i="8" s="1"/>
  <c r="P13" i="7"/>
  <c r="P70" i="7" s="1"/>
  <c r="P74" i="8" s="1"/>
  <c r="O13" i="7"/>
  <c r="O70" i="7" s="1"/>
  <c r="O74" i="8" s="1"/>
  <c r="N13" i="7"/>
  <c r="N70" i="7" s="1"/>
  <c r="N74" i="8" s="1"/>
  <c r="M13" i="7"/>
  <c r="M70" i="7" s="1"/>
  <c r="M74" i="8" s="1"/>
  <c r="L13" i="7"/>
  <c r="L70" i="7" s="1"/>
  <c r="L74" i="8" s="1"/>
  <c r="K13" i="7"/>
  <c r="K70" i="7" s="1"/>
  <c r="J13" i="7"/>
  <c r="J70" i="7" s="1"/>
  <c r="J74" i="8" s="1"/>
  <c r="I13" i="7"/>
  <c r="I70" i="7" s="1"/>
  <c r="I74" i="8" s="1"/>
  <c r="H13" i="7"/>
  <c r="G13" i="7"/>
  <c r="G70" i="7" s="1"/>
  <c r="F13" i="7"/>
  <c r="F70" i="7" s="1"/>
  <c r="F74" i="8" s="1"/>
  <c r="E13" i="7"/>
  <c r="E70" i="7" s="1"/>
  <c r="E74" i="8" s="1"/>
  <c r="D13" i="7"/>
  <c r="D70" i="7" s="1"/>
  <c r="D74" i="8" s="1"/>
  <c r="D130" i="8" s="1"/>
  <c r="B13" i="7"/>
  <c r="AC12" i="7"/>
  <c r="AC69" i="7" s="1"/>
  <c r="AC73" i="8" s="1"/>
  <c r="AB12" i="7"/>
  <c r="AB69" i="7" s="1"/>
  <c r="AB73" i="8" s="1"/>
  <c r="AA12" i="7"/>
  <c r="Z12" i="7"/>
  <c r="Z69" i="7" s="1"/>
  <c r="Z73" i="8" s="1"/>
  <c r="Y12" i="7"/>
  <c r="Y69" i="7" s="1"/>
  <c r="Y73" i="8" s="1"/>
  <c r="X12" i="7"/>
  <c r="X69" i="7" s="1"/>
  <c r="X73" i="8" s="1"/>
  <c r="W12" i="7"/>
  <c r="W69" i="7" s="1"/>
  <c r="W73" i="8" s="1"/>
  <c r="V12" i="7"/>
  <c r="V69" i="7" s="1"/>
  <c r="V73" i="8" s="1"/>
  <c r="U12" i="7"/>
  <c r="U69" i="7" s="1"/>
  <c r="U73" i="8" s="1"/>
  <c r="T12" i="7"/>
  <c r="T69" i="7" s="1"/>
  <c r="T73" i="8" s="1"/>
  <c r="S12" i="7"/>
  <c r="R12" i="7"/>
  <c r="R69" i="7" s="1"/>
  <c r="R73" i="8" s="1"/>
  <c r="Q12" i="7"/>
  <c r="Q69" i="7" s="1"/>
  <c r="Q73" i="8" s="1"/>
  <c r="P12" i="7"/>
  <c r="P69" i="7" s="1"/>
  <c r="P73" i="8" s="1"/>
  <c r="O12" i="7"/>
  <c r="O69" i="7" s="1"/>
  <c r="O73" i="8" s="1"/>
  <c r="N12" i="7"/>
  <c r="N69" i="7" s="1"/>
  <c r="N73" i="8" s="1"/>
  <c r="M12" i="7"/>
  <c r="M69" i="7" s="1"/>
  <c r="M73" i="8" s="1"/>
  <c r="L12" i="7"/>
  <c r="L69" i="7" s="1"/>
  <c r="L73" i="8" s="1"/>
  <c r="K12" i="7"/>
  <c r="J12" i="7"/>
  <c r="I12" i="7"/>
  <c r="I69" i="7" s="1"/>
  <c r="I73" i="8" s="1"/>
  <c r="H12" i="7"/>
  <c r="H69" i="7" s="1"/>
  <c r="H73" i="8" s="1"/>
  <c r="G12" i="7"/>
  <c r="G69" i="7" s="1"/>
  <c r="G73" i="8" s="1"/>
  <c r="F12" i="7"/>
  <c r="F69" i="7" s="1"/>
  <c r="F73" i="8" s="1"/>
  <c r="E12" i="7"/>
  <c r="E69" i="7" s="1"/>
  <c r="E73" i="8" s="1"/>
  <c r="D12" i="7"/>
  <c r="D69" i="7" s="1"/>
  <c r="B12" i="7"/>
  <c r="AC11" i="7"/>
  <c r="AC68" i="7" s="1"/>
  <c r="AB11" i="7"/>
  <c r="AB68" i="7" s="1"/>
  <c r="AA11" i="7"/>
  <c r="AA68" i="7" s="1"/>
  <c r="Z11" i="7"/>
  <c r="Z68" i="7" s="1"/>
  <c r="Y11" i="7"/>
  <c r="Y68" i="7" s="1"/>
  <c r="X11" i="7"/>
  <c r="X68" i="7" s="1"/>
  <c r="W11" i="7"/>
  <c r="W68" i="7" s="1"/>
  <c r="V11" i="7"/>
  <c r="U11" i="7"/>
  <c r="T11" i="7"/>
  <c r="S11" i="7"/>
  <c r="R11" i="7"/>
  <c r="Q11" i="7"/>
  <c r="Q68" i="7" s="1"/>
  <c r="P11" i="7"/>
  <c r="O11" i="7"/>
  <c r="O68" i="7" s="1"/>
  <c r="N11" i="7"/>
  <c r="N68" i="7" s="1"/>
  <c r="M11" i="7"/>
  <c r="M68" i="7" s="1"/>
  <c r="L11" i="7"/>
  <c r="K11" i="7"/>
  <c r="J11" i="7"/>
  <c r="J68" i="7" s="1"/>
  <c r="I11" i="7"/>
  <c r="I68" i="7" s="1"/>
  <c r="H11" i="7"/>
  <c r="H68" i="7" s="1"/>
  <c r="G11" i="7"/>
  <c r="G68" i="7" s="1"/>
  <c r="F11" i="7"/>
  <c r="F68" i="7" s="1"/>
  <c r="E11" i="7"/>
  <c r="E68" i="7" s="1"/>
  <c r="D11" i="7"/>
  <c r="D68" i="7" s="1"/>
  <c r="B11" i="7"/>
  <c r="V68" i="7" s="1"/>
  <c r="AC10" i="7"/>
  <c r="AB10" i="7"/>
  <c r="AB67" i="7" s="1"/>
  <c r="AB71" i="8" s="1"/>
  <c r="AA10" i="7"/>
  <c r="AA67" i="7" s="1"/>
  <c r="AA71" i="8" s="1"/>
  <c r="Z10" i="7"/>
  <c r="Z67" i="7" s="1"/>
  <c r="Z71" i="8" s="1"/>
  <c r="Y10" i="7"/>
  <c r="Y67" i="7" s="1"/>
  <c r="Y71" i="8" s="1"/>
  <c r="X10" i="7"/>
  <c r="X67" i="7" s="1"/>
  <c r="X71" i="8" s="1"/>
  <c r="W10" i="7"/>
  <c r="W67" i="7" s="1"/>
  <c r="W71" i="8" s="1"/>
  <c r="V10" i="7"/>
  <c r="V67" i="7" s="1"/>
  <c r="V71" i="8" s="1"/>
  <c r="U10" i="7"/>
  <c r="U67" i="7" s="1"/>
  <c r="U71" i="8" s="1"/>
  <c r="T10" i="7"/>
  <c r="T67" i="7" s="1"/>
  <c r="T71" i="8" s="1"/>
  <c r="S10" i="7"/>
  <c r="S67" i="7" s="1"/>
  <c r="S71" i="8" s="1"/>
  <c r="R10" i="7"/>
  <c r="R67" i="7" s="1"/>
  <c r="R71" i="8" s="1"/>
  <c r="Q10" i="7"/>
  <c r="P10" i="7"/>
  <c r="O10" i="7"/>
  <c r="N10" i="7"/>
  <c r="N67" i="7" s="1"/>
  <c r="N71" i="8" s="1"/>
  <c r="M10" i="7"/>
  <c r="L10" i="7"/>
  <c r="L67" i="7" s="1"/>
  <c r="L71" i="8" s="1"/>
  <c r="K10" i="7"/>
  <c r="K67" i="7" s="1"/>
  <c r="K71" i="8" s="1"/>
  <c r="J10" i="7"/>
  <c r="J67" i="7" s="1"/>
  <c r="J71" i="8" s="1"/>
  <c r="I10" i="7"/>
  <c r="I67" i="7" s="1"/>
  <c r="I71" i="8" s="1"/>
  <c r="H10" i="7"/>
  <c r="H67" i="7" s="1"/>
  <c r="H71" i="8" s="1"/>
  <c r="G10" i="7"/>
  <c r="G67" i="7" s="1"/>
  <c r="G71" i="8" s="1"/>
  <c r="F10" i="7"/>
  <c r="F67" i="7" s="1"/>
  <c r="F71" i="8" s="1"/>
  <c r="E10" i="7"/>
  <c r="E67" i="7" s="1"/>
  <c r="E71" i="8" s="1"/>
  <c r="D10" i="7"/>
  <c r="D67" i="7" s="1"/>
  <c r="B10" i="7"/>
  <c r="AC9" i="7"/>
  <c r="AB9" i="7"/>
  <c r="AA9" i="7"/>
  <c r="Z9" i="7"/>
  <c r="Y9" i="7"/>
  <c r="X9" i="7"/>
  <c r="X66" i="7" s="1"/>
  <c r="W9" i="7"/>
  <c r="W66" i="7" s="1"/>
  <c r="V9" i="7"/>
  <c r="U9" i="7"/>
  <c r="U66" i="7" s="1"/>
  <c r="T9" i="7"/>
  <c r="S9" i="7"/>
  <c r="R9" i="7"/>
  <c r="R66" i="7" s="1"/>
  <c r="Q9" i="7"/>
  <c r="Q66" i="7" s="1"/>
  <c r="P9" i="7"/>
  <c r="P66" i="7" s="1"/>
  <c r="O9" i="7"/>
  <c r="O66" i="7" s="1"/>
  <c r="N9" i="7"/>
  <c r="N66" i="7" s="1"/>
  <c r="M9" i="7"/>
  <c r="M66" i="7" s="1"/>
  <c r="L9" i="7"/>
  <c r="L66" i="7" s="1"/>
  <c r="K9" i="7"/>
  <c r="K66" i="7" s="1"/>
  <c r="J9" i="7"/>
  <c r="J66" i="7" s="1"/>
  <c r="I9" i="7"/>
  <c r="H9" i="7"/>
  <c r="G9" i="7"/>
  <c r="F9" i="7"/>
  <c r="E9" i="7"/>
  <c r="D9" i="7"/>
  <c r="B9" i="7"/>
  <c r="H66" i="7" s="1"/>
  <c r="AC8" i="7"/>
  <c r="AC65" i="7" s="1"/>
  <c r="AC69" i="8" s="1"/>
  <c r="AB8" i="7"/>
  <c r="AB65" i="7" s="1"/>
  <c r="AB69" i="8" s="1"/>
  <c r="AA8" i="7"/>
  <c r="Z8" i="7"/>
  <c r="Y8" i="7"/>
  <c r="Y65" i="7" s="1"/>
  <c r="Y69" i="8" s="1"/>
  <c r="X8" i="7"/>
  <c r="X65" i="7" s="1"/>
  <c r="X69" i="8" s="1"/>
  <c r="W8" i="7"/>
  <c r="W65" i="7" s="1"/>
  <c r="W69" i="8" s="1"/>
  <c r="V8" i="7"/>
  <c r="V65" i="7" s="1"/>
  <c r="V69" i="8" s="1"/>
  <c r="U8" i="7"/>
  <c r="U65" i="7" s="1"/>
  <c r="U69" i="8" s="1"/>
  <c r="T8" i="7"/>
  <c r="T65" i="7" s="1"/>
  <c r="T69" i="8" s="1"/>
  <c r="S8" i="7"/>
  <c r="S65" i="7" s="1"/>
  <c r="S69" i="8" s="1"/>
  <c r="R8" i="7"/>
  <c r="R65" i="7" s="1"/>
  <c r="R69" i="8" s="1"/>
  <c r="Q8" i="7"/>
  <c r="Q65" i="7" s="1"/>
  <c r="Q69" i="8" s="1"/>
  <c r="P8" i="7"/>
  <c r="P65" i="7" s="1"/>
  <c r="P69" i="8" s="1"/>
  <c r="O8" i="7"/>
  <c r="O65" i="7" s="1"/>
  <c r="O69" i="8" s="1"/>
  <c r="N8" i="7"/>
  <c r="N65" i="7" s="1"/>
  <c r="N69" i="8" s="1"/>
  <c r="M8" i="7"/>
  <c r="M65" i="7" s="1"/>
  <c r="M69" i="8" s="1"/>
  <c r="L8" i="7"/>
  <c r="L65" i="7" s="1"/>
  <c r="L69" i="8" s="1"/>
  <c r="K8" i="7"/>
  <c r="K65" i="7" s="1"/>
  <c r="K69" i="8" s="1"/>
  <c r="J8" i="7"/>
  <c r="J65" i="7" s="1"/>
  <c r="J69" i="8" s="1"/>
  <c r="I8" i="7"/>
  <c r="I65" i="7" s="1"/>
  <c r="I69" i="8" s="1"/>
  <c r="H8" i="7"/>
  <c r="G8" i="7"/>
  <c r="F8" i="7"/>
  <c r="F65" i="7" s="1"/>
  <c r="F69" i="8" s="1"/>
  <c r="E8" i="7"/>
  <c r="E65" i="7" s="1"/>
  <c r="E69" i="8" s="1"/>
  <c r="D8" i="7"/>
  <c r="D65" i="7" s="1"/>
  <c r="B8" i="7"/>
  <c r="AC7" i="7"/>
  <c r="AC64" i="7" s="1"/>
  <c r="AC68" i="8" s="1"/>
  <c r="AB7" i="7"/>
  <c r="AB64" i="7" s="1"/>
  <c r="AB68" i="8" s="1"/>
  <c r="AA7" i="7"/>
  <c r="AA64" i="7" s="1"/>
  <c r="AA68" i="8" s="1"/>
  <c r="Z7" i="7"/>
  <c r="Z64" i="7" s="1"/>
  <c r="Z68" i="8" s="1"/>
  <c r="Y7" i="7"/>
  <c r="Y64" i="7" s="1"/>
  <c r="Y68" i="8" s="1"/>
  <c r="X7" i="7"/>
  <c r="X64" i="7" s="1"/>
  <c r="X68" i="8" s="1"/>
  <c r="W7" i="7"/>
  <c r="W64" i="7" s="1"/>
  <c r="W68" i="8" s="1"/>
  <c r="V7" i="7"/>
  <c r="V64" i="7" s="1"/>
  <c r="V68" i="8" s="1"/>
  <c r="U7" i="7"/>
  <c r="U64" i="7" s="1"/>
  <c r="U68" i="8" s="1"/>
  <c r="T7" i="7"/>
  <c r="T64" i="7" s="1"/>
  <c r="T68" i="8" s="1"/>
  <c r="S7" i="7"/>
  <c r="R7" i="7"/>
  <c r="R64" i="7" s="1"/>
  <c r="R68" i="8" s="1"/>
  <c r="Q7" i="7"/>
  <c r="Q64" i="7" s="1"/>
  <c r="Q68" i="8" s="1"/>
  <c r="P7" i="7"/>
  <c r="P64" i="7" s="1"/>
  <c r="P68" i="8" s="1"/>
  <c r="O7" i="7"/>
  <c r="O64" i="7" s="1"/>
  <c r="O68" i="8" s="1"/>
  <c r="N7" i="7"/>
  <c r="N64" i="7" s="1"/>
  <c r="N68" i="8" s="1"/>
  <c r="M7" i="7"/>
  <c r="M64" i="7" s="1"/>
  <c r="M68" i="8" s="1"/>
  <c r="L7" i="7"/>
  <c r="L64" i="7" s="1"/>
  <c r="L68" i="8" s="1"/>
  <c r="K7" i="7"/>
  <c r="K64" i="7" s="1"/>
  <c r="K68" i="8" s="1"/>
  <c r="J7" i="7"/>
  <c r="J64" i="7" s="1"/>
  <c r="J68" i="8" s="1"/>
  <c r="I7" i="7"/>
  <c r="I64" i="7" s="1"/>
  <c r="I68" i="8" s="1"/>
  <c r="H7" i="7"/>
  <c r="H64" i="7" s="1"/>
  <c r="H68" i="8" s="1"/>
  <c r="G7" i="7"/>
  <c r="G64" i="7" s="1"/>
  <c r="G68" i="8" s="1"/>
  <c r="F7" i="7"/>
  <c r="F64" i="7" s="1"/>
  <c r="F68" i="8" s="1"/>
  <c r="E7" i="7"/>
  <c r="E64" i="7" s="1"/>
  <c r="E68" i="8" s="1"/>
  <c r="D7" i="7"/>
  <c r="D64" i="7" s="1"/>
  <c r="D68" i="8" s="1"/>
  <c r="B7" i="7"/>
  <c r="AC6" i="7"/>
  <c r="AB6" i="7"/>
  <c r="AA6" i="7"/>
  <c r="Z6" i="7"/>
  <c r="Y6" i="7"/>
  <c r="X6" i="7"/>
  <c r="W6" i="7"/>
  <c r="V6" i="7"/>
  <c r="U6" i="7"/>
  <c r="T6" i="7"/>
  <c r="S6" i="7"/>
  <c r="R6" i="7"/>
  <c r="Q6" i="7"/>
  <c r="P6" i="7"/>
  <c r="O6" i="7"/>
  <c r="N6" i="7"/>
  <c r="M6" i="7"/>
  <c r="L6" i="7"/>
  <c r="K6" i="7"/>
  <c r="J6" i="7"/>
  <c r="I6" i="7"/>
  <c r="H6" i="7"/>
  <c r="H63" i="7" s="1"/>
  <c r="G6" i="7"/>
  <c r="G63" i="7" s="1"/>
  <c r="F6" i="7"/>
  <c r="E6" i="7"/>
  <c r="D6" i="7"/>
  <c r="B6" i="7"/>
  <c r="T63" i="7" s="1"/>
  <c r="AC5" i="7"/>
  <c r="AB5" i="7"/>
  <c r="AA5" i="7"/>
  <c r="Z5" i="7"/>
  <c r="Y5" i="7"/>
  <c r="X5" i="7"/>
  <c r="X62" i="7" s="1"/>
  <c r="W5" i="7"/>
  <c r="W62" i="7" s="1"/>
  <c r="V5" i="7"/>
  <c r="V62" i="7" s="1"/>
  <c r="U5" i="7"/>
  <c r="U62" i="7" s="1"/>
  <c r="T5" i="7"/>
  <c r="T62" i="7" s="1"/>
  <c r="S5" i="7"/>
  <c r="S62" i="7" s="1"/>
  <c r="R5" i="7"/>
  <c r="R62" i="7" s="1"/>
  <c r="Q5" i="7"/>
  <c r="Q62" i="7" s="1"/>
  <c r="P5" i="7"/>
  <c r="P62" i="7" s="1"/>
  <c r="O5" i="7"/>
  <c r="O62" i="7" s="1"/>
  <c r="N5" i="7"/>
  <c r="N62" i="7" s="1"/>
  <c r="M5" i="7"/>
  <c r="M62" i="7" s="1"/>
  <c r="L5" i="7"/>
  <c r="L62" i="7" s="1"/>
  <c r="K5" i="7"/>
  <c r="K62" i="7" s="1"/>
  <c r="J5" i="7"/>
  <c r="J62" i="7" s="1"/>
  <c r="I5" i="7"/>
  <c r="I62" i="7" s="1"/>
  <c r="H5" i="7"/>
  <c r="H62" i="7" s="1"/>
  <c r="G5" i="7"/>
  <c r="F5" i="7"/>
  <c r="F62" i="7" s="1"/>
  <c r="E5" i="7"/>
  <c r="D5" i="7"/>
  <c r="B5" i="7"/>
  <c r="AC4" i="7"/>
  <c r="AC61" i="7" s="1"/>
  <c r="AC65" i="8" s="1"/>
  <c r="AB4" i="7"/>
  <c r="AB61" i="7" s="1"/>
  <c r="AB65" i="8" s="1"/>
  <c r="AA4" i="7"/>
  <c r="AA61" i="7" s="1"/>
  <c r="AA65" i="8" s="1"/>
  <c r="Z4" i="7"/>
  <c r="Z61" i="7" s="1"/>
  <c r="Z65" i="8" s="1"/>
  <c r="Y4" i="7"/>
  <c r="Y61" i="7" s="1"/>
  <c r="Y65" i="8" s="1"/>
  <c r="X4" i="7"/>
  <c r="X61" i="7" s="1"/>
  <c r="X65" i="8" s="1"/>
  <c r="W4" i="7"/>
  <c r="W61" i="7" s="1"/>
  <c r="W65" i="8" s="1"/>
  <c r="V4" i="7"/>
  <c r="V61" i="7" s="1"/>
  <c r="V65" i="8" s="1"/>
  <c r="U4" i="7"/>
  <c r="U61" i="7" s="1"/>
  <c r="U65" i="8" s="1"/>
  <c r="T4" i="7"/>
  <c r="T61" i="7" s="1"/>
  <c r="T65" i="8" s="1"/>
  <c r="S4" i="7"/>
  <c r="S61" i="7" s="1"/>
  <c r="S65" i="8" s="1"/>
  <c r="R4" i="7"/>
  <c r="R61" i="7" s="1"/>
  <c r="R65" i="8" s="1"/>
  <c r="Q4" i="7"/>
  <c r="Q61" i="7" s="1"/>
  <c r="Q65" i="8" s="1"/>
  <c r="P4" i="7"/>
  <c r="P61" i="7" s="1"/>
  <c r="P65" i="8" s="1"/>
  <c r="O4" i="7"/>
  <c r="O61" i="7" s="1"/>
  <c r="O65" i="8" s="1"/>
  <c r="N4" i="7"/>
  <c r="N61" i="7" s="1"/>
  <c r="N65" i="8" s="1"/>
  <c r="M4" i="7"/>
  <c r="M61" i="7" s="1"/>
  <c r="M65" i="8" s="1"/>
  <c r="L4" i="7"/>
  <c r="L61" i="7" s="1"/>
  <c r="L65" i="8" s="1"/>
  <c r="K4" i="7"/>
  <c r="K61" i="7" s="1"/>
  <c r="K65" i="8" s="1"/>
  <c r="J4" i="7"/>
  <c r="J61" i="7" s="1"/>
  <c r="J65" i="8" s="1"/>
  <c r="I4" i="7"/>
  <c r="I61" i="7" s="1"/>
  <c r="I65" i="8" s="1"/>
  <c r="H4" i="7"/>
  <c r="H61" i="7" s="1"/>
  <c r="H65" i="8" s="1"/>
  <c r="G4" i="7"/>
  <c r="F4" i="7"/>
  <c r="F61" i="7" s="1"/>
  <c r="F65" i="8" s="1"/>
  <c r="E4" i="7"/>
  <c r="E61" i="7" s="1"/>
  <c r="E65" i="8" s="1"/>
  <c r="D4" i="7"/>
  <c r="D61" i="7" s="1"/>
  <c r="B4" i="7"/>
  <c r="E28" i="9" l="1"/>
  <c r="D28" i="9"/>
  <c r="E145" i="8"/>
  <c r="J63" i="7"/>
  <c r="N108" i="7"/>
  <c r="AB86" i="7"/>
  <c r="D65" i="8"/>
  <c r="D121" i="8" s="1"/>
  <c r="D9" i="8"/>
  <c r="E9" i="8" s="1"/>
  <c r="F9" i="8" s="1"/>
  <c r="G9" i="8" s="1"/>
  <c r="H9" i="8" s="1"/>
  <c r="I9" i="8" s="1"/>
  <c r="J9" i="8" s="1"/>
  <c r="K9" i="8" s="1"/>
  <c r="L9" i="8" s="1"/>
  <c r="M9" i="8" s="1"/>
  <c r="N9" i="8" s="1"/>
  <c r="O9" i="8" s="1"/>
  <c r="P9" i="8" s="1"/>
  <c r="Q9" i="8" s="1"/>
  <c r="R9" i="8" s="1"/>
  <c r="S9" i="8" s="1"/>
  <c r="T9" i="8" s="1"/>
  <c r="U9" i="8" s="1"/>
  <c r="V9" i="8" s="1"/>
  <c r="W9" i="8" s="1"/>
  <c r="X9" i="8" s="1"/>
  <c r="Y9" i="8" s="1"/>
  <c r="Z9" i="8" s="1"/>
  <c r="AA9" i="8" s="1"/>
  <c r="AB9" i="8" s="1"/>
  <c r="AC9" i="8" s="1"/>
  <c r="K91" i="7"/>
  <c r="R94" i="7"/>
  <c r="D86" i="8"/>
  <c r="D142" i="8" s="1"/>
  <c r="D30" i="8"/>
  <c r="E30" i="8" s="1"/>
  <c r="F30" i="8" s="1"/>
  <c r="G30" i="8" s="1"/>
  <c r="H30" i="8" s="1"/>
  <c r="I30" i="8" s="1"/>
  <c r="J30" i="8" s="1"/>
  <c r="K30" i="8" s="1"/>
  <c r="L30" i="8" s="1"/>
  <c r="M30" i="8" s="1"/>
  <c r="N30" i="8" s="1"/>
  <c r="O30" i="8" s="1"/>
  <c r="P30" i="8" s="1"/>
  <c r="Q30" i="8" s="1"/>
  <c r="R30" i="8" s="1"/>
  <c r="S30" i="8" s="1"/>
  <c r="T30" i="8" s="1"/>
  <c r="U30" i="8" s="1"/>
  <c r="V30" i="8" s="1"/>
  <c r="W30" i="8" s="1"/>
  <c r="X30" i="8" s="1"/>
  <c r="Y30" i="8" s="1"/>
  <c r="Z30" i="8" s="1"/>
  <c r="AA30" i="8" s="1"/>
  <c r="AB30" i="8" s="1"/>
  <c r="AC30" i="8" s="1"/>
  <c r="E31" i="9"/>
  <c r="D31" i="9"/>
  <c r="E148" i="8"/>
  <c r="S94" i="7"/>
  <c r="N95" i="7"/>
  <c r="Y63" i="7"/>
  <c r="F136" i="8"/>
  <c r="F19" i="9"/>
  <c r="AA95" i="7"/>
  <c r="Q63" i="7"/>
  <c r="E13" i="9"/>
  <c r="D13" i="9"/>
  <c r="E130" i="8"/>
  <c r="D14" i="9"/>
  <c r="E14" i="9"/>
  <c r="E131" i="8"/>
  <c r="D22" i="8"/>
  <c r="E22" i="8" s="1"/>
  <c r="F22" i="8" s="1"/>
  <c r="G22" i="8" s="1"/>
  <c r="H22" i="8" s="1"/>
  <c r="I22" i="8" s="1"/>
  <c r="J22" i="8" s="1"/>
  <c r="K22" i="8" s="1"/>
  <c r="L22" i="8" s="1"/>
  <c r="M22" i="8" s="1"/>
  <c r="N22" i="8" s="1"/>
  <c r="O22" i="8" s="1"/>
  <c r="P22" i="8" s="1"/>
  <c r="Q22" i="8" s="1"/>
  <c r="R22" i="8" s="1"/>
  <c r="S22" i="8" s="1"/>
  <c r="T22" i="8" s="1"/>
  <c r="U22" i="8" s="1"/>
  <c r="V22" i="8" s="1"/>
  <c r="W22" i="8" s="1"/>
  <c r="X22" i="8" s="1"/>
  <c r="Y22" i="8" s="1"/>
  <c r="Z22" i="8" s="1"/>
  <c r="AA22" i="8" s="1"/>
  <c r="AB22" i="8" s="1"/>
  <c r="AC22" i="8" s="1"/>
  <c r="D85" i="8"/>
  <c r="D141" i="8" s="1"/>
  <c r="D29" i="8"/>
  <c r="E29" i="8" s="1"/>
  <c r="F29" i="8" s="1"/>
  <c r="G29" i="8" s="1"/>
  <c r="H29" i="8" s="1"/>
  <c r="I29" i="8" s="1"/>
  <c r="J29" i="8" s="1"/>
  <c r="K29" i="8" s="1"/>
  <c r="L29" i="8" s="1"/>
  <c r="M29" i="8" s="1"/>
  <c r="N29" i="8" s="1"/>
  <c r="O29" i="8" s="1"/>
  <c r="P29" i="8" s="1"/>
  <c r="Q29" i="8" s="1"/>
  <c r="R29" i="8" s="1"/>
  <c r="S29" i="8" s="1"/>
  <c r="T29" i="8" s="1"/>
  <c r="U29" i="8" s="1"/>
  <c r="V29" i="8" s="1"/>
  <c r="W29" i="8" s="1"/>
  <c r="X29" i="8" s="1"/>
  <c r="Y29" i="8" s="1"/>
  <c r="Z29" i="8" s="1"/>
  <c r="AA29" i="8" s="1"/>
  <c r="AB29" i="8" s="1"/>
  <c r="AC29" i="8" s="1"/>
  <c r="W86" i="7"/>
  <c r="AC63" i="7"/>
  <c r="X86" i="7"/>
  <c r="W95" i="7"/>
  <c r="X108" i="7"/>
  <c r="E21" i="9"/>
  <c r="D21" i="9"/>
  <c r="E138" i="8"/>
  <c r="E124" i="8"/>
  <c r="E7" i="9"/>
  <c r="D7" i="9"/>
  <c r="Z63" i="7"/>
  <c r="D81" i="8"/>
  <c r="D137" i="8" s="1"/>
  <c r="D25" i="8"/>
  <c r="E25" i="8" s="1"/>
  <c r="F25" i="8" s="1"/>
  <c r="G25" i="8" s="1"/>
  <c r="H25" i="8" s="1"/>
  <c r="I25" i="8" s="1"/>
  <c r="J25" i="8" s="1"/>
  <c r="K25" i="8" s="1"/>
  <c r="L25" i="8" s="1"/>
  <c r="M25" i="8" s="1"/>
  <c r="N25" i="8" s="1"/>
  <c r="O25" i="8" s="1"/>
  <c r="P25" i="8" s="1"/>
  <c r="Q25" i="8" s="1"/>
  <c r="R25" i="8" s="1"/>
  <c r="S25" i="8" s="1"/>
  <c r="T25" i="8" s="1"/>
  <c r="U25" i="8" s="1"/>
  <c r="V25" i="8" s="1"/>
  <c r="W25" i="8" s="1"/>
  <c r="X25" i="8" s="1"/>
  <c r="Y25" i="8" s="1"/>
  <c r="Z25" i="8" s="1"/>
  <c r="AA25" i="8" s="1"/>
  <c r="AB25" i="8" s="1"/>
  <c r="AC25" i="8" s="1"/>
  <c r="G94" i="7"/>
  <c r="H94" i="7"/>
  <c r="O95" i="7"/>
  <c r="J95" i="7"/>
  <c r="Y95" i="7"/>
  <c r="D108" i="7"/>
  <c r="Z108" i="7"/>
  <c r="AA86" i="7"/>
  <c r="D95" i="7"/>
  <c r="K63" i="7"/>
  <c r="F86" i="7"/>
  <c r="E95" i="7"/>
  <c r="AB108" i="7"/>
  <c r="P108" i="7"/>
  <c r="K94" i="7"/>
  <c r="AC108" i="7"/>
  <c r="M63" i="7"/>
  <c r="E91" i="7"/>
  <c r="N63" i="7"/>
  <c r="D69" i="8"/>
  <c r="D125" i="8" s="1"/>
  <c r="D13" i="8"/>
  <c r="E13" i="8" s="1"/>
  <c r="F13" i="8" s="1"/>
  <c r="G13" i="8" s="1"/>
  <c r="H13" i="8" s="1"/>
  <c r="I13" i="8" s="1"/>
  <c r="J13" i="8" s="1"/>
  <c r="K13" i="8" s="1"/>
  <c r="L13" i="8" s="1"/>
  <c r="M13" i="8" s="1"/>
  <c r="N13" i="8" s="1"/>
  <c r="O13" i="8" s="1"/>
  <c r="P13" i="8" s="1"/>
  <c r="Q13" i="8" s="1"/>
  <c r="R13" i="8" s="1"/>
  <c r="S13" i="8" s="1"/>
  <c r="T13" i="8" s="1"/>
  <c r="U13" i="8" s="1"/>
  <c r="V13" i="8" s="1"/>
  <c r="W13" i="8" s="1"/>
  <c r="X13" i="8" s="1"/>
  <c r="Y13" i="8" s="1"/>
  <c r="Z13" i="8" s="1"/>
  <c r="AA13" i="8" s="1"/>
  <c r="AB13" i="8" s="1"/>
  <c r="AC13" i="8" s="1"/>
  <c r="Y94" i="7"/>
  <c r="AC94" i="7"/>
  <c r="I94" i="7"/>
  <c r="Y91" i="7"/>
  <c r="F108" i="7"/>
  <c r="D91" i="7"/>
  <c r="O63" i="7"/>
  <c r="E134" i="8"/>
  <c r="D17" i="9"/>
  <c r="E17" i="9"/>
  <c r="J86" i="7"/>
  <c r="H86" i="7"/>
  <c r="K86" i="7"/>
  <c r="Y108" i="7"/>
  <c r="I63" i="7"/>
  <c r="E86" i="7"/>
  <c r="P63" i="7"/>
  <c r="E26" i="9"/>
  <c r="E143" i="8"/>
  <c r="D26" i="9"/>
  <c r="K108" i="7"/>
  <c r="D19" i="9"/>
  <c r="D63" i="7"/>
  <c r="J94" i="7"/>
  <c r="D35" i="9"/>
  <c r="E152" i="8"/>
  <c r="E35" i="9"/>
  <c r="P94" i="7"/>
  <c r="K95" i="7"/>
  <c r="D12" i="8"/>
  <c r="E12" i="8" s="1"/>
  <c r="F12" i="8" s="1"/>
  <c r="G12" i="8" s="1"/>
  <c r="H12" i="8" s="1"/>
  <c r="I12" i="8" s="1"/>
  <c r="J12" i="8" s="1"/>
  <c r="K12" i="8" s="1"/>
  <c r="L12" i="8" s="1"/>
  <c r="M12" i="8" s="1"/>
  <c r="N12" i="8" s="1"/>
  <c r="O12" i="8" s="1"/>
  <c r="P12" i="8" s="1"/>
  <c r="Q12" i="8" s="1"/>
  <c r="R12" i="8" s="1"/>
  <c r="S12" i="8" s="1"/>
  <c r="T12" i="8" s="1"/>
  <c r="U12" i="8" s="1"/>
  <c r="V12" i="8" s="1"/>
  <c r="W12" i="8" s="1"/>
  <c r="X12" i="8" s="1"/>
  <c r="Y12" i="8" s="1"/>
  <c r="Z12" i="8" s="1"/>
  <c r="AA12" i="8" s="1"/>
  <c r="AB12" i="8" s="1"/>
  <c r="AC12" i="8" s="1"/>
  <c r="E19" i="9"/>
  <c r="V63" i="7"/>
  <c r="X63" i="7"/>
  <c r="W63" i="7"/>
  <c r="Y86" i="7"/>
  <c r="D86" i="7"/>
  <c r="E16" i="9"/>
  <c r="E133" i="8"/>
  <c r="D16" i="9"/>
  <c r="O91" i="7"/>
  <c r="Q91" i="7"/>
  <c r="H91" i="7"/>
  <c r="L86" i="7"/>
  <c r="I91" i="7"/>
  <c r="D83" i="8"/>
  <c r="D139" i="8" s="1"/>
  <c r="D27" i="8"/>
  <c r="E27" i="8" s="1"/>
  <c r="F27" i="8" s="1"/>
  <c r="G27" i="8" s="1"/>
  <c r="H27" i="8" s="1"/>
  <c r="I27" i="8" s="1"/>
  <c r="J27" i="8" s="1"/>
  <c r="K27" i="8" s="1"/>
  <c r="L27" i="8" s="1"/>
  <c r="M27" i="8" s="1"/>
  <c r="N27" i="8" s="1"/>
  <c r="O27" i="8" s="1"/>
  <c r="P27" i="8" s="1"/>
  <c r="Q27" i="8" s="1"/>
  <c r="R27" i="8" s="1"/>
  <c r="S27" i="8" s="1"/>
  <c r="T27" i="8" s="1"/>
  <c r="U27" i="8" s="1"/>
  <c r="V27" i="8" s="1"/>
  <c r="W27" i="8" s="1"/>
  <c r="X27" i="8" s="1"/>
  <c r="Y27" i="8" s="1"/>
  <c r="Z27" i="8" s="1"/>
  <c r="AA27" i="8" s="1"/>
  <c r="AB27" i="8" s="1"/>
  <c r="AC27" i="8" s="1"/>
  <c r="Q94" i="7"/>
  <c r="L63" i="7"/>
  <c r="L101" i="7"/>
  <c r="AC66" i="7"/>
  <c r="X101" i="7"/>
  <c r="E63" i="7"/>
  <c r="D15" i="9"/>
  <c r="E132" i="8"/>
  <c r="E15" i="9"/>
  <c r="K75" i="7"/>
  <c r="V86" i="7"/>
  <c r="S91" i="7"/>
  <c r="D94" i="7"/>
  <c r="Z94" i="7"/>
  <c r="M101" i="7"/>
  <c r="Y103" i="7"/>
  <c r="J106" i="7"/>
  <c r="V108" i="7"/>
  <c r="L110" i="7"/>
  <c r="U108" i="7"/>
  <c r="AA63" i="7"/>
  <c r="F63" i="7"/>
  <c r="AB63" i="7"/>
  <c r="Y90" i="7"/>
  <c r="T91" i="7"/>
  <c r="E94" i="7"/>
  <c r="AA94" i="7"/>
  <c r="V95" i="7"/>
  <c r="L97" i="7"/>
  <c r="S100" i="7"/>
  <c r="N101" i="7"/>
  <c r="W108" i="7"/>
  <c r="D26" i="8"/>
  <c r="E26" i="8" s="1"/>
  <c r="F26" i="8" s="1"/>
  <c r="G26" i="8" s="1"/>
  <c r="H26" i="8" s="1"/>
  <c r="I26" i="8" s="1"/>
  <c r="J26" i="8" s="1"/>
  <c r="K26" i="8" s="1"/>
  <c r="L26" i="8" s="1"/>
  <c r="M26" i="8" s="1"/>
  <c r="N26" i="8" s="1"/>
  <c r="O26" i="8" s="1"/>
  <c r="P26" i="8" s="1"/>
  <c r="Q26" i="8" s="1"/>
  <c r="R26" i="8" s="1"/>
  <c r="S26" i="8" s="1"/>
  <c r="T26" i="8" s="1"/>
  <c r="U26" i="8" s="1"/>
  <c r="V26" i="8" s="1"/>
  <c r="W26" i="8" s="1"/>
  <c r="X26" i="8" s="1"/>
  <c r="Y26" i="8" s="1"/>
  <c r="Z26" i="8" s="1"/>
  <c r="AA26" i="8" s="1"/>
  <c r="AB26" i="8" s="1"/>
  <c r="AC26" i="8" s="1"/>
  <c r="D73" i="8"/>
  <c r="D129" i="8" s="1"/>
  <c r="D17" i="8"/>
  <c r="E17" i="8" s="1"/>
  <c r="F17" i="8" s="1"/>
  <c r="G17" i="8" s="1"/>
  <c r="H17" i="8" s="1"/>
  <c r="I17" i="8" s="1"/>
  <c r="J17" i="8" s="1"/>
  <c r="K17" i="8" s="1"/>
  <c r="L17" i="8" s="1"/>
  <c r="M17" i="8" s="1"/>
  <c r="N17" i="8" s="1"/>
  <c r="O17" i="8" s="1"/>
  <c r="P17" i="8" s="1"/>
  <c r="Q17" i="8" s="1"/>
  <c r="R17" i="8" s="1"/>
  <c r="S17" i="8" s="1"/>
  <c r="T17" i="8" s="1"/>
  <c r="U17" i="8" s="1"/>
  <c r="V17" i="8" s="1"/>
  <c r="W17" i="8" s="1"/>
  <c r="X17" i="8" s="1"/>
  <c r="Y17" i="8" s="1"/>
  <c r="Z17" i="8" s="1"/>
  <c r="AA17" i="8" s="1"/>
  <c r="AB17" i="8" s="1"/>
  <c r="AC17" i="8" s="1"/>
  <c r="G86" i="7"/>
  <c r="AC86" i="7"/>
  <c r="Z91" i="7"/>
  <c r="F95" i="7"/>
  <c r="AB95" i="7"/>
  <c r="T101" i="7"/>
  <c r="J103" i="7"/>
  <c r="V105" i="7"/>
  <c r="Q106" i="7"/>
  <c r="G108" i="7"/>
  <c r="S66" i="7"/>
  <c r="T66" i="7"/>
  <c r="AA91" i="7"/>
  <c r="L94" i="7"/>
  <c r="G95" i="7"/>
  <c r="AC95" i="7"/>
  <c r="S97" i="7"/>
  <c r="D100" i="7"/>
  <c r="Z100" i="7"/>
  <c r="U101" i="7"/>
  <c r="K103" i="7"/>
  <c r="W105" i="7"/>
  <c r="R106" i="7"/>
  <c r="H108" i="7"/>
  <c r="F106" i="7"/>
  <c r="I86" i="7"/>
  <c r="I108" i="7"/>
  <c r="D35" i="8"/>
  <c r="E35" i="8" s="1"/>
  <c r="F35" i="8" s="1"/>
  <c r="G35" i="8" s="1"/>
  <c r="H35" i="8" s="1"/>
  <c r="I35" i="8" s="1"/>
  <c r="J35" i="8" s="1"/>
  <c r="K35" i="8" s="1"/>
  <c r="L35" i="8" s="1"/>
  <c r="M35" i="8" s="1"/>
  <c r="N35" i="8" s="1"/>
  <c r="O35" i="8" s="1"/>
  <c r="P35" i="8" s="1"/>
  <c r="Q35" i="8" s="1"/>
  <c r="R35" i="8" s="1"/>
  <c r="S35" i="8" s="1"/>
  <c r="T35" i="8" s="1"/>
  <c r="U35" i="8" s="1"/>
  <c r="V35" i="8" s="1"/>
  <c r="W35" i="8" s="1"/>
  <c r="X35" i="8" s="1"/>
  <c r="Y35" i="8" s="1"/>
  <c r="Z35" i="8" s="1"/>
  <c r="AA35" i="8" s="1"/>
  <c r="AB35" i="8" s="1"/>
  <c r="AC35" i="8" s="1"/>
  <c r="D91" i="8"/>
  <c r="D147" i="8" s="1"/>
  <c r="F91" i="7"/>
  <c r="V66" i="7"/>
  <c r="L68" i="7"/>
  <c r="U75" i="7"/>
  <c r="G91" i="7"/>
  <c r="AC91" i="7"/>
  <c r="N94" i="7"/>
  <c r="I95" i="7"/>
  <c r="U97" i="7"/>
  <c r="AB100" i="7"/>
  <c r="W101" i="7"/>
  <c r="Y105" i="7"/>
  <c r="T106" i="7"/>
  <c r="J108" i="7"/>
  <c r="L108" i="7"/>
  <c r="M86" i="7"/>
  <c r="L95" i="7"/>
  <c r="D66" i="7"/>
  <c r="Z110" i="7"/>
  <c r="Z75" i="7"/>
  <c r="Y106" i="7"/>
  <c r="O108" i="7"/>
  <c r="E110" i="7"/>
  <c r="AA110" i="7"/>
  <c r="AA75" i="7"/>
  <c r="V97" i="7"/>
  <c r="M110" i="7"/>
  <c r="C4" i="8"/>
  <c r="D62" i="7"/>
  <c r="Z62" i="7"/>
  <c r="U63" i="7"/>
  <c r="F66" i="7"/>
  <c r="AB66" i="7"/>
  <c r="R68" i="7"/>
  <c r="E144" i="8"/>
  <c r="E27" i="9"/>
  <c r="D27" i="9"/>
  <c r="T94" i="7"/>
  <c r="L100" i="7"/>
  <c r="AC101" i="7"/>
  <c r="D106" i="7"/>
  <c r="S110" i="7"/>
  <c r="D20" i="8"/>
  <c r="E20" i="8" s="1"/>
  <c r="F20" i="8" s="1"/>
  <c r="G20" i="8" s="1"/>
  <c r="H20" i="8" s="1"/>
  <c r="I20" i="8" s="1"/>
  <c r="J20" i="8" s="1"/>
  <c r="K20" i="8" s="1"/>
  <c r="L20" i="8" s="1"/>
  <c r="M20" i="8" s="1"/>
  <c r="N20" i="8" s="1"/>
  <c r="O20" i="8" s="1"/>
  <c r="P20" i="8" s="1"/>
  <c r="Q20" i="8" s="1"/>
  <c r="R20" i="8" s="1"/>
  <c r="S20" i="8" s="1"/>
  <c r="T20" i="8" s="1"/>
  <c r="U20" i="8" s="1"/>
  <c r="V20" i="8" s="1"/>
  <c r="W20" i="8" s="1"/>
  <c r="X20" i="8" s="1"/>
  <c r="Y20" i="8" s="1"/>
  <c r="Z20" i="8" s="1"/>
  <c r="AA20" i="8" s="1"/>
  <c r="AB20" i="8" s="1"/>
  <c r="AC20" i="8" s="1"/>
  <c r="D28" i="8"/>
  <c r="E28" i="8" s="1"/>
  <c r="F28" i="8" s="1"/>
  <c r="G28" i="8" s="1"/>
  <c r="H28" i="8" s="1"/>
  <c r="I28" i="8" s="1"/>
  <c r="J28" i="8" s="1"/>
  <c r="K28" i="8" s="1"/>
  <c r="L28" i="8" s="1"/>
  <c r="M28" i="8" s="1"/>
  <c r="N28" i="8" s="1"/>
  <c r="O28" i="8" s="1"/>
  <c r="P28" i="8" s="1"/>
  <c r="Q28" i="8" s="1"/>
  <c r="R28" i="8" s="1"/>
  <c r="S28" i="8" s="1"/>
  <c r="T28" i="8" s="1"/>
  <c r="U28" i="8" s="1"/>
  <c r="V28" i="8" s="1"/>
  <c r="W28" i="8" s="1"/>
  <c r="X28" i="8" s="1"/>
  <c r="Y28" i="8" s="1"/>
  <c r="Z28" i="8" s="1"/>
  <c r="AA28" i="8" s="1"/>
  <c r="AB28" i="8" s="1"/>
  <c r="AC28" i="8" s="1"/>
  <c r="E66" i="7"/>
  <c r="D75" i="7"/>
  <c r="L91" i="7"/>
  <c r="F101" i="7"/>
  <c r="S68" i="7"/>
  <c r="Q86" i="7"/>
  <c r="S90" i="7"/>
  <c r="N91" i="7"/>
  <c r="U94" i="7"/>
  <c r="AB97" i="7"/>
  <c r="T110" i="7"/>
  <c r="J91" i="7"/>
  <c r="Z101" i="7"/>
  <c r="M108" i="7"/>
  <c r="Y110" i="7"/>
  <c r="D24" i="8"/>
  <c r="E24" i="8" s="1"/>
  <c r="F24" i="8" s="1"/>
  <c r="G24" i="8" s="1"/>
  <c r="H24" i="8" s="1"/>
  <c r="I24" i="8" s="1"/>
  <c r="J24" i="8" s="1"/>
  <c r="K24" i="8" s="1"/>
  <c r="L24" i="8" s="1"/>
  <c r="M24" i="8" s="1"/>
  <c r="N24" i="8" s="1"/>
  <c r="O24" i="8" s="1"/>
  <c r="P24" i="8" s="1"/>
  <c r="Q24" i="8" s="1"/>
  <c r="R24" i="8" s="1"/>
  <c r="S24" i="8" s="1"/>
  <c r="T24" i="8" s="1"/>
  <c r="U24" i="8" s="1"/>
  <c r="V24" i="8" s="1"/>
  <c r="W24" i="8" s="1"/>
  <c r="X24" i="8" s="1"/>
  <c r="Y24" i="8" s="1"/>
  <c r="Z24" i="8" s="1"/>
  <c r="AA24" i="8" s="1"/>
  <c r="AB24" i="8" s="1"/>
  <c r="AC24" i="8" s="1"/>
  <c r="Z66" i="7"/>
  <c r="P68" i="7"/>
  <c r="N86" i="7"/>
  <c r="M95" i="7"/>
  <c r="Y97" i="7"/>
  <c r="AA101" i="7"/>
  <c r="Y62" i="7"/>
  <c r="O86" i="7"/>
  <c r="D97" i="7"/>
  <c r="E62" i="7"/>
  <c r="G66" i="7"/>
  <c r="AB75" i="7"/>
  <c r="AB62" i="7"/>
  <c r="T68" i="7"/>
  <c r="G75" i="7"/>
  <c r="AC75" i="7"/>
  <c r="E140" i="8"/>
  <c r="E23" i="9"/>
  <c r="D23" i="9"/>
  <c r="R86" i="7"/>
  <c r="Y89" i="7"/>
  <c r="T90" i="7"/>
  <c r="Q95" i="7"/>
  <c r="K105" i="7"/>
  <c r="H110" i="7"/>
  <c r="H101" i="7"/>
  <c r="D36" i="8"/>
  <c r="E36" i="8" s="1"/>
  <c r="F36" i="8" s="1"/>
  <c r="G36" i="8" s="1"/>
  <c r="H36" i="8" s="1"/>
  <c r="I36" i="8" s="1"/>
  <c r="J36" i="8" s="1"/>
  <c r="K36" i="8" s="1"/>
  <c r="L36" i="8" s="1"/>
  <c r="M36" i="8" s="1"/>
  <c r="N36" i="8" s="1"/>
  <c r="O36" i="8" s="1"/>
  <c r="P36" i="8" s="1"/>
  <c r="Q36" i="8" s="1"/>
  <c r="R36" i="8" s="1"/>
  <c r="S36" i="8" s="1"/>
  <c r="T36" i="8" s="1"/>
  <c r="U36" i="8" s="1"/>
  <c r="V36" i="8" s="1"/>
  <c r="W36" i="8" s="1"/>
  <c r="X36" i="8" s="1"/>
  <c r="Y36" i="8" s="1"/>
  <c r="Z36" i="8" s="1"/>
  <c r="AA36" i="8" s="1"/>
  <c r="AB36" i="8" s="1"/>
  <c r="AC36" i="8" s="1"/>
  <c r="R63" i="7"/>
  <c r="Y66" i="7"/>
  <c r="S63" i="7"/>
  <c r="Y75" i="7"/>
  <c r="D110" i="7"/>
  <c r="AB101" i="7"/>
  <c r="AA62" i="7"/>
  <c r="F75" i="7"/>
  <c r="G62" i="7"/>
  <c r="AC62" i="7"/>
  <c r="I66" i="7"/>
  <c r="D71" i="8"/>
  <c r="D127" i="8" s="1"/>
  <c r="D15" i="8"/>
  <c r="E15" i="8" s="1"/>
  <c r="F15" i="8" s="1"/>
  <c r="G15" i="8" s="1"/>
  <c r="H15" i="8" s="1"/>
  <c r="I15" i="8" s="1"/>
  <c r="J15" i="8" s="1"/>
  <c r="K15" i="8" s="1"/>
  <c r="L15" i="8" s="1"/>
  <c r="M15" i="8" s="1"/>
  <c r="N15" i="8" s="1"/>
  <c r="O15" i="8" s="1"/>
  <c r="P15" i="8" s="1"/>
  <c r="Q15" i="8" s="1"/>
  <c r="R15" i="8" s="1"/>
  <c r="S15" i="8" s="1"/>
  <c r="T15" i="8" s="1"/>
  <c r="U15" i="8" s="1"/>
  <c r="V15" i="8" s="1"/>
  <c r="W15" i="8" s="1"/>
  <c r="X15" i="8" s="1"/>
  <c r="Y15" i="8" s="1"/>
  <c r="Z15" i="8" s="1"/>
  <c r="AA15" i="8" s="1"/>
  <c r="AB15" i="8" s="1"/>
  <c r="AC15" i="8" s="1"/>
  <c r="U68" i="7"/>
  <c r="H75" i="7"/>
  <c r="D89" i="7"/>
  <c r="W94" i="7"/>
  <c r="J101" i="7"/>
  <c r="V103" i="7"/>
  <c r="I110" i="7"/>
  <c r="W110" i="7"/>
  <c r="D103" i="7"/>
  <c r="Z103" i="7"/>
  <c r="P105" i="7"/>
  <c r="K106" i="7"/>
  <c r="D32" i="8"/>
  <c r="E32" i="8" s="1"/>
  <c r="F32" i="8" s="1"/>
  <c r="G32" i="8" s="1"/>
  <c r="H32" i="8" s="1"/>
  <c r="I32" i="8" s="1"/>
  <c r="J32" i="8" s="1"/>
  <c r="K32" i="8" s="1"/>
  <c r="L32" i="8" s="1"/>
  <c r="M32" i="8" s="1"/>
  <c r="N32" i="8" s="1"/>
  <c r="O32" i="8" s="1"/>
  <c r="P32" i="8" s="1"/>
  <c r="Q32" i="8" s="1"/>
  <c r="R32" i="8" s="1"/>
  <c r="S32" i="8" s="1"/>
  <c r="T32" i="8" s="1"/>
  <c r="U32" i="8" s="1"/>
  <c r="V32" i="8" s="1"/>
  <c r="W32" i="8" s="1"/>
  <c r="X32" i="8" s="1"/>
  <c r="Y32" i="8" s="1"/>
  <c r="Z32" i="8" s="1"/>
  <c r="AA32" i="8" s="1"/>
  <c r="AB32" i="8" s="1"/>
  <c r="AC32" i="8" s="1"/>
  <c r="U91" i="7"/>
  <c r="F94" i="7"/>
  <c r="AB94" i="7"/>
  <c r="M97" i="7"/>
  <c r="T100" i="7"/>
  <c r="O101" i="7"/>
  <c r="AA103" i="7"/>
  <c r="Q105" i="7"/>
  <c r="L106" i="7"/>
  <c r="N110" i="7"/>
  <c r="I111" i="7"/>
  <c r="D112" i="7"/>
  <c r="Z112" i="7"/>
  <c r="Z95" i="7"/>
  <c r="W100" i="7"/>
  <c r="R101" i="7"/>
  <c r="O106" i="7"/>
  <c r="AA108" i="7"/>
  <c r="Q110" i="7"/>
  <c r="G112" i="7"/>
  <c r="AC112" i="7"/>
  <c r="U112" i="7"/>
  <c r="AB91" i="7"/>
  <c r="H95" i="7"/>
  <c r="Y96" i="7"/>
  <c r="O98" i="7"/>
  <c r="E100" i="7"/>
  <c r="Q102" i="7"/>
  <c r="G104" i="7"/>
  <c r="AC104" i="7"/>
  <c r="S106" i="7"/>
  <c r="K112" i="7"/>
  <c r="D33" i="8"/>
  <c r="E33" i="8" s="1"/>
  <c r="F33" i="8" s="1"/>
  <c r="G33" i="8" s="1"/>
  <c r="H33" i="8" s="1"/>
  <c r="I33" i="8" s="1"/>
  <c r="J33" i="8" s="1"/>
  <c r="K33" i="8" s="1"/>
  <c r="L33" i="8" s="1"/>
  <c r="M33" i="8" s="1"/>
  <c r="N33" i="8" s="1"/>
  <c r="O33" i="8" s="1"/>
  <c r="P33" i="8" s="1"/>
  <c r="Q33" i="8" s="1"/>
  <c r="R33" i="8" s="1"/>
  <c r="S33" i="8" s="1"/>
  <c r="T33" i="8" s="1"/>
  <c r="U33" i="8" s="1"/>
  <c r="V33" i="8" s="1"/>
  <c r="W33" i="8" s="1"/>
  <c r="X33" i="8" s="1"/>
  <c r="Y33" i="8" s="1"/>
  <c r="Z33" i="8" s="1"/>
  <c r="AA33" i="8" s="1"/>
  <c r="AB33" i="8" s="1"/>
  <c r="AC33" i="8" s="1"/>
  <c r="R89" i="7"/>
  <c r="O94" i="7"/>
  <c r="E96" i="7"/>
  <c r="L99" i="7"/>
  <c r="N103" i="7"/>
  <c r="I104" i="7"/>
  <c r="D105" i="7"/>
  <c r="U106" i="7"/>
  <c r="M112" i="7"/>
  <c r="E75" i="7"/>
  <c r="P86" i="7"/>
  <c r="W89" i="7"/>
  <c r="R90" i="7"/>
  <c r="Y93" i="7"/>
  <c r="J96" i="7"/>
  <c r="E97" i="7"/>
  <c r="AA97" i="7"/>
  <c r="Q99" i="7"/>
  <c r="G101" i="7"/>
  <c r="X102" i="7"/>
  <c r="S103" i="7"/>
  <c r="N104" i="7"/>
  <c r="I105" i="7"/>
  <c r="U107" i="7"/>
  <c r="F110" i="7"/>
  <c r="AB110" i="7"/>
  <c r="W111" i="7"/>
  <c r="R112" i="7"/>
  <c r="P95" i="7"/>
  <c r="F97" i="7"/>
  <c r="M100" i="7"/>
  <c r="Y102" i="7"/>
  <c r="E106" i="7"/>
  <c r="Q108" i="7"/>
  <c r="G110" i="7"/>
  <c r="AC110" i="7"/>
  <c r="S112" i="7"/>
  <c r="V94" i="7"/>
  <c r="G97" i="7"/>
  <c r="AC97" i="7"/>
  <c r="N100" i="7"/>
  <c r="AB106" i="7"/>
  <c r="R108" i="7"/>
  <c r="U90" i="7"/>
  <c r="P91" i="7"/>
  <c r="R95" i="7"/>
  <c r="H97" i="7"/>
  <c r="Y98" i="7"/>
  <c r="O100" i="7"/>
  <c r="AA102" i="7"/>
  <c r="L105" i="7"/>
  <c r="AC106" i="7"/>
  <c r="S108" i="7"/>
  <c r="D111" i="7"/>
  <c r="I75" i="7"/>
  <c r="T86" i="7"/>
  <c r="E89" i="7"/>
  <c r="V90" i="7"/>
  <c r="X94" i="7"/>
  <c r="N96" i="7"/>
  <c r="P100" i="7"/>
  <c r="W103" i="7"/>
  <c r="R104" i="7"/>
  <c r="M105" i="7"/>
  <c r="Y107" i="7"/>
  <c r="T108" i="7"/>
  <c r="E111" i="7"/>
  <c r="AA111" i="7"/>
  <c r="N111" i="7"/>
  <c r="J112" i="7"/>
  <c r="D19" i="8"/>
  <c r="E19" i="8" s="1"/>
  <c r="F19" i="8" s="1"/>
  <c r="G19" i="8" s="1"/>
  <c r="H19" i="8" s="1"/>
  <c r="I19" i="8" s="1"/>
  <c r="J19" i="8" s="1"/>
  <c r="K19" i="8" s="1"/>
  <c r="L19" i="8" s="1"/>
  <c r="M19" i="8" s="1"/>
  <c r="N19" i="8" s="1"/>
  <c r="O19" i="8" s="1"/>
  <c r="P19" i="8" s="1"/>
  <c r="Q19" i="8" s="1"/>
  <c r="R19" i="8" s="1"/>
  <c r="S19" i="8" s="1"/>
  <c r="T19" i="8" s="1"/>
  <c r="U19" i="8" s="1"/>
  <c r="V19" i="8" s="1"/>
  <c r="W19" i="8" s="1"/>
  <c r="X19" i="8" s="1"/>
  <c r="Y19" i="8" s="1"/>
  <c r="Z19" i="8" s="1"/>
  <c r="AA19" i="8" s="1"/>
  <c r="AB19" i="8" s="1"/>
  <c r="AC19" i="8" s="1"/>
  <c r="D21" i="8"/>
  <c r="E21" i="8" s="1"/>
  <c r="F21" i="8" s="1"/>
  <c r="G21" i="8" s="1"/>
  <c r="H21" i="8" s="1"/>
  <c r="I21" i="8" s="1"/>
  <c r="J21" i="8" s="1"/>
  <c r="K21" i="8" s="1"/>
  <c r="L21" i="8" s="1"/>
  <c r="M21" i="8" s="1"/>
  <c r="N21" i="8" s="1"/>
  <c r="O21" i="8" s="1"/>
  <c r="P21" i="8" s="1"/>
  <c r="Q21" i="8" s="1"/>
  <c r="R21" i="8" s="1"/>
  <c r="S21" i="8" s="1"/>
  <c r="T21" i="8" s="1"/>
  <c r="U21" i="8" s="1"/>
  <c r="V21" i="8" s="1"/>
  <c r="W21" i="8" s="1"/>
  <c r="X21" i="8" s="1"/>
  <c r="Y21" i="8" s="1"/>
  <c r="Z21" i="8" s="1"/>
  <c r="AA21" i="8" s="1"/>
  <c r="AB21" i="8" s="1"/>
  <c r="AC21" i="8" s="1"/>
  <c r="D18" i="8"/>
  <c r="E18" i="8" s="1"/>
  <c r="F18" i="8" s="1"/>
  <c r="G18" i="8" s="1"/>
  <c r="H18" i="8" s="1"/>
  <c r="I18" i="8" s="1"/>
  <c r="J18" i="8" s="1"/>
  <c r="K18" i="8" s="1"/>
  <c r="L18" i="8" s="1"/>
  <c r="M18" i="8" s="1"/>
  <c r="N18" i="8" s="1"/>
  <c r="O18" i="8" s="1"/>
  <c r="P18" i="8" s="1"/>
  <c r="Q18" i="8" s="1"/>
  <c r="R18" i="8" s="1"/>
  <c r="S18" i="8" s="1"/>
  <c r="T18" i="8" s="1"/>
  <c r="U18" i="8" s="1"/>
  <c r="V18" i="8" s="1"/>
  <c r="W18" i="8" s="1"/>
  <c r="X18" i="8" s="1"/>
  <c r="Y18" i="8" s="1"/>
  <c r="Z18" i="8" s="1"/>
  <c r="AA18" i="8" s="1"/>
  <c r="AB18" i="8" s="1"/>
  <c r="AC18" i="8" s="1"/>
  <c r="B14" i="10"/>
  <c r="C14" i="10" s="1"/>
  <c r="D31" i="8"/>
  <c r="E31" i="8" s="1"/>
  <c r="F31" i="8" s="1"/>
  <c r="G31" i="8" s="1"/>
  <c r="H31" i="8" s="1"/>
  <c r="I31" i="8" s="1"/>
  <c r="J31" i="8" s="1"/>
  <c r="K31" i="8" s="1"/>
  <c r="L31" i="8" s="1"/>
  <c r="M31" i="8" s="1"/>
  <c r="N31" i="8" s="1"/>
  <c r="O31" i="8" s="1"/>
  <c r="P31" i="8" s="1"/>
  <c r="Q31" i="8" s="1"/>
  <c r="R31" i="8" s="1"/>
  <c r="S31" i="8" s="1"/>
  <c r="T31" i="8" s="1"/>
  <c r="U31" i="8" s="1"/>
  <c r="V31" i="8" s="1"/>
  <c r="W31" i="8" s="1"/>
  <c r="X31" i="8" s="1"/>
  <c r="Y31" i="8" s="1"/>
  <c r="Z31" i="8" s="1"/>
  <c r="AA31" i="8" s="1"/>
  <c r="AB31" i="8" s="1"/>
  <c r="AC31" i="8" s="1"/>
  <c r="D40" i="8"/>
  <c r="E40" i="8" s="1"/>
  <c r="F40" i="8" s="1"/>
  <c r="G40" i="8" s="1"/>
  <c r="H40" i="8" s="1"/>
  <c r="I40" i="8" s="1"/>
  <c r="J40" i="8" s="1"/>
  <c r="K40" i="8" s="1"/>
  <c r="L40" i="8" s="1"/>
  <c r="M40" i="8" s="1"/>
  <c r="N40" i="8" s="1"/>
  <c r="O40" i="8" s="1"/>
  <c r="P40" i="8" s="1"/>
  <c r="Q40" i="8" s="1"/>
  <c r="R40" i="8" s="1"/>
  <c r="S40" i="8" s="1"/>
  <c r="T40" i="8" s="1"/>
  <c r="U40" i="8" s="1"/>
  <c r="V40" i="8" s="1"/>
  <c r="W40" i="8" s="1"/>
  <c r="X40" i="8" s="1"/>
  <c r="Y40" i="8" s="1"/>
  <c r="Z40" i="8" s="1"/>
  <c r="AA40" i="8" s="1"/>
  <c r="AB40" i="8" s="1"/>
  <c r="AC40" i="8" s="1"/>
  <c r="F13" i="9" l="1"/>
  <c r="F130" i="8"/>
  <c r="D20" i="9"/>
  <c r="E137" i="8"/>
  <c r="E20" i="9"/>
  <c r="F27" i="9"/>
  <c r="F144" i="8"/>
  <c r="F31" i="9"/>
  <c r="F148" i="8"/>
  <c r="G136" i="8"/>
  <c r="G19" i="9"/>
  <c r="F17" i="9"/>
  <c r="F134" i="8"/>
  <c r="D24" i="9"/>
  <c r="E141" i="8"/>
  <c r="E24" i="9"/>
  <c r="F133" i="8"/>
  <c r="F16" i="9"/>
  <c r="F26" i="9"/>
  <c r="F143" i="8"/>
  <c r="N4" i="8"/>
  <c r="AC4" i="8"/>
  <c r="F4" i="8"/>
  <c r="Y4" i="8"/>
  <c r="K4" i="8"/>
  <c r="E4" i="8"/>
  <c r="AA4" i="8"/>
  <c r="R4" i="8"/>
  <c r="Q4" i="8"/>
  <c r="M4" i="8"/>
  <c r="S4" i="8"/>
  <c r="P4" i="8"/>
  <c r="O4" i="8"/>
  <c r="L4" i="8"/>
  <c r="W4" i="8"/>
  <c r="V4" i="8"/>
  <c r="Z4" i="8"/>
  <c r="X4" i="8"/>
  <c r="U4" i="8"/>
  <c r="T4" i="8"/>
  <c r="J4" i="8"/>
  <c r="D4" i="8"/>
  <c r="H4" i="8"/>
  <c r="G4" i="8"/>
  <c r="AB4" i="8"/>
  <c r="I4" i="8"/>
  <c r="F15" i="9"/>
  <c r="F132" i="8"/>
  <c r="E4" i="9"/>
  <c r="D4" i="9"/>
  <c r="E121" i="8"/>
  <c r="F35" i="9"/>
  <c r="F152" i="8"/>
  <c r="F7" i="9"/>
  <c r="F124" i="8"/>
  <c r="F28" i="9"/>
  <c r="F145" i="8"/>
  <c r="F140" i="8"/>
  <c r="F23" i="9"/>
  <c r="D8" i="9"/>
  <c r="E125" i="8"/>
  <c r="E8" i="9"/>
  <c r="E127" i="8"/>
  <c r="D10" i="9"/>
  <c r="E10" i="9"/>
  <c r="F21" i="9"/>
  <c r="F138" i="8"/>
  <c r="F14" i="9"/>
  <c r="F131" i="8"/>
  <c r="E25" i="9"/>
  <c r="E142" i="8"/>
  <c r="D25" i="9"/>
  <c r="E22" i="9"/>
  <c r="E139" i="8"/>
  <c r="D22" i="9"/>
  <c r="E30" i="9"/>
  <c r="D30" i="9"/>
  <c r="E147" i="8"/>
  <c r="E129" i="8"/>
  <c r="D12" i="9"/>
  <c r="E12" i="9"/>
  <c r="G133" i="8" l="1"/>
  <c r="G16" i="9"/>
  <c r="F137" i="8"/>
  <c r="F20" i="9"/>
  <c r="F147" i="8"/>
  <c r="F30" i="9"/>
  <c r="F4" i="9"/>
  <c r="F121" i="8"/>
  <c r="F125" i="8"/>
  <c r="F8" i="9"/>
  <c r="G14" i="9"/>
  <c r="G131" i="8"/>
  <c r="G23" i="9"/>
  <c r="G140" i="8"/>
  <c r="G15" i="9"/>
  <c r="G132" i="8"/>
  <c r="G138" i="8"/>
  <c r="G21" i="9"/>
  <c r="G28" i="9"/>
  <c r="G145" i="8"/>
  <c r="G124" i="8"/>
  <c r="G7" i="9"/>
  <c r="F25" i="9"/>
  <c r="F142" i="8"/>
  <c r="F22" i="9"/>
  <c r="F139" i="8"/>
  <c r="F127" i="8"/>
  <c r="F10" i="9"/>
  <c r="D5" i="8"/>
  <c r="G13" i="9"/>
  <c r="G130" i="8"/>
  <c r="F12" i="9"/>
  <c r="F129" i="8"/>
  <c r="G26" i="9"/>
  <c r="G143" i="8"/>
  <c r="F24" i="9"/>
  <c r="F141" i="8"/>
  <c r="G31" i="9"/>
  <c r="G148" i="8"/>
  <c r="G27" i="9"/>
  <c r="G144" i="8"/>
  <c r="H19" i="9"/>
  <c r="H136" i="8"/>
  <c r="G35" i="9"/>
  <c r="G152" i="8"/>
  <c r="G134" i="8"/>
  <c r="G17" i="9"/>
  <c r="H13" i="9" l="1"/>
  <c r="H130" i="8"/>
  <c r="H26" i="9"/>
  <c r="H143" i="8"/>
  <c r="H14" i="9"/>
  <c r="H131" i="8"/>
  <c r="G129" i="8"/>
  <c r="G12" i="9"/>
  <c r="H28" i="9"/>
  <c r="H145" i="8"/>
  <c r="H27" i="9"/>
  <c r="H144" i="8"/>
  <c r="G121" i="8"/>
  <c r="G4" i="9"/>
  <c r="H148" i="8"/>
  <c r="H31" i="9"/>
  <c r="G24" i="9"/>
  <c r="G141" i="8"/>
  <c r="G139" i="8"/>
  <c r="G22" i="9"/>
  <c r="G30" i="9"/>
  <c r="G147" i="8"/>
  <c r="H21" i="9"/>
  <c r="H138" i="8"/>
  <c r="H134" i="8"/>
  <c r="H17" i="9"/>
  <c r="G20" i="9"/>
  <c r="G137" i="8"/>
  <c r="G8" i="9"/>
  <c r="G125" i="8"/>
  <c r="G127" i="8"/>
  <c r="G10" i="9"/>
  <c r="H132" i="8"/>
  <c r="H15" i="9"/>
  <c r="D108" i="8"/>
  <c r="D164" i="8" s="1"/>
  <c r="D11" i="8"/>
  <c r="D16" i="8"/>
  <c r="D52" i="8"/>
  <c r="D103" i="8"/>
  <c r="D159" i="8" s="1"/>
  <c r="D47" i="8"/>
  <c r="D44" i="8"/>
  <c r="D105" i="8"/>
  <c r="D161" i="8" s="1"/>
  <c r="D48" i="8"/>
  <c r="D49" i="8"/>
  <c r="D57" i="8"/>
  <c r="D100" i="8"/>
  <c r="D156" i="8" s="1"/>
  <c r="D39" i="8"/>
  <c r="D72" i="8"/>
  <c r="D128" i="8" s="1"/>
  <c r="D106" i="8"/>
  <c r="D162" i="8" s="1"/>
  <c r="D41" i="8"/>
  <c r="D46" i="8"/>
  <c r="D113" i="8"/>
  <c r="D169" i="8" s="1"/>
  <c r="D10" i="8"/>
  <c r="D97" i="8"/>
  <c r="D153" i="8" s="1"/>
  <c r="D94" i="8"/>
  <c r="D150" i="8" s="1"/>
  <c r="D102" i="8"/>
  <c r="D158" i="8" s="1"/>
  <c r="D38" i="8"/>
  <c r="D50" i="8"/>
  <c r="D55" i="8"/>
  <c r="D111" i="8"/>
  <c r="D167" i="8" s="1"/>
  <c r="D79" i="8"/>
  <c r="D135" i="8" s="1"/>
  <c r="D109" i="8"/>
  <c r="D165" i="8" s="1"/>
  <c r="D23" i="8"/>
  <c r="D107" i="8"/>
  <c r="D163" i="8" s="1"/>
  <c r="D60" i="8"/>
  <c r="D70" i="8"/>
  <c r="D126" i="8" s="1"/>
  <c r="D110" i="8"/>
  <c r="D166" i="8" s="1"/>
  <c r="D54" i="8"/>
  <c r="D14" i="8"/>
  <c r="D67" i="8"/>
  <c r="D123" i="8" s="1"/>
  <c r="D51" i="8"/>
  <c r="D37" i="8"/>
  <c r="D98" i="8"/>
  <c r="D154" i="8" s="1"/>
  <c r="D45" i="8"/>
  <c r="D99" i="8"/>
  <c r="D155" i="8" s="1"/>
  <c r="D95" i="8"/>
  <c r="D151" i="8" s="1"/>
  <c r="D115" i="8"/>
  <c r="D171" i="8" s="1"/>
  <c r="D59" i="8"/>
  <c r="D112" i="8"/>
  <c r="D168" i="8" s="1"/>
  <c r="D42" i="8"/>
  <c r="D53" i="8"/>
  <c r="D116" i="8"/>
  <c r="D172" i="8" s="1"/>
  <c r="D34" i="8"/>
  <c r="D56" i="8"/>
  <c r="D101" i="8"/>
  <c r="D157" i="8" s="1"/>
  <c r="D104" i="8"/>
  <c r="D160" i="8" s="1"/>
  <c r="D58" i="8"/>
  <c r="D66" i="8"/>
  <c r="D122" i="8" s="1"/>
  <c r="D90" i="8"/>
  <c r="D146" i="8" s="1"/>
  <c r="D114" i="8"/>
  <c r="D170" i="8" s="1"/>
  <c r="D43" i="8"/>
  <c r="D93" i="8"/>
  <c r="D149" i="8" s="1"/>
  <c r="H35" i="9"/>
  <c r="H152" i="8"/>
  <c r="H23" i="9"/>
  <c r="H140" i="8"/>
  <c r="H7" i="9"/>
  <c r="H124" i="8"/>
  <c r="I19" i="9"/>
  <c r="I136" i="8"/>
  <c r="G142" i="8"/>
  <c r="G25" i="9"/>
  <c r="H16" i="9"/>
  <c r="H133" i="8"/>
  <c r="E46" i="9" l="1"/>
  <c r="D46" i="9"/>
  <c r="D44" i="9"/>
  <c r="E44" i="9"/>
  <c r="H30" i="9"/>
  <c r="H147" i="8"/>
  <c r="E50" i="9"/>
  <c r="D50" i="9"/>
  <c r="H141" i="8"/>
  <c r="H24" i="9"/>
  <c r="D41" i="9"/>
  <c r="E41" i="9"/>
  <c r="I27" i="9"/>
  <c r="I144" i="8"/>
  <c r="I28" i="9"/>
  <c r="I145" i="8"/>
  <c r="E5" i="9"/>
  <c r="D5" i="9"/>
  <c r="E43" i="9"/>
  <c r="D43" i="9"/>
  <c r="D9" i="9"/>
  <c r="E9" i="9"/>
  <c r="E48" i="9"/>
  <c r="D48" i="9"/>
  <c r="I16" i="9"/>
  <c r="I133" i="8"/>
  <c r="D55" i="9"/>
  <c r="E55" i="9"/>
  <c r="E51" i="9"/>
  <c r="D51" i="9"/>
  <c r="I140" i="8"/>
  <c r="I23" i="9"/>
  <c r="E52" i="9"/>
  <c r="D52" i="9"/>
  <c r="E45" i="9"/>
  <c r="D45" i="9"/>
  <c r="D40" i="9"/>
  <c r="E40" i="9"/>
  <c r="D18" i="9"/>
  <c r="E18" i="9"/>
  <c r="D42" i="9"/>
  <c r="E42" i="9"/>
  <c r="H22" i="9"/>
  <c r="H139" i="8"/>
  <c r="H142" i="8"/>
  <c r="H25" i="9"/>
  <c r="E47" i="9"/>
  <c r="D47" i="9"/>
  <c r="I31" i="9"/>
  <c r="I148" i="8"/>
  <c r="H4" i="9"/>
  <c r="H121" i="8"/>
  <c r="J19" i="9"/>
  <c r="J136" i="8"/>
  <c r="D54" i="9"/>
  <c r="E54" i="9"/>
  <c r="D37" i="9"/>
  <c r="E37" i="9"/>
  <c r="H10" i="9"/>
  <c r="H127" i="8"/>
  <c r="H12" i="9"/>
  <c r="H129" i="8"/>
  <c r="I35" i="9"/>
  <c r="I152" i="8"/>
  <c r="H125" i="8"/>
  <c r="H8" i="9"/>
  <c r="I14" i="9"/>
  <c r="I131" i="8"/>
  <c r="E32" i="9"/>
  <c r="D32" i="9"/>
  <c r="E6" i="9"/>
  <c r="D6" i="9"/>
  <c r="D11" i="9"/>
  <c r="E11" i="9"/>
  <c r="H137" i="8"/>
  <c r="H20" i="9"/>
  <c r="I143" i="8"/>
  <c r="I26" i="9"/>
  <c r="D34" i="9"/>
  <c r="E34" i="9"/>
  <c r="D6" i="10"/>
  <c r="D7" i="10" s="1"/>
  <c r="E5" i="8"/>
  <c r="E55" i="8" s="1"/>
  <c r="I132" i="8"/>
  <c r="I15" i="9"/>
  <c r="I21" i="9"/>
  <c r="I138" i="8"/>
  <c r="D36" i="9"/>
  <c r="E36" i="9"/>
  <c r="I130" i="8"/>
  <c r="I13" i="9"/>
  <c r="D33" i="9"/>
  <c r="E33" i="9"/>
  <c r="I124" i="8"/>
  <c r="I7" i="9"/>
  <c r="E38" i="9"/>
  <c r="D38" i="9"/>
  <c r="E53" i="9"/>
  <c r="D53" i="9"/>
  <c r="D39" i="9"/>
  <c r="E39" i="9"/>
  <c r="E29" i="9"/>
  <c r="D29" i="9"/>
  <c r="E49" i="9"/>
  <c r="D49" i="9"/>
  <c r="I134" i="8"/>
  <c r="I17" i="9"/>
  <c r="J23" i="9" l="1"/>
  <c r="J140" i="8"/>
  <c r="J14" i="9"/>
  <c r="J131" i="8"/>
  <c r="E48" i="8"/>
  <c r="E45" i="8"/>
  <c r="J28" i="9"/>
  <c r="J145" i="8"/>
  <c r="J21" i="9"/>
  <c r="J138" i="8"/>
  <c r="E52" i="8"/>
  <c r="E59" i="8"/>
  <c r="E60" i="8"/>
  <c r="J27" i="9"/>
  <c r="J144" i="8"/>
  <c r="I141" i="8"/>
  <c r="I24" i="9"/>
  <c r="J31" i="9"/>
  <c r="J148" i="8"/>
  <c r="J15" i="9"/>
  <c r="J132" i="8"/>
  <c r="I121" i="8"/>
  <c r="I4" i="9"/>
  <c r="J7" i="9"/>
  <c r="J124" i="8"/>
  <c r="I125" i="8"/>
  <c r="I8" i="9"/>
  <c r="E58" i="8"/>
  <c r="E57" i="8"/>
  <c r="E16" i="8"/>
  <c r="E44" i="8"/>
  <c r="I12" i="9"/>
  <c r="I129" i="8"/>
  <c r="E37" i="8"/>
  <c r="I25" i="9"/>
  <c r="I142" i="8"/>
  <c r="E50" i="8"/>
  <c r="E46" i="8"/>
  <c r="E51" i="8"/>
  <c r="I30" i="9"/>
  <c r="I147" i="8"/>
  <c r="E56" i="8"/>
  <c r="E38" i="8"/>
  <c r="E11" i="8"/>
  <c r="E47" i="8"/>
  <c r="J26" i="9"/>
  <c r="J143" i="8"/>
  <c r="I10" i="9"/>
  <c r="I127" i="8"/>
  <c r="E42" i="8"/>
  <c r="E39" i="8"/>
  <c r="K136" i="8"/>
  <c r="K19" i="9"/>
  <c r="E43" i="8"/>
  <c r="E34" i="8"/>
  <c r="J16" i="9"/>
  <c r="J133" i="8"/>
  <c r="E41" i="8"/>
  <c r="E49" i="8"/>
  <c r="E113" i="8"/>
  <c r="E169" i="8" s="1"/>
  <c r="E102" i="8"/>
  <c r="E158" i="8" s="1"/>
  <c r="E109" i="8"/>
  <c r="E165" i="8" s="1"/>
  <c r="E108" i="8"/>
  <c r="E164" i="8" s="1"/>
  <c r="E94" i="8"/>
  <c r="E150" i="8" s="1"/>
  <c r="E111" i="8"/>
  <c r="E167" i="8" s="1"/>
  <c r="E112" i="8"/>
  <c r="E168" i="8" s="1"/>
  <c r="E116" i="8"/>
  <c r="E172" i="8" s="1"/>
  <c r="E107" i="8"/>
  <c r="E163" i="8" s="1"/>
  <c r="E72" i="8"/>
  <c r="E128" i="8" s="1"/>
  <c r="E105" i="8"/>
  <c r="E161" i="8" s="1"/>
  <c r="E97" i="8"/>
  <c r="E153" i="8" s="1"/>
  <c r="E103" i="8"/>
  <c r="E159" i="8" s="1"/>
  <c r="E106" i="8"/>
  <c r="E162" i="8" s="1"/>
  <c r="E67" i="8"/>
  <c r="E123" i="8" s="1"/>
  <c r="E93" i="8"/>
  <c r="E149" i="8" s="1"/>
  <c r="E98" i="8"/>
  <c r="E154" i="8" s="1"/>
  <c r="E79" i="8"/>
  <c r="E135" i="8" s="1"/>
  <c r="E101" i="8"/>
  <c r="E157" i="8" s="1"/>
  <c r="E114" i="8"/>
  <c r="E170" i="8" s="1"/>
  <c r="E99" i="8"/>
  <c r="E155" i="8" s="1"/>
  <c r="E90" i="8"/>
  <c r="E146" i="8" s="1"/>
  <c r="E95" i="8"/>
  <c r="E151" i="8" s="1"/>
  <c r="E110" i="8"/>
  <c r="E166" i="8" s="1"/>
  <c r="E104" i="8"/>
  <c r="E160" i="8" s="1"/>
  <c r="E115" i="8"/>
  <c r="E171" i="8" s="1"/>
  <c r="E100" i="8"/>
  <c r="E156" i="8" s="1"/>
  <c r="E66" i="8"/>
  <c r="E122" i="8" s="1"/>
  <c r="E70" i="8"/>
  <c r="E126" i="8" s="1"/>
  <c r="E10" i="8"/>
  <c r="E23" i="8"/>
  <c r="J134" i="8"/>
  <c r="J17" i="9"/>
  <c r="E54" i="8"/>
  <c r="I20" i="9"/>
  <c r="I137" i="8"/>
  <c r="E53" i="8"/>
  <c r="B24" i="11"/>
  <c r="B29" i="11"/>
  <c r="B32" i="11"/>
  <c r="B22" i="11"/>
  <c r="B41" i="11"/>
  <c r="B27" i="11"/>
  <c r="B43" i="11"/>
  <c r="B9" i="11"/>
  <c r="B40" i="11"/>
  <c r="B2" i="11"/>
  <c r="B38" i="11"/>
  <c r="B7" i="11"/>
  <c r="B35" i="11"/>
  <c r="B18" i="11"/>
  <c r="B11" i="11"/>
  <c r="B31" i="11"/>
  <c r="B19" i="11"/>
  <c r="B23" i="11"/>
  <c r="B14" i="11"/>
  <c r="B37" i="11"/>
  <c r="B28" i="11"/>
  <c r="B36" i="11"/>
  <c r="B3" i="11"/>
  <c r="B21" i="11"/>
  <c r="B25" i="11"/>
  <c r="B5" i="11"/>
  <c r="B15" i="11"/>
  <c r="B10" i="11"/>
  <c r="B20" i="11"/>
  <c r="B42" i="11"/>
  <c r="B8" i="11"/>
  <c r="B30" i="11"/>
  <c r="B13" i="11"/>
  <c r="B26" i="11"/>
  <c r="B16" i="11"/>
  <c r="B4" i="11"/>
  <c r="B33" i="11"/>
  <c r="B12" i="11"/>
  <c r="B39" i="11"/>
  <c r="B6" i="11"/>
  <c r="B17" i="11"/>
  <c r="B34" i="11"/>
  <c r="J35" i="9"/>
  <c r="J152" i="8"/>
  <c r="J13" i="9"/>
  <c r="J130" i="8"/>
  <c r="E14" i="8"/>
  <c r="I22" i="9"/>
  <c r="I139" i="8"/>
  <c r="C27" i="11"/>
  <c r="C10" i="11"/>
  <c r="C21" i="11"/>
  <c r="C31" i="11"/>
  <c r="C33" i="11"/>
  <c r="C23" i="11"/>
  <c r="C30" i="11"/>
  <c r="C22" i="11"/>
  <c r="C37" i="11"/>
  <c r="C34" i="11"/>
  <c r="C14" i="11"/>
  <c r="C36" i="11"/>
  <c r="C4" i="11"/>
  <c r="C35" i="11"/>
  <c r="C40" i="11"/>
  <c r="C26" i="11"/>
  <c r="C3" i="11"/>
  <c r="C41" i="11"/>
  <c r="C18" i="11"/>
  <c r="C25" i="11"/>
  <c r="C39" i="11"/>
  <c r="C38" i="11"/>
  <c r="C17" i="11"/>
  <c r="C28" i="11"/>
  <c r="C7" i="11"/>
  <c r="C43" i="11"/>
  <c r="C9" i="11"/>
  <c r="C5" i="11"/>
  <c r="C20" i="11"/>
  <c r="C15" i="11"/>
  <c r="C19" i="11"/>
  <c r="C8" i="11"/>
  <c r="C16" i="11"/>
  <c r="C29" i="11"/>
  <c r="C32" i="11"/>
  <c r="C24" i="11"/>
  <c r="C12" i="11"/>
  <c r="C42" i="11"/>
  <c r="C2" i="11"/>
  <c r="C6" i="11"/>
  <c r="C13" i="11"/>
  <c r="C11" i="11"/>
  <c r="K28" i="9" l="1"/>
  <c r="K145" i="8"/>
  <c r="F39" i="9"/>
  <c r="F33" i="9"/>
  <c r="F56" i="8"/>
  <c r="F52" i="9"/>
  <c r="F37" i="8"/>
  <c r="F14" i="8"/>
  <c r="F39" i="8"/>
  <c r="F54" i="9"/>
  <c r="F47" i="9"/>
  <c r="J30" i="9"/>
  <c r="J147" i="8"/>
  <c r="K148" i="8"/>
  <c r="K31" i="9"/>
  <c r="K133" i="8"/>
  <c r="K16" i="9"/>
  <c r="F43" i="9"/>
  <c r="F48" i="9"/>
  <c r="F49" i="9"/>
  <c r="F41" i="9"/>
  <c r="F51" i="8"/>
  <c r="F46" i="8"/>
  <c r="F38" i="9"/>
  <c r="J139" i="8"/>
  <c r="J22" i="9"/>
  <c r="F53" i="9"/>
  <c r="F40" i="9"/>
  <c r="F18" i="9"/>
  <c r="J12" i="9"/>
  <c r="J129" i="8"/>
  <c r="K13" i="9"/>
  <c r="K130" i="8"/>
  <c r="F53" i="8"/>
  <c r="F37" i="9"/>
  <c r="F43" i="8"/>
  <c r="F52" i="8"/>
  <c r="K27" i="9"/>
  <c r="K144" i="8"/>
  <c r="J20" i="9"/>
  <c r="J137" i="8"/>
  <c r="F32" i="9"/>
  <c r="F44" i="8"/>
  <c r="K21" i="9"/>
  <c r="K138" i="8"/>
  <c r="K35" i="9"/>
  <c r="K152" i="8"/>
  <c r="F6" i="9"/>
  <c r="L19" i="9"/>
  <c r="L136" i="8"/>
  <c r="F16" i="8"/>
  <c r="F29" i="9"/>
  <c r="F42" i="9"/>
  <c r="F36" i="9"/>
  <c r="J10" i="9"/>
  <c r="J127" i="8"/>
  <c r="F45" i="8"/>
  <c r="F23" i="8"/>
  <c r="F44" i="9"/>
  <c r="J8" i="9"/>
  <c r="J125" i="8"/>
  <c r="F48" i="8"/>
  <c r="F10" i="8"/>
  <c r="F5" i="8"/>
  <c r="F57" i="8" s="1"/>
  <c r="E6" i="10"/>
  <c r="E7" i="10" s="1"/>
  <c r="F11" i="9"/>
  <c r="K26" i="9"/>
  <c r="K143" i="8"/>
  <c r="K7" i="9"/>
  <c r="K124" i="8"/>
  <c r="K14" i="9"/>
  <c r="K131" i="8"/>
  <c r="F50" i="8"/>
  <c r="J24" i="9"/>
  <c r="J141" i="8"/>
  <c r="J25" i="9"/>
  <c r="J142" i="8"/>
  <c r="F46" i="9"/>
  <c r="F34" i="9"/>
  <c r="F49" i="8"/>
  <c r="F60" i="8"/>
  <c r="K17" i="9"/>
  <c r="K134" i="8"/>
  <c r="F55" i="9"/>
  <c r="F47" i="8"/>
  <c r="K23" i="9"/>
  <c r="K140" i="8"/>
  <c r="F9" i="9"/>
  <c r="F51" i="9"/>
  <c r="F11" i="8"/>
  <c r="J121" i="8"/>
  <c r="J4" i="9"/>
  <c r="F45" i="9"/>
  <c r="F42" i="8"/>
  <c r="F58" i="8"/>
  <c r="F5" i="9"/>
  <c r="F50" i="9"/>
  <c r="F38" i="8"/>
  <c r="K15" i="9"/>
  <c r="K132" i="8"/>
  <c r="L15" i="9" l="1"/>
  <c r="L132" i="8"/>
  <c r="L133" i="8"/>
  <c r="L16" i="9"/>
  <c r="K137" i="8"/>
  <c r="K20" i="9"/>
  <c r="L21" i="9"/>
  <c r="L138" i="8"/>
  <c r="K125" i="8"/>
  <c r="K8" i="9"/>
  <c r="L31" i="9"/>
  <c r="L148" i="8"/>
  <c r="K30" i="9"/>
  <c r="K147" i="8"/>
  <c r="K4" i="9"/>
  <c r="K121" i="8"/>
  <c r="L14" i="9"/>
  <c r="L131" i="8"/>
  <c r="L130" i="8"/>
  <c r="L13" i="9"/>
  <c r="F41" i="8"/>
  <c r="D31" i="11"/>
  <c r="D20" i="11"/>
  <c r="D3" i="11"/>
  <c r="D10" i="11"/>
  <c r="D33" i="11"/>
  <c r="D23" i="11"/>
  <c r="D28" i="11"/>
  <c r="D22" i="11"/>
  <c r="D29" i="11"/>
  <c r="D2" i="11"/>
  <c r="D27" i="11"/>
  <c r="D38" i="11"/>
  <c r="D35" i="11"/>
  <c r="D9" i="11"/>
  <c r="D39" i="11"/>
  <c r="D41" i="11"/>
  <c r="D24" i="11"/>
  <c r="D37" i="11"/>
  <c r="D5" i="11"/>
  <c r="D11" i="11"/>
  <c r="D7" i="11"/>
  <c r="D15" i="11"/>
  <c r="D17" i="11"/>
  <c r="D8" i="11"/>
  <c r="D21" i="11"/>
  <c r="D18" i="11"/>
  <c r="D25" i="11"/>
  <c r="D32" i="11"/>
  <c r="D40" i="11"/>
  <c r="D14" i="11"/>
  <c r="D16" i="11"/>
  <c r="D6" i="11"/>
  <c r="D36" i="11"/>
  <c r="D42" i="11"/>
  <c r="D30" i="11"/>
  <c r="D43" i="11"/>
  <c r="D34" i="11"/>
  <c r="D12" i="11"/>
  <c r="D4" i="11"/>
  <c r="D13" i="11"/>
  <c r="D19" i="11"/>
  <c r="D26" i="11"/>
  <c r="K22" i="9"/>
  <c r="K139" i="8"/>
  <c r="L7" i="9"/>
  <c r="L124" i="8"/>
  <c r="L26" i="9"/>
  <c r="L143" i="8"/>
  <c r="M19" i="9"/>
  <c r="M136" i="8"/>
  <c r="F59" i="8"/>
  <c r="K10" i="9"/>
  <c r="K127" i="8"/>
  <c r="K141" i="8"/>
  <c r="K24" i="9"/>
  <c r="K12" i="9"/>
  <c r="K129" i="8"/>
  <c r="L27" i="9"/>
  <c r="L144" i="8"/>
  <c r="L145" i="8"/>
  <c r="L28" i="9"/>
  <c r="K25" i="9"/>
  <c r="K142" i="8"/>
  <c r="L23" i="9"/>
  <c r="L140" i="8"/>
  <c r="F34" i="8"/>
  <c r="F6" i="10" s="1"/>
  <c r="F7" i="10" s="1"/>
  <c r="L17" i="9"/>
  <c r="L134" i="8"/>
  <c r="F103" i="8"/>
  <c r="F159" i="8" s="1"/>
  <c r="F72" i="8"/>
  <c r="F128" i="8" s="1"/>
  <c r="F115" i="8"/>
  <c r="F171" i="8" s="1"/>
  <c r="F66" i="8"/>
  <c r="F122" i="8" s="1"/>
  <c r="F116" i="8"/>
  <c r="F172" i="8" s="1"/>
  <c r="F94" i="8"/>
  <c r="F150" i="8" s="1"/>
  <c r="F108" i="8"/>
  <c r="F164" i="8" s="1"/>
  <c r="F106" i="8"/>
  <c r="F162" i="8" s="1"/>
  <c r="F104" i="8"/>
  <c r="F160" i="8" s="1"/>
  <c r="F107" i="8"/>
  <c r="F163" i="8" s="1"/>
  <c r="F97" i="8"/>
  <c r="F153" i="8" s="1"/>
  <c r="F109" i="8"/>
  <c r="F165" i="8" s="1"/>
  <c r="F93" i="8"/>
  <c r="F149" i="8" s="1"/>
  <c r="F113" i="8"/>
  <c r="F169" i="8" s="1"/>
  <c r="F102" i="8"/>
  <c r="F158" i="8" s="1"/>
  <c r="F100" i="8"/>
  <c r="F156" i="8" s="1"/>
  <c r="F111" i="8"/>
  <c r="F167" i="8" s="1"/>
  <c r="F98" i="8"/>
  <c r="F154" i="8" s="1"/>
  <c r="F95" i="8"/>
  <c r="F151" i="8" s="1"/>
  <c r="F90" i="8"/>
  <c r="F146" i="8" s="1"/>
  <c r="F99" i="8"/>
  <c r="F155" i="8" s="1"/>
  <c r="F105" i="8"/>
  <c r="F161" i="8" s="1"/>
  <c r="F101" i="8"/>
  <c r="F157" i="8" s="1"/>
  <c r="F114" i="8"/>
  <c r="F170" i="8" s="1"/>
  <c r="F70" i="8"/>
  <c r="F126" i="8" s="1"/>
  <c r="F112" i="8"/>
  <c r="F168" i="8" s="1"/>
  <c r="F79" i="8"/>
  <c r="F135" i="8" s="1"/>
  <c r="F67" i="8"/>
  <c r="F123" i="8" s="1"/>
  <c r="F110" i="8"/>
  <c r="F166" i="8" s="1"/>
  <c r="F55" i="8"/>
  <c r="L35" i="9"/>
  <c r="L152" i="8"/>
  <c r="F54" i="8"/>
  <c r="M35" i="9" l="1"/>
  <c r="M152" i="8"/>
  <c r="M140" i="8"/>
  <c r="M23" i="9"/>
  <c r="G36" i="9"/>
  <c r="G37" i="9"/>
  <c r="G50" i="9"/>
  <c r="M26" i="9"/>
  <c r="M143" i="8"/>
  <c r="M148" i="8"/>
  <c r="M31" i="9"/>
  <c r="N19" i="9"/>
  <c r="N136" i="8"/>
  <c r="G39" i="9"/>
  <c r="G41" i="9"/>
  <c r="L25" i="9"/>
  <c r="L142" i="8"/>
  <c r="L125" i="8"/>
  <c r="L8" i="9"/>
  <c r="M124" i="8"/>
  <c r="M7" i="9"/>
  <c r="M144" i="8"/>
  <c r="M27" i="9"/>
  <c r="G33" i="9"/>
  <c r="G18" i="9"/>
  <c r="G55" i="9"/>
  <c r="M130" i="8"/>
  <c r="M13" i="9"/>
  <c r="G48" i="9"/>
  <c r="G43" i="9"/>
  <c r="M16" i="9"/>
  <c r="M133" i="8"/>
  <c r="G52" i="9"/>
  <c r="G32" i="9"/>
  <c r="M21" i="9"/>
  <c r="M138" i="8"/>
  <c r="G47" i="9"/>
  <c r="G6" i="9"/>
  <c r="G5" i="9"/>
  <c r="G5" i="8"/>
  <c r="G55" i="8" s="1"/>
  <c r="G49" i="9"/>
  <c r="G9" i="9"/>
  <c r="G54" i="9"/>
  <c r="G53" i="9"/>
  <c r="G11" i="9"/>
  <c r="G40" i="9"/>
  <c r="G42" i="9"/>
  <c r="M131" i="8"/>
  <c r="M14" i="9"/>
  <c r="G45" i="9"/>
  <c r="L22" i="9"/>
  <c r="L139" i="8"/>
  <c r="L12" i="9"/>
  <c r="L129" i="8"/>
  <c r="G51" i="9"/>
  <c r="L4" i="9"/>
  <c r="L121" i="8"/>
  <c r="M15" i="9"/>
  <c r="M132" i="8"/>
  <c r="M28" i="9"/>
  <c r="M145" i="8"/>
  <c r="L20" i="9"/>
  <c r="L137" i="8"/>
  <c r="G44" i="9"/>
  <c r="M17" i="9"/>
  <c r="M134" i="8"/>
  <c r="L24" i="9"/>
  <c r="L141" i="8"/>
  <c r="G38" i="9"/>
  <c r="L127" i="8"/>
  <c r="L10" i="9"/>
  <c r="G29" i="9"/>
  <c r="G46" i="9"/>
  <c r="G34" i="9"/>
  <c r="G34" i="8"/>
  <c r="G59" i="8"/>
  <c r="L147" i="8"/>
  <c r="L30" i="9"/>
  <c r="N16" i="9" l="1"/>
  <c r="N133" i="8"/>
  <c r="N132" i="8"/>
  <c r="N15" i="9"/>
  <c r="M30" i="9"/>
  <c r="M147" i="8"/>
  <c r="M4" i="9"/>
  <c r="M121" i="8"/>
  <c r="G54" i="8"/>
  <c r="N26" i="9"/>
  <c r="N143" i="8"/>
  <c r="M10" i="9"/>
  <c r="M127" i="8"/>
  <c r="E36" i="11"/>
  <c r="E37" i="11"/>
  <c r="E32" i="11"/>
  <c r="E28" i="11"/>
  <c r="E39" i="11"/>
  <c r="E35" i="11"/>
  <c r="E13" i="11"/>
  <c r="E24" i="11"/>
  <c r="E26" i="11"/>
  <c r="E27" i="11"/>
  <c r="E21" i="11"/>
  <c r="E3" i="11"/>
  <c r="E11" i="11"/>
  <c r="E10" i="11"/>
  <c r="E38" i="11"/>
  <c r="E8" i="11"/>
  <c r="E43" i="11"/>
  <c r="E5" i="11"/>
  <c r="E4" i="11"/>
  <c r="E22" i="11"/>
  <c r="E25" i="11"/>
  <c r="E33" i="11"/>
  <c r="E30" i="11"/>
  <c r="E23" i="11"/>
  <c r="E34" i="11"/>
  <c r="E29" i="11"/>
  <c r="E9" i="11"/>
  <c r="E12" i="11"/>
  <c r="E6" i="11"/>
  <c r="E20" i="11"/>
  <c r="E40" i="11"/>
  <c r="E31" i="11"/>
  <c r="E17" i="11"/>
  <c r="E16" i="11"/>
  <c r="E7" i="11"/>
  <c r="E41" i="11"/>
  <c r="E15" i="11"/>
  <c r="E42" i="11"/>
  <c r="E19" i="11"/>
  <c r="E2" i="11"/>
  <c r="E18" i="11"/>
  <c r="E14" i="11"/>
  <c r="M141" i="8"/>
  <c r="M24" i="9"/>
  <c r="G41" i="8"/>
  <c r="N13" i="9"/>
  <c r="N130" i="8"/>
  <c r="N17" i="9"/>
  <c r="N134" i="8"/>
  <c r="N131" i="8"/>
  <c r="N14" i="9"/>
  <c r="N21" i="9"/>
  <c r="N138" i="8"/>
  <c r="N27" i="9"/>
  <c r="N144" i="8"/>
  <c r="M12" i="9"/>
  <c r="M129" i="8"/>
  <c r="N124" i="8"/>
  <c r="N7" i="9"/>
  <c r="N140" i="8"/>
  <c r="N23" i="9"/>
  <c r="N35" i="9"/>
  <c r="N152" i="8"/>
  <c r="O136" i="8"/>
  <c r="O19" i="9"/>
  <c r="G115" i="8"/>
  <c r="G171" i="8" s="1"/>
  <c r="G106" i="8"/>
  <c r="G162" i="8" s="1"/>
  <c r="G107" i="8"/>
  <c r="G163" i="8" s="1"/>
  <c r="G109" i="8"/>
  <c r="G165" i="8" s="1"/>
  <c r="G97" i="8"/>
  <c r="G153" i="8" s="1"/>
  <c r="G72" i="8"/>
  <c r="G128" i="8" s="1"/>
  <c r="G113" i="8"/>
  <c r="G169" i="8" s="1"/>
  <c r="G93" i="8"/>
  <c r="G149" i="8" s="1"/>
  <c r="G67" i="8"/>
  <c r="G123" i="8" s="1"/>
  <c r="G102" i="8"/>
  <c r="G158" i="8" s="1"/>
  <c r="G111" i="8"/>
  <c r="G167" i="8" s="1"/>
  <c r="G110" i="8"/>
  <c r="G166" i="8" s="1"/>
  <c r="G104" i="8"/>
  <c r="G160" i="8" s="1"/>
  <c r="G103" i="8"/>
  <c r="G159" i="8" s="1"/>
  <c r="G94" i="8"/>
  <c r="G150" i="8" s="1"/>
  <c r="G100" i="8"/>
  <c r="G156" i="8" s="1"/>
  <c r="G90" i="8"/>
  <c r="G146" i="8" s="1"/>
  <c r="G95" i="8"/>
  <c r="G151" i="8" s="1"/>
  <c r="G99" i="8"/>
  <c r="G155" i="8" s="1"/>
  <c r="G112" i="8"/>
  <c r="G168" i="8" s="1"/>
  <c r="G79" i="8"/>
  <c r="G135" i="8" s="1"/>
  <c r="G101" i="8"/>
  <c r="G157" i="8" s="1"/>
  <c r="G105" i="8"/>
  <c r="G161" i="8" s="1"/>
  <c r="G98" i="8"/>
  <c r="G154" i="8" s="1"/>
  <c r="G114" i="8"/>
  <c r="G170" i="8" s="1"/>
  <c r="G108" i="8"/>
  <c r="G164" i="8" s="1"/>
  <c r="G66" i="8"/>
  <c r="G122" i="8" s="1"/>
  <c r="G70" i="8"/>
  <c r="G126" i="8" s="1"/>
  <c r="G116" i="8"/>
  <c r="G172" i="8" s="1"/>
  <c r="G57" i="8"/>
  <c r="G50" i="8"/>
  <c r="G14" i="8"/>
  <c r="G11" i="8"/>
  <c r="G56" i="8"/>
  <c r="G10" i="8"/>
  <c r="G23" i="8"/>
  <c r="G60" i="8"/>
  <c r="G48" i="8"/>
  <c r="G58" i="8"/>
  <c r="G52" i="8"/>
  <c r="G53" i="8"/>
  <c r="G47" i="8"/>
  <c r="G42" i="8"/>
  <c r="G46" i="8"/>
  <c r="G37" i="8"/>
  <c r="G43" i="8"/>
  <c r="G39" i="8"/>
  <c r="G45" i="8"/>
  <c r="G51" i="8"/>
  <c r="G38" i="8"/>
  <c r="G49" i="8"/>
  <c r="G44" i="8"/>
  <c r="G16" i="8"/>
  <c r="N148" i="8"/>
  <c r="N31" i="9"/>
  <c r="M22" i="9"/>
  <c r="M139" i="8"/>
  <c r="M137" i="8"/>
  <c r="M20" i="9"/>
  <c r="M8" i="9"/>
  <c r="M125" i="8"/>
  <c r="N145" i="8"/>
  <c r="N28" i="9"/>
  <c r="M25" i="9"/>
  <c r="M142" i="8"/>
  <c r="H47" i="9" l="1"/>
  <c r="H41" i="9"/>
  <c r="O138" i="8"/>
  <c r="O21" i="9"/>
  <c r="H45" i="9"/>
  <c r="H6" i="9"/>
  <c r="H38" i="8"/>
  <c r="O17" i="9"/>
  <c r="O134" i="8"/>
  <c r="H11" i="9"/>
  <c r="N10" i="9"/>
  <c r="N127" i="8"/>
  <c r="N25" i="9"/>
  <c r="N142" i="8"/>
  <c r="H37" i="9"/>
  <c r="H32" i="9"/>
  <c r="H55" i="9"/>
  <c r="H52" i="9"/>
  <c r="O14" i="9"/>
  <c r="O131" i="8"/>
  <c r="H46" i="8"/>
  <c r="O143" i="8"/>
  <c r="O26" i="9"/>
  <c r="H42" i="8"/>
  <c r="H40" i="9"/>
  <c r="O13" i="9"/>
  <c r="O130" i="8"/>
  <c r="H46" i="9"/>
  <c r="H44" i="9"/>
  <c r="H38" i="9"/>
  <c r="N30" i="9"/>
  <c r="N147" i="8"/>
  <c r="H48" i="9"/>
  <c r="N24" i="9"/>
  <c r="N141" i="8"/>
  <c r="H54" i="9"/>
  <c r="H48" i="8"/>
  <c r="H29" i="9"/>
  <c r="O23" i="9"/>
  <c r="O140" i="8"/>
  <c r="H9" i="9"/>
  <c r="N4" i="9"/>
  <c r="N121" i="8"/>
  <c r="N8" i="9"/>
  <c r="N125" i="8"/>
  <c r="N137" i="8"/>
  <c r="N20" i="9"/>
  <c r="H39" i="9"/>
  <c r="N139" i="8"/>
  <c r="N22" i="9"/>
  <c r="H23" i="8"/>
  <c r="H33" i="9"/>
  <c r="O124" i="8"/>
  <c r="O7" i="9"/>
  <c r="O132" i="8"/>
  <c r="O15" i="9"/>
  <c r="O133" i="8"/>
  <c r="O16" i="9"/>
  <c r="H5" i="9"/>
  <c r="H18" i="9"/>
  <c r="P19" i="9"/>
  <c r="P136" i="8"/>
  <c r="O27" i="9"/>
  <c r="O144" i="8"/>
  <c r="H36" i="9"/>
  <c r="H53" i="9"/>
  <c r="O28" i="9"/>
  <c r="O145" i="8"/>
  <c r="H51" i="9"/>
  <c r="O35" i="9"/>
  <c r="O152" i="8"/>
  <c r="H34" i="9"/>
  <c r="G6" i="10"/>
  <c r="G7" i="10" s="1"/>
  <c r="H5" i="8"/>
  <c r="H51" i="8" s="1"/>
  <c r="H42" i="9"/>
  <c r="N12" i="9"/>
  <c r="N129" i="8"/>
  <c r="H43" i="9"/>
  <c r="O31" i="9"/>
  <c r="O148" i="8"/>
  <c r="H56" i="8"/>
  <c r="H49" i="9"/>
  <c r="H16" i="8"/>
  <c r="H11" i="8"/>
  <c r="H50" i="9"/>
  <c r="P132" i="8" l="1"/>
  <c r="P15" i="9"/>
  <c r="P13" i="9"/>
  <c r="P130" i="8"/>
  <c r="P140" i="8"/>
  <c r="P23" i="9"/>
  <c r="O10" i="9"/>
  <c r="O127" i="8"/>
  <c r="P134" i="8"/>
  <c r="P17" i="9"/>
  <c r="H53" i="8"/>
  <c r="P7" i="9"/>
  <c r="P124" i="8"/>
  <c r="H54" i="8"/>
  <c r="P144" i="8"/>
  <c r="P27" i="9"/>
  <c r="H60" i="8"/>
  <c r="H49" i="8"/>
  <c r="Q19" i="9"/>
  <c r="Q136" i="8"/>
  <c r="O20" i="9"/>
  <c r="O137" i="8"/>
  <c r="O147" i="8"/>
  <c r="O30" i="9"/>
  <c r="P145" i="8"/>
  <c r="P28" i="9"/>
  <c r="P26" i="9"/>
  <c r="P143" i="8"/>
  <c r="H52" i="8"/>
  <c r="P138" i="8"/>
  <c r="P21" i="9"/>
  <c r="O125" i="8"/>
  <c r="O8" i="9"/>
  <c r="O24" i="9"/>
  <c r="O141" i="8"/>
  <c r="P31" i="9"/>
  <c r="P148" i="8"/>
  <c r="O12" i="9"/>
  <c r="O129" i="8"/>
  <c r="H93" i="8"/>
  <c r="H149" i="8" s="1"/>
  <c r="H70" i="8"/>
  <c r="H126" i="8" s="1"/>
  <c r="H109" i="8"/>
  <c r="H165" i="8" s="1"/>
  <c r="H102" i="8"/>
  <c r="H158" i="8" s="1"/>
  <c r="H113" i="8"/>
  <c r="H169" i="8" s="1"/>
  <c r="H116" i="8"/>
  <c r="H172" i="8" s="1"/>
  <c r="H100" i="8"/>
  <c r="H156" i="8" s="1"/>
  <c r="H108" i="8"/>
  <c r="H164" i="8" s="1"/>
  <c r="H111" i="8"/>
  <c r="H167" i="8" s="1"/>
  <c r="H67" i="8"/>
  <c r="H123" i="8" s="1"/>
  <c r="H72" i="8"/>
  <c r="H128" i="8" s="1"/>
  <c r="H106" i="8"/>
  <c r="H162" i="8" s="1"/>
  <c r="H97" i="8"/>
  <c r="H153" i="8" s="1"/>
  <c r="H107" i="8"/>
  <c r="H163" i="8" s="1"/>
  <c r="H94" i="8"/>
  <c r="H150" i="8" s="1"/>
  <c r="H104" i="8"/>
  <c r="H160" i="8" s="1"/>
  <c r="H115" i="8"/>
  <c r="H171" i="8" s="1"/>
  <c r="H66" i="8"/>
  <c r="H122" i="8" s="1"/>
  <c r="H103" i="8"/>
  <c r="H159" i="8" s="1"/>
  <c r="H110" i="8"/>
  <c r="H166" i="8" s="1"/>
  <c r="H90" i="8"/>
  <c r="H146" i="8" s="1"/>
  <c r="H98" i="8"/>
  <c r="H154" i="8" s="1"/>
  <c r="H79" i="8"/>
  <c r="H135" i="8" s="1"/>
  <c r="H101" i="8"/>
  <c r="H157" i="8" s="1"/>
  <c r="H112" i="8"/>
  <c r="H168" i="8" s="1"/>
  <c r="H105" i="8"/>
  <c r="H161" i="8" s="1"/>
  <c r="H95" i="8"/>
  <c r="H151" i="8" s="1"/>
  <c r="H99" i="8"/>
  <c r="H155" i="8" s="1"/>
  <c r="H114" i="8"/>
  <c r="H170" i="8" s="1"/>
  <c r="H55" i="8"/>
  <c r="H34" i="8"/>
  <c r="H59" i="8"/>
  <c r="F31" i="11"/>
  <c r="F9" i="11"/>
  <c r="F5" i="11"/>
  <c r="F4" i="11"/>
  <c r="F23" i="11"/>
  <c r="F32" i="11"/>
  <c r="F36" i="11"/>
  <c r="F42" i="11"/>
  <c r="F27" i="11"/>
  <c r="F33" i="11"/>
  <c r="F13" i="11"/>
  <c r="F35" i="11"/>
  <c r="F11" i="11"/>
  <c r="F28" i="11"/>
  <c r="F41" i="11"/>
  <c r="F10" i="11"/>
  <c r="F17" i="11"/>
  <c r="F37" i="11"/>
  <c r="F15" i="11"/>
  <c r="F24" i="11"/>
  <c r="F43" i="11"/>
  <c r="F6" i="11"/>
  <c r="F7" i="11"/>
  <c r="F16" i="11"/>
  <c r="F21" i="11"/>
  <c r="F22" i="11"/>
  <c r="F34" i="11"/>
  <c r="F19" i="11"/>
  <c r="F26" i="11"/>
  <c r="F18" i="11"/>
  <c r="F20" i="11"/>
  <c r="F38" i="11"/>
  <c r="F39" i="11"/>
  <c r="F2" i="11"/>
  <c r="F25" i="11"/>
  <c r="F40" i="11"/>
  <c r="F29" i="11"/>
  <c r="F12" i="11"/>
  <c r="F8" i="11"/>
  <c r="F14" i="11"/>
  <c r="F3" i="11"/>
  <c r="F30" i="11"/>
  <c r="O121" i="8"/>
  <c r="O4" i="9"/>
  <c r="H57" i="8"/>
  <c r="H14" i="8"/>
  <c r="H50" i="8"/>
  <c r="H44" i="8"/>
  <c r="H10" i="8"/>
  <c r="H41" i="8"/>
  <c r="O139" i="8"/>
  <c r="O22" i="9"/>
  <c r="P131" i="8"/>
  <c r="P14" i="9"/>
  <c r="H58" i="8"/>
  <c r="P35" i="9"/>
  <c r="P152" i="8"/>
  <c r="H47" i="8"/>
  <c r="H39" i="8"/>
  <c r="H43" i="8"/>
  <c r="P16" i="9"/>
  <c r="P133" i="8"/>
  <c r="H37" i="8"/>
  <c r="H45" i="8"/>
  <c r="O25" i="9"/>
  <c r="O142" i="8"/>
  <c r="I37" i="9" l="1"/>
  <c r="P12" i="9"/>
  <c r="P129" i="8"/>
  <c r="I29" i="9"/>
  <c r="I49" i="9"/>
  <c r="Q31" i="9"/>
  <c r="Q148" i="8"/>
  <c r="I43" i="9"/>
  <c r="I54" i="9"/>
  <c r="I50" i="8"/>
  <c r="I46" i="9"/>
  <c r="P8" i="9"/>
  <c r="P125" i="8"/>
  <c r="I36" i="9"/>
  <c r="I42" i="9"/>
  <c r="I32" i="9"/>
  <c r="P139" i="8"/>
  <c r="P22" i="9"/>
  <c r="I47" i="9"/>
  <c r="I18" i="9"/>
  <c r="I5" i="9"/>
  <c r="P24" i="9"/>
  <c r="P141" i="8"/>
  <c r="I33" i="9"/>
  <c r="Q7" i="9"/>
  <c r="Q124" i="8"/>
  <c r="I6" i="9"/>
  <c r="Q143" i="8"/>
  <c r="Q26" i="9"/>
  <c r="I50" i="9"/>
  <c r="I55" i="8"/>
  <c r="I47" i="8"/>
  <c r="I53" i="9"/>
  <c r="I39" i="9"/>
  <c r="Q145" i="8"/>
  <c r="Q28" i="9"/>
  <c r="Q23" i="9"/>
  <c r="Q140" i="8"/>
  <c r="I38" i="9"/>
  <c r="I55" i="9"/>
  <c r="Q130" i="8"/>
  <c r="Q13" i="9"/>
  <c r="I5" i="8"/>
  <c r="I53" i="8" s="1"/>
  <c r="H6" i="10"/>
  <c r="H7" i="10" s="1"/>
  <c r="Q152" i="8"/>
  <c r="Q35" i="9"/>
  <c r="I34" i="9"/>
  <c r="I52" i="9"/>
  <c r="P147" i="8"/>
  <c r="P30" i="9"/>
  <c r="P25" i="9"/>
  <c r="P142" i="8"/>
  <c r="Q21" i="9"/>
  <c r="Q138" i="8"/>
  <c r="Q16" i="9"/>
  <c r="Q133" i="8"/>
  <c r="P121" i="8"/>
  <c r="P4" i="9"/>
  <c r="I44" i="9"/>
  <c r="I41" i="9"/>
  <c r="P20" i="9"/>
  <c r="P137" i="8"/>
  <c r="Q27" i="9"/>
  <c r="Q144" i="8"/>
  <c r="I51" i="9"/>
  <c r="I48" i="9"/>
  <c r="Q15" i="9"/>
  <c r="Q132" i="8"/>
  <c r="I45" i="9"/>
  <c r="I11" i="9"/>
  <c r="Q17" i="9"/>
  <c r="Q134" i="8"/>
  <c r="P10" i="9"/>
  <c r="P127" i="8"/>
  <c r="Q131" i="8"/>
  <c r="Q14" i="9"/>
  <c r="I40" i="9"/>
  <c r="I9" i="9"/>
  <c r="R19" i="9"/>
  <c r="R136" i="8"/>
  <c r="I44" i="8" l="1"/>
  <c r="Q147" i="8"/>
  <c r="Q30" i="9"/>
  <c r="R133" i="8"/>
  <c r="R16" i="9"/>
  <c r="Q24" i="9"/>
  <c r="Q141" i="8"/>
  <c r="R21" i="9"/>
  <c r="R138" i="8"/>
  <c r="R145" i="8"/>
  <c r="R28" i="9"/>
  <c r="G28" i="11"/>
  <c r="G13" i="11"/>
  <c r="G19" i="11"/>
  <c r="G12" i="11"/>
  <c r="G18" i="11"/>
  <c r="G9" i="11"/>
  <c r="G27" i="11"/>
  <c r="G20" i="11"/>
  <c r="G38" i="11"/>
  <c r="G42" i="11"/>
  <c r="G29" i="11"/>
  <c r="G21" i="11"/>
  <c r="G24" i="11"/>
  <c r="G17" i="11"/>
  <c r="G34" i="11"/>
  <c r="G35" i="11"/>
  <c r="G22" i="11"/>
  <c r="G26" i="11"/>
  <c r="G8" i="11"/>
  <c r="G33" i="11"/>
  <c r="G23" i="11"/>
  <c r="G14" i="11"/>
  <c r="G36" i="11"/>
  <c r="G25" i="11"/>
  <c r="G7" i="11"/>
  <c r="G3" i="11"/>
  <c r="G39" i="11"/>
  <c r="G30" i="11"/>
  <c r="G16" i="11"/>
  <c r="G40" i="11"/>
  <c r="G43" i="11"/>
  <c r="G11" i="11"/>
  <c r="G5" i="11"/>
  <c r="G31" i="11"/>
  <c r="G41" i="11"/>
  <c r="G2" i="11"/>
  <c r="G37" i="11"/>
  <c r="G32" i="11"/>
  <c r="G6" i="11"/>
  <c r="G15" i="11"/>
  <c r="G10" i="11"/>
  <c r="G4" i="11"/>
  <c r="I14" i="8"/>
  <c r="I41" i="8"/>
  <c r="R144" i="8"/>
  <c r="R27" i="9"/>
  <c r="I10" i="8"/>
  <c r="I60" i="8"/>
  <c r="Q25" i="9"/>
  <c r="Q142" i="8"/>
  <c r="I37" i="8"/>
  <c r="Q137" i="8"/>
  <c r="Q20" i="9"/>
  <c r="R131" i="8"/>
  <c r="R14" i="9"/>
  <c r="Q139" i="8"/>
  <c r="Q22" i="9"/>
  <c r="I58" i="8"/>
  <c r="R13" i="9"/>
  <c r="R130" i="8"/>
  <c r="I52" i="8"/>
  <c r="R15" i="9"/>
  <c r="R132" i="8"/>
  <c r="I106" i="8"/>
  <c r="I162" i="8" s="1"/>
  <c r="I97" i="8"/>
  <c r="I153" i="8" s="1"/>
  <c r="I116" i="8"/>
  <c r="I172" i="8" s="1"/>
  <c r="I94" i="8"/>
  <c r="I150" i="8" s="1"/>
  <c r="I93" i="8"/>
  <c r="I149" i="8" s="1"/>
  <c r="I72" i="8"/>
  <c r="I128" i="8" s="1"/>
  <c r="I101" i="8"/>
  <c r="I157" i="8" s="1"/>
  <c r="I111" i="8"/>
  <c r="I167" i="8" s="1"/>
  <c r="I100" i="8"/>
  <c r="I156" i="8" s="1"/>
  <c r="I103" i="8"/>
  <c r="I159" i="8" s="1"/>
  <c r="I104" i="8"/>
  <c r="I160" i="8" s="1"/>
  <c r="I107" i="8"/>
  <c r="I163" i="8" s="1"/>
  <c r="I102" i="8"/>
  <c r="I158" i="8" s="1"/>
  <c r="I110" i="8"/>
  <c r="I166" i="8" s="1"/>
  <c r="I113" i="8"/>
  <c r="I169" i="8" s="1"/>
  <c r="I105" i="8"/>
  <c r="I161" i="8" s="1"/>
  <c r="I66" i="8"/>
  <c r="I122" i="8" s="1"/>
  <c r="I95" i="8"/>
  <c r="I151" i="8" s="1"/>
  <c r="I109" i="8"/>
  <c r="I165" i="8" s="1"/>
  <c r="I67" i="8"/>
  <c r="I123" i="8" s="1"/>
  <c r="I114" i="8"/>
  <c r="I170" i="8" s="1"/>
  <c r="I90" i="8"/>
  <c r="I146" i="8" s="1"/>
  <c r="I108" i="8"/>
  <c r="I164" i="8" s="1"/>
  <c r="I115" i="8"/>
  <c r="I171" i="8" s="1"/>
  <c r="I70" i="8"/>
  <c r="I126" i="8" s="1"/>
  <c r="I99" i="8"/>
  <c r="I155" i="8" s="1"/>
  <c r="I98" i="8"/>
  <c r="I154" i="8" s="1"/>
  <c r="I79" i="8"/>
  <c r="I135" i="8" s="1"/>
  <c r="I112" i="8"/>
  <c r="I168" i="8" s="1"/>
  <c r="I51" i="8"/>
  <c r="I38" i="8"/>
  <c r="I11" i="8"/>
  <c r="I46" i="8"/>
  <c r="I56" i="8"/>
  <c r="I23" i="8"/>
  <c r="I48" i="8"/>
  <c r="I16" i="8"/>
  <c r="I42" i="8"/>
  <c r="R26" i="9"/>
  <c r="R143" i="8"/>
  <c r="I39" i="8"/>
  <c r="I59" i="8"/>
  <c r="I49" i="8"/>
  <c r="I54" i="8"/>
  <c r="R7" i="9"/>
  <c r="R124" i="8"/>
  <c r="Q12" i="9"/>
  <c r="Q129" i="8"/>
  <c r="R31" i="9"/>
  <c r="R148" i="8"/>
  <c r="I57" i="8"/>
  <c r="I43" i="8"/>
  <c r="S19" i="9"/>
  <c r="S136" i="8"/>
  <c r="R152" i="8"/>
  <c r="R35" i="9"/>
  <c r="Q10" i="9"/>
  <c r="Q127" i="8"/>
  <c r="I34" i="8"/>
  <c r="I45" i="8"/>
  <c r="R17" i="9"/>
  <c r="R134" i="8"/>
  <c r="Q121" i="8"/>
  <c r="Q4" i="9"/>
  <c r="R23" i="9"/>
  <c r="R140" i="8"/>
  <c r="Q8" i="9"/>
  <c r="Q125" i="8"/>
  <c r="T19" i="9" l="1"/>
  <c r="T136" i="8"/>
  <c r="J42" i="9"/>
  <c r="S131" i="8"/>
  <c r="S14" i="9"/>
  <c r="J11" i="9"/>
  <c r="J54" i="9"/>
  <c r="J39" i="9"/>
  <c r="J18" i="9"/>
  <c r="J60" i="8"/>
  <c r="J43" i="8"/>
  <c r="J50" i="9"/>
  <c r="R137" i="8"/>
  <c r="R20" i="9"/>
  <c r="J51" i="9"/>
  <c r="J40" i="9"/>
  <c r="J37" i="8"/>
  <c r="R8" i="9"/>
  <c r="R125" i="8"/>
  <c r="J29" i="9"/>
  <c r="J41" i="8"/>
  <c r="R142" i="8"/>
  <c r="R25" i="9"/>
  <c r="S144" i="8"/>
  <c r="S27" i="9"/>
  <c r="J49" i="8"/>
  <c r="S15" i="9"/>
  <c r="S132" i="8"/>
  <c r="J6" i="9"/>
  <c r="S138" i="8"/>
  <c r="S21" i="9"/>
  <c r="J37" i="9"/>
  <c r="S23" i="9"/>
  <c r="S140" i="8"/>
  <c r="S143" i="8"/>
  <c r="S26" i="9"/>
  <c r="J34" i="9"/>
  <c r="J52" i="8"/>
  <c r="R24" i="9"/>
  <c r="R141" i="8"/>
  <c r="R121" i="8"/>
  <c r="R4" i="9"/>
  <c r="J5" i="9"/>
  <c r="S13" i="9"/>
  <c r="S130" i="8"/>
  <c r="S31" i="9"/>
  <c r="S148" i="8"/>
  <c r="J9" i="9"/>
  <c r="J55" i="9"/>
  <c r="I6" i="10"/>
  <c r="I7" i="10" s="1"/>
  <c r="J5" i="8"/>
  <c r="J54" i="8" s="1"/>
  <c r="S124" i="8"/>
  <c r="S7" i="9"/>
  <c r="J34" i="8"/>
  <c r="J16" i="8"/>
  <c r="J52" i="9"/>
  <c r="J58" i="8"/>
  <c r="S133" i="8"/>
  <c r="S16" i="9"/>
  <c r="J53" i="9"/>
  <c r="S17" i="9"/>
  <c r="S134" i="8"/>
  <c r="J42" i="8"/>
  <c r="J48" i="8"/>
  <c r="J33" i="9"/>
  <c r="J14" i="8"/>
  <c r="R147" i="8"/>
  <c r="R30" i="9"/>
  <c r="J38" i="9"/>
  <c r="J36" i="9"/>
  <c r="J44" i="9"/>
  <c r="J45" i="8"/>
  <c r="J49" i="9"/>
  <c r="J56" i="8"/>
  <c r="J46" i="9"/>
  <c r="J44" i="8"/>
  <c r="J32" i="9"/>
  <c r="R12" i="9"/>
  <c r="R129" i="8"/>
  <c r="J47" i="9"/>
  <c r="J45" i="9"/>
  <c r="S28" i="9"/>
  <c r="S145" i="8"/>
  <c r="J48" i="9"/>
  <c r="R10" i="9"/>
  <c r="R127" i="8"/>
  <c r="J23" i="8"/>
  <c r="J41" i="9"/>
  <c r="R22" i="9"/>
  <c r="R139" i="8"/>
  <c r="S35" i="9"/>
  <c r="S152" i="8"/>
  <c r="J46" i="8"/>
  <c r="J43" i="9"/>
  <c r="S20" i="9" l="1"/>
  <c r="S137" i="8"/>
  <c r="T148" i="8"/>
  <c r="T31" i="9"/>
  <c r="S12" i="9"/>
  <c r="S129" i="8"/>
  <c r="T15" i="9"/>
  <c r="T132" i="8"/>
  <c r="T27" i="9"/>
  <c r="T144" i="8"/>
  <c r="T13" i="9"/>
  <c r="T130" i="8"/>
  <c r="J51" i="8"/>
  <c r="T133" i="8"/>
  <c r="T16" i="9"/>
  <c r="J38" i="8"/>
  <c r="T17" i="9"/>
  <c r="T134" i="8"/>
  <c r="T35" i="9"/>
  <c r="T152" i="8"/>
  <c r="H35" i="11"/>
  <c r="H4" i="11"/>
  <c r="H39" i="11"/>
  <c r="H5" i="11"/>
  <c r="H40" i="11"/>
  <c r="H41" i="11"/>
  <c r="H25" i="11"/>
  <c r="H33" i="11"/>
  <c r="H13" i="11"/>
  <c r="H3" i="11"/>
  <c r="H28" i="11"/>
  <c r="H32" i="11"/>
  <c r="H38" i="11"/>
  <c r="H34" i="11"/>
  <c r="H2" i="11"/>
  <c r="H21" i="11"/>
  <c r="H43" i="11"/>
  <c r="H16" i="11"/>
  <c r="H22" i="11"/>
  <c r="H36" i="11"/>
  <c r="H17" i="11"/>
  <c r="H29" i="11"/>
  <c r="H9" i="11"/>
  <c r="H27" i="11"/>
  <c r="H8" i="11"/>
  <c r="H31" i="11"/>
  <c r="H6" i="11"/>
  <c r="H42" i="11"/>
  <c r="H18" i="11"/>
  <c r="H14" i="11"/>
  <c r="H30" i="11"/>
  <c r="H12" i="11"/>
  <c r="H26" i="11"/>
  <c r="H11" i="11"/>
  <c r="H10" i="11"/>
  <c r="H19" i="11"/>
  <c r="H20" i="11"/>
  <c r="H37" i="11"/>
  <c r="H7" i="11"/>
  <c r="H24" i="11"/>
  <c r="H15" i="11"/>
  <c r="H23" i="11"/>
  <c r="S24" i="9"/>
  <c r="S141" i="8"/>
  <c r="S8" i="9"/>
  <c r="S125" i="8"/>
  <c r="T143" i="8"/>
  <c r="T26" i="9"/>
  <c r="J101" i="8"/>
  <c r="J157" i="8" s="1"/>
  <c r="J93" i="8"/>
  <c r="J149" i="8" s="1"/>
  <c r="J70" i="8"/>
  <c r="J126" i="8" s="1"/>
  <c r="J103" i="8"/>
  <c r="J159" i="8" s="1"/>
  <c r="J115" i="8"/>
  <c r="J171" i="8" s="1"/>
  <c r="J104" i="8"/>
  <c r="J160" i="8" s="1"/>
  <c r="J111" i="8"/>
  <c r="J167" i="8" s="1"/>
  <c r="J97" i="8"/>
  <c r="J153" i="8" s="1"/>
  <c r="J102" i="8"/>
  <c r="J158" i="8" s="1"/>
  <c r="J79" i="8"/>
  <c r="J135" i="8" s="1"/>
  <c r="J108" i="8"/>
  <c r="J164" i="8" s="1"/>
  <c r="J109" i="8"/>
  <c r="J165" i="8" s="1"/>
  <c r="J114" i="8"/>
  <c r="J170" i="8" s="1"/>
  <c r="J106" i="8"/>
  <c r="J162" i="8" s="1"/>
  <c r="J66" i="8"/>
  <c r="J122" i="8" s="1"/>
  <c r="J94" i="8"/>
  <c r="J150" i="8" s="1"/>
  <c r="J113" i="8"/>
  <c r="J169" i="8" s="1"/>
  <c r="J72" i="8"/>
  <c r="J128" i="8" s="1"/>
  <c r="J112" i="8"/>
  <c r="J168" i="8" s="1"/>
  <c r="J110" i="8"/>
  <c r="J166" i="8" s="1"/>
  <c r="J99" i="8"/>
  <c r="J155" i="8" s="1"/>
  <c r="J98" i="8"/>
  <c r="J154" i="8" s="1"/>
  <c r="J116" i="8"/>
  <c r="J172" i="8" s="1"/>
  <c r="J95" i="8"/>
  <c r="J151" i="8" s="1"/>
  <c r="J100" i="8"/>
  <c r="J156" i="8" s="1"/>
  <c r="J107" i="8"/>
  <c r="J163" i="8" s="1"/>
  <c r="J105" i="8"/>
  <c r="J161" i="8" s="1"/>
  <c r="J90" i="8"/>
  <c r="J146" i="8" s="1"/>
  <c r="J67" i="8"/>
  <c r="J123" i="8" s="1"/>
  <c r="J53" i="8"/>
  <c r="J47" i="8"/>
  <c r="J50" i="8"/>
  <c r="J55" i="8"/>
  <c r="T23" i="9"/>
  <c r="T140" i="8"/>
  <c r="T131" i="8"/>
  <c r="T14" i="9"/>
  <c r="J39" i="8"/>
  <c r="T7" i="9"/>
  <c r="T124" i="8"/>
  <c r="J10" i="8"/>
  <c r="S142" i="8"/>
  <c r="S25" i="9"/>
  <c r="J11" i="8"/>
  <c r="S139" i="8"/>
  <c r="S22" i="9"/>
  <c r="T28" i="9"/>
  <c r="T145" i="8"/>
  <c r="J57" i="8"/>
  <c r="U136" i="8"/>
  <c r="U19" i="9"/>
  <c r="S4" i="9"/>
  <c r="S121" i="8"/>
  <c r="S10" i="9"/>
  <c r="S127" i="8"/>
  <c r="S30" i="9"/>
  <c r="S147" i="8"/>
  <c r="J59" i="8"/>
  <c r="T138" i="8"/>
  <c r="T21" i="9"/>
  <c r="K29" i="9" l="1"/>
  <c r="K43" i="9"/>
  <c r="U16" i="9"/>
  <c r="U133" i="8"/>
  <c r="U145" i="8"/>
  <c r="U28" i="9"/>
  <c r="K44" i="9"/>
  <c r="K54" i="9"/>
  <c r="K5" i="8"/>
  <c r="K10" i="8" s="1"/>
  <c r="J6" i="10"/>
  <c r="J7" i="10" s="1"/>
  <c r="T30" i="9"/>
  <c r="T147" i="8"/>
  <c r="K46" i="9"/>
  <c r="K42" i="9"/>
  <c r="K39" i="9"/>
  <c r="K9" i="9"/>
  <c r="U130" i="8"/>
  <c r="U13" i="9"/>
  <c r="U15" i="9"/>
  <c r="U132" i="8"/>
  <c r="T142" i="8"/>
  <c r="T25" i="9"/>
  <c r="U7" i="9"/>
  <c r="U124" i="8"/>
  <c r="K11" i="9"/>
  <c r="K38" i="9"/>
  <c r="K49" i="9"/>
  <c r="U21" i="9"/>
  <c r="U138" i="8"/>
  <c r="K52" i="9"/>
  <c r="T141" i="8"/>
  <c r="T24" i="9"/>
  <c r="T129" i="8"/>
  <c r="T12" i="9"/>
  <c r="U26" i="9"/>
  <c r="U143" i="8"/>
  <c r="T8" i="9"/>
  <c r="T125" i="8"/>
  <c r="K33" i="9"/>
  <c r="U152" i="8"/>
  <c r="U35" i="9"/>
  <c r="K47" i="9"/>
  <c r="T20" i="9"/>
  <c r="T137" i="8"/>
  <c r="U140" i="8"/>
  <c r="U23" i="9"/>
  <c r="T10" i="9"/>
  <c r="T127" i="8"/>
  <c r="U31" i="9"/>
  <c r="U148" i="8"/>
  <c r="T121" i="8"/>
  <c r="T4" i="9"/>
  <c r="K18" i="9"/>
  <c r="K34" i="9"/>
  <c r="K32" i="9"/>
  <c r="K37" i="9"/>
  <c r="U144" i="8"/>
  <c r="U27" i="9"/>
  <c r="K51" i="9"/>
  <c r="K5" i="9"/>
  <c r="U131" i="8"/>
  <c r="U14" i="9"/>
  <c r="U17" i="9"/>
  <c r="U134" i="8"/>
  <c r="K48" i="9"/>
  <c r="K36" i="9"/>
  <c r="T22" i="9"/>
  <c r="T139" i="8"/>
  <c r="K55" i="9"/>
  <c r="K40" i="9"/>
  <c r="K45" i="9"/>
  <c r="K53" i="9"/>
  <c r="K41" i="9"/>
  <c r="V19" i="9"/>
  <c r="V136" i="8"/>
  <c r="K6" i="9"/>
  <c r="K50" i="9"/>
  <c r="V23" i="9" l="1"/>
  <c r="V140" i="8"/>
  <c r="U20" i="9"/>
  <c r="U137" i="8"/>
  <c r="V21" i="9"/>
  <c r="V138" i="8"/>
  <c r="K55" i="8"/>
  <c r="I27" i="11"/>
  <c r="I28" i="11"/>
  <c r="I3" i="11"/>
  <c r="I5" i="11"/>
  <c r="I30" i="11"/>
  <c r="I25" i="11"/>
  <c r="I43" i="11"/>
  <c r="I39" i="11"/>
  <c r="I4" i="11"/>
  <c r="I26" i="11"/>
  <c r="I29" i="11"/>
  <c r="I23" i="11"/>
  <c r="I17" i="11"/>
  <c r="I40" i="11"/>
  <c r="I21" i="11"/>
  <c r="I10" i="11"/>
  <c r="I16" i="11"/>
  <c r="I34" i="11"/>
  <c r="I22" i="11"/>
  <c r="I36" i="11"/>
  <c r="I41" i="11"/>
  <c r="I18" i="11"/>
  <c r="I35" i="11"/>
  <c r="I11" i="11"/>
  <c r="I6" i="11"/>
  <c r="I19" i="11"/>
  <c r="I32" i="11"/>
  <c r="I2" i="11"/>
  <c r="I24" i="11"/>
  <c r="I38" i="11"/>
  <c r="I37" i="11"/>
  <c r="I13" i="11"/>
  <c r="I9" i="11"/>
  <c r="I7" i="11"/>
  <c r="I15" i="11"/>
  <c r="I12" i="11"/>
  <c r="I42" i="11"/>
  <c r="I14" i="11"/>
  <c r="I33" i="11"/>
  <c r="I20" i="11"/>
  <c r="I31" i="11"/>
  <c r="I8" i="11"/>
  <c r="V7" i="9"/>
  <c r="V124" i="8"/>
  <c r="K102" i="8"/>
  <c r="K158" i="8" s="1"/>
  <c r="K108" i="8"/>
  <c r="K164" i="8" s="1"/>
  <c r="K103" i="8"/>
  <c r="K159" i="8" s="1"/>
  <c r="K113" i="8"/>
  <c r="K169" i="8" s="1"/>
  <c r="K114" i="8"/>
  <c r="K170" i="8" s="1"/>
  <c r="K115" i="8"/>
  <c r="K171" i="8" s="1"/>
  <c r="K105" i="8"/>
  <c r="K161" i="8" s="1"/>
  <c r="K97" i="8"/>
  <c r="K153" i="8" s="1"/>
  <c r="K111" i="8"/>
  <c r="K167" i="8" s="1"/>
  <c r="K101" i="8"/>
  <c r="K157" i="8" s="1"/>
  <c r="K70" i="8"/>
  <c r="K126" i="8" s="1"/>
  <c r="K100" i="8"/>
  <c r="K156" i="8" s="1"/>
  <c r="K104" i="8"/>
  <c r="K160" i="8" s="1"/>
  <c r="K72" i="8"/>
  <c r="K128" i="8" s="1"/>
  <c r="K106" i="8"/>
  <c r="K162" i="8" s="1"/>
  <c r="K66" i="8"/>
  <c r="K122" i="8" s="1"/>
  <c r="K93" i="8"/>
  <c r="K149" i="8" s="1"/>
  <c r="K94" i="8"/>
  <c r="K150" i="8" s="1"/>
  <c r="K107" i="8"/>
  <c r="K163" i="8" s="1"/>
  <c r="K112" i="8"/>
  <c r="K168" i="8" s="1"/>
  <c r="K116" i="8"/>
  <c r="K172" i="8" s="1"/>
  <c r="K99" i="8"/>
  <c r="K155" i="8" s="1"/>
  <c r="K67" i="8"/>
  <c r="K123" i="8" s="1"/>
  <c r="K79" i="8"/>
  <c r="K135" i="8" s="1"/>
  <c r="K98" i="8"/>
  <c r="K154" i="8" s="1"/>
  <c r="K110" i="8"/>
  <c r="K166" i="8" s="1"/>
  <c r="K90" i="8"/>
  <c r="K146" i="8" s="1"/>
  <c r="K95" i="8"/>
  <c r="K151" i="8" s="1"/>
  <c r="K109" i="8"/>
  <c r="K165" i="8" s="1"/>
  <c r="K54" i="8"/>
  <c r="K52" i="8"/>
  <c r="K56" i="8"/>
  <c r="K48" i="8"/>
  <c r="K49" i="8"/>
  <c r="K14" i="8"/>
  <c r="K43" i="8"/>
  <c r="K23" i="8"/>
  <c r="K45" i="8"/>
  <c r="K34" i="8"/>
  <c r="K42" i="8"/>
  <c r="K46" i="8"/>
  <c r="K44" i="8"/>
  <c r="K37" i="8"/>
  <c r="K58" i="8"/>
  <c r="K16" i="8"/>
  <c r="K60" i="8"/>
  <c r="K41" i="8"/>
  <c r="K39" i="8"/>
  <c r="V152" i="8"/>
  <c r="V35" i="9"/>
  <c r="K38" i="8"/>
  <c r="K59" i="8"/>
  <c r="U142" i="8"/>
  <c r="U25" i="9"/>
  <c r="V27" i="9"/>
  <c r="V144" i="8"/>
  <c r="U8" i="9"/>
  <c r="U125" i="8"/>
  <c r="V15" i="9"/>
  <c r="V132" i="8"/>
  <c r="U30" i="9"/>
  <c r="U147" i="8"/>
  <c r="K53" i="8"/>
  <c r="K50" i="8"/>
  <c r="V145" i="8"/>
  <c r="V28" i="9"/>
  <c r="K47" i="8"/>
  <c r="U4" i="9"/>
  <c r="U121" i="8"/>
  <c r="U22" i="9"/>
  <c r="U139" i="8"/>
  <c r="V13" i="9"/>
  <c r="V130" i="8"/>
  <c r="V16" i="9"/>
  <c r="V133" i="8"/>
  <c r="V31" i="9"/>
  <c r="V148" i="8"/>
  <c r="U129" i="8"/>
  <c r="U12" i="9"/>
  <c r="V17" i="9"/>
  <c r="V134" i="8"/>
  <c r="V26" i="9"/>
  <c r="V143" i="8"/>
  <c r="K57" i="8"/>
  <c r="U127" i="8"/>
  <c r="U10" i="9"/>
  <c r="U141" i="8"/>
  <c r="U24" i="9"/>
  <c r="W136" i="8"/>
  <c r="W19" i="9"/>
  <c r="V131" i="8"/>
  <c r="V14" i="9"/>
  <c r="K51" i="8"/>
  <c r="K11" i="8"/>
  <c r="W31" i="9" l="1"/>
  <c r="W148" i="8"/>
  <c r="L9" i="9"/>
  <c r="L54" i="9"/>
  <c r="L40" i="9"/>
  <c r="V129" i="8"/>
  <c r="V12" i="9"/>
  <c r="W144" i="8"/>
  <c r="W27" i="9"/>
  <c r="L39" i="9"/>
  <c r="W16" i="9"/>
  <c r="W133" i="8"/>
  <c r="V142" i="8"/>
  <c r="V25" i="9"/>
  <c r="L52" i="8"/>
  <c r="L50" i="9"/>
  <c r="L18" i="9"/>
  <c r="L47" i="9"/>
  <c r="L53" i="9"/>
  <c r="L52" i="9"/>
  <c r="L6" i="9"/>
  <c r="L41" i="9"/>
  <c r="L38" i="9"/>
  <c r="W7" i="9"/>
  <c r="W124" i="8"/>
  <c r="V121" i="8"/>
  <c r="V4" i="9"/>
  <c r="L37" i="9"/>
  <c r="W14" i="9"/>
  <c r="W131" i="8"/>
  <c r="W145" i="8"/>
  <c r="W28" i="9"/>
  <c r="L51" i="9"/>
  <c r="V141" i="8"/>
  <c r="V24" i="9"/>
  <c r="V137" i="8"/>
  <c r="V20" i="9"/>
  <c r="V127" i="8"/>
  <c r="V10" i="9"/>
  <c r="W26" i="9"/>
  <c r="W143" i="8"/>
  <c r="L34" i="8"/>
  <c r="L32" i="9"/>
  <c r="W23" i="9"/>
  <c r="W140" i="8"/>
  <c r="W35" i="9"/>
  <c r="W152" i="8"/>
  <c r="L29" i="9"/>
  <c r="L49" i="9"/>
  <c r="L42" i="9"/>
  <c r="W13" i="9"/>
  <c r="W130" i="8"/>
  <c r="L48" i="9"/>
  <c r="L44" i="9"/>
  <c r="V22" i="9"/>
  <c r="V139" i="8"/>
  <c r="W138" i="8"/>
  <c r="W21" i="9"/>
  <c r="V30" i="9"/>
  <c r="V147" i="8"/>
  <c r="W15" i="9"/>
  <c r="W132" i="8"/>
  <c r="L5" i="9"/>
  <c r="L45" i="9"/>
  <c r="L5" i="8"/>
  <c r="L39" i="8" s="1"/>
  <c r="W134" i="8"/>
  <c r="W17" i="9"/>
  <c r="V8" i="9"/>
  <c r="V125" i="8"/>
  <c r="L11" i="9"/>
  <c r="K6" i="10"/>
  <c r="K7" i="10" s="1"/>
  <c r="L36" i="9"/>
  <c r="L34" i="9"/>
  <c r="X136" i="8"/>
  <c r="X19" i="9"/>
  <c r="L55" i="9"/>
  <c r="L46" i="9"/>
  <c r="L33" i="9"/>
  <c r="L43" i="9"/>
  <c r="L14" i="8" l="1"/>
  <c r="W142" i="8"/>
  <c r="W25" i="9"/>
  <c r="L42" i="8"/>
  <c r="X7" i="9"/>
  <c r="X124" i="8"/>
  <c r="X17" i="9"/>
  <c r="X134" i="8"/>
  <c r="L106" i="8"/>
  <c r="L162" i="8" s="1"/>
  <c r="L70" i="8"/>
  <c r="L126" i="8" s="1"/>
  <c r="L115" i="8"/>
  <c r="L171" i="8" s="1"/>
  <c r="L94" i="8"/>
  <c r="L150" i="8" s="1"/>
  <c r="L111" i="8"/>
  <c r="L167" i="8" s="1"/>
  <c r="L113" i="8"/>
  <c r="L169" i="8" s="1"/>
  <c r="L79" i="8"/>
  <c r="L135" i="8" s="1"/>
  <c r="L66" i="8"/>
  <c r="L122" i="8" s="1"/>
  <c r="L93" i="8"/>
  <c r="L149" i="8" s="1"/>
  <c r="L108" i="8"/>
  <c r="L164" i="8" s="1"/>
  <c r="L102" i="8"/>
  <c r="L158" i="8" s="1"/>
  <c r="L116" i="8"/>
  <c r="L172" i="8" s="1"/>
  <c r="L97" i="8"/>
  <c r="L153" i="8" s="1"/>
  <c r="L100" i="8"/>
  <c r="L156" i="8" s="1"/>
  <c r="L107" i="8"/>
  <c r="L163" i="8" s="1"/>
  <c r="L99" i="8"/>
  <c r="L155" i="8" s="1"/>
  <c r="L105" i="8"/>
  <c r="L161" i="8" s="1"/>
  <c r="L72" i="8"/>
  <c r="L128" i="8" s="1"/>
  <c r="L98" i="8"/>
  <c r="L154" i="8" s="1"/>
  <c r="L101" i="8"/>
  <c r="L157" i="8" s="1"/>
  <c r="L104" i="8"/>
  <c r="L160" i="8" s="1"/>
  <c r="L109" i="8"/>
  <c r="L165" i="8" s="1"/>
  <c r="L114" i="8"/>
  <c r="L170" i="8" s="1"/>
  <c r="L112" i="8"/>
  <c r="L168" i="8" s="1"/>
  <c r="L95" i="8"/>
  <c r="L151" i="8" s="1"/>
  <c r="L67" i="8"/>
  <c r="L123" i="8" s="1"/>
  <c r="L110" i="8"/>
  <c r="L166" i="8" s="1"/>
  <c r="L90" i="8"/>
  <c r="L146" i="8" s="1"/>
  <c r="L103" i="8"/>
  <c r="L159" i="8" s="1"/>
  <c r="L10" i="8"/>
  <c r="L46" i="8"/>
  <c r="W141" i="8"/>
  <c r="W24" i="9"/>
  <c r="L47" i="8"/>
  <c r="Y136" i="8"/>
  <c r="Y19" i="9"/>
  <c r="L56" i="8"/>
  <c r="X15" i="9"/>
  <c r="X132" i="8"/>
  <c r="X28" i="9"/>
  <c r="X145" i="8"/>
  <c r="L37" i="8"/>
  <c r="L58" i="8"/>
  <c r="X27" i="9"/>
  <c r="X144" i="8"/>
  <c r="L16" i="8"/>
  <c r="L23" i="8"/>
  <c r="W30" i="9"/>
  <c r="W147" i="8"/>
  <c r="L51" i="8"/>
  <c r="L44" i="8"/>
  <c r="X23" i="9"/>
  <c r="X140" i="8"/>
  <c r="X138" i="8"/>
  <c r="X21" i="9"/>
  <c r="L59" i="8"/>
  <c r="L48" i="8"/>
  <c r="W8" i="9"/>
  <c r="W125" i="8"/>
  <c r="X143" i="8"/>
  <c r="X26" i="9"/>
  <c r="X133" i="8"/>
  <c r="X16" i="9"/>
  <c r="W127" i="8"/>
  <c r="W10" i="9"/>
  <c r="W137" i="8"/>
  <c r="W20" i="9"/>
  <c r="L53" i="8"/>
  <c r="W129" i="8"/>
  <c r="W12" i="9"/>
  <c r="J42" i="11"/>
  <c r="J8" i="11"/>
  <c r="J20" i="11"/>
  <c r="J28" i="11"/>
  <c r="J33" i="11"/>
  <c r="J34" i="11"/>
  <c r="J32" i="11"/>
  <c r="J35" i="11"/>
  <c r="J4" i="11"/>
  <c r="J15" i="11"/>
  <c r="J19" i="11"/>
  <c r="J11" i="11"/>
  <c r="J23" i="11"/>
  <c r="J41" i="11"/>
  <c r="J37" i="11"/>
  <c r="J40" i="11"/>
  <c r="J39" i="11"/>
  <c r="J18" i="11"/>
  <c r="J43" i="11"/>
  <c r="J14" i="11"/>
  <c r="J22" i="11"/>
  <c r="J5" i="11"/>
  <c r="J10" i="11"/>
  <c r="J2" i="11"/>
  <c r="J24" i="11"/>
  <c r="J21" i="11"/>
  <c r="J3" i="11"/>
  <c r="J16" i="11"/>
  <c r="J27" i="11"/>
  <c r="J12" i="11"/>
  <c r="J30" i="11"/>
  <c r="J36" i="11"/>
  <c r="J38" i="11"/>
  <c r="J6" i="11"/>
  <c r="J31" i="11"/>
  <c r="J26" i="11"/>
  <c r="J29" i="11"/>
  <c r="J25" i="11"/>
  <c r="J17" i="11"/>
  <c r="J7" i="11"/>
  <c r="J13" i="11"/>
  <c r="J9" i="11"/>
  <c r="L50" i="8"/>
  <c r="L41" i="8"/>
  <c r="L45" i="8"/>
  <c r="L11" i="8"/>
  <c r="L49" i="8"/>
  <c r="W139" i="8"/>
  <c r="W22" i="9"/>
  <c r="W121" i="8"/>
  <c r="W4" i="9"/>
  <c r="L60" i="8"/>
  <c r="X31" i="9"/>
  <c r="X148" i="8"/>
  <c r="X130" i="8"/>
  <c r="X13" i="9"/>
  <c r="L38" i="8"/>
  <c r="L57" i="8"/>
  <c r="X14" i="9"/>
  <c r="X131" i="8"/>
  <c r="L54" i="8"/>
  <c r="X152" i="8"/>
  <c r="X35" i="9"/>
  <c r="L43" i="8"/>
  <c r="L55" i="8"/>
  <c r="M55" i="9" l="1"/>
  <c r="M41" i="9"/>
  <c r="X139" i="8"/>
  <c r="X22" i="9"/>
  <c r="Y21" i="9"/>
  <c r="Y138" i="8"/>
  <c r="X24" i="9"/>
  <c r="X141" i="8"/>
  <c r="M47" i="9"/>
  <c r="M47" i="8"/>
  <c r="M53" i="8"/>
  <c r="M6" i="9"/>
  <c r="M33" i="9"/>
  <c r="M34" i="9"/>
  <c r="M54" i="9"/>
  <c r="M49" i="9"/>
  <c r="Y152" i="8"/>
  <c r="Y35" i="9"/>
  <c r="X137" i="8"/>
  <c r="X20" i="9"/>
  <c r="M51" i="9"/>
  <c r="M9" i="9"/>
  <c r="M42" i="9"/>
  <c r="Y27" i="9"/>
  <c r="Y144" i="8"/>
  <c r="M53" i="9"/>
  <c r="M45" i="9"/>
  <c r="Z136" i="8"/>
  <c r="Z19" i="9"/>
  <c r="Y14" i="9"/>
  <c r="Y131" i="8"/>
  <c r="M43" i="9"/>
  <c r="Y133" i="8"/>
  <c r="Y16" i="9"/>
  <c r="M37" i="8"/>
  <c r="M40" i="9"/>
  <c r="Y124" i="8"/>
  <c r="Y7" i="9"/>
  <c r="M48" i="8"/>
  <c r="M36" i="9"/>
  <c r="X121" i="8"/>
  <c r="X4" i="9"/>
  <c r="Y23" i="9"/>
  <c r="Y140" i="8"/>
  <c r="M32" i="9"/>
  <c r="M18" i="9"/>
  <c r="X129" i="8"/>
  <c r="X12" i="9"/>
  <c r="M50" i="9"/>
  <c r="X127" i="8"/>
  <c r="X10" i="9"/>
  <c r="M38" i="8"/>
  <c r="M37" i="9"/>
  <c r="Y143" i="8"/>
  <c r="Y26" i="9"/>
  <c r="M11" i="9"/>
  <c r="M46" i="8"/>
  <c r="M52" i="9"/>
  <c r="Y15" i="9"/>
  <c r="Y132" i="8"/>
  <c r="M44" i="9"/>
  <c r="L6" i="10"/>
  <c r="L7" i="10" s="1"/>
  <c r="M5" i="8"/>
  <c r="M58" i="8" s="1"/>
  <c r="Y134" i="8"/>
  <c r="Y17" i="9"/>
  <c r="M5" i="9"/>
  <c r="M29" i="9"/>
  <c r="M48" i="9"/>
  <c r="Y130" i="8"/>
  <c r="Y13" i="9"/>
  <c r="X8" i="9"/>
  <c r="X125" i="8"/>
  <c r="M46" i="9"/>
  <c r="X30" i="9"/>
  <c r="X147" i="8"/>
  <c r="Y145" i="8"/>
  <c r="Y28" i="9"/>
  <c r="Y31" i="9"/>
  <c r="Y148" i="8"/>
  <c r="M38" i="9"/>
  <c r="X142" i="8"/>
  <c r="X25" i="9"/>
  <c r="M60" i="8"/>
  <c r="M39" i="9"/>
  <c r="Y142" i="8" l="1"/>
  <c r="Y25" i="9"/>
  <c r="Y8" i="9"/>
  <c r="Y125" i="8"/>
  <c r="M42" i="8"/>
  <c r="Y4" i="9"/>
  <c r="Y121" i="8"/>
  <c r="M23" i="8"/>
  <c r="M55" i="8"/>
  <c r="Z130" i="8"/>
  <c r="Z13" i="9"/>
  <c r="Z27" i="9"/>
  <c r="Z144" i="8"/>
  <c r="M49" i="8"/>
  <c r="Y10" i="9"/>
  <c r="Y127" i="8"/>
  <c r="Y20" i="9"/>
  <c r="Y137" i="8"/>
  <c r="Z138" i="8"/>
  <c r="Z21" i="9"/>
  <c r="Y30" i="9"/>
  <c r="Y147" i="8"/>
  <c r="Y12" i="9"/>
  <c r="Y129" i="8"/>
  <c r="M10" i="8"/>
  <c r="M41" i="8"/>
  <c r="Z35" i="9"/>
  <c r="Z152" i="8"/>
  <c r="M115" i="8"/>
  <c r="M171" i="8" s="1"/>
  <c r="M106" i="8"/>
  <c r="M162" i="8" s="1"/>
  <c r="M95" i="8"/>
  <c r="M151" i="8" s="1"/>
  <c r="M70" i="8"/>
  <c r="M126" i="8" s="1"/>
  <c r="M110" i="8"/>
  <c r="M166" i="8" s="1"/>
  <c r="M93" i="8"/>
  <c r="M149" i="8" s="1"/>
  <c r="M94" i="8"/>
  <c r="M150" i="8" s="1"/>
  <c r="M97" i="8"/>
  <c r="M153" i="8" s="1"/>
  <c r="M98" i="8"/>
  <c r="M154" i="8" s="1"/>
  <c r="M113" i="8"/>
  <c r="M169" i="8" s="1"/>
  <c r="M111" i="8"/>
  <c r="M167" i="8" s="1"/>
  <c r="M79" i="8"/>
  <c r="M135" i="8" s="1"/>
  <c r="M100" i="8"/>
  <c r="M156" i="8" s="1"/>
  <c r="M107" i="8"/>
  <c r="M163" i="8" s="1"/>
  <c r="M66" i="8"/>
  <c r="M122" i="8" s="1"/>
  <c r="M72" i="8"/>
  <c r="M128" i="8" s="1"/>
  <c r="M102" i="8"/>
  <c r="M158" i="8" s="1"/>
  <c r="M108" i="8"/>
  <c r="M164" i="8" s="1"/>
  <c r="M103" i="8"/>
  <c r="M159" i="8" s="1"/>
  <c r="M109" i="8"/>
  <c r="M165" i="8" s="1"/>
  <c r="M116" i="8"/>
  <c r="M172" i="8" s="1"/>
  <c r="M104" i="8"/>
  <c r="M160" i="8" s="1"/>
  <c r="M105" i="8"/>
  <c r="M161" i="8" s="1"/>
  <c r="M67" i="8"/>
  <c r="M123" i="8" s="1"/>
  <c r="M99" i="8"/>
  <c r="M155" i="8" s="1"/>
  <c r="M90" i="8"/>
  <c r="M146" i="8" s="1"/>
  <c r="M112" i="8"/>
  <c r="M168" i="8" s="1"/>
  <c r="M114" i="8"/>
  <c r="M170" i="8" s="1"/>
  <c r="M101" i="8"/>
  <c r="M157" i="8" s="1"/>
  <c r="M39" i="8"/>
  <c r="M34" i="8"/>
  <c r="M52" i="8"/>
  <c r="M43" i="8"/>
  <c r="M57" i="8"/>
  <c r="M51" i="8"/>
  <c r="Z143" i="8"/>
  <c r="Z26" i="9"/>
  <c r="M50" i="8"/>
  <c r="M14" i="8"/>
  <c r="M45" i="8"/>
  <c r="Z140" i="8"/>
  <c r="Z23" i="9"/>
  <c r="AA19" i="9"/>
  <c r="AA136" i="8"/>
  <c r="Z124" i="8"/>
  <c r="Z7" i="9"/>
  <c r="Z31" i="9"/>
  <c r="Z148" i="8"/>
  <c r="K40" i="11"/>
  <c r="K42" i="11"/>
  <c r="K11" i="11"/>
  <c r="K25" i="11"/>
  <c r="K26" i="11"/>
  <c r="K41" i="11"/>
  <c r="K15" i="11"/>
  <c r="K14" i="11"/>
  <c r="K36" i="11"/>
  <c r="K28" i="11"/>
  <c r="K31" i="11"/>
  <c r="K5" i="11"/>
  <c r="K10" i="11"/>
  <c r="K33" i="11"/>
  <c r="K4" i="11"/>
  <c r="K20" i="11"/>
  <c r="K16" i="11"/>
  <c r="K23" i="11"/>
  <c r="K22" i="11"/>
  <c r="K35" i="11"/>
  <c r="K2" i="11"/>
  <c r="K24" i="11"/>
  <c r="K43" i="11"/>
  <c r="K37" i="11"/>
  <c r="K13" i="11"/>
  <c r="K39" i="11"/>
  <c r="K21" i="11"/>
  <c r="K17" i="11"/>
  <c r="K34" i="11"/>
  <c r="K32" i="11"/>
  <c r="K9" i="11"/>
  <c r="K38" i="11"/>
  <c r="K18" i="11"/>
  <c r="K6" i="11"/>
  <c r="K19" i="11"/>
  <c r="K3" i="11"/>
  <c r="K8" i="11"/>
  <c r="K7" i="11"/>
  <c r="K12" i="11"/>
  <c r="K30" i="11"/>
  <c r="K29" i="11"/>
  <c r="K27" i="11"/>
  <c r="Z16" i="9"/>
  <c r="Z133" i="8"/>
  <c r="M16" i="8"/>
  <c r="Y24" i="9"/>
  <c r="Y141" i="8"/>
  <c r="Z28" i="9"/>
  <c r="Z145" i="8"/>
  <c r="Z134" i="8"/>
  <c r="Z17" i="9"/>
  <c r="M54" i="8"/>
  <c r="Z132" i="8"/>
  <c r="Z15" i="9"/>
  <c r="Z14" i="9"/>
  <c r="Z131" i="8"/>
  <c r="Y139" i="8"/>
  <c r="Y22" i="9"/>
  <c r="M44" i="8"/>
  <c r="M56" i="8"/>
  <c r="M11" i="8"/>
  <c r="M59" i="8"/>
  <c r="N46" i="9" l="1"/>
  <c r="AA145" i="8"/>
  <c r="AA28" i="9"/>
  <c r="N39" i="9"/>
  <c r="AA21" i="9"/>
  <c r="AA138" i="8"/>
  <c r="N50" i="9"/>
  <c r="Z10" i="9"/>
  <c r="Z127" i="8"/>
  <c r="N53" i="9"/>
  <c r="N32" i="9"/>
  <c r="N49" i="9"/>
  <c r="AA7" i="9"/>
  <c r="AA124" i="8"/>
  <c r="N29" i="9"/>
  <c r="N9" i="9"/>
  <c r="AA16" i="9"/>
  <c r="AA133" i="8"/>
  <c r="AA31" i="9"/>
  <c r="AA148" i="8"/>
  <c r="AA152" i="8"/>
  <c r="AA35" i="9"/>
  <c r="AA23" i="9"/>
  <c r="AA140" i="8"/>
  <c r="N55" i="9"/>
  <c r="Z137" i="8"/>
  <c r="Z20" i="9"/>
  <c r="N37" i="9"/>
  <c r="N38" i="9"/>
  <c r="N34" i="9"/>
  <c r="N44" i="9"/>
  <c r="N54" i="9"/>
  <c r="Z22" i="9"/>
  <c r="Z139" i="8"/>
  <c r="AA14" i="9"/>
  <c r="AA131" i="8"/>
  <c r="N42" i="9"/>
  <c r="Z8" i="9"/>
  <c r="Z125" i="8"/>
  <c r="Z24" i="9"/>
  <c r="Z141" i="8"/>
  <c r="N52" i="9"/>
  <c r="N45" i="9"/>
  <c r="N18" i="9"/>
  <c r="Z4" i="9"/>
  <c r="Z121" i="8"/>
  <c r="M6" i="10"/>
  <c r="M7" i="10" s="1"/>
  <c r="N5" i="8"/>
  <c r="N50" i="8" s="1"/>
  <c r="N36" i="9"/>
  <c r="N40" i="9"/>
  <c r="N33" i="9"/>
  <c r="N51" i="9"/>
  <c r="N43" i="9"/>
  <c r="N45" i="8"/>
  <c r="N48" i="9"/>
  <c r="N47" i="9"/>
  <c r="Z129" i="8"/>
  <c r="Z12" i="9"/>
  <c r="N41" i="9"/>
  <c r="AA143" i="8"/>
  <c r="AA26" i="9"/>
  <c r="N11" i="9"/>
  <c r="Z30" i="9"/>
  <c r="Z147" i="8"/>
  <c r="Z25" i="9"/>
  <c r="Z142" i="8"/>
  <c r="AA17" i="9"/>
  <c r="AA134" i="8"/>
  <c r="N34" i="8"/>
  <c r="AA144" i="8"/>
  <c r="AA27" i="9"/>
  <c r="AB19" i="9"/>
  <c r="AB136" i="8"/>
  <c r="N6" i="9"/>
  <c r="AA130" i="8"/>
  <c r="AA13" i="9"/>
  <c r="AA132" i="8"/>
  <c r="AA15" i="9"/>
  <c r="N5" i="9"/>
  <c r="AB144" i="8" l="1"/>
  <c r="AB27" i="9"/>
  <c r="N59" i="8"/>
  <c r="AB17" i="9"/>
  <c r="AB134" i="8"/>
  <c r="N49" i="8"/>
  <c r="AA20" i="9"/>
  <c r="AA137" i="8"/>
  <c r="N42" i="8"/>
  <c r="AB15" i="9"/>
  <c r="AB132" i="8"/>
  <c r="N39" i="8"/>
  <c r="AB152" i="8"/>
  <c r="AB35" i="9"/>
  <c r="N43" i="8"/>
  <c r="L38" i="11"/>
  <c r="L42" i="11"/>
  <c r="L29" i="11"/>
  <c r="L26" i="11"/>
  <c r="L17" i="11"/>
  <c r="L27" i="11"/>
  <c r="L3" i="11"/>
  <c r="L21" i="11"/>
  <c r="L14" i="11"/>
  <c r="L35" i="11"/>
  <c r="L28" i="11"/>
  <c r="L20" i="11"/>
  <c r="L10" i="11"/>
  <c r="L36" i="11"/>
  <c r="L41" i="11"/>
  <c r="L18" i="11"/>
  <c r="L30" i="11"/>
  <c r="L24" i="11"/>
  <c r="L5" i="11"/>
  <c r="L7" i="11"/>
  <c r="L6" i="11"/>
  <c r="L19" i="11"/>
  <c r="L23" i="11"/>
  <c r="L8" i="11"/>
  <c r="L43" i="11"/>
  <c r="L31" i="11"/>
  <c r="L33" i="11"/>
  <c r="L25" i="11"/>
  <c r="L9" i="11"/>
  <c r="L12" i="11"/>
  <c r="L40" i="11"/>
  <c r="L13" i="11"/>
  <c r="L39" i="11"/>
  <c r="L11" i="11"/>
  <c r="L2" i="11"/>
  <c r="L16" i="11"/>
  <c r="L37" i="11"/>
  <c r="L32" i="11"/>
  <c r="L15" i="11"/>
  <c r="L34" i="11"/>
  <c r="L22" i="11"/>
  <c r="L4" i="11"/>
  <c r="AA10" i="9"/>
  <c r="AA127" i="8"/>
  <c r="N16" i="8"/>
  <c r="AA129" i="8"/>
  <c r="AA12" i="9"/>
  <c r="N52" i="8"/>
  <c r="N51" i="8"/>
  <c r="N57" i="8"/>
  <c r="AB130" i="8"/>
  <c r="AB13" i="9"/>
  <c r="AA121" i="8"/>
  <c r="AA4" i="9"/>
  <c r="AA30" i="9"/>
  <c r="AA147" i="8"/>
  <c r="AA8" i="9"/>
  <c r="AA125" i="8"/>
  <c r="AB143" i="8"/>
  <c r="AB26" i="9"/>
  <c r="AB14" i="9"/>
  <c r="AB131" i="8"/>
  <c r="AC19" i="9"/>
  <c r="AC136" i="8"/>
  <c r="AD19" i="9" s="1"/>
  <c r="AB28" i="9"/>
  <c r="AB145" i="8"/>
  <c r="AA24" i="9"/>
  <c r="AA141" i="8"/>
  <c r="N109" i="8"/>
  <c r="N165" i="8" s="1"/>
  <c r="N94" i="8"/>
  <c r="N150" i="8" s="1"/>
  <c r="N101" i="8"/>
  <c r="N157" i="8" s="1"/>
  <c r="N106" i="8"/>
  <c r="N162" i="8" s="1"/>
  <c r="N116" i="8"/>
  <c r="N172" i="8" s="1"/>
  <c r="N72" i="8"/>
  <c r="N128" i="8" s="1"/>
  <c r="N97" i="8"/>
  <c r="N153" i="8" s="1"/>
  <c r="N66" i="8"/>
  <c r="N122" i="8" s="1"/>
  <c r="N93" i="8"/>
  <c r="N149" i="8" s="1"/>
  <c r="N110" i="8"/>
  <c r="N166" i="8" s="1"/>
  <c r="N102" i="8"/>
  <c r="N158" i="8" s="1"/>
  <c r="N113" i="8"/>
  <c r="N169" i="8" s="1"/>
  <c r="N111" i="8"/>
  <c r="N167" i="8" s="1"/>
  <c r="N79" i="8"/>
  <c r="N135" i="8" s="1"/>
  <c r="N70" i="8"/>
  <c r="N126" i="8" s="1"/>
  <c r="N103" i="8"/>
  <c r="N159" i="8" s="1"/>
  <c r="N107" i="8"/>
  <c r="N163" i="8" s="1"/>
  <c r="N90" i="8"/>
  <c r="N146" i="8" s="1"/>
  <c r="N108" i="8"/>
  <c r="N164" i="8" s="1"/>
  <c r="N99" i="8"/>
  <c r="N155" i="8" s="1"/>
  <c r="N105" i="8"/>
  <c r="N161" i="8" s="1"/>
  <c r="N114" i="8"/>
  <c r="N170" i="8" s="1"/>
  <c r="N67" i="8"/>
  <c r="N123" i="8" s="1"/>
  <c r="N112" i="8"/>
  <c r="N168" i="8" s="1"/>
  <c r="N115" i="8"/>
  <c r="N171" i="8" s="1"/>
  <c r="N104" i="8"/>
  <c r="N160" i="8" s="1"/>
  <c r="N98" i="8"/>
  <c r="N154" i="8" s="1"/>
  <c r="N95" i="8"/>
  <c r="N151" i="8" s="1"/>
  <c r="N100" i="8"/>
  <c r="N156" i="8" s="1"/>
  <c r="N58" i="8"/>
  <c r="N48" i="8"/>
  <c r="N46" i="8"/>
  <c r="N53" i="8"/>
  <c r="N60" i="8"/>
  <c r="N47" i="8"/>
  <c r="N38" i="8"/>
  <c r="N37" i="8"/>
  <c r="AB138" i="8"/>
  <c r="AB21" i="9"/>
  <c r="N44" i="8"/>
  <c r="N56" i="8"/>
  <c r="N14" i="8"/>
  <c r="N11" i="8"/>
  <c r="N55" i="8"/>
  <c r="AA142" i="8"/>
  <c r="AA25" i="9"/>
  <c r="AB23" i="9"/>
  <c r="AB140" i="8"/>
  <c r="AB148" i="8"/>
  <c r="AB31" i="9"/>
  <c r="N41" i="8"/>
  <c r="N54" i="8"/>
  <c r="AA22" i="9"/>
  <c r="AA139" i="8"/>
  <c r="AB16" i="9"/>
  <c r="AB133" i="8"/>
  <c r="N10" i="8"/>
  <c r="N23" i="8"/>
  <c r="AB7" i="9"/>
  <c r="AB124" i="8"/>
  <c r="O34" i="9" l="1"/>
  <c r="O37" i="9"/>
  <c r="O55" i="9"/>
  <c r="AC130" i="8"/>
  <c r="AD13" i="9" s="1"/>
  <c r="AC13" i="9"/>
  <c r="O43" i="9"/>
  <c r="O45" i="9"/>
  <c r="AC23" i="9"/>
  <c r="AC140" i="8"/>
  <c r="AD23" i="9" s="1"/>
  <c r="O11" i="9"/>
  <c r="AB142" i="8"/>
  <c r="AB25" i="9"/>
  <c r="O54" i="9"/>
  <c r="O40" i="9"/>
  <c r="O51" i="9"/>
  <c r="O38" i="9"/>
  <c r="O47" i="9"/>
  <c r="AC124" i="8"/>
  <c r="AD7" i="9" s="1"/>
  <c r="AC7" i="9"/>
  <c r="O29" i="9"/>
  <c r="AC15" i="9"/>
  <c r="AC132" i="8"/>
  <c r="AD15" i="9" s="1"/>
  <c r="AB127" i="8"/>
  <c r="AB10" i="9"/>
  <c r="O44" i="9"/>
  <c r="AC145" i="8"/>
  <c r="AD28" i="9" s="1"/>
  <c r="AC28" i="9"/>
  <c r="O9" i="9"/>
  <c r="O53" i="9"/>
  <c r="AB24" i="9"/>
  <c r="AB141" i="8"/>
  <c r="O5" i="8"/>
  <c r="O38" i="8" s="1"/>
  <c r="N6" i="10"/>
  <c r="N7" i="10" s="1"/>
  <c r="AB20" i="9"/>
  <c r="AB137" i="8"/>
  <c r="AC16" i="9"/>
  <c r="AC133" i="8"/>
  <c r="AD16" i="9" s="1"/>
  <c r="O18" i="9"/>
  <c r="O50" i="9"/>
  <c r="AC26" i="9"/>
  <c r="AC143" i="8"/>
  <c r="AD26" i="9" s="1"/>
  <c r="O33" i="9"/>
  <c r="O42" i="9"/>
  <c r="AB22" i="9"/>
  <c r="AB139" i="8"/>
  <c r="O52" i="9"/>
  <c r="O49" i="9"/>
  <c r="AB147" i="8"/>
  <c r="AB30" i="9"/>
  <c r="O46" i="9"/>
  <c r="AC17" i="9"/>
  <c r="AC134" i="8"/>
  <c r="AD17" i="9" s="1"/>
  <c r="O41" i="9"/>
  <c r="O48" i="9"/>
  <c r="AB129" i="8"/>
  <c r="AB12" i="9"/>
  <c r="O6" i="9"/>
  <c r="AC35" i="9"/>
  <c r="AC152" i="8"/>
  <c r="AD35" i="9" s="1"/>
  <c r="AC138" i="8"/>
  <c r="AD21" i="9" s="1"/>
  <c r="AC21" i="9"/>
  <c r="AC14" i="9"/>
  <c r="AC131" i="8"/>
  <c r="AD14" i="9" s="1"/>
  <c r="AB8" i="9"/>
  <c r="AB125" i="8"/>
  <c r="O32" i="9"/>
  <c r="O5" i="9"/>
  <c r="AC27" i="9"/>
  <c r="AC144" i="8"/>
  <c r="AD27" i="9" s="1"/>
  <c r="AC31" i="9"/>
  <c r="AC148" i="8"/>
  <c r="AD31" i="9" s="1"/>
  <c r="O39" i="9"/>
  <c r="O36" i="9"/>
  <c r="AB121" i="8"/>
  <c r="AB4" i="9"/>
  <c r="O79" i="8" l="1"/>
  <c r="O135" i="8" s="1"/>
  <c r="O116" i="8"/>
  <c r="O172" i="8" s="1"/>
  <c r="O111" i="8"/>
  <c r="O167" i="8" s="1"/>
  <c r="O94" i="8"/>
  <c r="O150" i="8" s="1"/>
  <c r="O72" i="8"/>
  <c r="O128" i="8" s="1"/>
  <c r="O101" i="8"/>
  <c r="O157" i="8" s="1"/>
  <c r="O100" i="8"/>
  <c r="O156" i="8" s="1"/>
  <c r="O70" i="8"/>
  <c r="O126" i="8" s="1"/>
  <c r="O97" i="8"/>
  <c r="O153" i="8" s="1"/>
  <c r="O115" i="8"/>
  <c r="O171" i="8" s="1"/>
  <c r="O93" i="8"/>
  <c r="O149" i="8" s="1"/>
  <c r="O114" i="8"/>
  <c r="O170" i="8" s="1"/>
  <c r="O106" i="8"/>
  <c r="O162" i="8" s="1"/>
  <c r="O107" i="8"/>
  <c r="O163" i="8" s="1"/>
  <c r="O66" i="8"/>
  <c r="O122" i="8" s="1"/>
  <c r="O113" i="8"/>
  <c r="O169" i="8" s="1"/>
  <c r="O108" i="8"/>
  <c r="O164" i="8" s="1"/>
  <c r="O103" i="8"/>
  <c r="O159" i="8" s="1"/>
  <c r="O109" i="8"/>
  <c r="O165" i="8" s="1"/>
  <c r="O102" i="8"/>
  <c r="O158" i="8" s="1"/>
  <c r="O95" i="8"/>
  <c r="O151" i="8" s="1"/>
  <c r="O104" i="8"/>
  <c r="O160" i="8" s="1"/>
  <c r="O98" i="8"/>
  <c r="O154" i="8" s="1"/>
  <c r="O110" i="8"/>
  <c r="O166" i="8" s="1"/>
  <c r="O99" i="8"/>
  <c r="O155" i="8" s="1"/>
  <c r="O112" i="8"/>
  <c r="O168" i="8" s="1"/>
  <c r="O67" i="8"/>
  <c r="O123" i="8" s="1"/>
  <c r="O90" i="8"/>
  <c r="O146" i="8" s="1"/>
  <c r="O105" i="8"/>
  <c r="O161" i="8" s="1"/>
  <c r="O50" i="8"/>
  <c r="O34" i="8"/>
  <c r="O45" i="8"/>
  <c r="O44" i="8"/>
  <c r="O43" i="8"/>
  <c r="O10" i="8"/>
  <c r="O46" i="8"/>
  <c r="O54" i="8"/>
  <c r="AC20" i="9"/>
  <c r="AC137" i="8"/>
  <c r="AD20" i="9" s="1"/>
  <c r="AC127" i="8"/>
  <c r="AD10" i="9" s="1"/>
  <c r="AC10" i="9"/>
  <c r="AC25" i="9"/>
  <c r="AC142" i="8"/>
  <c r="AD25" i="9" s="1"/>
  <c r="AC22" i="9"/>
  <c r="AC139" i="8"/>
  <c r="AD22" i="9" s="1"/>
  <c r="O57" i="8"/>
  <c r="AC129" i="8"/>
  <c r="AD12" i="9" s="1"/>
  <c r="AC12" i="9"/>
  <c r="AC24" i="9"/>
  <c r="AC141" i="8"/>
  <c r="AD24" i="9" s="1"/>
  <c r="O53" i="8"/>
  <c r="M27" i="11"/>
  <c r="M30" i="11"/>
  <c r="M18" i="11"/>
  <c r="M6" i="11"/>
  <c r="M32" i="11"/>
  <c r="M12" i="11"/>
  <c r="M20" i="11"/>
  <c r="M2" i="11"/>
  <c r="M28" i="11"/>
  <c r="M14" i="11"/>
  <c r="M19" i="11"/>
  <c r="M37" i="11"/>
  <c r="M8" i="11"/>
  <c r="M4" i="11"/>
  <c r="M13" i="11"/>
  <c r="M21" i="11"/>
  <c r="M17" i="11"/>
  <c r="M15" i="11"/>
  <c r="M38" i="11"/>
  <c r="M43" i="11"/>
  <c r="M23" i="11"/>
  <c r="M24" i="11"/>
  <c r="M34" i="11"/>
  <c r="M40" i="11"/>
  <c r="M25" i="11"/>
  <c r="M10" i="11"/>
  <c r="M5" i="11"/>
  <c r="M36" i="11"/>
  <c r="M7" i="11"/>
  <c r="M26" i="11"/>
  <c r="M33" i="11"/>
  <c r="M31" i="11"/>
  <c r="M16" i="11"/>
  <c r="M3" i="11"/>
  <c r="M29" i="11"/>
  <c r="M39" i="11"/>
  <c r="M11" i="11"/>
  <c r="M42" i="11"/>
  <c r="M22" i="11"/>
  <c r="M35" i="11"/>
  <c r="M9" i="11"/>
  <c r="M41" i="11"/>
  <c r="O11" i="8"/>
  <c r="O48" i="8"/>
  <c r="O56" i="8"/>
  <c r="AC121" i="8"/>
  <c r="AD4" i="9" s="1"/>
  <c r="AC4" i="9"/>
  <c r="O37" i="8"/>
  <c r="O42" i="8"/>
  <c r="O49" i="8"/>
  <c r="O41" i="8"/>
  <c r="O23" i="8"/>
  <c r="O55" i="8"/>
  <c r="AC8" i="9"/>
  <c r="AC125" i="8"/>
  <c r="AD8" i="9" s="1"/>
  <c r="O59" i="8"/>
  <c r="O47" i="8"/>
  <c r="O51" i="8"/>
  <c r="O39" i="8"/>
  <c r="O58" i="8"/>
  <c r="O52" i="8"/>
  <c r="O14" i="8"/>
  <c r="O60" i="8"/>
  <c r="AC30" i="9"/>
  <c r="AC147" i="8"/>
  <c r="AD30" i="9" s="1"/>
  <c r="O16" i="8"/>
  <c r="P37" i="9" l="1"/>
  <c r="P18" i="9"/>
  <c r="P43" i="9"/>
  <c r="P34" i="9"/>
  <c r="P58" i="8"/>
  <c r="P47" i="8"/>
  <c r="P41" i="9"/>
  <c r="P48" i="9"/>
  <c r="P47" i="9"/>
  <c r="O6" i="10"/>
  <c r="O7" i="10" s="1"/>
  <c r="P5" i="8"/>
  <c r="P45" i="9"/>
  <c r="P32" i="9"/>
  <c r="P36" i="9"/>
  <c r="P54" i="8"/>
  <c r="P5" i="9"/>
  <c r="P46" i="9"/>
  <c r="P53" i="9"/>
  <c r="P50" i="8"/>
  <c r="P9" i="9"/>
  <c r="P46" i="8"/>
  <c r="P45" i="8"/>
  <c r="P54" i="9"/>
  <c r="P53" i="8"/>
  <c r="P44" i="9"/>
  <c r="P39" i="9"/>
  <c r="P52" i="9"/>
  <c r="P23" i="8"/>
  <c r="P34" i="8"/>
  <c r="P56" i="8"/>
  <c r="P16" i="8"/>
  <c r="P48" i="8"/>
  <c r="P11" i="8"/>
  <c r="P29" i="9"/>
  <c r="P40" i="9"/>
  <c r="P6" i="9"/>
  <c r="P11" i="9"/>
  <c r="P42" i="9"/>
  <c r="P51" i="9"/>
  <c r="P33" i="9"/>
  <c r="P38" i="9"/>
  <c r="P50" i="9"/>
  <c r="P59" i="8"/>
  <c r="P14" i="8"/>
  <c r="P52" i="8"/>
  <c r="P57" i="8"/>
  <c r="P49" i="9"/>
  <c r="P55" i="9"/>
  <c r="P79" i="8" l="1"/>
  <c r="P135" i="8" s="1"/>
  <c r="P105" i="8"/>
  <c r="P161" i="8" s="1"/>
  <c r="P97" i="8"/>
  <c r="P153" i="8" s="1"/>
  <c r="P114" i="8"/>
  <c r="P170" i="8" s="1"/>
  <c r="P107" i="8"/>
  <c r="P163" i="8" s="1"/>
  <c r="P113" i="8"/>
  <c r="P169" i="8" s="1"/>
  <c r="P103" i="8"/>
  <c r="P159" i="8" s="1"/>
  <c r="P94" i="8"/>
  <c r="P150" i="8" s="1"/>
  <c r="P66" i="8"/>
  <c r="P122" i="8" s="1"/>
  <c r="P93" i="8"/>
  <c r="P149" i="8" s="1"/>
  <c r="P110" i="8"/>
  <c r="P166" i="8" s="1"/>
  <c r="P106" i="8"/>
  <c r="P162" i="8" s="1"/>
  <c r="P101" i="8"/>
  <c r="P157" i="8" s="1"/>
  <c r="P116" i="8"/>
  <c r="P172" i="8" s="1"/>
  <c r="P111" i="8"/>
  <c r="P167" i="8" s="1"/>
  <c r="P108" i="8"/>
  <c r="P164" i="8" s="1"/>
  <c r="P115" i="8"/>
  <c r="P171" i="8" s="1"/>
  <c r="P102" i="8"/>
  <c r="P158" i="8" s="1"/>
  <c r="P70" i="8"/>
  <c r="P126" i="8" s="1"/>
  <c r="P100" i="8"/>
  <c r="P156" i="8" s="1"/>
  <c r="P98" i="8"/>
  <c r="P154" i="8" s="1"/>
  <c r="P112" i="8"/>
  <c r="P168" i="8" s="1"/>
  <c r="P72" i="8"/>
  <c r="P128" i="8" s="1"/>
  <c r="P104" i="8"/>
  <c r="P160" i="8" s="1"/>
  <c r="P99" i="8"/>
  <c r="P155" i="8" s="1"/>
  <c r="P109" i="8"/>
  <c r="P165" i="8" s="1"/>
  <c r="P67" i="8"/>
  <c r="P123" i="8" s="1"/>
  <c r="P95" i="8"/>
  <c r="P151" i="8" s="1"/>
  <c r="P90" i="8"/>
  <c r="P146" i="8" s="1"/>
  <c r="P38" i="8"/>
  <c r="P10" i="8"/>
  <c r="P43" i="8"/>
  <c r="P51" i="8"/>
  <c r="P44" i="8"/>
  <c r="P41" i="8"/>
  <c r="P60" i="8"/>
  <c r="P49" i="8"/>
  <c r="N22" i="11"/>
  <c r="N23" i="11"/>
  <c r="N25" i="11"/>
  <c r="N12" i="11"/>
  <c r="N37" i="11"/>
  <c r="N38" i="11"/>
  <c r="N26" i="11"/>
  <c r="N39" i="11"/>
  <c r="N2" i="11"/>
  <c r="N8" i="11"/>
  <c r="N17" i="11"/>
  <c r="N30" i="11"/>
  <c r="N31" i="11"/>
  <c r="N9" i="11"/>
  <c r="N19" i="11"/>
  <c r="N33" i="11"/>
  <c r="N13" i="11"/>
  <c r="N36" i="11"/>
  <c r="N20" i="11"/>
  <c r="N16" i="11"/>
  <c r="N41" i="11"/>
  <c r="N42" i="11"/>
  <c r="N21" i="11"/>
  <c r="N15" i="11"/>
  <c r="N11" i="11"/>
  <c r="N28" i="11"/>
  <c r="N6" i="11"/>
  <c r="N35" i="11"/>
  <c r="N32" i="11"/>
  <c r="N24" i="11"/>
  <c r="N4" i="11"/>
  <c r="N18" i="11"/>
  <c r="N3" i="11"/>
  <c r="N29" i="11"/>
  <c r="N7" i="11"/>
  <c r="N10" i="11"/>
  <c r="N14" i="11"/>
  <c r="N27" i="11"/>
  <c r="N43" i="11"/>
  <c r="N40" i="11"/>
  <c r="N5" i="11"/>
  <c r="N34" i="11"/>
  <c r="P39" i="8"/>
  <c r="P37" i="8"/>
  <c r="P42" i="8"/>
  <c r="P55" i="8"/>
  <c r="Q37" i="9" l="1"/>
  <c r="Q39" i="9"/>
  <c r="Q9" i="9"/>
  <c r="Q54" i="9"/>
  <c r="Q41" i="9"/>
  <c r="Q47" i="9"/>
  <c r="Q49" i="9"/>
  <c r="Q50" i="9"/>
  <c r="Q55" i="9"/>
  <c r="Q34" i="9"/>
  <c r="Q52" i="9"/>
  <c r="Q40" i="9"/>
  <c r="Q5" i="9"/>
  <c r="Q6" i="9"/>
  <c r="Q46" i="9"/>
  <c r="Q33" i="9"/>
  <c r="Q37" i="8"/>
  <c r="Q29" i="9"/>
  <c r="Q49" i="8"/>
  <c r="Q48" i="9"/>
  <c r="Q53" i="9"/>
  <c r="Q45" i="9"/>
  <c r="Q38" i="9"/>
  <c r="Q36" i="9"/>
  <c r="Q32" i="9"/>
  <c r="Q41" i="8"/>
  <c r="Q43" i="9"/>
  <c r="Q44" i="9"/>
  <c r="Q55" i="8"/>
  <c r="Q44" i="8"/>
  <c r="Q11" i="9"/>
  <c r="Q18" i="9"/>
  <c r="Q51" i="8"/>
  <c r="Q10" i="8"/>
  <c r="Q5" i="8"/>
  <c r="Q42" i="8" s="1"/>
  <c r="P6" i="10"/>
  <c r="P7" i="10" s="1"/>
  <c r="Q42" i="9"/>
  <c r="Q51" i="9"/>
  <c r="Q38" i="8" l="1"/>
  <c r="Q39" i="8"/>
  <c r="O34" i="11"/>
  <c r="O40" i="11"/>
  <c r="O11" i="11"/>
  <c r="O43" i="11"/>
  <c r="O39" i="11"/>
  <c r="O29" i="11"/>
  <c r="O14" i="11"/>
  <c r="O2" i="11"/>
  <c r="O5" i="11"/>
  <c r="O41" i="11"/>
  <c r="O42" i="11"/>
  <c r="O22" i="11"/>
  <c r="O9" i="11"/>
  <c r="O23" i="11"/>
  <c r="O30" i="11"/>
  <c r="O35" i="11"/>
  <c r="O16" i="11"/>
  <c r="O28" i="11"/>
  <c r="O10" i="11"/>
  <c r="O36" i="11"/>
  <c r="O18" i="11"/>
  <c r="O26" i="11"/>
  <c r="O13" i="11"/>
  <c r="O31" i="11"/>
  <c r="O12" i="11"/>
  <c r="O6" i="11"/>
  <c r="O38" i="11"/>
  <c r="O32" i="11"/>
  <c r="O17" i="11"/>
  <c r="O19" i="11"/>
  <c r="O25" i="11"/>
  <c r="O27" i="11"/>
  <c r="O21" i="11"/>
  <c r="O33" i="11"/>
  <c r="O24" i="11"/>
  <c r="O20" i="11"/>
  <c r="O8" i="11"/>
  <c r="O15" i="11"/>
  <c r="O4" i="11"/>
  <c r="O37" i="11"/>
  <c r="O7" i="11"/>
  <c r="O3" i="11"/>
  <c r="Q60" i="8"/>
  <c r="Q111" i="8"/>
  <c r="Q167" i="8" s="1"/>
  <c r="Q70" i="8"/>
  <c r="Q126" i="8" s="1"/>
  <c r="Q116" i="8"/>
  <c r="Q172" i="8" s="1"/>
  <c r="Q66" i="8"/>
  <c r="Q122" i="8" s="1"/>
  <c r="Q113" i="8"/>
  <c r="Q169" i="8" s="1"/>
  <c r="Q105" i="8"/>
  <c r="Q161" i="8" s="1"/>
  <c r="Q93" i="8"/>
  <c r="Q149" i="8" s="1"/>
  <c r="Q79" i="8"/>
  <c r="Q135" i="8" s="1"/>
  <c r="Q115" i="8"/>
  <c r="Q171" i="8" s="1"/>
  <c r="Q101" i="8"/>
  <c r="Q157" i="8" s="1"/>
  <c r="Q97" i="8"/>
  <c r="Q153" i="8" s="1"/>
  <c r="Q94" i="8"/>
  <c r="Q150" i="8" s="1"/>
  <c r="Q104" i="8"/>
  <c r="Q160" i="8" s="1"/>
  <c r="Q100" i="8"/>
  <c r="Q156" i="8" s="1"/>
  <c r="Q72" i="8"/>
  <c r="Q128" i="8" s="1"/>
  <c r="Q108" i="8"/>
  <c r="Q164" i="8" s="1"/>
  <c r="Q102" i="8"/>
  <c r="Q158" i="8" s="1"/>
  <c r="Q107" i="8"/>
  <c r="Q163" i="8" s="1"/>
  <c r="Q106" i="8"/>
  <c r="Q162" i="8" s="1"/>
  <c r="Q67" i="8"/>
  <c r="Q123" i="8" s="1"/>
  <c r="Q98" i="8"/>
  <c r="Q154" i="8" s="1"/>
  <c r="Q110" i="8"/>
  <c r="Q166" i="8" s="1"/>
  <c r="Q95" i="8"/>
  <c r="Q151" i="8" s="1"/>
  <c r="Q99" i="8"/>
  <c r="Q155" i="8" s="1"/>
  <c r="Q114" i="8"/>
  <c r="Q170" i="8" s="1"/>
  <c r="Q109" i="8"/>
  <c r="Q165" i="8" s="1"/>
  <c r="Q103" i="8"/>
  <c r="Q159" i="8" s="1"/>
  <c r="Q112" i="8"/>
  <c r="Q168" i="8" s="1"/>
  <c r="Q90" i="8"/>
  <c r="Q146" i="8" s="1"/>
  <c r="Q53" i="8"/>
  <c r="Q56" i="8"/>
  <c r="Q59" i="8"/>
  <c r="Q48" i="8"/>
  <c r="Q54" i="8"/>
  <c r="Q23" i="8"/>
  <c r="Q50" i="8"/>
  <c r="Q16" i="8"/>
  <c r="Q45" i="8"/>
  <c r="Q57" i="8"/>
  <c r="Q52" i="8"/>
  <c r="Q34" i="8"/>
  <c r="Q47" i="8"/>
  <c r="Q46" i="8"/>
  <c r="Q14" i="8"/>
  <c r="Q11" i="8"/>
  <c r="Q58" i="8"/>
  <c r="Q43" i="8"/>
  <c r="R54" i="9" l="1"/>
  <c r="R40" i="9"/>
  <c r="R18" i="9"/>
  <c r="R44" i="9"/>
  <c r="R48" i="9"/>
  <c r="R9" i="9"/>
  <c r="R5" i="9"/>
  <c r="R53" i="9"/>
  <c r="R55" i="9"/>
  <c r="R38" i="9"/>
  <c r="R36" i="9"/>
  <c r="R29" i="9"/>
  <c r="R32" i="9"/>
  <c r="R42" i="9"/>
  <c r="R45" i="9"/>
  <c r="R41" i="9"/>
  <c r="R47" i="9"/>
  <c r="R51" i="9"/>
  <c r="R34" i="9"/>
  <c r="R49" i="9"/>
  <c r="R46" i="9"/>
  <c r="R5" i="8"/>
  <c r="R46" i="8" s="1"/>
  <c r="R37" i="9"/>
  <c r="R6" i="9"/>
  <c r="R11" i="9"/>
  <c r="Q6" i="10"/>
  <c r="Q7" i="10" s="1"/>
  <c r="R39" i="9"/>
  <c r="R43" i="9"/>
  <c r="R52" i="9"/>
  <c r="R50" i="9"/>
  <c r="R33" i="9"/>
  <c r="R43" i="8" l="1"/>
  <c r="R16" i="8"/>
  <c r="R38" i="8"/>
  <c r="R45" i="8"/>
  <c r="R34" i="8"/>
  <c r="R60" i="8"/>
  <c r="R57" i="8"/>
  <c r="R47" i="8"/>
  <c r="R14" i="8"/>
  <c r="R113" i="8"/>
  <c r="R169" i="8" s="1"/>
  <c r="R114" i="8"/>
  <c r="R170" i="8" s="1"/>
  <c r="R111" i="8"/>
  <c r="R167" i="8" s="1"/>
  <c r="R106" i="8"/>
  <c r="R162" i="8" s="1"/>
  <c r="R79" i="8"/>
  <c r="R135" i="8" s="1"/>
  <c r="R66" i="8"/>
  <c r="R122" i="8" s="1"/>
  <c r="R115" i="8"/>
  <c r="R171" i="8" s="1"/>
  <c r="R100" i="8"/>
  <c r="R156" i="8" s="1"/>
  <c r="R95" i="8"/>
  <c r="R151" i="8" s="1"/>
  <c r="R103" i="8"/>
  <c r="R159" i="8" s="1"/>
  <c r="R109" i="8"/>
  <c r="R165" i="8" s="1"/>
  <c r="R97" i="8"/>
  <c r="R153" i="8" s="1"/>
  <c r="R107" i="8"/>
  <c r="R163" i="8" s="1"/>
  <c r="R70" i="8"/>
  <c r="R126" i="8" s="1"/>
  <c r="R102" i="8"/>
  <c r="R158" i="8" s="1"/>
  <c r="R101" i="8"/>
  <c r="R157" i="8" s="1"/>
  <c r="R104" i="8"/>
  <c r="R160" i="8" s="1"/>
  <c r="R72" i="8"/>
  <c r="R128" i="8" s="1"/>
  <c r="R94" i="8"/>
  <c r="R150" i="8" s="1"/>
  <c r="R116" i="8"/>
  <c r="R172" i="8" s="1"/>
  <c r="R112" i="8"/>
  <c r="R168" i="8" s="1"/>
  <c r="R98" i="8"/>
  <c r="R154" i="8" s="1"/>
  <c r="R99" i="8"/>
  <c r="R155" i="8" s="1"/>
  <c r="R110" i="8"/>
  <c r="R166" i="8" s="1"/>
  <c r="R105" i="8"/>
  <c r="R161" i="8" s="1"/>
  <c r="R90" i="8"/>
  <c r="R146" i="8" s="1"/>
  <c r="R67" i="8"/>
  <c r="R123" i="8" s="1"/>
  <c r="R93" i="8"/>
  <c r="R149" i="8" s="1"/>
  <c r="R108" i="8"/>
  <c r="R164" i="8" s="1"/>
  <c r="R42" i="8"/>
  <c r="R10" i="8"/>
  <c r="R55" i="8"/>
  <c r="R37" i="8"/>
  <c r="R44" i="8"/>
  <c r="R51" i="8"/>
  <c r="R41" i="8"/>
  <c r="R49" i="8"/>
  <c r="R39" i="8"/>
  <c r="R56" i="8"/>
  <c r="R54" i="8"/>
  <c r="R50" i="8"/>
  <c r="R52" i="8"/>
  <c r="R23" i="8"/>
  <c r="R11" i="8"/>
  <c r="R59" i="8"/>
  <c r="P37" i="11"/>
  <c r="P34" i="11"/>
  <c r="P28" i="11"/>
  <c r="P15" i="11"/>
  <c r="P8" i="11"/>
  <c r="P17" i="11"/>
  <c r="P3" i="11"/>
  <c r="P7" i="11"/>
  <c r="P14" i="11"/>
  <c r="P20" i="11"/>
  <c r="P26" i="11"/>
  <c r="P2" i="11"/>
  <c r="P21" i="11"/>
  <c r="P23" i="11"/>
  <c r="P42" i="11"/>
  <c r="P40" i="11"/>
  <c r="P11" i="11"/>
  <c r="P27" i="11"/>
  <c r="P43" i="11"/>
  <c r="P39" i="11"/>
  <c r="P9" i="11"/>
  <c r="P18" i="11"/>
  <c r="P31" i="11"/>
  <c r="P19" i="11"/>
  <c r="P16" i="11"/>
  <c r="P4" i="11"/>
  <c r="P35" i="11"/>
  <c r="P25" i="11"/>
  <c r="P13" i="11"/>
  <c r="P38" i="11"/>
  <c r="P32" i="11"/>
  <c r="P36" i="11"/>
  <c r="P12" i="11"/>
  <c r="P41" i="11"/>
  <c r="P10" i="11"/>
  <c r="P30" i="11"/>
  <c r="P6" i="11"/>
  <c r="P29" i="11"/>
  <c r="P33" i="11"/>
  <c r="P22" i="11"/>
  <c r="P5" i="11"/>
  <c r="P24" i="11"/>
  <c r="R58" i="8"/>
  <c r="R53" i="8"/>
  <c r="R48" i="8"/>
  <c r="S36" i="9" l="1"/>
  <c r="S48" i="9"/>
  <c r="S42" i="9"/>
  <c r="S39" i="9"/>
  <c r="R6" i="10"/>
  <c r="R7" i="10" s="1"/>
  <c r="S5" i="8"/>
  <c r="S58" i="8" s="1"/>
  <c r="S34" i="9"/>
  <c r="S45" i="9"/>
  <c r="S50" i="9"/>
  <c r="S55" i="9"/>
  <c r="S11" i="9"/>
  <c r="S49" i="9"/>
  <c r="S52" i="9"/>
  <c r="S37" i="9"/>
  <c r="S43" i="9"/>
  <c r="S6" i="9"/>
  <c r="S40" i="9"/>
  <c r="S41" i="9"/>
  <c r="S5" i="9"/>
  <c r="S18" i="9"/>
  <c r="S44" i="9"/>
  <c r="S53" i="9"/>
  <c r="S38" i="9"/>
  <c r="S33" i="9"/>
  <c r="S9" i="9"/>
  <c r="S47" i="9"/>
  <c r="S54" i="9"/>
  <c r="S32" i="9"/>
  <c r="S29" i="9"/>
  <c r="S51" i="9"/>
  <c r="S46" i="9"/>
  <c r="S52" i="8" l="1"/>
  <c r="S51" i="8"/>
  <c r="S45" i="8"/>
  <c r="S60" i="8"/>
  <c r="S23" i="8"/>
  <c r="S10" i="8"/>
  <c r="S56" i="8"/>
  <c r="S102" i="8"/>
  <c r="S158" i="8" s="1"/>
  <c r="S106" i="8"/>
  <c r="S162" i="8" s="1"/>
  <c r="S66" i="8"/>
  <c r="S122" i="8" s="1"/>
  <c r="S100" i="8"/>
  <c r="S156" i="8" s="1"/>
  <c r="S93" i="8"/>
  <c r="S149" i="8" s="1"/>
  <c r="S79" i="8"/>
  <c r="S135" i="8" s="1"/>
  <c r="S90" i="8"/>
  <c r="S146" i="8" s="1"/>
  <c r="S115" i="8"/>
  <c r="S171" i="8" s="1"/>
  <c r="S111" i="8"/>
  <c r="S167" i="8" s="1"/>
  <c r="S103" i="8"/>
  <c r="S159" i="8" s="1"/>
  <c r="S108" i="8"/>
  <c r="S164" i="8" s="1"/>
  <c r="S113" i="8"/>
  <c r="S169" i="8" s="1"/>
  <c r="S105" i="8"/>
  <c r="S161" i="8" s="1"/>
  <c r="S99" i="8"/>
  <c r="S155" i="8" s="1"/>
  <c r="S97" i="8"/>
  <c r="S153" i="8" s="1"/>
  <c r="S109" i="8"/>
  <c r="S165" i="8" s="1"/>
  <c r="S101" i="8"/>
  <c r="S157" i="8" s="1"/>
  <c r="S104" i="8"/>
  <c r="S160" i="8" s="1"/>
  <c r="S72" i="8"/>
  <c r="S128" i="8" s="1"/>
  <c r="S67" i="8"/>
  <c r="S123" i="8" s="1"/>
  <c r="S95" i="8"/>
  <c r="S151" i="8" s="1"/>
  <c r="S116" i="8"/>
  <c r="S172" i="8" s="1"/>
  <c r="S70" i="8"/>
  <c r="S126" i="8" s="1"/>
  <c r="S98" i="8"/>
  <c r="S154" i="8" s="1"/>
  <c r="S112" i="8"/>
  <c r="S168" i="8" s="1"/>
  <c r="S110" i="8"/>
  <c r="S166" i="8" s="1"/>
  <c r="S107" i="8"/>
  <c r="S163" i="8" s="1"/>
  <c r="S114" i="8"/>
  <c r="S170" i="8" s="1"/>
  <c r="S94" i="8"/>
  <c r="S150" i="8" s="1"/>
  <c r="S46" i="8"/>
  <c r="S43" i="8"/>
  <c r="S34" i="8"/>
  <c r="S49" i="8"/>
  <c r="S14" i="8"/>
  <c r="Q10" i="11"/>
  <c r="Q38" i="11"/>
  <c r="Q26" i="11"/>
  <c r="Q28" i="11"/>
  <c r="Q2" i="11"/>
  <c r="Q23" i="11"/>
  <c r="Q40" i="11"/>
  <c r="Q36" i="11"/>
  <c r="Q29" i="11"/>
  <c r="Q24" i="11"/>
  <c r="Q5" i="11"/>
  <c r="Q3" i="11"/>
  <c r="Q13" i="11"/>
  <c r="Q4" i="11"/>
  <c r="Q14" i="11"/>
  <c r="Q22" i="11"/>
  <c r="Q34" i="11"/>
  <c r="Q30" i="11"/>
  <c r="Q43" i="11"/>
  <c r="Q25" i="11"/>
  <c r="Q21" i="11"/>
  <c r="Q7" i="11"/>
  <c r="Q35" i="11"/>
  <c r="Q12" i="11"/>
  <c r="Q37" i="11"/>
  <c r="Q20" i="11"/>
  <c r="Q39" i="11"/>
  <c r="Q19" i="11"/>
  <c r="Q16" i="11"/>
  <c r="Q42" i="11"/>
  <c r="Q11" i="11"/>
  <c r="Q31" i="11"/>
  <c r="Q33" i="11"/>
  <c r="Q15" i="11"/>
  <c r="Q6" i="11"/>
  <c r="Q9" i="11"/>
  <c r="Q8" i="11"/>
  <c r="Q17" i="11"/>
  <c r="Q41" i="11"/>
  <c r="Q32" i="11"/>
  <c r="Q27" i="11"/>
  <c r="Q18" i="11"/>
  <c r="S37" i="8"/>
  <c r="S47" i="8"/>
  <c r="S50" i="8"/>
  <c r="S11" i="8"/>
  <c r="S42" i="8"/>
  <c r="S54" i="8"/>
  <c r="S48" i="8"/>
  <c r="S16" i="8"/>
  <c r="S53" i="8"/>
  <c r="S38" i="8"/>
  <c r="S55" i="8"/>
  <c r="S39" i="8"/>
  <c r="S41" i="8"/>
  <c r="S59" i="8"/>
  <c r="S57" i="8"/>
  <c r="S44" i="8"/>
  <c r="T38" i="9" l="1"/>
  <c r="T44" i="9"/>
  <c r="T52" i="9"/>
  <c r="T47" i="9"/>
  <c r="T33" i="9"/>
  <c r="T49" i="9"/>
  <c r="T39" i="9"/>
  <c r="T42" i="9"/>
  <c r="T53" i="9"/>
  <c r="T18" i="9"/>
  <c r="T46" i="9"/>
  <c r="T32" i="9"/>
  <c r="T55" i="9"/>
  <c r="T34" i="9"/>
  <c r="T5" i="8"/>
  <c r="T60" i="8" s="1"/>
  <c r="S6" i="10"/>
  <c r="S7" i="10" s="1"/>
  <c r="T50" i="9"/>
  <c r="T54" i="9"/>
  <c r="T37" i="9"/>
  <c r="T45" i="9"/>
  <c r="T9" i="9"/>
  <c r="T6" i="9"/>
  <c r="T51" i="9"/>
  <c r="T5" i="9"/>
  <c r="T41" i="9"/>
  <c r="T11" i="9"/>
  <c r="T29" i="9"/>
  <c r="T43" i="9"/>
  <c r="T40" i="9"/>
  <c r="T48" i="9"/>
  <c r="T36" i="9"/>
  <c r="T59" i="8" l="1"/>
  <c r="T48" i="8"/>
  <c r="T49" i="8"/>
  <c r="T56" i="8"/>
  <c r="T47" i="8"/>
  <c r="T41" i="8"/>
  <c r="T34" i="8"/>
  <c r="T14" i="8"/>
  <c r="T53" i="8"/>
  <c r="T42" i="8"/>
  <c r="T10" i="8"/>
  <c r="T38" i="8"/>
  <c r="T39" i="8"/>
  <c r="T52" i="8"/>
  <c r="T54" i="8"/>
  <c r="T23" i="8"/>
  <c r="T45" i="8"/>
  <c r="T37" i="8"/>
  <c r="T44" i="8"/>
  <c r="T11" i="8"/>
  <c r="T97" i="8"/>
  <c r="T153" i="8" s="1"/>
  <c r="T111" i="8"/>
  <c r="T167" i="8" s="1"/>
  <c r="T93" i="8"/>
  <c r="T149" i="8" s="1"/>
  <c r="T103" i="8"/>
  <c r="T159" i="8" s="1"/>
  <c r="T66" i="8"/>
  <c r="T122" i="8" s="1"/>
  <c r="T107" i="8"/>
  <c r="T163" i="8" s="1"/>
  <c r="T102" i="8"/>
  <c r="T158" i="8" s="1"/>
  <c r="T101" i="8"/>
  <c r="T157" i="8" s="1"/>
  <c r="T115" i="8"/>
  <c r="T171" i="8" s="1"/>
  <c r="T108" i="8"/>
  <c r="T164" i="8" s="1"/>
  <c r="T100" i="8"/>
  <c r="T156" i="8" s="1"/>
  <c r="T99" i="8"/>
  <c r="T155" i="8" s="1"/>
  <c r="T106" i="8"/>
  <c r="T162" i="8" s="1"/>
  <c r="T67" i="8"/>
  <c r="T123" i="8" s="1"/>
  <c r="T113" i="8"/>
  <c r="T169" i="8" s="1"/>
  <c r="T79" i="8"/>
  <c r="T135" i="8" s="1"/>
  <c r="T116" i="8"/>
  <c r="T172" i="8" s="1"/>
  <c r="T109" i="8"/>
  <c r="T165" i="8" s="1"/>
  <c r="T70" i="8"/>
  <c r="T126" i="8" s="1"/>
  <c r="T114" i="8"/>
  <c r="T170" i="8" s="1"/>
  <c r="T105" i="8"/>
  <c r="T161" i="8" s="1"/>
  <c r="T72" i="8"/>
  <c r="T128" i="8" s="1"/>
  <c r="T95" i="8"/>
  <c r="T151" i="8" s="1"/>
  <c r="T98" i="8"/>
  <c r="T154" i="8" s="1"/>
  <c r="T104" i="8"/>
  <c r="T160" i="8" s="1"/>
  <c r="T90" i="8"/>
  <c r="T146" i="8" s="1"/>
  <c r="T112" i="8"/>
  <c r="T168" i="8" s="1"/>
  <c r="T94" i="8"/>
  <c r="T150" i="8" s="1"/>
  <c r="T110" i="8"/>
  <c r="T166" i="8" s="1"/>
  <c r="T58" i="8"/>
  <c r="R5" i="11"/>
  <c r="R4" i="11"/>
  <c r="R23" i="11"/>
  <c r="R36" i="11"/>
  <c r="R14" i="11"/>
  <c r="R26" i="11"/>
  <c r="R15" i="11"/>
  <c r="R42" i="11"/>
  <c r="R30" i="11"/>
  <c r="R3" i="11"/>
  <c r="R35" i="11"/>
  <c r="R27" i="11"/>
  <c r="R28" i="11"/>
  <c r="R11" i="11"/>
  <c r="R24" i="11"/>
  <c r="R18" i="11"/>
  <c r="R32" i="11"/>
  <c r="R16" i="11"/>
  <c r="R7" i="11"/>
  <c r="R43" i="11"/>
  <c r="R41" i="11"/>
  <c r="R10" i="11"/>
  <c r="R9" i="11"/>
  <c r="R21" i="11"/>
  <c r="R17" i="11"/>
  <c r="R22" i="11"/>
  <c r="R40" i="11"/>
  <c r="R34" i="11"/>
  <c r="R39" i="11"/>
  <c r="R37" i="11"/>
  <c r="R12" i="11"/>
  <c r="R13" i="11"/>
  <c r="R19" i="11"/>
  <c r="R33" i="11"/>
  <c r="R29" i="11"/>
  <c r="R8" i="11"/>
  <c r="R38" i="11"/>
  <c r="R20" i="11"/>
  <c r="R25" i="11"/>
  <c r="R6" i="11"/>
  <c r="R2" i="11"/>
  <c r="R31" i="11"/>
  <c r="T51" i="8"/>
  <c r="T55" i="8"/>
  <c r="T57" i="8"/>
  <c r="T50" i="8"/>
  <c r="T16" i="8"/>
  <c r="T46" i="8"/>
  <c r="T43" i="8"/>
  <c r="U11" i="9" l="1"/>
  <c r="U36" i="9"/>
  <c r="U44" i="9"/>
  <c r="U34" i="9"/>
  <c r="U53" i="9"/>
  <c r="U48" i="9"/>
  <c r="U45" i="9"/>
  <c r="U5" i="8"/>
  <c r="U11" i="8" s="1"/>
  <c r="T6" i="10"/>
  <c r="T7" i="10" s="1"/>
  <c r="U38" i="9"/>
  <c r="U46" i="9"/>
  <c r="U9" i="9"/>
  <c r="U51" i="9"/>
  <c r="U5" i="9"/>
  <c r="U18" i="9"/>
  <c r="U52" i="9"/>
  <c r="U54" i="9"/>
  <c r="U40" i="9"/>
  <c r="U41" i="9"/>
  <c r="U29" i="9"/>
  <c r="U42" i="9"/>
  <c r="U6" i="9"/>
  <c r="U39" i="9"/>
  <c r="U33" i="9"/>
  <c r="U43" i="9"/>
  <c r="U32" i="9"/>
  <c r="U55" i="9"/>
  <c r="U47" i="9"/>
  <c r="U49" i="9"/>
  <c r="U37" i="9"/>
  <c r="U50" i="9"/>
  <c r="U53" i="8" l="1"/>
  <c r="U10" i="8"/>
  <c r="U46" i="8"/>
  <c r="U58" i="8"/>
  <c r="U50" i="8"/>
  <c r="U23" i="8"/>
  <c r="S35" i="11"/>
  <c r="S12" i="11"/>
  <c r="S36" i="11"/>
  <c r="S40" i="11"/>
  <c r="S28" i="11"/>
  <c r="S13" i="11"/>
  <c r="S20" i="11"/>
  <c r="S23" i="11"/>
  <c r="S43" i="11"/>
  <c r="S30" i="11"/>
  <c r="S7" i="11"/>
  <c r="S11" i="11"/>
  <c r="S32" i="11"/>
  <c r="S8" i="11"/>
  <c r="S16" i="11"/>
  <c r="S41" i="11"/>
  <c r="S2" i="11"/>
  <c r="S14" i="11"/>
  <c r="S9" i="11"/>
  <c r="S5" i="11"/>
  <c r="S39" i="11"/>
  <c r="S10" i="11"/>
  <c r="S15" i="11"/>
  <c r="S27" i="11"/>
  <c r="S18" i="11"/>
  <c r="S21" i="11"/>
  <c r="S31" i="11"/>
  <c r="S34" i="11"/>
  <c r="S22" i="11"/>
  <c r="S37" i="11"/>
  <c r="S25" i="11"/>
  <c r="S29" i="11"/>
  <c r="S19" i="11"/>
  <c r="S42" i="11"/>
  <c r="S26" i="11"/>
  <c r="S33" i="11"/>
  <c r="S17" i="11"/>
  <c r="S3" i="11"/>
  <c r="S6" i="11"/>
  <c r="S4" i="11"/>
  <c r="S38" i="11"/>
  <c r="S24" i="11"/>
  <c r="U45" i="8"/>
  <c r="U42" i="8"/>
  <c r="U44" i="8"/>
  <c r="U56" i="8"/>
  <c r="U55" i="8"/>
  <c r="U66" i="8"/>
  <c r="U122" i="8" s="1"/>
  <c r="U113" i="8"/>
  <c r="U169" i="8" s="1"/>
  <c r="U100" i="8"/>
  <c r="U156" i="8" s="1"/>
  <c r="U70" i="8"/>
  <c r="U126" i="8" s="1"/>
  <c r="U102" i="8"/>
  <c r="U158" i="8" s="1"/>
  <c r="U104" i="8"/>
  <c r="U160" i="8" s="1"/>
  <c r="U97" i="8"/>
  <c r="U153" i="8" s="1"/>
  <c r="U103" i="8"/>
  <c r="U159" i="8" s="1"/>
  <c r="U99" i="8"/>
  <c r="U155" i="8" s="1"/>
  <c r="U106" i="8"/>
  <c r="U162" i="8" s="1"/>
  <c r="U114" i="8"/>
  <c r="U170" i="8" s="1"/>
  <c r="U93" i="8"/>
  <c r="U149" i="8" s="1"/>
  <c r="U107" i="8"/>
  <c r="U163" i="8" s="1"/>
  <c r="U90" i="8"/>
  <c r="U146" i="8" s="1"/>
  <c r="U109" i="8"/>
  <c r="U165" i="8" s="1"/>
  <c r="U115" i="8"/>
  <c r="U171" i="8" s="1"/>
  <c r="U108" i="8"/>
  <c r="U164" i="8" s="1"/>
  <c r="U116" i="8"/>
  <c r="U172" i="8" s="1"/>
  <c r="U95" i="8"/>
  <c r="U151" i="8" s="1"/>
  <c r="U111" i="8"/>
  <c r="U167" i="8" s="1"/>
  <c r="U101" i="8"/>
  <c r="U157" i="8" s="1"/>
  <c r="U110" i="8"/>
  <c r="U166" i="8" s="1"/>
  <c r="U72" i="8"/>
  <c r="U128" i="8" s="1"/>
  <c r="U79" i="8"/>
  <c r="U135" i="8" s="1"/>
  <c r="U94" i="8"/>
  <c r="U150" i="8" s="1"/>
  <c r="U67" i="8"/>
  <c r="U123" i="8" s="1"/>
  <c r="U98" i="8"/>
  <c r="U154" i="8" s="1"/>
  <c r="U112" i="8"/>
  <c r="U168" i="8" s="1"/>
  <c r="U105" i="8"/>
  <c r="U161" i="8" s="1"/>
  <c r="U60" i="8"/>
  <c r="U47" i="8"/>
  <c r="U39" i="8"/>
  <c r="U41" i="8"/>
  <c r="U48" i="8"/>
  <c r="U59" i="8"/>
  <c r="U14" i="8"/>
  <c r="U34" i="8"/>
  <c r="U43" i="8"/>
  <c r="U49" i="8"/>
  <c r="U51" i="8"/>
  <c r="U54" i="8"/>
  <c r="U37" i="8"/>
  <c r="U38" i="8"/>
  <c r="U57" i="8"/>
  <c r="U16" i="8"/>
  <c r="U52" i="8"/>
  <c r="V53" i="9" l="1"/>
  <c r="V45" i="9"/>
  <c r="V38" i="9"/>
  <c r="V42" i="9"/>
  <c r="V41" i="9"/>
  <c r="V37" i="9"/>
  <c r="V9" i="9"/>
  <c r="V18" i="9"/>
  <c r="V5" i="9"/>
  <c r="V49" i="9"/>
  <c r="V40" i="9"/>
  <c r="V44" i="9"/>
  <c r="V36" i="9"/>
  <c r="V51" i="9"/>
  <c r="V43" i="9"/>
  <c r="V39" i="9"/>
  <c r="V37" i="8"/>
  <c r="V50" i="9"/>
  <c r="V47" i="9"/>
  <c r="V48" i="9"/>
  <c r="U6" i="10"/>
  <c r="U7" i="10" s="1"/>
  <c r="V5" i="8"/>
  <c r="V47" i="8" s="1"/>
  <c r="V32" i="9"/>
  <c r="V33" i="9"/>
  <c r="V51" i="8"/>
  <c r="V54" i="9"/>
  <c r="V29" i="9"/>
  <c r="V6" i="9"/>
  <c r="V52" i="9"/>
  <c r="V11" i="9"/>
  <c r="V34" i="9"/>
  <c r="V55" i="9"/>
  <c r="V14" i="8"/>
  <c r="V59" i="8"/>
  <c r="V46" i="9"/>
  <c r="V16" i="8" l="1"/>
  <c r="V79" i="8"/>
  <c r="V135" i="8" s="1"/>
  <c r="V115" i="8"/>
  <c r="V171" i="8" s="1"/>
  <c r="V100" i="8"/>
  <c r="V156" i="8" s="1"/>
  <c r="V116" i="8"/>
  <c r="V172" i="8" s="1"/>
  <c r="V66" i="8"/>
  <c r="V122" i="8" s="1"/>
  <c r="V95" i="8"/>
  <c r="V151" i="8" s="1"/>
  <c r="V114" i="8"/>
  <c r="V170" i="8" s="1"/>
  <c r="V113" i="8"/>
  <c r="V169" i="8" s="1"/>
  <c r="V105" i="8"/>
  <c r="V161" i="8" s="1"/>
  <c r="V97" i="8"/>
  <c r="V153" i="8" s="1"/>
  <c r="V104" i="8"/>
  <c r="V160" i="8" s="1"/>
  <c r="V111" i="8"/>
  <c r="V167" i="8" s="1"/>
  <c r="V108" i="8"/>
  <c r="V164" i="8" s="1"/>
  <c r="V102" i="8"/>
  <c r="V158" i="8" s="1"/>
  <c r="V110" i="8"/>
  <c r="V166" i="8" s="1"/>
  <c r="V93" i="8"/>
  <c r="V149" i="8" s="1"/>
  <c r="V106" i="8"/>
  <c r="V162" i="8" s="1"/>
  <c r="V103" i="8"/>
  <c r="V159" i="8" s="1"/>
  <c r="V72" i="8"/>
  <c r="V128" i="8" s="1"/>
  <c r="V94" i="8"/>
  <c r="V150" i="8" s="1"/>
  <c r="V112" i="8"/>
  <c r="V168" i="8" s="1"/>
  <c r="V70" i="8"/>
  <c r="V126" i="8" s="1"/>
  <c r="V99" i="8"/>
  <c r="V155" i="8" s="1"/>
  <c r="V67" i="8"/>
  <c r="V123" i="8" s="1"/>
  <c r="V101" i="8"/>
  <c r="V157" i="8" s="1"/>
  <c r="V109" i="8"/>
  <c r="V165" i="8" s="1"/>
  <c r="V90" i="8"/>
  <c r="V146" i="8" s="1"/>
  <c r="V98" i="8"/>
  <c r="V154" i="8" s="1"/>
  <c r="V107" i="8"/>
  <c r="V163" i="8" s="1"/>
  <c r="V11" i="8"/>
  <c r="V55" i="8"/>
  <c r="V38" i="8"/>
  <c r="V54" i="8"/>
  <c r="V39" i="8"/>
  <c r="V23" i="8"/>
  <c r="V57" i="8"/>
  <c r="V46" i="8"/>
  <c r="V60" i="8"/>
  <c r="V42" i="8"/>
  <c r="V44" i="8"/>
  <c r="T32" i="11"/>
  <c r="T7" i="11"/>
  <c r="T26" i="11"/>
  <c r="T15" i="11"/>
  <c r="T30" i="11"/>
  <c r="T5" i="11"/>
  <c r="T25" i="11"/>
  <c r="T42" i="11"/>
  <c r="T2" i="11"/>
  <c r="T33" i="11"/>
  <c r="T20" i="11"/>
  <c r="T4" i="11"/>
  <c r="T27" i="11"/>
  <c r="T12" i="11"/>
  <c r="T13" i="11"/>
  <c r="T31" i="11"/>
  <c r="T28" i="11"/>
  <c r="T11" i="11"/>
  <c r="T21" i="11"/>
  <c r="T29" i="11"/>
  <c r="T22" i="11"/>
  <c r="T19" i="11"/>
  <c r="T43" i="11"/>
  <c r="T24" i="11"/>
  <c r="T8" i="11"/>
  <c r="T3" i="11"/>
  <c r="T14" i="11"/>
  <c r="T36" i="11"/>
  <c r="T9" i="11"/>
  <c r="T10" i="11"/>
  <c r="T18" i="11"/>
  <c r="T35" i="11"/>
  <c r="T40" i="11"/>
  <c r="T23" i="11"/>
  <c r="T37" i="11"/>
  <c r="T6" i="11"/>
  <c r="T41" i="11"/>
  <c r="T38" i="11"/>
  <c r="T34" i="11"/>
  <c r="T16" i="11"/>
  <c r="T39" i="11"/>
  <c r="T17" i="11"/>
  <c r="V45" i="8"/>
  <c r="V10" i="8"/>
  <c r="V56" i="8"/>
  <c r="V34" i="8"/>
  <c r="V48" i="8"/>
  <c r="V43" i="8"/>
  <c r="V58" i="8"/>
  <c r="V52" i="8"/>
  <c r="V49" i="8"/>
  <c r="V53" i="8"/>
  <c r="V50" i="8"/>
  <c r="V41" i="8"/>
  <c r="W32" i="9" l="1"/>
  <c r="W49" i="9"/>
  <c r="W41" i="9"/>
  <c r="W23" i="8"/>
  <c r="W47" i="9"/>
  <c r="W37" i="9"/>
  <c r="W34" i="9"/>
  <c r="W52" i="9"/>
  <c r="W55" i="9"/>
  <c r="W54" i="8"/>
  <c r="W44" i="9"/>
  <c r="W5" i="9"/>
  <c r="W48" i="9"/>
  <c r="W6" i="9"/>
  <c r="W54" i="9"/>
  <c r="W38" i="9"/>
  <c r="W51" i="9"/>
  <c r="W39" i="8"/>
  <c r="W52" i="8"/>
  <c r="W50" i="9"/>
  <c r="W43" i="9"/>
  <c r="W55" i="8"/>
  <c r="W29" i="9"/>
  <c r="W9" i="9"/>
  <c r="W11" i="9"/>
  <c r="W36" i="9"/>
  <c r="W46" i="9"/>
  <c r="W41" i="8"/>
  <c r="W49" i="8"/>
  <c r="W40" i="9"/>
  <c r="W18" i="9"/>
  <c r="W43" i="8"/>
  <c r="W10" i="8"/>
  <c r="V6" i="10"/>
  <c r="V7" i="10" s="1"/>
  <c r="W5" i="8"/>
  <c r="W58" i="8" s="1"/>
  <c r="W42" i="9"/>
  <c r="W53" i="9"/>
  <c r="W39" i="9"/>
  <c r="W33" i="9"/>
  <c r="W56" i="8"/>
  <c r="W45" i="8"/>
  <c r="W42" i="8"/>
  <c r="W45" i="9"/>
  <c r="W50" i="8" l="1"/>
  <c r="W11" i="8"/>
  <c r="X5" i="8" s="1"/>
  <c r="W53" i="8"/>
  <c r="W16" i="8"/>
  <c r="W57" i="8"/>
  <c r="W34" i="8"/>
  <c r="W38" i="8"/>
  <c r="W48" i="8"/>
  <c r="W46" i="8"/>
  <c r="W44" i="8"/>
  <c r="U38" i="11"/>
  <c r="U7" i="11"/>
  <c r="U11" i="11"/>
  <c r="U3" i="11"/>
  <c r="U30" i="11"/>
  <c r="U15" i="11"/>
  <c r="U21" i="11"/>
  <c r="U39" i="11"/>
  <c r="U43" i="11"/>
  <c r="U8" i="11"/>
  <c r="U27" i="11"/>
  <c r="U37" i="11"/>
  <c r="U22" i="11"/>
  <c r="U42" i="11"/>
  <c r="U36" i="11"/>
  <c r="U23" i="11"/>
  <c r="U5" i="11"/>
  <c r="U26" i="11"/>
  <c r="U31" i="11"/>
  <c r="U19" i="11"/>
  <c r="U34" i="11"/>
  <c r="U4" i="11"/>
  <c r="U25" i="11"/>
  <c r="U29" i="11"/>
  <c r="U24" i="11"/>
  <c r="U41" i="11"/>
  <c r="U40" i="11"/>
  <c r="U18" i="11"/>
  <c r="U35" i="11"/>
  <c r="U32" i="11"/>
  <c r="U9" i="11"/>
  <c r="U14" i="11"/>
  <c r="U33" i="11"/>
  <c r="U16" i="11"/>
  <c r="U17" i="11"/>
  <c r="U2" i="11"/>
  <c r="U20" i="11"/>
  <c r="U12" i="11"/>
  <c r="U28" i="11"/>
  <c r="U6" i="11"/>
  <c r="U13" i="11"/>
  <c r="U10" i="11"/>
  <c r="W116" i="8"/>
  <c r="W172" i="8" s="1"/>
  <c r="W95" i="8"/>
  <c r="W151" i="8" s="1"/>
  <c r="W97" i="8"/>
  <c r="W153" i="8" s="1"/>
  <c r="W102" i="8"/>
  <c r="W158" i="8" s="1"/>
  <c r="W70" i="8"/>
  <c r="W126" i="8" s="1"/>
  <c r="W108" i="8"/>
  <c r="W164" i="8" s="1"/>
  <c r="W66" i="8"/>
  <c r="W122" i="8" s="1"/>
  <c r="W94" i="8"/>
  <c r="W150" i="8" s="1"/>
  <c r="W113" i="8"/>
  <c r="W169" i="8" s="1"/>
  <c r="W72" i="8"/>
  <c r="W128" i="8" s="1"/>
  <c r="W110" i="8"/>
  <c r="W166" i="8" s="1"/>
  <c r="W79" i="8"/>
  <c r="W135" i="8" s="1"/>
  <c r="W103" i="8"/>
  <c r="W159" i="8" s="1"/>
  <c r="W111" i="8"/>
  <c r="W167" i="8" s="1"/>
  <c r="W100" i="8"/>
  <c r="W156" i="8" s="1"/>
  <c r="W106" i="8"/>
  <c r="W162" i="8" s="1"/>
  <c r="W101" i="8"/>
  <c r="W157" i="8" s="1"/>
  <c r="W114" i="8"/>
  <c r="W170" i="8" s="1"/>
  <c r="W99" i="8"/>
  <c r="W155" i="8" s="1"/>
  <c r="W107" i="8"/>
  <c r="W163" i="8" s="1"/>
  <c r="W93" i="8"/>
  <c r="W149" i="8" s="1"/>
  <c r="W109" i="8"/>
  <c r="W165" i="8" s="1"/>
  <c r="W115" i="8"/>
  <c r="W171" i="8" s="1"/>
  <c r="W112" i="8"/>
  <c r="W168" i="8" s="1"/>
  <c r="W90" i="8"/>
  <c r="W146" i="8" s="1"/>
  <c r="W104" i="8"/>
  <c r="W160" i="8" s="1"/>
  <c r="W105" i="8"/>
  <c r="W161" i="8" s="1"/>
  <c r="W98" i="8"/>
  <c r="W154" i="8" s="1"/>
  <c r="W67" i="8"/>
  <c r="W123" i="8" s="1"/>
  <c r="W47" i="8"/>
  <c r="W37" i="8"/>
  <c r="W59" i="8"/>
  <c r="W14" i="8"/>
  <c r="W51" i="8"/>
  <c r="W60" i="8"/>
  <c r="X70" i="8" l="1"/>
  <c r="X102" i="8"/>
  <c r="X101" i="8"/>
  <c r="X116" i="8"/>
  <c r="X109" i="8"/>
  <c r="X94" i="8"/>
  <c r="X113" i="8"/>
  <c r="X169" i="8" s="1"/>
  <c r="X115" i="8"/>
  <c r="X171" i="8" s="1"/>
  <c r="X99" i="8"/>
  <c r="X155" i="8" s="1"/>
  <c r="X95" i="8"/>
  <c r="X103" i="8"/>
  <c r="X107" i="8"/>
  <c r="X163" i="8" s="1"/>
  <c r="X97" i="8"/>
  <c r="X104" i="8"/>
  <c r="X160" i="8" s="1"/>
  <c r="X100" i="8"/>
  <c r="X156" i="8" s="1"/>
  <c r="X66" i="8"/>
  <c r="X122" i="8" s="1"/>
  <c r="X111" i="8"/>
  <c r="X167" i="8" s="1"/>
  <c r="X110" i="8"/>
  <c r="X166" i="8" s="1"/>
  <c r="X79" i="8"/>
  <c r="X135" i="8" s="1"/>
  <c r="X114" i="8"/>
  <c r="X170" i="8" s="1"/>
  <c r="X72" i="8"/>
  <c r="X128" i="8" s="1"/>
  <c r="X93" i="8"/>
  <c r="X149" i="8" s="1"/>
  <c r="X108" i="8"/>
  <c r="X67" i="8"/>
  <c r="X105" i="8"/>
  <c r="X90" i="8"/>
  <c r="X112" i="8"/>
  <c r="X98" i="8"/>
  <c r="X106" i="8"/>
  <c r="X58" i="8"/>
  <c r="X52" i="8"/>
  <c r="X10" i="8"/>
  <c r="X55" i="8"/>
  <c r="X43" i="8"/>
  <c r="X42" i="8"/>
  <c r="X56" i="8"/>
  <c r="X23" i="8"/>
  <c r="X49" i="8"/>
  <c r="X45" i="8"/>
  <c r="X41" i="8"/>
  <c r="X39" i="8"/>
  <c r="X54" i="8"/>
  <c r="X48" i="8"/>
  <c r="X46" i="8"/>
  <c r="X46" i="9"/>
  <c r="X38" i="9"/>
  <c r="X38" i="8"/>
  <c r="X32" i="9"/>
  <c r="X34" i="8"/>
  <c r="X50" i="9"/>
  <c r="X53" i="8"/>
  <c r="X42" i="9"/>
  <c r="X159" i="8"/>
  <c r="X50" i="8"/>
  <c r="X16" i="8"/>
  <c r="X18" i="9"/>
  <c r="X37" i="9"/>
  <c r="X154" i="8"/>
  <c r="X164" i="8"/>
  <c r="X47" i="9"/>
  <c r="X161" i="8"/>
  <c r="X44" i="9"/>
  <c r="W6" i="10"/>
  <c r="W7" i="10" s="1"/>
  <c r="X5" i="9"/>
  <c r="X53" i="9"/>
  <c r="X40" i="9"/>
  <c r="X157" i="8"/>
  <c r="X57" i="8"/>
  <c r="X39" i="9"/>
  <c r="X51" i="8"/>
  <c r="X37" i="8"/>
  <c r="X43" i="9"/>
  <c r="X41" i="9"/>
  <c r="X158" i="8"/>
  <c r="X45" i="9"/>
  <c r="X162" i="8"/>
  <c r="X60" i="8"/>
  <c r="X14" i="8"/>
  <c r="X49" i="9"/>
  <c r="X59" i="8"/>
  <c r="X11" i="9"/>
  <c r="X11" i="8"/>
  <c r="X52" i="9"/>
  <c r="X47" i="8"/>
  <c r="X33" i="9"/>
  <c r="X150" i="8"/>
  <c r="X9" i="9"/>
  <c r="X126" i="8"/>
  <c r="X29" i="9"/>
  <c r="X146" i="8"/>
  <c r="X36" i="9"/>
  <c r="X153" i="8"/>
  <c r="X6" i="9"/>
  <c r="X123" i="8"/>
  <c r="X168" i="8"/>
  <c r="X51" i="9"/>
  <c r="X34" i="9"/>
  <c r="X151" i="8"/>
  <c r="X54" i="9"/>
  <c r="X55" i="9"/>
  <c r="X172" i="8"/>
  <c r="X48" i="9"/>
  <c r="X165" i="8"/>
  <c r="X44" i="8"/>
  <c r="Y11" i="9" l="1"/>
  <c r="Y5" i="9"/>
  <c r="Y54" i="9"/>
  <c r="Y32" i="9"/>
  <c r="Y53" i="9"/>
  <c r="Y49" i="9"/>
  <c r="Y39" i="9"/>
  <c r="Y46" i="9"/>
  <c r="Y38" i="9"/>
  <c r="Y18" i="9"/>
  <c r="Y50" i="9"/>
  <c r="Y43" i="9"/>
  <c r="Y52" i="9"/>
  <c r="Y34" i="9"/>
  <c r="Y47" i="9"/>
  <c r="Y44" i="9"/>
  <c r="Y36" i="9"/>
  <c r="Y9" i="9"/>
  <c r="Y33" i="9"/>
  <c r="V21" i="11"/>
  <c r="V8" i="11"/>
  <c r="V24" i="11"/>
  <c r="V40" i="11"/>
  <c r="V31" i="11"/>
  <c r="V42" i="11"/>
  <c r="V43" i="11"/>
  <c r="V11" i="11"/>
  <c r="V35" i="11"/>
  <c r="V5" i="11"/>
  <c r="V7" i="11"/>
  <c r="V4" i="11"/>
  <c r="V25" i="11"/>
  <c r="V30" i="11"/>
  <c r="V10" i="11"/>
  <c r="V34" i="11"/>
  <c r="V2" i="11"/>
  <c r="V32" i="11"/>
  <c r="V6" i="11"/>
  <c r="V29" i="11"/>
  <c r="V16" i="11"/>
  <c r="V12" i="11"/>
  <c r="V3" i="11"/>
  <c r="V17" i="11"/>
  <c r="V41" i="11"/>
  <c r="V39" i="11"/>
  <c r="V26" i="11"/>
  <c r="V19" i="11"/>
  <c r="V13" i="11"/>
  <c r="V20" i="11"/>
  <c r="V9" i="11"/>
  <c r="V37" i="11"/>
  <c r="V22" i="11"/>
  <c r="V14" i="11"/>
  <c r="V23" i="11"/>
  <c r="V36" i="11"/>
  <c r="V18" i="11"/>
  <c r="V27" i="11"/>
  <c r="V28" i="11"/>
  <c r="V33" i="11"/>
  <c r="V38" i="11"/>
  <c r="V15" i="11"/>
  <c r="Y42" i="9"/>
  <c r="Y40" i="9"/>
  <c r="Y48" i="9"/>
  <c r="Y55" i="9"/>
  <c r="Y51" i="9"/>
  <c r="Y45" i="9"/>
  <c r="Y37" i="9"/>
  <c r="Y6" i="9"/>
  <c r="Y41" i="9"/>
  <c r="Y29" i="9"/>
  <c r="Y5" i="8"/>
  <c r="Y56" i="8" s="1"/>
  <c r="X6" i="10"/>
  <c r="X7" i="10" s="1"/>
  <c r="Y42" i="8" l="1"/>
  <c r="Y55" i="8"/>
  <c r="Y38" i="8"/>
  <c r="Y59" i="8"/>
  <c r="Y11" i="8"/>
  <c r="Y54" i="8"/>
  <c r="Y37" i="8"/>
  <c r="Y43" i="8"/>
  <c r="Y45" i="8"/>
  <c r="Y14" i="8"/>
  <c r="Y58" i="8"/>
  <c r="Y23" i="8"/>
  <c r="Y44" i="8"/>
  <c r="Y34" i="8"/>
  <c r="Y16" i="8"/>
  <c r="Y47" i="8"/>
  <c r="Y10" i="8"/>
  <c r="Y53" i="8"/>
  <c r="Y50" i="8"/>
  <c r="Y51" i="8"/>
  <c r="Y46" i="8"/>
  <c r="Y49" i="8"/>
  <c r="Y39" i="8"/>
  <c r="Y57" i="8"/>
  <c r="W34" i="11"/>
  <c r="W24" i="11"/>
  <c r="W5" i="11"/>
  <c r="W28" i="11"/>
  <c r="W17" i="11"/>
  <c r="W32" i="11"/>
  <c r="W18" i="11"/>
  <c r="W29" i="11"/>
  <c r="W12" i="11"/>
  <c r="W8" i="11"/>
  <c r="W7" i="11"/>
  <c r="W16" i="11"/>
  <c r="W41" i="11"/>
  <c r="W15" i="11"/>
  <c r="W4" i="11"/>
  <c r="W31" i="11"/>
  <c r="W19" i="11"/>
  <c r="W6" i="11"/>
  <c r="W30" i="11"/>
  <c r="W2" i="11"/>
  <c r="W25" i="11"/>
  <c r="W37" i="11"/>
  <c r="W42" i="11"/>
  <c r="W35" i="11"/>
  <c r="W33" i="11"/>
  <c r="W14" i="11"/>
  <c r="W9" i="11"/>
  <c r="W22" i="11"/>
  <c r="W23" i="11"/>
  <c r="W39" i="11"/>
  <c r="W27" i="11"/>
  <c r="W13" i="11"/>
  <c r="W3" i="11"/>
  <c r="W26" i="11"/>
  <c r="W36" i="11"/>
  <c r="W40" i="11"/>
  <c r="W10" i="11"/>
  <c r="W43" i="11"/>
  <c r="W38" i="11"/>
  <c r="W20" i="11"/>
  <c r="W21" i="11"/>
  <c r="W11" i="11"/>
  <c r="Y52" i="8"/>
  <c r="Y60" i="8"/>
  <c r="Y41" i="8"/>
  <c r="Y108" i="8"/>
  <c r="Y164" i="8" s="1"/>
  <c r="Y115" i="8"/>
  <c r="Y171" i="8" s="1"/>
  <c r="Y113" i="8"/>
  <c r="Y169" i="8" s="1"/>
  <c r="Y104" i="8"/>
  <c r="Y160" i="8" s="1"/>
  <c r="Y72" i="8"/>
  <c r="Y128" i="8" s="1"/>
  <c r="Y105" i="8"/>
  <c r="Y161" i="8" s="1"/>
  <c r="Y116" i="8"/>
  <c r="Y172" i="8" s="1"/>
  <c r="Y103" i="8"/>
  <c r="Y159" i="8" s="1"/>
  <c r="Y106" i="8"/>
  <c r="Y162" i="8" s="1"/>
  <c r="Y67" i="8"/>
  <c r="Y123" i="8" s="1"/>
  <c r="Y79" i="8"/>
  <c r="Y135" i="8" s="1"/>
  <c r="Y100" i="8"/>
  <c r="Y156" i="8" s="1"/>
  <c r="Y97" i="8"/>
  <c r="Y153" i="8" s="1"/>
  <c r="Y70" i="8"/>
  <c r="Y126" i="8" s="1"/>
  <c r="Y90" i="8"/>
  <c r="Y146" i="8" s="1"/>
  <c r="Y114" i="8"/>
  <c r="Y170" i="8" s="1"/>
  <c r="Y112" i="8"/>
  <c r="Y168" i="8" s="1"/>
  <c r="Y99" i="8"/>
  <c r="Y155" i="8" s="1"/>
  <c r="Y110" i="8"/>
  <c r="Y166" i="8" s="1"/>
  <c r="Y98" i="8"/>
  <c r="Y154" i="8" s="1"/>
  <c r="Y102" i="8"/>
  <c r="Y158" i="8" s="1"/>
  <c r="Y95" i="8"/>
  <c r="Y151" i="8" s="1"/>
  <c r="Y111" i="8"/>
  <c r="Y167" i="8" s="1"/>
  <c r="Y101" i="8"/>
  <c r="Y157" i="8" s="1"/>
  <c r="Y107" i="8"/>
  <c r="Y163" i="8" s="1"/>
  <c r="Y66" i="8"/>
  <c r="Y122" i="8" s="1"/>
  <c r="Y109" i="8"/>
  <c r="Y165" i="8" s="1"/>
  <c r="Y93" i="8"/>
  <c r="Y149" i="8" s="1"/>
  <c r="Y94" i="8"/>
  <c r="Y150" i="8" s="1"/>
  <c r="Y48" i="8"/>
  <c r="Z38" i="9" l="1"/>
  <c r="Z51" i="9"/>
  <c r="Z29" i="9"/>
  <c r="Z53" i="9"/>
  <c r="Z18" i="9"/>
  <c r="Z6" i="9"/>
  <c r="Z36" i="9"/>
  <c r="Z33" i="9"/>
  <c r="Z11" i="9"/>
  <c r="Z46" i="9"/>
  <c r="Z9" i="9"/>
  <c r="Y6" i="10"/>
  <c r="Y7" i="10" s="1"/>
  <c r="Z5" i="8"/>
  <c r="Z46" i="8" s="1"/>
  <c r="Z47" i="9"/>
  <c r="Z45" i="9"/>
  <c r="Z42" i="9"/>
  <c r="Z55" i="9"/>
  <c r="Z48" i="9"/>
  <c r="Z52" i="9"/>
  <c r="Z32" i="9"/>
  <c r="Z43" i="9"/>
  <c r="Z54" i="9"/>
  <c r="Z50" i="9"/>
  <c r="Z41" i="9"/>
  <c r="Z37" i="9"/>
  <c r="Z39" i="9"/>
  <c r="Z44" i="9"/>
  <c r="Z5" i="9"/>
  <c r="Z40" i="9"/>
  <c r="Z34" i="9"/>
  <c r="Z49" i="9"/>
  <c r="Z49" i="8"/>
  <c r="Z23" i="8" l="1"/>
  <c r="Z53" i="8"/>
  <c r="Z58" i="8"/>
  <c r="Z54" i="8"/>
  <c r="Z38" i="8"/>
  <c r="Z41" i="8"/>
  <c r="Z43" i="8"/>
  <c r="Z14" i="8"/>
  <c r="Z50" i="8"/>
  <c r="Z44" i="8"/>
  <c r="Z34" i="8"/>
  <c r="Z47" i="8"/>
  <c r="Z59" i="8"/>
  <c r="Z110" i="8"/>
  <c r="Z166" i="8" s="1"/>
  <c r="Z111" i="8"/>
  <c r="Z167" i="8" s="1"/>
  <c r="Z97" i="8"/>
  <c r="Z153" i="8" s="1"/>
  <c r="Z102" i="8"/>
  <c r="Z158" i="8" s="1"/>
  <c r="Z101" i="8"/>
  <c r="Z157" i="8" s="1"/>
  <c r="Z94" i="8"/>
  <c r="Z150" i="8" s="1"/>
  <c r="Z115" i="8"/>
  <c r="Z171" i="8" s="1"/>
  <c r="Z108" i="8"/>
  <c r="Z164" i="8" s="1"/>
  <c r="Z113" i="8"/>
  <c r="Z169" i="8" s="1"/>
  <c r="Z93" i="8"/>
  <c r="Z149" i="8" s="1"/>
  <c r="Z72" i="8"/>
  <c r="Z128" i="8" s="1"/>
  <c r="Z106" i="8"/>
  <c r="Z162" i="8" s="1"/>
  <c r="Z103" i="8"/>
  <c r="Z159" i="8" s="1"/>
  <c r="Z100" i="8"/>
  <c r="Z156" i="8" s="1"/>
  <c r="Z109" i="8"/>
  <c r="Z165" i="8" s="1"/>
  <c r="Z90" i="8"/>
  <c r="Z146" i="8" s="1"/>
  <c r="Z104" i="8"/>
  <c r="Z160" i="8" s="1"/>
  <c r="Z99" i="8"/>
  <c r="Z155" i="8" s="1"/>
  <c r="Z66" i="8"/>
  <c r="Z122" i="8" s="1"/>
  <c r="Z116" i="8"/>
  <c r="Z172" i="8" s="1"/>
  <c r="Z70" i="8"/>
  <c r="Z126" i="8" s="1"/>
  <c r="Z95" i="8"/>
  <c r="Z151" i="8" s="1"/>
  <c r="Z105" i="8"/>
  <c r="Z161" i="8" s="1"/>
  <c r="Z112" i="8"/>
  <c r="Z168" i="8" s="1"/>
  <c r="Z79" i="8"/>
  <c r="Z135" i="8" s="1"/>
  <c r="Z107" i="8"/>
  <c r="Z163" i="8" s="1"/>
  <c r="Z67" i="8"/>
  <c r="Z123" i="8" s="1"/>
  <c r="Z98" i="8"/>
  <c r="Z154" i="8" s="1"/>
  <c r="Z114" i="8"/>
  <c r="Z170" i="8" s="1"/>
  <c r="Z56" i="8"/>
  <c r="Z16" i="8"/>
  <c r="Z10" i="8"/>
  <c r="Z55" i="8"/>
  <c r="Z60" i="8"/>
  <c r="Z39" i="8"/>
  <c r="Z52" i="8"/>
  <c r="Z37" i="8"/>
  <c r="Z48" i="8"/>
  <c r="Z11" i="8"/>
  <c r="X4" i="11"/>
  <c r="X23" i="11"/>
  <c r="X39" i="11"/>
  <c r="X21" i="11"/>
  <c r="X6" i="11"/>
  <c r="X22" i="11"/>
  <c r="X32" i="11"/>
  <c r="X42" i="11"/>
  <c r="X38" i="11"/>
  <c r="X36" i="11"/>
  <c r="X17" i="11"/>
  <c r="X37" i="11"/>
  <c r="X29" i="11"/>
  <c r="X19" i="11"/>
  <c r="X30" i="11"/>
  <c r="X41" i="11"/>
  <c r="X24" i="11"/>
  <c r="X27" i="11"/>
  <c r="X3" i="11"/>
  <c r="X40" i="11"/>
  <c r="X15" i="11"/>
  <c r="X31" i="11"/>
  <c r="X43" i="11"/>
  <c r="X5" i="11"/>
  <c r="X11" i="11"/>
  <c r="X18" i="11"/>
  <c r="X10" i="11"/>
  <c r="X7" i="11"/>
  <c r="X8" i="11"/>
  <c r="X9" i="11"/>
  <c r="X25" i="11"/>
  <c r="X34" i="11"/>
  <c r="X12" i="11"/>
  <c r="X33" i="11"/>
  <c r="X26" i="11"/>
  <c r="X35" i="11"/>
  <c r="X28" i="11"/>
  <c r="X14" i="11"/>
  <c r="X2" i="11"/>
  <c r="X16" i="11"/>
  <c r="X13" i="11"/>
  <c r="X20" i="11"/>
  <c r="Z57" i="8"/>
  <c r="Z42" i="8"/>
  <c r="Z51" i="8"/>
  <c r="Z45" i="8"/>
  <c r="AA54" i="9" l="1"/>
  <c r="AA37" i="9"/>
  <c r="AA33" i="9"/>
  <c r="AA6" i="9"/>
  <c r="AA18" i="9"/>
  <c r="AA51" i="9"/>
  <c r="AA50" i="9"/>
  <c r="AA44" i="9"/>
  <c r="AA59" i="8"/>
  <c r="AA55" i="9"/>
  <c r="AA34" i="8"/>
  <c r="AA47" i="9"/>
  <c r="AA53" i="9"/>
  <c r="AA40" i="9"/>
  <c r="AA38" i="9"/>
  <c r="AA49" i="9"/>
  <c r="AA5" i="9"/>
  <c r="AA57" i="8"/>
  <c r="AA60" i="8"/>
  <c r="AA45" i="9"/>
  <c r="AA58" i="8"/>
  <c r="AA36" i="9"/>
  <c r="AA34" i="9"/>
  <c r="AA42" i="9"/>
  <c r="AA11" i="9"/>
  <c r="AA46" i="9"/>
  <c r="AA41" i="9"/>
  <c r="AA9" i="9"/>
  <c r="AA48" i="8"/>
  <c r="AA43" i="9"/>
  <c r="AA14" i="8"/>
  <c r="AA37" i="8"/>
  <c r="AA48" i="9"/>
  <c r="AA5" i="8"/>
  <c r="AA43" i="8" s="1"/>
  <c r="Z6" i="10"/>
  <c r="Z7" i="10" s="1"/>
  <c r="AA32" i="9"/>
  <c r="AA29" i="9"/>
  <c r="AA52" i="8"/>
  <c r="AA39" i="9"/>
  <c r="AA38" i="8"/>
  <c r="AA16" i="8"/>
  <c r="AA52" i="9"/>
  <c r="Y34" i="11" l="1"/>
  <c r="Y6" i="11"/>
  <c r="Y29" i="11"/>
  <c r="Y2" i="11"/>
  <c r="Y36" i="11"/>
  <c r="Y20" i="11"/>
  <c r="Y26" i="11"/>
  <c r="Y25" i="11"/>
  <c r="Y43" i="11"/>
  <c r="Y7" i="11"/>
  <c r="Y32" i="11"/>
  <c r="Y22" i="11"/>
  <c r="Y14" i="11"/>
  <c r="Y3" i="11"/>
  <c r="Y9" i="11"/>
  <c r="Y33" i="11"/>
  <c r="Y5" i="11"/>
  <c r="Y39" i="11"/>
  <c r="Y42" i="11"/>
  <c r="Y12" i="11"/>
  <c r="Y11" i="11"/>
  <c r="Y21" i="11"/>
  <c r="Y17" i="11"/>
  <c r="Y19" i="11"/>
  <c r="Y28" i="11"/>
  <c r="Y38" i="11"/>
  <c r="Y10" i="11"/>
  <c r="Y4" i="11"/>
  <c r="Y23" i="11"/>
  <c r="Y27" i="11"/>
  <c r="Y15" i="11"/>
  <c r="Y24" i="11"/>
  <c r="Y16" i="11"/>
  <c r="Y8" i="11"/>
  <c r="Y37" i="11"/>
  <c r="Y40" i="11"/>
  <c r="Y13" i="11"/>
  <c r="Y35" i="11"/>
  <c r="Y18" i="11"/>
  <c r="Y41" i="11"/>
  <c r="Y31" i="11"/>
  <c r="Y30" i="11"/>
  <c r="AA23" i="8"/>
  <c r="AA56" i="8"/>
  <c r="AA53" i="8"/>
  <c r="AA50" i="8"/>
  <c r="AA41" i="8"/>
  <c r="AA42" i="8"/>
  <c r="AA51" i="8"/>
  <c r="AA44" i="8"/>
  <c r="AA45" i="8"/>
  <c r="AA47" i="8"/>
  <c r="AA72" i="8"/>
  <c r="AA128" i="8" s="1"/>
  <c r="AA116" i="8"/>
  <c r="AA172" i="8" s="1"/>
  <c r="AA70" i="8"/>
  <c r="AA126" i="8" s="1"/>
  <c r="AA111" i="8"/>
  <c r="AA167" i="8" s="1"/>
  <c r="AA93" i="8"/>
  <c r="AA149" i="8" s="1"/>
  <c r="AA103" i="8"/>
  <c r="AA159" i="8" s="1"/>
  <c r="AA104" i="8"/>
  <c r="AA160" i="8" s="1"/>
  <c r="AA102" i="8"/>
  <c r="AA158" i="8" s="1"/>
  <c r="AA100" i="8"/>
  <c r="AA156" i="8" s="1"/>
  <c r="AA109" i="8"/>
  <c r="AA165" i="8" s="1"/>
  <c r="AA97" i="8"/>
  <c r="AA153" i="8" s="1"/>
  <c r="AA108" i="8"/>
  <c r="AA164" i="8" s="1"/>
  <c r="AA113" i="8"/>
  <c r="AA169" i="8" s="1"/>
  <c r="AA94" i="8"/>
  <c r="AA150" i="8" s="1"/>
  <c r="AA110" i="8"/>
  <c r="AA166" i="8" s="1"/>
  <c r="AA90" i="8"/>
  <c r="AA146" i="8" s="1"/>
  <c r="AA79" i="8"/>
  <c r="AA135" i="8" s="1"/>
  <c r="AA112" i="8"/>
  <c r="AA168" i="8" s="1"/>
  <c r="AA67" i="8"/>
  <c r="AA123" i="8" s="1"/>
  <c r="AA107" i="8"/>
  <c r="AA163" i="8" s="1"/>
  <c r="AA115" i="8"/>
  <c r="AA171" i="8" s="1"/>
  <c r="AA106" i="8"/>
  <c r="AA162" i="8" s="1"/>
  <c r="AA99" i="8"/>
  <c r="AA155" i="8" s="1"/>
  <c r="AA95" i="8"/>
  <c r="AA151" i="8" s="1"/>
  <c r="AA98" i="8"/>
  <c r="AA154" i="8" s="1"/>
  <c r="AA101" i="8"/>
  <c r="AA157" i="8" s="1"/>
  <c r="AA66" i="8"/>
  <c r="AA122" i="8" s="1"/>
  <c r="AA105" i="8"/>
  <c r="AA161" i="8" s="1"/>
  <c r="AA114" i="8"/>
  <c r="AA170" i="8" s="1"/>
  <c r="AA46" i="8"/>
  <c r="AA49" i="8"/>
  <c r="AA55" i="8"/>
  <c r="AA10" i="8"/>
  <c r="AA54" i="8"/>
  <c r="AA11" i="8"/>
  <c r="AA39" i="8"/>
  <c r="AB34" i="9" l="1"/>
  <c r="AB51" i="9"/>
  <c r="AB46" i="9"/>
  <c r="AB6" i="9"/>
  <c r="AB45" i="8"/>
  <c r="AB29" i="9"/>
  <c r="AB47" i="9"/>
  <c r="AB44" i="8"/>
  <c r="AB18" i="9"/>
  <c r="AB55" i="9"/>
  <c r="AB38" i="9"/>
  <c r="AB11" i="9"/>
  <c r="AB48" i="9"/>
  <c r="AB41" i="9"/>
  <c r="AB43" i="9"/>
  <c r="AB42" i="8"/>
  <c r="AB36" i="9"/>
  <c r="AB56" i="8"/>
  <c r="AB46" i="8"/>
  <c r="AB53" i="9"/>
  <c r="AB32" i="9"/>
  <c r="AB51" i="8"/>
  <c r="AB49" i="9"/>
  <c r="AB44" i="9"/>
  <c r="AB42" i="9"/>
  <c r="AB40" i="9"/>
  <c r="AB50" i="9"/>
  <c r="AB45" i="9"/>
  <c r="AB54" i="9"/>
  <c r="AB33" i="9"/>
  <c r="AB52" i="9"/>
  <c r="AB54" i="8"/>
  <c r="AB10" i="8"/>
  <c r="AB5" i="8"/>
  <c r="AB55" i="8" s="1"/>
  <c r="AA6" i="10"/>
  <c r="AA7" i="10" s="1"/>
  <c r="AB39" i="9"/>
  <c r="AB5" i="9"/>
  <c r="AB37" i="9"/>
  <c r="AB9" i="9"/>
  <c r="AB41" i="8" l="1"/>
  <c r="Z11" i="11"/>
  <c r="Z26" i="11"/>
  <c r="Z39" i="11"/>
  <c r="Z42" i="11"/>
  <c r="Z36" i="11"/>
  <c r="Z17" i="11"/>
  <c r="Z29" i="11"/>
  <c r="Z30" i="11"/>
  <c r="Z18" i="11"/>
  <c r="Z12" i="11"/>
  <c r="Z20" i="11"/>
  <c r="Z8" i="11"/>
  <c r="Z15" i="11"/>
  <c r="Z28" i="11"/>
  <c r="Z3" i="11"/>
  <c r="Z5" i="11"/>
  <c r="Z43" i="11"/>
  <c r="Z7" i="11"/>
  <c r="Z6" i="11"/>
  <c r="Z27" i="11"/>
  <c r="Z40" i="11"/>
  <c r="Z9" i="11"/>
  <c r="Z21" i="11"/>
  <c r="Z24" i="11"/>
  <c r="Z41" i="11"/>
  <c r="Z31" i="11"/>
  <c r="Z33" i="11"/>
  <c r="Z34" i="11"/>
  <c r="Z13" i="11"/>
  <c r="Z22" i="11"/>
  <c r="Z4" i="11"/>
  <c r="Z14" i="11"/>
  <c r="Z35" i="11"/>
  <c r="Z16" i="11"/>
  <c r="Z23" i="11"/>
  <c r="Z38" i="11"/>
  <c r="Z2" i="11"/>
  <c r="Z19" i="11"/>
  <c r="Z10" i="11"/>
  <c r="Z37" i="11"/>
  <c r="Z25" i="11"/>
  <c r="Z32" i="11"/>
  <c r="AB49" i="8"/>
  <c r="AB23" i="8"/>
  <c r="AB53" i="8"/>
  <c r="AB50" i="8"/>
  <c r="AB11" i="8"/>
  <c r="AB94" i="8"/>
  <c r="AB150" i="8" s="1"/>
  <c r="AB100" i="8"/>
  <c r="AB156" i="8" s="1"/>
  <c r="AB111" i="8"/>
  <c r="AB167" i="8" s="1"/>
  <c r="AB116" i="8"/>
  <c r="AB172" i="8" s="1"/>
  <c r="AB107" i="8"/>
  <c r="AB163" i="8" s="1"/>
  <c r="AB97" i="8"/>
  <c r="AB153" i="8" s="1"/>
  <c r="AB109" i="8"/>
  <c r="AB165" i="8" s="1"/>
  <c r="AB103" i="8"/>
  <c r="AB159" i="8" s="1"/>
  <c r="AB93" i="8"/>
  <c r="AB149" i="8" s="1"/>
  <c r="AB108" i="8"/>
  <c r="AB164" i="8" s="1"/>
  <c r="AB113" i="8"/>
  <c r="AB169" i="8" s="1"/>
  <c r="AB102" i="8"/>
  <c r="AB158" i="8" s="1"/>
  <c r="AB106" i="8"/>
  <c r="AB162" i="8" s="1"/>
  <c r="AB72" i="8"/>
  <c r="AB128" i="8" s="1"/>
  <c r="AB115" i="8"/>
  <c r="AB171" i="8" s="1"/>
  <c r="AB112" i="8"/>
  <c r="AB168" i="8" s="1"/>
  <c r="AB98" i="8"/>
  <c r="AB154" i="8" s="1"/>
  <c r="AB90" i="8"/>
  <c r="AB146" i="8" s="1"/>
  <c r="AB67" i="8"/>
  <c r="AB123" i="8" s="1"/>
  <c r="AB110" i="8"/>
  <c r="AB166" i="8" s="1"/>
  <c r="AB79" i="8"/>
  <c r="AB135" i="8" s="1"/>
  <c r="AB101" i="8"/>
  <c r="AB157" i="8" s="1"/>
  <c r="AB70" i="8"/>
  <c r="AB126" i="8" s="1"/>
  <c r="AB105" i="8"/>
  <c r="AB161" i="8" s="1"/>
  <c r="AB66" i="8"/>
  <c r="AB122" i="8" s="1"/>
  <c r="AB99" i="8"/>
  <c r="AB155" i="8" s="1"/>
  <c r="AB114" i="8"/>
  <c r="AB170" i="8" s="1"/>
  <c r="AB95" i="8"/>
  <c r="AB151" i="8" s="1"/>
  <c r="AB104" i="8"/>
  <c r="AB160" i="8" s="1"/>
  <c r="AB43" i="8"/>
  <c r="AB52" i="8"/>
  <c r="AB34" i="8"/>
  <c r="AB38" i="8"/>
  <c r="AB60" i="8"/>
  <c r="AB16" i="8"/>
  <c r="AB14" i="8"/>
  <c r="AB58" i="8"/>
  <c r="AB48" i="8"/>
  <c r="AB59" i="8"/>
  <c r="AB57" i="8"/>
  <c r="AB37" i="8"/>
  <c r="AB39" i="8"/>
  <c r="AB47" i="8"/>
  <c r="AC43" i="9" l="1"/>
  <c r="AC48" i="9"/>
  <c r="AC50" i="9"/>
  <c r="AC44" i="9"/>
  <c r="AC39" i="9"/>
  <c r="AC9" i="9"/>
  <c r="AC34" i="9"/>
  <c r="AC36" i="9"/>
  <c r="AC53" i="9"/>
  <c r="AC46" i="9"/>
  <c r="AC33" i="9"/>
  <c r="AC40" i="9"/>
  <c r="AC6" i="9"/>
  <c r="AC5" i="9"/>
  <c r="AC29" i="9"/>
  <c r="AC37" i="9"/>
  <c r="AC58" i="8"/>
  <c r="AC16" i="8"/>
  <c r="AC45" i="9"/>
  <c r="AC60" i="8"/>
  <c r="AC11" i="8"/>
  <c r="AC49" i="9"/>
  <c r="AC54" i="9"/>
  <c r="AC52" i="9"/>
  <c r="AC5" i="8"/>
  <c r="AC53" i="8" s="1"/>
  <c r="AC55" i="9"/>
  <c r="AC18" i="9"/>
  <c r="AB6" i="10"/>
  <c r="AB7" i="10" s="1"/>
  <c r="AC52" i="8"/>
  <c r="AC32" i="9"/>
  <c r="AC38" i="9"/>
  <c r="AC51" i="9"/>
  <c r="AC11" i="9"/>
  <c r="AC41" i="9"/>
  <c r="AC47" i="9"/>
  <c r="AC42" i="9"/>
  <c r="AC14" i="8" l="1"/>
  <c r="AC109" i="8"/>
  <c r="AC165" i="8" s="1"/>
  <c r="AD48" i="9" s="1"/>
  <c r="AC113" i="8"/>
  <c r="AC169" i="8" s="1"/>
  <c r="AD52" i="9" s="1"/>
  <c r="AC72" i="8"/>
  <c r="AC128" i="8" s="1"/>
  <c r="AD11" i="9" s="1"/>
  <c r="AC115" i="8"/>
  <c r="AC171" i="8" s="1"/>
  <c r="AD54" i="9" s="1"/>
  <c r="AC93" i="8"/>
  <c r="AC149" i="8" s="1"/>
  <c r="AD32" i="9" s="1"/>
  <c r="AC102" i="8"/>
  <c r="AC158" i="8" s="1"/>
  <c r="AD41" i="9" s="1"/>
  <c r="AC106" i="8"/>
  <c r="AC162" i="8" s="1"/>
  <c r="AD45" i="9" s="1"/>
  <c r="AC103" i="8"/>
  <c r="AC159" i="8" s="1"/>
  <c r="AD42" i="9" s="1"/>
  <c r="AC100" i="8"/>
  <c r="AC156" i="8" s="1"/>
  <c r="AD39" i="9" s="1"/>
  <c r="AC111" i="8"/>
  <c r="AC167" i="8" s="1"/>
  <c r="AD50" i="9" s="1"/>
  <c r="AC94" i="8"/>
  <c r="AC150" i="8" s="1"/>
  <c r="AD33" i="9" s="1"/>
  <c r="AC97" i="8"/>
  <c r="AC153" i="8" s="1"/>
  <c r="AD36" i="9" s="1"/>
  <c r="AC107" i="8"/>
  <c r="AC163" i="8" s="1"/>
  <c r="AD46" i="9" s="1"/>
  <c r="AC104" i="8"/>
  <c r="AC160" i="8" s="1"/>
  <c r="AD43" i="9" s="1"/>
  <c r="AC99" i="8"/>
  <c r="AC155" i="8" s="1"/>
  <c r="AD38" i="9" s="1"/>
  <c r="AC101" i="8"/>
  <c r="AC157" i="8" s="1"/>
  <c r="AD40" i="9" s="1"/>
  <c r="AC114" i="8"/>
  <c r="AC170" i="8" s="1"/>
  <c r="AD53" i="9" s="1"/>
  <c r="AC90" i="8"/>
  <c r="AC146" i="8" s="1"/>
  <c r="AD29" i="9" s="1"/>
  <c r="AC98" i="8"/>
  <c r="AC154" i="8" s="1"/>
  <c r="AD37" i="9" s="1"/>
  <c r="AC70" i="8"/>
  <c r="AC126" i="8" s="1"/>
  <c r="AD9" i="9" s="1"/>
  <c r="AC66" i="8"/>
  <c r="AC122" i="8" s="1"/>
  <c r="AD5" i="9" s="1"/>
  <c r="AC110" i="8"/>
  <c r="AC166" i="8" s="1"/>
  <c r="AD49" i="9" s="1"/>
  <c r="AC79" i="8"/>
  <c r="AC135" i="8" s="1"/>
  <c r="AD18" i="9" s="1"/>
  <c r="AC116" i="8"/>
  <c r="AC172" i="8" s="1"/>
  <c r="AD55" i="9" s="1"/>
  <c r="AC95" i="8"/>
  <c r="AC151" i="8" s="1"/>
  <c r="AD34" i="9" s="1"/>
  <c r="AC112" i="8"/>
  <c r="AC168" i="8" s="1"/>
  <c r="AD51" i="9" s="1"/>
  <c r="AC67" i="8"/>
  <c r="AC123" i="8" s="1"/>
  <c r="AD6" i="9" s="1"/>
  <c r="AC105" i="8"/>
  <c r="AC161" i="8" s="1"/>
  <c r="AD44" i="9" s="1"/>
  <c r="AC108" i="8"/>
  <c r="AC164" i="8" s="1"/>
  <c r="AD47" i="9" s="1"/>
  <c r="B9" i="10"/>
  <c r="C9" i="10"/>
  <c r="AC55" i="8"/>
  <c r="AC46" i="8"/>
  <c r="AC10" i="8"/>
  <c r="AC54" i="8"/>
  <c r="AC42" i="8"/>
  <c r="AC56" i="8"/>
  <c r="AC51" i="8"/>
  <c r="AC45" i="8"/>
  <c r="AC44" i="8"/>
  <c r="AC47" i="8"/>
  <c r="AC50" i="8"/>
  <c r="AC23" i="8"/>
  <c r="AC49" i="8"/>
  <c r="AC43" i="8"/>
  <c r="AC34" i="8"/>
  <c r="AC38" i="8"/>
  <c r="AC48" i="8"/>
  <c r="AC41" i="8"/>
  <c r="AC57" i="8"/>
  <c r="AC37" i="8"/>
  <c r="AC59" i="8"/>
  <c r="AA38" i="11"/>
  <c r="AA15" i="11"/>
  <c r="AA41" i="11"/>
  <c r="AA22" i="11"/>
  <c r="AA26" i="11"/>
  <c r="AA28" i="11"/>
  <c r="AA5" i="11"/>
  <c r="AA6" i="11"/>
  <c r="AA29" i="11"/>
  <c r="AA18" i="11"/>
  <c r="AA37" i="11"/>
  <c r="AA35" i="11"/>
  <c r="AA25" i="11"/>
  <c r="AA39" i="11"/>
  <c r="AA17" i="11"/>
  <c r="AA30" i="11"/>
  <c r="AA33" i="11"/>
  <c r="AA19" i="11"/>
  <c r="AA8" i="11"/>
  <c r="AA10" i="11"/>
  <c r="AA21" i="11"/>
  <c r="AA13" i="11"/>
  <c r="AA27" i="11"/>
  <c r="AA3" i="11"/>
  <c r="AA23" i="11"/>
  <c r="AA43" i="11"/>
  <c r="AA7" i="11"/>
  <c r="AA24" i="11"/>
  <c r="AA12" i="11"/>
  <c r="AA32" i="11"/>
  <c r="AA34" i="11"/>
  <c r="AA42" i="11"/>
  <c r="AA2" i="11"/>
  <c r="AA4" i="11"/>
  <c r="AA14" i="11"/>
  <c r="AA40" i="11"/>
  <c r="AA9" i="11"/>
  <c r="AA16" i="11"/>
  <c r="AA31" i="11"/>
  <c r="AA11" i="11"/>
  <c r="AA36" i="11"/>
  <c r="AA20" i="11"/>
  <c r="AC39" i="8"/>
  <c r="AB2" i="11" l="1"/>
  <c r="C20" i="10" s="1"/>
  <c r="AB41" i="11"/>
  <c r="C59" i="10" s="1"/>
  <c r="AB24" i="11"/>
  <c r="C42" i="10" s="1"/>
  <c r="AB31" i="11"/>
  <c r="C49" i="10" s="1"/>
  <c r="AB19" i="11"/>
  <c r="C37" i="10" s="1"/>
  <c r="AB14" i="11"/>
  <c r="C32" i="10" s="1"/>
  <c r="AB21" i="11"/>
  <c r="C39" i="10" s="1"/>
  <c r="AB12" i="11"/>
  <c r="C30" i="10" s="1"/>
  <c r="AB5" i="11"/>
  <c r="C23" i="10" s="1"/>
  <c r="AB36" i="11"/>
  <c r="C54" i="10" s="1"/>
  <c r="AB20" i="11"/>
  <c r="C38" i="10" s="1"/>
  <c r="AB9" i="11"/>
  <c r="C27" i="10" s="1"/>
  <c r="AB28" i="11"/>
  <c r="C46" i="10" s="1"/>
  <c r="AB29" i="11"/>
  <c r="C47" i="10" s="1"/>
  <c r="AB6" i="11"/>
  <c r="C24" i="10" s="1"/>
  <c r="AB4" i="11"/>
  <c r="C22" i="10" s="1"/>
  <c r="AB25" i="11"/>
  <c r="C43" i="10" s="1"/>
  <c r="AB38" i="11"/>
  <c r="C56" i="10" s="1"/>
  <c r="AB13" i="11"/>
  <c r="C31" i="10" s="1"/>
  <c r="AB26" i="11"/>
  <c r="C44" i="10" s="1"/>
  <c r="AB17" i="11"/>
  <c r="C35" i="10" s="1"/>
  <c r="B16" i="10"/>
  <c r="AB3" i="11"/>
  <c r="C21" i="10" s="1"/>
  <c r="AB40" i="11"/>
  <c r="C58" i="10" s="1"/>
  <c r="AB34" i="11"/>
  <c r="C52" i="10" s="1"/>
  <c r="AB11" i="11"/>
  <c r="C29" i="10" s="1"/>
  <c r="AB7" i="11"/>
  <c r="C25" i="10" s="1"/>
  <c r="AB37" i="11"/>
  <c r="C55" i="10" s="1"/>
  <c r="AB43" i="11"/>
  <c r="C61" i="10" s="1"/>
  <c r="AB15" i="11"/>
  <c r="C33" i="10" s="1"/>
  <c r="AB33" i="11"/>
  <c r="C51" i="10" s="1"/>
  <c r="AB10" i="11"/>
  <c r="C28" i="10" s="1"/>
  <c r="AB35" i="11"/>
  <c r="C53" i="10" s="1"/>
  <c r="AB39" i="11"/>
  <c r="C57" i="10" s="1"/>
  <c r="AB18" i="11"/>
  <c r="C36" i="10" s="1"/>
  <c r="AB16" i="11"/>
  <c r="C34" i="10" s="1"/>
  <c r="AB22" i="11"/>
  <c r="C40" i="10" s="1"/>
  <c r="AB27" i="11"/>
  <c r="C45" i="10" s="1"/>
  <c r="AB23" i="11"/>
  <c r="C41" i="10" s="1"/>
  <c r="AB42" i="11"/>
  <c r="C60" i="10" s="1"/>
  <c r="AB30" i="11"/>
  <c r="C48" i="10" s="1"/>
  <c r="AB8" i="11"/>
  <c r="C26" i="10" s="1"/>
  <c r="AB32" i="11"/>
  <c r="C50" i="10" s="1"/>
  <c r="AC6" i="10"/>
  <c r="AC7" i="10" s="1"/>
  <c r="B4" i="10" s="1"/>
  <c r="C4" i="10" s="1"/>
  <c r="C16" i="10" l="1"/>
  <c r="D16" i="10" s="1"/>
  <c r="E16" i="10" s="1"/>
</calcChain>
</file>

<file path=xl/sharedStrings.xml><?xml version="1.0" encoding="utf-8"?>
<sst xmlns="http://schemas.openxmlformats.org/spreadsheetml/2006/main" count="3176" uniqueCount="1292">
  <si>
    <t>BPCiOaDCSbIC BAU Perc Cng in Output and Domestic Content Share by ISIC Code (42-code build)</t>
  </si>
  <si>
    <t>Sources:</t>
  </si>
  <si>
    <t>Projected output growth for all ISIC codes (2024-2034)</t>
  </si>
  <si>
    <t>U.S. Bureau of Labor Statistics</t>
  </si>
  <si>
    <t>Employment Projections, Table 2.11 Output and Employment by Industry (2024 National Employment Matrix)</t>
  </si>
  <si>
    <t>https://www.bls.gov/emp/tables/industry-employment-and-output.htm</t>
  </si>
  <si>
    <t>Tab 'BLS Table 2.11', pasted verbatim (columns A-K). Column L holds the editable 52-code ISIC assignment per BLS line; assignments avoid double counting (a summary row and its line items are never both assigned).</t>
  </si>
  <si>
    <t>Projected output growth for AEO-covered industrial codes (to 2050)</t>
  </si>
  <si>
    <t>U.S. EIA</t>
  </si>
  <si>
    <t>Annual Energy Outlook, Table 23 Industrial Sector Macroeconomic Indicators (2026 edition; 2025 edition supplies the 2024 base year)</t>
  </si>
  <si>
    <t>https://www.eia.gov/outlooks/aeo/tables_ref.php</t>
  </si>
  <si>
    <t>Tabs 'AEO25 Table 23' and 'AEO 2026 Table 23 ', pasted verbatim. The 2026-edition data are the ELECTRNP case; the 2025-edition tab supplies only the 2024 base year. Column B holds comma-wrapped 52-code ISIC assignments matched with exact-token '*,&lt;code&gt;,*'.</t>
  </si>
  <si>
    <t>GDP projection (rescaling target)</t>
  </si>
  <si>
    <t>Energy Innovation, io-model/BGDP</t>
  </si>
  <si>
    <t>The model's own BAU GDP series (forward path = AEO 2026 ELECTRNP)</t>
  </si>
  <si>
    <t>Tab 'GDP Forecast', 2012 USD, identical to BGDP.csv. Repaste on BGDP update.</t>
  </si>
  <si>
    <t>Value added by ISIC code (rescaling weights)</t>
  </si>
  <si>
    <t>Energy Innovation, io-model/BVAbIC</t>
  </si>
  <si>
    <t>Stock 42-code BVAbIC values; the six OECD-native splits divided by BEA 2017 VABAS shares</t>
  </si>
  <si>
    <t>https://www.energypolicy.solutions/</t>
  </si>
  <si>
    <t>Tab 'Data from BVAbIC' (52 pasted values). Weights only affect the single per-year rescaling factor, so their effect is second-order.</t>
  </si>
  <si>
    <t>Output levels for the 52-&gt;42 collapse weights</t>
  </si>
  <si>
    <t>Energy Innovation, io-model/BObIC (52-code ground truth)</t>
  </si>
  <si>
    <t>BObIC 2025 output by 52-code ISIC (bobic52-groundtruth.json, key 'bobic') — the same base output the model multiplies BPCiObIC against</t>
  </si>
  <si>
    <t>Tab 'Collapse 52 to 42', column C (pasted values). Each 42 parent's % change is the output-weighted average of its 52 children weighted by these 2025 output levels; equivalently 42_BObIC*(1+42_BPCiObIC) = the summed children's BObIC*(1+BPCiObIC). REFRESH from the rebuilt 52-code BObIC when available.</t>
  </si>
  <si>
    <t>Notes:</t>
  </si>
  <si>
    <t>Method</t>
  </si>
  <si>
    <t>AEO-covered industrial codes use AEO year-over-year Value-of-Shipments growth directly; all other codes use their BLS compound 2024-2034 output growth (output-weighted across assigned BLS lines, held constant), scaled by a per-year factor so total value added tracks the AEO GDP projection every year. This derivation is done AT 52 CODES (tabs 'Growth Rates' and 'Rescale to Fit GDP Proj') because BLS/AEO/VA all map to the 52 scheme.</t>
  </si>
  <si>
    <t>Collapse 52 -&gt; 42</t>
  </si>
  <si>
    <t>BPCiObIC is a % change in output (a RATE) — the 52 children are NOT summed. Tab 'Collapse 52 to 42' holds each 52 code's cumulative % change (rebased to 2025=0, same formula as the 52 output tab), its 42 parent (column B) and its BObIC 2025 output weight (column C). The BPCiObIC tab computes each 42 code as SUMPRODUCT(child weight, child %chg)/SUM(child weight) — the output-weighted average. Non-split codes (36 of 42) carry their single 52 value verbatim.</t>
  </si>
  <si>
    <t>Per-year scaling factor (closed form — no goal-seek)</t>
  </si>
  <si>
    <t>Row 5 of 'Rescale to Fit GDP Proj': a linear closed-form factor per year, so total VA tracks GDP in EVERY year. Current factors range 0.640-1.478. Source updates recompute automatically.</t>
  </si>
  <si>
    <t>52-code decisions</t>
  </si>
  <si>
    <t>Per Industry-Category-Audit-4.1.md: dominant children keep AEO coverage; minor children and service splits use BLS. DEVIATION from stock: BLS line 541500 assigned to ISIC 62T63. These decisions live in the 52-code derivation and wash into the 42 parents via the collapse.</t>
  </si>
  <si>
    <t>Pipeline (486000)</t>
  </si>
  <si>
    <t>No pipeline reclass in this variable — it is a growth RATE, matching the 52 decision. 486000's output-growth stays with transport; its BLS assignment to ISIC 352T353 collapses within the un-split ISIC 352T353 at 42.</t>
  </si>
  <si>
    <t>BPCiDCSbIC</t>
  </si>
  <si>
    <t>The domestic-content-share trend remains all zeros (stock convention) at 42 rows, 2020-2050.</t>
  </si>
  <si>
    <t>Export</t>
  </si>
  <si>
    <t>BPCiObIC.csv = tab BPCiObIC (2024-2050); BPCiDCSbIC.csv = tab BPCiDCSbIC (2020-2050). Row order is the canonical 42-code order (positional Vensim read — load-bearing).</t>
  </si>
  <si>
    <t>Table 2.11 Employment and output by industry (Employment in thousands; Output in billion of chained 2017 dollars)</t>
  </si>
  <si>
    <t>2024 National Employment Matrix title</t>
  </si>
  <si>
    <t>2024 National Employment Matrix code</t>
  </si>
  <si>
    <t>Industry type</t>
  </si>
  <si>
    <t>Employment, 2024</t>
  </si>
  <si>
    <t>Employment, 2034</t>
  </si>
  <si>
    <t xml:space="preserve">Employment change, numeric, 2024–34 </t>
  </si>
  <si>
    <t xml:space="preserve">Employment change, percent, 2024–34 </t>
  </si>
  <si>
    <t xml:space="preserve">Compound annual rate of change, employment, 2024–34 </t>
  </si>
  <si>
    <t>Output, 2024</t>
  </si>
  <si>
    <t>Output, 2034</t>
  </si>
  <si>
    <t xml:space="preserve">Compound annual rate of change, output, 2024–34 </t>
  </si>
  <si>
    <t>Assigned ISIC Code (editable)</t>
  </si>
  <si>
    <t>Total, all industries</t>
  </si>
  <si>
    <t>TE1000</t>
  </si>
  <si>
    <t>Summary</t>
  </si>
  <si>
    <t xml:space="preserve">  Self-employed workers</t>
  </si>
  <si>
    <t>TE1100</t>
  </si>
  <si>
    <t>Line item</t>
  </si>
  <si>
    <t>—</t>
  </si>
  <si>
    <t xml:space="preserve">  Total wage and salary employment</t>
  </si>
  <si>
    <t>TE1200</t>
  </si>
  <si>
    <t xml:space="preserve">    Agriculture, forestry, fishing, and hunting</t>
  </si>
  <si>
    <t>110000</t>
  </si>
  <si>
    <t xml:space="preserve">      Crop production</t>
  </si>
  <si>
    <t>111000</t>
  </si>
  <si>
    <t>ISIC 01</t>
  </si>
  <si>
    <t xml:space="preserve">      Animal production and aquaculture</t>
  </si>
  <si>
    <t>112000</t>
  </si>
  <si>
    <t xml:space="preserve">      Forestry and logging</t>
  </si>
  <si>
    <t>113000</t>
  </si>
  <si>
    <t xml:space="preserve">        Forestry</t>
  </si>
  <si>
    <t>1131-2</t>
  </si>
  <si>
    <t>ISIC 02</t>
  </si>
  <si>
    <t xml:space="preserve">        Logging</t>
  </si>
  <si>
    <t>113300</t>
  </si>
  <si>
    <t xml:space="preserve">      Fishing, hunting and trapping</t>
  </si>
  <si>
    <t>114000</t>
  </si>
  <si>
    <t>ISIC 03</t>
  </si>
  <si>
    <t xml:space="preserve">      Support activities for agriculture and forestry</t>
  </si>
  <si>
    <t>115000</t>
  </si>
  <si>
    <t xml:space="preserve">    Mining, quarrying, and oil and gas extraction</t>
  </si>
  <si>
    <t>210000</t>
  </si>
  <si>
    <t xml:space="preserve">      Oil and gas extraction</t>
  </si>
  <si>
    <t>211000</t>
  </si>
  <si>
    <t>ISIC 06</t>
  </si>
  <si>
    <t xml:space="preserve">      Mining (except oil and gas)</t>
  </si>
  <si>
    <t>212000</t>
  </si>
  <si>
    <t xml:space="preserve">        Coal mining</t>
  </si>
  <si>
    <t>212100</t>
  </si>
  <si>
    <t>ISIC 05</t>
  </si>
  <si>
    <t xml:space="preserve">        Metal ore mining</t>
  </si>
  <si>
    <t>212200</t>
  </si>
  <si>
    <t>ISIC 07</t>
  </si>
  <si>
    <t xml:space="preserve">        Nonmetallic mineral mining and quarrying</t>
  </si>
  <si>
    <t>212300</t>
  </si>
  <si>
    <t>ISIC 08</t>
  </si>
  <si>
    <t xml:space="preserve">      Support activities for mining</t>
  </si>
  <si>
    <t>213000</t>
  </si>
  <si>
    <t>ISIC 09</t>
  </si>
  <si>
    <t xml:space="preserve">    Utilities</t>
  </si>
  <si>
    <t>220000</t>
  </si>
  <si>
    <t xml:space="preserve">      Utilities</t>
  </si>
  <si>
    <t>221000</t>
  </si>
  <si>
    <t xml:space="preserve">        Electric power generation, transmission and distribution</t>
  </si>
  <si>
    <t>221100</t>
  </si>
  <si>
    <t>ISIC 351</t>
  </si>
  <si>
    <t xml:space="preserve">          Electric power generation</t>
  </si>
  <si>
    <t>221110</t>
  </si>
  <si>
    <t xml:space="preserve">            Hydroelectric power generation</t>
  </si>
  <si>
    <t>221111</t>
  </si>
  <si>
    <t xml:space="preserve">            Fossil fuel electric power generation</t>
  </si>
  <si>
    <t>221112</t>
  </si>
  <si>
    <t xml:space="preserve">            Nuclear electric power generation</t>
  </si>
  <si>
    <t>221113</t>
  </si>
  <si>
    <t xml:space="preserve">            Solar electric power generation</t>
  </si>
  <si>
    <t>221114</t>
  </si>
  <si>
    <t xml:space="preserve">            Wind electric power generation</t>
  </si>
  <si>
    <t>221115</t>
  </si>
  <si>
    <t xml:space="preserve">            Geothermal electric power generation</t>
  </si>
  <si>
    <t>221116</t>
  </si>
  <si>
    <t xml:space="preserve">            Biomass electric power generation</t>
  </si>
  <si>
    <t>221117</t>
  </si>
  <si>
    <t xml:space="preserve">            Other electric power generation</t>
  </si>
  <si>
    <t>221118</t>
  </si>
  <si>
    <t xml:space="preserve">        Natural gas distribution</t>
  </si>
  <si>
    <t>221200</t>
  </si>
  <si>
    <t>ISIC 352T353</t>
  </si>
  <si>
    <t xml:space="preserve">        Water, sewage and other systems</t>
  </si>
  <si>
    <t>221300</t>
  </si>
  <si>
    <t>ISIC 36T39</t>
  </si>
  <si>
    <t xml:space="preserve">    Construction</t>
  </si>
  <si>
    <t>230000</t>
  </si>
  <si>
    <t>ISIC 41T43</t>
  </si>
  <si>
    <t xml:space="preserve">      Construction of buildings</t>
  </si>
  <si>
    <t>236000</t>
  </si>
  <si>
    <t xml:space="preserve">        Residential building construction</t>
  </si>
  <si>
    <t>236100</t>
  </si>
  <si>
    <t xml:space="preserve">        Nonresidential building construction</t>
  </si>
  <si>
    <t>236200</t>
  </si>
  <si>
    <t xml:space="preserve">      Heavy and civil engineering construction</t>
  </si>
  <si>
    <t>237000</t>
  </si>
  <si>
    <t xml:space="preserve">        Utility system construction</t>
  </si>
  <si>
    <t>237100</t>
  </si>
  <si>
    <t xml:space="preserve">          Power and communication line and related structures construction</t>
  </si>
  <si>
    <t>237130</t>
  </si>
  <si>
    <t xml:space="preserve">        Land subdivision</t>
  </si>
  <si>
    <t>237200</t>
  </si>
  <si>
    <t xml:space="preserve">        Highway, street, and bridge construction</t>
  </si>
  <si>
    <t>237300</t>
  </si>
  <si>
    <t xml:space="preserve">        Other heavy and civil engineering construction</t>
  </si>
  <si>
    <t>237900</t>
  </si>
  <si>
    <t xml:space="preserve">      Specialty trade contractors</t>
  </si>
  <si>
    <t>238000</t>
  </si>
  <si>
    <t xml:space="preserve">        Foundation, structure, and building exterior contractors</t>
  </si>
  <si>
    <t>238100</t>
  </si>
  <si>
    <t xml:space="preserve">          Poured concrete foundation and structure contractors</t>
  </si>
  <si>
    <t>238110</t>
  </si>
  <si>
    <t xml:space="preserve">          Masonry contractors</t>
  </si>
  <si>
    <t>238140</t>
  </si>
  <si>
    <t xml:space="preserve">          Roofing contractors</t>
  </si>
  <si>
    <t>238160</t>
  </si>
  <si>
    <t xml:space="preserve">        Building equipment contractors</t>
  </si>
  <si>
    <t>238200</t>
  </si>
  <si>
    <t xml:space="preserve">          Electrical contractors and other wiring installation contractors</t>
  </si>
  <si>
    <t>238210</t>
  </si>
  <si>
    <t xml:space="preserve">          Plumbing, heating, and air-conditioning contractors</t>
  </si>
  <si>
    <t>238220</t>
  </si>
  <si>
    <t xml:space="preserve">          Other building equipment contractors</t>
  </si>
  <si>
    <t>238290</t>
  </si>
  <si>
    <t xml:space="preserve">        Building finishing contractors</t>
  </si>
  <si>
    <t>238300</t>
  </si>
  <si>
    <t xml:space="preserve">          Drywall and insulation contractors</t>
  </si>
  <si>
    <t>238310</t>
  </si>
  <si>
    <t xml:space="preserve">          Painting and wall covering contractors</t>
  </si>
  <si>
    <t>238320</t>
  </si>
  <si>
    <t xml:space="preserve">        Other specialty trade contractors</t>
  </si>
  <si>
    <t>238900</t>
  </si>
  <si>
    <t xml:space="preserve">    Manufacturing</t>
  </si>
  <si>
    <t>31-330</t>
  </si>
  <si>
    <t xml:space="preserve">      Food manufacturing</t>
  </si>
  <si>
    <t>311000</t>
  </si>
  <si>
    <t>ISIC 10T12</t>
  </si>
  <si>
    <t xml:space="preserve">        Animal food manufacturing</t>
  </si>
  <si>
    <t>311100</t>
  </si>
  <si>
    <t xml:space="preserve">        Grain and oilseed milling</t>
  </si>
  <si>
    <t>311200</t>
  </si>
  <si>
    <t xml:space="preserve">        Sugar and confectionery product manufacturing</t>
  </si>
  <si>
    <t>311300</t>
  </si>
  <si>
    <t xml:space="preserve">        Fruit and vegetable preserving and specialty food manufacturing</t>
  </si>
  <si>
    <t>311400</t>
  </si>
  <si>
    <t xml:space="preserve">        Dairy product manufacturing</t>
  </si>
  <si>
    <t>311500</t>
  </si>
  <si>
    <t xml:space="preserve">        Animal slaughtering and processing</t>
  </si>
  <si>
    <t>311600</t>
  </si>
  <si>
    <t xml:space="preserve">        Seafood product preparation and packaging</t>
  </si>
  <si>
    <t>311700</t>
  </si>
  <si>
    <t xml:space="preserve">        Bakeries and tortilla manufacturing</t>
  </si>
  <si>
    <t>311800</t>
  </si>
  <si>
    <t xml:space="preserve">        Other food manufacturing</t>
  </si>
  <si>
    <t>311900</t>
  </si>
  <si>
    <t xml:space="preserve">      Beverage and tobacco product manufacturing</t>
  </si>
  <si>
    <t>312000</t>
  </si>
  <si>
    <t xml:space="preserve">        Beverage manufacturing</t>
  </si>
  <si>
    <t>312100</t>
  </si>
  <si>
    <t xml:space="preserve">        Tobacco manufacturing</t>
  </si>
  <si>
    <t>312200</t>
  </si>
  <si>
    <t xml:space="preserve">      Textile mills</t>
  </si>
  <si>
    <t>313000</t>
  </si>
  <si>
    <t>ISIC 13T15</t>
  </si>
  <si>
    <t xml:space="preserve">      Textile product mills</t>
  </si>
  <si>
    <t>314000</t>
  </si>
  <si>
    <t xml:space="preserve">      Apparel manufacturing</t>
  </si>
  <si>
    <t>315000</t>
  </si>
  <si>
    <t xml:space="preserve">      Leather and allied product manufacturing</t>
  </si>
  <si>
    <t>316000</t>
  </si>
  <si>
    <t xml:space="preserve">      Wood product manufacturing</t>
  </si>
  <si>
    <t>321000</t>
  </si>
  <si>
    <t>ISIC 16</t>
  </si>
  <si>
    <t xml:space="preserve">        Sawmills and wood preservation</t>
  </si>
  <si>
    <t>321100</t>
  </si>
  <si>
    <t xml:space="preserve">        Veneer, plywood, and engineered wood product manufacturing</t>
  </si>
  <si>
    <t>321200</t>
  </si>
  <si>
    <t xml:space="preserve">        Other wood product manufacturing</t>
  </si>
  <si>
    <t>321900</t>
  </si>
  <si>
    <t xml:space="preserve">      Paper manufacturing</t>
  </si>
  <si>
    <t>322000</t>
  </si>
  <si>
    <t>ISIC 17T18</t>
  </si>
  <si>
    <t xml:space="preserve">        Pulp, paper, and paperboard mills</t>
  </si>
  <si>
    <t>322100</t>
  </si>
  <si>
    <t xml:space="preserve">        Converted paper product manufacturing</t>
  </si>
  <si>
    <t>322200</t>
  </si>
  <si>
    <t xml:space="preserve">      Printing and related support activities</t>
  </si>
  <si>
    <t>323000</t>
  </si>
  <si>
    <t xml:space="preserve">      Petroleum and coal products manufacturing</t>
  </si>
  <si>
    <t>324000</t>
  </si>
  <si>
    <t>ISIC 19</t>
  </si>
  <si>
    <t xml:space="preserve">      Chemical manufacturing</t>
  </si>
  <si>
    <t>325000</t>
  </si>
  <si>
    <t xml:space="preserve">        Chemical manufacturing (3251,2,3,9)</t>
  </si>
  <si>
    <t>3250A1</t>
  </si>
  <si>
    <t>ISIC 20</t>
  </si>
  <si>
    <t xml:space="preserve">        Chemical manufacturing (3255,6)</t>
  </si>
  <si>
    <t>3250A2</t>
  </si>
  <si>
    <t xml:space="preserve">        Pharmaceutical and medicine manufacturing</t>
  </si>
  <si>
    <t>325400</t>
  </si>
  <si>
    <t>ISIC 21</t>
  </si>
  <si>
    <t xml:space="preserve">      Plastics and rubber products manufacturing</t>
  </si>
  <si>
    <t>326000</t>
  </si>
  <si>
    <t>ISIC 22</t>
  </si>
  <si>
    <t xml:space="preserve">        Plastics product manufacturing</t>
  </si>
  <si>
    <t>326100</t>
  </si>
  <si>
    <t xml:space="preserve">        Rubber product manufacturing</t>
  </si>
  <si>
    <t>326200</t>
  </si>
  <si>
    <t xml:space="preserve">      Nonmetallic mineral product manufacturing</t>
  </si>
  <si>
    <t>327000</t>
  </si>
  <si>
    <t>ISIC 239</t>
  </si>
  <si>
    <t xml:space="preserve">      Primary metal manufacturing</t>
  </si>
  <si>
    <t>331000</t>
  </si>
  <si>
    <t xml:space="preserve">        Iron and steel mills and ferroalloy manufacturing</t>
  </si>
  <si>
    <t>331100</t>
  </si>
  <si>
    <t>ISIC 241</t>
  </si>
  <si>
    <t xml:space="preserve">        Steel product manufacturing from purchased steel</t>
  </si>
  <si>
    <t>331200</t>
  </si>
  <si>
    <t xml:space="preserve">        Alumina and aluminum production and processing</t>
  </si>
  <si>
    <t>331300</t>
  </si>
  <si>
    <t>ISIC 242</t>
  </si>
  <si>
    <t xml:space="preserve">        Nonferrous metal (except aluminum) production and processing</t>
  </si>
  <si>
    <t>331400</t>
  </si>
  <si>
    <t xml:space="preserve">        Foundries</t>
  </si>
  <si>
    <t>331500</t>
  </si>
  <si>
    <t xml:space="preserve">      Fabricated metal product manufacturing</t>
  </si>
  <si>
    <t>332000</t>
  </si>
  <si>
    <t>ISIC 25</t>
  </si>
  <si>
    <t xml:space="preserve">        Fabricated metal product manufacturing (3321,2,5,6,9)</t>
  </si>
  <si>
    <t>3320A1</t>
  </si>
  <si>
    <t xml:space="preserve">        Fabricated metal product manufacturing (3323,4)</t>
  </si>
  <si>
    <t>3320A2</t>
  </si>
  <si>
    <t xml:space="preserve">        Machine shops; turned product; and screw, nut, and bolt manufacturing</t>
  </si>
  <si>
    <t>332700</t>
  </si>
  <si>
    <t xml:space="preserve">          Machine shops</t>
  </si>
  <si>
    <t>332710</t>
  </si>
  <si>
    <t xml:space="preserve">          Turned product and screw, nut, and bolt manufacturing</t>
  </si>
  <si>
    <t>332720</t>
  </si>
  <si>
    <t xml:space="preserve">        Coating, engraving, heat treating, and allied activities</t>
  </si>
  <si>
    <t>332800</t>
  </si>
  <si>
    <t xml:space="preserve">      Machinery manufacturing</t>
  </si>
  <si>
    <t>333000</t>
  </si>
  <si>
    <t>ISIC 28</t>
  </si>
  <si>
    <t xml:space="preserve">        Machinery manufacturing (3331,2,4,9)</t>
  </si>
  <si>
    <t>3330A1</t>
  </si>
  <si>
    <t xml:space="preserve">        Commercial and service industry machinery manufacturing</t>
  </si>
  <si>
    <t>333300</t>
  </si>
  <si>
    <t xml:space="preserve">        Metalworking machinery manufacturing</t>
  </si>
  <si>
    <t>333500</t>
  </si>
  <si>
    <t xml:space="preserve">        Engine, turbine, and power transmission equipment manufacturing</t>
  </si>
  <si>
    <t>333600</t>
  </si>
  <si>
    <t xml:space="preserve">      Computer and electronic product manufacturing</t>
  </si>
  <si>
    <t>334000</t>
  </si>
  <si>
    <t>ISIC 26</t>
  </si>
  <si>
    <t xml:space="preserve">        Computer and peripheral equipment manufacturing</t>
  </si>
  <si>
    <t>334100</t>
  </si>
  <si>
    <t xml:space="preserve">        Communications equipment manufacturing</t>
  </si>
  <si>
    <t>334200</t>
  </si>
  <si>
    <t xml:space="preserve">        Audio and video equipment manufacturing</t>
  </si>
  <si>
    <t>334300</t>
  </si>
  <si>
    <t xml:space="preserve">        Semiconductor and other electronic component manufacturing</t>
  </si>
  <si>
    <t>334400</t>
  </si>
  <si>
    <t xml:space="preserve">        Navigational, measuring, electromedical, and control instruments manufacturing</t>
  </si>
  <si>
    <t>334500</t>
  </si>
  <si>
    <t xml:space="preserve">        Manufacturing and reproducing magnetic and optical media</t>
  </si>
  <si>
    <t>334600</t>
  </si>
  <si>
    <t xml:space="preserve">      Electrical equipment, appliance, and component manufacturing</t>
  </si>
  <si>
    <t>335000</t>
  </si>
  <si>
    <t>ISIC 27</t>
  </si>
  <si>
    <t xml:space="preserve">        Electric lighting equipment manufacturing</t>
  </si>
  <si>
    <t>335100</t>
  </si>
  <si>
    <t xml:space="preserve">        Household appliance manufacturing</t>
  </si>
  <si>
    <t>335200</t>
  </si>
  <si>
    <t xml:space="preserve">        Electrical equipment manufacturing</t>
  </si>
  <si>
    <t>335300</t>
  </si>
  <si>
    <t xml:space="preserve">        Other electrical equipment and component manufacturing</t>
  </si>
  <si>
    <t>335900</t>
  </si>
  <si>
    <t xml:space="preserve">      Transportation equipment manufacturing</t>
  </si>
  <si>
    <t>336000</t>
  </si>
  <si>
    <t xml:space="preserve">        Motor vehicle manufacturing</t>
  </si>
  <si>
    <t>336100</t>
  </si>
  <si>
    <t>ISIC 29</t>
  </si>
  <si>
    <t xml:space="preserve">        Motor vehicle body and trailer manufacturing</t>
  </si>
  <si>
    <t>336200</t>
  </si>
  <si>
    <t xml:space="preserve">        Motor vehicle parts manufacturing</t>
  </si>
  <si>
    <t>336300</t>
  </si>
  <si>
    <t xml:space="preserve">        Aerospace product and parts manufacturing</t>
  </si>
  <si>
    <t>336400</t>
  </si>
  <si>
    <t>ISIC 302T309</t>
  </si>
  <si>
    <t xml:space="preserve">        Railroad rolling stock manufacturing</t>
  </si>
  <si>
    <t>336500</t>
  </si>
  <si>
    <t xml:space="preserve">        Ship and boat building</t>
  </si>
  <si>
    <t>336600</t>
  </si>
  <si>
    <t>ISIC 301</t>
  </si>
  <si>
    <t xml:space="preserve">        Other transportation equipment manufacturing</t>
  </si>
  <si>
    <t>336900</t>
  </si>
  <si>
    <t xml:space="preserve">      Furniture and related product manufacturing</t>
  </si>
  <si>
    <t>337000</t>
  </si>
  <si>
    <t>ISIC 31T33</t>
  </si>
  <si>
    <t xml:space="preserve">        Furniture and related product manufacturing (3371,2)</t>
  </si>
  <si>
    <t>3370A1</t>
  </si>
  <si>
    <t xml:space="preserve">        Other furniture related product manufacturing</t>
  </si>
  <si>
    <t>337900</t>
  </si>
  <si>
    <t xml:space="preserve">      Miscellaneous manufacturing</t>
  </si>
  <si>
    <t>339000</t>
  </si>
  <si>
    <t xml:space="preserve">        Medical equipment and supplies manufacturing</t>
  </si>
  <si>
    <t>339100</t>
  </si>
  <si>
    <t xml:space="preserve">        Other miscellaneous manufacturing</t>
  </si>
  <si>
    <t>339900</t>
  </si>
  <si>
    <t xml:space="preserve">          Jewelry and silverware manufacturing</t>
  </si>
  <si>
    <t>339910</t>
  </si>
  <si>
    <t xml:space="preserve">    Wholesale trade</t>
  </si>
  <si>
    <t>420000</t>
  </si>
  <si>
    <t>ISIC 45T47</t>
  </si>
  <si>
    <t xml:space="preserve">      Merchant wholesalers, durable goods</t>
  </si>
  <si>
    <t>423000</t>
  </si>
  <si>
    <t xml:space="preserve">        Merchant wholesalers, durable goods (4232,3,5,6,7,9)</t>
  </si>
  <si>
    <t>4230A1</t>
  </si>
  <si>
    <t xml:space="preserve">        Motor vehicle and motor vehicle parts and supplies merchant wholesalers</t>
  </si>
  <si>
    <t>423100</t>
  </si>
  <si>
    <t xml:space="preserve">        Professional and commercial equipment and supplies merchant wholesalers</t>
  </si>
  <si>
    <t>423400</t>
  </si>
  <si>
    <t xml:space="preserve">        Machinery, equipment, and supplies merchant wholesalers</t>
  </si>
  <si>
    <t>423800</t>
  </si>
  <si>
    <t xml:space="preserve">          Farm and garden machinery and equipment merchant wholesalers</t>
  </si>
  <si>
    <t>423820</t>
  </si>
  <si>
    <t xml:space="preserve">      Merchant wholesalers, nondurable goods</t>
  </si>
  <si>
    <t>424000</t>
  </si>
  <si>
    <t xml:space="preserve">        Merchant wholesalers, nondurable goods (4244,8)</t>
  </si>
  <si>
    <t>4240A1</t>
  </si>
  <si>
    <t xml:space="preserve">        Merchant wholesalers, nondurable goods (4242,6)</t>
  </si>
  <si>
    <t>4240A2</t>
  </si>
  <si>
    <t xml:space="preserve">        Merchant wholesalers, nondurable goods (4241,7,9)</t>
  </si>
  <si>
    <t>4240A3</t>
  </si>
  <si>
    <t xml:space="preserve">        Apparel, piece goods, and notions merchant wholesalers</t>
  </si>
  <si>
    <t>424300</t>
  </si>
  <si>
    <t xml:space="preserve">        Farm product raw material merchant wholesalers</t>
  </si>
  <si>
    <t>424500</t>
  </si>
  <si>
    <t xml:space="preserve">      Wholesale trade agents and brokers</t>
  </si>
  <si>
    <t>425000</t>
  </si>
  <si>
    <t xml:space="preserve">    Retail trade</t>
  </si>
  <si>
    <t>44-450</t>
  </si>
  <si>
    <t xml:space="preserve">      Motor vehicle and parts dealers</t>
  </si>
  <si>
    <t>441000</t>
  </si>
  <si>
    <t xml:space="preserve">        Automobile dealers</t>
  </si>
  <si>
    <t>441100</t>
  </si>
  <si>
    <t xml:space="preserve">        Other motor vehicle dealers</t>
  </si>
  <si>
    <t>441200</t>
  </si>
  <si>
    <t xml:space="preserve">        Automotive parts, accessories, and tire retailers</t>
  </si>
  <si>
    <t>441300</t>
  </si>
  <si>
    <t xml:space="preserve">      Food and beverage retailers</t>
  </si>
  <si>
    <t>445000</t>
  </si>
  <si>
    <t xml:space="preserve">        Grocery and specialty food retailers</t>
  </si>
  <si>
    <t>4450A1</t>
  </si>
  <si>
    <t xml:space="preserve">        Beer, wine, and liquor retailers</t>
  </si>
  <si>
    <t>445300</t>
  </si>
  <si>
    <t xml:space="preserve">      General merchandise retailers</t>
  </si>
  <si>
    <t>455000</t>
  </si>
  <si>
    <t xml:space="preserve">      All other retail trade (444, 449, 456-9)</t>
  </si>
  <si>
    <t>4445R0</t>
  </si>
  <si>
    <t xml:space="preserve">        Building material and garden equipment and supplies dealers</t>
  </si>
  <si>
    <t>444000</t>
  </si>
  <si>
    <t xml:space="preserve">          Building material and supplies dealers</t>
  </si>
  <si>
    <t>444100</t>
  </si>
  <si>
    <t xml:space="preserve">          Lawn and garden equipment and supplies retailers</t>
  </si>
  <si>
    <t>444200</t>
  </si>
  <si>
    <t xml:space="preserve">        Furniture, home furnishings, electronics, and appliance retailers</t>
  </si>
  <si>
    <t>449000</t>
  </si>
  <si>
    <t xml:space="preserve">          Furniture and home furnishings retailers</t>
  </si>
  <si>
    <t>449100</t>
  </si>
  <si>
    <t xml:space="preserve">          Electronics and appliance retailers</t>
  </si>
  <si>
    <t>449200</t>
  </si>
  <si>
    <t xml:space="preserve">        Health and personal care retailers</t>
  </si>
  <si>
    <t>456000</t>
  </si>
  <si>
    <t xml:space="preserve">          Health and personal care retailers</t>
  </si>
  <si>
    <t>456100</t>
  </si>
  <si>
    <t xml:space="preserve">            Pharmacies and drug retailers</t>
  </si>
  <si>
    <t>456110</t>
  </si>
  <si>
    <t xml:space="preserve">        Gasoline stations and fuel dealers</t>
  </si>
  <si>
    <t>457000</t>
  </si>
  <si>
    <t xml:space="preserve">          Gasoline stations</t>
  </si>
  <si>
    <t>457100</t>
  </si>
  <si>
    <t xml:space="preserve">          Fuel dealers</t>
  </si>
  <si>
    <t>457200</t>
  </si>
  <si>
    <t xml:space="preserve">        Clothing, clothing accessories, shoe, and jewelry retailers</t>
  </si>
  <si>
    <t>458000</t>
  </si>
  <si>
    <t xml:space="preserve">          Clothing and clothing accessories retailers</t>
  </si>
  <si>
    <t>458100</t>
  </si>
  <si>
    <t xml:space="preserve">          Shoe retailers</t>
  </si>
  <si>
    <t>458200</t>
  </si>
  <si>
    <t xml:space="preserve">          Jewelry, luggage, and leather goods retailers</t>
  </si>
  <si>
    <t>458300</t>
  </si>
  <si>
    <t xml:space="preserve">        Sporting goods, hobby, musical instrument, book, and miscellaneous retailers</t>
  </si>
  <si>
    <t>459000</t>
  </si>
  <si>
    <t xml:space="preserve">          Sporting goods retailers</t>
  </si>
  <si>
    <t>459110</t>
  </si>
  <si>
    <t xml:space="preserve">          Book retailers and news dealers</t>
  </si>
  <si>
    <t>459200</t>
  </si>
  <si>
    <t xml:space="preserve">          Florists</t>
  </si>
  <si>
    <t>459300</t>
  </si>
  <si>
    <t xml:space="preserve">          Miscellaneous store retailers (4594 and 4595 only)</t>
  </si>
  <si>
    <t>4590A1</t>
  </si>
  <si>
    <t xml:space="preserve">          Other miscellaneous retailers</t>
  </si>
  <si>
    <t>459900</t>
  </si>
  <si>
    <t xml:space="preserve">    Transportation and warehousing</t>
  </si>
  <si>
    <t>48-490</t>
  </si>
  <si>
    <t xml:space="preserve">      Air transportation</t>
  </si>
  <si>
    <t>481000</t>
  </si>
  <si>
    <t>ISIC 51</t>
  </si>
  <si>
    <t xml:space="preserve">        Scheduled air transportation</t>
  </si>
  <si>
    <t>481100</t>
  </si>
  <si>
    <t xml:space="preserve">        Nonscheduled air transportation</t>
  </si>
  <si>
    <t>481200</t>
  </si>
  <si>
    <t xml:space="preserve">      Rail transportation</t>
  </si>
  <si>
    <t>482000</t>
  </si>
  <si>
    <t>ISIC 49</t>
  </si>
  <si>
    <t xml:space="preserve">      Water transportation</t>
  </si>
  <si>
    <t>483000</t>
  </si>
  <si>
    <t>ISIC 50</t>
  </si>
  <si>
    <t xml:space="preserve">        Deep sea, coastal, and great lakes water transportation</t>
  </si>
  <si>
    <t>483100</t>
  </si>
  <si>
    <t xml:space="preserve">        Inland water transportation</t>
  </si>
  <si>
    <t>483200</t>
  </si>
  <si>
    <t xml:space="preserve">      Truck transportation</t>
  </si>
  <si>
    <t>484000</t>
  </si>
  <si>
    <t xml:space="preserve">      Transit and ground passenger transportation</t>
  </si>
  <si>
    <t>485000</t>
  </si>
  <si>
    <t xml:space="preserve">        Urban transit systems</t>
  </si>
  <si>
    <t>485100</t>
  </si>
  <si>
    <t xml:space="preserve">        Interurban and rural bus transportation</t>
  </si>
  <si>
    <t>485200</t>
  </si>
  <si>
    <t xml:space="preserve">        Taxi and limousine service</t>
  </si>
  <si>
    <t>485300</t>
  </si>
  <si>
    <t xml:space="preserve">        School and employee bus transportation</t>
  </si>
  <si>
    <t>485400</t>
  </si>
  <si>
    <t xml:space="preserve">        Charter bus industry</t>
  </si>
  <si>
    <t>485500</t>
  </si>
  <si>
    <t xml:space="preserve">        Other transit and ground passenger transportation</t>
  </si>
  <si>
    <t>485900</t>
  </si>
  <si>
    <t xml:space="preserve">      Pipeline transportation</t>
  </si>
  <si>
    <t>486000</t>
  </si>
  <si>
    <t xml:space="preserve">        Pipeline transportation of crude oil</t>
  </si>
  <si>
    <t>486100</t>
  </si>
  <si>
    <t xml:space="preserve">        Pipeline transportation of natural gas</t>
  </si>
  <si>
    <t>486200</t>
  </si>
  <si>
    <t xml:space="preserve">        Other pipeline transportation</t>
  </si>
  <si>
    <t>486900</t>
  </si>
  <si>
    <t xml:space="preserve">      Scenic and sightseeing transportation and support activities for transportation</t>
  </si>
  <si>
    <t>487-80</t>
  </si>
  <si>
    <t>ISIC 52</t>
  </si>
  <si>
    <t xml:space="preserve">        Scenic and sightseeing transportation</t>
  </si>
  <si>
    <t>487000</t>
  </si>
  <si>
    <t xml:space="preserve">          Scenic and sightseeing transportation, land</t>
  </si>
  <si>
    <t>487100</t>
  </si>
  <si>
    <t xml:space="preserve">          Scenic and sightseeing transportation, water</t>
  </si>
  <si>
    <t>487200</t>
  </si>
  <si>
    <t xml:space="preserve">          Scenic and sightseeing transportation, other</t>
  </si>
  <si>
    <t>487900</t>
  </si>
  <si>
    <t xml:space="preserve">        Support activities for transportation</t>
  </si>
  <si>
    <t>488000</t>
  </si>
  <si>
    <t xml:space="preserve">          Support activities for air transportation</t>
  </si>
  <si>
    <t>488100</t>
  </si>
  <si>
    <t xml:space="preserve">          Support activities for rail transportation</t>
  </si>
  <si>
    <t>488200</t>
  </si>
  <si>
    <t xml:space="preserve">          Support activities for water transportation</t>
  </si>
  <si>
    <t>488300</t>
  </si>
  <si>
    <t xml:space="preserve">          Support activities for road transportation</t>
  </si>
  <si>
    <t>488400</t>
  </si>
  <si>
    <t xml:space="preserve">          Freight transportation arrangement</t>
  </si>
  <si>
    <t>488500</t>
  </si>
  <si>
    <t xml:space="preserve">          Other support activities for transportation</t>
  </si>
  <si>
    <t>488900</t>
  </si>
  <si>
    <t xml:space="preserve">      Couriers and messengers</t>
  </si>
  <si>
    <t>492000</t>
  </si>
  <si>
    <t>ISIC 53</t>
  </si>
  <si>
    <t xml:space="preserve">        Couriers and express delivery services</t>
  </si>
  <si>
    <t>492100</t>
  </si>
  <si>
    <t xml:space="preserve">        Local messengers and local delivery</t>
  </si>
  <si>
    <t>492200</t>
  </si>
  <si>
    <t xml:space="preserve">      Warehousing and storage</t>
  </si>
  <si>
    <t>493000</t>
  </si>
  <si>
    <t xml:space="preserve">    Information</t>
  </si>
  <si>
    <t>510000</t>
  </si>
  <si>
    <t xml:space="preserve">      Motion picture and sound recording industries</t>
  </si>
  <si>
    <t>512000</t>
  </si>
  <si>
    <t>ISIC 58T60</t>
  </si>
  <si>
    <t xml:space="preserve">        Motion picture and video industries</t>
  </si>
  <si>
    <t>512100</t>
  </si>
  <si>
    <t xml:space="preserve">          Motion picture and video exhibition</t>
  </si>
  <si>
    <t>512130</t>
  </si>
  <si>
    <t xml:space="preserve">        Sound recording industries</t>
  </si>
  <si>
    <t>512200</t>
  </si>
  <si>
    <t xml:space="preserve">      Publishing, broadcasting, and content providers</t>
  </si>
  <si>
    <t>513-90</t>
  </si>
  <si>
    <t xml:space="preserve">        Software publishers</t>
  </si>
  <si>
    <t>513200</t>
  </si>
  <si>
    <t xml:space="preserve">        Miscellaneous information services (5131, 516, 519)</t>
  </si>
  <si>
    <t>5136A9</t>
  </si>
  <si>
    <t xml:space="preserve">          Newspaper, Periodical, Book, and Directory Publishers</t>
  </si>
  <si>
    <t>513100</t>
  </si>
  <si>
    <t xml:space="preserve">            Newspaper publishers</t>
  </si>
  <si>
    <t>513110</t>
  </si>
  <si>
    <t xml:space="preserve">          Broadcasting and Content Providers</t>
  </si>
  <si>
    <t>516000</t>
  </si>
  <si>
    <t xml:space="preserve">            Radio and Television Broadcasting Stations</t>
  </si>
  <si>
    <t>516100</t>
  </si>
  <si>
    <t xml:space="preserve">              Radio broadcasting stations</t>
  </si>
  <si>
    <t>516110</t>
  </si>
  <si>
    <t xml:space="preserve">              Television broadcasting stations</t>
  </si>
  <si>
    <t>516120</t>
  </si>
  <si>
    <t xml:space="preserve">            Media streaming distribution services, social networks, and other media networks and content providers</t>
  </si>
  <si>
    <t>516210</t>
  </si>
  <si>
    <t xml:space="preserve">          Web search portals, libraries, archives, and other information services</t>
  </si>
  <si>
    <t>519000</t>
  </si>
  <si>
    <t xml:space="preserve">        Telecommunications</t>
  </si>
  <si>
    <t>517000</t>
  </si>
  <si>
    <t>ISIC 61</t>
  </si>
  <si>
    <t xml:space="preserve">        Computing infrastructure providers, data processing, web hosting, and related services</t>
  </si>
  <si>
    <t>518000</t>
  </si>
  <si>
    <t>ISIC 62T63</t>
  </si>
  <si>
    <t xml:space="preserve">    Finance and insurance</t>
  </si>
  <si>
    <t>520000</t>
  </si>
  <si>
    <t>ISIC 64T66</t>
  </si>
  <si>
    <t xml:space="preserve">      Monetary authorities - central bank, and credit intermediation and related activities</t>
  </si>
  <si>
    <t>521-20</t>
  </si>
  <si>
    <t xml:space="preserve">        Monetary authorities-central bank</t>
  </si>
  <si>
    <t>521000</t>
  </si>
  <si>
    <t xml:space="preserve">        Credit intermediation and related activities</t>
  </si>
  <si>
    <t>522000</t>
  </si>
  <si>
    <t xml:space="preserve">          Credit intermediation and related activities (5221,3)</t>
  </si>
  <si>
    <t>5220A1</t>
  </si>
  <si>
    <t xml:space="preserve">          Nondepository credit intermediation</t>
  </si>
  <si>
    <t>522200</t>
  </si>
  <si>
    <t xml:space="preserve">            Other nondepository credit intermediation</t>
  </si>
  <si>
    <t>522290</t>
  </si>
  <si>
    <t xml:space="preserve">      Securities, commodity contracts, and other financial investments and related activities</t>
  </si>
  <si>
    <t>523000</t>
  </si>
  <si>
    <t xml:space="preserve">      Insurance carriers and related activities</t>
  </si>
  <si>
    <t>524000</t>
  </si>
  <si>
    <t xml:space="preserve">        Insurance carriers</t>
  </si>
  <si>
    <t>524100</t>
  </si>
  <si>
    <t xml:space="preserve">          Direct health and medical insurance carriers</t>
  </si>
  <si>
    <t>524114</t>
  </si>
  <si>
    <t xml:space="preserve">          Direct insurance (except life, health, and medical) carriers</t>
  </si>
  <si>
    <t>524120</t>
  </si>
  <si>
    <t xml:space="preserve">        Agencies, brokerages, and other insurance related activities</t>
  </si>
  <si>
    <t>524200</t>
  </si>
  <si>
    <t xml:space="preserve">          Insurance agencies and brokerages</t>
  </si>
  <si>
    <t>524210</t>
  </si>
  <si>
    <t xml:space="preserve">          Other insurance related activities</t>
  </si>
  <si>
    <t>524290</t>
  </si>
  <si>
    <t xml:space="preserve">      Funds, trusts, and other financial vehicles</t>
  </si>
  <si>
    <t>525000</t>
  </si>
  <si>
    <t xml:space="preserve">        Insurance and employee benefit funds</t>
  </si>
  <si>
    <t>525100</t>
  </si>
  <si>
    <t xml:space="preserve">        Other investment pools and funds</t>
  </si>
  <si>
    <t>525900</t>
  </si>
  <si>
    <t xml:space="preserve">    Real estate and rental and leasing</t>
  </si>
  <si>
    <t>530000</t>
  </si>
  <si>
    <t xml:space="preserve">      Real estate</t>
  </si>
  <si>
    <t>531000</t>
  </si>
  <si>
    <t>ISIC 68</t>
  </si>
  <si>
    <t xml:space="preserve">      Rental and leasing services</t>
  </si>
  <si>
    <t>532000</t>
  </si>
  <si>
    <t>ISIC 77T82</t>
  </si>
  <si>
    <t xml:space="preserve">        Rental and leasing services (5322,3,4)</t>
  </si>
  <si>
    <t>5320A1</t>
  </si>
  <si>
    <t xml:space="preserve">        Automotive equipment rental and leasing</t>
  </si>
  <si>
    <t>532100</t>
  </si>
  <si>
    <t xml:space="preserve">      Lessors of nonfinancial intangible assets (except copyrighted works)</t>
  </si>
  <si>
    <t>533000</t>
  </si>
  <si>
    <t xml:space="preserve">    Professional, scientific, and technical services</t>
  </si>
  <si>
    <t>540000</t>
  </si>
  <si>
    <t xml:space="preserve">      Professional, scientific, and technical services</t>
  </si>
  <si>
    <t>541000</t>
  </si>
  <si>
    <t xml:space="preserve">        Legal services</t>
  </si>
  <si>
    <t>541100</t>
  </si>
  <si>
    <t>ISIC 69T75</t>
  </si>
  <si>
    <t xml:space="preserve">        Accounting, tax preparation, bookkeeping, and payroll services</t>
  </si>
  <si>
    <t>541200</t>
  </si>
  <si>
    <t xml:space="preserve">        Architectural, engineering, and related services</t>
  </si>
  <si>
    <t>541300</t>
  </si>
  <si>
    <t xml:space="preserve">          Engineering services</t>
  </si>
  <si>
    <t>541330</t>
  </si>
  <si>
    <t xml:space="preserve">          Testing laboratories and services</t>
  </si>
  <si>
    <t>541380</t>
  </si>
  <si>
    <t xml:space="preserve">        Specialized design services</t>
  </si>
  <si>
    <t>541400</t>
  </si>
  <si>
    <t xml:space="preserve">        Computer systems design and related services</t>
  </si>
  <si>
    <t>541500</t>
  </si>
  <si>
    <t xml:space="preserve">        Management, scientific, and technical consulting services</t>
  </si>
  <si>
    <t>541600</t>
  </si>
  <si>
    <t xml:space="preserve">        Scientific research and development services</t>
  </si>
  <si>
    <t>541700</t>
  </si>
  <si>
    <t xml:space="preserve">          Research and development in the physical, engineering, and life sciences</t>
  </si>
  <si>
    <t>541710</t>
  </si>
  <si>
    <t xml:space="preserve">          Research and development in the social sciences and humanities</t>
  </si>
  <si>
    <t>541720</t>
  </si>
  <si>
    <t xml:space="preserve">        Advertising, public relations, and related services</t>
  </si>
  <si>
    <t>541800</t>
  </si>
  <si>
    <t xml:space="preserve">        Other professional, scientific, and technical services</t>
  </si>
  <si>
    <t>541900</t>
  </si>
  <si>
    <t xml:space="preserve">          Photographic services</t>
  </si>
  <si>
    <t>541920</t>
  </si>
  <si>
    <t xml:space="preserve">          Veterinary services</t>
  </si>
  <si>
    <t>541940</t>
  </si>
  <si>
    <t xml:space="preserve">    Management of companies and enterprises</t>
  </si>
  <si>
    <t>550000</t>
  </si>
  <si>
    <t xml:space="preserve">      Management of companies and enterprises</t>
  </si>
  <si>
    <t>551000</t>
  </si>
  <si>
    <t xml:space="preserve">    Administrative and support and waste management and remediation services</t>
  </si>
  <si>
    <t>560000</t>
  </si>
  <si>
    <t xml:space="preserve">      Administrative and support services</t>
  </si>
  <si>
    <t>561000</t>
  </si>
  <si>
    <t xml:space="preserve">        Office administrative services</t>
  </si>
  <si>
    <t>561100</t>
  </si>
  <si>
    <t xml:space="preserve">        Facilities support services</t>
  </si>
  <si>
    <t>561200</t>
  </si>
  <si>
    <t xml:space="preserve">        Employment services</t>
  </si>
  <si>
    <t>561300</t>
  </si>
  <si>
    <t xml:space="preserve">          Temporary help services</t>
  </si>
  <si>
    <t>561320</t>
  </si>
  <si>
    <t xml:space="preserve">        Business support services</t>
  </si>
  <si>
    <t>561400</t>
  </si>
  <si>
    <t xml:space="preserve">        Travel arrangement and reservation services</t>
  </si>
  <si>
    <t>561500</t>
  </si>
  <si>
    <t xml:space="preserve">        Investigation and security services</t>
  </si>
  <si>
    <t>561600</t>
  </si>
  <si>
    <t xml:space="preserve">          Investigation, guard, and armored car services</t>
  </si>
  <si>
    <t>561610</t>
  </si>
  <si>
    <t xml:space="preserve">          Security systems services</t>
  </si>
  <si>
    <t>561620</t>
  </si>
  <si>
    <t xml:space="preserve">        Services to buildings and dwellings</t>
  </si>
  <si>
    <t>561700</t>
  </si>
  <si>
    <t xml:space="preserve">          Exterminating and pest control services</t>
  </si>
  <si>
    <t>561710</t>
  </si>
  <si>
    <t xml:space="preserve">          Landscaping services</t>
  </si>
  <si>
    <t>561730</t>
  </si>
  <si>
    <t xml:space="preserve">        Other support services</t>
  </si>
  <si>
    <t>561900</t>
  </si>
  <si>
    <t xml:space="preserve">      Waste management and remediation services</t>
  </si>
  <si>
    <t>562000</t>
  </si>
  <si>
    <t xml:space="preserve">        Waste collection</t>
  </si>
  <si>
    <t>562100</t>
  </si>
  <si>
    <t xml:space="preserve">        Waste treatment and disposal</t>
  </si>
  <si>
    <t>562200</t>
  </si>
  <si>
    <t xml:space="preserve">        Remediation and other waste management services</t>
  </si>
  <si>
    <t>562900</t>
  </si>
  <si>
    <t xml:space="preserve">    Educational services; state, local, and private</t>
  </si>
  <si>
    <t>610000</t>
  </si>
  <si>
    <t xml:space="preserve">      Educational services; state, local, and private</t>
  </si>
  <si>
    <t>611000</t>
  </si>
  <si>
    <t xml:space="preserve">        Educational services; private</t>
  </si>
  <si>
    <t>6110P0</t>
  </si>
  <si>
    <t>ISIC 85</t>
  </si>
  <si>
    <t xml:space="preserve">          Elementary and secondary schools; private</t>
  </si>
  <si>
    <t>61110P</t>
  </si>
  <si>
    <t xml:space="preserve">          Junior colleges, colleges, universities, and professional schools; private (6112,3)</t>
  </si>
  <si>
    <t>6110P1</t>
  </si>
  <si>
    <t xml:space="preserve">            Junior colleges; private</t>
  </si>
  <si>
    <t>61120P</t>
  </si>
  <si>
    <t xml:space="preserve">            Colleges, universities, and professional schools; private</t>
  </si>
  <si>
    <t>61130P</t>
  </si>
  <si>
    <t xml:space="preserve">          Other educational services; private (6114-7)</t>
  </si>
  <si>
    <t>6110P2</t>
  </si>
  <si>
    <t xml:space="preserve">            Business schools and computer and management training; private</t>
  </si>
  <si>
    <t>61140P</t>
  </si>
  <si>
    <t xml:space="preserve">            Technical and trade schools; private</t>
  </si>
  <si>
    <t>61150P</t>
  </si>
  <si>
    <t xml:space="preserve">            Other schools and instruction; private</t>
  </si>
  <si>
    <t>61160P</t>
  </si>
  <si>
    <t xml:space="preserve">            Educational support services; private</t>
  </si>
  <si>
    <t>61170P</t>
  </si>
  <si>
    <t xml:space="preserve">        Educational services; state and local</t>
  </si>
  <si>
    <t>6110Y0</t>
  </si>
  <si>
    <t xml:space="preserve">          Elementary and secondary schools; state</t>
  </si>
  <si>
    <t>61110S</t>
  </si>
  <si>
    <t xml:space="preserve">          Elementary and secondary schools; local</t>
  </si>
  <si>
    <t>61110L</t>
  </si>
  <si>
    <t xml:space="preserve">          Junior colleges, colleges, universities, and professional schools; state and local (6112,3)</t>
  </si>
  <si>
    <t>6110Y1</t>
  </si>
  <si>
    <t xml:space="preserve">            Junior colleges; state</t>
  </si>
  <si>
    <t>61120S</t>
  </si>
  <si>
    <t xml:space="preserve">            Junior colleges; local</t>
  </si>
  <si>
    <t>61120L</t>
  </si>
  <si>
    <t xml:space="preserve">            Colleges, universities, and professional schools; state</t>
  </si>
  <si>
    <t>61130S</t>
  </si>
  <si>
    <t xml:space="preserve">            Colleges, universities, and professional schools; local</t>
  </si>
  <si>
    <t>61130L</t>
  </si>
  <si>
    <t xml:space="preserve">          Other educational services; state and local (6114-7)</t>
  </si>
  <si>
    <t>6110Y2</t>
  </si>
  <si>
    <t xml:space="preserve">            Business schools and computer and management training; state</t>
  </si>
  <si>
    <t>61140S</t>
  </si>
  <si>
    <t xml:space="preserve">            Business schools and computer and management training; local</t>
  </si>
  <si>
    <t>61140L</t>
  </si>
  <si>
    <t xml:space="preserve">            Technical and trade schools; state</t>
  </si>
  <si>
    <t>61150S</t>
  </si>
  <si>
    <t xml:space="preserve">            Technical and trade schools; local</t>
  </si>
  <si>
    <t>61150L</t>
  </si>
  <si>
    <t xml:space="preserve">            Other schools and instruction; state</t>
  </si>
  <si>
    <t>61160S</t>
  </si>
  <si>
    <t xml:space="preserve">            Other schools and instruction; local</t>
  </si>
  <si>
    <t>61160L</t>
  </si>
  <si>
    <t xml:space="preserve">            Educational support services; local</t>
  </si>
  <si>
    <t>61170L</t>
  </si>
  <si>
    <t xml:space="preserve">    Healthcare and social assistance</t>
  </si>
  <si>
    <t>620000</t>
  </si>
  <si>
    <t xml:space="preserve">      Ambulatory healthcare services</t>
  </si>
  <si>
    <t>621000</t>
  </si>
  <si>
    <t>ISIC 86T88</t>
  </si>
  <si>
    <t xml:space="preserve">        Offices of physicians</t>
  </si>
  <si>
    <t>621100</t>
  </si>
  <si>
    <t xml:space="preserve">        Offices of dentists</t>
  </si>
  <si>
    <t>621200</t>
  </si>
  <si>
    <t xml:space="preserve">        Offices of other health practitioners</t>
  </si>
  <si>
    <t>621300</t>
  </si>
  <si>
    <t xml:space="preserve">          Offices of chiropractors</t>
  </si>
  <si>
    <t>621310</t>
  </si>
  <si>
    <t xml:space="preserve">          Offices of optometrists</t>
  </si>
  <si>
    <t>621320</t>
  </si>
  <si>
    <t xml:space="preserve">          Offices of mental health practitioners (except physicians)</t>
  </si>
  <si>
    <t>621330</t>
  </si>
  <si>
    <t xml:space="preserve">          Offices of physical, occupational and speech therapists, and audiologists</t>
  </si>
  <si>
    <t>621340</t>
  </si>
  <si>
    <t xml:space="preserve">          Offices of all other health practitioners</t>
  </si>
  <si>
    <t>621390</t>
  </si>
  <si>
    <t xml:space="preserve">        Outpatient care centers</t>
  </si>
  <si>
    <t>621400</t>
  </si>
  <si>
    <t xml:space="preserve">          Outpatient mental health and substance abuse centers</t>
  </si>
  <si>
    <t>621420</t>
  </si>
  <si>
    <t xml:space="preserve">        Medical and diagnostic laboratories</t>
  </si>
  <si>
    <t>621500</t>
  </si>
  <si>
    <t xml:space="preserve">        Home healthcare services</t>
  </si>
  <si>
    <t>621600</t>
  </si>
  <si>
    <t xml:space="preserve">        Other ambulatory healthcare services</t>
  </si>
  <si>
    <t>621900</t>
  </si>
  <si>
    <t xml:space="preserve">          Ambulance services</t>
  </si>
  <si>
    <t>621910</t>
  </si>
  <si>
    <t xml:space="preserve">          All other ambulatory healthcare services</t>
  </si>
  <si>
    <t>621990</t>
  </si>
  <si>
    <t xml:space="preserve">      Hospitals; state, local, and private</t>
  </si>
  <si>
    <t>622000</t>
  </si>
  <si>
    <t xml:space="preserve">        Hospitals; private</t>
  </si>
  <si>
    <t>6220P0</t>
  </si>
  <si>
    <t xml:space="preserve">          General medical and surgical hospitals; private</t>
  </si>
  <si>
    <t>62210P</t>
  </si>
  <si>
    <t xml:space="preserve">          Psychiatric and substance abuse hospitals; private</t>
  </si>
  <si>
    <t>62220P</t>
  </si>
  <si>
    <t xml:space="preserve">          Specialty (except psychiatric and substance abuse) hospitals; private</t>
  </si>
  <si>
    <t>62230P</t>
  </si>
  <si>
    <t xml:space="preserve">        Hospitals; state and local</t>
  </si>
  <si>
    <t>6220Y0</t>
  </si>
  <si>
    <t xml:space="preserve">          General medical and surgical hospitals; state</t>
  </si>
  <si>
    <t>62210S</t>
  </si>
  <si>
    <t xml:space="preserve">          General medical and surgical hospitals; local</t>
  </si>
  <si>
    <t>62210L</t>
  </si>
  <si>
    <t xml:space="preserve">          Psychiatric and substance abuse hospitals; state</t>
  </si>
  <si>
    <t>62220S</t>
  </si>
  <si>
    <t xml:space="preserve">          Psychiatric and substance abuse hospitals; local</t>
  </si>
  <si>
    <t>62220L</t>
  </si>
  <si>
    <t xml:space="preserve">          Specialty (except psychiatric and substance abuse) hospitals; state</t>
  </si>
  <si>
    <t>62230S</t>
  </si>
  <si>
    <t xml:space="preserve">          Specialty (except psychiatric and substance abuse) hospitals; local</t>
  </si>
  <si>
    <t>62230L</t>
  </si>
  <si>
    <t xml:space="preserve">      Nursing and residential care facilities</t>
  </si>
  <si>
    <t>623000</t>
  </si>
  <si>
    <t xml:space="preserve">          Nursing care facilities (skilled nursing facilities)</t>
  </si>
  <si>
    <t>623100</t>
  </si>
  <si>
    <t xml:space="preserve">          Continuing care retirement communities and assisted living facilities for the elderly</t>
  </si>
  <si>
    <t>623300</t>
  </si>
  <si>
    <t xml:space="preserve">          Residential intellectual and developmental disability, mental health, and substance abuse facilities</t>
  </si>
  <si>
    <t>623200</t>
  </si>
  <si>
    <t xml:space="preserve">            Residential intellectual and developmental disability facilities</t>
  </si>
  <si>
    <t>623210</t>
  </si>
  <si>
    <t xml:space="preserve">            Residential mental health and substance abuse facilities</t>
  </si>
  <si>
    <t>623220</t>
  </si>
  <si>
    <t xml:space="preserve">          Other residential care facilities</t>
  </si>
  <si>
    <t>623900</t>
  </si>
  <si>
    <t xml:space="preserve">      Social assistance</t>
  </si>
  <si>
    <t>624000</t>
  </si>
  <si>
    <t xml:space="preserve">        Individual and family services</t>
  </si>
  <si>
    <t>624100</t>
  </si>
  <si>
    <t xml:space="preserve">          Services for the elderly and persons with disabilities</t>
  </si>
  <si>
    <t>624120</t>
  </si>
  <si>
    <t xml:space="preserve">        Community food and housing, emergency and other relief services, and vocational rehabilitation services</t>
  </si>
  <si>
    <t>6242-3</t>
  </si>
  <si>
    <t xml:space="preserve">          Community food and housing, and emergency and other relief services</t>
  </si>
  <si>
    <t>624200</t>
  </si>
  <si>
    <t xml:space="preserve">          Vocational rehabilitation services</t>
  </si>
  <si>
    <t>624300</t>
  </si>
  <si>
    <t xml:space="preserve">        Child daycare services</t>
  </si>
  <si>
    <t>624400</t>
  </si>
  <si>
    <t xml:space="preserve">    Arts, entertainment, and recreation</t>
  </si>
  <si>
    <t>710000</t>
  </si>
  <si>
    <t>ISIC 90T93</t>
  </si>
  <si>
    <t xml:space="preserve">      Performing arts, spectator sports, and related industries</t>
  </si>
  <si>
    <t>711000</t>
  </si>
  <si>
    <t xml:space="preserve">        Performing arts companies</t>
  </si>
  <si>
    <t>711100</t>
  </si>
  <si>
    <t xml:space="preserve">          Theater companies and dinner theaters</t>
  </si>
  <si>
    <t>711110</t>
  </si>
  <si>
    <t xml:space="preserve">        Spectator sports</t>
  </si>
  <si>
    <t>711200</t>
  </si>
  <si>
    <t xml:space="preserve">        Promoters of performing arts and sports, and agents for public figures</t>
  </si>
  <si>
    <t>7113-4</t>
  </si>
  <si>
    <t xml:space="preserve">          Promoters of performing arts, sports, and similar events</t>
  </si>
  <si>
    <t>711300</t>
  </si>
  <si>
    <t xml:space="preserve">          Agents and managers for artists, athletes, entertainers, and other public figures</t>
  </si>
  <si>
    <t>711400</t>
  </si>
  <si>
    <t xml:space="preserve">        Independent artists, writers, and performers</t>
  </si>
  <si>
    <t>711500</t>
  </si>
  <si>
    <t xml:space="preserve">      Museums, historical sites, and similar institutions</t>
  </si>
  <si>
    <t>712000</t>
  </si>
  <si>
    <t xml:space="preserve">      Amusement, gambling, and recreation industries</t>
  </si>
  <si>
    <t>713000</t>
  </si>
  <si>
    <t xml:space="preserve">        Amusement parks and arcades</t>
  </si>
  <si>
    <t>713100</t>
  </si>
  <si>
    <t xml:space="preserve">        Gambling industries (except casino hotels)</t>
  </si>
  <si>
    <t>713200</t>
  </si>
  <si>
    <t xml:space="preserve">        Other amusement and recreation industries</t>
  </si>
  <si>
    <t>713900</t>
  </si>
  <si>
    <t xml:space="preserve">          Fitness and recreational sports centers</t>
  </si>
  <si>
    <t>713940</t>
  </si>
  <si>
    <t xml:space="preserve">    Accommodation and food services</t>
  </si>
  <si>
    <t>720000</t>
  </si>
  <si>
    <t>ISIC 55T56</t>
  </si>
  <si>
    <t xml:space="preserve">      Accommodation</t>
  </si>
  <si>
    <t>721000</t>
  </si>
  <si>
    <t xml:space="preserve">        Traveler accommodation</t>
  </si>
  <si>
    <t>721100</t>
  </si>
  <si>
    <t xml:space="preserve">          Casino hotels</t>
  </si>
  <si>
    <t>721120</t>
  </si>
  <si>
    <t xml:space="preserve">        RV (recreational vehicle) parks and recreational camps</t>
  </si>
  <si>
    <t>721200</t>
  </si>
  <si>
    <t xml:space="preserve">        Rooming and boarding houses, dormitories, and workers' camps</t>
  </si>
  <si>
    <t>721300</t>
  </si>
  <si>
    <t xml:space="preserve">      Food services and drinking places</t>
  </si>
  <si>
    <t>722000</t>
  </si>
  <si>
    <t xml:space="preserve">        Full-service restaurants</t>
  </si>
  <si>
    <t>722511</t>
  </si>
  <si>
    <t xml:space="preserve">          Special food services</t>
  </si>
  <si>
    <t>722300</t>
  </si>
  <si>
    <t xml:space="preserve">          Drinking places (alcoholic beverages)</t>
  </si>
  <si>
    <t>722400</t>
  </si>
  <si>
    <t xml:space="preserve">    Other services (except public administration)</t>
  </si>
  <si>
    <t>810000</t>
  </si>
  <si>
    <t xml:space="preserve">      Repair and maintenance</t>
  </si>
  <si>
    <t>811000</t>
  </si>
  <si>
    <t xml:space="preserve">        Automotive repair and maintenance</t>
  </si>
  <si>
    <t>811100</t>
  </si>
  <si>
    <t xml:space="preserve">          Automotive mechanical and electrical repair and maintenance</t>
  </si>
  <si>
    <t>811110</t>
  </si>
  <si>
    <t xml:space="preserve">          Automotive body, paint, interior, and glass repair</t>
  </si>
  <si>
    <t>811120</t>
  </si>
  <si>
    <t xml:space="preserve">          Other automotive repair and maintenance</t>
  </si>
  <si>
    <t>811190</t>
  </si>
  <si>
    <t xml:space="preserve">        Electronic and precision equipment repair and maintenance</t>
  </si>
  <si>
    <t>811200</t>
  </si>
  <si>
    <t>ISIC 94T96</t>
  </si>
  <si>
    <t xml:space="preserve">        Commercial and industrial machinery and equipment (except automotive and electronic) repair and maintenance</t>
  </si>
  <si>
    <t>811300</t>
  </si>
  <si>
    <t xml:space="preserve">        Personal and household goods repair and maintenance</t>
  </si>
  <si>
    <t>811400</t>
  </si>
  <si>
    <t xml:space="preserve">      Personal and laundry services</t>
  </si>
  <si>
    <t>812000</t>
  </si>
  <si>
    <t xml:space="preserve">        Personal care services</t>
  </si>
  <si>
    <t>812100</t>
  </si>
  <si>
    <t xml:space="preserve">        Death care services</t>
  </si>
  <si>
    <t>812200</t>
  </si>
  <si>
    <t xml:space="preserve">        Drycleaning and laundry services</t>
  </si>
  <si>
    <t>812300</t>
  </si>
  <si>
    <t xml:space="preserve">        Other personal services</t>
  </si>
  <si>
    <t>812900</t>
  </si>
  <si>
    <t xml:space="preserve">      Religious, grantmaking, civic, professional, and similar organizations</t>
  </si>
  <si>
    <t>813000</t>
  </si>
  <si>
    <t xml:space="preserve">        Grantmaking and giving services and social advocacy organizations</t>
  </si>
  <si>
    <t>8132-3</t>
  </si>
  <si>
    <t xml:space="preserve">          Grantmaking and giving services</t>
  </si>
  <si>
    <t>813200</t>
  </si>
  <si>
    <t xml:space="preserve">          Social advocacy organizations</t>
  </si>
  <si>
    <t>813300</t>
  </si>
  <si>
    <t xml:space="preserve">        Civic, social, professional, and similar organizations</t>
  </si>
  <si>
    <t>8134-9</t>
  </si>
  <si>
    <t xml:space="preserve">          Civic and social organizations</t>
  </si>
  <si>
    <t>813400</t>
  </si>
  <si>
    <t xml:space="preserve">          Business, professional, labor, political, and similar organizations</t>
  </si>
  <si>
    <t>813900</t>
  </si>
  <si>
    <t xml:space="preserve">            Labor unions and similar labor organizations</t>
  </si>
  <si>
    <t>813930</t>
  </si>
  <si>
    <t xml:space="preserve">      Private households</t>
  </si>
  <si>
    <t>814000</t>
  </si>
  <si>
    <t>ISIC 97T98</t>
  </si>
  <si>
    <t xml:space="preserve">    Government, excluding state and local education and hospitals</t>
  </si>
  <si>
    <t>900000</t>
  </si>
  <si>
    <t xml:space="preserve">      Federal government</t>
  </si>
  <si>
    <t>910000</t>
  </si>
  <si>
    <t>ISIC 84</t>
  </si>
  <si>
    <t xml:space="preserve">        Postal service</t>
  </si>
  <si>
    <t>491000</t>
  </si>
  <si>
    <t xml:space="preserve">        Federal government, excluding postal service</t>
  </si>
  <si>
    <t>999100</t>
  </si>
  <si>
    <t xml:space="preserve">      State and local government, excluding education and hospitals</t>
  </si>
  <si>
    <t>9992-3</t>
  </si>
  <si>
    <t xml:space="preserve">        State government, excluding education and hospitals</t>
  </si>
  <si>
    <t>999200</t>
  </si>
  <si>
    <t xml:space="preserve">        Local government, excluding education and hospitals</t>
  </si>
  <si>
    <t>999300</t>
  </si>
  <si>
    <t>Source: Employment Projections program, U.S. Bureau of Labor Statistics</t>
  </si>
  <si>
    <t>Table 23.  Industrial Sector Macroeconomic Indicators</t>
  </si>
  <si>
    <t>https://www.eia.gov/outlooks/aeo/data/browser/#/?id=34-AEO2025&amp;cases=highZTC&amp;sourcekey=0</t>
  </si>
  <si>
    <t>Tue Dec 02 2025 13:21:59 GMT-0800 (Pacific Standard Time)</t>
  </si>
  <si>
    <t>Source: U.S. Energy Information Administration</t>
  </si>
  <si>
    <t>ISIC assignment (editable)</t>
  </si>
  <si>
    <t>full name</t>
  </si>
  <si>
    <t>api key</t>
  </si>
  <si>
    <t>units</t>
  </si>
  <si>
    <t>Growth (2024-2050)</t>
  </si>
  <si>
    <t>ISM000:ba_GDP(billionm_</t>
  </si>
  <si>
    <t>Gross Domestic Product (billion 2012 dollars)</t>
  </si>
  <si>
    <t>Industrial Macroeconomic: Gross Domestic Product: High Zero-Carbon Technology Cost</t>
  </si>
  <si>
    <t>AEO.2025.HIGHZTC.ECI_GDP_NA_NA_NA_NA_NA_BLNY09DLR.A</t>
  </si>
  <si>
    <t>billion 2012 $</t>
  </si>
  <si>
    <t>ISM000:ca_NonfarmEmploy</t>
  </si>
  <si>
    <t>Nonfarm Employment (millions)</t>
  </si>
  <si>
    <t>Industrial Macroeconomic: Employment, Nonfarm: High Zero-Carbon Technology Cost</t>
  </si>
  <si>
    <t>AEO.2025.HIGHZTC.ECI_NFE_NA_NA_NA_NA_NA_MILL.A</t>
  </si>
  <si>
    <t>millions</t>
  </si>
  <si>
    <t>Value of Shipments (billion 2012 dollars)</t>
  </si>
  <si>
    <t>Nonmanufacturing Sector</t>
  </si>
  <si>
    <t>ISM000:ea_Agricultural</t>
  </si>
  <si>
    <t>,ISIC 01,</t>
  </si>
  <si>
    <t>Agriculture/Forestry/Fishing/Hunting</t>
  </si>
  <si>
    <t>Industrial Macroeconomic: Nonmanufacturing: Agriculture/Forestry/Fishing/Hunting: High Zero-Carbon Technology Cost</t>
  </si>
  <si>
    <t>AEO.2025.HIGHZTC.ECI_VOS_NMFG_AFF_NA_NA_NA_BLNY09DLR.A</t>
  </si>
  <si>
    <t>ISM000:ea_Mining</t>
  </si>
  <si>
    <t>,ISIC 05,ISIC 06,ISIC 08,</t>
  </si>
  <si>
    <t>Mining</t>
  </si>
  <si>
    <t>Industrial Macroeconomic: Nonmanufacturing: Mining: High Zero-Carbon Technology Cost</t>
  </si>
  <si>
    <t>AEO.2025.HIGHZTC.ECI_VOS_NMFG_MING_NA_NA_NA_BLNY09DLR.A</t>
  </si>
  <si>
    <t>ISM000:ea_Construction</t>
  </si>
  <si>
    <t>,ISIC 41T43,</t>
  </si>
  <si>
    <t>Construction</t>
  </si>
  <si>
    <t>Industrial Macroeconomic: Nonmanufacturing: Construction: High Zero-Carbon Technology Cost</t>
  </si>
  <si>
    <t>AEO.2025.HIGHZTC.ECI_VOS_NMFG_CNS_NA_NA_NA_BLNY09DLR.A</t>
  </si>
  <si>
    <t>Manufacturing Sector</t>
  </si>
  <si>
    <t>ISM000:fa_FoodandKindre</t>
  </si>
  <si>
    <t>,ISIC 10T12,</t>
  </si>
  <si>
    <t>Food Products</t>
  </si>
  <si>
    <t>Industrial Macroeconomic: Manufacturing: Food Products: High Zero-Carbon Technology Cost</t>
  </si>
  <si>
    <t>AEO.2025.HIGHZTC.ECI_VOS_MANF_FPA_NA_NA_NA_BLNY09DLR.A</t>
  </si>
  <si>
    <t>ISM000:fa_BeveragesandT</t>
  </si>
  <si>
    <t>Beverages and Tobacco Products</t>
  </si>
  <si>
    <t>Industrial Macroeconomic: Manufacturing: Beverages and Tobacco Products: High Zero-Carbon Technology Cost</t>
  </si>
  <si>
    <t>AEO.2025.HIGHZTC.ECI_VOS_MANF_BVTP_NA_NA_NA_BLNY09DLR.A</t>
  </si>
  <si>
    <t>ISM000:fa_TextileMillPr</t>
  </si>
  <si>
    <t>,ISIC 13T15,</t>
  </si>
  <si>
    <t>Textile Mills and Products</t>
  </si>
  <si>
    <t>Industrial Macroeconomic: Manufacturing: Textile Mills and Products: High Zero-Carbon Technology Cost</t>
  </si>
  <si>
    <t>AEO.2025.HIGHZTC.ECI_VOS_MANF_TMP_NA_NA_NA_BLNY09DLR.A</t>
  </si>
  <si>
    <t>ISM000:fa_LumberandWood</t>
  </si>
  <si>
    <t>,ISIC 16,</t>
  </si>
  <si>
    <t>Wood Products</t>
  </si>
  <si>
    <t>Industrial Macroeconomic: Manufacturing: Wood Products: High Zero-Carbon Technology Cost</t>
  </si>
  <si>
    <t>AEO.2025.HIGHZTC.ECI_VOS_MANF_WDP_NA_NA_NA_BLNY09DLR.A</t>
  </si>
  <si>
    <t>ISM000:fa_FurnitureandF</t>
  </si>
  <si>
    <t>,ISIC 31T33,</t>
  </si>
  <si>
    <t>Furniture and Related Products</t>
  </si>
  <si>
    <t>Industrial Macroeconomic: Manufacturing: Furniture and Related Products: High Zero-Carbon Technology Cost</t>
  </si>
  <si>
    <t>AEO.2025.HIGHZTC.ECI_VOS_MANF_FRP_NA_NA_NA_BLNY09DLR.A</t>
  </si>
  <si>
    <t>ISM000:fa_PaperandAllie</t>
  </si>
  <si>
    <t>,ISIC 17T18,</t>
  </si>
  <si>
    <t>Paper Products</t>
  </si>
  <si>
    <t>Industrial Macroeconomic: Manufacturing: Paper Products: High Zero-Carbon Technology Cost</t>
  </si>
  <si>
    <t>AEO.2025.HIGHZTC.ECI_VOS_MANF_PPM_NA_NA_NA_BLNY09DLR.A</t>
  </si>
  <si>
    <t>ISM000:fa_PrintingandPu</t>
  </si>
  <si>
    <t>Printing</t>
  </si>
  <si>
    <t>Industrial Macroeconomic: Manufacturing: Printing: High Zero-Carbon Technology Cost</t>
  </si>
  <si>
    <t>AEO.2025.HIGHZTC.ECI_VOS_MANF_PRN_NA_NA_NA_BLNY09DLR.A</t>
  </si>
  <si>
    <t>ISM000:fa_ChemicalandAl</t>
  </si>
  <si>
    <t>,ISIC 20,</t>
  </si>
  <si>
    <t>Chemical Manufacturing</t>
  </si>
  <si>
    <t>Industrial Macroeconomic: Manufacturing: Chemical Manufacturing: High Zero-Carbon Technology Cost</t>
  </si>
  <si>
    <t>AEO.2025.HIGHZTC.ECI_VOS_MANF_CHE_NA_NA_NA_BLNY09DLR.A</t>
  </si>
  <si>
    <t>ISM000:fa_BulkChemicals</t>
  </si>
  <si>
    <t>Bulk Chemicals</t>
  </si>
  <si>
    <t>Industrial Macroeconomic: Manufacturing: Chemicals: Bulk Chemicals: High Zero-Carbon Technology Cost</t>
  </si>
  <si>
    <t>AEO.2025.HIGHZTC.ECI_VOS_MANF_BCH_NA_NA_NA_BLNY09DLR.A</t>
  </si>
  <si>
    <t>ISM000:fa_Inorganic</t>
  </si>
  <si>
    <t>Inorganic</t>
  </si>
  <si>
    <t>Industrial Macroeconomic: Manufacturing: Chemicals: Bulk Chemicals: Inorganic: High Zero-Carbon Technology Cost</t>
  </si>
  <si>
    <t>AEO.2025.HIGHZTC.ECI_VOS_MANF_CHEIN_NA_NA_NA_BLNY09DLR.A</t>
  </si>
  <si>
    <t>ISM000:fa_Organic</t>
  </si>
  <si>
    <t>Organic</t>
  </si>
  <si>
    <t>Industrial Macroeconomic: Manufacturing: Chemicals: Bulk Chemicals: Organic: High Zero-Carbon Technology Cost</t>
  </si>
  <si>
    <t>AEO.2025.HIGHZTC.ECI_VOS_MANF_CHEOR_NA_NA_NA_BLNY09DLR.A</t>
  </si>
  <si>
    <t>ISM000:fa_Resins</t>
  </si>
  <si>
    <t>Resin</t>
  </si>
  <si>
    <t xml:space="preserve"> Synthetic Rubber</t>
  </si>
  <si>
    <t xml:space="preserve"> and Fibers</t>
  </si>
  <si>
    <t>Industrial Macroeconomic: Manufacturing: Chemicals: Bulk Chemicals: Resin, Synthetic Rubber, and Fibers: High Zero-Carbon Technology Cost</t>
  </si>
  <si>
    <t>AEO.2025.HIGHZTC.ECI_VOS_MANF_CHEBR_NA_NA_NA_BLNY09DLR.A</t>
  </si>
  <si>
    <t>ISM000:fa_AgriculturalC</t>
  </si>
  <si>
    <t>Agricultural Chemicals</t>
  </si>
  <si>
    <t>Industrial Macroeconomic: Manufacturing: Chemicals: Bulk Chemicals: Agricultural Chemicals: High Zero-Carbon Technology Cost</t>
  </si>
  <si>
    <t>AEO.2025.HIGHZTC.ECI_VOS_MANF_AGC_NA_NA_NA_BLNY09DLR.A</t>
  </si>
  <si>
    <t>ISM000:fa_OtherChemical</t>
  </si>
  <si>
    <t>Other Chemical Products</t>
  </si>
  <si>
    <t>Industrial Macroeconomic: Manufacturing: Chemicals: Other Chemical Products: High Zero-Carbon Technology Cost</t>
  </si>
  <si>
    <t>AEO.2025.HIGHZTC.ECI_VOS_MANF_CHEO_NA_NA_NA_BLNY09DLR.A</t>
  </si>
  <si>
    <t>ISM000:fa_PetroleumandC</t>
  </si>
  <si>
    <t>Petroleum and Coal Products</t>
  </si>
  <si>
    <t>Industrial Macroeconomic: Manufacturing: Petroleum and Coal Products: High Zero-Carbon Technology Cost</t>
  </si>
  <si>
    <t>AEO.2025.HIGHZTC.ECI_VOS_MANF_PCL_NA_NA_NA_BLNY09DLR.A</t>
  </si>
  <si>
    <t>ISM000:fa_PetroleumRefi</t>
  </si>
  <si>
    <t>,ISIC 19,</t>
  </si>
  <si>
    <t>Petroleum Refineries</t>
  </si>
  <si>
    <t>Industrial Macroeconomic: Manufacturing: Petroleum and Coal: Petroleum Refineries: High Zero-Carbon Technology Cost</t>
  </si>
  <si>
    <t>AEO.2025.HIGHZTC.ECI_VOS_MANF_REF_NA_NA_NA_BLNY09DLR.A</t>
  </si>
  <si>
    <t>ISM000:fa_OtherPetroleu</t>
  </si>
  <si>
    <t>,ISIC 241,</t>
  </si>
  <si>
    <t>Other Petroleum and Coal Products</t>
  </si>
  <si>
    <t>Industrial Macroeconomic: Manufacturing: Petroleum and Coal: Other Petroleum &amp; Coal Products: High Zero-Carbon Technology Cost</t>
  </si>
  <si>
    <t>AEO.2025.HIGHZTC.ECI_VOS_MANF_PCLO_NA_NA_NA_BLNY09DLR.A</t>
  </si>
  <si>
    <t>ISM000:fa_RubberandMisc</t>
  </si>
  <si>
    <t>,ISIC 22,</t>
  </si>
  <si>
    <t>Plastics and Rubber Products</t>
  </si>
  <si>
    <t>Industrial Macroeconomic: Manufacturing: Plastics and Rubber Products: High Zero-Carbon Technology Cost</t>
  </si>
  <si>
    <t>AEO.2025.HIGHZTC.ECI_VOS_MANF_PRP_NA_NA_NA_BLNY09DLR.A</t>
  </si>
  <si>
    <t>ISM000:fa_Stone,Clay,an</t>
  </si>
  <si>
    <t>Non-metallic minerals</t>
  </si>
  <si>
    <t>Industrial Macroeconomic: Manufacturing: Stone, Clay, and Glass Products: High Zero-Carbon Technology Cost</t>
  </si>
  <si>
    <t>AEO.2025.HIGHZTC.ECI_VOS_MANF_SCG_NA_NA_NA_BLNY09DLR.A</t>
  </si>
  <si>
    <t>ISM000:fa_GlassandGlass</t>
  </si>
  <si>
    <t>,ISIC 231,</t>
  </si>
  <si>
    <t>Glass and Glass Products</t>
  </si>
  <si>
    <t>Industrial Macroeconomic: Manufacturing: Stone, Clay, and Glass: Glass and Glass Products: High Zero-Carbon Technology Cost</t>
  </si>
  <si>
    <t>AEO.2025.HIGHZTC.ECI_VOS_MANF_SCGG_NA_NA_NA_BLNY09DLR.A</t>
  </si>
  <si>
    <t>ISM000:fa_CementandHydr</t>
  </si>
  <si>
    <t>,ISIC 239,</t>
  </si>
  <si>
    <t>Cement and Lime</t>
  </si>
  <si>
    <t>Industrial Macroeconomic: Manufacturing: Stone, Clay, and Glass: Cement and Lime: High Zero-Carbon Technology Cost</t>
  </si>
  <si>
    <t>AEO.2025.HIGHZTC.ECI_VOS_MANF_SCGCL_NA_NA_NA_BLNY09DLR.A</t>
  </si>
  <si>
    <t>ISM000:fa_OtherStone,Cl</t>
  </si>
  <si>
    <t>Other Nonmetallic Mineral Products</t>
  </si>
  <si>
    <t>Industrial Macroeconomic: Manufacturing: Stone, Clay, and Glass: Other Nonmetallic Mineral Products: High Zero-Carbon Technology Cost</t>
  </si>
  <si>
    <t>AEO.2025.HIGHZTC.ECI_VOS_MANF_SCGOM_NA_NA_NA_BLNY09DLR.A</t>
  </si>
  <si>
    <t>ISM000:ga_PrimaryMetals</t>
  </si>
  <si>
    <t>Primary Metals Industry</t>
  </si>
  <si>
    <t>Industrial Macroeconomic: Manufacturing: Primary Metals Industry: High Zero-Carbon Technology Cost</t>
  </si>
  <si>
    <t>AEO.2025.HIGHZTC.ECI_VOS_MANF_PMM_NA_NA_NA_BLNY09DLR.A</t>
  </si>
  <si>
    <t>ISM000:ga_BlastFurnacea</t>
  </si>
  <si>
    <t>Iron and Steel Mills and Products</t>
  </si>
  <si>
    <t>Industrial Macroeconomic: Manufacturing: Primary Metals: Iron and Steel Mills and Products: High Zero-Carbon Technology Cost</t>
  </si>
  <si>
    <t>AEO.2025.HIGHZTC.ECI_VOS_MANF_ISM_NA_NA_NA_BLNY09DLR.A</t>
  </si>
  <si>
    <t>ISM000:ga_Aluminum</t>
  </si>
  <si>
    <t>,ISIC 242,</t>
  </si>
  <si>
    <t>Alumina and Aluminum Products</t>
  </si>
  <si>
    <t>Industrial Macroeconomic: Manufacturing: Primary Metals: Alumina and Aluminum Products: High Zero-Carbon Technology Cost</t>
  </si>
  <si>
    <t>AEO.2025.HIGHZTC.ECI_VOS_MANF_AAP_NA_NA_NA_BLNY09DLR.A</t>
  </si>
  <si>
    <t>ISM000:ga_OtherPrimaryM</t>
  </si>
  <si>
    <t>Other Primary Metal Products</t>
  </si>
  <si>
    <t>Industrial Macroeconomic: Manufacturing: Primary Metals: Other Primary Metal Products: High Zero-Carbon Technology Cost</t>
  </si>
  <si>
    <t>AEO.2025.HIGHZTC.ECI_VOS_MANF_PMO_NA_NA_NA_BLNY09DLR.A</t>
  </si>
  <si>
    <t>ISM000:ga_FabricatedMet</t>
  </si>
  <si>
    <t>,ISIC 25,</t>
  </si>
  <si>
    <t>Fabricated Metal Products</t>
  </si>
  <si>
    <t>Industrial Macroeconomic: Manufacturing: Fabricated Metal Products: High Zero-Carbon Technology Cost</t>
  </si>
  <si>
    <t>AEO.2025.HIGHZTC.ECI_VOS_MANF_FBP_NA_NA_NA_BLNY09DLR.A</t>
  </si>
  <si>
    <t>ISM000:ga_IndustrialMac</t>
  </si>
  <si>
    <t>,ISIC 28,</t>
  </si>
  <si>
    <t>Machinery</t>
  </si>
  <si>
    <t>Industrial Macroeconomic: Manufacturing: Machinery: High Zero-Carbon Technology Cost</t>
  </si>
  <si>
    <t>AEO.2025.HIGHZTC.ECI_VOS_MANF_MCHI_NA_NA_NA_BLNY09DLR.A</t>
  </si>
  <si>
    <t>ISM000:ga_Electronicand</t>
  </si>
  <si>
    <t>,ISIC 26,</t>
  </si>
  <si>
    <t>Computers and Electronics</t>
  </si>
  <si>
    <t>Industrial Macroeconomic: Manufacturing: Computers and Electronics: High Zero-Carbon Technology Cost</t>
  </si>
  <si>
    <t>AEO.2025.HIGHZTC.ECI_VOS_MANF_CMPEL_NA_NA_NA_BLNY09DLR.A</t>
  </si>
  <si>
    <t>ISM000:ga_Transportatio</t>
  </si>
  <si>
    <t>,ISIC 29,ISIC 302T309,</t>
  </si>
  <si>
    <t>Transportation Equipment</t>
  </si>
  <si>
    <t>Industrial Macroeconomic: Manufacturing: Transportation Equipment: High Zero-Carbon Technology Cost</t>
  </si>
  <si>
    <t>AEO.2025.HIGHZTC.ECI_VOS_MANF_TEQ_NA_NA_NA_BLNY09DLR.A</t>
  </si>
  <si>
    <t>ISM000:ga_Instrumentsan</t>
  </si>
  <si>
    <t>,ISIC 27,</t>
  </si>
  <si>
    <t>Electrical Equipment</t>
  </si>
  <si>
    <t>Industrial Macroeconomic: Manufacturing: Electrical Equipment: High Zero-Carbon Technology Cost</t>
  </si>
  <si>
    <t>AEO.2025.HIGHZTC.ECI_VOS_MANF_EEQ_NA_NA_NA_BLNY09DLR.A</t>
  </si>
  <si>
    <t>ISM000:ga_Miscellaneous</t>
  </si>
  <si>
    <t>Miscellaneous Manufacturing</t>
  </si>
  <si>
    <t>Industrial Macroeconomic: Manufacturing: Miscellaneous Manufacturing: High Zero-Carbon Technology Cost</t>
  </si>
  <si>
    <t>AEO.2025.HIGHZTC.ECI_VOS_MANF_MISC_NA_NA_NA_BLNY09DLR.A</t>
  </si>
  <si>
    <t>ISM000:ha_TotalIndustri</t>
  </si>
  <si>
    <t>Total Industrial Value of Shipments</t>
  </si>
  <si>
    <t>Industrial Macroeconomic: Total Industrial Value of Shipments: High Zero-Carbon Technology Cost</t>
  </si>
  <si>
    <t>AEO.2025.HIGHZTC.ECI_VOS_IDAL_NA_NA_NA_NA_BLNY09DLR.A</t>
  </si>
  <si>
    <t>https://www.eia.gov/outlooks/aeo/data/browser/#/?id=34-AEO2026&amp;cases=electrnp&amp;sourcekey=0</t>
  </si>
  <si>
    <t>Thu Apr 23 2026 15:01:03 GMT-0700 (Pacific Daylight Time)</t>
  </si>
  <si>
    <t>Growth (2025-2050)</t>
  </si>
  <si>
    <t>Industrial Macroeconomic: Gross Domestic Product: Alternative Electricity and Transportation</t>
  </si>
  <si>
    <t>AEO.2026.ELECTRNP.ECI_GDP_NA_NA_NA_NA_NA_BLNY09DLR.A</t>
  </si>
  <si>
    <t>Industrial Macroeconomic: Employment, Nonfarm: Alternative Electricity and Transportation</t>
  </si>
  <si>
    <t>AEO.2026.ELECTRNP.ECI_NFE_NA_NA_NA_NA_NA_MILL.A</t>
  </si>
  <si>
    <t>Industrial Macroeconomic: Nonmanufacturing: Agriculture/Forestry/Fishing/Hunting: Alternative Electricity and Transportation</t>
  </si>
  <si>
    <t>AEO.2026.ELECTRNP.ECI_VOS_NMFG_AFF_NA_NA_NA_BLNY09DLR.A</t>
  </si>
  <si>
    <t>Industrial Macroeconomic: Nonmanufacturing: Mining: Alternative Electricity and Transportation</t>
  </si>
  <si>
    <t>AEO.2026.ELECTRNP.ECI_VOS_NMFG_MING_NA_NA_NA_BLNY09DLR.A</t>
  </si>
  <si>
    <t>Industrial Macroeconomic: Nonmanufacturing: Construction: Alternative Electricity and Transportation</t>
  </si>
  <si>
    <t>AEO.2026.ELECTRNP.ECI_VOS_NMFG_CNS_NA_NA_NA_BLNY09DLR.A</t>
  </si>
  <si>
    <t>Industrial Macroeconomic: Manufacturing: Food Products: Alternative Electricity and Transportation</t>
  </si>
  <si>
    <t>AEO.2026.ELECTRNP.ECI_VOS_MANF_FPA_NA_NA_NA_BLNY09DLR.A</t>
  </si>
  <si>
    <t>Industrial Macroeconomic: Manufacturing: Beverages and Tobacco Products: Alternative Electricity and Transportation</t>
  </si>
  <si>
    <t>AEO.2026.ELECTRNP.ECI_VOS_MANF_BVTP_NA_NA_NA_BLNY09DLR.A</t>
  </si>
  <si>
    <t>Industrial Macroeconomic: Manufacturing: Textile Mills and Products: Alternative Electricity and Transportation</t>
  </si>
  <si>
    <t>AEO.2026.ELECTRNP.ECI_VOS_MANF_TMP_NA_NA_NA_BLNY09DLR.A</t>
  </si>
  <si>
    <t>Industrial Macroeconomic: Manufacturing: Wood Products: Alternative Electricity and Transportation</t>
  </si>
  <si>
    <t>AEO.2026.ELECTRNP.ECI_VOS_MANF_WDP_NA_NA_NA_BLNY09DLR.A</t>
  </si>
  <si>
    <t>Industrial Macroeconomic: Manufacturing: Furniture and Related Products: Alternative Electricity and Transportation</t>
  </si>
  <si>
    <t>AEO.2026.ELECTRNP.ECI_VOS_MANF_FRP_NA_NA_NA_BLNY09DLR.A</t>
  </si>
  <si>
    <t>Industrial Macroeconomic: Manufacturing: Paper Products: Alternative Electricity and Transportation</t>
  </si>
  <si>
    <t>AEO.2026.ELECTRNP.ECI_VOS_MANF_PPM_NA_NA_NA_BLNY09DLR.A</t>
  </si>
  <si>
    <t>Industrial Macroeconomic: Manufacturing: Printing: Alternative Electricity and Transportation</t>
  </si>
  <si>
    <t>AEO.2026.ELECTRNP.ECI_VOS_MANF_PRN_NA_NA_NA_BLNY09DLR.A</t>
  </si>
  <si>
    <t>Industrial Macroeconomic: Manufacturing: Chemical Manufacturing: Alternative Electricity and Transportation</t>
  </si>
  <si>
    <t>AEO.2026.ELECTRNP.ECI_VOS_MANF_CHE_NA_NA_NA_BLNY09DLR.A</t>
  </si>
  <si>
    <t>Industrial Macroeconomic: Manufacturing: Chemicals: Bulk Chemicals: Alternative Electricity and Transportation</t>
  </si>
  <si>
    <t>AEO.2026.ELECTRNP.ECI_VOS_MANF_BCH_NA_NA_NA_BLNY09DLR.A</t>
  </si>
  <si>
    <t>Industrial Macroeconomic: Manufacturing: Chemicals: Bulk Chemicals: Inorganic: Alternative Electricity and Transportation</t>
  </si>
  <si>
    <t>AEO.2026.ELECTRNP.ECI_VOS_MANF_CHEIN_NA_NA_NA_BLNY09DLR.A</t>
  </si>
  <si>
    <t>Industrial Macroeconomic: Manufacturing: Chemicals: Bulk Chemicals: Organic: Alternative Electricity and Transportation</t>
  </si>
  <si>
    <t>AEO.2026.ELECTRNP.ECI_VOS_MANF_CHEOR_NA_NA_NA_BLNY09DLR.A</t>
  </si>
  <si>
    <t>Industrial Macroeconomic: Manufacturing: Chemicals: Bulk Chemicals: Resin, Synthetic Rubber, and Fibers: Alternative Electricity and Transportation</t>
  </si>
  <si>
    <t>AEO.2026.ELECTRNP.ECI_VOS_MANF_CHEBR_NA_NA_NA_BLNY09DLR.A</t>
  </si>
  <si>
    <t>Industrial Macroeconomic: Manufacturing: Chemicals: Bulk Chemicals: Agricultural Chemicals: Alternative Electricity and Transportation</t>
  </si>
  <si>
    <t>AEO.2026.ELECTRNP.ECI_VOS_MANF_AGC_NA_NA_NA_BLNY09DLR.A</t>
  </si>
  <si>
    <t>Industrial Macroeconomic: Manufacturing: Chemicals: Other Chemical Products: Alternative Electricity and Transportation</t>
  </si>
  <si>
    <t>AEO.2026.ELECTRNP.ECI_VOS_MANF_CHEO_NA_NA_NA_BLNY09DLR.A</t>
  </si>
  <si>
    <t>Industrial Macroeconomic: Manufacturing: Petroleum and Coal Products: Alternative Electricity and Transportation</t>
  </si>
  <si>
    <t>AEO.2026.ELECTRNP.ECI_VOS_MANF_PCL_NA_NA_NA_BLNY09DLR.A</t>
  </si>
  <si>
    <t>Industrial Macroeconomic: Manufacturing: Petroleum and Coal: Petroleum Refineries: Alternative Electricity and Transportation</t>
  </si>
  <si>
    <t>AEO.2026.ELECTRNP.ECI_VOS_MANF_REF_NA_NA_NA_BLNY09DLR.A</t>
  </si>
  <si>
    <t>Industrial Macroeconomic: Manufacturing: Petroleum and Coal: Other Petroleum &amp; Coal Products: Alternative Electricity and Transportation</t>
  </si>
  <si>
    <t>AEO.2026.ELECTRNP.ECI_VOS_MANF_PCLO_NA_NA_NA_BLNY09DLR.A</t>
  </si>
  <si>
    <t>Industrial Macroeconomic: Manufacturing: Plastics and Rubber Products: Alternative Electricity and Transportation</t>
  </si>
  <si>
    <t>AEO.2026.ELECTRNP.ECI_VOS_MANF_PRP_NA_NA_NA_BLNY09DLR.A</t>
  </si>
  <si>
    <t>Industrial Macroeconomic: Manufacturing: Stone, Clay, and Glass Products: Alternative Electricity and Transportation</t>
  </si>
  <si>
    <t>AEO.2026.ELECTRNP.ECI_VOS_MANF_SCG_NA_NA_NA_BLNY09DLR.A</t>
  </si>
  <si>
    <t>Industrial Macroeconomic: Manufacturing: Stone, Clay, and Glass: Glass and Glass Products: Alternative Electricity and Transportation</t>
  </si>
  <si>
    <t>AEO.2026.ELECTRNP.ECI_VOS_MANF_SCGG_NA_NA_NA_BLNY09DLR.A</t>
  </si>
  <si>
    <t>Industrial Macroeconomic: Manufacturing: Stone, Clay, and Glass: Cement and Lime: Alternative Electricity and Transportation</t>
  </si>
  <si>
    <t>AEO.2026.ELECTRNP.ECI_VOS_MANF_SCGCL_NA_NA_NA_BLNY09DLR.A</t>
  </si>
  <si>
    <t>Industrial Macroeconomic: Manufacturing: Stone, Clay, and Glass: Other Nonmetallic Mineral Products: Alternative Electricity and Transportation</t>
  </si>
  <si>
    <t>AEO.2026.ELECTRNP.ECI_VOS_MANF_SCGOM_NA_NA_NA_BLNY09DLR.A</t>
  </si>
  <si>
    <t>Industrial Macroeconomic: Manufacturing: Primary Metals Industry: Alternative Electricity and Transportation</t>
  </si>
  <si>
    <t>AEO.2026.ELECTRNP.ECI_VOS_MANF_PMM_NA_NA_NA_BLNY09DLR.A</t>
  </si>
  <si>
    <t>Industrial Macroeconomic: Manufacturing: Primary Metals: Iron and Steel Mills and Products: Alternative Electricity and Transportation</t>
  </si>
  <si>
    <t>AEO.2026.ELECTRNP.ECI_VOS_MANF_ISM_NA_NA_NA_BLNY09DLR.A</t>
  </si>
  <si>
    <t>Industrial Macroeconomic: Manufacturing: Primary Metals: Alumina and Aluminum Products: Alternative Electricity and Transportation</t>
  </si>
  <si>
    <t>AEO.2026.ELECTRNP.ECI_VOS_MANF_AAP_NA_NA_NA_BLNY09DLR.A</t>
  </si>
  <si>
    <t>Industrial Macroeconomic: Manufacturing: Primary Metals: Other Primary Metal Products: Alternative Electricity and Transportation</t>
  </si>
  <si>
    <t>AEO.2026.ELECTRNP.ECI_VOS_MANF_PMO_NA_NA_NA_BLNY09DLR.A</t>
  </si>
  <si>
    <t>Industrial Macroeconomic: Manufacturing: Fabricated Metal Products: Alternative Electricity and Transportation</t>
  </si>
  <si>
    <t>AEO.2026.ELECTRNP.ECI_VOS_MANF_FBP_NA_NA_NA_BLNY09DLR.A</t>
  </si>
  <si>
    <t>Industrial Macroeconomic: Manufacturing: Machinery: Alternative Electricity and Transportation</t>
  </si>
  <si>
    <t>AEO.2026.ELECTRNP.ECI_VOS_MANF_MCHI_NA_NA_NA_BLNY09DLR.A</t>
  </si>
  <si>
    <t>Industrial Macroeconomic: Manufacturing: Computers and Electronics: Alternative Electricity and Transportation</t>
  </si>
  <si>
    <t>AEO.2026.ELECTRNP.ECI_VOS_MANF_CMPEL_NA_NA_NA_BLNY09DLR.A</t>
  </si>
  <si>
    <t>Industrial Macroeconomic: Manufacturing: Transportation Equipment: Alternative Electricity and Transportation</t>
  </si>
  <si>
    <t>AEO.2026.ELECTRNP.ECI_VOS_MANF_TEQ_NA_NA_NA_BLNY09DLR.A</t>
  </si>
  <si>
    <t>Industrial Macroeconomic: Manufacturing: Electrical Equipment: Alternative Electricity and Transportation</t>
  </si>
  <si>
    <t>AEO.2026.ELECTRNP.ECI_VOS_MANF_EEQ_NA_NA_NA_BLNY09DLR.A</t>
  </si>
  <si>
    <t>Industrial Macroeconomic: Manufacturing: Miscellaneous Manufacturing: Alternative Electricity and Transportation</t>
  </si>
  <si>
    <t>AEO.2026.ELECTRNP.ECI_VOS_MANF_MISC_NA_NA_NA_BLNY09DLR.A</t>
  </si>
  <si>
    <t>Industrial Macroeconomic: Total Industrial Value of Shipments: Alternative Electricity and Transportation</t>
  </si>
  <si>
    <t>AEO.2026.ELECTRNP.ECI_VOS_IDAL_NA_NA_NA_NA_BLNY09DLR.A</t>
  </si>
  <si>
    <t>Unit: $ (paste from rebuilt 52-code BVAbIC when available)</t>
  </si>
  <si>
    <t>ISIC 231</t>
  </si>
  <si>
    <t>Value added (basic)</t>
  </si>
  <si>
    <t>Year</t>
  </si>
  <si>
    <t>Value (2012 USD) — pasted from io-model/BGDP.csv</t>
  </si>
  <si>
    <t>BLS compound growth 2024-2034 (output-weighted across assigned lines) + AEO year-over-year growth where covered</t>
  </si>
  <si>
    <t>ISIC</t>
  </si>
  <si>
    <t>BLS compound</t>
  </si>
  <si>
    <t>Chosen rates by year (AEO where available, else BLS compound)</t>
  </si>
  <si>
    <t>Per-year scaling factor on non-AEO growth rates, solved in closed form so TOTAL value added tracks the GDP projection in EVERY year (linear solve; no goal-seek).</t>
  </si>
  <si>
    <t>Target total VA (= VA base total x GDP_y / GDP_2024)</t>
  </si>
  <si>
    <t>Per-year non-AEO scaling factor f_y</t>
  </si>
  <si>
    <t>VA levels (AEO rows at AEO rates; non-AEO at BLS rate x f_y)</t>
  </si>
  <si>
    <t>AEO?</t>
  </si>
  <si>
    <t>AEO</t>
  </si>
  <si>
    <t>Scaled annual growth rates</t>
  </si>
  <si>
    <t>Scaled compounded growth relative to 2024</t>
  </si>
  <si>
    <t>52-code % change in output (rebased to 2025=0), its 42 parent, and its BObIC 2025 output weight. The BPCiObIC tab output-weight-averages the children of each 42 parent using column C.</t>
  </si>
  <si>
    <t>ISIC (52)</t>
  </si>
  <si>
    <t>42 parent</t>
  </si>
  <si>
    <t>BObIC 2025 weight (pasted)</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</si>
  <si>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</si>
  <si>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</si>
  <si>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</si>
  <si>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</si>
  <si>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</si>
  <si>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</si>
  <si>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</si>
  <si>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</si>
  <si>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</si>
  <si>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</si>
  <si>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</si>
  <si>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</si>
  <si>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</si>
  <si>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</si>
  <si>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</si>
  <si>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</si>
  <si>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</si>
  <si>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</si>
  <si>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</si>
  <si>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</si>
  <si>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</si>
  <si>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</si>
  <si>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</si>
  <si>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</si>
  <si>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</si>
  <si>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</si>
  <si>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</si>
  <si>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ISIC 01T03</t>
  </si>
  <si>
    <t>ISIC 07T08</t>
  </si>
  <si>
    <t>ISIC 30</t>
  </si>
  <si>
    <t>ISIC 49T53</t>
  </si>
  <si>
    <t>ISIC 69T82</t>
  </si>
  <si>
    <t>ISIC 90T96</t>
  </si>
  <si>
    <t>Validation checks</t>
  </si>
  <si>
    <t>GDP fit per year (52-code rescale): total VA vs target (~0 every year)</t>
  </si>
  <si>
    <t>max |total VA / target - 1| across 2025-2050</t>
  </si>
  <si>
    <t>residual</t>
  </si>
  <si>
    <t>|residual|</t>
  </si>
  <si>
    <t>Per-year factor f_y sanity (min / max)</t>
  </si>
  <si>
    <t>Every 52 code has a growth source (BLS weight sum &gt; 0 or AEO coverage)</t>
  </si>
  <si>
    <t>Every 42 parent has positive collapse weight (no divide-by-zero)</t>
  </si>
  <si>
    <t>Collapse conservation 2050: summed 42 output == summed 52 output</t>
  </si>
  <si>
    <t>42-parent collapse helper: total weight W_P and W_P*(1+BPCiObIC_2050)</t>
  </si>
  <si>
    <t>W_P</t>
  </si>
  <si>
    <t>W_P*(1+cum42_2050)</t>
  </si>
  <si>
    <t>Unit: dimensionless (% change)</t>
  </si>
  <si>
    <t>2020</t>
  </si>
  <si>
    <t>2021</t>
  </si>
  <si>
    <t>2022</t>
  </si>
  <si>
    <t>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</si>
</sst>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i/>
      <sz val="11"/>
      <name val="Calibri"/>
    </font>
    <font>
      <b/>
      <sz val="11"/>
      <name val="Calibri"/>
    </font>
    <font>
      <u/>
      <sz val="11"/>
      <color rgb="FF0563C1"/>
      <name val="Calibri"/>
    </font>
  </fonts>
  <fills count="3">
    <fill>
      <patternFill patternType="none"/>
    </fill>
    <fill>
      <patternFill patternType="gray125"/>
    </fill>
    <fill>
      <patternFill patternType="solid">
        <fgColor rgb="FFD9D9D9"/>
        <bgColor rgb="FFD9D9D9"/>
      </patternFill>
    </fill>
  </fills>
  <borders count="1">
    <border>
      <left/>
      <right/>
      <top/>
      <bottom/>
      <diagonal/>
    </border>
  </borders>
  <cellStyleXfs count="1">
    <xf numFmtId="0" fontId="0" fillId="0" borderId="0"/>
  </cellStyleXfs>
  <cellXfs count="6">
    <xf numFmtId="0" fontId="0" fillId="0" borderId="0" xfId="0"/>
    <xf numFmtId="0" fontId="2" fillId="0" borderId="0" xfId="0" applyFont="1"/>
    <xf numFmtId="0" fontId="2" fillId="2" borderId="0" xfId="0" applyFont="1" applyFill="1" applyAlignment="1">
      <alignment horizontal="left" vertical="top" wrapText="1"/>
    </xf>
    <xf numFmtId="0" fontId="0" fillId="0" borderId="0" xfId="0" applyAlignment="1">
      <alignment horizontal="left" vertical="top" wrapText="1"/>
    </xf>
    <xf numFmtId="0" fontId="3" fillId="0" borderId="0" xfId="0" applyFont="1" applyAlignment="1">
      <alignment horizontal="left" vertical="top" wrapText="1"/>
    </xf>
    <xf numFmtId="0" fontId="1"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tables_ref.php" TargetMode="External"/><Relationship Id="rId2" Type="http://schemas.openxmlformats.org/officeDocument/2006/relationships/hyperlink" Target="https://www.eia.gov/outlooks/aeo/tables_ref.php" TargetMode="External"/><Relationship Id="rId1" Type="http://schemas.openxmlformats.org/officeDocument/2006/relationships/hyperlink" Target="https://www.bls.gov/emp/tables/industry-employment-and-output.htm" TargetMode="External"/><Relationship Id="rId5" Type="http://schemas.openxmlformats.org/officeDocument/2006/relationships/hyperlink" Target="https://www.energypolicy.solutions/" TargetMode="External"/><Relationship Id="rId4" Type="http://schemas.openxmlformats.org/officeDocument/2006/relationships/hyperlink" Target="https://www.energypolicy.solu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6"/>
  <sheetViews>
    <sheetView tabSelected="1" topLeftCell="A7" workbookViewId="0"/>
  </sheetViews>
  <sheetFormatPr defaultRowHeight="15" x14ac:dyDescent="0.25"/>
  <cols>
    <col min="1" max="1" width="16" customWidth="1"/>
    <col min="2" max="2" width="110" customWidth="1"/>
  </cols>
  <sheetData>
    <row r="1" spans="1:2" x14ac:dyDescent="0.25">
      <c r="A1" s="1" t="s">
        <v>0</v>
      </c>
    </row>
    <row r="3" spans="1:2" x14ac:dyDescent="0.25">
      <c r="A3" s="1" t="s">
        <v>1</v>
      </c>
      <c r="B3" s="2" t="s">
        <v>2</v>
      </c>
    </row>
    <row r="4" spans="1:2" x14ac:dyDescent="0.25">
      <c r="B4" s="3" t="s">
        <v>3</v>
      </c>
    </row>
    <row r="5" spans="1:2" x14ac:dyDescent="0.25">
      <c r="B5" s="3" t="s">
        <v>4</v>
      </c>
    </row>
    <row r="6" spans="1:2" x14ac:dyDescent="0.25">
      <c r="B6" s="3">
        <v>2024</v>
      </c>
    </row>
    <row r="7" spans="1:2" x14ac:dyDescent="0.25">
      <c r="B7" s="4" t="s">
        <v>5</v>
      </c>
    </row>
    <row r="8" spans="1:2" ht="30" x14ac:dyDescent="0.25">
      <c r="B8" s="3" t="s">
        <v>6</v>
      </c>
    </row>
    <row r="10" spans="1:2" x14ac:dyDescent="0.25">
      <c r="B10" s="2" t="s">
        <v>7</v>
      </c>
    </row>
    <row r="11" spans="1:2" x14ac:dyDescent="0.25">
      <c r="B11" s="3" t="s">
        <v>8</v>
      </c>
    </row>
    <row r="12" spans="1:2" ht="30" x14ac:dyDescent="0.25">
      <c r="B12" s="3" t="s">
        <v>9</v>
      </c>
    </row>
    <row r="13" spans="1:2" x14ac:dyDescent="0.25">
      <c r="B13" s="3">
        <v>2026</v>
      </c>
    </row>
    <row r="14" spans="1:2" x14ac:dyDescent="0.25">
      <c r="B14" s="4" t="s">
        <v>10</v>
      </c>
    </row>
    <row r="15" spans="1:2" ht="45" x14ac:dyDescent="0.25">
      <c r="B15" s="3" t="s">
        <v>11</v>
      </c>
    </row>
    <row r="17" spans="2:2" x14ac:dyDescent="0.25">
      <c r="B17" s="2" t="s">
        <v>12</v>
      </c>
    </row>
    <row r="18" spans="2:2" x14ac:dyDescent="0.25">
      <c r="B18" s="3" t="s">
        <v>13</v>
      </c>
    </row>
    <row r="19" spans="2:2" x14ac:dyDescent="0.25">
      <c r="B19" s="3" t="s">
        <v>14</v>
      </c>
    </row>
    <row r="20" spans="2:2" x14ac:dyDescent="0.25">
      <c r="B20" s="3">
        <v>2026</v>
      </c>
    </row>
    <row r="21" spans="2:2" x14ac:dyDescent="0.25">
      <c r="B21" s="4" t="s">
        <v>10</v>
      </c>
    </row>
    <row r="22" spans="2:2" x14ac:dyDescent="0.25">
      <c r="B22" s="3" t="s">
        <v>15</v>
      </c>
    </row>
    <row r="24" spans="2:2" x14ac:dyDescent="0.25">
      <c r="B24" s="2" t="s">
        <v>16</v>
      </c>
    </row>
    <row r="25" spans="2:2" x14ac:dyDescent="0.25">
      <c r="B25" s="3" t="s">
        <v>17</v>
      </c>
    </row>
    <row r="26" spans="2:2" x14ac:dyDescent="0.25">
      <c r="B26" s="3" t="s">
        <v>18</v>
      </c>
    </row>
    <row r="27" spans="2:2" x14ac:dyDescent="0.25">
      <c r="B27" s="3">
        <v>2026</v>
      </c>
    </row>
    <row r="28" spans="2:2" x14ac:dyDescent="0.25">
      <c r="B28" s="4" t="s">
        <v>19</v>
      </c>
    </row>
    <row r="29" spans="2:2" ht="30" x14ac:dyDescent="0.25">
      <c r="B29" s="3" t="s">
        <v>20</v>
      </c>
    </row>
    <row r="31" spans="2:2" x14ac:dyDescent="0.25">
      <c r="B31" s="2" t="s">
        <v>21</v>
      </c>
    </row>
    <row r="32" spans="2:2" x14ac:dyDescent="0.25">
      <c r="B32" s="3" t="s">
        <v>22</v>
      </c>
    </row>
    <row r="33" spans="1:2" ht="30" x14ac:dyDescent="0.25">
      <c r="B33" s="3" t="s">
        <v>23</v>
      </c>
    </row>
    <row r="34" spans="1:2" x14ac:dyDescent="0.25">
      <c r="B34" s="3">
        <v>2026</v>
      </c>
    </row>
    <row r="35" spans="1:2" x14ac:dyDescent="0.25">
      <c r="B35" s="4" t="s">
        <v>19</v>
      </c>
    </row>
    <row r="36" spans="1:2" ht="45" x14ac:dyDescent="0.25">
      <c r="B36" s="3" t="s">
        <v>24</v>
      </c>
    </row>
    <row r="39" spans="1:2" x14ac:dyDescent="0.25">
      <c r="A39" s="1" t="s">
        <v>25</v>
      </c>
    </row>
    <row r="40" spans="1:2" ht="60" x14ac:dyDescent="0.25">
      <c r="A40" s="1" t="s">
        <v>26</v>
      </c>
      <c r="B40" s="3" t="s">
        <v>27</v>
      </c>
    </row>
    <row r="41" spans="1:2" ht="75" x14ac:dyDescent="0.25">
      <c r="A41" s="1" t="s">
        <v>28</v>
      </c>
      <c r="B41" s="3" t="s">
        <v>29</v>
      </c>
    </row>
    <row r="42" spans="1:2" ht="30" x14ac:dyDescent="0.25">
      <c r="A42" s="1" t="s">
        <v>30</v>
      </c>
      <c r="B42" s="3" t="s">
        <v>31</v>
      </c>
    </row>
    <row r="43" spans="1:2" ht="45" x14ac:dyDescent="0.25">
      <c r="A43" s="1" t="s">
        <v>32</v>
      </c>
      <c r="B43" s="3" t="s">
        <v>33</v>
      </c>
    </row>
    <row r="44" spans="1:2" ht="30" x14ac:dyDescent="0.25">
      <c r="A44" s="1" t="s">
        <v>34</v>
      </c>
      <c r="B44" s="3" t="s">
        <v>35</v>
      </c>
    </row>
    <row r="45" spans="1:2" x14ac:dyDescent="0.25">
      <c r="A45" s="1" t="s">
        <v>36</v>
      </c>
      <c r="B45" s="3" t="s">
        <v>37</v>
      </c>
    </row>
    <row r="46" spans="1:2" ht="30" x14ac:dyDescent="0.25">
      <c r="A46" s="1" t="s">
        <v>38</v>
      </c>
      <c r="B46" s="3" t="s">
        <v>39</v>
      </c>
    </row>
  </sheetData>
  <hyperlinks>
    <hyperlink ref="B7" r:id="rId1" xr:uid="{00000000-0004-0000-0000-000000000000}"/>
    <hyperlink ref="B14" r:id="rId2" xr:uid="{00000000-0004-0000-0000-000001000000}"/>
    <hyperlink ref="B21" r:id="rId3" xr:uid="{00000000-0004-0000-0000-000002000000}"/>
    <hyperlink ref="B28" r:id="rId4" xr:uid="{00000000-0004-0000-0000-000003000000}"/>
    <hyperlink ref="B35" r:id="rId5" xr:uid="{00000000-0004-0000-0000-000004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426"/>
  <sheetViews>
    <sheetView workbookViewId="0">
      <pane ySplit="2" topLeftCell="A3" activePane="bottomLeft" state="frozen"/>
      <selection pane="bottomLeft"/>
    </sheetView>
  </sheetViews>
  <sheetFormatPr defaultRowHeight="15" x14ac:dyDescent="0.25"/>
  <sheetData>
    <row r="1" spans="1:12" x14ac:dyDescent="0.25">
      <c r="A1" t="s">
        <v>40</v>
      </c>
    </row>
    <row r="2" spans="1:12" x14ac:dyDescent="0.25">
      <c r="A2" t="s">
        <v>41</v>
      </c>
      <c r="B2" t="s">
        <v>42</v>
      </c>
      <c r="C2" t="s">
        <v>43</v>
      </c>
      <c r="D2" t="s">
        <v>44</v>
      </c>
      <c r="E2" t="s">
        <v>45</v>
      </c>
      <c r="F2" t="s">
        <v>46</v>
      </c>
      <c r="G2" t="s">
        <v>47</v>
      </c>
      <c r="H2" t="s">
        <v>48</v>
      </c>
      <c r="I2" t="s">
        <v>49</v>
      </c>
      <c r="J2" t="s">
        <v>50</v>
      </c>
      <c r="K2" t="s">
        <v>51</v>
      </c>
      <c r="L2" s="5" t="s">
        <v>52</v>
      </c>
    </row>
    <row r="3" spans="1:12" x14ac:dyDescent="0.25">
      <c r="A3" t="s">
        <v>53</v>
      </c>
      <c r="B3" t="s">
        <v>54</v>
      </c>
      <c r="C3" t="s">
        <v>55</v>
      </c>
      <c r="D3">
        <v>169956.1</v>
      </c>
      <c r="E3">
        <v>175167.9</v>
      </c>
      <c r="F3">
        <v>5211.8</v>
      </c>
      <c r="G3">
        <v>3.1</v>
      </c>
      <c r="H3">
        <v>0.3</v>
      </c>
      <c r="I3">
        <v>40174.800000000003</v>
      </c>
      <c r="J3">
        <v>48622.400000000001</v>
      </c>
      <c r="K3">
        <v>1.9</v>
      </c>
    </row>
    <row r="4" spans="1:12" x14ac:dyDescent="0.25">
      <c r="A4" t="s">
        <v>56</v>
      </c>
      <c r="B4" t="s">
        <v>57</v>
      </c>
      <c r="C4" t="s">
        <v>58</v>
      </c>
      <c r="D4">
        <v>9906.4</v>
      </c>
      <c r="E4">
        <v>10122.799999999999</v>
      </c>
      <c r="F4">
        <v>216.4</v>
      </c>
      <c r="G4">
        <v>2.2000000000000002</v>
      </c>
      <c r="H4">
        <v>0.2</v>
      </c>
      <c r="I4" t="s">
        <v>59</v>
      </c>
      <c r="J4" t="s">
        <v>59</v>
      </c>
      <c r="K4" t="s">
        <v>59</v>
      </c>
    </row>
    <row r="5" spans="1:12" x14ac:dyDescent="0.25">
      <c r="A5" t="s">
        <v>60</v>
      </c>
      <c r="B5" t="s">
        <v>61</v>
      </c>
      <c r="C5" t="s">
        <v>55</v>
      </c>
      <c r="D5">
        <v>160049.70000000001</v>
      </c>
      <c r="E5">
        <v>165045.1</v>
      </c>
      <c r="F5">
        <v>4995.3999999999996</v>
      </c>
      <c r="G5">
        <v>3.1</v>
      </c>
      <c r="H5">
        <v>0.3</v>
      </c>
      <c r="I5" t="s">
        <v>59</v>
      </c>
      <c r="J5" t="s">
        <v>59</v>
      </c>
      <c r="K5" t="s">
        <v>59</v>
      </c>
    </row>
    <row r="6" spans="1:12" x14ac:dyDescent="0.25">
      <c r="A6" t="s">
        <v>62</v>
      </c>
      <c r="B6" t="s">
        <v>63</v>
      </c>
      <c r="C6" t="s">
        <v>55</v>
      </c>
      <c r="D6">
        <v>1480.7</v>
      </c>
      <c r="E6">
        <v>1482.1</v>
      </c>
      <c r="F6">
        <v>1.4</v>
      </c>
      <c r="G6">
        <v>0.1</v>
      </c>
      <c r="H6">
        <v>0</v>
      </c>
      <c r="I6">
        <v>447.9</v>
      </c>
      <c r="J6">
        <v>538.79999999999995</v>
      </c>
      <c r="K6">
        <v>1.9</v>
      </c>
    </row>
    <row r="7" spans="1:12" x14ac:dyDescent="0.25">
      <c r="A7" t="s">
        <v>64</v>
      </c>
      <c r="B7" t="s">
        <v>65</v>
      </c>
      <c r="C7" t="s">
        <v>58</v>
      </c>
      <c r="D7">
        <v>863.9</v>
      </c>
      <c r="E7">
        <v>881.2</v>
      </c>
      <c r="F7">
        <v>17.3</v>
      </c>
      <c r="G7">
        <v>2</v>
      </c>
      <c r="H7">
        <v>0.2</v>
      </c>
      <c r="I7">
        <v>175.8</v>
      </c>
      <c r="J7">
        <v>201.8</v>
      </c>
      <c r="K7">
        <v>1.4</v>
      </c>
      <c r="L7" t="s">
        <v>66</v>
      </c>
    </row>
    <row r="8" spans="1:12" x14ac:dyDescent="0.25">
      <c r="A8" t="s">
        <v>67</v>
      </c>
      <c r="B8" t="s">
        <v>68</v>
      </c>
      <c r="C8" t="s">
        <v>58</v>
      </c>
      <c r="D8">
        <v>442.4</v>
      </c>
      <c r="E8">
        <v>427.6</v>
      </c>
      <c r="F8">
        <v>-14.8</v>
      </c>
      <c r="G8">
        <v>-3.3</v>
      </c>
      <c r="H8">
        <v>-0.3</v>
      </c>
      <c r="I8">
        <v>220</v>
      </c>
      <c r="J8">
        <v>277.60000000000002</v>
      </c>
      <c r="K8">
        <v>2.4</v>
      </c>
      <c r="L8" t="s">
        <v>66</v>
      </c>
    </row>
    <row r="9" spans="1:12" x14ac:dyDescent="0.25">
      <c r="A9" t="s">
        <v>69</v>
      </c>
      <c r="B9" t="s">
        <v>70</v>
      </c>
      <c r="C9" t="s">
        <v>55</v>
      </c>
      <c r="D9">
        <v>47.2</v>
      </c>
      <c r="E9">
        <v>45.1</v>
      </c>
      <c r="F9">
        <v>-2.1</v>
      </c>
      <c r="G9">
        <v>-4.4000000000000004</v>
      </c>
      <c r="H9">
        <v>-0.5</v>
      </c>
      <c r="I9" t="s">
        <v>59</v>
      </c>
      <c r="J9" t="s">
        <v>59</v>
      </c>
      <c r="K9" t="s">
        <v>59</v>
      </c>
    </row>
    <row r="10" spans="1:12" x14ac:dyDescent="0.25">
      <c r="A10" t="s">
        <v>71</v>
      </c>
      <c r="B10" t="s">
        <v>72</v>
      </c>
      <c r="C10" t="s">
        <v>58</v>
      </c>
      <c r="D10">
        <v>7</v>
      </c>
      <c r="E10">
        <v>6.9</v>
      </c>
      <c r="F10">
        <v>-0.1</v>
      </c>
      <c r="G10">
        <v>-2</v>
      </c>
      <c r="H10">
        <v>-0.1</v>
      </c>
      <c r="I10">
        <v>3.9</v>
      </c>
      <c r="J10">
        <v>4.5999999999999996</v>
      </c>
      <c r="K10">
        <v>1.6</v>
      </c>
      <c r="L10" t="s">
        <v>73</v>
      </c>
    </row>
    <row r="11" spans="1:12" x14ac:dyDescent="0.25">
      <c r="A11" t="s">
        <v>74</v>
      </c>
      <c r="B11" t="s">
        <v>75</v>
      </c>
      <c r="C11" t="s">
        <v>58</v>
      </c>
      <c r="D11">
        <v>40.200000000000003</v>
      </c>
      <c r="E11">
        <v>38.200000000000003</v>
      </c>
      <c r="F11">
        <v>-2</v>
      </c>
      <c r="G11">
        <v>-4.9000000000000004</v>
      </c>
      <c r="H11">
        <v>-0.5</v>
      </c>
      <c r="I11">
        <v>18.899999999999999</v>
      </c>
      <c r="J11">
        <v>22.1</v>
      </c>
      <c r="K11">
        <v>1.6</v>
      </c>
      <c r="L11" t="s">
        <v>73</v>
      </c>
    </row>
    <row r="12" spans="1:12" x14ac:dyDescent="0.25">
      <c r="A12" t="s">
        <v>76</v>
      </c>
      <c r="B12" t="s">
        <v>77</v>
      </c>
      <c r="C12" t="s">
        <v>58</v>
      </c>
      <c r="D12">
        <v>20.9</v>
      </c>
      <c r="E12">
        <v>20.8</v>
      </c>
      <c r="F12">
        <v>-0.1</v>
      </c>
      <c r="G12">
        <v>-0.3</v>
      </c>
      <c r="H12">
        <v>0</v>
      </c>
      <c r="I12">
        <v>7.4</v>
      </c>
      <c r="J12">
        <v>8.6</v>
      </c>
      <c r="K12">
        <v>1.5</v>
      </c>
      <c r="L12" t="s">
        <v>78</v>
      </c>
    </row>
    <row r="13" spans="1:12" x14ac:dyDescent="0.25">
      <c r="A13" t="s">
        <v>79</v>
      </c>
      <c r="B13" t="s">
        <v>80</v>
      </c>
      <c r="C13" t="s">
        <v>58</v>
      </c>
      <c r="D13">
        <v>106.2</v>
      </c>
      <c r="E13">
        <v>107.3</v>
      </c>
      <c r="F13">
        <v>1.1000000000000001</v>
      </c>
      <c r="G13">
        <v>1</v>
      </c>
      <c r="H13">
        <v>0.1</v>
      </c>
      <c r="I13">
        <v>23.6</v>
      </c>
      <c r="J13">
        <v>27.6</v>
      </c>
      <c r="K13">
        <v>1.6</v>
      </c>
      <c r="L13" t="s">
        <v>66</v>
      </c>
    </row>
    <row r="14" spans="1:12" x14ac:dyDescent="0.25">
      <c r="A14" t="s">
        <v>81</v>
      </c>
      <c r="B14" t="s">
        <v>82</v>
      </c>
      <c r="C14" t="s">
        <v>55</v>
      </c>
      <c r="D14">
        <v>586.1</v>
      </c>
      <c r="E14">
        <v>576.79999999999995</v>
      </c>
      <c r="F14">
        <v>-9.3000000000000007</v>
      </c>
      <c r="G14">
        <v>-1.6</v>
      </c>
      <c r="H14">
        <v>-0.2</v>
      </c>
      <c r="I14">
        <v>564.6</v>
      </c>
      <c r="J14">
        <v>634.5</v>
      </c>
      <c r="K14">
        <v>1.2</v>
      </c>
    </row>
    <row r="15" spans="1:12" x14ac:dyDescent="0.25">
      <c r="A15" t="s">
        <v>83</v>
      </c>
      <c r="B15" t="s">
        <v>84</v>
      </c>
      <c r="C15" t="s">
        <v>58</v>
      </c>
      <c r="D15">
        <v>122.5</v>
      </c>
      <c r="E15">
        <v>115.7</v>
      </c>
      <c r="F15">
        <v>-6.8</v>
      </c>
      <c r="G15">
        <v>-5.5</v>
      </c>
      <c r="H15">
        <v>-0.6</v>
      </c>
      <c r="I15">
        <v>383.8</v>
      </c>
      <c r="J15">
        <v>450.7</v>
      </c>
      <c r="K15">
        <v>1.6</v>
      </c>
      <c r="L15" t="s">
        <v>85</v>
      </c>
    </row>
    <row r="16" spans="1:12" x14ac:dyDescent="0.25">
      <c r="A16" t="s">
        <v>86</v>
      </c>
      <c r="B16" t="s">
        <v>87</v>
      </c>
      <c r="C16" t="s">
        <v>55</v>
      </c>
      <c r="D16">
        <v>191.7</v>
      </c>
      <c r="E16">
        <v>182.6</v>
      </c>
      <c r="F16">
        <v>-9.1</v>
      </c>
      <c r="G16">
        <v>-4.7</v>
      </c>
      <c r="H16">
        <v>-0.5</v>
      </c>
      <c r="I16">
        <v>92.8</v>
      </c>
      <c r="J16">
        <v>99.9</v>
      </c>
      <c r="K16">
        <v>0.7</v>
      </c>
    </row>
    <row r="17" spans="1:12" x14ac:dyDescent="0.25">
      <c r="A17" t="s">
        <v>88</v>
      </c>
      <c r="B17" t="s">
        <v>89</v>
      </c>
      <c r="C17" t="s">
        <v>58</v>
      </c>
      <c r="D17">
        <v>42.5</v>
      </c>
      <c r="E17">
        <v>23.2</v>
      </c>
      <c r="F17">
        <v>-19.3</v>
      </c>
      <c r="G17">
        <v>-45.3</v>
      </c>
      <c r="H17">
        <v>-5.9</v>
      </c>
      <c r="I17">
        <v>29.8</v>
      </c>
      <c r="J17">
        <v>24.6</v>
      </c>
      <c r="K17">
        <v>-1.9</v>
      </c>
      <c r="L17" t="s">
        <v>90</v>
      </c>
    </row>
    <row r="18" spans="1:12" x14ac:dyDescent="0.25">
      <c r="A18" t="s">
        <v>91</v>
      </c>
      <c r="B18" t="s">
        <v>92</v>
      </c>
      <c r="C18" t="s">
        <v>58</v>
      </c>
      <c r="D18">
        <v>44.9</v>
      </c>
      <c r="E18">
        <v>48.4</v>
      </c>
      <c r="F18">
        <v>3.5</v>
      </c>
      <c r="G18">
        <v>7.9</v>
      </c>
      <c r="H18">
        <v>0.8</v>
      </c>
      <c r="I18">
        <v>26</v>
      </c>
      <c r="J18">
        <v>33.5</v>
      </c>
      <c r="K18">
        <v>2.6</v>
      </c>
      <c r="L18" t="s">
        <v>93</v>
      </c>
    </row>
    <row r="19" spans="1:12" x14ac:dyDescent="0.25">
      <c r="A19" t="s">
        <v>94</v>
      </c>
      <c r="B19" t="s">
        <v>95</v>
      </c>
      <c r="C19" t="s">
        <v>58</v>
      </c>
      <c r="D19">
        <v>104.3</v>
      </c>
      <c r="E19">
        <v>111</v>
      </c>
      <c r="F19">
        <v>6.7</v>
      </c>
      <c r="G19">
        <v>6.4</v>
      </c>
      <c r="H19">
        <v>0.6</v>
      </c>
      <c r="I19">
        <v>36.9</v>
      </c>
      <c r="J19">
        <v>41.5</v>
      </c>
      <c r="K19">
        <v>1.2</v>
      </c>
      <c r="L19" t="s">
        <v>96</v>
      </c>
    </row>
    <row r="20" spans="1:12" x14ac:dyDescent="0.25">
      <c r="A20" t="s">
        <v>97</v>
      </c>
      <c r="B20" t="s">
        <v>98</v>
      </c>
      <c r="C20" t="s">
        <v>58</v>
      </c>
      <c r="D20">
        <v>271.89999999999998</v>
      </c>
      <c r="E20">
        <v>278.39999999999998</v>
      </c>
      <c r="F20">
        <v>6.5</v>
      </c>
      <c r="G20">
        <v>2.4</v>
      </c>
      <c r="H20">
        <v>0.2</v>
      </c>
      <c r="I20">
        <v>95.6</v>
      </c>
      <c r="J20">
        <v>90.6</v>
      </c>
      <c r="K20">
        <v>-0.5</v>
      </c>
      <c r="L20" t="s">
        <v>99</v>
      </c>
    </row>
    <row r="21" spans="1:12" x14ac:dyDescent="0.25">
      <c r="A21" t="s">
        <v>100</v>
      </c>
      <c r="B21" t="s">
        <v>101</v>
      </c>
      <c r="C21" t="s">
        <v>55</v>
      </c>
      <c r="D21">
        <v>591.29999999999995</v>
      </c>
      <c r="E21">
        <v>620</v>
      </c>
      <c r="F21">
        <v>28.7</v>
      </c>
      <c r="G21">
        <v>4.9000000000000004</v>
      </c>
      <c r="H21">
        <v>0.5</v>
      </c>
      <c r="I21">
        <v>507.1</v>
      </c>
      <c r="J21">
        <v>602.20000000000005</v>
      </c>
      <c r="K21">
        <v>1.7</v>
      </c>
    </row>
    <row r="22" spans="1:12" x14ac:dyDescent="0.25">
      <c r="A22" t="s">
        <v>102</v>
      </c>
      <c r="B22" t="s">
        <v>103</v>
      </c>
      <c r="C22" t="s">
        <v>55</v>
      </c>
      <c r="D22">
        <v>591.29999999999995</v>
      </c>
      <c r="E22">
        <v>620</v>
      </c>
      <c r="F22">
        <v>28.7</v>
      </c>
      <c r="G22">
        <v>4.9000000000000004</v>
      </c>
      <c r="H22">
        <v>0.5</v>
      </c>
      <c r="I22">
        <v>507.1</v>
      </c>
      <c r="J22">
        <v>602.20000000000005</v>
      </c>
      <c r="K22">
        <v>1.7</v>
      </c>
    </row>
    <row r="23" spans="1:12" x14ac:dyDescent="0.25">
      <c r="A23" t="s">
        <v>104</v>
      </c>
      <c r="B23" t="s">
        <v>105</v>
      </c>
      <c r="C23" t="s">
        <v>55</v>
      </c>
      <c r="D23">
        <v>413.1</v>
      </c>
      <c r="E23">
        <v>445.6</v>
      </c>
      <c r="F23">
        <v>32.5</v>
      </c>
      <c r="G23">
        <v>7.9</v>
      </c>
      <c r="H23">
        <v>0.8</v>
      </c>
      <c r="I23">
        <v>411.4</v>
      </c>
      <c r="J23">
        <v>501.2</v>
      </c>
      <c r="K23">
        <v>2</v>
      </c>
      <c r="L23" t="s">
        <v>106</v>
      </c>
    </row>
    <row r="24" spans="1:12" x14ac:dyDescent="0.25">
      <c r="A24" t="s">
        <v>107</v>
      </c>
      <c r="B24" t="s">
        <v>108</v>
      </c>
      <c r="C24" t="s">
        <v>55</v>
      </c>
      <c r="D24">
        <v>157.30000000000001</v>
      </c>
      <c r="E24">
        <v>169.2</v>
      </c>
      <c r="F24">
        <v>11.9</v>
      </c>
      <c r="G24">
        <v>7.6</v>
      </c>
      <c r="H24">
        <v>0.7</v>
      </c>
      <c r="I24" t="s">
        <v>59</v>
      </c>
      <c r="J24" t="s">
        <v>59</v>
      </c>
      <c r="K24" t="s">
        <v>59</v>
      </c>
    </row>
    <row r="25" spans="1:12" x14ac:dyDescent="0.25">
      <c r="A25" t="s">
        <v>109</v>
      </c>
      <c r="B25" t="s">
        <v>110</v>
      </c>
      <c r="C25" t="s">
        <v>58</v>
      </c>
      <c r="D25">
        <v>8.1999999999999993</v>
      </c>
      <c r="E25">
        <v>8.1999999999999993</v>
      </c>
      <c r="F25">
        <v>0</v>
      </c>
      <c r="G25">
        <v>0.4</v>
      </c>
      <c r="H25">
        <v>0</v>
      </c>
      <c r="I25" t="s">
        <v>59</v>
      </c>
      <c r="J25" t="s">
        <v>59</v>
      </c>
      <c r="K25" t="s">
        <v>59</v>
      </c>
    </row>
    <row r="26" spans="1:12" x14ac:dyDescent="0.25">
      <c r="A26" t="s">
        <v>111</v>
      </c>
      <c r="B26" t="s">
        <v>112</v>
      </c>
      <c r="C26" t="s">
        <v>58</v>
      </c>
      <c r="D26">
        <v>74.5</v>
      </c>
      <c r="E26">
        <v>51.5</v>
      </c>
      <c r="F26">
        <v>-23</v>
      </c>
      <c r="G26">
        <v>-30.9</v>
      </c>
      <c r="H26">
        <v>-3.6</v>
      </c>
      <c r="I26" t="s">
        <v>59</v>
      </c>
      <c r="J26" t="s">
        <v>59</v>
      </c>
      <c r="K26" t="s">
        <v>59</v>
      </c>
    </row>
    <row r="27" spans="1:12" x14ac:dyDescent="0.25">
      <c r="A27" t="s">
        <v>113</v>
      </c>
      <c r="B27" t="s">
        <v>114</v>
      </c>
      <c r="C27" t="s">
        <v>58</v>
      </c>
      <c r="D27">
        <v>38.200000000000003</v>
      </c>
      <c r="E27">
        <v>31.5</v>
      </c>
      <c r="F27">
        <v>-6.7</v>
      </c>
      <c r="G27">
        <v>-17.600000000000001</v>
      </c>
      <c r="H27">
        <v>-1.9</v>
      </c>
      <c r="I27" t="s">
        <v>59</v>
      </c>
      <c r="J27" t="s">
        <v>59</v>
      </c>
      <c r="K27" t="s">
        <v>59</v>
      </c>
    </row>
    <row r="28" spans="1:12" x14ac:dyDescent="0.25">
      <c r="A28" t="s">
        <v>115</v>
      </c>
      <c r="B28" t="s">
        <v>116</v>
      </c>
      <c r="C28" t="s">
        <v>58</v>
      </c>
      <c r="D28">
        <v>16.899999999999999</v>
      </c>
      <c r="E28">
        <v>47.2</v>
      </c>
      <c r="F28">
        <v>30.4</v>
      </c>
      <c r="G28">
        <v>180.2</v>
      </c>
      <c r="H28">
        <v>10.8</v>
      </c>
      <c r="I28" t="s">
        <v>59</v>
      </c>
      <c r="J28" t="s">
        <v>59</v>
      </c>
      <c r="K28" t="s">
        <v>59</v>
      </c>
    </row>
    <row r="29" spans="1:12" x14ac:dyDescent="0.25">
      <c r="A29" t="s">
        <v>117</v>
      </c>
      <c r="B29" t="s">
        <v>118</v>
      </c>
      <c r="C29" t="s">
        <v>58</v>
      </c>
      <c r="D29">
        <v>11.2</v>
      </c>
      <c r="E29">
        <v>20.399999999999999</v>
      </c>
      <c r="F29">
        <v>9.1999999999999993</v>
      </c>
      <c r="G29">
        <v>81.400000000000006</v>
      </c>
      <c r="H29">
        <v>6.2</v>
      </c>
      <c r="I29" t="s">
        <v>59</v>
      </c>
      <c r="J29" t="s">
        <v>59</v>
      </c>
      <c r="K29" t="s">
        <v>59</v>
      </c>
    </row>
    <row r="30" spans="1:12" x14ac:dyDescent="0.25">
      <c r="A30" t="s">
        <v>119</v>
      </c>
      <c r="B30" t="s">
        <v>120</v>
      </c>
      <c r="C30" t="s">
        <v>58</v>
      </c>
      <c r="D30">
        <v>1.2</v>
      </c>
      <c r="E30">
        <v>1.6</v>
      </c>
      <c r="F30">
        <v>0.5</v>
      </c>
      <c r="G30">
        <v>41.4</v>
      </c>
      <c r="H30">
        <v>2.9</v>
      </c>
      <c r="I30" t="s">
        <v>59</v>
      </c>
      <c r="J30" t="s">
        <v>59</v>
      </c>
      <c r="K30" t="s">
        <v>59</v>
      </c>
    </row>
    <row r="31" spans="1:12" x14ac:dyDescent="0.25">
      <c r="A31" t="s">
        <v>121</v>
      </c>
      <c r="B31" t="s">
        <v>122</v>
      </c>
      <c r="C31" t="s">
        <v>58</v>
      </c>
      <c r="D31">
        <v>2.4</v>
      </c>
      <c r="E31">
        <v>2.5</v>
      </c>
      <c r="F31">
        <v>0</v>
      </c>
      <c r="G31">
        <v>1.9</v>
      </c>
      <c r="H31">
        <v>0.4</v>
      </c>
      <c r="I31" t="s">
        <v>59</v>
      </c>
      <c r="J31" t="s">
        <v>59</v>
      </c>
      <c r="K31" t="s">
        <v>59</v>
      </c>
    </row>
    <row r="32" spans="1:12" x14ac:dyDescent="0.25">
      <c r="A32" t="s">
        <v>123</v>
      </c>
      <c r="B32" t="s">
        <v>124</v>
      </c>
      <c r="C32" t="s">
        <v>58</v>
      </c>
      <c r="D32">
        <v>4.7</v>
      </c>
      <c r="E32">
        <v>6.2</v>
      </c>
      <c r="F32">
        <v>1.5</v>
      </c>
      <c r="G32">
        <v>32.9</v>
      </c>
      <c r="H32">
        <v>2.8</v>
      </c>
      <c r="I32" t="s">
        <v>59</v>
      </c>
      <c r="J32" t="s">
        <v>59</v>
      </c>
      <c r="K32" t="s">
        <v>59</v>
      </c>
    </row>
    <row r="33" spans="1:12" x14ac:dyDescent="0.25">
      <c r="A33" t="s">
        <v>125</v>
      </c>
      <c r="B33" t="s">
        <v>126</v>
      </c>
      <c r="C33" t="s">
        <v>58</v>
      </c>
      <c r="D33">
        <v>116.1</v>
      </c>
      <c r="E33">
        <v>112.4</v>
      </c>
      <c r="F33">
        <v>-3.7</v>
      </c>
      <c r="G33">
        <v>-3.2</v>
      </c>
      <c r="H33">
        <v>-0.3</v>
      </c>
      <c r="I33">
        <v>80.400000000000006</v>
      </c>
      <c r="J33">
        <v>86.5</v>
      </c>
      <c r="K33">
        <v>0.7</v>
      </c>
      <c r="L33" t="s">
        <v>127</v>
      </c>
    </row>
    <row r="34" spans="1:12" x14ac:dyDescent="0.25">
      <c r="A34" t="s">
        <v>128</v>
      </c>
      <c r="B34" t="s">
        <v>129</v>
      </c>
      <c r="C34" t="s">
        <v>58</v>
      </c>
      <c r="D34">
        <v>62.1</v>
      </c>
      <c r="E34">
        <v>62</v>
      </c>
      <c r="F34">
        <v>-0.1</v>
      </c>
      <c r="G34">
        <v>-0.1</v>
      </c>
      <c r="H34">
        <v>0</v>
      </c>
      <c r="I34">
        <v>15.6</v>
      </c>
      <c r="J34">
        <v>16.3</v>
      </c>
      <c r="K34">
        <v>0.5</v>
      </c>
      <c r="L34" t="s">
        <v>130</v>
      </c>
    </row>
    <row r="35" spans="1:12" x14ac:dyDescent="0.25">
      <c r="A35" t="s">
        <v>131</v>
      </c>
      <c r="B35" t="s">
        <v>132</v>
      </c>
      <c r="C35" t="s">
        <v>55</v>
      </c>
      <c r="D35">
        <v>8211.7000000000007</v>
      </c>
      <c r="E35">
        <v>8572.2000000000007</v>
      </c>
      <c r="F35">
        <v>360.5</v>
      </c>
      <c r="G35">
        <v>4.4000000000000004</v>
      </c>
      <c r="H35">
        <v>0.4</v>
      </c>
      <c r="I35">
        <v>1720.9</v>
      </c>
      <c r="J35">
        <v>1874.7</v>
      </c>
      <c r="K35">
        <v>0.9</v>
      </c>
      <c r="L35" t="s">
        <v>133</v>
      </c>
    </row>
    <row r="36" spans="1:12" x14ac:dyDescent="0.25">
      <c r="A36" t="s">
        <v>134</v>
      </c>
      <c r="B36" t="s">
        <v>135</v>
      </c>
      <c r="C36" t="s">
        <v>55</v>
      </c>
      <c r="D36">
        <v>1853.6</v>
      </c>
      <c r="E36">
        <v>1938.2</v>
      </c>
      <c r="F36">
        <v>84.6</v>
      </c>
      <c r="G36">
        <v>4.5999999999999996</v>
      </c>
      <c r="H36">
        <v>0.4</v>
      </c>
      <c r="I36" t="s">
        <v>59</v>
      </c>
      <c r="J36" t="s">
        <v>59</v>
      </c>
      <c r="K36" t="s">
        <v>59</v>
      </c>
    </row>
    <row r="37" spans="1:12" x14ac:dyDescent="0.25">
      <c r="A37" t="s">
        <v>136</v>
      </c>
      <c r="B37" t="s">
        <v>137</v>
      </c>
      <c r="C37" t="s">
        <v>58</v>
      </c>
      <c r="D37">
        <v>943.1</v>
      </c>
      <c r="E37">
        <v>982.4</v>
      </c>
      <c r="F37">
        <v>39.299999999999997</v>
      </c>
      <c r="G37">
        <v>4.2</v>
      </c>
      <c r="H37">
        <v>0.4</v>
      </c>
      <c r="I37" t="s">
        <v>59</v>
      </c>
      <c r="J37" t="s">
        <v>59</v>
      </c>
      <c r="K37" t="s">
        <v>59</v>
      </c>
    </row>
    <row r="38" spans="1:12" x14ac:dyDescent="0.25">
      <c r="A38" t="s">
        <v>138</v>
      </c>
      <c r="B38" t="s">
        <v>139</v>
      </c>
      <c r="C38" t="s">
        <v>58</v>
      </c>
      <c r="D38">
        <v>910.5</v>
      </c>
      <c r="E38">
        <v>955.8</v>
      </c>
      <c r="F38">
        <v>45.3</v>
      </c>
      <c r="G38">
        <v>5</v>
      </c>
      <c r="H38">
        <v>0.5</v>
      </c>
      <c r="I38" t="s">
        <v>59</v>
      </c>
      <c r="J38" t="s">
        <v>59</v>
      </c>
      <c r="K38" t="s">
        <v>59</v>
      </c>
    </row>
    <row r="39" spans="1:12" x14ac:dyDescent="0.25">
      <c r="A39" t="s">
        <v>140</v>
      </c>
      <c r="B39" t="s">
        <v>141</v>
      </c>
      <c r="C39" t="s">
        <v>55</v>
      </c>
      <c r="D39">
        <v>1154.4000000000001</v>
      </c>
      <c r="E39">
        <v>1206.0999999999999</v>
      </c>
      <c r="F39">
        <v>51.7</v>
      </c>
      <c r="G39">
        <v>4.5</v>
      </c>
      <c r="H39">
        <v>0.4</v>
      </c>
      <c r="I39" t="s">
        <v>59</v>
      </c>
      <c r="J39" t="s">
        <v>59</v>
      </c>
      <c r="K39" t="s">
        <v>59</v>
      </c>
    </row>
    <row r="40" spans="1:12" x14ac:dyDescent="0.25">
      <c r="A40" t="s">
        <v>142</v>
      </c>
      <c r="B40" t="s">
        <v>143</v>
      </c>
      <c r="C40" t="s">
        <v>55</v>
      </c>
      <c r="D40">
        <v>602.79999999999995</v>
      </c>
      <c r="E40">
        <v>634.29999999999995</v>
      </c>
      <c r="F40">
        <v>31.5</v>
      </c>
      <c r="G40">
        <v>5.2</v>
      </c>
      <c r="H40">
        <v>0.5</v>
      </c>
      <c r="I40" t="s">
        <v>59</v>
      </c>
      <c r="J40" t="s">
        <v>59</v>
      </c>
      <c r="K40" t="s">
        <v>59</v>
      </c>
    </row>
    <row r="41" spans="1:12" x14ac:dyDescent="0.25">
      <c r="A41" t="s">
        <v>144</v>
      </c>
      <c r="B41" t="s">
        <v>145</v>
      </c>
      <c r="C41" t="s">
        <v>58</v>
      </c>
      <c r="D41">
        <v>238.4</v>
      </c>
      <c r="E41">
        <v>257.2</v>
      </c>
      <c r="F41">
        <v>18.8</v>
      </c>
      <c r="G41">
        <v>7.9</v>
      </c>
      <c r="H41">
        <v>0.8</v>
      </c>
      <c r="I41" t="s">
        <v>59</v>
      </c>
      <c r="J41" t="s">
        <v>59</v>
      </c>
      <c r="K41" t="s">
        <v>59</v>
      </c>
    </row>
    <row r="42" spans="1:12" x14ac:dyDescent="0.25">
      <c r="A42" t="s">
        <v>146</v>
      </c>
      <c r="B42" t="s">
        <v>147</v>
      </c>
      <c r="C42" t="s">
        <v>58</v>
      </c>
      <c r="D42">
        <v>37.1</v>
      </c>
      <c r="E42">
        <v>37.700000000000003</v>
      </c>
      <c r="F42">
        <v>0.6</v>
      </c>
      <c r="G42">
        <v>1.7</v>
      </c>
      <c r="H42">
        <v>0.2</v>
      </c>
      <c r="I42" t="s">
        <v>59</v>
      </c>
      <c r="J42" t="s">
        <v>59</v>
      </c>
      <c r="K42" t="s">
        <v>59</v>
      </c>
    </row>
    <row r="43" spans="1:12" x14ac:dyDescent="0.25">
      <c r="A43" t="s">
        <v>148</v>
      </c>
      <c r="B43" t="s">
        <v>149</v>
      </c>
      <c r="C43" t="s">
        <v>58</v>
      </c>
      <c r="D43">
        <v>377.9</v>
      </c>
      <c r="E43">
        <v>390.9</v>
      </c>
      <c r="F43">
        <v>13</v>
      </c>
      <c r="G43">
        <v>3.4</v>
      </c>
      <c r="H43">
        <v>0.3</v>
      </c>
      <c r="I43" t="s">
        <v>59</v>
      </c>
      <c r="J43" t="s">
        <v>59</v>
      </c>
      <c r="K43" t="s">
        <v>59</v>
      </c>
    </row>
    <row r="44" spans="1:12" x14ac:dyDescent="0.25">
      <c r="A44" t="s">
        <v>150</v>
      </c>
      <c r="B44" t="s">
        <v>151</v>
      </c>
      <c r="C44" t="s">
        <v>58</v>
      </c>
      <c r="D44">
        <v>136.6</v>
      </c>
      <c r="E44">
        <v>143.19999999999999</v>
      </c>
      <c r="F44">
        <v>6.6</v>
      </c>
      <c r="G44">
        <v>4.8</v>
      </c>
      <c r="H44">
        <v>0.5</v>
      </c>
      <c r="I44" t="s">
        <v>59</v>
      </c>
      <c r="J44" t="s">
        <v>59</v>
      </c>
      <c r="K44" t="s">
        <v>59</v>
      </c>
    </row>
    <row r="45" spans="1:12" x14ac:dyDescent="0.25">
      <c r="A45" t="s">
        <v>152</v>
      </c>
      <c r="B45" t="s">
        <v>153</v>
      </c>
      <c r="C45" t="s">
        <v>55</v>
      </c>
      <c r="D45">
        <v>5203.7</v>
      </c>
      <c r="E45">
        <v>5427.9</v>
      </c>
      <c r="F45">
        <v>224.2</v>
      </c>
      <c r="G45">
        <v>4.3</v>
      </c>
      <c r="H45">
        <v>0.4</v>
      </c>
      <c r="I45" t="s">
        <v>59</v>
      </c>
      <c r="J45" t="s">
        <v>59</v>
      </c>
      <c r="K45" t="s">
        <v>59</v>
      </c>
    </row>
    <row r="46" spans="1:12" x14ac:dyDescent="0.25">
      <c r="A46" t="s">
        <v>154</v>
      </c>
      <c r="B46" t="s">
        <v>155</v>
      </c>
      <c r="C46" t="s">
        <v>55</v>
      </c>
      <c r="D46">
        <v>992.5</v>
      </c>
      <c r="E46">
        <v>1032.0999999999999</v>
      </c>
      <c r="F46">
        <v>39.6</v>
      </c>
      <c r="G46">
        <v>4</v>
      </c>
      <c r="H46">
        <v>0.4</v>
      </c>
      <c r="I46" t="s">
        <v>59</v>
      </c>
      <c r="J46" t="s">
        <v>59</v>
      </c>
      <c r="K46" t="s">
        <v>59</v>
      </c>
    </row>
    <row r="47" spans="1:12" x14ac:dyDescent="0.25">
      <c r="A47" t="s">
        <v>156</v>
      </c>
      <c r="B47" t="s">
        <v>157</v>
      </c>
      <c r="C47" t="s">
        <v>58</v>
      </c>
      <c r="D47">
        <v>258.2</v>
      </c>
      <c r="E47">
        <v>273.5</v>
      </c>
      <c r="F47">
        <v>15.3</v>
      </c>
      <c r="G47">
        <v>5.9</v>
      </c>
      <c r="H47">
        <v>0.6</v>
      </c>
      <c r="I47" t="s">
        <v>59</v>
      </c>
      <c r="J47" t="s">
        <v>59</v>
      </c>
      <c r="K47" t="s">
        <v>59</v>
      </c>
    </row>
    <row r="48" spans="1:12" x14ac:dyDescent="0.25">
      <c r="A48" t="s">
        <v>158</v>
      </c>
      <c r="B48" t="s">
        <v>159</v>
      </c>
      <c r="C48" t="s">
        <v>58</v>
      </c>
      <c r="D48">
        <v>146.1</v>
      </c>
      <c r="E48">
        <v>150</v>
      </c>
      <c r="F48">
        <v>3.9</v>
      </c>
      <c r="G48">
        <v>2.7</v>
      </c>
      <c r="H48">
        <v>0.3</v>
      </c>
      <c r="I48" t="s">
        <v>59</v>
      </c>
      <c r="J48" t="s">
        <v>59</v>
      </c>
      <c r="K48" t="s">
        <v>59</v>
      </c>
    </row>
    <row r="49" spans="1:12" x14ac:dyDescent="0.25">
      <c r="A49" t="s">
        <v>160</v>
      </c>
      <c r="B49" t="s">
        <v>161</v>
      </c>
      <c r="C49" t="s">
        <v>58</v>
      </c>
      <c r="D49">
        <v>249.8</v>
      </c>
      <c r="E49">
        <v>261.5</v>
      </c>
      <c r="F49">
        <v>11.7</v>
      </c>
      <c r="G49">
        <v>4.7</v>
      </c>
      <c r="H49">
        <v>0.5</v>
      </c>
      <c r="I49" t="s">
        <v>59</v>
      </c>
      <c r="J49" t="s">
        <v>59</v>
      </c>
      <c r="K49" t="s">
        <v>59</v>
      </c>
    </row>
    <row r="50" spans="1:12" x14ac:dyDescent="0.25">
      <c r="A50" t="s">
        <v>162</v>
      </c>
      <c r="B50" t="s">
        <v>163</v>
      </c>
      <c r="C50" t="s">
        <v>55</v>
      </c>
      <c r="D50">
        <v>2556.3000000000002</v>
      </c>
      <c r="E50">
        <v>2688.2</v>
      </c>
      <c r="F50">
        <v>131.9</v>
      </c>
      <c r="G50">
        <v>5.2</v>
      </c>
      <c r="H50">
        <v>0.5</v>
      </c>
      <c r="I50" t="s">
        <v>59</v>
      </c>
      <c r="J50" t="s">
        <v>59</v>
      </c>
      <c r="K50" t="s">
        <v>59</v>
      </c>
    </row>
    <row r="51" spans="1:12" x14ac:dyDescent="0.25">
      <c r="A51" t="s">
        <v>164</v>
      </c>
      <c r="B51" t="s">
        <v>165</v>
      </c>
      <c r="C51" t="s">
        <v>58</v>
      </c>
      <c r="D51">
        <v>1095.2</v>
      </c>
      <c r="E51">
        <v>1156.4000000000001</v>
      </c>
      <c r="F51">
        <v>61.2</v>
      </c>
      <c r="G51">
        <v>5.6</v>
      </c>
      <c r="H51">
        <v>0.5</v>
      </c>
      <c r="I51" t="s">
        <v>59</v>
      </c>
      <c r="J51" t="s">
        <v>59</v>
      </c>
      <c r="K51" t="s">
        <v>59</v>
      </c>
    </row>
    <row r="52" spans="1:12" x14ac:dyDescent="0.25">
      <c r="A52" t="s">
        <v>166</v>
      </c>
      <c r="B52" t="s">
        <v>167</v>
      </c>
      <c r="C52" t="s">
        <v>58</v>
      </c>
      <c r="D52">
        <v>1298.3</v>
      </c>
      <c r="E52">
        <v>1361.3</v>
      </c>
      <c r="F52">
        <v>63</v>
      </c>
      <c r="G52">
        <v>4.8</v>
      </c>
      <c r="H52">
        <v>0.5</v>
      </c>
      <c r="I52" t="s">
        <v>59</v>
      </c>
      <c r="J52" t="s">
        <v>59</v>
      </c>
      <c r="K52" t="s">
        <v>59</v>
      </c>
    </row>
    <row r="53" spans="1:12" x14ac:dyDescent="0.25">
      <c r="A53" t="s">
        <v>168</v>
      </c>
      <c r="B53" t="s">
        <v>169</v>
      </c>
      <c r="C53" t="s">
        <v>58</v>
      </c>
      <c r="D53">
        <v>162.80000000000001</v>
      </c>
      <c r="E53">
        <v>170.6</v>
      </c>
      <c r="F53">
        <v>7.8</v>
      </c>
      <c r="G53">
        <v>4.8</v>
      </c>
      <c r="H53">
        <v>0.5</v>
      </c>
      <c r="I53" t="s">
        <v>59</v>
      </c>
      <c r="J53" t="s">
        <v>59</v>
      </c>
      <c r="K53" t="s">
        <v>59</v>
      </c>
    </row>
    <row r="54" spans="1:12" x14ac:dyDescent="0.25">
      <c r="A54" t="s">
        <v>170</v>
      </c>
      <c r="B54" t="s">
        <v>171</v>
      </c>
      <c r="C54" t="s">
        <v>55</v>
      </c>
      <c r="D54">
        <v>849.3</v>
      </c>
      <c r="E54">
        <v>858.9</v>
      </c>
      <c r="F54">
        <v>9.6</v>
      </c>
      <c r="G54">
        <v>1.1000000000000001</v>
      </c>
      <c r="H54">
        <v>0.1</v>
      </c>
      <c r="I54" t="s">
        <v>59</v>
      </c>
      <c r="J54" t="s">
        <v>59</v>
      </c>
      <c r="K54" t="s">
        <v>59</v>
      </c>
    </row>
    <row r="55" spans="1:12" x14ac:dyDescent="0.25">
      <c r="A55" t="s">
        <v>172</v>
      </c>
      <c r="B55" t="s">
        <v>173</v>
      </c>
      <c r="C55" t="s">
        <v>58</v>
      </c>
      <c r="D55">
        <v>247.5</v>
      </c>
      <c r="E55">
        <v>253.7</v>
      </c>
      <c r="F55">
        <v>6.2</v>
      </c>
      <c r="G55">
        <v>2.5</v>
      </c>
      <c r="H55">
        <v>0.2</v>
      </c>
      <c r="I55" t="s">
        <v>59</v>
      </c>
      <c r="J55" t="s">
        <v>59</v>
      </c>
      <c r="K55" t="s">
        <v>59</v>
      </c>
    </row>
    <row r="56" spans="1:12" x14ac:dyDescent="0.25">
      <c r="A56" t="s">
        <v>174</v>
      </c>
      <c r="B56" t="s">
        <v>175</v>
      </c>
      <c r="C56" t="s">
        <v>58</v>
      </c>
      <c r="D56">
        <v>210.3</v>
      </c>
      <c r="E56">
        <v>211.7</v>
      </c>
      <c r="F56">
        <v>1.4</v>
      </c>
      <c r="G56">
        <v>0.7</v>
      </c>
      <c r="H56">
        <v>0.1</v>
      </c>
      <c r="I56" t="s">
        <v>59</v>
      </c>
      <c r="J56" t="s">
        <v>59</v>
      </c>
      <c r="K56" t="s">
        <v>59</v>
      </c>
    </row>
    <row r="57" spans="1:12" x14ac:dyDescent="0.25">
      <c r="A57" t="s">
        <v>176</v>
      </c>
      <c r="B57" t="s">
        <v>177</v>
      </c>
      <c r="C57" t="s">
        <v>58</v>
      </c>
      <c r="D57">
        <v>805.6</v>
      </c>
      <c r="E57">
        <v>848.6</v>
      </c>
      <c r="F57">
        <v>43</v>
      </c>
      <c r="G57">
        <v>5.3</v>
      </c>
      <c r="H57">
        <v>0.5</v>
      </c>
      <c r="I57" t="s">
        <v>59</v>
      </c>
      <c r="J57" t="s">
        <v>59</v>
      </c>
      <c r="K57" t="s">
        <v>59</v>
      </c>
    </row>
    <row r="58" spans="1:12" x14ac:dyDescent="0.25">
      <c r="A58" t="s">
        <v>178</v>
      </c>
      <c r="B58" t="s">
        <v>179</v>
      </c>
      <c r="C58" t="s">
        <v>55</v>
      </c>
      <c r="D58">
        <v>12817.2</v>
      </c>
      <c r="E58">
        <v>12816.8</v>
      </c>
      <c r="F58">
        <v>-0.4</v>
      </c>
      <c r="G58">
        <v>0</v>
      </c>
      <c r="H58">
        <v>0</v>
      </c>
      <c r="I58">
        <v>5696.8</v>
      </c>
      <c r="J58">
        <v>6486.2</v>
      </c>
      <c r="K58">
        <v>1.3</v>
      </c>
    </row>
    <row r="59" spans="1:12" x14ac:dyDescent="0.25">
      <c r="A59" t="s">
        <v>180</v>
      </c>
      <c r="B59" t="s">
        <v>181</v>
      </c>
      <c r="C59" t="s">
        <v>55</v>
      </c>
      <c r="D59">
        <v>1767.6</v>
      </c>
      <c r="E59">
        <v>1860.1</v>
      </c>
      <c r="F59">
        <v>92.5</v>
      </c>
      <c r="G59">
        <v>5.2</v>
      </c>
      <c r="H59">
        <v>0.5</v>
      </c>
      <c r="I59">
        <v>757.1</v>
      </c>
      <c r="J59">
        <v>910.3</v>
      </c>
      <c r="K59">
        <v>1.9</v>
      </c>
      <c r="L59" t="s">
        <v>182</v>
      </c>
    </row>
    <row r="60" spans="1:12" x14ac:dyDescent="0.25">
      <c r="A60" t="s">
        <v>183</v>
      </c>
      <c r="B60" t="s">
        <v>184</v>
      </c>
      <c r="C60" t="s">
        <v>58</v>
      </c>
      <c r="D60">
        <v>75.400000000000006</v>
      </c>
      <c r="E60">
        <v>80.599999999999994</v>
      </c>
      <c r="F60">
        <v>5.2</v>
      </c>
      <c r="G60">
        <v>6.9</v>
      </c>
      <c r="H60">
        <v>0.7</v>
      </c>
      <c r="I60">
        <v>50.8</v>
      </c>
      <c r="J60">
        <v>60.7</v>
      </c>
      <c r="K60">
        <v>1.8</v>
      </c>
    </row>
    <row r="61" spans="1:12" x14ac:dyDescent="0.25">
      <c r="A61" t="s">
        <v>185</v>
      </c>
      <c r="B61" t="s">
        <v>186</v>
      </c>
      <c r="C61" t="s">
        <v>58</v>
      </c>
      <c r="D61">
        <v>67.400000000000006</v>
      </c>
      <c r="E61">
        <v>67.7</v>
      </c>
      <c r="F61">
        <v>0.3</v>
      </c>
      <c r="G61">
        <v>0.5</v>
      </c>
      <c r="H61">
        <v>0</v>
      </c>
      <c r="I61">
        <v>81.2</v>
      </c>
      <c r="J61">
        <v>93.9</v>
      </c>
      <c r="K61">
        <v>1.5</v>
      </c>
    </row>
    <row r="62" spans="1:12" x14ac:dyDescent="0.25">
      <c r="A62" t="s">
        <v>187</v>
      </c>
      <c r="B62" t="s">
        <v>188</v>
      </c>
      <c r="C62" t="s">
        <v>58</v>
      </c>
      <c r="D62">
        <v>82.2</v>
      </c>
      <c r="E62">
        <v>84.2</v>
      </c>
      <c r="F62">
        <v>2</v>
      </c>
      <c r="G62">
        <v>2.4</v>
      </c>
      <c r="H62">
        <v>0.2</v>
      </c>
      <c r="I62">
        <v>32.6</v>
      </c>
      <c r="J62">
        <v>35.799999999999997</v>
      </c>
      <c r="K62">
        <v>0.9</v>
      </c>
    </row>
    <row r="63" spans="1:12" x14ac:dyDescent="0.25">
      <c r="A63" t="s">
        <v>189</v>
      </c>
      <c r="B63" t="s">
        <v>190</v>
      </c>
      <c r="C63" t="s">
        <v>58</v>
      </c>
      <c r="D63">
        <v>173.8</v>
      </c>
      <c r="E63">
        <v>172.6</v>
      </c>
      <c r="F63">
        <v>-1.2</v>
      </c>
      <c r="G63">
        <v>-0.7</v>
      </c>
      <c r="H63">
        <v>-0.1</v>
      </c>
      <c r="I63">
        <v>57.1</v>
      </c>
      <c r="J63">
        <v>65.900000000000006</v>
      </c>
      <c r="K63">
        <v>1.4</v>
      </c>
    </row>
    <row r="64" spans="1:12" x14ac:dyDescent="0.25">
      <c r="A64" t="s">
        <v>191</v>
      </c>
      <c r="B64" t="s">
        <v>192</v>
      </c>
      <c r="C64" t="s">
        <v>58</v>
      </c>
      <c r="D64">
        <v>168</v>
      </c>
      <c r="E64">
        <v>178.8</v>
      </c>
      <c r="F64">
        <v>10.8</v>
      </c>
      <c r="G64">
        <v>6.4</v>
      </c>
      <c r="H64">
        <v>0.6</v>
      </c>
      <c r="I64">
        <v>130.4</v>
      </c>
      <c r="J64">
        <v>171.1</v>
      </c>
      <c r="K64">
        <v>2.8</v>
      </c>
    </row>
    <row r="65" spans="1:12" x14ac:dyDescent="0.25">
      <c r="A65" t="s">
        <v>193</v>
      </c>
      <c r="B65" t="s">
        <v>194</v>
      </c>
      <c r="C65" t="s">
        <v>58</v>
      </c>
      <c r="D65">
        <v>556.4</v>
      </c>
      <c r="E65">
        <v>591.79999999999995</v>
      </c>
      <c r="F65">
        <v>35.4</v>
      </c>
      <c r="G65">
        <v>6.4</v>
      </c>
      <c r="H65">
        <v>0.6</v>
      </c>
      <c r="I65">
        <v>221.4</v>
      </c>
      <c r="J65">
        <v>265.10000000000002</v>
      </c>
      <c r="K65">
        <v>1.8</v>
      </c>
    </row>
    <row r="66" spans="1:12" x14ac:dyDescent="0.25">
      <c r="A66" t="s">
        <v>195</v>
      </c>
      <c r="B66" t="s">
        <v>196</v>
      </c>
      <c r="C66" t="s">
        <v>58</v>
      </c>
      <c r="D66">
        <v>31.5</v>
      </c>
      <c r="E66">
        <v>30.7</v>
      </c>
      <c r="F66">
        <v>-0.8</v>
      </c>
      <c r="G66">
        <v>-2.5</v>
      </c>
      <c r="H66">
        <v>-0.3</v>
      </c>
      <c r="I66">
        <v>12.2</v>
      </c>
      <c r="J66">
        <v>14</v>
      </c>
      <c r="K66">
        <v>1.3</v>
      </c>
    </row>
    <row r="67" spans="1:12" x14ac:dyDescent="0.25">
      <c r="A67" t="s">
        <v>197</v>
      </c>
      <c r="B67" t="s">
        <v>198</v>
      </c>
      <c r="C67" t="s">
        <v>58</v>
      </c>
      <c r="D67">
        <v>350.4</v>
      </c>
      <c r="E67">
        <v>369.2</v>
      </c>
      <c r="F67">
        <v>18.8</v>
      </c>
      <c r="G67">
        <v>5.4</v>
      </c>
      <c r="H67">
        <v>0.5</v>
      </c>
      <c r="I67">
        <v>62.1</v>
      </c>
      <c r="J67">
        <v>74.400000000000006</v>
      </c>
      <c r="K67">
        <v>1.8</v>
      </c>
    </row>
    <row r="68" spans="1:12" x14ac:dyDescent="0.25">
      <c r="A68" t="s">
        <v>199</v>
      </c>
      <c r="B68" t="s">
        <v>200</v>
      </c>
      <c r="C68" t="s">
        <v>58</v>
      </c>
      <c r="D68">
        <v>262.5</v>
      </c>
      <c r="E68">
        <v>284.39999999999998</v>
      </c>
      <c r="F68">
        <v>21.9</v>
      </c>
      <c r="G68">
        <v>8.4</v>
      </c>
      <c r="H68">
        <v>0.8</v>
      </c>
      <c r="I68">
        <v>109</v>
      </c>
      <c r="J68">
        <v>131</v>
      </c>
      <c r="K68">
        <v>1.9</v>
      </c>
    </row>
    <row r="69" spans="1:12" x14ac:dyDescent="0.25">
      <c r="A69" t="s">
        <v>201</v>
      </c>
      <c r="B69" t="s">
        <v>202</v>
      </c>
      <c r="C69" t="s">
        <v>55</v>
      </c>
      <c r="D69">
        <v>343.4</v>
      </c>
      <c r="E69">
        <v>379.7</v>
      </c>
      <c r="F69">
        <v>36.299999999999997</v>
      </c>
      <c r="G69">
        <v>10.6</v>
      </c>
      <c r="H69">
        <v>1</v>
      </c>
      <c r="I69">
        <v>181.9</v>
      </c>
      <c r="J69">
        <v>203</v>
      </c>
      <c r="K69">
        <v>1.1000000000000001</v>
      </c>
      <c r="L69" t="s">
        <v>182</v>
      </c>
    </row>
    <row r="70" spans="1:12" x14ac:dyDescent="0.25">
      <c r="A70" t="s">
        <v>203</v>
      </c>
      <c r="B70" t="s">
        <v>204</v>
      </c>
      <c r="C70" t="s">
        <v>58</v>
      </c>
      <c r="D70">
        <v>333</v>
      </c>
      <c r="E70">
        <v>370.8</v>
      </c>
      <c r="F70">
        <v>37.799999999999997</v>
      </c>
      <c r="G70">
        <v>11.4</v>
      </c>
      <c r="H70">
        <v>1.1000000000000001</v>
      </c>
      <c r="I70">
        <v>115.7</v>
      </c>
      <c r="J70">
        <v>150.5</v>
      </c>
      <c r="K70">
        <v>2.7</v>
      </c>
    </row>
    <row r="71" spans="1:12" x14ac:dyDescent="0.25">
      <c r="A71" t="s">
        <v>205</v>
      </c>
      <c r="B71" t="s">
        <v>206</v>
      </c>
      <c r="C71" t="s">
        <v>58</v>
      </c>
      <c r="D71">
        <v>10.4</v>
      </c>
      <c r="E71">
        <v>8.8000000000000007</v>
      </c>
      <c r="F71">
        <v>-1.6</v>
      </c>
      <c r="G71">
        <v>-15</v>
      </c>
      <c r="H71">
        <v>-1.7</v>
      </c>
      <c r="I71">
        <v>65.2</v>
      </c>
      <c r="J71">
        <v>54.6</v>
      </c>
      <c r="K71">
        <v>-1.8</v>
      </c>
    </row>
    <row r="72" spans="1:12" x14ac:dyDescent="0.25">
      <c r="A72" t="s">
        <v>207</v>
      </c>
      <c r="B72" t="s">
        <v>208</v>
      </c>
      <c r="C72" t="s">
        <v>58</v>
      </c>
      <c r="D72">
        <v>86.6</v>
      </c>
      <c r="E72">
        <v>78.3</v>
      </c>
      <c r="F72">
        <v>-8.3000000000000007</v>
      </c>
      <c r="G72">
        <v>-9.5</v>
      </c>
      <c r="H72">
        <v>-1</v>
      </c>
      <c r="I72">
        <v>19.399999999999999</v>
      </c>
      <c r="J72">
        <v>20</v>
      </c>
      <c r="K72">
        <v>0.3</v>
      </c>
      <c r="L72" t="s">
        <v>209</v>
      </c>
    </row>
    <row r="73" spans="1:12" x14ac:dyDescent="0.25">
      <c r="A73" t="s">
        <v>210</v>
      </c>
      <c r="B73" t="s">
        <v>211</v>
      </c>
      <c r="C73" t="s">
        <v>58</v>
      </c>
      <c r="D73">
        <v>99.5</v>
      </c>
      <c r="E73">
        <v>89</v>
      </c>
      <c r="F73">
        <v>-10.5</v>
      </c>
      <c r="G73">
        <v>-10.5</v>
      </c>
      <c r="H73">
        <v>-1.1000000000000001</v>
      </c>
      <c r="I73">
        <v>21</v>
      </c>
      <c r="J73">
        <v>21.9</v>
      </c>
      <c r="K73">
        <v>0.4</v>
      </c>
      <c r="L73" t="s">
        <v>209</v>
      </c>
    </row>
    <row r="74" spans="1:12" x14ac:dyDescent="0.25">
      <c r="A74" t="s">
        <v>212</v>
      </c>
      <c r="B74" t="s">
        <v>213</v>
      </c>
      <c r="C74" t="s">
        <v>58</v>
      </c>
      <c r="D74">
        <v>84.5</v>
      </c>
      <c r="E74">
        <v>58.8</v>
      </c>
      <c r="F74">
        <v>-25.7</v>
      </c>
      <c r="G74">
        <v>-30.4</v>
      </c>
      <c r="H74">
        <v>-3.6</v>
      </c>
      <c r="I74">
        <v>12.3</v>
      </c>
      <c r="J74">
        <v>10.1</v>
      </c>
      <c r="K74">
        <v>-1.9</v>
      </c>
      <c r="L74" t="s">
        <v>209</v>
      </c>
    </row>
    <row r="75" spans="1:12" x14ac:dyDescent="0.25">
      <c r="A75" t="s">
        <v>214</v>
      </c>
      <c r="B75" t="s">
        <v>215</v>
      </c>
      <c r="C75" t="s">
        <v>58</v>
      </c>
      <c r="D75">
        <v>25.1</v>
      </c>
      <c r="E75">
        <v>23.8</v>
      </c>
      <c r="F75">
        <v>-1.3</v>
      </c>
      <c r="G75">
        <v>-5.2</v>
      </c>
      <c r="H75">
        <v>-0.5</v>
      </c>
      <c r="I75">
        <v>11.9</v>
      </c>
      <c r="J75">
        <v>14.2</v>
      </c>
      <c r="K75">
        <v>1.8</v>
      </c>
      <c r="L75" t="s">
        <v>209</v>
      </c>
    </row>
    <row r="76" spans="1:12" x14ac:dyDescent="0.25">
      <c r="A76" t="s">
        <v>216</v>
      </c>
      <c r="B76" t="s">
        <v>217</v>
      </c>
      <c r="C76" t="s">
        <v>55</v>
      </c>
      <c r="D76">
        <v>417</v>
      </c>
      <c r="E76">
        <v>417.6</v>
      </c>
      <c r="F76">
        <v>0.6</v>
      </c>
      <c r="G76">
        <v>0.1</v>
      </c>
      <c r="H76">
        <v>0</v>
      </c>
      <c r="I76">
        <v>126.5</v>
      </c>
      <c r="J76">
        <v>150.1</v>
      </c>
      <c r="K76">
        <v>1.7</v>
      </c>
      <c r="L76" t="s">
        <v>218</v>
      </c>
    </row>
    <row r="77" spans="1:12" x14ac:dyDescent="0.25">
      <c r="A77" t="s">
        <v>219</v>
      </c>
      <c r="B77" t="s">
        <v>220</v>
      </c>
      <c r="C77" t="s">
        <v>58</v>
      </c>
      <c r="D77">
        <v>90.6</v>
      </c>
      <c r="E77">
        <v>89.2</v>
      </c>
      <c r="F77">
        <v>-1.4</v>
      </c>
      <c r="G77">
        <v>-1.6</v>
      </c>
      <c r="H77">
        <v>-0.2</v>
      </c>
      <c r="I77">
        <v>47.2</v>
      </c>
      <c r="J77">
        <v>56.4</v>
      </c>
      <c r="K77">
        <v>1.8</v>
      </c>
    </row>
    <row r="78" spans="1:12" x14ac:dyDescent="0.25">
      <c r="A78" t="s">
        <v>221</v>
      </c>
      <c r="B78" t="s">
        <v>222</v>
      </c>
      <c r="C78" t="s">
        <v>58</v>
      </c>
      <c r="D78">
        <v>82.2</v>
      </c>
      <c r="E78">
        <v>81.3</v>
      </c>
      <c r="F78">
        <v>-0.9</v>
      </c>
      <c r="G78">
        <v>-1.1000000000000001</v>
      </c>
      <c r="H78">
        <v>-0.1</v>
      </c>
      <c r="I78">
        <v>24.3</v>
      </c>
      <c r="J78">
        <v>28.6</v>
      </c>
      <c r="K78">
        <v>1.7</v>
      </c>
    </row>
    <row r="79" spans="1:12" x14ac:dyDescent="0.25">
      <c r="A79" t="s">
        <v>223</v>
      </c>
      <c r="B79" t="s">
        <v>224</v>
      </c>
      <c r="C79" t="s">
        <v>58</v>
      </c>
      <c r="D79">
        <v>244.2</v>
      </c>
      <c r="E79">
        <v>247.1</v>
      </c>
      <c r="F79">
        <v>2.9</v>
      </c>
      <c r="G79">
        <v>1.2</v>
      </c>
      <c r="H79">
        <v>0.1</v>
      </c>
      <c r="I79">
        <v>56.8</v>
      </c>
      <c r="J79">
        <v>67.3</v>
      </c>
      <c r="K79">
        <v>1.7</v>
      </c>
    </row>
    <row r="80" spans="1:12" x14ac:dyDescent="0.25">
      <c r="A80" t="s">
        <v>225</v>
      </c>
      <c r="B80" t="s">
        <v>226</v>
      </c>
      <c r="C80" t="s">
        <v>55</v>
      </c>
      <c r="D80">
        <v>354.6</v>
      </c>
      <c r="E80">
        <v>328.9</v>
      </c>
      <c r="F80">
        <v>-25.7</v>
      </c>
      <c r="G80">
        <v>-7.3</v>
      </c>
      <c r="H80">
        <v>-0.7</v>
      </c>
      <c r="I80">
        <v>163</v>
      </c>
      <c r="J80">
        <v>180.2</v>
      </c>
      <c r="K80">
        <v>1</v>
      </c>
      <c r="L80" t="s">
        <v>227</v>
      </c>
    </row>
    <row r="81" spans="1:12" x14ac:dyDescent="0.25">
      <c r="A81" t="s">
        <v>228</v>
      </c>
      <c r="B81" t="s">
        <v>229</v>
      </c>
      <c r="C81" t="s">
        <v>58</v>
      </c>
      <c r="D81">
        <v>84.7</v>
      </c>
      <c r="E81">
        <v>73.599999999999994</v>
      </c>
      <c r="F81">
        <v>-11.1</v>
      </c>
      <c r="G81">
        <v>-13.1</v>
      </c>
      <c r="H81">
        <v>-1.4</v>
      </c>
      <c r="I81">
        <v>63.9</v>
      </c>
      <c r="J81">
        <v>63.1</v>
      </c>
      <c r="K81">
        <v>-0.1</v>
      </c>
    </row>
    <row r="82" spans="1:12" x14ac:dyDescent="0.25">
      <c r="A82" t="s">
        <v>230</v>
      </c>
      <c r="B82" t="s">
        <v>231</v>
      </c>
      <c r="C82" t="s">
        <v>58</v>
      </c>
      <c r="D82">
        <v>269.89999999999998</v>
      </c>
      <c r="E82">
        <v>255.3</v>
      </c>
      <c r="F82">
        <v>-14.6</v>
      </c>
      <c r="G82">
        <v>-5.4</v>
      </c>
      <c r="H82">
        <v>-0.6</v>
      </c>
      <c r="I82">
        <v>99</v>
      </c>
      <c r="J82">
        <v>116.9</v>
      </c>
      <c r="K82">
        <v>1.7</v>
      </c>
    </row>
    <row r="83" spans="1:12" x14ac:dyDescent="0.25">
      <c r="A83" t="s">
        <v>232</v>
      </c>
      <c r="B83" t="s">
        <v>233</v>
      </c>
      <c r="C83" t="s">
        <v>58</v>
      </c>
      <c r="D83">
        <v>357.2</v>
      </c>
      <c r="E83">
        <v>301.89999999999998</v>
      </c>
      <c r="F83">
        <v>-55.3</v>
      </c>
      <c r="G83">
        <v>-15.5</v>
      </c>
      <c r="H83">
        <v>-1.7</v>
      </c>
      <c r="I83">
        <v>67</v>
      </c>
      <c r="J83">
        <v>71.099999999999994</v>
      </c>
      <c r="K83">
        <v>0.6</v>
      </c>
      <c r="L83" t="s">
        <v>227</v>
      </c>
    </row>
    <row r="84" spans="1:12" x14ac:dyDescent="0.25">
      <c r="A84" t="s">
        <v>234</v>
      </c>
      <c r="B84" t="s">
        <v>235</v>
      </c>
      <c r="C84" t="s">
        <v>58</v>
      </c>
      <c r="D84">
        <v>109.4</v>
      </c>
      <c r="E84">
        <v>106.2</v>
      </c>
      <c r="F84">
        <v>-3.2</v>
      </c>
      <c r="G84">
        <v>-3</v>
      </c>
      <c r="H84">
        <v>-0.3</v>
      </c>
      <c r="I84">
        <v>483.5</v>
      </c>
      <c r="J84">
        <v>535</v>
      </c>
      <c r="K84">
        <v>1</v>
      </c>
      <c r="L84" t="s">
        <v>236</v>
      </c>
    </row>
    <row r="85" spans="1:12" x14ac:dyDescent="0.25">
      <c r="A85" t="s">
        <v>237</v>
      </c>
      <c r="B85" t="s">
        <v>238</v>
      </c>
      <c r="C85" t="s">
        <v>55</v>
      </c>
      <c r="D85">
        <v>897.9</v>
      </c>
      <c r="E85">
        <v>928.9</v>
      </c>
      <c r="F85">
        <v>31</v>
      </c>
      <c r="G85">
        <v>3.5</v>
      </c>
      <c r="H85">
        <v>0.3</v>
      </c>
      <c r="I85">
        <v>849.6</v>
      </c>
      <c r="J85">
        <v>1004</v>
      </c>
      <c r="K85">
        <v>1.7</v>
      </c>
    </row>
    <row r="86" spans="1:12" x14ac:dyDescent="0.25">
      <c r="A86" t="s">
        <v>239</v>
      </c>
      <c r="B86" t="s">
        <v>240</v>
      </c>
      <c r="C86" t="s">
        <v>58</v>
      </c>
      <c r="D86">
        <v>368.7</v>
      </c>
      <c r="E86">
        <v>376.7</v>
      </c>
      <c r="F86">
        <v>8</v>
      </c>
      <c r="G86">
        <v>2.2000000000000002</v>
      </c>
      <c r="H86">
        <v>0.2</v>
      </c>
      <c r="I86">
        <v>390.8</v>
      </c>
      <c r="J86">
        <v>431.5</v>
      </c>
      <c r="K86">
        <v>1</v>
      </c>
      <c r="L86" t="s">
        <v>241</v>
      </c>
    </row>
    <row r="87" spans="1:12" x14ac:dyDescent="0.25">
      <c r="A87" t="s">
        <v>242</v>
      </c>
      <c r="B87" t="s">
        <v>243</v>
      </c>
      <c r="C87" t="s">
        <v>58</v>
      </c>
      <c r="D87">
        <v>178.7</v>
      </c>
      <c r="E87">
        <v>182.7</v>
      </c>
      <c r="F87">
        <v>4</v>
      </c>
      <c r="G87">
        <v>2.2999999999999998</v>
      </c>
      <c r="H87">
        <v>0.2</v>
      </c>
      <c r="I87">
        <v>114.5</v>
      </c>
      <c r="J87">
        <v>139.5</v>
      </c>
      <c r="K87">
        <v>2</v>
      </c>
      <c r="L87" t="s">
        <v>241</v>
      </c>
    </row>
    <row r="88" spans="1:12" x14ac:dyDescent="0.25">
      <c r="A88" t="s">
        <v>244</v>
      </c>
      <c r="B88" t="s">
        <v>245</v>
      </c>
      <c r="C88" t="s">
        <v>58</v>
      </c>
      <c r="D88">
        <v>350.5</v>
      </c>
      <c r="E88">
        <v>369.5</v>
      </c>
      <c r="F88">
        <v>19</v>
      </c>
      <c r="G88">
        <v>5.4</v>
      </c>
      <c r="H88">
        <v>0.5</v>
      </c>
      <c r="I88">
        <v>346.7</v>
      </c>
      <c r="J88">
        <v>438.5</v>
      </c>
      <c r="K88">
        <v>2.4</v>
      </c>
      <c r="L88" t="s">
        <v>246</v>
      </c>
    </row>
    <row r="89" spans="1:12" x14ac:dyDescent="0.25">
      <c r="A89" t="s">
        <v>247</v>
      </c>
      <c r="B89" t="s">
        <v>248</v>
      </c>
      <c r="C89" t="s">
        <v>55</v>
      </c>
      <c r="D89">
        <v>725.1</v>
      </c>
      <c r="E89">
        <v>753.4</v>
      </c>
      <c r="F89">
        <v>28.3</v>
      </c>
      <c r="G89">
        <v>3.9</v>
      </c>
      <c r="H89">
        <v>0.4</v>
      </c>
      <c r="I89">
        <v>229.7</v>
      </c>
      <c r="J89">
        <v>252.1</v>
      </c>
      <c r="K89">
        <v>0.9</v>
      </c>
      <c r="L89" t="s">
        <v>249</v>
      </c>
    </row>
    <row r="90" spans="1:12" x14ac:dyDescent="0.25">
      <c r="A90" t="s">
        <v>250</v>
      </c>
      <c r="B90" t="s">
        <v>251</v>
      </c>
      <c r="C90" t="s">
        <v>58</v>
      </c>
      <c r="D90">
        <v>592.5</v>
      </c>
      <c r="E90">
        <v>618.79999999999995</v>
      </c>
      <c r="F90">
        <v>26.3</v>
      </c>
      <c r="G90">
        <v>4.4000000000000004</v>
      </c>
      <c r="H90">
        <v>0.4</v>
      </c>
      <c r="I90">
        <v>190.7</v>
      </c>
      <c r="J90">
        <v>212.4</v>
      </c>
      <c r="K90">
        <v>1.1000000000000001</v>
      </c>
    </row>
    <row r="91" spans="1:12" x14ac:dyDescent="0.25">
      <c r="A91" t="s">
        <v>252</v>
      </c>
      <c r="B91" t="s">
        <v>253</v>
      </c>
      <c r="C91" t="s">
        <v>58</v>
      </c>
      <c r="D91">
        <v>132.6</v>
      </c>
      <c r="E91">
        <v>134.6</v>
      </c>
      <c r="F91">
        <v>2</v>
      </c>
      <c r="G91">
        <v>1.5</v>
      </c>
      <c r="H91">
        <v>0.1</v>
      </c>
      <c r="I91">
        <v>39.1</v>
      </c>
      <c r="J91">
        <v>39.700000000000003</v>
      </c>
      <c r="K91">
        <v>0.2</v>
      </c>
    </row>
    <row r="92" spans="1:12" x14ac:dyDescent="0.25">
      <c r="A92" t="s">
        <v>254</v>
      </c>
      <c r="B92" t="s">
        <v>255</v>
      </c>
      <c r="C92" t="s">
        <v>58</v>
      </c>
      <c r="D92">
        <v>422.3</v>
      </c>
      <c r="E92">
        <v>429</v>
      </c>
      <c r="F92">
        <v>6.7</v>
      </c>
      <c r="G92">
        <v>1.6</v>
      </c>
      <c r="H92">
        <v>0.2</v>
      </c>
      <c r="I92">
        <v>113.5</v>
      </c>
      <c r="J92">
        <v>132.30000000000001</v>
      </c>
      <c r="K92">
        <v>1.5</v>
      </c>
      <c r="L92" t="s">
        <v>256</v>
      </c>
    </row>
    <row r="93" spans="1:12" x14ac:dyDescent="0.25">
      <c r="A93" t="s">
        <v>257</v>
      </c>
      <c r="B93" t="s">
        <v>258</v>
      </c>
      <c r="C93" t="s">
        <v>55</v>
      </c>
      <c r="D93">
        <v>373.2</v>
      </c>
      <c r="E93">
        <v>360.2</v>
      </c>
      <c r="F93">
        <v>-13</v>
      </c>
      <c r="G93">
        <v>-3.5</v>
      </c>
      <c r="H93">
        <v>-0.4</v>
      </c>
      <c r="I93">
        <v>246.6</v>
      </c>
      <c r="J93">
        <v>287.3</v>
      </c>
      <c r="K93">
        <v>1.5</v>
      </c>
    </row>
    <row r="94" spans="1:12" x14ac:dyDescent="0.25">
      <c r="A94" t="s">
        <v>259</v>
      </c>
      <c r="B94" t="s">
        <v>260</v>
      </c>
      <c r="C94" t="s">
        <v>58</v>
      </c>
      <c r="D94">
        <v>85.6</v>
      </c>
      <c r="E94">
        <v>86.9</v>
      </c>
      <c r="F94">
        <v>1.3</v>
      </c>
      <c r="G94">
        <v>1.5</v>
      </c>
      <c r="H94">
        <v>0.2</v>
      </c>
      <c r="I94">
        <v>103.9</v>
      </c>
      <c r="J94">
        <v>124.3</v>
      </c>
      <c r="K94">
        <v>1.8</v>
      </c>
      <c r="L94" t="s">
        <v>261</v>
      </c>
    </row>
    <row r="95" spans="1:12" x14ac:dyDescent="0.25">
      <c r="A95" t="s">
        <v>262</v>
      </c>
      <c r="B95" t="s">
        <v>263</v>
      </c>
      <c r="C95" t="s">
        <v>58</v>
      </c>
      <c r="D95">
        <v>59.8</v>
      </c>
      <c r="E95">
        <v>60.9</v>
      </c>
      <c r="F95">
        <v>1.1000000000000001</v>
      </c>
      <c r="G95">
        <v>1.9</v>
      </c>
      <c r="H95">
        <v>0.2</v>
      </c>
      <c r="I95">
        <v>25.6</v>
      </c>
      <c r="J95">
        <v>30.9</v>
      </c>
      <c r="K95">
        <v>1.9</v>
      </c>
      <c r="L95" t="s">
        <v>261</v>
      </c>
    </row>
    <row r="96" spans="1:12" x14ac:dyDescent="0.25">
      <c r="A96" t="s">
        <v>264</v>
      </c>
      <c r="B96" t="s">
        <v>265</v>
      </c>
      <c r="C96" t="s">
        <v>58</v>
      </c>
      <c r="D96">
        <v>59.3</v>
      </c>
      <c r="E96">
        <v>58.4</v>
      </c>
      <c r="F96">
        <v>-0.9</v>
      </c>
      <c r="G96">
        <v>-1.5</v>
      </c>
      <c r="H96">
        <v>-0.2</v>
      </c>
      <c r="I96">
        <v>38.1</v>
      </c>
      <c r="J96">
        <v>39.9</v>
      </c>
      <c r="K96">
        <v>0.5</v>
      </c>
      <c r="L96" t="s">
        <v>266</v>
      </c>
    </row>
    <row r="97" spans="1:12" x14ac:dyDescent="0.25">
      <c r="A97" t="s">
        <v>267</v>
      </c>
      <c r="B97" t="s">
        <v>268</v>
      </c>
      <c r="C97" t="s">
        <v>58</v>
      </c>
      <c r="D97">
        <v>62.5</v>
      </c>
      <c r="E97">
        <v>63.6</v>
      </c>
      <c r="F97">
        <v>1.1000000000000001</v>
      </c>
      <c r="G97">
        <v>1.8</v>
      </c>
      <c r="H97">
        <v>0.2</v>
      </c>
      <c r="I97">
        <v>50.3</v>
      </c>
      <c r="J97">
        <v>64.099999999999994</v>
      </c>
      <c r="K97">
        <v>2.4</v>
      </c>
      <c r="L97" t="s">
        <v>266</v>
      </c>
    </row>
    <row r="98" spans="1:12" x14ac:dyDescent="0.25">
      <c r="A98" t="s">
        <v>269</v>
      </c>
      <c r="B98" t="s">
        <v>270</v>
      </c>
      <c r="C98" t="s">
        <v>58</v>
      </c>
      <c r="D98">
        <v>106</v>
      </c>
      <c r="E98">
        <v>90.4</v>
      </c>
      <c r="F98">
        <v>-15.6</v>
      </c>
      <c r="G98">
        <v>-14.7</v>
      </c>
      <c r="H98">
        <v>-1.6</v>
      </c>
      <c r="I98">
        <v>26.9</v>
      </c>
      <c r="J98">
        <v>24.8</v>
      </c>
      <c r="K98">
        <v>-0.8</v>
      </c>
    </row>
    <row r="99" spans="1:12" x14ac:dyDescent="0.25">
      <c r="A99" t="s">
        <v>271</v>
      </c>
      <c r="B99" t="s">
        <v>272</v>
      </c>
      <c r="C99" t="s">
        <v>55</v>
      </c>
      <c r="D99">
        <v>1442.1</v>
      </c>
      <c r="E99">
        <v>1385.3</v>
      </c>
      <c r="F99">
        <v>-56.8</v>
      </c>
      <c r="G99">
        <v>-3.9</v>
      </c>
      <c r="H99">
        <v>-0.4</v>
      </c>
      <c r="I99">
        <v>303.5</v>
      </c>
      <c r="J99">
        <v>329.5</v>
      </c>
      <c r="K99">
        <v>0.8</v>
      </c>
      <c r="L99" t="s">
        <v>273</v>
      </c>
    </row>
    <row r="100" spans="1:12" x14ac:dyDescent="0.25">
      <c r="A100" t="s">
        <v>274</v>
      </c>
      <c r="B100" t="s">
        <v>275</v>
      </c>
      <c r="C100" t="s">
        <v>58</v>
      </c>
      <c r="D100">
        <v>467.8</v>
      </c>
      <c r="E100">
        <v>423.2</v>
      </c>
      <c r="F100">
        <v>-44.6</v>
      </c>
      <c r="G100">
        <v>-9.5</v>
      </c>
      <c r="H100">
        <v>-1</v>
      </c>
      <c r="I100">
        <v>123.8</v>
      </c>
      <c r="J100">
        <v>129.6</v>
      </c>
      <c r="K100">
        <v>0.5</v>
      </c>
    </row>
    <row r="101" spans="1:12" x14ac:dyDescent="0.25">
      <c r="A101" t="s">
        <v>276</v>
      </c>
      <c r="B101" t="s">
        <v>277</v>
      </c>
      <c r="C101" t="s">
        <v>58</v>
      </c>
      <c r="D101">
        <v>511.5</v>
      </c>
      <c r="E101">
        <v>526.29999999999995</v>
      </c>
      <c r="F101">
        <v>14.8</v>
      </c>
      <c r="G101">
        <v>2.9</v>
      </c>
      <c r="H101">
        <v>0.3</v>
      </c>
      <c r="I101">
        <v>97.4</v>
      </c>
      <c r="J101">
        <v>109.1</v>
      </c>
      <c r="K101">
        <v>1.1000000000000001</v>
      </c>
    </row>
    <row r="102" spans="1:12" x14ac:dyDescent="0.25">
      <c r="A102" t="s">
        <v>278</v>
      </c>
      <c r="B102" t="s">
        <v>279</v>
      </c>
      <c r="C102" t="s">
        <v>55</v>
      </c>
      <c r="D102">
        <v>333.2</v>
      </c>
      <c r="E102">
        <v>319.8</v>
      </c>
      <c r="F102">
        <v>-13.4</v>
      </c>
      <c r="G102">
        <v>-4</v>
      </c>
      <c r="H102">
        <v>-0.4</v>
      </c>
      <c r="I102">
        <v>59.1</v>
      </c>
      <c r="J102">
        <v>65.900000000000006</v>
      </c>
      <c r="K102">
        <v>1.1000000000000001</v>
      </c>
    </row>
    <row r="103" spans="1:12" x14ac:dyDescent="0.25">
      <c r="A103" t="s">
        <v>280</v>
      </c>
      <c r="B103" t="s">
        <v>281</v>
      </c>
      <c r="C103" t="s">
        <v>58</v>
      </c>
      <c r="D103">
        <v>259</v>
      </c>
      <c r="E103">
        <v>260.10000000000002</v>
      </c>
      <c r="F103">
        <v>1.1000000000000001</v>
      </c>
      <c r="G103">
        <v>0.4</v>
      </c>
      <c r="H103">
        <v>0</v>
      </c>
      <c r="I103">
        <v>37.1</v>
      </c>
      <c r="J103">
        <v>41.3</v>
      </c>
      <c r="K103">
        <v>1.1000000000000001</v>
      </c>
    </row>
    <row r="104" spans="1:12" x14ac:dyDescent="0.25">
      <c r="A104" t="s">
        <v>282</v>
      </c>
      <c r="B104" t="s">
        <v>283</v>
      </c>
      <c r="C104" t="s">
        <v>58</v>
      </c>
      <c r="D104">
        <v>74.2</v>
      </c>
      <c r="E104">
        <v>59.8</v>
      </c>
      <c r="F104">
        <v>-14.4</v>
      </c>
      <c r="G104">
        <v>-19.5</v>
      </c>
      <c r="H104">
        <v>-2.1</v>
      </c>
      <c r="I104">
        <v>22.2</v>
      </c>
      <c r="J104">
        <v>24.7</v>
      </c>
      <c r="K104">
        <v>1.1000000000000001</v>
      </c>
    </row>
    <row r="105" spans="1:12" x14ac:dyDescent="0.25">
      <c r="A105" t="s">
        <v>284</v>
      </c>
      <c r="B105" t="s">
        <v>285</v>
      </c>
      <c r="C105" t="s">
        <v>58</v>
      </c>
      <c r="D105">
        <v>129.6</v>
      </c>
      <c r="E105">
        <v>115.9</v>
      </c>
      <c r="F105">
        <v>-13.7</v>
      </c>
      <c r="G105">
        <v>-10.6</v>
      </c>
      <c r="H105">
        <v>-1.1000000000000001</v>
      </c>
      <c r="I105">
        <v>25.1</v>
      </c>
      <c r="J105">
        <v>26.1</v>
      </c>
      <c r="K105">
        <v>0.4</v>
      </c>
    </row>
    <row r="106" spans="1:12" x14ac:dyDescent="0.25">
      <c r="A106" t="s">
        <v>286</v>
      </c>
      <c r="B106" t="s">
        <v>287</v>
      </c>
      <c r="C106" t="s">
        <v>55</v>
      </c>
      <c r="D106">
        <v>1118.8</v>
      </c>
      <c r="E106">
        <v>1108.2</v>
      </c>
      <c r="F106">
        <v>-10.6</v>
      </c>
      <c r="G106">
        <v>-0.9</v>
      </c>
      <c r="H106">
        <v>-0.1</v>
      </c>
      <c r="I106">
        <v>330.1</v>
      </c>
      <c r="J106">
        <v>366.9</v>
      </c>
      <c r="K106">
        <v>1.1000000000000001</v>
      </c>
      <c r="L106" t="s">
        <v>288</v>
      </c>
    </row>
    <row r="107" spans="1:12" x14ac:dyDescent="0.25">
      <c r="A107" t="s">
        <v>289</v>
      </c>
      <c r="B107" t="s">
        <v>290</v>
      </c>
      <c r="C107" t="s">
        <v>58</v>
      </c>
      <c r="D107">
        <v>780.2</v>
      </c>
      <c r="E107">
        <v>782.8</v>
      </c>
      <c r="F107">
        <v>2.6</v>
      </c>
      <c r="G107">
        <v>0.3</v>
      </c>
      <c r="H107">
        <v>0</v>
      </c>
      <c r="I107">
        <v>241.2</v>
      </c>
      <c r="J107">
        <v>266.8</v>
      </c>
      <c r="K107">
        <v>1</v>
      </c>
    </row>
    <row r="108" spans="1:12" x14ac:dyDescent="0.25">
      <c r="A108" t="s">
        <v>291</v>
      </c>
      <c r="B108" t="s">
        <v>292</v>
      </c>
      <c r="C108" t="s">
        <v>58</v>
      </c>
      <c r="D108">
        <v>88.7</v>
      </c>
      <c r="E108">
        <v>89.6</v>
      </c>
      <c r="F108">
        <v>0.9</v>
      </c>
      <c r="G108">
        <v>1</v>
      </c>
      <c r="H108">
        <v>0.1</v>
      </c>
      <c r="I108">
        <v>23.5</v>
      </c>
      <c r="J108">
        <v>26.4</v>
      </c>
      <c r="K108">
        <v>1.2</v>
      </c>
    </row>
    <row r="109" spans="1:12" x14ac:dyDescent="0.25">
      <c r="A109" t="s">
        <v>293</v>
      </c>
      <c r="B109" t="s">
        <v>294</v>
      </c>
      <c r="C109" t="s">
        <v>58</v>
      </c>
      <c r="D109">
        <v>157.1</v>
      </c>
      <c r="E109">
        <v>147.4</v>
      </c>
      <c r="F109">
        <v>-9.6999999999999993</v>
      </c>
      <c r="G109">
        <v>-6.2</v>
      </c>
      <c r="H109">
        <v>-0.6</v>
      </c>
      <c r="I109">
        <v>27.3</v>
      </c>
      <c r="J109">
        <v>30.6</v>
      </c>
      <c r="K109">
        <v>1.1000000000000001</v>
      </c>
    </row>
    <row r="110" spans="1:12" x14ac:dyDescent="0.25">
      <c r="A110" t="s">
        <v>295</v>
      </c>
      <c r="B110" t="s">
        <v>296</v>
      </c>
      <c r="C110" t="s">
        <v>58</v>
      </c>
      <c r="D110">
        <v>92.8</v>
      </c>
      <c r="E110">
        <v>88.4</v>
      </c>
      <c r="F110">
        <v>-4.4000000000000004</v>
      </c>
      <c r="G110">
        <v>-4.8</v>
      </c>
      <c r="H110">
        <v>-0.5</v>
      </c>
      <c r="I110">
        <v>38</v>
      </c>
      <c r="J110">
        <v>43.1</v>
      </c>
      <c r="K110">
        <v>1.3</v>
      </c>
    </row>
    <row r="111" spans="1:12" x14ac:dyDescent="0.25">
      <c r="A111" t="s">
        <v>297</v>
      </c>
      <c r="B111" t="s">
        <v>298</v>
      </c>
      <c r="C111" t="s">
        <v>55</v>
      </c>
      <c r="D111">
        <v>1027.7</v>
      </c>
      <c r="E111">
        <v>1077.3</v>
      </c>
      <c r="F111">
        <v>49.6</v>
      </c>
      <c r="G111">
        <v>4.8</v>
      </c>
      <c r="H111">
        <v>0.5</v>
      </c>
      <c r="I111">
        <v>391.5</v>
      </c>
      <c r="J111">
        <v>488.4</v>
      </c>
      <c r="K111">
        <v>2.2000000000000002</v>
      </c>
      <c r="L111" t="s">
        <v>299</v>
      </c>
    </row>
    <row r="112" spans="1:12" x14ac:dyDescent="0.25">
      <c r="A112" t="s">
        <v>300</v>
      </c>
      <c r="B112" t="s">
        <v>301</v>
      </c>
      <c r="C112" t="s">
        <v>58</v>
      </c>
      <c r="D112">
        <v>110.3</v>
      </c>
      <c r="E112">
        <v>111.8</v>
      </c>
      <c r="F112">
        <v>1.5</v>
      </c>
      <c r="G112">
        <v>1.4</v>
      </c>
      <c r="H112">
        <v>0.1</v>
      </c>
      <c r="I112">
        <v>43.5</v>
      </c>
      <c r="J112">
        <v>51</v>
      </c>
      <c r="K112">
        <v>1.6</v>
      </c>
    </row>
    <row r="113" spans="1:12" x14ac:dyDescent="0.25">
      <c r="A113" t="s">
        <v>302</v>
      </c>
      <c r="B113" t="s">
        <v>303</v>
      </c>
      <c r="C113" t="s">
        <v>58</v>
      </c>
      <c r="D113">
        <v>83</v>
      </c>
      <c r="E113">
        <v>77.5</v>
      </c>
      <c r="F113">
        <v>-5.5</v>
      </c>
      <c r="G113">
        <v>-6.6</v>
      </c>
      <c r="H113">
        <v>-0.7</v>
      </c>
      <c r="I113">
        <v>54.5</v>
      </c>
      <c r="J113">
        <v>66.5</v>
      </c>
      <c r="K113">
        <v>2</v>
      </c>
    </row>
    <row r="114" spans="1:12" x14ac:dyDescent="0.25">
      <c r="A114" t="s">
        <v>304</v>
      </c>
      <c r="B114" t="s">
        <v>305</v>
      </c>
      <c r="C114" t="s">
        <v>58</v>
      </c>
      <c r="D114">
        <v>19.100000000000001</v>
      </c>
      <c r="E114">
        <v>18.399999999999999</v>
      </c>
      <c r="F114">
        <v>-0.7</v>
      </c>
      <c r="G114">
        <v>-3.6</v>
      </c>
      <c r="H114">
        <v>-0.4</v>
      </c>
      <c r="I114">
        <v>4.2</v>
      </c>
      <c r="J114">
        <v>5.0999999999999996</v>
      </c>
      <c r="K114">
        <v>2</v>
      </c>
    </row>
    <row r="115" spans="1:12" x14ac:dyDescent="0.25">
      <c r="A115" t="s">
        <v>306</v>
      </c>
      <c r="B115" t="s">
        <v>307</v>
      </c>
      <c r="C115" t="s">
        <v>58</v>
      </c>
      <c r="D115">
        <v>392.3</v>
      </c>
      <c r="E115">
        <v>436.8</v>
      </c>
      <c r="F115">
        <v>44.5</v>
      </c>
      <c r="G115">
        <v>11.4</v>
      </c>
      <c r="H115">
        <v>1.1000000000000001</v>
      </c>
      <c r="I115">
        <v>140.19999999999999</v>
      </c>
      <c r="J115">
        <v>183</v>
      </c>
      <c r="K115">
        <v>2.7</v>
      </c>
    </row>
    <row r="116" spans="1:12" x14ac:dyDescent="0.25">
      <c r="A116" t="s">
        <v>308</v>
      </c>
      <c r="B116" t="s">
        <v>309</v>
      </c>
      <c r="C116" t="s">
        <v>58</v>
      </c>
      <c r="D116">
        <v>412.5</v>
      </c>
      <c r="E116">
        <v>426.5</v>
      </c>
      <c r="F116">
        <v>14</v>
      </c>
      <c r="G116">
        <v>3.4</v>
      </c>
      <c r="H116">
        <v>0.3</v>
      </c>
      <c r="I116">
        <v>149.69999999999999</v>
      </c>
      <c r="J116">
        <v>184.7</v>
      </c>
      <c r="K116">
        <v>2.1</v>
      </c>
    </row>
    <row r="117" spans="1:12" x14ac:dyDescent="0.25">
      <c r="A117" t="s">
        <v>310</v>
      </c>
      <c r="B117" t="s">
        <v>311</v>
      </c>
      <c r="C117" t="s">
        <v>58</v>
      </c>
      <c r="D117">
        <v>10.5</v>
      </c>
      <c r="E117">
        <v>6.2</v>
      </c>
      <c r="F117">
        <v>-4.3</v>
      </c>
      <c r="G117">
        <v>-41.3</v>
      </c>
      <c r="H117">
        <v>-5.0999999999999996</v>
      </c>
      <c r="I117">
        <v>1.7</v>
      </c>
      <c r="J117">
        <v>1.4</v>
      </c>
      <c r="K117">
        <v>-1.9</v>
      </c>
    </row>
    <row r="118" spans="1:12" x14ac:dyDescent="0.25">
      <c r="A118" t="s">
        <v>312</v>
      </c>
      <c r="B118" t="s">
        <v>313</v>
      </c>
      <c r="C118" t="s">
        <v>55</v>
      </c>
      <c r="D118">
        <v>413.3</v>
      </c>
      <c r="E118">
        <v>459.7</v>
      </c>
      <c r="F118">
        <v>46.4</v>
      </c>
      <c r="G118">
        <v>11.2</v>
      </c>
      <c r="H118">
        <v>1.1000000000000001</v>
      </c>
      <c r="I118">
        <v>121.1</v>
      </c>
      <c r="J118">
        <v>143.80000000000001</v>
      </c>
      <c r="K118">
        <v>1.7</v>
      </c>
      <c r="L118" t="s">
        <v>314</v>
      </c>
    </row>
    <row r="119" spans="1:12" x14ac:dyDescent="0.25">
      <c r="A119" t="s">
        <v>315</v>
      </c>
      <c r="B119" t="s">
        <v>316</v>
      </c>
      <c r="C119" t="s">
        <v>58</v>
      </c>
      <c r="D119">
        <v>34.5</v>
      </c>
      <c r="E119">
        <v>30.2</v>
      </c>
      <c r="F119">
        <v>-4.3</v>
      </c>
      <c r="G119">
        <v>-12.3</v>
      </c>
      <c r="H119">
        <v>-1.3</v>
      </c>
      <c r="I119">
        <v>12.1</v>
      </c>
      <c r="J119">
        <v>10.6</v>
      </c>
      <c r="K119">
        <v>-1.3</v>
      </c>
    </row>
    <row r="120" spans="1:12" x14ac:dyDescent="0.25">
      <c r="A120" t="s">
        <v>317</v>
      </c>
      <c r="B120" t="s">
        <v>318</v>
      </c>
      <c r="C120" t="s">
        <v>58</v>
      </c>
      <c r="D120">
        <v>60.1</v>
      </c>
      <c r="E120">
        <v>55.6</v>
      </c>
      <c r="F120">
        <v>-4.5</v>
      </c>
      <c r="G120">
        <v>-7.5</v>
      </c>
      <c r="H120">
        <v>-0.8</v>
      </c>
      <c r="I120">
        <v>21.9</v>
      </c>
      <c r="J120">
        <v>24.1</v>
      </c>
      <c r="K120">
        <v>1</v>
      </c>
    </row>
    <row r="121" spans="1:12" x14ac:dyDescent="0.25">
      <c r="A121" t="s">
        <v>319</v>
      </c>
      <c r="B121" t="s">
        <v>320</v>
      </c>
      <c r="C121" t="s">
        <v>58</v>
      </c>
      <c r="D121">
        <v>153</v>
      </c>
      <c r="E121">
        <v>159.80000000000001</v>
      </c>
      <c r="F121">
        <v>6.8</v>
      </c>
      <c r="G121">
        <v>4.4000000000000004</v>
      </c>
      <c r="H121">
        <v>0.4</v>
      </c>
      <c r="I121">
        <v>38.5</v>
      </c>
      <c r="J121">
        <v>44.6</v>
      </c>
      <c r="K121">
        <v>1.5</v>
      </c>
    </row>
    <row r="122" spans="1:12" x14ac:dyDescent="0.25">
      <c r="A122" t="s">
        <v>321</v>
      </c>
      <c r="B122" t="s">
        <v>322</v>
      </c>
      <c r="C122" t="s">
        <v>58</v>
      </c>
      <c r="D122">
        <v>165.7</v>
      </c>
      <c r="E122">
        <v>214.1</v>
      </c>
      <c r="F122">
        <v>48.4</v>
      </c>
      <c r="G122">
        <v>29.2</v>
      </c>
      <c r="H122">
        <v>2.6</v>
      </c>
      <c r="I122">
        <v>48.5</v>
      </c>
      <c r="J122">
        <v>64</v>
      </c>
      <c r="K122">
        <v>2.8</v>
      </c>
    </row>
    <row r="123" spans="1:12" x14ac:dyDescent="0.25">
      <c r="A123" t="s">
        <v>323</v>
      </c>
      <c r="B123" t="s">
        <v>324</v>
      </c>
      <c r="C123" t="s">
        <v>55</v>
      </c>
      <c r="D123">
        <v>1793.2</v>
      </c>
      <c r="E123">
        <v>1718</v>
      </c>
      <c r="F123">
        <v>-75.2</v>
      </c>
      <c r="G123">
        <v>-4.2</v>
      </c>
      <c r="H123">
        <v>-0.4</v>
      </c>
      <c r="I123">
        <v>1054.5</v>
      </c>
      <c r="J123">
        <v>1122</v>
      </c>
      <c r="K123">
        <v>0.6</v>
      </c>
    </row>
    <row r="124" spans="1:12" x14ac:dyDescent="0.25">
      <c r="A124" t="s">
        <v>325</v>
      </c>
      <c r="B124" t="s">
        <v>326</v>
      </c>
      <c r="C124" t="s">
        <v>58</v>
      </c>
      <c r="D124">
        <v>302</v>
      </c>
      <c r="E124">
        <v>318.2</v>
      </c>
      <c r="F124">
        <v>16.2</v>
      </c>
      <c r="G124">
        <v>5.4</v>
      </c>
      <c r="H124">
        <v>0.5</v>
      </c>
      <c r="I124">
        <v>396.7</v>
      </c>
      <c r="J124">
        <v>437.5</v>
      </c>
      <c r="K124">
        <v>1</v>
      </c>
      <c r="L124" t="s">
        <v>327</v>
      </c>
    </row>
    <row r="125" spans="1:12" x14ac:dyDescent="0.25">
      <c r="A125" t="s">
        <v>328</v>
      </c>
      <c r="B125" t="s">
        <v>329</v>
      </c>
      <c r="C125" t="s">
        <v>58</v>
      </c>
      <c r="D125">
        <v>163.5</v>
      </c>
      <c r="E125">
        <v>169</v>
      </c>
      <c r="F125">
        <v>5.5</v>
      </c>
      <c r="G125">
        <v>3.4</v>
      </c>
      <c r="H125">
        <v>0.3</v>
      </c>
      <c r="I125">
        <v>55</v>
      </c>
      <c r="J125">
        <v>69.599999999999994</v>
      </c>
      <c r="K125">
        <v>2.4</v>
      </c>
      <c r="L125" t="s">
        <v>327</v>
      </c>
    </row>
    <row r="126" spans="1:12" x14ac:dyDescent="0.25">
      <c r="A126" t="s">
        <v>330</v>
      </c>
      <c r="B126" t="s">
        <v>331</v>
      </c>
      <c r="C126" t="s">
        <v>58</v>
      </c>
      <c r="D126">
        <v>553.29999999999995</v>
      </c>
      <c r="E126">
        <v>429.3</v>
      </c>
      <c r="F126">
        <v>-124</v>
      </c>
      <c r="G126">
        <v>-22.4</v>
      </c>
      <c r="H126">
        <v>-2.5</v>
      </c>
      <c r="I126">
        <v>250.8</v>
      </c>
      <c r="J126">
        <v>180.2</v>
      </c>
      <c r="K126">
        <v>-3.3</v>
      </c>
      <c r="L126" t="s">
        <v>327</v>
      </c>
    </row>
    <row r="127" spans="1:12" x14ac:dyDescent="0.25">
      <c r="A127" t="s">
        <v>332</v>
      </c>
      <c r="B127" t="s">
        <v>333</v>
      </c>
      <c r="C127" t="s">
        <v>58</v>
      </c>
      <c r="D127">
        <v>559.1</v>
      </c>
      <c r="E127">
        <v>589.20000000000005</v>
      </c>
      <c r="F127">
        <v>30.1</v>
      </c>
      <c r="G127">
        <v>5.4</v>
      </c>
      <c r="H127">
        <v>0.5</v>
      </c>
      <c r="I127">
        <v>281.60000000000002</v>
      </c>
      <c r="J127">
        <v>343.5</v>
      </c>
      <c r="K127">
        <v>2</v>
      </c>
      <c r="L127" t="s">
        <v>334</v>
      </c>
    </row>
    <row r="128" spans="1:12" x14ac:dyDescent="0.25">
      <c r="A128" t="s">
        <v>335</v>
      </c>
      <c r="B128" t="s">
        <v>336</v>
      </c>
      <c r="C128" t="s">
        <v>58</v>
      </c>
      <c r="D128">
        <v>23.4</v>
      </c>
      <c r="E128">
        <v>20.7</v>
      </c>
      <c r="F128">
        <v>-2.7</v>
      </c>
      <c r="G128">
        <v>-11.5</v>
      </c>
      <c r="H128">
        <v>-1.2</v>
      </c>
      <c r="I128">
        <v>10</v>
      </c>
      <c r="J128">
        <v>10.6</v>
      </c>
      <c r="K128">
        <v>0.6</v>
      </c>
      <c r="L128" t="s">
        <v>334</v>
      </c>
    </row>
    <row r="129" spans="1:12" x14ac:dyDescent="0.25">
      <c r="A129" t="s">
        <v>337</v>
      </c>
      <c r="B129" t="s">
        <v>338</v>
      </c>
      <c r="C129" t="s">
        <v>58</v>
      </c>
      <c r="D129">
        <v>150.5</v>
      </c>
      <c r="E129">
        <v>154.1</v>
      </c>
      <c r="F129">
        <v>3.6</v>
      </c>
      <c r="G129">
        <v>2.4</v>
      </c>
      <c r="H129">
        <v>0.2</v>
      </c>
      <c r="I129">
        <v>40</v>
      </c>
      <c r="J129">
        <v>45.3</v>
      </c>
      <c r="K129">
        <v>1.3</v>
      </c>
      <c r="L129" t="s">
        <v>339</v>
      </c>
    </row>
    <row r="130" spans="1:12" x14ac:dyDescent="0.25">
      <c r="A130" t="s">
        <v>340</v>
      </c>
      <c r="B130" t="s">
        <v>341</v>
      </c>
      <c r="C130" t="s">
        <v>58</v>
      </c>
      <c r="D130">
        <v>41.4</v>
      </c>
      <c r="E130">
        <v>37.5</v>
      </c>
      <c r="F130">
        <v>-3.9</v>
      </c>
      <c r="G130">
        <v>-9.4</v>
      </c>
      <c r="H130">
        <v>-1</v>
      </c>
      <c r="I130">
        <v>23.9</v>
      </c>
      <c r="J130">
        <v>30.9</v>
      </c>
      <c r="K130">
        <v>2.6</v>
      </c>
      <c r="L130" t="s">
        <v>334</v>
      </c>
    </row>
    <row r="131" spans="1:12" x14ac:dyDescent="0.25">
      <c r="A131" t="s">
        <v>342</v>
      </c>
      <c r="B131" t="s">
        <v>343</v>
      </c>
      <c r="C131" t="s">
        <v>55</v>
      </c>
      <c r="D131">
        <v>343.3</v>
      </c>
      <c r="E131">
        <v>325.39999999999998</v>
      </c>
      <c r="F131">
        <v>-17.899999999999999</v>
      </c>
      <c r="G131">
        <v>-5.2</v>
      </c>
      <c r="H131">
        <v>-0.5</v>
      </c>
      <c r="I131">
        <v>61.7</v>
      </c>
      <c r="J131">
        <v>68.400000000000006</v>
      </c>
      <c r="K131">
        <v>1</v>
      </c>
      <c r="L131" t="s">
        <v>344</v>
      </c>
    </row>
    <row r="132" spans="1:12" x14ac:dyDescent="0.25">
      <c r="A132" t="s">
        <v>345</v>
      </c>
      <c r="B132" t="s">
        <v>346</v>
      </c>
      <c r="C132" t="s">
        <v>58</v>
      </c>
      <c r="D132">
        <v>315.2</v>
      </c>
      <c r="E132">
        <v>297.7</v>
      </c>
      <c r="F132">
        <v>-17.5</v>
      </c>
      <c r="G132">
        <v>-5.6</v>
      </c>
      <c r="H132">
        <v>-0.6</v>
      </c>
      <c r="I132">
        <v>54</v>
      </c>
      <c r="J132">
        <v>59.4</v>
      </c>
      <c r="K132">
        <v>1</v>
      </c>
    </row>
    <row r="133" spans="1:12" x14ac:dyDescent="0.25">
      <c r="A133" t="s">
        <v>347</v>
      </c>
      <c r="B133" t="s">
        <v>348</v>
      </c>
      <c r="C133" t="s">
        <v>58</v>
      </c>
      <c r="D133">
        <v>28.1</v>
      </c>
      <c r="E133">
        <v>27.7</v>
      </c>
      <c r="F133">
        <v>-0.4</v>
      </c>
      <c r="G133">
        <v>-1.3</v>
      </c>
      <c r="H133">
        <v>-0.1</v>
      </c>
      <c r="I133">
        <v>7.8</v>
      </c>
      <c r="J133">
        <v>9</v>
      </c>
      <c r="K133">
        <v>1.5</v>
      </c>
    </row>
    <row r="134" spans="1:12" x14ac:dyDescent="0.25">
      <c r="A134" t="s">
        <v>349</v>
      </c>
      <c r="B134" t="s">
        <v>350</v>
      </c>
      <c r="C134" t="s">
        <v>55</v>
      </c>
      <c r="D134">
        <v>615.4</v>
      </c>
      <c r="E134">
        <v>626.9</v>
      </c>
      <c r="F134">
        <v>11.5</v>
      </c>
      <c r="G134">
        <v>1.9</v>
      </c>
      <c r="H134">
        <v>0.2</v>
      </c>
      <c r="I134">
        <v>162.6</v>
      </c>
      <c r="J134">
        <v>192.9</v>
      </c>
      <c r="K134">
        <v>1.7</v>
      </c>
      <c r="L134" t="s">
        <v>344</v>
      </c>
    </row>
    <row r="135" spans="1:12" x14ac:dyDescent="0.25">
      <c r="A135" t="s">
        <v>351</v>
      </c>
      <c r="B135" t="s">
        <v>352</v>
      </c>
      <c r="C135" t="s">
        <v>58</v>
      </c>
      <c r="D135">
        <v>329.7</v>
      </c>
      <c r="E135">
        <v>345.5</v>
      </c>
      <c r="F135">
        <v>15.8</v>
      </c>
      <c r="G135">
        <v>4.8</v>
      </c>
      <c r="H135">
        <v>0.5</v>
      </c>
      <c r="I135">
        <v>101.1</v>
      </c>
      <c r="J135">
        <v>129.9</v>
      </c>
      <c r="K135">
        <v>2.5</v>
      </c>
    </row>
    <row r="136" spans="1:12" x14ac:dyDescent="0.25">
      <c r="A136" t="s">
        <v>353</v>
      </c>
      <c r="B136" t="s">
        <v>354</v>
      </c>
      <c r="C136" t="s">
        <v>55</v>
      </c>
      <c r="D136">
        <v>285.7</v>
      </c>
      <c r="E136">
        <v>281.5</v>
      </c>
      <c r="F136">
        <v>-4.2</v>
      </c>
      <c r="G136">
        <v>-1.5</v>
      </c>
      <c r="H136">
        <v>-0.1</v>
      </c>
      <c r="I136">
        <v>61.8</v>
      </c>
      <c r="J136">
        <v>64.099999999999994</v>
      </c>
      <c r="K136">
        <v>0.4</v>
      </c>
    </row>
    <row r="137" spans="1:12" x14ac:dyDescent="0.25">
      <c r="A137" t="s">
        <v>355</v>
      </c>
      <c r="B137" t="s">
        <v>356</v>
      </c>
      <c r="C137" t="s">
        <v>58</v>
      </c>
      <c r="D137">
        <v>21</v>
      </c>
      <c r="E137">
        <v>15.7</v>
      </c>
      <c r="F137">
        <v>-5.3</v>
      </c>
      <c r="G137">
        <v>-25.3</v>
      </c>
      <c r="H137">
        <v>-2.9</v>
      </c>
      <c r="I137">
        <v>7.3</v>
      </c>
      <c r="J137">
        <v>7.7</v>
      </c>
      <c r="K137">
        <v>0.6</v>
      </c>
    </row>
    <row r="138" spans="1:12" x14ac:dyDescent="0.25">
      <c r="A138" t="s">
        <v>357</v>
      </c>
      <c r="B138" t="s">
        <v>358</v>
      </c>
      <c r="C138" t="s">
        <v>55</v>
      </c>
      <c r="D138">
        <v>6145.4</v>
      </c>
      <c r="E138">
        <v>6354</v>
      </c>
      <c r="F138">
        <v>208.6</v>
      </c>
      <c r="G138">
        <v>3.4</v>
      </c>
      <c r="H138">
        <v>0.3</v>
      </c>
      <c r="I138">
        <v>2177.5</v>
      </c>
      <c r="J138">
        <v>2833.4</v>
      </c>
      <c r="K138">
        <v>2.7</v>
      </c>
      <c r="L138" t="s">
        <v>359</v>
      </c>
    </row>
    <row r="139" spans="1:12" x14ac:dyDescent="0.25">
      <c r="A139" t="s">
        <v>360</v>
      </c>
      <c r="B139" t="s">
        <v>361</v>
      </c>
      <c r="C139" t="s">
        <v>55</v>
      </c>
      <c r="D139">
        <v>3439.6</v>
      </c>
      <c r="E139">
        <v>3583</v>
      </c>
      <c r="F139">
        <v>143.4</v>
      </c>
      <c r="G139">
        <v>4.2</v>
      </c>
      <c r="H139">
        <v>0.4</v>
      </c>
      <c r="I139" t="s">
        <v>59</v>
      </c>
      <c r="J139" t="s">
        <v>59</v>
      </c>
      <c r="K139" t="s">
        <v>59</v>
      </c>
    </row>
    <row r="140" spans="1:12" x14ac:dyDescent="0.25">
      <c r="A140" t="s">
        <v>362</v>
      </c>
      <c r="B140" t="s">
        <v>363</v>
      </c>
      <c r="C140" t="s">
        <v>58</v>
      </c>
      <c r="D140">
        <v>1529.3</v>
      </c>
      <c r="E140">
        <v>1581.5</v>
      </c>
      <c r="F140">
        <v>52.2</v>
      </c>
      <c r="G140">
        <v>3.4</v>
      </c>
      <c r="H140">
        <v>0.3</v>
      </c>
      <c r="I140" t="s">
        <v>59</v>
      </c>
      <c r="J140" t="s">
        <v>59</v>
      </c>
      <c r="K140" t="s">
        <v>59</v>
      </c>
    </row>
    <row r="141" spans="1:12" x14ac:dyDescent="0.25">
      <c r="A141" t="s">
        <v>364</v>
      </c>
      <c r="B141" t="s">
        <v>365</v>
      </c>
      <c r="C141" t="s">
        <v>58</v>
      </c>
      <c r="D141">
        <v>381.1</v>
      </c>
      <c r="E141">
        <v>398.4</v>
      </c>
      <c r="F141">
        <v>17.3</v>
      </c>
      <c r="G141">
        <v>4.5</v>
      </c>
      <c r="H141">
        <v>0.4</v>
      </c>
      <c r="I141" t="s">
        <v>59</v>
      </c>
      <c r="J141" t="s">
        <v>59</v>
      </c>
      <c r="K141" t="s">
        <v>59</v>
      </c>
    </row>
    <row r="142" spans="1:12" x14ac:dyDescent="0.25">
      <c r="A142" t="s">
        <v>366</v>
      </c>
      <c r="B142" t="s">
        <v>367</v>
      </c>
      <c r="C142" t="s">
        <v>58</v>
      </c>
      <c r="D142">
        <v>751.7</v>
      </c>
      <c r="E142">
        <v>794.3</v>
      </c>
      <c r="F142">
        <v>42.6</v>
      </c>
      <c r="G142">
        <v>5.7</v>
      </c>
      <c r="H142">
        <v>0.6</v>
      </c>
      <c r="I142" t="s">
        <v>59</v>
      </c>
      <c r="J142" t="s">
        <v>59</v>
      </c>
      <c r="K142" t="s">
        <v>59</v>
      </c>
    </row>
    <row r="143" spans="1:12" x14ac:dyDescent="0.25">
      <c r="A143" t="s">
        <v>368</v>
      </c>
      <c r="B143" t="s">
        <v>369</v>
      </c>
      <c r="C143" t="s">
        <v>55</v>
      </c>
      <c r="D143">
        <v>777.5</v>
      </c>
      <c r="E143">
        <v>808.9</v>
      </c>
      <c r="F143">
        <v>31.4</v>
      </c>
      <c r="G143">
        <v>4</v>
      </c>
      <c r="H143">
        <v>0.4</v>
      </c>
      <c r="I143" t="s">
        <v>59</v>
      </c>
      <c r="J143" t="s">
        <v>59</v>
      </c>
      <c r="K143" t="s">
        <v>59</v>
      </c>
    </row>
    <row r="144" spans="1:12" x14ac:dyDescent="0.25">
      <c r="A144" t="s">
        <v>370</v>
      </c>
      <c r="B144" t="s">
        <v>371</v>
      </c>
      <c r="C144" t="s">
        <v>58</v>
      </c>
      <c r="D144">
        <v>116.7</v>
      </c>
      <c r="E144">
        <v>116.3</v>
      </c>
      <c r="F144">
        <v>-0.4</v>
      </c>
      <c r="G144">
        <v>-0.4</v>
      </c>
      <c r="H144">
        <v>0</v>
      </c>
      <c r="I144" t="s">
        <v>59</v>
      </c>
      <c r="J144" t="s">
        <v>59</v>
      </c>
      <c r="K144" t="s">
        <v>59</v>
      </c>
    </row>
    <row r="145" spans="1:12" x14ac:dyDescent="0.25">
      <c r="A145" t="s">
        <v>372</v>
      </c>
      <c r="B145" t="s">
        <v>373</v>
      </c>
      <c r="C145" t="s">
        <v>55</v>
      </c>
      <c r="D145">
        <v>2212.9</v>
      </c>
      <c r="E145">
        <v>2271.6</v>
      </c>
      <c r="F145">
        <v>58.7</v>
      </c>
      <c r="G145">
        <v>2.7</v>
      </c>
      <c r="H145">
        <v>0.3</v>
      </c>
      <c r="I145" t="s">
        <v>59</v>
      </c>
      <c r="J145" t="s">
        <v>59</v>
      </c>
      <c r="K145" t="s">
        <v>59</v>
      </c>
    </row>
    <row r="146" spans="1:12" x14ac:dyDescent="0.25">
      <c r="A146" t="s">
        <v>374</v>
      </c>
      <c r="B146" t="s">
        <v>375</v>
      </c>
      <c r="C146" t="s">
        <v>58</v>
      </c>
      <c r="D146">
        <v>1048.3</v>
      </c>
      <c r="E146">
        <v>1087.2</v>
      </c>
      <c r="F146">
        <v>38.9</v>
      </c>
      <c r="G146">
        <v>3.7</v>
      </c>
      <c r="H146">
        <v>0.4</v>
      </c>
      <c r="I146" t="s">
        <v>59</v>
      </c>
      <c r="J146" t="s">
        <v>59</v>
      </c>
      <c r="K146" t="s">
        <v>59</v>
      </c>
    </row>
    <row r="147" spans="1:12" x14ac:dyDescent="0.25">
      <c r="A147" t="s">
        <v>376</v>
      </c>
      <c r="B147" t="s">
        <v>377</v>
      </c>
      <c r="C147" t="s">
        <v>58</v>
      </c>
      <c r="D147">
        <v>409.3</v>
      </c>
      <c r="E147">
        <v>423.8</v>
      </c>
      <c r="F147">
        <v>14.5</v>
      </c>
      <c r="G147">
        <v>3.5</v>
      </c>
      <c r="H147">
        <v>0.3</v>
      </c>
      <c r="I147" t="s">
        <v>59</v>
      </c>
      <c r="J147" t="s">
        <v>59</v>
      </c>
      <c r="K147" t="s">
        <v>59</v>
      </c>
    </row>
    <row r="148" spans="1:12" x14ac:dyDescent="0.25">
      <c r="A148" t="s">
        <v>378</v>
      </c>
      <c r="B148" t="s">
        <v>379</v>
      </c>
      <c r="C148" t="s">
        <v>58</v>
      </c>
      <c r="D148">
        <v>540</v>
      </c>
      <c r="E148">
        <v>546.4</v>
      </c>
      <c r="F148">
        <v>6.4</v>
      </c>
      <c r="G148">
        <v>1.2</v>
      </c>
      <c r="H148">
        <v>0.1</v>
      </c>
      <c r="I148" t="s">
        <v>59</v>
      </c>
      <c r="J148" t="s">
        <v>59</v>
      </c>
      <c r="K148" t="s">
        <v>59</v>
      </c>
    </row>
    <row r="149" spans="1:12" x14ac:dyDescent="0.25">
      <c r="A149" t="s">
        <v>380</v>
      </c>
      <c r="B149" t="s">
        <v>381</v>
      </c>
      <c r="C149" t="s">
        <v>58</v>
      </c>
      <c r="D149">
        <v>141.5</v>
      </c>
      <c r="E149">
        <v>139.80000000000001</v>
      </c>
      <c r="F149">
        <v>-1.7</v>
      </c>
      <c r="G149">
        <v>-1.2</v>
      </c>
      <c r="H149">
        <v>-0.1</v>
      </c>
      <c r="I149" t="s">
        <v>59</v>
      </c>
      <c r="J149" t="s">
        <v>59</v>
      </c>
      <c r="K149" t="s">
        <v>59</v>
      </c>
    </row>
    <row r="150" spans="1:12" x14ac:dyDescent="0.25">
      <c r="A150" t="s">
        <v>382</v>
      </c>
      <c r="B150" t="s">
        <v>383</v>
      </c>
      <c r="C150" t="s">
        <v>58</v>
      </c>
      <c r="D150">
        <v>73.8</v>
      </c>
      <c r="E150">
        <v>74.3</v>
      </c>
      <c r="F150">
        <v>0.5</v>
      </c>
      <c r="G150">
        <v>0.7</v>
      </c>
      <c r="H150">
        <v>0.1</v>
      </c>
      <c r="I150" t="s">
        <v>59</v>
      </c>
      <c r="J150" t="s">
        <v>59</v>
      </c>
      <c r="K150" t="s">
        <v>59</v>
      </c>
    </row>
    <row r="151" spans="1:12" x14ac:dyDescent="0.25">
      <c r="A151" t="s">
        <v>384</v>
      </c>
      <c r="B151" t="s">
        <v>385</v>
      </c>
      <c r="C151" t="s">
        <v>58</v>
      </c>
      <c r="D151">
        <v>492.9</v>
      </c>
      <c r="E151">
        <v>499.4</v>
      </c>
      <c r="F151">
        <v>6.5</v>
      </c>
      <c r="G151">
        <v>1.3</v>
      </c>
      <c r="H151">
        <v>0.1</v>
      </c>
      <c r="I151" t="s">
        <v>59</v>
      </c>
      <c r="J151" t="s">
        <v>59</v>
      </c>
      <c r="K151" t="s">
        <v>59</v>
      </c>
    </row>
    <row r="152" spans="1:12" x14ac:dyDescent="0.25">
      <c r="A152" t="s">
        <v>386</v>
      </c>
      <c r="B152" t="s">
        <v>387</v>
      </c>
      <c r="C152" t="s">
        <v>55</v>
      </c>
      <c r="D152">
        <v>15532</v>
      </c>
      <c r="E152">
        <v>15350.1</v>
      </c>
      <c r="F152">
        <v>-181.9</v>
      </c>
      <c r="G152">
        <v>-1.2</v>
      </c>
      <c r="H152">
        <v>-0.1</v>
      </c>
      <c r="I152">
        <v>2210.6999999999998</v>
      </c>
      <c r="J152">
        <v>2795.2</v>
      </c>
      <c r="K152">
        <v>2.4</v>
      </c>
      <c r="L152" t="s">
        <v>359</v>
      </c>
    </row>
    <row r="153" spans="1:12" x14ac:dyDescent="0.25">
      <c r="A153" t="s">
        <v>388</v>
      </c>
      <c r="B153" t="s">
        <v>389</v>
      </c>
      <c r="C153" t="s">
        <v>55</v>
      </c>
      <c r="D153">
        <v>2050.4</v>
      </c>
      <c r="E153">
        <v>2111.6</v>
      </c>
      <c r="F153">
        <v>61.2</v>
      </c>
      <c r="G153">
        <v>3</v>
      </c>
      <c r="H153">
        <v>0.3</v>
      </c>
      <c r="I153">
        <v>380.8</v>
      </c>
      <c r="J153">
        <v>504.8</v>
      </c>
      <c r="K153">
        <v>2.9</v>
      </c>
    </row>
    <row r="154" spans="1:12" x14ac:dyDescent="0.25">
      <c r="A154" t="s">
        <v>390</v>
      </c>
      <c r="B154" t="s">
        <v>391</v>
      </c>
      <c r="C154" t="s">
        <v>58</v>
      </c>
      <c r="D154">
        <v>1287.3</v>
      </c>
      <c r="E154">
        <v>1322.5</v>
      </c>
      <c r="F154">
        <v>35.200000000000003</v>
      </c>
      <c r="G154">
        <v>2.7</v>
      </c>
      <c r="H154">
        <v>0.3</v>
      </c>
      <c r="I154" t="s">
        <v>59</v>
      </c>
      <c r="J154" t="s">
        <v>59</v>
      </c>
      <c r="K154" t="s">
        <v>59</v>
      </c>
    </row>
    <row r="155" spans="1:12" x14ac:dyDescent="0.25">
      <c r="A155" t="s">
        <v>392</v>
      </c>
      <c r="B155" t="s">
        <v>393</v>
      </c>
      <c r="C155" t="s">
        <v>58</v>
      </c>
      <c r="D155">
        <v>169</v>
      </c>
      <c r="E155">
        <v>177.4</v>
      </c>
      <c r="F155">
        <v>8.4</v>
      </c>
      <c r="G155">
        <v>5</v>
      </c>
      <c r="H155">
        <v>0.5</v>
      </c>
      <c r="I155" t="s">
        <v>59</v>
      </c>
      <c r="J155" t="s">
        <v>59</v>
      </c>
      <c r="K155" t="s">
        <v>59</v>
      </c>
    </row>
    <row r="156" spans="1:12" x14ac:dyDescent="0.25">
      <c r="A156" t="s">
        <v>394</v>
      </c>
      <c r="B156" t="s">
        <v>395</v>
      </c>
      <c r="C156" t="s">
        <v>58</v>
      </c>
      <c r="D156">
        <v>594.1</v>
      </c>
      <c r="E156">
        <v>611.70000000000005</v>
      </c>
      <c r="F156">
        <v>17.600000000000001</v>
      </c>
      <c r="G156">
        <v>3</v>
      </c>
      <c r="H156">
        <v>0.3</v>
      </c>
      <c r="I156" t="s">
        <v>59</v>
      </c>
      <c r="J156" t="s">
        <v>59</v>
      </c>
      <c r="K156" t="s">
        <v>59</v>
      </c>
    </row>
    <row r="157" spans="1:12" x14ac:dyDescent="0.25">
      <c r="A157" t="s">
        <v>396</v>
      </c>
      <c r="B157" t="s">
        <v>397</v>
      </c>
      <c r="C157" t="s">
        <v>55</v>
      </c>
      <c r="D157">
        <v>3224.5</v>
      </c>
      <c r="E157">
        <v>3189.7</v>
      </c>
      <c r="F157">
        <v>-34.799999999999997</v>
      </c>
      <c r="G157">
        <v>-1.1000000000000001</v>
      </c>
      <c r="H157">
        <v>-0.1</v>
      </c>
      <c r="I157">
        <v>265.5</v>
      </c>
      <c r="J157">
        <v>286.39999999999998</v>
      </c>
      <c r="K157">
        <v>0.8</v>
      </c>
    </row>
    <row r="158" spans="1:12" x14ac:dyDescent="0.25">
      <c r="A158" t="s">
        <v>398</v>
      </c>
      <c r="B158" t="s">
        <v>399</v>
      </c>
      <c r="C158" t="s">
        <v>58</v>
      </c>
      <c r="D158">
        <v>3052.4</v>
      </c>
      <c r="E158">
        <v>3021.6</v>
      </c>
      <c r="F158">
        <v>-30.8</v>
      </c>
      <c r="G158">
        <v>-1</v>
      </c>
      <c r="H158">
        <v>-0.1</v>
      </c>
      <c r="I158" t="s">
        <v>59</v>
      </c>
      <c r="J158" t="s">
        <v>59</v>
      </c>
      <c r="K158" t="s">
        <v>59</v>
      </c>
    </row>
    <row r="159" spans="1:12" x14ac:dyDescent="0.25">
      <c r="A159" t="s">
        <v>400</v>
      </c>
      <c r="B159" t="s">
        <v>401</v>
      </c>
      <c r="C159" t="s">
        <v>58</v>
      </c>
      <c r="D159">
        <v>172.1</v>
      </c>
      <c r="E159">
        <v>168.1</v>
      </c>
      <c r="F159">
        <v>-4</v>
      </c>
      <c r="G159">
        <v>-2.2999999999999998</v>
      </c>
      <c r="H159">
        <v>-0.2</v>
      </c>
      <c r="I159" t="s">
        <v>59</v>
      </c>
      <c r="J159" t="s">
        <v>59</v>
      </c>
      <c r="K159" t="s">
        <v>59</v>
      </c>
    </row>
    <row r="160" spans="1:12" x14ac:dyDescent="0.25">
      <c r="A160" t="s">
        <v>402</v>
      </c>
      <c r="B160" t="s">
        <v>403</v>
      </c>
      <c r="C160" t="s">
        <v>58</v>
      </c>
      <c r="D160">
        <v>3265.5</v>
      </c>
      <c r="E160">
        <v>3341</v>
      </c>
      <c r="F160">
        <v>75.5</v>
      </c>
      <c r="G160">
        <v>2.2999999999999998</v>
      </c>
      <c r="H160">
        <v>0.2</v>
      </c>
      <c r="I160">
        <v>252</v>
      </c>
      <c r="J160">
        <v>285</v>
      </c>
      <c r="K160">
        <v>1.2</v>
      </c>
    </row>
    <row r="161" spans="1:11" x14ac:dyDescent="0.25">
      <c r="A161" t="s">
        <v>404</v>
      </c>
      <c r="B161" t="s">
        <v>405</v>
      </c>
      <c r="C161" t="s">
        <v>55</v>
      </c>
      <c r="D161">
        <v>6991.6</v>
      </c>
      <c r="E161">
        <v>6707.7</v>
      </c>
      <c r="F161">
        <v>-283.89999999999998</v>
      </c>
      <c r="G161">
        <v>-4.0999999999999996</v>
      </c>
      <c r="H161">
        <v>-0.4</v>
      </c>
      <c r="I161">
        <v>1317</v>
      </c>
      <c r="J161">
        <v>1732.5</v>
      </c>
      <c r="K161">
        <v>2.8</v>
      </c>
    </row>
    <row r="162" spans="1:11" x14ac:dyDescent="0.25">
      <c r="A162" t="s">
        <v>406</v>
      </c>
      <c r="B162" t="s">
        <v>407</v>
      </c>
      <c r="C162" t="s">
        <v>55</v>
      </c>
      <c r="D162">
        <v>1398.9</v>
      </c>
      <c r="E162">
        <v>1427.4</v>
      </c>
      <c r="F162">
        <v>28.5</v>
      </c>
      <c r="G162">
        <v>2</v>
      </c>
      <c r="H162">
        <v>0.2</v>
      </c>
      <c r="I162" t="s">
        <v>59</v>
      </c>
      <c r="J162" t="s">
        <v>59</v>
      </c>
      <c r="K162" t="s">
        <v>59</v>
      </c>
    </row>
    <row r="163" spans="1:11" x14ac:dyDescent="0.25">
      <c r="A163" t="s">
        <v>408</v>
      </c>
      <c r="B163" t="s">
        <v>409</v>
      </c>
      <c r="C163" t="s">
        <v>58</v>
      </c>
      <c r="D163">
        <v>1212.0999999999999</v>
      </c>
      <c r="E163">
        <v>1236.2</v>
      </c>
      <c r="F163">
        <v>24.1</v>
      </c>
      <c r="G163">
        <v>2</v>
      </c>
      <c r="H163">
        <v>0.2</v>
      </c>
      <c r="I163" t="s">
        <v>59</v>
      </c>
      <c r="J163" t="s">
        <v>59</v>
      </c>
      <c r="K163" t="s">
        <v>59</v>
      </c>
    </row>
    <row r="164" spans="1:11" x14ac:dyDescent="0.25">
      <c r="A164" t="s">
        <v>410</v>
      </c>
      <c r="B164" t="s">
        <v>411</v>
      </c>
      <c r="C164" t="s">
        <v>58</v>
      </c>
      <c r="D164">
        <v>186.8</v>
      </c>
      <c r="E164">
        <v>191.2</v>
      </c>
      <c r="F164">
        <v>4.4000000000000004</v>
      </c>
      <c r="G164">
        <v>2.2999999999999998</v>
      </c>
      <c r="H164">
        <v>0.2</v>
      </c>
      <c r="I164" t="s">
        <v>59</v>
      </c>
      <c r="J164" t="s">
        <v>59</v>
      </c>
      <c r="K164" t="s">
        <v>59</v>
      </c>
    </row>
    <row r="165" spans="1:11" x14ac:dyDescent="0.25">
      <c r="A165" t="s">
        <v>412</v>
      </c>
      <c r="B165" t="s">
        <v>413</v>
      </c>
      <c r="C165" t="s">
        <v>55</v>
      </c>
      <c r="D165">
        <v>806.1</v>
      </c>
      <c r="E165">
        <v>771.4</v>
      </c>
      <c r="F165">
        <v>-34.700000000000003</v>
      </c>
      <c r="G165">
        <v>-4.3</v>
      </c>
      <c r="H165">
        <v>-0.4</v>
      </c>
      <c r="I165" t="s">
        <v>59</v>
      </c>
      <c r="J165" t="s">
        <v>59</v>
      </c>
      <c r="K165" t="s">
        <v>59</v>
      </c>
    </row>
    <row r="166" spans="1:11" x14ac:dyDescent="0.25">
      <c r="A166" t="s">
        <v>414</v>
      </c>
      <c r="B166" t="s">
        <v>415</v>
      </c>
      <c r="C166" t="s">
        <v>58</v>
      </c>
      <c r="D166">
        <v>409.1</v>
      </c>
      <c r="E166">
        <v>389</v>
      </c>
      <c r="F166">
        <v>-20.100000000000001</v>
      </c>
      <c r="G166">
        <v>-4.9000000000000004</v>
      </c>
      <c r="H166">
        <v>-0.5</v>
      </c>
      <c r="I166" t="s">
        <v>59</v>
      </c>
      <c r="J166" t="s">
        <v>59</v>
      </c>
      <c r="K166" t="s">
        <v>59</v>
      </c>
    </row>
    <row r="167" spans="1:11" x14ac:dyDescent="0.25">
      <c r="A167" t="s">
        <v>416</v>
      </c>
      <c r="B167" t="s">
        <v>417</v>
      </c>
      <c r="C167" t="s">
        <v>58</v>
      </c>
      <c r="D167">
        <v>397</v>
      </c>
      <c r="E167">
        <v>382.3</v>
      </c>
      <c r="F167">
        <v>-14.7</v>
      </c>
      <c r="G167">
        <v>-3.7</v>
      </c>
      <c r="H167">
        <v>-0.4</v>
      </c>
      <c r="I167" t="s">
        <v>59</v>
      </c>
      <c r="J167" t="s">
        <v>59</v>
      </c>
      <c r="K167" t="s">
        <v>59</v>
      </c>
    </row>
    <row r="168" spans="1:11" x14ac:dyDescent="0.25">
      <c r="A168" t="s">
        <v>418</v>
      </c>
      <c r="B168" t="s">
        <v>419</v>
      </c>
      <c r="C168" t="s">
        <v>55</v>
      </c>
      <c r="D168">
        <v>1088.9000000000001</v>
      </c>
      <c r="E168">
        <v>1097.4000000000001</v>
      </c>
      <c r="F168">
        <v>8.5</v>
      </c>
      <c r="G168">
        <v>0.8</v>
      </c>
      <c r="H168">
        <v>0.1</v>
      </c>
      <c r="I168" t="s">
        <v>59</v>
      </c>
      <c r="J168" t="s">
        <v>59</v>
      </c>
      <c r="K168" t="s">
        <v>59</v>
      </c>
    </row>
    <row r="169" spans="1:11" x14ac:dyDescent="0.25">
      <c r="A169" t="s">
        <v>420</v>
      </c>
      <c r="B169" t="s">
        <v>421</v>
      </c>
      <c r="C169" t="s">
        <v>55</v>
      </c>
      <c r="D169">
        <v>1088.9000000000001</v>
      </c>
      <c r="E169">
        <v>1097.4000000000001</v>
      </c>
      <c r="F169">
        <v>8.5</v>
      </c>
      <c r="G169">
        <v>0.8</v>
      </c>
      <c r="H169">
        <v>0.1</v>
      </c>
      <c r="I169" t="s">
        <v>59</v>
      </c>
      <c r="J169" t="s">
        <v>59</v>
      </c>
      <c r="K169" t="s">
        <v>59</v>
      </c>
    </row>
    <row r="170" spans="1:11" x14ac:dyDescent="0.25">
      <c r="A170" t="s">
        <v>422</v>
      </c>
      <c r="B170" t="s">
        <v>423</v>
      </c>
      <c r="C170" t="s">
        <v>58</v>
      </c>
      <c r="D170">
        <v>709.8</v>
      </c>
      <c r="E170">
        <v>698.3</v>
      </c>
      <c r="F170">
        <v>-11.5</v>
      </c>
      <c r="G170">
        <v>-1.6</v>
      </c>
      <c r="H170">
        <v>-0.2</v>
      </c>
      <c r="I170" t="s">
        <v>59</v>
      </c>
      <c r="J170" t="s">
        <v>59</v>
      </c>
      <c r="K170" t="s">
        <v>59</v>
      </c>
    </row>
    <row r="171" spans="1:11" x14ac:dyDescent="0.25">
      <c r="A171" t="s">
        <v>424</v>
      </c>
      <c r="B171" t="s">
        <v>425</v>
      </c>
      <c r="C171" t="s">
        <v>55</v>
      </c>
      <c r="D171">
        <v>1053.7</v>
      </c>
      <c r="E171">
        <v>908.9</v>
      </c>
      <c r="F171">
        <v>-144.80000000000001</v>
      </c>
      <c r="G171">
        <v>-13.7</v>
      </c>
      <c r="H171">
        <v>-1.5</v>
      </c>
      <c r="I171" t="s">
        <v>59</v>
      </c>
      <c r="J171" t="s">
        <v>59</v>
      </c>
      <c r="K171" t="s">
        <v>59</v>
      </c>
    </row>
    <row r="172" spans="1:11" x14ac:dyDescent="0.25">
      <c r="A172" t="s">
        <v>426</v>
      </c>
      <c r="B172" t="s">
        <v>427</v>
      </c>
      <c r="C172" t="s">
        <v>58</v>
      </c>
      <c r="D172">
        <v>983.4</v>
      </c>
      <c r="E172">
        <v>845.2</v>
      </c>
      <c r="F172">
        <v>-138.19999999999999</v>
      </c>
      <c r="G172">
        <v>-14.1</v>
      </c>
      <c r="H172">
        <v>-1.5</v>
      </c>
      <c r="I172" t="s">
        <v>59</v>
      </c>
      <c r="J172" t="s">
        <v>59</v>
      </c>
      <c r="K172" t="s">
        <v>59</v>
      </c>
    </row>
    <row r="173" spans="1:11" x14ac:dyDescent="0.25">
      <c r="A173" t="s">
        <v>428</v>
      </c>
      <c r="B173" t="s">
        <v>429</v>
      </c>
      <c r="C173" t="s">
        <v>58</v>
      </c>
      <c r="D173">
        <v>70.3</v>
      </c>
      <c r="E173">
        <v>63.7</v>
      </c>
      <c r="F173">
        <v>-6.6</v>
      </c>
      <c r="G173">
        <v>-9.4</v>
      </c>
      <c r="H173">
        <v>-1</v>
      </c>
      <c r="I173" t="s">
        <v>59</v>
      </c>
      <c r="J173" t="s">
        <v>59</v>
      </c>
      <c r="K173" t="s">
        <v>59</v>
      </c>
    </row>
    <row r="174" spans="1:11" x14ac:dyDescent="0.25">
      <c r="A174" t="s">
        <v>430</v>
      </c>
      <c r="B174" t="s">
        <v>431</v>
      </c>
      <c r="C174" t="s">
        <v>55</v>
      </c>
      <c r="D174">
        <v>1136.2</v>
      </c>
      <c r="E174">
        <v>1104.8</v>
      </c>
      <c r="F174">
        <v>-31.4</v>
      </c>
      <c r="G174">
        <v>-2.8</v>
      </c>
      <c r="H174">
        <v>-0.3</v>
      </c>
      <c r="I174" t="s">
        <v>59</v>
      </c>
      <c r="J174" t="s">
        <v>59</v>
      </c>
      <c r="K174" t="s">
        <v>59</v>
      </c>
    </row>
    <row r="175" spans="1:11" x14ac:dyDescent="0.25">
      <c r="A175" t="s">
        <v>432</v>
      </c>
      <c r="B175" t="s">
        <v>433</v>
      </c>
      <c r="C175" t="s">
        <v>58</v>
      </c>
      <c r="D175">
        <v>841.3</v>
      </c>
      <c r="E175">
        <v>824.4</v>
      </c>
      <c r="F175">
        <v>-16.899999999999999</v>
      </c>
      <c r="G175">
        <v>-2</v>
      </c>
      <c r="H175">
        <v>-0.2</v>
      </c>
      <c r="I175" t="s">
        <v>59</v>
      </c>
      <c r="J175" t="s">
        <v>59</v>
      </c>
      <c r="K175" t="s">
        <v>59</v>
      </c>
    </row>
    <row r="176" spans="1:11" x14ac:dyDescent="0.25">
      <c r="A176" t="s">
        <v>434</v>
      </c>
      <c r="B176" t="s">
        <v>435</v>
      </c>
      <c r="C176" t="s">
        <v>58</v>
      </c>
      <c r="D176">
        <v>169.9</v>
      </c>
      <c r="E176">
        <v>163</v>
      </c>
      <c r="F176">
        <v>-6.9</v>
      </c>
      <c r="G176">
        <v>-4.0999999999999996</v>
      </c>
      <c r="H176">
        <v>-0.4</v>
      </c>
      <c r="I176" t="s">
        <v>59</v>
      </c>
      <c r="J176" t="s">
        <v>59</v>
      </c>
      <c r="K176" t="s">
        <v>59</v>
      </c>
    </row>
    <row r="177" spans="1:12" x14ac:dyDescent="0.25">
      <c r="A177" t="s">
        <v>436</v>
      </c>
      <c r="B177" t="s">
        <v>437</v>
      </c>
      <c r="C177" t="s">
        <v>58</v>
      </c>
      <c r="D177">
        <v>125</v>
      </c>
      <c r="E177">
        <v>117.4</v>
      </c>
      <c r="F177">
        <v>-7.6</v>
      </c>
      <c r="G177">
        <v>-6.1</v>
      </c>
      <c r="H177">
        <v>-0.6</v>
      </c>
      <c r="I177" t="s">
        <v>59</v>
      </c>
      <c r="J177" t="s">
        <v>59</v>
      </c>
      <c r="K177" t="s">
        <v>59</v>
      </c>
    </row>
    <row r="178" spans="1:12" x14ac:dyDescent="0.25">
      <c r="A178" t="s">
        <v>438</v>
      </c>
      <c r="B178" t="s">
        <v>439</v>
      </c>
      <c r="C178" t="s">
        <v>55</v>
      </c>
      <c r="D178">
        <v>1507.8</v>
      </c>
      <c r="E178">
        <v>1397.9</v>
      </c>
      <c r="F178">
        <v>-109.9</v>
      </c>
      <c r="G178">
        <v>-7.3</v>
      </c>
      <c r="H178">
        <v>-0.8</v>
      </c>
      <c r="I178" t="s">
        <v>59</v>
      </c>
      <c r="J178" t="s">
        <v>59</v>
      </c>
      <c r="K178" t="s">
        <v>59</v>
      </c>
    </row>
    <row r="179" spans="1:12" x14ac:dyDescent="0.25">
      <c r="A179" t="s">
        <v>440</v>
      </c>
      <c r="B179" t="s">
        <v>441</v>
      </c>
      <c r="C179" t="s">
        <v>58</v>
      </c>
      <c r="D179">
        <v>299.2</v>
      </c>
      <c r="E179">
        <v>281.7</v>
      </c>
      <c r="F179">
        <v>-17.5</v>
      </c>
      <c r="G179">
        <v>-5.8</v>
      </c>
      <c r="H179">
        <v>-0.6</v>
      </c>
      <c r="I179" t="s">
        <v>59</v>
      </c>
      <c r="J179" t="s">
        <v>59</v>
      </c>
      <c r="K179" t="s">
        <v>59</v>
      </c>
    </row>
    <row r="180" spans="1:12" x14ac:dyDescent="0.25">
      <c r="A180" t="s">
        <v>442</v>
      </c>
      <c r="B180" t="s">
        <v>443</v>
      </c>
      <c r="C180" t="s">
        <v>58</v>
      </c>
      <c r="D180">
        <v>65.8</v>
      </c>
      <c r="E180">
        <v>57</v>
      </c>
      <c r="F180">
        <v>-8.8000000000000007</v>
      </c>
      <c r="G180">
        <v>-13.4</v>
      </c>
      <c r="H180">
        <v>-1.4</v>
      </c>
      <c r="I180" t="s">
        <v>59</v>
      </c>
      <c r="J180" t="s">
        <v>59</v>
      </c>
      <c r="K180" t="s">
        <v>59</v>
      </c>
    </row>
    <row r="181" spans="1:12" x14ac:dyDescent="0.25">
      <c r="A181" t="s">
        <v>444</v>
      </c>
      <c r="B181" t="s">
        <v>445</v>
      </c>
      <c r="C181" t="s">
        <v>58</v>
      </c>
      <c r="D181">
        <v>59</v>
      </c>
      <c r="E181">
        <v>53.7</v>
      </c>
      <c r="F181">
        <v>-5.3</v>
      </c>
      <c r="G181">
        <v>-9</v>
      </c>
      <c r="H181">
        <v>-0.9</v>
      </c>
      <c r="I181" t="s">
        <v>59</v>
      </c>
      <c r="J181" t="s">
        <v>59</v>
      </c>
      <c r="K181" t="s">
        <v>59</v>
      </c>
    </row>
    <row r="182" spans="1:12" x14ac:dyDescent="0.25">
      <c r="A182" t="s">
        <v>446</v>
      </c>
      <c r="B182" t="s">
        <v>447</v>
      </c>
      <c r="C182" t="s">
        <v>58</v>
      </c>
      <c r="D182">
        <v>406.4</v>
      </c>
      <c r="E182">
        <v>366.9</v>
      </c>
      <c r="F182">
        <v>-39.5</v>
      </c>
      <c r="G182">
        <v>-9.6999999999999993</v>
      </c>
      <c r="H182">
        <v>-1</v>
      </c>
      <c r="I182" t="s">
        <v>59</v>
      </c>
      <c r="J182" t="s">
        <v>59</v>
      </c>
      <c r="K182" t="s">
        <v>59</v>
      </c>
    </row>
    <row r="183" spans="1:12" x14ac:dyDescent="0.25">
      <c r="A183" t="s">
        <v>448</v>
      </c>
      <c r="B183" t="s">
        <v>449</v>
      </c>
      <c r="C183" t="s">
        <v>58</v>
      </c>
      <c r="D183">
        <v>487.7</v>
      </c>
      <c r="E183">
        <v>474.2</v>
      </c>
      <c r="F183">
        <v>-13.5</v>
      </c>
      <c r="G183">
        <v>-2.8</v>
      </c>
      <c r="H183">
        <v>-0.3</v>
      </c>
      <c r="I183" t="s">
        <v>59</v>
      </c>
      <c r="J183" t="s">
        <v>59</v>
      </c>
      <c r="K183" t="s">
        <v>59</v>
      </c>
    </row>
    <row r="184" spans="1:12" x14ac:dyDescent="0.25">
      <c r="A184" t="s">
        <v>450</v>
      </c>
      <c r="B184" t="s">
        <v>451</v>
      </c>
      <c r="C184" t="s">
        <v>55</v>
      </c>
      <c r="D184">
        <v>6654.5</v>
      </c>
      <c r="E184">
        <v>6853.3</v>
      </c>
      <c r="F184">
        <v>198.8</v>
      </c>
      <c r="G184">
        <v>3</v>
      </c>
      <c r="H184">
        <v>0.3</v>
      </c>
      <c r="I184">
        <v>1382</v>
      </c>
      <c r="J184">
        <v>1720.3</v>
      </c>
      <c r="K184">
        <v>2.2000000000000002</v>
      </c>
    </row>
    <row r="185" spans="1:12" x14ac:dyDescent="0.25">
      <c r="A185" t="s">
        <v>452</v>
      </c>
      <c r="B185" t="s">
        <v>453</v>
      </c>
      <c r="C185" t="s">
        <v>55</v>
      </c>
      <c r="D185">
        <v>564.4</v>
      </c>
      <c r="E185">
        <v>589.9</v>
      </c>
      <c r="F185">
        <v>25.5</v>
      </c>
      <c r="G185">
        <v>4.5</v>
      </c>
      <c r="H185">
        <v>0.4</v>
      </c>
      <c r="I185">
        <v>281.60000000000002</v>
      </c>
      <c r="J185">
        <v>353.6</v>
      </c>
      <c r="K185">
        <v>2.2999999999999998</v>
      </c>
      <c r="L185" t="s">
        <v>454</v>
      </c>
    </row>
    <row r="186" spans="1:12" x14ac:dyDescent="0.25">
      <c r="A186" t="s">
        <v>455</v>
      </c>
      <c r="B186" t="s">
        <v>456</v>
      </c>
      <c r="C186" t="s">
        <v>58</v>
      </c>
      <c r="D186">
        <v>504.5</v>
      </c>
      <c r="E186">
        <v>526.4</v>
      </c>
      <c r="F186">
        <v>21.9</v>
      </c>
      <c r="G186">
        <v>4.3</v>
      </c>
      <c r="H186">
        <v>0.4</v>
      </c>
      <c r="I186" t="s">
        <v>59</v>
      </c>
      <c r="J186" t="s">
        <v>59</v>
      </c>
      <c r="K186" t="s">
        <v>59</v>
      </c>
    </row>
    <row r="187" spans="1:12" x14ac:dyDescent="0.25">
      <c r="A187" t="s">
        <v>457</v>
      </c>
      <c r="B187" t="s">
        <v>458</v>
      </c>
      <c r="C187" t="s">
        <v>58</v>
      </c>
      <c r="D187">
        <v>59.9</v>
      </c>
      <c r="E187">
        <v>63.4</v>
      </c>
      <c r="F187">
        <v>3.5</v>
      </c>
      <c r="G187">
        <v>5.9</v>
      </c>
      <c r="H187">
        <v>0.6</v>
      </c>
      <c r="I187" t="s">
        <v>59</v>
      </c>
      <c r="J187" t="s">
        <v>59</v>
      </c>
      <c r="K187" t="s">
        <v>59</v>
      </c>
    </row>
    <row r="188" spans="1:12" x14ac:dyDescent="0.25">
      <c r="A188" t="s">
        <v>459</v>
      </c>
      <c r="B188" t="s">
        <v>460</v>
      </c>
      <c r="C188" t="s">
        <v>58</v>
      </c>
      <c r="D188">
        <v>156.4</v>
      </c>
      <c r="E188">
        <v>157.1</v>
      </c>
      <c r="F188">
        <v>0.7</v>
      </c>
      <c r="G188">
        <v>0.4</v>
      </c>
      <c r="H188">
        <v>0</v>
      </c>
      <c r="I188">
        <v>71.5</v>
      </c>
      <c r="J188">
        <v>81.2</v>
      </c>
      <c r="K188">
        <v>1.3</v>
      </c>
      <c r="L188" t="s">
        <v>461</v>
      </c>
    </row>
    <row r="189" spans="1:12" x14ac:dyDescent="0.25">
      <c r="A189" t="s">
        <v>462</v>
      </c>
      <c r="B189" t="s">
        <v>463</v>
      </c>
      <c r="C189" t="s">
        <v>55</v>
      </c>
      <c r="D189">
        <v>70</v>
      </c>
      <c r="E189">
        <v>71.400000000000006</v>
      </c>
      <c r="F189">
        <v>1.4</v>
      </c>
      <c r="G189">
        <v>2</v>
      </c>
      <c r="H189">
        <v>0.2</v>
      </c>
      <c r="I189">
        <v>55.6</v>
      </c>
      <c r="J189">
        <v>68.5</v>
      </c>
      <c r="K189">
        <v>2.1</v>
      </c>
      <c r="L189" t="s">
        <v>464</v>
      </c>
    </row>
    <row r="190" spans="1:12" x14ac:dyDescent="0.25">
      <c r="A190" t="s">
        <v>465</v>
      </c>
      <c r="B190" t="s">
        <v>466</v>
      </c>
      <c r="C190" t="s">
        <v>58</v>
      </c>
      <c r="D190">
        <v>41.5</v>
      </c>
      <c r="E190">
        <v>42.3</v>
      </c>
      <c r="F190">
        <v>0.8</v>
      </c>
      <c r="G190">
        <v>2</v>
      </c>
      <c r="H190">
        <v>0.2</v>
      </c>
      <c r="I190" t="s">
        <v>59</v>
      </c>
      <c r="J190" t="s">
        <v>59</v>
      </c>
      <c r="K190" t="s">
        <v>59</v>
      </c>
    </row>
    <row r="191" spans="1:12" x14ac:dyDescent="0.25">
      <c r="A191" t="s">
        <v>467</v>
      </c>
      <c r="B191" t="s">
        <v>468</v>
      </c>
      <c r="C191" t="s">
        <v>58</v>
      </c>
      <c r="D191">
        <v>28.5</v>
      </c>
      <c r="E191">
        <v>29</v>
      </c>
      <c r="F191">
        <v>0.5</v>
      </c>
      <c r="G191">
        <v>1.9</v>
      </c>
      <c r="H191">
        <v>0.2</v>
      </c>
      <c r="I191" t="s">
        <v>59</v>
      </c>
      <c r="J191" t="s">
        <v>59</v>
      </c>
      <c r="K191" t="s">
        <v>59</v>
      </c>
    </row>
    <row r="192" spans="1:12" x14ac:dyDescent="0.25">
      <c r="A192" t="s">
        <v>469</v>
      </c>
      <c r="B192" t="s">
        <v>470</v>
      </c>
      <c r="C192" t="s">
        <v>58</v>
      </c>
      <c r="D192">
        <v>1522.1</v>
      </c>
      <c r="E192">
        <v>1543.1</v>
      </c>
      <c r="F192">
        <v>21</v>
      </c>
      <c r="G192">
        <v>1.4</v>
      </c>
      <c r="H192">
        <v>0.1</v>
      </c>
      <c r="I192">
        <v>391.5</v>
      </c>
      <c r="J192">
        <v>487.1</v>
      </c>
      <c r="K192">
        <v>2.2000000000000002</v>
      </c>
      <c r="L192" t="s">
        <v>461</v>
      </c>
    </row>
    <row r="193" spans="1:12" x14ac:dyDescent="0.25">
      <c r="A193" t="s">
        <v>471</v>
      </c>
      <c r="B193" t="s">
        <v>472</v>
      </c>
      <c r="C193" t="s">
        <v>55</v>
      </c>
      <c r="D193">
        <v>472.6</v>
      </c>
      <c r="E193">
        <v>488.6</v>
      </c>
      <c r="F193">
        <v>16</v>
      </c>
      <c r="G193">
        <v>3.4</v>
      </c>
      <c r="H193">
        <v>0.3</v>
      </c>
      <c r="I193">
        <v>157.80000000000001</v>
      </c>
      <c r="J193">
        <v>178.6</v>
      </c>
      <c r="K193">
        <v>1.2</v>
      </c>
      <c r="L193" t="s">
        <v>461</v>
      </c>
    </row>
    <row r="194" spans="1:12" x14ac:dyDescent="0.25">
      <c r="A194" t="s">
        <v>473</v>
      </c>
      <c r="B194" t="s">
        <v>474</v>
      </c>
      <c r="C194" t="s">
        <v>58</v>
      </c>
      <c r="D194">
        <v>48</v>
      </c>
      <c r="E194">
        <v>49.8</v>
      </c>
      <c r="F194">
        <v>1.9</v>
      </c>
      <c r="G194">
        <v>3.9</v>
      </c>
      <c r="H194">
        <v>0.4</v>
      </c>
      <c r="I194" t="s">
        <v>59</v>
      </c>
      <c r="J194" t="s">
        <v>59</v>
      </c>
      <c r="K194" t="s">
        <v>59</v>
      </c>
    </row>
    <row r="195" spans="1:12" x14ac:dyDescent="0.25">
      <c r="A195" t="s">
        <v>475</v>
      </c>
      <c r="B195" t="s">
        <v>476</v>
      </c>
      <c r="C195" t="s">
        <v>58</v>
      </c>
      <c r="D195">
        <v>16.2</v>
      </c>
      <c r="E195">
        <v>16.600000000000001</v>
      </c>
      <c r="F195">
        <v>0.5</v>
      </c>
      <c r="G195">
        <v>2.8</v>
      </c>
      <c r="H195">
        <v>0.2</v>
      </c>
      <c r="I195" t="s">
        <v>59</v>
      </c>
      <c r="J195" t="s">
        <v>59</v>
      </c>
      <c r="K195" t="s">
        <v>59</v>
      </c>
    </row>
    <row r="196" spans="1:12" x14ac:dyDescent="0.25">
      <c r="A196" t="s">
        <v>477</v>
      </c>
      <c r="B196" t="s">
        <v>478</v>
      </c>
      <c r="C196" t="s">
        <v>58</v>
      </c>
      <c r="D196">
        <v>71.2</v>
      </c>
      <c r="E196">
        <v>67.900000000000006</v>
      </c>
      <c r="F196">
        <v>-3.3</v>
      </c>
      <c r="G196">
        <v>-4.5999999999999996</v>
      </c>
      <c r="H196">
        <v>-0.5</v>
      </c>
      <c r="I196" t="s">
        <v>59</v>
      </c>
      <c r="J196" t="s">
        <v>59</v>
      </c>
      <c r="K196" t="s">
        <v>59</v>
      </c>
    </row>
    <row r="197" spans="1:12" x14ac:dyDescent="0.25">
      <c r="A197" t="s">
        <v>479</v>
      </c>
      <c r="B197" t="s">
        <v>480</v>
      </c>
      <c r="C197" t="s">
        <v>58</v>
      </c>
      <c r="D197">
        <v>203</v>
      </c>
      <c r="E197">
        <v>208.4</v>
      </c>
      <c r="F197">
        <v>5.4</v>
      </c>
      <c r="G197">
        <v>2.7</v>
      </c>
      <c r="H197">
        <v>0.3</v>
      </c>
      <c r="I197" t="s">
        <v>59</v>
      </c>
      <c r="J197" t="s">
        <v>59</v>
      </c>
      <c r="K197" t="s">
        <v>59</v>
      </c>
    </row>
    <row r="198" spans="1:12" x14ac:dyDescent="0.25">
      <c r="A198" t="s">
        <v>481</v>
      </c>
      <c r="B198" t="s">
        <v>482</v>
      </c>
      <c r="C198" t="s">
        <v>58</v>
      </c>
      <c r="D198">
        <v>24.1</v>
      </c>
      <c r="E198">
        <v>24.9</v>
      </c>
      <c r="F198">
        <v>0.9</v>
      </c>
      <c r="G198">
        <v>3.5</v>
      </c>
      <c r="H198">
        <v>0.3</v>
      </c>
      <c r="I198" t="s">
        <v>59</v>
      </c>
      <c r="J198" t="s">
        <v>59</v>
      </c>
      <c r="K198" t="s">
        <v>59</v>
      </c>
    </row>
    <row r="199" spans="1:12" x14ac:dyDescent="0.25">
      <c r="A199" t="s">
        <v>483</v>
      </c>
      <c r="B199" t="s">
        <v>484</v>
      </c>
      <c r="C199" t="s">
        <v>58</v>
      </c>
      <c r="D199">
        <v>110.2</v>
      </c>
      <c r="E199">
        <v>120.9</v>
      </c>
      <c r="F199">
        <v>10.7</v>
      </c>
      <c r="G199">
        <v>9.6999999999999993</v>
      </c>
      <c r="H199">
        <v>0.9</v>
      </c>
      <c r="I199" t="s">
        <v>59</v>
      </c>
      <c r="J199" t="s">
        <v>59</v>
      </c>
      <c r="K199" t="s">
        <v>59</v>
      </c>
    </row>
    <row r="200" spans="1:12" x14ac:dyDescent="0.25">
      <c r="A200" t="s">
        <v>485</v>
      </c>
      <c r="B200" t="s">
        <v>486</v>
      </c>
      <c r="C200" t="s">
        <v>55</v>
      </c>
      <c r="D200">
        <v>55.4</v>
      </c>
      <c r="E200">
        <v>57.9</v>
      </c>
      <c r="F200">
        <v>2.5</v>
      </c>
      <c r="G200">
        <v>4.4000000000000004</v>
      </c>
      <c r="H200">
        <v>0.4</v>
      </c>
      <c r="I200">
        <v>52.8</v>
      </c>
      <c r="J200">
        <v>62.5</v>
      </c>
      <c r="K200">
        <v>1.7</v>
      </c>
      <c r="L200" t="s">
        <v>127</v>
      </c>
    </row>
    <row r="201" spans="1:12" x14ac:dyDescent="0.25">
      <c r="A201" t="s">
        <v>487</v>
      </c>
      <c r="B201" t="s">
        <v>488</v>
      </c>
      <c r="C201" t="s">
        <v>58</v>
      </c>
      <c r="D201">
        <v>12.6</v>
      </c>
      <c r="E201">
        <v>13</v>
      </c>
      <c r="F201">
        <v>0.4</v>
      </c>
      <c r="G201">
        <v>3.2</v>
      </c>
      <c r="H201">
        <v>0.3</v>
      </c>
      <c r="I201" t="s">
        <v>59</v>
      </c>
      <c r="J201" t="s">
        <v>59</v>
      </c>
      <c r="K201" t="s">
        <v>59</v>
      </c>
    </row>
    <row r="202" spans="1:12" x14ac:dyDescent="0.25">
      <c r="A202" t="s">
        <v>489</v>
      </c>
      <c r="B202" t="s">
        <v>490</v>
      </c>
      <c r="C202" t="s">
        <v>58</v>
      </c>
      <c r="D202">
        <v>35.200000000000003</v>
      </c>
      <c r="E202">
        <v>37.1</v>
      </c>
      <c r="F202">
        <v>1.9</v>
      </c>
      <c r="G202">
        <v>5.5</v>
      </c>
      <c r="H202">
        <v>0.5</v>
      </c>
      <c r="I202" t="s">
        <v>59</v>
      </c>
      <c r="J202" t="s">
        <v>59</v>
      </c>
      <c r="K202" t="s">
        <v>59</v>
      </c>
    </row>
    <row r="203" spans="1:12" x14ac:dyDescent="0.25">
      <c r="A203" t="s">
        <v>491</v>
      </c>
      <c r="B203" t="s">
        <v>492</v>
      </c>
      <c r="C203" t="s">
        <v>58</v>
      </c>
      <c r="D203">
        <v>7.6</v>
      </c>
      <c r="E203">
        <v>7.8</v>
      </c>
      <c r="F203">
        <v>0.1</v>
      </c>
      <c r="G203">
        <v>1.5</v>
      </c>
      <c r="H203">
        <v>0.3</v>
      </c>
      <c r="I203" t="s">
        <v>59</v>
      </c>
      <c r="J203" t="s">
        <v>59</v>
      </c>
      <c r="K203" t="s">
        <v>59</v>
      </c>
    </row>
    <row r="204" spans="1:12" x14ac:dyDescent="0.25">
      <c r="A204" t="s">
        <v>493</v>
      </c>
      <c r="B204" t="s">
        <v>494</v>
      </c>
      <c r="C204" t="s">
        <v>55</v>
      </c>
      <c r="D204">
        <v>868.1</v>
      </c>
      <c r="E204">
        <v>914.9</v>
      </c>
      <c r="F204">
        <v>46.8</v>
      </c>
      <c r="G204">
        <v>5.4</v>
      </c>
      <c r="H204">
        <v>0.5</v>
      </c>
      <c r="I204">
        <v>165.5</v>
      </c>
      <c r="J204">
        <v>218.6</v>
      </c>
      <c r="K204">
        <v>2.8</v>
      </c>
      <c r="L204" t="s">
        <v>495</v>
      </c>
    </row>
    <row r="205" spans="1:12" x14ac:dyDescent="0.25">
      <c r="A205" t="s">
        <v>496</v>
      </c>
      <c r="B205" t="s">
        <v>497</v>
      </c>
      <c r="C205" t="s">
        <v>55</v>
      </c>
      <c r="D205">
        <v>31.1</v>
      </c>
      <c r="E205">
        <v>31.6</v>
      </c>
      <c r="F205">
        <v>0.5</v>
      </c>
      <c r="G205">
        <v>1.5</v>
      </c>
      <c r="H205">
        <v>0.2</v>
      </c>
      <c r="I205" t="s">
        <v>59</v>
      </c>
      <c r="J205" t="s">
        <v>59</v>
      </c>
      <c r="K205" t="s">
        <v>59</v>
      </c>
    </row>
    <row r="206" spans="1:12" x14ac:dyDescent="0.25">
      <c r="A206" t="s">
        <v>498</v>
      </c>
      <c r="B206" t="s">
        <v>499</v>
      </c>
      <c r="C206" t="s">
        <v>58</v>
      </c>
      <c r="D206">
        <v>10.8</v>
      </c>
      <c r="E206">
        <v>11</v>
      </c>
      <c r="F206">
        <v>0.2</v>
      </c>
      <c r="G206">
        <v>2</v>
      </c>
      <c r="H206">
        <v>0.2</v>
      </c>
      <c r="I206" t="s">
        <v>59</v>
      </c>
      <c r="J206" t="s">
        <v>59</v>
      </c>
      <c r="K206" t="s">
        <v>59</v>
      </c>
    </row>
    <row r="207" spans="1:12" x14ac:dyDescent="0.25">
      <c r="A207" t="s">
        <v>500</v>
      </c>
      <c r="B207" t="s">
        <v>501</v>
      </c>
      <c r="C207" t="s">
        <v>58</v>
      </c>
      <c r="D207">
        <v>17.600000000000001</v>
      </c>
      <c r="E207">
        <v>17.7</v>
      </c>
      <c r="F207">
        <v>0.2</v>
      </c>
      <c r="G207">
        <v>0.9</v>
      </c>
      <c r="H207">
        <v>0.1</v>
      </c>
      <c r="I207" t="s">
        <v>59</v>
      </c>
      <c r="J207" t="s">
        <v>59</v>
      </c>
      <c r="K207" t="s">
        <v>59</v>
      </c>
    </row>
    <row r="208" spans="1:12" x14ac:dyDescent="0.25">
      <c r="A208" t="s">
        <v>502</v>
      </c>
      <c r="B208" t="s">
        <v>503</v>
      </c>
      <c r="C208" t="s">
        <v>58</v>
      </c>
      <c r="D208">
        <v>2.8</v>
      </c>
      <c r="E208">
        <v>2.8</v>
      </c>
      <c r="F208">
        <v>0.1</v>
      </c>
      <c r="G208">
        <v>2.8</v>
      </c>
      <c r="H208">
        <v>0</v>
      </c>
      <c r="I208" t="s">
        <v>59</v>
      </c>
      <c r="J208" t="s">
        <v>59</v>
      </c>
      <c r="K208" t="s">
        <v>59</v>
      </c>
    </row>
    <row r="209" spans="1:12" x14ac:dyDescent="0.25">
      <c r="A209" t="s">
        <v>504</v>
      </c>
      <c r="B209" t="s">
        <v>505</v>
      </c>
      <c r="C209" t="s">
        <v>55</v>
      </c>
      <c r="D209">
        <v>837</v>
      </c>
      <c r="E209">
        <v>883.3</v>
      </c>
      <c r="F209">
        <v>46.3</v>
      </c>
      <c r="G209">
        <v>5.5</v>
      </c>
      <c r="H209">
        <v>0.5</v>
      </c>
      <c r="I209" t="s">
        <v>59</v>
      </c>
      <c r="J209" t="s">
        <v>59</v>
      </c>
      <c r="K209" t="s">
        <v>59</v>
      </c>
    </row>
    <row r="210" spans="1:12" x14ac:dyDescent="0.25">
      <c r="A210" t="s">
        <v>506</v>
      </c>
      <c r="B210" t="s">
        <v>507</v>
      </c>
      <c r="C210" t="s">
        <v>58</v>
      </c>
      <c r="D210">
        <v>272.3</v>
      </c>
      <c r="E210">
        <v>283.60000000000002</v>
      </c>
      <c r="F210">
        <v>11.3</v>
      </c>
      <c r="G210">
        <v>4.2</v>
      </c>
      <c r="H210">
        <v>0.4</v>
      </c>
      <c r="I210" t="s">
        <v>59</v>
      </c>
      <c r="J210" t="s">
        <v>59</v>
      </c>
      <c r="K210" t="s">
        <v>59</v>
      </c>
    </row>
    <row r="211" spans="1:12" x14ac:dyDescent="0.25">
      <c r="A211" t="s">
        <v>508</v>
      </c>
      <c r="B211" t="s">
        <v>509</v>
      </c>
      <c r="C211" t="s">
        <v>58</v>
      </c>
      <c r="D211">
        <v>43.6</v>
      </c>
      <c r="E211">
        <v>43.9</v>
      </c>
      <c r="F211">
        <v>0.3</v>
      </c>
      <c r="G211">
        <v>0.7</v>
      </c>
      <c r="H211">
        <v>0.1</v>
      </c>
      <c r="I211" t="s">
        <v>59</v>
      </c>
      <c r="J211" t="s">
        <v>59</v>
      </c>
      <c r="K211" t="s">
        <v>59</v>
      </c>
    </row>
    <row r="212" spans="1:12" x14ac:dyDescent="0.25">
      <c r="A212" t="s">
        <v>510</v>
      </c>
      <c r="B212" t="s">
        <v>511</v>
      </c>
      <c r="C212" t="s">
        <v>58</v>
      </c>
      <c r="D212">
        <v>97.6</v>
      </c>
      <c r="E212">
        <v>99.7</v>
      </c>
      <c r="F212">
        <v>2.1</v>
      </c>
      <c r="G212">
        <v>2.2000000000000002</v>
      </c>
      <c r="H212">
        <v>0.2</v>
      </c>
      <c r="I212" t="s">
        <v>59</v>
      </c>
      <c r="J212" t="s">
        <v>59</v>
      </c>
      <c r="K212" t="s">
        <v>59</v>
      </c>
    </row>
    <row r="213" spans="1:12" x14ac:dyDescent="0.25">
      <c r="A213" t="s">
        <v>512</v>
      </c>
      <c r="B213" t="s">
        <v>513</v>
      </c>
      <c r="C213" t="s">
        <v>58</v>
      </c>
      <c r="D213">
        <v>114.7</v>
      </c>
      <c r="E213">
        <v>118.9</v>
      </c>
      <c r="F213">
        <v>4.2</v>
      </c>
      <c r="G213">
        <v>3.7</v>
      </c>
      <c r="H213">
        <v>0.4</v>
      </c>
      <c r="I213" t="s">
        <v>59</v>
      </c>
      <c r="J213" t="s">
        <v>59</v>
      </c>
      <c r="K213" t="s">
        <v>59</v>
      </c>
    </row>
    <row r="214" spans="1:12" x14ac:dyDescent="0.25">
      <c r="A214" t="s">
        <v>514</v>
      </c>
      <c r="B214" t="s">
        <v>515</v>
      </c>
      <c r="C214" t="s">
        <v>58</v>
      </c>
      <c r="D214">
        <v>266.10000000000002</v>
      </c>
      <c r="E214">
        <v>292.8</v>
      </c>
      <c r="F214">
        <v>26.7</v>
      </c>
      <c r="G214">
        <v>10</v>
      </c>
      <c r="H214">
        <v>1</v>
      </c>
      <c r="I214" t="s">
        <v>59</v>
      </c>
      <c r="J214" t="s">
        <v>59</v>
      </c>
      <c r="K214" t="s">
        <v>59</v>
      </c>
    </row>
    <row r="215" spans="1:12" x14ac:dyDescent="0.25">
      <c r="A215" t="s">
        <v>516</v>
      </c>
      <c r="B215" t="s">
        <v>517</v>
      </c>
      <c r="C215" t="s">
        <v>58</v>
      </c>
      <c r="D215">
        <v>42.7</v>
      </c>
      <c r="E215">
        <v>44.4</v>
      </c>
      <c r="F215">
        <v>1.7</v>
      </c>
      <c r="G215">
        <v>3.9</v>
      </c>
      <c r="H215">
        <v>0.4</v>
      </c>
      <c r="I215" t="s">
        <v>59</v>
      </c>
      <c r="J215" t="s">
        <v>59</v>
      </c>
      <c r="K215" t="s">
        <v>59</v>
      </c>
    </row>
    <row r="216" spans="1:12" x14ac:dyDescent="0.25">
      <c r="A216" t="s">
        <v>518</v>
      </c>
      <c r="B216" t="s">
        <v>519</v>
      </c>
      <c r="C216" t="s">
        <v>55</v>
      </c>
      <c r="D216">
        <v>1096.4000000000001</v>
      </c>
      <c r="E216">
        <v>1155.4000000000001</v>
      </c>
      <c r="F216">
        <v>59</v>
      </c>
      <c r="G216">
        <v>5.4</v>
      </c>
      <c r="H216">
        <v>0.5</v>
      </c>
      <c r="I216">
        <v>96.4</v>
      </c>
      <c r="J216">
        <v>126.7</v>
      </c>
      <c r="K216">
        <v>2.8</v>
      </c>
      <c r="L216" t="s">
        <v>520</v>
      </c>
    </row>
    <row r="217" spans="1:12" x14ac:dyDescent="0.25">
      <c r="A217" t="s">
        <v>521</v>
      </c>
      <c r="B217" t="s">
        <v>522</v>
      </c>
      <c r="C217" t="s">
        <v>58</v>
      </c>
      <c r="D217">
        <v>909.8</v>
      </c>
      <c r="E217">
        <v>953.2</v>
      </c>
      <c r="F217">
        <v>43.4</v>
      </c>
      <c r="G217">
        <v>4.8</v>
      </c>
      <c r="H217">
        <v>0.5</v>
      </c>
      <c r="I217" t="s">
        <v>59</v>
      </c>
      <c r="J217" t="s">
        <v>59</v>
      </c>
      <c r="K217" t="s">
        <v>59</v>
      </c>
    </row>
    <row r="218" spans="1:12" x14ac:dyDescent="0.25">
      <c r="A218" t="s">
        <v>523</v>
      </c>
      <c r="B218" t="s">
        <v>524</v>
      </c>
      <c r="C218" t="s">
        <v>58</v>
      </c>
      <c r="D218">
        <v>186.6</v>
      </c>
      <c r="E218">
        <v>202.2</v>
      </c>
      <c r="F218">
        <v>15.6</v>
      </c>
      <c r="G218">
        <v>8.4</v>
      </c>
      <c r="H218">
        <v>0.8</v>
      </c>
      <c r="I218" t="s">
        <v>59</v>
      </c>
      <c r="J218" t="s">
        <v>59</v>
      </c>
      <c r="K218" t="s">
        <v>59</v>
      </c>
    </row>
    <row r="219" spans="1:12" x14ac:dyDescent="0.25">
      <c r="A219" t="s">
        <v>525</v>
      </c>
      <c r="B219" t="s">
        <v>526</v>
      </c>
      <c r="C219" t="s">
        <v>58</v>
      </c>
      <c r="D219">
        <v>1849.1</v>
      </c>
      <c r="E219">
        <v>1875.1</v>
      </c>
      <c r="F219">
        <v>26</v>
      </c>
      <c r="G219">
        <v>1.4</v>
      </c>
      <c r="H219">
        <v>0.1</v>
      </c>
      <c r="I219">
        <v>134.69999999999999</v>
      </c>
      <c r="J219">
        <v>169.7</v>
      </c>
      <c r="K219">
        <v>2.2999999999999998</v>
      </c>
      <c r="L219" t="s">
        <v>495</v>
      </c>
    </row>
    <row r="220" spans="1:12" x14ac:dyDescent="0.25">
      <c r="A220" t="s">
        <v>527</v>
      </c>
      <c r="B220" t="s">
        <v>528</v>
      </c>
      <c r="C220" t="s">
        <v>55</v>
      </c>
      <c r="D220">
        <v>2942.8</v>
      </c>
      <c r="E220">
        <v>3135.1</v>
      </c>
      <c r="F220">
        <v>192.3</v>
      </c>
      <c r="G220">
        <v>6.5</v>
      </c>
      <c r="H220">
        <v>0.6</v>
      </c>
      <c r="I220">
        <v>2565.5</v>
      </c>
      <c r="J220">
        <v>3565.6</v>
      </c>
      <c r="K220">
        <v>3.3</v>
      </c>
    </row>
    <row r="221" spans="1:12" x14ac:dyDescent="0.25">
      <c r="A221" t="s">
        <v>529</v>
      </c>
      <c r="B221" t="s">
        <v>530</v>
      </c>
      <c r="C221" t="s">
        <v>55</v>
      </c>
      <c r="D221">
        <v>400.7</v>
      </c>
      <c r="E221">
        <v>421.9</v>
      </c>
      <c r="F221">
        <v>21.2</v>
      </c>
      <c r="G221">
        <v>5.3</v>
      </c>
      <c r="H221">
        <v>0.5</v>
      </c>
      <c r="I221">
        <v>190</v>
      </c>
      <c r="J221">
        <v>249.7</v>
      </c>
      <c r="K221">
        <v>2.8</v>
      </c>
      <c r="L221" t="s">
        <v>531</v>
      </c>
    </row>
    <row r="222" spans="1:12" x14ac:dyDescent="0.25">
      <c r="A222" t="s">
        <v>532</v>
      </c>
      <c r="B222" t="s">
        <v>533</v>
      </c>
      <c r="C222" t="s">
        <v>55</v>
      </c>
      <c r="D222">
        <v>378.1</v>
      </c>
      <c r="E222">
        <v>398.5</v>
      </c>
      <c r="F222">
        <v>20.399999999999999</v>
      </c>
      <c r="G222">
        <v>5.4</v>
      </c>
      <c r="H222">
        <v>0.5</v>
      </c>
      <c r="I222">
        <v>159.1</v>
      </c>
      <c r="J222">
        <v>205.8</v>
      </c>
      <c r="K222">
        <v>2.6</v>
      </c>
    </row>
    <row r="223" spans="1:12" x14ac:dyDescent="0.25">
      <c r="A223" t="s">
        <v>534</v>
      </c>
      <c r="B223" t="s">
        <v>535</v>
      </c>
      <c r="C223" t="s">
        <v>58</v>
      </c>
      <c r="D223">
        <v>118.5</v>
      </c>
      <c r="E223">
        <v>120.3</v>
      </c>
      <c r="F223">
        <v>1.8</v>
      </c>
      <c r="G223">
        <v>1.6</v>
      </c>
      <c r="H223">
        <v>0.2</v>
      </c>
      <c r="I223" t="s">
        <v>59</v>
      </c>
      <c r="J223" t="s">
        <v>59</v>
      </c>
      <c r="K223" t="s">
        <v>59</v>
      </c>
    </row>
    <row r="224" spans="1:12" x14ac:dyDescent="0.25">
      <c r="A224" t="s">
        <v>536</v>
      </c>
      <c r="B224" t="s">
        <v>537</v>
      </c>
      <c r="C224" t="s">
        <v>58</v>
      </c>
      <c r="D224">
        <v>22.6</v>
      </c>
      <c r="E224">
        <v>23.4</v>
      </c>
      <c r="F224">
        <v>0.8</v>
      </c>
      <c r="G224">
        <v>3.4</v>
      </c>
      <c r="H224">
        <v>0.3</v>
      </c>
      <c r="I224">
        <v>31.4</v>
      </c>
      <c r="J224">
        <v>45.1</v>
      </c>
      <c r="K224">
        <v>3.7</v>
      </c>
    </row>
    <row r="225" spans="1:12" x14ac:dyDescent="0.25">
      <c r="A225" t="s">
        <v>538</v>
      </c>
      <c r="B225" t="s">
        <v>539</v>
      </c>
      <c r="C225" t="s">
        <v>55</v>
      </c>
      <c r="D225">
        <v>2542.1</v>
      </c>
      <c r="E225">
        <v>2713.3</v>
      </c>
      <c r="F225">
        <v>171.2</v>
      </c>
      <c r="G225">
        <v>6.7</v>
      </c>
      <c r="H225">
        <v>0.7</v>
      </c>
      <c r="I225">
        <v>2375.8000000000002</v>
      </c>
      <c r="J225">
        <v>3317.5</v>
      </c>
      <c r="K225">
        <v>3.4</v>
      </c>
    </row>
    <row r="226" spans="1:12" x14ac:dyDescent="0.25">
      <c r="A226" t="s">
        <v>540</v>
      </c>
      <c r="B226" t="s">
        <v>541</v>
      </c>
      <c r="C226" t="s">
        <v>58</v>
      </c>
      <c r="D226">
        <v>645.70000000000005</v>
      </c>
      <c r="E226">
        <v>770.3</v>
      </c>
      <c r="F226">
        <v>124.6</v>
      </c>
      <c r="G226">
        <v>19.3</v>
      </c>
      <c r="H226">
        <v>1.8</v>
      </c>
      <c r="I226">
        <v>552.20000000000005</v>
      </c>
      <c r="J226">
        <v>896.1</v>
      </c>
      <c r="K226">
        <v>5</v>
      </c>
      <c r="L226" t="s">
        <v>531</v>
      </c>
    </row>
    <row r="227" spans="1:12" x14ac:dyDescent="0.25">
      <c r="A227" t="s">
        <v>542</v>
      </c>
      <c r="B227" t="s">
        <v>543</v>
      </c>
      <c r="C227" t="s">
        <v>55</v>
      </c>
      <c r="D227">
        <v>792.5</v>
      </c>
      <c r="E227">
        <v>794.2</v>
      </c>
      <c r="F227">
        <v>1.7</v>
      </c>
      <c r="G227">
        <v>0.2</v>
      </c>
      <c r="H227">
        <v>0</v>
      </c>
      <c r="I227">
        <v>771.6</v>
      </c>
      <c r="J227">
        <v>1010.7</v>
      </c>
      <c r="K227">
        <v>2.7</v>
      </c>
      <c r="L227" t="s">
        <v>531</v>
      </c>
    </row>
    <row r="228" spans="1:12" x14ac:dyDescent="0.25">
      <c r="A228" t="s">
        <v>544</v>
      </c>
      <c r="B228" t="s">
        <v>545</v>
      </c>
      <c r="C228" t="s">
        <v>55</v>
      </c>
      <c r="D228">
        <v>268.5</v>
      </c>
      <c r="E228">
        <v>244.6</v>
      </c>
      <c r="F228">
        <v>-23.9</v>
      </c>
      <c r="G228">
        <v>-8.9</v>
      </c>
      <c r="H228">
        <v>-0.9</v>
      </c>
      <c r="I228" t="s">
        <v>59</v>
      </c>
      <c r="J228" t="s">
        <v>59</v>
      </c>
      <c r="K228" t="s">
        <v>59</v>
      </c>
    </row>
    <row r="229" spans="1:12" x14ac:dyDescent="0.25">
      <c r="A229" t="s">
        <v>546</v>
      </c>
      <c r="B229" t="s">
        <v>547</v>
      </c>
      <c r="C229" t="s">
        <v>58</v>
      </c>
      <c r="D229">
        <v>89.4</v>
      </c>
      <c r="E229">
        <v>71.5</v>
      </c>
      <c r="F229">
        <v>-17.899999999999999</v>
      </c>
      <c r="G229">
        <v>-20</v>
      </c>
      <c r="H229">
        <v>-2.2000000000000002</v>
      </c>
      <c r="I229" t="s">
        <v>59</v>
      </c>
      <c r="J229" t="s">
        <v>59</v>
      </c>
      <c r="K229" t="s">
        <v>59</v>
      </c>
    </row>
    <row r="230" spans="1:12" x14ac:dyDescent="0.25">
      <c r="A230" t="s">
        <v>548</v>
      </c>
      <c r="B230" t="s">
        <v>549</v>
      </c>
      <c r="C230" t="s">
        <v>55</v>
      </c>
      <c r="D230">
        <v>340.2</v>
      </c>
      <c r="E230">
        <v>343.1</v>
      </c>
      <c r="F230">
        <v>2.9</v>
      </c>
      <c r="G230">
        <v>0.9</v>
      </c>
      <c r="H230">
        <v>0.1</v>
      </c>
      <c r="I230" t="s">
        <v>59</v>
      </c>
      <c r="J230" t="s">
        <v>59</v>
      </c>
      <c r="K230" t="s">
        <v>59</v>
      </c>
    </row>
    <row r="231" spans="1:12" x14ac:dyDescent="0.25">
      <c r="A231" t="s">
        <v>550</v>
      </c>
      <c r="B231" t="s">
        <v>551</v>
      </c>
      <c r="C231" t="s">
        <v>55</v>
      </c>
      <c r="D231">
        <v>118.1</v>
      </c>
      <c r="E231">
        <v>111.2</v>
      </c>
      <c r="F231">
        <v>-6.9</v>
      </c>
      <c r="G231">
        <v>-5.9</v>
      </c>
      <c r="H231">
        <v>-0.6</v>
      </c>
      <c r="I231" t="s">
        <v>59</v>
      </c>
      <c r="J231" t="s">
        <v>59</v>
      </c>
      <c r="K231" t="s">
        <v>59</v>
      </c>
    </row>
    <row r="232" spans="1:12" x14ac:dyDescent="0.25">
      <c r="A232" t="s">
        <v>552</v>
      </c>
      <c r="B232" t="s">
        <v>553</v>
      </c>
      <c r="C232" t="s">
        <v>58</v>
      </c>
      <c r="D232">
        <v>51.2</v>
      </c>
      <c r="E232">
        <v>48</v>
      </c>
      <c r="F232">
        <v>-3.2</v>
      </c>
      <c r="G232">
        <v>-6.2</v>
      </c>
      <c r="H232">
        <v>-0.6</v>
      </c>
      <c r="I232" t="s">
        <v>59</v>
      </c>
      <c r="J232" t="s">
        <v>59</v>
      </c>
      <c r="K232" t="s">
        <v>59</v>
      </c>
    </row>
    <row r="233" spans="1:12" x14ac:dyDescent="0.25">
      <c r="A233" t="s">
        <v>554</v>
      </c>
      <c r="B233" t="s">
        <v>555</v>
      </c>
      <c r="C233" t="s">
        <v>58</v>
      </c>
      <c r="D233">
        <v>66.900000000000006</v>
      </c>
      <c r="E233">
        <v>63.1</v>
      </c>
      <c r="F233">
        <v>-3.8</v>
      </c>
      <c r="G233">
        <v>-5.6</v>
      </c>
      <c r="H233">
        <v>-0.6</v>
      </c>
      <c r="I233" t="s">
        <v>59</v>
      </c>
      <c r="J233" t="s">
        <v>59</v>
      </c>
      <c r="K233" t="s">
        <v>59</v>
      </c>
    </row>
    <row r="234" spans="1:12" x14ac:dyDescent="0.25">
      <c r="A234" t="s">
        <v>556</v>
      </c>
      <c r="B234" t="s">
        <v>557</v>
      </c>
      <c r="C234" t="s">
        <v>58</v>
      </c>
      <c r="D234">
        <v>222.1</v>
      </c>
      <c r="E234">
        <v>231.9</v>
      </c>
      <c r="F234">
        <v>9.8000000000000007</v>
      </c>
      <c r="G234">
        <v>4.4000000000000004</v>
      </c>
      <c r="H234">
        <v>0.4</v>
      </c>
      <c r="I234" t="s">
        <v>59</v>
      </c>
      <c r="J234" t="s">
        <v>59</v>
      </c>
      <c r="K234" t="s">
        <v>59</v>
      </c>
    </row>
    <row r="235" spans="1:12" x14ac:dyDescent="0.25">
      <c r="A235" t="s">
        <v>558</v>
      </c>
      <c r="B235" t="s">
        <v>559</v>
      </c>
      <c r="C235" t="s">
        <v>58</v>
      </c>
      <c r="D235">
        <v>183.8</v>
      </c>
      <c r="E235">
        <v>206.5</v>
      </c>
      <c r="F235">
        <v>22.7</v>
      </c>
      <c r="G235">
        <v>12.3</v>
      </c>
      <c r="H235">
        <v>1.2</v>
      </c>
      <c r="I235" t="s">
        <v>59</v>
      </c>
      <c r="J235" t="s">
        <v>59</v>
      </c>
      <c r="K235" t="s">
        <v>59</v>
      </c>
    </row>
    <row r="236" spans="1:12" x14ac:dyDescent="0.25">
      <c r="A236" t="s">
        <v>560</v>
      </c>
      <c r="B236" t="s">
        <v>561</v>
      </c>
      <c r="C236" t="s">
        <v>58</v>
      </c>
      <c r="D236">
        <v>621.29999999999995</v>
      </c>
      <c r="E236">
        <v>568.29999999999995</v>
      </c>
      <c r="F236">
        <v>-53</v>
      </c>
      <c r="G236">
        <v>-8.5</v>
      </c>
      <c r="H236">
        <v>-0.9</v>
      </c>
      <c r="I236">
        <v>674.3</v>
      </c>
      <c r="J236">
        <v>876.8</v>
      </c>
      <c r="K236">
        <v>2.7</v>
      </c>
      <c r="L236" t="s">
        <v>562</v>
      </c>
    </row>
    <row r="237" spans="1:12" x14ac:dyDescent="0.25">
      <c r="A237" t="s">
        <v>563</v>
      </c>
      <c r="B237" t="s">
        <v>564</v>
      </c>
      <c r="C237" t="s">
        <v>58</v>
      </c>
      <c r="D237">
        <v>482.6</v>
      </c>
      <c r="E237">
        <v>580.5</v>
      </c>
      <c r="F237">
        <v>97.9</v>
      </c>
      <c r="G237">
        <v>20.3</v>
      </c>
      <c r="H237">
        <v>1.9</v>
      </c>
      <c r="I237">
        <v>387.3</v>
      </c>
      <c r="J237">
        <v>564.79999999999995</v>
      </c>
      <c r="K237">
        <v>3.8</v>
      </c>
      <c r="L237" t="s">
        <v>565</v>
      </c>
    </row>
    <row r="238" spans="1:12" x14ac:dyDescent="0.25">
      <c r="A238" t="s">
        <v>566</v>
      </c>
      <c r="B238" t="s">
        <v>567</v>
      </c>
      <c r="C238" t="s">
        <v>55</v>
      </c>
      <c r="D238">
        <v>6702.8</v>
      </c>
      <c r="E238">
        <v>6929.2</v>
      </c>
      <c r="F238">
        <v>226.4</v>
      </c>
      <c r="G238">
        <v>3.4</v>
      </c>
      <c r="H238">
        <v>0.3</v>
      </c>
      <c r="I238">
        <v>3139.5</v>
      </c>
      <c r="J238">
        <v>3825.4</v>
      </c>
      <c r="K238">
        <v>2</v>
      </c>
      <c r="L238" t="s">
        <v>568</v>
      </c>
    </row>
    <row r="239" spans="1:12" x14ac:dyDescent="0.25">
      <c r="A239" t="s">
        <v>569</v>
      </c>
      <c r="B239" t="s">
        <v>570</v>
      </c>
      <c r="C239" t="s">
        <v>55</v>
      </c>
      <c r="D239">
        <v>2586.3000000000002</v>
      </c>
      <c r="E239">
        <v>2634.9</v>
      </c>
      <c r="F239">
        <v>48.6</v>
      </c>
      <c r="G239">
        <v>1.9</v>
      </c>
      <c r="H239">
        <v>0.2</v>
      </c>
      <c r="I239">
        <v>1015</v>
      </c>
      <c r="J239">
        <v>1264.9000000000001</v>
      </c>
      <c r="K239">
        <v>2.2000000000000002</v>
      </c>
    </row>
    <row r="240" spans="1:12" x14ac:dyDescent="0.25">
      <c r="A240" t="s">
        <v>571</v>
      </c>
      <c r="B240" t="s">
        <v>572</v>
      </c>
      <c r="C240" t="s">
        <v>58</v>
      </c>
      <c r="D240">
        <v>20.8</v>
      </c>
      <c r="E240">
        <v>21.3</v>
      </c>
      <c r="F240">
        <v>0.5</v>
      </c>
      <c r="G240">
        <v>2.6</v>
      </c>
      <c r="H240">
        <v>0.2</v>
      </c>
      <c r="I240" t="s">
        <v>59</v>
      </c>
      <c r="J240" t="s">
        <v>59</v>
      </c>
      <c r="K240" t="s">
        <v>59</v>
      </c>
    </row>
    <row r="241" spans="1:11" x14ac:dyDescent="0.25">
      <c r="A241" t="s">
        <v>573</v>
      </c>
      <c r="B241" t="s">
        <v>574</v>
      </c>
      <c r="C241" t="s">
        <v>55</v>
      </c>
      <c r="D241">
        <v>2565.5</v>
      </c>
      <c r="E241">
        <v>2613.6</v>
      </c>
      <c r="F241">
        <v>48.1</v>
      </c>
      <c r="G241">
        <v>1.9</v>
      </c>
      <c r="H241">
        <v>0.2</v>
      </c>
      <c r="I241" t="s">
        <v>59</v>
      </c>
      <c r="J241" t="s">
        <v>59</v>
      </c>
      <c r="K241" t="s">
        <v>59</v>
      </c>
    </row>
    <row r="242" spans="1:11" x14ac:dyDescent="0.25">
      <c r="A242" t="s">
        <v>575</v>
      </c>
      <c r="B242" t="s">
        <v>576</v>
      </c>
      <c r="C242" t="s">
        <v>58</v>
      </c>
      <c r="D242">
        <v>2059.3000000000002</v>
      </c>
      <c r="E242">
        <v>2110</v>
      </c>
      <c r="F242">
        <v>50.7</v>
      </c>
      <c r="G242">
        <v>2.5</v>
      </c>
      <c r="H242">
        <v>0.2</v>
      </c>
      <c r="I242" t="s">
        <v>59</v>
      </c>
      <c r="J242" t="s">
        <v>59</v>
      </c>
      <c r="K242" t="s">
        <v>59</v>
      </c>
    </row>
    <row r="243" spans="1:11" x14ac:dyDescent="0.25">
      <c r="A243" t="s">
        <v>577</v>
      </c>
      <c r="B243" t="s">
        <v>578</v>
      </c>
      <c r="C243" t="s">
        <v>55</v>
      </c>
      <c r="D243">
        <v>506.2</v>
      </c>
      <c r="E243">
        <v>503.5</v>
      </c>
      <c r="F243">
        <v>-2.7</v>
      </c>
      <c r="G243">
        <v>-0.5</v>
      </c>
      <c r="H243">
        <v>-0.1</v>
      </c>
      <c r="I243" t="s">
        <v>59</v>
      </c>
      <c r="J243" t="s">
        <v>59</v>
      </c>
      <c r="K243" t="s">
        <v>59</v>
      </c>
    </row>
    <row r="244" spans="1:11" x14ac:dyDescent="0.25">
      <c r="A244" t="s">
        <v>579</v>
      </c>
      <c r="B244" t="s">
        <v>580</v>
      </c>
      <c r="C244" t="s">
        <v>58</v>
      </c>
      <c r="D244">
        <v>358.4</v>
      </c>
      <c r="E244">
        <v>355.7</v>
      </c>
      <c r="F244">
        <v>-2.7</v>
      </c>
      <c r="G244">
        <v>-0.7</v>
      </c>
      <c r="H244">
        <v>-0.1</v>
      </c>
      <c r="I244" t="s">
        <v>59</v>
      </c>
      <c r="J244" t="s">
        <v>59</v>
      </c>
      <c r="K244" t="s">
        <v>59</v>
      </c>
    </row>
    <row r="245" spans="1:11" x14ac:dyDescent="0.25">
      <c r="A245" t="s">
        <v>581</v>
      </c>
      <c r="B245" t="s">
        <v>582</v>
      </c>
      <c r="C245" t="s">
        <v>58</v>
      </c>
      <c r="D245">
        <v>1084.9000000000001</v>
      </c>
      <c r="E245">
        <v>1150.3</v>
      </c>
      <c r="F245">
        <v>65.400000000000006</v>
      </c>
      <c r="G245">
        <v>6</v>
      </c>
      <c r="H245">
        <v>0.6</v>
      </c>
      <c r="I245">
        <v>721.7</v>
      </c>
      <c r="J245">
        <v>892.4</v>
      </c>
      <c r="K245">
        <v>2.1</v>
      </c>
    </row>
    <row r="246" spans="1:11" x14ac:dyDescent="0.25">
      <c r="A246" t="s">
        <v>583</v>
      </c>
      <c r="B246" t="s">
        <v>584</v>
      </c>
      <c r="C246" t="s">
        <v>55</v>
      </c>
      <c r="D246">
        <v>3000.5</v>
      </c>
      <c r="E246">
        <v>3110.9</v>
      </c>
      <c r="F246">
        <v>110.4</v>
      </c>
      <c r="G246">
        <v>3.7</v>
      </c>
      <c r="H246">
        <v>0.4</v>
      </c>
      <c r="I246">
        <v>1253</v>
      </c>
      <c r="J246">
        <v>1511.3</v>
      </c>
      <c r="K246">
        <v>1.9</v>
      </c>
    </row>
    <row r="247" spans="1:11" x14ac:dyDescent="0.25">
      <c r="A247" t="s">
        <v>585</v>
      </c>
      <c r="B247" t="s">
        <v>586</v>
      </c>
      <c r="C247" t="s">
        <v>55</v>
      </c>
      <c r="D247">
        <v>1614</v>
      </c>
      <c r="E247">
        <v>1660.8</v>
      </c>
      <c r="F247">
        <v>46.8</v>
      </c>
      <c r="G247">
        <v>2.9</v>
      </c>
      <c r="H247">
        <v>0.3</v>
      </c>
      <c r="I247">
        <v>724</v>
      </c>
      <c r="J247">
        <v>870</v>
      </c>
      <c r="K247">
        <v>1.9</v>
      </c>
    </row>
    <row r="248" spans="1:11" x14ac:dyDescent="0.25">
      <c r="A248" t="s">
        <v>587</v>
      </c>
      <c r="B248" t="s">
        <v>588</v>
      </c>
      <c r="C248" t="s">
        <v>58</v>
      </c>
      <c r="D248">
        <v>611.1</v>
      </c>
      <c r="E248">
        <v>639.4</v>
      </c>
      <c r="F248">
        <v>28.3</v>
      </c>
      <c r="G248">
        <v>4.5999999999999996</v>
      </c>
      <c r="H248">
        <v>0.5</v>
      </c>
      <c r="I248" t="s">
        <v>59</v>
      </c>
      <c r="J248" t="s">
        <v>59</v>
      </c>
      <c r="K248" t="s">
        <v>59</v>
      </c>
    </row>
    <row r="249" spans="1:11" x14ac:dyDescent="0.25">
      <c r="A249" t="s">
        <v>589</v>
      </c>
      <c r="B249" t="s">
        <v>590</v>
      </c>
      <c r="C249" t="s">
        <v>58</v>
      </c>
      <c r="D249">
        <v>678.5</v>
      </c>
      <c r="E249">
        <v>695.9</v>
      </c>
      <c r="F249">
        <v>17.399999999999999</v>
      </c>
      <c r="G249">
        <v>2.6</v>
      </c>
      <c r="H249">
        <v>0.3</v>
      </c>
      <c r="I249" t="s">
        <v>59</v>
      </c>
      <c r="J249" t="s">
        <v>59</v>
      </c>
      <c r="K249" t="s">
        <v>59</v>
      </c>
    </row>
    <row r="250" spans="1:11" x14ac:dyDescent="0.25">
      <c r="A250" t="s">
        <v>591</v>
      </c>
      <c r="B250" t="s">
        <v>592</v>
      </c>
      <c r="C250" t="s">
        <v>55</v>
      </c>
      <c r="D250">
        <v>1386.5</v>
      </c>
      <c r="E250">
        <v>1450.1</v>
      </c>
      <c r="F250">
        <v>63.6</v>
      </c>
      <c r="G250">
        <v>4.5999999999999996</v>
      </c>
      <c r="H250">
        <v>0.4</v>
      </c>
      <c r="I250">
        <v>535.20000000000005</v>
      </c>
      <c r="J250">
        <v>649.29999999999995</v>
      </c>
      <c r="K250">
        <v>2</v>
      </c>
    </row>
    <row r="251" spans="1:11" x14ac:dyDescent="0.25">
      <c r="A251" t="s">
        <v>593</v>
      </c>
      <c r="B251" t="s">
        <v>594</v>
      </c>
      <c r="C251" t="s">
        <v>58</v>
      </c>
      <c r="D251">
        <v>1003.9</v>
      </c>
      <c r="E251">
        <v>1051.3</v>
      </c>
      <c r="F251">
        <v>47.4</v>
      </c>
      <c r="G251">
        <v>4.7</v>
      </c>
      <c r="H251">
        <v>0.5</v>
      </c>
      <c r="I251" t="s">
        <v>59</v>
      </c>
      <c r="J251" t="s">
        <v>59</v>
      </c>
      <c r="K251" t="s">
        <v>59</v>
      </c>
    </row>
    <row r="252" spans="1:11" x14ac:dyDescent="0.25">
      <c r="A252" t="s">
        <v>595</v>
      </c>
      <c r="B252" t="s">
        <v>596</v>
      </c>
      <c r="C252" t="s">
        <v>58</v>
      </c>
      <c r="D252">
        <v>382.6</v>
      </c>
      <c r="E252">
        <v>398.8</v>
      </c>
      <c r="F252">
        <v>16.2</v>
      </c>
      <c r="G252">
        <v>4.2</v>
      </c>
      <c r="H252">
        <v>0.4</v>
      </c>
      <c r="I252" t="s">
        <v>59</v>
      </c>
      <c r="J252" t="s">
        <v>59</v>
      </c>
      <c r="K252" t="s">
        <v>59</v>
      </c>
    </row>
    <row r="253" spans="1:11" x14ac:dyDescent="0.25">
      <c r="A253" t="s">
        <v>597</v>
      </c>
      <c r="B253" t="s">
        <v>598</v>
      </c>
      <c r="C253" t="s">
        <v>55</v>
      </c>
      <c r="D253">
        <v>31.1</v>
      </c>
      <c r="E253">
        <v>33.1</v>
      </c>
      <c r="F253">
        <v>2</v>
      </c>
      <c r="G253">
        <v>6.4</v>
      </c>
      <c r="H253">
        <v>0.6</v>
      </c>
      <c r="I253">
        <v>159.19999999999999</v>
      </c>
      <c r="J253">
        <v>165.8</v>
      </c>
      <c r="K253">
        <v>0.4</v>
      </c>
    </row>
    <row r="254" spans="1:11" x14ac:dyDescent="0.25">
      <c r="A254" t="s">
        <v>599</v>
      </c>
      <c r="B254" t="s">
        <v>600</v>
      </c>
      <c r="C254" t="s">
        <v>58</v>
      </c>
      <c r="D254">
        <v>12.3</v>
      </c>
      <c r="E254">
        <v>12.9</v>
      </c>
      <c r="F254">
        <v>0.6</v>
      </c>
      <c r="G254">
        <v>4.5999999999999996</v>
      </c>
      <c r="H254">
        <v>0.5</v>
      </c>
      <c r="I254" t="s">
        <v>59</v>
      </c>
      <c r="J254" t="s">
        <v>59</v>
      </c>
      <c r="K254" t="s">
        <v>59</v>
      </c>
    </row>
    <row r="255" spans="1:11" x14ac:dyDescent="0.25">
      <c r="A255" t="s">
        <v>601</v>
      </c>
      <c r="B255" t="s">
        <v>602</v>
      </c>
      <c r="C255" t="s">
        <v>58</v>
      </c>
      <c r="D255">
        <v>18.899999999999999</v>
      </c>
      <c r="E255">
        <v>20.3</v>
      </c>
      <c r="F255">
        <v>1.4</v>
      </c>
      <c r="G255">
        <v>7.5</v>
      </c>
      <c r="H255">
        <v>0.7</v>
      </c>
      <c r="I255" t="s">
        <v>59</v>
      </c>
      <c r="J255" t="s">
        <v>59</v>
      </c>
      <c r="K255" t="s">
        <v>59</v>
      </c>
    </row>
    <row r="256" spans="1:11" x14ac:dyDescent="0.25">
      <c r="A256" t="s">
        <v>603</v>
      </c>
      <c r="B256" t="s">
        <v>604</v>
      </c>
      <c r="C256" t="s">
        <v>55</v>
      </c>
      <c r="D256">
        <v>2465.8000000000002</v>
      </c>
      <c r="E256">
        <v>2547.6</v>
      </c>
      <c r="F256">
        <v>81.8</v>
      </c>
      <c r="G256">
        <v>3.3</v>
      </c>
      <c r="H256">
        <v>0.3</v>
      </c>
      <c r="I256">
        <v>2818.5</v>
      </c>
      <c r="J256">
        <v>3433.3</v>
      </c>
      <c r="K256">
        <v>2</v>
      </c>
    </row>
    <row r="257" spans="1:12" x14ac:dyDescent="0.25">
      <c r="A257" t="s">
        <v>605</v>
      </c>
      <c r="B257" t="s">
        <v>606</v>
      </c>
      <c r="C257" t="s">
        <v>58</v>
      </c>
      <c r="D257">
        <v>1865.8</v>
      </c>
      <c r="E257">
        <v>1938.4</v>
      </c>
      <c r="F257">
        <v>72.599999999999994</v>
      </c>
      <c r="G257">
        <v>3.9</v>
      </c>
      <c r="H257">
        <v>0.4</v>
      </c>
      <c r="I257">
        <v>2258.6999999999998</v>
      </c>
      <c r="J257">
        <v>2721</v>
      </c>
      <c r="K257">
        <v>1.9</v>
      </c>
      <c r="L257" t="s">
        <v>607</v>
      </c>
    </row>
    <row r="258" spans="1:12" x14ac:dyDescent="0.25">
      <c r="A258" t="s">
        <v>608</v>
      </c>
      <c r="B258" t="s">
        <v>609</v>
      </c>
      <c r="C258" t="s">
        <v>55</v>
      </c>
      <c r="D258">
        <v>577.4</v>
      </c>
      <c r="E258">
        <v>588.29999999999995</v>
      </c>
      <c r="F258">
        <v>10.9</v>
      </c>
      <c r="G258">
        <v>1.9</v>
      </c>
      <c r="H258">
        <v>0.2</v>
      </c>
      <c r="I258">
        <v>237.4</v>
      </c>
      <c r="J258">
        <v>298.89999999999998</v>
      </c>
      <c r="K258">
        <v>2.2999999999999998</v>
      </c>
      <c r="L258" t="s">
        <v>610</v>
      </c>
    </row>
    <row r="259" spans="1:12" x14ac:dyDescent="0.25">
      <c r="A259" t="s">
        <v>611</v>
      </c>
      <c r="B259" t="s">
        <v>612</v>
      </c>
      <c r="C259" t="s">
        <v>58</v>
      </c>
      <c r="D259">
        <v>362.3</v>
      </c>
      <c r="E259">
        <v>365.9</v>
      </c>
      <c r="F259">
        <v>3.6</v>
      </c>
      <c r="G259">
        <v>1</v>
      </c>
      <c r="H259">
        <v>0.1</v>
      </c>
      <c r="I259">
        <v>157.4</v>
      </c>
      <c r="J259">
        <v>192.8</v>
      </c>
      <c r="K259">
        <v>2.1</v>
      </c>
    </row>
    <row r="260" spans="1:12" x14ac:dyDescent="0.25">
      <c r="A260" t="s">
        <v>613</v>
      </c>
      <c r="B260" t="s">
        <v>614</v>
      </c>
      <c r="C260" t="s">
        <v>58</v>
      </c>
      <c r="D260">
        <v>215.1</v>
      </c>
      <c r="E260">
        <v>222.4</v>
      </c>
      <c r="F260">
        <v>7.3</v>
      </c>
      <c r="G260">
        <v>3.4</v>
      </c>
      <c r="H260">
        <v>0.3</v>
      </c>
      <c r="I260">
        <v>79.8</v>
      </c>
      <c r="J260">
        <v>105.3</v>
      </c>
      <c r="K260">
        <v>2.8</v>
      </c>
    </row>
    <row r="261" spans="1:12" x14ac:dyDescent="0.25">
      <c r="A261" t="s">
        <v>615</v>
      </c>
      <c r="B261" t="s">
        <v>616</v>
      </c>
      <c r="C261" t="s">
        <v>58</v>
      </c>
      <c r="D261">
        <v>22.6</v>
      </c>
      <c r="E261">
        <v>20.9</v>
      </c>
      <c r="F261">
        <v>-1.7</v>
      </c>
      <c r="G261">
        <v>-7.5</v>
      </c>
      <c r="H261">
        <v>-0.8</v>
      </c>
      <c r="I261">
        <v>323</v>
      </c>
      <c r="J261">
        <v>414.1</v>
      </c>
      <c r="K261">
        <v>2.5</v>
      </c>
    </row>
    <row r="262" spans="1:12" x14ac:dyDescent="0.25">
      <c r="A262" t="s">
        <v>617</v>
      </c>
      <c r="B262" t="s">
        <v>618</v>
      </c>
      <c r="C262" t="s">
        <v>55</v>
      </c>
      <c r="D262">
        <v>10825.8</v>
      </c>
      <c r="E262">
        <v>11638.3</v>
      </c>
      <c r="F262">
        <v>812.5</v>
      </c>
      <c r="G262">
        <v>7.5</v>
      </c>
      <c r="H262">
        <v>0.7</v>
      </c>
      <c r="I262">
        <v>3093.9</v>
      </c>
      <c r="J262">
        <v>3880.7</v>
      </c>
      <c r="K262">
        <v>2.2999999999999998</v>
      </c>
    </row>
    <row r="263" spans="1:12" x14ac:dyDescent="0.25">
      <c r="A263" t="s">
        <v>619</v>
      </c>
      <c r="B263" t="s">
        <v>620</v>
      </c>
      <c r="C263" t="s">
        <v>55</v>
      </c>
      <c r="D263">
        <v>10825.8</v>
      </c>
      <c r="E263">
        <v>11638.3</v>
      </c>
      <c r="F263">
        <v>812.5</v>
      </c>
      <c r="G263">
        <v>7.5</v>
      </c>
      <c r="H263">
        <v>0.7</v>
      </c>
      <c r="I263">
        <v>3093.9</v>
      </c>
      <c r="J263">
        <v>3880.7</v>
      </c>
      <c r="K263">
        <v>2.2999999999999998</v>
      </c>
    </row>
    <row r="264" spans="1:12" x14ac:dyDescent="0.25">
      <c r="A264" t="s">
        <v>621</v>
      </c>
      <c r="B264" t="s">
        <v>622</v>
      </c>
      <c r="C264" t="s">
        <v>58</v>
      </c>
      <c r="D264">
        <v>1192.7</v>
      </c>
      <c r="E264">
        <v>1207.0999999999999</v>
      </c>
      <c r="F264">
        <v>14.4</v>
      </c>
      <c r="G264">
        <v>1.2</v>
      </c>
      <c r="H264">
        <v>0.1</v>
      </c>
      <c r="I264">
        <v>348.5</v>
      </c>
      <c r="J264">
        <v>408.9</v>
      </c>
      <c r="K264">
        <v>1.6</v>
      </c>
      <c r="L264" t="s">
        <v>623</v>
      </c>
    </row>
    <row r="265" spans="1:12" x14ac:dyDescent="0.25">
      <c r="A265" t="s">
        <v>624</v>
      </c>
      <c r="B265" t="s">
        <v>625</v>
      </c>
      <c r="C265" t="s">
        <v>58</v>
      </c>
      <c r="D265">
        <v>1153.5</v>
      </c>
      <c r="E265">
        <v>1181.2</v>
      </c>
      <c r="F265">
        <v>27.7</v>
      </c>
      <c r="G265">
        <v>2.4</v>
      </c>
      <c r="H265">
        <v>0.2</v>
      </c>
      <c r="I265">
        <v>210</v>
      </c>
      <c r="J265">
        <v>258.60000000000002</v>
      </c>
      <c r="K265">
        <v>2.1</v>
      </c>
      <c r="L265" t="s">
        <v>623</v>
      </c>
    </row>
    <row r="266" spans="1:12" x14ac:dyDescent="0.25">
      <c r="A266" t="s">
        <v>626</v>
      </c>
      <c r="B266" t="s">
        <v>627</v>
      </c>
      <c r="C266" t="s">
        <v>55</v>
      </c>
      <c r="D266">
        <v>1703.6</v>
      </c>
      <c r="E266">
        <v>1770.7</v>
      </c>
      <c r="F266">
        <v>67.099999999999994</v>
      </c>
      <c r="G266">
        <v>3.9</v>
      </c>
      <c r="H266">
        <v>0.4</v>
      </c>
      <c r="I266">
        <v>407.3</v>
      </c>
      <c r="J266">
        <v>480.1</v>
      </c>
      <c r="K266">
        <v>1.7</v>
      </c>
      <c r="L266" t="s">
        <v>623</v>
      </c>
    </row>
    <row r="267" spans="1:12" x14ac:dyDescent="0.25">
      <c r="A267" t="s">
        <v>628</v>
      </c>
      <c r="B267" t="s">
        <v>629</v>
      </c>
      <c r="C267" t="s">
        <v>58</v>
      </c>
      <c r="D267">
        <v>1179.5999999999999</v>
      </c>
      <c r="E267">
        <v>1228.9000000000001</v>
      </c>
      <c r="F267">
        <v>49.3</v>
      </c>
      <c r="G267">
        <v>4.2</v>
      </c>
      <c r="H267">
        <v>0.4</v>
      </c>
      <c r="I267" t="s">
        <v>59</v>
      </c>
      <c r="J267" t="s">
        <v>59</v>
      </c>
      <c r="K267" t="s">
        <v>59</v>
      </c>
    </row>
    <row r="268" spans="1:12" x14ac:dyDescent="0.25">
      <c r="A268" t="s">
        <v>630</v>
      </c>
      <c r="B268" t="s">
        <v>631</v>
      </c>
      <c r="C268" t="s">
        <v>58</v>
      </c>
      <c r="D268">
        <v>179.5</v>
      </c>
      <c r="E268">
        <v>186.5</v>
      </c>
      <c r="F268">
        <v>7</v>
      </c>
      <c r="G268">
        <v>3.9</v>
      </c>
      <c r="H268">
        <v>0.4</v>
      </c>
      <c r="I268" t="s">
        <v>59</v>
      </c>
      <c r="J268" t="s">
        <v>59</v>
      </c>
      <c r="K268" t="s">
        <v>59</v>
      </c>
    </row>
    <row r="269" spans="1:12" x14ac:dyDescent="0.25">
      <c r="A269" t="s">
        <v>632</v>
      </c>
      <c r="B269" t="s">
        <v>633</v>
      </c>
      <c r="C269" t="s">
        <v>58</v>
      </c>
      <c r="D269">
        <v>151.1</v>
      </c>
      <c r="E269">
        <v>156.9</v>
      </c>
      <c r="F269">
        <v>5.8</v>
      </c>
      <c r="G269">
        <v>3.8</v>
      </c>
      <c r="H269">
        <v>0.4</v>
      </c>
      <c r="I269">
        <v>57.5</v>
      </c>
      <c r="J269">
        <v>70.3</v>
      </c>
      <c r="K269">
        <v>2</v>
      </c>
      <c r="L269" t="s">
        <v>623</v>
      </c>
    </row>
    <row r="270" spans="1:12" x14ac:dyDescent="0.25">
      <c r="A270" t="s">
        <v>634</v>
      </c>
      <c r="B270" t="s">
        <v>635</v>
      </c>
      <c r="C270" t="s">
        <v>58</v>
      </c>
      <c r="D270">
        <v>2444.8000000000002</v>
      </c>
      <c r="E270">
        <v>2831.6</v>
      </c>
      <c r="F270">
        <v>386.8</v>
      </c>
      <c r="G270">
        <v>15.8</v>
      </c>
      <c r="H270">
        <v>1.5</v>
      </c>
      <c r="I270">
        <v>799</v>
      </c>
      <c r="J270">
        <v>1096.2</v>
      </c>
      <c r="K270">
        <v>3.2</v>
      </c>
      <c r="L270" t="s">
        <v>565</v>
      </c>
    </row>
    <row r="271" spans="1:12" x14ac:dyDescent="0.25">
      <c r="A271" t="s">
        <v>636</v>
      </c>
      <c r="B271" t="s">
        <v>637</v>
      </c>
      <c r="C271" t="s">
        <v>58</v>
      </c>
      <c r="D271">
        <v>1864.7</v>
      </c>
      <c r="E271">
        <v>2039.3</v>
      </c>
      <c r="F271">
        <v>174.6</v>
      </c>
      <c r="G271">
        <v>9.4</v>
      </c>
      <c r="H271">
        <v>0.9</v>
      </c>
      <c r="I271">
        <v>493.3</v>
      </c>
      <c r="J271">
        <v>639.70000000000005</v>
      </c>
      <c r="K271">
        <v>2.6</v>
      </c>
      <c r="L271" t="s">
        <v>623</v>
      </c>
    </row>
    <row r="272" spans="1:12" x14ac:dyDescent="0.25">
      <c r="A272" t="s">
        <v>638</v>
      </c>
      <c r="B272" t="s">
        <v>639</v>
      </c>
      <c r="C272" t="s">
        <v>55</v>
      </c>
      <c r="D272">
        <v>936.7</v>
      </c>
      <c r="E272">
        <v>1015.1</v>
      </c>
      <c r="F272">
        <v>78.400000000000006</v>
      </c>
      <c r="G272">
        <v>8.4</v>
      </c>
      <c r="H272">
        <v>0.8</v>
      </c>
      <c r="I272">
        <v>408.6</v>
      </c>
      <c r="J272">
        <v>499</v>
      </c>
      <c r="K272">
        <v>2</v>
      </c>
      <c r="L272" t="s">
        <v>623</v>
      </c>
    </row>
    <row r="273" spans="1:12" x14ac:dyDescent="0.25">
      <c r="A273" t="s">
        <v>640</v>
      </c>
      <c r="B273" t="s">
        <v>641</v>
      </c>
      <c r="C273" t="s">
        <v>58</v>
      </c>
      <c r="D273">
        <v>866.7</v>
      </c>
      <c r="E273">
        <v>942.5</v>
      </c>
      <c r="F273">
        <v>75.8</v>
      </c>
      <c r="G273">
        <v>8.6999999999999993</v>
      </c>
      <c r="H273">
        <v>0.8</v>
      </c>
      <c r="I273" t="s">
        <v>59</v>
      </c>
      <c r="J273" t="s">
        <v>59</v>
      </c>
      <c r="K273" t="s">
        <v>59</v>
      </c>
    </row>
    <row r="274" spans="1:12" x14ac:dyDescent="0.25">
      <c r="A274" t="s">
        <v>642</v>
      </c>
      <c r="B274" t="s">
        <v>643</v>
      </c>
      <c r="C274" t="s">
        <v>58</v>
      </c>
      <c r="D274">
        <v>70</v>
      </c>
      <c r="E274">
        <v>72.599999999999994</v>
      </c>
      <c r="F274">
        <v>2.6</v>
      </c>
      <c r="G274">
        <v>3.7</v>
      </c>
      <c r="H274">
        <v>0.4</v>
      </c>
      <c r="I274" t="s">
        <v>59</v>
      </c>
      <c r="J274" t="s">
        <v>59</v>
      </c>
      <c r="K274" t="s">
        <v>59</v>
      </c>
    </row>
    <row r="275" spans="1:12" x14ac:dyDescent="0.25">
      <c r="A275" t="s">
        <v>644</v>
      </c>
      <c r="B275" t="s">
        <v>645</v>
      </c>
      <c r="C275" t="s">
        <v>58</v>
      </c>
      <c r="D275">
        <v>497.7</v>
      </c>
      <c r="E275">
        <v>509.6</v>
      </c>
      <c r="F275">
        <v>11.9</v>
      </c>
      <c r="G275">
        <v>2.4</v>
      </c>
      <c r="H275">
        <v>0.2</v>
      </c>
      <c r="I275">
        <v>197.3</v>
      </c>
      <c r="J275">
        <v>257.3</v>
      </c>
      <c r="K275">
        <v>2.7</v>
      </c>
      <c r="L275" t="s">
        <v>623</v>
      </c>
    </row>
    <row r="276" spans="1:12" x14ac:dyDescent="0.25">
      <c r="A276" t="s">
        <v>646</v>
      </c>
      <c r="B276" t="s">
        <v>647</v>
      </c>
      <c r="C276" t="s">
        <v>55</v>
      </c>
      <c r="D276">
        <v>881</v>
      </c>
      <c r="E276">
        <v>926.8</v>
      </c>
      <c r="F276">
        <v>45.8</v>
      </c>
      <c r="G276">
        <v>5.2</v>
      </c>
      <c r="H276">
        <v>0.5</v>
      </c>
      <c r="I276">
        <v>200.2</v>
      </c>
      <c r="J276">
        <v>253.7</v>
      </c>
      <c r="K276">
        <v>2.4</v>
      </c>
      <c r="L276" t="s">
        <v>623</v>
      </c>
    </row>
    <row r="277" spans="1:12" x14ac:dyDescent="0.25">
      <c r="A277" t="s">
        <v>648</v>
      </c>
      <c r="B277" t="s">
        <v>649</v>
      </c>
      <c r="C277" t="s">
        <v>58</v>
      </c>
      <c r="D277">
        <v>49</v>
      </c>
      <c r="E277">
        <v>44.8</v>
      </c>
      <c r="F277">
        <v>-4.2</v>
      </c>
      <c r="G277">
        <v>-8.5</v>
      </c>
      <c r="H277">
        <v>-0.9</v>
      </c>
      <c r="I277">
        <v>16.899999999999999</v>
      </c>
      <c r="J277">
        <v>21.4</v>
      </c>
      <c r="K277">
        <v>2.4</v>
      </c>
    </row>
    <row r="278" spans="1:12" x14ac:dyDescent="0.25">
      <c r="A278" t="s">
        <v>650</v>
      </c>
      <c r="B278" t="s">
        <v>651</v>
      </c>
      <c r="C278" t="s">
        <v>58</v>
      </c>
      <c r="D278">
        <v>467</v>
      </c>
      <c r="E278">
        <v>504.1</v>
      </c>
      <c r="F278">
        <v>37.1</v>
      </c>
      <c r="G278">
        <v>7.9</v>
      </c>
      <c r="H278">
        <v>0.8</v>
      </c>
      <c r="I278">
        <v>54.9</v>
      </c>
      <c r="J278">
        <v>72.099999999999994</v>
      </c>
      <c r="K278">
        <v>2.8</v>
      </c>
    </row>
    <row r="279" spans="1:12" x14ac:dyDescent="0.25">
      <c r="A279" t="s">
        <v>652</v>
      </c>
      <c r="B279" t="s">
        <v>653</v>
      </c>
      <c r="C279" t="s">
        <v>55</v>
      </c>
      <c r="D279">
        <v>2617.1</v>
      </c>
      <c r="E279">
        <v>2732</v>
      </c>
      <c r="F279">
        <v>114.9</v>
      </c>
      <c r="G279">
        <v>4.4000000000000004</v>
      </c>
      <c r="H279">
        <v>0.4</v>
      </c>
      <c r="I279">
        <v>793.6</v>
      </c>
      <c r="J279">
        <v>1012.1</v>
      </c>
      <c r="K279">
        <v>2.5</v>
      </c>
      <c r="L279" t="s">
        <v>623</v>
      </c>
    </row>
    <row r="280" spans="1:12" x14ac:dyDescent="0.25">
      <c r="A280" t="s">
        <v>654</v>
      </c>
      <c r="B280" t="s">
        <v>655</v>
      </c>
      <c r="C280" t="s">
        <v>58</v>
      </c>
      <c r="D280">
        <v>2617.1</v>
      </c>
      <c r="E280">
        <v>2732</v>
      </c>
      <c r="F280">
        <v>114.9</v>
      </c>
      <c r="G280">
        <v>4.4000000000000004</v>
      </c>
      <c r="H280">
        <v>0.4</v>
      </c>
      <c r="I280">
        <v>793.6</v>
      </c>
      <c r="J280">
        <v>1012.1</v>
      </c>
      <c r="K280">
        <v>2.5</v>
      </c>
    </row>
    <row r="281" spans="1:12" x14ac:dyDescent="0.25">
      <c r="A281" t="s">
        <v>656</v>
      </c>
      <c r="B281" t="s">
        <v>657</v>
      </c>
      <c r="C281" t="s">
        <v>55</v>
      </c>
      <c r="D281">
        <v>9177.7999999999993</v>
      </c>
      <c r="E281">
        <v>9279.5</v>
      </c>
      <c r="F281">
        <v>101.7</v>
      </c>
      <c r="G281">
        <v>1.1000000000000001</v>
      </c>
      <c r="H281">
        <v>0.1</v>
      </c>
      <c r="I281">
        <v>1238.0999999999999</v>
      </c>
      <c r="J281">
        <v>1548.7</v>
      </c>
      <c r="K281">
        <v>2.2999999999999998</v>
      </c>
    </row>
    <row r="282" spans="1:12" x14ac:dyDescent="0.25">
      <c r="A282" t="s">
        <v>658</v>
      </c>
      <c r="B282" t="s">
        <v>659</v>
      </c>
      <c r="C282" t="s">
        <v>55</v>
      </c>
      <c r="D282">
        <v>8666.2999999999993</v>
      </c>
      <c r="E282">
        <v>8738</v>
      </c>
      <c r="F282">
        <v>71.7</v>
      </c>
      <c r="G282">
        <v>0.8</v>
      </c>
      <c r="H282">
        <v>0.1</v>
      </c>
      <c r="I282">
        <v>1112.7</v>
      </c>
      <c r="J282">
        <v>1404.9</v>
      </c>
      <c r="K282">
        <v>2.4</v>
      </c>
      <c r="L282" t="s">
        <v>610</v>
      </c>
    </row>
    <row r="283" spans="1:12" x14ac:dyDescent="0.25">
      <c r="A283" t="s">
        <v>660</v>
      </c>
      <c r="B283" t="s">
        <v>661</v>
      </c>
      <c r="C283" t="s">
        <v>58</v>
      </c>
      <c r="D283">
        <v>619.20000000000005</v>
      </c>
      <c r="E283">
        <v>655.6</v>
      </c>
      <c r="F283">
        <v>36.4</v>
      </c>
      <c r="G283">
        <v>5.9</v>
      </c>
      <c r="H283">
        <v>0.6</v>
      </c>
      <c r="I283">
        <v>94.1</v>
      </c>
      <c r="J283">
        <v>119.1</v>
      </c>
      <c r="K283">
        <v>2.4</v>
      </c>
    </row>
    <row r="284" spans="1:12" x14ac:dyDescent="0.25">
      <c r="A284" t="s">
        <v>662</v>
      </c>
      <c r="B284" t="s">
        <v>663</v>
      </c>
      <c r="C284" t="s">
        <v>58</v>
      </c>
      <c r="D284">
        <v>181.2</v>
      </c>
      <c r="E284">
        <v>191.9</v>
      </c>
      <c r="F284">
        <v>10.7</v>
      </c>
      <c r="G284">
        <v>5.9</v>
      </c>
      <c r="H284">
        <v>0.6</v>
      </c>
      <c r="I284">
        <v>28.4</v>
      </c>
      <c r="J284">
        <v>32.5</v>
      </c>
      <c r="K284">
        <v>1.4</v>
      </c>
    </row>
    <row r="285" spans="1:12" x14ac:dyDescent="0.25">
      <c r="A285" t="s">
        <v>664</v>
      </c>
      <c r="B285" t="s">
        <v>665</v>
      </c>
      <c r="C285" t="s">
        <v>55</v>
      </c>
      <c r="D285">
        <v>3332.3</v>
      </c>
      <c r="E285">
        <v>3240</v>
      </c>
      <c r="F285">
        <v>-92.3</v>
      </c>
      <c r="G285">
        <v>-2.8</v>
      </c>
      <c r="H285">
        <v>-0.3</v>
      </c>
      <c r="I285">
        <v>424.6</v>
      </c>
      <c r="J285">
        <v>545.20000000000005</v>
      </c>
      <c r="K285">
        <v>2.5</v>
      </c>
    </row>
    <row r="286" spans="1:12" x14ac:dyDescent="0.25">
      <c r="A286" t="s">
        <v>666</v>
      </c>
      <c r="B286" t="s">
        <v>667</v>
      </c>
      <c r="C286" t="s">
        <v>58</v>
      </c>
      <c r="D286">
        <v>2612.1</v>
      </c>
      <c r="E286">
        <v>2556.4</v>
      </c>
      <c r="F286">
        <v>-55.7</v>
      </c>
      <c r="G286">
        <v>-2.1</v>
      </c>
      <c r="H286">
        <v>-0.2</v>
      </c>
      <c r="I286" t="s">
        <v>59</v>
      </c>
      <c r="J286" t="s">
        <v>59</v>
      </c>
      <c r="K286" t="s">
        <v>59</v>
      </c>
    </row>
    <row r="287" spans="1:12" x14ac:dyDescent="0.25">
      <c r="A287" t="s">
        <v>668</v>
      </c>
      <c r="B287" t="s">
        <v>669</v>
      </c>
      <c r="C287" t="s">
        <v>58</v>
      </c>
      <c r="D287">
        <v>691</v>
      </c>
      <c r="E287">
        <v>671.8</v>
      </c>
      <c r="F287">
        <v>-19.2</v>
      </c>
      <c r="G287">
        <v>-2.8</v>
      </c>
      <c r="H287">
        <v>-0.3</v>
      </c>
      <c r="I287">
        <v>87.4</v>
      </c>
      <c r="J287">
        <v>108.6</v>
      </c>
      <c r="K287">
        <v>2.2000000000000002</v>
      </c>
    </row>
    <row r="288" spans="1:12" x14ac:dyDescent="0.25">
      <c r="A288" t="s">
        <v>670</v>
      </c>
      <c r="B288" t="s">
        <v>671</v>
      </c>
      <c r="C288" t="s">
        <v>58</v>
      </c>
      <c r="D288">
        <v>189.3</v>
      </c>
      <c r="E288">
        <v>198.5</v>
      </c>
      <c r="F288">
        <v>9.1999999999999993</v>
      </c>
      <c r="G288">
        <v>4.9000000000000004</v>
      </c>
      <c r="H288">
        <v>0.5</v>
      </c>
      <c r="I288">
        <v>83.7</v>
      </c>
      <c r="J288">
        <v>107.2</v>
      </c>
      <c r="K288">
        <v>2.5</v>
      </c>
    </row>
    <row r="289" spans="1:12" x14ac:dyDescent="0.25">
      <c r="A289" t="s">
        <v>672</v>
      </c>
      <c r="B289" t="s">
        <v>673</v>
      </c>
      <c r="C289" t="s">
        <v>55</v>
      </c>
      <c r="D289">
        <v>1025.8</v>
      </c>
      <c r="E289">
        <v>1086.0999999999999</v>
      </c>
      <c r="F289">
        <v>60.3</v>
      </c>
      <c r="G289">
        <v>5.9</v>
      </c>
      <c r="H289">
        <v>0.6</v>
      </c>
      <c r="I289">
        <v>61.2</v>
      </c>
      <c r="J289">
        <v>74.599999999999994</v>
      </c>
      <c r="K289">
        <v>2</v>
      </c>
    </row>
    <row r="290" spans="1:12" x14ac:dyDescent="0.25">
      <c r="A290" t="s">
        <v>674</v>
      </c>
      <c r="B290" t="s">
        <v>675</v>
      </c>
      <c r="C290" t="s">
        <v>58</v>
      </c>
      <c r="D290">
        <v>868.6</v>
      </c>
      <c r="E290">
        <v>910.2</v>
      </c>
      <c r="F290">
        <v>41.6</v>
      </c>
      <c r="G290">
        <v>4.8</v>
      </c>
      <c r="H290">
        <v>0.5</v>
      </c>
      <c r="I290" t="s">
        <v>59</v>
      </c>
      <c r="J290" t="s">
        <v>59</v>
      </c>
      <c r="K290" t="s">
        <v>59</v>
      </c>
    </row>
    <row r="291" spans="1:12" x14ac:dyDescent="0.25">
      <c r="A291" t="s">
        <v>676</v>
      </c>
      <c r="B291" t="s">
        <v>677</v>
      </c>
      <c r="C291" t="s">
        <v>58</v>
      </c>
      <c r="D291">
        <v>157.19999999999999</v>
      </c>
      <c r="E291">
        <v>176</v>
      </c>
      <c r="F291">
        <v>18.8</v>
      </c>
      <c r="G291">
        <v>11.9</v>
      </c>
      <c r="H291">
        <v>1.1000000000000001</v>
      </c>
      <c r="I291" t="s">
        <v>59</v>
      </c>
      <c r="J291" t="s">
        <v>59</v>
      </c>
      <c r="K291" t="s">
        <v>59</v>
      </c>
    </row>
    <row r="292" spans="1:12" x14ac:dyDescent="0.25">
      <c r="A292" t="s">
        <v>678</v>
      </c>
      <c r="B292" t="s">
        <v>679</v>
      </c>
      <c r="C292" t="s">
        <v>55</v>
      </c>
      <c r="D292">
        <v>2293.8000000000002</v>
      </c>
      <c r="E292">
        <v>2348.9</v>
      </c>
      <c r="F292">
        <v>55.1</v>
      </c>
      <c r="G292">
        <v>2.4</v>
      </c>
      <c r="H292">
        <v>0.2</v>
      </c>
      <c r="I292">
        <v>264.5</v>
      </c>
      <c r="J292">
        <v>331.3</v>
      </c>
      <c r="K292">
        <v>2.2999999999999998</v>
      </c>
    </row>
    <row r="293" spans="1:12" x14ac:dyDescent="0.25">
      <c r="A293" t="s">
        <v>680</v>
      </c>
      <c r="B293" t="s">
        <v>681</v>
      </c>
      <c r="C293" t="s">
        <v>58</v>
      </c>
      <c r="D293">
        <v>153.5</v>
      </c>
      <c r="E293">
        <v>158.5</v>
      </c>
      <c r="F293">
        <v>5</v>
      </c>
      <c r="G293">
        <v>3.3</v>
      </c>
      <c r="H293">
        <v>0.3</v>
      </c>
      <c r="I293" t="s">
        <v>59</v>
      </c>
      <c r="J293" t="s">
        <v>59</v>
      </c>
      <c r="K293" t="s">
        <v>59</v>
      </c>
    </row>
    <row r="294" spans="1:12" x14ac:dyDescent="0.25">
      <c r="A294" t="s">
        <v>682</v>
      </c>
      <c r="B294" t="s">
        <v>683</v>
      </c>
      <c r="C294" t="s">
        <v>58</v>
      </c>
      <c r="D294">
        <v>911.2</v>
      </c>
      <c r="E294">
        <v>934.8</v>
      </c>
      <c r="F294">
        <v>23.6</v>
      </c>
      <c r="G294">
        <v>2.6</v>
      </c>
      <c r="H294">
        <v>0.3</v>
      </c>
      <c r="I294" t="s">
        <v>59</v>
      </c>
      <c r="J294" t="s">
        <v>59</v>
      </c>
      <c r="K294" t="s">
        <v>59</v>
      </c>
    </row>
    <row r="295" spans="1:12" x14ac:dyDescent="0.25">
      <c r="A295" t="s">
        <v>684</v>
      </c>
      <c r="B295" t="s">
        <v>685</v>
      </c>
      <c r="C295" t="s">
        <v>58</v>
      </c>
      <c r="D295">
        <v>333.7</v>
      </c>
      <c r="E295">
        <v>345.2</v>
      </c>
      <c r="F295">
        <v>11.5</v>
      </c>
      <c r="G295">
        <v>3.4</v>
      </c>
      <c r="H295">
        <v>0.3</v>
      </c>
      <c r="I295">
        <v>72.2</v>
      </c>
      <c r="J295">
        <v>91.8</v>
      </c>
      <c r="K295">
        <v>2.4</v>
      </c>
    </row>
    <row r="296" spans="1:12" x14ac:dyDescent="0.25">
      <c r="A296" t="s">
        <v>686</v>
      </c>
      <c r="B296" t="s">
        <v>687</v>
      </c>
      <c r="C296" t="s">
        <v>55</v>
      </c>
      <c r="D296">
        <v>511.5</v>
      </c>
      <c r="E296">
        <v>541.5</v>
      </c>
      <c r="F296">
        <v>30</v>
      </c>
      <c r="G296">
        <v>5.9</v>
      </c>
      <c r="H296">
        <v>0.6</v>
      </c>
      <c r="I296">
        <v>125.4</v>
      </c>
      <c r="J296">
        <v>146.4</v>
      </c>
      <c r="K296">
        <v>1.6</v>
      </c>
      <c r="L296" t="s">
        <v>130</v>
      </c>
    </row>
    <row r="297" spans="1:12" x14ac:dyDescent="0.25">
      <c r="A297" t="s">
        <v>688</v>
      </c>
      <c r="B297" t="s">
        <v>689</v>
      </c>
      <c r="C297" t="s">
        <v>58</v>
      </c>
      <c r="D297">
        <v>217.2</v>
      </c>
      <c r="E297">
        <v>230.2</v>
      </c>
      <c r="F297">
        <v>13</v>
      </c>
      <c r="G297">
        <v>6</v>
      </c>
      <c r="H297">
        <v>0.6</v>
      </c>
      <c r="I297" t="s">
        <v>59</v>
      </c>
      <c r="J297" t="s">
        <v>59</v>
      </c>
      <c r="K297" t="s">
        <v>59</v>
      </c>
    </row>
    <row r="298" spans="1:12" x14ac:dyDescent="0.25">
      <c r="A298" t="s">
        <v>690</v>
      </c>
      <c r="B298" t="s">
        <v>691</v>
      </c>
      <c r="C298" t="s">
        <v>58</v>
      </c>
      <c r="D298">
        <v>108.4</v>
      </c>
      <c r="E298">
        <v>112.6</v>
      </c>
      <c r="F298">
        <v>4.2</v>
      </c>
      <c r="G298">
        <v>3.9</v>
      </c>
      <c r="H298">
        <v>0.4</v>
      </c>
      <c r="I298" t="s">
        <v>59</v>
      </c>
      <c r="J298" t="s">
        <v>59</v>
      </c>
      <c r="K298" t="s">
        <v>59</v>
      </c>
    </row>
    <row r="299" spans="1:12" x14ac:dyDescent="0.25">
      <c r="A299" t="s">
        <v>692</v>
      </c>
      <c r="B299" t="s">
        <v>693</v>
      </c>
      <c r="C299" t="s">
        <v>58</v>
      </c>
      <c r="D299">
        <v>185.9</v>
      </c>
      <c r="E299">
        <v>198.7</v>
      </c>
      <c r="F299">
        <v>12.8</v>
      </c>
      <c r="G299">
        <v>6.9</v>
      </c>
      <c r="H299">
        <v>0.7</v>
      </c>
      <c r="I299" t="s">
        <v>59</v>
      </c>
      <c r="J299" t="s">
        <v>59</v>
      </c>
      <c r="K299" t="s">
        <v>59</v>
      </c>
    </row>
    <row r="300" spans="1:12" x14ac:dyDescent="0.25">
      <c r="A300" t="s">
        <v>694</v>
      </c>
      <c r="B300" t="s">
        <v>695</v>
      </c>
      <c r="C300" t="s">
        <v>55</v>
      </c>
      <c r="D300">
        <v>14704.4</v>
      </c>
      <c r="E300">
        <v>14716.3</v>
      </c>
      <c r="F300">
        <v>11.9</v>
      </c>
      <c r="G300">
        <v>0.1</v>
      </c>
      <c r="H300">
        <v>0</v>
      </c>
      <c r="I300" t="s">
        <v>59</v>
      </c>
      <c r="J300" t="s">
        <v>59</v>
      </c>
      <c r="K300" t="s">
        <v>59</v>
      </c>
    </row>
    <row r="301" spans="1:12" x14ac:dyDescent="0.25">
      <c r="A301" t="s">
        <v>696</v>
      </c>
      <c r="B301" t="s">
        <v>697</v>
      </c>
      <c r="C301" t="s">
        <v>55</v>
      </c>
      <c r="D301">
        <v>14704.4</v>
      </c>
      <c r="E301">
        <v>14716.3</v>
      </c>
      <c r="F301">
        <v>11.9</v>
      </c>
      <c r="G301">
        <v>0.1</v>
      </c>
      <c r="H301">
        <v>0</v>
      </c>
      <c r="I301" t="s">
        <v>59</v>
      </c>
      <c r="J301" t="s">
        <v>59</v>
      </c>
      <c r="K301" t="s">
        <v>59</v>
      </c>
    </row>
    <row r="302" spans="1:12" x14ac:dyDescent="0.25">
      <c r="A302" t="s">
        <v>698</v>
      </c>
      <c r="B302" t="s">
        <v>699</v>
      </c>
      <c r="C302" t="s">
        <v>55</v>
      </c>
      <c r="D302">
        <v>3962.5</v>
      </c>
      <c r="E302">
        <v>4036.8</v>
      </c>
      <c r="F302">
        <v>74.3</v>
      </c>
      <c r="G302">
        <v>1.9</v>
      </c>
      <c r="H302">
        <v>0.2</v>
      </c>
      <c r="I302">
        <v>412.5</v>
      </c>
      <c r="J302">
        <v>475.5</v>
      </c>
      <c r="K302">
        <v>1.4</v>
      </c>
      <c r="L302" t="s">
        <v>700</v>
      </c>
    </row>
    <row r="303" spans="1:12" x14ac:dyDescent="0.25">
      <c r="A303" t="s">
        <v>701</v>
      </c>
      <c r="B303" t="s">
        <v>702</v>
      </c>
      <c r="C303" t="s">
        <v>58</v>
      </c>
      <c r="D303">
        <v>1199.4000000000001</v>
      </c>
      <c r="E303">
        <v>1194.5999999999999</v>
      </c>
      <c r="F303">
        <v>-4.8</v>
      </c>
      <c r="G303">
        <v>-0.4</v>
      </c>
      <c r="H303">
        <v>0</v>
      </c>
      <c r="I303">
        <v>55.5</v>
      </c>
      <c r="J303">
        <v>58.5</v>
      </c>
      <c r="K303">
        <v>0.5</v>
      </c>
    </row>
    <row r="304" spans="1:12" x14ac:dyDescent="0.25">
      <c r="A304" t="s">
        <v>703</v>
      </c>
      <c r="B304" t="s">
        <v>704</v>
      </c>
      <c r="C304" t="s">
        <v>55</v>
      </c>
      <c r="D304">
        <v>1790.5</v>
      </c>
      <c r="E304">
        <v>1797.9</v>
      </c>
      <c r="F304">
        <v>7.4</v>
      </c>
      <c r="G304">
        <v>0.4</v>
      </c>
      <c r="H304">
        <v>0</v>
      </c>
      <c r="I304">
        <v>238.6</v>
      </c>
      <c r="J304">
        <v>267.5</v>
      </c>
      <c r="K304">
        <v>1.2</v>
      </c>
    </row>
    <row r="305" spans="1:12" x14ac:dyDescent="0.25">
      <c r="A305" t="s">
        <v>705</v>
      </c>
      <c r="B305" t="s">
        <v>706</v>
      </c>
      <c r="C305" t="s">
        <v>58</v>
      </c>
      <c r="D305">
        <v>27.5</v>
      </c>
      <c r="E305">
        <v>27.1</v>
      </c>
      <c r="F305">
        <v>-0.5</v>
      </c>
      <c r="G305">
        <v>-1.7</v>
      </c>
      <c r="H305">
        <v>-0.1</v>
      </c>
      <c r="I305" t="s">
        <v>59</v>
      </c>
      <c r="J305" t="s">
        <v>59</v>
      </c>
      <c r="K305" t="s">
        <v>59</v>
      </c>
    </row>
    <row r="306" spans="1:12" x14ac:dyDescent="0.25">
      <c r="A306" t="s">
        <v>707</v>
      </c>
      <c r="B306" t="s">
        <v>708</v>
      </c>
      <c r="C306" t="s">
        <v>58</v>
      </c>
      <c r="D306">
        <v>1763</v>
      </c>
      <c r="E306">
        <v>1770.8</v>
      </c>
      <c r="F306">
        <v>7.9</v>
      </c>
      <c r="G306">
        <v>0.4</v>
      </c>
      <c r="H306">
        <v>0</v>
      </c>
      <c r="I306" t="s">
        <v>59</v>
      </c>
      <c r="J306" t="s">
        <v>59</v>
      </c>
      <c r="K306" t="s">
        <v>59</v>
      </c>
    </row>
    <row r="307" spans="1:12" x14ac:dyDescent="0.25">
      <c r="A307" t="s">
        <v>709</v>
      </c>
      <c r="B307" t="s">
        <v>710</v>
      </c>
      <c r="C307" t="s">
        <v>55</v>
      </c>
      <c r="D307">
        <v>972.6</v>
      </c>
      <c r="E307">
        <v>1044.3</v>
      </c>
      <c r="F307">
        <v>71.7</v>
      </c>
      <c r="G307">
        <v>7.4</v>
      </c>
      <c r="H307">
        <v>0.7</v>
      </c>
      <c r="I307">
        <v>119.4</v>
      </c>
      <c r="J307">
        <v>153.4</v>
      </c>
      <c r="K307">
        <v>2.5</v>
      </c>
    </row>
    <row r="308" spans="1:12" x14ac:dyDescent="0.25">
      <c r="A308" t="s">
        <v>711</v>
      </c>
      <c r="B308" t="s">
        <v>712</v>
      </c>
      <c r="C308" t="s">
        <v>58</v>
      </c>
      <c r="D308">
        <v>85.5</v>
      </c>
      <c r="E308">
        <v>94</v>
      </c>
      <c r="F308">
        <v>8.5</v>
      </c>
      <c r="G308">
        <v>9.9</v>
      </c>
      <c r="H308">
        <v>1</v>
      </c>
      <c r="I308" t="s">
        <v>59</v>
      </c>
      <c r="J308" t="s">
        <v>59</v>
      </c>
      <c r="K308" t="s">
        <v>59</v>
      </c>
    </row>
    <row r="309" spans="1:12" x14ac:dyDescent="0.25">
      <c r="A309" t="s">
        <v>713</v>
      </c>
      <c r="B309" t="s">
        <v>714</v>
      </c>
      <c r="C309" t="s">
        <v>58</v>
      </c>
      <c r="D309">
        <v>129.19999999999999</v>
      </c>
      <c r="E309">
        <v>134.69999999999999</v>
      </c>
      <c r="F309">
        <v>5.5</v>
      </c>
      <c r="G309">
        <v>4.3</v>
      </c>
      <c r="H309">
        <v>0.4</v>
      </c>
      <c r="I309" t="s">
        <v>59</v>
      </c>
      <c r="J309" t="s">
        <v>59</v>
      </c>
      <c r="K309" t="s">
        <v>59</v>
      </c>
    </row>
    <row r="310" spans="1:12" x14ac:dyDescent="0.25">
      <c r="A310" t="s">
        <v>715</v>
      </c>
      <c r="B310" t="s">
        <v>716</v>
      </c>
      <c r="C310" t="s">
        <v>58</v>
      </c>
      <c r="D310">
        <v>550.20000000000005</v>
      </c>
      <c r="E310">
        <v>588.5</v>
      </c>
      <c r="F310">
        <v>38.299999999999997</v>
      </c>
      <c r="G310">
        <v>7</v>
      </c>
      <c r="H310">
        <v>0.7</v>
      </c>
      <c r="I310" t="s">
        <v>59</v>
      </c>
      <c r="J310" t="s">
        <v>59</v>
      </c>
      <c r="K310" t="s">
        <v>59</v>
      </c>
    </row>
    <row r="311" spans="1:12" x14ac:dyDescent="0.25">
      <c r="A311" t="s">
        <v>717</v>
      </c>
      <c r="B311" t="s">
        <v>718</v>
      </c>
      <c r="C311" t="s">
        <v>58</v>
      </c>
      <c r="D311">
        <v>207.7</v>
      </c>
      <c r="E311">
        <v>227.1</v>
      </c>
      <c r="F311">
        <v>19.399999999999999</v>
      </c>
      <c r="G311">
        <v>9.4</v>
      </c>
      <c r="H311">
        <v>0.9</v>
      </c>
      <c r="I311" t="s">
        <v>59</v>
      </c>
      <c r="J311" t="s">
        <v>59</v>
      </c>
      <c r="K311" t="s">
        <v>59</v>
      </c>
    </row>
    <row r="312" spans="1:12" x14ac:dyDescent="0.25">
      <c r="A312" t="s">
        <v>719</v>
      </c>
      <c r="B312" t="s">
        <v>720</v>
      </c>
      <c r="C312" t="s">
        <v>55</v>
      </c>
      <c r="D312">
        <v>10741.9</v>
      </c>
      <c r="E312">
        <v>10679.5</v>
      </c>
      <c r="F312">
        <v>-62.4</v>
      </c>
      <c r="G312">
        <v>-0.6</v>
      </c>
      <c r="H312">
        <v>-0.1</v>
      </c>
      <c r="I312">
        <v>1172.9000000000001</v>
      </c>
      <c r="J312">
        <v>1183.5999999999999</v>
      </c>
      <c r="K312">
        <v>0.1</v>
      </c>
      <c r="L312" t="s">
        <v>700</v>
      </c>
    </row>
    <row r="313" spans="1:12" x14ac:dyDescent="0.25">
      <c r="A313" t="s">
        <v>721</v>
      </c>
      <c r="B313" t="s">
        <v>722</v>
      </c>
      <c r="C313" t="s">
        <v>58</v>
      </c>
      <c r="D313">
        <v>81.599999999999994</v>
      </c>
      <c r="E313">
        <v>77.599999999999994</v>
      </c>
      <c r="F313">
        <v>-4</v>
      </c>
      <c r="G313">
        <v>-4.9000000000000004</v>
      </c>
      <c r="H313">
        <v>-0.5</v>
      </c>
      <c r="I313" t="s">
        <v>59</v>
      </c>
      <c r="J313" t="s">
        <v>59</v>
      </c>
      <c r="K313" t="s">
        <v>59</v>
      </c>
    </row>
    <row r="314" spans="1:12" x14ac:dyDescent="0.25">
      <c r="A314" t="s">
        <v>723</v>
      </c>
      <c r="B314" t="s">
        <v>724</v>
      </c>
      <c r="C314" t="s">
        <v>58</v>
      </c>
      <c r="D314">
        <v>7600.9</v>
      </c>
      <c r="E314">
        <v>7413</v>
      </c>
      <c r="F314">
        <v>-187.9</v>
      </c>
      <c r="G314">
        <v>-2.5</v>
      </c>
      <c r="H314">
        <v>-0.3</v>
      </c>
      <c r="I314" t="s">
        <v>59</v>
      </c>
      <c r="J314" t="s">
        <v>59</v>
      </c>
      <c r="K314" t="s">
        <v>59</v>
      </c>
    </row>
    <row r="315" spans="1:12" x14ac:dyDescent="0.25">
      <c r="A315" t="s">
        <v>725</v>
      </c>
      <c r="B315" t="s">
        <v>726</v>
      </c>
      <c r="C315" t="s">
        <v>55</v>
      </c>
      <c r="D315">
        <v>2977.5</v>
      </c>
      <c r="E315">
        <v>3100.1</v>
      </c>
      <c r="F315">
        <v>122.5</v>
      </c>
      <c r="G315">
        <v>4.0999999999999996</v>
      </c>
      <c r="H315">
        <v>0.4</v>
      </c>
      <c r="I315" t="s">
        <v>59</v>
      </c>
      <c r="J315" t="s">
        <v>59</v>
      </c>
      <c r="K315" t="s">
        <v>59</v>
      </c>
    </row>
    <row r="316" spans="1:12" x14ac:dyDescent="0.25">
      <c r="A316" t="s">
        <v>727</v>
      </c>
      <c r="B316" t="s">
        <v>728</v>
      </c>
      <c r="C316" t="s">
        <v>58</v>
      </c>
      <c r="D316">
        <v>260.7</v>
      </c>
      <c r="E316">
        <v>265.2</v>
      </c>
      <c r="F316">
        <v>4.5</v>
      </c>
      <c r="G316">
        <v>1.7</v>
      </c>
      <c r="H316">
        <v>0.2</v>
      </c>
      <c r="I316" t="s">
        <v>59</v>
      </c>
      <c r="J316" t="s">
        <v>59</v>
      </c>
      <c r="K316" t="s">
        <v>59</v>
      </c>
    </row>
    <row r="317" spans="1:12" x14ac:dyDescent="0.25">
      <c r="A317" t="s">
        <v>729</v>
      </c>
      <c r="B317" t="s">
        <v>730</v>
      </c>
      <c r="C317" t="s">
        <v>58</v>
      </c>
      <c r="D317">
        <v>399.1</v>
      </c>
      <c r="E317">
        <v>396.8</v>
      </c>
      <c r="F317">
        <v>-2.2999999999999998</v>
      </c>
      <c r="G317">
        <v>-0.6</v>
      </c>
      <c r="H317">
        <v>-0.1</v>
      </c>
      <c r="I317" t="s">
        <v>59</v>
      </c>
      <c r="J317" t="s">
        <v>59</v>
      </c>
      <c r="K317" t="s">
        <v>59</v>
      </c>
    </row>
    <row r="318" spans="1:12" x14ac:dyDescent="0.25">
      <c r="A318" t="s">
        <v>731</v>
      </c>
      <c r="B318" t="s">
        <v>732</v>
      </c>
      <c r="C318" t="s">
        <v>58</v>
      </c>
      <c r="D318">
        <v>2242.9</v>
      </c>
      <c r="E318">
        <v>2360.1999999999998</v>
      </c>
      <c r="F318">
        <v>117.3</v>
      </c>
      <c r="G318">
        <v>5.2</v>
      </c>
      <c r="H318">
        <v>0.5</v>
      </c>
      <c r="I318" t="s">
        <v>59</v>
      </c>
      <c r="J318" t="s">
        <v>59</v>
      </c>
      <c r="K318" t="s">
        <v>59</v>
      </c>
    </row>
    <row r="319" spans="1:12" x14ac:dyDescent="0.25">
      <c r="A319" t="s">
        <v>733</v>
      </c>
      <c r="B319" t="s">
        <v>734</v>
      </c>
      <c r="C319" t="s">
        <v>58</v>
      </c>
      <c r="D319">
        <v>74.8</v>
      </c>
      <c r="E319">
        <v>78</v>
      </c>
      <c r="F319">
        <v>3.1</v>
      </c>
      <c r="G319">
        <v>4.2</v>
      </c>
      <c r="H319">
        <v>0.4</v>
      </c>
      <c r="I319" t="s">
        <v>59</v>
      </c>
      <c r="J319" t="s">
        <v>59</v>
      </c>
      <c r="K319" t="s">
        <v>59</v>
      </c>
    </row>
    <row r="320" spans="1:12" x14ac:dyDescent="0.25">
      <c r="A320" t="s">
        <v>735</v>
      </c>
      <c r="B320" t="s">
        <v>736</v>
      </c>
      <c r="C320" t="s">
        <v>55</v>
      </c>
      <c r="D320">
        <v>81.900000000000006</v>
      </c>
      <c r="E320">
        <v>88.8</v>
      </c>
      <c r="F320">
        <v>6.9</v>
      </c>
      <c r="G320">
        <v>8.5</v>
      </c>
      <c r="H320">
        <v>0.8</v>
      </c>
      <c r="I320" t="s">
        <v>59</v>
      </c>
      <c r="J320" t="s">
        <v>59</v>
      </c>
      <c r="K320" t="s">
        <v>59</v>
      </c>
    </row>
    <row r="321" spans="1:12" x14ac:dyDescent="0.25">
      <c r="A321" t="s">
        <v>737</v>
      </c>
      <c r="B321" t="s">
        <v>738</v>
      </c>
      <c r="C321" t="s">
        <v>58</v>
      </c>
      <c r="D321">
        <v>2.9</v>
      </c>
      <c r="E321">
        <v>3.1</v>
      </c>
      <c r="F321">
        <v>0.2</v>
      </c>
      <c r="G321">
        <v>8.1999999999999993</v>
      </c>
      <c r="H321">
        <v>0.7</v>
      </c>
      <c r="I321" t="s">
        <v>59</v>
      </c>
      <c r="J321" t="s">
        <v>59</v>
      </c>
      <c r="K321" t="s">
        <v>59</v>
      </c>
    </row>
    <row r="322" spans="1:12" x14ac:dyDescent="0.25">
      <c r="A322" t="s">
        <v>739</v>
      </c>
      <c r="B322" t="s">
        <v>740</v>
      </c>
      <c r="C322" t="s">
        <v>58</v>
      </c>
      <c r="D322">
        <v>2.2999999999999998</v>
      </c>
      <c r="E322">
        <v>2.4</v>
      </c>
      <c r="F322">
        <v>0.1</v>
      </c>
      <c r="G322">
        <v>6.5</v>
      </c>
      <c r="H322">
        <v>0.4</v>
      </c>
      <c r="I322" t="s">
        <v>59</v>
      </c>
      <c r="J322" t="s">
        <v>59</v>
      </c>
      <c r="K322" t="s">
        <v>59</v>
      </c>
    </row>
    <row r="323" spans="1:12" x14ac:dyDescent="0.25">
      <c r="A323" t="s">
        <v>741</v>
      </c>
      <c r="B323" t="s">
        <v>742</v>
      </c>
      <c r="C323" t="s">
        <v>58</v>
      </c>
      <c r="D323">
        <v>14.7</v>
      </c>
      <c r="E323">
        <v>15.3</v>
      </c>
      <c r="F323">
        <v>0.6</v>
      </c>
      <c r="G323">
        <v>4.0999999999999996</v>
      </c>
      <c r="H323">
        <v>0.4</v>
      </c>
      <c r="I323" t="s">
        <v>59</v>
      </c>
      <c r="J323" t="s">
        <v>59</v>
      </c>
      <c r="K323" t="s">
        <v>59</v>
      </c>
    </row>
    <row r="324" spans="1:12" x14ac:dyDescent="0.25">
      <c r="A324" t="s">
        <v>743</v>
      </c>
      <c r="B324" t="s">
        <v>744</v>
      </c>
      <c r="C324" t="s">
        <v>58</v>
      </c>
      <c r="D324">
        <v>10.6</v>
      </c>
      <c r="E324">
        <v>10.8</v>
      </c>
      <c r="F324">
        <v>0.3</v>
      </c>
      <c r="G324">
        <v>2.7</v>
      </c>
      <c r="H324">
        <v>0.2</v>
      </c>
      <c r="I324" t="s">
        <v>59</v>
      </c>
      <c r="J324" t="s">
        <v>59</v>
      </c>
      <c r="K324" t="s">
        <v>59</v>
      </c>
    </row>
    <row r="325" spans="1:12" x14ac:dyDescent="0.25">
      <c r="A325" t="s">
        <v>745</v>
      </c>
      <c r="B325" t="s">
        <v>746</v>
      </c>
      <c r="C325" t="s">
        <v>58</v>
      </c>
      <c r="D325">
        <v>1.6</v>
      </c>
      <c r="E325">
        <v>1.6</v>
      </c>
      <c r="F325">
        <v>0.1</v>
      </c>
      <c r="G325">
        <v>4.4000000000000004</v>
      </c>
      <c r="H325">
        <v>0</v>
      </c>
      <c r="I325" t="s">
        <v>59</v>
      </c>
      <c r="J325" t="s">
        <v>59</v>
      </c>
      <c r="K325" t="s">
        <v>59</v>
      </c>
    </row>
    <row r="326" spans="1:12" x14ac:dyDescent="0.25">
      <c r="A326" t="s">
        <v>747</v>
      </c>
      <c r="B326" t="s">
        <v>748</v>
      </c>
      <c r="C326" t="s">
        <v>58</v>
      </c>
      <c r="D326">
        <v>8.8000000000000007</v>
      </c>
      <c r="E326">
        <v>8.4</v>
      </c>
      <c r="F326">
        <v>-0.5</v>
      </c>
      <c r="G326">
        <v>-5.5</v>
      </c>
      <c r="H326">
        <v>-0.5</v>
      </c>
      <c r="I326" t="s">
        <v>59</v>
      </c>
      <c r="J326" t="s">
        <v>59</v>
      </c>
      <c r="K326" t="s">
        <v>59</v>
      </c>
    </row>
    <row r="327" spans="1:12" x14ac:dyDescent="0.25">
      <c r="A327" t="s">
        <v>749</v>
      </c>
      <c r="B327" t="s">
        <v>750</v>
      </c>
      <c r="C327" t="s">
        <v>58</v>
      </c>
      <c r="D327">
        <v>40.9</v>
      </c>
      <c r="E327">
        <v>47</v>
      </c>
      <c r="F327">
        <v>6.1</v>
      </c>
      <c r="G327">
        <v>14.8</v>
      </c>
      <c r="H327">
        <v>1.4</v>
      </c>
      <c r="I327" t="s">
        <v>59</v>
      </c>
      <c r="J327" t="s">
        <v>59</v>
      </c>
      <c r="K327" t="s">
        <v>59</v>
      </c>
    </row>
    <row r="328" spans="1:12" x14ac:dyDescent="0.25">
      <c r="A328" t="s">
        <v>751</v>
      </c>
      <c r="B328" t="s">
        <v>752</v>
      </c>
      <c r="C328" t="s">
        <v>55</v>
      </c>
      <c r="D328">
        <v>23692.2</v>
      </c>
      <c r="E328">
        <v>25674.9</v>
      </c>
      <c r="F328">
        <v>1982.7</v>
      </c>
      <c r="G328">
        <v>8.4</v>
      </c>
      <c r="H328">
        <v>0.8</v>
      </c>
      <c r="I328" t="s">
        <v>59</v>
      </c>
      <c r="J328" t="s">
        <v>59</v>
      </c>
      <c r="K328" t="s">
        <v>59</v>
      </c>
    </row>
    <row r="329" spans="1:12" x14ac:dyDescent="0.25">
      <c r="A329" t="s">
        <v>753</v>
      </c>
      <c r="B329" t="s">
        <v>754</v>
      </c>
      <c r="C329" t="s">
        <v>55</v>
      </c>
      <c r="D329">
        <v>8784.9</v>
      </c>
      <c r="E329">
        <v>9852.7999999999993</v>
      </c>
      <c r="F329">
        <v>1067.9000000000001</v>
      </c>
      <c r="G329">
        <v>12.2</v>
      </c>
      <c r="H329">
        <v>1.2</v>
      </c>
      <c r="I329">
        <v>1417.6</v>
      </c>
      <c r="J329">
        <v>1929</v>
      </c>
      <c r="K329">
        <v>3.1</v>
      </c>
      <c r="L329" t="s">
        <v>755</v>
      </c>
    </row>
    <row r="330" spans="1:12" x14ac:dyDescent="0.25">
      <c r="A330" t="s">
        <v>756</v>
      </c>
      <c r="B330" t="s">
        <v>757</v>
      </c>
      <c r="C330" t="s">
        <v>58</v>
      </c>
      <c r="D330">
        <v>2975.4</v>
      </c>
      <c r="E330">
        <v>3180</v>
      </c>
      <c r="F330">
        <v>204.6</v>
      </c>
      <c r="G330">
        <v>6.9</v>
      </c>
      <c r="H330">
        <v>0.7</v>
      </c>
      <c r="I330">
        <v>646.9</v>
      </c>
      <c r="J330">
        <v>893.9</v>
      </c>
      <c r="K330">
        <v>3.3</v>
      </c>
    </row>
    <row r="331" spans="1:12" x14ac:dyDescent="0.25">
      <c r="A331" t="s">
        <v>758</v>
      </c>
      <c r="B331" t="s">
        <v>759</v>
      </c>
      <c r="C331" t="s">
        <v>58</v>
      </c>
      <c r="D331">
        <v>1045.5</v>
      </c>
      <c r="E331">
        <v>1101.8</v>
      </c>
      <c r="F331">
        <v>56.3</v>
      </c>
      <c r="G331">
        <v>5.4</v>
      </c>
      <c r="H331">
        <v>0.5</v>
      </c>
      <c r="I331">
        <v>146.69999999999999</v>
      </c>
      <c r="J331">
        <v>164.3</v>
      </c>
      <c r="K331">
        <v>1.1000000000000001</v>
      </c>
    </row>
    <row r="332" spans="1:12" x14ac:dyDescent="0.25">
      <c r="A332" t="s">
        <v>760</v>
      </c>
      <c r="B332" t="s">
        <v>761</v>
      </c>
      <c r="C332" t="s">
        <v>55</v>
      </c>
      <c r="D332">
        <v>1232.2</v>
      </c>
      <c r="E332">
        <v>1457.8</v>
      </c>
      <c r="F332">
        <v>225.6</v>
      </c>
      <c r="G332">
        <v>18.3</v>
      </c>
      <c r="H332">
        <v>1.7</v>
      </c>
      <c r="I332">
        <v>164.6</v>
      </c>
      <c r="J332">
        <v>235.3</v>
      </c>
      <c r="K332">
        <v>3.6</v>
      </c>
    </row>
    <row r="333" spans="1:12" x14ac:dyDescent="0.25">
      <c r="A333" t="s">
        <v>762</v>
      </c>
      <c r="B333" t="s">
        <v>763</v>
      </c>
      <c r="C333" t="s">
        <v>58</v>
      </c>
      <c r="D333">
        <v>146.9</v>
      </c>
      <c r="E333">
        <v>156</v>
      </c>
      <c r="F333">
        <v>9.1</v>
      </c>
      <c r="G333">
        <v>6.2</v>
      </c>
      <c r="H333">
        <v>0.6</v>
      </c>
      <c r="I333" t="s">
        <v>59</v>
      </c>
      <c r="J333" t="s">
        <v>59</v>
      </c>
      <c r="K333" t="s">
        <v>59</v>
      </c>
    </row>
    <row r="334" spans="1:12" x14ac:dyDescent="0.25">
      <c r="A334" t="s">
        <v>764</v>
      </c>
      <c r="B334" t="s">
        <v>765</v>
      </c>
      <c r="C334" t="s">
        <v>58</v>
      </c>
      <c r="D334">
        <v>154.5</v>
      </c>
      <c r="E334">
        <v>166.2</v>
      </c>
      <c r="F334">
        <v>11.7</v>
      </c>
      <c r="G334">
        <v>7.6</v>
      </c>
      <c r="H334">
        <v>0.7</v>
      </c>
      <c r="I334" t="s">
        <v>59</v>
      </c>
      <c r="J334" t="s">
        <v>59</v>
      </c>
      <c r="K334" t="s">
        <v>59</v>
      </c>
    </row>
    <row r="335" spans="1:12" x14ac:dyDescent="0.25">
      <c r="A335" t="s">
        <v>766</v>
      </c>
      <c r="B335" t="s">
        <v>767</v>
      </c>
      <c r="C335" t="s">
        <v>58</v>
      </c>
      <c r="D335">
        <v>247.9</v>
      </c>
      <c r="E335">
        <v>313.39999999999998</v>
      </c>
      <c r="F335">
        <v>65.5</v>
      </c>
      <c r="G335">
        <v>26.4</v>
      </c>
      <c r="H335">
        <v>2.4</v>
      </c>
      <c r="I335" t="s">
        <v>59</v>
      </c>
      <c r="J335" t="s">
        <v>59</v>
      </c>
      <c r="K335" t="s">
        <v>59</v>
      </c>
    </row>
    <row r="336" spans="1:12" x14ac:dyDescent="0.25">
      <c r="A336" t="s">
        <v>768</v>
      </c>
      <c r="B336" t="s">
        <v>769</v>
      </c>
      <c r="C336" t="s">
        <v>58</v>
      </c>
      <c r="D336">
        <v>493.1</v>
      </c>
      <c r="E336">
        <v>607.9</v>
      </c>
      <c r="F336">
        <v>114.8</v>
      </c>
      <c r="G336">
        <v>23.3</v>
      </c>
      <c r="H336">
        <v>2.1</v>
      </c>
      <c r="I336" t="s">
        <v>59</v>
      </c>
      <c r="J336" t="s">
        <v>59</v>
      </c>
      <c r="K336" t="s">
        <v>59</v>
      </c>
    </row>
    <row r="337" spans="1:12" x14ac:dyDescent="0.25">
      <c r="A337" t="s">
        <v>770</v>
      </c>
      <c r="B337" t="s">
        <v>771</v>
      </c>
      <c r="C337" t="s">
        <v>58</v>
      </c>
      <c r="D337">
        <v>189.8</v>
      </c>
      <c r="E337">
        <v>214.3</v>
      </c>
      <c r="F337">
        <v>24.5</v>
      </c>
      <c r="G337">
        <v>12.9</v>
      </c>
      <c r="H337">
        <v>1.2</v>
      </c>
      <c r="I337" t="s">
        <v>59</v>
      </c>
      <c r="J337" t="s">
        <v>59</v>
      </c>
      <c r="K337" t="s">
        <v>59</v>
      </c>
    </row>
    <row r="338" spans="1:12" x14ac:dyDescent="0.25">
      <c r="A338" t="s">
        <v>772</v>
      </c>
      <c r="B338" t="s">
        <v>773</v>
      </c>
      <c r="C338" t="s">
        <v>55</v>
      </c>
      <c r="D338">
        <v>1115.0999999999999</v>
      </c>
      <c r="E338">
        <v>1324.8</v>
      </c>
      <c r="F338">
        <v>209.7</v>
      </c>
      <c r="G338">
        <v>18.8</v>
      </c>
      <c r="H338">
        <v>1.7</v>
      </c>
      <c r="I338">
        <v>217.8</v>
      </c>
      <c r="J338">
        <v>307.39999999999998</v>
      </c>
      <c r="K338">
        <v>3.5</v>
      </c>
    </row>
    <row r="339" spans="1:12" x14ac:dyDescent="0.25">
      <c r="A339" t="s">
        <v>774</v>
      </c>
      <c r="B339" t="s">
        <v>775</v>
      </c>
      <c r="C339" t="s">
        <v>58</v>
      </c>
      <c r="D339">
        <v>314.8</v>
      </c>
      <c r="E339">
        <v>377.6</v>
      </c>
      <c r="F339">
        <v>62.8</v>
      </c>
      <c r="G339">
        <v>19.899999999999999</v>
      </c>
      <c r="H339">
        <v>1.8</v>
      </c>
      <c r="I339" t="s">
        <v>59</v>
      </c>
      <c r="J339" t="s">
        <v>59</v>
      </c>
      <c r="K339" t="s">
        <v>59</v>
      </c>
    </row>
    <row r="340" spans="1:12" x14ac:dyDescent="0.25">
      <c r="A340" t="s">
        <v>776</v>
      </c>
      <c r="B340" t="s">
        <v>777</v>
      </c>
      <c r="C340" t="s">
        <v>58</v>
      </c>
      <c r="D340">
        <v>308</v>
      </c>
      <c r="E340">
        <v>327.7</v>
      </c>
      <c r="F340">
        <v>19.7</v>
      </c>
      <c r="G340">
        <v>6.4</v>
      </c>
      <c r="H340">
        <v>0.6</v>
      </c>
      <c r="I340">
        <v>75.900000000000006</v>
      </c>
      <c r="J340">
        <v>99.1</v>
      </c>
      <c r="K340">
        <v>2.7</v>
      </c>
    </row>
    <row r="341" spans="1:12" x14ac:dyDescent="0.25">
      <c r="A341" t="s">
        <v>778</v>
      </c>
      <c r="B341" t="s">
        <v>779</v>
      </c>
      <c r="C341" t="s">
        <v>58</v>
      </c>
      <c r="D341">
        <v>1750.8</v>
      </c>
      <c r="E341">
        <v>2076.6</v>
      </c>
      <c r="F341">
        <v>325.8</v>
      </c>
      <c r="G341">
        <v>18.600000000000001</v>
      </c>
      <c r="H341">
        <v>1.7</v>
      </c>
      <c r="I341">
        <v>120.6</v>
      </c>
      <c r="J341">
        <v>176.6</v>
      </c>
      <c r="K341">
        <v>3.9</v>
      </c>
    </row>
    <row r="342" spans="1:12" x14ac:dyDescent="0.25">
      <c r="A342" t="s">
        <v>780</v>
      </c>
      <c r="B342" t="s">
        <v>781</v>
      </c>
      <c r="C342" t="s">
        <v>55</v>
      </c>
      <c r="D342">
        <v>357.9</v>
      </c>
      <c r="E342">
        <v>384.3</v>
      </c>
      <c r="F342">
        <v>26.4</v>
      </c>
      <c r="G342">
        <v>7.4</v>
      </c>
      <c r="H342">
        <v>0.7</v>
      </c>
      <c r="I342">
        <v>46.3</v>
      </c>
      <c r="J342">
        <v>61.5</v>
      </c>
      <c r="K342">
        <v>2.9</v>
      </c>
    </row>
    <row r="343" spans="1:12" x14ac:dyDescent="0.25">
      <c r="A343" t="s">
        <v>782</v>
      </c>
      <c r="B343" t="s">
        <v>783</v>
      </c>
      <c r="C343" t="s">
        <v>58</v>
      </c>
      <c r="D343">
        <v>170.5</v>
      </c>
      <c r="E343">
        <v>176.8</v>
      </c>
      <c r="F343">
        <v>6.3</v>
      </c>
      <c r="G343">
        <v>3.7</v>
      </c>
      <c r="H343">
        <v>0.4</v>
      </c>
      <c r="I343" t="s">
        <v>59</v>
      </c>
      <c r="J343" t="s">
        <v>59</v>
      </c>
      <c r="K343" t="s">
        <v>59</v>
      </c>
    </row>
    <row r="344" spans="1:12" x14ac:dyDescent="0.25">
      <c r="A344" t="s">
        <v>784</v>
      </c>
      <c r="B344" t="s">
        <v>785</v>
      </c>
      <c r="C344" t="s">
        <v>58</v>
      </c>
      <c r="D344">
        <v>187.4</v>
      </c>
      <c r="E344">
        <v>207.5</v>
      </c>
      <c r="F344">
        <v>20.100000000000001</v>
      </c>
      <c r="G344">
        <v>10.7</v>
      </c>
      <c r="H344">
        <v>1</v>
      </c>
      <c r="I344" t="s">
        <v>59</v>
      </c>
      <c r="J344" t="s">
        <v>59</v>
      </c>
      <c r="K344" t="s">
        <v>59</v>
      </c>
    </row>
    <row r="345" spans="1:12" x14ac:dyDescent="0.25">
      <c r="A345" t="s">
        <v>786</v>
      </c>
      <c r="B345" t="s">
        <v>787</v>
      </c>
      <c r="C345" t="s">
        <v>55</v>
      </c>
      <c r="D345">
        <v>6715.9</v>
      </c>
      <c r="E345">
        <v>6980.7</v>
      </c>
      <c r="F345">
        <v>264.8</v>
      </c>
      <c r="G345">
        <v>3.9</v>
      </c>
      <c r="H345">
        <v>0.4</v>
      </c>
      <c r="I345" t="s">
        <v>59</v>
      </c>
      <c r="J345" t="s">
        <v>59</v>
      </c>
      <c r="K345" t="s">
        <v>59</v>
      </c>
    </row>
    <row r="346" spans="1:12" x14ac:dyDescent="0.25">
      <c r="A346" t="s">
        <v>788</v>
      </c>
      <c r="B346" t="s">
        <v>789</v>
      </c>
      <c r="C346" t="s">
        <v>55</v>
      </c>
      <c r="D346">
        <v>5551.1</v>
      </c>
      <c r="E346">
        <v>5794.8</v>
      </c>
      <c r="F346">
        <v>243.7</v>
      </c>
      <c r="G346">
        <v>4.4000000000000004</v>
      </c>
      <c r="H346">
        <v>0.4</v>
      </c>
      <c r="I346">
        <v>1007.8</v>
      </c>
      <c r="J346">
        <v>1311</v>
      </c>
      <c r="K346">
        <v>2.7</v>
      </c>
      <c r="L346" t="s">
        <v>755</v>
      </c>
    </row>
    <row r="347" spans="1:12" x14ac:dyDescent="0.25">
      <c r="A347" t="s">
        <v>790</v>
      </c>
      <c r="B347" t="s">
        <v>791</v>
      </c>
      <c r="C347" t="s">
        <v>58</v>
      </c>
      <c r="D347">
        <v>5070.2</v>
      </c>
      <c r="E347">
        <v>5267.5</v>
      </c>
      <c r="F347">
        <v>197.3</v>
      </c>
      <c r="G347">
        <v>3.9</v>
      </c>
      <c r="H347">
        <v>0.4</v>
      </c>
      <c r="I347" t="s">
        <v>59</v>
      </c>
      <c r="J347" t="s">
        <v>59</v>
      </c>
      <c r="K347" t="s">
        <v>59</v>
      </c>
    </row>
    <row r="348" spans="1:12" x14ac:dyDescent="0.25">
      <c r="A348" t="s">
        <v>792</v>
      </c>
      <c r="B348" t="s">
        <v>793</v>
      </c>
      <c r="C348" t="s">
        <v>58</v>
      </c>
      <c r="D348">
        <v>165.2</v>
      </c>
      <c r="E348">
        <v>182.5</v>
      </c>
      <c r="F348">
        <v>17.3</v>
      </c>
      <c r="G348">
        <v>10.5</v>
      </c>
      <c r="H348">
        <v>1</v>
      </c>
      <c r="I348" t="s">
        <v>59</v>
      </c>
      <c r="J348" t="s">
        <v>59</v>
      </c>
      <c r="K348" t="s">
        <v>59</v>
      </c>
    </row>
    <row r="349" spans="1:12" x14ac:dyDescent="0.25">
      <c r="A349" t="s">
        <v>794</v>
      </c>
      <c r="B349" t="s">
        <v>795</v>
      </c>
      <c r="C349" t="s">
        <v>58</v>
      </c>
      <c r="D349">
        <v>315.7</v>
      </c>
      <c r="E349">
        <v>344.8</v>
      </c>
      <c r="F349">
        <v>29.1</v>
      </c>
      <c r="G349">
        <v>9.1999999999999993</v>
      </c>
      <c r="H349">
        <v>0.9</v>
      </c>
      <c r="I349" t="s">
        <v>59</v>
      </c>
      <c r="J349" t="s">
        <v>59</v>
      </c>
      <c r="K349" t="s">
        <v>59</v>
      </c>
    </row>
    <row r="350" spans="1:12" x14ac:dyDescent="0.25">
      <c r="A350" t="s">
        <v>796</v>
      </c>
      <c r="B350" t="s">
        <v>797</v>
      </c>
      <c r="C350" t="s">
        <v>55</v>
      </c>
      <c r="D350">
        <v>1164.8</v>
      </c>
      <c r="E350">
        <v>1185.9000000000001</v>
      </c>
      <c r="F350">
        <v>21.1</v>
      </c>
      <c r="G350">
        <v>1.8</v>
      </c>
      <c r="H350">
        <v>0.2</v>
      </c>
      <c r="I350">
        <v>379.1</v>
      </c>
      <c r="J350">
        <v>482</v>
      </c>
      <c r="K350">
        <v>2.4</v>
      </c>
      <c r="L350" t="s">
        <v>755</v>
      </c>
    </row>
    <row r="351" spans="1:12" x14ac:dyDescent="0.25">
      <c r="A351" t="s">
        <v>798</v>
      </c>
      <c r="B351" t="s">
        <v>799</v>
      </c>
      <c r="C351" t="s">
        <v>58</v>
      </c>
      <c r="D351">
        <v>305.10000000000002</v>
      </c>
      <c r="E351">
        <v>316.60000000000002</v>
      </c>
      <c r="F351">
        <v>11.5</v>
      </c>
      <c r="G351">
        <v>3.8</v>
      </c>
      <c r="H351">
        <v>0.4</v>
      </c>
      <c r="I351" t="s">
        <v>59</v>
      </c>
      <c r="J351" t="s">
        <v>59</v>
      </c>
      <c r="K351" t="s">
        <v>59</v>
      </c>
    </row>
    <row r="352" spans="1:12" x14ac:dyDescent="0.25">
      <c r="A352" t="s">
        <v>800</v>
      </c>
      <c r="B352" t="s">
        <v>801</v>
      </c>
      <c r="C352" t="s">
        <v>58</v>
      </c>
      <c r="D352">
        <v>700.5</v>
      </c>
      <c r="E352">
        <v>717.4</v>
      </c>
      <c r="F352">
        <v>17</v>
      </c>
      <c r="G352">
        <v>2.4</v>
      </c>
      <c r="H352">
        <v>0.2</v>
      </c>
      <c r="I352" t="s">
        <v>59</v>
      </c>
      <c r="J352" t="s">
        <v>59</v>
      </c>
      <c r="K352" t="s">
        <v>59</v>
      </c>
    </row>
    <row r="353" spans="1:12" x14ac:dyDescent="0.25">
      <c r="A353" t="s">
        <v>802</v>
      </c>
      <c r="B353" t="s">
        <v>803</v>
      </c>
      <c r="C353" t="s">
        <v>58</v>
      </c>
      <c r="D353">
        <v>115.2</v>
      </c>
      <c r="E353">
        <v>106.7</v>
      </c>
      <c r="F353">
        <v>-8.5</v>
      </c>
      <c r="G353">
        <v>-7.4</v>
      </c>
      <c r="H353">
        <v>-0.8</v>
      </c>
      <c r="I353" t="s">
        <v>59</v>
      </c>
      <c r="J353" t="s">
        <v>59</v>
      </c>
      <c r="K353" t="s">
        <v>59</v>
      </c>
    </row>
    <row r="354" spans="1:12" x14ac:dyDescent="0.25">
      <c r="A354" t="s">
        <v>804</v>
      </c>
      <c r="B354" t="s">
        <v>805</v>
      </c>
      <c r="C354" t="s">
        <v>58</v>
      </c>
      <c r="D354">
        <v>3.1</v>
      </c>
      <c r="E354">
        <v>2.8</v>
      </c>
      <c r="F354">
        <v>-0.2</v>
      </c>
      <c r="G354">
        <v>-8</v>
      </c>
      <c r="H354">
        <v>-1</v>
      </c>
      <c r="I354" t="s">
        <v>59</v>
      </c>
      <c r="J354" t="s">
        <v>59</v>
      </c>
      <c r="K354" t="s">
        <v>59</v>
      </c>
    </row>
    <row r="355" spans="1:12" x14ac:dyDescent="0.25">
      <c r="A355" t="s">
        <v>806</v>
      </c>
      <c r="B355" t="s">
        <v>807</v>
      </c>
      <c r="C355" t="s">
        <v>58</v>
      </c>
      <c r="D355">
        <v>40.200000000000003</v>
      </c>
      <c r="E355">
        <v>41.5</v>
      </c>
      <c r="F355">
        <v>1.3</v>
      </c>
      <c r="G355">
        <v>3.3</v>
      </c>
      <c r="H355">
        <v>0.3</v>
      </c>
      <c r="I355" t="s">
        <v>59</v>
      </c>
      <c r="J355" t="s">
        <v>59</v>
      </c>
      <c r="K355" t="s">
        <v>59</v>
      </c>
    </row>
    <row r="356" spans="1:12" x14ac:dyDescent="0.25">
      <c r="A356" t="s">
        <v>808</v>
      </c>
      <c r="B356" t="s">
        <v>809</v>
      </c>
      <c r="C356" t="s">
        <v>58</v>
      </c>
      <c r="D356">
        <v>0.7</v>
      </c>
      <c r="E356">
        <v>0.7</v>
      </c>
      <c r="F356">
        <v>0</v>
      </c>
      <c r="G356">
        <v>-1.3</v>
      </c>
      <c r="H356">
        <v>0</v>
      </c>
      <c r="I356" t="s">
        <v>59</v>
      </c>
      <c r="J356" t="s">
        <v>59</v>
      </c>
      <c r="K356" t="s">
        <v>59</v>
      </c>
    </row>
    <row r="357" spans="1:12" x14ac:dyDescent="0.25">
      <c r="A357" t="s">
        <v>810</v>
      </c>
      <c r="B357" t="s">
        <v>811</v>
      </c>
      <c r="C357" t="s">
        <v>55</v>
      </c>
      <c r="D357">
        <v>3316.6</v>
      </c>
      <c r="E357">
        <v>3421.1</v>
      </c>
      <c r="F357">
        <v>104.5</v>
      </c>
      <c r="G357">
        <v>3.2</v>
      </c>
      <c r="H357">
        <v>0.3</v>
      </c>
      <c r="I357">
        <v>268.60000000000002</v>
      </c>
      <c r="J357">
        <v>317.60000000000002</v>
      </c>
      <c r="K357">
        <v>1.7</v>
      </c>
      <c r="L357" t="s">
        <v>755</v>
      </c>
    </row>
    <row r="358" spans="1:12" x14ac:dyDescent="0.25">
      <c r="A358" t="s">
        <v>812</v>
      </c>
      <c r="B358" t="s">
        <v>813</v>
      </c>
      <c r="C358" t="s">
        <v>58</v>
      </c>
      <c r="D358">
        <v>1492.4</v>
      </c>
      <c r="E358">
        <v>1448.1</v>
      </c>
      <c r="F358">
        <v>-44.3</v>
      </c>
      <c r="G358">
        <v>-3</v>
      </c>
      <c r="H358">
        <v>-0.3</v>
      </c>
      <c r="I358" t="s">
        <v>59</v>
      </c>
      <c r="J358" t="s">
        <v>59</v>
      </c>
      <c r="K358" t="s">
        <v>59</v>
      </c>
    </row>
    <row r="359" spans="1:12" x14ac:dyDescent="0.25">
      <c r="A359" t="s">
        <v>814</v>
      </c>
      <c r="B359" t="s">
        <v>815</v>
      </c>
      <c r="C359" t="s">
        <v>58</v>
      </c>
      <c r="D359">
        <v>988.5</v>
      </c>
      <c r="E359">
        <v>1092.4000000000001</v>
      </c>
      <c r="F359">
        <v>103.9</v>
      </c>
      <c r="G359">
        <v>10.5</v>
      </c>
      <c r="H359">
        <v>1</v>
      </c>
      <c r="I359" t="s">
        <v>59</v>
      </c>
      <c r="J359" t="s">
        <v>59</v>
      </c>
      <c r="K359" t="s">
        <v>59</v>
      </c>
    </row>
    <row r="360" spans="1:12" x14ac:dyDescent="0.25">
      <c r="A360" t="s">
        <v>816</v>
      </c>
      <c r="B360" t="s">
        <v>817</v>
      </c>
      <c r="C360" t="s">
        <v>55</v>
      </c>
      <c r="D360">
        <v>669.9</v>
      </c>
      <c r="E360">
        <v>710.7</v>
      </c>
      <c r="F360">
        <v>40.799999999999997</v>
      </c>
      <c r="G360">
        <v>6.1</v>
      </c>
      <c r="H360">
        <v>0.6</v>
      </c>
      <c r="I360" t="s">
        <v>59</v>
      </c>
      <c r="J360" t="s">
        <v>59</v>
      </c>
      <c r="K360" t="s">
        <v>59</v>
      </c>
    </row>
    <row r="361" spans="1:12" x14ac:dyDescent="0.25">
      <c r="A361" t="s">
        <v>818</v>
      </c>
      <c r="B361" t="s">
        <v>819</v>
      </c>
      <c r="C361" t="s">
        <v>58</v>
      </c>
      <c r="D361">
        <v>405.6</v>
      </c>
      <c r="E361">
        <v>418.3</v>
      </c>
      <c r="F361">
        <v>12.7</v>
      </c>
      <c r="G361">
        <v>3.1</v>
      </c>
      <c r="H361">
        <v>0.3</v>
      </c>
      <c r="I361" t="s">
        <v>59</v>
      </c>
      <c r="J361" t="s">
        <v>59</v>
      </c>
      <c r="K361" t="s">
        <v>59</v>
      </c>
    </row>
    <row r="362" spans="1:12" x14ac:dyDescent="0.25">
      <c r="A362" t="s">
        <v>820</v>
      </c>
      <c r="B362" t="s">
        <v>821</v>
      </c>
      <c r="C362" t="s">
        <v>58</v>
      </c>
      <c r="D362">
        <v>264.3</v>
      </c>
      <c r="E362">
        <v>292.39999999999998</v>
      </c>
      <c r="F362">
        <v>28.1</v>
      </c>
      <c r="G362">
        <v>10.6</v>
      </c>
      <c r="H362">
        <v>1</v>
      </c>
      <c r="I362" t="s">
        <v>59</v>
      </c>
      <c r="J362" t="s">
        <v>59</v>
      </c>
      <c r="K362" t="s">
        <v>59</v>
      </c>
    </row>
    <row r="363" spans="1:12" x14ac:dyDescent="0.25">
      <c r="A363" t="s">
        <v>822</v>
      </c>
      <c r="B363" t="s">
        <v>823</v>
      </c>
      <c r="C363" t="s">
        <v>58</v>
      </c>
      <c r="D363">
        <v>165.8</v>
      </c>
      <c r="E363">
        <v>170</v>
      </c>
      <c r="F363">
        <v>4.2</v>
      </c>
      <c r="G363">
        <v>2.5</v>
      </c>
      <c r="H363">
        <v>0.3</v>
      </c>
      <c r="I363" t="s">
        <v>59</v>
      </c>
      <c r="J363" t="s">
        <v>59</v>
      </c>
      <c r="K363" t="s">
        <v>59</v>
      </c>
    </row>
    <row r="364" spans="1:12" x14ac:dyDescent="0.25">
      <c r="A364" t="s">
        <v>824</v>
      </c>
      <c r="B364" t="s">
        <v>825</v>
      </c>
      <c r="C364" t="s">
        <v>55</v>
      </c>
      <c r="D364">
        <v>4874.8</v>
      </c>
      <c r="E364">
        <v>5420.4</v>
      </c>
      <c r="F364">
        <v>545.6</v>
      </c>
      <c r="G364">
        <v>11.2</v>
      </c>
      <c r="H364">
        <v>1.1000000000000001</v>
      </c>
      <c r="I364">
        <v>275.10000000000002</v>
      </c>
      <c r="J364">
        <v>359.2</v>
      </c>
      <c r="K364">
        <v>2.7</v>
      </c>
      <c r="L364" t="s">
        <v>755</v>
      </c>
    </row>
    <row r="365" spans="1:12" x14ac:dyDescent="0.25">
      <c r="A365" t="s">
        <v>826</v>
      </c>
      <c r="B365" t="s">
        <v>827</v>
      </c>
      <c r="C365" t="s">
        <v>55</v>
      </c>
      <c r="D365">
        <v>3264.5</v>
      </c>
      <c r="E365">
        <v>3829.7</v>
      </c>
      <c r="F365">
        <v>565.20000000000005</v>
      </c>
      <c r="G365">
        <v>17.3</v>
      </c>
      <c r="H365">
        <v>1.6</v>
      </c>
      <c r="I365">
        <v>150.9</v>
      </c>
      <c r="J365">
        <v>222.4</v>
      </c>
      <c r="K365">
        <v>4</v>
      </c>
    </row>
    <row r="366" spans="1:12" x14ac:dyDescent="0.25">
      <c r="A366" t="s">
        <v>828</v>
      </c>
      <c r="B366" t="s">
        <v>829</v>
      </c>
      <c r="C366" t="s">
        <v>58</v>
      </c>
      <c r="D366">
        <v>2512.3000000000002</v>
      </c>
      <c r="E366">
        <v>3040.8</v>
      </c>
      <c r="F366">
        <v>528.5</v>
      </c>
      <c r="G366">
        <v>21</v>
      </c>
      <c r="H366">
        <v>1.9</v>
      </c>
      <c r="I366" t="s">
        <v>59</v>
      </c>
      <c r="J366" t="s">
        <v>59</v>
      </c>
      <c r="K366" t="s">
        <v>59</v>
      </c>
    </row>
    <row r="367" spans="1:12" x14ac:dyDescent="0.25">
      <c r="A367" t="s">
        <v>830</v>
      </c>
      <c r="B367" t="s">
        <v>831</v>
      </c>
      <c r="C367" t="s">
        <v>55</v>
      </c>
      <c r="D367">
        <v>518.4</v>
      </c>
      <c r="E367">
        <v>505.1</v>
      </c>
      <c r="F367">
        <v>-13.3</v>
      </c>
      <c r="G367">
        <v>-2.6</v>
      </c>
      <c r="H367">
        <v>-0.3</v>
      </c>
      <c r="I367">
        <v>58.9</v>
      </c>
      <c r="J367">
        <v>69.400000000000006</v>
      </c>
      <c r="K367">
        <v>1.7</v>
      </c>
    </row>
    <row r="368" spans="1:12" x14ac:dyDescent="0.25">
      <c r="A368" t="s">
        <v>832</v>
      </c>
      <c r="B368" t="s">
        <v>833</v>
      </c>
      <c r="C368" t="s">
        <v>58</v>
      </c>
      <c r="D368">
        <v>233.3</v>
      </c>
      <c r="E368">
        <v>252.5</v>
      </c>
      <c r="F368">
        <v>19.2</v>
      </c>
      <c r="G368">
        <v>8.1999999999999993</v>
      </c>
      <c r="H368">
        <v>0.8</v>
      </c>
      <c r="I368" t="s">
        <v>59</v>
      </c>
      <c r="J368" t="s">
        <v>59</v>
      </c>
      <c r="K368" t="s">
        <v>59</v>
      </c>
    </row>
    <row r="369" spans="1:12" x14ac:dyDescent="0.25">
      <c r="A369" t="s">
        <v>834</v>
      </c>
      <c r="B369" t="s">
        <v>835</v>
      </c>
      <c r="C369" t="s">
        <v>58</v>
      </c>
      <c r="D369">
        <v>285.10000000000002</v>
      </c>
      <c r="E369">
        <v>252.5</v>
      </c>
      <c r="F369">
        <v>-32.6</v>
      </c>
      <c r="G369">
        <v>-11.4</v>
      </c>
      <c r="H369">
        <v>-1.2</v>
      </c>
      <c r="I369" t="s">
        <v>59</v>
      </c>
      <c r="J369" t="s">
        <v>59</v>
      </c>
      <c r="K369" t="s">
        <v>59</v>
      </c>
    </row>
    <row r="370" spans="1:12" x14ac:dyDescent="0.25">
      <c r="A370" t="s">
        <v>836</v>
      </c>
      <c r="B370" t="s">
        <v>837</v>
      </c>
      <c r="C370" t="s">
        <v>58</v>
      </c>
      <c r="D370">
        <v>1091.9000000000001</v>
      </c>
      <c r="E370">
        <v>1085.5999999999999</v>
      </c>
      <c r="F370">
        <v>-6.3</v>
      </c>
      <c r="G370">
        <v>-0.6</v>
      </c>
      <c r="H370">
        <v>-0.1</v>
      </c>
      <c r="I370">
        <v>65.400000000000006</v>
      </c>
      <c r="J370">
        <v>66.400000000000006</v>
      </c>
      <c r="K370">
        <v>0.2</v>
      </c>
    </row>
    <row r="371" spans="1:12" x14ac:dyDescent="0.25">
      <c r="A371" t="s">
        <v>838</v>
      </c>
      <c r="B371" t="s">
        <v>839</v>
      </c>
      <c r="C371" t="s">
        <v>55</v>
      </c>
      <c r="D371">
        <v>2622.4</v>
      </c>
      <c r="E371">
        <v>2755</v>
      </c>
      <c r="F371">
        <v>132.6</v>
      </c>
      <c r="G371">
        <v>5.0999999999999996</v>
      </c>
      <c r="H371">
        <v>0.5</v>
      </c>
      <c r="I371">
        <v>439.4</v>
      </c>
      <c r="J371">
        <v>545.70000000000005</v>
      </c>
      <c r="K371">
        <v>2.2000000000000002</v>
      </c>
      <c r="L371" t="s">
        <v>840</v>
      </c>
    </row>
    <row r="372" spans="1:12" x14ac:dyDescent="0.25">
      <c r="A372" t="s">
        <v>841</v>
      </c>
      <c r="B372" t="s">
        <v>842</v>
      </c>
      <c r="C372" t="s">
        <v>55</v>
      </c>
      <c r="D372">
        <v>590.20000000000005</v>
      </c>
      <c r="E372">
        <v>618.1</v>
      </c>
      <c r="F372">
        <v>27.9</v>
      </c>
      <c r="G372">
        <v>4.7</v>
      </c>
      <c r="H372">
        <v>0.5</v>
      </c>
      <c r="I372">
        <v>231.5</v>
      </c>
      <c r="J372">
        <v>288.10000000000002</v>
      </c>
      <c r="K372">
        <v>2.2000000000000002</v>
      </c>
    </row>
    <row r="373" spans="1:12" x14ac:dyDescent="0.25">
      <c r="A373" t="s">
        <v>843</v>
      </c>
      <c r="B373" t="s">
        <v>844</v>
      </c>
      <c r="C373" t="s">
        <v>55</v>
      </c>
      <c r="D373">
        <v>142.1</v>
      </c>
      <c r="E373">
        <v>147.19999999999999</v>
      </c>
      <c r="F373">
        <v>5.0999999999999996</v>
      </c>
      <c r="G373">
        <v>3.6</v>
      </c>
      <c r="H373">
        <v>0.4</v>
      </c>
      <c r="I373">
        <v>29.8</v>
      </c>
      <c r="J373">
        <v>36.9</v>
      </c>
      <c r="K373">
        <v>2.1</v>
      </c>
    </row>
    <row r="374" spans="1:12" x14ac:dyDescent="0.25">
      <c r="A374" t="s">
        <v>845</v>
      </c>
      <c r="B374" t="s">
        <v>846</v>
      </c>
      <c r="C374" t="s">
        <v>58</v>
      </c>
      <c r="D374">
        <v>76.3</v>
      </c>
      <c r="E374">
        <v>78.900000000000006</v>
      </c>
      <c r="F374">
        <v>2.6</v>
      </c>
      <c r="G374">
        <v>3.4</v>
      </c>
      <c r="H374">
        <v>0.3</v>
      </c>
      <c r="I374" t="s">
        <v>59</v>
      </c>
      <c r="J374" t="s">
        <v>59</v>
      </c>
      <c r="K374" t="s">
        <v>59</v>
      </c>
    </row>
    <row r="375" spans="1:12" x14ac:dyDescent="0.25">
      <c r="A375" t="s">
        <v>847</v>
      </c>
      <c r="B375" t="s">
        <v>848</v>
      </c>
      <c r="C375" t="s">
        <v>58</v>
      </c>
      <c r="D375">
        <v>171.5</v>
      </c>
      <c r="E375">
        <v>179.6</v>
      </c>
      <c r="F375">
        <v>8.1</v>
      </c>
      <c r="G375">
        <v>4.7</v>
      </c>
      <c r="H375">
        <v>0.5</v>
      </c>
      <c r="I375">
        <v>63.9</v>
      </c>
      <c r="J375">
        <v>78.400000000000006</v>
      </c>
      <c r="K375">
        <v>2.1</v>
      </c>
    </row>
    <row r="376" spans="1:12" x14ac:dyDescent="0.25">
      <c r="A376" t="s">
        <v>849</v>
      </c>
      <c r="B376" t="s">
        <v>850</v>
      </c>
      <c r="C376" t="s">
        <v>55</v>
      </c>
      <c r="D376">
        <v>214.4</v>
      </c>
      <c r="E376">
        <v>230.1</v>
      </c>
      <c r="F376">
        <v>15.7</v>
      </c>
      <c r="G376">
        <v>7.3</v>
      </c>
      <c r="H376">
        <v>0.7</v>
      </c>
      <c r="I376">
        <v>83.4</v>
      </c>
      <c r="J376">
        <v>103.6</v>
      </c>
      <c r="K376">
        <v>2.2000000000000002</v>
      </c>
    </row>
    <row r="377" spans="1:12" x14ac:dyDescent="0.25">
      <c r="A377" t="s">
        <v>851</v>
      </c>
      <c r="B377" t="s">
        <v>852</v>
      </c>
      <c r="C377" t="s">
        <v>58</v>
      </c>
      <c r="D377">
        <v>183.3</v>
      </c>
      <c r="E377">
        <v>195.8</v>
      </c>
      <c r="F377">
        <v>12.5</v>
      </c>
      <c r="G377">
        <v>6.8</v>
      </c>
      <c r="H377">
        <v>0.7</v>
      </c>
      <c r="I377" t="s">
        <v>59</v>
      </c>
      <c r="J377" t="s">
        <v>59</v>
      </c>
      <c r="K377" t="s">
        <v>59</v>
      </c>
    </row>
    <row r="378" spans="1:12" x14ac:dyDescent="0.25">
      <c r="A378" t="s">
        <v>853</v>
      </c>
      <c r="B378" t="s">
        <v>854</v>
      </c>
      <c r="C378" t="s">
        <v>58</v>
      </c>
      <c r="D378">
        <v>31.1</v>
      </c>
      <c r="E378">
        <v>34.299999999999997</v>
      </c>
      <c r="F378">
        <v>3.2</v>
      </c>
      <c r="G378">
        <v>10.3</v>
      </c>
      <c r="H378">
        <v>1</v>
      </c>
      <c r="I378" t="s">
        <v>59</v>
      </c>
      <c r="J378" t="s">
        <v>59</v>
      </c>
      <c r="K378" t="s">
        <v>59</v>
      </c>
    </row>
    <row r="379" spans="1:12" x14ac:dyDescent="0.25">
      <c r="A379" t="s">
        <v>855</v>
      </c>
      <c r="B379" t="s">
        <v>856</v>
      </c>
      <c r="C379" t="s">
        <v>58</v>
      </c>
      <c r="D379">
        <v>62.2</v>
      </c>
      <c r="E379">
        <v>61.2</v>
      </c>
      <c r="F379">
        <v>-1</v>
      </c>
      <c r="G379">
        <v>-1.5</v>
      </c>
      <c r="H379">
        <v>-0.2</v>
      </c>
      <c r="I379">
        <v>55.2</v>
      </c>
      <c r="J379">
        <v>70.2</v>
      </c>
      <c r="K379">
        <v>2.4</v>
      </c>
    </row>
    <row r="380" spans="1:12" x14ac:dyDescent="0.25">
      <c r="A380" t="s">
        <v>857</v>
      </c>
      <c r="B380" t="s">
        <v>858</v>
      </c>
      <c r="C380" t="s">
        <v>58</v>
      </c>
      <c r="D380">
        <v>179</v>
      </c>
      <c r="E380">
        <v>194</v>
      </c>
      <c r="F380">
        <v>15</v>
      </c>
      <c r="G380">
        <v>8.4</v>
      </c>
      <c r="H380">
        <v>0.8</v>
      </c>
      <c r="I380">
        <v>20.6</v>
      </c>
      <c r="J380">
        <v>27.2</v>
      </c>
      <c r="K380">
        <v>2.9</v>
      </c>
    </row>
    <row r="381" spans="1:12" x14ac:dyDescent="0.25">
      <c r="A381" t="s">
        <v>859</v>
      </c>
      <c r="B381" t="s">
        <v>860</v>
      </c>
      <c r="C381" t="s">
        <v>55</v>
      </c>
      <c r="D381">
        <v>1853.2</v>
      </c>
      <c r="E381">
        <v>1942.9</v>
      </c>
      <c r="F381">
        <v>89.7</v>
      </c>
      <c r="G381">
        <v>4.8</v>
      </c>
      <c r="H381">
        <v>0.5</v>
      </c>
      <c r="I381">
        <v>188.3</v>
      </c>
      <c r="J381">
        <v>231.6</v>
      </c>
      <c r="K381">
        <v>2.1</v>
      </c>
    </row>
    <row r="382" spans="1:12" x14ac:dyDescent="0.25">
      <c r="A382" t="s">
        <v>861</v>
      </c>
      <c r="B382" t="s">
        <v>862</v>
      </c>
      <c r="C382" t="s">
        <v>58</v>
      </c>
      <c r="D382">
        <v>232.7</v>
      </c>
      <c r="E382">
        <v>243</v>
      </c>
      <c r="F382">
        <v>10.3</v>
      </c>
      <c r="G382">
        <v>4.4000000000000004</v>
      </c>
      <c r="H382">
        <v>0.4</v>
      </c>
      <c r="I382">
        <v>30.3</v>
      </c>
      <c r="J382">
        <v>37.799999999999997</v>
      </c>
      <c r="K382">
        <v>2.2000000000000002</v>
      </c>
    </row>
    <row r="383" spans="1:12" x14ac:dyDescent="0.25">
      <c r="A383" t="s">
        <v>863</v>
      </c>
      <c r="B383" t="s">
        <v>864</v>
      </c>
      <c r="C383" t="s">
        <v>58</v>
      </c>
      <c r="D383">
        <v>123.3</v>
      </c>
      <c r="E383">
        <v>104.2</v>
      </c>
      <c r="F383">
        <v>-19.100000000000001</v>
      </c>
      <c r="G383">
        <v>-15.5</v>
      </c>
      <c r="H383">
        <v>-1.7</v>
      </c>
      <c r="I383">
        <v>45.3</v>
      </c>
      <c r="J383">
        <v>53.1</v>
      </c>
      <c r="K383">
        <v>1.6</v>
      </c>
    </row>
    <row r="384" spans="1:12" x14ac:dyDescent="0.25">
      <c r="A384" t="s">
        <v>865</v>
      </c>
      <c r="B384" t="s">
        <v>866</v>
      </c>
      <c r="C384" t="s">
        <v>55</v>
      </c>
      <c r="D384">
        <v>1497.2</v>
      </c>
      <c r="E384">
        <v>1595.8</v>
      </c>
      <c r="F384">
        <v>98.6</v>
      </c>
      <c r="G384">
        <v>6.6</v>
      </c>
      <c r="H384">
        <v>0.6</v>
      </c>
      <c r="I384">
        <v>112.9</v>
      </c>
      <c r="J384">
        <v>140.9</v>
      </c>
      <c r="K384">
        <v>2.2000000000000002</v>
      </c>
    </row>
    <row r="385" spans="1:12" x14ac:dyDescent="0.25">
      <c r="A385" t="s">
        <v>867</v>
      </c>
      <c r="B385" t="s">
        <v>868</v>
      </c>
      <c r="C385" t="s">
        <v>58</v>
      </c>
      <c r="D385">
        <v>652</v>
      </c>
      <c r="E385">
        <v>718.1</v>
      </c>
      <c r="F385">
        <v>66.099999999999994</v>
      </c>
      <c r="G385">
        <v>10.1</v>
      </c>
      <c r="H385">
        <v>1</v>
      </c>
      <c r="I385" t="s">
        <v>59</v>
      </c>
      <c r="J385" t="s">
        <v>59</v>
      </c>
      <c r="K385" t="s">
        <v>59</v>
      </c>
    </row>
    <row r="386" spans="1:12" x14ac:dyDescent="0.25">
      <c r="A386" t="s">
        <v>869</v>
      </c>
      <c r="B386" t="s">
        <v>870</v>
      </c>
      <c r="C386" t="s">
        <v>55</v>
      </c>
      <c r="D386">
        <v>14195.8</v>
      </c>
      <c r="E386">
        <v>14749.4</v>
      </c>
      <c r="F386">
        <v>553.6</v>
      </c>
      <c r="G386">
        <v>3.9</v>
      </c>
      <c r="H386">
        <v>0.4</v>
      </c>
      <c r="I386">
        <v>1303.7</v>
      </c>
      <c r="J386">
        <v>1639.9</v>
      </c>
      <c r="K386">
        <v>2.2999999999999998</v>
      </c>
      <c r="L386" t="s">
        <v>871</v>
      </c>
    </row>
    <row r="387" spans="1:12" x14ac:dyDescent="0.25">
      <c r="A387" t="s">
        <v>872</v>
      </c>
      <c r="B387" t="s">
        <v>873</v>
      </c>
      <c r="C387" t="s">
        <v>55</v>
      </c>
      <c r="D387">
        <v>1934.9</v>
      </c>
      <c r="E387">
        <v>2019.8</v>
      </c>
      <c r="F387">
        <v>84.9</v>
      </c>
      <c r="G387">
        <v>4.4000000000000004</v>
      </c>
      <c r="H387">
        <v>0.4</v>
      </c>
      <c r="I387">
        <v>309.10000000000002</v>
      </c>
      <c r="J387">
        <v>411.1</v>
      </c>
      <c r="K387">
        <v>2.9</v>
      </c>
    </row>
    <row r="388" spans="1:12" x14ac:dyDescent="0.25">
      <c r="A388" t="s">
        <v>874</v>
      </c>
      <c r="B388" t="s">
        <v>875</v>
      </c>
      <c r="C388" t="s">
        <v>55</v>
      </c>
      <c r="D388">
        <v>1851.3</v>
      </c>
      <c r="E388">
        <v>1935.7</v>
      </c>
      <c r="F388">
        <v>84.3</v>
      </c>
      <c r="G388">
        <v>4.5999999999999996</v>
      </c>
      <c r="H388">
        <v>0.4</v>
      </c>
      <c r="I388" t="s">
        <v>59</v>
      </c>
      <c r="J388" t="s">
        <v>59</v>
      </c>
      <c r="K388" t="s">
        <v>59</v>
      </c>
    </row>
    <row r="389" spans="1:12" x14ac:dyDescent="0.25">
      <c r="A389" t="s">
        <v>876</v>
      </c>
      <c r="B389" t="s">
        <v>877</v>
      </c>
      <c r="C389" t="s">
        <v>58</v>
      </c>
      <c r="D389">
        <v>252.8</v>
      </c>
      <c r="E389">
        <v>259.3</v>
      </c>
      <c r="F389">
        <v>6.5</v>
      </c>
      <c r="G389">
        <v>2.6</v>
      </c>
      <c r="H389">
        <v>0.3</v>
      </c>
      <c r="I389" t="s">
        <v>59</v>
      </c>
      <c r="J389" t="s">
        <v>59</v>
      </c>
      <c r="K389" t="s">
        <v>59</v>
      </c>
    </row>
    <row r="390" spans="1:12" x14ac:dyDescent="0.25">
      <c r="A390" t="s">
        <v>878</v>
      </c>
      <c r="B390" t="s">
        <v>879</v>
      </c>
      <c r="C390" t="s">
        <v>58</v>
      </c>
      <c r="D390">
        <v>73.2</v>
      </c>
      <c r="E390">
        <v>73.7</v>
      </c>
      <c r="F390">
        <v>0.5</v>
      </c>
      <c r="G390">
        <v>0.7</v>
      </c>
      <c r="H390">
        <v>0.1</v>
      </c>
      <c r="I390" t="s">
        <v>59</v>
      </c>
      <c r="J390" t="s">
        <v>59</v>
      </c>
      <c r="K390" t="s">
        <v>59</v>
      </c>
    </row>
    <row r="391" spans="1:12" x14ac:dyDescent="0.25">
      <c r="A391" t="s">
        <v>880</v>
      </c>
      <c r="B391" t="s">
        <v>881</v>
      </c>
      <c r="C391" t="s">
        <v>58</v>
      </c>
      <c r="D391">
        <v>10.4</v>
      </c>
      <c r="E391">
        <v>10.4</v>
      </c>
      <c r="F391">
        <v>0</v>
      </c>
      <c r="G391">
        <v>0.5</v>
      </c>
      <c r="H391">
        <v>0</v>
      </c>
      <c r="I391" t="s">
        <v>59</v>
      </c>
      <c r="J391" t="s">
        <v>59</v>
      </c>
      <c r="K391" t="s">
        <v>59</v>
      </c>
    </row>
    <row r="392" spans="1:12" x14ac:dyDescent="0.25">
      <c r="A392" t="s">
        <v>882</v>
      </c>
      <c r="B392" t="s">
        <v>883</v>
      </c>
      <c r="C392" t="s">
        <v>55</v>
      </c>
      <c r="D392">
        <v>12260.9</v>
      </c>
      <c r="E392">
        <v>12729.6</v>
      </c>
      <c r="F392">
        <v>468.7</v>
      </c>
      <c r="G392">
        <v>3.8</v>
      </c>
      <c r="H392">
        <v>0.4</v>
      </c>
      <c r="I392">
        <v>994.2</v>
      </c>
      <c r="J392">
        <v>1230.0999999999999</v>
      </c>
      <c r="K392">
        <v>2.2000000000000002</v>
      </c>
    </row>
    <row r="393" spans="1:12" x14ac:dyDescent="0.25">
      <c r="A393" t="s">
        <v>884</v>
      </c>
      <c r="B393" t="s">
        <v>885</v>
      </c>
      <c r="C393" t="s">
        <v>58</v>
      </c>
      <c r="D393">
        <v>5385.1</v>
      </c>
      <c r="E393">
        <v>5517.7</v>
      </c>
      <c r="F393">
        <v>132.6</v>
      </c>
      <c r="G393">
        <v>2.5</v>
      </c>
      <c r="H393">
        <v>0.2</v>
      </c>
      <c r="I393">
        <v>452.7</v>
      </c>
      <c r="J393">
        <v>550.20000000000005</v>
      </c>
      <c r="K393">
        <v>2</v>
      </c>
    </row>
    <row r="394" spans="1:12" x14ac:dyDescent="0.25">
      <c r="A394" t="s">
        <v>886</v>
      </c>
      <c r="B394" t="s">
        <v>887</v>
      </c>
      <c r="C394" t="s">
        <v>58</v>
      </c>
      <c r="D394">
        <v>778.3</v>
      </c>
      <c r="E394">
        <v>822.1</v>
      </c>
      <c r="F394">
        <v>43.8</v>
      </c>
      <c r="G394">
        <v>5.6</v>
      </c>
      <c r="H394">
        <v>0.5</v>
      </c>
      <c r="I394" t="s">
        <v>59</v>
      </c>
      <c r="J394" t="s">
        <v>59</v>
      </c>
      <c r="K394" t="s">
        <v>59</v>
      </c>
    </row>
    <row r="395" spans="1:12" x14ac:dyDescent="0.25">
      <c r="A395" t="s">
        <v>888</v>
      </c>
      <c r="B395" t="s">
        <v>889</v>
      </c>
      <c r="C395" t="s">
        <v>58</v>
      </c>
      <c r="D395">
        <v>421.2</v>
      </c>
      <c r="E395">
        <v>439.9</v>
      </c>
      <c r="F395">
        <v>18.7</v>
      </c>
      <c r="G395">
        <v>4.4000000000000004</v>
      </c>
      <c r="H395">
        <v>0.4</v>
      </c>
      <c r="I395" t="s">
        <v>59</v>
      </c>
      <c r="J395" t="s">
        <v>59</v>
      </c>
      <c r="K395" t="s">
        <v>59</v>
      </c>
    </row>
    <row r="396" spans="1:12" x14ac:dyDescent="0.25">
      <c r="A396" t="s">
        <v>890</v>
      </c>
      <c r="B396" t="s">
        <v>891</v>
      </c>
      <c r="C396" t="s">
        <v>55</v>
      </c>
      <c r="D396">
        <v>6615.9</v>
      </c>
      <c r="E396">
        <v>6808.5</v>
      </c>
      <c r="F396">
        <v>192.5</v>
      </c>
      <c r="G396">
        <v>2.9</v>
      </c>
      <c r="H396">
        <v>0.3</v>
      </c>
      <c r="I396">
        <v>786.2</v>
      </c>
      <c r="J396">
        <v>962.5</v>
      </c>
      <c r="K396">
        <v>2</v>
      </c>
    </row>
    <row r="397" spans="1:12" x14ac:dyDescent="0.25">
      <c r="A397" t="s">
        <v>892</v>
      </c>
      <c r="B397" t="s">
        <v>893</v>
      </c>
      <c r="C397" t="s">
        <v>55</v>
      </c>
      <c r="D397">
        <v>1466.8</v>
      </c>
      <c r="E397">
        <v>1512</v>
      </c>
      <c r="F397">
        <v>45.2</v>
      </c>
      <c r="G397">
        <v>3.1</v>
      </c>
      <c r="H397">
        <v>0.3</v>
      </c>
      <c r="I397">
        <v>239.7</v>
      </c>
      <c r="J397">
        <v>287.3</v>
      </c>
      <c r="K397">
        <v>1.8</v>
      </c>
    </row>
    <row r="398" spans="1:12" x14ac:dyDescent="0.25">
      <c r="A398" t="s">
        <v>894</v>
      </c>
      <c r="B398" t="s">
        <v>895</v>
      </c>
      <c r="C398" t="s">
        <v>55</v>
      </c>
      <c r="D398">
        <v>1036</v>
      </c>
      <c r="E398">
        <v>1052</v>
      </c>
      <c r="F398">
        <v>16</v>
      </c>
      <c r="G398">
        <v>1.5</v>
      </c>
      <c r="H398">
        <v>0.2</v>
      </c>
      <c r="I398">
        <v>153.30000000000001</v>
      </c>
      <c r="J398">
        <v>183.5</v>
      </c>
      <c r="K398">
        <v>1.8</v>
      </c>
      <c r="L398" t="s">
        <v>359</v>
      </c>
    </row>
    <row r="399" spans="1:12" x14ac:dyDescent="0.25">
      <c r="A399" t="s">
        <v>896</v>
      </c>
      <c r="B399" t="s">
        <v>897</v>
      </c>
      <c r="C399" t="s">
        <v>58</v>
      </c>
      <c r="D399">
        <v>444</v>
      </c>
      <c r="E399">
        <v>450.3</v>
      </c>
      <c r="F399">
        <v>6.3</v>
      </c>
      <c r="G399">
        <v>1.4</v>
      </c>
      <c r="H399">
        <v>0.1</v>
      </c>
      <c r="I399" t="s">
        <v>59</v>
      </c>
      <c r="J399" t="s">
        <v>59</v>
      </c>
      <c r="K399" t="s">
        <v>59</v>
      </c>
    </row>
    <row r="400" spans="1:12" x14ac:dyDescent="0.25">
      <c r="A400" t="s">
        <v>898</v>
      </c>
      <c r="B400" t="s">
        <v>899</v>
      </c>
      <c r="C400" t="s">
        <v>58</v>
      </c>
      <c r="D400">
        <v>297.5</v>
      </c>
      <c r="E400">
        <v>305.10000000000002</v>
      </c>
      <c r="F400">
        <v>7.6</v>
      </c>
      <c r="G400">
        <v>2.6</v>
      </c>
      <c r="H400">
        <v>0.3</v>
      </c>
      <c r="I400" t="s">
        <v>59</v>
      </c>
      <c r="J400" t="s">
        <v>59</v>
      </c>
      <c r="K400" t="s">
        <v>59</v>
      </c>
    </row>
    <row r="401" spans="1:12" x14ac:dyDescent="0.25">
      <c r="A401" t="s">
        <v>900</v>
      </c>
      <c r="B401" t="s">
        <v>901</v>
      </c>
      <c r="C401" t="s">
        <v>58</v>
      </c>
      <c r="D401">
        <v>294.5</v>
      </c>
      <c r="E401">
        <v>296.7</v>
      </c>
      <c r="F401">
        <v>2.2000000000000002</v>
      </c>
      <c r="G401">
        <v>0.7</v>
      </c>
      <c r="H401">
        <v>0.1</v>
      </c>
      <c r="I401" t="s">
        <v>59</v>
      </c>
      <c r="J401" t="s">
        <v>59</v>
      </c>
      <c r="K401" t="s">
        <v>59</v>
      </c>
    </row>
    <row r="402" spans="1:12" x14ac:dyDescent="0.25">
      <c r="A402" t="s">
        <v>902</v>
      </c>
      <c r="B402" t="s">
        <v>903</v>
      </c>
      <c r="C402" t="s">
        <v>58</v>
      </c>
      <c r="D402">
        <v>104.7</v>
      </c>
      <c r="E402">
        <v>109.6</v>
      </c>
      <c r="F402">
        <v>4.9000000000000004</v>
      </c>
      <c r="G402">
        <v>4.7</v>
      </c>
      <c r="H402">
        <v>0.5</v>
      </c>
      <c r="I402">
        <v>19.899999999999999</v>
      </c>
      <c r="J402">
        <v>23.2</v>
      </c>
      <c r="K402">
        <v>1.5</v>
      </c>
      <c r="L402" t="s">
        <v>904</v>
      </c>
    </row>
    <row r="403" spans="1:12" x14ac:dyDescent="0.25">
      <c r="A403" t="s">
        <v>905</v>
      </c>
      <c r="B403" t="s">
        <v>906</v>
      </c>
      <c r="C403" t="s">
        <v>58</v>
      </c>
      <c r="D403">
        <v>243.6</v>
      </c>
      <c r="E403">
        <v>263</v>
      </c>
      <c r="F403">
        <v>19.399999999999999</v>
      </c>
      <c r="G403">
        <v>7.9</v>
      </c>
      <c r="H403">
        <v>0.8</v>
      </c>
      <c r="I403">
        <v>41.2</v>
      </c>
      <c r="J403">
        <v>49.2</v>
      </c>
      <c r="K403">
        <v>1.8</v>
      </c>
      <c r="L403" t="s">
        <v>344</v>
      </c>
    </row>
    <row r="404" spans="1:12" x14ac:dyDescent="0.25">
      <c r="A404" t="s">
        <v>907</v>
      </c>
      <c r="B404" t="s">
        <v>908</v>
      </c>
      <c r="C404" t="s">
        <v>58</v>
      </c>
      <c r="D404">
        <v>82.5</v>
      </c>
      <c r="E404">
        <v>87.4</v>
      </c>
      <c r="F404">
        <v>4.9000000000000004</v>
      </c>
      <c r="G404">
        <v>5.9</v>
      </c>
      <c r="H404">
        <v>0.6</v>
      </c>
      <c r="I404">
        <v>25.3</v>
      </c>
      <c r="J404">
        <v>31.2</v>
      </c>
      <c r="K404">
        <v>2.1</v>
      </c>
      <c r="L404" t="s">
        <v>904</v>
      </c>
    </row>
    <row r="405" spans="1:12" x14ac:dyDescent="0.25">
      <c r="A405" t="s">
        <v>909</v>
      </c>
      <c r="B405" t="s">
        <v>910</v>
      </c>
      <c r="C405" t="s">
        <v>55</v>
      </c>
      <c r="D405">
        <v>1589.2</v>
      </c>
      <c r="E405">
        <v>1706.1</v>
      </c>
      <c r="F405">
        <v>116.9</v>
      </c>
      <c r="G405">
        <v>7.4</v>
      </c>
      <c r="H405">
        <v>0.7</v>
      </c>
      <c r="I405">
        <v>238.8</v>
      </c>
      <c r="J405">
        <v>307.2</v>
      </c>
      <c r="K405">
        <v>2.5</v>
      </c>
      <c r="L405" t="s">
        <v>904</v>
      </c>
    </row>
    <row r="406" spans="1:12" x14ac:dyDescent="0.25">
      <c r="A406" t="s">
        <v>911</v>
      </c>
      <c r="B406" t="s">
        <v>912</v>
      </c>
      <c r="C406" t="s">
        <v>58</v>
      </c>
      <c r="D406">
        <v>766.9</v>
      </c>
      <c r="E406">
        <v>835.1</v>
      </c>
      <c r="F406">
        <v>68.2</v>
      </c>
      <c r="G406">
        <v>8.9</v>
      </c>
      <c r="H406">
        <v>0.9</v>
      </c>
      <c r="I406">
        <v>87.7</v>
      </c>
      <c r="J406">
        <v>117.8</v>
      </c>
      <c r="K406">
        <v>3</v>
      </c>
    </row>
    <row r="407" spans="1:12" x14ac:dyDescent="0.25">
      <c r="A407" t="s">
        <v>913</v>
      </c>
      <c r="B407" t="s">
        <v>914</v>
      </c>
      <c r="C407" t="s">
        <v>58</v>
      </c>
      <c r="D407">
        <v>136.4</v>
      </c>
      <c r="E407">
        <v>137.19999999999999</v>
      </c>
      <c r="F407">
        <v>0.8</v>
      </c>
      <c r="G407">
        <v>0.6</v>
      </c>
      <c r="H407">
        <v>0.1</v>
      </c>
      <c r="I407">
        <v>24.3</v>
      </c>
      <c r="J407">
        <v>26.6</v>
      </c>
      <c r="K407">
        <v>0.9</v>
      </c>
    </row>
    <row r="408" spans="1:12" x14ac:dyDescent="0.25">
      <c r="A408" t="s">
        <v>915</v>
      </c>
      <c r="B408" t="s">
        <v>916</v>
      </c>
      <c r="C408" t="s">
        <v>58</v>
      </c>
      <c r="D408">
        <v>261.60000000000002</v>
      </c>
      <c r="E408">
        <v>266.5</v>
      </c>
      <c r="F408">
        <v>4.9000000000000004</v>
      </c>
      <c r="G408">
        <v>1.9</v>
      </c>
      <c r="H408">
        <v>0.2</v>
      </c>
      <c r="I408">
        <v>29.4</v>
      </c>
      <c r="J408">
        <v>34.5</v>
      </c>
      <c r="K408">
        <v>1.6</v>
      </c>
    </row>
    <row r="409" spans="1:12" x14ac:dyDescent="0.25">
      <c r="A409" t="s">
        <v>917</v>
      </c>
      <c r="B409" t="s">
        <v>918</v>
      </c>
      <c r="C409" t="s">
        <v>58</v>
      </c>
      <c r="D409">
        <v>424.3</v>
      </c>
      <c r="E409">
        <v>467.3</v>
      </c>
      <c r="F409">
        <v>43</v>
      </c>
      <c r="G409">
        <v>10.1</v>
      </c>
      <c r="H409">
        <v>1</v>
      </c>
      <c r="I409">
        <v>97</v>
      </c>
      <c r="J409">
        <v>127.6</v>
      </c>
      <c r="K409">
        <v>2.8</v>
      </c>
    </row>
    <row r="410" spans="1:12" x14ac:dyDescent="0.25">
      <c r="A410" t="s">
        <v>919</v>
      </c>
      <c r="B410" t="s">
        <v>920</v>
      </c>
      <c r="C410" t="s">
        <v>55</v>
      </c>
      <c r="D410">
        <v>2909.5</v>
      </c>
      <c r="E410">
        <v>2937.3</v>
      </c>
      <c r="F410">
        <v>27.8</v>
      </c>
      <c r="G410">
        <v>1</v>
      </c>
      <c r="H410">
        <v>0.1</v>
      </c>
      <c r="I410">
        <v>289.89999999999998</v>
      </c>
      <c r="J410">
        <v>346.5</v>
      </c>
      <c r="K410">
        <v>1.8</v>
      </c>
      <c r="L410" t="s">
        <v>904</v>
      </c>
    </row>
    <row r="411" spans="1:12" x14ac:dyDescent="0.25">
      <c r="A411" t="s">
        <v>921</v>
      </c>
      <c r="B411" t="s">
        <v>922</v>
      </c>
      <c r="C411" t="s">
        <v>55</v>
      </c>
      <c r="D411">
        <v>488.5</v>
      </c>
      <c r="E411">
        <v>519.70000000000005</v>
      </c>
      <c r="F411">
        <v>31.2</v>
      </c>
      <c r="G411">
        <v>6.4</v>
      </c>
      <c r="H411">
        <v>0.6</v>
      </c>
      <c r="I411">
        <v>82.4</v>
      </c>
      <c r="J411">
        <v>109.4</v>
      </c>
      <c r="K411">
        <v>2.9</v>
      </c>
    </row>
    <row r="412" spans="1:12" x14ac:dyDescent="0.25">
      <c r="A412" t="s">
        <v>923</v>
      </c>
      <c r="B412" t="s">
        <v>924</v>
      </c>
      <c r="C412" t="s">
        <v>58</v>
      </c>
      <c r="D412">
        <v>203.7</v>
      </c>
      <c r="E412">
        <v>215.1</v>
      </c>
      <c r="F412">
        <v>11.4</v>
      </c>
      <c r="G412">
        <v>5.6</v>
      </c>
      <c r="H412">
        <v>0.5</v>
      </c>
      <c r="I412" t="s">
        <v>59</v>
      </c>
      <c r="J412" t="s">
        <v>59</v>
      </c>
      <c r="K412" t="s">
        <v>59</v>
      </c>
    </row>
    <row r="413" spans="1:12" x14ac:dyDescent="0.25">
      <c r="A413" t="s">
        <v>925</v>
      </c>
      <c r="B413" t="s">
        <v>926</v>
      </c>
      <c r="C413" t="s">
        <v>58</v>
      </c>
      <c r="D413">
        <v>284.8</v>
      </c>
      <c r="E413">
        <v>304.5</v>
      </c>
      <c r="F413">
        <v>19.7</v>
      </c>
      <c r="G413">
        <v>6.9</v>
      </c>
      <c r="H413">
        <v>0.7</v>
      </c>
      <c r="I413" t="s">
        <v>59</v>
      </c>
      <c r="J413" t="s">
        <v>59</v>
      </c>
      <c r="K413" t="s">
        <v>59</v>
      </c>
    </row>
    <row r="414" spans="1:12" x14ac:dyDescent="0.25">
      <c r="A414" t="s">
        <v>927</v>
      </c>
      <c r="B414" t="s">
        <v>928</v>
      </c>
      <c r="C414" t="s">
        <v>55</v>
      </c>
      <c r="D414">
        <v>847.6</v>
      </c>
      <c r="E414">
        <v>863.7</v>
      </c>
      <c r="F414">
        <v>16.100000000000001</v>
      </c>
      <c r="G414">
        <v>1.9</v>
      </c>
      <c r="H414">
        <v>0.2</v>
      </c>
      <c r="I414">
        <v>115.6</v>
      </c>
      <c r="J414">
        <v>141.5</v>
      </c>
      <c r="K414">
        <v>2</v>
      </c>
    </row>
    <row r="415" spans="1:12" x14ac:dyDescent="0.25">
      <c r="A415" t="s">
        <v>929</v>
      </c>
      <c r="B415" t="s">
        <v>930</v>
      </c>
      <c r="C415" t="s">
        <v>58</v>
      </c>
      <c r="D415">
        <v>364.4</v>
      </c>
      <c r="E415">
        <v>375.7</v>
      </c>
      <c r="F415">
        <v>11.3</v>
      </c>
      <c r="G415">
        <v>3.1</v>
      </c>
      <c r="H415">
        <v>0.3</v>
      </c>
      <c r="I415" t="s">
        <v>59</v>
      </c>
      <c r="J415" t="s">
        <v>59</v>
      </c>
      <c r="K415" t="s">
        <v>59</v>
      </c>
    </row>
    <row r="416" spans="1:12" x14ac:dyDescent="0.25">
      <c r="A416" t="s">
        <v>931</v>
      </c>
      <c r="B416" t="s">
        <v>932</v>
      </c>
      <c r="C416" t="s">
        <v>55</v>
      </c>
      <c r="D416">
        <v>483.2</v>
      </c>
      <c r="E416">
        <v>488</v>
      </c>
      <c r="F416">
        <v>4.8</v>
      </c>
      <c r="G416">
        <v>1</v>
      </c>
      <c r="H416">
        <v>0.1</v>
      </c>
      <c r="I416" t="s">
        <v>59</v>
      </c>
      <c r="J416" t="s">
        <v>59</v>
      </c>
      <c r="K416" t="s">
        <v>59</v>
      </c>
    </row>
    <row r="417" spans="1:12" x14ac:dyDescent="0.25">
      <c r="A417" t="s">
        <v>933</v>
      </c>
      <c r="B417" t="s">
        <v>934</v>
      </c>
      <c r="C417" t="s">
        <v>58</v>
      </c>
      <c r="D417">
        <v>107.2</v>
      </c>
      <c r="E417">
        <v>103.6</v>
      </c>
      <c r="F417">
        <v>-3.6</v>
      </c>
      <c r="G417">
        <v>-3.3</v>
      </c>
      <c r="H417">
        <v>-0.3</v>
      </c>
      <c r="I417" t="s">
        <v>59</v>
      </c>
      <c r="J417" t="s">
        <v>59</v>
      </c>
      <c r="K417" t="s">
        <v>59</v>
      </c>
    </row>
    <row r="418" spans="1:12" x14ac:dyDescent="0.25">
      <c r="A418" t="s">
        <v>935</v>
      </c>
      <c r="B418" t="s">
        <v>936</v>
      </c>
      <c r="C418" t="s">
        <v>58</v>
      </c>
      <c r="D418">
        <v>650.4</v>
      </c>
      <c r="E418">
        <v>653</v>
      </c>
      <c r="F418">
        <v>2.6</v>
      </c>
      <c r="G418">
        <v>0.4</v>
      </c>
      <c r="H418">
        <v>0</v>
      </c>
      <c r="I418">
        <v>19.2</v>
      </c>
      <c r="J418">
        <v>23</v>
      </c>
      <c r="K418">
        <v>1.8</v>
      </c>
      <c r="L418" t="s">
        <v>937</v>
      </c>
    </row>
    <row r="419" spans="1:12" x14ac:dyDescent="0.25">
      <c r="A419" t="s">
        <v>938</v>
      </c>
      <c r="B419" t="s">
        <v>939</v>
      </c>
      <c r="C419" t="s">
        <v>55</v>
      </c>
      <c r="D419">
        <v>11468</v>
      </c>
      <c r="E419">
        <v>11453.9</v>
      </c>
      <c r="F419">
        <v>-14.1</v>
      </c>
      <c r="G419">
        <v>-0.1</v>
      </c>
      <c r="H419">
        <v>0</v>
      </c>
      <c r="I419" t="s">
        <v>59</v>
      </c>
      <c r="J419" t="s">
        <v>59</v>
      </c>
      <c r="K419" t="s">
        <v>59</v>
      </c>
    </row>
    <row r="420" spans="1:12" x14ac:dyDescent="0.25">
      <c r="A420" t="s">
        <v>940</v>
      </c>
      <c r="B420" t="s">
        <v>941</v>
      </c>
      <c r="C420" t="s">
        <v>55</v>
      </c>
      <c r="D420">
        <v>2999.5</v>
      </c>
      <c r="E420">
        <v>2862.9</v>
      </c>
      <c r="F420">
        <v>-136.6</v>
      </c>
      <c r="G420">
        <v>-4.5999999999999996</v>
      </c>
      <c r="H420">
        <v>-0.5</v>
      </c>
      <c r="I420">
        <v>1278.0999999999999</v>
      </c>
      <c r="J420">
        <v>1325.2</v>
      </c>
      <c r="K420">
        <v>0.4</v>
      </c>
      <c r="L420" t="s">
        <v>942</v>
      </c>
    </row>
    <row r="421" spans="1:12" x14ac:dyDescent="0.25">
      <c r="A421" t="s">
        <v>943</v>
      </c>
      <c r="B421" t="s">
        <v>944</v>
      </c>
      <c r="C421" t="s">
        <v>58</v>
      </c>
      <c r="D421">
        <v>605.70000000000005</v>
      </c>
      <c r="E421">
        <v>578.20000000000005</v>
      </c>
      <c r="F421">
        <v>-27.5</v>
      </c>
      <c r="G421">
        <v>-4.5</v>
      </c>
      <c r="H421">
        <v>-0.5</v>
      </c>
      <c r="I421">
        <v>61.9</v>
      </c>
      <c r="J421">
        <v>69.8</v>
      </c>
      <c r="K421">
        <v>1.2</v>
      </c>
    </row>
    <row r="422" spans="1:12" x14ac:dyDescent="0.25">
      <c r="A422" t="s">
        <v>945</v>
      </c>
      <c r="B422" t="s">
        <v>946</v>
      </c>
      <c r="C422" t="s">
        <v>58</v>
      </c>
      <c r="D422">
        <v>2393.8000000000002</v>
      </c>
      <c r="E422">
        <v>2284.6</v>
      </c>
      <c r="F422">
        <v>-109.2</v>
      </c>
      <c r="G422">
        <v>-4.5999999999999996</v>
      </c>
      <c r="H422">
        <v>-0.5</v>
      </c>
      <c r="I422">
        <v>1216.5</v>
      </c>
      <c r="J422">
        <v>1255.2</v>
      </c>
      <c r="K422">
        <v>0.3</v>
      </c>
    </row>
    <row r="423" spans="1:12" x14ac:dyDescent="0.25">
      <c r="A423" t="s">
        <v>947</v>
      </c>
      <c r="B423" t="s">
        <v>948</v>
      </c>
      <c r="C423" t="s">
        <v>55</v>
      </c>
      <c r="D423">
        <v>8468.5</v>
      </c>
      <c r="E423">
        <v>8591.1</v>
      </c>
      <c r="F423">
        <v>122.6</v>
      </c>
      <c r="G423">
        <v>1.4</v>
      </c>
      <c r="H423">
        <v>0.1</v>
      </c>
      <c r="I423">
        <v>1420.6</v>
      </c>
      <c r="J423">
        <v>1510.1</v>
      </c>
      <c r="K423">
        <v>0.6</v>
      </c>
      <c r="L423" t="s">
        <v>942</v>
      </c>
    </row>
    <row r="424" spans="1:12" x14ac:dyDescent="0.25">
      <c r="A424" t="s">
        <v>949</v>
      </c>
      <c r="B424" t="s">
        <v>950</v>
      </c>
      <c r="C424" t="s">
        <v>58</v>
      </c>
      <c r="D424">
        <v>2380.3000000000002</v>
      </c>
      <c r="E424">
        <v>2388.3000000000002</v>
      </c>
      <c r="F424">
        <v>8</v>
      </c>
      <c r="G424">
        <v>0.3</v>
      </c>
      <c r="H424">
        <v>0</v>
      </c>
      <c r="I424" t="s">
        <v>59</v>
      </c>
      <c r="J424" t="s">
        <v>59</v>
      </c>
      <c r="K424" t="s">
        <v>59</v>
      </c>
    </row>
    <row r="425" spans="1:12" x14ac:dyDescent="0.25">
      <c r="A425" t="s">
        <v>951</v>
      </c>
      <c r="B425" t="s">
        <v>952</v>
      </c>
      <c r="C425" t="s">
        <v>58</v>
      </c>
      <c r="D425">
        <v>6088.2</v>
      </c>
      <c r="E425">
        <v>6202.8</v>
      </c>
      <c r="F425">
        <v>114.6</v>
      </c>
      <c r="G425">
        <v>1.9</v>
      </c>
      <c r="H425">
        <v>0.2</v>
      </c>
      <c r="I425" t="s">
        <v>59</v>
      </c>
      <c r="J425" t="s">
        <v>59</v>
      </c>
      <c r="K425" t="s">
        <v>59</v>
      </c>
    </row>
    <row r="426" spans="1:12" x14ac:dyDescent="0.25">
      <c r="A426" t="s">
        <v>953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46"/>
  <sheetViews>
    <sheetView workbookViewId="0">
      <pane ySplit="2" topLeftCell="A3" activePane="bottomLeft" state="frozen"/>
      <selection pane="bottomLeft"/>
    </sheetView>
  </sheetViews>
  <sheetFormatPr defaultRowHeight="15" x14ac:dyDescent="0.25"/>
  <sheetData>
    <row r="1" spans="1:35" x14ac:dyDescent="0.25">
      <c r="C1" t="s">
        <v>954</v>
      </c>
    </row>
    <row r="2" spans="1:35" x14ac:dyDescent="0.25">
      <c r="C2" t="s">
        <v>955</v>
      </c>
    </row>
    <row r="3" spans="1:35" x14ac:dyDescent="0.25">
      <c r="C3" t="s">
        <v>956</v>
      </c>
    </row>
    <row r="4" spans="1:35" x14ac:dyDescent="0.25">
      <c r="C4" t="s">
        <v>957</v>
      </c>
    </row>
    <row r="5" spans="1:35" x14ac:dyDescent="0.25">
      <c r="B5" s="5" t="s">
        <v>958</v>
      </c>
      <c r="D5" t="s">
        <v>959</v>
      </c>
      <c r="E5" t="s">
        <v>960</v>
      </c>
      <c r="F5" t="s">
        <v>961</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962</v>
      </c>
    </row>
    <row r="6" spans="1:35" x14ac:dyDescent="0.25">
      <c r="A6" t="s">
        <v>963</v>
      </c>
      <c r="C6" t="s">
        <v>964</v>
      </c>
      <c r="D6" t="s">
        <v>965</v>
      </c>
      <c r="E6" t="s">
        <v>966</v>
      </c>
      <c r="F6" t="s">
        <v>967</v>
      </c>
      <c r="H6">
        <v>21699.671875</v>
      </c>
      <c r="I6">
        <v>22171.929688</v>
      </c>
      <c r="J6">
        <v>22685.953125</v>
      </c>
      <c r="K6">
        <v>23162.595702999999</v>
      </c>
      <c r="L6">
        <v>23590.015625</v>
      </c>
      <c r="M6">
        <v>24042.869140999999</v>
      </c>
      <c r="N6">
        <v>24479.318359000001</v>
      </c>
      <c r="O6">
        <v>24877.939452999999</v>
      </c>
      <c r="P6">
        <v>25299.824218999998</v>
      </c>
      <c r="Q6">
        <v>25731.902343999998</v>
      </c>
      <c r="R6">
        <v>26166.296875</v>
      </c>
      <c r="S6">
        <v>26621.835938</v>
      </c>
      <c r="T6">
        <v>27077.875</v>
      </c>
      <c r="U6">
        <v>27546.341797000001</v>
      </c>
      <c r="V6">
        <v>28018.710938</v>
      </c>
      <c r="W6">
        <v>28503.035156000002</v>
      </c>
      <c r="X6">
        <v>29003.939452999999</v>
      </c>
      <c r="Y6">
        <v>29486.919922000001</v>
      </c>
      <c r="Z6">
        <v>29991.914062</v>
      </c>
      <c r="AA6">
        <v>30494.671875</v>
      </c>
      <c r="AB6">
        <v>30998.292968999998</v>
      </c>
      <c r="AC6">
        <v>31501.849609000001</v>
      </c>
      <c r="AD6">
        <v>32021.367188</v>
      </c>
      <c r="AE6">
        <v>32546.509765999999</v>
      </c>
      <c r="AF6">
        <v>33074.625</v>
      </c>
      <c r="AG6">
        <v>33617.65625</v>
      </c>
      <c r="AH6">
        <v>34162.722655999998</v>
      </c>
      <c r="AI6">
        <v>1.7999999999999999E-2</v>
      </c>
    </row>
    <row r="7" spans="1:35" x14ac:dyDescent="0.25">
      <c r="A7" t="s">
        <v>968</v>
      </c>
      <c r="C7" t="s">
        <v>969</v>
      </c>
      <c r="D7" t="s">
        <v>970</v>
      </c>
      <c r="E7" t="s">
        <v>971</v>
      </c>
      <c r="F7" t="s">
        <v>972</v>
      </c>
      <c r="H7">
        <v>159.545197</v>
      </c>
      <c r="I7">
        <v>160.89846800000001</v>
      </c>
      <c r="J7">
        <v>161.43066400000001</v>
      </c>
      <c r="K7">
        <v>161.697113</v>
      </c>
      <c r="L7">
        <v>161.99790999999999</v>
      </c>
      <c r="M7">
        <v>162.53140300000001</v>
      </c>
      <c r="N7">
        <v>163.241547</v>
      </c>
      <c r="O7">
        <v>163.92671200000001</v>
      </c>
      <c r="P7">
        <v>164.54892000000001</v>
      </c>
      <c r="Q7">
        <v>164.98477199999999</v>
      </c>
      <c r="R7">
        <v>165.29776000000001</v>
      </c>
      <c r="S7">
        <v>165.565933</v>
      </c>
      <c r="T7">
        <v>166.08338900000001</v>
      </c>
      <c r="U7">
        <v>166.79139699999999</v>
      </c>
      <c r="V7">
        <v>167.53140300000001</v>
      </c>
      <c r="W7">
        <v>168.186554</v>
      </c>
      <c r="X7">
        <v>169.00384500000001</v>
      </c>
      <c r="Y7">
        <v>169.658646</v>
      </c>
      <c r="Z7">
        <v>170.29731799999999</v>
      </c>
      <c r="AA7">
        <v>170.74044799999999</v>
      </c>
      <c r="AB7">
        <v>171.206131</v>
      </c>
      <c r="AC7">
        <v>171.654968</v>
      </c>
      <c r="AD7">
        <v>172.127533</v>
      </c>
      <c r="AE7">
        <v>172.64163199999999</v>
      </c>
      <c r="AF7">
        <v>173.163284</v>
      </c>
      <c r="AG7">
        <v>173.71743799999999</v>
      </c>
      <c r="AH7">
        <v>174.28782699999999</v>
      </c>
      <c r="AI7">
        <v>3.0000000000000001E-3</v>
      </c>
    </row>
    <row r="8" spans="1:35" x14ac:dyDescent="0.25">
      <c r="C8" t="s">
        <v>973</v>
      </c>
    </row>
    <row r="9" spans="1:35" x14ac:dyDescent="0.25">
      <c r="C9" t="s">
        <v>974</v>
      </c>
    </row>
    <row r="10" spans="1:35" x14ac:dyDescent="0.25">
      <c r="A10" t="s">
        <v>975</v>
      </c>
      <c r="B10" t="s">
        <v>976</v>
      </c>
      <c r="C10" t="s">
        <v>977</v>
      </c>
      <c r="D10" t="s">
        <v>978</v>
      </c>
      <c r="E10" t="s">
        <v>979</v>
      </c>
      <c r="F10" t="s">
        <v>967</v>
      </c>
      <c r="H10">
        <v>538.82659899999999</v>
      </c>
      <c r="I10">
        <v>544.76806599999998</v>
      </c>
      <c r="J10">
        <v>552.01934800000004</v>
      </c>
      <c r="K10">
        <v>559.25311299999998</v>
      </c>
      <c r="L10">
        <v>565.51892099999998</v>
      </c>
      <c r="M10">
        <v>573.79547100000002</v>
      </c>
      <c r="N10">
        <v>581.47051999999996</v>
      </c>
      <c r="O10">
        <v>587.56146200000001</v>
      </c>
      <c r="P10">
        <v>593.56909199999996</v>
      </c>
      <c r="Q10">
        <v>599.28234899999995</v>
      </c>
      <c r="R10">
        <v>606.56781000000001</v>
      </c>
      <c r="S10">
        <v>614.138733</v>
      </c>
      <c r="T10">
        <v>623.17742899999996</v>
      </c>
      <c r="U10">
        <v>630.44726600000001</v>
      </c>
      <c r="V10">
        <v>636.67987100000005</v>
      </c>
      <c r="W10">
        <v>643.489014</v>
      </c>
      <c r="X10">
        <v>649.694031</v>
      </c>
      <c r="Y10">
        <v>654.32800299999997</v>
      </c>
      <c r="Z10">
        <v>659.78338599999995</v>
      </c>
      <c r="AA10">
        <v>665.28344700000002</v>
      </c>
      <c r="AB10">
        <v>671.34362799999997</v>
      </c>
      <c r="AC10">
        <v>678.96008300000005</v>
      </c>
      <c r="AD10">
        <v>686.82513400000005</v>
      </c>
      <c r="AE10">
        <v>694.61627199999998</v>
      </c>
      <c r="AF10">
        <v>702.28125</v>
      </c>
      <c r="AG10">
        <v>710.25579800000003</v>
      </c>
      <c r="AH10">
        <v>718.01489300000003</v>
      </c>
      <c r="AI10">
        <v>1.0999999999999999E-2</v>
      </c>
    </row>
    <row r="11" spans="1:35" x14ac:dyDescent="0.25">
      <c r="A11" t="s">
        <v>980</v>
      </c>
      <c r="B11" t="s">
        <v>981</v>
      </c>
      <c r="C11" t="s">
        <v>982</v>
      </c>
      <c r="D11" t="s">
        <v>983</v>
      </c>
      <c r="E11" t="s">
        <v>984</v>
      </c>
      <c r="F11" t="s">
        <v>967</v>
      </c>
      <c r="H11">
        <v>738.62609899999995</v>
      </c>
      <c r="I11">
        <v>800.09271200000001</v>
      </c>
      <c r="J11">
        <v>807.26275599999997</v>
      </c>
      <c r="K11">
        <v>812.87158199999999</v>
      </c>
      <c r="L11">
        <v>822.88531499999999</v>
      </c>
      <c r="M11">
        <v>830.66400099999998</v>
      </c>
      <c r="N11">
        <v>837.44683799999996</v>
      </c>
      <c r="O11">
        <v>834.118469</v>
      </c>
      <c r="P11">
        <v>842.65661599999999</v>
      </c>
      <c r="Q11">
        <v>842.87884499999996</v>
      </c>
      <c r="R11">
        <v>843.77453600000001</v>
      </c>
      <c r="S11">
        <v>839.434753</v>
      </c>
      <c r="T11">
        <v>833.55816700000003</v>
      </c>
      <c r="U11">
        <v>824.76232900000002</v>
      </c>
      <c r="V11">
        <v>820.58245799999997</v>
      </c>
      <c r="W11">
        <v>815.21142599999996</v>
      </c>
      <c r="X11">
        <v>817.20263699999998</v>
      </c>
      <c r="Y11">
        <v>820.17926</v>
      </c>
      <c r="Z11">
        <v>823.919983</v>
      </c>
      <c r="AA11">
        <v>823.77703899999995</v>
      </c>
      <c r="AB11">
        <v>825.681152</v>
      </c>
      <c r="AC11">
        <v>828.09149200000002</v>
      </c>
      <c r="AD11">
        <v>834.33093299999996</v>
      </c>
      <c r="AE11">
        <v>835.11914100000001</v>
      </c>
      <c r="AF11">
        <v>834.69671600000004</v>
      </c>
      <c r="AG11">
        <v>836.806152</v>
      </c>
      <c r="AH11">
        <v>839.41027799999995</v>
      </c>
      <c r="AI11">
        <v>5.0000000000000001E-3</v>
      </c>
    </row>
    <row r="12" spans="1:35" x14ac:dyDescent="0.25">
      <c r="A12" t="s">
        <v>985</v>
      </c>
      <c r="B12" t="s">
        <v>986</v>
      </c>
      <c r="C12" t="s">
        <v>987</v>
      </c>
      <c r="D12" t="s">
        <v>988</v>
      </c>
      <c r="E12" t="s">
        <v>989</v>
      </c>
      <c r="F12" t="s">
        <v>967</v>
      </c>
      <c r="H12">
        <v>1440.7977289999999</v>
      </c>
      <c r="I12">
        <v>1433.057251</v>
      </c>
      <c r="J12">
        <v>1444.2264399999999</v>
      </c>
      <c r="K12">
        <v>1467.153198</v>
      </c>
      <c r="L12">
        <v>1502.783447</v>
      </c>
      <c r="M12">
        <v>1544.019775</v>
      </c>
      <c r="N12">
        <v>1573.192505</v>
      </c>
      <c r="O12">
        <v>1598.660034</v>
      </c>
      <c r="P12">
        <v>1617.260254</v>
      </c>
      <c r="Q12">
        <v>1624.0386960000001</v>
      </c>
      <c r="R12">
        <v>1624.3892820000001</v>
      </c>
      <c r="S12">
        <v>1639.5164789999999</v>
      </c>
      <c r="T12">
        <v>1660.5124510000001</v>
      </c>
      <c r="U12">
        <v>1673.6357419999999</v>
      </c>
      <c r="V12">
        <v>1687.7022710000001</v>
      </c>
      <c r="W12">
        <v>1700.4539789999999</v>
      </c>
      <c r="X12">
        <v>1710.27478</v>
      </c>
      <c r="Y12">
        <v>1717.300293</v>
      </c>
      <c r="Z12">
        <v>1728.816284</v>
      </c>
      <c r="AA12">
        <v>1737.1104740000001</v>
      </c>
      <c r="AB12">
        <v>1744.9567870000001</v>
      </c>
      <c r="AC12">
        <v>1762.098999</v>
      </c>
      <c r="AD12">
        <v>1781.256226</v>
      </c>
      <c r="AE12">
        <v>1803.246948</v>
      </c>
      <c r="AF12">
        <v>1826.451538</v>
      </c>
      <c r="AG12">
        <v>1851.138794</v>
      </c>
      <c r="AH12">
        <v>1872.746948</v>
      </c>
      <c r="AI12">
        <v>0.01</v>
      </c>
    </row>
    <row r="13" spans="1:35" x14ac:dyDescent="0.25">
      <c r="C13" t="s">
        <v>990</v>
      </c>
    </row>
    <row r="14" spans="1:35" x14ac:dyDescent="0.25">
      <c r="A14" t="s">
        <v>991</v>
      </c>
      <c r="B14" t="s">
        <v>992</v>
      </c>
      <c r="C14" t="s">
        <v>993</v>
      </c>
      <c r="D14" t="s">
        <v>994</v>
      </c>
      <c r="E14" t="s">
        <v>995</v>
      </c>
      <c r="F14" t="s">
        <v>967</v>
      </c>
      <c r="H14">
        <v>821.56500200000005</v>
      </c>
      <c r="I14">
        <v>826.25628700000004</v>
      </c>
      <c r="J14">
        <v>829.60241699999995</v>
      </c>
      <c r="K14">
        <v>837.90673800000002</v>
      </c>
      <c r="L14">
        <v>844.65008499999999</v>
      </c>
      <c r="M14">
        <v>853.04797399999995</v>
      </c>
      <c r="N14">
        <v>861.58227499999998</v>
      </c>
      <c r="O14">
        <v>869.48919699999999</v>
      </c>
      <c r="P14">
        <v>877.76153599999998</v>
      </c>
      <c r="Q14">
        <v>885.73113999999998</v>
      </c>
      <c r="R14">
        <v>894.01611300000002</v>
      </c>
      <c r="S14">
        <v>901.54547100000002</v>
      </c>
      <c r="T14">
        <v>911.37493900000004</v>
      </c>
      <c r="U14">
        <v>920.41272000000004</v>
      </c>
      <c r="V14">
        <v>929.09497099999999</v>
      </c>
      <c r="W14">
        <v>938.25280799999996</v>
      </c>
      <c r="X14">
        <v>947.32989499999996</v>
      </c>
      <c r="Y14">
        <v>956.44329800000003</v>
      </c>
      <c r="Z14">
        <v>965.73699999999997</v>
      </c>
      <c r="AA14">
        <v>974.68511999999998</v>
      </c>
      <c r="AB14">
        <v>983.68792699999995</v>
      </c>
      <c r="AC14">
        <v>992.50006099999996</v>
      </c>
      <c r="AD14">
        <v>1001.497559</v>
      </c>
      <c r="AE14">
        <v>1010.571472</v>
      </c>
      <c r="AF14">
        <v>1019.670227</v>
      </c>
      <c r="AG14">
        <v>1029.158447</v>
      </c>
      <c r="AH14">
        <v>1038.471802</v>
      </c>
      <c r="AI14">
        <v>8.9999999999999993E-3</v>
      </c>
    </row>
    <row r="15" spans="1:35" x14ac:dyDescent="0.25">
      <c r="A15" t="s">
        <v>996</v>
      </c>
      <c r="B15" t="s">
        <v>992</v>
      </c>
      <c r="C15" t="s">
        <v>997</v>
      </c>
      <c r="D15" t="s">
        <v>998</v>
      </c>
      <c r="E15" t="s">
        <v>999</v>
      </c>
      <c r="F15" t="s">
        <v>967</v>
      </c>
      <c r="H15">
        <v>141.906082</v>
      </c>
      <c r="I15">
        <v>139.8526</v>
      </c>
      <c r="J15">
        <v>138.71139500000001</v>
      </c>
      <c r="K15">
        <v>138.03376800000001</v>
      </c>
      <c r="L15">
        <v>137.52714499999999</v>
      </c>
      <c r="M15">
        <v>136.83862300000001</v>
      </c>
      <c r="N15">
        <v>136.09837300000001</v>
      </c>
      <c r="O15">
        <v>135.327225</v>
      </c>
      <c r="P15">
        <v>134.48689300000001</v>
      </c>
      <c r="Q15">
        <v>133.751328</v>
      </c>
      <c r="R15">
        <v>133.06809999999999</v>
      </c>
      <c r="S15">
        <v>132.55055200000001</v>
      </c>
      <c r="T15">
        <v>131.98661799999999</v>
      </c>
      <c r="U15">
        <v>131.44885300000001</v>
      </c>
      <c r="V15">
        <v>130.93476899999999</v>
      </c>
      <c r="W15">
        <v>130.426331</v>
      </c>
      <c r="X15">
        <v>129.932602</v>
      </c>
      <c r="Y15">
        <v>129.437927</v>
      </c>
      <c r="Z15">
        <v>128.931274</v>
      </c>
      <c r="AA15">
        <v>128.37809799999999</v>
      </c>
      <c r="AB15">
        <v>127.794327</v>
      </c>
      <c r="AC15">
        <v>127.17437700000001</v>
      </c>
      <c r="AD15">
        <v>126.600021</v>
      </c>
      <c r="AE15">
        <v>126.07457700000001</v>
      </c>
      <c r="AF15">
        <v>125.574326</v>
      </c>
      <c r="AG15">
        <v>125.095772</v>
      </c>
      <c r="AH15">
        <v>124.58905</v>
      </c>
      <c r="AI15">
        <v>-5.0000000000000001E-3</v>
      </c>
    </row>
    <row r="16" spans="1:35" x14ac:dyDescent="0.25">
      <c r="A16" t="s">
        <v>1000</v>
      </c>
      <c r="B16" t="s">
        <v>1001</v>
      </c>
      <c r="C16" t="s">
        <v>1002</v>
      </c>
      <c r="D16" t="s">
        <v>1003</v>
      </c>
      <c r="E16" t="s">
        <v>1004</v>
      </c>
      <c r="F16" t="s">
        <v>967</v>
      </c>
      <c r="H16">
        <v>66.089164999999994</v>
      </c>
      <c r="I16">
        <v>66.538512999999995</v>
      </c>
      <c r="J16">
        <v>65.899199999999993</v>
      </c>
      <c r="K16">
        <v>65.924271000000005</v>
      </c>
      <c r="L16">
        <v>64.837829999999997</v>
      </c>
      <c r="M16">
        <v>64.166801000000007</v>
      </c>
      <c r="N16">
        <v>63.704239000000001</v>
      </c>
      <c r="O16">
        <v>63.158009</v>
      </c>
      <c r="P16">
        <v>62.414116</v>
      </c>
      <c r="Q16">
        <v>61.727992999999998</v>
      </c>
      <c r="R16">
        <v>61.319777999999999</v>
      </c>
      <c r="S16">
        <v>60.568184000000002</v>
      </c>
      <c r="T16">
        <v>59.831409000000001</v>
      </c>
      <c r="U16">
        <v>59.532325999999998</v>
      </c>
      <c r="V16">
        <v>59.148829999999997</v>
      </c>
      <c r="W16">
        <v>58.900440000000003</v>
      </c>
      <c r="X16">
        <v>58.791423999999999</v>
      </c>
      <c r="Y16">
        <v>58.565128000000001</v>
      </c>
      <c r="Z16">
        <v>58.345596</v>
      </c>
      <c r="AA16">
        <v>57.977749000000003</v>
      </c>
      <c r="AB16">
        <v>57.632815999999998</v>
      </c>
      <c r="AC16">
        <v>57.247356000000003</v>
      </c>
      <c r="AD16">
        <v>56.933219999999999</v>
      </c>
      <c r="AE16">
        <v>56.724243000000001</v>
      </c>
      <c r="AF16">
        <v>56.464835999999998</v>
      </c>
      <c r="AG16">
        <v>56.236049999999999</v>
      </c>
      <c r="AH16">
        <v>55.887160999999999</v>
      </c>
      <c r="AI16">
        <v>-6.0000000000000001E-3</v>
      </c>
    </row>
    <row r="17" spans="1:35" x14ac:dyDescent="0.25">
      <c r="A17" t="s">
        <v>1005</v>
      </c>
      <c r="B17" t="s">
        <v>1006</v>
      </c>
      <c r="C17" t="s">
        <v>1007</v>
      </c>
      <c r="D17" t="s">
        <v>1008</v>
      </c>
      <c r="E17" t="s">
        <v>1009</v>
      </c>
      <c r="F17" t="s">
        <v>967</v>
      </c>
      <c r="H17">
        <v>98.407120000000006</v>
      </c>
      <c r="I17">
        <v>99.040710000000004</v>
      </c>
      <c r="J17">
        <v>101.040649</v>
      </c>
      <c r="K17">
        <v>102.246925</v>
      </c>
      <c r="L17">
        <v>103.98792299999999</v>
      </c>
      <c r="M17">
        <v>107.2435</v>
      </c>
      <c r="N17">
        <v>109.76387800000001</v>
      </c>
      <c r="O17">
        <v>111.444023</v>
      </c>
      <c r="P17">
        <v>112.56997699999999</v>
      </c>
      <c r="Q17">
        <v>112.379074</v>
      </c>
      <c r="R17">
        <v>113.57044999999999</v>
      </c>
      <c r="S17">
        <v>115.056473</v>
      </c>
      <c r="T17">
        <v>118.327522</v>
      </c>
      <c r="U17">
        <v>120.524979</v>
      </c>
      <c r="V17">
        <v>121.295052</v>
      </c>
      <c r="W17">
        <v>122.199997</v>
      </c>
      <c r="X17">
        <v>122.03939800000001</v>
      </c>
      <c r="Y17">
        <v>119.662926</v>
      </c>
      <c r="Z17">
        <v>118.09380299999999</v>
      </c>
      <c r="AA17">
        <v>115.158073</v>
      </c>
      <c r="AB17">
        <v>113.127899</v>
      </c>
      <c r="AC17">
        <v>113.014549</v>
      </c>
      <c r="AD17">
        <v>113.406578</v>
      </c>
      <c r="AE17">
        <v>114.637749</v>
      </c>
      <c r="AF17">
        <v>115.775826</v>
      </c>
      <c r="AG17">
        <v>117.22972900000001</v>
      </c>
      <c r="AH17">
        <v>118.126198</v>
      </c>
      <c r="AI17">
        <v>7.0000000000000001E-3</v>
      </c>
    </row>
    <row r="18" spans="1:35" x14ac:dyDescent="0.25">
      <c r="A18" t="s">
        <v>1010</v>
      </c>
      <c r="B18" t="s">
        <v>1011</v>
      </c>
      <c r="C18" t="s">
        <v>1012</v>
      </c>
      <c r="D18" t="s">
        <v>1013</v>
      </c>
      <c r="E18" t="s">
        <v>1014</v>
      </c>
      <c r="F18" t="s">
        <v>967</v>
      </c>
      <c r="H18">
        <v>53.271853999999998</v>
      </c>
      <c r="I18">
        <v>52.269444</v>
      </c>
      <c r="J18">
        <v>53.980426999999999</v>
      </c>
      <c r="K18">
        <v>55.926291999999997</v>
      </c>
      <c r="L18">
        <v>56.093471999999998</v>
      </c>
      <c r="M18">
        <v>56.599044999999997</v>
      </c>
      <c r="N18">
        <v>58.34198</v>
      </c>
      <c r="O18">
        <v>58.926270000000002</v>
      </c>
      <c r="P18">
        <v>59.556117999999998</v>
      </c>
      <c r="Q18">
        <v>59.890476</v>
      </c>
      <c r="R18">
        <v>61.148803999999998</v>
      </c>
      <c r="S18">
        <v>61.658676</v>
      </c>
      <c r="T18">
        <v>62.141407000000001</v>
      </c>
      <c r="U18">
        <v>63.414036000000003</v>
      </c>
      <c r="V18">
        <v>64.388122999999993</v>
      </c>
      <c r="W18">
        <v>65.334250999999995</v>
      </c>
      <c r="X18">
        <v>66.700744999999998</v>
      </c>
      <c r="Y18">
        <v>67.731551999999994</v>
      </c>
      <c r="Z18">
        <v>68.640738999999996</v>
      </c>
      <c r="AA18">
        <v>69.677574000000007</v>
      </c>
      <c r="AB18">
        <v>70.932807999999994</v>
      </c>
      <c r="AC18">
        <v>71.805747999999994</v>
      </c>
      <c r="AD18">
        <v>72.815346000000005</v>
      </c>
      <c r="AE18">
        <v>74.188430999999994</v>
      </c>
      <c r="AF18">
        <v>74.879401999999999</v>
      </c>
      <c r="AG18">
        <v>76.066422000000003</v>
      </c>
      <c r="AH18">
        <v>76.886627000000004</v>
      </c>
      <c r="AI18">
        <v>1.4E-2</v>
      </c>
    </row>
    <row r="19" spans="1:35" x14ac:dyDescent="0.25">
      <c r="A19" t="s">
        <v>1015</v>
      </c>
      <c r="B19" t="s">
        <v>1016</v>
      </c>
      <c r="C19" t="s">
        <v>1017</v>
      </c>
      <c r="D19" t="s">
        <v>1018</v>
      </c>
      <c r="E19" t="s">
        <v>1019</v>
      </c>
      <c r="F19" t="s">
        <v>967</v>
      </c>
      <c r="H19">
        <v>161.46919299999999</v>
      </c>
      <c r="I19">
        <v>162.76919599999999</v>
      </c>
      <c r="J19">
        <v>164.025757</v>
      </c>
      <c r="K19">
        <v>162.47027600000001</v>
      </c>
      <c r="L19">
        <v>161.55638099999999</v>
      </c>
      <c r="M19">
        <v>161.47071800000001</v>
      </c>
      <c r="N19">
        <v>161.809799</v>
      </c>
      <c r="O19">
        <v>162.97775300000001</v>
      </c>
      <c r="P19">
        <v>163.75282300000001</v>
      </c>
      <c r="Q19">
        <v>164.066971</v>
      </c>
      <c r="R19">
        <v>165.19105500000001</v>
      </c>
      <c r="S19">
        <v>166.252869</v>
      </c>
      <c r="T19">
        <v>167.39653000000001</v>
      </c>
      <c r="U19">
        <v>168.34884600000001</v>
      </c>
      <c r="V19">
        <v>169.47160299999999</v>
      </c>
      <c r="W19">
        <v>171.07836900000001</v>
      </c>
      <c r="X19">
        <v>172.76542699999999</v>
      </c>
      <c r="Y19">
        <v>174.022369</v>
      </c>
      <c r="Z19">
        <v>175.34892300000001</v>
      </c>
      <c r="AA19">
        <v>176.49816899999999</v>
      </c>
      <c r="AB19">
        <v>178.14328</v>
      </c>
      <c r="AC19">
        <v>179.31845100000001</v>
      </c>
      <c r="AD19">
        <v>180.706772</v>
      </c>
      <c r="AE19">
        <v>182.09449799999999</v>
      </c>
      <c r="AF19">
        <v>183.34045399999999</v>
      </c>
      <c r="AG19">
        <v>184.407928</v>
      </c>
      <c r="AH19">
        <v>185.49395799999999</v>
      </c>
      <c r="AI19">
        <v>5.0000000000000001E-3</v>
      </c>
    </row>
    <row r="20" spans="1:35" x14ac:dyDescent="0.25">
      <c r="A20" t="s">
        <v>1020</v>
      </c>
      <c r="B20" t="s">
        <v>1016</v>
      </c>
      <c r="C20" t="s">
        <v>1021</v>
      </c>
      <c r="D20" t="s">
        <v>1022</v>
      </c>
      <c r="E20" t="s">
        <v>1023</v>
      </c>
      <c r="F20" t="s">
        <v>967</v>
      </c>
      <c r="H20">
        <v>60.525852</v>
      </c>
      <c r="I20">
        <v>57.448959000000002</v>
      </c>
      <c r="J20">
        <v>56.292636999999999</v>
      </c>
      <c r="K20">
        <v>54.877972</v>
      </c>
      <c r="L20">
        <v>53.651820999999998</v>
      </c>
      <c r="M20">
        <v>52.613571</v>
      </c>
      <c r="N20">
        <v>51.594307000000001</v>
      </c>
      <c r="O20">
        <v>50.581691999999997</v>
      </c>
      <c r="P20">
        <v>49.633220999999999</v>
      </c>
      <c r="Q20">
        <v>48.669460000000001</v>
      </c>
      <c r="R20">
        <v>47.801642999999999</v>
      </c>
      <c r="S20">
        <v>46.996116999999998</v>
      </c>
      <c r="T20">
        <v>46.399475000000002</v>
      </c>
      <c r="U20">
        <v>45.814658999999999</v>
      </c>
      <c r="V20">
        <v>45.239269</v>
      </c>
      <c r="W20">
        <v>44.861446000000001</v>
      </c>
      <c r="X20">
        <v>44.471885999999998</v>
      </c>
      <c r="Y20">
        <v>44.081989</v>
      </c>
      <c r="Z20">
        <v>43.735256</v>
      </c>
      <c r="AA20">
        <v>43.354686999999998</v>
      </c>
      <c r="AB20">
        <v>43.027943</v>
      </c>
      <c r="AC20">
        <v>42.731819000000002</v>
      </c>
      <c r="AD20">
        <v>42.579571000000001</v>
      </c>
      <c r="AE20">
        <v>42.327193999999999</v>
      </c>
      <c r="AF20">
        <v>42.101280000000003</v>
      </c>
      <c r="AG20">
        <v>41.857501999999997</v>
      </c>
      <c r="AH20">
        <v>41.633499</v>
      </c>
      <c r="AI20">
        <v>-1.4E-2</v>
      </c>
    </row>
    <row r="21" spans="1:35" x14ac:dyDescent="0.25">
      <c r="A21" t="s">
        <v>1024</v>
      </c>
      <c r="B21" t="s">
        <v>1025</v>
      </c>
      <c r="C21" t="s">
        <v>1026</v>
      </c>
      <c r="D21" t="s">
        <v>1027</v>
      </c>
      <c r="E21" t="s">
        <v>1028</v>
      </c>
      <c r="F21" t="s">
        <v>967</v>
      </c>
      <c r="H21">
        <v>808.21368399999994</v>
      </c>
      <c r="I21">
        <v>812.38934300000005</v>
      </c>
      <c r="J21">
        <v>806.69073500000002</v>
      </c>
      <c r="K21">
        <v>804.93176300000005</v>
      </c>
      <c r="L21">
        <v>803.34942599999999</v>
      </c>
      <c r="M21">
        <v>806.09863299999995</v>
      </c>
      <c r="N21">
        <v>813.56811500000003</v>
      </c>
      <c r="O21">
        <v>823.25134300000002</v>
      </c>
      <c r="P21">
        <v>834.16455099999996</v>
      </c>
      <c r="Q21">
        <v>843.79174799999998</v>
      </c>
      <c r="R21">
        <v>855.42956500000003</v>
      </c>
      <c r="S21">
        <v>865.72814900000003</v>
      </c>
      <c r="T21">
        <v>874.20135500000004</v>
      </c>
      <c r="U21">
        <v>885.51782200000002</v>
      </c>
      <c r="V21">
        <v>896.98571800000002</v>
      </c>
      <c r="W21">
        <v>909.44946300000004</v>
      </c>
      <c r="X21">
        <v>923.43682899999999</v>
      </c>
      <c r="Y21">
        <v>936.80664100000001</v>
      </c>
      <c r="Z21">
        <v>950.84143100000006</v>
      </c>
      <c r="AA21">
        <v>963.14318800000001</v>
      </c>
      <c r="AB21">
        <v>974.98590100000001</v>
      </c>
      <c r="AC21">
        <v>984.60705600000006</v>
      </c>
      <c r="AD21">
        <v>994.83898899999997</v>
      </c>
      <c r="AE21">
        <v>1008.8110349999999</v>
      </c>
      <c r="AF21">
        <v>1020.661987</v>
      </c>
      <c r="AG21">
        <v>1031.7502440000001</v>
      </c>
      <c r="AH21">
        <v>1041.1604</v>
      </c>
      <c r="AI21">
        <v>0.01</v>
      </c>
    </row>
    <row r="22" spans="1:35" x14ac:dyDescent="0.25">
      <c r="A22" t="s">
        <v>1029</v>
      </c>
      <c r="C22" t="s">
        <v>1030</v>
      </c>
      <c r="D22" t="s">
        <v>1031</v>
      </c>
      <c r="E22" t="s">
        <v>1032</v>
      </c>
      <c r="F22" t="s">
        <v>967</v>
      </c>
      <c r="H22">
        <v>367.32217400000002</v>
      </c>
      <c r="I22">
        <v>372.95434599999999</v>
      </c>
      <c r="J22">
        <v>365.47006199999998</v>
      </c>
      <c r="K22">
        <v>360.02752700000002</v>
      </c>
      <c r="L22">
        <v>354.24496499999998</v>
      </c>
      <c r="M22">
        <v>352.82476800000001</v>
      </c>
      <c r="N22">
        <v>355.28152499999999</v>
      </c>
      <c r="O22">
        <v>359.698914</v>
      </c>
      <c r="P22">
        <v>364.24594100000002</v>
      </c>
      <c r="Q22">
        <v>367.19061299999998</v>
      </c>
      <c r="R22">
        <v>373.40386999999998</v>
      </c>
      <c r="S22">
        <v>379.88586400000003</v>
      </c>
      <c r="T22">
        <v>384.06591800000001</v>
      </c>
      <c r="U22">
        <v>389.13482699999997</v>
      </c>
      <c r="V22">
        <v>394.53491200000002</v>
      </c>
      <c r="W22">
        <v>400.99060100000003</v>
      </c>
      <c r="X22">
        <v>408.14343300000002</v>
      </c>
      <c r="Y22">
        <v>414.30145299999998</v>
      </c>
      <c r="Z22">
        <v>420.51333599999998</v>
      </c>
      <c r="AA22">
        <v>425.35037199999999</v>
      </c>
      <c r="AB22">
        <v>430.83270299999998</v>
      </c>
      <c r="AC22">
        <v>435.236176</v>
      </c>
      <c r="AD22">
        <v>439.59573399999999</v>
      </c>
      <c r="AE22">
        <v>446.34097300000002</v>
      </c>
      <c r="AF22">
        <v>451.72757000000001</v>
      </c>
      <c r="AG22">
        <v>456.244598</v>
      </c>
      <c r="AH22">
        <v>460.80215500000003</v>
      </c>
      <c r="AI22">
        <v>8.9999999999999993E-3</v>
      </c>
    </row>
    <row r="23" spans="1:35" x14ac:dyDescent="0.25">
      <c r="A23" t="s">
        <v>1033</v>
      </c>
      <c r="C23" t="s">
        <v>1034</v>
      </c>
      <c r="D23" t="s">
        <v>1035</v>
      </c>
      <c r="E23" t="s">
        <v>1036</v>
      </c>
      <c r="F23" t="s">
        <v>967</v>
      </c>
      <c r="H23">
        <v>50.760821999999997</v>
      </c>
      <c r="I23">
        <v>51.478335999999999</v>
      </c>
      <c r="J23">
        <v>52.328194000000003</v>
      </c>
      <c r="K23">
        <v>52.508662999999999</v>
      </c>
      <c r="L23">
        <v>52.006045999999998</v>
      </c>
      <c r="M23">
        <v>51.169857</v>
      </c>
      <c r="N23">
        <v>51.473830999999997</v>
      </c>
      <c r="O23">
        <v>51.551136</v>
      </c>
      <c r="P23">
        <v>51.466037999999998</v>
      </c>
      <c r="Q23">
        <v>51.676189000000001</v>
      </c>
      <c r="R23">
        <v>51.725769</v>
      </c>
      <c r="S23">
        <v>52.104075999999999</v>
      </c>
      <c r="T23">
        <v>52.200465999999999</v>
      </c>
      <c r="U23">
        <v>51.963470000000001</v>
      </c>
      <c r="V23">
        <v>52.269703</v>
      </c>
      <c r="W23">
        <v>52.373103999999998</v>
      </c>
      <c r="X23">
        <v>52.339554</v>
      </c>
      <c r="Y23">
        <v>52.473537</v>
      </c>
      <c r="Z23">
        <v>52.384289000000003</v>
      </c>
      <c r="AA23">
        <v>52.293137000000002</v>
      </c>
      <c r="AB23">
        <v>52.097510999999997</v>
      </c>
      <c r="AC23">
        <v>51.880245000000002</v>
      </c>
      <c r="AD23">
        <v>51.748787</v>
      </c>
      <c r="AE23">
        <v>51.814064000000002</v>
      </c>
      <c r="AF23">
        <v>51.907966999999999</v>
      </c>
      <c r="AG23">
        <v>51.836624</v>
      </c>
      <c r="AH23">
        <v>51.954746</v>
      </c>
      <c r="AI23">
        <v>1E-3</v>
      </c>
    </row>
    <row r="24" spans="1:35" x14ac:dyDescent="0.25">
      <c r="A24" t="s">
        <v>1037</v>
      </c>
      <c r="C24" t="s">
        <v>1038</v>
      </c>
      <c r="D24" t="s">
        <v>1039</v>
      </c>
      <c r="E24" t="s">
        <v>1040</v>
      </c>
      <c r="F24" t="s">
        <v>967</v>
      </c>
      <c r="H24">
        <v>179.64849899999999</v>
      </c>
      <c r="I24">
        <v>184.15339700000001</v>
      </c>
      <c r="J24">
        <v>172.36071799999999</v>
      </c>
      <c r="K24">
        <v>167.715881</v>
      </c>
      <c r="L24">
        <v>163.974594</v>
      </c>
      <c r="M24">
        <v>162.341644</v>
      </c>
      <c r="N24">
        <v>162.018326</v>
      </c>
      <c r="O24">
        <v>164.700974</v>
      </c>
      <c r="P24">
        <v>167.63568100000001</v>
      </c>
      <c r="Q24">
        <v>169.28833</v>
      </c>
      <c r="R24">
        <v>172.17739900000001</v>
      </c>
      <c r="S24">
        <v>176.190979</v>
      </c>
      <c r="T24">
        <v>179.034775</v>
      </c>
      <c r="U24">
        <v>181.71839900000001</v>
      </c>
      <c r="V24">
        <v>185.00465399999999</v>
      </c>
      <c r="W24">
        <v>189.10174599999999</v>
      </c>
      <c r="X24">
        <v>193.48135400000001</v>
      </c>
      <c r="Y24">
        <v>197.50007600000001</v>
      </c>
      <c r="Z24">
        <v>201.285721</v>
      </c>
      <c r="AA24">
        <v>205.21362300000001</v>
      </c>
      <c r="AB24">
        <v>209.589371</v>
      </c>
      <c r="AC24">
        <v>213.81535299999999</v>
      </c>
      <c r="AD24">
        <v>216.95626799999999</v>
      </c>
      <c r="AE24">
        <v>221.063828</v>
      </c>
      <c r="AF24">
        <v>224.53114299999999</v>
      </c>
      <c r="AG24">
        <v>227.09777800000001</v>
      </c>
      <c r="AH24">
        <v>230.20609999999999</v>
      </c>
      <c r="AI24">
        <v>0.01</v>
      </c>
    </row>
    <row r="25" spans="1:35" x14ac:dyDescent="0.25">
      <c r="A25" t="s">
        <v>1041</v>
      </c>
      <c r="C25" t="s">
        <v>1042</v>
      </c>
      <c r="D25" t="s">
        <v>1043</v>
      </c>
      <c r="E25" t="s">
        <v>1044</v>
      </c>
      <c r="F25" t="s">
        <v>1045</v>
      </c>
      <c r="G25" t="s">
        <v>1046</v>
      </c>
      <c r="H25">
        <v>98.834441999999996</v>
      </c>
      <c r="I25">
        <v>97.966858000000002</v>
      </c>
      <c r="J25">
        <v>99.326224999999994</v>
      </c>
      <c r="K25">
        <v>97.665497000000002</v>
      </c>
      <c r="L25">
        <v>95.804192</v>
      </c>
      <c r="M25">
        <v>96.423264000000003</v>
      </c>
      <c r="N25">
        <v>98.262207000000004</v>
      </c>
      <c r="O25">
        <v>99.258094999999997</v>
      </c>
      <c r="P25">
        <v>100.28499600000001</v>
      </c>
      <c r="Q25">
        <v>100.911903</v>
      </c>
      <c r="R25">
        <v>103.31385</v>
      </c>
      <c r="S25">
        <v>104.71700300000001</v>
      </c>
      <c r="T25">
        <v>105.34987599999999</v>
      </c>
      <c r="U25">
        <v>107.174423</v>
      </c>
      <c r="V25">
        <v>108.362297</v>
      </c>
      <c r="W25">
        <v>110.00505099999999</v>
      </c>
      <c r="X25">
        <v>112.154022</v>
      </c>
      <c r="Y25">
        <v>113.59020200000001</v>
      </c>
      <c r="Z25">
        <v>115.53980300000001</v>
      </c>
      <c r="AA25">
        <v>116.007896</v>
      </c>
      <c r="AB25">
        <v>116.684151</v>
      </c>
      <c r="AC25">
        <v>116.623276</v>
      </c>
      <c r="AD25">
        <v>117.464996</v>
      </c>
      <c r="AE25">
        <v>119.54879800000001</v>
      </c>
      <c r="AF25">
        <v>120.945053</v>
      </c>
      <c r="AG25">
        <v>122.551376</v>
      </c>
      <c r="AH25">
        <v>123.52005</v>
      </c>
      <c r="AI25">
        <v>8.9999999999999993E-3</v>
      </c>
    </row>
    <row r="26" spans="1:35" x14ac:dyDescent="0.25">
      <c r="A26" t="s">
        <v>1047</v>
      </c>
      <c r="C26" t="s">
        <v>1048</v>
      </c>
      <c r="D26" t="s">
        <v>1049</v>
      </c>
      <c r="E26" t="s">
        <v>1050</v>
      </c>
      <c r="F26" t="s">
        <v>967</v>
      </c>
      <c r="H26">
        <v>38.078387999999997</v>
      </c>
      <c r="I26">
        <v>39.355778000000001</v>
      </c>
      <c r="J26">
        <v>41.454929</v>
      </c>
      <c r="K26">
        <v>42.137497000000003</v>
      </c>
      <c r="L26">
        <v>42.460147999999997</v>
      </c>
      <c r="M26">
        <v>42.890003</v>
      </c>
      <c r="N26">
        <v>43.527168000000003</v>
      </c>
      <c r="O26">
        <v>44.188727999999998</v>
      </c>
      <c r="P26">
        <v>44.859222000000003</v>
      </c>
      <c r="Q26">
        <v>45.314174999999999</v>
      </c>
      <c r="R26">
        <v>46.186852000000002</v>
      </c>
      <c r="S26">
        <v>46.873821</v>
      </c>
      <c r="T26">
        <v>47.480815999999997</v>
      </c>
      <c r="U26">
        <v>48.278534000000001</v>
      </c>
      <c r="V26">
        <v>48.898262000000003</v>
      </c>
      <c r="W26">
        <v>49.510666000000001</v>
      </c>
      <c r="X26">
        <v>50.168532999999996</v>
      </c>
      <c r="Y26">
        <v>50.737656000000001</v>
      </c>
      <c r="Z26">
        <v>51.303539000000001</v>
      </c>
      <c r="AA26">
        <v>51.835686000000003</v>
      </c>
      <c r="AB26">
        <v>52.461685000000003</v>
      </c>
      <c r="AC26">
        <v>52.917335999999999</v>
      </c>
      <c r="AD26">
        <v>53.425697</v>
      </c>
      <c r="AE26">
        <v>53.914276000000001</v>
      </c>
      <c r="AF26">
        <v>54.343406999999999</v>
      </c>
      <c r="AG26">
        <v>54.758823</v>
      </c>
      <c r="AH26">
        <v>55.121239000000003</v>
      </c>
      <c r="AI26">
        <v>1.4E-2</v>
      </c>
    </row>
    <row r="27" spans="1:35" x14ac:dyDescent="0.25">
      <c r="A27" t="s">
        <v>1051</v>
      </c>
      <c r="C27" t="s">
        <v>1052</v>
      </c>
      <c r="D27" t="s">
        <v>1053</v>
      </c>
      <c r="E27" t="s">
        <v>1054</v>
      </c>
      <c r="F27" t="s">
        <v>967</v>
      </c>
      <c r="H27">
        <v>440.89150999999998</v>
      </c>
      <c r="I27">
        <v>439.43499800000001</v>
      </c>
      <c r="J27">
        <v>441.22067299999998</v>
      </c>
      <c r="K27">
        <v>444.90420499999999</v>
      </c>
      <c r="L27">
        <v>449.10446200000001</v>
      </c>
      <c r="M27">
        <v>453.27383400000002</v>
      </c>
      <c r="N27">
        <v>458.28656000000001</v>
      </c>
      <c r="O27">
        <v>463.55239899999998</v>
      </c>
      <c r="P27">
        <v>469.91863999999998</v>
      </c>
      <c r="Q27">
        <v>476.601135</v>
      </c>
      <c r="R27">
        <v>482.025665</v>
      </c>
      <c r="S27">
        <v>485.84225500000002</v>
      </c>
      <c r="T27">
        <v>490.13543700000002</v>
      </c>
      <c r="U27">
        <v>496.38299599999999</v>
      </c>
      <c r="V27">
        <v>502.45083599999998</v>
      </c>
      <c r="W27">
        <v>508.45886200000001</v>
      </c>
      <c r="X27">
        <v>515.29339600000003</v>
      </c>
      <c r="Y27">
        <v>522.50518799999998</v>
      </c>
      <c r="Z27">
        <v>530.32806400000004</v>
      </c>
      <c r="AA27">
        <v>537.79278599999998</v>
      </c>
      <c r="AB27">
        <v>544.15319799999997</v>
      </c>
      <c r="AC27">
        <v>549.37085000000002</v>
      </c>
      <c r="AD27">
        <v>555.24322500000005</v>
      </c>
      <c r="AE27">
        <v>562.47003199999995</v>
      </c>
      <c r="AF27">
        <v>568.93444799999997</v>
      </c>
      <c r="AG27">
        <v>575.50561500000003</v>
      </c>
      <c r="AH27">
        <v>580.35827600000005</v>
      </c>
      <c r="AI27">
        <v>1.0999999999999999E-2</v>
      </c>
    </row>
    <row r="28" spans="1:35" x14ac:dyDescent="0.25">
      <c r="A28" t="s">
        <v>1055</v>
      </c>
      <c r="C28" t="s">
        <v>1056</v>
      </c>
      <c r="D28" t="s">
        <v>1057</v>
      </c>
      <c r="E28" t="s">
        <v>1058</v>
      </c>
      <c r="F28" t="s">
        <v>967</v>
      </c>
      <c r="H28">
        <v>816.09600799999998</v>
      </c>
      <c r="I28">
        <v>829.73065199999996</v>
      </c>
      <c r="J28">
        <v>826.35809300000005</v>
      </c>
      <c r="K28">
        <v>822.63525400000003</v>
      </c>
      <c r="L28">
        <v>818.11364700000001</v>
      </c>
      <c r="M28">
        <v>811.78979500000003</v>
      </c>
      <c r="N28">
        <v>801.87268100000006</v>
      </c>
      <c r="O28">
        <v>790.94000200000005</v>
      </c>
      <c r="P28">
        <v>777.92773399999999</v>
      </c>
      <c r="Q28">
        <v>764.57977300000005</v>
      </c>
      <c r="R28">
        <v>753.02172900000005</v>
      </c>
      <c r="S28">
        <v>741.50933799999996</v>
      </c>
      <c r="T28">
        <v>729.787598</v>
      </c>
      <c r="U28">
        <v>718.64050299999997</v>
      </c>
      <c r="V28">
        <v>709.417236</v>
      </c>
      <c r="W28">
        <v>702.52929700000004</v>
      </c>
      <c r="X28">
        <v>697.51464799999997</v>
      </c>
      <c r="Y28">
        <v>692.16033900000002</v>
      </c>
      <c r="Z28">
        <v>686.87670900000001</v>
      </c>
      <c r="AA28">
        <v>682.12921100000005</v>
      </c>
      <c r="AB28">
        <v>678.85687299999995</v>
      </c>
      <c r="AC28">
        <v>674.43170199999997</v>
      </c>
      <c r="AD28">
        <v>672.45916699999998</v>
      </c>
      <c r="AE28">
        <v>673.334656</v>
      </c>
      <c r="AF28">
        <v>671.36792000000003</v>
      </c>
      <c r="AG28">
        <v>672.13104199999998</v>
      </c>
      <c r="AH28">
        <v>673.04504399999996</v>
      </c>
      <c r="AI28">
        <v>-7.0000000000000001E-3</v>
      </c>
    </row>
    <row r="29" spans="1:35" x14ac:dyDescent="0.25">
      <c r="A29" t="s">
        <v>1059</v>
      </c>
      <c r="B29" t="s">
        <v>1060</v>
      </c>
      <c r="C29" t="s">
        <v>1061</v>
      </c>
      <c r="D29" t="s">
        <v>1062</v>
      </c>
      <c r="E29" t="s">
        <v>1063</v>
      </c>
      <c r="F29" t="s">
        <v>967</v>
      </c>
      <c r="H29">
        <v>773.82189900000003</v>
      </c>
      <c r="I29">
        <v>786.61840800000004</v>
      </c>
      <c r="J29">
        <v>783.18322799999999</v>
      </c>
      <c r="K29">
        <v>779.68902600000001</v>
      </c>
      <c r="L29">
        <v>775.45001200000002</v>
      </c>
      <c r="M29">
        <v>769.39807099999996</v>
      </c>
      <c r="N29">
        <v>759.90216099999998</v>
      </c>
      <c r="O29">
        <v>749.35314900000003</v>
      </c>
      <c r="P29">
        <v>736.87854000000004</v>
      </c>
      <c r="Q29">
        <v>724.18066399999998</v>
      </c>
      <c r="R29">
        <v>713.24438499999997</v>
      </c>
      <c r="S29">
        <v>702.28900099999998</v>
      </c>
      <c r="T29">
        <v>691.01855499999999</v>
      </c>
      <c r="U29">
        <v>680.32849099999999</v>
      </c>
      <c r="V29">
        <v>671.50891100000001</v>
      </c>
      <c r="W29">
        <v>664.93426499999998</v>
      </c>
      <c r="X29">
        <v>660.10656700000004</v>
      </c>
      <c r="Y29">
        <v>654.97393799999998</v>
      </c>
      <c r="Z29">
        <v>650.02429199999995</v>
      </c>
      <c r="AA29">
        <v>645.57031199999994</v>
      </c>
      <c r="AB29">
        <v>642.48950200000002</v>
      </c>
      <c r="AC29">
        <v>638.27270499999997</v>
      </c>
      <c r="AD29">
        <v>636.51153599999998</v>
      </c>
      <c r="AE29">
        <v>637.53350799999998</v>
      </c>
      <c r="AF29">
        <v>635.75726299999997</v>
      </c>
      <c r="AG29">
        <v>636.62994400000002</v>
      </c>
      <c r="AH29">
        <v>637.63330099999996</v>
      </c>
      <c r="AI29">
        <v>-7.0000000000000001E-3</v>
      </c>
    </row>
    <row r="30" spans="1:35" x14ac:dyDescent="0.25">
      <c r="A30" t="s">
        <v>1064</v>
      </c>
      <c r="B30" t="s">
        <v>1065</v>
      </c>
      <c r="C30" t="s">
        <v>1066</v>
      </c>
      <c r="D30" t="s">
        <v>1067</v>
      </c>
      <c r="E30" t="s">
        <v>1068</v>
      </c>
      <c r="F30" t="s">
        <v>967</v>
      </c>
      <c r="H30">
        <v>42.274090000000001</v>
      </c>
      <c r="I30">
        <v>43.112217000000001</v>
      </c>
      <c r="J30">
        <v>43.174866000000002</v>
      </c>
      <c r="K30">
        <v>42.946219999999997</v>
      </c>
      <c r="L30">
        <v>42.663628000000003</v>
      </c>
      <c r="M30">
        <v>42.391700999999998</v>
      </c>
      <c r="N30">
        <v>41.970547000000003</v>
      </c>
      <c r="O30">
        <v>41.586860999999999</v>
      </c>
      <c r="P30">
        <v>41.049202000000001</v>
      </c>
      <c r="Q30">
        <v>40.399085999999997</v>
      </c>
      <c r="R30">
        <v>39.777332000000001</v>
      </c>
      <c r="S30">
        <v>39.220340999999998</v>
      </c>
      <c r="T30">
        <v>38.769024000000002</v>
      </c>
      <c r="U30">
        <v>38.312030999999998</v>
      </c>
      <c r="V30">
        <v>37.908340000000003</v>
      </c>
      <c r="W30">
        <v>37.595055000000002</v>
      </c>
      <c r="X30">
        <v>37.408057999999997</v>
      </c>
      <c r="Y30">
        <v>37.186394</v>
      </c>
      <c r="Z30">
        <v>36.85239</v>
      </c>
      <c r="AA30">
        <v>36.558922000000003</v>
      </c>
      <c r="AB30">
        <v>36.367348</v>
      </c>
      <c r="AC30">
        <v>36.158980999999997</v>
      </c>
      <c r="AD30">
        <v>35.947631999999999</v>
      </c>
      <c r="AE30">
        <v>35.801124999999999</v>
      </c>
      <c r="AF30">
        <v>35.610644999999998</v>
      </c>
      <c r="AG30">
        <v>35.501125000000002</v>
      </c>
      <c r="AH30">
        <v>35.411743000000001</v>
      </c>
      <c r="AI30">
        <v>-7.0000000000000001E-3</v>
      </c>
    </row>
    <row r="31" spans="1:35" x14ac:dyDescent="0.25">
      <c r="A31" t="s">
        <v>1069</v>
      </c>
      <c r="B31" t="s">
        <v>1070</v>
      </c>
      <c r="C31" t="s">
        <v>1071</v>
      </c>
      <c r="D31" t="s">
        <v>1072</v>
      </c>
      <c r="E31" t="s">
        <v>1073</v>
      </c>
      <c r="F31" t="s">
        <v>967</v>
      </c>
      <c r="H31">
        <v>212.32913199999999</v>
      </c>
      <c r="I31">
        <v>217.69610599999999</v>
      </c>
      <c r="J31">
        <v>224.71417199999999</v>
      </c>
      <c r="K31">
        <v>228.99838299999999</v>
      </c>
      <c r="L31">
        <v>231.000732</v>
      </c>
      <c r="M31">
        <v>233.928268</v>
      </c>
      <c r="N31">
        <v>237.69215399999999</v>
      </c>
      <c r="O31">
        <v>241.49115</v>
      </c>
      <c r="P31">
        <v>245.09896900000001</v>
      </c>
      <c r="Q31">
        <v>248.243774</v>
      </c>
      <c r="R31">
        <v>252.30616800000001</v>
      </c>
      <c r="S31">
        <v>255.406128</v>
      </c>
      <c r="T31">
        <v>257.66836499999999</v>
      </c>
      <c r="U31">
        <v>260.66455100000002</v>
      </c>
      <c r="V31">
        <v>263.21542399999998</v>
      </c>
      <c r="W31">
        <v>265.90035999999998</v>
      </c>
      <c r="X31">
        <v>268.94296300000002</v>
      </c>
      <c r="Y31">
        <v>271.58007800000001</v>
      </c>
      <c r="Z31">
        <v>274.43542500000001</v>
      </c>
      <c r="AA31">
        <v>276.42465199999998</v>
      </c>
      <c r="AB31">
        <v>278.51159699999999</v>
      </c>
      <c r="AC31">
        <v>280.172211</v>
      </c>
      <c r="AD31">
        <v>282.02731299999999</v>
      </c>
      <c r="AE31">
        <v>284.19464099999999</v>
      </c>
      <c r="AF31">
        <v>286.12377900000001</v>
      </c>
      <c r="AG31">
        <v>288.19808999999998</v>
      </c>
      <c r="AH31">
        <v>289.85263099999997</v>
      </c>
      <c r="AI31">
        <v>1.2E-2</v>
      </c>
    </row>
    <row r="32" spans="1:35" x14ac:dyDescent="0.25">
      <c r="A32" t="s">
        <v>1074</v>
      </c>
      <c r="C32" t="s">
        <v>1075</v>
      </c>
      <c r="D32" t="s">
        <v>1076</v>
      </c>
      <c r="E32" t="s">
        <v>1077</v>
      </c>
      <c r="F32" t="s">
        <v>967</v>
      </c>
      <c r="H32">
        <v>111.547691</v>
      </c>
      <c r="I32">
        <v>111.646118</v>
      </c>
      <c r="J32">
        <v>111.83931</v>
      </c>
      <c r="K32">
        <v>112.530006</v>
      </c>
      <c r="L32">
        <v>113.191704</v>
      </c>
      <c r="M32">
        <v>113.502251</v>
      </c>
      <c r="N32">
        <v>114.45515399999999</v>
      </c>
      <c r="O32">
        <v>115.922195</v>
      </c>
      <c r="P32">
        <v>117.233231</v>
      </c>
      <c r="Q32">
        <v>118.135986</v>
      </c>
      <c r="R32">
        <v>118.88230900000001</v>
      </c>
      <c r="S32">
        <v>119.855042</v>
      </c>
      <c r="T32">
        <v>120.868042</v>
      </c>
      <c r="U32">
        <v>121.951553</v>
      </c>
      <c r="V32">
        <v>123.172432</v>
      </c>
      <c r="W32">
        <v>124.29541</v>
      </c>
      <c r="X32">
        <v>125.051186</v>
      </c>
      <c r="Y32">
        <v>125.540993</v>
      </c>
      <c r="Z32">
        <v>125.832672</v>
      </c>
      <c r="AA32">
        <v>125.669724</v>
      </c>
      <c r="AB32">
        <v>125.18317399999999</v>
      </c>
      <c r="AC32">
        <v>125.382446</v>
      </c>
      <c r="AD32">
        <v>126.047348</v>
      </c>
      <c r="AE32">
        <v>126.82730100000001</v>
      </c>
      <c r="AF32">
        <v>127.72215300000001</v>
      </c>
      <c r="AG32">
        <v>128.63948099999999</v>
      </c>
      <c r="AH32">
        <v>129.612427</v>
      </c>
      <c r="AI32">
        <v>6.0000000000000001E-3</v>
      </c>
    </row>
    <row r="33" spans="1:35" x14ac:dyDescent="0.25">
      <c r="A33" t="s">
        <v>1078</v>
      </c>
      <c r="B33" t="s">
        <v>1079</v>
      </c>
      <c r="C33" t="s">
        <v>1080</v>
      </c>
      <c r="D33" t="s">
        <v>1081</v>
      </c>
      <c r="E33" t="s">
        <v>1082</v>
      </c>
      <c r="F33" t="s">
        <v>967</v>
      </c>
      <c r="H33">
        <v>21.45093</v>
      </c>
      <c r="I33">
        <v>21.290244999999999</v>
      </c>
      <c r="J33">
        <v>21.242982999999999</v>
      </c>
      <c r="K33">
        <v>21.230723999999999</v>
      </c>
      <c r="L33">
        <v>21.263985000000002</v>
      </c>
      <c r="M33">
        <v>21.310061000000001</v>
      </c>
      <c r="N33">
        <v>21.371811000000001</v>
      </c>
      <c r="O33">
        <v>21.476692</v>
      </c>
      <c r="P33">
        <v>21.612559999999998</v>
      </c>
      <c r="Q33">
        <v>21.745702999999999</v>
      </c>
      <c r="R33">
        <v>21.890889999999999</v>
      </c>
      <c r="S33">
        <v>22.055412</v>
      </c>
      <c r="T33">
        <v>22.216677000000001</v>
      </c>
      <c r="U33">
        <v>22.397680000000001</v>
      </c>
      <c r="V33">
        <v>22.595711000000001</v>
      </c>
      <c r="W33">
        <v>22.798956</v>
      </c>
      <c r="X33">
        <v>23.015872999999999</v>
      </c>
      <c r="Y33">
        <v>23.235880000000002</v>
      </c>
      <c r="Z33">
        <v>23.452273999999999</v>
      </c>
      <c r="AA33">
        <v>23.653669000000001</v>
      </c>
      <c r="AB33">
        <v>23.834209000000001</v>
      </c>
      <c r="AC33">
        <v>23.998464999999999</v>
      </c>
      <c r="AD33">
        <v>24.152999999999999</v>
      </c>
      <c r="AE33">
        <v>24.320281999999999</v>
      </c>
      <c r="AF33">
        <v>24.498272</v>
      </c>
      <c r="AG33">
        <v>24.677088000000001</v>
      </c>
      <c r="AH33">
        <v>24.843610999999999</v>
      </c>
      <c r="AI33">
        <v>6.0000000000000001E-3</v>
      </c>
    </row>
    <row r="34" spans="1:35" x14ac:dyDescent="0.25">
      <c r="A34" t="s">
        <v>1083</v>
      </c>
      <c r="B34" t="s">
        <v>1084</v>
      </c>
      <c r="C34" t="s">
        <v>1085</v>
      </c>
      <c r="D34" t="s">
        <v>1086</v>
      </c>
      <c r="E34" t="s">
        <v>1087</v>
      </c>
      <c r="F34" t="s">
        <v>967</v>
      </c>
      <c r="H34">
        <v>9.3054120000000005</v>
      </c>
      <c r="I34">
        <v>9.3415520000000001</v>
      </c>
      <c r="J34">
        <v>9.2711919999999992</v>
      </c>
      <c r="K34">
        <v>9.2796289999999999</v>
      </c>
      <c r="L34">
        <v>9.351248</v>
      </c>
      <c r="M34">
        <v>9.4330730000000003</v>
      </c>
      <c r="N34">
        <v>9.5575189999999992</v>
      </c>
      <c r="O34">
        <v>9.7036859999999994</v>
      </c>
      <c r="P34">
        <v>9.8557319999999997</v>
      </c>
      <c r="Q34">
        <v>9.9995840000000005</v>
      </c>
      <c r="R34">
        <v>10.131539999999999</v>
      </c>
      <c r="S34">
        <v>10.260571000000001</v>
      </c>
      <c r="T34">
        <v>10.387729999999999</v>
      </c>
      <c r="U34">
        <v>10.523909</v>
      </c>
      <c r="V34">
        <v>10.673493000000001</v>
      </c>
      <c r="W34">
        <v>10.821849</v>
      </c>
      <c r="X34">
        <v>10.946847999999999</v>
      </c>
      <c r="Y34">
        <v>11.046646000000001</v>
      </c>
      <c r="Z34">
        <v>11.118332000000001</v>
      </c>
      <c r="AA34">
        <v>11.148250000000001</v>
      </c>
      <c r="AB34">
        <v>11.14453</v>
      </c>
      <c r="AC34">
        <v>11.166449999999999</v>
      </c>
      <c r="AD34">
        <v>11.222955000000001</v>
      </c>
      <c r="AE34">
        <v>11.310638000000001</v>
      </c>
      <c r="AF34">
        <v>11.422865</v>
      </c>
      <c r="AG34">
        <v>11.550447</v>
      </c>
      <c r="AH34">
        <v>11.685319</v>
      </c>
      <c r="AI34">
        <v>8.9999999999999993E-3</v>
      </c>
    </row>
    <row r="35" spans="1:35" x14ac:dyDescent="0.25">
      <c r="A35" t="s">
        <v>1088</v>
      </c>
      <c r="B35" t="s">
        <v>1084</v>
      </c>
      <c r="C35" t="s">
        <v>1089</v>
      </c>
      <c r="D35" t="s">
        <v>1090</v>
      </c>
      <c r="E35" t="s">
        <v>1091</v>
      </c>
      <c r="F35" t="s">
        <v>967</v>
      </c>
      <c r="H35">
        <v>80.791351000000006</v>
      </c>
      <c r="I35">
        <v>81.014319999999998</v>
      </c>
      <c r="J35">
        <v>81.325134000000006</v>
      </c>
      <c r="K35">
        <v>82.019653000000005</v>
      </c>
      <c r="L35">
        <v>82.576469000000003</v>
      </c>
      <c r="M35">
        <v>82.759117000000003</v>
      </c>
      <c r="N35">
        <v>83.525825999999995</v>
      </c>
      <c r="O35">
        <v>84.741814000000005</v>
      </c>
      <c r="P35">
        <v>85.764938000000001</v>
      </c>
      <c r="Q35">
        <v>86.390701000000007</v>
      </c>
      <c r="R35">
        <v>86.859879000000006</v>
      </c>
      <c r="S35">
        <v>87.539062000000001</v>
      </c>
      <c r="T35">
        <v>88.263633999999996</v>
      </c>
      <c r="U35">
        <v>89.029967999999997</v>
      </c>
      <c r="V35">
        <v>89.903228999999996</v>
      </c>
      <c r="W35">
        <v>90.674605999999997</v>
      </c>
      <c r="X35">
        <v>91.088463000000004</v>
      </c>
      <c r="Y35">
        <v>91.258469000000005</v>
      </c>
      <c r="Z35">
        <v>91.262069999999994</v>
      </c>
      <c r="AA35">
        <v>90.867805000000004</v>
      </c>
      <c r="AB35">
        <v>90.204436999999999</v>
      </c>
      <c r="AC35">
        <v>90.217528999999999</v>
      </c>
      <c r="AD35">
        <v>90.671394000000006</v>
      </c>
      <c r="AE35">
        <v>91.196381000000002</v>
      </c>
      <c r="AF35">
        <v>91.801017999999999</v>
      </c>
      <c r="AG35">
        <v>92.411949000000007</v>
      </c>
      <c r="AH35">
        <v>93.083488000000003</v>
      </c>
      <c r="AI35">
        <v>5.0000000000000001E-3</v>
      </c>
    </row>
    <row r="36" spans="1:35" x14ac:dyDescent="0.25">
      <c r="A36" t="s">
        <v>1092</v>
      </c>
      <c r="C36" t="s">
        <v>1093</v>
      </c>
      <c r="D36" t="s">
        <v>1094</v>
      </c>
      <c r="E36" t="s">
        <v>1095</v>
      </c>
      <c r="F36" t="s">
        <v>967</v>
      </c>
      <c r="H36">
        <v>244.865036</v>
      </c>
      <c r="I36">
        <v>248.52803</v>
      </c>
      <c r="J36">
        <v>255.542496</v>
      </c>
      <c r="K36">
        <v>258.274902</v>
      </c>
      <c r="L36">
        <v>258.45053100000001</v>
      </c>
      <c r="M36">
        <v>259.36413599999997</v>
      </c>
      <c r="N36">
        <v>262.413971</v>
      </c>
      <c r="O36">
        <v>266.26843300000002</v>
      </c>
      <c r="P36">
        <v>270.278839</v>
      </c>
      <c r="Q36">
        <v>271.53185999999999</v>
      </c>
      <c r="R36">
        <v>274.66314699999998</v>
      </c>
      <c r="S36">
        <v>277.69369499999999</v>
      </c>
      <c r="T36">
        <v>280.42724600000003</v>
      </c>
      <c r="U36">
        <v>284.75625600000001</v>
      </c>
      <c r="V36">
        <v>288.45294200000001</v>
      </c>
      <c r="W36">
        <v>292.01385499999998</v>
      </c>
      <c r="X36">
        <v>297.00689699999998</v>
      </c>
      <c r="Y36">
        <v>300.80423000000002</v>
      </c>
      <c r="Z36">
        <v>303.97219799999999</v>
      </c>
      <c r="AA36">
        <v>308.31237800000002</v>
      </c>
      <c r="AB36">
        <v>311.885468</v>
      </c>
      <c r="AC36">
        <v>314.56079099999999</v>
      </c>
      <c r="AD36">
        <v>316.64413500000001</v>
      </c>
      <c r="AE36">
        <v>319.67553700000002</v>
      </c>
      <c r="AF36">
        <v>321.56710800000002</v>
      </c>
      <c r="AG36">
        <v>322.92242399999998</v>
      </c>
      <c r="AH36">
        <v>324.23211700000002</v>
      </c>
      <c r="AI36">
        <v>1.0999999999999999E-2</v>
      </c>
    </row>
    <row r="37" spans="1:35" x14ac:dyDescent="0.25">
      <c r="A37" t="s">
        <v>1096</v>
      </c>
      <c r="B37" t="s">
        <v>1065</v>
      </c>
      <c r="C37" t="s">
        <v>1097</v>
      </c>
      <c r="D37" t="s">
        <v>1098</v>
      </c>
      <c r="E37" t="s">
        <v>1099</v>
      </c>
      <c r="F37" t="s">
        <v>967</v>
      </c>
      <c r="H37">
        <v>131.325729</v>
      </c>
      <c r="I37">
        <v>134.934113</v>
      </c>
      <c r="J37">
        <v>141.45988500000001</v>
      </c>
      <c r="K37">
        <v>142.77377300000001</v>
      </c>
      <c r="L37">
        <v>141.88793899999999</v>
      </c>
      <c r="M37">
        <v>141.749786</v>
      </c>
      <c r="N37">
        <v>143.738235</v>
      </c>
      <c r="O37">
        <v>146.534988</v>
      </c>
      <c r="P37">
        <v>149.384964</v>
      </c>
      <c r="Q37">
        <v>149.45510899999999</v>
      </c>
      <c r="R37">
        <v>151.37814299999999</v>
      </c>
      <c r="S37">
        <v>153.10629299999999</v>
      </c>
      <c r="T37">
        <v>154.53630100000001</v>
      </c>
      <c r="U37">
        <v>157.535034</v>
      </c>
      <c r="V37">
        <v>159.87338299999999</v>
      </c>
      <c r="W37">
        <v>162.08471700000001</v>
      </c>
      <c r="X37">
        <v>165.732437</v>
      </c>
      <c r="Y37">
        <v>168.196808</v>
      </c>
      <c r="Z37">
        <v>170.064301</v>
      </c>
      <c r="AA37">
        <v>173.14265399999999</v>
      </c>
      <c r="AB37">
        <v>175.50889599999999</v>
      </c>
      <c r="AC37">
        <v>177.04949999999999</v>
      </c>
      <c r="AD37">
        <v>178.07887299999999</v>
      </c>
      <c r="AE37">
        <v>180.09767199999999</v>
      </c>
      <c r="AF37">
        <v>181.03627</v>
      </c>
      <c r="AG37">
        <v>181.499786</v>
      </c>
      <c r="AH37">
        <v>181.988113</v>
      </c>
      <c r="AI37">
        <v>1.2999999999999999E-2</v>
      </c>
    </row>
    <row r="38" spans="1:35" x14ac:dyDescent="0.25">
      <c r="A38" t="s">
        <v>1100</v>
      </c>
      <c r="B38" t="s">
        <v>1101</v>
      </c>
      <c r="C38" t="s">
        <v>1102</v>
      </c>
      <c r="D38" t="s">
        <v>1103</v>
      </c>
      <c r="E38" t="s">
        <v>1104</v>
      </c>
      <c r="F38" t="s">
        <v>967</v>
      </c>
      <c r="H38">
        <v>34.597599000000002</v>
      </c>
      <c r="I38">
        <v>34.167324000000001</v>
      </c>
      <c r="J38">
        <v>34.714939000000001</v>
      </c>
      <c r="K38">
        <v>35.325741000000001</v>
      </c>
      <c r="L38">
        <v>35.804805999999999</v>
      </c>
      <c r="M38">
        <v>36.362533999999997</v>
      </c>
      <c r="N38">
        <v>36.869461000000001</v>
      </c>
      <c r="O38">
        <v>37.424278000000001</v>
      </c>
      <c r="P38">
        <v>38.041747999999998</v>
      </c>
      <c r="Q38">
        <v>38.662601000000002</v>
      </c>
      <c r="R38">
        <v>39.322856999999999</v>
      </c>
      <c r="S38">
        <v>40.049435000000003</v>
      </c>
      <c r="T38">
        <v>40.793427000000001</v>
      </c>
      <c r="U38">
        <v>41.567073999999998</v>
      </c>
      <c r="V38">
        <v>42.354301</v>
      </c>
      <c r="W38">
        <v>43.131816999999998</v>
      </c>
      <c r="X38">
        <v>43.905979000000002</v>
      </c>
      <c r="Y38">
        <v>44.671326000000001</v>
      </c>
      <c r="Z38">
        <v>45.415844</v>
      </c>
      <c r="AA38">
        <v>46.116340999999998</v>
      </c>
      <c r="AB38">
        <v>46.751091000000002</v>
      </c>
      <c r="AC38">
        <v>47.299404000000003</v>
      </c>
      <c r="AD38">
        <v>47.767882999999998</v>
      </c>
      <c r="AE38">
        <v>48.191673000000002</v>
      </c>
      <c r="AF38">
        <v>48.568092</v>
      </c>
      <c r="AG38">
        <v>48.904499000000001</v>
      </c>
      <c r="AH38">
        <v>49.198971</v>
      </c>
      <c r="AI38">
        <v>1.4E-2</v>
      </c>
    </row>
    <row r="39" spans="1:35" x14ac:dyDescent="0.25">
      <c r="A39" t="s">
        <v>1105</v>
      </c>
      <c r="B39" t="s">
        <v>1101</v>
      </c>
      <c r="C39" t="s">
        <v>1106</v>
      </c>
      <c r="D39" t="s">
        <v>1107</v>
      </c>
      <c r="E39" t="s">
        <v>1108</v>
      </c>
      <c r="F39" t="s">
        <v>967</v>
      </c>
      <c r="H39">
        <v>78.941710999999998</v>
      </c>
      <c r="I39">
        <v>79.426581999999996</v>
      </c>
      <c r="J39">
        <v>79.367667999999995</v>
      </c>
      <c r="K39">
        <v>80.175369000000003</v>
      </c>
      <c r="L39">
        <v>80.75779</v>
      </c>
      <c r="M39">
        <v>81.251801</v>
      </c>
      <c r="N39">
        <v>81.806281999999996</v>
      </c>
      <c r="O39">
        <v>82.309166000000005</v>
      </c>
      <c r="P39">
        <v>82.852135000000004</v>
      </c>
      <c r="Q39">
        <v>83.414146000000002</v>
      </c>
      <c r="R39">
        <v>83.962135000000004</v>
      </c>
      <c r="S39">
        <v>84.537955999999994</v>
      </c>
      <c r="T39">
        <v>85.097519000000005</v>
      </c>
      <c r="U39">
        <v>85.654174999999995</v>
      </c>
      <c r="V39">
        <v>86.225257999999997</v>
      </c>
      <c r="W39">
        <v>86.797302000000002</v>
      </c>
      <c r="X39">
        <v>87.368469000000005</v>
      </c>
      <c r="Y39">
        <v>87.936096000000006</v>
      </c>
      <c r="Z39">
        <v>88.492042999999995</v>
      </c>
      <c r="AA39">
        <v>89.053382999999997</v>
      </c>
      <c r="AB39">
        <v>89.625504000000006</v>
      </c>
      <c r="AC39">
        <v>90.211867999999996</v>
      </c>
      <c r="AD39">
        <v>90.797393999999997</v>
      </c>
      <c r="AE39">
        <v>91.386200000000002</v>
      </c>
      <c r="AF39">
        <v>91.962722999999997</v>
      </c>
      <c r="AG39">
        <v>92.518127000000007</v>
      </c>
      <c r="AH39">
        <v>93.045012999999997</v>
      </c>
      <c r="AI39">
        <v>6.0000000000000001E-3</v>
      </c>
    </row>
    <row r="40" spans="1:35" x14ac:dyDescent="0.25">
      <c r="A40" t="s">
        <v>1109</v>
      </c>
      <c r="B40" t="s">
        <v>1110</v>
      </c>
      <c r="C40" t="s">
        <v>1111</v>
      </c>
      <c r="D40" t="s">
        <v>1112</v>
      </c>
      <c r="E40" t="s">
        <v>1113</v>
      </c>
      <c r="F40" t="s">
        <v>967</v>
      </c>
      <c r="H40">
        <v>302.45358299999998</v>
      </c>
      <c r="I40">
        <v>308.42364500000002</v>
      </c>
      <c r="J40">
        <v>320.75329599999998</v>
      </c>
      <c r="K40">
        <v>328.51696800000002</v>
      </c>
      <c r="L40">
        <v>329.17980999999997</v>
      </c>
      <c r="M40">
        <v>329.989777</v>
      </c>
      <c r="N40">
        <v>332.51956200000001</v>
      </c>
      <c r="O40">
        <v>335.48730499999999</v>
      </c>
      <c r="P40">
        <v>338.850281</v>
      </c>
      <c r="Q40">
        <v>339.64154100000002</v>
      </c>
      <c r="R40">
        <v>343.304688</v>
      </c>
      <c r="S40">
        <v>344.99401899999998</v>
      </c>
      <c r="T40">
        <v>347.50637799999998</v>
      </c>
      <c r="U40">
        <v>351.45007299999997</v>
      </c>
      <c r="V40">
        <v>354.34689300000002</v>
      </c>
      <c r="W40">
        <v>357.36279300000001</v>
      </c>
      <c r="X40">
        <v>361.16931199999999</v>
      </c>
      <c r="Y40">
        <v>363.91494799999998</v>
      </c>
      <c r="Z40">
        <v>366.687836</v>
      </c>
      <c r="AA40">
        <v>368.30096400000002</v>
      </c>
      <c r="AB40">
        <v>371.01907299999999</v>
      </c>
      <c r="AC40">
        <v>372.19131499999997</v>
      </c>
      <c r="AD40">
        <v>374.320221</v>
      </c>
      <c r="AE40">
        <v>376.14328</v>
      </c>
      <c r="AF40">
        <v>377.55276500000002</v>
      </c>
      <c r="AG40">
        <v>379.67996199999999</v>
      </c>
      <c r="AH40">
        <v>379.72183200000001</v>
      </c>
      <c r="AI40">
        <v>8.9999999999999993E-3</v>
      </c>
    </row>
    <row r="41" spans="1:35" x14ac:dyDescent="0.25">
      <c r="A41" t="s">
        <v>1114</v>
      </c>
      <c r="B41" t="s">
        <v>1115</v>
      </c>
      <c r="C41" t="s">
        <v>1116</v>
      </c>
      <c r="D41" t="s">
        <v>1117</v>
      </c>
      <c r="E41" t="s">
        <v>1118</v>
      </c>
      <c r="F41" t="s">
        <v>967</v>
      </c>
      <c r="H41">
        <v>298.00756799999999</v>
      </c>
      <c r="I41">
        <v>301.46786500000002</v>
      </c>
      <c r="J41">
        <v>307.61700400000001</v>
      </c>
      <c r="K41">
        <v>319.36669899999998</v>
      </c>
      <c r="L41">
        <v>326.12960800000002</v>
      </c>
      <c r="M41">
        <v>331.91284200000001</v>
      </c>
      <c r="N41">
        <v>338.64636200000001</v>
      </c>
      <c r="O41">
        <v>343.727081</v>
      </c>
      <c r="P41">
        <v>348.29406699999998</v>
      </c>
      <c r="Q41">
        <v>349.59146099999998</v>
      </c>
      <c r="R41">
        <v>352.93121300000001</v>
      </c>
      <c r="S41">
        <v>355.55087300000002</v>
      </c>
      <c r="T41">
        <v>358.416809</v>
      </c>
      <c r="U41">
        <v>361.28417999999999</v>
      </c>
      <c r="V41">
        <v>362.44918799999999</v>
      </c>
      <c r="W41">
        <v>363.33535799999999</v>
      </c>
      <c r="X41">
        <v>364.77499399999999</v>
      </c>
      <c r="Y41">
        <v>365.61196899999999</v>
      </c>
      <c r="Z41">
        <v>366.47958399999999</v>
      </c>
      <c r="AA41">
        <v>366.93136600000003</v>
      </c>
      <c r="AB41">
        <v>367.69512900000001</v>
      </c>
      <c r="AC41">
        <v>367.91857900000002</v>
      </c>
      <c r="AD41">
        <v>368.88497899999999</v>
      </c>
      <c r="AE41">
        <v>370.44448899999998</v>
      </c>
      <c r="AF41">
        <v>370.69085699999999</v>
      </c>
      <c r="AG41">
        <v>371.66427599999997</v>
      </c>
      <c r="AH41">
        <v>371.93856799999998</v>
      </c>
      <c r="AI41">
        <v>8.9999999999999993E-3</v>
      </c>
    </row>
    <row r="42" spans="1:35" x14ac:dyDescent="0.25">
      <c r="A42" t="s">
        <v>1119</v>
      </c>
      <c r="B42" t="s">
        <v>1120</v>
      </c>
      <c r="C42" t="s">
        <v>1121</v>
      </c>
      <c r="D42" t="s">
        <v>1122</v>
      </c>
      <c r="E42" t="s">
        <v>1123</v>
      </c>
      <c r="F42" t="s">
        <v>967</v>
      </c>
      <c r="H42">
        <v>440.02227800000003</v>
      </c>
      <c r="I42">
        <v>457.77365099999997</v>
      </c>
      <c r="J42">
        <v>467.24835200000001</v>
      </c>
      <c r="K42">
        <v>485.610229</v>
      </c>
      <c r="L42">
        <v>505.60598800000002</v>
      </c>
      <c r="M42">
        <v>521.77954099999999</v>
      </c>
      <c r="N42">
        <v>537.28900099999998</v>
      </c>
      <c r="O42">
        <v>552.02996800000005</v>
      </c>
      <c r="P42">
        <v>567.71087599999998</v>
      </c>
      <c r="Q42">
        <v>579.98846400000002</v>
      </c>
      <c r="R42">
        <v>593.50488299999995</v>
      </c>
      <c r="S42">
        <v>608.81079099999999</v>
      </c>
      <c r="T42">
        <v>626.12176499999998</v>
      </c>
      <c r="U42">
        <v>643.887878</v>
      </c>
      <c r="V42">
        <v>661.97845500000005</v>
      </c>
      <c r="W42">
        <v>681.56664999999998</v>
      </c>
      <c r="X42">
        <v>702.596497</v>
      </c>
      <c r="Y42">
        <v>724.23217799999998</v>
      </c>
      <c r="Z42">
        <v>746.66784700000005</v>
      </c>
      <c r="AA42">
        <v>768.78619400000002</v>
      </c>
      <c r="AB42">
        <v>792.41302499999995</v>
      </c>
      <c r="AC42">
        <v>815.76190199999996</v>
      </c>
      <c r="AD42">
        <v>841.44476299999997</v>
      </c>
      <c r="AE42">
        <v>868.17761199999995</v>
      </c>
      <c r="AF42">
        <v>895.31726100000003</v>
      </c>
      <c r="AG42">
        <v>922.963257</v>
      </c>
      <c r="AH42">
        <v>950.84960899999999</v>
      </c>
      <c r="AI42">
        <v>0.03</v>
      </c>
    </row>
    <row r="43" spans="1:35" x14ac:dyDescent="0.25">
      <c r="A43" t="s">
        <v>1124</v>
      </c>
      <c r="B43" t="s">
        <v>1125</v>
      </c>
      <c r="C43" t="s">
        <v>1126</v>
      </c>
      <c r="D43" t="s">
        <v>1127</v>
      </c>
      <c r="E43" t="s">
        <v>1128</v>
      </c>
      <c r="F43" t="s">
        <v>967</v>
      </c>
      <c r="H43">
        <v>1067.6899410000001</v>
      </c>
      <c r="I43">
        <v>1135.095947</v>
      </c>
      <c r="J43">
        <v>1211.557495</v>
      </c>
      <c r="K43">
        <v>1234.7139890000001</v>
      </c>
      <c r="L43">
        <v>1260.6259769999999</v>
      </c>
      <c r="M43">
        <v>1284.1857910000001</v>
      </c>
      <c r="N43">
        <v>1298.3616939999999</v>
      </c>
      <c r="O43">
        <v>1299.6274410000001</v>
      </c>
      <c r="P43">
        <v>1310.2197269999999</v>
      </c>
      <c r="Q43">
        <v>1323.284302</v>
      </c>
      <c r="R43">
        <v>1352.747803</v>
      </c>
      <c r="S43">
        <v>1371.8914789999999</v>
      </c>
      <c r="T43">
        <v>1384.0620120000001</v>
      </c>
      <c r="U43">
        <v>1398.4255370000001</v>
      </c>
      <c r="V43">
        <v>1415.861206</v>
      </c>
      <c r="W43">
        <v>1434.6405030000001</v>
      </c>
      <c r="X43">
        <v>1452.193237</v>
      </c>
      <c r="Y43">
        <v>1466.6412350000001</v>
      </c>
      <c r="Z43">
        <v>1482.1951899999999</v>
      </c>
      <c r="AA43">
        <v>1494.6827390000001</v>
      </c>
      <c r="AB43">
        <v>1508.628052</v>
      </c>
      <c r="AC43">
        <v>1524.2349850000001</v>
      </c>
      <c r="AD43">
        <v>1539.3557129999999</v>
      </c>
      <c r="AE43">
        <v>1554.1062010000001</v>
      </c>
      <c r="AF43">
        <v>1568.6697999999999</v>
      </c>
      <c r="AG43">
        <v>1581.38147</v>
      </c>
      <c r="AH43">
        <v>1589.3907469999999</v>
      </c>
      <c r="AI43">
        <v>1.4999999999999999E-2</v>
      </c>
    </row>
    <row r="44" spans="1:35" x14ac:dyDescent="0.25">
      <c r="A44" t="s">
        <v>1129</v>
      </c>
      <c r="B44" t="s">
        <v>1130</v>
      </c>
      <c r="C44" t="s">
        <v>1131</v>
      </c>
      <c r="D44" t="s">
        <v>1132</v>
      </c>
      <c r="E44" t="s">
        <v>1133</v>
      </c>
      <c r="F44" t="s">
        <v>967</v>
      </c>
      <c r="H44">
        <v>117.174522</v>
      </c>
      <c r="I44">
        <v>117.89025100000001</v>
      </c>
      <c r="J44">
        <v>117.056648</v>
      </c>
      <c r="K44">
        <v>118.637428</v>
      </c>
      <c r="L44">
        <v>121.15160400000001</v>
      </c>
      <c r="M44">
        <v>122.98989899999999</v>
      </c>
      <c r="N44">
        <v>124.640625</v>
      </c>
      <c r="O44">
        <v>125.65284699999999</v>
      </c>
      <c r="P44">
        <v>126.778503</v>
      </c>
      <c r="Q44">
        <v>126.76082599999999</v>
      </c>
      <c r="R44">
        <v>126.97957599999999</v>
      </c>
      <c r="S44">
        <v>127.534897</v>
      </c>
      <c r="T44">
        <v>128.186218</v>
      </c>
      <c r="U44">
        <v>128.977249</v>
      </c>
      <c r="V44">
        <v>129.602203</v>
      </c>
      <c r="W44">
        <v>130.39653000000001</v>
      </c>
      <c r="X44">
        <v>131.375854</v>
      </c>
      <c r="Y44">
        <v>132.214798</v>
      </c>
      <c r="Z44">
        <v>133.019226</v>
      </c>
      <c r="AA44">
        <v>133.660675</v>
      </c>
      <c r="AB44">
        <v>134.388824</v>
      </c>
      <c r="AC44">
        <v>134.90304599999999</v>
      </c>
      <c r="AD44">
        <v>135.610321</v>
      </c>
      <c r="AE44">
        <v>136.45515399999999</v>
      </c>
      <c r="AF44">
        <v>137.008881</v>
      </c>
      <c r="AG44">
        <v>137.575974</v>
      </c>
      <c r="AH44">
        <v>137.96229600000001</v>
      </c>
      <c r="AI44">
        <v>6.0000000000000001E-3</v>
      </c>
    </row>
    <row r="45" spans="1:35" x14ac:dyDescent="0.25">
      <c r="A45" t="s">
        <v>1134</v>
      </c>
      <c r="B45" t="s">
        <v>1011</v>
      </c>
      <c r="C45" t="s">
        <v>1135</v>
      </c>
      <c r="D45" t="s">
        <v>1136</v>
      </c>
      <c r="E45" t="s">
        <v>1137</v>
      </c>
      <c r="F45" t="s">
        <v>967</v>
      </c>
      <c r="H45">
        <v>153.33036799999999</v>
      </c>
      <c r="I45">
        <v>157.286224</v>
      </c>
      <c r="J45">
        <v>161.45156900000001</v>
      </c>
      <c r="K45">
        <v>166.08694499999999</v>
      </c>
      <c r="L45">
        <v>170.00337200000001</v>
      </c>
      <c r="M45">
        <v>172.20495600000001</v>
      </c>
      <c r="N45">
        <v>174.93879699999999</v>
      </c>
      <c r="O45">
        <v>177.68588299999999</v>
      </c>
      <c r="P45">
        <v>181.15734900000001</v>
      </c>
      <c r="Q45">
        <v>182.864746</v>
      </c>
      <c r="R45">
        <v>184.450928</v>
      </c>
      <c r="S45">
        <v>186.48675499999999</v>
      </c>
      <c r="T45">
        <v>188.98085</v>
      </c>
      <c r="U45">
        <v>191.598297</v>
      </c>
      <c r="V45">
        <v>193.246002</v>
      </c>
      <c r="W45">
        <v>194.85244800000001</v>
      </c>
      <c r="X45">
        <v>196.92515599999999</v>
      </c>
      <c r="Y45">
        <v>199.009705</v>
      </c>
      <c r="Z45">
        <v>201.02314799999999</v>
      </c>
      <c r="AA45">
        <v>202.837402</v>
      </c>
      <c r="AB45">
        <v>204.95594800000001</v>
      </c>
      <c r="AC45">
        <v>206.374527</v>
      </c>
      <c r="AD45">
        <v>208.37825000000001</v>
      </c>
      <c r="AE45">
        <v>210.46847500000001</v>
      </c>
      <c r="AF45">
        <v>211.74797100000001</v>
      </c>
      <c r="AG45">
        <v>214.56938199999999</v>
      </c>
      <c r="AH45">
        <v>214.75027499999999</v>
      </c>
      <c r="AI45">
        <v>1.2999999999999999E-2</v>
      </c>
    </row>
    <row r="46" spans="1:35" x14ac:dyDescent="0.25">
      <c r="A46" t="s">
        <v>1138</v>
      </c>
      <c r="C46" t="s">
        <v>1139</v>
      </c>
      <c r="D46" t="s">
        <v>1140</v>
      </c>
      <c r="E46" t="s">
        <v>1141</v>
      </c>
      <c r="F46" t="s">
        <v>967</v>
      </c>
      <c r="H46">
        <v>8693.2158199999994</v>
      </c>
      <c r="I46">
        <v>8880.0214840000008</v>
      </c>
      <c r="J46">
        <v>9023.890625</v>
      </c>
      <c r="K46">
        <v>9136.9667969999991</v>
      </c>
      <c r="L46">
        <v>9250.2939449999994</v>
      </c>
      <c r="M46">
        <v>9368.2060550000006</v>
      </c>
      <c r="N46">
        <v>9471.4023440000001</v>
      </c>
      <c r="O46">
        <v>9544.3271480000003</v>
      </c>
      <c r="P46">
        <v>9631.375</v>
      </c>
      <c r="Q46">
        <v>9680.8300780000009</v>
      </c>
      <c r="R46">
        <v>9759.0693360000005</v>
      </c>
      <c r="S46">
        <v>9833.1796880000002</v>
      </c>
      <c r="T46">
        <v>9910.9326170000004</v>
      </c>
      <c r="U46">
        <v>9985.4960940000001</v>
      </c>
      <c r="V46">
        <v>10063.265625</v>
      </c>
      <c r="W46">
        <v>10146.550781</v>
      </c>
      <c r="X46">
        <v>10240.190430000001</v>
      </c>
      <c r="Y46">
        <v>10320.270508</v>
      </c>
      <c r="Z46">
        <v>10409.383789</v>
      </c>
      <c r="AA46">
        <v>10482.779296999999</v>
      </c>
      <c r="AB46">
        <v>10564.850586</v>
      </c>
      <c r="AC46">
        <v>10653.482421999999</v>
      </c>
      <c r="AD46">
        <v>10756.960938</v>
      </c>
      <c r="AE46">
        <v>10868.238281</v>
      </c>
      <c r="AF46">
        <v>10969.666015999999</v>
      </c>
      <c r="AG46">
        <v>11079.727539</v>
      </c>
      <c r="AH46">
        <v>11173.775390999999</v>
      </c>
      <c r="AI46">
        <v>0.01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46"/>
  <sheetViews>
    <sheetView workbookViewId="0">
      <pane ySplit="2" topLeftCell="A3" activePane="bottomLeft" state="frozen"/>
      <selection pane="bottomLeft"/>
    </sheetView>
  </sheetViews>
  <sheetFormatPr defaultRowHeight="15" x14ac:dyDescent="0.25"/>
  <sheetData>
    <row r="1" spans="1:33" x14ac:dyDescent="0.25">
      <c r="C1" t="s">
        <v>954</v>
      </c>
    </row>
    <row r="2" spans="1:33" x14ac:dyDescent="0.25">
      <c r="C2" t="s">
        <v>1142</v>
      </c>
    </row>
    <row r="3" spans="1:33" x14ac:dyDescent="0.25">
      <c r="C3" t="s">
        <v>1143</v>
      </c>
    </row>
    <row r="4" spans="1:33" x14ac:dyDescent="0.25">
      <c r="C4" t="s">
        <v>957</v>
      </c>
    </row>
    <row r="5" spans="1:33" x14ac:dyDescent="0.25">
      <c r="B5" s="5" t="s">
        <v>958</v>
      </c>
      <c r="D5" t="s">
        <v>959</v>
      </c>
      <c r="E5" t="s">
        <v>960</v>
      </c>
      <c r="F5" t="s">
        <v>961</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1144</v>
      </c>
    </row>
    <row r="6" spans="1:33" x14ac:dyDescent="0.25">
      <c r="A6" t="s">
        <v>963</v>
      </c>
      <c r="C6" t="s">
        <v>964</v>
      </c>
      <c r="D6" t="s">
        <v>1145</v>
      </c>
      <c r="E6" t="s">
        <v>1146</v>
      </c>
      <c r="F6" t="s">
        <v>967</v>
      </c>
      <c r="G6">
        <v>22086.083984000001</v>
      </c>
      <c r="H6">
        <v>22669.974609000001</v>
      </c>
      <c r="I6">
        <v>23095.640625</v>
      </c>
      <c r="J6">
        <v>23390.617188</v>
      </c>
      <c r="K6">
        <v>23750.759765999999</v>
      </c>
      <c r="L6">
        <v>24166.652343999998</v>
      </c>
      <c r="M6">
        <v>24572.644531000002</v>
      </c>
      <c r="N6">
        <v>25034.144531000002</v>
      </c>
      <c r="O6">
        <v>25522.300781000002</v>
      </c>
      <c r="P6">
        <v>26041.154297000001</v>
      </c>
      <c r="Q6">
        <v>26595.578125</v>
      </c>
      <c r="R6">
        <v>27063.660156000002</v>
      </c>
      <c r="S6">
        <v>27531.339843999998</v>
      </c>
      <c r="T6">
        <v>28000.277343999998</v>
      </c>
      <c r="U6">
        <v>28461.050781000002</v>
      </c>
      <c r="V6">
        <v>28925.544922000001</v>
      </c>
      <c r="W6">
        <v>29375.912109000001</v>
      </c>
      <c r="X6">
        <v>29841.964843999998</v>
      </c>
      <c r="Y6">
        <v>30321.671875</v>
      </c>
      <c r="Z6">
        <v>30806.214843999998</v>
      </c>
      <c r="AA6">
        <v>31294.171875</v>
      </c>
      <c r="AB6">
        <v>31769.9375</v>
      </c>
      <c r="AC6">
        <v>32226.466797000001</v>
      </c>
      <c r="AD6">
        <v>32681.023438</v>
      </c>
      <c r="AE6">
        <v>33125.082030999998</v>
      </c>
      <c r="AF6">
        <v>33582.949219000002</v>
      </c>
      <c r="AG6">
        <v>1.7000000000000001E-2</v>
      </c>
    </row>
    <row r="7" spans="1:33" x14ac:dyDescent="0.25">
      <c r="A7" t="s">
        <v>968</v>
      </c>
      <c r="C7" t="s">
        <v>969</v>
      </c>
      <c r="D7" t="s">
        <v>1147</v>
      </c>
      <c r="E7" t="s">
        <v>1148</v>
      </c>
      <c r="F7" t="s">
        <v>972</v>
      </c>
      <c r="G7">
        <v>160.34007299999999</v>
      </c>
      <c r="H7">
        <v>161.28100599999999</v>
      </c>
      <c r="I7">
        <v>162.17047099999999</v>
      </c>
      <c r="J7">
        <v>162.60861199999999</v>
      </c>
      <c r="K7">
        <v>163.086288</v>
      </c>
      <c r="L7">
        <v>163.62586999999999</v>
      </c>
      <c r="M7">
        <v>164.11605800000001</v>
      </c>
      <c r="N7">
        <v>164.78729200000001</v>
      </c>
      <c r="O7">
        <v>165.46202099999999</v>
      </c>
      <c r="P7">
        <v>166.16980000000001</v>
      </c>
      <c r="Q7">
        <v>166.884872</v>
      </c>
      <c r="R7">
        <v>167.66198700000001</v>
      </c>
      <c r="S7">
        <v>168.565765</v>
      </c>
      <c r="T7">
        <v>169.439774</v>
      </c>
      <c r="U7">
        <v>170.151398</v>
      </c>
      <c r="V7">
        <v>170.95246900000001</v>
      </c>
      <c r="W7">
        <v>171.58038300000001</v>
      </c>
      <c r="X7">
        <v>172.17842099999999</v>
      </c>
      <c r="Y7">
        <v>172.70611600000001</v>
      </c>
      <c r="Z7">
        <v>173.327744</v>
      </c>
      <c r="AA7">
        <v>174.001205</v>
      </c>
      <c r="AB7">
        <v>174.60243199999999</v>
      </c>
      <c r="AC7">
        <v>175.097656</v>
      </c>
      <c r="AD7">
        <v>175.47995</v>
      </c>
      <c r="AE7">
        <v>175.77896100000001</v>
      </c>
      <c r="AF7">
        <v>176.12506099999999</v>
      </c>
      <c r="AG7">
        <v>4.0000000000000001E-3</v>
      </c>
    </row>
    <row r="8" spans="1:33" x14ac:dyDescent="0.25">
      <c r="C8" t="s">
        <v>973</v>
      </c>
    </row>
    <row r="9" spans="1:33" x14ac:dyDescent="0.25">
      <c r="C9" t="s">
        <v>974</v>
      </c>
    </row>
    <row r="10" spans="1:33" x14ac:dyDescent="0.25">
      <c r="A10" t="s">
        <v>975</v>
      </c>
      <c r="B10" t="s">
        <v>976</v>
      </c>
      <c r="C10" t="s">
        <v>977</v>
      </c>
      <c r="D10" t="s">
        <v>1149</v>
      </c>
      <c r="E10" t="s">
        <v>1150</v>
      </c>
      <c r="F10" t="s">
        <v>967</v>
      </c>
      <c r="G10">
        <v>485.34997600000003</v>
      </c>
      <c r="H10">
        <v>486.52557400000001</v>
      </c>
      <c r="I10">
        <v>493.37536599999999</v>
      </c>
      <c r="J10">
        <v>503.25857500000001</v>
      </c>
      <c r="K10">
        <v>509.90396099999998</v>
      </c>
      <c r="L10">
        <v>516.43335000000002</v>
      </c>
      <c r="M10">
        <v>522.85253899999998</v>
      </c>
      <c r="N10">
        <v>529.38610800000004</v>
      </c>
      <c r="O10">
        <v>532.95336899999995</v>
      </c>
      <c r="P10">
        <v>539.97076400000003</v>
      </c>
      <c r="Q10">
        <v>547.71856700000001</v>
      </c>
      <c r="R10">
        <v>555.45874000000003</v>
      </c>
      <c r="S10">
        <v>562.97289999999998</v>
      </c>
      <c r="T10">
        <v>570.92297399999995</v>
      </c>
      <c r="U10">
        <v>579.125</v>
      </c>
      <c r="V10">
        <v>586.07171600000004</v>
      </c>
      <c r="W10">
        <v>592.65618900000004</v>
      </c>
      <c r="X10">
        <v>599.99511700000005</v>
      </c>
      <c r="Y10">
        <v>606.93585199999995</v>
      </c>
      <c r="Z10">
        <v>614.49285899999995</v>
      </c>
      <c r="AA10">
        <v>623.08154300000001</v>
      </c>
      <c r="AB10">
        <v>632.10400400000003</v>
      </c>
      <c r="AC10">
        <v>641.20709199999999</v>
      </c>
      <c r="AD10">
        <v>650.44000200000005</v>
      </c>
      <c r="AE10">
        <v>659.60827600000005</v>
      </c>
      <c r="AF10">
        <v>668.85412599999995</v>
      </c>
      <c r="AG10">
        <v>1.2999999999999999E-2</v>
      </c>
    </row>
    <row r="11" spans="1:33" x14ac:dyDescent="0.25">
      <c r="A11" t="s">
        <v>980</v>
      </c>
      <c r="B11" t="s">
        <v>981</v>
      </c>
      <c r="C11" t="s">
        <v>982</v>
      </c>
      <c r="D11" t="s">
        <v>1151</v>
      </c>
      <c r="E11" t="s">
        <v>1152</v>
      </c>
      <c r="F11" t="s">
        <v>967</v>
      </c>
      <c r="G11">
        <v>791.22412099999997</v>
      </c>
      <c r="H11">
        <v>863.60974099999999</v>
      </c>
      <c r="I11">
        <v>857.47863800000005</v>
      </c>
      <c r="J11">
        <v>862.24182099999996</v>
      </c>
      <c r="K11">
        <v>867.37316899999996</v>
      </c>
      <c r="L11">
        <v>886.08520499999997</v>
      </c>
      <c r="M11">
        <v>900.35943599999996</v>
      </c>
      <c r="N11">
        <v>913.71997099999999</v>
      </c>
      <c r="O11">
        <v>923.65026899999998</v>
      </c>
      <c r="P11">
        <v>935.96826199999998</v>
      </c>
      <c r="Q11">
        <v>939.37109399999997</v>
      </c>
      <c r="R11">
        <v>943.46911599999999</v>
      </c>
      <c r="S11">
        <v>948.69219999999996</v>
      </c>
      <c r="T11">
        <v>953.50341800000001</v>
      </c>
      <c r="U11">
        <v>959.692139</v>
      </c>
      <c r="V11">
        <v>971.02343800000006</v>
      </c>
      <c r="W11">
        <v>984.75244099999998</v>
      </c>
      <c r="X11">
        <v>992.50195299999996</v>
      </c>
      <c r="Y11">
        <v>1001.04248</v>
      </c>
      <c r="Z11">
        <v>1006.122925</v>
      </c>
      <c r="AA11">
        <v>1009.776611</v>
      </c>
      <c r="AB11">
        <v>1013.545105</v>
      </c>
      <c r="AC11">
        <v>1019.138367</v>
      </c>
      <c r="AD11">
        <v>1021.347168</v>
      </c>
      <c r="AE11">
        <v>1021.363525</v>
      </c>
      <c r="AF11">
        <v>1019.486755</v>
      </c>
      <c r="AG11">
        <v>0.01</v>
      </c>
    </row>
    <row r="12" spans="1:33" x14ac:dyDescent="0.25">
      <c r="A12" t="s">
        <v>985</v>
      </c>
      <c r="B12" t="s">
        <v>986</v>
      </c>
      <c r="C12" t="s">
        <v>987</v>
      </c>
      <c r="D12" t="s">
        <v>1153</v>
      </c>
      <c r="E12" t="s">
        <v>1154</v>
      </c>
      <c r="F12" t="s">
        <v>967</v>
      </c>
      <c r="G12">
        <v>1526.7700199999999</v>
      </c>
      <c r="H12">
        <v>1521.3312989999999</v>
      </c>
      <c r="I12">
        <v>1530.459717</v>
      </c>
      <c r="J12">
        <v>1540.0047609999999</v>
      </c>
      <c r="K12">
        <v>1565.405518</v>
      </c>
      <c r="L12">
        <v>1591.6529539999999</v>
      </c>
      <c r="M12">
        <v>1615.9530030000001</v>
      </c>
      <c r="N12">
        <v>1640.333496</v>
      </c>
      <c r="O12">
        <v>1660.849976</v>
      </c>
      <c r="P12">
        <v>1674.029053</v>
      </c>
      <c r="Q12">
        <v>1692.3222659999999</v>
      </c>
      <c r="R12">
        <v>1708.327759</v>
      </c>
      <c r="S12">
        <v>1722.0207519999999</v>
      </c>
      <c r="T12">
        <v>1733.7163089999999</v>
      </c>
      <c r="U12">
        <v>1743.8199460000001</v>
      </c>
      <c r="V12">
        <v>1750.1164550000001</v>
      </c>
      <c r="W12">
        <v>1754.272217</v>
      </c>
      <c r="X12">
        <v>1764.6180420000001</v>
      </c>
      <c r="Y12">
        <v>1772.1407469999999</v>
      </c>
      <c r="Z12">
        <v>1781.1647949999999</v>
      </c>
      <c r="AA12">
        <v>1798.4930420000001</v>
      </c>
      <c r="AB12">
        <v>1816.6457519999999</v>
      </c>
      <c r="AC12">
        <v>1833.321533</v>
      </c>
      <c r="AD12">
        <v>1850.2052000000001</v>
      </c>
      <c r="AE12">
        <v>1869.44397</v>
      </c>
      <c r="AF12">
        <v>1891.598999</v>
      </c>
      <c r="AG12">
        <v>8.9999999999999993E-3</v>
      </c>
    </row>
    <row r="13" spans="1:33" x14ac:dyDescent="0.25">
      <c r="C13" t="s">
        <v>990</v>
      </c>
    </row>
    <row r="14" spans="1:33" x14ac:dyDescent="0.25">
      <c r="A14" t="s">
        <v>991</v>
      </c>
      <c r="B14" t="s">
        <v>992</v>
      </c>
      <c r="C14" t="s">
        <v>993</v>
      </c>
      <c r="D14" t="s">
        <v>1155</v>
      </c>
      <c r="E14" t="s">
        <v>1156</v>
      </c>
      <c r="F14" t="s">
        <v>967</v>
      </c>
      <c r="G14">
        <v>762.71002199999998</v>
      </c>
      <c r="H14">
        <v>766.64880400000004</v>
      </c>
      <c r="I14">
        <v>776.75323500000002</v>
      </c>
      <c r="J14">
        <v>786.11645499999997</v>
      </c>
      <c r="K14">
        <v>792.97131300000001</v>
      </c>
      <c r="L14">
        <v>801.68432600000006</v>
      </c>
      <c r="M14">
        <v>810.93811000000005</v>
      </c>
      <c r="N14">
        <v>819.74688700000002</v>
      </c>
      <c r="O14">
        <v>828.72485400000005</v>
      </c>
      <c r="P14">
        <v>838.03881799999999</v>
      </c>
      <c r="Q14">
        <v>846.84887700000002</v>
      </c>
      <c r="R14">
        <v>856.58660899999995</v>
      </c>
      <c r="S14">
        <v>866.08648700000003</v>
      </c>
      <c r="T14">
        <v>875.84136999999998</v>
      </c>
      <c r="U14">
        <v>885.78131099999996</v>
      </c>
      <c r="V14">
        <v>894.879639</v>
      </c>
      <c r="W14">
        <v>903.73852499999998</v>
      </c>
      <c r="X14">
        <v>912.51666299999999</v>
      </c>
      <c r="Y14">
        <v>921.02239999999995</v>
      </c>
      <c r="Z14">
        <v>929.50469999999996</v>
      </c>
      <c r="AA14">
        <v>937.15026899999998</v>
      </c>
      <c r="AB14">
        <v>945.13659700000005</v>
      </c>
      <c r="AC14">
        <v>953.131531</v>
      </c>
      <c r="AD14">
        <v>961.09613000000002</v>
      </c>
      <c r="AE14">
        <v>969.41839600000003</v>
      </c>
      <c r="AF14">
        <v>977.19104000000004</v>
      </c>
      <c r="AG14">
        <v>0.01</v>
      </c>
    </row>
    <row r="15" spans="1:33" x14ac:dyDescent="0.25">
      <c r="A15" t="s">
        <v>996</v>
      </c>
      <c r="B15" t="s">
        <v>992</v>
      </c>
      <c r="C15" t="s">
        <v>997</v>
      </c>
      <c r="D15" t="s">
        <v>1157</v>
      </c>
      <c r="E15" t="s">
        <v>1158</v>
      </c>
      <c r="F15" t="s">
        <v>967</v>
      </c>
      <c r="G15">
        <v>145.13999899999999</v>
      </c>
      <c r="H15">
        <v>143.29698200000001</v>
      </c>
      <c r="I15">
        <v>141.07891799999999</v>
      </c>
      <c r="J15">
        <v>139.88064600000001</v>
      </c>
      <c r="K15">
        <v>138.80690000000001</v>
      </c>
      <c r="L15">
        <v>137.82714799999999</v>
      </c>
      <c r="M15">
        <v>136.89218099999999</v>
      </c>
      <c r="N15">
        <v>136.19909699999999</v>
      </c>
      <c r="O15">
        <v>135.471451</v>
      </c>
      <c r="P15">
        <v>134.65437299999999</v>
      </c>
      <c r="Q15">
        <v>133.95632900000001</v>
      </c>
      <c r="R15">
        <v>133.194199</v>
      </c>
      <c r="S15">
        <v>132.51904300000001</v>
      </c>
      <c r="T15">
        <v>131.791122</v>
      </c>
      <c r="U15">
        <v>130.83189400000001</v>
      </c>
      <c r="V15">
        <v>130.09213299999999</v>
      </c>
      <c r="W15">
        <v>129.58869899999999</v>
      </c>
      <c r="X15">
        <v>129.14653000000001</v>
      </c>
      <c r="Y15">
        <v>128.57557700000001</v>
      </c>
      <c r="Z15">
        <v>128.060776</v>
      </c>
      <c r="AA15">
        <v>127.76370199999999</v>
      </c>
      <c r="AB15">
        <v>127.407951</v>
      </c>
      <c r="AC15">
        <v>126.89009900000001</v>
      </c>
      <c r="AD15">
        <v>126.399101</v>
      </c>
      <c r="AE15">
        <v>125.87490099999999</v>
      </c>
      <c r="AF15">
        <v>125.28132600000001</v>
      </c>
      <c r="AG15">
        <v>-6.0000000000000001E-3</v>
      </c>
    </row>
    <row r="16" spans="1:33" x14ac:dyDescent="0.25">
      <c r="A16" t="s">
        <v>1000</v>
      </c>
      <c r="B16" t="s">
        <v>1001</v>
      </c>
      <c r="C16" t="s">
        <v>1002</v>
      </c>
      <c r="D16" t="s">
        <v>1159</v>
      </c>
      <c r="E16" t="s">
        <v>1160</v>
      </c>
      <c r="F16" t="s">
        <v>967</v>
      </c>
      <c r="G16">
        <v>58.603230000000003</v>
      </c>
      <c r="H16">
        <v>59.344817999999997</v>
      </c>
      <c r="I16">
        <v>60.159962</v>
      </c>
      <c r="J16">
        <v>58.416598999999998</v>
      </c>
      <c r="K16">
        <v>56.206122999999998</v>
      </c>
      <c r="L16">
        <v>55.210059999999999</v>
      </c>
      <c r="M16">
        <v>54.903446000000002</v>
      </c>
      <c r="N16">
        <v>54.746746000000002</v>
      </c>
      <c r="O16">
        <v>54.889693999999999</v>
      </c>
      <c r="P16">
        <v>55.283862999999997</v>
      </c>
      <c r="Q16">
        <v>55.522114000000002</v>
      </c>
      <c r="R16">
        <v>55.493893</v>
      </c>
      <c r="S16">
        <v>55.565697</v>
      </c>
      <c r="T16">
        <v>55.676113000000001</v>
      </c>
      <c r="U16">
        <v>55.728962000000003</v>
      </c>
      <c r="V16">
        <v>55.944988000000002</v>
      </c>
      <c r="W16">
        <v>56.146872999999999</v>
      </c>
      <c r="X16">
        <v>56.280396000000003</v>
      </c>
      <c r="Y16">
        <v>56.407085000000002</v>
      </c>
      <c r="Z16">
        <v>56.575736999999997</v>
      </c>
      <c r="AA16">
        <v>56.787509999999997</v>
      </c>
      <c r="AB16">
        <v>56.890765999999999</v>
      </c>
      <c r="AC16">
        <v>56.785235999999998</v>
      </c>
      <c r="AD16">
        <v>56.510384000000002</v>
      </c>
      <c r="AE16">
        <v>56.437035000000002</v>
      </c>
      <c r="AF16">
        <v>56.381991999999997</v>
      </c>
      <c r="AG16">
        <v>-2E-3</v>
      </c>
    </row>
    <row r="17" spans="1:35" x14ac:dyDescent="0.25">
      <c r="A17" t="s">
        <v>1005</v>
      </c>
      <c r="B17" t="s">
        <v>1006</v>
      </c>
      <c r="C17" t="s">
        <v>1007</v>
      </c>
      <c r="D17" t="s">
        <v>1161</v>
      </c>
      <c r="E17" t="s">
        <v>1162</v>
      </c>
      <c r="F17" t="s">
        <v>967</v>
      </c>
      <c r="G17">
        <v>118.724998</v>
      </c>
      <c r="H17">
        <v>99.632530000000003</v>
      </c>
      <c r="I17">
        <v>93.661902999999995</v>
      </c>
      <c r="J17">
        <v>98.211769000000004</v>
      </c>
      <c r="K17">
        <v>105.913048</v>
      </c>
      <c r="L17">
        <v>107.063103</v>
      </c>
      <c r="M17">
        <v>104.34275100000001</v>
      </c>
      <c r="N17">
        <v>104.021378</v>
      </c>
      <c r="O17">
        <v>106.398071</v>
      </c>
      <c r="P17">
        <v>110.545998</v>
      </c>
      <c r="Q17">
        <v>113.7761</v>
      </c>
      <c r="R17">
        <v>117.102203</v>
      </c>
      <c r="S17">
        <v>119.56847399999999</v>
      </c>
      <c r="T17">
        <v>122.233253</v>
      </c>
      <c r="U17">
        <v>124.190926</v>
      </c>
      <c r="V17">
        <v>124.834053</v>
      </c>
      <c r="W17">
        <v>122.585373</v>
      </c>
      <c r="X17">
        <v>121.283722</v>
      </c>
      <c r="Y17">
        <v>118.868103</v>
      </c>
      <c r="Z17">
        <v>117.277946</v>
      </c>
      <c r="AA17">
        <v>118.01934799999999</v>
      </c>
      <c r="AB17">
        <v>118.727875</v>
      </c>
      <c r="AC17">
        <v>119.795547</v>
      </c>
      <c r="AD17">
        <v>120.76300000000001</v>
      </c>
      <c r="AE17">
        <v>122.42195100000001</v>
      </c>
      <c r="AF17">
        <v>123.797501</v>
      </c>
      <c r="AG17">
        <v>2E-3</v>
      </c>
    </row>
    <row r="18" spans="1:35" x14ac:dyDescent="0.25">
      <c r="A18" t="s">
        <v>1010</v>
      </c>
      <c r="B18" t="s">
        <v>1011</v>
      </c>
      <c r="C18" t="s">
        <v>1012</v>
      </c>
      <c r="D18" t="s">
        <v>1163</v>
      </c>
      <c r="E18" t="s">
        <v>1164</v>
      </c>
      <c r="F18" t="s">
        <v>967</v>
      </c>
      <c r="G18">
        <v>58.322498000000003</v>
      </c>
      <c r="H18">
        <v>59.011951000000003</v>
      </c>
      <c r="I18">
        <v>60.173313</v>
      </c>
      <c r="J18">
        <v>59.152695000000001</v>
      </c>
      <c r="K18">
        <v>59.485309999999998</v>
      </c>
      <c r="L18">
        <v>60.807999000000002</v>
      </c>
      <c r="M18">
        <v>61.878867999999997</v>
      </c>
      <c r="N18">
        <v>63.159160999999997</v>
      </c>
      <c r="O18">
        <v>64.566895000000002</v>
      </c>
      <c r="P18">
        <v>65.938286000000005</v>
      </c>
      <c r="Q18">
        <v>68.118446000000006</v>
      </c>
      <c r="R18">
        <v>69.331092999999996</v>
      </c>
      <c r="S18">
        <v>70.475876</v>
      </c>
      <c r="T18">
        <v>72.192847999999998</v>
      </c>
      <c r="U18">
        <v>73.151497000000006</v>
      </c>
      <c r="V18">
        <v>74.659355000000005</v>
      </c>
      <c r="W18">
        <v>76.165656999999996</v>
      </c>
      <c r="X18">
        <v>77.674377000000007</v>
      </c>
      <c r="Y18">
        <v>79.193832</v>
      </c>
      <c r="Z18">
        <v>80.946731999999997</v>
      </c>
      <c r="AA18">
        <v>83.448447999999999</v>
      </c>
      <c r="AB18">
        <v>84.887985</v>
      </c>
      <c r="AC18">
        <v>86.415627000000001</v>
      </c>
      <c r="AD18">
        <v>87.191367999999997</v>
      </c>
      <c r="AE18">
        <v>88.336067</v>
      </c>
      <c r="AF18">
        <v>89.970725999999999</v>
      </c>
      <c r="AG18">
        <v>1.7000000000000001E-2</v>
      </c>
    </row>
    <row r="19" spans="1:35" x14ac:dyDescent="0.25">
      <c r="A19" t="s">
        <v>1015</v>
      </c>
      <c r="B19" t="s">
        <v>1016</v>
      </c>
      <c r="C19" t="s">
        <v>1017</v>
      </c>
      <c r="D19" t="s">
        <v>1165</v>
      </c>
      <c r="E19" t="s">
        <v>1166</v>
      </c>
      <c r="F19" t="s">
        <v>967</v>
      </c>
      <c r="G19">
        <v>146.52499399999999</v>
      </c>
      <c r="H19">
        <v>146.300095</v>
      </c>
      <c r="I19">
        <v>148.35510300000001</v>
      </c>
      <c r="J19">
        <v>148.39004499999999</v>
      </c>
      <c r="K19">
        <v>148.27514600000001</v>
      </c>
      <c r="L19">
        <v>148.22979699999999</v>
      </c>
      <c r="M19">
        <v>149.00885</v>
      </c>
      <c r="N19">
        <v>149.76033000000001</v>
      </c>
      <c r="O19">
        <v>150.414368</v>
      </c>
      <c r="P19">
        <v>151.04452499999999</v>
      </c>
      <c r="Q19">
        <v>151.76538099999999</v>
      </c>
      <c r="R19">
        <v>152.44345100000001</v>
      </c>
      <c r="S19">
        <v>152.84227000000001</v>
      </c>
      <c r="T19">
        <v>153.86857599999999</v>
      </c>
      <c r="U19">
        <v>155.21447800000001</v>
      </c>
      <c r="V19">
        <v>156.88922099999999</v>
      </c>
      <c r="W19">
        <v>158.34562700000001</v>
      </c>
      <c r="X19">
        <v>159.91807600000001</v>
      </c>
      <c r="Y19">
        <v>161.62904399999999</v>
      </c>
      <c r="Z19">
        <v>163.462219</v>
      </c>
      <c r="AA19">
        <v>165.47505200000001</v>
      </c>
      <c r="AB19">
        <v>167.21362300000001</v>
      </c>
      <c r="AC19">
        <v>169.04817199999999</v>
      </c>
      <c r="AD19">
        <v>170.64967300000001</v>
      </c>
      <c r="AE19">
        <v>172.45002700000001</v>
      </c>
      <c r="AF19">
        <v>174.19078099999999</v>
      </c>
      <c r="AG19">
        <v>7.0000000000000001E-3</v>
      </c>
    </row>
    <row r="20" spans="1:35" x14ac:dyDescent="0.25">
      <c r="A20" t="s">
        <v>1020</v>
      </c>
      <c r="B20" t="s">
        <v>1016</v>
      </c>
      <c r="C20" t="s">
        <v>1021</v>
      </c>
      <c r="D20" t="s">
        <v>1167</v>
      </c>
      <c r="E20" t="s">
        <v>1168</v>
      </c>
      <c r="F20" t="s">
        <v>967</v>
      </c>
      <c r="G20">
        <v>64.357498000000007</v>
      </c>
      <c r="H20">
        <v>62.670582000000003</v>
      </c>
      <c r="I20">
        <v>60.882739999999998</v>
      </c>
      <c r="J20">
        <v>59.342823000000003</v>
      </c>
      <c r="K20">
        <v>58.132961000000002</v>
      </c>
      <c r="L20">
        <v>56.884990999999999</v>
      </c>
      <c r="M20">
        <v>55.614899000000001</v>
      </c>
      <c r="N20">
        <v>54.245510000000003</v>
      </c>
      <c r="O20">
        <v>52.755294999999997</v>
      </c>
      <c r="P20">
        <v>51.431721000000003</v>
      </c>
      <c r="Q20">
        <v>50.014037999999999</v>
      </c>
      <c r="R20">
        <v>48.692402000000001</v>
      </c>
      <c r="S20">
        <v>47.663521000000003</v>
      </c>
      <c r="T20">
        <v>46.690609000000002</v>
      </c>
      <c r="U20">
        <v>46.016658999999997</v>
      </c>
      <c r="V20">
        <v>45.447735000000002</v>
      </c>
      <c r="W20">
        <v>44.834614000000002</v>
      </c>
      <c r="X20">
        <v>44.365485999999997</v>
      </c>
      <c r="Y20">
        <v>43.841121999999999</v>
      </c>
      <c r="Z20">
        <v>43.243724999999998</v>
      </c>
      <c r="AA20">
        <v>42.610481</v>
      </c>
      <c r="AB20">
        <v>42.079239000000001</v>
      </c>
      <c r="AC20">
        <v>41.707779000000002</v>
      </c>
      <c r="AD20">
        <v>41.560302999999998</v>
      </c>
      <c r="AE20">
        <v>41.430827999999998</v>
      </c>
      <c r="AF20">
        <v>41.002571000000003</v>
      </c>
      <c r="AG20">
        <v>-1.7999999999999999E-2</v>
      </c>
    </row>
    <row r="21" spans="1:35" x14ac:dyDescent="0.25">
      <c r="A21" t="s">
        <v>1024</v>
      </c>
      <c r="B21" t="s">
        <v>1025</v>
      </c>
      <c r="C21" t="s">
        <v>1026</v>
      </c>
      <c r="D21" t="s">
        <v>1169</v>
      </c>
      <c r="E21" t="s">
        <v>1170</v>
      </c>
      <c r="F21" t="s">
        <v>967</v>
      </c>
      <c r="G21">
        <v>866.14446999999996</v>
      </c>
      <c r="H21">
        <v>854.60504200000003</v>
      </c>
      <c r="I21">
        <v>844.64343299999996</v>
      </c>
      <c r="J21">
        <v>841.27880900000002</v>
      </c>
      <c r="K21">
        <v>834.162598</v>
      </c>
      <c r="L21">
        <v>833.864868</v>
      </c>
      <c r="M21">
        <v>837.70922900000005</v>
      </c>
      <c r="N21">
        <v>842.62768600000004</v>
      </c>
      <c r="O21">
        <v>851.86352499999998</v>
      </c>
      <c r="P21">
        <v>861.18933100000004</v>
      </c>
      <c r="Q21">
        <v>871.22015399999998</v>
      </c>
      <c r="R21">
        <v>881.64965800000004</v>
      </c>
      <c r="S21">
        <v>893.15484600000002</v>
      </c>
      <c r="T21">
        <v>904.770081</v>
      </c>
      <c r="U21">
        <v>918.34716800000001</v>
      </c>
      <c r="V21">
        <v>932.80969200000004</v>
      </c>
      <c r="W21">
        <v>949.002747</v>
      </c>
      <c r="X21">
        <v>967.69164999999998</v>
      </c>
      <c r="Y21">
        <v>985.70812999999998</v>
      </c>
      <c r="Z21">
        <v>1004.382019</v>
      </c>
      <c r="AA21">
        <v>1024.803711</v>
      </c>
      <c r="AB21">
        <v>1046.9313959999999</v>
      </c>
      <c r="AC21">
        <v>1070.0600589999999</v>
      </c>
      <c r="AD21">
        <v>1091.0391850000001</v>
      </c>
      <c r="AE21">
        <v>1111.1674800000001</v>
      </c>
      <c r="AF21">
        <v>1133.631836</v>
      </c>
      <c r="AG21">
        <v>1.0999999999999999E-2</v>
      </c>
    </row>
    <row r="22" spans="1:35" x14ac:dyDescent="0.25">
      <c r="A22" t="s">
        <v>1029</v>
      </c>
      <c r="C22" t="s">
        <v>1030</v>
      </c>
      <c r="D22" t="s">
        <v>1171</v>
      </c>
      <c r="E22" t="s">
        <v>1172</v>
      </c>
      <c r="F22" t="s">
        <v>967</v>
      </c>
      <c r="G22">
        <v>389.91445900000002</v>
      </c>
      <c r="H22">
        <v>374.33462500000002</v>
      </c>
      <c r="I22">
        <v>368.80944799999997</v>
      </c>
      <c r="J22">
        <v>367.27593999999999</v>
      </c>
      <c r="K22">
        <v>361.54742399999998</v>
      </c>
      <c r="L22">
        <v>361.88439899999997</v>
      </c>
      <c r="M22">
        <v>365.39736900000003</v>
      </c>
      <c r="N22">
        <v>366.77453600000001</v>
      </c>
      <c r="O22">
        <v>369.98590100000001</v>
      </c>
      <c r="P22">
        <v>373.71804800000001</v>
      </c>
      <c r="Q22">
        <v>378.38687099999999</v>
      </c>
      <c r="R22">
        <v>383.46777300000002</v>
      </c>
      <c r="S22">
        <v>388.05297899999999</v>
      </c>
      <c r="T22">
        <v>392.61920199999997</v>
      </c>
      <c r="U22">
        <v>399.43426499999998</v>
      </c>
      <c r="V22">
        <v>406.02401700000001</v>
      </c>
      <c r="W22">
        <v>412.86163299999998</v>
      </c>
      <c r="X22">
        <v>420.91342200000003</v>
      </c>
      <c r="Y22">
        <v>427.61038200000002</v>
      </c>
      <c r="Z22">
        <v>434.302368</v>
      </c>
      <c r="AA22">
        <v>442.08343500000001</v>
      </c>
      <c r="AB22">
        <v>450.44988999999998</v>
      </c>
      <c r="AC22">
        <v>459.50070199999999</v>
      </c>
      <c r="AD22">
        <v>467.66095000000001</v>
      </c>
      <c r="AE22">
        <v>474.06463600000001</v>
      </c>
      <c r="AF22">
        <v>482.12265000000002</v>
      </c>
      <c r="AG22">
        <v>8.9999999999999993E-3</v>
      </c>
    </row>
    <row r="23" spans="1:35" x14ac:dyDescent="0.25">
      <c r="A23" t="s">
        <v>1033</v>
      </c>
      <c r="C23" t="s">
        <v>1034</v>
      </c>
      <c r="D23" t="s">
        <v>1173</v>
      </c>
      <c r="E23" t="s">
        <v>1174</v>
      </c>
      <c r="F23" t="s">
        <v>967</v>
      </c>
      <c r="G23">
        <v>51.491622999999997</v>
      </c>
      <c r="H23">
        <v>52.255329000000003</v>
      </c>
      <c r="I23">
        <v>51.697498000000003</v>
      </c>
      <c r="J23">
        <v>51.977890000000002</v>
      </c>
      <c r="K23">
        <v>51.210506000000002</v>
      </c>
      <c r="L23">
        <v>50.927028999999997</v>
      </c>
      <c r="M23">
        <v>51.219692000000002</v>
      </c>
      <c r="N23">
        <v>51.075771000000003</v>
      </c>
      <c r="O23">
        <v>51.268538999999997</v>
      </c>
      <c r="P23">
        <v>51.611919</v>
      </c>
      <c r="Q23">
        <v>51.788040000000002</v>
      </c>
      <c r="R23">
        <v>51.978779000000003</v>
      </c>
      <c r="S23">
        <v>51.913784</v>
      </c>
      <c r="T23">
        <v>51.978076999999999</v>
      </c>
      <c r="U23">
        <v>52.200248999999999</v>
      </c>
      <c r="V23">
        <v>52.240592999999997</v>
      </c>
      <c r="W23">
        <v>52.307400000000001</v>
      </c>
      <c r="X23">
        <v>52.404572000000002</v>
      </c>
      <c r="Y23">
        <v>52.432654999999997</v>
      </c>
      <c r="Z23">
        <v>52.335208999999999</v>
      </c>
      <c r="AA23">
        <v>52.231144</v>
      </c>
      <c r="AB23">
        <v>52.381222000000001</v>
      </c>
      <c r="AC23">
        <v>52.576962000000002</v>
      </c>
      <c r="AD23">
        <v>52.698146999999999</v>
      </c>
      <c r="AE23">
        <v>52.773536999999997</v>
      </c>
      <c r="AF23">
        <v>52.964759999999998</v>
      </c>
      <c r="AG23">
        <v>1E-3</v>
      </c>
    </row>
    <row r="24" spans="1:35" x14ac:dyDescent="0.25">
      <c r="A24" t="s">
        <v>1037</v>
      </c>
      <c r="C24" t="s">
        <v>1038</v>
      </c>
      <c r="D24" t="s">
        <v>1175</v>
      </c>
      <c r="E24" t="s">
        <v>1176</v>
      </c>
      <c r="F24" t="s">
        <v>967</v>
      </c>
      <c r="G24">
        <v>184.63533000000001</v>
      </c>
      <c r="H24">
        <v>169.545074</v>
      </c>
      <c r="I24">
        <v>162.99795499999999</v>
      </c>
      <c r="J24">
        <v>163.28097500000001</v>
      </c>
      <c r="K24">
        <v>159.475098</v>
      </c>
      <c r="L24">
        <v>158.51843299999999</v>
      </c>
      <c r="M24">
        <v>160.61567700000001</v>
      </c>
      <c r="N24">
        <v>162.61991900000001</v>
      </c>
      <c r="O24">
        <v>165.46670499999999</v>
      </c>
      <c r="P24">
        <v>168.74754300000001</v>
      </c>
      <c r="Q24">
        <v>171.988846</v>
      </c>
      <c r="R24">
        <v>176.30659499999999</v>
      </c>
      <c r="S24">
        <v>178.54917900000001</v>
      </c>
      <c r="T24">
        <v>181.37652600000001</v>
      </c>
      <c r="U24">
        <v>186.22254899999999</v>
      </c>
      <c r="V24">
        <v>190.339157</v>
      </c>
      <c r="W24">
        <v>194.995026</v>
      </c>
      <c r="X24">
        <v>200.03681900000001</v>
      </c>
      <c r="Y24">
        <v>205.301331</v>
      </c>
      <c r="Z24">
        <v>211.083527</v>
      </c>
      <c r="AA24">
        <v>217.31681800000001</v>
      </c>
      <c r="AB24">
        <v>223.622421</v>
      </c>
      <c r="AC24">
        <v>229.466644</v>
      </c>
      <c r="AD24">
        <v>235.0215</v>
      </c>
      <c r="AE24">
        <v>239.40428199999999</v>
      </c>
      <c r="AF24">
        <v>244.677795</v>
      </c>
      <c r="AG24">
        <v>1.0999999999999999E-2</v>
      </c>
    </row>
    <row r="25" spans="1:35" x14ac:dyDescent="0.25">
      <c r="A25" t="s">
        <v>1041</v>
      </c>
      <c r="C25" t="s">
        <v>1042</v>
      </c>
      <c r="D25" t="s">
        <v>1043</v>
      </c>
      <c r="E25" t="s">
        <v>1044</v>
      </c>
      <c r="F25" t="s">
        <v>1177</v>
      </c>
      <c r="G25" t="s">
        <v>1178</v>
      </c>
      <c r="H25" t="s">
        <v>967</v>
      </c>
      <c r="I25">
        <v>112.347504</v>
      </c>
      <c r="J25">
        <v>111.06512499999999</v>
      </c>
      <c r="K25">
        <v>112.167877</v>
      </c>
      <c r="L25">
        <v>110.210426</v>
      </c>
      <c r="M25">
        <v>109.016777</v>
      </c>
      <c r="N25">
        <v>110.27057600000001</v>
      </c>
      <c r="O25">
        <v>111.023552</v>
      </c>
      <c r="P25">
        <v>110.383377</v>
      </c>
      <c r="Q25">
        <v>110.300377</v>
      </c>
      <c r="R25">
        <v>110.13205000000001</v>
      </c>
      <c r="S25">
        <v>110.979073</v>
      </c>
      <c r="T25">
        <v>111.19699900000001</v>
      </c>
      <c r="U25">
        <v>113.116776</v>
      </c>
      <c r="V25">
        <v>114.378525</v>
      </c>
      <c r="W25">
        <v>115.730423</v>
      </c>
      <c r="X25">
        <v>117.68789700000001</v>
      </c>
      <c r="Y25">
        <v>119.253349</v>
      </c>
      <c r="Z25">
        <v>121.622749</v>
      </c>
      <c r="AA25">
        <v>122.511253</v>
      </c>
      <c r="AB25">
        <v>123.04222900000001</v>
      </c>
      <c r="AC25">
        <v>123.998947</v>
      </c>
      <c r="AD25">
        <v>125.264999</v>
      </c>
      <c r="AE25">
        <v>127.588448</v>
      </c>
      <c r="AF25">
        <v>129.46644599999999</v>
      </c>
      <c r="AG25">
        <v>130.94454999999999</v>
      </c>
      <c r="AH25">
        <v>132.97212200000001</v>
      </c>
      <c r="AI25">
        <v>7.0000000000000001E-3</v>
      </c>
    </row>
    <row r="26" spans="1:35" x14ac:dyDescent="0.25">
      <c r="A26" t="s">
        <v>1047</v>
      </c>
      <c r="C26" t="s">
        <v>1048</v>
      </c>
      <c r="D26" t="s">
        <v>1179</v>
      </c>
      <c r="E26" t="s">
        <v>1180</v>
      </c>
      <c r="F26" t="s">
        <v>967</v>
      </c>
      <c r="G26">
        <v>41.439999</v>
      </c>
      <c r="H26">
        <v>41.469085999999997</v>
      </c>
      <c r="I26">
        <v>41.946102000000003</v>
      </c>
      <c r="J26">
        <v>41.806648000000003</v>
      </c>
      <c r="K26">
        <v>41.845042999999997</v>
      </c>
      <c r="L26">
        <v>42.168368999999998</v>
      </c>
      <c r="M26">
        <v>42.538463999999998</v>
      </c>
      <c r="N26">
        <v>42.695453999999998</v>
      </c>
      <c r="O26">
        <v>42.950291</v>
      </c>
      <c r="P26">
        <v>43.226523999999998</v>
      </c>
      <c r="Q26">
        <v>43.630913</v>
      </c>
      <c r="R26">
        <v>43.985401000000003</v>
      </c>
      <c r="S26">
        <v>44.473221000000002</v>
      </c>
      <c r="T26">
        <v>44.886093000000002</v>
      </c>
      <c r="U26">
        <v>45.281067</v>
      </c>
      <c r="V26">
        <v>45.756377999999998</v>
      </c>
      <c r="W26">
        <v>46.305858999999998</v>
      </c>
      <c r="X26">
        <v>46.849269999999997</v>
      </c>
      <c r="Y26">
        <v>47.365138999999999</v>
      </c>
      <c r="Z26">
        <v>47.841414999999998</v>
      </c>
      <c r="AA26">
        <v>48.536507</v>
      </c>
      <c r="AB26">
        <v>49.181258999999997</v>
      </c>
      <c r="AC26">
        <v>49.868651999999997</v>
      </c>
      <c r="AD26">
        <v>50.474845999999999</v>
      </c>
      <c r="AE26">
        <v>50.942248999999997</v>
      </c>
      <c r="AF26">
        <v>51.507961000000002</v>
      </c>
      <c r="AG26">
        <v>8.9999999999999993E-3</v>
      </c>
    </row>
    <row r="27" spans="1:35" x14ac:dyDescent="0.25">
      <c r="A27" t="s">
        <v>1051</v>
      </c>
      <c r="C27" t="s">
        <v>1052</v>
      </c>
      <c r="D27" t="s">
        <v>1181</v>
      </c>
      <c r="E27" t="s">
        <v>1182</v>
      </c>
      <c r="F27" t="s">
        <v>967</v>
      </c>
      <c r="G27">
        <v>476.23001099999999</v>
      </c>
      <c r="H27">
        <v>480.27041600000001</v>
      </c>
      <c r="I27">
        <v>475.83401500000002</v>
      </c>
      <c r="J27">
        <v>474.002838</v>
      </c>
      <c r="K27">
        <v>472.61517300000003</v>
      </c>
      <c r="L27">
        <v>471.98049900000001</v>
      </c>
      <c r="M27">
        <v>472.31189000000001</v>
      </c>
      <c r="N27">
        <v>475.85318000000001</v>
      </c>
      <c r="O27">
        <v>481.87759399999999</v>
      </c>
      <c r="P27">
        <v>487.47125199999999</v>
      </c>
      <c r="Q27">
        <v>492.833282</v>
      </c>
      <c r="R27">
        <v>498.18185399999999</v>
      </c>
      <c r="S27">
        <v>505.10186800000002</v>
      </c>
      <c r="T27">
        <v>512.15087900000003</v>
      </c>
      <c r="U27">
        <v>518.91290300000003</v>
      </c>
      <c r="V27">
        <v>526.785706</v>
      </c>
      <c r="W27">
        <v>536.14111300000002</v>
      </c>
      <c r="X27">
        <v>546.77819799999997</v>
      </c>
      <c r="Y27">
        <v>558.09771699999999</v>
      </c>
      <c r="Z27">
        <v>570.07965100000001</v>
      </c>
      <c r="AA27">
        <v>582.72027600000001</v>
      </c>
      <c r="AB27">
        <v>596.48150599999997</v>
      </c>
      <c r="AC27">
        <v>610.55932600000006</v>
      </c>
      <c r="AD27">
        <v>623.37823500000002</v>
      </c>
      <c r="AE27">
        <v>637.102844</v>
      </c>
      <c r="AF27">
        <v>651.50915499999996</v>
      </c>
      <c r="AG27">
        <v>1.2999999999999999E-2</v>
      </c>
    </row>
    <row r="28" spans="1:35" x14ac:dyDescent="0.25">
      <c r="A28" t="s">
        <v>1055</v>
      </c>
      <c r="C28" t="s">
        <v>1056</v>
      </c>
      <c r="D28" t="s">
        <v>1183</v>
      </c>
      <c r="E28" t="s">
        <v>1184</v>
      </c>
      <c r="F28" t="s">
        <v>967</v>
      </c>
      <c r="G28">
        <v>812.46875</v>
      </c>
      <c r="H28">
        <v>815.59912099999997</v>
      </c>
      <c r="I28">
        <v>814.62957800000004</v>
      </c>
      <c r="J28">
        <v>812.44067399999994</v>
      </c>
      <c r="K28">
        <v>805.56982400000004</v>
      </c>
      <c r="L28">
        <v>801.77545199999997</v>
      </c>
      <c r="M28">
        <v>797.08850099999995</v>
      </c>
      <c r="N28">
        <v>795.29705799999999</v>
      </c>
      <c r="O28">
        <v>793.84899900000005</v>
      </c>
      <c r="P28">
        <v>794.52423099999999</v>
      </c>
      <c r="Q28">
        <v>795.75140399999998</v>
      </c>
      <c r="R28">
        <v>793.120361</v>
      </c>
      <c r="S28">
        <v>787.339966</v>
      </c>
      <c r="T28">
        <v>781.71319600000004</v>
      </c>
      <c r="U28">
        <v>778.870544</v>
      </c>
      <c r="V28">
        <v>777.97796600000004</v>
      </c>
      <c r="W28">
        <v>779.20483400000001</v>
      </c>
      <c r="X28">
        <v>777.89733899999999</v>
      </c>
      <c r="Y28">
        <v>774.04760699999997</v>
      </c>
      <c r="Z28">
        <v>769.80383300000005</v>
      </c>
      <c r="AA28">
        <v>765.90612799999997</v>
      </c>
      <c r="AB28">
        <v>766.34454300000004</v>
      </c>
      <c r="AC28">
        <v>767.62951699999996</v>
      </c>
      <c r="AD28">
        <v>764.871216</v>
      </c>
      <c r="AE28">
        <v>763.11071800000002</v>
      </c>
      <c r="AF28">
        <v>762.698486</v>
      </c>
      <c r="AG28">
        <v>-3.0000000000000001E-3</v>
      </c>
    </row>
    <row r="29" spans="1:35" x14ac:dyDescent="0.25">
      <c r="A29" t="s">
        <v>1059</v>
      </c>
      <c r="B29" t="s">
        <v>1060</v>
      </c>
      <c r="C29" t="s">
        <v>1061</v>
      </c>
      <c r="D29" t="s">
        <v>1185</v>
      </c>
      <c r="E29" t="s">
        <v>1186</v>
      </c>
      <c r="F29" t="s">
        <v>967</v>
      </c>
      <c r="G29">
        <v>774.53997800000002</v>
      </c>
      <c r="H29">
        <v>777.53735400000005</v>
      </c>
      <c r="I29">
        <v>776.06774900000005</v>
      </c>
      <c r="J29">
        <v>773.38439900000003</v>
      </c>
      <c r="K29">
        <v>766.23870799999997</v>
      </c>
      <c r="L29">
        <v>762.01086399999997</v>
      </c>
      <c r="M29">
        <v>756.96893299999999</v>
      </c>
      <c r="N29">
        <v>754.99780299999998</v>
      </c>
      <c r="O29">
        <v>753.45190400000001</v>
      </c>
      <c r="P29">
        <v>754.00939900000003</v>
      </c>
      <c r="Q29">
        <v>755.11730999999997</v>
      </c>
      <c r="R29">
        <v>752.42364499999996</v>
      </c>
      <c r="S29">
        <v>746.49102800000003</v>
      </c>
      <c r="T29">
        <v>740.76800500000002</v>
      </c>
      <c r="U29">
        <v>737.8125</v>
      </c>
      <c r="V29">
        <v>736.70519999999999</v>
      </c>
      <c r="W29">
        <v>737.79656999999997</v>
      </c>
      <c r="X29">
        <v>736.50988800000005</v>
      </c>
      <c r="Y29">
        <v>732.66778599999998</v>
      </c>
      <c r="Z29">
        <v>728.45471199999997</v>
      </c>
      <c r="AA29">
        <v>724.67083700000001</v>
      </c>
      <c r="AB29">
        <v>725.17279099999996</v>
      </c>
      <c r="AC29">
        <v>726.47796600000004</v>
      </c>
      <c r="AD29">
        <v>723.81841999999995</v>
      </c>
      <c r="AE29">
        <v>722.17980999999997</v>
      </c>
      <c r="AF29">
        <v>721.85510299999999</v>
      </c>
      <c r="AG29">
        <v>-3.0000000000000001E-3</v>
      </c>
    </row>
    <row r="30" spans="1:35" x14ac:dyDescent="0.25">
      <c r="A30" t="s">
        <v>1064</v>
      </c>
      <c r="B30" t="s">
        <v>1065</v>
      </c>
      <c r="C30" t="s">
        <v>1066</v>
      </c>
      <c r="D30" t="s">
        <v>1187</v>
      </c>
      <c r="E30" t="s">
        <v>1188</v>
      </c>
      <c r="F30" t="s">
        <v>967</v>
      </c>
      <c r="G30">
        <v>37.928801999999997</v>
      </c>
      <c r="H30">
        <v>38.061751999999998</v>
      </c>
      <c r="I30">
        <v>38.561805999999997</v>
      </c>
      <c r="J30">
        <v>39.056305000000002</v>
      </c>
      <c r="K30">
        <v>39.331111999999997</v>
      </c>
      <c r="L30">
        <v>39.764567999999997</v>
      </c>
      <c r="M30">
        <v>40.11956</v>
      </c>
      <c r="N30">
        <v>40.299236000000001</v>
      </c>
      <c r="O30">
        <v>40.397125000000003</v>
      </c>
      <c r="P30">
        <v>40.514839000000002</v>
      </c>
      <c r="Q30">
        <v>40.634067999999999</v>
      </c>
      <c r="R30">
        <v>40.696747000000002</v>
      </c>
      <c r="S30">
        <v>40.848927000000003</v>
      </c>
      <c r="T30">
        <v>40.945205999999999</v>
      </c>
      <c r="U30">
        <v>41.058052000000004</v>
      </c>
      <c r="V30">
        <v>41.272781000000002</v>
      </c>
      <c r="W30">
        <v>41.408282999999997</v>
      </c>
      <c r="X30">
        <v>41.387431999999997</v>
      </c>
      <c r="Y30">
        <v>41.379840999999999</v>
      </c>
      <c r="Z30">
        <v>41.349102000000002</v>
      </c>
      <c r="AA30">
        <v>41.235301999999997</v>
      </c>
      <c r="AB30">
        <v>41.171729999999997</v>
      </c>
      <c r="AC30">
        <v>41.151542999999997</v>
      </c>
      <c r="AD30">
        <v>41.052802999999997</v>
      </c>
      <c r="AE30">
        <v>40.930908000000002</v>
      </c>
      <c r="AF30">
        <v>40.843361000000002</v>
      </c>
      <c r="AG30">
        <v>3.0000000000000001E-3</v>
      </c>
    </row>
    <row r="31" spans="1:35" x14ac:dyDescent="0.25">
      <c r="A31" t="s">
        <v>1069</v>
      </c>
      <c r="B31" t="s">
        <v>1070</v>
      </c>
      <c r="C31" t="s">
        <v>1071</v>
      </c>
      <c r="D31" t="s">
        <v>1189</v>
      </c>
      <c r="E31" t="s">
        <v>1190</v>
      </c>
      <c r="F31" t="s">
        <v>967</v>
      </c>
      <c r="G31">
        <v>216.092499</v>
      </c>
      <c r="H31">
        <v>214.823395</v>
      </c>
      <c r="I31">
        <v>219.677505</v>
      </c>
      <c r="J31">
        <v>222.33085600000001</v>
      </c>
      <c r="K31">
        <v>223.295807</v>
      </c>
      <c r="L31">
        <v>225.64897199999999</v>
      </c>
      <c r="M31">
        <v>228.33862300000001</v>
      </c>
      <c r="N31">
        <v>229.98912000000001</v>
      </c>
      <c r="O31">
        <v>231.525879</v>
      </c>
      <c r="P31">
        <v>232.55505400000001</v>
      </c>
      <c r="Q31">
        <v>234.36923200000001</v>
      </c>
      <c r="R31">
        <v>237.07929999999999</v>
      </c>
      <c r="S31">
        <v>240.29484600000001</v>
      </c>
      <c r="T31">
        <v>243.169006</v>
      </c>
      <c r="U31">
        <v>245.56535299999999</v>
      </c>
      <c r="V31">
        <v>248.44892899999999</v>
      </c>
      <c r="W31">
        <v>251.36265599999999</v>
      </c>
      <c r="X31">
        <v>254.492828</v>
      </c>
      <c r="Y31">
        <v>257.41253699999999</v>
      </c>
      <c r="Z31">
        <v>260.39547700000003</v>
      </c>
      <c r="AA31">
        <v>263.66223100000002</v>
      </c>
      <c r="AB31">
        <v>266.49383499999999</v>
      </c>
      <c r="AC31">
        <v>269.102417</v>
      </c>
      <c r="AD31">
        <v>271.19576999999998</v>
      </c>
      <c r="AE31">
        <v>274.12976099999997</v>
      </c>
      <c r="AF31">
        <v>277.056915</v>
      </c>
      <c r="AG31">
        <v>0.01</v>
      </c>
    </row>
    <row r="32" spans="1:35" x14ac:dyDescent="0.25">
      <c r="A32" t="s">
        <v>1074</v>
      </c>
      <c r="C32" t="s">
        <v>1075</v>
      </c>
      <c r="D32" t="s">
        <v>1191</v>
      </c>
      <c r="E32" t="s">
        <v>1192</v>
      </c>
      <c r="F32" t="s">
        <v>967</v>
      </c>
      <c r="G32">
        <v>111.71762099999999</v>
      </c>
      <c r="H32">
        <v>110.275085</v>
      </c>
      <c r="I32">
        <v>108.786674</v>
      </c>
      <c r="J32">
        <v>108.493782</v>
      </c>
      <c r="K32">
        <v>108.214882</v>
      </c>
      <c r="L32">
        <v>108.480453</v>
      </c>
      <c r="M32">
        <v>109.168541</v>
      </c>
      <c r="N32">
        <v>109.853004</v>
      </c>
      <c r="O32">
        <v>110.825157</v>
      </c>
      <c r="P32">
        <v>111.884613</v>
      </c>
      <c r="Q32">
        <v>112.972191</v>
      </c>
      <c r="R32">
        <v>114.100296</v>
      </c>
      <c r="S32">
        <v>115.13226299999999</v>
      </c>
      <c r="T32">
        <v>116.23027</v>
      </c>
      <c r="U32">
        <v>117.294624</v>
      </c>
      <c r="V32">
        <v>117.994339</v>
      </c>
      <c r="W32">
        <v>118.39089199999999</v>
      </c>
      <c r="X32">
        <v>118.60862</v>
      </c>
      <c r="Y32">
        <v>118.440742</v>
      </c>
      <c r="Z32">
        <v>118.101471</v>
      </c>
      <c r="AA32">
        <v>118.495834</v>
      </c>
      <c r="AB32">
        <v>119.35684999999999</v>
      </c>
      <c r="AC32">
        <v>120.240875</v>
      </c>
      <c r="AD32">
        <v>121.143654</v>
      </c>
      <c r="AE32">
        <v>122.01752500000001</v>
      </c>
      <c r="AF32">
        <v>122.991974</v>
      </c>
      <c r="AG32">
        <v>4.0000000000000001E-3</v>
      </c>
    </row>
    <row r="33" spans="1:33" x14ac:dyDescent="0.25">
      <c r="A33" t="s">
        <v>1078</v>
      </c>
      <c r="B33" t="s">
        <v>1079</v>
      </c>
      <c r="C33" t="s">
        <v>1080</v>
      </c>
      <c r="D33" t="s">
        <v>1193</v>
      </c>
      <c r="E33" t="s">
        <v>1194</v>
      </c>
      <c r="F33" t="s">
        <v>967</v>
      </c>
      <c r="G33">
        <v>21.317433999999999</v>
      </c>
      <c r="H33">
        <v>21.330378</v>
      </c>
      <c r="I33">
        <v>21.382898000000001</v>
      </c>
      <c r="J33">
        <v>21.358000000000001</v>
      </c>
      <c r="K33">
        <v>21.324632999999999</v>
      </c>
      <c r="L33">
        <v>21.333777999999999</v>
      </c>
      <c r="M33">
        <v>21.370118999999999</v>
      </c>
      <c r="N33">
        <v>21.456921000000001</v>
      </c>
      <c r="O33">
        <v>21.599215000000001</v>
      </c>
      <c r="P33">
        <v>21.778683000000001</v>
      </c>
      <c r="Q33">
        <v>22.004484000000001</v>
      </c>
      <c r="R33">
        <v>22.229578</v>
      </c>
      <c r="S33">
        <v>22.444936999999999</v>
      </c>
      <c r="T33">
        <v>22.672058</v>
      </c>
      <c r="U33">
        <v>22.897127000000001</v>
      </c>
      <c r="V33">
        <v>23.127673999999999</v>
      </c>
      <c r="W33">
        <v>23.370462</v>
      </c>
      <c r="X33">
        <v>23.622247999999999</v>
      </c>
      <c r="Y33">
        <v>23.883127000000002</v>
      </c>
      <c r="Z33">
        <v>24.140699000000001</v>
      </c>
      <c r="AA33">
        <v>24.406714999999998</v>
      </c>
      <c r="AB33">
        <v>24.676950000000001</v>
      </c>
      <c r="AC33">
        <v>24.947620000000001</v>
      </c>
      <c r="AD33">
        <v>25.221364999999999</v>
      </c>
      <c r="AE33">
        <v>25.484995000000001</v>
      </c>
      <c r="AF33">
        <v>25.749542000000002</v>
      </c>
      <c r="AG33">
        <v>8.0000000000000002E-3</v>
      </c>
    </row>
    <row r="34" spans="1:33" x14ac:dyDescent="0.25">
      <c r="A34" t="s">
        <v>1083</v>
      </c>
      <c r="B34" t="s">
        <v>1084</v>
      </c>
      <c r="C34" t="s">
        <v>1085</v>
      </c>
      <c r="D34" t="s">
        <v>1195</v>
      </c>
      <c r="E34" t="s">
        <v>1196</v>
      </c>
      <c r="F34" t="s">
        <v>967</v>
      </c>
      <c r="G34">
        <v>9.3360269999999996</v>
      </c>
      <c r="H34">
        <v>9.1387490000000007</v>
      </c>
      <c r="I34">
        <v>8.9767869999999998</v>
      </c>
      <c r="J34">
        <v>8.8997440000000001</v>
      </c>
      <c r="K34">
        <v>8.8583759999999998</v>
      </c>
      <c r="L34">
        <v>8.879111</v>
      </c>
      <c r="M34">
        <v>8.9399709999999999</v>
      </c>
      <c r="N34">
        <v>9.02407</v>
      </c>
      <c r="O34">
        <v>9.1352890000000002</v>
      </c>
      <c r="P34">
        <v>9.2585529999999991</v>
      </c>
      <c r="Q34">
        <v>9.3897539999999999</v>
      </c>
      <c r="R34">
        <v>9.524654</v>
      </c>
      <c r="S34">
        <v>9.6574539999999995</v>
      </c>
      <c r="T34">
        <v>9.793234</v>
      </c>
      <c r="U34">
        <v>9.925656</v>
      </c>
      <c r="V34">
        <v>10.036542000000001</v>
      </c>
      <c r="W34">
        <v>10.121435</v>
      </c>
      <c r="X34">
        <v>10.178687</v>
      </c>
      <c r="Y34">
        <v>10.198941</v>
      </c>
      <c r="Z34">
        <v>10.195506999999999</v>
      </c>
      <c r="AA34">
        <v>10.222628</v>
      </c>
      <c r="AB34">
        <v>10.289026</v>
      </c>
      <c r="AC34">
        <v>10.381219</v>
      </c>
      <c r="AD34">
        <v>10.489734</v>
      </c>
      <c r="AE34">
        <v>10.605895</v>
      </c>
      <c r="AF34">
        <v>10.7287</v>
      </c>
      <c r="AG34">
        <v>6.0000000000000001E-3</v>
      </c>
    </row>
    <row r="35" spans="1:33" x14ac:dyDescent="0.25">
      <c r="A35" t="s">
        <v>1088</v>
      </c>
      <c r="B35" t="s">
        <v>1084</v>
      </c>
      <c r="C35" t="s">
        <v>1089</v>
      </c>
      <c r="D35" t="s">
        <v>1197</v>
      </c>
      <c r="E35" t="s">
        <v>1198</v>
      </c>
      <c r="F35" t="s">
        <v>967</v>
      </c>
      <c r="G35">
        <v>81.064155999999997</v>
      </c>
      <c r="H35">
        <v>79.805961999999994</v>
      </c>
      <c r="I35">
        <v>78.426986999999997</v>
      </c>
      <c r="J35">
        <v>78.236037999999994</v>
      </c>
      <c r="K35">
        <v>78.031875999999997</v>
      </c>
      <c r="L35">
        <v>78.267562999999996</v>
      </c>
      <c r="M35">
        <v>78.858452</v>
      </c>
      <c r="N35">
        <v>79.372017</v>
      </c>
      <c r="O35">
        <v>80.090652000000006</v>
      </c>
      <c r="P35">
        <v>80.847381999999996</v>
      </c>
      <c r="Q35">
        <v>81.577950000000001</v>
      </c>
      <c r="R35">
        <v>82.346069</v>
      </c>
      <c r="S35">
        <v>83.029869000000005</v>
      </c>
      <c r="T35">
        <v>83.764977000000002</v>
      </c>
      <c r="U35">
        <v>84.47184</v>
      </c>
      <c r="V35">
        <v>84.830123999999998</v>
      </c>
      <c r="W35">
        <v>84.898994000000002</v>
      </c>
      <c r="X35">
        <v>84.807686000000004</v>
      </c>
      <c r="Y35">
        <v>84.358672999999996</v>
      </c>
      <c r="Z35">
        <v>83.765265999999997</v>
      </c>
      <c r="AA35">
        <v>83.866485999999995</v>
      </c>
      <c r="AB35">
        <v>84.390877000000003</v>
      </c>
      <c r="AC35">
        <v>84.912032999999994</v>
      </c>
      <c r="AD35">
        <v>85.432556000000005</v>
      </c>
      <c r="AE35">
        <v>85.926636000000002</v>
      </c>
      <c r="AF35">
        <v>86.513733000000002</v>
      </c>
      <c r="AG35">
        <v>3.0000000000000001E-3</v>
      </c>
    </row>
    <row r="36" spans="1:33" x14ac:dyDescent="0.25">
      <c r="A36" t="s">
        <v>1092</v>
      </c>
      <c r="C36" t="s">
        <v>1093</v>
      </c>
      <c r="D36" t="s">
        <v>1199</v>
      </c>
      <c r="E36" t="s">
        <v>1200</v>
      </c>
      <c r="F36" t="s">
        <v>967</v>
      </c>
      <c r="G36">
        <v>246.75572199999999</v>
      </c>
      <c r="H36">
        <v>250.08715799999999</v>
      </c>
      <c r="I36">
        <v>255.74015800000001</v>
      </c>
      <c r="J36">
        <v>255.59541300000001</v>
      </c>
      <c r="K36">
        <v>257.12191799999999</v>
      </c>
      <c r="L36">
        <v>260.64471400000002</v>
      </c>
      <c r="M36">
        <v>263.586365</v>
      </c>
      <c r="N36">
        <v>267.570404</v>
      </c>
      <c r="O36">
        <v>271.298248</v>
      </c>
      <c r="P36">
        <v>273.56982399999998</v>
      </c>
      <c r="Q36">
        <v>276.890106</v>
      </c>
      <c r="R36">
        <v>279.220032</v>
      </c>
      <c r="S36">
        <v>281.90106200000002</v>
      </c>
      <c r="T36">
        <v>284.14254799999998</v>
      </c>
      <c r="U36">
        <v>286.10418700000002</v>
      </c>
      <c r="V36">
        <v>289.02960200000001</v>
      </c>
      <c r="W36">
        <v>292.31088299999999</v>
      </c>
      <c r="X36">
        <v>295.61889600000001</v>
      </c>
      <c r="Y36">
        <v>298.47378500000002</v>
      </c>
      <c r="Z36">
        <v>301.26617399999998</v>
      </c>
      <c r="AA36">
        <v>305.13906900000001</v>
      </c>
      <c r="AB36">
        <v>308.23111</v>
      </c>
      <c r="AC36">
        <v>311.82583599999998</v>
      </c>
      <c r="AD36">
        <v>314.93536399999999</v>
      </c>
      <c r="AE36">
        <v>316.969177</v>
      </c>
      <c r="AF36">
        <v>319.74111900000003</v>
      </c>
      <c r="AG36">
        <v>0.01</v>
      </c>
    </row>
    <row r="37" spans="1:33" x14ac:dyDescent="0.25">
      <c r="A37" t="s">
        <v>1096</v>
      </c>
      <c r="B37" t="s">
        <v>1065</v>
      </c>
      <c r="C37" t="s">
        <v>1097</v>
      </c>
      <c r="D37" t="s">
        <v>1201</v>
      </c>
      <c r="E37" t="s">
        <v>1202</v>
      </c>
      <c r="F37" t="s">
        <v>967</v>
      </c>
      <c r="G37">
        <v>133.185272</v>
      </c>
      <c r="H37">
        <v>136.571045</v>
      </c>
      <c r="I37">
        <v>141.48924299999999</v>
      </c>
      <c r="J37">
        <v>140.72695899999999</v>
      </c>
      <c r="K37">
        <v>141.82077000000001</v>
      </c>
      <c r="L37">
        <v>144.79960600000001</v>
      </c>
      <c r="M37">
        <v>147.15261799999999</v>
      </c>
      <c r="N37">
        <v>150.40751599999999</v>
      </c>
      <c r="O37">
        <v>153.237595</v>
      </c>
      <c r="P37">
        <v>154.47895800000001</v>
      </c>
      <c r="Q37">
        <v>156.59899899999999</v>
      </c>
      <c r="R37">
        <v>157.66630599999999</v>
      </c>
      <c r="S37">
        <v>159.091263</v>
      </c>
      <c r="T37">
        <v>160.069885</v>
      </c>
      <c r="U37">
        <v>160.77773999999999</v>
      </c>
      <c r="V37">
        <v>162.43937700000001</v>
      </c>
      <c r="W37">
        <v>164.43351699999999</v>
      </c>
      <c r="X37">
        <v>166.44512900000001</v>
      </c>
      <c r="Y37">
        <v>168.00439499999999</v>
      </c>
      <c r="Z37">
        <v>169.520996</v>
      </c>
      <c r="AA37">
        <v>172.14063999999999</v>
      </c>
      <c r="AB37">
        <v>174.01265000000001</v>
      </c>
      <c r="AC37">
        <v>176.44012499999999</v>
      </c>
      <c r="AD37">
        <v>178.45138499999999</v>
      </c>
      <c r="AE37">
        <v>179.463089</v>
      </c>
      <c r="AF37">
        <v>181.260727</v>
      </c>
      <c r="AG37">
        <v>1.2E-2</v>
      </c>
    </row>
    <row r="38" spans="1:33" x14ac:dyDescent="0.25">
      <c r="A38" t="s">
        <v>1100</v>
      </c>
      <c r="B38" t="s">
        <v>1101</v>
      </c>
      <c r="C38" t="s">
        <v>1102</v>
      </c>
      <c r="D38" t="s">
        <v>1203</v>
      </c>
      <c r="E38" t="s">
        <v>1204</v>
      </c>
      <c r="F38" t="s">
        <v>967</v>
      </c>
      <c r="G38">
        <v>34.303463000000001</v>
      </c>
      <c r="H38">
        <v>34.704796000000002</v>
      </c>
      <c r="I38">
        <v>35.137936000000003</v>
      </c>
      <c r="J38">
        <v>35.538319000000001</v>
      </c>
      <c r="K38">
        <v>35.894688000000002</v>
      </c>
      <c r="L38">
        <v>36.223056999999997</v>
      </c>
      <c r="M38">
        <v>36.590854999999998</v>
      </c>
      <c r="N38">
        <v>37.023113000000002</v>
      </c>
      <c r="O38">
        <v>37.529774000000003</v>
      </c>
      <c r="P38">
        <v>38.114296000000003</v>
      </c>
      <c r="Q38">
        <v>38.792518999999999</v>
      </c>
      <c r="R38">
        <v>39.503158999999997</v>
      </c>
      <c r="S38">
        <v>40.215851000000001</v>
      </c>
      <c r="T38">
        <v>40.931010999999998</v>
      </c>
      <c r="U38">
        <v>41.635021000000002</v>
      </c>
      <c r="V38">
        <v>42.331553999999997</v>
      </c>
      <c r="W38">
        <v>43.032451999999999</v>
      </c>
      <c r="X38">
        <v>43.732039999999998</v>
      </c>
      <c r="Y38">
        <v>44.414870999999998</v>
      </c>
      <c r="Z38">
        <v>45.054203000000001</v>
      </c>
      <c r="AA38">
        <v>45.637836</v>
      </c>
      <c r="AB38">
        <v>46.167350999999996</v>
      </c>
      <c r="AC38">
        <v>46.650509</v>
      </c>
      <c r="AD38">
        <v>47.085503000000003</v>
      </c>
      <c r="AE38">
        <v>47.473671000000003</v>
      </c>
      <c r="AF38">
        <v>47.835383999999998</v>
      </c>
      <c r="AG38">
        <v>1.2999999999999999E-2</v>
      </c>
    </row>
    <row r="39" spans="1:33" x14ac:dyDescent="0.25">
      <c r="A39" t="s">
        <v>1105</v>
      </c>
      <c r="B39" t="s">
        <v>1101</v>
      </c>
      <c r="C39" t="s">
        <v>1106</v>
      </c>
      <c r="D39" t="s">
        <v>1205</v>
      </c>
      <c r="E39" t="s">
        <v>1206</v>
      </c>
      <c r="F39" t="s">
        <v>967</v>
      </c>
      <c r="G39">
        <v>79.266982999999996</v>
      </c>
      <c r="H39">
        <v>78.811301999999998</v>
      </c>
      <c r="I39">
        <v>79.112976000000003</v>
      </c>
      <c r="J39">
        <v>79.330146999999997</v>
      </c>
      <c r="K39">
        <v>79.406470999999996</v>
      </c>
      <c r="L39">
        <v>79.622046999999995</v>
      </c>
      <c r="M39">
        <v>79.842895999999996</v>
      </c>
      <c r="N39">
        <v>80.139786000000001</v>
      </c>
      <c r="O39">
        <v>80.530861000000002</v>
      </c>
      <c r="P39">
        <v>80.976562000000001</v>
      </c>
      <c r="Q39">
        <v>81.498572999999993</v>
      </c>
      <c r="R39">
        <v>82.050551999999996</v>
      </c>
      <c r="S39">
        <v>82.593947999999997</v>
      </c>
      <c r="T39">
        <v>83.141647000000006</v>
      </c>
      <c r="U39">
        <v>83.691399000000004</v>
      </c>
      <c r="V39">
        <v>84.258674999999997</v>
      </c>
      <c r="W39">
        <v>84.844893999999996</v>
      </c>
      <c r="X39">
        <v>85.441742000000005</v>
      </c>
      <c r="Y39">
        <v>86.054519999999997</v>
      </c>
      <c r="Z39">
        <v>86.690978999999999</v>
      </c>
      <c r="AA39">
        <v>87.360611000000006</v>
      </c>
      <c r="AB39">
        <v>88.051102</v>
      </c>
      <c r="AC39">
        <v>88.735175999999996</v>
      </c>
      <c r="AD39">
        <v>89.398453000000003</v>
      </c>
      <c r="AE39">
        <v>90.032409999999999</v>
      </c>
      <c r="AF39">
        <v>90.644988999999995</v>
      </c>
      <c r="AG39">
        <v>5.0000000000000001E-3</v>
      </c>
    </row>
    <row r="40" spans="1:33" x14ac:dyDescent="0.25">
      <c r="A40" t="s">
        <v>1109</v>
      </c>
      <c r="B40" t="s">
        <v>1110</v>
      </c>
      <c r="C40" t="s">
        <v>1111</v>
      </c>
      <c r="D40" t="s">
        <v>1207</v>
      </c>
      <c r="E40" t="s">
        <v>1208</v>
      </c>
      <c r="F40" t="s">
        <v>967</v>
      </c>
      <c r="G40">
        <v>310.26748700000002</v>
      </c>
      <c r="H40">
        <v>316.87704500000001</v>
      </c>
      <c r="I40">
        <v>322.38943499999999</v>
      </c>
      <c r="J40">
        <v>319.58441199999999</v>
      </c>
      <c r="K40">
        <v>318.39221199999997</v>
      </c>
      <c r="L40">
        <v>318.325897</v>
      </c>
      <c r="M40">
        <v>318.72213699999998</v>
      </c>
      <c r="N40">
        <v>321.75366200000002</v>
      </c>
      <c r="O40">
        <v>324.08569299999999</v>
      </c>
      <c r="P40">
        <v>328.12899800000002</v>
      </c>
      <c r="Q40">
        <v>332.00430299999999</v>
      </c>
      <c r="R40">
        <v>334.63113399999997</v>
      </c>
      <c r="S40">
        <v>337.58502199999998</v>
      </c>
      <c r="T40">
        <v>341.105255</v>
      </c>
      <c r="U40">
        <v>343.53482100000002</v>
      </c>
      <c r="V40">
        <v>346.93414300000001</v>
      </c>
      <c r="W40">
        <v>350.07003800000001</v>
      </c>
      <c r="X40">
        <v>353.55838</v>
      </c>
      <c r="Y40">
        <v>357.13855000000001</v>
      </c>
      <c r="Z40">
        <v>362.21350100000001</v>
      </c>
      <c r="AA40">
        <v>367.135986</v>
      </c>
      <c r="AB40">
        <v>371.484283</v>
      </c>
      <c r="AC40">
        <v>373.76889</v>
      </c>
      <c r="AD40">
        <v>375.089203</v>
      </c>
      <c r="AE40">
        <v>379.12100199999998</v>
      </c>
      <c r="AF40">
        <v>382.781158</v>
      </c>
      <c r="AG40">
        <v>8.0000000000000002E-3</v>
      </c>
    </row>
    <row r="41" spans="1:33" x14ac:dyDescent="0.25">
      <c r="A41" t="s">
        <v>1114</v>
      </c>
      <c r="B41" t="s">
        <v>1115</v>
      </c>
      <c r="C41" t="s">
        <v>1116</v>
      </c>
      <c r="D41" t="s">
        <v>1209</v>
      </c>
      <c r="E41" t="s">
        <v>1210</v>
      </c>
      <c r="F41" t="s">
        <v>967</v>
      </c>
      <c r="G41">
        <v>305.26001000000002</v>
      </c>
      <c r="H41">
        <v>299.01385499999998</v>
      </c>
      <c r="I41">
        <v>306.222961</v>
      </c>
      <c r="J41">
        <v>311.98895299999998</v>
      </c>
      <c r="K41">
        <v>318.05755599999998</v>
      </c>
      <c r="L41">
        <v>322.15585299999998</v>
      </c>
      <c r="M41">
        <v>328.44146699999999</v>
      </c>
      <c r="N41">
        <v>333.77563500000002</v>
      </c>
      <c r="O41">
        <v>334.120361</v>
      </c>
      <c r="P41">
        <v>336.71984900000001</v>
      </c>
      <c r="Q41">
        <v>341.104828</v>
      </c>
      <c r="R41">
        <v>344.25717200000003</v>
      </c>
      <c r="S41">
        <v>346.36883499999999</v>
      </c>
      <c r="T41">
        <v>347.21533199999999</v>
      </c>
      <c r="U41">
        <v>347.323059</v>
      </c>
      <c r="V41">
        <v>348.83163500000001</v>
      </c>
      <c r="W41">
        <v>350.16537499999998</v>
      </c>
      <c r="X41">
        <v>351.42816199999999</v>
      </c>
      <c r="Y41">
        <v>352.080353</v>
      </c>
      <c r="Z41">
        <v>352.59930400000002</v>
      </c>
      <c r="AA41">
        <v>353.70800800000001</v>
      </c>
      <c r="AB41">
        <v>355.37060500000001</v>
      </c>
      <c r="AC41">
        <v>357.26348899999999</v>
      </c>
      <c r="AD41">
        <v>358.30630500000001</v>
      </c>
      <c r="AE41">
        <v>358.59338400000001</v>
      </c>
      <c r="AF41">
        <v>358.35906999999997</v>
      </c>
      <c r="AG41">
        <v>6.0000000000000001E-3</v>
      </c>
    </row>
    <row r="42" spans="1:33" x14ac:dyDescent="0.25">
      <c r="A42" t="s">
        <v>1119</v>
      </c>
      <c r="B42" t="s">
        <v>1120</v>
      </c>
      <c r="C42" t="s">
        <v>1121</v>
      </c>
      <c r="D42" t="s">
        <v>1211</v>
      </c>
      <c r="E42" t="s">
        <v>1212</v>
      </c>
      <c r="F42" t="s">
        <v>967</v>
      </c>
      <c r="G42">
        <v>411.20251500000001</v>
      </c>
      <c r="H42">
        <v>415.516998</v>
      </c>
      <c r="I42">
        <v>431.08682299999998</v>
      </c>
      <c r="J42">
        <v>441.41235399999999</v>
      </c>
      <c r="K42">
        <v>452.649292</v>
      </c>
      <c r="L42">
        <v>461.90463299999999</v>
      </c>
      <c r="M42">
        <v>469.32000699999998</v>
      </c>
      <c r="N42">
        <v>478.32998700000002</v>
      </c>
      <c r="O42">
        <v>484.94519000000003</v>
      </c>
      <c r="P42">
        <v>493.50338699999998</v>
      </c>
      <c r="Q42">
        <v>503.60900900000001</v>
      </c>
      <c r="R42">
        <v>513.61682099999996</v>
      </c>
      <c r="S42">
        <v>524.40850799999998</v>
      </c>
      <c r="T42">
        <v>535.19140600000003</v>
      </c>
      <c r="U42">
        <v>546.87023899999997</v>
      </c>
      <c r="V42">
        <v>559.02667199999996</v>
      </c>
      <c r="W42">
        <v>570.98046899999997</v>
      </c>
      <c r="X42">
        <v>583.86047399999995</v>
      </c>
      <c r="Y42">
        <v>597.45812999999998</v>
      </c>
      <c r="Z42">
        <v>612.49389599999995</v>
      </c>
      <c r="AA42">
        <v>628.37768600000004</v>
      </c>
      <c r="AB42">
        <v>645.09313999999995</v>
      </c>
      <c r="AC42">
        <v>661.21069299999999</v>
      </c>
      <c r="AD42">
        <v>677.41119400000002</v>
      </c>
      <c r="AE42">
        <v>693.93957499999999</v>
      </c>
      <c r="AF42">
        <v>708.70208700000001</v>
      </c>
      <c r="AG42">
        <v>2.1999999999999999E-2</v>
      </c>
    </row>
    <row r="43" spans="1:33" x14ac:dyDescent="0.25">
      <c r="A43" t="s">
        <v>1124</v>
      </c>
      <c r="B43" t="s">
        <v>1125</v>
      </c>
      <c r="C43" t="s">
        <v>1126</v>
      </c>
      <c r="D43" t="s">
        <v>1213</v>
      </c>
      <c r="E43" t="s">
        <v>1214</v>
      </c>
      <c r="F43" t="s">
        <v>967</v>
      </c>
      <c r="G43">
        <v>1002.35498</v>
      </c>
      <c r="H43">
        <v>1005.299988</v>
      </c>
      <c r="I43">
        <v>1068.974976</v>
      </c>
      <c r="J43">
        <v>1089.931763</v>
      </c>
      <c r="K43">
        <v>1107.2969969999999</v>
      </c>
      <c r="L43">
        <v>1125.723999</v>
      </c>
      <c r="M43">
        <v>1133.2687989999999</v>
      </c>
      <c r="N43">
        <v>1151.2687989999999</v>
      </c>
      <c r="O43">
        <v>1159.2282709999999</v>
      </c>
      <c r="P43">
        <v>1162.536987</v>
      </c>
      <c r="Q43">
        <v>1167.0085449999999</v>
      </c>
      <c r="R43">
        <v>1179.001953</v>
      </c>
      <c r="S43">
        <v>1203.2567140000001</v>
      </c>
      <c r="T43">
        <v>1225.7576899999999</v>
      </c>
      <c r="U43">
        <v>1248.6929929999999</v>
      </c>
      <c r="V43">
        <v>1269.942505</v>
      </c>
      <c r="W43">
        <v>1288.689453</v>
      </c>
      <c r="X43">
        <v>1307.558716</v>
      </c>
      <c r="Y43">
        <v>1324.182495</v>
      </c>
      <c r="Z43">
        <v>1341.2595209999999</v>
      </c>
      <c r="AA43">
        <v>1359.1829829999999</v>
      </c>
      <c r="AB43">
        <v>1376.2032469999999</v>
      </c>
      <c r="AC43">
        <v>1391.7977289999999</v>
      </c>
      <c r="AD43">
        <v>1407.7497559999999</v>
      </c>
      <c r="AE43">
        <v>1422.330811</v>
      </c>
      <c r="AF43">
        <v>1434.1357419999999</v>
      </c>
      <c r="AG43">
        <v>1.4E-2</v>
      </c>
    </row>
    <row r="44" spans="1:33" x14ac:dyDescent="0.25">
      <c r="A44" t="s">
        <v>1129</v>
      </c>
      <c r="B44" t="s">
        <v>1130</v>
      </c>
      <c r="C44" t="s">
        <v>1131</v>
      </c>
      <c r="D44" t="s">
        <v>1215</v>
      </c>
      <c r="E44" t="s">
        <v>1216</v>
      </c>
      <c r="F44" t="s">
        <v>967</v>
      </c>
      <c r="G44">
        <v>118.297501</v>
      </c>
      <c r="H44">
        <v>116.73825100000001</v>
      </c>
      <c r="I44">
        <v>116.096672</v>
      </c>
      <c r="J44">
        <v>114.278603</v>
      </c>
      <c r="K44">
        <v>113.856224</v>
      </c>
      <c r="L44">
        <v>115.909378</v>
      </c>
      <c r="M44">
        <v>117.77842699999999</v>
      </c>
      <c r="N44">
        <v>119.758278</v>
      </c>
      <c r="O44">
        <v>120.41330000000001</v>
      </c>
      <c r="P44">
        <v>120.946648</v>
      </c>
      <c r="Q44">
        <v>122.242722</v>
      </c>
      <c r="R44">
        <v>123.168228</v>
      </c>
      <c r="S44">
        <v>124.023949</v>
      </c>
      <c r="T44">
        <v>124.646446</v>
      </c>
      <c r="U44">
        <v>125.239227</v>
      </c>
      <c r="V44">
        <v>126.064003</v>
      </c>
      <c r="W44">
        <v>126.777603</v>
      </c>
      <c r="X44">
        <v>127.612022</v>
      </c>
      <c r="Y44">
        <v>128.32377600000001</v>
      </c>
      <c r="Z44">
        <v>129.00889599999999</v>
      </c>
      <c r="AA44">
        <v>129.821594</v>
      </c>
      <c r="AB44">
        <v>130.85539199999999</v>
      </c>
      <c r="AC44">
        <v>131.88008099999999</v>
      </c>
      <c r="AD44">
        <v>132.77362099999999</v>
      </c>
      <c r="AE44">
        <v>133.500122</v>
      </c>
      <c r="AF44">
        <v>134.008026</v>
      </c>
      <c r="AG44">
        <v>5.0000000000000001E-3</v>
      </c>
    </row>
    <row r="45" spans="1:33" x14ac:dyDescent="0.25">
      <c r="A45" t="s">
        <v>1134</v>
      </c>
      <c r="B45" t="s">
        <v>1011</v>
      </c>
      <c r="C45" t="s">
        <v>1135</v>
      </c>
      <c r="D45" t="s">
        <v>1217</v>
      </c>
      <c r="E45" t="s">
        <v>1218</v>
      </c>
      <c r="F45" t="s">
        <v>967</v>
      </c>
      <c r="G45">
        <v>144.907501</v>
      </c>
      <c r="H45">
        <v>145.35612499999999</v>
      </c>
      <c r="I45">
        <v>149.45869400000001</v>
      </c>
      <c r="J45">
        <v>152.859497</v>
      </c>
      <c r="K45">
        <v>155.880325</v>
      </c>
      <c r="L45">
        <v>159.69967700000001</v>
      </c>
      <c r="M45">
        <v>164.22250399999999</v>
      </c>
      <c r="N45">
        <v>165.365555</v>
      </c>
      <c r="O45">
        <v>164.929428</v>
      </c>
      <c r="P45">
        <v>163.96925400000001</v>
      </c>
      <c r="Q45">
        <v>163.580322</v>
      </c>
      <c r="R45">
        <v>164.353745</v>
      </c>
      <c r="S45">
        <v>165.49032600000001</v>
      </c>
      <c r="T45">
        <v>166.505325</v>
      </c>
      <c r="U45">
        <v>166.72779800000001</v>
      </c>
      <c r="V45">
        <v>167.80900600000001</v>
      </c>
      <c r="W45">
        <v>168.991028</v>
      </c>
      <c r="X45">
        <v>169.76718099999999</v>
      </c>
      <c r="Y45">
        <v>170.393799</v>
      </c>
      <c r="Z45">
        <v>171.00637800000001</v>
      </c>
      <c r="AA45">
        <v>171.547394</v>
      </c>
      <c r="AB45">
        <v>172.19407699999999</v>
      </c>
      <c r="AC45">
        <v>172.570618</v>
      </c>
      <c r="AD45">
        <v>172.60995500000001</v>
      </c>
      <c r="AE45">
        <v>174.438751</v>
      </c>
      <c r="AF45">
        <v>173.48642000000001</v>
      </c>
      <c r="AG45">
        <v>7.0000000000000001E-3</v>
      </c>
    </row>
    <row r="46" spans="1:33" x14ac:dyDescent="0.25">
      <c r="A46" t="s">
        <v>1138</v>
      </c>
      <c r="C46" t="s">
        <v>1139</v>
      </c>
      <c r="D46" t="s">
        <v>1219</v>
      </c>
      <c r="E46" t="s">
        <v>1220</v>
      </c>
      <c r="F46" t="s">
        <v>967</v>
      </c>
      <c r="G46">
        <v>8703.1972659999992</v>
      </c>
      <c r="H46">
        <v>8752.5644530000009</v>
      </c>
      <c r="I46">
        <v>8860.0869139999995</v>
      </c>
      <c r="J46">
        <v>8925.2099610000005</v>
      </c>
      <c r="K46">
        <v>8996.9707030000009</v>
      </c>
      <c r="L46">
        <v>9096.0107420000004</v>
      </c>
      <c r="M46">
        <v>9180.3876949999994</v>
      </c>
      <c r="N46">
        <v>9280.90625</v>
      </c>
      <c r="O46">
        <v>9357.7587889999995</v>
      </c>
      <c r="P46">
        <v>9436.4335940000001</v>
      </c>
      <c r="Q46">
        <v>9520.1669920000004</v>
      </c>
      <c r="R46">
        <v>9604.296875</v>
      </c>
      <c r="S46">
        <v>9697.3642579999996</v>
      </c>
      <c r="T46">
        <v>9786.8837889999995</v>
      </c>
      <c r="U46">
        <v>9878.1230469999991</v>
      </c>
      <c r="V46">
        <v>9974.8261719999991</v>
      </c>
      <c r="W46">
        <v>10069.032227</v>
      </c>
      <c r="X46">
        <v>10166.395508</v>
      </c>
      <c r="Y46">
        <v>10253.317383</v>
      </c>
      <c r="Z46">
        <v>10343.382812</v>
      </c>
      <c r="AA46">
        <v>10450.386719</v>
      </c>
      <c r="AB46">
        <v>10563.197265999999</v>
      </c>
      <c r="AC46">
        <v>10674.791015999999</v>
      </c>
      <c r="AD46">
        <v>10773.288086</v>
      </c>
      <c r="AE46">
        <v>10876.103515999999</v>
      </c>
      <c r="AF46">
        <v>10975.348633</v>
      </c>
      <c r="AG46">
        <v>8.9999999999999993E-3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A2"/>
  <sheetViews>
    <sheetView workbookViewId="0"/>
  </sheetViews>
  <sheetFormatPr defaultRowHeight="15" x14ac:dyDescent="0.25"/>
  <sheetData>
    <row r="1" spans="1:53" x14ac:dyDescent="0.25">
      <c r="A1" t="s">
        <v>1221</v>
      </c>
      <c r="B1" s="1" t="s">
        <v>66</v>
      </c>
      <c r="C1" s="1" t="s">
        <v>73</v>
      </c>
      <c r="D1" s="1" t="s">
        <v>78</v>
      </c>
      <c r="E1" s="1" t="s">
        <v>90</v>
      </c>
      <c r="F1" s="1" t="s">
        <v>85</v>
      </c>
      <c r="G1" s="1" t="s">
        <v>93</v>
      </c>
      <c r="H1" s="1" t="s">
        <v>96</v>
      </c>
      <c r="I1" s="1" t="s">
        <v>99</v>
      </c>
      <c r="J1" s="1" t="s">
        <v>182</v>
      </c>
      <c r="K1" s="1" t="s">
        <v>209</v>
      </c>
      <c r="L1" s="1" t="s">
        <v>218</v>
      </c>
      <c r="M1" s="1" t="s">
        <v>227</v>
      </c>
      <c r="N1" s="1" t="s">
        <v>236</v>
      </c>
      <c r="O1" s="1" t="s">
        <v>241</v>
      </c>
      <c r="P1" s="1" t="s">
        <v>246</v>
      </c>
      <c r="Q1" s="1" t="s">
        <v>249</v>
      </c>
      <c r="R1" s="1" t="s">
        <v>1222</v>
      </c>
      <c r="S1" s="1" t="s">
        <v>256</v>
      </c>
      <c r="T1" s="1" t="s">
        <v>261</v>
      </c>
      <c r="U1" s="1" t="s">
        <v>266</v>
      </c>
      <c r="V1" s="1" t="s">
        <v>273</v>
      </c>
      <c r="W1" s="1" t="s">
        <v>299</v>
      </c>
      <c r="X1" s="1" t="s">
        <v>314</v>
      </c>
      <c r="Y1" s="1" t="s">
        <v>288</v>
      </c>
      <c r="Z1" s="1" t="s">
        <v>327</v>
      </c>
      <c r="AA1" s="1" t="s">
        <v>339</v>
      </c>
      <c r="AB1" s="1" t="s">
        <v>334</v>
      </c>
      <c r="AC1" s="1" t="s">
        <v>344</v>
      </c>
      <c r="AD1" s="1" t="s">
        <v>106</v>
      </c>
      <c r="AE1" s="1" t="s">
        <v>127</v>
      </c>
      <c r="AF1" s="1" t="s">
        <v>130</v>
      </c>
      <c r="AG1" s="1" t="s">
        <v>133</v>
      </c>
      <c r="AH1" s="1" t="s">
        <v>359</v>
      </c>
      <c r="AI1" s="1" t="s">
        <v>461</v>
      </c>
      <c r="AJ1" s="1" t="s">
        <v>464</v>
      </c>
      <c r="AK1" s="1" t="s">
        <v>454</v>
      </c>
      <c r="AL1" s="1" t="s">
        <v>495</v>
      </c>
      <c r="AM1" s="1" t="s">
        <v>520</v>
      </c>
      <c r="AN1" s="1" t="s">
        <v>871</v>
      </c>
      <c r="AO1" s="1" t="s">
        <v>531</v>
      </c>
      <c r="AP1" s="1" t="s">
        <v>562</v>
      </c>
      <c r="AQ1" s="1" t="s">
        <v>565</v>
      </c>
      <c r="AR1" s="1" t="s">
        <v>568</v>
      </c>
      <c r="AS1" s="1" t="s">
        <v>607</v>
      </c>
      <c r="AT1" s="1" t="s">
        <v>623</v>
      </c>
      <c r="AU1" s="1" t="s">
        <v>610</v>
      </c>
      <c r="AV1" s="1" t="s">
        <v>942</v>
      </c>
      <c r="AW1" s="1" t="s">
        <v>700</v>
      </c>
      <c r="AX1" s="1" t="s">
        <v>755</v>
      </c>
      <c r="AY1" s="1" t="s">
        <v>840</v>
      </c>
      <c r="AZ1" s="1" t="s">
        <v>904</v>
      </c>
      <c r="BA1" s="1" t="s">
        <v>937</v>
      </c>
    </row>
    <row r="2" spans="1:53" x14ac:dyDescent="0.25">
      <c r="A2" t="s">
        <v>1223</v>
      </c>
      <c r="B2">
        <v>179323977701.50699</v>
      </c>
      <c r="C2">
        <v>11250222748.967661</v>
      </c>
      <c r="D2">
        <v>6812799549.5253925</v>
      </c>
      <c r="E2">
        <v>19459700000</v>
      </c>
      <c r="F2">
        <v>184888000000</v>
      </c>
      <c r="G2">
        <v>16619382098.668261</v>
      </c>
      <c r="H2">
        <v>23059017901.331741</v>
      </c>
      <c r="I2">
        <v>51848900000</v>
      </c>
      <c r="J2">
        <v>263619000000</v>
      </c>
      <c r="K2">
        <v>21056500000</v>
      </c>
      <c r="L2">
        <v>44040100000</v>
      </c>
      <c r="M2">
        <v>84707600000</v>
      </c>
      <c r="N2">
        <v>137808000000</v>
      </c>
      <c r="O2">
        <v>269741000000</v>
      </c>
      <c r="P2">
        <v>135756000000</v>
      </c>
      <c r="Q2">
        <v>74268200000</v>
      </c>
      <c r="R2">
        <v>10908300000</v>
      </c>
      <c r="S2">
        <v>45826900000</v>
      </c>
      <c r="T2">
        <v>42096300000</v>
      </c>
      <c r="U2">
        <v>19343900000</v>
      </c>
      <c r="V2">
        <v>139456000000</v>
      </c>
      <c r="W2">
        <v>219416000000</v>
      </c>
      <c r="X2">
        <v>58678400000</v>
      </c>
      <c r="Y2">
        <v>152693000000</v>
      </c>
      <c r="Z2">
        <v>136030000000</v>
      </c>
      <c r="AA2">
        <v>14323093965.29431</v>
      </c>
      <c r="AB2">
        <v>130105906034.7057</v>
      </c>
      <c r="AC2">
        <v>134673000000</v>
      </c>
      <c r="AD2">
        <v>259989000000</v>
      </c>
      <c r="AE2">
        <v>61106700000</v>
      </c>
      <c r="AF2">
        <v>76304000000</v>
      </c>
      <c r="AG2">
        <v>955445000000</v>
      </c>
      <c r="AH2">
        <v>2695700000000</v>
      </c>
      <c r="AI2">
        <v>361372297293.06482</v>
      </c>
      <c r="AJ2">
        <v>16243782662.17305</v>
      </c>
      <c r="AK2">
        <v>126110928922.1524</v>
      </c>
      <c r="AL2">
        <v>152411004029.24551</v>
      </c>
      <c r="AM2">
        <v>66483987093.364311</v>
      </c>
      <c r="AN2">
        <v>702900000000</v>
      </c>
      <c r="AO2">
        <v>502078000000</v>
      </c>
      <c r="AP2">
        <v>276414000000</v>
      </c>
      <c r="AQ2">
        <v>769467000000</v>
      </c>
      <c r="AR2">
        <v>1631550000000</v>
      </c>
      <c r="AS2">
        <v>2966020000000</v>
      </c>
      <c r="AT2">
        <v>1713918800817.9651</v>
      </c>
      <c r="AU2">
        <v>628401199182.03479</v>
      </c>
      <c r="AV2">
        <v>2412650000000</v>
      </c>
      <c r="AW2">
        <v>245035000000</v>
      </c>
      <c r="AX2">
        <v>1617080000000</v>
      </c>
      <c r="AY2">
        <v>222923275035.23291</v>
      </c>
      <c r="AZ2">
        <v>344791724964.76703</v>
      </c>
      <c r="BA2">
        <v>11489000000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8"/>
  <sheetViews>
    <sheetView workbookViewId="0"/>
  </sheetViews>
  <sheetFormatPr defaultRowHeight="15" x14ac:dyDescent="0.25"/>
  <sheetData>
    <row r="1" spans="1:2" x14ac:dyDescent="0.25">
      <c r="A1" t="s">
        <v>1224</v>
      </c>
      <c r="B1" t="s">
        <v>1225</v>
      </c>
    </row>
    <row r="2" spans="1:2" x14ac:dyDescent="0.25">
      <c r="A2">
        <v>2024</v>
      </c>
      <c r="B2">
        <v>21443700000000</v>
      </c>
    </row>
    <row r="3" spans="1:2" x14ac:dyDescent="0.25">
      <c r="A3">
        <v>2025</v>
      </c>
      <c r="B3">
        <v>21825500000000</v>
      </c>
    </row>
    <row r="4" spans="1:2" x14ac:dyDescent="0.25">
      <c r="A4">
        <v>2026</v>
      </c>
      <c r="B4">
        <v>22402500000000</v>
      </c>
    </row>
    <row r="5" spans="1:2" x14ac:dyDescent="0.25">
      <c r="A5">
        <v>2027</v>
      </c>
      <c r="B5">
        <v>22823200000000</v>
      </c>
    </row>
    <row r="6" spans="1:2" x14ac:dyDescent="0.25">
      <c r="A6">
        <v>2028</v>
      </c>
      <c r="B6">
        <v>23114700000000</v>
      </c>
    </row>
    <row r="7" spans="1:2" x14ac:dyDescent="0.25">
      <c r="A7">
        <v>2029</v>
      </c>
      <c r="B7">
        <v>23470600000000</v>
      </c>
    </row>
    <row r="8" spans="1:2" x14ac:dyDescent="0.25">
      <c r="A8">
        <v>2030</v>
      </c>
      <c r="B8">
        <v>23881600000000</v>
      </c>
    </row>
    <row r="9" spans="1:2" x14ac:dyDescent="0.25">
      <c r="A9">
        <v>2031</v>
      </c>
      <c r="B9">
        <v>24282800000000</v>
      </c>
    </row>
    <row r="10" spans="1:2" x14ac:dyDescent="0.25">
      <c r="A10">
        <v>2032</v>
      </c>
      <c r="B10">
        <v>24738800000000</v>
      </c>
    </row>
    <row r="11" spans="1:2" x14ac:dyDescent="0.25">
      <c r="A11">
        <v>2033</v>
      </c>
      <c r="B11">
        <v>25221200000000</v>
      </c>
    </row>
    <row r="12" spans="1:2" x14ac:dyDescent="0.25">
      <c r="A12">
        <v>2034</v>
      </c>
      <c r="B12">
        <v>25734000000000</v>
      </c>
    </row>
    <row r="13" spans="1:2" x14ac:dyDescent="0.25">
      <c r="A13">
        <v>2035</v>
      </c>
      <c r="B13">
        <v>26281800000000</v>
      </c>
    </row>
    <row r="14" spans="1:2" x14ac:dyDescent="0.25">
      <c r="A14">
        <v>2036</v>
      </c>
      <c r="B14">
        <v>26744400000000</v>
      </c>
    </row>
    <row r="15" spans="1:2" x14ac:dyDescent="0.25">
      <c r="A15">
        <v>2037</v>
      </c>
      <c r="B15">
        <v>27206600000000</v>
      </c>
    </row>
    <row r="16" spans="1:2" x14ac:dyDescent="0.25">
      <c r="A16">
        <v>2038</v>
      </c>
      <c r="B16">
        <v>27670000000000</v>
      </c>
    </row>
    <row r="17" spans="1:2" x14ac:dyDescent="0.25">
      <c r="A17">
        <v>2039</v>
      </c>
      <c r="B17">
        <v>28125300000000</v>
      </c>
    </row>
    <row r="18" spans="1:2" x14ac:dyDescent="0.25">
      <c r="A18">
        <v>2040</v>
      </c>
      <c r="B18">
        <v>28584300000000</v>
      </c>
    </row>
    <row r="19" spans="1:2" x14ac:dyDescent="0.25">
      <c r="A19">
        <v>2041</v>
      </c>
      <c r="B19">
        <v>29029400000000</v>
      </c>
    </row>
    <row r="20" spans="1:2" x14ac:dyDescent="0.25">
      <c r="A20">
        <v>2042</v>
      </c>
      <c r="B20">
        <v>29489900000000</v>
      </c>
    </row>
    <row r="21" spans="1:2" x14ac:dyDescent="0.25">
      <c r="A21">
        <v>2043</v>
      </c>
      <c r="B21">
        <v>29964000000000</v>
      </c>
    </row>
    <row r="22" spans="1:2" x14ac:dyDescent="0.25">
      <c r="A22">
        <v>2044</v>
      </c>
      <c r="B22">
        <v>30442800000000</v>
      </c>
    </row>
    <row r="23" spans="1:2" x14ac:dyDescent="0.25">
      <c r="A23">
        <v>2045</v>
      </c>
      <c r="B23">
        <v>30925000000000</v>
      </c>
    </row>
    <row r="24" spans="1:2" x14ac:dyDescent="0.25">
      <c r="A24">
        <v>2046</v>
      </c>
      <c r="B24">
        <v>31395200000000</v>
      </c>
    </row>
    <row r="25" spans="1:2" x14ac:dyDescent="0.25">
      <c r="A25">
        <v>2047</v>
      </c>
      <c r="B25">
        <v>31846300000000</v>
      </c>
    </row>
    <row r="26" spans="1:2" x14ac:dyDescent="0.25">
      <c r="A26">
        <v>2048</v>
      </c>
      <c r="B26">
        <v>32295500000000</v>
      </c>
    </row>
    <row r="27" spans="1:2" x14ac:dyDescent="0.25">
      <c r="A27">
        <v>2049</v>
      </c>
      <c r="B27">
        <v>32734300000000</v>
      </c>
    </row>
    <row r="28" spans="1:2" x14ac:dyDescent="0.25">
      <c r="A28">
        <v>2050</v>
      </c>
      <c r="B28">
        <v>33186800000000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C112"/>
  <sheetViews>
    <sheetView workbookViewId="0"/>
  </sheetViews>
  <sheetFormatPr defaultRowHeight="15" x14ac:dyDescent="0.25"/>
  <sheetData>
    <row r="1" spans="1:29" x14ac:dyDescent="0.25">
      <c r="A1" s="1" t="s">
        <v>1226</v>
      </c>
    </row>
    <row r="3" spans="1:29" x14ac:dyDescent="0.25">
      <c r="A3" s="1" t="s">
        <v>1227</v>
      </c>
      <c r="B3" s="1" t="s">
        <v>1228</v>
      </c>
      <c r="D3" s="1">
        <v>2025</v>
      </c>
      <c r="E3" s="1">
        <v>2026</v>
      </c>
      <c r="F3" s="1">
        <v>2027</v>
      </c>
      <c r="G3" s="1">
        <v>2028</v>
      </c>
      <c r="H3" s="1">
        <v>2029</v>
      </c>
      <c r="I3" s="1">
        <v>2030</v>
      </c>
      <c r="J3" s="1">
        <v>2031</v>
      </c>
      <c r="K3" s="1">
        <v>2032</v>
      </c>
      <c r="L3" s="1">
        <v>2033</v>
      </c>
      <c r="M3" s="1">
        <v>2034</v>
      </c>
      <c r="N3" s="1">
        <v>2035</v>
      </c>
      <c r="O3" s="1">
        <v>2036</v>
      </c>
      <c r="P3" s="1">
        <v>2037</v>
      </c>
      <c r="Q3" s="1">
        <v>2038</v>
      </c>
      <c r="R3" s="1">
        <v>2039</v>
      </c>
      <c r="S3" s="1">
        <v>2040</v>
      </c>
      <c r="T3" s="1">
        <v>2041</v>
      </c>
      <c r="U3" s="1">
        <v>2042</v>
      </c>
      <c r="V3" s="1">
        <v>2043</v>
      </c>
      <c r="W3" s="1">
        <v>2044</v>
      </c>
      <c r="X3" s="1">
        <v>2045</v>
      </c>
      <c r="Y3" s="1">
        <v>2046</v>
      </c>
      <c r="Z3" s="1">
        <v>2047</v>
      </c>
      <c r="AA3" s="1">
        <v>2048</v>
      </c>
      <c r="AB3" s="1">
        <v>2049</v>
      </c>
      <c r="AC3" s="1">
        <v>2050</v>
      </c>
    </row>
    <row r="4" spans="1:29" x14ac:dyDescent="0.25">
      <c r="A4" t="s">
        <v>66</v>
      </c>
      <c r="B4">
        <f>IFERROR(SUMPRODUCT(--('BLS Table 2.11'!$L$1:$L$426=$A4),'BLS Table 2.11'!$J$1:$J$426,'BLS Table 2.11'!$K$1:$K$426)/SUMIFS('BLS Table 2.11'!$J$1:$J$426,'BLS Table 2.11'!$L$1:$L$426,$A4)/100,0)</f>
        <v>1.9584220907297827E-2</v>
      </c>
      <c r="D4">
        <f>IFERROR((SUMIFS('AEO 2026 Table 23 '!G:G,'AEO 2026 Table 23 '!$B:$B,"*,"&amp;$A4&amp;",*")-SUMIFS('AEO25 Table 23'!H:H,'AEO25 Table 23'!$B:$B,"*,"&amp;$A4&amp;",*"))/SUMIFS('AEO25 Table 23'!H:H,'AEO25 Table 23'!$B:$B,"*,"&amp;$A4&amp;",*"),"")</f>
        <v>-9.9246442360578349E-2</v>
      </c>
      <c r="E4">
        <f>IFERROR((SUMIFS('AEO 2026 Table 23 '!H:H,'AEO 2026 Table 23 '!$B:$B,"*,"&amp;$A4&amp;",*")-SUMIFS('AEO 2026 Table 23 '!G:G,'AEO 2026 Table 23 '!$B:$B,"*,"&amp;$A4&amp;",*"))/SUMIFS('AEO 2026 Table 23 '!G:G,'AEO 2026 Table 23 '!$B:$B,"*,"&amp;$A4&amp;",*"),"")</f>
        <v>2.4221655673883858E-3</v>
      </c>
      <c r="F4">
        <f>IFERROR((SUMIFS('AEO 2026 Table 23 '!I:I,'AEO 2026 Table 23 '!$B:$B,"*,"&amp;$A4&amp;",*")-SUMIFS('AEO 2026 Table 23 '!H:H,'AEO 2026 Table 23 '!$B:$B,"*,"&amp;$A4&amp;",*"))/SUMIFS('AEO 2026 Table 23 '!H:H,'AEO 2026 Table 23 '!$B:$B,"*,"&amp;$A4&amp;",*"),"")</f>
        <v>1.4078996801101312E-2</v>
      </c>
      <c r="G4">
        <f>IFERROR((SUMIFS('AEO 2026 Table 23 '!J:J,'AEO 2026 Table 23 '!$B:$B,"*,"&amp;$A4&amp;",*")-SUMIFS('AEO 2026 Table 23 '!I:I,'AEO 2026 Table 23 '!$B:$B,"*,"&amp;$A4&amp;",*"))/SUMIFS('AEO 2026 Table 23 '!I:I,'AEO 2026 Table 23 '!$B:$B,"*,"&amp;$A4&amp;",*"),"")</f>
        <v>2.0031825018195219E-2</v>
      </c>
      <c r="H4">
        <f>IFERROR((SUMIFS('AEO 2026 Table 23 '!K:K,'AEO 2026 Table 23 '!$B:$B,"*,"&amp;$A4&amp;",*")-SUMIFS('AEO 2026 Table 23 '!J:J,'AEO 2026 Table 23 '!$B:$B,"*,"&amp;$A4&amp;",*"))/SUMIFS('AEO 2026 Table 23 '!J:J,'AEO 2026 Table 23 '!$B:$B,"*,"&amp;$A4&amp;",*"),"")</f>
        <v>1.3204714892339337E-2</v>
      </c>
      <c r="I4">
        <f>IFERROR((SUMIFS('AEO 2026 Table 23 '!L:L,'AEO 2026 Table 23 '!$B:$B,"*,"&amp;$A4&amp;",*")-SUMIFS('AEO 2026 Table 23 '!K:K,'AEO 2026 Table 23 '!$B:$B,"*,"&amp;$A4&amp;",*"))/SUMIFS('AEO 2026 Table 23 '!K:K,'AEO 2026 Table 23 '!$B:$B,"*,"&amp;$A4&amp;",*"),"")</f>
        <v>1.2805134886959699E-2</v>
      </c>
      <c r="J4">
        <f>IFERROR((SUMIFS('AEO 2026 Table 23 '!M:M,'AEO 2026 Table 23 '!$B:$B,"*,"&amp;$A4&amp;",*")-SUMIFS('AEO 2026 Table 23 '!L:L,'AEO 2026 Table 23 '!$B:$B,"*,"&amp;$A4&amp;",*"))/SUMIFS('AEO 2026 Table 23 '!L:L,'AEO 2026 Table 23 '!$B:$B,"*,"&amp;$A4&amp;",*"),"")</f>
        <v>1.2429849853809712E-2</v>
      </c>
      <c r="K4">
        <f>IFERROR((SUMIFS('AEO 2026 Table 23 '!N:N,'AEO 2026 Table 23 '!$B:$B,"*,"&amp;$A4&amp;",*")-SUMIFS('AEO 2026 Table 23 '!M:M,'AEO 2026 Table 23 '!$B:$B,"*,"&amp;$A4&amp;",*"))/SUMIFS('AEO 2026 Table 23 '!M:M,'AEO 2026 Table 23 '!$B:$B,"*,"&amp;$A4&amp;",*"),"")</f>
        <v>1.2496007024267423E-2</v>
      </c>
      <c r="L4">
        <f>IFERROR((SUMIFS('AEO 2026 Table 23 '!O:O,'AEO 2026 Table 23 '!$B:$B,"*,"&amp;$A4&amp;",*")-SUMIFS('AEO 2026 Table 23 '!N:N,'AEO 2026 Table 23 '!$B:$B,"*,"&amp;$A4&amp;",*"))/SUMIFS('AEO 2026 Table 23 '!N:N,'AEO 2026 Table 23 '!$B:$B,"*,"&amp;$A4&amp;",*"),"")</f>
        <v>6.7384862316785931E-3</v>
      </c>
      <c r="M4">
        <f>IFERROR((SUMIFS('AEO 2026 Table 23 '!P:P,'AEO 2026 Table 23 '!$B:$B,"*,"&amp;$A4&amp;",*")-SUMIFS('AEO 2026 Table 23 '!O:O,'AEO 2026 Table 23 '!$B:$B,"*,"&amp;$A4&amp;",*"))/SUMIFS('AEO 2026 Table 23 '!O:O,'AEO 2026 Table 23 '!$B:$B,"*,"&amp;$A4&amp;",*"),"")</f>
        <v>1.3166996229270631E-2</v>
      </c>
      <c r="N4">
        <f>IFERROR((SUMIFS('AEO 2026 Table 23 '!Q:Q,'AEO 2026 Table 23 '!$B:$B,"*,"&amp;$A4&amp;",*")-SUMIFS('AEO 2026 Table 23 '!P:P,'AEO 2026 Table 23 '!$B:$B,"*,"&amp;$A4&amp;",*"))/SUMIFS('AEO 2026 Table 23 '!P:P,'AEO 2026 Table 23 '!$B:$B,"*,"&amp;$A4&amp;",*"),"")</f>
        <v>1.4348560175009727E-2</v>
      </c>
      <c r="O4">
        <f>IFERROR((SUMIFS('AEO 2026 Table 23 '!R:R,'AEO 2026 Table 23 '!$B:$B,"*,"&amp;$A4&amp;",*")-SUMIFS('AEO 2026 Table 23 '!Q:Q,'AEO 2026 Table 23 '!$B:$B,"*,"&amp;$A4&amp;",*"))/SUMIFS('AEO 2026 Table 23 '!Q:Q,'AEO 2026 Table 23 '!$B:$B,"*,"&amp;$A4&amp;",*"),"")</f>
        <v>1.4131660795059422E-2</v>
      </c>
      <c r="P4">
        <f>IFERROR((SUMIFS('AEO 2026 Table 23 '!S:S,'AEO 2026 Table 23 '!$B:$B,"*,"&amp;$A4&amp;",*")-SUMIFS('AEO 2026 Table 23 '!R:R,'AEO 2026 Table 23 '!$B:$B,"*,"&amp;$A4&amp;",*"))/SUMIFS('AEO 2026 Table 23 '!R:R,'AEO 2026 Table 23 '!$B:$B,"*,"&amp;$A4&amp;",*"),"")</f>
        <v>1.352784547057437E-2</v>
      </c>
      <c r="Q4">
        <f>IFERROR((SUMIFS('AEO 2026 Table 23 '!T:T,'AEO 2026 Table 23 '!$B:$B,"*,"&amp;$A4&amp;",*")-SUMIFS('AEO 2026 Table 23 '!S:S,'AEO 2026 Table 23 '!$B:$B,"*,"&amp;$A4&amp;",*"))/SUMIFS('AEO 2026 Table 23 '!S:S,'AEO 2026 Table 23 '!$B:$B,"*,"&amp;$A4&amp;",*"),"")</f>
        <v>1.4121592708991805E-2</v>
      </c>
      <c r="R4">
        <f>IFERROR((SUMIFS('AEO 2026 Table 23 '!U:U,'AEO 2026 Table 23 '!$B:$B,"*,"&amp;$A4&amp;",*")-SUMIFS('AEO 2026 Table 23 '!T:T,'AEO 2026 Table 23 '!$B:$B,"*,"&amp;$A4&amp;",*"))/SUMIFS('AEO 2026 Table 23 '!T:T,'AEO 2026 Table 23 '!$B:$B,"*,"&amp;$A4&amp;",*"),"")</f>
        <v>1.4366256699279449E-2</v>
      </c>
      <c r="S4">
        <f>IFERROR((SUMIFS('AEO 2026 Table 23 '!V:V,'AEO 2026 Table 23 '!$B:$B,"*,"&amp;$A4&amp;",*")-SUMIFS('AEO 2026 Table 23 '!U:U,'AEO 2026 Table 23 '!$B:$B,"*,"&amp;$A4&amp;",*"))/SUMIFS('AEO 2026 Table 23 '!U:U,'AEO 2026 Table 23 '!$B:$B,"*,"&amp;$A4&amp;",*"),"")</f>
        <v>1.1995192747679755E-2</v>
      </c>
      <c r="T4">
        <f>IFERROR((SUMIFS('AEO 2026 Table 23 '!W:W,'AEO 2026 Table 23 '!$B:$B,"*,"&amp;$A4&amp;",*")-SUMIFS('AEO 2026 Table 23 '!V:V,'AEO 2026 Table 23 '!$B:$B,"*,"&amp;$A4&amp;",*"))/SUMIFS('AEO 2026 Table 23 '!V:V,'AEO 2026 Table 23 '!$B:$B,"*,"&amp;$A4&amp;",*"),"")</f>
        <v>1.1234927092096699E-2</v>
      </c>
      <c r="U4">
        <f>IFERROR((SUMIFS('AEO 2026 Table 23 '!X:X,'AEO 2026 Table 23 '!$B:$B,"*,"&amp;$A4&amp;",*")-SUMIFS('AEO 2026 Table 23 '!W:W,'AEO 2026 Table 23 '!$B:$B,"*,"&amp;$A4&amp;",*"))/SUMIFS('AEO 2026 Table 23 '!W:W,'AEO 2026 Table 23 '!$B:$B,"*,"&amp;$A4&amp;",*"),"")</f>
        <v>1.2383112057571054E-2</v>
      </c>
      <c r="V4">
        <f>IFERROR((SUMIFS('AEO 2026 Table 23 '!Y:Y,'AEO 2026 Table 23 '!$B:$B,"*,"&amp;$A4&amp;",*")-SUMIFS('AEO 2026 Table 23 '!X:X,'AEO 2026 Table 23 '!$B:$B,"*,"&amp;$A4&amp;",*"))/SUMIFS('AEO 2026 Table 23 '!X:X,'AEO 2026 Table 23 '!$B:$B,"*,"&amp;$A4&amp;",*"),"")</f>
        <v>1.1567985810791029E-2</v>
      </c>
      <c r="W4">
        <f>IFERROR((SUMIFS('AEO 2026 Table 23 '!Z:Z,'AEO 2026 Table 23 '!$B:$B,"*,"&amp;$A4&amp;",*")-SUMIFS('AEO 2026 Table 23 '!Y:Y,'AEO 2026 Table 23 '!$B:$B,"*,"&amp;$A4&amp;",*"))/SUMIFS('AEO 2026 Table 23 '!Y:Y,'AEO 2026 Table 23 '!$B:$B,"*,"&amp;$A4&amp;",*"),"")</f>
        <v>1.2451080250240349E-2</v>
      </c>
      <c r="X4">
        <f>IFERROR((SUMIFS('AEO 2026 Table 23 '!AA:AA,'AEO 2026 Table 23 '!$B:$B,"*,"&amp;$A4&amp;",*")-SUMIFS('AEO 2026 Table 23 '!Z:Z,'AEO 2026 Table 23 '!$B:$B,"*,"&amp;$A4&amp;",*"))/SUMIFS('AEO 2026 Table 23 '!Z:Z,'AEO 2026 Table 23 '!$B:$B,"*,"&amp;$A4&amp;",*"),"")</f>
        <v>1.3976865433354137E-2</v>
      </c>
      <c r="Y4">
        <f>IFERROR((SUMIFS('AEO 2026 Table 23 '!AB:AB,'AEO 2026 Table 23 '!$B:$B,"*,"&amp;$A4&amp;",*")-SUMIFS('AEO 2026 Table 23 '!AA:AA,'AEO 2026 Table 23 '!$B:$B,"*,"&amp;$A4&amp;",*"))/SUMIFS('AEO 2026 Table 23 '!AA:AA,'AEO 2026 Table 23 '!$B:$B,"*,"&amp;$A4&amp;",*"),"")</f>
        <v>1.4480385595373062E-2</v>
      </c>
      <c r="Z4">
        <f>IFERROR((SUMIFS('AEO 2026 Table 23 '!AC:AC,'AEO 2026 Table 23 '!$B:$B,"*,"&amp;$A4&amp;",*")-SUMIFS('AEO 2026 Table 23 '!AB:AB,'AEO 2026 Table 23 '!$B:$B,"*,"&amp;$A4&amp;",*"))/SUMIFS('AEO 2026 Table 23 '!AB:AB,'AEO 2026 Table 23 '!$B:$B,"*,"&amp;$A4&amp;",*"),"")</f>
        <v>1.4401250336012673E-2</v>
      </c>
      <c r="AA4">
        <f>IFERROR((SUMIFS('AEO 2026 Table 23 '!AD:AD,'AEO 2026 Table 23 '!$B:$B,"*,"&amp;$A4&amp;",*")-SUMIFS('AEO 2026 Table 23 '!AC:AC,'AEO 2026 Table 23 '!$B:$B,"*,"&amp;$A4&amp;",*"))/SUMIFS('AEO 2026 Table 23 '!AC:AC,'AEO 2026 Table 23 '!$B:$B,"*,"&amp;$A4&amp;",*"),"")</f>
        <v>1.4399263693733538E-2</v>
      </c>
      <c r="AB4">
        <f>IFERROR((SUMIFS('AEO 2026 Table 23 '!AE:AE,'AEO 2026 Table 23 '!$B:$B,"*,"&amp;$A4&amp;",*")-SUMIFS('AEO 2026 Table 23 '!AD:AD,'AEO 2026 Table 23 '!$B:$B,"*,"&amp;$A4&amp;",*"))/SUMIFS('AEO 2026 Table 23 '!AD:AD,'AEO 2026 Table 23 '!$B:$B,"*,"&amp;$A4&amp;",*"),"")</f>
        <v>1.4095495313647692E-2</v>
      </c>
      <c r="AC4">
        <f>IFERROR((SUMIFS('AEO 2026 Table 23 '!AF:AF,'AEO 2026 Table 23 '!$B:$B,"*,"&amp;$A4&amp;",*")-SUMIFS('AEO 2026 Table 23 '!AE:AE,'AEO 2026 Table 23 '!$B:$B,"*,"&amp;$A4&amp;",*"))/SUMIFS('AEO 2026 Table 23 '!AE:AE,'AEO 2026 Table 23 '!$B:$B,"*,"&amp;$A4&amp;",*"),"")</f>
        <v>1.4017183131886454E-2</v>
      </c>
    </row>
    <row r="5" spans="1:29" x14ac:dyDescent="0.25">
      <c r="A5" t="s">
        <v>73</v>
      </c>
      <c r="B5">
        <f>IFERROR(SUMPRODUCT(--('BLS Table 2.11'!$L$1:$L$426=$A5),'BLS Table 2.11'!$J$1:$J$426,'BLS Table 2.11'!$K$1:$K$426)/SUMIFS('BLS Table 2.11'!$J$1:$J$426,'BLS Table 2.11'!$L$1:$L$426,$A5)/100,0)</f>
        <v>1.6E-2</v>
      </c>
      <c r="D5" t="str">
        <f>IFERROR((SUMIFS('AEO 2026 Table 23 '!G:G,'AEO 2026 Table 23 '!$B:$B,"*,"&amp;$A5&amp;",*")-SUMIFS('AEO25 Table 23'!H:H,'AEO25 Table 23'!$B:$B,"*,"&amp;$A5&amp;",*"))/SUMIFS('AEO25 Table 23'!H:H,'AEO25 Table 23'!$B:$B,"*,"&amp;$A5&amp;",*"),"")</f>
        <v/>
      </c>
      <c r="E5" t="str">
        <f>IFERROR((SUMIFS('AEO 2026 Table 23 '!H:H,'AEO 2026 Table 23 '!$B:$B,"*,"&amp;$A5&amp;",*")-SUMIFS('AEO 2026 Table 23 '!G:G,'AEO 2026 Table 23 '!$B:$B,"*,"&amp;$A5&amp;",*"))/SUMIFS('AEO 2026 Table 23 '!G:G,'AEO 2026 Table 23 '!$B:$B,"*,"&amp;$A5&amp;",*"),"")</f>
        <v/>
      </c>
      <c r="F5" t="str">
        <f>IFERROR((SUMIFS('AEO 2026 Table 23 '!I:I,'AEO 2026 Table 23 '!$B:$B,"*,"&amp;$A5&amp;",*")-SUMIFS('AEO 2026 Table 23 '!H:H,'AEO 2026 Table 23 '!$B:$B,"*,"&amp;$A5&amp;",*"))/SUMIFS('AEO 2026 Table 23 '!H:H,'AEO 2026 Table 23 '!$B:$B,"*,"&amp;$A5&amp;",*"),"")</f>
        <v/>
      </c>
      <c r="G5" t="str">
        <f>IFERROR((SUMIFS('AEO 2026 Table 23 '!J:J,'AEO 2026 Table 23 '!$B:$B,"*,"&amp;$A5&amp;",*")-SUMIFS('AEO 2026 Table 23 '!I:I,'AEO 2026 Table 23 '!$B:$B,"*,"&amp;$A5&amp;",*"))/SUMIFS('AEO 2026 Table 23 '!I:I,'AEO 2026 Table 23 '!$B:$B,"*,"&amp;$A5&amp;",*"),"")</f>
        <v/>
      </c>
      <c r="H5" t="str">
        <f>IFERROR((SUMIFS('AEO 2026 Table 23 '!K:K,'AEO 2026 Table 23 '!$B:$B,"*,"&amp;$A5&amp;",*")-SUMIFS('AEO 2026 Table 23 '!J:J,'AEO 2026 Table 23 '!$B:$B,"*,"&amp;$A5&amp;",*"))/SUMIFS('AEO 2026 Table 23 '!J:J,'AEO 2026 Table 23 '!$B:$B,"*,"&amp;$A5&amp;",*"),"")</f>
        <v/>
      </c>
      <c r="I5" t="str">
        <f>IFERROR((SUMIFS('AEO 2026 Table 23 '!L:L,'AEO 2026 Table 23 '!$B:$B,"*,"&amp;$A5&amp;",*")-SUMIFS('AEO 2026 Table 23 '!K:K,'AEO 2026 Table 23 '!$B:$B,"*,"&amp;$A5&amp;",*"))/SUMIFS('AEO 2026 Table 23 '!K:K,'AEO 2026 Table 23 '!$B:$B,"*,"&amp;$A5&amp;",*"),"")</f>
        <v/>
      </c>
      <c r="J5" t="str">
        <f>IFERROR((SUMIFS('AEO 2026 Table 23 '!M:M,'AEO 2026 Table 23 '!$B:$B,"*,"&amp;$A5&amp;",*")-SUMIFS('AEO 2026 Table 23 '!L:L,'AEO 2026 Table 23 '!$B:$B,"*,"&amp;$A5&amp;",*"))/SUMIFS('AEO 2026 Table 23 '!L:L,'AEO 2026 Table 23 '!$B:$B,"*,"&amp;$A5&amp;",*"),"")</f>
        <v/>
      </c>
      <c r="K5" t="str">
        <f>IFERROR((SUMIFS('AEO 2026 Table 23 '!N:N,'AEO 2026 Table 23 '!$B:$B,"*,"&amp;$A5&amp;",*")-SUMIFS('AEO 2026 Table 23 '!M:M,'AEO 2026 Table 23 '!$B:$B,"*,"&amp;$A5&amp;",*"))/SUMIFS('AEO 2026 Table 23 '!M:M,'AEO 2026 Table 23 '!$B:$B,"*,"&amp;$A5&amp;",*"),"")</f>
        <v/>
      </c>
      <c r="L5" t="str">
        <f>IFERROR((SUMIFS('AEO 2026 Table 23 '!O:O,'AEO 2026 Table 23 '!$B:$B,"*,"&amp;$A5&amp;",*")-SUMIFS('AEO 2026 Table 23 '!N:N,'AEO 2026 Table 23 '!$B:$B,"*,"&amp;$A5&amp;",*"))/SUMIFS('AEO 2026 Table 23 '!N:N,'AEO 2026 Table 23 '!$B:$B,"*,"&amp;$A5&amp;",*"),"")</f>
        <v/>
      </c>
      <c r="M5" t="str">
        <f>IFERROR((SUMIFS('AEO 2026 Table 23 '!P:P,'AEO 2026 Table 23 '!$B:$B,"*,"&amp;$A5&amp;",*")-SUMIFS('AEO 2026 Table 23 '!O:O,'AEO 2026 Table 23 '!$B:$B,"*,"&amp;$A5&amp;",*"))/SUMIFS('AEO 2026 Table 23 '!O:O,'AEO 2026 Table 23 '!$B:$B,"*,"&amp;$A5&amp;",*"),"")</f>
        <v/>
      </c>
      <c r="N5" t="str">
        <f>IFERROR((SUMIFS('AEO 2026 Table 23 '!Q:Q,'AEO 2026 Table 23 '!$B:$B,"*,"&amp;$A5&amp;",*")-SUMIFS('AEO 2026 Table 23 '!P:P,'AEO 2026 Table 23 '!$B:$B,"*,"&amp;$A5&amp;",*"))/SUMIFS('AEO 2026 Table 23 '!P:P,'AEO 2026 Table 23 '!$B:$B,"*,"&amp;$A5&amp;",*"),"")</f>
        <v/>
      </c>
      <c r="O5" t="str">
        <f>IFERROR((SUMIFS('AEO 2026 Table 23 '!R:R,'AEO 2026 Table 23 '!$B:$B,"*,"&amp;$A5&amp;",*")-SUMIFS('AEO 2026 Table 23 '!Q:Q,'AEO 2026 Table 23 '!$B:$B,"*,"&amp;$A5&amp;",*"))/SUMIFS('AEO 2026 Table 23 '!Q:Q,'AEO 2026 Table 23 '!$B:$B,"*,"&amp;$A5&amp;",*"),"")</f>
        <v/>
      </c>
      <c r="P5" t="str">
        <f>IFERROR((SUMIFS('AEO 2026 Table 23 '!S:S,'AEO 2026 Table 23 '!$B:$B,"*,"&amp;$A5&amp;",*")-SUMIFS('AEO 2026 Table 23 '!R:R,'AEO 2026 Table 23 '!$B:$B,"*,"&amp;$A5&amp;",*"))/SUMIFS('AEO 2026 Table 23 '!R:R,'AEO 2026 Table 23 '!$B:$B,"*,"&amp;$A5&amp;",*"),"")</f>
        <v/>
      </c>
      <c r="Q5" t="str">
        <f>IFERROR((SUMIFS('AEO 2026 Table 23 '!T:T,'AEO 2026 Table 23 '!$B:$B,"*,"&amp;$A5&amp;",*")-SUMIFS('AEO 2026 Table 23 '!S:S,'AEO 2026 Table 23 '!$B:$B,"*,"&amp;$A5&amp;",*"))/SUMIFS('AEO 2026 Table 23 '!S:S,'AEO 2026 Table 23 '!$B:$B,"*,"&amp;$A5&amp;",*"),"")</f>
        <v/>
      </c>
      <c r="R5" t="str">
        <f>IFERROR((SUMIFS('AEO 2026 Table 23 '!U:U,'AEO 2026 Table 23 '!$B:$B,"*,"&amp;$A5&amp;",*")-SUMIFS('AEO 2026 Table 23 '!T:T,'AEO 2026 Table 23 '!$B:$B,"*,"&amp;$A5&amp;",*"))/SUMIFS('AEO 2026 Table 23 '!T:T,'AEO 2026 Table 23 '!$B:$B,"*,"&amp;$A5&amp;",*"),"")</f>
        <v/>
      </c>
      <c r="S5" t="str">
        <f>IFERROR((SUMIFS('AEO 2026 Table 23 '!V:V,'AEO 2026 Table 23 '!$B:$B,"*,"&amp;$A5&amp;",*")-SUMIFS('AEO 2026 Table 23 '!U:U,'AEO 2026 Table 23 '!$B:$B,"*,"&amp;$A5&amp;",*"))/SUMIFS('AEO 2026 Table 23 '!U:U,'AEO 2026 Table 23 '!$B:$B,"*,"&amp;$A5&amp;",*"),"")</f>
        <v/>
      </c>
      <c r="T5" t="str">
        <f>IFERROR((SUMIFS('AEO 2026 Table 23 '!W:W,'AEO 2026 Table 23 '!$B:$B,"*,"&amp;$A5&amp;",*")-SUMIFS('AEO 2026 Table 23 '!V:V,'AEO 2026 Table 23 '!$B:$B,"*,"&amp;$A5&amp;",*"))/SUMIFS('AEO 2026 Table 23 '!V:V,'AEO 2026 Table 23 '!$B:$B,"*,"&amp;$A5&amp;",*"),"")</f>
        <v/>
      </c>
      <c r="U5" t="str">
        <f>IFERROR((SUMIFS('AEO 2026 Table 23 '!X:X,'AEO 2026 Table 23 '!$B:$B,"*,"&amp;$A5&amp;",*")-SUMIFS('AEO 2026 Table 23 '!W:W,'AEO 2026 Table 23 '!$B:$B,"*,"&amp;$A5&amp;",*"))/SUMIFS('AEO 2026 Table 23 '!W:W,'AEO 2026 Table 23 '!$B:$B,"*,"&amp;$A5&amp;",*"),"")</f>
        <v/>
      </c>
      <c r="V5" t="str">
        <f>IFERROR((SUMIFS('AEO 2026 Table 23 '!Y:Y,'AEO 2026 Table 23 '!$B:$B,"*,"&amp;$A5&amp;",*")-SUMIFS('AEO 2026 Table 23 '!X:X,'AEO 2026 Table 23 '!$B:$B,"*,"&amp;$A5&amp;",*"))/SUMIFS('AEO 2026 Table 23 '!X:X,'AEO 2026 Table 23 '!$B:$B,"*,"&amp;$A5&amp;",*"),"")</f>
        <v/>
      </c>
      <c r="W5" t="str">
        <f>IFERROR((SUMIFS('AEO 2026 Table 23 '!Z:Z,'AEO 2026 Table 23 '!$B:$B,"*,"&amp;$A5&amp;",*")-SUMIFS('AEO 2026 Table 23 '!Y:Y,'AEO 2026 Table 23 '!$B:$B,"*,"&amp;$A5&amp;",*"))/SUMIFS('AEO 2026 Table 23 '!Y:Y,'AEO 2026 Table 23 '!$B:$B,"*,"&amp;$A5&amp;",*"),"")</f>
        <v/>
      </c>
      <c r="X5" t="str">
        <f>IFERROR((SUMIFS('AEO 2026 Table 23 '!AA:AA,'AEO 2026 Table 23 '!$B:$B,"*,"&amp;$A5&amp;",*")-SUMIFS('AEO 2026 Table 23 '!Z:Z,'AEO 2026 Table 23 '!$B:$B,"*,"&amp;$A5&amp;",*"))/SUMIFS('AEO 2026 Table 23 '!Z:Z,'AEO 2026 Table 23 '!$B:$B,"*,"&amp;$A5&amp;",*"),"")</f>
        <v/>
      </c>
      <c r="Y5" t="str">
        <f>IFERROR((SUMIFS('AEO 2026 Table 23 '!AB:AB,'AEO 2026 Table 23 '!$B:$B,"*,"&amp;$A5&amp;",*")-SUMIFS('AEO 2026 Table 23 '!AA:AA,'AEO 2026 Table 23 '!$B:$B,"*,"&amp;$A5&amp;",*"))/SUMIFS('AEO 2026 Table 23 '!AA:AA,'AEO 2026 Table 23 '!$B:$B,"*,"&amp;$A5&amp;",*"),"")</f>
        <v/>
      </c>
      <c r="Z5" t="str">
        <f>IFERROR((SUMIFS('AEO 2026 Table 23 '!AC:AC,'AEO 2026 Table 23 '!$B:$B,"*,"&amp;$A5&amp;",*")-SUMIFS('AEO 2026 Table 23 '!AB:AB,'AEO 2026 Table 23 '!$B:$B,"*,"&amp;$A5&amp;",*"))/SUMIFS('AEO 2026 Table 23 '!AB:AB,'AEO 2026 Table 23 '!$B:$B,"*,"&amp;$A5&amp;",*"),"")</f>
        <v/>
      </c>
      <c r="AA5" t="str">
        <f>IFERROR((SUMIFS('AEO 2026 Table 23 '!AD:AD,'AEO 2026 Table 23 '!$B:$B,"*,"&amp;$A5&amp;",*")-SUMIFS('AEO 2026 Table 23 '!AC:AC,'AEO 2026 Table 23 '!$B:$B,"*,"&amp;$A5&amp;",*"))/SUMIFS('AEO 2026 Table 23 '!AC:AC,'AEO 2026 Table 23 '!$B:$B,"*,"&amp;$A5&amp;",*"),"")</f>
        <v/>
      </c>
      <c r="AB5" t="str">
        <f>IFERROR((SUMIFS('AEO 2026 Table 23 '!AE:AE,'AEO 2026 Table 23 '!$B:$B,"*,"&amp;$A5&amp;",*")-SUMIFS('AEO 2026 Table 23 '!AD:AD,'AEO 2026 Table 23 '!$B:$B,"*,"&amp;$A5&amp;",*"))/SUMIFS('AEO 2026 Table 23 '!AD:AD,'AEO 2026 Table 23 '!$B:$B,"*,"&amp;$A5&amp;",*"),"")</f>
        <v/>
      </c>
      <c r="AC5" t="str">
        <f>IFERROR((SUMIFS('AEO 2026 Table 23 '!AF:AF,'AEO 2026 Table 23 '!$B:$B,"*,"&amp;$A5&amp;",*")-SUMIFS('AEO 2026 Table 23 '!AE:AE,'AEO 2026 Table 23 '!$B:$B,"*,"&amp;$A5&amp;",*"))/SUMIFS('AEO 2026 Table 23 '!AE:AE,'AEO 2026 Table 23 '!$B:$B,"*,"&amp;$A5&amp;",*"),"")</f>
        <v/>
      </c>
    </row>
    <row r="6" spans="1:29" x14ac:dyDescent="0.25">
      <c r="A6" t="s">
        <v>78</v>
      </c>
      <c r="B6">
        <f>IFERROR(SUMPRODUCT(--('BLS Table 2.11'!$L$1:$L$426=$A6),'BLS Table 2.11'!$J$1:$J$426,'BLS Table 2.11'!$K$1:$K$426)/SUMIFS('BLS Table 2.11'!$J$1:$J$426,'BLS Table 2.11'!$L$1:$L$426,$A6)/100,0)</f>
        <v>1.4999999999999999E-2</v>
      </c>
      <c r="D6" t="str">
        <f>IFERROR((SUMIFS('AEO 2026 Table 23 '!G:G,'AEO 2026 Table 23 '!$B:$B,"*,"&amp;$A6&amp;",*")-SUMIFS('AEO25 Table 23'!H:H,'AEO25 Table 23'!$B:$B,"*,"&amp;$A6&amp;",*"))/SUMIFS('AEO25 Table 23'!H:H,'AEO25 Table 23'!$B:$B,"*,"&amp;$A6&amp;",*"),"")</f>
        <v/>
      </c>
      <c r="E6" t="str">
        <f>IFERROR((SUMIFS('AEO 2026 Table 23 '!H:H,'AEO 2026 Table 23 '!$B:$B,"*,"&amp;$A6&amp;",*")-SUMIFS('AEO 2026 Table 23 '!G:G,'AEO 2026 Table 23 '!$B:$B,"*,"&amp;$A6&amp;",*"))/SUMIFS('AEO 2026 Table 23 '!G:G,'AEO 2026 Table 23 '!$B:$B,"*,"&amp;$A6&amp;",*"),"")</f>
        <v/>
      </c>
      <c r="F6" t="str">
        <f>IFERROR((SUMIFS('AEO 2026 Table 23 '!I:I,'AEO 2026 Table 23 '!$B:$B,"*,"&amp;$A6&amp;",*")-SUMIFS('AEO 2026 Table 23 '!H:H,'AEO 2026 Table 23 '!$B:$B,"*,"&amp;$A6&amp;",*"))/SUMIFS('AEO 2026 Table 23 '!H:H,'AEO 2026 Table 23 '!$B:$B,"*,"&amp;$A6&amp;",*"),"")</f>
        <v/>
      </c>
      <c r="G6" t="str">
        <f>IFERROR((SUMIFS('AEO 2026 Table 23 '!J:J,'AEO 2026 Table 23 '!$B:$B,"*,"&amp;$A6&amp;",*")-SUMIFS('AEO 2026 Table 23 '!I:I,'AEO 2026 Table 23 '!$B:$B,"*,"&amp;$A6&amp;",*"))/SUMIFS('AEO 2026 Table 23 '!I:I,'AEO 2026 Table 23 '!$B:$B,"*,"&amp;$A6&amp;",*"),"")</f>
        <v/>
      </c>
      <c r="H6" t="str">
        <f>IFERROR((SUMIFS('AEO 2026 Table 23 '!K:K,'AEO 2026 Table 23 '!$B:$B,"*,"&amp;$A6&amp;",*")-SUMIFS('AEO 2026 Table 23 '!J:J,'AEO 2026 Table 23 '!$B:$B,"*,"&amp;$A6&amp;",*"))/SUMIFS('AEO 2026 Table 23 '!J:J,'AEO 2026 Table 23 '!$B:$B,"*,"&amp;$A6&amp;",*"),"")</f>
        <v/>
      </c>
      <c r="I6" t="str">
        <f>IFERROR((SUMIFS('AEO 2026 Table 23 '!L:L,'AEO 2026 Table 23 '!$B:$B,"*,"&amp;$A6&amp;",*")-SUMIFS('AEO 2026 Table 23 '!K:K,'AEO 2026 Table 23 '!$B:$B,"*,"&amp;$A6&amp;",*"))/SUMIFS('AEO 2026 Table 23 '!K:K,'AEO 2026 Table 23 '!$B:$B,"*,"&amp;$A6&amp;",*"),"")</f>
        <v/>
      </c>
      <c r="J6" t="str">
        <f>IFERROR((SUMIFS('AEO 2026 Table 23 '!M:M,'AEO 2026 Table 23 '!$B:$B,"*,"&amp;$A6&amp;",*")-SUMIFS('AEO 2026 Table 23 '!L:L,'AEO 2026 Table 23 '!$B:$B,"*,"&amp;$A6&amp;",*"))/SUMIFS('AEO 2026 Table 23 '!L:L,'AEO 2026 Table 23 '!$B:$B,"*,"&amp;$A6&amp;",*"),"")</f>
        <v/>
      </c>
      <c r="K6" t="str">
        <f>IFERROR((SUMIFS('AEO 2026 Table 23 '!N:N,'AEO 2026 Table 23 '!$B:$B,"*,"&amp;$A6&amp;",*")-SUMIFS('AEO 2026 Table 23 '!M:M,'AEO 2026 Table 23 '!$B:$B,"*,"&amp;$A6&amp;",*"))/SUMIFS('AEO 2026 Table 23 '!M:M,'AEO 2026 Table 23 '!$B:$B,"*,"&amp;$A6&amp;",*"),"")</f>
        <v/>
      </c>
      <c r="L6" t="str">
        <f>IFERROR((SUMIFS('AEO 2026 Table 23 '!O:O,'AEO 2026 Table 23 '!$B:$B,"*,"&amp;$A6&amp;",*")-SUMIFS('AEO 2026 Table 23 '!N:N,'AEO 2026 Table 23 '!$B:$B,"*,"&amp;$A6&amp;",*"))/SUMIFS('AEO 2026 Table 23 '!N:N,'AEO 2026 Table 23 '!$B:$B,"*,"&amp;$A6&amp;",*"),"")</f>
        <v/>
      </c>
      <c r="M6" t="str">
        <f>IFERROR((SUMIFS('AEO 2026 Table 23 '!P:P,'AEO 2026 Table 23 '!$B:$B,"*,"&amp;$A6&amp;",*")-SUMIFS('AEO 2026 Table 23 '!O:O,'AEO 2026 Table 23 '!$B:$B,"*,"&amp;$A6&amp;",*"))/SUMIFS('AEO 2026 Table 23 '!O:O,'AEO 2026 Table 23 '!$B:$B,"*,"&amp;$A6&amp;",*"),"")</f>
        <v/>
      </c>
      <c r="N6" t="str">
        <f>IFERROR((SUMIFS('AEO 2026 Table 23 '!Q:Q,'AEO 2026 Table 23 '!$B:$B,"*,"&amp;$A6&amp;",*")-SUMIFS('AEO 2026 Table 23 '!P:P,'AEO 2026 Table 23 '!$B:$B,"*,"&amp;$A6&amp;",*"))/SUMIFS('AEO 2026 Table 23 '!P:P,'AEO 2026 Table 23 '!$B:$B,"*,"&amp;$A6&amp;",*"),"")</f>
        <v/>
      </c>
      <c r="O6" t="str">
        <f>IFERROR((SUMIFS('AEO 2026 Table 23 '!R:R,'AEO 2026 Table 23 '!$B:$B,"*,"&amp;$A6&amp;",*")-SUMIFS('AEO 2026 Table 23 '!Q:Q,'AEO 2026 Table 23 '!$B:$B,"*,"&amp;$A6&amp;",*"))/SUMIFS('AEO 2026 Table 23 '!Q:Q,'AEO 2026 Table 23 '!$B:$B,"*,"&amp;$A6&amp;",*"),"")</f>
        <v/>
      </c>
      <c r="P6" t="str">
        <f>IFERROR((SUMIFS('AEO 2026 Table 23 '!S:S,'AEO 2026 Table 23 '!$B:$B,"*,"&amp;$A6&amp;",*")-SUMIFS('AEO 2026 Table 23 '!R:R,'AEO 2026 Table 23 '!$B:$B,"*,"&amp;$A6&amp;",*"))/SUMIFS('AEO 2026 Table 23 '!R:R,'AEO 2026 Table 23 '!$B:$B,"*,"&amp;$A6&amp;",*"),"")</f>
        <v/>
      </c>
      <c r="Q6" t="str">
        <f>IFERROR((SUMIFS('AEO 2026 Table 23 '!T:T,'AEO 2026 Table 23 '!$B:$B,"*,"&amp;$A6&amp;",*")-SUMIFS('AEO 2026 Table 23 '!S:S,'AEO 2026 Table 23 '!$B:$B,"*,"&amp;$A6&amp;",*"))/SUMIFS('AEO 2026 Table 23 '!S:S,'AEO 2026 Table 23 '!$B:$B,"*,"&amp;$A6&amp;",*"),"")</f>
        <v/>
      </c>
      <c r="R6" t="str">
        <f>IFERROR((SUMIFS('AEO 2026 Table 23 '!U:U,'AEO 2026 Table 23 '!$B:$B,"*,"&amp;$A6&amp;",*")-SUMIFS('AEO 2026 Table 23 '!T:T,'AEO 2026 Table 23 '!$B:$B,"*,"&amp;$A6&amp;",*"))/SUMIFS('AEO 2026 Table 23 '!T:T,'AEO 2026 Table 23 '!$B:$B,"*,"&amp;$A6&amp;",*"),"")</f>
        <v/>
      </c>
      <c r="S6" t="str">
        <f>IFERROR((SUMIFS('AEO 2026 Table 23 '!V:V,'AEO 2026 Table 23 '!$B:$B,"*,"&amp;$A6&amp;",*")-SUMIFS('AEO 2026 Table 23 '!U:U,'AEO 2026 Table 23 '!$B:$B,"*,"&amp;$A6&amp;",*"))/SUMIFS('AEO 2026 Table 23 '!U:U,'AEO 2026 Table 23 '!$B:$B,"*,"&amp;$A6&amp;",*"),"")</f>
        <v/>
      </c>
      <c r="T6" t="str">
        <f>IFERROR((SUMIFS('AEO 2026 Table 23 '!W:W,'AEO 2026 Table 23 '!$B:$B,"*,"&amp;$A6&amp;",*")-SUMIFS('AEO 2026 Table 23 '!V:V,'AEO 2026 Table 23 '!$B:$B,"*,"&amp;$A6&amp;",*"))/SUMIFS('AEO 2026 Table 23 '!V:V,'AEO 2026 Table 23 '!$B:$B,"*,"&amp;$A6&amp;",*"),"")</f>
        <v/>
      </c>
      <c r="U6" t="str">
        <f>IFERROR((SUMIFS('AEO 2026 Table 23 '!X:X,'AEO 2026 Table 23 '!$B:$B,"*,"&amp;$A6&amp;",*")-SUMIFS('AEO 2026 Table 23 '!W:W,'AEO 2026 Table 23 '!$B:$B,"*,"&amp;$A6&amp;",*"))/SUMIFS('AEO 2026 Table 23 '!W:W,'AEO 2026 Table 23 '!$B:$B,"*,"&amp;$A6&amp;",*"),"")</f>
        <v/>
      </c>
      <c r="V6" t="str">
        <f>IFERROR((SUMIFS('AEO 2026 Table 23 '!Y:Y,'AEO 2026 Table 23 '!$B:$B,"*,"&amp;$A6&amp;",*")-SUMIFS('AEO 2026 Table 23 '!X:X,'AEO 2026 Table 23 '!$B:$B,"*,"&amp;$A6&amp;",*"))/SUMIFS('AEO 2026 Table 23 '!X:X,'AEO 2026 Table 23 '!$B:$B,"*,"&amp;$A6&amp;",*"),"")</f>
        <v/>
      </c>
      <c r="W6" t="str">
        <f>IFERROR((SUMIFS('AEO 2026 Table 23 '!Z:Z,'AEO 2026 Table 23 '!$B:$B,"*,"&amp;$A6&amp;",*")-SUMIFS('AEO 2026 Table 23 '!Y:Y,'AEO 2026 Table 23 '!$B:$B,"*,"&amp;$A6&amp;",*"))/SUMIFS('AEO 2026 Table 23 '!Y:Y,'AEO 2026 Table 23 '!$B:$B,"*,"&amp;$A6&amp;",*"),"")</f>
        <v/>
      </c>
      <c r="X6" t="str">
        <f>IFERROR((SUMIFS('AEO 2026 Table 23 '!AA:AA,'AEO 2026 Table 23 '!$B:$B,"*,"&amp;$A6&amp;",*")-SUMIFS('AEO 2026 Table 23 '!Z:Z,'AEO 2026 Table 23 '!$B:$B,"*,"&amp;$A6&amp;",*"))/SUMIFS('AEO 2026 Table 23 '!Z:Z,'AEO 2026 Table 23 '!$B:$B,"*,"&amp;$A6&amp;",*"),"")</f>
        <v/>
      </c>
      <c r="Y6" t="str">
        <f>IFERROR((SUMIFS('AEO 2026 Table 23 '!AB:AB,'AEO 2026 Table 23 '!$B:$B,"*,"&amp;$A6&amp;",*")-SUMIFS('AEO 2026 Table 23 '!AA:AA,'AEO 2026 Table 23 '!$B:$B,"*,"&amp;$A6&amp;",*"))/SUMIFS('AEO 2026 Table 23 '!AA:AA,'AEO 2026 Table 23 '!$B:$B,"*,"&amp;$A6&amp;",*"),"")</f>
        <v/>
      </c>
      <c r="Z6" t="str">
        <f>IFERROR((SUMIFS('AEO 2026 Table 23 '!AC:AC,'AEO 2026 Table 23 '!$B:$B,"*,"&amp;$A6&amp;",*")-SUMIFS('AEO 2026 Table 23 '!AB:AB,'AEO 2026 Table 23 '!$B:$B,"*,"&amp;$A6&amp;",*"))/SUMIFS('AEO 2026 Table 23 '!AB:AB,'AEO 2026 Table 23 '!$B:$B,"*,"&amp;$A6&amp;",*"),"")</f>
        <v/>
      </c>
      <c r="AA6" t="str">
        <f>IFERROR((SUMIFS('AEO 2026 Table 23 '!AD:AD,'AEO 2026 Table 23 '!$B:$B,"*,"&amp;$A6&amp;",*")-SUMIFS('AEO 2026 Table 23 '!AC:AC,'AEO 2026 Table 23 '!$B:$B,"*,"&amp;$A6&amp;",*"))/SUMIFS('AEO 2026 Table 23 '!AC:AC,'AEO 2026 Table 23 '!$B:$B,"*,"&amp;$A6&amp;",*"),"")</f>
        <v/>
      </c>
      <c r="AB6" t="str">
        <f>IFERROR((SUMIFS('AEO 2026 Table 23 '!AE:AE,'AEO 2026 Table 23 '!$B:$B,"*,"&amp;$A6&amp;",*")-SUMIFS('AEO 2026 Table 23 '!AD:AD,'AEO 2026 Table 23 '!$B:$B,"*,"&amp;$A6&amp;",*"))/SUMIFS('AEO 2026 Table 23 '!AD:AD,'AEO 2026 Table 23 '!$B:$B,"*,"&amp;$A6&amp;",*"),"")</f>
        <v/>
      </c>
      <c r="AC6" t="str">
        <f>IFERROR((SUMIFS('AEO 2026 Table 23 '!AF:AF,'AEO 2026 Table 23 '!$B:$B,"*,"&amp;$A6&amp;",*")-SUMIFS('AEO 2026 Table 23 '!AE:AE,'AEO 2026 Table 23 '!$B:$B,"*,"&amp;$A6&amp;",*"))/SUMIFS('AEO 2026 Table 23 '!AE:AE,'AEO 2026 Table 23 '!$B:$B,"*,"&amp;$A6&amp;",*"),"")</f>
        <v/>
      </c>
    </row>
    <row r="7" spans="1:29" x14ac:dyDescent="0.25">
      <c r="A7" t="s">
        <v>90</v>
      </c>
      <c r="B7">
        <f>IFERROR(SUMPRODUCT(--('BLS Table 2.11'!$L$1:$L$426=$A7),'BLS Table 2.11'!$J$1:$J$426,'BLS Table 2.11'!$K$1:$K$426)/SUMIFS('BLS Table 2.11'!$J$1:$J$426,'BLS Table 2.11'!$L$1:$L$426,$A7)/100,0)</f>
        <v>-1.9E-2</v>
      </c>
      <c r="D7">
        <f>IFERROR((SUMIFS('AEO 2026 Table 23 '!G:G,'AEO 2026 Table 23 '!$B:$B,"*,"&amp;$A7&amp;",*")-SUMIFS('AEO25 Table 23'!H:H,'AEO25 Table 23'!$B:$B,"*,"&amp;$A7&amp;",*"))/SUMIFS('AEO25 Table 23'!H:H,'AEO25 Table 23'!$B:$B,"*,"&amp;$A7&amp;",*"),"")</f>
        <v>7.1210619379968615E-2</v>
      </c>
      <c r="E7">
        <f>IFERROR((SUMIFS('AEO 2026 Table 23 '!H:H,'AEO 2026 Table 23 '!$B:$B,"*,"&amp;$A7&amp;",*")-SUMIFS('AEO 2026 Table 23 '!G:G,'AEO 2026 Table 23 '!$B:$B,"*,"&amp;$A7&amp;",*"))/SUMIFS('AEO 2026 Table 23 '!G:G,'AEO 2026 Table 23 '!$B:$B,"*,"&amp;$A7&amp;",*"),"")</f>
        <v>9.1485608285695852E-2</v>
      </c>
      <c r="F7">
        <f>IFERROR((SUMIFS('AEO 2026 Table 23 '!I:I,'AEO 2026 Table 23 '!$B:$B,"*,"&amp;$A7&amp;",*")-SUMIFS('AEO 2026 Table 23 '!H:H,'AEO 2026 Table 23 '!$B:$B,"*,"&amp;$A7&amp;",*"))/SUMIFS('AEO 2026 Table 23 '!H:H,'AEO 2026 Table 23 '!$B:$B,"*,"&amp;$A7&amp;",*"),"")</f>
        <v>-7.0993907420503948E-3</v>
      </c>
      <c r="G7">
        <f>IFERROR((SUMIFS('AEO 2026 Table 23 '!J:J,'AEO 2026 Table 23 '!$B:$B,"*,"&amp;$A7&amp;",*")-SUMIFS('AEO 2026 Table 23 '!I:I,'AEO 2026 Table 23 '!$B:$B,"*,"&amp;$A7&amp;",*"))/SUMIFS('AEO 2026 Table 23 '!I:I,'AEO 2026 Table 23 '!$B:$B,"*,"&amp;$A7&amp;",*"),"")</f>
        <v>5.5548707441967927E-3</v>
      </c>
      <c r="H7">
        <f>IFERROR((SUMIFS('AEO 2026 Table 23 '!K:K,'AEO 2026 Table 23 '!$B:$B,"*,"&amp;$A7&amp;",*")-SUMIFS('AEO 2026 Table 23 '!J:J,'AEO 2026 Table 23 '!$B:$B,"*,"&amp;$A7&amp;",*"))/SUMIFS('AEO 2026 Table 23 '!J:J,'AEO 2026 Table 23 '!$B:$B,"*,"&amp;$A7&amp;",*"),"")</f>
        <v>5.9511703967789834E-3</v>
      </c>
      <c r="I7">
        <f>IFERROR((SUMIFS('AEO 2026 Table 23 '!L:L,'AEO 2026 Table 23 '!$B:$B,"*,"&amp;$A7&amp;",*")-SUMIFS('AEO 2026 Table 23 '!K:K,'AEO 2026 Table 23 '!$B:$B,"*,"&amp;$A7&amp;",*"))/SUMIFS('AEO 2026 Table 23 '!K:K,'AEO 2026 Table 23 '!$B:$B,"*,"&amp;$A7&amp;",*"),"")</f>
        <v>2.1573224384578597E-2</v>
      </c>
      <c r="J7">
        <f>IFERROR((SUMIFS('AEO 2026 Table 23 '!M:M,'AEO 2026 Table 23 '!$B:$B,"*,"&amp;$A7&amp;",*")-SUMIFS('AEO 2026 Table 23 '!L:L,'AEO 2026 Table 23 '!$B:$B,"*,"&amp;$A7&amp;",*"))/SUMIFS('AEO 2026 Table 23 '!L:L,'AEO 2026 Table 23 '!$B:$B,"*,"&amp;$A7&amp;",*"),"")</f>
        <v>1.6109320999214728E-2</v>
      </c>
      <c r="K7">
        <f>IFERROR((SUMIFS('AEO 2026 Table 23 '!N:N,'AEO 2026 Table 23 '!$B:$B,"*,"&amp;$A7&amp;",*")-SUMIFS('AEO 2026 Table 23 '!M:M,'AEO 2026 Table 23 '!$B:$B,"*,"&amp;$A7&amp;",*"))/SUMIFS('AEO 2026 Table 23 '!M:M,'AEO 2026 Table 23 '!$B:$B,"*,"&amp;$A7&amp;",*"),"")</f>
        <v>1.4839112543048894E-2</v>
      </c>
      <c r="L7">
        <f>IFERROR((SUMIFS('AEO 2026 Table 23 '!O:O,'AEO 2026 Table 23 '!$B:$B,"*,"&amp;$A7&amp;",*")-SUMIFS('AEO 2026 Table 23 '!N:N,'AEO 2026 Table 23 '!$B:$B,"*,"&amp;$A7&amp;",*"))/SUMIFS('AEO 2026 Table 23 '!N:N,'AEO 2026 Table 23 '!$B:$B,"*,"&amp;$A7&amp;",*"),"")</f>
        <v>1.0867988350010568E-2</v>
      </c>
      <c r="M7">
        <f>IFERROR((SUMIFS('AEO 2026 Table 23 '!P:P,'AEO 2026 Table 23 '!$B:$B,"*,"&amp;$A7&amp;",*")-SUMIFS('AEO 2026 Table 23 '!O:O,'AEO 2026 Table 23 '!$B:$B,"*,"&amp;$A7&amp;",*"))/SUMIFS('AEO 2026 Table 23 '!O:O,'AEO 2026 Table 23 '!$B:$B,"*,"&amp;$A7&amp;",*"),"")</f>
        <v>1.3336208967205965E-2</v>
      </c>
      <c r="N7">
        <f>IFERROR((SUMIFS('AEO 2026 Table 23 '!Q:Q,'AEO 2026 Table 23 '!$B:$B,"*,"&amp;$A7&amp;",*")-SUMIFS('AEO 2026 Table 23 '!P:P,'AEO 2026 Table 23 '!$B:$B,"*,"&amp;$A7&amp;",*"))/SUMIFS('AEO 2026 Table 23 '!P:P,'AEO 2026 Table 23 '!$B:$B,"*,"&amp;$A7&amp;",*"),"")</f>
        <v>3.635627550798287E-3</v>
      </c>
      <c r="O7">
        <f>IFERROR((SUMIFS('AEO 2026 Table 23 '!R:R,'AEO 2026 Table 23 '!$B:$B,"*,"&amp;$A7&amp;",*")-SUMIFS('AEO 2026 Table 23 '!Q:Q,'AEO 2026 Table 23 '!$B:$B,"*,"&amp;$A7&amp;",*"))/SUMIFS('AEO 2026 Table 23 '!Q:Q,'AEO 2026 Table 23 '!$B:$B,"*,"&amp;$A7&amp;",*"),"")</f>
        <v>4.3625166094370098E-3</v>
      </c>
      <c r="P7">
        <f>IFERROR((SUMIFS('AEO 2026 Table 23 '!S:S,'AEO 2026 Table 23 '!$B:$B,"*,"&amp;$A7&amp;",*")-SUMIFS('AEO 2026 Table 23 '!R:R,'AEO 2026 Table 23 '!$B:$B,"*,"&amp;$A7&amp;",*"))/SUMIFS('AEO 2026 Table 23 '!R:R,'AEO 2026 Table 23 '!$B:$B,"*,"&amp;$A7&amp;",*"),"")</f>
        <v>5.5360413090617495E-3</v>
      </c>
      <c r="Q7">
        <f>IFERROR((SUMIFS('AEO 2026 Table 23 '!T:T,'AEO 2026 Table 23 '!$B:$B,"*,"&amp;$A7&amp;",*")-SUMIFS('AEO 2026 Table 23 '!S:S,'AEO 2026 Table 23 '!$B:$B,"*,"&amp;$A7&amp;",*"))/SUMIFS('AEO 2026 Table 23 '!S:S,'AEO 2026 Table 23 '!$B:$B,"*,"&amp;$A7&amp;",*"),"")</f>
        <v>5.0714214789581427E-3</v>
      </c>
      <c r="R7">
        <f>IFERROR((SUMIFS('AEO 2026 Table 23 '!U:U,'AEO 2026 Table 23 '!$B:$B,"*,"&amp;$A7&amp;",*")-SUMIFS('AEO 2026 Table 23 '!T:T,'AEO 2026 Table 23 '!$B:$B,"*,"&amp;$A7&amp;",*"))/SUMIFS('AEO 2026 Table 23 '!T:T,'AEO 2026 Table 23 '!$B:$B,"*,"&amp;$A7&amp;",*"),"")</f>
        <v>6.490507410011179E-3</v>
      </c>
      <c r="S7">
        <f>IFERROR((SUMIFS('AEO 2026 Table 23 '!V:V,'AEO 2026 Table 23 '!$B:$B,"*,"&amp;$A7&amp;",*")-SUMIFS('AEO 2026 Table 23 '!U:U,'AEO 2026 Table 23 '!$B:$B,"*,"&amp;$A7&amp;",*"))/SUMIFS('AEO 2026 Table 23 '!U:U,'AEO 2026 Table 23 '!$B:$B,"*,"&amp;$A7&amp;",*"),"")</f>
        <v>1.1807222899426144E-2</v>
      </c>
      <c r="T7">
        <f>IFERROR((SUMIFS('AEO 2026 Table 23 '!W:W,'AEO 2026 Table 23 '!$B:$B,"*,"&amp;$A7&amp;",*")-SUMIFS('AEO 2026 Table 23 '!V:V,'AEO 2026 Table 23 '!$B:$B,"*,"&amp;$A7&amp;",*"))/SUMIFS('AEO 2026 Table 23 '!V:V,'AEO 2026 Table 23 '!$B:$B,"*,"&amp;$A7&amp;",*"),"")</f>
        <v>1.4138693735629397E-2</v>
      </c>
      <c r="U7">
        <f>IFERROR((SUMIFS('AEO 2026 Table 23 '!X:X,'AEO 2026 Table 23 '!$B:$B,"*,"&amp;$A7&amp;",*")-SUMIFS('AEO 2026 Table 23 '!W:W,'AEO 2026 Table 23 '!$B:$B,"*,"&amp;$A7&amp;",*"))/SUMIFS('AEO 2026 Table 23 '!W:W,'AEO 2026 Table 23 '!$B:$B,"*,"&amp;$A7&amp;",*"),"")</f>
        <v>7.8695027068229235E-3</v>
      </c>
      <c r="V7">
        <f>IFERROR((SUMIFS('AEO 2026 Table 23 '!Y:Y,'AEO 2026 Table 23 '!$B:$B,"*,"&amp;$A7&amp;",*")-SUMIFS('AEO 2026 Table 23 '!X:X,'AEO 2026 Table 23 '!$B:$B,"*,"&amp;$A7&amp;",*"))/SUMIFS('AEO 2026 Table 23 '!X:X,'AEO 2026 Table 23 '!$B:$B,"*,"&amp;$A7&amp;",*"),"")</f>
        <v>8.6050480547517853E-3</v>
      </c>
      <c r="W7">
        <f>IFERROR((SUMIFS('AEO 2026 Table 23 '!Z:Z,'AEO 2026 Table 23 '!$B:$B,"*,"&amp;$A7&amp;",*")-SUMIFS('AEO 2026 Table 23 '!Y:Y,'AEO 2026 Table 23 '!$B:$B,"*,"&amp;$A7&amp;",*"))/SUMIFS('AEO 2026 Table 23 '!Y:Y,'AEO 2026 Table 23 '!$B:$B,"*,"&amp;$A7&amp;",*"),"")</f>
        <v>5.0751542531941845E-3</v>
      </c>
      <c r="X7">
        <f>IFERROR((SUMIFS('AEO 2026 Table 23 '!AA:AA,'AEO 2026 Table 23 '!$B:$B,"*,"&amp;$A7&amp;",*")-SUMIFS('AEO 2026 Table 23 '!Z:Z,'AEO 2026 Table 23 '!$B:$B,"*,"&amp;$A7&amp;",*"))/SUMIFS('AEO 2026 Table 23 '!Z:Z,'AEO 2026 Table 23 '!$B:$B,"*,"&amp;$A7&amp;",*"),"")</f>
        <v>3.6314508985072508E-3</v>
      </c>
      <c r="Y7">
        <f>IFERROR((SUMIFS('AEO 2026 Table 23 '!AB:AB,'AEO 2026 Table 23 '!$B:$B,"*,"&amp;$A7&amp;",*")-SUMIFS('AEO 2026 Table 23 '!AA:AA,'AEO 2026 Table 23 '!$B:$B,"*,"&amp;$A7&amp;",*"))/SUMIFS('AEO 2026 Table 23 '!AA:AA,'AEO 2026 Table 23 '!$B:$B,"*,"&amp;$A7&amp;",*"),"")</f>
        <v>3.7320076133156074E-3</v>
      </c>
      <c r="Z7">
        <f>IFERROR((SUMIFS('AEO 2026 Table 23 '!AC:AC,'AEO 2026 Table 23 '!$B:$B,"*,"&amp;$A7&amp;",*")-SUMIFS('AEO 2026 Table 23 '!AB:AB,'AEO 2026 Table 23 '!$B:$B,"*,"&amp;$A7&amp;",*"))/SUMIFS('AEO 2026 Table 23 '!AB:AB,'AEO 2026 Table 23 '!$B:$B,"*,"&amp;$A7&amp;",*"),"")</f>
        <v>5.5185131598065205E-3</v>
      </c>
      <c r="AA7">
        <f>IFERROR((SUMIFS('AEO 2026 Table 23 '!AD:AD,'AEO 2026 Table 23 '!$B:$B,"*,"&amp;$A7&amp;",*")-SUMIFS('AEO 2026 Table 23 '!AC:AC,'AEO 2026 Table 23 '!$B:$B,"*,"&amp;$A7&amp;",*"))/SUMIFS('AEO 2026 Table 23 '!AC:AC,'AEO 2026 Table 23 '!$B:$B,"*,"&amp;$A7&amp;",*"),"")</f>
        <v>2.1673219962289911E-3</v>
      </c>
      <c r="AB7">
        <f>IFERROR((SUMIFS('AEO 2026 Table 23 '!AE:AE,'AEO 2026 Table 23 '!$B:$B,"*,"&amp;$A7&amp;",*")-SUMIFS('AEO 2026 Table 23 '!AD:AD,'AEO 2026 Table 23 '!$B:$B,"*,"&amp;$A7&amp;",*"))/SUMIFS('AEO 2026 Table 23 '!AD:AD,'AEO 2026 Table 23 '!$B:$B,"*,"&amp;$A7&amp;",*"),"")</f>
        <v>1.601512248964386E-5</v>
      </c>
      <c r="AC7">
        <f>IFERROR((SUMIFS('AEO 2026 Table 23 '!AF:AF,'AEO 2026 Table 23 '!$B:$B,"*,"&amp;$A7&amp;",*")-SUMIFS('AEO 2026 Table 23 '!AE:AE,'AEO 2026 Table 23 '!$B:$B,"*,"&amp;$A7&amp;",*"))/SUMIFS('AEO 2026 Table 23 '!AE:AE,'AEO 2026 Table 23 '!$B:$B,"*,"&amp;$A7&amp;",*"),"")</f>
        <v>-1.8375142190435721E-3</v>
      </c>
    </row>
    <row r="8" spans="1:29" x14ac:dyDescent="0.25">
      <c r="A8" t="s">
        <v>85</v>
      </c>
      <c r="B8">
        <f>IFERROR(SUMPRODUCT(--('BLS Table 2.11'!$L$1:$L$426=$A8),'BLS Table 2.11'!$J$1:$J$426,'BLS Table 2.11'!$K$1:$K$426)/SUMIFS('BLS Table 2.11'!$J$1:$J$426,'BLS Table 2.11'!$L$1:$L$426,$A8)/100,0)</f>
        <v>1.6E-2</v>
      </c>
      <c r="D8">
        <f>IFERROR((SUMIFS('AEO 2026 Table 23 '!G:G,'AEO 2026 Table 23 '!$B:$B,"*,"&amp;$A8&amp;",*")-SUMIFS('AEO25 Table 23'!H:H,'AEO25 Table 23'!$B:$B,"*,"&amp;$A8&amp;",*"))/SUMIFS('AEO25 Table 23'!H:H,'AEO25 Table 23'!$B:$B,"*,"&amp;$A8&amp;",*"),"")</f>
        <v>7.1210619379968615E-2</v>
      </c>
      <c r="E8">
        <f>IFERROR((SUMIFS('AEO 2026 Table 23 '!H:H,'AEO 2026 Table 23 '!$B:$B,"*,"&amp;$A8&amp;",*")-SUMIFS('AEO 2026 Table 23 '!G:G,'AEO 2026 Table 23 '!$B:$B,"*,"&amp;$A8&amp;",*"))/SUMIFS('AEO 2026 Table 23 '!G:G,'AEO 2026 Table 23 '!$B:$B,"*,"&amp;$A8&amp;",*"),"")</f>
        <v>9.1485608285695852E-2</v>
      </c>
      <c r="F8">
        <f>IFERROR((SUMIFS('AEO 2026 Table 23 '!I:I,'AEO 2026 Table 23 '!$B:$B,"*,"&amp;$A8&amp;",*")-SUMIFS('AEO 2026 Table 23 '!H:H,'AEO 2026 Table 23 '!$B:$B,"*,"&amp;$A8&amp;",*"))/SUMIFS('AEO 2026 Table 23 '!H:H,'AEO 2026 Table 23 '!$B:$B,"*,"&amp;$A8&amp;",*"),"")</f>
        <v>-7.0993907420503948E-3</v>
      </c>
      <c r="G8">
        <f>IFERROR((SUMIFS('AEO 2026 Table 23 '!J:J,'AEO 2026 Table 23 '!$B:$B,"*,"&amp;$A8&amp;",*")-SUMIFS('AEO 2026 Table 23 '!I:I,'AEO 2026 Table 23 '!$B:$B,"*,"&amp;$A8&amp;",*"))/SUMIFS('AEO 2026 Table 23 '!I:I,'AEO 2026 Table 23 '!$B:$B,"*,"&amp;$A8&amp;",*"),"")</f>
        <v>5.5548707441967927E-3</v>
      </c>
      <c r="H8">
        <f>IFERROR((SUMIFS('AEO 2026 Table 23 '!K:K,'AEO 2026 Table 23 '!$B:$B,"*,"&amp;$A8&amp;",*")-SUMIFS('AEO 2026 Table 23 '!J:J,'AEO 2026 Table 23 '!$B:$B,"*,"&amp;$A8&amp;",*"))/SUMIFS('AEO 2026 Table 23 '!J:J,'AEO 2026 Table 23 '!$B:$B,"*,"&amp;$A8&amp;",*"),"")</f>
        <v>5.9511703967789834E-3</v>
      </c>
      <c r="I8">
        <f>IFERROR((SUMIFS('AEO 2026 Table 23 '!L:L,'AEO 2026 Table 23 '!$B:$B,"*,"&amp;$A8&amp;",*")-SUMIFS('AEO 2026 Table 23 '!K:K,'AEO 2026 Table 23 '!$B:$B,"*,"&amp;$A8&amp;",*"))/SUMIFS('AEO 2026 Table 23 '!K:K,'AEO 2026 Table 23 '!$B:$B,"*,"&amp;$A8&amp;",*"),"")</f>
        <v>2.1573224384578597E-2</v>
      </c>
      <c r="J8">
        <f>IFERROR((SUMIFS('AEO 2026 Table 23 '!M:M,'AEO 2026 Table 23 '!$B:$B,"*,"&amp;$A8&amp;",*")-SUMIFS('AEO 2026 Table 23 '!L:L,'AEO 2026 Table 23 '!$B:$B,"*,"&amp;$A8&amp;",*"))/SUMIFS('AEO 2026 Table 23 '!L:L,'AEO 2026 Table 23 '!$B:$B,"*,"&amp;$A8&amp;",*"),"")</f>
        <v>1.6109320999214728E-2</v>
      </c>
      <c r="K8">
        <f>IFERROR((SUMIFS('AEO 2026 Table 23 '!N:N,'AEO 2026 Table 23 '!$B:$B,"*,"&amp;$A8&amp;",*")-SUMIFS('AEO 2026 Table 23 '!M:M,'AEO 2026 Table 23 '!$B:$B,"*,"&amp;$A8&amp;",*"))/SUMIFS('AEO 2026 Table 23 '!M:M,'AEO 2026 Table 23 '!$B:$B,"*,"&amp;$A8&amp;",*"),"")</f>
        <v>1.4839112543048894E-2</v>
      </c>
      <c r="L8">
        <f>IFERROR((SUMIFS('AEO 2026 Table 23 '!O:O,'AEO 2026 Table 23 '!$B:$B,"*,"&amp;$A8&amp;",*")-SUMIFS('AEO 2026 Table 23 '!N:N,'AEO 2026 Table 23 '!$B:$B,"*,"&amp;$A8&amp;",*"))/SUMIFS('AEO 2026 Table 23 '!N:N,'AEO 2026 Table 23 '!$B:$B,"*,"&amp;$A8&amp;",*"),"")</f>
        <v>1.0867988350010568E-2</v>
      </c>
      <c r="M8">
        <f>IFERROR((SUMIFS('AEO 2026 Table 23 '!P:P,'AEO 2026 Table 23 '!$B:$B,"*,"&amp;$A8&amp;",*")-SUMIFS('AEO 2026 Table 23 '!O:O,'AEO 2026 Table 23 '!$B:$B,"*,"&amp;$A8&amp;",*"))/SUMIFS('AEO 2026 Table 23 '!O:O,'AEO 2026 Table 23 '!$B:$B,"*,"&amp;$A8&amp;",*"),"")</f>
        <v>1.3336208967205965E-2</v>
      </c>
      <c r="N8">
        <f>IFERROR((SUMIFS('AEO 2026 Table 23 '!Q:Q,'AEO 2026 Table 23 '!$B:$B,"*,"&amp;$A8&amp;",*")-SUMIFS('AEO 2026 Table 23 '!P:P,'AEO 2026 Table 23 '!$B:$B,"*,"&amp;$A8&amp;",*"))/SUMIFS('AEO 2026 Table 23 '!P:P,'AEO 2026 Table 23 '!$B:$B,"*,"&amp;$A8&amp;",*"),"")</f>
        <v>3.635627550798287E-3</v>
      </c>
      <c r="O8">
        <f>IFERROR((SUMIFS('AEO 2026 Table 23 '!R:R,'AEO 2026 Table 23 '!$B:$B,"*,"&amp;$A8&amp;",*")-SUMIFS('AEO 2026 Table 23 '!Q:Q,'AEO 2026 Table 23 '!$B:$B,"*,"&amp;$A8&amp;",*"))/SUMIFS('AEO 2026 Table 23 '!Q:Q,'AEO 2026 Table 23 '!$B:$B,"*,"&amp;$A8&amp;",*"),"")</f>
        <v>4.3625166094370098E-3</v>
      </c>
      <c r="P8">
        <f>IFERROR((SUMIFS('AEO 2026 Table 23 '!S:S,'AEO 2026 Table 23 '!$B:$B,"*,"&amp;$A8&amp;",*")-SUMIFS('AEO 2026 Table 23 '!R:R,'AEO 2026 Table 23 '!$B:$B,"*,"&amp;$A8&amp;",*"))/SUMIFS('AEO 2026 Table 23 '!R:R,'AEO 2026 Table 23 '!$B:$B,"*,"&amp;$A8&amp;",*"),"")</f>
        <v>5.5360413090617495E-3</v>
      </c>
      <c r="Q8">
        <f>IFERROR((SUMIFS('AEO 2026 Table 23 '!T:T,'AEO 2026 Table 23 '!$B:$B,"*,"&amp;$A8&amp;",*")-SUMIFS('AEO 2026 Table 23 '!S:S,'AEO 2026 Table 23 '!$B:$B,"*,"&amp;$A8&amp;",*"))/SUMIFS('AEO 2026 Table 23 '!S:S,'AEO 2026 Table 23 '!$B:$B,"*,"&amp;$A8&amp;",*"),"")</f>
        <v>5.0714214789581427E-3</v>
      </c>
      <c r="R8">
        <f>IFERROR((SUMIFS('AEO 2026 Table 23 '!U:U,'AEO 2026 Table 23 '!$B:$B,"*,"&amp;$A8&amp;",*")-SUMIFS('AEO 2026 Table 23 '!T:T,'AEO 2026 Table 23 '!$B:$B,"*,"&amp;$A8&amp;",*"))/SUMIFS('AEO 2026 Table 23 '!T:T,'AEO 2026 Table 23 '!$B:$B,"*,"&amp;$A8&amp;",*"),"")</f>
        <v>6.490507410011179E-3</v>
      </c>
      <c r="S8">
        <f>IFERROR((SUMIFS('AEO 2026 Table 23 '!V:V,'AEO 2026 Table 23 '!$B:$B,"*,"&amp;$A8&amp;",*")-SUMIFS('AEO 2026 Table 23 '!U:U,'AEO 2026 Table 23 '!$B:$B,"*,"&amp;$A8&amp;",*"))/SUMIFS('AEO 2026 Table 23 '!U:U,'AEO 2026 Table 23 '!$B:$B,"*,"&amp;$A8&amp;",*"),"")</f>
        <v>1.1807222899426144E-2</v>
      </c>
      <c r="T8">
        <f>IFERROR((SUMIFS('AEO 2026 Table 23 '!W:W,'AEO 2026 Table 23 '!$B:$B,"*,"&amp;$A8&amp;",*")-SUMIFS('AEO 2026 Table 23 '!V:V,'AEO 2026 Table 23 '!$B:$B,"*,"&amp;$A8&amp;",*"))/SUMIFS('AEO 2026 Table 23 '!V:V,'AEO 2026 Table 23 '!$B:$B,"*,"&amp;$A8&amp;",*"),"")</f>
        <v>1.4138693735629397E-2</v>
      </c>
      <c r="U8">
        <f>IFERROR((SUMIFS('AEO 2026 Table 23 '!X:X,'AEO 2026 Table 23 '!$B:$B,"*,"&amp;$A8&amp;",*")-SUMIFS('AEO 2026 Table 23 '!W:W,'AEO 2026 Table 23 '!$B:$B,"*,"&amp;$A8&amp;",*"))/SUMIFS('AEO 2026 Table 23 '!W:W,'AEO 2026 Table 23 '!$B:$B,"*,"&amp;$A8&amp;",*"),"")</f>
        <v>7.8695027068229235E-3</v>
      </c>
      <c r="V8">
        <f>IFERROR((SUMIFS('AEO 2026 Table 23 '!Y:Y,'AEO 2026 Table 23 '!$B:$B,"*,"&amp;$A8&amp;",*")-SUMIFS('AEO 2026 Table 23 '!X:X,'AEO 2026 Table 23 '!$B:$B,"*,"&amp;$A8&amp;",*"))/SUMIFS('AEO 2026 Table 23 '!X:X,'AEO 2026 Table 23 '!$B:$B,"*,"&amp;$A8&amp;",*"),"")</f>
        <v>8.6050480547517853E-3</v>
      </c>
      <c r="W8">
        <f>IFERROR((SUMIFS('AEO 2026 Table 23 '!Z:Z,'AEO 2026 Table 23 '!$B:$B,"*,"&amp;$A8&amp;",*")-SUMIFS('AEO 2026 Table 23 '!Y:Y,'AEO 2026 Table 23 '!$B:$B,"*,"&amp;$A8&amp;",*"))/SUMIFS('AEO 2026 Table 23 '!Y:Y,'AEO 2026 Table 23 '!$B:$B,"*,"&amp;$A8&amp;",*"),"")</f>
        <v>5.0751542531941845E-3</v>
      </c>
      <c r="X8">
        <f>IFERROR((SUMIFS('AEO 2026 Table 23 '!AA:AA,'AEO 2026 Table 23 '!$B:$B,"*,"&amp;$A8&amp;",*")-SUMIFS('AEO 2026 Table 23 '!Z:Z,'AEO 2026 Table 23 '!$B:$B,"*,"&amp;$A8&amp;",*"))/SUMIFS('AEO 2026 Table 23 '!Z:Z,'AEO 2026 Table 23 '!$B:$B,"*,"&amp;$A8&amp;",*"),"")</f>
        <v>3.6314508985072508E-3</v>
      </c>
      <c r="Y8">
        <f>IFERROR((SUMIFS('AEO 2026 Table 23 '!AB:AB,'AEO 2026 Table 23 '!$B:$B,"*,"&amp;$A8&amp;",*")-SUMIFS('AEO 2026 Table 23 '!AA:AA,'AEO 2026 Table 23 '!$B:$B,"*,"&amp;$A8&amp;",*"))/SUMIFS('AEO 2026 Table 23 '!AA:AA,'AEO 2026 Table 23 '!$B:$B,"*,"&amp;$A8&amp;",*"),"")</f>
        <v>3.7320076133156074E-3</v>
      </c>
      <c r="Z8">
        <f>IFERROR((SUMIFS('AEO 2026 Table 23 '!AC:AC,'AEO 2026 Table 23 '!$B:$B,"*,"&amp;$A8&amp;",*")-SUMIFS('AEO 2026 Table 23 '!AB:AB,'AEO 2026 Table 23 '!$B:$B,"*,"&amp;$A8&amp;",*"))/SUMIFS('AEO 2026 Table 23 '!AB:AB,'AEO 2026 Table 23 '!$B:$B,"*,"&amp;$A8&amp;",*"),"")</f>
        <v>5.5185131598065205E-3</v>
      </c>
      <c r="AA8">
        <f>IFERROR((SUMIFS('AEO 2026 Table 23 '!AD:AD,'AEO 2026 Table 23 '!$B:$B,"*,"&amp;$A8&amp;",*")-SUMIFS('AEO 2026 Table 23 '!AC:AC,'AEO 2026 Table 23 '!$B:$B,"*,"&amp;$A8&amp;",*"))/SUMIFS('AEO 2026 Table 23 '!AC:AC,'AEO 2026 Table 23 '!$B:$B,"*,"&amp;$A8&amp;",*"),"")</f>
        <v>2.1673219962289911E-3</v>
      </c>
      <c r="AB8">
        <f>IFERROR((SUMIFS('AEO 2026 Table 23 '!AE:AE,'AEO 2026 Table 23 '!$B:$B,"*,"&amp;$A8&amp;",*")-SUMIFS('AEO 2026 Table 23 '!AD:AD,'AEO 2026 Table 23 '!$B:$B,"*,"&amp;$A8&amp;",*"))/SUMIFS('AEO 2026 Table 23 '!AD:AD,'AEO 2026 Table 23 '!$B:$B,"*,"&amp;$A8&amp;",*"),"")</f>
        <v>1.601512248964386E-5</v>
      </c>
      <c r="AC8">
        <f>IFERROR((SUMIFS('AEO 2026 Table 23 '!AF:AF,'AEO 2026 Table 23 '!$B:$B,"*,"&amp;$A8&amp;",*")-SUMIFS('AEO 2026 Table 23 '!AE:AE,'AEO 2026 Table 23 '!$B:$B,"*,"&amp;$A8&amp;",*"))/SUMIFS('AEO 2026 Table 23 '!AE:AE,'AEO 2026 Table 23 '!$B:$B,"*,"&amp;$A8&amp;",*"),"")</f>
        <v>-1.8375142190435721E-3</v>
      </c>
    </row>
    <row r="9" spans="1:29" x14ac:dyDescent="0.25">
      <c r="A9" t="s">
        <v>93</v>
      </c>
      <c r="B9">
        <f>IFERROR(SUMPRODUCT(--('BLS Table 2.11'!$L$1:$L$426=$A9),'BLS Table 2.11'!$J$1:$J$426,'BLS Table 2.11'!$K$1:$K$426)/SUMIFS('BLS Table 2.11'!$J$1:$J$426,'BLS Table 2.11'!$L$1:$L$426,$A9)/100,0)</f>
        <v>2.6000000000000002E-2</v>
      </c>
      <c r="D9" t="str">
        <f>IFERROR((SUMIFS('AEO 2026 Table 23 '!G:G,'AEO 2026 Table 23 '!$B:$B,"*,"&amp;$A9&amp;",*")-SUMIFS('AEO25 Table 23'!H:H,'AEO25 Table 23'!$B:$B,"*,"&amp;$A9&amp;",*"))/SUMIFS('AEO25 Table 23'!H:H,'AEO25 Table 23'!$B:$B,"*,"&amp;$A9&amp;",*"),"")</f>
        <v/>
      </c>
      <c r="E9" t="str">
        <f>IFERROR((SUMIFS('AEO 2026 Table 23 '!H:H,'AEO 2026 Table 23 '!$B:$B,"*,"&amp;$A9&amp;",*")-SUMIFS('AEO 2026 Table 23 '!G:G,'AEO 2026 Table 23 '!$B:$B,"*,"&amp;$A9&amp;",*"))/SUMIFS('AEO 2026 Table 23 '!G:G,'AEO 2026 Table 23 '!$B:$B,"*,"&amp;$A9&amp;",*"),"")</f>
        <v/>
      </c>
      <c r="F9" t="str">
        <f>IFERROR((SUMIFS('AEO 2026 Table 23 '!I:I,'AEO 2026 Table 23 '!$B:$B,"*,"&amp;$A9&amp;",*")-SUMIFS('AEO 2026 Table 23 '!H:H,'AEO 2026 Table 23 '!$B:$B,"*,"&amp;$A9&amp;",*"))/SUMIFS('AEO 2026 Table 23 '!H:H,'AEO 2026 Table 23 '!$B:$B,"*,"&amp;$A9&amp;",*"),"")</f>
        <v/>
      </c>
      <c r="G9" t="str">
        <f>IFERROR((SUMIFS('AEO 2026 Table 23 '!J:J,'AEO 2026 Table 23 '!$B:$B,"*,"&amp;$A9&amp;",*")-SUMIFS('AEO 2026 Table 23 '!I:I,'AEO 2026 Table 23 '!$B:$B,"*,"&amp;$A9&amp;",*"))/SUMIFS('AEO 2026 Table 23 '!I:I,'AEO 2026 Table 23 '!$B:$B,"*,"&amp;$A9&amp;",*"),"")</f>
        <v/>
      </c>
      <c r="H9" t="str">
        <f>IFERROR((SUMIFS('AEO 2026 Table 23 '!K:K,'AEO 2026 Table 23 '!$B:$B,"*,"&amp;$A9&amp;",*")-SUMIFS('AEO 2026 Table 23 '!J:J,'AEO 2026 Table 23 '!$B:$B,"*,"&amp;$A9&amp;",*"))/SUMIFS('AEO 2026 Table 23 '!J:J,'AEO 2026 Table 23 '!$B:$B,"*,"&amp;$A9&amp;",*"),"")</f>
        <v/>
      </c>
      <c r="I9" t="str">
        <f>IFERROR((SUMIFS('AEO 2026 Table 23 '!L:L,'AEO 2026 Table 23 '!$B:$B,"*,"&amp;$A9&amp;",*")-SUMIFS('AEO 2026 Table 23 '!K:K,'AEO 2026 Table 23 '!$B:$B,"*,"&amp;$A9&amp;",*"))/SUMIFS('AEO 2026 Table 23 '!K:K,'AEO 2026 Table 23 '!$B:$B,"*,"&amp;$A9&amp;",*"),"")</f>
        <v/>
      </c>
      <c r="J9" t="str">
        <f>IFERROR((SUMIFS('AEO 2026 Table 23 '!M:M,'AEO 2026 Table 23 '!$B:$B,"*,"&amp;$A9&amp;",*")-SUMIFS('AEO 2026 Table 23 '!L:L,'AEO 2026 Table 23 '!$B:$B,"*,"&amp;$A9&amp;",*"))/SUMIFS('AEO 2026 Table 23 '!L:L,'AEO 2026 Table 23 '!$B:$B,"*,"&amp;$A9&amp;",*"),"")</f>
        <v/>
      </c>
      <c r="K9" t="str">
        <f>IFERROR((SUMIFS('AEO 2026 Table 23 '!N:N,'AEO 2026 Table 23 '!$B:$B,"*,"&amp;$A9&amp;",*")-SUMIFS('AEO 2026 Table 23 '!M:M,'AEO 2026 Table 23 '!$B:$B,"*,"&amp;$A9&amp;",*"))/SUMIFS('AEO 2026 Table 23 '!M:M,'AEO 2026 Table 23 '!$B:$B,"*,"&amp;$A9&amp;",*"),"")</f>
        <v/>
      </c>
      <c r="L9" t="str">
        <f>IFERROR((SUMIFS('AEO 2026 Table 23 '!O:O,'AEO 2026 Table 23 '!$B:$B,"*,"&amp;$A9&amp;",*")-SUMIFS('AEO 2026 Table 23 '!N:N,'AEO 2026 Table 23 '!$B:$B,"*,"&amp;$A9&amp;",*"))/SUMIFS('AEO 2026 Table 23 '!N:N,'AEO 2026 Table 23 '!$B:$B,"*,"&amp;$A9&amp;",*"),"")</f>
        <v/>
      </c>
      <c r="M9" t="str">
        <f>IFERROR((SUMIFS('AEO 2026 Table 23 '!P:P,'AEO 2026 Table 23 '!$B:$B,"*,"&amp;$A9&amp;",*")-SUMIFS('AEO 2026 Table 23 '!O:O,'AEO 2026 Table 23 '!$B:$B,"*,"&amp;$A9&amp;",*"))/SUMIFS('AEO 2026 Table 23 '!O:O,'AEO 2026 Table 23 '!$B:$B,"*,"&amp;$A9&amp;",*"),"")</f>
        <v/>
      </c>
      <c r="N9" t="str">
        <f>IFERROR((SUMIFS('AEO 2026 Table 23 '!Q:Q,'AEO 2026 Table 23 '!$B:$B,"*,"&amp;$A9&amp;",*")-SUMIFS('AEO 2026 Table 23 '!P:P,'AEO 2026 Table 23 '!$B:$B,"*,"&amp;$A9&amp;",*"))/SUMIFS('AEO 2026 Table 23 '!P:P,'AEO 2026 Table 23 '!$B:$B,"*,"&amp;$A9&amp;",*"),"")</f>
        <v/>
      </c>
      <c r="O9" t="str">
        <f>IFERROR((SUMIFS('AEO 2026 Table 23 '!R:R,'AEO 2026 Table 23 '!$B:$B,"*,"&amp;$A9&amp;",*")-SUMIFS('AEO 2026 Table 23 '!Q:Q,'AEO 2026 Table 23 '!$B:$B,"*,"&amp;$A9&amp;",*"))/SUMIFS('AEO 2026 Table 23 '!Q:Q,'AEO 2026 Table 23 '!$B:$B,"*,"&amp;$A9&amp;",*"),"")</f>
        <v/>
      </c>
      <c r="P9" t="str">
        <f>IFERROR((SUMIFS('AEO 2026 Table 23 '!S:S,'AEO 2026 Table 23 '!$B:$B,"*,"&amp;$A9&amp;",*")-SUMIFS('AEO 2026 Table 23 '!R:R,'AEO 2026 Table 23 '!$B:$B,"*,"&amp;$A9&amp;",*"))/SUMIFS('AEO 2026 Table 23 '!R:R,'AEO 2026 Table 23 '!$B:$B,"*,"&amp;$A9&amp;",*"),"")</f>
        <v/>
      </c>
      <c r="Q9" t="str">
        <f>IFERROR((SUMIFS('AEO 2026 Table 23 '!T:T,'AEO 2026 Table 23 '!$B:$B,"*,"&amp;$A9&amp;",*")-SUMIFS('AEO 2026 Table 23 '!S:S,'AEO 2026 Table 23 '!$B:$B,"*,"&amp;$A9&amp;",*"))/SUMIFS('AEO 2026 Table 23 '!S:S,'AEO 2026 Table 23 '!$B:$B,"*,"&amp;$A9&amp;",*"),"")</f>
        <v/>
      </c>
      <c r="R9" t="str">
        <f>IFERROR((SUMIFS('AEO 2026 Table 23 '!U:U,'AEO 2026 Table 23 '!$B:$B,"*,"&amp;$A9&amp;",*")-SUMIFS('AEO 2026 Table 23 '!T:T,'AEO 2026 Table 23 '!$B:$B,"*,"&amp;$A9&amp;",*"))/SUMIFS('AEO 2026 Table 23 '!T:T,'AEO 2026 Table 23 '!$B:$B,"*,"&amp;$A9&amp;",*"),"")</f>
        <v/>
      </c>
      <c r="S9" t="str">
        <f>IFERROR((SUMIFS('AEO 2026 Table 23 '!V:V,'AEO 2026 Table 23 '!$B:$B,"*,"&amp;$A9&amp;",*")-SUMIFS('AEO 2026 Table 23 '!U:U,'AEO 2026 Table 23 '!$B:$B,"*,"&amp;$A9&amp;",*"))/SUMIFS('AEO 2026 Table 23 '!U:U,'AEO 2026 Table 23 '!$B:$B,"*,"&amp;$A9&amp;",*"),"")</f>
        <v/>
      </c>
      <c r="T9" t="str">
        <f>IFERROR((SUMIFS('AEO 2026 Table 23 '!W:W,'AEO 2026 Table 23 '!$B:$B,"*,"&amp;$A9&amp;",*")-SUMIFS('AEO 2026 Table 23 '!V:V,'AEO 2026 Table 23 '!$B:$B,"*,"&amp;$A9&amp;",*"))/SUMIFS('AEO 2026 Table 23 '!V:V,'AEO 2026 Table 23 '!$B:$B,"*,"&amp;$A9&amp;",*"),"")</f>
        <v/>
      </c>
      <c r="U9" t="str">
        <f>IFERROR((SUMIFS('AEO 2026 Table 23 '!X:X,'AEO 2026 Table 23 '!$B:$B,"*,"&amp;$A9&amp;",*")-SUMIFS('AEO 2026 Table 23 '!W:W,'AEO 2026 Table 23 '!$B:$B,"*,"&amp;$A9&amp;",*"))/SUMIFS('AEO 2026 Table 23 '!W:W,'AEO 2026 Table 23 '!$B:$B,"*,"&amp;$A9&amp;",*"),"")</f>
        <v/>
      </c>
      <c r="V9" t="str">
        <f>IFERROR((SUMIFS('AEO 2026 Table 23 '!Y:Y,'AEO 2026 Table 23 '!$B:$B,"*,"&amp;$A9&amp;",*")-SUMIFS('AEO 2026 Table 23 '!X:X,'AEO 2026 Table 23 '!$B:$B,"*,"&amp;$A9&amp;",*"))/SUMIFS('AEO 2026 Table 23 '!X:X,'AEO 2026 Table 23 '!$B:$B,"*,"&amp;$A9&amp;",*"),"")</f>
        <v/>
      </c>
      <c r="W9" t="str">
        <f>IFERROR((SUMIFS('AEO 2026 Table 23 '!Z:Z,'AEO 2026 Table 23 '!$B:$B,"*,"&amp;$A9&amp;",*")-SUMIFS('AEO 2026 Table 23 '!Y:Y,'AEO 2026 Table 23 '!$B:$B,"*,"&amp;$A9&amp;",*"))/SUMIFS('AEO 2026 Table 23 '!Y:Y,'AEO 2026 Table 23 '!$B:$B,"*,"&amp;$A9&amp;",*"),"")</f>
        <v/>
      </c>
      <c r="X9" t="str">
        <f>IFERROR((SUMIFS('AEO 2026 Table 23 '!AA:AA,'AEO 2026 Table 23 '!$B:$B,"*,"&amp;$A9&amp;",*")-SUMIFS('AEO 2026 Table 23 '!Z:Z,'AEO 2026 Table 23 '!$B:$B,"*,"&amp;$A9&amp;",*"))/SUMIFS('AEO 2026 Table 23 '!Z:Z,'AEO 2026 Table 23 '!$B:$B,"*,"&amp;$A9&amp;",*"),"")</f>
        <v/>
      </c>
      <c r="Y9" t="str">
        <f>IFERROR((SUMIFS('AEO 2026 Table 23 '!AB:AB,'AEO 2026 Table 23 '!$B:$B,"*,"&amp;$A9&amp;",*")-SUMIFS('AEO 2026 Table 23 '!AA:AA,'AEO 2026 Table 23 '!$B:$B,"*,"&amp;$A9&amp;",*"))/SUMIFS('AEO 2026 Table 23 '!AA:AA,'AEO 2026 Table 23 '!$B:$B,"*,"&amp;$A9&amp;",*"),"")</f>
        <v/>
      </c>
      <c r="Z9" t="str">
        <f>IFERROR((SUMIFS('AEO 2026 Table 23 '!AC:AC,'AEO 2026 Table 23 '!$B:$B,"*,"&amp;$A9&amp;",*")-SUMIFS('AEO 2026 Table 23 '!AB:AB,'AEO 2026 Table 23 '!$B:$B,"*,"&amp;$A9&amp;",*"))/SUMIFS('AEO 2026 Table 23 '!AB:AB,'AEO 2026 Table 23 '!$B:$B,"*,"&amp;$A9&amp;",*"),"")</f>
        <v/>
      </c>
      <c r="AA9" t="str">
        <f>IFERROR((SUMIFS('AEO 2026 Table 23 '!AD:AD,'AEO 2026 Table 23 '!$B:$B,"*,"&amp;$A9&amp;",*")-SUMIFS('AEO 2026 Table 23 '!AC:AC,'AEO 2026 Table 23 '!$B:$B,"*,"&amp;$A9&amp;",*"))/SUMIFS('AEO 2026 Table 23 '!AC:AC,'AEO 2026 Table 23 '!$B:$B,"*,"&amp;$A9&amp;",*"),"")</f>
        <v/>
      </c>
      <c r="AB9" t="str">
        <f>IFERROR((SUMIFS('AEO 2026 Table 23 '!AE:AE,'AEO 2026 Table 23 '!$B:$B,"*,"&amp;$A9&amp;",*")-SUMIFS('AEO 2026 Table 23 '!AD:AD,'AEO 2026 Table 23 '!$B:$B,"*,"&amp;$A9&amp;",*"))/SUMIFS('AEO 2026 Table 23 '!AD:AD,'AEO 2026 Table 23 '!$B:$B,"*,"&amp;$A9&amp;",*"),"")</f>
        <v/>
      </c>
      <c r="AC9" t="str">
        <f>IFERROR((SUMIFS('AEO 2026 Table 23 '!AF:AF,'AEO 2026 Table 23 '!$B:$B,"*,"&amp;$A9&amp;",*")-SUMIFS('AEO 2026 Table 23 '!AE:AE,'AEO 2026 Table 23 '!$B:$B,"*,"&amp;$A9&amp;",*"))/SUMIFS('AEO 2026 Table 23 '!AE:AE,'AEO 2026 Table 23 '!$B:$B,"*,"&amp;$A9&amp;",*"),"")</f>
        <v/>
      </c>
    </row>
    <row r="10" spans="1:29" x14ac:dyDescent="0.25">
      <c r="A10" t="s">
        <v>96</v>
      </c>
      <c r="B10">
        <f>IFERROR(SUMPRODUCT(--('BLS Table 2.11'!$L$1:$L$426=$A10),'BLS Table 2.11'!$J$1:$J$426,'BLS Table 2.11'!$K$1:$K$426)/SUMIFS('BLS Table 2.11'!$J$1:$J$426,'BLS Table 2.11'!$L$1:$L$426,$A10)/100,0)</f>
        <v>1.2E-2</v>
      </c>
      <c r="D10">
        <f>IFERROR((SUMIFS('AEO 2026 Table 23 '!G:G,'AEO 2026 Table 23 '!$B:$B,"*,"&amp;$A10&amp;",*")-SUMIFS('AEO25 Table 23'!H:H,'AEO25 Table 23'!$B:$B,"*,"&amp;$A10&amp;",*"))/SUMIFS('AEO25 Table 23'!H:H,'AEO25 Table 23'!$B:$B,"*,"&amp;$A10&amp;",*"),"")</f>
        <v>7.1210619379968615E-2</v>
      </c>
      <c r="E10">
        <f>IFERROR((SUMIFS('AEO 2026 Table 23 '!H:H,'AEO 2026 Table 23 '!$B:$B,"*,"&amp;$A10&amp;",*")-SUMIFS('AEO 2026 Table 23 '!G:G,'AEO 2026 Table 23 '!$B:$B,"*,"&amp;$A10&amp;",*"))/SUMIFS('AEO 2026 Table 23 '!G:G,'AEO 2026 Table 23 '!$B:$B,"*,"&amp;$A10&amp;",*"),"")</f>
        <v>9.1485608285695852E-2</v>
      </c>
      <c r="F10">
        <f>IFERROR((SUMIFS('AEO 2026 Table 23 '!I:I,'AEO 2026 Table 23 '!$B:$B,"*,"&amp;$A10&amp;",*")-SUMIFS('AEO 2026 Table 23 '!H:H,'AEO 2026 Table 23 '!$B:$B,"*,"&amp;$A10&amp;",*"))/SUMIFS('AEO 2026 Table 23 '!H:H,'AEO 2026 Table 23 '!$B:$B,"*,"&amp;$A10&amp;",*"),"")</f>
        <v>-7.0993907420503948E-3</v>
      </c>
      <c r="G10">
        <f>IFERROR((SUMIFS('AEO 2026 Table 23 '!J:J,'AEO 2026 Table 23 '!$B:$B,"*,"&amp;$A10&amp;",*")-SUMIFS('AEO 2026 Table 23 '!I:I,'AEO 2026 Table 23 '!$B:$B,"*,"&amp;$A10&amp;",*"))/SUMIFS('AEO 2026 Table 23 '!I:I,'AEO 2026 Table 23 '!$B:$B,"*,"&amp;$A10&amp;",*"),"")</f>
        <v>5.5548707441967927E-3</v>
      </c>
      <c r="H10">
        <f>IFERROR((SUMIFS('AEO 2026 Table 23 '!K:K,'AEO 2026 Table 23 '!$B:$B,"*,"&amp;$A10&amp;",*")-SUMIFS('AEO 2026 Table 23 '!J:J,'AEO 2026 Table 23 '!$B:$B,"*,"&amp;$A10&amp;",*"))/SUMIFS('AEO 2026 Table 23 '!J:J,'AEO 2026 Table 23 '!$B:$B,"*,"&amp;$A10&amp;",*"),"")</f>
        <v>5.9511703967789834E-3</v>
      </c>
      <c r="I10">
        <f>IFERROR((SUMIFS('AEO 2026 Table 23 '!L:L,'AEO 2026 Table 23 '!$B:$B,"*,"&amp;$A10&amp;",*")-SUMIFS('AEO 2026 Table 23 '!K:K,'AEO 2026 Table 23 '!$B:$B,"*,"&amp;$A10&amp;",*"))/SUMIFS('AEO 2026 Table 23 '!K:K,'AEO 2026 Table 23 '!$B:$B,"*,"&amp;$A10&amp;",*"),"")</f>
        <v>2.1573224384578597E-2</v>
      </c>
      <c r="J10">
        <f>IFERROR((SUMIFS('AEO 2026 Table 23 '!M:M,'AEO 2026 Table 23 '!$B:$B,"*,"&amp;$A10&amp;",*")-SUMIFS('AEO 2026 Table 23 '!L:L,'AEO 2026 Table 23 '!$B:$B,"*,"&amp;$A10&amp;",*"))/SUMIFS('AEO 2026 Table 23 '!L:L,'AEO 2026 Table 23 '!$B:$B,"*,"&amp;$A10&amp;",*"),"")</f>
        <v>1.6109320999214728E-2</v>
      </c>
      <c r="K10">
        <f>IFERROR((SUMIFS('AEO 2026 Table 23 '!N:N,'AEO 2026 Table 23 '!$B:$B,"*,"&amp;$A10&amp;",*")-SUMIFS('AEO 2026 Table 23 '!M:M,'AEO 2026 Table 23 '!$B:$B,"*,"&amp;$A10&amp;",*"))/SUMIFS('AEO 2026 Table 23 '!M:M,'AEO 2026 Table 23 '!$B:$B,"*,"&amp;$A10&amp;",*"),"")</f>
        <v>1.4839112543048894E-2</v>
      </c>
      <c r="L10">
        <f>IFERROR((SUMIFS('AEO 2026 Table 23 '!O:O,'AEO 2026 Table 23 '!$B:$B,"*,"&amp;$A10&amp;",*")-SUMIFS('AEO 2026 Table 23 '!N:N,'AEO 2026 Table 23 '!$B:$B,"*,"&amp;$A10&amp;",*"))/SUMIFS('AEO 2026 Table 23 '!N:N,'AEO 2026 Table 23 '!$B:$B,"*,"&amp;$A10&amp;",*"),"")</f>
        <v>1.0867988350010568E-2</v>
      </c>
      <c r="M10">
        <f>IFERROR((SUMIFS('AEO 2026 Table 23 '!P:P,'AEO 2026 Table 23 '!$B:$B,"*,"&amp;$A10&amp;",*")-SUMIFS('AEO 2026 Table 23 '!O:O,'AEO 2026 Table 23 '!$B:$B,"*,"&amp;$A10&amp;",*"))/SUMIFS('AEO 2026 Table 23 '!O:O,'AEO 2026 Table 23 '!$B:$B,"*,"&amp;$A10&amp;",*"),"")</f>
        <v>1.3336208967205965E-2</v>
      </c>
      <c r="N10">
        <f>IFERROR((SUMIFS('AEO 2026 Table 23 '!Q:Q,'AEO 2026 Table 23 '!$B:$B,"*,"&amp;$A10&amp;",*")-SUMIFS('AEO 2026 Table 23 '!P:P,'AEO 2026 Table 23 '!$B:$B,"*,"&amp;$A10&amp;",*"))/SUMIFS('AEO 2026 Table 23 '!P:P,'AEO 2026 Table 23 '!$B:$B,"*,"&amp;$A10&amp;",*"),"")</f>
        <v>3.635627550798287E-3</v>
      </c>
      <c r="O10">
        <f>IFERROR((SUMIFS('AEO 2026 Table 23 '!R:R,'AEO 2026 Table 23 '!$B:$B,"*,"&amp;$A10&amp;",*")-SUMIFS('AEO 2026 Table 23 '!Q:Q,'AEO 2026 Table 23 '!$B:$B,"*,"&amp;$A10&amp;",*"))/SUMIFS('AEO 2026 Table 23 '!Q:Q,'AEO 2026 Table 23 '!$B:$B,"*,"&amp;$A10&amp;",*"),"")</f>
        <v>4.3625166094370098E-3</v>
      </c>
      <c r="P10">
        <f>IFERROR((SUMIFS('AEO 2026 Table 23 '!S:S,'AEO 2026 Table 23 '!$B:$B,"*,"&amp;$A10&amp;",*")-SUMIFS('AEO 2026 Table 23 '!R:R,'AEO 2026 Table 23 '!$B:$B,"*,"&amp;$A10&amp;",*"))/SUMIFS('AEO 2026 Table 23 '!R:R,'AEO 2026 Table 23 '!$B:$B,"*,"&amp;$A10&amp;",*"),"")</f>
        <v>5.5360413090617495E-3</v>
      </c>
      <c r="Q10">
        <f>IFERROR((SUMIFS('AEO 2026 Table 23 '!T:T,'AEO 2026 Table 23 '!$B:$B,"*,"&amp;$A10&amp;",*")-SUMIFS('AEO 2026 Table 23 '!S:S,'AEO 2026 Table 23 '!$B:$B,"*,"&amp;$A10&amp;",*"))/SUMIFS('AEO 2026 Table 23 '!S:S,'AEO 2026 Table 23 '!$B:$B,"*,"&amp;$A10&amp;",*"),"")</f>
        <v>5.0714214789581427E-3</v>
      </c>
      <c r="R10">
        <f>IFERROR((SUMIFS('AEO 2026 Table 23 '!U:U,'AEO 2026 Table 23 '!$B:$B,"*,"&amp;$A10&amp;",*")-SUMIFS('AEO 2026 Table 23 '!T:T,'AEO 2026 Table 23 '!$B:$B,"*,"&amp;$A10&amp;",*"))/SUMIFS('AEO 2026 Table 23 '!T:T,'AEO 2026 Table 23 '!$B:$B,"*,"&amp;$A10&amp;",*"),"")</f>
        <v>6.490507410011179E-3</v>
      </c>
      <c r="S10">
        <f>IFERROR((SUMIFS('AEO 2026 Table 23 '!V:V,'AEO 2026 Table 23 '!$B:$B,"*,"&amp;$A10&amp;",*")-SUMIFS('AEO 2026 Table 23 '!U:U,'AEO 2026 Table 23 '!$B:$B,"*,"&amp;$A10&amp;",*"))/SUMIFS('AEO 2026 Table 23 '!U:U,'AEO 2026 Table 23 '!$B:$B,"*,"&amp;$A10&amp;",*"),"")</f>
        <v>1.1807222899426144E-2</v>
      </c>
      <c r="T10">
        <f>IFERROR((SUMIFS('AEO 2026 Table 23 '!W:W,'AEO 2026 Table 23 '!$B:$B,"*,"&amp;$A10&amp;",*")-SUMIFS('AEO 2026 Table 23 '!V:V,'AEO 2026 Table 23 '!$B:$B,"*,"&amp;$A10&amp;",*"))/SUMIFS('AEO 2026 Table 23 '!V:V,'AEO 2026 Table 23 '!$B:$B,"*,"&amp;$A10&amp;",*"),"")</f>
        <v>1.4138693735629397E-2</v>
      </c>
      <c r="U10">
        <f>IFERROR((SUMIFS('AEO 2026 Table 23 '!X:X,'AEO 2026 Table 23 '!$B:$B,"*,"&amp;$A10&amp;",*")-SUMIFS('AEO 2026 Table 23 '!W:W,'AEO 2026 Table 23 '!$B:$B,"*,"&amp;$A10&amp;",*"))/SUMIFS('AEO 2026 Table 23 '!W:W,'AEO 2026 Table 23 '!$B:$B,"*,"&amp;$A10&amp;",*"),"")</f>
        <v>7.8695027068229235E-3</v>
      </c>
      <c r="V10">
        <f>IFERROR((SUMIFS('AEO 2026 Table 23 '!Y:Y,'AEO 2026 Table 23 '!$B:$B,"*,"&amp;$A10&amp;",*")-SUMIFS('AEO 2026 Table 23 '!X:X,'AEO 2026 Table 23 '!$B:$B,"*,"&amp;$A10&amp;",*"))/SUMIFS('AEO 2026 Table 23 '!X:X,'AEO 2026 Table 23 '!$B:$B,"*,"&amp;$A10&amp;",*"),"")</f>
        <v>8.6050480547517853E-3</v>
      </c>
      <c r="W10">
        <f>IFERROR((SUMIFS('AEO 2026 Table 23 '!Z:Z,'AEO 2026 Table 23 '!$B:$B,"*,"&amp;$A10&amp;",*")-SUMIFS('AEO 2026 Table 23 '!Y:Y,'AEO 2026 Table 23 '!$B:$B,"*,"&amp;$A10&amp;",*"))/SUMIFS('AEO 2026 Table 23 '!Y:Y,'AEO 2026 Table 23 '!$B:$B,"*,"&amp;$A10&amp;",*"),"")</f>
        <v>5.0751542531941845E-3</v>
      </c>
      <c r="X10">
        <f>IFERROR((SUMIFS('AEO 2026 Table 23 '!AA:AA,'AEO 2026 Table 23 '!$B:$B,"*,"&amp;$A10&amp;",*")-SUMIFS('AEO 2026 Table 23 '!Z:Z,'AEO 2026 Table 23 '!$B:$B,"*,"&amp;$A10&amp;",*"))/SUMIFS('AEO 2026 Table 23 '!Z:Z,'AEO 2026 Table 23 '!$B:$B,"*,"&amp;$A10&amp;",*"),"")</f>
        <v>3.6314508985072508E-3</v>
      </c>
      <c r="Y10">
        <f>IFERROR((SUMIFS('AEO 2026 Table 23 '!AB:AB,'AEO 2026 Table 23 '!$B:$B,"*,"&amp;$A10&amp;",*")-SUMIFS('AEO 2026 Table 23 '!AA:AA,'AEO 2026 Table 23 '!$B:$B,"*,"&amp;$A10&amp;",*"))/SUMIFS('AEO 2026 Table 23 '!AA:AA,'AEO 2026 Table 23 '!$B:$B,"*,"&amp;$A10&amp;",*"),"")</f>
        <v>3.7320076133156074E-3</v>
      </c>
      <c r="Z10">
        <f>IFERROR((SUMIFS('AEO 2026 Table 23 '!AC:AC,'AEO 2026 Table 23 '!$B:$B,"*,"&amp;$A10&amp;",*")-SUMIFS('AEO 2026 Table 23 '!AB:AB,'AEO 2026 Table 23 '!$B:$B,"*,"&amp;$A10&amp;",*"))/SUMIFS('AEO 2026 Table 23 '!AB:AB,'AEO 2026 Table 23 '!$B:$B,"*,"&amp;$A10&amp;",*"),"")</f>
        <v>5.5185131598065205E-3</v>
      </c>
      <c r="AA10">
        <f>IFERROR((SUMIFS('AEO 2026 Table 23 '!AD:AD,'AEO 2026 Table 23 '!$B:$B,"*,"&amp;$A10&amp;",*")-SUMIFS('AEO 2026 Table 23 '!AC:AC,'AEO 2026 Table 23 '!$B:$B,"*,"&amp;$A10&amp;",*"))/SUMIFS('AEO 2026 Table 23 '!AC:AC,'AEO 2026 Table 23 '!$B:$B,"*,"&amp;$A10&amp;",*"),"")</f>
        <v>2.1673219962289911E-3</v>
      </c>
      <c r="AB10">
        <f>IFERROR((SUMIFS('AEO 2026 Table 23 '!AE:AE,'AEO 2026 Table 23 '!$B:$B,"*,"&amp;$A10&amp;",*")-SUMIFS('AEO 2026 Table 23 '!AD:AD,'AEO 2026 Table 23 '!$B:$B,"*,"&amp;$A10&amp;",*"))/SUMIFS('AEO 2026 Table 23 '!AD:AD,'AEO 2026 Table 23 '!$B:$B,"*,"&amp;$A10&amp;",*"),"")</f>
        <v>1.601512248964386E-5</v>
      </c>
      <c r="AC10">
        <f>IFERROR((SUMIFS('AEO 2026 Table 23 '!AF:AF,'AEO 2026 Table 23 '!$B:$B,"*,"&amp;$A10&amp;",*")-SUMIFS('AEO 2026 Table 23 '!AE:AE,'AEO 2026 Table 23 '!$B:$B,"*,"&amp;$A10&amp;",*"))/SUMIFS('AEO 2026 Table 23 '!AE:AE,'AEO 2026 Table 23 '!$B:$B,"*,"&amp;$A10&amp;",*"),"")</f>
        <v>-1.8375142190435721E-3</v>
      </c>
    </row>
    <row r="11" spans="1:29" x14ac:dyDescent="0.25">
      <c r="A11" t="s">
        <v>99</v>
      </c>
      <c r="B11">
        <f>IFERROR(SUMPRODUCT(--('BLS Table 2.11'!$L$1:$L$426=$A11),'BLS Table 2.11'!$J$1:$J$426,'BLS Table 2.11'!$K$1:$K$426)/SUMIFS('BLS Table 2.11'!$J$1:$J$426,'BLS Table 2.11'!$L$1:$L$426,$A11)/100,0)</f>
        <v>-5.0000000000000001E-3</v>
      </c>
      <c r="D11" t="str">
        <f>IFERROR((SUMIFS('AEO 2026 Table 23 '!G:G,'AEO 2026 Table 23 '!$B:$B,"*,"&amp;$A11&amp;",*")-SUMIFS('AEO25 Table 23'!H:H,'AEO25 Table 23'!$B:$B,"*,"&amp;$A11&amp;",*"))/SUMIFS('AEO25 Table 23'!H:H,'AEO25 Table 23'!$B:$B,"*,"&amp;$A11&amp;",*"),"")</f>
        <v/>
      </c>
      <c r="E11" t="str">
        <f>IFERROR((SUMIFS('AEO 2026 Table 23 '!H:H,'AEO 2026 Table 23 '!$B:$B,"*,"&amp;$A11&amp;",*")-SUMIFS('AEO 2026 Table 23 '!G:G,'AEO 2026 Table 23 '!$B:$B,"*,"&amp;$A11&amp;",*"))/SUMIFS('AEO 2026 Table 23 '!G:G,'AEO 2026 Table 23 '!$B:$B,"*,"&amp;$A11&amp;",*"),"")</f>
        <v/>
      </c>
      <c r="F11" t="str">
        <f>IFERROR((SUMIFS('AEO 2026 Table 23 '!I:I,'AEO 2026 Table 23 '!$B:$B,"*,"&amp;$A11&amp;",*")-SUMIFS('AEO 2026 Table 23 '!H:H,'AEO 2026 Table 23 '!$B:$B,"*,"&amp;$A11&amp;",*"))/SUMIFS('AEO 2026 Table 23 '!H:H,'AEO 2026 Table 23 '!$B:$B,"*,"&amp;$A11&amp;",*"),"")</f>
        <v/>
      </c>
      <c r="G11" t="str">
        <f>IFERROR((SUMIFS('AEO 2026 Table 23 '!J:J,'AEO 2026 Table 23 '!$B:$B,"*,"&amp;$A11&amp;",*")-SUMIFS('AEO 2026 Table 23 '!I:I,'AEO 2026 Table 23 '!$B:$B,"*,"&amp;$A11&amp;",*"))/SUMIFS('AEO 2026 Table 23 '!I:I,'AEO 2026 Table 23 '!$B:$B,"*,"&amp;$A11&amp;",*"),"")</f>
        <v/>
      </c>
      <c r="H11" t="str">
        <f>IFERROR((SUMIFS('AEO 2026 Table 23 '!K:K,'AEO 2026 Table 23 '!$B:$B,"*,"&amp;$A11&amp;",*")-SUMIFS('AEO 2026 Table 23 '!J:J,'AEO 2026 Table 23 '!$B:$B,"*,"&amp;$A11&amp;",*"))/SUMIFS('AEO 2026 Table 23 '!J:J,'AEO 2026 Table 23 '!$B:$B,"*,"&amp;$A11&amp;",*"),"")</f>
        <v/>
      </c>
      <c r="I11" t="str">
        <f>IFERROR((SUMIFS('AEO 2026 Table 23 '!L:L,'AEO 2026 Table 23 '!$B:$B,"*,"&amp;$A11&amp;",*")-SUMIFS('AEO 2026 Table 23 '!K:K,'AEO 2026 Table 23 '!$B:$B,"*,"&amp;$A11&amp;",*"))/SUMIFS('AEO 2026 Table 23 '!K:K,'AEO 2026 Table 23 '!$B:$B,"*,"&amp;$A11&amp;",*"),"")</f>
        <v/>
      </c>
      <c r="J11" t="str">
        <f>IFERROR((SUMIFS('AEO 2026 Table 23 '!M:M,'AEO 2026 Table 23 '!$B:$B,"*,"&amp;$A11&amp;",*")-SUMIFS('AEO 2026 Table 23 '!L:L,'AEO 2026 Table 23 '!$B:$B,"*,"&amp;$A11&amp;",*"))/SUMIFS('AEO 2026 Table 23 '!L:L,'AEO 2026 Table 23 '!$B:$B,"*,"&amp;$A11&amp;",*"),"")</f>
        <v/>
      </c>
      <c r="K11" t="str">
        <f>IFERROR((SUMIFS('AEO 2026 Table 23 '!N:N,'AEO 2026 Table 23 '!$B:$B,"*,"&amp;$A11&amp;",*")-SUMIFS('AEO 2026 Table 23 '!M:M,'AEO 2026 Table 23 '!$B:$B,"*,"&amp;$A11&amp;",*"))/SUMIFS('AEO 2026 Table 23 '!M:M,'AEO 2026 Table 23 '!$B:$B,"*,"&amp;$A11&amp;",*"),"")</f>
        <v/>
      </c>
      <c r="L11" t="str">
        <f>IFERROR((SUMIFS('AEO 2026 Table 23 '!O:O,'AEO 2026 Table 23 '!$B:$B,"*,"&amp;$A11&amp;",*")-SUMIFS('AEO 2026 Table 23 '!N:N,'AEO 2026 Table 23 '!$B:$B,"*,"&amp;$A11&amp;",*"))/SUMIFS('AEO 2026 Table 23 '!N:N,'AEO 2026 Table 23 '!$B:$B,"*,"&amp;$A11&amp;",*"),"")</f>
        <v/>
      </c>
      <c r="M11" t="str">
        <f>IFERROR((SUMIFS('AEO 2026 Table 23 '!P:P,'AEO 2026 Table 23 '!$B:$B,"*,"&amp;$A11&amp;",*")-SUMIFS('AEO 2026 Table 23 '!O:O,'AEO 2026 Table 23 '!$B:$B,"*,"&amp;$A11&amp;",*"))/SUMIFS('AEO 2026 Table 23 '!O:O,'AEO 2026 Table 23 '!$B:$B,"*,"&amp;$A11&amp;",*"),"")</f>
        <v/>
      </c>
      <c r="N11" t="str">
        <f>IFERROR((SUMIFS('AEO 2026 Table 23 '!Q:Q,'AEO 2026 Table 23 '!$B:$B,"*,"&amp;$A11&amp;",*")-SUMIFS('AEO 2026 Table 23 '!P:P,'AEO 2026 Table 23 '!$B:$B,"*,"&amp;$A11&amp;",*"))/SUMIFS('AEO 2026 Table 23 '!P:P,'AEO 2026 Table 23 '!$B:$B,"*,"&amp;$A11&amp;",*"),"")</f>
        <v/>
      </c>
      <c r="O11" t="str">
        <f>IFERROR((SUMIFS('AEO 2026 Table 23 '!R:R,'AEO 2026 Table 23 '!$B:$B,"*,"&amp;$A11&amp;",*")-SUMIFS('AEO 2026 Table 23 '!Q:Q,'AEO 2026 Table 23 '!$B:$B,"*,"&amp;$A11&amp;",*"))/SUMIFS('AEO 2026 Table 23 '!Q:Q,'AEO 2026 Table 23 '!$B:$B,"*,"&amp;$A11&amp;",*"),"")</f>
        <v/>
      </c>
      <c r="P11" t="str">
        <f>IFERROR((SUMIFS('AEO 2026 Table 23 '!S:S,'AEO 2026 Table 23 '!$B:$B,"*,"&amp;$A11&amp;",*")-SUMIFS('AEO 2026 Table 23 '!R:R,'AEO 2026 Table 23 '!$B:$B,"*,"&amp;$A11&amp;",*"))/SUMIFS('AEO 2026 Table 23 '!R:R,'AEO 2026 Table 23 '!$B:$B,"*,"&amp;$A11&amp;",*"),"")</f>
        <v/>
      </c>
      <c r="Q11" t="str">
        <f>IFERROR((SUMIFS('AEO 2026 Table 23 '!T:T,'AEO 2026 Table 23 '!$B:$B,"*,"&amp;$A11&amp;",*")-SUMIFS('AEO 2026 Table 23 '!S:S,'AEO 2026 Table 23 '!$B:$B,"*,"&amp;$A11&amp;",*"))/SUMIFS('AEO 2026 Table 23 '!S:S,'AEO 2026 Table 23 '!$B:$B,"*,"&amp;$A11&amp;",*"),"")</f>
        <v/>
      </c>
      <c r="R11" t="str">
        <f>IFERROR((SUMIFS('AEO 2026 Table 23 '!U:U,'AEO 2026 Table 23 '!$B:$B,"*,"&amp;$A11&amp;",*")-SUMIFS('AEO 2026 Table 23 '!T:T,'AEO 2026 Table 23 '!$B:$B,"*,"&amp;$A11&amp;",*"))/SUMIFS('AEO 2026 Table 23 '!T:T,'AEO 2026 Table 23 '!$B:$B,"*,"&amp;$A11&amp;",*"),"")</f>
        <v/>
      </c>
      <c r="S11" t="str">
        <f>IFERROR((SUMIFS('AEO 2026 Table 23 '!V:V,'AEO 2026 Table 23 '!$B:$B,"*,"&amp;$A11&amp;",*")-SUMIFS('AEO 2026 Table 23 '!U:U,'AEO 2026 Table 23 '!$B:$B,"*,"&amp;$A11&amp;",*"))/SUMIFS('AEO 2026 Table 23 '!U:U,'AEO 2026 Table 23 '!$B:$B,"*,"&amp;$A11&amp;",*"),"")</f>
        <v/>
      </c>
      <c r="T11" t="str">
        <f>IFERROR((SUMIFS('AEO 2026 Table 23 '!W:W,'AEO 2026 Table 23 '!$B:$B,"*,"&amp;$A11&amp;",*")-SUMIFS('AEO 2026 Table 23 '!V:V,'AEO 2026 Table 23 '!$B:$B,"*,"&amp;$A11&amp;",*"))/SUMIFS('AEO 2026 Table 23 '!V:V,'AEO 2026 Table 23 '!$B:$B,"*,"&amp;$A11&amp;",*"),"")</f>
        <v/>
      </c>
      <c r="U11" t="str">
        <f>IFERROR((SUMIFS('AEO 2026 Table 23 '!X:X,'AEO 2026 Table 23 '!$B:$B,"*,"&amp;$A11&amp;",*")-SUMIFS('AEO 2026 Table 23 '!W:W,'AEO 2026 Table 23 '!$B:$B,"*,"&amp;$A11&amp;",*"))/SUMIFS('AEO 2026 Table 23 '!W:W,'AEO 2026 Table 23 '!$B:$B,"*,"&amp;$A11&amp;",*"),"")</f>
        <v/>
      </c>
      <c r="V11" t="str">
        <f>IFERROR((SUMIFS('AEO 2026 Table 23 '!Y:Y,'AEO 2026 Table 23 '!$B:$B,"*,"&amp;$A11&amp;",*")-SUMIFS('AEO 2026 Table 23 '!X:X,'AEO 2026 Table 23 '!$B:$B,"*,"&amp;$A11&amp;",*"))/SUMIFS('AEO 2026 Table 23 '!X:X,'AEO 2026 Table 23 '!$B:$B,"*,"&amp;$A11&amp;",*"),"")</f>
        <v/>
      </c>
      <c r="W11" t="str">
        <f>IFERROR((SUMIFS('AEO 2026 Table 23 '!Z:Z,'AEO 2026 Table 23 '!$B:$B,"*,"&amp;$A11&amp;",*")-SUMIFS('AEO 2026 Table 23 '!Y:Y,'AEO 2026 Table 23 '!$B:$B,"*,"&amp;$A11&amp;",*"))/SUMIFS('AEO 2026 Table 23 '!Y:Y,'AEO 2026 Table 23 '!$B:$B,"*,"&amp;$A11&amp;",*"),"")</f>
        <v/>
      </c>
      <c r="X11" t="str">
        <f>IFERROR((SUMIFS('AEO 2026 Table 23 '!AA:AA,'AEO 2026 Table 23 '!$B:$B,"*,"&amp;$A11&amp;",*")-SUMIFS('AEO 2026 Table 23 '!Z:Z,'AEO 2026 Table 23 '!$B:$B,"*,"&amp;$A11&amp;",*"))/SUMIFS('AEO 2026 Table 23 '!Z:Z,'AEO 2026 Table 23 '!$B:$B,"*,"&amp;$A11&amp;",*"),"")</f>
        <v/>
      </c>
      <c r="Y11" t="str">
        <f>IFERROR((SUMIFS('AEO 2026 Table 23 '!AB:AB,'AEO 2026 Table 23 '!$B:$B,"*,"&amp;$A11&amp;",*")-SUMIFS('AEO 2026 Table 23 '!AA:AA,'AEO 2026 Table 23 '!$B:$B,"*,"&amp;$A11&amp;",*"))/SUMIFS('AEO 2026 Table 23 '!AA:AA,'AEO 2026 Table 23 '!$B:$B,"*,"&amp;$A11&amp;",*"),"")</f>
        <v/>
      </c>
      <c r="Z11" t="str">
        <f>IFERROR((SUMIFS('AEO 2026 Table 23 '!AC:AC,'AEO 2026 Table 23 '!$B:$B,"*,"&amp;$A11&amp;",*")-SUMIFS('AEO 2026 Table 23 '!AB:AB,'AEO 2026 Table 23 '!$B:$B,"*,"&amp;$A11&amp;",*"))/SUMIFS('AEO 2026 Table 23 '!AB:AB,'AEO 2026 Table 23 '!$B:$B,"*,"&amp;$A11&amp;",*"),"")</f>
        <v/>
      </c>
      <c r="AA11" t="str">
        <f>IFERROR((SUMIFS('AEO 2026 Table 23 '!AD:AD,'AEO 2026 Table 23 '!$B:$B,"*,"&amp;$A11&amp;",*")-SUMIFS('AEO 2026 Table 23 '!AC:AC,'AEO 2026 Table 23 '!$B:$B,"*,"&amp;$A11&amp;",*"))/SUMIFS('AEO 2026 Table 23 '!AC:AC,'AEO 2026 Table 23 '!$B:$B,"*,"&amp;$A11&amp;",*"),"")</f>
        <v/>
      </c>
      <c r="AB11" t="str">
        <f>IFERROR((SUMIFS('AEO 2026 Table 23 '!AE:AE,'AEO 2026 Table 23 '!$B:$B,"*,"&amp;$A11&amp;",*")-SUMIFS('AEO 2026 Table 23 '!AD:AD,'AEO 2026 Table 23 '!$B:$B,"*,"&amp;$A11&amp;",*"))/SUMIFS('AEO 2026 Table 23 '!AD:AD,'AEO 2026 Table 23 '!$B:$B,"*,"&amp;$A11&amp;",*"),"")</f>
        <v/>
      </c>
      <c r="AC11" t="str">
        <f>IFERROR((SUMIFS('AEO 2026 Table 23 '!AF:AF,'AEO 2026 Table 23 '!$B:$B,"*,"&amp;$A11&amp;",*")-SUMIFS('AEO 2026 Table 23 '!AE:AE,'AEO 2026 Table 23 '!$B:$B,"*,"&amp;$A11&amp;",*"))/SUMIFS('AEO 2026 Table 23 '!AE:AE,'AEO 2026 Table 23 '!$B:$B,"*,"&amp;$A11&amp;",*"),"")</f>
        <v/>
      </c>
    </row>
    <row r="12" spans="1:29" x14ac:dyDescent="0.25">
      <c r="A12" t="s">
        <v>182</v>
      </c>
      <c r="B12">
        <f>IFERROR(SUMPRODUCT(--('BLS Table 2.11'!$L$1:$L$426=$A12),'BLS Table 2.11'!$J$1:$J$426,'BLS Table 2.11'!$K$1:$K$426)/SUMIFS('BLS Table 2.11'!$J$1:$J$426,'BLS Table 2.11'!$L$1:$L$426,$A12)/100,0)</f>
        <v>1.7541273690829067E-2</v>
      </c>
      <c r="D12">
        <f>IFERROR((SUMIFS('AEO 2026 Table 23 '!G:G,'AEO 2026 Table 23 '!$B:$B,"*,"&amp;$A12&amp;",*")-SUMIFS('AEO25 Table 23'!H:H,'AEO25 Table 23'!$B:$B,"*,"&amp;$A12&amp;",*"))/SUMIFS('AEO25 Table 23'!H:H,'AEO25 Table 23'!$B:$B,"*,"&amp;$A12&amp;",*"),"")</f>
        <v>-5.7729872669432442E-2</v>
      </c>
      <c r="E12">
        <f>IFERROR((SUMIFS('AEO 2026 Table 23 '!H:H,'AEO 2026 Table 23 '!$B:$B,"*,"&amp;$A12&amp;",*")-SUMIFS('AEO 2026 Table 23 '!G:G,'AEO 2026 Table 23 '!$B:$B,"*,"&amp;$A12&amp;",*"))/SUMIFS('AEO 2026 Table 23 '!G:G,'AEO 2026 Table 23 '!$B:$B,"*,"&amp;$A12&amp;",*"),"")</f>
        <v>2.3084925389895744E-3</v>
      </c>
      <c r="F12">
        <f>IFERROR((SUMIFS('AEO 2026 Table 23 '!I:I,'AEO 2026 Table 23 '!$B:$B,"*,"&amp;$A12&amp;",*")-SUMIFS('AEO 2026 Table 23 '!H:H,'AEO 2026 Table 23 '!$B:$B,"*,"&amp;$A12&amp;",*"))/SUMIFS('AEO 2026 Table 23 '!H:H,'AEO 2026 Table 23 '!$B:$B,"*,"&amp;$A12&amp;",*"),"")</f>
        <v>8.6668536975894779E-3</v>
      </c>
      <c r="G12">
        <f>IFERROR((SUMIFS('AEO 2026 Table 23 '!J:J,'AEO 2026 Table 23 '!$B:$B,"*,"&amp;$A12&amp;",*")-SUMIFS('AEO 2026 Table 23 '!I:I,'AEO 2026 Table 23 '!$B:$B,"*,"&amp;$A12&amp;",*"))/SUMIFS('AEO 2026 Table 23 '!I:I,'AEO 2026 Table 23 '!$B:$B,"*,"&amp;$A12&amp;",*"),"")</f>
        <v>8.895905393281495E-3</v>
      </c>
      <c r="H12">
        <f>IFERROR((SUMIFS('AEO 2026 Table 23 '!K:K,'AEO 2026 Table 23 '!$B:$B,"*,"&amp;$A12&amp;",*")-SUMIFS('AEO 2026 Table 23 '!J:J,'AEO 2026 Table 23 '!$B:$B,"*,"&amp;$A12&amp;",*"))/SUMIFS('AEO 2026 Table 23 '!J:J,'AEO 2026 Table 23 '!$B:$B,"*,"&amp;$A12&amp;",*"),"")</f>
        <v>6.2431210570281486E-3</v>
      </c>
      <c r="I12">
        <f>IFERROR((SUMIFS('AEO 2026 Table 23 '!L:L,'AEO 2026 Table 23 '!$B:$B,"*,"&amp;$A12&amp;",*")-SUMIFS('AEO 2026 Table 23 '!K:K,'AEO 2026 Table 23 '!$B:$B,"*,"&amp;$A12&amp;",*"))/SUMIFS('AEO 2026 Table 23 '!K:K,'AEO 2026 Table 23 '!$B:$B,"*,"&amp;$A12&amp;",*"),"")</f>
        <v>8.2994653578576105E-3</v>
      </c>
      <c r="J12">
        <f>IFERROR((SUMIFS('AEO 2026 Table 23 '!M:M,'AEO 2026 Table 23 '!$B:$B,"*,"&amp;$A12&amp;",*")-SUMIFS('AEO 2026 Table 23 '!L:L,'AEO 2026 Table 23 '!$B:$B,"*,"&amp;$A12&amp;",*"))/SUMIFS('AEO 2026 Table 23 '!L:L,'AEO 2026 Table 23 '!$B:$B,"*,"&amp;$A12&amp;",*"),"")</f>
        <v>8.8544070298389645E-3</v>
      </c>
      <c r="K12">
        <f>IFERROR((SUMIFS('AEO 2026 Table 23 '!N:N,'AEO 2026 Table 23 '!$B:$B,"*,"&amp;$A12&amp;",*")-SUMIFS('AEO 2026 Table 23 '!M:M,'AEO 2026 Table 23 '!$B:$B,"*,"&amp;$A12&amp;",*"))/SUMIFS('AEO 2026 Table 23 '!M:M,'AEO 2026 Table 23 '!$B:$B,"*,"&amp;$A12&amp;",*"),"")</f>
        <v>8.5623904163661772E-3</v>
      </c>
      <c r="L12">
        <f>IFERROR((SUMIFS('AEO 2026 Table 23 '!O:O,'AEO 2026 Table 23 '!$B:$B,"*,"&amp;$A12&amp;",*")-SUMIFS('AEO 2026 Table 23 '!N:N,'AEO 2026 Table 23 '!$B:$B,"*,"&amp;$A12&amp;",*"))/SUMIFS('AEO 2026 Table 23 '!N:N,'AEO 2026 Table 23 '!$B:$B,"*,"&amp;$A12&amp;",*"),"")</f>
        <v>8.6305305300598441E-3</v>
      </c>
      <c r="M12">
        <f>IFERROR((SUMIFS('AEO 2026 Table 23 '!P:P,'AEO 2026 Table 23 '!$B:$B,"*,"&amp;$A12&amp;",*")-SUMIFS('AEO 2026 Table 23 '!O:O,'AEO 2026 Table 23 '!$B:$B,"*,"&amp;$A12&amp;",*"))/SUMIFS('AEO 2026 Table 23 '!O:O,'AEO 2026 Table 23 '!$B:$B,"*,"&amp;$A12&amp;",*"),"")</f>
        <v>8.8124025739757458E-3</v>
      </c>
      <c r="N12">
        <f>IFERROR((SUMIFS('AEO 2026 Table 23 '!Q:Q,'AEO 2026 Table 23 '!$B:$B,"*,"&amp;$A12&amp;",*")-SUMIFS('AEO 2026 Table 23 '!P:P,'AEO 2026 Table 23 '!$B:$B,"*,"&amp;$A12&amp;",*"))/SUMIFS('AEO 2026 Table 23 '!P:P,'AEO 2026 Table 23 '!$B:$B,"*,"&amp;$A12&amp;",*"),"")</f>
        <v>8.3397468750246884E-3</v>
      </c>
      <c r="O12">
        <f>IFERROR((SUMIFS('AEO 2026 Table 23 '!R:R,'AEO 2026 Table 23 '!$B:$B,"*,"&amp;$A12&amp;",*")-SUMIFS('AEO 2026 Table 23 '!Q:Q,'AEO 2026 Table 23 '!$B:$B,"*,"&amp;$A12&amp;",*"))/SUMIFS('AEO 2026 Table 23 '!Q:Q,'AEO 2026 Table 23 '!$B:$B,"*,"&amp;$A12&amp;",*"),"")</f>
        <v>9.1512585221738517E-3</v>
      </c>
      <c r="P12">
        <f>IFERROR((SUMIFS('AEO 2026 Table 23 '!S:S,'AEO 2026 Table 23 '!$B:$B,"*,"&amp;$A12&amp;",*")-SUMIFS('AEO 2026 Table 23 '!R:R,'AEO 2026 Table 23 '!$B:$B,"*,"&amp;$A12&amp;",*"))/SUMIFS('AEO 2026 Table 23 '!R:R,'AEO 2026 Table 23 '!$B:$B,"*,"&amp;$A12&amp;",*"),"")</f>
        <v>8.9158346258822047E-3</v>
      </c>
      <c r="Q12">
        <f>IFERROR((SUMIFS('AEO 2026 Table 23 '!T:T,'AEO 2026 Table 23 '!$B:$B,"*,"&amp;$A12&amp;",*")-SUMIFS('AEO 2026 Table 23 '!S:S,'AEO 2026 Table 23 '!$B:$B,"*,"&amp;$A12&amp;",*"))/SUMIFS('AEO 2026 Table 23 '!S:S,'AEO 2026 Table 23 '!$B:$B,"*,"&amp;$A12&amp;",*"),"")</f>
        <v>9.0395674055599434E-3</v>
      </c>
      <c r="R12">
        <f>IFERROR((SUMIFS('AEO 2026 Table 23 '!U:U,'AEO 2026 Table 23 '!$B:$B,"*,"&amp;$A12&amp;",*")-SUMIFS('AEO 2026 Table 23 '!T:T,'AEO 2026 Table 23 '!$B:$B,"*,"&amp;$A12&amp;",*"))/SUMIFS('AEO 2026 Table 23 '!T:T,'AEO 2026 Table 23 '!$B:$B,"*,"&amp;$A12&amp;",*"),"")</f>
        <v>8.9126869878666404E-3</v>
      </c>
      <c r="S12">
        <f>IFERROR((SUMIFS('AEO 2026 Table 23 '!V:V,'AEO 2026 Table 23 '!$B:$B,"*,"&amp;$A12&amp;",*")-SUMIFS('AEO 2026 Table 23 '!U:U,'AEO 2026 Table 23 '!$B:$B,"*,"&amp;$A12&amp;",*"))/SUMIFS('AEO 2026 Table 23 '!U:U,'AEO 2026 Table 23 '!$B:$B,"*,"&amp;$A12&amp;",*"),"")</f>
        <v>8.2219736659823149E-3</v>
      </c>
      <c r="T12">
        <f>IFERROR((SUMIFS('AEO 2026 Table 23 '!W:W,'AEO 2026 Table 23 '!$B:$B,"*,"&amp;$A12&amp;",*")-SUMIFS('AEO 2026 Table 23 '!V:V,'AEO 2026 Table 23 '!$B:$B,"*,"&amp;$A12&amp;",*"))/SUMIFS('AEO 2026 Table 23 '!V:V,'AEO 2026 Table 23 '!$B:$B,"*,"&amp;$A12&amp;",*"),"")</f>
        <v>8.1518849867408989E-3</v>
      </c>
      <c r="U12">
        <f>IFERROR((SUMIFS('AEO 2026 Table 23 '!X:X,'AEO 2026 Table 23 '!$B:$B,"*,"&amp;$A12&amp;",*")-SUMIFS('AEO 2026 Table 23 '!W:W,'AEO 2026 Table 23 '!$B:$B,"*,"&amp;$A12&amp;",*"))/SUMIFS('AEO 2026 Table 23 '!W:W,'AEO 2026 Table 23 '!$B:$B,"*,"&amp;$A12&amp;",*"),"")</f>
        <v>8.0671144690563253E-3</v>
      </c>
      <c r="V12">
        <f>IFERROR((SUMIFS('AEO 2026 Table 23 '!Y:Y,'AEO 2026 Table 23 '!$B:$B,"*,"&amp;$A12&amp;",*")-SUMIFS('AEO 2026 Table 23 '!X:X,'AEO 2026 Table 23 '!$B:$B,"*,"&amp;$A12&amp;",*"))/SUMIFS('AEO 2026 Table 23 '!X:X,'AEO 2026 Table 23 '!$B:$B,"*,"&amp;$A12&amp;",*"),"")</f>
        <v>7.6174180419561087E-3</v>
      </c>
      <c r="W12">
        <f>IFERROR((SUMIFS('AEO 2026 Table 23 '!Z:Z,'AEO 2026 Table 23 '!$B:$B,"*,"&amp;$A12&amp;",*")-SUMIFS('AEO 2026 Table 23 '!Y:Y,'AEO 2026 Table 23 '!$B:$B,"*,"&amp;$A12&amp;",*"))/SUMIFS('AEO 2026 Table 23 '!Y:Y,'AEO 2026 Table 23 '!$B:$B,"*,"&amp;$A12&amp;",*"),"")</f>
        <v>7.5910007208408424E-3</v>
      </c>
      <c r="X12">
        <f>IFERROR((SUMIFS('AEO 2026 Table 23 '!AA:AA,'AEO 2026 Table 23 '!$B:$B,"*,"&amp;$A12&amp;",*")-SUMIFS('AEO 2026 Table 23 '!Z:Z,'AEO 2026 Table 23 '!$B:$B,"*,"&amp;$A12&amp;",*"))/SUMIFS('AEO 2026 Table 23 '!Z:Z,'AEO 2026 Table 23 '!$B:$B,"*,"&amp;$A12&amp;",*"),"")</f>
        <v>6.9485012197958293E-3</v>
      </c>
      <c r="Y12">
        <f>IFERROR((SUMIFS('AEO 2026 Table 23 '!AB:AB,'AEO 2026 Table 23 '!$B:$B,"*,"&amp;$A12&amp;",*")-SUMIFS('AEO 2026 Table 23 '!AA:AA,'AEO 2026 Table 23 '!$B:$B,"*,"&amp;$A12&amp;",*"))/SUMIFS('AEO 2026 Table 23 '!AA:AA,'AEO 2026 Table 23 '!$B:$B,"*,"&amp;$A12&amp;",*"),"")</f>
        <v>7.1654398456569134E-3</v>
      </c>
      <c r="Z12">
        <f>IFERROR((SUMIFS('AEO 2026 Table 23 '!AC:AC,'AEO 2026 Table 23 '!$B:$B,"*,"&amp;$A12&amp;",*")-SUMIFS('AEO 2026 Table 23 '!AB:AB,'AEO 2026 Table 23 '!$B:$B,"*,"&amp;$A12&amp;",*"))/SUMIFS('AEO 2026 Table 23 '!AB:AB,'AEO 2026 Table 23 '!$B:$B,"*,"&amp;$A12&amp;",*"),"")</f>
        <v>6.9713486623400201E-3</v>
      </c>
      <c r="AA12">
        <f>IFERROR((SUMIFS('AEO 2026 Table 23 '!AD:AD,'AEO 2026 Table 23 '!$B:$B,"*,"&amp;$A12&amp;",*")-SUMIFS('AEO 2026 Table 23 '!AC:AC,'AEO 2026 Table 23 '!$B:$B,"*,"&amp;$A12&amp;",*"))/SUMIFS('AEO 2026 Table 23 '!AC:AC,'AEO 2026 Table 23 '!$B:$B,"*,"&amp;$A12&amp;",*"),"")</f>
        <v>6.9198623364609326E-3</v>
      </c>
      <c r="AB12">
        <f>IFERROR((SUMIFS('AEO 2026 Table 23 '!AE:AE,'AEO 2026 Table 23 '!$B:$B,"*,"&amp;$A12&amp;",*")-SUMIFS('AEO 2026 Table 23 '!AD:AD,'AEO 2026 Table 23 '!$B:$B,"*,"&amp;$A12&amp;",*"))/SUMIFS('AEO 2026 Table 23 '!AD:AD,'AEO 2026 Table 23 '!$B:$B,"*,"&amp;$A12&amp;",*"),"")</f>
        <v>7.1706668477333618E-3</v>
      </c>
      <c r="AC12">
        <f>IFERROR((SUMIFS('AEO 2026 Table 23 '!AF:AF,'AEO 2026 Table 23 '!$B:$B,"*,"&amp;$A12&amp;",*")-SUMIFS('AEO 2026 Table 23 '!AE:AE,'AEO 2026 Table 23 '!$B:$B,"*,"&amp;$A12&amp;",*"))/SUMIFS('AEO 2026 Table 23 '!AE:AE,'AEO 2026 Table 23 '!$B:$B,"*,"&amp;$A12&amp;",*"),"")</f>
        <v>6.5544717745132219E-3</v>
      </c>
    </row>
    <row r="13" spans="1:29" x14ac:dyDescent="0.25">
      <c r="A13" t="s">
        <v>209</v>
      </c>
      <c r="B13">
        <f>IFERROR(SUMPRODUCT(--('BLS Table 2.11'!$L$1:$L$426=$A13),'BLS Table 2.11'!$J$1:$J$426,'BLS Table 2.11'!$K$1:$K$426)/SUMIFS('BLS Table 2.11'!$J$1:$J$426,'BLS Table 2.11'!$L$1:$L$426,$A13)/100,0)</f>
        <v>3.1918429003021148E-3</v>
      </c>
      <c r="D13">
        <f>IFERROR((SUMIFS('AEO 2026 Table 23 '!G:G,'AEO 2026 Table 23 '!$B:$B,"*,"&amp;$A13&amp;",*")-SUMIFS('AEO25 Table 23'!H:H,'AEO25 Table 23'!$B:$B,"*,"&amp;$A13&amp;",*"))/SUMIFS('AEO25 Table 23'!H:H,'AEO25 Table 23'!$B:$B,"*,"&amp;$A13&amp;",*"),"")</f>
        <v>-0.11327023120960888</v>
      </c>
      <c r="E13">
        <f>IFERROR((SUMIFS('AEO 2026 Table 23 '!H:H,'AEO 2026 Table 23 '!$B:$B,"*,"&amp;$A13&amp;",*")-SUMIFS('AEO 2026 Table 23 '!G:G,'AEO 2026 Table 23 '!$B:$B,"*,"&amp;$A13&amp;",*"))/SUMIFS('AEO 2026 Table 23 '!G:G,'AEO 2026 Table 23 '!$B:$B,"*,"&amp;$A13&amp;",*"),"")</f>
        <v>1.2654387821285499E-2</v>
      </c>
      <c r="F13">
        <f>IFERROR((SUMIFS('AEO 2026 Table 23 '!I:I,'AEO 2026 Table 23 '!$B:$B,"*,"&amp;$A13&amp;",*")-SUMIFS('AEO 2026 Table 23 '!H:H,'AEO 2026 Table 23 '!$B:$B,"*,"&amp;$A13&amp;",*"))/SUMIFS('AEO 2026 Table 23 '!H:H,'AEO 2026 Table 23 '!$B:$B,"*,"&amp;$A13&amp;",*"),"")</f>
        <v>1.3735723311174427E-2</v>
      </c>
      <c r="G13">
        <f>IFERROR((SUMIFS('AEO 2026 Table 23 '!J:J,'AEO 2026 Table 23 '!$B:$B,"*,"&amp;$A13&amp;",*")-SUMIFS('AEO 2026 Table 23 '!I:I,'AEO 2026 Table 23 '!$B:$B,"*,"&amp;$A13&amp;",*"))/SUMIFS('AEO 2026 Table 23 '!I:I,'AEO 2026 Table 23 '!$B:$B,"*,"&amp;$A13&amp;",*"),"")</f>
        <v>-2.8978791575699502E-2</v>
      </c>
      <c r="H13">
        <f>IFERROR((SUMIFS('AEO 2026 Table 23 '!K:K,'AEO 2026 Table 23 '!$B:$B,"*,"&amp;$A13&amp;",*")-SUMIFS('AEO 2026 Table 23 '!J:J,'AEO 2026 Table 23 '!$B:$B,"*,"&amp;$A13&amp;",*"))/SUMIFS('AEO 2026 Table 23 '!J:J,'AEO 2026 Table 23 '!$B:$B,"*,"&amp;$A13&amp;",*"),"")</f>
        <v>-3.7839861235331416E-2</v>
      </c>
      <c r="I13">
        <f>IFERROR((SUMIFS('AEO 2026 Table 23 '!L:L,'AEO 2026 Table 23 '!$B:$B,"*,"&amp;$A13&amp;",*")-SUMIFS('AEO 2026 Table 23 '!K:K,'AEO 2026 Table 23 '!$B:$B,"*,"&amp;$A13&amp;",*"))/SUMIFS('AEO 2026 Table 23 '!K:K,'AEO 2026 Table 23 '!$B:$B,"*,"&amp;$A13&amp;",*"),"")</f>
        <v>-1.7721610152687448E-2</v>
      </c>
      <c r="J13">
        <f>IFERROR((SUMIFS('AEO 2026 Table 23 '!M:M,'AEO 2026 Table 23 '!$B:$B,"*,"&amp;$A13&amp;",*")-SUMIFS('AEO 2026 Table 23 '!L:L,'AEO 2026 Table 23 '!$B:$B,"*,"&amp;$A13&amp;",*"))/SUMIFS('AEO 2026 Table 23 '!L:L,'AEO 2026 Table 23 '!$B:$B,"*,"&amp;$A13&amp;",*"),"")</f>
        <v>-5.5535893277420126E-3</v>
      </c>
      <c r="K13">
        <f>IFERROR((SUMIFS('AEO 2026 Table 23 '!N:N,'AEO 2026 Table 23 '!$B:$B,"*,"&amp;$A13&amp;",*")-SUMIFS('AEO 2026 Table 23 '!M:M,'AEO 2026 Table 23 '!$B:$B,"*,"&amp;$A13&amp;",*"))/SUMIFS('AEO 2026 Table 23 '!M:M,'AEO 2026 Table 23 '!$B:$B,"*,"&amp;$A13&amp;",*"),"")</f>
        <v>-2.8541013618708145E-3</v>
      </c>
      <c r="L13">
        <f>IFERROR((SUMIFS('AEO 2026 Table 23 '!O:O,'AEO 2026 Table 23 '!$B:$B,"*,"&amp;$A13&amp;",*")-SUMIFS('AEO 2026 Table 23 '!N:N,'AEO 2026 Table 23 '!$B:$B,"*,"&amp;$A13&amp;",*"))/SUMIFS('AEO 2026 Table 23 '!N:N,'AEO 2026 Table 23 '!$B:$B,"*,"&amp;$A13&amp;",*"),"")</f>
        <v>2.6110775606644635E-3</v>
      </c>
      <c r="M13">
        <f>IFERROR((SUMIFS('AEO 2026 Table 23 '!P:P,'AEO 2026 Table 23 '!$B:$B,"*,"&amp;$A13&amp;",*")-SUMIFS('AEO 2026 Table 23 '!O:O,'AEO 2026 Table 23 '!$B:$B,"*,"&amp;$A13&amp;",*"))/SUMIFS('AEO 2026 Table 23 '!O:O,'AEO 2026 Table 23 '!$B:$B,"*,"&amp;$A13&amp;",*"),"")</f>
        <v>7.1811112665338961E-3</v>
      </c>
      <c r="N13">
        <f>IFERROR((SUMIFS('AEO 2026 Table 23 '!Q:Q,'AEO 2026 Table 23 '!$B:$B,"*,"&amp;$A13&amp;",*")-SUMIFS('AEO 2026 Table 23 '!P:P,'AEO 2026 Table 23 '!$B:$B,"*,"&amp;$A13&amp;",*"))/SUMIFS('AEO 2026 Table 23 '!P:P,'AEO 2026 Table 23 '!$B:$B,"*,"&amp;$A13&amp;",*"),"")</f>
        <v>4.3095939225521436E-3</v>
      </c>
      <c r="O13">
        <f>IFERROR((SUMIFS('AEO 2026 Table 23 '!R:R,'AEO 2026 Table 23 '!$B:$B,"*,"&amp;$A13&amp;",*")-SUMIFS('AEO 2026 Table 23 '!Q:Q,'AEO 2026 Table 23 '!$B:$B,"*,"&amp;$A13&amp;",*"))/SUMIFS('AEO 2026 Table 23 '!Q:Q,'AEO 2026 Table 23 '!$B:$B,"*,"&amp;$A13&amp;",*"),"")</f>
        <v>-5.0828396051350012E-4</v>
      </c>
      <c r="P13">
        <f>IFERROR((SUMIFS('AEO 2026 Table 23 '!S:S,'AEO 2026 Table 23 '!$B:$B,"*,"&amp;$A13&amp;",*")-SUMIFS('AEO 2026 Table 23 '!R:R,'AEO 2026 Table 23 '!$B:$B,"*,"&amp;$A13&amp;",*"))/SUMIFS('AEO 2026 Table 23 '!R:R,'AEO 2026 Table 23 '!$B:$B,"*,"&amp;$A13&amp;",*"),"")</f>
        <v>1.2939081422887416E-3</v>
      </c>
      <c r="Q13">
        <f>IFERROR((SUMIFS('AEO 2026 Table 23 '!T:T,'AEO 2026 Table 23 '!$B:$B,"*,"&amp;$A13&amp;",*")-SUMIFS('AEO 2026 Table 23 '!S:S,'AEO 2026 Table 23 '!$B:$B,"*,"&amp;$A13&amp;",*"))/SUMIFS('AEO 2026 Table 23 '!S:S,'AEO 2026 Table 23 '!$B:$B,"*,"&amp;$A13&amp;",*"),"")</f>
        <v>1.9871252582326238E-3</v>
      </c>
      <c r="R13">
        <f>IFERROR((SUMIFS('AEO 2026 Table 23 '!U:U,'AEO 2026 Table 23 '!$B:$B,"*,"&amp;$A13&amp;",*")-SUMIFS('AEO 2026 Table 23 '!T:T,'AEO 2026 Table 23 '!$B:$B,"*,"&amp;$A13&amp;",*"))/SUMIFS('AEO 2026 Table 23 '!T:T,'AEO 2026 Table 23 '!$B:$B,"*,"&amp;$A13&amp;",*"),"")</f>
        <v>9.4922215564872351E-4</v>
      </c>
      <c r="S13">
        <f>IFERROR((SUMIFS('AEO 2026 Table 23 '!V:V,'AEO 2026 Table 23 '!$B:$B,"*,"&amp;$A13&amp;",*")-SUMIFS('AEO 2026 Table 23 '!U:U,'AEO 2026 Table 23 '!$B:$B,"*,"&amp;$A13&amp;",*"))/SUMIFS('AEO 2026 Table 23 '!U:U,'AEO 2026 Table 23 '!$B:$B,"*,"&amp;$A13&amp;",*"),"")</f>
        <v>3.876368628577711E-3</v>
      </c>
      <c r="T13">
        <f>IFERROR((SUMIFS('AEO 2026 Table 23 '!W:W,'AEO 2026 Table 23 '!$B:$B,"*,"&amp;$A13&amp;",*")-SUMIFS('AEO 2026 Table 23 '!V:V,'AEO 2026 Table 23 '!$B:$B,"*,"&amp;$A13&amp;",*"))/SUMIFS('AEO 2026 Table 23 '!V:V,'AEO 2026 Table 23 '!$B:$B,"*,"&amp;$A13&amp;",*"),"")</f>
        <v>3.6086342533489719E-3</v>
      </c>
      <c r="U13">
        <f>IFERROR((SUMIFS('AEO 2026 Table 23 '!X:X,'AEO 2026 Table 23 '!$B:$B,"*,"&amp;$A13&amp;",*")-SUMIFS('AEO 2026 Table 23 '!W:W,'AEO 2026 Table 23 '!$B:$B,"*,"&amp;$A13&amp;",*"))/SUMIFS('AEO 2026 Table 23 '!W:W,'AEO 2026 Table 23 '!$B:$B,"*,"&amp;$A13&amp;",*"),"")</f>
        <v>2.3781021607383874E-3</v>
      </c>
      <c r="V13">
        <f>IFERROR((SUMIFS('AEO 2026 Table 23 '!Y:Y,'AEO 2026 Table 23 '!$B:$B,"*,"&amp;$A13&amp;",*")-SUMIFS('AEO 2026 Table 23 '!X:X,'AEO 2026 Table 23 '!$B:$B,"*,"&amp;$A13&amp;",*"))/SUMIFS('AEO 2026 Table 23 '!X:X,'AEO 2026 Table 23 '!$B:$B,"*,"&amp;$A13&amp;",*"),"")</f>
        <v>2.2510324909582892E-3</v>
      </c>
      <c r="W13">
        <f>IFERROR((SUMIFS('AEO 2026 Table 23 '!Z:Z,'AEO 2026 Table 23 '!$B:$B,"*,"&amp;$A13&amp;",*")-SUMIFS('AEO 2026 Table 23 '!Y:Y,'AEO 2026 Table 23 '!$B:$B,"*,"&amp;$A13&amp;",*"))/SUMIFS('AEO 2026 Table 23 '!Y:Y,'AEO 2026 Table 23 '!$B:$B,"*,"&amp;$A13&amp;",*"),"")</f>
        <v>2.9899080939919951E-3</v>
      </c>
      <c r="X13">
        <f>IFERROR((SUMIFS('AEO 2026 Table 23 '!AA:AA,'AEO 2026 Table 23 '!$B:$B,"*,"&amp;$A13&amp;",*")-SUMIFS('AEO 2026 Table 23 '!Z:Z,'AEO 2026 Table 23 '!$B:$B,"*,"&amp;$A13&amp;",*"))/SUMIFS('AEO 2026 Table 23 '!Z:Z,'AEO 2026 Table 23 '!$B:$B,"*,"&amp;$A13&amp;",*"),"")</f>
        <v>3.7431770442513351E-3</v>
      </c>
      <c r="Y13">
        <f>IFERROR((SUMIFS('AEO 2026 Table 23 '!AB:AB,'AEO 2026 Table 23 '!$B:$B,"*,"&amp;$A13&amp;",*")-SUMIFS('AEO 2026 Table 23 '!AA:AA,'AEO 2026 Table 23 '!$B:$B,"*,"&amp;$A13&amp;",*"))/SUMIFS('AEO 2026 Table 23 '!AA:AA,'AEO 2026 Table 23 '!$B:$B,"*,"&amp;$A13&amp;",*"),"")</f>
        <v>1.8182871550452167E-3</v>
      </c>
      <c r="Z13">
        <f>IFERROR((SUMIFS('AEO 2026 Table 23 '!AC:AC,'AEO 2026 Table 23 '!$B:$B,"*,"&amp;$A13&amp;",*")-SUMIFS('AEO 2026 Table 23 '!AB:AB,'AEO 2026 Table 23 '!$B:$B,"*,"&amp;$A13&amp;",*"))/SUMIFS('AEO 2026 Table 23 '!AB:AB,'AEO 2026 Table 23 '!$B:$B,"*,"&amp;$A13&amp;",*"),"")</f>
        <v>-1.8549583248712398E-3</v>
      </c>
      <c r="AA13">
        <f>IFERROR((SUMIFS('AEO 2026 Table 23 '!AD:AD,'AEO 2026 Table 23 '!$B:$B,"*,"&amp;$A13&amp;",*")-SUMIFS('AEO 2026 Table 23 '!AC:AC,'AEO 2026 Table 23 '!$B:$B,"*,"&amp;$A13&amp;",*"))/SUMIFS('AEO 2026 Table 23 '!AC:AC,'AEO 2026 Table 23 '!$B:$B,"*,"&amp;$A13&amp;",*"),"")</f>
        <v>-4.8402017735736042E-3</v>
      </c>
      <c r="AB13">
        <f>IFERROR((SUMIFS('AEO 2026 Table 23 '!AE:AE,'AEO 2026 Table 23 '!$B:$B,"*,"&amp;$A13&amp;",*")-SUMIFS('AEO 2026 Table 23 '!AD:AD,'AEO 2026 Table 23 '!$B:$B,"*,"&amp;$A13&amp;",*"))/SUMIFS('AEO 2026 Table 23 '!AD:AD,'AEO 2026 Table 23 '!$B:$B,"*,"&amp;$A13&amp;",*"),"")</f>
        <v>-1.2979738378702281E-3</v>
      </c>
      <c r="AC13">
        <f>IFERROR((SUMIFS('AEO 2026 Table 23 '!AF:AF,'AEO 2026 Table 23 '!$B:$B,"*,"&amp;$A13&amp;",*")-SUMIFS('AEO 2026 Table 23 '!AE:AE,'AEO 2026 Table 23 '!$B:$B,"*,"&amp;$A13&amp;",*"))/SUMIFS('AEO 2026 Table 23 '!AE:AE,'AEO 2026 Table 23 '!$B:$B,"*,"&amp;$A13&amp;",*"),"")</f>
        <v>-9.7529928707283859E-4</v>
      </c>
    </row>
    <row r="14" spans="1:29" x14ac:dyDescent="0.25">
      <c r="A14" t="s">
        <v>218</v>
      </c>
      <c r="B14">
        <f>IFERROR(SUMPRODUCT(--('BLS Table 2.11'!$L$1:$L$426=$A14),'BLS Table 2.11'!$J$1:$J$426,'BLS Table 2.11'!$K$1:$K$426)/SUMIFS('BLS Table 2.11'!$J$1:$J$426,'BLS Table 2.11'!$L$1:$L$426,$A14)/100,0)</f>
        <v>1.7000000000000001E-2</v>
      </c>
      <c r="D14">
        <f>IFERROR((SUMIFS('AEO 2026 Table 23 '!G:G,'AEO 2026 Table 23 '!$B:$B,"*,"&amp;$A14&amp;",*")-SUMIFS('AEO25 Table 23'!H:H,'AEO25 Table 23'!$B:$B,"*,"&amp;$A14&amp;",*"))/SUMIFS('AEO25 Table 23'!H:H,'AEO25 Table 23'!$B:$B,"*,"&amp;$A14&amp;",*"),"")</f>
        <v>0.20646756047733122</v>
      </c>
      <c r="E14">
        <f>IFERROR((SUMIFS('AEO 2026 Table 23 '!H:H,'AEO 2026 Table 23 '!$B:$B,"*,"&amp;$A14&amp;",*")-SUMIFS('AEO 2026 Table 23 '!G:G,'AEO 2026 Table 23 '!$B:$B,"*,"&amp;$A14&amp;",*"))/SUMIFS('AEO 2026 Table 23 '!G:G,'AEO 2026 Table 23 '!$B:$B,"*,"&amp;$A14&amp;",*"),"")</f>
        <v>-0.16081253587386876</v>
      </c>
      <c r="F14">
        <f>IFERROR((SUMIFS('AEO 2026 Table 23 '!I:I,'AEO 2026 Table 23 '!$B:$B,"*,"&amp;$A14&amp;",*")-SUMIFS('AEO 2026 Table 23 '!H:H,'AEO 2026 Table 23 '!$B:$B,"*,"&amp;$A14&amp;",*"))/SUMIFS('AEO 2026 Table 23 '!H:H,'AEO 2026 Table 23 '!$B:$B,"*,"&amp;$A14&amp;",*"),"")</f>
        <v>-5.9926481842827915E-2</v>
      </c>
      <c r="G14">
        <f>IFERROR((SUMIFS('AEO 2026 Table 23 '!J:J,'AEO 2026 Table 23 '!$B:$B,"*,"&amp;$A14&amp;",*")-SUMIFS('AEO 2026 Table 23 '!I:I,'AEO 2026 Table 23 '!$B:$B,"*,"&amp;$A14&amp;",*"))/SUMIFS('AEO 2026 Table 23 '!I:I,'AEO 2026 Table 23 '!$B:$B,"*,"&amp;$A14&amp;",*"),"")</f>
        <v>4.8577552390751753E-2</v>
      </c>
      <c r="H14">
        <f>IFERROR((SUMIFS('AEO 2026 Table 23 '!K:K,'AEO 2026 Table 23 '!$B:$B,"*,"&amp;$A14&amp;",*")-SUMIFS('AEO 2026 Table 23 '!J:J,'AEO 2026 Table 23 '!$B:$B,"*,"&amp;$A14&amp;",*"))/SUMIFS('AEO 2026 Table 23 '!J:J,'AEO 2026 Table 23 '!$B:$B,"*,"&amp;$A14&amp;",*"),"")</f>
        <v>7.8415031909261301E-2</v>
      </c>
      <c r="I14">
        <f>IFERROR((SUMIFS('AEO 2026 Table 23 '!L:L,'AEO 2026 Table 23 '!$B:$B,"*,"&amp;$A14&amp;",*")-SUMIFS('AEO 2026 Table 23 '!K:K,'AEO 2026 Table 23 '!$B:$B,"*,"&amp;$A14&amp;",*"))/SUMIFS('AEO 2026 Table 23 '!K:K,'AEO 2026 Table 23 '!$B:$B,"*,"&amp;$A14&amp;",*"),"")</f>
        <v>1.0858482705549129E-2</v>
      </c>
      <c r="J14">
        <f>IFERROR((SUMIFS('AEO 2026 Table 23 '!M:M,'AEO 2026 Table 23 '!$B:$B,"*,"&amp;$A14&amp;",*")-SUMIFS('AEO 2026 Table 23 '!L:L,'AEO 2026 Table 23 '!$B:$B,"*,"&amp;$A14&amp;",*"))/SUMIFS('AEO 2026 Table 23 '!L:L,'AEO 2026 Table 23 '!$B:$B,"*,"&amp;$A14&amp;",*"),"")</f>
        <v>-2.5408865648140155E-2</v>
      </c>
      <c r="K14">
        <f>IFERROR((SUMIFS('AEO 2026 Table 23 '!N:N,'AEO 2026 Table 23 '!$B:$B,"*,"&amp;$A14&amp;",*")-SUMIFS('AEO 2026 Table 23 '!M:M,'AEO 2026 Table 23 '!$B:$B,"*,"&amp;$A14&amp;",*"))/SUMIFS('AEO 2026 Table 23 '!M:M,'AEO 2026 Table 23 '!$B:$B,"*,"&amp;$A14&amp;",*"),"")</f>
        <v>-3.0799743817374369E-3</v>
      </c>
      <c r="L14">
        <f>IFERROR((SUMIFS('AEO 2026 Table 23 '!O:O,'AEO 2026 Table 23 '!$B:$B,"*,"&amp;$A14&amp;",*")-SUMIFS('AEO 2026 Table 23 '!N:N,'AEO 2026 Table 23 '!$B:$B,"*,"&amp;$A14&amp;",*"))/SUMIFS('AEO 2026 Table 23 '!N:N,'AEO 2026 Table 23 '!$B:$B,"*,"&amp;$A14&amp;",*"),"")</f>
        <v>2.2848120700727528E-2</v>
      </c>
      <c r="M14">
        <f>IFERROR((SUMIFS('AEO 2026 Table 23 '!P:P,'AEO 2026 Table 23 '!$B:$B,"*,"&amp;$A14&amp;",*")-SUMIFS('AEO 2026 Table 23 '!O:O,'AEO 2026 Table 23 '!$B:$B,"*,"&amp;$A14&amp;",*"))/SUMIFS('AEO 2026 Table 23 '!O:O,'AEO 2026 Table 23 '!$B:$B,"*,"&amp;$A14&amp;",*"),"")</f>
        <v>3.8984983101808264E-2</v>
      </c>
      <c r="N14">
        <f>IFERROR((SUMIFS('AEO 2026 Table 23 '!Q:Q,'AEO 2026 Table 23 '!$B:$B,"*,"&amp;$A14&amp;",*")-SUMIFS('AEO 2026 Table 23 '!P:P,'AEO 2026 Table 23 '!$B:$B,"*,"&amp;$A14&amp;",*"))/SUMIFS('AEO 2026 Table 23 '!P:P,'AEO 2026 Table 23 '!$B:$B,"*,"&amp;$A14&amp;",*"),"")</f>
        <v>2.9219529050703422E-2</v>
      </c>
      <c r="O14">
        <f>IFERROR((SUMIFS('AEO 2026 Table 23 '!R:R,'AEO 2026 Table 23 '!$B:$B,"*,"&amp;$A14&amp;",*")-SUMIFS('AEO 2026 Table 23 '!Q:Q,'AEO 2026 Table 23 '!$B:$B,"*,"&amp;$A14&amp;",*"))/SUMIFS('AEO 2026 Table 23 '!Q:Q,'AEO 2026 Table 23 '!$B:$B,"*,"&amp;$A14&amp;",*"),"")</f>
        <v>2.9233758232177085E-2</v>
      </c>
      <c r="P14">
        <f>IFERROR((SUMIFS('AEO 2026 Table 23 '!S:S,'AEO 2026 Table 23 '!$B:$B,"*,"&amp;$A14&amp;",*")-SUMIFS('AEO 2026 Table 23 '!R:R,'AEO 2026 Table 23 '!$B:$B,"*,"&amp;$A14&amp;",*"))/SUMIFS('AEO 2026 Table 23 '!R:R,'AEO 2026 Table 23 '!$B:$B,"*,"&amp;$A14&amp;",*"),"")</f>
        <v>2.1060842040691512E-2</v>
      </c>
      <c r="Q14">
        <f>IFERROR((SUMIFS('AEO 2026 Table 23 '!T:T,'AEO 2026 Table 23 '!$B:$B,"*,"&amp;$A14&amp;",*")-SUMIFS('AEO 2026 Table 23 '!S:S,'AEO 2026 Table 23 '!$B:$B,"*,"&amp;$A14&amp;",*"))/SUMIFS('AEO 2026 Table 23 '!S:S,'AEO 2026 Table 23 '!$B:$B,"*,"&amp;$A14&amp;",*"),"")</f>
        <v>2.228663552233685E-2</v>
      </c>
      <c r="R14">
        <f>IFERROR((SUMIFS('AEO 2026 Table 23 '!U:U,'AEO 2026 Table 23 '!$B:$B,"*,"&amp;$A14&amp;",*")-SUMIFS('AEO 2026 Table 23 '!T:T,'AEO 2026 Table 23 '!$B:$B,"*,"&amp;$A14&amp;",*"))/SUMIFS('AEO 2026 Table 23 '!T:T,'AEO 2026 Table 23 '!$B:$B,"*,"&amp;$A14&amp;",*"),"")</f>
        <v>1.6015879083247499E-2</v>
      </c>
      <c r="S14">
        <f>IFERROR((SUMIFS('AEO 2026 Table 23 '!V:V,'AEO 2026 Table 23 '!$B:$B,"*,"&amp;$A14&amp;",*")-SUMIFS('AEO 2026 Table 23 '!U:U,'AEO 2026 Table 23 '!$B:$B,"*,"&amp;$A14&amp;",*"))/SUMIFS('AEO 2026 Table 23 '!U:U,'AEO 2026 Table 23 '!$B:$B,"*,"&amp;$A14&amp;",*"),"")</f>
        <v>5.1785345412433161E-3</v>
      </c>
      <c r="T14">
        <f>IFERROR((SUMIFS('AEO 2026 Table 23 '!W:W,'AEO 2026 Table 23 '!$B:$B,"*,"&amp;$A14&amp;",*")-SUMIFS('AEO 2026 Table 23 '!V:V,'AEO 2026 Table 23 '!$B:$B,"*,"&amp;$A14&amp;",*"))/SUMIFS('AEO 2026 Table 23 '!V:V,'AEO 2026 Table 23 '!$B:$B,"*,"&amp;$A14&amp;",*"),"")</f>
        <v>-1.8013354096578064E-2</v>
      </c>
      <c r="U14">
        <f>IFERROR((SUMIFS('AEO 2026 Table 23 '!X:X,'AEO 2026 Table 23 '!$B:$B,"*,"&amp;$A14&amp;",*")-SUMIFS('AEO 2026 Table 23 '!W:W,'AEO 2026 Table 23 '!$B:$B,"*,"&amp;$A14&amp;",*"))/SUMIFS('AEO 2026 Table 23 '!W:W,'AEO 2026 Table 23 '!$B:$B,"*,"&amp;$A14&amp;",*"),"")</f>
        <v>-1.0618322301797024E-2</v>
      </c>
      <c r="V14">
        <f>IFERROR((SUMIFS('AEO 2026 Table 23 '!Y:Y,'AEO 2026 Table 23 '!$B:$B,"*,"&amp;$A14&amp;",*")-SUMIFS('AEO 2026 Table 23 '!X:X,'AEO 2026 Table 23 '!$B:$B,"*,"&amp;$A14&amp;",*"))/SUMIFS('AEO 2026 Table 23 '!X:X,'AEO 2026 Table 23 '!$B:$B,"*,"&amp;$A14&amp;",*"),"")</f>
        <v>-1.9917091594533951E-2</v>
      </c>
      <c r="W14">
        <f>IFERROR((SUMIFS('AEO 2026 Table 23 '!Z:Z,'AEO 2026 Table 23 '!$B:$B,"*,"&amp;$A14&amp;",*")-SUMIFS('AEO 2026 Table 23 '!Y:Y,'AEO 2026 Table 23 '!$B:$B,"*,"&amp;$A14&amp;",*"))/SUMIFS('AEO 2026 Table 23 '!Y:Y,'AEO 2026 Table 23 '!$B:$B,"*,"&amp;$A14&amp;",*"),"")</f>
        <v>-1.3377491184493832E-2</v>
      </c>
      <c r="X14">
        <f>IFERROR((SUMIFS('AEO 2026 Table 23 '!AA:AA,'AEO 2026 Table 23 '!$B:$B,"*,"&amp;$A14&amp;",*")-SUMIFS('AEO 2026 Table 23 '!Z:Z,'AEO 2026 Table 23 '!$B:$B,"*,"&amp;$A14&amp;",*"))/SUMIFS('AEO 2026 Table 23 '!Z:Z,'AEO 2026 Table 23 '!$B:$B,"*,"&amp;$A14&amp;",*"),"")</f>
        <v>6.3217512353089273E-3</v>
      </c>
      <c r="Y14">
        <f>IFERROR((SUMIFS('AEO 2026 Table 23 '!AB:AB,'AEO 2026 Table 23 '!$B:$B,"*,"&amp;$A14&amp;",*")-SUMIFS('AEO 2026 Table 23 '!AA:AA,'AEO 2026 Table 23 '!$B:$B,"*,"&amp;$A14&amp;",*"))/SUMIFS('AEO 2026 Table 23 '!AA:AA,'AEO 2026 Table 23 '!$B:$B,"*,"&amp;$A14&amp;",*"),"")</f>
        <v>6.0034817341983937E-3</v>
      </c>
      <c r="Z14">
        <f>IFERROR((SUMIFS('AEO 2026 Table 23 '!AC:AC,'AEO 2026 Table 23 '!$B:$B,"*,"&amp;$A14&amp;",*")-SUMIFS('AEO 2026 Table 23 '!AB:AB,'AEO 2026 Table 23 '!$B:$B,"*,"&amp;$A14&amp;",*"))/SUMIFS('AEO 2026 Table 23 '!AB:AB,'AEO 2026 Table 23 '!$B:$B,"*,"&amp;$A14&amp;",*"),"")</f>
        <v>8.9925975681785075E-3</v>
      </c>
      <c r="AA14">
        <f>IFERROR((SUMIFS('AEO 2026 Table 23 '!AD:AD,'AEO 2026 Table 23 '!$B:$B,"*,"&amp;$A14&amp;",*")-SUMIFS('AEO 2026 Table 23 '!AC:AC,'AEO 2026 Table 23 '!$B:$B,"*,"&amp;$A14&amp;",*"))/SUMIFS('AEO 2026 Table 23 '!AC:AC,'AEO 2026 Table 23 '!$B:$B,"*,"&amp;$A14&amp;",*"),"")</f>
        <v>8.075867794985786E-3</v>
      </c>
      <c r="AB14">
        <f>IFERROR((SUMIFS('AEO 2026 Table 23 '!AE:AE,'AEO 2026 Table 23 '!$B:$B,"*,"&amp;$A14&amp;",*")-SUMIFS('AEO 2026 Table 23 '!AD:AD,'AEO 2026 Table 23 '!$B:$B,"*,"&amp;$A14&amp;",*"))/SUMIFS('AEO 2026 Table 23 '!AD:AD,'AEO 2026 Table 23 '!$B:$B,"*,"&amp;$A14&amp;",*"),"")</f>
        <v>1.3737245679554182E-2</v>
      </c>
      <c r="AC14">
        <f>IFERROR((SUMIFS('AEO 2026 Table 23 '!AF:AF,'AEO 2026 Table 23 '!$B:$B,"*,"&amp;$A14&amp;",*")-SUMIFS('AEO 2026 Table 23 '!AE:AE,'AEO 2026 Table 23 '!$B:$B,"*,"&amp;$A14&amp;",*"))/SUMIFS('AEO 2026 Table 23 '!AE:AE,'AEO 2026 Table 23 '!$B:$B,"*,"&amp;$A14&amp;",*"),"")</f>
        <v>1.1236138525516472E-2</v>
      </c>
    </row>
    <row r="15" spans="1:29" x14ac:dyDescent="0.25">
      <c r="A15" t="s">
        <v>227</v>
      </c>
      <c r="B15">
        <f>IFERROR(SUMPRODUCT(--('BLS Table 2.11'!$L$1:$L$426=$A15),'BLS Table 2.11'!$J$1:$J$426,'BLS Table 2.11'!$K$1:$K$426)/SUMIFS('BLS Table 2.11'!$J$1:$J$426,'BLS Table 2.11'!$L$1:$L$426,$A15)/100,0)</f>
        <v>8.8682849184241949E-3</v>
      </c>
      <c r="D15">
        <f>IFERROR((SUMIFS('AEO 2026 Table 23 '!G:G,'AEO 2026 Table 23 '!$B:$B,"*,"&amp;$A15&amp;",*")-SUMIFS('AEO25 Table 23'!H:H,'AEO25 Table 23'!$B:$B,"*,"&amp;$A15&amp;",*"))/SUMIFS('AEO25 Table 23'!H:H,'AEO25 Table 23'!$B:$B,"*,"&amp;$A15&amp;",*"),"")</f>
        <v>-5.0057662323048653E-2</v>
      </c>
      <c r="E15">
        <f>IFERROR((SUMIFS('AEO 2026 Table 23 '!H:H,'AEO 2026 Table 23 '!$B:$B,"*,"&amp;$A15&amp;",*")-SUMIFS('AEO 2026 Table 23 '!G:G,'AEO 2026 Table 23 '!$B:$B,"*,"&amp;$A15&amp;",*"))/SUMIFS('AEO 2026 Table 23 '!G:G,'AEO 2026 Table 23 '!$B:$B,"*,"&amp;$A15&amp;",*"),"")</f>
        <v>-9.0657834221724697E-3</v>
      </c>
      <c r="F15">
        <f>IFERROR((SUMIFS('AEO 2026 Table 23 '!I:I,'AEO 2026 Table 23 '!$B:$B,"*,"&amp;$A15&amp;",*")-SUMIFS('AEO 2026 Table 23 '!H:H,'AEO 2026 Table 23 '!$B:$B,"*,"&amp;$A15&amp;",*"))/SUMIFS('AEO 2026 Table 23 '!H:H,'AEO 2026 Table 23 '!$B:$B,"*,"&amp;$A15&amp;",*"),"")</f>
        <v>1.278485593459618E-3</v>
      </c>
      <c r="G15">
        <f>IFERROR((SUMIFS('AEO 2026 Table 23 '!J:J,'AEO 2026 Table 23 '!$B:$B,"*,"&amp;$A15&amp;",*")-SUMIFS('AEO 2026 Table 23 '!I:I,'AEO 2026 Table 23 '!$B:$B,"*,"&amp;$A15&amp;",*"))/SUMIFS('AEO 2026 Table 23 '!I:I,'AEO 2026 Table 23 '!$B:$B,"*,"&amp;$A15&amp;",*"),"")</f>
        <v>-7.1926520481287977E-3</v>
      </c>
      <c r="H15">
        <f>IFERROR((SUMIFS('AEO 2026 Table 23 '!K:K,'AEO 2026 Table 23 '!$B:$B,"*,"&amp;$A15&amp;",*")-SUMIFS('AEO 2026 Table 23 '!J:J,'AEO 2026 Table 23 '!$B:$B,"*,"&amp;$A15&amp;",*"))/SUMIFS('AEO 2026 Table 23 '!J:J,'AEO 2026 Table 23 '!$B:$B,"*,"&amp;$A15&amp;",*"),"")</f>
        <v>-6.3772334766012823E-3</v>
      </c>
      <c r="I15">
        <f>IFERROR((SUMIFS('AEO 2026 Table 23 '!L:L,'AEO 2026 Table 23 '!$B:$B,"*,"&amp;$A15&amp;",*")-SUMIFS('AEO 2026 Table 23 '!K:K,'AEO 2026 Table 23 '!$B:$B,"*,"&amp;$A15&amp;",*"))/SUMIFS('AEO 2026 Table 23 '!K:K,'AEO 2026 Table 23 '!$B:$B,"*,"&amp;$A15&amp;",*"),"")</f>
        <v>-6.2658343162849952E-3</v>
      </c>
      <c r="J15">
        <f>IFERROR((SUMIFS('AEO 2026 Table 23 '!M:M,'AEO 2026 Table 23 '!$B:$B,"*,"&amp;$A15&amp;",*")-SUMIFS('AEO 2026 Table 23 '!L:L,'AEO 2026 Table 23 '!$B:$B,"*,"&amp;$A15&amp;",*"))/SUMIFS('AEO 2026 Table 23 '!L:L,'AEO 2026 Table 23 '!$B:$B,"*,"&amp;$A15&amp;",*"),"")</f>
        <v>-2.3939717110985303E-3</v>
      </c>
      <c r="K15">
        <f>IFERROR((SUMIFS('AEO 2026 Table 23 '!N:N,'AEO 2026 Table 23 '!$B:$B,"*,"&amp;$A15&amp;",*")-SUMIFS('AEO 2026 Table 23 '!M:M,'AEO 2026 Table 23 '!$B:$B,"*,"&amp;$A15&amp;",*"))/SUMIFS('AEO 2026 Table 23 '!M:M,'AEO 2026 Table 23 '!$B:$B,"*,"&amp;$A15&amp;",*"),"")</f>
        <v>-3.0197325726839135E-3</v>
      </c>
      <c r="L15">
        <f>IFERROR((SUMIFS('AEO 2026 Table 23 '!O:O,'AEO 2026 Table 23 '!$B:$B,"*,"&amp;$A15&amp;",*")-SUMIFS('AEO 2026 Table 23 '!N:N,'AEO 2026 Table 23 '!$B:$B,"*,"&amp;$A15&amp;",*"))/SUMIFS('AEO 2026 Table 23 '!N:N,'AEO 2026 Table 23 '!$B:$B,"*,"&amp;$A15&amp;",*"),"")</f>
        <v>-4.098789524848997E-3</v>
      </c>
      <c r="M15">
        <f>IFERROR((SUMIFS('AEO 2026 Table 23 '!P:P,'AEO 2026 Table 23 '!$B:$B,"*,"&amp;$A15&amp;",*")-SUMIFS('AEO 2026 Table 23 '!O:O,'AEO 2026 Table 23 '!$B:$B,"*,"&amp;$A15&amp;",*"))/SUMIFS('AEO 2026 Table 23 '!O:O,'AEO 2026 Table 23 '!$B:$B,"*,"&amp;$A15&amp;",*"),"")</f>
        <v>-3.4129947835764363E-3</v>
      </c>
      <c r="N15">
        <f>IFERROR((SUMIFS('AEO 2026 Table 23 '!Q:Q,'AEO 2026 Table 23 '!$B:$B,"*,"&amp;$A15&amp;",*")-SUMIFS('AEO 2026 Table 23 '!P:P,'AEO 2026 Table 23 '!$B:$B,"*,"&amp;$A15&amp;",*"))/SUMIFS('AEO 2026 Table 23 '!P:P,'AEO 2026 Table 23 '!$B:$B,"*,"&amp;$A15&amp;",*"),"")</f>
        <v>-3.441524691247057E-3</v>
      </c>
      <c r="O15">
        <f>IFERROR((SUMIFS('AEO 2026 Table 23 '!R:R,'AEO 2026 Table 23 '!$B:$B,"*,"&amp;$A15&amp;",*")-SUMIFS('AEO 2026 Table 23 '!Q:Q,'AEO 2026 Table 23 '!$B:$B,"*,"&amp;$A15&amp;",*"))/SUMIFS('AEO 2026 Table 23 '!Q:Q,'AEO 2026 Table 23 '!$B:$B,"*,"&amp;$A15&amp;",*"),"")</f>
        <v>-3.1894531324822219E-3</v>
      </c>
      <c r="P15">
        <f>IFERROR((SUMIFS('AEO 2026 Table 23 '!S:S,'AEO 2026 Table 23 '!$B:$B,"*,"&amp;$A15&amp;",*")-SUMIFS('AEO 2026 Table 23 '!R:R,'AEO 2026 Table 23 '!$B:$B,"*,"&amp;$A15&amp;",*"))/SUMIFS('AEO 2026 Table 23 '!R:R,'AEO 2026 Table 23 '!$B:$B,"*,"&amp;$A15&amp;",*"),"")</f>
        <v>-3.1325195911242193E-3</v>
      </c>
      <c r="Q15">
        <f>IFERROR((SUMIFS('AEO 2026 Table 23 '!T:T,'AEO 2026 Table 23 '!$B:$B,"*,"&amp;$A15&amp;",*")-SUMIFS('AEO 2026 Table 23 '!S:S,'AEO 2026 Table 23 '!$B:$B,"*,"&amp;$A15&amp;",*"))/SUMIFS('AEO 2026 Table 23 '!S:S,'AEO 2026 Table 23 '!$B:$B,"*,"&amp;$A15&amp;",*"),"")</f>
        <v>2.6629654801326336E-4</v>
      </c>
      <c r="R15">
        <f>IFERROR((SUMIFS('AEO 2026 Table 23 '!U:U,'AEO 2026 Table 23 '!$B:$B,"*,"&amp;$A15&amp;",*")-SUMIFS('AEO 2026 Table 23 '!T:T,'AEO 2026 Table 23 '!$B:$B,"*,"&amp;$A15&amp;",*"))/SUMIFS('AEO 2026 Table 23 '!T:T,'AEO 2026 Table 23 '!$B:$B,"*,"&amp;$A15&amp;",*"),"")</f>
        <v>3.3503925536994628E-3</v>
      </c>
      <c r="S15">
        <f>IFERROR((SUMIFS('AEO 2026 Table 23 '!V:V,'AEO 2026 Table 23 '!$B:$B,"*,"&amp;$A15&amp;",*")-SUMIFS('AEO 2026 Table 23 '!U:U,'AEO 2026 Table 23 '!$B:$B,"*,"&amp;$A15&amp;",*"))/SUMIFS('AEO 2026 Table 23 '!U:U,'AEO 2026 Table 23 '!$B:$B,"*,"&amp;$A15&amp;",*"),"")</f>
        <v>5.4952678620504352E-3</v>
      </c>
      <c r="T15">
        <f>IFERROR((SUMIFS('AEO 2026 Table 23 '!W:W,'AEO 2026 Table 23 '!$B:$B,"*,"&amp;$A15&amp;",*")-SUMIFS('AEO 2026 Table 23 '!V:V,'AEO 2026 Table 23 '!$B:$B,"*,"&amp;$A15&amp;",*"))/SUMIFS('AEO 2026 Table 23 '!V:V,'AEO 2026 Table 23 '!$B:$B,"*,"&amp;$A15&amp;",*"),"")</f>
        <v>4.1677260381441997E-3</v>
      </c>
      <c r="U15">
        <f>IFERROR((SUMIFS('AEO 2026 Table 23 '!X:X,'AEO 2026 Table 23 '!$B:$B,"*,"&amp;$A15&amp;",*")-SUMIFS('AEO 2026 Table 23 '!W:W,'AEO 2026 Table 23 '!$B:$B,"*,"&amp;$A15&amp;",*"))/SUMIFS('AEO 2026 Table 23 '!W:W,'AEO 2026 Table 23 '!$B:$B,"*,"&amp;$A15&amp;",*"),"")</f>
        <v>5.4302573644451667E-3</v>
      </c>
      <c r="V15">
        <f>IFERROR((SUMIFS('AEO 2026 Table 23 '!Y:Y,'AEO 2026 Table 23 '!$B:$B,"*,"&amp;$A15&amp;",*")-SUMIFS('AEO 2026 Table 23 '!X:X,'AEO 2026 Table 23 '!$B:$B,"*,"&amp;$A15&amp;",*"))/SUMIFS('AEO 2026 Table 23 '!X:X,'AEO 2026 Table 23 '!$B:$B,"*,"&amp;$A15&amp;",*"),"")</f>
        <v>5.8086122465398774E-3</v>
      </c>
      <c r="W15">
        <f>IFERROR((SUMIFS('AEO 2026 Table 23 '!Z:Z,'AEO 2026 Table 23 '!$B:$B,"*,"&amp;$A15&amp;",*")-SUMIFS('AEO 2026 Table 23 '!Y:Y,'AEO 2026 Table 23 '!$B:$B,"*,"&amp;$A15&amp;",*"))/SUMIFS('AEO 2026 Table 23 '!Y:Y,'AEO 2026 Table 23 '!$B:$B,"*,"&amp;$A15&amp;",*"),"")</f>
        <v>6.0143914031781237E-3</v>
      </c>
      <c r="X15">
        <f>IFERROR((SUMIFS('AEO 2026 Table 23 '!AA:AA,'AEO 2026 Table 23 '!$B:$B,"*,"&amp;$A15&amp;",*")-SUMIFS('AEO 2026 Table 23 '!Z:Z,'AEO 2026 Table 23 '!$B:$B,"*,"&amp;$A15&amp;",*"))/SUMIFS('AEO 2026 Table 23 '!Z:Z,'AEO 2026 Table 23 '!$B:$B,"*,"&amp;$A15&amp;",*"),"")</f>
        <v>6.6741622098685756E-3</v>
      </c>
      <c r="Y15">
        <f>IFERROR((SUMIFS('AEO 2026 Table 23 '!AB:AB,'AEO 2026 Table 23 '!$B:$B,"*,"&amp;$A15&amp;",*")-SUMIFS('AEO 2026 Table 23 '!AA:AA,'AEO 2026 Table 23 '!$B:$B,"*,"&amp;$A15&amp;",*"))/SUMIFS('AEO 2026 Table 23 '!AA:AA,'AEO 2026 Table 23 '!$B:$B,"*,"&amp;$A15&amp;",*"),"")</f>
        <v>5.8020804358370056E-3</v>
      </c>
      <c r="Z15">
        <f>IFERROR((SUMIFS('AEO 2026 Table 23 '!AC:AC,'AEO 2026 Table 23 '!$B:$B,"*,"&amp;$A15&amp;",*")-SUMIFS('AEO 2026 Table 23 '!AB:AB,'AEO 2026 Table 23 '!$B:$B,"*,"&amp;$A15&amp;",*"))/SUMIFS('AEO 2026 Table 23 '!AB:AB,'AEO 2026 Table 23 '!$B:$B,"*,"&amp;$A15&amp;",*"),"")</f>
        <v>6.9906301916783384E-3</v>
      </c>
      <c r="AA15">
        <f>IFERROR((SUMIFS('AEO 2026 Table 23 '!AD:AD,'AEO 2026 Table 23 '!$B:$B,"*,"&amp;$A15&amp;",*")-SUMIFS('AEO 2026 Table 23 '!AC:AC,'AEO 2026 Table 23 '!$B:$B,"*,"&amp;$A15&amp;",*"))/SUMIFS('AEO 2026 Table 23 '!AC:AC,'AEO 2026 Table 23 '!$B:$B,"*,"&amp;$A15&amp;",*"),"")</f>
        <v>6.8990934448158476E-3</v>
      </c>
      <c r="AB15">
        <f>IFERROR((SUMIFS('AEO 2026 Table 23 '!AE:AE,'AEO 2026 Table 23 '!$B:$B,"*,"&amp;$A15&amp;",*")-SUMIFS('AEO 2026 Table 23 '!AD:AD,'AEO 2026 Table 23 '!$B:$B,"*,"&amp;$A15&amp;",*"))/SUMIFS('AEO 2026 Table 23 '!AD:AD,'AEO 2026 Table 23 '!$B:$B,"*,"&amp;$A15&amp;",*"),"")</f>
        <v>7.8737061824086206E-3</v>
      </c>
      <c r="AC15">
        <f>IFERROR((SUMIFS('AEO 2026 Table 23 '!AF:AF,'AEO 2026 Table 23 '!$B:$B,"*,"&amp;$A15&amp;",*")-SUMIFS('AEO 2026 Table 23 '!AE:AE,'AEO 2026 Table 23 '!$B:$B,"*,"&amp;$A15&amp;",*"))/SUMIFS('AEO 2026 Table 23 '!AE:AE,'AEO 2026 Table 23 '!$B:$B,"*,"&amp;$A15&amp;",*"),"")</f>
        <v>6.1365801067141219E-3</v>
      </c>
    </row>
    <row r="16" spans="1:29" x14ac:dyDescent="0.25">
      <c r="A16" t="s">
        <v>236</v>
      </c>
      <c r="B16">
        <f>IFERROR(SUMPRODUCT(--('BLS Table 2.11'!$L$1:$L$426=$A16),'BLS Table 2.11'!$J$1:$J$426,'BLS Table 2.11'!$K$1:$K$426)/SUMIFS('BLS Table 2.11'!$J$1:$J$426,'BLS Table 2.11'!$L$1:$L$426,$A16)/100,0)</f>
        <v>0.01</v>
      </c>
      <c r="D16">
        <f>IFERROR((SUMIFS('AEO 2026 Table 23 '!G:G,'AEO 2026 Table 23 '!$B:$B,"*,"&amp;$A16&amp;",*")-SUMIFS('AEO25 Table 23'!H:H,'AEO25 Table 23'!$B:$B,"*,"&amp;$A16&amp;",*"))/SUMIFS('AEO25 Table 23'!H:H,'AEO25 Table 23'!$B:$B,"*,"&amp;$A16&amp;",*"),"")</f>
        <v>9.2796417486756702E-4</v>
      </c>
      <c r="E16">
        <f>IFERROR((SUMIFS('AEO 2026 Table 23 '!H:H,'AEO 2026 Table 23 '!$B:$B,"*,"&amp;$A16&amp;",*")-SUMIFS('AEO 2026 Table 23 '!G:G,'AEO 2026 Table 23 '!$B:$B,"*,"&amp;$A16&amp;",*"))/SUMIFS('AEO 2026 Table 23 '!G:G,'AEO 2026 Table 23 '!$B:$B,"*,"&amp;$A16&amp;",*"),"")</f>
        <v>3.8698790057806816E-3</v>
      </c>
      <c r="F16">
        <f>IFERROR((SUMIFS('AEO 2026 Table 23 '!I:I,'AEO 2026 Table 23 '!$B:$B,"*,"&amp;$A16&amp;",*")-SUMIFS('AEO 2026 Table 23 '!H:H,'AEO 2026 Table 23 '!$B:$B,"*,"&amp;$A16&amp;",*"))/SUMIFS('AEO 2026 Table 23 '!H:H,'AEO 2026 Table 23 '!$B:$B,"*,"&amp;$A16&amp;",*"),"")</f>
        <v>-1.8900763962524704E-3</v>
      </c>
      <c r="G16">
        <f>IFERROR((SUMIFS('AEO 2026 Table 23 '!J:J,'AEO 2026 Table 23 '!$B:$B,"*,"&amp;$A16&amp;",*")-SUMIFS('AEO 2026 Table 23 '!I:I,'AEO 2026 Table 23 '!$B:$B,"*,"&amp;$A16&amp;",*"))/SUMIFS('AEO 2026 Table 23 '!I:I,'AEO 2026 Table 23 '!$B:$B,"*,"&amp;$A16&amp;",*"),"")</f>
        <v>-3.4576233884962256E-3</v>
      </c>
      <c r="H16">
        <f>IFERROR((SUMIFS('AEO 2026 Table 23 '!K:K,'AEO 2026 Table 23 '!$B:$B,"*,"&amp;$A16&amp;",*")-SUMIFS('AEO 2026 Table 23 '!J:J,'AEO 2026 Table 23 '!$B:$B,"*,"&amp;$A16&amp;",*"))/SUMIFS('AEO 2026 Table 23 '!J:J,'AEO 2026 Table 23 '!$B:$B,"*,"&amp;$A16&amp;",*"),"")</f>
        <v>-9.2395075582589505E-3</v>
      </c>
      <c r="I16">
        <f>IFERROR((SUMIFS('AEO 2026 Table 23 '!L:L,'AEO 2026 Table 23 '!$B:$B,"*,"&amp;$A16&amp;",*")-SUMIFS('AEO 2026 Table 23 '!K:K,'AEO 2026 Table 23 '!$B:$B,"*,"&amp;$A16&amp;",*"))/SUMIFS('AEO 2026 Table 23 '!K:K,'AEO 2026 Table 23 '!$B:$B,"*,"&amp;$A16&amp;",*"),"")</f>
        <v>-5.5176591261427172E-3</v>
      </c>
      <c r="J16">
        <f>IFERROR((SUMIFS('AEO 2026 Table 23 '!M:M,'AEO 2026 Table 23 '!$B:$B,"*,"&amp;$A16&amp;",*")-SUMIFS('AEO 2026 Table 23 '!L:L,'AEO 2026 Table 23 '!$B:$B,"*,"&amp;$A16&amp;",*"))/SUMIFS('AEO 2026 Table 23 '!L:L,'AEO 2026 Table 23 '!$B:$B,"*,"&amp;$A16&amp;",*"),"")</f>
        <v>-6.6166130145881713E-3</v>
      </c>
      <c r="K16">
        <f>IFERROR((SUMIFS('AEO 2026 Table 23 '!N:N,'AEO 2026 Table 23 '!$B:$B,"*,"&amp;$A16&amp;",*")-SUMIFS('AEO 2026 Table 23 '!M:M,'AEO 2026 Table 23 '!$B:$B,"*,"&amp;$A16&amp;",*"))/SUMIFS('AEO 2026 Table 23 '!M:M,'AEO 2026 Table 23 '!$B:$B,"*,"&amp;$A16&amp;",*"),"")</f>
        <v>-2.6039774078813042E-3</v>
      </c>
      <c r="L16">
        <f>IFERROR((SUMIFS('AEO 2026 Table 23 '!O:O,'AEO 2026 Table 23 '!$B:$B,"*,"&amp;$A16&amp;",*")-SUMIFS('AEO 2026 Table 23 '!N:N,'AEO 2026 Table 23 '!$B:$B,"*,"&amp;$A16&amp;",*"))/SUMIFS('AEO 2026 Table 23 '!N:N,'AEO 2026 Table 23 '!$B:$B,"*,"&amp;$A16&amp;",*"),"")</f>
        <v>-2.047554302618233E-3</v>
      </c>
      <c r="M16">
        <f>IFERROR((SUMIFS('AEO 2026 Table 23 '!P:P,'AEO 2026 Table 23 '!$B:$B,"*,"&amp;$A16&amp;",*")-SUMIFS('AEO 2026 Table 23 '!O:O,'AEO 2026 Table 23 '!$B:$B,"*,"&amp;$A16&amp;",*"))/SUMIFS('AEO 2026 Table 23 '!O:O,'AEO 2026 Table 23 '!$B:$B,"*,"&amp;$A16&amp;",*"),"")</f>
        <v>7.399211509591157E-4</v>
      </c>
      <c r="N16">
        <f>IFERROR((SUMIFS('AEO 2026 Table 23 '!Q:Q,'AEO 2026 Table 23 '!$B:$B,"*,"&amp;$A16&amp;",*")-SUMIFS('AEO 2026 Table 23 '!P:P,'AEO 2026 Table 23 '!$B:$B,"*,"&amp;$A16&amp;",*"))/SUMIFS('AEO 2026 Table 23 '!P:P,'AEO 2026 Table 23 '!$B:$B,"*,"&amp;$A16&amp;",*"),"")</f>
        <v>1.4693596677565349E-3</v>
      </c>
      <c r="O16">
        <f>IFERROR((SUMIFS('AEO 2026 Table 23 '!R:R,'AEO 2026 Table 23 '!$B:$B,"*,"&amp;$A16&amp;",*")-SUMIFS('AEO 2026 Table 23 '!Q:Q,'AEO 2026 Table 23 '!$B:$B,"*,"&amp;$A16&amp;",*"))/SUMIFS('AEO 2026 Table 23 '!Q:Q,'AEO 2026 Table 23 '!$B:$B,"*,"&amp;$A16&amp;",*"),"")</f>
        <v>-3.5672139471945225E-3</v>
      </c>
      <c r="P16">
        <f>IFERROR((SUMIFS('AEO 2026 Table 23 '!S:S,'AEO 2026 Table 23 '!$B:$B,"*,"&amp;$A16&amp;",*")-SUMIFS('AEO 2026 Table 23 '!R:R,'AEO 2026 Table 23 '!$B:$B,"*,"&amp;$A16&amp;",*"))/SUMIFS('AEO 2026 Table 23 '!R:R,'AEO 2026 Table 23 '!$B:$B,"*,"&amp;$A16&amp;",*"),"")</f>
        <v>-7.8846764577685975E-3</v>
      </c>
      <c r="Q16">
        <f>IFERROR((SUMIFS('AEO 2026 Table 23 '!T:T,'AEO 2026 Table 23 '!$B:$B,"*,"&amp;$A16&amp;",*")-SUMIFS('AEO 2026 Table 23 '!S:S,'AEO 2026 Table 23 '!$B:$B,"*,"&amp;$A16&amp;",*"))/SUMIFS('AEO 2026 Table 23 '!S:S,'AEO 2026 Table 23 '!$B:$B,"*,"&amp;$A16&amp;",*"),"")</f>
        <v>-7.6665663555704677E-3</v>
      </c>
      <c r="R16">
        <f>IFERROR((SUMIFS('AEO 2026 Table 23 '!U:U,'AEO 2026 Table 23 '!$B:$B,"*,"&amp;$A16&amp;",*")-SUMIFS('AEO 2026 Table 23 '!T:T,'AEO 2026 Table 23 '!$B:$B,"*,"&amp;$A16&amp;",*"))/SUMIFS('AEO 2026 Table 23 '!T:T,'AEO 2026 Table 23 '!$B:$B,"*,"&amp;$A16&amp;",*"),"")</f>
        <v>-3.9897848989846911E-3</v>
      </c>
      <c r="S16">
        <f>IFERROR((SUMIFS('AEO 2026 Table 23 '!V:V,'AEO 2026 Table 23 '!$B:$B,"*,"&amp;$A16&amp;",*")-SUMIFS('AEO 2026 Table 23 '!U:U,'AEO 2026 Table 23 '!$B:$B,"*,"&amp;$A16&amp;",*"))/SUMIFS('AEO 2026 Table 23 '!U:U,'AEO 2026 Table 23 '!$B:$B,"*,"&amp;$A16&amp;",*"),"")</f>
        <v>-1.5007878017789199E-3</v>
      </c>
      <c r="T16">
        <f>IFERROR((SUMIFS('AEO 2026 Table 23 '!W:W,'AEO 2026 Table 23 '!$B:$B,"*,"&amp;$A16&amp;",*")-SUMIFS('AEO 2026 Table 23 '!V:V,'AEO 2026 Table 23 '!$B:$B,"*,"&amp;$A16&amp;",*"))/SUMIFS('AEO 2026 Table 23 '!V:V,'AEO 2026 Table 23 '!$B:$B,"*,"&amp;$A16&amp;",*"),"")</f>
        <v>1.4814202478820341E-3</v>
      </c>
      <c r="U16">
        <f>IFERROR((SUMIFS('AEO 2026 Table 23 '!X:X,'AEO 2026 Table 23 '!$B:$B,"*,"&amp;$A16&amp;",*")-SUMIFS('AEO 2026 Table 23 '!W:W,'AEO 2026 Table 23 '!$B:$B,"*,"&amp;$A16&amp;",*"))/SUMIFS('AEO 2026 Table 23 '!W:W,'AEO 2026 Table 23 '!$B:$B,"*,"&amp;$A16&amp;",*"),"")</f>
        <v>-1.7439522658663593E-3</v>
      </c>
      <c r="V16">
        <f>IFERROR((SUMIFS('AEO 2026 Table 23 '!Y:Y,'AEO 2026 Table 23 '!$B:$B,"*,"&amp;$A16&amp;",*")-SUMIFS('AEO 2026 Table 23 '!X:X,'AEO 2026 Table 23 '!$B:$B,"*,"&amp;$A16&amp;",*"))/SUMIFS('AEO 2026 Table 23 '!X:X,'AEO 2026 Table 23 '!$B:$B,"*,"&amp;$A16&amp;",*"),"")</f>
        <v>-5.2166332897896784E-3</v>
      </c>
      <c r="W16">
        <f>IFERROR((SUMIFS('AEO 2026 Table 23 '!Z:Z,'AEO 2026 Table 23 '!$B:$B,"*,"&amp;$A16&amp;",*")-SUMIFS('AEO 2026 Table 23 '!Y:Y,'AEO 2026 Table 23 '!$B:$B,"*,"&amp;$A16&amp;",*"))/SUMIFS('AEO 2026 Table 23 '!Y:Y,'AEO 2026 Table 23 '!$B:$B,"*,"&amp;$A16&amp;",*"),"")</f>
        <v>-5.7503196953714655E-3</v>
      </c>
      <c r="X16">
        <f>IFERROR((SUMIFS('AEO 2026 Table 23 '!AA:AA,'AEO 2026 Table 23 '!$B:$B,"*,"&amp;$A16&amp;",*")-SUMIFS('AEO 2026 Table 23 '!Z:Z,'AEO 2026 Table 23 '!$B:$B,"*,"&amp;$A16&amp;",*"))/SUMIFS('AEO 2026 Table 23 '!Z:Z,'AEO 2026 Table 23 '!$B:$B,"*,"&amp;$A16&amp;",*"),"")</f>
        <v>-5.1943860581410671E-3</v>
      </c>
      <c r="Y16">
        <f>IFERROR((SUMIFS('AEO 2026 Table 23 '!AB:AB,'AEO 2026 Table 23 '!$B:$B,"*,"&amp;$A16&amp;",*")-SUMIFS('AEO 2026 Table 23 '!AA:AA,'AEO 2026 Table 23 '!$B:$B,"*,"&amp;$A16&amp;",*"))/SUMIFS('AEO 2026 Table 23 '!AA:AA,'AEO 2026 Table 23 '!$B:$B,"*,"&amp;$A16&amp;",*"),"")</f>
        <v>6.9266482707921518E-4</v>
      </c>
      <c r="Z16">
        <f>IFERROR((SUMIFS('AEO 2026 Table 23 '!AC:AC,'AEO 2026 Table 23 '!$B:$B,"*,"&amp;$A16&amp;",*")-SUMIFS('AEO 2026 Table 23 '!AB:AB,'AEO 2026 Table 23 '!$B:$B,"*,"&amp;$A16&amp;",*"))/SUMIFS('AEO 2026 Table 23 '!AB:AB,'AEO 2026 Table 23 '!$B:$B,"*,"&amp;$A16&amp;",*"),"")</f>
        <v>1.7998124256706656E-3</v>
      </c>
      <c r="AA16">
        <f>IFERROR((SUMIFS('AEO 2026 Table 23 '!AD:AD,'AEO 2026 Table 23 '!$B:$B,"*,"&amp;$A16&amp;",*")-SUMIFS('AEO 2026 Table 23 '!AC:AC,'AEO 2026 Table 23 '!$B:$B,"*,"&amp;$A16&amp;",*"))/SUMIFS('AEO 2026 Table 23 '!AC:AC,'AEO 2026 Table 23 '!$B:$B,"*,"&amp;$A16&amp;",*"),"")</f>
        <v>-3.6608763437707497E-3</v>
      </c>
      <c r="AB16">
        <f>IFERROR((SUMIFS('AEO 2026 Table 23 '!AE:AE,'AEO 2026 Table 23 '!$B:$B,"*,"&amp;$A16&amp;",*")-SUMIFS('AEO 2026 Table 23 '!AD:AD,'AEO 2026 Table 23 '!$B:$B,"*,"&amp;$A16&amp;",*"))/SUMIFS('AEO 2026 Table 23 '!AD:AD,'AEO 2026 Table 23 '!$B:$B,"*,"&amp;$A16&amp;",*"),"")</f>
        <v>-2.2638412545510677E-3</v>
      </c>
      <c r="AC16">
        <f>IFERROR((SUMIFS('AEO 2026 Table 23 '!AF:AF,'AEO 2026 Table 23 '!$B:$B,"*,"&amp;$A16&amp;",*")-SUMIFS('AEO 2026 Table 23 '!AE:AE,'AEO 2026 Table 23 '!$B:$B,"*,"&amp;$A16&amp;",*"))/SUMIFS('AEO 2026 Table 23 '!AE:AE,'AEO 2026 Table 23 '!$B:$B,"*,"&amp;$A16&amp;",*"),"")</f>
        <v>-4.4962071149564459E-4</v>
      </c>
    </row>
    <row r="17" spans="1:29" x14ac:dyDescent="0.25">
      <c r="A17" t="s">
        <v>241</v>
      </c>
      <c r="B17">
        <f>IFERROR(SUMPRODUCT(--('BLS Table 2.11'!$L$1:$L$426=$A17),'BLS Table 2.11'!$J$1:$J$426,'BLS Table 2.11'!$K$1:$K$426)/SUMIFS('BLS Table 2.11'!$J$1:$J$426,'BLS Table 2.11'!$L$1:$L$426,$A17)/100,0)</f>
        <v>1.24430823117338E-2</v>
      </c>
      <c r="D17">
        <f>IFERROR((SUMIFS('AEO 2026 Table 23 '!G:G,'AEO 2026 Table 23 '!$B:$B,"*,"&amp;$A17&amp;",*")-SUMIFS('AEO25 Table 23'!H:H,'AEO25 Table 23'!$B:$B,"*,"&amp;$A17&amp;",*"))/SUMIFS('AEO25 Table 23'!H:H,'AEO25 Table 23'!$B:$B,"*,"&amp;$A17&amp;",*"),"")</f>
        <v>7.1677561450444349E-2</v>
      </c>
      <c r="E17">
        <f>IFERROR((SUMIFS('AEO 2026 Table 23 '!H:H,'AEO 2026 Table 23 '!$B:$B,"*,"&amp;$A17&amp;",*")-SUMIFS('AEO 2026 Table 23 '!G:G,'AEO 2026 Table 23 '!$B:$B,"*,"&amp;$A17&amp;",*"))/SUMIFS('AEO 2026 Table 23 '!G:G,'AEO 2026 Table 23 '!$B:$B,"*,"&amp;$A17&amp;",*"),"")</f>
        <v>-1.3322752034657602E-2</v>
      </c>
      <c r="F17">
        <f>IFERROR((SUMIFS('AEO 2026 Table 23 '!I:I,'AEO 2026 Table 23 '!$B:$B,"*,"&amp;$A17&amp;",*")-SUMIFS('AEO 2026 Table 23 '!H:H,'AEO 2026 Table 23 '!$B:$B,"*,"&amp;$A17&amp;",*"))/SUMIFS('AEO 2026 Table 23 '!H:H,'AEO 2026 Table 23 '!$B:$B,"*,"&amp;$A17&amp;",*"),"")</f>
        <v>-1.1656389221256275E-2</v>
      </c>
      <c r="G17">
        <f>IFERROR((SUMIFS('AEO 2026 Table 23 '!J:J,'AEO 2026 Table 23 '!$B:$B,"*,"&amp;$A17&amp;",*")-SUMIFS('AEO 2026 Table 23 '!I:I,'AEO 2026 Table 23 '!$B:$B,"*,"&amp;$A17&amp;",*"))/SUMIFS('AEO 2026 Table 23 '!I:I,'AEO 2026 Table 23 '!$B:$B,"*,"&amp;$A17&amp;",*"),"")</f>
        <v>-3.9834844723168946E-3</v>
      </c>
      <c r="H17">
        <f>IFERROR((SUMIFS('AEO 2026 Table 23 '!K:K,'AEO 2026 Table 23 '!$B:$B,"*,"&amp;$A17&amp;",*")-SUMIFS('AEO 2026 Table 23 '!J:J,'AEO 2026 Table 23 '!$B:$B,"*,"&amp;$A17&amp;",*"))/SUMIFS('AEO 2026 Table 23 '!J:J,'AEO 2026 Table 23 '!$B:$B,"*,"&amp;$A17&amp;",*"),"")</f>
        <v>-8.4588021519986026E-3</v>
      </c>
      <c r="I17">
        <f>IFERROR((SUMIFS('AEO 2026 Table 23 '!L:L,'AEO 2026 Table 23 '!$B:$B,"*,"&amp;$A17&amp;",*")-SUMIFS('AEO 2026 Table 23 '!K:K,'AEO 2026 Table 23 '!$B:$B,"*,"&amp;$A17&amp;",*"))/SUMIFS('AEO 2026 Table 23 '!K:K,'AEO 2026 Table 23 '!$B:$B,"*,"&amp;$A17&amp;",*"),"")</f>
        <v>-3.5692082180841363E-4</v>
      </c>
      <c r="J17">
        <f>IFERROR((SUMIFS('AEO 2026 Table 23 '!M:M,'AEO 2026 Table 23 '!$B:$B,"*,"&amp;$A17&amp;",*")-SUMIFS('AEO 2026 Table 23 '!L:L,'AEO 2026 Table 23 '!$B:$B,"*,"&amp;$A17&amp;",*"))/SUMIFS('AEO 2026 Table 23 '!L:L,'AEO 2026 Table 23 '!$B:$B,"*,"&amp;$A17&amp;",*"),"")</f>
        <v>4.6102925636148148E-3</v>
      </c>
      <c r="K17">
        <f>IFERROR((SUMIFS('AEO 2026 Table 23 '!N:N,'AEO 2026 Table 23 '!$B:$B,"*,"&amp;$A17&amp;",*")-SUMIFS('AEO 2026 Table 23 '!M:M,'AEO 2026 Table 23 '!$B:$B,"*,"&amp;$A17&amp;",*"))/SUMIFS('AEO 2026 Table 23 '!M:M,'AEO 2026 Table 23 '!$B:$B,"*,"&amp;$A17&amp;",*"),"")</f>
        <v>5.8713176717311646E-3</v>
      </c>
      <c r="L17">
        <f>IFERROR((SUMIFS('AEO 2026 Table 23 '!O:O,'AEO 2026 Table 23 '!$B:$B,"*,"&amp;$A17&amp;",*")-SUMIFS('AEO 2026 Table 23 '!N:N,'AEO 2026 Table 23 '!$B:$B,"*,"&amp;$A17&amp;",*"))/SUMIFS('AEO 2026 Table 23 '!N:N,'AEO 2026 Table 23 '!$B:$B,"*,"&amp;$A17&amp;",*"),"")</f>
        <v>1.096075900833852E-2</v>
      </c>
      <c r="M17">
        <f>IFERROR((SUMIFS('AEO 2026 Table 23 '!P:P,'AEO 2026 Table 23 '!$B:$B,"*,"&amp;$A17&amp;",*")-SUMIFS('AEO 2026 Table 23 '!O:O,'AEO 2026 Table 23 '!$B:$B,"*,"&amp;$A17&amp;",*"))/SUMIFS('AEO 2026 Table 23 '!O:O,'AEO 2026 Table 23 '!$B:$B,"*,"&amp;$A17&amp;",*"),"")</f>
        <v>1.0947535287415971E-2</v>
      </c>
      <c r="N17">
        <f>IFERROR((SUMIFS('AEO 2026 Table 23 '!Q:Q,'AEO 2026 Table 23 '!$B:$B,"*,"&amp;$A17&amp;",*")-SUMIFS('AEO 2026 Table 23 '!P:P,'AEO 2026 Table 23 '!$B:$B,"*,"&amp;$A17&amp;",*"))/SUMIFS('AEO 2026 Table 23 '!P:P,'AEO 2026 Table 23 '!$B:$B,"*,"&amp;$A17&amp;",*"),"")</f>
        <v>1.1647639652423818E-2</v>
      </c>
      <c r="O17">
        <f>IFERROR((SUMIFS('AEO 2026 Table 23 '!R:R,'AEO 2026 Table 23 '!$B:$B,"*,"&amp;$A17&amp;",*")-SUMIFS('AEO 2026 Table 23 '!Q:Q,'AEO 2026 Table 23 '!$B:$B,"*,"&amp;$A17&amp;",*"))/SUMIFS('AEO 2026 Table 23 '!Q:Q,'AEO 2026 Table 23 '!$B:$B,"*,"&amp;$A17&amp;",*"),"")</f>
        <v>1.1971146388333052E-2</v>
      </c>
      <c r="P17">
        <f>IFERROR((SUMIFS('AEO 2026 Table 23 '!S:S,'AEO 2026 Table 23 '!$B:$B,"*,"&amp;$A17&amp;",*")-SUMIFS('AEO 2026 Table 23 '!R:R,'AEO 2026 Table 23 '!$B:$B,"*,"&amp;$A17&amp;",*"))/SUMIFS('AEO 2026 Table 23 '!R:R,'AEO 2026 Table 23 '!$B:$B,"*,"&amp;$A17&amp;",*"),"")</f>
        <v>1.3049614317436706E-2</v>
      </c>
      <c r="Q17">
        <f>IFERROR((SUMIFS('AEO 2026 Table 23 '!T:T,'AEO 2026 Table 23 '!$B:$B,"*,"&amp;$A17&amp;",*")-SUMIFS('AEO 2026 Table 23 '!S:S,'AEO 2026 Table 23 '!$B:$B,"*,"&amp;$A17&amp;",*"))/SUMIFS('AEO 2026 Table 23 '!S:S,'AEO 2026 Table 23 '!$B:$B,"*,"&amp;$A17&amp;",*"),"")</f>
        <v>1.3004727066106054E-2</v>
      </c>
      <c r="R17">
        <f>IFERROR((SUMIFS('AEO 2026 Table 23 '!U:U,'AEO 2026 Table 23 '!$B:$B,"*,"&amp;$A17&amp;",*")-SUMIFS('AEO 2026 Table 23 '!T:T,'AEO 2026 Table 23 '!$B:$B,"*,"&amp;$A17&amp;",*"))/SUMIFS('AEO 2026 Table 23 '!T:T,'AEO 2026 Table 23 '!$B:$B,"*,"&amp;$A17&amp;",*"),"")</f>
        <v>1.50061184439188E-2</v>
      </c>
      <c r="S17">
        <f>IFERROR((SUMIFS('AEO 2026 Table 23 '!V:V,'AEO 2026 Table 23 '!$B:$B,"*,"&amp;$A17&amp;",*")-SUMIFS('AEO 2026 Table 23 '!U:U,'AEO 2026 Table 23 '!$B:$B,"*,"&amp;$A17&amp;",*"))/SUMIFS('AEO 2026 Table 23 '!U:U,'AEO 2026 Table 23 '!$B:$B,"*,"&amp;$A17&amp;",*"),"")</f>
        <v>1.5748427723141875E-2</v>
      </c>
      <c r="T17">
        <f>IFERROR((SUMIFS('AEO 2026 Table 23 '!W:W,'AEO 2026 Table 23 '!$B:$B,"*,"&amp;$A17&amp;",*")-SUMIFS('AEO 2026 Table 23 '!V:V,'AEO 2026 Table 23 '!$B:$B,"*,"&amp;$A17&amp;",*"))/SUMIFS('AEO 2026 Table 23 '!V:V,'AEO 2026 Table 23 '!$B:$B,"*,"&amp;$A17&amp;",*"),"")</f>
        <v>1.7359441201003255E-2</v>
      </c>
      <c r="U17">
        <f>IFERROR((SUMIFS('AEO 2026 Table 23 '!X:X,'AEO 2026 Table 23 '!$B:$B,"*,"&amp;$A17&amp;",*")-SUMIFS('AEO 2026 Table 23 '!W:W,'AEO 2026 Table 23 '!$B:$B,"*,"&amp;$A17&amp;",*"))/SUMIFS('AEO 2026 Table 23 '!W:W,'AEO 2026 Table 23 '!$B:$B,"*,"&amp;$A17&amp;",*"),"")</f>
        <v>1.9693202215778183E-2</v>
      </c>
      <c r="V17">
        <f>IFERROR((SUMIFS('AEO 2026 Table 23 '!Y:Y,'AEO 2026 Table 23 '!$B:$B,"*,"&amp;$A17&amp;",*")-SUMIFS('AEO 2026 Table 23 '!X:X,'AEO 2026 Table 23 '!$B:$B,"*,"&amp;$A17&amp;",*"))/SUMIFS('AEO 2026 Table 23 '!X:X,'AEO 2026 Table 23 '!$B:$B,"*,"&amp;$A17&amp;",*"),"")</f>
        <v>1.8617996755474743E-2</v>
      </c>
      <c r="W17">
        <f>IFERROR((SUMIFS('AEO 2026 Table 23 '!Z:Z,'AEO 2026 Table 23 '!$B:$B,"*,"&amp;$A17&amp;",*")-SUMIFS('AEO 2026 Table 23 '!Y:Y,'AEO 2026 Table 23 '!$B:$B,"*,"&amp;$A17&amp;",*"))/SUMIFS('AEO 2026 Table 23 '!Y:Y,'AEO 2026 Table 23 '!$B:$B,"*,"&amp;$A17&amp;",*"),"")</f>
        <v>1.8944643380388912E-2</v>
      </c>
      <c r="X17">
        <f>IFERROR((SUMIFS('AEO 2026 Table 23 '!AA:AA,'AEO 2026 Table 23 '!$B:$B,"*,"&amp;$A17&amp;",*")-SUMIFS('AEO 2026 Table 23 '!Z:Z,'AEO 2026 Table 23 '!$B:$B,"*,"&amp;$A17&amp;",*"))/SUMIFS('AEO 2026 Table 23 '!Z:Z,'AEO 2026 Table 23 '!$B:$B,"*,"&amp;$A17&amp;",*"),"")</f>
        <v>2.0332594185957849E-2</v>
      </c>
      <c r="Y17">
        <f>IFERROR((SUMIFS('AEO 2026 Table 23 '!AB:AB,'AEO 2026 Table 23 '!$B:$B,"*,"&amp;$A17&amp;",*")-SUMIFS('AEO 2026 Table 23 '!AA:AA,'AEO 2026 Table 23 '!$B:$B,"*,"&amp;$A17&amp;",*"))/SUMIFS('AEO 2026 Table 23 '!AA:AA,'AEO 2026 Table 23 '!$B:$B,"*,"&amp;$A17&amp;",*"),"")</f>
        <v>2.159212028848706E-2</v>
      </c>
      <c r="Z17">
        <f>IFERROR((SUMIFS('AEO 2026 Table 23 '!AC:AC,'AEO 2026 Table 23 '!$B:$B,"*,"&amp;$A17&amp;",*")-SUMIFS('AEO 2026 Table 23 '!AB:AB,'AEO 2026 Table 23 '!$B:$B,"*,"&amp;$A17&amp;",*"))/SUMIFS('AEO 2026 Table 23 '!AB:AB,'AEO 2026 Table 23 '!$B:$B,"*,"&amp;$A17&amp;",*"),"")</f>
        <v>2.2091861117516778E-2</v>
      </c>
      <c r="AA17">
        <f>IFERROR((SUMIFS('AEO 2026 Table 23 '!AD:AD,'AEO 2026 Table 23 '!$B:$B,"*,"&amp;$A17&amp;",*")-SUMIFS('AEO 2026 Table 23 '!AC:AC,'AEO 2026 Table 23 '!$B:$B,"*,"&amp;$A17&amp;",*"))/SUMIFS('AEO 2026 Table 23 '!AC:AC,'AEO 2026 Table 23 '!$B:$B,"*,"&amp;$A17&amp;",*"),"")</f>
        <v>1.9605559354869986E-2</v>
      </c>
      <c r="AB17">
        <f>IFERROR((SUMIFS('AEO 2026 Table 23 '!AE:AE,'AEO 2026 Table 23 '!$B:$B,"*,"&amp;$A17&amp;",*")-SUMIFS('AEO 2026 Table 23 '!AD:AD,'AEO 2026 Table 23 '!$B:$B,"*,"&amp;$A17&amp;",*"))/SUMIFS('AEO 2026 Table 23 '!AD:AD,'AEO 2026 Table 23 '!$B:$B,"*,"&amp;$A17&amp;",*"),"")</f>
        <v>1.8448737017635143E-2</v>
      </c>
      <c r="AC17">
        <f>IFERROR((SUMIFS('AEO 2026 Table 23 '!AF:AF,'AEO 2026 Table 23 '!$B:$B,"*,"&amp;$A17&amp;",*")-SUMIFS('AEO 2026 Table 23 '!AE:AE,'AEO 2026 Table 23 '!$B:$B,"*,"&amp;$A17&amp;",*"))/SUMIFS('AEO 2026 Table 23 '!AE:AE,'AEO 2026 Table 23 '!$B:$B,"*,"&amp;$A17&amp;",*"),"")</f>
        <v>2.0216894756495168E-2</v>
      </c>
    </row>
    <row r="18" spans="1:29" x14ac:dyDescent="0.25">
      <c r="A18" t="s">
        <v>246</v>
      </c>
      <c r="B18">
        <f>IFERROR(SUMPRODUCT(--('BLS Table 2.11'!$L$1:$L$426=$A18),'BLS Table 2.11'!$J$1:$J$426,'BLS Table 2.11'!$K$1:$K$426)/SUMIFS('BLS Table 2.11'!$J$1:$J$426,'BLS Table 2.11'!$L$1:$L$426,$A18)/100,0)</f>
        <v>2.3999999999999994E-2</v>
      </c>
      <c r="D18" t="str">
        <f>IFERROR((SUMIFS('AEO 2026 Table 23 '!G:G,'AEO 2026 Table 23 '!$B:$B,"*,"&amp;$A18&amp;",*")-SUMIFS('AEO25 Table 23'!H:H,'AEO25 Table 23'!$B:$B,"*,"&amp;$A18&amp;",*"))/SUMIFS('AEO25 Table 23'!H:H,'AEO25 Table 23'!$B:$B,"*,"&amp;$A18&amp;",*"),"")</f>
        <v/>
      </c>
      <c r="E18" t="str">
        <f>IFERROR((SUMIFS('AEO 2026 Table 23 '!H:H,'AEO 2026 Table 23 '!$B:$B,"*,"&amp;$A18&amp;",*")-SUMIFS('AEO 2026 Table 23 '!G:G,'AEO 2026 Table 23 '!$B:$B,"*,"&amp;$A18&amp;",*"))/SUMIFS('AEO 2026 Table 23 '!G:G,'AEO 2026 Table 23 '!$B:$B,"*,"&amp;$A18&amp;",*"),"")</f>
        <v/>
      </c>
      <c r="F18" t="str">
        <f>IFERROR((SUMIFS('AEO 2026 Table 23 '!I:I,'AEO 2026 Table 23 '!$B:$B,"*,"&amp;$A18&amp;",*")-SUMIFS('AEO 2026 Table 23 '!H:H,'AEO 2026 Table 23 '!$B:$B,"*,"&amp;$A18&amp;",*"))/SUMIFS('AEO 2026 Table 23 '!H:H,'AEO 2026 Table 23 '!$B:$B,"*,"&amp;$A18&amp;",*"),"")</f>
        <v/>
      </c>
      <c r="G18" t="str">
        <f>IFERROR((SUMIFS('AEO 2026 Table 23 '!J:J,'AEO 2026 Table 23 '!$B:$B,"*,"&amp;$A18&amp;",*")-SUMIFS('AEO 2026 Table 23 '!I:I,'AEO 2026 Table 23 '!$B:$B,"*,"&amp;$A18&amp;",*"))/SUMIFS('AEO 2026 Table 23 '!I:I,'AEO 2026 Table 23 '!$B:$B,"*,"&amp;$A18&amp;",*"),"")</f>
        <v/>
      </c>
      <c r="H18" t="str">
        <f>IFERROR((SUMIFS('AEO 2026 Table 23 '!K:K,'AEO 2026 Table 23 '!$B:$B,"*,"&amp;$A18&amp;",*")-SUMIFS('AEO 2026 Table 23 '!J:J,'AEO 2026 Table 23 '!$B:$B,"*,"&amp;$A18&amp;",*"))/SUMIFS('AEO 2026 Table 23 '!J:J,'AEO 2026 Table 23 '!$B:$B,"*,"&amp;$A18&amp;",*"),"")</f>
        <v/>
      </c>
      <c r="I18" t="str">
        <f>IFERROR((SUMIFS('AEO 2026 Table 23 '!L:L,'AEO 2026 Table 23 '!$B:$B,"*,"&amp;$A18&amp;",*")-SUMIFS('AEO 2026 Table 23 '!K:K,'AEO 2026 Table 23 '!$B:$B,"*,"&amp;$A18&amp;",*"))/SUMIFS('AEO 2026 Table 23 '!K:K,'AEO 2026 Table 23 '!$B:$B,"*,"&amp;$A18&amp;",*"),"")</f>
        <v/>
      </c>
      <c r="J18" t="str">
        <f>IFERROR((SUMIFS('AEO 2026 Table 23 '!M:M,'AEO 2026 Table 23 '!$B:$B,"*,"&amp;$A18&amp;",*")-SUMIFS('AEO 2026 Table 23 '!L:L,'AEO 2026 Table 23 '!$B:$B,"*,"&amp;$A18&amp;",*"))/SUMIFS('AEO 2026 Table 23 '!L:L,'AEO 2026 Table 23 '!$B:$B,"*,"&amp;$A18&amp;",*"),"")</f>
        <v/>
      </c>
      <c r="K18" t="str">
        <f>IFERROR((SUMIFS('AEO 2026 Table 23 '!N:N,'AEO 2026 Table 23 '!$B:$B,"*,"&amp;$A18&amp;",*")-SUMIFS('AEO 2026 Table 23 '!M:M,'AEO 2026 Table 23 '!$B:$B,"*,"&amp;$A18&amp;",*"))/SUMIFS('AEO 2026 Table 23 '!M:M,'AEO 2026 Table 23 '!$B:$B,"*,"&amp;$A18&amp;",*"),"")</f>
        <v/>
      </c>
      <c r="L18" t="str">
        <f>IFERROR((SUMIFS('AEO 2026 Table 23 '!O:O,'AEO 2026 Table 23 '!$B:$B,"*,"&amp;$A18&amp;",*")-SUMIFS('AEO 2026 Table 23 '!N:N,'AEO 2026 Table 23 '!$B:$B,"*,"&amp;$A18&amp;",*"))/SUMIFS('AEO 2026 Table 23 '!N:N,'AEO 2026 Table 23 '!$B:$B,"*,"&amp;$A18&amp;",*"),"")</f>
        <v/>
      </c>
      <c r="M18" t="str">
        <f>IFERROR((SUMIFS('AEO 2026 Table 23 '!P:P,'AEO 2026 Table 23 '!$B:$B,"*,"&amp;$A18&amp;",*")-SUMIFS('AEO 2026 Table 23 '!O:O,'AEO 2026 Table 23 '!$B:$B,"*,"&amp;$A18&amp;",*"))/SUMIFS('AEO 2026 Table 23 '!O:O,'AEO 2026 Table 23 '!$B:$B,"*,"&amp;$A18&amp;",*"),"")</f>
        <v/>
      </c>
      <c r="N18" t="str">
        <f>IFERROR((SUMIFS('AEO 2026 Table 23 '!Q:Q,'AEO 2026 Table 23 '!$B:$B,"*,"&amp;$A18&amp;",*")-SUMIFS('AEO 2026 Table 23 '!P:P,'AEO 2026 Table 23 '!$B:$B,"*,"&amp;$A18&amp;",*"))/SUMIFS('AEO 2026 Table 23 '!P:P,'AEO 2026 Table 23 '!$B:$B,"*,"&amp;$A18&amp;",*"),"")</f>
        <v/>
      </c>
      <c r="O18" t="str">
        <f>IFERROR((SUMIFS('AEO 2026 Table 23 '!R:R,'AEO 2026 Table 23 '!$B:$B,"*,"&amp;$A18&amp;",*")-SUMIFS('AEO 2026 Table 23 '!Q:Q,'AEO 2026 Table 23 '!$B:$B,"*,"&amp;$A18&amp;",*"))/SUMIFS('AEO 2026 Table 23 '!Q:Q,'AEO 2026 Table 23 '!$B:$B,"*,"&amp;$A18&amp;",*"),"")</f>
        <v/>
      </c>
      <c r="P18" t="str">
        <f>IFERROR((SUMIFS('AEO 2026 Table 23 '!S:S,'AEO 2026 Table 23 '!$B:$B,"*,"&amp;$A18&amp;",*")-SUMIFS('AEO 2026 Table 23 '!R:R,'AEO 2026 Table 23 '!$B:$B,"*,"&amp;$A18&amp;",*"))/SUMIFS('AEO 2026 Table 23 '!R:R,'AEO 2026 Table 23 '!$B:$B,"*,"&amp;$A18&amp;",*"),"")</f>
        <v/>
      </c>
      <c r="Q18" t="str">
        <f>IFERROR((SUMIFS('AEO 2026 Table 23 '!T:T,'AEO 2026 Table 23 '!$B:$B,"*,"&amp;$A18&amp;",*")-SUMIFS('AEO 2026 Table 23 '!S:S,'AEO 2026 Table 23 '!$B:$B,"*,"&amp;$A18&amp;",*"))/SUMIFS('AEO 2026 Table 23 '!S:S,'AEO 2026 Table 23 '!$B:$B,"*,"&amp;$A18&amp;",*"),"")</f>
        <v/>
      </c>
      <c r="R18" t="str">
        <f>IFERROR((SUMIFS('AEO 2026 Table 23 '!U:U,'AEO 2026 Table 23 '!$B:$B,"*,"&amp;$A18&amp;",*")-SUMIFS('AEO 2026 Table 23 '!T:T,'AEO 2026 Table 23 '!$B:$B,"*,"&amp;$A18&amp;",*"))/SUMIFS('AEO 2026 Table 23 '!T:T,'AEO 2026 Table 23 '!$B:$B,"*,"&amp;$A18&amp;",*"),"")</f>
        <v/>
      </c>
      <c r="S18" t="str">
        <f>IFERROR((SUMIFS('AEO 2026 Table 23 '!V:V,'AEO 2026 Table 23 '!$B:$B,"*,"&amp;$A18&amp;",*")-SUMIFS('AEO 2026 Table 23 '!U:U,'AEO 2026 Table 23 '!$B:$B,"*,"&amp;$A18&amp;",*"))/SUMIFS('AEO 2026 Table 23 '!U:U,'AEO 2026 Table 23 '!$B:$B,"*,"&amp;$A18&amp;",*"),"")</f>
        <v/>
      </c>
      <c r="T18" t="str">
        <f>IFERROR((SUMIFS('AEO 2026 Table 23 '!W:W,'AEO 2026 Table 23 '!$B:$B,"*,"&amp;$A18&amp;",*")-SUMIFS('AEO 2026 Table 23 '!V:V,'AEO 2026 Table 23 '!$B:$B,"*,"&amp;$A18&amp;",*"))/SUMIFS('AEO 2026 Table 23 '!V:V,'AEO 2026 Table 23 '!$B:$B,"*,"&amp;$A18&amp;",*"),"")</f>
        <v/>
      </c>
      <c r="U18" t="str">
        <f>IFERROR((SUMIFS('AEO 2026 Table 23 '!X:X,'AEO 2026 Table 23 '!$B:$B,"*,"&amp;$A18&amp;",*")-SUMIFS('AEO 2026 Table 23 '!W:W,'AEO 2026 Table 23 '!$B:$B,"*,"&amp;$A18&amp;",*"))/SUMIFS('AEO 2026 Table 23 '!W:W,'AEO 2026 Table 23 '!$B:$B,"*,"&amp;$A18&amp;",*"),"")</f>
        <v/>
      </c>
      <c r="V18" t="str">
        <f>IFERROR((SUMIFS('AEO 2026 Table 23 '!Y:Y,'AEO 2026 Table 23 '!$B:$B,"*,"&amp;$A18&amp;",*")-SUMIFS('AEO 2026 Table 23 '!X:X,'AEO 2026 Table 23 '!$B:$B,"*,"&amp;$A18&amp;",*"))/SUMIFS('AEO 2026 Table 23 '!X:X,'AEO 2026 Table 23 '!$B:$B,"*,"&amp;$A18&amp;",*"),"")</f>
        <v/>
      </c>
      <c r="W18" t="str">
        <f>IFERROR((SUMIFS('AEO 2026 Table 23 '!Z:Z,'AEO 2026 Table 23 '!$B:$B,"*,"&amp;$A18&amp;",*")-SUMIFS('AEO 2026 Table 23 '!Y:Y,'AEO 2026 Table 23 '!$B:$B,"*,"&amp;$A18&amp;",*"))/SUMIFS('AEO 2026 Table 23 '!Y:Y,'AEO 2026 Table 23 '!$B:$B,"*,"&amp;$A18&amp;",*"),"")</f>
        <v/>
      </c>
      <c r="X18" t="str">
        <f>IFERROR((SUMIFS('AEO 2026 Table 23 '!AA:AA,'AEO 2026 Table 23 '!$B:$B,"*,"&amp;$A18&amp;",*")-SUMIFS('AEO 2026 Table 23 '!Z:Z,'AEO 2026 Table 23 '!$B:$B,"*,"&amp;$A18&amp;",*"))/SUMIFS('AEO 2026 Table 23 '!Z:Z,'AEO 2026 Table 23 '!$B:$B,"*,"&amp;$A18&amp;",*"),"")</f>
        <v/>
      </c>
      <c r="Y18" t="str">
        <f>IFERROR((SUMIFS('AEO 2026 Table 23 '!AB:AB,'AEO 2026 Table 23 '!$B:$B,"*,"&amp;$A18&amp;",*")-SUMIFS('AEO 2026 Table 23 '!AA:AA,'AEO 2026 Table 23 '!$B:$B,"*,"&amp;$A18&amp;",*"))/SUMIFS('AEO 2026 Table 23 '!AA:AA,'AEO 2026 Table 23 '!$B:$B,"*,"&amp;$A18&amp;",*"),"")</f>
        <v/>
      </c>
      <c r="Z18" t="str">
        <f>IFERROR((SUMIFS('AEO 2026 Table 23 '!AC:AC,'AEO 2026 Table 23 '!$B:$B,"*,"&amp;$A18&amp;",*")-SUMIFS('AEO 2026 Table 23 '!AB:AB,'AEO 2026 Table 23 '!$B:$B,"*,"&amp;$A18&amp;",*"))/SUMIFS('AEO 2026 Table 23 '!AB:AB,'AEO 2026 Table 23 '!$B:$B,"*,"&amp;$A18&amp;",*"),"")</f>
        <v/>
      </c>
      <c r="AA18" t="str">
        <f>IFERROR((SUMIFS('AEO 2026 Table 23 '!AD:AD,'AEO 2026 Table 23 '!$B:$B,"*,"&amp;$A18&amp;",*")-SUMIFS('AEO 2026 Table 23 '!AC:AC,'AEO 2026 Table 23 '!$B:$B,"*,"&amp;$A18&amp;",*"))/SUMIFS('AEO 2026 Table 23 '!AC:AC,'AEO 2026 Table 23 '!$B:$B,"*,"&amp;$A18&amp;",*"),"")</f>
        <v/>
      </c>
      <c r="AB18" t="str">
        <f>IFERROR((SUMIFS('AEO 2026 Table 23 '!AE:AE,'AEO 2026 Table 23 '!$B:$B,"*,"&amp;$A18&amp;",*")-SUMIFS('AEO 2026 Table 23 '!AD:AD,'AEO 2026 Table 23 '!$B:$B,"*,"&amp;$A18&amp;",*"))/SUMIFS('AEO 2026 Table 23 '!AD:AD,'AEO 2026 Table 23 '!$B:$B,"*,"&amp;$A18&amp;",*"),"")</f>
        <v/>
      </c>
      <c r="AC18" t="str">
        <f>IFERROR((SUMIFS('AEO 2026 Table 23 '!AF:AF,'AEO 2026 Table 23 '!$B:$B,"*,"&amp;$A18&amp;",*")-SUMIFS('AEO 2026 Table 23 '!AE:AE,'AEO 2026 Table 23 '!$B:$B,"*,"&amp;$A18&amp;",*"))/SUMIFS('AEO 2026 Table 23 '!AE:AE,'AEO 2026 Table 23 '!$B:$B,"*,"&amp;$A18&amp;",*"),"")</f>
        <v/>
      </c>
    </row>
    <row r="19" spans="1:29" x14ac:dyDescent="0.25">
      <c r="A19" t="s">
        <v>249</v>
      </c>
      <c r="B19">
        <f>IFERROR(SUMPRODUCT(--('BLS Table 2.11'!$L$1:$L$426=$A19),'BLS Table 2.11'!$J$1:$J$426,'BLS Table 2.11'!$K$1:$K$426)/SUMIFS('BLS Table 2.11'!$J$1:$J$426,'BLS Table 2.11'!$L$1:$L$426,$A19)/100,0)</f>
        <v>8.9999999999999993E-3</v>
      </c>
      <c r="D19">
        <f>IFERROR((SUMIFS('AEO 2026 Table 23 '!G:G,'AEO 2026 Table 23 '!$B:$B,"*,"&amp;$A19&amp;",*")-SUMIFS('AEO25 Table 23'!H:H,'AEO25 Table 23'!$B:$B,"*,"&amp;$A19&amp;",*"))/SUMIFS('AEO25 Table 23'!H:H,'AEO25 Table 23'!$B:$B,"*,"&amp;$A19&amp;",*"),"")</f>
        <v>1.7724214122440893E-2</v>
      </c>
      <c r="E19">
        <f>IFERROR((SUMIFS('AEO 2026 Table 23 '!H:H,'AEO 2026 Table 23 '!$B:$B,"*,"&amp;$A19&amp;",*")-SUMIFS('AEO 2026 Table 23 '!G:G,'AEO 2026 Table 23 '!$B:$B,"*,"&amp;$A19&amp;",*"))/SUMIFS('AEO 2026 Table 23 '!G:G,'AEO 2026 Table 23 '!$B:$B,"*,"&amp;$A19&amp;",*"),"")</f>
        <v>-5.8729664651617488E-3</v>
      </c>
      <c r="F19">
        <f>IFERROR((SUMIFS('AEO 2026 Table 23 '!I:I,'AEO 2026 Table 23 '!$B:$B,"*,"&amp;$A19&amp;",*")-SUMIFS('AEO 2026 Table 23 '!H:H,'AEO 2026 Table 23 '!$B:$B,"*,"&amp;$A19&amp;",*"))/SUMIFS('AEO 2026 Table 23 '!H:H,'AEO 2026 Table 23 '!$B:$B,"*,"&amp;$A19&amp;",*"),"")</f>
        <v>2.2595816437962872E-2</v>
      </c>
      <c r="G19">
        <f>IFERROR((SUMIFS('AEO 2026 Table 23 '!J:J,'AEO 2026 Table 23 '!$B:$B,"*,"&amp;$A19&amp;",*")-SUMIFS('AEO 2026 Table 23 '!I:I,'AEO 2026 Table 23 '!$B:$B,"*,"&amp;$A19&amp;",*"))/SUMIFS('AEO 2026 Table 23 '!I:I,'AEO 2026 Table 23 '!$B:$B,"*,"&amp;$A19&amp;",*"),"")</f>
        <v>1.2078391913637288E-2</v>
      </c>
      <c r="H19">
        <f>IFERROR((SUMIFS('AEO 2026 Table 23 '!K:K,'AEO 2026 Table 23 '!$B:$B,"*,"&amp;$A19&amp;",*")-SUMIFS('AEO 2026 Table 23 '!J:J,'AEO 2026 Table 23 '!$B:$B,"*,"&amp;$A19&amp;",*"))/SUMIFS('AEO 2026 Table 23 '!J:J,'AEO 2026 Table 23 '!$B:$B,"*,"&amp;$A19&amp;",*"),"")</f>
        <v>4.3401578051765564E-3</v>
      </c>
      <c r="I19">
        <f>IFERROR((SUMIFS('AEO 2026 Table 23 '!L:L,'AEO 2026 Table 23 '!$B:$B,"*,"&amp;$A19&amp;",*")-SUMIFS('AEO 2026 Table 23 '!K:K,'AEO 2026 Table 23 '!$B:$B,"*,"&amp;$A19&amp;",*"))/SUMIFS('AEO 2026 Table 23 '!K:K,'AEO 2026 Table 23 '!$B:$B,"*,"&amp;$A19&amp;",*"),"")</f>
        <v>1.0538330439854564E-2</v>
      </c>
      <c r="J19">
        <f>IFERROR((SUMIFS('AEO 2026 Table 23 '!M:M,'AEO 2026 Table 23 '!$B:$B,"*,"&amp;$A19&amp;",*")-SUMIFS('AEO 2026 Table 23 '!L:L,'AEO 2026 Table 23 '!$B:$B,"*,"&amp;$A19&amp;",*"))/SUMIFS('AEO 2026 Table 23 '!L:L,'AEO 2026 Table 23 '!$B:$B,"*,"&amp;$A19&amp;",*"),"")</f>
        <v>1.1919624433299109E-2</v>
      </c>
      <c r="K19">
        <f>IFERROR((SUMIFS('AEO 2026 Table 23 '!N:N,'AEO 2026 Table 23 '!$B:$B,"*,"&amp;$A19&amp;",*")-SUMIFS('AEO 2026 Table 23 '!M:M,'AEO 2026 Table 23 '!$B:$B,"*,"&amp;$A19&amp;",*"))/SUMIFS('AEO 2026 Table 23 '!M:M,'AEO 2026 Table 23 '!$B:$B,"*,"&amp;$A19&amp;",*"),"")</f>
        <v>7.2282865610519224E-3</v>
      </c>
      <c r="L19">
        <f>IFERROR((SUMIFS('AEO 2026 Table 23 '!O:O,'AEO 2026 Table 23 '!$B:$B,"*,"&amp;$A19&amp;",*")-SUMIFS('AEO 2026 Table 23 '!N:N,'AEO 2026 Table 23 '!$B:$B,"*,"&amp;$A19&amp;",*"))/SUMIFS('AEO 2026 Table 23 '!N:N,'AEO 2026 Table 23 '!$B:$B,"*,"&amp;$A19&amp;",*"),"")</f>
        <v>6.6818769513966106E-3</v>
      </c>
      <c r="M19">
        <f>IFERROR((SUMIFS('AEO 2026 Table 23 '!P:P,'AEO 2026 Table 23 '!$B:$B,"*,"&amp;$A19&amp;",*")-SUMIFS('AEO 2026 Table 23 '!O:O,'AEO 2026 Table 23 '!$B:$B,"*,"&amp;$A19&amp;",*"))/SUMIFS('AEO 2026 Table 23 '!O:O,'AEO 2026 Table 23 '!$B:$B,"*,"&amp;$A19&amp;",*"),"")</f>
        <v>4.4451834259098492E-3</v>
      </c>
      <c r="N19">
        <f>IFERROR((SUMIFS('AEO 2026 Table 23 '!Q:Q,'AEO 2026 Table 23 '!$B:$B,"*,"&amp;$A19&amp;",*")-SUMIFS('AEO 2026 Table 23 '!P:P,'AEO 2026 Table 23 '!$B:$B,"*,"&amp;$A19&amp;",*"))/SUMIFS('AEO 2026 Table 23 '!P:P,'AEO 2026 Table 23 '!$B:$B,"*,"&amp;$A19&amp;",*"),"")</f>
        <v>7.801068903021984E-3</v>
      </c>
      <c r="O19">
        <f>IFERROR((SUMIFS('AEO 2026 Table 23 '!R:R,'AEO 2026 Table 23 '!$B:$B,"*,"&amp;$A19&amp;",*")-SUMIFS('AEO 2026 Table 23 '!Q:Q,'AEO 2026 Table 23 '!$B:$B,"*,"&amp;$A19&amp;",*"))/SUMIFS('AEO 2026 Table 23 '!Q:Q,'AEO 2026 Table 23 '!$B:$B,"*,"&amp;$A19&amp;",*"),"")</f>
        <v>1.156324137291186E-2</v>
      </c>
      <c r="P19">
        <f>IFERROR((SUMIFS('AEO 2026 Table 23 '!S:S,'AEO 2026 Table 23 '!$B:$B,"*,"&amp;$A19&amp;",*")-SUMIFS('AEO 2026 Table 23 '!R:R,'AEO 2026 Table 23 '!$B:$B,"*,"&amp;$A19&amp;",*"))/SUMIFS('AEO 2026 Table 23 '!R:R,'AEO 2026 Table 23 '!$B:$B,"*,"&amp;$A19&amp;",*"),"")</f>
        <v>1.3563166417312762E-2</v>
      </c>
      <c r="Q19">
        <f>IFERROR((SUMIFS('AEO 2026 Table 23 '!T:T,'AEO 2026 Table 23 '!$B:$B,"*,"&amp;$A19&amp;",*")-SUMIFS('AEO 2026 Table 23 '!S:S,'AEO 2026 Table 23 '!$B:$B,"*,"&amp;$A19&amp;",*"))/SUMIFS('AEO 2026 Table 23 '!S:S,'AEO 2026 Table 23 '!$B:$B,"*,"&amp;$A19&amp;",*"),"")</f>
        <v>1.1960972313155602E-2</v>
      </c>
      <c r="R19">
        <f>IFERROR((SUMIFS('AEO 2026 Table 23 '!U:U,'AEO 2026 Table 23 '!$B:$B,"*,"&amp;$A19&amp;",*")-SUMIFS('AEO 2026 Table 23 '!T:T,'AEO 2026 Table 23 '!$B:$B,"*,"&amp;$A19&amp;",*"))/SUMIFS('AEO 2026 Table 23 '!T:T,'AEO 2026 Table 23 '!$B:$B,"*,"&amp;$A19&amp;",*"),"")</f>
        <v>9.8546563948202822E-3</v>
      </c>
      <c r="S19">
        <f>IFERROR((SUMIFS('AEO 2026 Table 23 '!V:V,'AEO 2026 Table 23 '!$B:$B,"*,"&amp;$A19&amp;",*")-SUMIFS('AEO 2026 Table 23 '!U:U,'AEO 2026 Table 23 '!$B:$B,"*,"&amp;$A19&amp;",*"))/SUMIFS('AEO 2026 Table 23 '!U:U,'AEO 2026 Table 23 '!$B:$B,"*,"&amp;$A19&amp;",*"),"")</f>
        <v>1.174260116409828E-2</v>
      </c>
      <c r="T19">
        <f>IFERROR((SUMIFS('AEO 2026 Table 23 '!W:W,'AEO 2026 Table 23 '!$B:$B,"*,"&amp;$A19&amp;",*")-SUMIFS('AEO 2026 Table 23 '!V:V,'AEO 2026 Table 23 '!$B:$B,"*,"&amp;$A19&amp;",*"))/SUMIFS('AEO 2026 Table 23 '!V:V,'AEO 2026 Table 23 '!$B:$B,"*,"&amp;$A19&amp;",*"),"")</f>
        <v>1.1727669794060551E-2</v>
      </c>
      <c r="U19">
        <f>IFERROR((SUMIFS('AEO 2026 Table 23 '!X:X,'AEO 2026 Table 23 '!$B:$B,"*,"&amp;$A19&amp;",*")-SUMIFS('AEO 2026 Table 23 '!W:W,'AEO 2026 Table 23 '!$B:$B,"*,"&amp;$A19&amp;",*"))/SUMIFS('AEO 2026 Table 23 '!W:W,'AEO 2026 Table 23 '!$B:$B,"*,"&amp;$A19&amp;",*"),"")</f>
        <v>1.2452812401855015E-2</v>
      </c>
      <c r="V19">
        <f>IFERROR((SUMIFS('AEO 2026 Table 23 '!Y:Y,'AEO 2026 Table 23 '!$B:$B,"*,"&amp;$A19&amp;",*")-SUMIFS('AEO 2026 Table 23 '!X:X,'AEO 2026 Table 23 '!$B:$B,"*,"&amp;$A19&amp;",*"))/SUMIFS('AEO 2026 Table 23 '!X:X,'AEO 2026 Table 23 '!$B:$B,"*,"&amp;$A19&amp;",*"),"")</f>
        <v>1.1472657296259773E-2</v>
      </c>
      <c r="W19">
        <f>IFERROR((SUMIFS('AEO 2026 Table 23 '!Z:Z,'AEO 2026 Table 23 '!$B:$B,"*,"&amp;$A19&amp;",*")-SUMIFS('AEO 2026 Table 23 '!Y:Y,'AEO 2026 Table 23 '!$B:$B,"*,"&amp;$A19&amp;",*"))/SUMIFS('AEO 2026 Table 23 '!Y:Y,'AEO 2026 Table 23 '!$B:$B,"*,"&amp;$A19&amp;",*"),"")</f>
        <v>1.1588169071967315E-2</v>
      </c>
      <c r="X19">
        <f>IFERROR((SUMIFS('AEO 2026 Table 23 '!AA:AA,'AEO 2026 Table 23 '!$B:$B,"*,"&amp;$A19&amp;",*")-SUMIFS('AEO 2026 Table 23 '!Z:Z,'AEO 2026 Table 23 '!$B:$B,"*,"&amp;$A19&amp;",*"))/SUMIFS('AEO 2026 Table 23 '!Z:Z,'AEO 2026 Table 23 '!$B:$B,"*,"&amp;$A19&amp;",*"),"")</f>
        <v>1.2545356154554065E-2</v>
      </c>
      <c r="Y19">
        <f>IFERROR((SUMIFS('AEO 2026 Table 23 '!AB:AB,'AEO 2026 Table 23 '!$B:$B,"*,"&amp;$A19&amp;",*")-SUMIFS('AEO 2026 Table 23 '!AA:AA,'AEO 2026 Table 23 '!$B:$B,"*,"&amp;$A19&amp;",*"))/SUMIFS('AEO 2026 Table 23 '!AA:AA,'AEO 2026 Table 23 '!$B:$B,"*,"&amp;$A19&amp;",*"),"")</f>
        <v>1.0739513161443172E-2</v>
      </c>
      <c r="Z19">
        <f>IFERROR((SUMIFS('AEO 2026 Table 23 '!AC:AC,'AEO 2026 Table 23 '!$B:$B,"*,"&amp;$A19&amp;",*")-SUMIFS('AEO 2026 Table 23 '!AB:AB,'AEO 2026 Table 23 '!$B:$B,"*,"&amp;$A19&amp;",*"))/SUMIFS('AEO 2026 Table 23 '!AB:AB,'AEO 2026 Table 23 '!$B:$B,"*,"&amp;$A19&amp;",*"),"")</f>
        <v>9.7885266276422963E-3</v>
      </c>
      <c r="AA19">
        <f>IFERROR((SUMIFS('AEO 2026 Table 23 '!AD:AD,'AEO 2026 Table 23 '!$B:$B,"*,"&amp;$A19&amp;",*")-SUMIFS('AEO 2026 Table 23 '!AC:AC,'AEO 2026 Table 23 '!$B:$B,"*,"&amp;$A19&amp;",*"))/SUMIFS('AEO 2026 Table 23 '!AC:AC,'AEO 2026 Table 23 '!$B:$B,"*,"&amp;$A19&amp;",*"),"")</f>
        <v>7.7790196882548965E-3</v>
      </c>
      <c r="AB19">
        <f>IFERROR((SUMIFS('AEO 2026 Table 23 '!AE:AE,'AEO 2026 Table 23 '!$B:$B,"*,"&amp;$A19&amp;",*")-SUMIFS('AEO 2026 Table 23 '!AD:AD,'AEO 2026 Table 23 '!$B:$B,"*,"&amp;$A19&amp;",*"))/SUMIFS('AEO 2026 Table 23 '!AD:AD,'AEO 2026 Table 23 '!$B:$B,"*,"&amp;$A19&amp;",*"),"")</f>
        <v>1.0818719628259659E-2</v>
      </c>
      <c r="AC19">
        <f>IFERROR((SUMIFS('AEO 2026 Table 23 '!AF:AF,'AEO 2026 Table 23 '!$B:$B,"*,"&amp;$A19&amp;",*")-SUMIFS('AEO 2026 Table 23 '!AE:AE,'AEO 2026 Table 23 '!$B:$B,"*,"&amp;$A19&amp;",*"))/SUMIFS('AEO 2026 Table 23 '!AE:AE,'AEO 2026 Table 23 '!$B:$B,"*,"&amp;$A19&amp;",*"),"")</f>
        <v>1.0677986911461358E-2</v>
      </c>
    </row>
    <row r="20" spans="1:29" x14ac:dyDescent="0.25">
      <c r="A20" t="s">
        <v>1222</v>
      </c>
      <c r="B20">
        <f>IFERROR(SUMPRODUCT(--('BLS Table 2.11'!$L$1:$L$426=$A20),'BLS Table 2.11'!$J$1:$J$426,'BLS Table 2.11'!$K$1:$K$426)/SUMIFS('BLS Table 2.11'!$J$1:$J$426,'BLS Table 2.11'!$L$1:$L$426,$A20)/100,0)</f>
        <v>0</v>
      </c>
      <c r="D20">
        <f>IFERROR((SUMIFS('AEO 2026 Table 23 '!G:G,'AEO 2026 Table 23 '!$B:$B,"*,"&amp;$A20&amp;",*")-SUMIFS('AEO25 Table 23'!H:H,'AEO25 Table 23'!$B:$B,"*,"&amp;$A20&amp;",*"))/SUMIFS('AEO25 Table 23'!H:H,'AEO25 Table 23'!$B:$B,"*,"&amp;$A20&amp;",*"),"")</f>
        <v>-6.2233199213274646E-3</v>
      </c>
      <c r="E20">
        <f>IFERROR((SUMIFS('AEO 2026 Table 23 '!H:H,'AEO 2026 Table 23 '!$B:$B,"*,"&amp;$A20&amp;",*")-SUMIFS('AEO 2026 Table 23 '!G:G,'AEO 2026 Table 23 '!$B:$B,"*,"&amp;$A20&amp;",*"))/SUMIFS('AEO 2026 Table 23 '!G:G,'AEO 2026 Table 23 '!$B:$B,"*,"&amp;$A20&amp;",*"),"")</f>
        <v>6.0720253666557411E-4</v>
      </c>
      <c r="F20">
        <f>IFERROR((SUMIFS('AEO 2026 Table 23 '!I:I,'AEO 2026 Table 23 '!$B:$B,"*,"&amp;$A20&amp;",*")-SUMIFS('AEO 2026 Table 23 '!H:H,'AEO 2026 Table 23 '!$B:$B,"*,"&amp;$A20&amp;",*"))/SUMIFS('AEO 2026 Table 23 '!H:H,'AEO 2026 Table 23 '!$B:$B,"*,"&amp;$A20&amp;",*"),"")</f>
        <v>2.462216093873312E-3</v>
      </c>
      <c r="G20">
        <f>IFERROR((SUMIFS('AEO 2026 Table 23 '!J:J,'AEO 2026 Table 23 '!$B:$B,"*,"&amp;$A20&amp;",*")-SUMIFS('AEO 2026 Table 23 '!I:I,'AEO 2026 Table 23 '!$B:$B,"*,"&amp;$A20&amp;",*"))/SUMIFS('AEO 2026 Table 23 '!I:I,'AEO 2026 Table 23 '!$B:$B,"*,"&amp;$A20&amp;",*"),"")</f>
        <v>-1.1643884753133231E-3</v>
      </c>
      <c r="H20">
        <f>IFERROR((SUMIFS('AEO 2026 Table 23 '!K:K,'AEO 2026 Table 23 '!$B:$B,"*,"&amp;$A20&amp;",*")-SUMIFS('AEO 2026 Table 23 '!J:J,'AEO 2026 Table 23 '!$B:$B,"*,"&amp;$A20&amp;",*"))/SUMIFS('AEO 2026 Table 23 '!J:J,'AEO 2026 Table 23 '!$B:$B,"*,"&amp;$A20&amp;",*"),"")</f>
        <v>-1.5622717482911286E-3</v>
      </c>
      <c r="I20">
        <f>IFERROR((SUMIFS('AEO 2026 Table 23 '!L:L,'AEO 2026 Table 23 '!$B:$B,"*,"&amp;$A20&amp;",*")-SUMIFS('AEO 2026 Table 23 '!K:K,'AEO 2026 Table 23 '!$B:$B,"*,"&amp;$A20&amp;",*"))/SUMIFS('AEO 2026 Table 23 '!K:K,'AEO 2026 Table 23 '!$B:$B,"*,"&amp;$A20&amp;",*"),"")</f>
        <v>4.2884677077444577E-4</v>
      </c>
      <c r="J20">
        <f>IFERROR((SUMIFS('AEO 2026 Table 23 '!M:M,'AEO 2026 Table 23 '!$B:$B,"*,"&amp;$A20&amp;",*")-SUMIFS('AEO 2026 Table 23 '!L:L,'AEO 2026 Table 23 '!$B:$B,"*,"&amp;$A20&amp;",*"))/SUMIFS('AEO 2026 Table 23 '!L:L,'AEO 2026 Table 23 '!$B:$B,"*,"&amp;$A20&amp;",*"),"")</f>
        <v>1.7034488687376508E-3</v>
      </c>
      <c r="K20">
        <f>IFERROR((SUMIFS('AEO 2026 Table 23 '!N:N,'AEO 2026 Table 23 '!$B:$B,"*,"&amp;$A20&amp;",*")-SUMIFS('AEO 2026 Table 23 '!M:M,'AEO 2026 Table 23 '!$B:$B,"*,"&amp;$A20&amp;",*"))/SUMIFS('AEO 2026 Table 23 '!M:M,'AEO 2026 Table 23 '!$B:$B,"*,"&amp;$A20&amp;",*"),"")</f>
        <v>4.0618398053844373E-3</v>
      </c>
      <c r="L20">
        <f>IFERROR((SUMIFS('AEO 2026 Table 23 '!O:O,'AEO 2026 Table 23 '!$B:$B,"*,"&amp;$A20&amp;",*")-SUMIFS('AEO 2026 Table 23 '!N:N,'AEO 2026 Table 23 '!$B:$B,"*,"&amp;$A20&amp;",*"))/SUMIFS('AEO 2026 Table 23 '!N:N,'AEO 2026 Table 23 '!$B:$B,"*,"&amp;$A20&amp;",*"),"")</f>
        <v>6.6316131750683007E-3</v>
      </c>
      <c r="M20">
        <f>IFERROR((SUMIFS('AEO 2026 Table 23 '!P:P,'AEO 2026 Table 23 '!$B:$B,"*,"&amp;$A20&amp;",*")-SUMIFS('AEO 2026 Table 23 '!O:O,'AEO 2026 Table 23 '!$B:$B,"*,"&amp;$A20&amp;",*"))/SUMIFS('AEO 2026 Table 23 '!O:O,'AEO 2026 Table 23 '!$B:$B,"*,"&amp;$A20&amp;",*"),"")</f>
        <v>8.3090056745117793E-3</v>
      </c>
      <c r="N20">
        <f>IFERROR((SUMIFS('AEO 2026 Table 23 '!Q:Q,'AEO 2026 Table 23 '!$B:$B,"*,"&amp;$A20&amp;",*")-SUMIFS('AEO 2026 Table 23 '!P:P,'AEO 2026 Table 23 '!$B:$B,"*,"&amp;$A20&amp;",*"))/SUMIFS('AEO 2026 Table 23 '!P:P,'AEO 2026 Table 23 '!$B:$B,"*,"&amp;$A20&amp;",*"),"")</f>
        <v>1.0367982306368139E-2</v>
      </c>
      <c r="O20">
        <f>IFERROR((SUMIFS('AEO 2026 Table 23 '!R:R,'AEO 2026 Table 23 '!$B:$B,"*,"&amp;$A20&amp;",*")-SUMIFS('AEO 2026 Table 23 '!Q:Q,'AEO 2026 Table 23 '!$B:$B,"*,"&amp;$A20&amp;",*"))/SUMIFS('AEO 2026 Table 23 '!Q:Q,'AEO 2026 Table 23 '!$B:$B,"*,"&amp;$A20&amp;",*"),"")</f>
        <v>1.022946050450438E-2</v>
      </c>
      <c r="P20">
        <f>IFERROR((SUMIFS('AEO 2026 Table 23 '!S:S,'AEO 2026 Table 23 '!$B:$B,"*,"&amp;$A20&amp;",*")-SUMIFS('AEO 2026 Table 23 '!R:R,'AEO 2026 Table 23 '!$B:$B,"*,"&amp;$A20&amp;",*"))/SUMIFS('AEO 2026 Table 23 '!R:R,'AEO 2026 Table 23 '!$B:$B,"*,"&amp;$A20&amp;",*"),"")</f>
        <v>9.6879481922688502E-3</v>
      </c>
      <c r="Q20">
        <f>IFERROR((SUMIFS('AEO 2026 Table 23 '!T:T,'AEO 2026 Table 23 '!$B:$B,"*,"&amp;$A20&amp;",*")-SUMIFS('AEO 2026 Table 23 '!S:S,'AEO 2026 Table 23 '!$B:$B,"*,"&amp;$A20&amp;",*"))/SUMIFS('AEO 2026 Table 23 '!S:S,'AEO 2026 Table 23 '!$B:$B,"*,"&amp;$A20&amp;",*"),"")</f>
        <v>1.0119030407614882E-2</v>
      </c>
      <c r="R20">
        <f>IFERROR((SUMIFS('AEO 2026 Table 23 '!U:U,'AEO 2026 Table 23 '!$B:$B,"*,"&amp;$A20&amp;",*")-SUMIFS('AEO 2026 Table 23 '!T:T,'AEO 2026 Table 23 '!$B:$B,"*,"&amp;$A20&amp;",*"))/SUMIFS('AEO 2026 Table 23 '!T:T,'AEO 2026 Table 23 '!$B:$B,"*,"&amp;$A20&amp;",*"),"")</f>
        <v>9.9271535032241578E-3</v>
      </c>
      <c r="S20">
        <f>IFERROR((SUMIFS('AEO 2026 Table 23 '!V:V,'AEO 2026 Table 23 '!$B:$B,"*,"&amp;$A20&amp;",*")-SUMIFS('AEO 2026 Table 23 '!U:U,'AEO 2026 Table 23 '!$B:$B,"*,"&amp;$A20&amp;",*"))/SUMIFS('AEO 2026 Table 23 '!U:U,'AEO 2026 Table 23 '!$B:$B,"*,"&amp;$A20&amp;",*"),"")</f>
        <v>1.0068817804085108E-2</v>
      </c>
      <c r="T20">
        <f>IFERROR((SUMIFS('AEO 2026 Table 23 '!W:W,'AEO 2026 Table 23 '!$B:$B,"*,"&amp;$A20&amp;",*")-SUMIFS('AEO 2026 Table 23 '!V:V,'AEO 2026 Table 23 '!$B:$B,"*,"&amp;$A20&amp;",*"))/SUMIFS('AEO 2026 Table 23 '!V:V,'AEO 2026 Table 23 '!$B:$B,"*,"&amp;$A20&amp;",*"),"")</f>
        <v>1.0497726662871541E-2</v>
      </c>
      <c r="U20">
        <f>IFERROR((SUMIFS('AEO 2026 Table 23 '!X:X,'AEO 2026 Table 23 '!$B:$B,"*,"&amp;$A20&amp;",*")-SUMIFS('AEO 2026 Table 23 '!W:W,'AEO 2026 Table 23 '!$B:$B,"*,"&amp;$A20&amp;",*"))/SUMIFS('AEO 2026 Table 23 '!W:W,'AEO 2026 Table 23 '!$B:$B,"*,"&amp;$A20&amp;",*"),"")</f>
        <v>1.0773685175757294E-2</v>
      </c>
      <c r="V20">
        <f>IFERROR((SUMIFS('AEO 2026 Table 23 '!Y:Y,'AEO 2026 Table 23 '!$B:$B,"*,"&amp;$A20&amp;",*")-SUMIFS('AEO 2026 Table 23 '!X:X,'AEO 2026 Table 23 '!$B:$B,"*,"&amp;$A20&amp;",*"))/SUMIFS('AEO 2026 Table 23 '!X:X,'AEO 2026 Table 23 '!$B:$B,"*,"&amp;$A20&amp;",*"),"")</f>
        <v>1.1043783809229451E-2</v>
      </c>
      <c r="W20">
        <f>IFERROR((SUMIFS('AEO 2026 Table 23 '!Z:Z,'AEO 2026 Table 23 '!$B:$B,"*,"&amp;$A20&amp;",*")-SUMIFS('AEO 2026 Table 23 '!Y:Y,'AEO 2026 Table 23 '!$B:$B,"*,"&amp;$A20&amp;",*"))/SUMIFS('AEO 2026 Table 23 '!Y:Y,'AEO 2026 Table 23 '!$B:$B,"*,"&amp;$A20&amp;",*"),"")</f>
        <v>1.0784684936775644E-2</v>
      </c>
      <c r="X20">
        <f>IFERROR((SUMIFS('AEO 2026 Table 23 '!AA:AA,'AEO 2026 Table 23 '!$B:$B,"*,"&amp;$A20&amp;",*")-SUMIFS('AEO 2026 Table 23 '!Z:Z,'AEO 2026 Table 23 '!$B:$B,"*,"&amp;$A20&amp;",*"))/SUMIFS('AEO 2026 Table 23 '!Z:Z,'AEO 2026 Table 23 '!$B:$B,"*,"&amp;$A20&amp;",*"),"")</f>
        <v>1.1019399231148896E-2</v>
      </c>
      <c r="Y20">
        <f>IFERROR((SUMIFS('AEO 2026 Table 23 '!AB:AB,'AEO 2026 Table 23 '!$B:$B,"*,"&amp;$A20&amp;",*")-SUMIFS('AEO 2026 Table 23 '!AA:AA,'AEO 2026 Table 23 '!$B:$B,"*,"&amp;$A20&amp;",*"))/SUMIFS('AEO 2026 Table 23 '!AA:AA,'AEO 2026 Table 23 '!$B:$B,"*,"&amp;$A20&amp;",*"),"")</f>
        <v>1.1072157805751538E-2</v>
      </c>
      <c r="Z20">
        <f>IFERROR((SUMIFS('AEO 2026 Table 23 '!AC:AC,'AEO 2026 Table 23 '!$B:$B,"*,"&amp;$A20&amp;",*")-SUMIFS('AEO 2026 Table 23 '!AB:AB,'AEO 2026 Table 23 '!$B:$B,"*,"&amp;$A20&amp;",*"))/SUMIFS('AEO 2026 Table 23 '!AB:AB,'AEO 2026 Table 23 '!$B:$B,"*,"&amp;$A20&amp;",*"),"")</f>
        <v>1.0968535414627783E-2</v>
      </c>
      <c r="AA20">
        <f>IFERROR((SUMIFS('AEO 2026 Table 23 '!AD:AD,'AEO 2026 Table 23 '!$B:$B,"*,"&amp;$A20&amp;",*")-SUMIFS('AEO 2026 Table 23 '!AC:AC,'AEO 2026 Table 23 '!$B:$B,"*,"&amp;$A20&amp;",*"))/SUMIFS('AEO 2026 Table 23 '!AC:AC,'AEO 2026 Table 23 '!$B:$B,"*,"&amp;$A20&amp;",*"),"")</f>
        <v>1.0972790190006026E-2</v>
      </c>
      <c r="AB20">
        <f>IFERROR((SUMIFS('AEO 2026 Table 23 '!AE:AE,'AEO 2026 Table 23 '!$B:$B,"*,"&amp;$A20&amp;",*")-SUMIFS('AEO 2026 Table 23 '!AD:AD,'AEO 2026 Table 23 '!$B:$B,"*,"&amp;$A20&amp;",*"))/SUMIFS('AEO 2026 Table 23 '!AD:AD,'AEO 2026 Table 23 '!$B:$B,"*,"&amp;$A20&amp;",*"),"")</f>
        <v>1.0452646000722115E-2</v>
      </c>
      <c r="AC20">
        <f>IFERROR((SUMIFS('AEO 2026 Table 23 '!AF:AF,'AEO 2026 Table 23 '!$B:$B,"*,"&amp;$A20&amp;",*")-SUMIFS('AEO 2026 Table 23 '!AE:AE,'AEO 2026 Table 23 '!$B:$B,"*,"&amp;$A20&amp;",*"))/SUMIFS('AEO 2026 Table 23 '!AE:AE,'AEO 2026 Table 23 '!$B:$B,"*,"&amp;$A20&amp;",*"),"")</f>
        <v>1.03805003689426E-2</v>
      </c>
    </row>
    <row r="21" spans="1:29" x14ac:dyDescent="0.25">
      <c r="A21" t="s">
        <v>256</v>
      </c>
      <c r="B21">
        <f>IFERROR(SUMPRODUCT(--('BLS Table 2.11'!$L$1:$L$426=$A21),'BLS Table 2.11'!$J$1:$J$426,'BLS Table 2.11'!$K$1:$K$426)/SUMIFS('BLS Table 2.11'!$J$1:$J$426,'BLS Table 2.11'!$L$1:$L$426,$A21)/100,0)</f>
        <v>1.4999999999999999E-2</v>
      </c>
      <c r="D21">
        <f>IFERROR((SUMIFS('AEO 2026 Table 23 '!G:G,'AEO 2026 Table 23 '!$B:$B,"*,"&amp;$A21&amp;",*")-SUMIFS('AEO25 Table 23'!H:H,'AEO25 Table 23'!$B:$B,"*,"&amp;$A21&amp;",*"))/SUMIFS('AEO25 Table 23'!H:H,'AEO25 Table 23'!$B:$B,"*,"&amp;$A21&amp;",*"),"")</f>
        <v>3.3677125558882557E-3</v>
      </c>
      <c r="E21">
        <f>IFERROR((SUMIFS('AEO 2026 Table 23 '!H:H,'AEO 2026 Table 23 '!$B:$B,"*,"&amp;$A21&amp;",*")-SUMIFS('AEO 2026 Table 23 '!G:G,'AEO 2026 Table 23 '!$B:$B,"*,"&amp;$A21&amp;",*"))/SUMIFS('AEO 2026 Table 23 '!G:G,'AEO 2026 Table 23 '!$B:$B,"*,"&amp;$A21&amp;",*"),"")</f>
        <v>-1.6100321389836129E-2</v>
      </c>
      <c r="F21">
        <f>IFERROR((SUMIFS('AEO 2026 Table 23 '!I:I,'AEO 2026 Table 23 '!$B:$B,"*,"&amp;$A21&amp;",*")-SUMIFS('AEO 2026 Table 23 '!H:H,'AEO 2026 Table 23 '!$B:$B,"*,"&amp;$A21&amp;",*"))/SUMIFS('AEO 2026 Table 23 '!H:H,'AEO 2026 Table 23 '!$B:$B,"*,"&amp;$A21&amp;",*"),"")</f>
        <v>-1.7324661384306477E-2</v>
      </c>
      <c r="G21">
        <f>IFERROR((SUMIFS('AEO 2026 Table 23 '!J:J,'AEO 2026 Table 23 '!$B:$B,"*,"&amp;$A21&amp;",*")-SUMIFS('AEO 2026 Table 23 '!I:I,'AEO 2026 Table 23 '!$B:$B,"*,"&amp;$A21&amp;",*"))/SUMIFS('AEO 2026 Table 23 '!I:I,'AEO 2026 Table 23 '!$B:$B,"*,"&amp;$A21&amp;",*"),"")</f>
        <v>-3.0661376246751849E-3</v>
      </c>
      <c r="H21">
        <f>IFERROR((SUMIFS('AEO 2026 Table 23 '!K:K,'AEO 2026 Table 23 '!$B:$B,"*,"&amp;$A21&amp;",*")-SUMIFS('AEO 2026 Table 23 '!J:J,'AEO 2026 Table 23 '!$B:$B,"*,"&amp;$A21&amp;",*"))/SUMIFS('AEO 2026 Table 23 '!J:J,'AEO 2026 Table 23 '!$B:$B,"*,"&amp;$A21&amp;",*"),"")</f>
        <v>-2.8177861535687836E-3</v>
      </c>
      <c r="I21">
        <f>IFERROR((SUMIFS('AEO 2026 Table 23 '!L:L,'AEO 2026 Table 23 '!$B:$B,"*,"&amp;$A21&amp;",*")-SUMIFS('AEO 2026 Table 23 '!K:K,'AEO 2026 Table 23 '!$B:$B,"*,"&amp;$A21&amp;",*"))/SUMIFS('AEO 2026 Table 23 '!K:K,'AEO 2026 Table 23 '!$B:$B,"*,"&amp;$A21&amp;",*"),"")</f>
        <v>2.9511020407673163E-3</v>
      </c>
      <c r="J21">
        <f>IFERROR((SUMIFS('AEO 2026 Table 23 '!M:M,'AEO 2026 Table 23 '!$B:$B,"*,"&amp;$A21&amp;",*")-SUMIFS('AEO 2026 Table 23 '!L:L,'AEO 2026 Table 23 '!$B:$B,"*,"&amp;$A21&amp;",*"))/SUMIFS('AEO 2026 Table 23 '!L:L,'AEO 2026 Table 23 '!$B:$B,"*,"&amp;$A21&amp;",*"),"")</f>
        <v>7.4787593155879887E-3</v>
      </c>
      <c r="K21">
        <f>IFERROR((SUMIFS('AEO 2026 Table 23 '!N:N,'AEO 2026 Table 23 '!$B:$B,"*,"&amp;$A21&amp;",*")-SUMIFS('AEO 2026 Table 23 '!M:M,'AEO 2026 Table 23 '!$B:$B,"*,"&amp;$A21&amp;",*"))/SUMIFS('AEO 2026 Table 23 '!M:M,'AEO 2026 Table 23 '!$B:$B,"*,"&amp;$A21&amp;",*"),"")</f>
        <v>6.8072293280255691E-3</v>
      </c>
      <c r="L21">
        <f>IFERROR((SUMIFS('AEO 2026 Table 23 '!O:O,'AEO 2026 Table 23 '!$B:$B,"*,"&amp;$A21&amp;",*")-SUMIFS('AEO 2026 Table 23 '!N:N,'AEO 2026 Table 23 '!$B:$B,"*,"&amp;$A21&amp;",*"))/SUMIFS('AEO 2026 Table 23 '!N:N,'AEO 2026 Table 23 '!$B:$B,"*,"&amp;$A21&amp;",*"),"")</f>
        <v>9.3879042406030001E-3</v>
      </c>
      <c r="M21">
        <f>IFERROR((SUMIFS('AEO 2026 Table 23 '!P:P,'AEO 2026 Table 23 '!$B:$B,"*,"&amp;$A21&amp;",*")-SUMIFS('AEO 2026 Table 23 '!O:O,'AEO 2026 Table 23 '!$B:$B,"*,"&amp;$A21&amp;",*"))/SUMIFS('AEO 2026 Table 23 '!O:O,'AEO 2026 Table 23 '!$B:$B,"*,"&amp;$A21&amp;",*"),"")</f>
        <v>9.8625353808258764E-3</v>
      </c>
      <c r="N21">
        <f>IFERROR((SUMIFS('AEO 2026 Table 23 '!Q:Q,'AEO 2026 Table 23 '!$B:$B,"*,"&amp;$A21&amp;",*")-SUMIFS('AEO 2026 Table 23 '!P:P,'AEO 2026 Table 23 '!$B:$B,"*,"&amp;$A21&amp;",*"))/SUMIFS('AEO 2026 Table 23 '!P:P,'AEO 2026 Table 23 '!$B:$B,"*,"&amp;$A21&amp;",*"),"")</f>
        <v>9.5639538061506116E-3</v>
      </c>
      <c r="O21">
        <f>IFERROR((SUMIFS('AEO 2026 Table 23 '!R:R,'AEO 2026 Table 23 '!$B:$B,"*,"&amp;$A21&amp;",*")-SUMIFS('AEO 2026 Table 23 '!Q:Q,'AEO 2026 Table 23 '!$B:$B,"*,"&amp;$A21&amp;",*"))/SUMIFS('AEO 2026 Table 23 '!Q:Q,'AEO 2026 Table 23 '!$B:$B,"*,"&amp;$A21&amp;",*"),"")</f>
        <v>9.9268087496195406E-3</v>
      </c>
      <c r="P21">
        <f>IFERROR((SUMIFS('AEO 2026 Table 23 '!S:S,'AEO 2026 Table 23 '!$B:$B,"*,"&amp;$A21&amp;",*")-SUMIFS('AEO 2026 Table 23 '!R:R,'AEO 2026 Table 23 '!$B:$B,"*,"&amp;$A21&amp;",*"))/SUMIFS('AEO 2026 Table 23 '!R:R,'AEO 2026 Table 23 '!$B:$B,"*,"&amp;$A21&amp;",*"),"")</f>
        <v>8.8885770497311549E-3</v>
      </c>
      <c r="Q21">
        <f>IFERROR((SUMIFS('AEO 2026 Table 23 '!T:T,'AEO 2026 Table 23 '!$B:$B,"*,"&amp;$A21&amp;",*")-SUMIFS('AEO 2026 Table 23 '!S:S,'AEO 2026 Table 23 '!$B:$B,"*,"&amp;$A21&amp;",*"))/SUMIFS('AEO 2026 Table 23 '!S:S,'AEO 2026 Table 23 '!$B:$B,"*,"&amp;$A21&amp;",*"),"")</f>
        <v>9.3959774844289499E-3</v>
      </c>
      <c r="R21">
        <f>IFERROR((SUMIFS('AEO 2026 Table 23 '!U:U,'AEO 2026 Table 23 '!$B:$B,"*,"&amp;$A21&amp;",*")-SUMIFS('AEO 2026 Table 23 '!T:T,'AEO 2026 Table 23 '!$B:$B,"*,"&amp;$A21&amp;",*"))/SUMIFS('AEO 2026 Table 23 '!T:T,'AEO 2026 Table 23 '!$B:$B,"*,"&amp;$A21&amp;",*"),"")</f>
        <v>8.9707251884070752E-3</v>
      </c>
      <c r="S21">
        <f>IFERROR((SUMIFS('AEO 2026 Table 23 '!V:V,'AEO 2026 Table 23 '!$B:$B,"*,"&amp;$A21&amp;",*")-SUMIFS('AEO 2026 Table 23 '!U:U,'AEO 2026 Table 23 '!$B:$B,"*,"&amp;$A21&amp;",*"))/SUMIFS('AEO 2026 Table 23 '!U:U,'AEO 2026 Table 23 '!$B:$B,"*,"&amp;$A21&amp;",*"),"")</f>
        <v>4.9701530218554868E-3</v>
      </c>
      <c r="T21">
        <f>IFERROR((SUMIFS('AEO 2026 Table 23 '!W:W,'AEO 2026 Table 23 '!$B:$B,"*,"&amp;$A21&amp;",*")-SUMIFS('AEO 2026 Table 23 '!V:V,'AEO 2026 Table 23 '!$B:$B,"*,"&amp;$A21&amp;",*"))/SUMIFS('AEO 2026 Table 23 '!V:V,'AEO 2026 Table 23 '!$B:$B,"*,"&amp;$A21&amp;",*"),"")</f>
        <v>1.6208327591064715E-3</v>
      </c>
      <c r="U21">
        <f>IFERROR((SUMIFS('AEO 2026 Table 23 '!X:X,'AEO 2026 Table 23 '!$B:$B,"*,"&amp;$A21&amp;",*")-SUMIFS('AEO 2026 Table 23 '!W:W,'AEO 2026 Table 23 '!$B:$B,"*,"&amp;$A21&amp;",*"))/SUMIFS('AEO 2026 Table 23 '!W:W,'AEO 2026 Table 23 '!$B:$B,"*,"&amp;$A21&amp;",*"),"")</f>
        <v>-3.5840713790091122E-4</v>
      </c>
      <c r="V21">
        <f>IFERROR((SUMIFS('AEO 2026 Table 23 '!Y:Y,'AEO 2026 Table 23 '!$B:$B,"*,"&amp;$A21&amp;",*")-SUMIFS('AEO 2026 Table 23 '!X:X,'AEO 2026 Table 23 '!$B:$B,"*,"&amp;$A21&amp;",*"))/SUMIFS('AEO 2026 Table 23 '!X:X,'AEO 2026 Table 23 '!$B:$B,"*,"&amp;$A21&amp;",*"),"")</f>
        <v>-4.5139001149143727E-3</v>
      </c>
      <c r="W21">
        <f>IFERROR((SUMIFS('AEO 2026 Table 23 '!Z:Z,'AEO 2026 Table 23 '!$B:$B,"*,"&amp;$A21&amp;",*")-SUMIFS('AEO 2026 Table 23 '!Y:Y,'AEO 2026 Table 23 '!$B:$B,"*,"&amp;$A21&amp;",*"))/SUMIFS('AEO 2026 Table 23 '!Y:Y,'AEO 2026 Table 23 '!$B:$B,"*,"&amp;$A21&amp;",*"),"")</f>
        <v>-6.31192957131947E-3</v>
      </c>
      <c r="X21">
        <f>IFERROR((SUMIFS('AEO 2026 Table 23 '!AA:AA,'AEO 2026 Table 23 '!$B:$B,"*,"&amp;$A21&amp;",*")-SUMIFS('AEO 2026 Table 23 '!Z:Z,'AEO 2026 Table 23 '!$B:$B,"*,"&amp;$A21&amp;",*"))/SUMIFS('AEO 2026 Table 23 '!Z:Z,'AEO 2026 Table 23 '!$B:$B,"*,"&amp;$A21&amp;",*"),"")</f>
        <v>1.3658997888406691E-3</v>
      </c>
      <c r="Y21">
        <f>IFERROR((SUMIFS('AEO 2026 Table 23 '!AB:AB,'AEO 2026 Table 23 '!$B:$B,"*,"&amp;$A21&amp;",*")-SUMIFS('AEO 2026 Table 23 '!AA:AA,'AEO 2026 Table 23 '!$B:$B,"*,"&amp;$A21&amp;",*"))/SUMIFS('AEO 2026 Table 23 '!AA:AA,'AEO 2026 Table 23 '!$B:$B,"*,"&amp;$A21&amp;",*"),"")</f>
        <v>6.2790367013127674E-3</v>
      </c>
      <c r="Z21">
        <f>IFERROR((SUMIFS('AEO 2026 Table 23 '!AC:AC,'AEO 2026 Table 23 '!$B:$B,"*,"&amp;$A21&amp;",*")-SUMIFS('AEO 2026 Table 23 '!AB:AB,'AEO 2026 Table 23 '!$B:$B,"*,"&amp;$A21&amp;",*"))/SUMIFS('AEO 2026 Table 23 '!AB:AB,'AEO 2026 Table 23 '!$B:$B,"*,"&amp;$A21&amp;",*"),"")</f>
        <v>6.4781329571070587E-3</v>
      </c>
      <c r="AA21">
        <f>IFERROR((SUMIFS('AEO 2026 Table 23 '!AD:AD,'AEO 2026 Table 23 '!$B:$B,"*,"&amp;$A21&amp;",*")-SUMIFS('AEO 2026 Table 23 '!AC:AC,'AEO 2026 Table 23 '!$B:$B,"*,"&amp;$A21&amp;",*"))/SUMIFS('AEO 2026 Table 23 '!AC:AC,'AEO 2026 Table 23 '!$B:$B,"*,"&amp;$A21&amp;",*"),"")</f>
        <v>6.6010760132313301E-3</v>
      </c>
      <c r="AB21">
        <f>IFERROR((SUMIFS('AEO 2026 Table 23 '!AE:AE,'AEO 2026 Table 23 '!$B:$B,"*,"&amp;$A21&amp;",*")-SUMIFS('AEO 2026 Table 23 '!AD:AD,'AEO 2026 Table 23 '!$B:$B,"*,"&amp;$A21&amp;",*"))/SUMIFS('AEO 2026 Table 23 '!AD:AD,'AEO 2026 Table 23 '!$B:$B,"*,"&amp;$A21&amp;",*"),"")</f>
        <v>6.3618268496300704E-3</v>
      </c>
      <c r="AC21">
        <f>IFERROR((SUMIFS('AEO 2026 Table 23 '!AF:AF,'AEO 2026 Table 23 '!$B:$B,"*,"&amp;$A21&amp;",*")-SUMIFS('AEO 2026 Table 23 '!AE:AE,'AEO 2026 Table 23 '!$B:$B,"*,"&amp;$A21&amp;",*"))/SUMIFS('AEO 2026 Table 23 '!AE:AE,'AEO 2026 Table 23 '!$B:$B,"*,"&amp;$A21&amp;",*"),"")</f>
        <v>7.3540183049794847E-3</v>
      </c>
    </row>
    <row r="22" spans="1:29" x14ac:dyDescent="0.25">
      <c r="A22" t="s">
        <v>261</v>
      </c>
      <c r="B22">
        <f>IFERROR(SUMPRODUCT(--('BLS Table 2.11'!$L$1:$L$426=$A22),'BLS Table 2.11'!$J$1:$J$426,'BLS Table 2.11'!$K$1:$K$426)/SUMIFS('BLS Table 2.11'!$J$1:$J$426,'BLS Table 2.11'!$L$1:$L$426,$A22)/100,0)</f>
        <v>1.819909793814433E-2</v>
      </c>
      <c r="D22">
        <f>IFERROR((SUMIFS('AEO 2026 Table 23 '!G:G,'AEO 2026 Table 23 '!$B:$B,"*,"&amp;$A22&amp;",*")-SUMIFS('AEO25 Table 23'!H:H,'AEO25 Table 23'!$B:$B,"*,"&amp;$A22&amp;",*"))/SUMIFS('AEO25 Table 23'!H:H,'AEO25 Table 23'!$B:$B,"*,"&amp;$A22&amp;",*"),"")</f>
        <v>-1.4318822532873773E-2</v>
      </c>
      <c r="E22">
        <f>IFERROR((SUMIFS('AEO 2026 Table 23 '!H:H,'AEO 2026 Table 23 '!$B:$B,"*,"&amp;$A22&amp;",*")-SUMIFS('AEO 2026 Table 23 '!G:G,'AEO 2026 Table 23 '!$B:$B,"*,"&amp;$A22&amp;",*"))/SUMIFS('AEO 2026 Table 23 '!G:G,'AEO 2026 Table 23 '!$B:$B,"*,"&amp;$A22&amp;",*"),"")</f>
        <v>2.0563609513499132E-2</v>
      </c>
      <c r="F22">
        <f>IFERROR((SUMIFS('AEO 2026 Table 23 '!I:I,'AEO 2026 Table 23 '!$B:$B,"*,"&amp;$A22&amp;",*")-SUMIFS('AEO 2026 Table 23 '!H:H,'AEO 2026 Table 23 '!$B:$B,"*,"&amp;$A22&amp;",*"))/SUMIFS('AEO 2026 Table 23 '!H:H,'AEO 2026 Table 23 '!$B:$B,"*,"&amp;$A22&amp;",*"),"")</f>
        <v>3.1026543084000401E-2</v>
      </c>
      <c r="G22">
        <f>IFERROR((SUMIFS('AEO 2026 Table 23 '!J:J,'AEO 2026 Table 23 '!$B:$B,"*,"&amp;$A22&amp;",*")-SUMIFS('AEO 2026 Table 23 '!I:I,'AEO 2026 Table 23 '!$B:$B,"*,"&amp;$A22&amp;",*"))/SUMIFS('AEO 2026 Table 23 '!I:I,'AEO 2026 Table 23 '!$B:$B,"*,"&amp;$A22&amp;",*"),"")</f>
        <v>-1.4872726456593712E-3</v>
      </c>
      <c r="H22">
        <f>IFERROR((SUMIFS('AEO 2026 Table 23 '!K:K,'AEO 2026 Table 23 '!$B:$B,"*,"&amp;$A22&amp;",*")-SUMIFS('AEO 2026 Table 23 '!J:J,'AEO 2026 Table 23 '!$B:$B,"*,"&amp;$A22&amp;",*"))/SUMIFS('AEO 2026 Table 23 '!J:J,'AEO 2026 Table 23 '!$B:$B,"*,"&amp;$A22&amp;",*"),"")</f>
        <v>7.6125995799030434E-3</v>
      </c>
      <c r="I22">
        <f>IFERROR((SUMIFS('AEO 2026 Table 23 '!L:L,'AEO 2026 Table 23 '!$B:$B,"*,"&amp;$A22&amp;",*")-SUMIFS('AEO 2026 Table 23 '!K:K,'AEO 2026 Table 23 '!$B:$B,"*,"&amp;$A22&amp;",*"))/SUMIFS('AEO 2026 Table 23 '!K:K,'AEO 2026 Table 23 '!$B:$B,"*,"&amp;$A22&amp;",*"),"")</f>
        <v>1.8836635658027599E-2</v>
      </c>
      <c r="J22">
        <f>IFERROR((SUMIFS('AEO 2026 Table 23 '!M:M,'AEO 2026 Table 23 '!$B:$B,"*,"&amp;$A22&amp;",*")-SUMIFS('AEO 2026 Table 23 '!L:L,'AEO 2026 Table 23 '!$B:$B,"*,"&amp;$A22&amp;",*"))/SUMIFS('AEO 2026 Table 23 '!L:L,'AEO 2026 Table 23 '!$B:$B,"*,"&amp;$A22&amp;",*"),"")</f>
        <v>1.4672424996196651E-2</v>
      </c>
      <c r="K22">
        <f>IFERROR((SUMIFS('AEO 2026 Table 23 '!N:N,'AEO 2026 Table 23 '!$B:$B,"*,"&amp;$A22&amp;",*")-SUMIFS('AEO 2026 Table 23 '!M:M,'AEO 2026 Table 23 '!$B:$B,"*,"&amp;$A22&amp;",*"))/SUMIFS('AEO 2026 Table 23 '!M:M,'AEO 2026 Table 23 '!$B:$B,"*,"&amp;$A22&amp;",*"),"")</f>
        <v>1.8340012043860557E-2</v>
      </c>
      <c r="L22">
        <f>IFERROR((SUMIFS('AEO 2026 Table 23 '!O:O,'AEO 2026 Table 23 '!$B:$B,"*,"&amp;$A22&amp;",*")-SUMIFS('AEO 2026 Table 23 '!N:N,'AEO 2026 Table 23 '!$B:$B,"*,"&amp;$A22&amp;",*"))/SUMIFS('AEO 2026 Table 23 '!N:N,'AEO 2026 Table 23 '!$B:$B,"*,"&amp;$A22&amp;",*"),"")</f>
        <v>1.535324769203778E-2</v>
      </c>
      <c r="M22">
        <f>IFERROR((SUMIFS('AEO 2026 Table 23 '!P:P,'AEO 2026 Table 23 '!$B:$B,"*,"&amp;$A22&amp;",*")-SUMIFS('AEO 2026 Table 23 '!O:O,'AEO 2026 Table 23 '!$B:$B,"*,"&amp;$A22&amp;",*"))/SUMIFS('AEO 2026 Table 23 '!O:O,'AEO 2026 Table 23 '!$B:$B,"*,"&amp;$A22&amp;",*"),"")</f>
        <v>7.0187670888773711E-3</v>
      </c>
      <c r="N22">
        <f>IFERROR((SUMIFS('AEO 2026 Table 23 '!Q:Q,'AEO 2026 Table 23 '!$B:$B,"*,"&amp;$A22&amp;",*")-SUMIFS('AEO 2026 Table 23 '!P:P,'AEO 2026 Table 23 '!$B:$B,"*,"&amp;$A22&amp;",*"))/SUMIFS('AEO 2026 Table 23 '!P:P,'AEO 2026 Table 23 '!$B:$B,"*,"&amp;$A22&amp;",*"),"")</f>
        <v>1.1483801200096662E-2</v>
      </c>
      <c r="O22">
        <f>IFERROR((SUMIFS('AEO 2026 Table 23 '!R:R,'AEO 2026 Table 23 '!$B:$B,"*,"&amp;$A22&amp;",*")-SUMIFS('AEO 2026 Table 23 '!Q:Q,'AEO 2026 Table 23 '!$B:$B,"*,"&amp;$A22&amp;",*"))/SUMIFS('AEO 2026 Table 23 '!Q:Q,'AEO 2026 Table 23 '!$B:$B,"*,"&amp;$A22&amp;",*"),"")</f>
        <v>5.7291914443533647E-3</v>
      </c>
      <c r="P22">
        <f>IFERROR((SUMIFS('AEO 2026 Table 23 '!S:S,'AEO 2026 Table 23 '!$B:$B,"*,"&amp;$A22&amp;",*")-SUMIFS('AEO 2026 Table 23 '!R:R,'AEO 2026 Table 23 '!$B:$B,"*,"&amp;$A22&amp;",*"))/SUMIFS('AEO 2026 Table 23 '!R:R,'AEO 2026 Table 23 '!$B:$B,"*,"&amp;$A22&amp;",*"),"")</f>
        <v>7.9507598625235005E-3</v>
      </c>
      <c r="Q22">
        <f>IFERROR((SUMIFS('AEO 2026 Table 23 '!T:T,'AEO 2026 Table 23 '!$B:$B,"*,"&amp;$A22&amp;",*")-SUMIFS('AEO 2026 Table 23 '!S:S,'AEO 2026 Table 23 '!$B:$B,"*,"&amp;$A22&amp;",*"))/SUMIFS('AEO 2026 Table 23 '!S:S,'AEO 2026 Table 23 '!$B:$B,"*,"&amp;$A22&amp;",*"),"")</f>
        <v>5.3761127265107766E-3</v>
      </c>
      <c r="R22">
        <f>IFERROR((SUMIFS('AEO 2026 Table 23 '!U:U,'AEO 2026 Table 23 '!$B:$B,"*,"&amp;$A22&amp;",*")-SUMIFS('AEO 2026 Table 23 '!T:T,'AEO 2026 Table 23 '!$B:$B,"*,"&amp;$A22&amp;",*"))/SUMIFS('AEO 2026 Table 23 '!T:T,'AEO 2026 Table 23 '!$B:$B,"*,"&amp;$A22&amp;",*"),"")</f>
        <v>4.0827830185148333E-3</v>
      </c>
      <c r="S22">
        <f>IFERROR((SUMIFS('AEO 2026 Table 23 '!V:V,'AEO 2026 Table 23 '!$B:$B,"*,"&amp;$A22&amp;",*")-SUMIFS('AEO 2026 Table 23 '!U:U,'AEO 2026 Table 23 '!$B:$B,"*,"&amp;$A22&amp;",*"))/SUMIFS('AEO 2026 Table 23 '!U:U,'AEO 2026 Table 23 '!$B:$B,"*,"&amp;$A22&amp;",*"),"")</f>
        <v>9.2964978183850498E-3</v>
      </c>
      <c r="T22">
        <f>IFERROR((SUMIFS('AEO 2026 Table 23 '!W:W,'AEO 2026 Table 23 '!$B:$B,"*,"&amp;$A22&amp;",*")-SUMIFS('AEO 2026 Table 23 '!V:V,'AEO 2026 Table 23 '!$B:$B,"*,"&amp;$A22&amp;",*"))/SUMIFS('AEO 2026 Table 23 '!V:V,'AEO 2026 Table 23 '!$B:$B,"*,"&amp;$A22&amp;",*"),"")</f>
        <v>1.0454172303255269E-2</v>
      </c>
      <c r="U22">
        <f>IFERROR((SUMIFS('AEO 2026 Table 23 '!X:X,'AEO 2026 Table 23 '!$B:$B,"*,"&amp;$A22&amp;",*")-SUMIFS('AEO 2026 Table 23 '!W:W,'AEO 2026 Table 23 '!$B:$B,"*,"&amp;$A22&amp;",*"))/SUMIFS('AEO 2026 Table 23 '!W:W,'AEO 2026 Table 23 '!$B:$B,"*,"&amp;$A22&amp;",*"),"")</f>
        <v>9.6713155442675908E-3</v>
      </c>
      <c r="V22">
        <f>IFERROR((SUMIFS('AEO 2026 Table 23 '!Y:Y,'AEO 2026 Table 23 '!$B:$B,"*,"&amp;$A22&amp;",*")-SUMIFS('AEO 2026 Table 23 '!X:X,'AEO 2026 Table 23 '!$B:$B,"*,"&amp;$A22&amp;",*"))/SUMIFS('AEO 2026 Table 23 '!X:X,'AEO 2026 Table 23 '!$B:$B,"*,"&amp;$A22&amp;",*"),"")</f>
        <v>7.4659860444099939E-3</v>
      </c>
      <c r="W22">
        <f>IFERROR((SUMIFS('AEO 2026 Table 23 '!Z:Z,'AEO 2026 Table 23 '!$B:$B,"*,"&amp;$A22&amp;",*")-SUMIFS('AEO 2026 Table 23 '!Y:Y,'AEO 2026 Table 23 '!$B:$B,"*,"&amp;$A22&amp;",*"))/SUMIFS('AEO 2026 Table 23 '!Y:Y,'AEO 2026 Table 23 '!$B:$B,"*,"&amp;$A22&amp;",*"),"")</f>
        <v>7.0963412928564378E-3</v>
      </c>
      <c r="X22">
        <f>IFERROR((SUMIFS('AEO 2026 Table 23 '!AA:AA,'AEO 2026 Table 23 '!$B:$B,"*,"&amp;$A22&amp;",*")-SUMIFS('AEO 2026 Table 23 '!Z:Z,'AEO 2026 Table 23 '!$B:$B,"*,"&amp;$A22&amp;",*"))/SUMIFS('AEO 2026 Table 23 '!Z:Z,'AEO 2026 Table 23 '!$B:$B,"*,"&amp;$A22&amp;",*"),"")</f>
        <v>1.1883353893068311E-2</v>
      </c>
      <c r="Y22">
        <f>IFERROR((SUMIFS('AEO 2026 Table 23 '!AB:AB,'AEO 2026 Table 23 '!$B:$B,"*,"&amp;$A22&amp;",*")-SUMIFS('AEO 2026 Table 23 '!AA:AA,'AEO 2026 Table 23 '!$B:$B,"*,"&amp;$A22&amp;",*"))/SUMIFS('AEO 2026 Table 23 '!AA:AA,'AEO 2026 Table 23 '!$B:$B,"*,"&amp;$A22&amp;",*"),"")</f>
        <v>8.4753603571672761E-3</v>
      </c>
      <c r="Z22">
        <f>IFERROR((SUMIFS('AEO 2026 Table 23 '!AC:AC,'AEO 2026 Table 23 '!$B:$B,"*,"&amp;$A22&amp;",*")-SUMIFS('AEO 2026 Table 23 '!AB:AB,'AEO 2026 Table 23 '!$B:$B,"*,"&amp;$A22&amp;",*"))/SUMIFS('AEO 2026 Table 23 '!AB:AB,'AEO 2026 Table 23 '!$B:$B,"*,"&amp;$A22&amp;",*"),"")</f>
        <v>1.1187094527957811E-2</v>
      </c>
      <c r="AA22">
        <f>IFERROR((SUMIFS('AEO 2026 Table 23 '!AD:AD,'AEO 2026 Table 23 '!$B:$B,"*,"&amp;$A22&amp;",*")-SUMIFS('AEO 2026 Table 23 '!AC:AC,'AEO 2026 Table 23 '!$B:$B,"*,"&amp;$A22&amp;",*"))/SUMIFS('AEO 2026 Table 23 '!AC:AC,'AEO 2026 Table 23 '!$B:$B,"*,"&amp;$A22&amp;",*"),"")</f>
        <v>8.7894909652514851E-3</v>
      </c>
      <c r="AB22">
        <f>IFERROR((SUMIFS('AEO 2026 Table 23 '!AE:AE,'AEO 2026 Table 23 '!$B:$B,"*,"&amp;$A22&amp;",*")-SUMIFS('AEO 2026 Table 23 '!AD:AD,'AEO 2026 Table 23 '!$B:$B,"*,"&amp;$A22&amp;",*"))/SUMIFS('AEO 2026 Table 23 '!AD:AD,'AEO 2026 Table 23 '!$B:$B,"*,"&amp;$A22&amp;",*"),"")</f>
        <v>4.0537222005076904E-3</v>
      </c>
      <c r="AC22">
        <f>IFERROR((SUMIFS('AEO 2026 Table 23 '!AF:AF,'AEO 2026 Table 23 '!$B:$B,"*,"&amp;$A22&amp;",*")-SUMIFS('AEO 2026 Table 23 '!AE:AE,'AEO 2026 Table 23 '!$B:$B,"*,"&amp;$A22&amp;",*"))/SUMIFS('AEO 2026 Table 23 '!AE:AE,'AEO 2026 Table 23 '!$B:$B,"*,"&amp;$A22&amp;",*"),"")</f>
        <v>7.7592449126460423E-3</v>
      </c>
    </row>
    <row r="23" spans="1:29" x14ac:dyDescent="0.25">
      <c r="A23" t="s">
        <v>266</v>
      </c>
      <c r="B23">
        <f>IFERROR(SUMPRODUCT(--('BLS Table 2.11'!$L$1:$L$426=$A23),'BLS Table 2.11'!$J$1:$J$426,'BLS Table 2.11'!$K$1:$K$426)/SUMIFS('BLS Table 2.11'!$J$1:$J$426,'BLS Table 2.11'!$L$1:$L$426,$A23)/100,0)</f>
        <v>1.6710576923076918E-2</v>
      </c>
      <c r="D23">
        <f>IFERROR((SUMIFS('AEO 2026 Table 23 '!G:G,'AEO 2026 Table 23 '!$B:$B,"*,"&amp;$A23&amp;",*")-SUMIFS('AEO25 Table 23'!H:H,'AEO25 Table 23'!$B:$B,"*,"&amp;$A23&amp;",*"))/SUMIFS('AEO25 Table 23'!H:H,'AEO25 Table 23'!$B:$B,"*,"&amp;$A23&amp;",*"),"")</f>
        <v>2.7423101302979209E-4</v>
      </c>
      <c r="E23">
        <f>IFERROR((SUMIFS('AEO 2026 Table 23 '!H:H,'AEO 2026 Table 23 '!$B:$B,"*,"&amp;$A23&amp;",*")-SUMIFS('AEO 2026 Table 23 '!G:G,'AEO 2026 Table 23 '!$B:$B,"*,"&amp;$A23&amp;",*"))/SUMIFS('AEO 2026 Table 23 '!G:G,'AEO 2026 Table 23 '!$B:$B,"*,"&amp;$A23&amp;",*"),"")</f>
        <v>-4.7853998917997116E-4</v>
      </c>
      <c r="F23">
        <f>IFERROR((SUMIFS('AEO 2026 Table 23 '!I:I,'AEO 2026 Table 23 '!$B:$B,"*,"&amp;$A23&amp;",*")-SUMIFS('AEO 2026 Table 23 '!H:H,'AEO 2026 Table 23 '!$B:$B,"*,"&amp;$A23&amp;",*"))/SUMIFS('AEO 2026 Table 23 '!H:H,'AEO 2026 Table 23 '!$B:$B,"*,"&amp;$A23&amp;",*"),"")</f>
        <v>6.4732140458175378E-3</v>
      </c>
      <c r="G23">
        <f>IFERROR((SUMIFS('AEO 2026 Table 23 '!J:J,'AEO 2026 Table 23 '!$B:$B,"*,"&amp;$A23&amp;",*")-SUMIFS('AEO 2026 Table 23 '!I:I,'AEO 2026 Table 23 '!$B:$B,"*,"&amp;$A23&amp;",*"))/SUMIFS('AEO 2026 Table 23 '!I:I,'AEO 2026 Table 23 '!$B:$B,"*,"&amp;$A23&amp;",*"),"")</f>
        <v>5.4052435047520532E-3</v>
      </c>
      <c r="H23">
        <f>IFERROR((SUMIFS('AEO 2026 Table 23 '!K:K,'AEO 2026 Table 23 '!$B:$B,"*,"&amp;$A23&amp;",*")-SUMIFS('AEO 2026 Table 23 '!J:J,'AEO 2026 Table 23 '!$B:$B,"*,"&amp;$A23&amp;",*"))/SUMIFS('AEO 2026 Table 23 '!J:J,'AEO 2026 Table 23 '!$B:$B,"*,"&amp;$A23&amp;",*"),"")</f>
        <v>3.7668562580090558E-3</v>
      </c>
      <c r="I23">
        <f>IFERROR((SUMIFS('AEO 2026 Table 23 '!L:L,'AEO 2026 Table 23 '!$B:$B,"*,"&amp;$A23&amp;",*")-SUMIFS('AEO 2026 Table 23 '!K:K,'AEO 2026 Table 23 '!$B:$B,"*,"&amp;$A23&amp;",*"))/SUMIFS('AEO 2026 Table 23 '!K:K,'AEO 2026 Table 23 '!$B:$B,"*,"&amp;$A23&amp;",*"),"")</f>
        <v>4.71760218819651E-3</v>
      </c>
      <c r="J23">
        <f>IFERROR((SUMIFS('AEO 2026 Table 23 '!M:M,'AEO 2026 Table 23 '!$B:$B,"*,"&amp;$A23&amp;",*")-SUMIFS('AEO 2026 Table 23 '!L:L,'AEO 2026 Table 23 '!$B:$B,"*,"&amp;$A23&amp;",*"))/SUMIFS('AEO 2026 Table 23 '!L:L,'AEO 2026 Table 23 '!$B:$B,"*,"&amp;$A23&amp;",*"),"")</f>
        <v>5.0813282536308901E-3</v>
      </c>
      <c r="K23">
        <f>IFERROR((SUMIFS('AEO 2026 Table 23 '!N:N,'AEO 2026 Table 23 '!$B:$B,"*,"&amp;$A23&amp;",*")-SUMIFS('AEO 2026 Table 23 '!M:M,'AEO 2026 Table 23 '!$B:$B,"*,"&amp;$A23&amp;",*"))/SUMIFS('AEO 2026 Table 23 '!M:M,'AEO 2026 Table 23 '!$B:$B,"*,"&amp;$A23&amp;",*"),"")</f>
        <v>6.2623422653454597E-3</v>
      </c>
      <c r="L23">
        <f>IFERROR((SUMIFS('AEO 2026 Table 23 '!O:O,'AEO 2026 Table 23 '!$B:$B,"*,"&amp;$A23&amp;",*")-SUMIFS('AEO 2026 Table 23 '!N:N,'AEO 2026 Table 23 '!$B:$B,"*,"&amp;$A23&amp;",*"))/SUMIFS('AEO 2026 Table 23 '!N:N,'AEO 2026 Table 23 '!$B:$B,"*,"&amp;$A23&amp;",*"),"")</f>
        <v>7.6622890664389811E-3</v>
      </c>
      <c r="M23">
        <f>IFERROR((SUMIFS('AEO 2026 Table 23 '!P:P,'AEO 2026 Table 23 '!$B:$B,"*,"&amp;$A23&amp;",*")-SUMIFS('AEO 2026 Table 23 '!O:O,'AEO 2026 Table 23 '!$B:$B,"*,"&amp;$A23&amp;",*"))/SUMIFS('AEO 2026 Table 23 '!O:O,'AEO 2026 Table 23 '!$B:$B,"*,"&amp;$A23&amp;",*"),"")</f>
        <v>8.7262193702413362E-3</v>
      </c>
      <c r="N23">
        <f>IFERROR((SUMIFS('AEO 2026 Table 23 '!Q:Q,'AEO 2026 Table 23 '!$B:$B,"*,"&amp;$A23&amp;",*")-SUMIFS('AEO 2026 Table 23 '!P:P,'AEO 2026 Table 23 '!$B:$B,"*,"&amp;$A23&amp;",*"))/SUMIFS('AEO 2026 Table 23 '!P:P,'AEO 2026 Table 23 '!$B:$B,"*,"&amp;$A23&amp;",*"),"")</f>
        <v>1.007830508702855E-2</v>
      </c>
      <c r="O23">
        <f>IFERROR((SUMIFS('AEO 2026 Table 23 '!R:R,'AEO 2026 Table 23 '!$B:$B,"*,"&amp;$A23&amp;",*")-SUMIFS('AEO 2026 Table 23 '!Q:Q,'AEO 2026 Table 23 '!$B:$B,"*,"&amp;$A23&amp;",*"))/SUMIFS('AEO 2026 Table 23 '!Q:Q,'AEO 2026 Table 23 '!$B:$B,"*,"&amp;$A23&amp;",*"),"")</f>
        <v>1.0496363271853919E-2</v>
      </c>
      <c r="P23">
        <f>IFERROR((SUMIFS('AEO 2026 Table 23 '!S:S,'AEO 2026 Table 23 '!$B:$B,"*,"&amp;$A23&amp;",*")-SUMIFS('AEO 2026 Table 23 '!R:R,'AEO 2026 Table 23 '!$B:$B,"*,"&amp;$A23&amp;",*"))/SUMIFS('AEO 2026 Table 23 '!R:R,'AEO 2026 Table 23 '!$B:$B,"*,"&amp;$A23&amp;",*"),"")</f>
        <v>1.0333604705824288E-2</v>
      </c>
      <c r="Q23">
        <f>IFERROR((SUMIFS('AEO 2026 Table 23 '!T:T,'AEO 2026 Table 23 '!$B:$B,"*,"&amp;$A23&amp;",*")-SUMIFS('AEO 2026 Table 23 '!S:S,'AEO 2026 Table 23 '!$B:$B,"*,"&amp;$A23&amp;",*"))/SUMIFS('AEO 2026 Table 23 '!S:S,'AEO 2026 Table 23 '!$B:$B,"*,"&amp;$A23&amp;",*"),"")</f>
        <v>1.0283047527828019E-2</v>
      </c>
      <c r="R23">
        <f>IFERROR((SUMIFS('AEO 2026 Table 23 '!U:U,'AEO 2026 Table 23 '!$B:$B,"*,"&amp;$A23&amp;",*")-SUMIFS('AEO 2026 Table 23 '!T:T,'AEO 2026 Table 23 '!$B:$B,"*,"&amp;$A23&amp;",*"))/SUMIFS('AEO 2026 Table 23 '!T:T,'AEO 2026 Table 23 '!$B:$B,"*,"&amp;$A23&amp;",*"),"")</f>
        <v>1.0105062793125693E-2</v>
      </c>
      <c r="S23">
        <f>IFERROR((SUMIFS('AEO 2026 Table 23 '!V:V,'AEO 2026 Table 23 '!$B:$B,"*,"&amp;$A23&amp;",*")-SUMIFS('AEO 2026 Table 23 '!U:U,'AEO 2026 Table 23 '!$B:$B,"*,"&amp;$A23&amp;",*"))/SUMIFS('AEO 2026 Table 23 '!U:U,'AEO 2026 Table 23 '!$B:$B,"*,"&amp;$A23&amp;",*"),"")</f>
        <v>1.0084138683607019E-2</v>
      </c>
      <c r="T23">
        <f>IFERROR((SUMIFS('AEO 2026 Table 23 '!W:W,'AEO 2026 Table 23 '!$B:$B,"*,"&amp;$A23&amp;",*")-SUMIFS('AEO 2026 Table 23 '!V:V,'AEO 2026 Table 23 '!$B:$B,"*,"&amp;$A23&amp;",*"))/SUMIFS('AEO 2026 Table 23 '!V:V,'AEO 2026 Table 23 '!$B:$B,"*,"&amp;$A23&amp;",*"),"")</f>
        <v>1.0167585683094033E-2</v>
      </c>
      <c r="U23">
        <f>IFERROR((SUMIFS('AEO 2026 Table 23 '!X:X,'AEO 2026 Table 23 '!$B:$B,"*,"&amp;$A23&amp;",*")-SUMIFS('AEO 2026 Table 23 '!W:W,'AEO 2026 Table 23 '!$B:$B,"*,"&amp;$A23&amp;",*"))/SUMIFS('AEO 2026 Table 23 '!W:W,'AEO 2026 Table 23 '!$B:$B,"*,"&amp;$A23&amp;",*"),"")</f>
        <v>1.0138120945988576E-2</v>
      </c>
      <c r="V23">
        <f>IFERROR((SUMIFS('AEO 2026 Table 23 '!Y:Y,'AEO 2026 Table 23 '!$B:$B,"*,"&amp;$A23&amp;",*")-SUMIFS('AEO 2026 Table 23 '!X:X,'AEO 2026 Table 23 '!$B:$B,"*,"&amp;$A23&amp;",*"))/SUMIFS('AEO 2026 Table 23 '!X:X,'AEO 2026 Table 23 '!$B:$B,"*,"&amp;$A23&amp;",*"),"")</f>
        <v>1.0029968774932861E-2</v>
      </c>
      <c r="W23">
        <f>IFERROR((SUMIFS('AEO 2026 Table 23 '!Z:Z,'AEO 2026 Table 23 '!$B:$B,"*,"&amp;$A23&amp;",*")-SUMIFS('AEO 2026 Table 23 '!Y:Y,'AEO 2026 Table 23 '!$B:$B,"*,"&amp;$A23&amp;",*"))/SUMIFS('AEO 2026 Table 23 '!Y:Y,'AEO 2026 Table 23 '!$B:$B,"*,"&amp;$A23&amp;",*"),"")</f>
        <v>9.7784698021622408E-3</v>
      </c>
      <c r="X23">
        <f>IFERROR((SUMIFS('AEO 2026 Table 23 '!AA:AA,'AEO 2026 Table 23 '!$B:$B,"*,"&amp;$A23&amp;",*")-SUMIFS('AEO 2026 Table 23 '!Z:Z,'AEO 2026 Table 23 '!$B:$B,"*,"&amp;$A23&amp;",*"))/SUMIFS('AEO 2026 Table 23 '!Z:Z,'AEO 2026 Table 23 '!$B:$B,"*,"&amp;$A23&amp;",*"),"")</f>
        <v>9.5127956937354936E-3</v>
      </c>
      <c r="Y23">
        <f>IFERROR((SUMIFS('AEO 2026 Table 23 '!AB:AB,'AEO 2026 Table 23 '!$B:$B,"*,"&amp;$A23&amp;",*")-SUMIFS('AEO 2026 Table 23 '!AA:AA,'AEO 2026 Table 23 '!$B:$B,"*,"&amp;$A23&amp;",*"))/SUMIFS('AEO 2026 Table 23 '!AA:AA,'AEO 2026 Table 23 '!$B:$B,"*,"&amp;$A23&amp;",*"),"")</f>
        <v>9.1730845548896687E-3</v>
      </c>
      <c r="Z23">
        <f>IFERROR((SUMIFS('AEO 2026 Table 23 '!AC:AC,'AEO 2026 Table 23 '!$B:$B,"*,"&amp;$A23&amp;",*")-SUMIFS('AEO 2026 Table 23 '!AB:AB,'AEO 2026 Table 23 '!$B:$B,"*,"&amp;$A23&amp;",*"))/SUMIFS('AEO 2026 Table 23 '!AB:AB,'AEO 2026 Table 23 '!$B:$B,"*,"&amp;$A23&amp;",*"),"")</f>
        <v>8.6965091156279688E-3</v>
      </c>
      <c r="AA23">
        <f>IFERROR((SUMIFS('AEO 2026 Table 23 '!AD:AD,'AEO 2026 Table 23 '!$B:$B,"*,"&amp;$A23&amp;",*")-SUMIFS('AEO 2026 Table 23 '!AC:AC,'AEO 2026 Table 23 '!$B:$B,"*,"&amp;$A23&amp;",*"))/SUMIFS('AEO 2026 Table 23 '!AC:AC,'AEO 2026 Table 23 '!$B:$B,"*,"&amp;$A23&amp;",*"),"")</f>
        <v>8.1121648865610206E-3</v>
      </c>
      <c r="AB23">
        <f>IFERROR((SUMIFS('AEO 2026 Table 23 '!AE:AE,'AEO 2026 Table 23 '!$B:$B,"*,"&amp;$A23&amp;",*")-SUMIFS('AEO 2026 Table 23 '!AD:AD,'AEO 2026 Table 23 '!$B:$B,"*,"&amp;$A23&amp;",*"))/SUMIFS('AEO 2026 Table 23 '!AD:AD,'AEO 2026 Table 23 '!$B:$B,"*,"&amp;$A23&amp;",*"),"")</f>
        <v>7.48897548075166E-3</v>
      </c>
      <c r="AC23">
        <f>IFERROR((SUMIFS('AEO 2026 Table 23 '!AF:AF,'AEO 2026 Table 23 '!$B:$B,"*,"&amp;$A23&amp;",*")-SUMIFS('AEO 2026 Table 23 '!AE:AE,'AEO 2026 Table 23 '!$B:$B,"*,"&amp;$A23&amp;",*"))/SUMIFS('AEO 2026 Table 23 '!AE:AE,'AEO 2026 Table 23 '!$B:$B,"*,"&amp;$A23&amp;",*"),"")</f>
        <v>7.0854466429014972E-3</v>
      </c>
    </row>
    <row r="24" spans="1:29" x14ac:dyDescent="0.25">
      <c r="A24" t="s">
        <v>273</v>
      </c>
      <c r="B24">
        <f>IFERROR(SUMPRODUCT(--('BLS Table 2.11'!$L$1:$L$426=$A24),'BLS Table 2.11'!$J$1:$J$426,'BLS Table 2.11'!$K$1:$K$426)/SUMIFS('BLS Table 2.11'!$J$1:$J$426,'BLS Table 2.11'!$L$1:$L$426,$A24)/100,0)</f>
        <v>8.0000000000000002E-3</v>
      </c>
      <c r="D24">
        <f>IFERROR((SUMIFS('AEO 2026 Table 23 '!G:G,'AEO 2026 Table 23 '!$B:$B,"*,"&amp;$A24&amp;",*")-SUMIFS('AEO25 Table 23'!H:H,'AEO25 Table 23'!$B:$B,"*,"&amp;$A24&amp;",*"))/SUMIFS('AEO25 Table 23'!H:H,'AEO25 Table 23'!$B:$B,"*,"&amp;$A24&amp;",*"),"")</f>
        <v>2.583505185322945E-2</v>
      </c>
      <c r="E24">
        <f>IFERROR((SUMIFS('AEO 2026 Table 23 '!H:H,'AEO 2026 Table 23 '!$B:$B,"*,"&amp;$A24&amp;",*")-SUMIFS('AEO 2026 Table 23 '!G:G,'AEO 2026 Table 23 '!$B:$B,"*,"&amp;$A24&amp;",*"))/SUMIFS('AEO 2026 Table 23 '!G:G,'AEO 2026 Table 23 '!$B:$B,"*,"&amp;$A24&amp;",*"),"")</f>
        <v>2.1302773500079922E-2</v>
      </c>
      <c r="F24">
        <f>IFERROR((SUMIFS('AEO 2026 Table 23 '!I:I,'AEO 2026 Table 23 '!$B:$B,"*,"&amp;$A24&amp;",*")-SUMIFS('AEO 2026 Table 23 '!H:H,'AEO 2026 Table 23 '!$B:$B,"*,"&amp;$A24&amp;",*"))/SUMIFS('AEO 2026 Table 23 '!H:H,'AEO 2026 Table 23 '!$B:$B,"*,"&amp;$A24&amp;",*"),"")</f>
        <v>1.7395990296488601E-2</v>
      </c>
      <c r="G24">
        <f>IFERROR((SUMIFS('AEO 2026 Table 23 '!J:J,'AEO 2026 Table 23 '!$B:$B,"*,"&amp;$A24&amp;",*")-SUMIFS('AEO 2026 Table 23 '!I:I,'AEO 2026 Table 23 '!$B:$B,"*,"&amp;$A24&amp;",*"))/SUMIFS('AEO 2026 Table 23 '!I:I,'AEO 2026 Table 23 '!$B:$B,"*,"&amp;$A24&amp;",*"),"")</f>
        <v>-8.7007286699702351E-3</v>
      </c>
      <c r="H24">
        <f>IFERROR((SUMIFS('AEO 2026 Table 23 '!K:K,'AEO 2026 Table 23 '!$B:$B,"*,"&amp;$A24&amp;",*")-SUMIFS('AEO 2026 Table 23 '!J:J,'AEO 2026 Table 23 '!$B:$B,"*,"&amp;$A24&amp;",*"))/SUMIFS('AEO 2026 Table 23 '!J:J,'AEO 2026 Table 23 '!$B:$B,"*,"&amp;$A24&amp;",*"),"")</f>
        <v>-3.7304698077702675E-3</v>
      </c>
      <c r="I24">
        <f>IFERROR((SUMIFS('AEO 2026 Table 23 '!L:L,'AEO 2026 Table 23 '!$B:$B,"*,"&amp;$A24&amp;",*")-SUMIFS('AEO 2026 Table 23 '!K:K,'AEO 2026 Table 23 '!$B:$B,"*,"&amp;$A24&amp;",*"))/SUMIFS('AEO 2026 Table 23 '!K:K,'AEO 2026 Table 23 '!$B:$B,"*,"&amp;$A24&amp;",*"),"")</f>
        <v>-2.0828084827644779E-4</v>
      </c>
      <c r="J24">
        <f>IFERROR((SUMIFS('AEO 2026 Table 23 '!M:M,'AEO 2026 Table 23 '!$B:$B,"*,"&amp;$A24&amp;",*")-SUMIFS('AEO 2026 Table 23 '!L:L,'AEO 2026 Table 23 '!$B:$B,"*,"&amp;$A24&amp;",*"))/SUMIFS('AEO 2026 Table 23 '!L:L,'AEO 2026 Table 23 '!$B:$B,"*,"&amp;$A24&amp;",*"),"")</f>
        <v>1.2447620621955792E-3</v>
      </c>
      <c r="K24">
        <f>IFERROR((SUMIFS('AEO 2026 Table 23 '!N:N,'AEO 2026 Table 23 '!$B:$B,"*,"&amp;$A24&amp;",*")-SUMIFS('AEO 2026 Table 23 '!M:M,'AEO 2026 Table 23 '!$B:$B,"*,"&amp;$A24&amp;",*"))/SUMIFS('AEO 2026 Table 23 '!M:M,'AEO 2026 Table 23 '!$B:$B,"*,"&amp;$A24&amp;",*"),"")</f>
        <v>9.5114980984205844E-3</v>
      </c>
      <c r="L24">
        <f>IFERROR((SUMIFS('AEO 2026 Table 23 '!O:O,'AEO 2026 Table 23 '!$B:$B,"*,"&amp;$A24&amp;",*")-SUMIFS('AEO 2026 Table 23 '!N:N,'AEO 2026 Table 23 '!$B:$B,"*,"&amp;$A24&amp;",*"))/SUMIFS('AEO 2026 Table 23 '!N:N,'AEO 2026 Table 23 '!$B:$B,"*,"&amp;$A24&amp;",*"),"")</f>
        <v>7.2478771041927471E-3</v>
      </c>
      <c r="M24">
        <f>IFERROR((SUMIFS('AEO 2026 Table 23 '!P:P,'AEO 2026 Table 23 '!$B:$B,"*,"&amp;$A24&amp;",*")-SUMIFS('AEO 2026 Table 23 '!O:O,'AEO 2026 Table 23 '!$B:$B,"*,"&amp;$A24&amp;",*"))/SUMIFS('AEO 2026 Table 23 '!O:O,'AEO 2026 Table 23 '!$B:$B,"*,"&amp;$A24&amp;",*"),"")</f>
        <v>1.2476036700577314E-2</v>
      </c>
      <c r="N24">
        <f>IFERROR((SUMIFS('AEO 2026 Table 23 '!Q:Q,'AEO 2026 Table 23 '!$B:$B,"*,"&amp;$A24&amp;",*")-SUMIFS('AEO 2026 Table 23 '!P:P,'AEO 2026 Table 23 '!$B:$B,"*,"&amp;$A24&amp;",*"))/SUMIFS('AEO 2026 Table 23 '!P:P,'AEO 2026 Table 23 '!$B:$B,"*,"&amp;$A24&amp;",*"),"")</f>
        <v>1.1810309432023953E-2</v>
      </c>
      <c r="O24">
        <f>IFERROR((SUMIFS('AEO 2026 Table 23 '!R:R,'AEO 2026 Table 23 '!$B:$B,"*,"&amp;$A24&amp;",*")-SUMIFS('AEO 2026 Table 23 '!Q:Q,'AEO 2026 Table 23 '!$B:$B,"*,"&amp;$A24&amp;",*"))/SUMIFS('AEO 2026 Table 23 '!Q:Q,'AEO 2026 Table 23 '!$B:$B,"*,"&amp;$A24&amp;",*"),"")</f>
        <v>7.9120390195665073E-3</v>
      </c>
      <c r="P24">
        <f>IFERROR((SUMIFS('AEO 2026 Table 23 '!S:S,'AEO 2026 Table 23 '!$B:$B,"*,"&amp;$A24&amp;",*")-SUMIFS('AEO 2026 Table 23 '!R:R,'AEO 2026 Table 23 '!$B:$B,"*,"&amp;$A24&amp;",*"))/SUMIFS('AEO 2026 Table 23 '!R:R,'AEO 2026 Table 23 '!$B:$B,"*,"&amp;$A24&amp;",*"),"")</f>
        <v>8.8272957889208442E-3</v>
      </c>
      <c r="Q24">
        <f>IFERROR((SUMIFS('AEO 2026 Table 23 '!T:T,'AEO 2026 Table 23 '!$B:$B,"*,"&amp;$A24&amp;",*")-SUMIFS('AEO 2026 Table 23 '!S:S,'AEO 2026 Table 23 '!$B:$B,"*,"&amp;$A24&amp;",*"))/SUMIFS('AEO 2026 Table 23 '!S:S,'AEO 2026 Table 23 '!$B:$B,"*,"&amp;$A24&amp;",*"),"")</f>
        <v>1.0427693086454585E-2</v>
      </c>
      <c r="R24">
        <f>IFERROR((SUMIFS('AEO 2026 Table 23 '!U:U,'AEO 2026 Table 23 '!$B:$B,"*,"&amp;$A24&amp;",*")-SUMIFS('AEO 2026 Table 23 '!T:T,'AEO 2026 Table 23 '!$B:$B,"*,"&amp;$A24&amp;",*"))/SUMIFS('AEO 2026 Table 23 '!T:T,'AEO 2026 Table 23 '!$B:$B,"*,"&amp;$A24&amp;",*"),"")</f>
        <v>7.1226284684474369E-3</v>
      </c>
      <c r="S24">
        <f>IFERROR((SUMIFS('AEO 2026 Table 23 '!V:V,'AEO 2026 Table 23 '!$B:$B,"*,"&amp;$A24&amp;",*")-SUMIFS('AEO 2026 Table 23 '!U:U,'AEO 2026 Table 23 '!$B:$B,"*,"&amp;$A24&amp;",*"))/SUMIFS('AEO 2026 Table 23 '!U:U,'AEO 2026 Table 23 '!$B:$B,"*,"&amp;$A24&amp;",*"),"")</f>
        <v>9.8951308344954747E-3</v>
      </c>
      <c r="T24">
        <f>IFERROR((SUMIFS('AEO 2026 Table 23 '!W:W,'AEO 2026 Table 23 '!$B:$B,"*,"&amp;$A24&amp;",*")-SUMIFS('AEO 2026 Table 23 '!V:V,'AEO 2026 Table 23 '!$B:$B,"*,"&amp;$A24&amp;",*"))/SUMIFS('AEO 2026 Table 23 '!V:V,'AEO 2026 Table 23 '!$B:$B,"*,"&amp;$A24&amp;",*"),"")</f>
        <v>9.038876868339837E-3</v>
      </c>
      <c r="U24">
        <f>IFERROR((SUMIFS('AEO 2026 Table 23 '!X:X,'AEO 2026 Table 23 '!$B:$B,"*,"&amp;$A24&amp;",*")-SUMIFS('AEO 2026 Table 23 '!W:W,'AEO 2026 Table 23 '!$B:$B,"*,"&amp;$A24&amp;",*"))/SUMIFS('AEO 2026 Table 23 '!W:W,'AEO 2026 Table 23 '!$B:$B,"*,"&amp;$A24&amp;",*"),"")</f>
        <v>9.9646974072085219E-3</v>
      </c>
      <c r="V24">
        <f>IFERROR((SUMIFS('AEO 2026 Table 23 '!Y:Y,'AEO 2026 Table 23 '!$B:$B,"*,"&amp;$A24&amp;",*")-SUMIFS('AEO 2026 Table 23 '!X:X,'AEO 2026 Table 23 '!$B:$B,"*,"&amp;$A24&amp;",*"))/SUMIFS('AEO 2026 Table 23 '!X:X,'AEO 2026 Table 23 '!$B:$B,"*,"&amp;$A24&amp;",*"),"")</f>
        <v>1.0126107037825011E-2</v>
      </c>
      <c r="W24">
        <f>IFERROR((SUMIFS('AEO 2026 Table 23 '!Z:Z,'AEO 2026 Table 23 '!$B:$B,"*,"&amp;$A24&amp;",*")-SUMIFS('AEO 2026 Table 23 '!Y:Y,'AEO 2026 Table 23 '!$B:$B,"*,"&amp;$A24&amp;",*"))/SUMIFS('AEO 2026 Table 23 '!Y:Y,'AEO 2026 Table 23 '!$B:$B,"*,"&amp;$A24&amp;",*"),"")</f>
        <v>1.4210034173012122E-2</v>
      </c>
      <c r="X24">
        <f>IFERROR((SUMIFS('AEO 2026 Table 23 '!AA:AA,'AEO 2026 Table 23 '!$B:$B,"*,"&amp;$A24&amp;",*")-SUMIFS('AEO 2026 Table 23 '!Z:Z,'AEO 2026 Table 23 '!$B:$B,"*,"&amp;$A24&amp;",*"))/SUMIFS('AEO 2026 Table 23 '!Z:Z,'AEO 2026 Table 23 '!$B:$B,"*,"&amp;$A24&amp;",*"),"")</f>
        <v>1.3590009721918109E-2</v>
      </c>
      <c r="Y24">
        <f>IFERROR((SUMIFS('AEO 2026 Table 23 '!AB:AB,'AEO 2026 Table 23 '!$B:$B,"*,"&amp;$A24&amp;",*")-SUMIFS('AEO 2026 Table 23 '!AA:AA,'AEO 2026 Table 23 '!$B:$B,"*,"&amp;$A24&amp;",*"))/SUMIFS('AEO 2026 Table 23 '!AA:AA,'AEO 2026 Table 23 '!$B:$B,"*,"&amp;$A24&amp;",*"),"")</f>
        <v>1.1843832165229377E-2</v>
      </c>
      <c r="Z24">
        <f>IFERROR((SUMIFS('AEO 2026 Table 23 '!AC:AC,'AEO 2026 Table 23 '!$B:$B,"*,"&amp;$A24&amp;",*")-SUMIFS('AEO 2026 Table 23 '!AB:AB,'AEO 2026 Table 23 '!$B:$B,"*,"&amp;$A24&amp;",*"))/SUMIFS('AEO 2026 Table 23 '!AB:AB,'AEO 2026 Table 23 '!$B:$B,"*,"&amp;$A24&amp;",*"),"")</f>
        <v>6.1499425535588379E-3</v>
      </c>
      <c r="AA24">
        <f>IFERROR((SUMIFS('AEO 2026 Table 23 '!AD:AD,'AEO 2026 Table 23 '!$B:$B,"*,"&amp;$A24&amp;",*")-SUMIFS('AEO 2026 Table 23 '!AC:AC,'AEO 2026 Table 23 '!$B:$B,"*,"&amp;$A24&amp;",*"))/SUMIFS('AEO 2026 Table 23 '!AC:AC,'AEO 2026 Table 23 '!$B:$B,"*,"&amp;$A24&amp;",*"),"")</f>
        <v>3.5324314979772627E-3</v>
      </c>
      <c r="AB24">
        <f>IFERROR((SUMIFS('AEO 2026 Table 23 '!AE:AE,'AEO 2026 Table 23 '!$B:$B,"*,"&amp;$A24&amp;",*")-SUMIFS('AEO 2026 Table 23 '!AD:AD,'AEO 2026 Table 23 '!$B:$B,"*,"&amp;$A24&amp;",*"))/SUMIFS('AEO 2026 Table 23 '!AD:AD,'AEO 2026 Table 23 '!$B:$B,"*,"&amp;$A24&amp;",*"),"")</f>
        <v>1.0748907107304761E-2</v>
      </c>
      <c r="AC24">
        <f>IFERROR((SUMIFS('AEO 2026 Table 23 '!AF:AF,'AEO 2026 Table 23 '!$B:$B,"*,"&amp;$A24&amp;",*")-SUMIFS('AEO 2026 Table 23 '!AE:AE,'AEO 2026 Table 23 '!$B:$B,"*,"&amp;$A24&amp;",*"))/SUMIFS('AEO 2026 Table 23 '!AE:AE,'AEO 2026 Table 23 '!$B:$B,"*,"&amp;$A24&amp;",*"),"")</f>
        <v>9.654321392619734E-3</v>
      </c>
    </row>
    <row r="25" spans="1:29" x14ac:dyDescent="0.25">
      <c r="A25" t="s">
        <v>299</v>
      </c>
      <c r="B25">
        <f>IFERROR(SUMPRODUCT(--('BLS Table 2.11'!$L$1:$L$426=$A25),'BLS Table 2.11'!$J$1:$J$426,'BLS Table 2.11'!$K$1:$K$426)/SUMIFS('BLS Table 2.11'!$J$1:$J$426,'BLS Table 2.11'!$L$1:$L$426,$A25)/100,0)</f>
        <v>2.2000000000000002E-2</v>
      </c>
      <c r="D25">
        <f>IFERROR((SUMIFS('AEO 2026 Table 23 '!G:G,'AEO 2026 Table 23 '!$B:$B,"*,"&amp;$A25&amp;",*")-SUMIFS('AEO25 Table 23'!H:H,'AEO25 Table 23'!$B:$B,"*,"&amp;$A25&amp;",*"))/SUMIFS('AEO25 Table 23'!H:H,'AEO25 Table 23'!$B:$B,"*,"&amp;$A25&amp;",*"),"")</f>
        <v>-6.5496145174722312E-2</v>
      </c>
      <c r="E25">
        <f>IFERROR((SUMIFS('AEO 2026 Table 23 '!H:H,'AEO 2026 Table 23 '!$B:$B,"*,"&amp;$A25&amp;",*")-SUMIFS('AEO 2026 Table 23 '!G:G,'AEO 2026 Table 23 '!$B:$B,"*,"&amp;$A25&amp;",*"))/SUMIFS('AEO 2026 Table 23 '!G:G,'AEO 2026 Table 23 '!$B:$B,"*,"&amp;$A25&amp;",*"),"")</f>
        <v>1.049235557326296E-2</v>
      </c>
      <c r="F25">
        <f>IFERROR((SUMIFS('AEO 2026 Table 23 '!I:I,'AEO 2026 Table 23 '!$B:$B,"*,"&amp;$A25&amp;",*")-SUMIFS('AEO 2026 Table 23 '!H:H,'AEO 2026 Table 23 '!$B:$B,"*,"&amp;$A25&amp;",*"))/SUMIFS('AEO 2026 Table 23 '!H:H,'AEO 2026 Table 23 '!$B:$B,"*,"&amp;$A25&amp;",*"),"")</f>
        <v>3.7470970080506746E-2</v>
      </c>
      <c r="G25">
        <f>IFERROR((SUMIFS('AEO 2026 Table 23 '!J:J,'AEO 2026 Table 23 '!$B:$B,"*,"&amp;$A25&amp;",*")-SUMIFS('AEO 2026 Table 23 '!I:I,'AEO 2026 Table 23 '!$B:$B,"*,"&amp;$A25&amp;",*"))/SUMIFS('AEO 2026 Table 23 '!I:I,'AEO 2026 Table 23 '!$B:$B,"*,"&amp;$A25&amp;",*"),"")</f>
        <v>2.3952323404698484E-2</v>
      </c>
      <c r="H25">
        <f>IFERROR((SUMIFS('AEO 2026 Table 23 '!K:K,'AEO 2026 Table 23 '!$B:$B,"*,"&amp;$A25&amp;",*")-SUMIFS('AEO 2026 Table 23 '!J:J,'AEO 2026 Table 23 '!$B:$B,"*,"&amp;$A25&amp;",*"))/SUMIFS('AEO 2026 Table 23 '!J:J,'AEO 2026 Table 23 '!$B:$B,"*,"&amp;$A25&amp;",*"),"")</f>
        <v>2.5456781846209971E-2</v>
      </c>
      <c r="I25">
        <f>IFERROR((SUMIFS('AEO 2026 Table 23 '!L:L,'AEO 2026 Table 23 '!$B:$B,"*,"&amp;$A25&amp;",*")-SUMIFS('AEO 2026 Table 23 '!K:K,'AEO 2026 Table 23 '!$B:$B,"*,"&amp;$A25&amp;",*"))/SUMIFS('AEO 2026 Table 23 '!K:K,'AEO 2026 Table 23 '!$B:$B,"*,"&amp;$A25&amp;",*"),"")</f>
        <v>2.044704623110288E-2</v>
      </c>
      <c r="J25">
        <f>IFERROR((SUMIFS('AEO 2026 Table 23 '!M:M,'AEO 2026 Table 23 '!$B:$B,"*,"&amp;$A25&amp;",*")-SUMIFS('AEO 2026 Table 23 '!L:L,'AEO 2026 Table 23 '!$B:$B,"*,"&amp;$A25&amp;",*"))/SUMIFS('AEO 2026 Table 23 '!L:L,'AEO 2026 Table 23 '!$B:$B,"*,"&amp;$A25&amp;",*"),"")</f>
        <v>1.6053906954425344E-2</v>
      </c>
      <c r="K25">
        <f>IFERROR((SUMIFS('AEO 2026 Table 23 '!N:N,'AEO 2026 Table 23 '!$B:$B,"*,"&amp;$A25&amp;",*")-SUMIFS('AEO 2026 Table 23 '!M:M,'AEO 2026 Table 23 '!$B:$B,"*,"&amp;$A25&amp;",*"))/SUMIFS('AEO 2026 Table 23 '!M:M,'AEO 2026 Table 23 '!$B:$B,"*,"&amp;$A25&amp;",*"),"")</f>
        <v>1.9197945678032947E-2</v>
      </c>
      <c r="L25">
        <f>IFERROR((SUMIFS('AEO 2026 Table 23 '!O:O,'AEO 2026 Table 23 '!$B:$B,"*,"&amp;$A25&amp;",*")-SUMIFS('AEO 2026 Table 23 '!N:N,'AEO 2026 Table 23 '!$B:$B,"*,"&amp;$A25&amp;",*"))/SUMIFS('AEO 2026 Table 23 '!N:N,'AEO 2026 Table 23 '!$B:$B,"*,"&amp;$A25&amp;",*"),"")</f>
        <v>1.3829789433627978E-2</v>
      </c>
      <c r="M25">
        <f>IFERROR((SUMIFS('AEO 2026 Table 23 '!P:P,'AEO 2026 Table 23 '!$B:$B,"*,"&amp;$A25&amp;",*")-SUMIFS('AEO 2026 Table 23 '!O:O,'AEO 2026 Table 23 '!$B:$B,"*,"&amp;$A25&amp;",*"))/SUMIFS('AEO 2026 Table 23 '!O:O,'AEO 2026 Table 23 '!$B:$B,"*,"&amp;$A25&amp;",*"),"")</f>
        <v>1.7647761389281848E-2</v>
      </c>
      <c r="N25">
        <f>IFERROR((SUMIFS('AEO 2026 Table 23 '!Q:Q,'AEO 2026 Table 23 '!$B:$B,"*,"&amp;$A25&amp;",*")-SUMIFS('AEO 2026 Table 23 '!P:P,'AEO 2026 Table 23 '!$B:$B,"*,"&amp;$A25&amp;",*"))/SUMIFS('AEO 2026 Table 23 '!P:P,'AEO 2026 Table 23 '!$B:$B,"*,"&amp;$A25&amp;",*"),"")</f>
        <v>2.0477310320871293E-2</v>
      </c>
      <c r="O25">
        <f>IFERROR((SUMIFS('AEO 2026 Table 23 '!R:R,'AEO 2026 Table 23 '!$B:$B,"*,"&amp;$A25&amp;",*")-SUMIFS('AEO 2026 Table 23 '!Q:Q,'AEO 2026 Table 23 '!$B:$B,"*,"&amp;$A25&amp;",*"))/SUMIFS('AEO 2026 Table 23 '!Q:Q,'AEO 2026 Table 23 '!$B:$B,"*,"&amp;$A25&amp;",*"),"")</f>
        <v>1.9872186202292391E-2</v>
      </c>
      <c r="P25">
        <f>IFERROR((SUMIFS('AEO 2026 Table 23 '!S:S,'AEO 2026 Table 23 '!$B:$B,"*,"&amp;$A25&amp;",*")-SUMIFS('AEO 2026 Table 23 '!R:R,'AEO 2026 Table 23 '!$B:$B,"*,"&amp;$A25&amp;",*"))/SUMIFS('AEO 2026 Table 23 '!R:R,'AEO 2026 Table 23 '!$B:$B,"*,"&amp;$A25&amp;",*"),"")</f>
        <v>2.1011163495363843E-2</v>
      </c>
      <c r="Q25">
        <f>IFERROR((SUMIFS('AEO 2026 Table 23 '!T:T,'AEO 2026 Table 23 '!$B:$B,"*,"&amp;$A25&amp;",*")-SUMIFS('AEO 2026 Table 23 '!S:S,'AEO 2026 Table 23 '!$B:$B,"*,"&amp;$A25&amp;",*"))/SUMIFS('AEO 2026 Table 23 '!S:S,'AEO 2026 Table 23 '!$B:$B,"*,"&amp;$A25&amp;",*"),"")</f>
        <v>2.0562019562047316E-2</v>
      </c>
      <c r="R25">
        <f>IFERROR((SUMIFS('AEO 2026 Table 23 '!U:U,'AEO 2026 Table 23 '!$B:$B,"*,"&amp;$A25&amp;",*")-SUMIFS('AEO 2026 Table 23 '!T:T,'AEO 2026 Table 23 '!$B:$B,"*,"&amp;$A25&amp;",*"))/SUMIFS('AEO 2026 Table 23 '!T:T,'AEO 2026 Table 23 '!$B:$B,"*,"&amp;$A25&amp;",*"),"")</f>
        <v>2.1821787250447627E-2</v>
      </c>
      <c r="S25">
        <f>IFERROR((SUMIFS('AEO 2026 Table 23 '!V:V,'AEO 2026 Table 23 '!$B:$B,"*,"&amp;$A25&amp;",*")-SUMIFS('AEO 2026 Table 23 '!U:U,'AEO 2026 Table 23 '!$B:$B,"*,"&amp;$A25&amp;",*"))/SUMIFS('AEO 2026 Table 23 '!U:U,'AEO 2026 Table 23 '!$B:$B,"*,"&amp;$A25&amp;",*"),"")</f>
        <v>2.2229099579873086E-2</v>
      </c>
      <c r="T25">
        <f>IFERROR((SUMIFS('AEO 2026 Table 23 '!W:W,'AEO 2026 Table 23 '!$B:$B,"*,"&amp;$A25&amp;",*")-SUMIFS('AEO 2026 Table 23 '!V:V,'AEO 2026 Table 23 '!$B:$B,"*,"&amp;$A25&amp;",*"))/SUMIFS('AEO 2026 Table 23 '!V:V,'AEO 2026 Table 23 '!$B:$B,"*,"&amp;$A25&amp;",*"),"")</f>
        <v>2.1383231961426E-2</v>
      </c>
      <c r="U25">
        <f>IFERROR((SUMIFS('AEO 2026 Table 23 '!X:X,'AEO 2026 Table 23 '!$B:$B,"*,"&amp;$A25&amp;",*")-SUMIFS('AEO 2026 Table 23 '!W:W,'AEO 2026 Table 23 '!$B:$B,"*,"&amp;$A25&amp;",*"))/SUMIFS('AEO 2026 Table 23 '!W:W,'AEO 2026 Table 23 '!$B:$B,"*,"&amp;$A25&amp;",*"),"")</f>
        <v>2.2557698028721859E-2</v>
      </c>
      <c r="V25">
        <f>IFERROR((SUMIFS('AEO 2026 Table 23 '!Y:Y,'AEO 2026 Table 23 '!$B:$B,"*,"&amp;$A25&amp;",*")-SUMIFS('AEO 2026 Table 23 '!X:X,'AEO 2026 Table 23 '!$B:$B,"*,"&amp;$A25&amp;",*"))/SUMIFS('AEO 2026 Table 23 '!X:X,'AEO 2026 Table 23 '!$B:$B,"*,"&amp;$A25&amp;",*"),"")</f>
        <v>2.3289221664284179E-2</v>
      </c>
      <c r="W25">
        <f>IFERROR((SUMIFS('AEO 2026 Table 23 '!Z:Z,'AEO 2026 Table 23 '!$B:$B,"*,"&amp;$A25&amp;",*")-SUMIFS('AEO 2026 Table 23 '!Y:Y,'AEO 2026 Table 23 '!$B:$B,"*,"&amp;$A25&amp;",*"))/SUMIFS('AEO 2026 Table 23 '!Y:Y,'AEO 2026 Table 23 '!$B:$B,"*,"&amp;$A25&amp;",*"),"")</f>
        <v>2.5166225455832306E-2</v>
      </c>
      <c r="X25">
        <f>IFERROR((SUMIFS('AEO 2026 Table 23 '!AA:AA,'AEO 2026 Table 23 '!$B:$B,"*,"&amp;$A25&amp;",*")-SUMIFS('AEO 2026 Table 23 '!Z:Z,'AEO 2026 Table 23 '!$B:$B,"*,"&amp;$A25&amp;",*"))/SUMIFS('AEO 2026 Table 23 '!Z:Z,'AEO 2026 Table 23 '!$B:$B,"*,"&amp;$A25&amp;",*"),"")</f>
        <v>2.5932976807984533E-2</v>
      </c>
      <c r="Y25">
        <f>IFERROR((SUMIFS('AEO 2026 Table 23 '!AB:AB,'AEO 2026 Table 23 '!$B:$B,"*,"&amp;$A25&amp;",*")-SUMIFS('AEO 2026 Table 23 '!AA:AA,'AEO 2026 Table 23 '!$B:$B,"*,"&amp;$A25&amp;",*"))/SUMIFS('AEO 2026 Table 23 '!AA:AA,'AEO 2026 Table 23 '!$B:$B,"*,"&amp;$A25&amp;",*"),"")</f>
        <v>2.6600966858647983E-2</v>
      </c>
      <c r="Z25">
        <f>IFERROR((SUMIFS('AEO 2026 Table 23 '!AC:AC,'AEO 2026 Table 23 '!$B:$B,"*,"&amp;$A25&amp;",*")-SUMIFS('AEO 2026 Table 23 '!AB:AB,'AEO 2026 Table 23 '!$B:$B,"*,"&amp;$A25&amp;",*"))/SUMIFS('AEO 2026 Table 23 '!AB:AB,'AEO 2026 Table 23 '!$B:$B,"*,"&amp;$A25&amp;",*"),"")</f>
        <v>2.4984846374277125E-2</v>
      </c>
      <c r="AA25">
        <f>IFERROR((SUMIFS('AEO 2026 Table 23 '!AD:AD,'AEO 2026 Table 23 '!$B:$B,"*,"&amp;$A25&amp;",*")-SUMIFS('AEO 2026 Table 23 '!AC:AC,'AEO 2026 Table 23 '!$B:$B,"*,"&amp;$A25&amp;",*"))/SUMIFS('AEO 2026 Table 23 '!AC:AC,'AEO 2026 Table 23 '!$B:$B,"*,"&amp;$A25&amp;",*"),"")</f>
        <v>2.4501268917016789E-2</v>
      </c>
      <c r="AB25">
        <f>IFERROR((SUMIFS('AEO 2026 Table 23 '!AE:AE,'AEO 2026 Table 23 '!$B:$B,"*,"&amp;$A25&amp;",*")-SUMIFS('AEO 2026 Table 23 '!AD:AD,'AEO 2026 Table 23 '!$B:$B,"*,"&amp;$A25&amp;",*"))/SUMIFS('AEO 2026 Table 23 '!AD:AD,'AEO 2026 Table 23 '!$B:$B,"*,"&amp;$A25&amp;",*"),"")</f>
        <v>2.4399332556645007E-2</v>
      </c>
      <c r="AC25">
        <f>IFERROR((SUMIFS('AEO 2026 Table 23 '!AF:AF,'AEO 2026 Table 23 '!$B:$B,"*,"&amp;$A25&amp;",*")-SUMIFS('AEO 2026 Table 23 '!AE:AE,'AEO 2026 Table 23 '!$B:$B,"*,"&amp;$A25&amp;",*"))/SUMIFS('AEO 2026 Table 23 '!AE:AE,'AEO 2026 Table 23 '!$B:$B,"*,"&amp;$A25&amp;",*"),"")</f>
        <v>2.1273483357682858E-2</v>
      </c>
    </row>
    <row r="26" spans="1:29" x14ac:dyDescent="0.25">
      <c r="A26" t="s">
        <v>314</v>
      </c>
      <c r="B26">
        <f>IFERROR(SUMPRODUCT(--('BLS Table 2.11'!$L$1:$L$426=$A26),'BLS Table 2.11'!$J$1:$J$426,'BLS Table 2.11'!$K$1:$K$426)/SUMIFS('BLS Table 2.11'!$J$1:$J$426,'BLS Table 2.11'!$L$1:$L$426,$A26)/100,0)</f>
        <v>1.7000000000000001E-2</v>
      </c>
      <c r="D26">
        <f>IFERROR((SUMIFS('AEO 2026 Table 23 '!G:G,'AEO 2026 Table 23 '!$B:$B,"*,"&amp;$A26&amp;",*")-SUMIFS('AEO25 Table 23'!H:H,'AEO25 Table 23'!$B:$B,"*,"&amp;$A26&amp;",*"))/SUMIFS('AEO25 Table 23'!H:H,'AEO25 Table 23'!$B:$B,"*,"&amp;$A26&amp;",*"),"")</f>
        <v>9.5838154987310364E-3</v>
      </c>
      <c r="E26">
        <f>IFERROR((SUMIFS('AEO 2026 Table 23 '!H:H,'AEO 2026 Table 23 '!$B:$B,"*,"&amp;$A26&amp;",*")-SUMIFS('AEO 2026 Table 23 '!G:G,'AEO 2026 Table 23 '!$B:$B,"*,"&amp;$A26&amp;",*"))/SUMIFS('AEO 2026 Table 23 '!G:G,'AEO 2026 Table 23 '!$B:$B,"*,"&amp;$A26&amp;",*"),"")</f>
        <v>-1.3180751806413827E-2</v>
      </c>
      <c r="F26">
        <f>IFERROR((SUMIFS('AEO 2026 Table 23 '!I:I,'AEO 2026 Table 23 '!$B:$B,"*,"&amp;$A26&amp;",*")-SUMIFS('AEO 2026 Table 23 '!H:H,'AEO 2026 Table 23 '!$B:$B,"*,"&amp;$A26&amp;",*"))/SUMIFS('AEO 2026 Table 23 '!H:H,'AEO 2026 Table 23 '!$B:$B,"*,"&amp;$A26&amp;",*"),"")</f>
        <v>-5.495876411580016E-3</v>
      </c>
      <c r="G26">
        <f>IFERROR((SUMIFS('AEO 2026 Table 23 '!J:J,'AEO 2026 Table 23 '!$B:$B,"*,"&amp;$A26&amp;",*")-SUMIFS('AEO 2026 Table 23 '!I:I,'AEO 2026 Table 23 '!$B:$B,"*,"&amp;$A26&amp;",*"))/SUMIFS('AEO 2026 Table 23 '!I:I,'AEO 2026 Table 23 '!$B:$B,"*,"&amp;$A26&amp;",*"),"")</f>
        <v>-1.5659957935745084E-2</v>
      </c>
      <c r="H26">
        <f>IFERROR((SUMIFS('AEO 2026 Table 23 '!K:K,'AEO 2026 Table 23 '!$B:$B,"*,"&amp;$A26&amp;",*")-SUMIFS('AEO 2026 Table 23 '!J:J,'AEO 2026 Table 23 '!$B:$B,"*,"&amp;$A26&amp;",*"))/SUMIFS('AEO 2026 Table 23 '!J:J,'AEO 2026 Table 23 '!$B:$B,"*,"&amp;$A26&amp;",*"),"")</f>
        <v>-3.6960462318567761E-3</v>
      </c>
      <c r="I26">
        <f>IFERROR((SUMIFS('AEO 2026 Table 23 '!L:L,'AEO 2026 Table 23 '!$B:$B,"*,"&amp;$A26&amp;",*")-SUMIFS('AEO 2026 Table 23 '!K:K,'AEO 2026 Table 23 '!$B:$B,"*,"&amp;$A26&amp;",*"))/SUMIFS('AEO 2026 Table 23 '!K:K,'AEO 2026 Table 23 '!$B:$B,"*,"&amp;$A26&amp;",*"),"")</f>
        <v>1.8032865730730773E-2</v>
      </c>
      <c r="J26">
        <f>IFERROR((SUMIFS('AEO 2026 Table 23 '!M:M,'AEO 2026 Table 23 '!$B:$B,"*,"&amp;$A26&amp;",*")-SUMIFS('AEO 2026 Table 23 '!L:L,'AEO 2026 Table 23 '!$B:$B,"*,"&amp;$A26&amp;",*"))/SUMIFS('AEO 2026 Table 23 '!L:L,'AEO 2026 Table 23 '!$B:$B,"*,"&amp;$A26&amp;",*"),"")</f>
        <v>1.612508868781946E-2</v>
      </c>
      <c r="K26">
        <f>IFERROR((SUMIFS('AEO 2026 Table 23 '!N:N,'AEO 2026 Table 23 '!$B:$B,"*,"&amp;$A26&amp;",*")-SUMIFS('AEO 2026 Table 23 '!M:M,'AEO 2026 Table 23 '!$B:$B,"*,"&amp;$A26&amp;",*"))/SUMIFS('AEO 2026 Table 23 '!M:M,'AEO 2026 Table 23 '!$B:$B,"*,"&amp;$A26&amp;",*"),"")</f>
        <v>1.680996299942103E-2</v>
      </c>
      <c r="L26">
        <f>IFERROR((SUMIFS('AEO 2026 Table 23 '!O:O,'AEO 2026 Table 23 '!$B:$B,"*,"&amp;$A26&amp;",*")-SUMIFS('AEO 2026 Table 23 '!N:N,'AEO 2026 Table 23 '!$B:$B,"*,"&amp;$A26&amp;",*"))/SUMIFS('AEO 2026 Table 23 '!N:N,'AEO 2026 Table 23 '!$B:$B,"*,"&amp;$A26&amp;",*"),"")</f>
        <v>5.4695342229286433E-3</v>
      </c>
      <c r="M26">
        <f>IFERROR((SUMIFS('AEO 2026 Table 23 '!P:P,'AEO 2026 Table 23 '!$B:$B,"*,"&amp;$A26&amp;",*")-SUMIFS('AEO 2026 Table 23 '!O:O,'AEO 2026 Table 23 '!$B:$B,"*,"&amp;$A26&amp;",*"))/SUMIFS('AEO 2026 Table 23 '!O:O,'AEO 2026 Table 23 '!$B:$B,"*,"&amp;$A26&amp;",*"),"")</f>
        <v>4.4293113800551055E-3</v>
      </c>
      <c r="N26">
        <f>IFERROR((SUMIFS('AEO 2026 Table 23 '!Q:Q,'AEO 2026 Table 23 '!$B:$B,"*,"&amp;$A26&amp;",*")-SUMIFS('AEO 2026 Table 23 '!P:P,'AEO 2026 Table 23 '!$B:$B,"*,"&amp;$A26&amp;",*"))/SUMIFS('AEO 2026 Table 23 '!P:P,'AEO 2026 Table 23 '!$B:$B,"*,"&amp;$A26&amp;",*"),"")</f>
        <v>1.0716080366278562E-2</v>
      </c>
      <c r="O26">
        <f>IFERROR((SUMIFS('AEO 2026 Table 23 '!R:R,'AEO 2026 Table 23 '!$B:$B,"*,"&amp;$A26&amp;",*")-SUMIFS('AEO 2026 Table 23 '!Q:Q,'AEO 2026 Table 23 '!$B:$B,"*,"&amp;$A26&amp;",*"))/SUMIFS('AEO 2026 Table 23 '!Q:Q,'AEO 2026 Table 23 '!$B:$B,"*,"&amp;$A26&amp;",*"),"")</f>
        <v>7.5710519600504199E-3</v>
      </c>
      <c r="P26">
        <f>IFERROR((SUMIFS('AEO 2026 Table 23 '!S:S,'AEO 2026 Table 23 '!$B:$B,"*,"&amp;$A26&amp;",*")-SUMIFS('AEO 2026 Table 23 '!R:R,'AEO 2026 Table 23 '!$B:$B,"*,"&amp;$A26&amp;",*"))/SUMIFS('AEO 2026 Table 23 '!R:R,'AEO 2026 Table 23 '!$B:$B,"*,"&amp;$A26&amp;",*"),"")</f>
        <v>6.9475790461157125E-3</v>
      </c>
      <c r="Q26">
        <f>IFERROR((SUMIFS('AEO 2026 Table 23 '!T:T,'AEO 2026 Table 23 '!$B:$B,"*,"&amp;$A26&amp;",*")-SUMIFS('AEO 2026 Table 23 '!S:S,'AEO 2026 Table 23 '!$B:$B,"*,"&amp;$A26&amp;",*"))/SUMIFS('AEO 2026 Table 23 '!S:S,'AEO 2026 Table 23 '!$B:$B,"*,"&amp;$A26&amp;",*"),"")</f>
        <v>5.019167709294562E-3</v>
      </c>
      <c r="R26">
        <f>IFERROR((SUMIFS('AEO 2026 Table 23 '!U:U,'AEO 2026 Table 23 '!$B:$B,"*,"&amp;$A26&amp;",*")-SUMIFS('AEO 2026 Table 23 '!T:T,'AEO 2026 Table 23 '!$B:$B,"*,"&amp;$A26&amp;",*"))/SUMIFS('AEO 2026 Table 23 '!T:T,'AEO 2026 Table 23 '!$B:$B,"*,"&amp;$A26&amp;",*"),"")</f>
        <v>4.7556991717196831E-3</v>
      </c>
      <c r="S26">
        <f>IFERROR((SUMIFS('AEO 2026 Table 23 '!V:V,'AEO 2026 Table 23 '!$B:$B,"*,"&amp;$A26&amp;",*")-SUMIFS('AEO 2026 Table 23 '!U:U,'AEO 2026 Table 23 '!$B:$B,"*,"&amp;$A26&amp;",*"))/SUMIFS('AEO 2026 Table 23 '!U:U,'AEO 2026 Table 23 '!$B:$B,"*,"&amp;$A26&amp;",*"),"")</f>
        <v>6.585604364996599E-3</v>
      </c>
      <c r="T26">
        <f>IFERROR((SUMIFS('AEO 2026 Table 23 '!W:W,'AEO 2026 Table 23 '!$B:$B,"*,"&amp;$A26&amp;",*")-SUMIFS('AEO 2026 Table 23 '!V:V,'AEO 2026 Table 23 '!$B:$B,"*,"&amp;$A26&amp;",*"))/SUMIFS('AEO 2026 Table 23 '!V:V,'AEO 2026 Table 23 '!$B:$B,"*,"&amp;$A26&amp;",*"),"")</f>
        <v>5.6606166948387285E-3</v>
      </c>
      <c r="U26">
        <f>IFERROR((SUMIFS('AEO 2026 Table 23 '!X:X,'AEO 2026 Table 23 '!$B:$B,"*,"&amp;$A26&amp;",*")-SUMIFS('AEO 2026 Table 23 '!W:W,'AEO 2026 Table 23 '!$B:$B,"*,"&amp;$A26&amp;",*"))/SUMIFS('AEO 2026 Table 23 '!W:W,'AEO 2026 Table 23 '!$B:$B,"*,"&amp;$A26&amp;",*"),"")</f>
        <v>6.5817540342673689E-3</v>
      </c>
      <c r="V26">
        <f>IFERROR((SUMIFS('AEO 2026 Table 23 '!Y:Y,'AEO 2026 Table 23 '!$B:$B,"*,"&amp;$A26&amp;",*")-SUMIFS('AEO 2026 Table 23 '!X:X,'AEO 2026 Table 23 '!$B:$B,"*,"&amp;$A26&amp;",*"))/SUMIFS('AEO 2026 Table 23 '!X:X,'AEO 2026 Table 23 '!$B:$B,"*,"&amp;$A26&amp;",*"),"")</f>
        <v>5.5774839144858415E-3</v>
      </c>
      <c r="W26">
        <f>IFERROR((SUMIFS('AEO 2026 Table 23 '!Z:Z,'AEO 2026 Table 23 '!$B:$B,"*,"&amp;$A26&amp;",*")-SUMIFS('AEO 2026 Table 23 '!Y:Y,'AEO 2026 Table 23 '!$B:$B,"*,"&amp;$A26&amp;",*"))/SUMIFS('AEO 2026 Table 23 '!Y:Y,'AEO 2026 Table 23 '!$B:$B,"*,"&amp;$A26&amp;",*"),"")</f>
        <v>5.3389950121167217E-3</v>
      </c>
      <c r="X26">
        <f>IFERROR((SUMIFS('AEO 2026 Table 23 '!AA:AA,'AEO 2026 Table 23 '!$B:$B,"*,"&amp;$A26&amp;",*")-SUMIFS('AEO 2026 Table 23 '!Z:Z,'AEO 2026 Table 23 '!$B:$B,"*,"&amp;$A26&amp;",*"))/SUMIFS('AEO 2026 Table 23 '!Z:Z,'AEO 2026 Table 23 '!$B:$B,"*,"&amp;$A26&amp;",*"),"")</f>
        <v>6.2995500713378073E-3</v>
      </c>
      <c r="Y26">
        <f>IFERROR((SUMIFS('AEO 2026 Table 23 '!AB:AB,'AEO 2026 Table 23 '!$B:$B,"*,"&amp;$A26&amp;",*")-SUMIFS('AEO 2026 Table 23 '!AA:AA,'AEO 2026 Table 23 '!$B:$B,"*,"&amp;$A26&amp;",*"))/SUMIFS('AEO 2026 Table 23 '!AA:AA,'AEO 2026 Table 23 '!$B:$B,"*,"&amp;$A26&amp;",*"),"")</f>
        <v>7.9632206641985174E-3</v>
      </c>
      <c r="Z26">
        <f>IFERROR((SUMIFS('AEO 2026 Table 23 '!AC:AC,'AEO 2026 Table 23 '!$B:$B,"*,"&amp;$A26&amp;",*")-SUMIFS('AEO 2026 Table 23 '!AB:AB,'AEO 2026 Table 23 '!$B:$B,"*,"&amp;$A26&amp;",*"))/SUMIFS('AEO 2026 Table 23 '!AB:AB,'AEO 2026 Table 23 '!$B:$B,"*,"&amp;$A26&amp;",*"),"")</f>
        <v>7.8306975688093548E-3</v>
      </c>
      <c r="AA26">
        <f>IFERROR((SUMIFS('AEO 2026 Table 23 '!AD:AD,'AEO 2026 Table 23 '!$B:$B,"*,"&amp;$A26&amp;",*")-SUMIFS('AEO 2026 Table 23 '!AC:AC,'AEO 2026 Table 23 '!$B:$B,"*,"&amp;$A26&amp;",*"))/SUMIFS('AEO 2026 Table 23 '!AC:AC,'AEO 2026 Table 23 '!$B:$B,"*,"&amp;$A26&amp;",*"),"")</f>
        <v>6.7753977190839121E-3</v>
      </c>
      <c r="AB26">
        <f>IFERROR((SUMIFS('AEO 2026 Table 23 '!AE:AE,'AEO 2026 Table 23 '!$B:$B,"*,"&amp;$A26&amp;",*")-SUMIFS('AEO 2026 Table 23 '!AD:AD,'AEO 2026 Table 23 '!$B:$B,"*,"&amp;$A26&amp;",*"))/SUMIFS('AEO 2026 Table 23 '!AD:AD,'AEO 2026 Table 23 '!$B:$B,"*,"&amp;$A26&amp;",*"),"")</f>
        <v>5.4717269479305167E-3</v>
      </c>
      <c r="AC26">
        <f>IFERROR((SUMIFS('AEO 2026 Table 23 '!AF:AF,'AEO 2026 Table 23 '!$B:$B,"*,"&amp;$A26&amp;",*")-SUMIFS('AEO 2026 Table 23 '!AE:AE,'AEO 2026 Table 23 '!$B:$B,"*,"&amp;$A26&amp;",*"))/SUMIFS('AEO 2026 Table 23 '!AE:AE,'AEO 2026 Table 23 '!$B:$B,"*,"&amp;$A26&amp;",*"),"")</f>
        <v>3.8045208677786554E-3</v>
      </c>
    </row>
    <row r="27" spans="1:29" x14ac:dyDescent="0.25">
      <c r="A27" t="s">
        <v>288</v>
      </c>
      <c r="B27">
        <f>IFERROR(SUMPRODUCT(--('BLS Table 2.11'!$L$1:$L$426=$A27),'BLS Table 2.11'!$J$1:$J$426,'BLS Table 2.11'!$K$1:$K$426)/SUMIFS('BLS Table 2.11'!$J$1:$J$426,'BLS Table 2.11'!$L$1:$L$426,$A27)/100,0)</f>
        <v>1.1000000000000001E-2</v>
      </c>
      <c r="D27">
        <f>IFERROR((SUMIFS('AEO 2026 Table 23 '!G:G,'AEO 2026 Table 23 '!$B:$B,"*,"&amp;$A27&amp;",*")-SUMIFS('AEO25 Table 23'!H:H,'AEO25 Table 23'!$B:$B,"*,"&amp;$A27&amp;",*"))/SUMIFS('AEO25 Table 23'!H:H,'AEO25 Table 23'!$B:$B,"*,"&amp;$A27&amp;",*"),"")</f>
        <v>2.4336435643808989E-2</v>
      </c>
      <c r="E27">
        <f>IFERROR((SUMIFS('AEO 2026 Table 23 '!H:H,'AEO 2026 Table 23 '!$B:$B,"*,"&amp;$A27&amp;",*")-SUMIFS('AEO 2026 Table 23 '!G:G,'AEO 2026 Table 23 '!$B:$B,"*,"&amp;$A27&amp;",*"))/SUMIFS('AEO 2026 Table 23 '!G:G,'AEO 2026 Table 23 '!$B:$B,"*,"&amp;$A27&amp;",*"),"")</f>
        <v>-2.0461753244390066E-2</v>
      </c>
      <c r="F27">
        <f>IFERROR((SUMIFS('AEO 2026 Table 23 '!I:I,'AEO 2026 Table 23 '!$B:$B,"*,"&amp;$A27&amp;",*")-SUMIFS('AEO 2026 Table 23 '!H:H,'AEO 2026 Table 23 '!$B:$B,"*,"&amp;$A27&amp;",*"))/SUMIFS('AEO 2026 Table 23 '!H:H,'AEO 2026 Table 23 '!$B:$B,"*,"&amp;$A27&amp;",*"),"")</f>
        <v>2.4109605222139355E-2</v>
      </c>
      <c r="G27">
        <f>IFERROR((SUMIFS('AEO 2026 Table 23 '!J:J,'AEO 2026 Table 23 '!$B:$B,"*,"&amp;$A27&amp;",*")-SUMIFS('AEO 2026 Table 23 '!I:I,'AEO 2026 Table 23 '!$B:$B,"*,"&amp;$A27&amp;",*"))/SUMIFS('AEO 2026 Table 23 '!I:I,'AEO 2026 Table 23 '!$B:$B,"*,"&amp;$A27&amp;",*"),"")</f>
        <v>1.8829391438090048E-2</v>
      </c>
      <c r="H27">
        <f>IFERROR((SUMIFS('AEO 2026 Table 23 '!K:K,'AEO 2026 Table 23 '!$B:$B,"*,"&amp;$A27&amp;",*")-SUMIFS('AEO 2026 Table 23 '!J:J,'AEO 2026 Table 23 '!$B:$B,"*,"&amp;$A27&amp;",*"))/SUMIFS('AEO 2026 Table 23 '!J:J,'AEO 2026 Table 23 '!$B:$B,"*,"&amp;$A27&amp;",*"),"")</f>
        <v>1.9451339355595697E-2</v>
      </c>
      <c r="I27">
        <f>IFERROR((SUMIFS('AEO 2026 Table 23 '!L:L,'AEO 2026 Table 23 '!$B:$B,"*,"&amp;$A27&amp;",*")-SUMIFS('AEO 2026 Table 23 '!K:K,'AEO 2026 Table 23 '!$B:$B,"*,"&amp;$A27&amp;",*"))/SUMIFS('AEO 2026 Table 23 '!K:K,'AEO 2026 Table 23 '!$B:$B,"*,"&amp;$A27&amp;",*"),"")</f>
        <v>1.2885394239777163E-2</v>
      </c>
      <c r="J27">
        <f>IFERROR((SUMIFS('AEO 2026 Table 23 '!M:M,'AEO 2026 Table 23 '!$B:$B,"*,"&amp;$A27&amp;",*")-SUMIFS('AEO 2026 Table 23 '!L:L,'AEO 2026 Table 23 '!$B:$B,"*,"&amp;$A27&amp;",*"))/SUMIFS('AEO 2026 Table 23 '!L:L,'AEO 2026 Table 23 '!$B:$B,"*,"&amp;$A27&amp;",*"),"")</f>
        <v>1.9511096698901231E-2</v>
      </c>
      <c r="K27">
        <f>IFERROR((SUMIFS('AEO 2026 Table 23 '!N:N,'AEO 2026 Table 23 '!$B:$B,"*,"&amp;$A27&amp;",*")-SUMIFS('AEO 2026 Table 23 '!M:M,'AEO 2026 Table 23 '!$B:$B,"*,"&amp;$A27&amp;",*"))/SUMIFS('AEO 2026 Table 23 '!M:M,'AEO 2026 Table 23 '!$B:$B,"*,"&amp;$A27&amp;",*"),"")</f>
        <v>1.6240848175239804E-2</v>
      </c>
      <c r="L27">
        <f>IFERROR((SUMIFS('AEO 2026 Table 23 '!O:O,'AEO 2026 Table 23 '!$B:$B,"*,"&amp;$A27&amp;",*")-SUMIFS('AEO 2026 Table 23 '!N:N,'AEO 2026 Table 23 '!$B:$B,"*,"&amp;$A27&amp;",*"))/SUMIFS('AEO 2026 Table 23 '!N:N,'AEO 2026 Table 23 '!$B:$B,"*,"&amp;$A27&amp;",*"),"")</f>
        <v>1.032807562481246E-3</v>
      </c>
      <c r="M27">
        <f>IFERROR((SUMIFS('AEO 2026 Table 23 '!P:P,'AEO 2026 Table 23 '!$B:$B,"*,"&amp;$A27&amp;",*")-SUMIFS('AEO 2026 Table 23 '!O:O,'AEO 2026 Table 23 '!$B:$B,"*,"&amp;$A27&amp;",*"))/SUMIFS('AEO 2026 Table 23 '!O:O,'AEO 2026 Table 23 '!$B:$B,"*,"&amp;$A27&amp;",*"),"")</f>
        <v>7.7800945510172245E-3</v>
      </c>
      <c r="N27">
        <f>IFERROR((SUMIFS('AEO 2026 Table 23 '!Q:Q,'AEO 2026 Table 23 '!$B:$B,"*,"&amp;$A27&amp;",*")-SUMIFS('AEO 2026 Table 23 '!P:P,'AEO 2026 Table 23 '!$B:$B,"*,"&amp;$A27&amp;",*"))/SUMIFS('AEO 2026 Table 23 '!P:P,'AEO 2026 Table 23 '!$B:$B,"*,"&amp;$A27&amp;",*"),"")</f>
        <v>1.3022632948495967E-2</v>
      </c>
      <c r="O27">
        <f>IFERROR((SUMIFS('AEO 2026 Table 23 '!R:R,'AEO 2026 Table 23 '!$B:$B,"*,"&amp;$A27&amp;",*")-SUMIFS('AEO 2026 Table 23 '!Q:Q,'AEO 2026 Table 23 '!$B:$B,"*,"&amp;$A27&amp;",*"))/SUMIFS('AEO 2026 Table 23 '!Q:Q,'AEO 2026 Table 23 '!$B:$B,"*,"&amp;$A27&amp;",*"),"")</f>
        <v>9.2415695740314403E-3</v>
      </c>
      <c r="P27">
        <f>IFERROR((SUMIFS('AEO 2026 Table 23 '!S:S,'AEO 2026 Table 23 '!$B:$B,"*,"&amp;$A27&amp;",*")-SUMIFS('AEO 2026 Table 23 '!R:R,'AEO 2026 Table 23 '!$B:$B,"*,"&amp;$A27&amp;",*"))/SUMIFS('AEO 2026 Table 23 '!R:R,'AEO 2026 Table 23 '!$B:$B,"*,"&amp;$A27&amp;",*"),"")</f>
        <v>6.1339695197402148E-3</v>
      </c>
      <c r="Q27">
        <f>IFERROR((SUMIFS('AEO 2026 Table 23 '!T:T,'AEO 2026 Table 23 '!$B:$B,"*,"&amp;$A27&amp;",*")-SUMIFS('AEO 2026 Table 23 '!S:S,'AEO 2026 Table 23 '!$B:$B,"*,"&amp;$A27&amp;",*"))/SUMIFS('AEO 2026 Table 23 '!S:S,'AEO 2026 Table 23 '!$B:$B,"*,"&amp;$A27&amp;",*"),"")</f>
        <v>2.4439179119564824E-3</v>
      </c>
      <c r="R27">
        <f>IFERROR((SUMIFS('AEO 2026 Table 23 '!U:U,'AEO 2026 Table 23 '!$B:$B,"*,"&amp;$A27&amp;",*")-SUMIFS('AEO 2026 Table 23 '!T:T,'AEO 2026 Table 23 '!$B:$B,"*,"&amp;$A27&amp;",*"))/SUMIFS('AEO 2026 Table 23 '!T:T,'AEO 2026 Table 23 '!$B:$B,"*,"&amp;$A27&amp;",*"),"")</f>
        <v>3.1025991674817874E-4</v>
      </c>
      <c r="S27">
        <f>IFERROR((SUMIFS('AEO 2026 Table 23 '!V:V,'AEO 2026 Table 23 '!$B:$B,"*,"&amp;$A27&amp;",*")-SUMIFS('AEO 2026 Table 23 '!U:U,'AEO 2026 Table 23 '!$B:$B,"*,"&amp;$A27&amp;",*"))/SUMIFS('AEO 2026 Table 23 '!U:U,'AEO 2026 Table 23 '!$B:$B,"*,"&amp;$A27&amp;",*"),"")</f>
        <v>4.3434375026623409E-3</v>
      </c>
      <c r="T27">
        <f>IFERROR((SUMIFS('AEO 2026 Table 23 '!W:W,'AEO 2026 Table 23 '!$B:$B,"*,"&amp;$A27&amp;",*")-SUMIFS('AEO 2026 Table 23 '!V:V,'AEO 2026 Table 23 '!$B:$B,"*,"&amp;$A27&amp;",*"))/SUMIFS('AEO 2026 Table 23 '!V:V,'AEO 2026 Table 23 '!$B:$B,"*,"&amp;$A27&amp;",*"),"")</f>
        <v>3.8234490974420297E-3</v>
      </c>
      <c r="U27">
        <f>IFERROR((SUMIFS('AEO 2026 Table 23 '!X:X,'AEO 2026 Table 23 '!$B:$B,"*,"&amp;$A27&amp;",*")-SUMIFS('AEO 2026 Table 23 '!W:W,'AEO 2026 Table 23 '!$B:$B,"*,"&amp;$A27&amp;",*"))/SUMIFS('AEO 2026 Table 23 '!W:W,'AEO 2026 Table 23 '!$B:$B,"*,"&amp;$A27&amp;",*"),"")</f>
        <v>3.6062588998127042E-3</v>
      </c>
      <c r="V27">
        <f>IFERROR((SUMIFS('AEO 2026 Table 23 '!Y:Y,'AEO 2026 Table 23 '!$B:$B,"*,"&amp;$A27&amp;",*")-SUMIFS('AEO 2026 Table 23 '!X:X,'AEO 2026 Table 23 '!$B:$B,"*,"&amp;$A27&amp;",*"))/SUMIFS('AEO 2026 Table 23 '!X:X,'AEO 2026 Table 23 '!$B:$B,"*,"&amp;$A27&amp;",*"),"")</f>
        <v>1.85583021089817E-3</v>
      </c>
      <c r="W27">
        <f>IFERROR((SUMIFS('AEO 2026 Table 23 '!Z:Z,'AEO 2026 Table 23 '!$B:$B,"*,"&amp;$A27&amp;",*")-SUMIFS('AEO 2026 Table 23 '!Y:Y,'AEO 2026 Table 23 '!$B:$B,"*,"&amp;$A27&amp;",*"))/SUMIFS('AEO 2026 Table 23 '!Y:Y,'AEO 2026 Table 23 '!$B:$B,"*,"&amp;$A27&amp;",*"),"")</f>
        <v>1.4739561454598278E-3</v>
      </c>
      <c r="X27">
        <f>IFERROR((SUMIFS('AEO 2026 Table 23 '!AA:AA,'AEO 2026 Table 23 '!$B:$B,"*,"&amp;$A27&amp;",*")-SUMIFS('AEO 2026 Table 23 '!Z:Z,'AEO 2026 Table 23 '!$B:$B,"*,"&amp;$A27&amp;",*"))/SUMIFS('AEO 2026 Table 23 '!Z:Z,'AEO 2026 Table 23 '!$B:$B,"*,"&amp;$A27&amp;",*"),"")</f>
        <v>3.1443737620083013E-3</v>
      </c>
      <c r="Y27">
        <f>IFERROR((SUMIFS('AEO 2026 Table 23 '!AB:AB,'AEO 2026 Table 23 '!$B:$B,"*,"&amp;$A27&amp;",*")-SUMIFS('AEO 2026 Table 23 '!AA:AA,'AEO 2026 Table 23 '!$B:$B,"*,"&amp;$A27&amp;",*"))/SUMIFS('AEO 2026 Table 23 '!AA:AA,'AEO 2026 Table 23 '!$B:$B,"*,"&amp;$A27&amp;",*"),"")</f>
        <v>4.7004788198066619E-3</v>
      </c>
      <c r="Z27">
        <f>IFERROR((SUMIFS('AEO 2026 Table 23 '!AC:AC,'AEO 2026 Table 23 '!$B:$B,"*,"&amp;$A27&amp;",*")-SUMIFS('AEO 2026 Table 23 '!AB:AB,'AEO 2026 Table 23 '!$B:$B,"*,"&amp;$A27&amp;",*"))/SUMIFS('AEO 2026 Table 23 '!AB:AB,'AEO 2026 Table 23 '!$B:$B,"*,"&amp;$A27&amp;",*"),"")</f>
        <v>5.3265069574338622E-3</v>
      </c>
      <c r="AA27">
        <f>IFERROR((SUMIFS('AEO 2026 Table 23 '!AD:AD,'AEO 2026 Table 23 '!$B:$B,"*,"&amp;$A27&amp;",*")-SUMIFS('AEO 2026 Table 23 '!AC:AC,'AEO 2026 Table 23 '!$B:$B,"*,"&amp;$A27&amp;",*"))/SUMIFS('AEO 2026 Table 23 '!AC:AC,'AEO 2026 Table 23 '!$B:$B,"*,"&amp;$A27&amp;",*"),"")</f>
        <v>2.9188988858584882E-3</v>
      </c>
      <c r="AB27">
        <f>IFERROR((SUMIFS('AEO 2026 Table 23 '!AE:AE,'AEO 2026 Table 23 '!$B:$B,"*,"&amp;$A27&amp;",*")-SUMIFS('AEO 2026 Table 23 '!AD:AD,'AEO 2026 Table 23 '!$B:$B,"*,"&amp;$A27&amp;",*"))/SUMIFS('AEO 2026 Table 23 '!AD:AD,'AEO 2026 Table 23 '!$B:$B,"*,"&amp;$A27&amp;",*"),"")</f>
        <v>8.0121113135311873E-4</v>
      </c>
      <c r="AC27">
        <f>IFERROR((SUMIFS('AEO 2026 Table 23 '!AF:AF,'AEO 2026 Table 23 '!$B:$B,"*,"&amp;$A27&amp;",*")-SUMIFS('AEO 2026 Table 23 '!AE:AE,'AEO 2026 Table 23 '!$B:$B,"*,"&amp;$A27&amp;",*"))/SUMIFS('AEO 2026 Table 23 '!AE:AE,'AEO 2026 Table 23 '!$B:$B,"*,"&amp;$A27&amp;",*"),"")</f>
        <v>-6.5342532923039177E-4</v>
      </c>
    </row>
    <row r="28" spans="1:29" x14ac:dyDescent="0.25">
      <c r="A28" t="s">
        <v>327</v>
      </c>
      <c r="B28">
        <f>IFERROR(SUMPRODUCT(--('BLS Table 2.11'!$L$1:$L$426=$A28),'BLS Table 2.11'!$J$1:$J$426,'BLS Table 2.11'!$K$1:$K$426)/SUMIFS('BLS Table 2.11'!$J$1:$J$426,'BLS Table 2.11'!$L$1:$L$426,$A28)/100,0)</f>
        <v>1.437509093554488E-4</v>
      </c>
      <c r="D28">
        <f>IFERROR((SUMIFS('AEO 2026 Table 23 '!G:G,'AEO 2026 Table 23 '!$B:$B,"*,"&amp;$A28&amp;",*")-SUMIFS('AEO25 Table 23'!H:H,'AEO25 Table 23'!$B:$B,"*,"&amp;$A28&amp;",*"))/SUMIFS('AEO25 Table 23'!H:H,'AEO25 Table 23'!$B:$B,"*,"&amp;$A28&amp;",*"),"")</f>
        <v>-6.1192822458182292E-2</v>
      </c>
      <c r="E28">
        <f>IFERROR((SUMIFS('AEO 2026 Table 23 '!H:H,'AEO 2026 Table 23 '!$B:$B,"*,"&amp;$A28&amp;",*")-SUMIFS('AEO 2026 Table 23 '!G:G,'AEO 2026 Table 23 '!$B:$B,"*,"&amp;$A28&amp;",*"))/SUMIFS('AEO 2026 Table 23 '!G:G,'AEO 2026 Table 23 '!$B:$B,"*,"&amp;$A28&amp;",*"),"")</f>
        <v>2.9380888594976902E-3</v>
      </c>
      <c r="F28">
        <f>IFERROR((SUMIFS('AEO 2026 Table 23 '!I:I,'AEO 2026 Table 23 '!$B:$B,"*,"&amp;$A28&amp;",*")-SUMIFS('AEO 2026 Table 23 '!H:H,'AEO 2026 Table 23 '!$B:$B,"*,"&amp;$A28&amp;",*"))/SUMIFS('AEO 2026 Table 23 '!H:H,'AEO 2026 Table 23 '!$B:$B,"*,"&amp;$A28&amp;",*"),"")</f>
        <v>6.3339290520313812E-2</v>
      </c>
      <c r="G28">
        <f>IFERROR((SUMIFS('AEO 2026 Table 23 '!J:J,'AEO 2026 Table 23 '!$B:$B,"*,"&amp;$A28&amp;",*")-SUMIFS('AEO 2026 Table 23 '!I:I,'AEO 2026 Table 23 '!$B:$B,"*,"&amp;$A28&amp;",*"))/SUMIFS('AEO 2026 Table 23 '!I:I,'AEO 2026 Table 23 '!$B:$B,"*,"&amp;$A28&amp;",*"),"")</f>
        <v>1.9604562754516788E-2</v>
      </c>
      <c r="H28">
        <f>IFERROR((SUMIFS('AEO 2026 Table 23 '!K:K,'AEO 2026 Table 23 '!$B:$B,"*,"&amp;$A28&amp;",*")-SUMIFS('AEO 2026 Table 23 '!J:J,'AEO 2026 Table 23 '!$B:$B,"*,"&amp;$A28&amp;",*"))/SUMIFS('AEO 2026 Table 23 '!J:J,'AEO 2026 Table 23 '!$B:$B,"*,"&amp;$A28&amp;",*"),"")</f>
        <v>1.5932404751837544E-2</v>
      </c>
      <c r="I28">
        <f>IFERROR((SUMIFS('AEO 2026 Table 23 '!L:L,'AEO 2026 Table 23 '!$B:$B,"*,"&amp;$A28&amp;",*")-SUMIFS('AEO 2026 Table 23 '!K:K,'AEO 2026 Table 23 '!$B:$B,"*,"&amp;$A28&amp;",*"))/SUMIFS('AEO 2026 Table 23 '!K:K,'AEO 2026 Table 23 '!$B:$B,"*,"&amp;$A28&amp;",*"),"")</f>
        <v>1.6641426870951888E-2</v>
      </c>
      <c r="J28">
        <f>IFERROR((SUMIFS('AEO 2026 Table 23 '!M:M,'AEO 2026 Table 23 '!$B:$B,"*,"&amp;$A28&amp;",*")-SUMIFS('AEO 2026 Table 23 '!L:L,'AEO 2026 Table 23 '!$B:$B,"*,"&amp;$A28&amp;",*"))/SUMIFS('AEO 2026 Table 23 '!L:L,'AEO 2026 Table 23 '!$B:$B,"*,"&amp;$A28&amp;",*"),"")</f>
        <v>6.7021756724579655E-3</v>
      </c>
      <c r="K28">
        <f>IFERROR((SUMIFS('AEO 2026 Table 23 '!N:N,'AEO 2026 Table 23 '!$B:$B,"*,"&amp;$A28&amp;",*")-SUMIFS('AEO 2026 Table 23 '!M:M,'AEO 2026 Table 23 '!$B:$B,"*,"&amp;$A28&amp;",*"))/SUMIFS('AEO 2026 Table 23 '!M:M,'AEO 2026 Table 23 '!$B:$B,"*,"&amp;$A28&amp;",*"),"")</f>
        <v>1.5883257366551745E-2</v>
      </c>
      <c r="L28">
        <f>IFERROR((SUMIFS('AEO 2026 Table 23 '!O:O,'AEO 2026 Table 23 '!$B:$B,"*,"&amp;$A28&amp;",*")-SUMIFS('AEO 2026 Table 23 '!N:N,'AEO 2026 Table 23 '!$B:$B,"*,"&amp;$A28&amp;",*"))/SUMIFS('AEO 2026 Table 23 '!N:N,'AEO 2026 Table 23 '!$B:$B,"*,"&amp;$A28&amp;",*"),"")</f>
        <v>6.9136521435425487E-3</v>
      </c>
      <c r="M28">
        <f>IFERROR((SUMIFS('AEO 2026 Table 23 '!P:P,'AEO 2026 Table 23 '!$B:$B,"*,"&amp;$A28&amp;",*")-SUMIFS('AEO 2026 Table 23 '!O:O,'AEO 2026 Table 23 '!$B:$B,"*,"&amp;$A28&amp;",*"))/SUMIFS('AEO 2026 Table 23 '!O:O,'AEO 2026 Table 23 '!$B:$B,"*,"&amp;$A28&amp;",*"),"")</f>
        <v>2.8542402586039105E-3</v>
      </c>
      <c r="N28">
        <f>IFERROR((SUMIFS('AEO 2026 Table 23 '!Q:Q,'AEO 2026 Table 23 '!$B:$B,"*,"&amp;$A28&amp;",*")-SUMIFS('AEO 2026 Table 23 '!P:P,'AEO 2026 Table 23 '!$B:$B,"*,"&amp;$A28&amp;",*"))/SUMIFS('AEO 2026 Table 23 '!P:P,'AEO 2026 Table 23 '!$B:$B,"*,"&amp;$A28&amp;",*"),"")</f>
        <v>3.8463791260001942E-3</v>
      </c>
      <c r="O28">
        <f>IFERROR((SUMIFS('AEO 2026 Table 23 '!R:R,'AEO 2026 Table 23 '!$B:$B,"*,"&amp;$A28&amp;",*")-SUMIFS('AEO 2026 Table 23 '!Q:Q,'AEO 2026 Table 23 '!$B:$B,"*,"&amp;$A28&amp;",*"))/SUMIFS('AEO 2026 Table 23 '!Q:Q,'AEO 2026 Table 23 '!$B:$B,"*,"&amp;$A28&amp;",*"),"")</f>
        <v>1.0277052427238266E-2</v>
      </c>
      <c r="P28">
        <f>IFERROR((SUMIFS('AEO 2026 Table 23 '!S:S,'AEO 2026 Table 23 '!$B:$B,"*,"&amp;$A28&amp;",*")-SUMIFS('AEO 2026 Table 23 '!R:R,'AEO 2026 Table 23 '!$B:$B,"*,"&amp;$A28&amp;",*"))/SUMIFS('AEO 2026 Table 23 '!R:R,'AEO 2026 Table 23 '!$B:$B,"*,"&amp;$A28&amp;",*"),"")</f>
        <v>2.0572282292054985E-2</v>
      </c>
      <c r="Q28">
        <f>IFERROR((SUMIFS('AEO 2026 Table 23 '!T:T,'AEO 2026 Table 23 '!$B:$B,"*,"&amp;$A28&amp;",*")-SUMIFS('AEO 2026 Table 23 '!S:S,'AEO 2026 Table 23 '!$B:$B,"*,"&amp;$A28&amp;",*"))/SUMIFS('AEO 2026 Table 23 '!S:S,'AEO 2026 Table 23 '!$B:$B,"*,"&amp;$A28&amp;",*"),"")</f>
        <v>1.8700062703327504E-2</v>
      </c>
      <c r="R28">
        <f>IFERROR((SUMIFS('AEO 2026 Table 23 '!U:U,'AEO 2026 Table 23 '!$B:$B,"*,"&amp;$A28&amp;",*")-SUMIFS('AEO 2026 Table 23 '!T:T,'AEO 2026 Table 23 '!$B:$B,"*,"&amp;$A28&amp;",*"))/SUMIFS('AEO 2026 Table 23 '!T:T,'AEO 2026 Table 23 '!$B:$B,"*,"&amp;$A28&amp;",*"),"")</f>
        <v>1.8711123076861937E-2</v>
      </c>
      <c r="S28">
        <f>IFERROR((SUMIFS('AEO 2026 Table 23 '!V:V,'AEO 2026 Table 23 '!$B:$B,"*,"&amp;$A28&amp;",*")-SUMIFS('AEO 2026 Table 23 '!U:U,'AEO 2026 Table 23 '!$B:$B,"*,"&amp;$A28&amp;",*"))/SUMIFS('AEO 2026 Table 23 '!U:U,'AEO 2026 Table 23 '!$B:$B,"*,"&amp;$A28&amp;",*"),"")</f>
        <v>1.7017403091970501E-2</v>
      </c>
      <c r="T28">
        <f>IFERROR((SUMIFS('AEO 2026 Table 23 '!W:W,'AEO 2026 Table 23 '!$B:$B,"*,"&amp;$A28&amp;",*")-SUMIFS('AEO 2026 Table 23 '!V:V,'AEO 2026 Table 23 '!$B:$B,"*,"&amp;$A28&amp;",*"))/SUMIFS('AEO 2026 Table 23 '!V:V,'AEO 2026 Table 23 '!$B:$B,"*,"&amp;$A28&amp;",*"),"")</f>
        <v>1.4762044680125085E-2</v>
      </c>
      <c r="U28">
        <f>IFERROR((SUMIFS('AEO 2026 Table 23 '!X:X,'AEO 2026 Table 23 '!$B:$B,"*,"&amp;$A28&amp;",*")-SUMIFS('AEO 2026 Table 23 '!W:W,'AEO 2026 Table 23 '!$B:$B,"*,"&amp;$A28&amp;",*"))/SUMIFS('AEO 2026 Table 23 '!W:W,'AEO 2026 Table 23 '!$B:$B,"*,"&amp;$A28&amp;",*"),"")</f>
        <v>1.4642211089780718E-2</v>
      </c>
      <c r="V28">
        <f>IFERROR((SUMIFS('AEO 2026 Table 23 '!Y:Y,'AEO 2026 Table 23 '!$B:$B,"*,"&amp;$A28&amp;",*")-SUMIFS('AEO 2026 Table 23 '!X:X,'AEO 2026 Table 23 '!$B:$B,"*,"&amp;$A28&amp;",*"))/SUMIFS('AEO 2026 Table 23 '!X:X,'AEO 2026 Table 23 '!$B:$B,"*,"&amp;$A28&amp;",*"),"")</f>
        <v>1.2713600388710966E-2</v>
      </c>
      <c r="W28">
        <f>IFERROR((SUMIFS('AEO 2026 Table 23 '!Z:Z,'AEO 2026 Table 23 '!$B:$B,"*,"&amp;$A28&amp;",*")-SUMIFS('AEO 2026 Table 23 '!Y:Y,'AEO 2026 Table 23 '!$B:$B,"*,"&amp;$A28&amp;",*"))/SUMIFS('AEO 2026 Table 23 '!Y:Y,'AEO 2026 Table 23 '!$B:$B,"*,"&amp;$A28&amp;",*"),"")</f>
        <v>1.2896278318495618E-2</v>
      </c>
      <c r="X28">
        <f>IFERROR((SUMIFS('AEO 2026 Table 23 '!AA:AA,'AEO 2026 Table 23 '!$B:$B,"*,"&amp;$A28&amp;",*")-SUMIFS('AEO 2026 Table 23 '!Z:Z,'AEO 2026 Table 23 '!$B:$B,"*,"&amp;$A28&amp;",*"))/SUMIFS('AEO 2026 Table 23 '!Z:Z,'AEO 2026 Table 23 '!$B:$B,"*,"&amp;$A28&amp;",*"),"")</f>
        <v>1.336315733038511E-2</v>
      </c>
      <c r="Y28">
        <f>IFERROR((SUMIFS('AEO 2026 Table 23 '!AB:AB,'AEO 2026 Table 23 '!$B:$B,"*,"&amp;$A28&amp;",*")-SUMIFS('AEO 2026 Table 23 '!AA:AA,'AEO 2026 Table 23 '!$B:$B,"*,"&amp;$A28&amp;",*"))/SUMIFS('AEO 2026 Table 23 '!AA:AA,'AEO 2026 Table 23 '!$B:$B,"*,"&amp;$A28&amp;",*"),"")</f>
        <v>1.2522422817884852E-2</v>
      </c>
      <c r="Z28">
        <f>IFERROR((SUMIFS('AEO 2026 Table 23 '!AC:AC,'AEO 2026 Table 23 '!$B:$B,"*,"&amp;$A28&amp;",*")-SUMIFS('AEO 2026 Table 23 '!AB:AB,'AEO 2026 Table 23 '!$B:$B,"*,"&amp;$A28&amp;",*"))/SUMIFS('AEO 2026 Table 23 '!AB:AB,'AEO 2026 Table 23 '!$B:$B,"*,"&amp;$A28&amp;",*"),"")</f>
        <v>1.1331525364436211E-2</v>
      </c>
      <c r="AA28">
        <f>IFERROR((SUMIFS('AEO 2026 Table 23 '!AD:AD,'AEO 2026 Table 23 '!$B:$B,"*,"&amp;$A28&amp;",*")-SUMIFS('AEO 2026 Table 23 '!AC:AC,'AEO 2026 Table 23 '!$B:$B,"*,"&amp;$A28&amp;",*"))/SUMIFS('AEO 2026 Table 23 '!AC:AC,'AEO 2026 Table 23 '!$B:$B,"*,"&amp;$A28&amp;",*"),"")</f>
        <v>1.1461454971234577E-2</v>
      </c>
      <c r="AB28">
        <f>IFERROR((SUMIFS('AEO 2026 Table 23 '!AE:AE,'AEO 2026 Table 23 '!$B:$B,"*,"&amp;$A28&amp;",*")-SUMIFS('AEO 2026 Table 23 '!AD:AD,'AEO 2026 Table 23 '!$B:$B,"*,"&amp;$A28&amp;",*"))/SUMIFS('AEO 2026 Table 23 '!AD:AD,'AEO 2026 Table 23 '!$B:$B,"*,"&amp;$A28&amp;",*"),"")</f>
        <v>1.0357703802010182E-2</v>
      </c>
      <c r="AC28">
        <f>IFERROR((SUMIFS('AEO 2026 Table 23 '!AF:AF,'AEO 2026 Table 23 '!$B:$B,"*,"&amp;$A28&amp;",*")-SUMIFS('AEO 2026 Table 23 '!AE:AE,'AEO 2026 Table 23 '!$B:$B,"*,"&amp;$A28&amp;",*"))/SUMIFS('AEO 2026 Table 23 '!AE:AE,'AEO 2026 Table 23 '!$B:$B,"*,"&amp;$A28&amp;",*"),"")</f>
        <v>8.2997084143176143E-3</v>
      </c>
    </row>
    <row r="29" spans="1:29" x14ac:dyDescent="0.25">
      <c r="A29" t="s">
        <v>339</v>
      </c>
      <c r="B29">
        <f>IFERROR(SUMPRODUCT(--('BLS Table 2.11'!$L$1:$L$426=$A29),'BLS Table 2.11'!$J$1:$J$426,'BLS Table 2.11'!$K$1:$K$426)/SUMIFS('BLS Table 2.11'!$J$1:$J$426,'BLS Table 2.11'!$L$1:$L$426,$A29)/100,0)</f>
        <v>1.3000000000000001E-2</v>
      </c>
      <c r="D29" t="str">
        <f>IFERROR((SUMIFS('AEO 2026 Table 23 '!G:G,'AEO 2026 Table 23 '!$B:$B,"*,"&amp;$A29&amp;",*")-SUMIFS('AEO25 Table 23'!H:H,'AEO25 Table 23'!$B:$B,"*,"&amp;$A29&amp;",*"))/SUMIFS('AEO25 Table 23'!H:H,'AEO25 Table 23'!$B:$B,"*,"&amp;$A29&amp;",*"),"")</f>
        <v/>
      </c>
      <c r="E29" t="str">
        <f>IFERROR((SUMIFS('AEO 2026 Table 23 '!H:H,'AEO 2026 Table 23 '!$B:$B,"*,"&amp;$A29&amp;",*")-SUMIFS('AEO 2026 Table 23 '!G:G,'AEO 2026 Table 23 '!$B:$B,"*,"&amp;$A29&amp;",*"))/SUMIFS('AEO 2026 Table 23 '!G:G,'AEO 2026 Table 23 '!$B:$B,"*,"&amp;$A29&amp;",*"),"")</f>
        <v/>
      </c>
      <c r="F29" t="str">
        <f>IFERROR((SUMIFS('AEO 2026 Table 23 '!I:I,'AEO 2026 Table 23 '!$B:$B,"*,"&amp;$A29&amp;",*")-SUMIFS('AEO 2026 Table 23 '!H:H,'AEO 2026 Table 23 '!$B:$B,"*,"&amp;$A29&amp;",*"))/SUMIFS('AEO 2026 Table 23 '!H:H,'AEO 2026 Table 23 '!$B:$B,"*,"&amp;$A29&amp;",*"),"")</f>
        <v/>
      </c>
      <c r="G29" t="str">
        <f>IFERROR((SUMIFS('AEO 2026 Table 23 '!J:J,'AEO 2026 Table 23 '!$B:$B,"*,"&amp;$A29&amp;",*")-SUMIFS('AEO 2026 Table 23 '!I:I,'AEO 2026 Table 23 '!$B:$B,"*,"&amp;$A29&amp;",*"))/SUMIFS('AEO 2026 Table 23 '!I:I,'AEO 2026 Table 23 '!$B:$B,"*,"&amp;$A29&amp;",*"),"")</f>
        <v/>
      </c>
      <c r="H29" t="str">
        <f>IFERROR((SUMIFS('AEO 2026 Table 23 '!K:K,'AEO 2026 Table 23 '!$B:$B,"*,"&amp;$A29&amp;",*")-SUMIFS('AEO 2026 Table 23 '!J:J,'AEO 2026 Table 23 '!$B:$B,"*,"&amp;$A29&amp;",*"))/SUMIFS('AEO 2026 Table 23 '!J:J,'AEO 2026 Table 23 '!$B:$B,"*,"&amp;$A29&amp;",*"),"")</f>
        <v/>
      </c>
      <c r="I29" t="str">
        <f>IFERROR((SUMIFS('AEO 2026 Table 23 '!L:L,'AEO 2026 Table 23 '!$B:$B,"*,"&amp;$A29&amp;",*")-SUMIFS('AEO 2026 Table 23 '!K:K,'AEO 2026 Table 23 '!$B:$B,"*,"&amp;$A29&amp;",*"))/SUMIFS('AEO 2026 Table 23 '!K:K,'AEO 2026 Table 23 '!$B:$B,"*,"&amp;$A29&amp;",*"),"")</f>
        <v/>
      </c>
      <c r="J29" t="str">
        <f>IFERROR((SUMIFS('AEO 2026 Table 23 '!M:M,'AEO 2026 Table 23 '!$B:$B,"*,"&amp;$A29&amp;",*")-SUMIFS('AEO 2026 Table 23 '!L:L,'AEO 2026 Table 23 '!$B:$B,"*,"&amp;$A29&amp;",*"))/SUMIFS('AEO 2026 Table 23 '!L:L,'AEO 2026 Table 23 '!$B:$B,"*,"&amp;$A29&amp;",*"),"")</f>
        <v/>
      </c>
      <c r="K29" t="str">
        <f>IFERROR((SUMIFS('AEO 2026 Table 23 '!N:N,'AEO 2026 Table 23 '!$B:$B,"*,"&amp;$A29&amp;",*")-SUMIFS('AEO 2026 Table 23 '!M:M,'AEO 2026 Table 23 '!$B:$B,"*,"&amp;$A29&amp;",*"))/SUMIFS('AEO 2026 Table 23 '!M:M,'AEO 2026 Table 23 '!$B:$B,"*,"&amp;$A29&amp;",*"),"")</f>
        <v/>
      </c>
      <c r="L29" t="str">
        <f>IFERROR((SUMIFS('AEO 2026 Table 23 '!O:O,'AEO 2026 Table 23 '!$B:$B,"*,"&amp;$A29&amp;",*")-SUMIFS('AEO 2026 Table 23 '!N:N,'AEO 2026 Table 23 '!$B:$B,"*,"&amp;$A29&amp;",*"))/SUMIFS('AEO 2026 Table 23 '!N:N,'AEO 2026 Table 23 '!$B:$B,"*,"&amp;$A29&amp;",*"),"")</f>
        <v/>
      </c>
      <c r="M29" t="str">
        <f>IFERROR((SUMIFS('AEO 2026 Table 23 '!P:P,'AEO 2026 Table 23 '!$B:$B,"*,"&amp;$A29&amp;",*")-SUMIFS('AEO 2026 Table 23 '!O:O,'AEO 2026 Table 23 '!$B:$B,"*,"&amp;$A29&amp;",*"))/SUMIFS('AEO 2026 Table 23 '!O:O,'AEO 2026 Table 23 '!$B:$B,"*,"&amp;$A29&amp;",*"),"")</f>
        <v/>
      </c>
      <c r="N29" t="str">
        <f>IFERROR((SUMIFS('AEO 2026 Table 23 '!Q:Q,'AEO 2026 Table 23 '!$B:$B,"*,"&amp;$A29&amp;",*")-SUMIFS('AEO 2026 Table 23 '!P:P,'AEO 2026 Table 23 '!$B:$B,"*,"&amp;$A29&amp;",*"))/SUMIFS('AEO 2026 Table 23 '!P:P,'AEO 2026 Table 23 '!$B:$B,"*,"&amp;$A29&amp;",*"),"")</f>
        <v/>
      </c>
      <c r="O29" t="str">
        <f>IFERROR((SUMIFS('AEO 2026 Table 23 '!R:R,'AEO 2026 Table 23 '!$B:$B,"*,"&amp;$A29&amp;",*")-SUMIFS('AEO 2026 Table 23 '!Q:Q,'AEO 2026 Table 23 '!$B:$B,"*,"&amp;$A29&amp;",*"))/SUMIFS('AEO 2026 Table 23 '!Q:Q,'AEO 2026 Table 23 '!$B:$B,"*,"&amp;$A29&amp;",*"),"")</f>
        <v/>
      </c>
      <c r="P29" t="str">
        <f>IFERROR((SUMIFS('AEO 2026 Table 23 '!S:S,'AEO 2026 Table 23 '!$B:$B,"*,"&amp;$A29&amp;",*")-SUMIFS('AEO 2026 Table 23 '!R:R,'AEO 2026 Table 23 '!$B:$B,"*,"&amp;$A29&amp;",*"))/SUMIFS('AEO 2026 Table 23 '!R:R,'AEO 2026 Table 23 '!$B:$B,"*,"&amp;$A29&amp;",*"),"")</f>
        <v/>
      </c>
      <c r="Q29" t="str">
        <f>IFERROR((SUMIFS('AEO 2026 Table 23 '!T:T,'AEO 2026 Table 23 '!$B:$B,"*,"&amp;$A29&amp;",*")-SUMIFS('AEO 2026 Table 23 '!S:S,'AEO 2026 Table 23 '!$B:$B,"*,"&amp;$A29&amp;",*"))/SUMIFS('AEO 2026 Table 23 '!S:S,'AEO 2026 Table 23 '!$B:$B,"*,"&amp;$A29&amp;",*"),"")</f>
        <v/>
      </c>
      <c r="R29" t="str">
        <f>IFERROR((SUMIFS('AEO 2026 Table 23 '!U:U,'AEO 2026 Table 23 '!$B:$B,"*,"&amp;$A29&amp;",*")-SUMIFS('AEO 2026 Table 23 '!T:T,'AEO 2026 Table 23 '!$B:$B,"*,"&amp;$A29&amp;",*"))/SUMIFS('AEO 2026 Table 23 '!T:T,'AEO 2026 Table 23 '!$B:$B,"*,"&amp;$A29&amp;",*"),"")</f>
        <v/>
      </c>
      <c r="S29" t="str">
        <f>IFERROR((SUMIFS('AEO 2026 Table 23 '!V:V,'AEO 2026 Table 23 '!$B:$B,"*,"&amp;$A29&amp;",*")-SUMIFS('AEO 2026 Table 23 '!U:U,'AEO 2026 Table 23 '!$B:$B,"*,"&amp;$A29&amp;",*"))/SUMIFS('AEO 2026 Table 23 '!U:U,'AEO 2026 Table 23 '!$B:$B,"*,"&amp;$A29&amp;",*"),"")</f>
        <v/>
      </c>
      <c r="T29" t="str">
        <f>IFERROR((SUMIFS('AEO 2026 Table 23 '!W:W,'AEO 2026 Table 23 '!$B:$B,"*,"&amp;$A29&amp;",*")-SUMIFS('AEO 2026 Table 23 '!V:V,'AEO 2026 Table 23 '!$B:$B,"*,"&amp;$A29&amp;",*"))/SUMIFS('AEO 2026 Table 23 '!V:V,'AEO 2026 Table 23 '!$B:$B,"*,"&amp;$A29&amp;",*"),"")</f>
        <v/>
      </c>
      <c r="U29" t="str">
        <f>IFERROR((SUMIFS('AEO 2026 Table 23 '!X:X,'AEO 2026 Table 23 '!$B:$B,"*,"&amp;$A29&amp;",*")-SUMIFS('AEO 2026 Table 23 '!W:W,'AEO 2026 Table 23 '!$B:$B,"*,"&amp;$A29&amp;",*"))/SUMIFS('AEO 2026 Table 23 '!W:W,'AEO 2026 Table 23 '!$B:$B,"*,"&amp;$A29&amp;",*"),"")</f>
        <v/>
      </c>
      <c r="V29" t="str">
        <f>IFERROR((SUMIFS('AEO 2026 Table 23 '!Y:Y,'AEO 2026 Table 23 '!$B:$B,"*,"&amp;$A29&amp;",*")-SUMIFS('AEO 2026 Table 23 '!X:X,'AEO 2026 Table 23 '!$B:$B,"*,"&amp;$A29&amp;",*"))/SUMIFS('AEO 2026 Table 23 '!X:X,'AEO 2026 Table 23 '!$B:$B,"*,"&amp;$A29&amp;",*"),"")</f>
        <v/>
      </c>
      <c r="W29" t="str">
        <f>IFERROR((SUMIFS('AEO 2026 Table 23 '!Z:Z,'AEO 2026 Table 23 '!$B:$B,"*,"&amp;$A29&amp;",*")-SUMIFS('AEO 2026 Table 23 '!Y:Y,'AEO 2026 Table 23 '!$B:$B,"*,"&amp;$A29&amp;",*"))/SUMIFS('AEO 2026 Table 23 '!Y:Y,'AEO 2026 Table 23 '!$B:$B,"*,"&amp;$A29&amp;",*"),"")</f>
        <v/>
      </c>
      <c r="X29" t="str">
        <f>IFERROR((SUMIFS('AEO 2026 Table 23 '!AA:AA,'AEO 2026 Table 23 '!$B:$B,"*,"&amp;$A29&amp;",*")-SUMIFS('AEO 2026 Table 23 '!Z:Z,'AEO 2026 Table 23 '!$B:$B,"*,"&amp;$A29&amp;",*"))/SUMIFS('AEO 2026 Table 23 '!Z:Z,'AEO 2026 Table 23 '!$B:$B,"*,"&amp;$A29&amp;",*"),"")</f>
        <v/>
      </c>
      <c r="Y29" t="str">
        <f>IFERROR((SUMIFS('AEO 2026 Table 23 '!AB:AB,'AEO 2026 Table 23 '!$B:$B,"*,"&amp;$A29&amp;",*")-SUMIFS('AEO 2026 Table 23 '!AA:AA,'AEO 2026 Table 23 '!$B:$B,"*,"&amp;$A29&amp;",*"))/SUMIFS('AEO 2026 Table 23 '!AA:AA,'AEO 2026 Table 23 '!$B:$B,"*,"&amp;$A29&amp;",*"),"")</f>
        <v/>
      </c>
      <c r="Z29" t="str">
        <f>IFERROR((SUMIFS('AEO 2026 Table 23 '!AC:AC,'AEO 2026 Table 23 '!$B:$B,"*,"&amp;$A29&amp;",*")-SUMIFS('AEO 2026 Table 23 '!AB:AB,'AEO 2026 Table 23 '!$B:$B,"*,"&amp;$A29&amp;",*"))/SUMIFS('AEO 2026 Table 23 '!AB:AB,'AEO 2026 Table 23 '!$B:$B,"*,"&amp;$A29&amp;",*"),"")</f>
        <v/>
      </c>
      <c r="AA29" t="str">
        <f>IFERROR((SUMIFS('AEO 2026 Table 23 '!AD:AD,'AEO 2026 Table 23 '!$B:$B,"*,"&amp;$A29&amp;",*")-SUMIFS('AEO 2026 Table 23 '!AC:AC,'AEO 2026 Table 23 '!$B:$B,"*,"&amp;$A29&amp;",*"))/SUMIFS('AEO 2026 Table 23 '!AC:AC,'AEO 2026 Table 23 '!$B:$B,"*,"&amp;$A29&amp;",*"),"")</f>
        <v/>
      </c>
      <c r="AB29" t="str">
        <f>IFERROR((SUMIFS('AEO 2026 Table 23 '!AE:AE,'AEO 2026 Table 23 '!$B:$B,"*,"&amp;$A29&amp;",*")-SUMIFS('AEO 2026 Table 23 '!AD:AD,'AEO 2026 Table 23 '!$B:$B,"*,"&amp;$A29&amp;",*"))/SUMIFS('AEO 2026 Table 23 '!AD:AD,'AEO 2026 Table 23 '!$B:$B,"*,"&amp;$A29&amp;",*"),"")</f>
        <v/>
      </c>
      <c r="AC29" t="str">
        <f>IFERROR((SUMIFS('AEO 2026 Table 23 '!AF:AF,'AEO 2026 Table 23 '!$B:$B,"*,"&amp;$A29&amp;",*")-SUMIFS('AEO 2026 Table 23 '!AE:AE,'AEO 2026 Table 23 '!$B:$B,"*,"&amp;$A29&amp;",*"))/SUMIFS('AEO 2026 Table 23 '!AE:AE,'AEO 2026 Table 23 '!$B:$B,"*,"&amp;$A29&amp;",*"),"")</f>
        <v/>
      </c>
    </row>
    <row r="30" spans="1:29" x14ac:dyDescent="0.25">
      <c r="A30" t="s">
        <v>334</v>
      </c>
      <c r="B30">
        <f>IFERROR(SUMPRODUCT(--('BLS Table 2.11'!$L$1:$L$426=$A30),'BLS Table 2.11'!$J$1:$J$426,'BLS Table 2.11'!$K$1:$K$426)/SUMIFS('BLS Table 2.11'!$J$1:$J$426,'BLS Table 2.11'!$L$1:$L$426,$A30)/100,0)</f>
        <v>2.0096103896103897E-2</v>
      </c>
      <c r="D30">
        <f>IFERROR((SUMIFS('AEO 2026 Table 23 '!G:G,'AEO 2026 Table 23 '!$B:$B,"*,"&amp;$A30&amp;",*")-SUMIFS('AEO25 Table 23'!H:H,'AEO25 Table 23'!$B:$B,"*,"&amp;$A30&amp;",*"))/SUMIFS('AEO25 Table 23'!H:H,'AEO25 Table 23'!$B:$B,"*,"&amp;$A30&amp;",*"),"")</f>
        <v>-6.1192822458182292E-2</v>
      </c>
      <c r="E30">
        <f>IFERROR((SUMIFS('AEO 2026 Table 23 '!H:H,'AEO 2026 Table 23 '!$B:$B,"*,"&amp;$A30&amp;",*")-SUMIFS('AEO 2026 Table 23 '!G:G,'AEO 2026 Table 23 '!$B:$B,"*,"&amp;$A30&amp;",*"))/SUMIFS('AEO 2026 Table 23 '!G:G,'AEO 2026 Table 23 '!$B:$B,"*,"&amp;$A30&amp;",*"),"")</f>
        <v>2.9380888594976902E-3</v>
      </c>
      <c r="F30">
        <f>IFERROR((SUMIFS('AEO 2026 Table 23 '!I:I,'AEO 2026 Table 23 '!$B:$B,"*,"&amp;$A30&amp;",*")-SUMIFS('AEO 2026 Table 23 '!H:H,'AEO 2026 Table 23 '!$B:$B,"*,"&amp;$A30&amp;",*"))/SUMIFS('AEO 2026 Table 23 '!H:H,'AEO 2026 Table 23 '!$B:$B,"*,"&amp;$A30&amp;",*"),"")</f>
        <v>6.3339290520313812E-2</v>
      </c>
      <c r="G30">
        <f>IFERROR((SUMIFS('AEO 2026 Table 23 '!J:J,'AEO 2026 Table 23 '!$B:$B,"*,"&amp;$A30&amp;",*")-SUMIFS('AEO 2026 Table 23 '!I:I,'AEO 2026 Table 23 '!$B:$B,"*,"&amp;$A30&amp;",*"))/SUMIFS('AEO 2026 Table 23 '!I:I,'AEO 2026 Table 23 '!$B:$B,"*,"&amp;$A30&amp;",*"),"")</f>
        <v>1.9604562754516788E-2</v>
      </c>
      <c r="H30">
        <f>IFERROR((SUMIFS('AEO 2026 Table 23 '!K:K,'AEO 2026 Table 23 '!$B:$B,"*,"&amp;$A30&amp;",*")-SUMIFS('AEO 2026 Table 23 '!J:J,'AEO 2026 Table 23 '!$B:$B,"*,"&amp;$A30&amp;",*"))/SUMIFS('AEO 2026 Table 23 '!J:J,'AEO 2026 Table 23 '!$B:$B,"*,"&amp;$A30&amp;",*"),"")</f>
        <v>1.5932404751837544E-2</v>
      </c>
      <c r="I30">
        <f>IFERROR((SUMIFS('AEO 2026 Table 23 '!L:L,'AEO 2026 Table 23 '!$B:$B,"*,"&amp;$A30&amp;",*")-SUMIFS('AEO 2026 Table 23 '!K:K,'AEO 2026 Table 23 '!$B:$B,"*,"&amp;$A30&amp;",*"))/SUMIFS('AEO 2026 Table 23 '!K:K,'AEO 2026 Table 23 '!$B:$B,"*,"&amp;$A30&amp;",*"),"")</f>
        <v>1.6641426870951888E-2</v>
      </c>
      <c r="J30">
        <f>IFERROR((SUMIFS('AEO 2026 Table 23 '!M:M,'AEO 2026 Table 23 '!$B:$B,"*,"&amp;$A30&amp;",*")-SUMIFS('AEO 2026 Table 23 '!L:L,'AEO 2026 Table 23 '!$B:$B,"*,"&amp;$A30&amp;",*"))/SUMIFS('AEO 2026 Table 23 '!L:L,'AEO 2026 Table 23 '!$B:$B,"*,"&amp;$A30&amp;",*"),"")</f>
        <v>6.7021756724579655E-3</v>
      </c>
      <c r="K30">
        <f>IFERROR((SUMIFS('AEO 2026 Table 23 '!N:N,'AEO 2026 Table 23 '!$B:$B,"*,"&amp;$A30&amp;",*")-SUMIFS('AEO 2026 Table 23 '!M:M,'AEO 2026 Table 23 '!$B:$B,"*,"&amp;$A30&amp;",*"))/SUMIFS('AEO 2026 Table 23 '!M:M,'AEO 2026 Table 23 '!$B:$B,"*,"&amp;$A30&amp;",*"),"")</f>
        <v>1.5883257366551745E-2</v>
      </c>
      <c r="L30">
        <f>IFERROR((SUMIFS('AEO 2026 Table 23 '!O:O,'AEO 2026 Table 23 '!$B:$B,"*,"&amp;$A30&amp;",*")-SUMIFS('AEO 2026 Table 23 '!N:N,'AEO 2026 Table 23 '!$B:$B,"*,"&amp;$A30&amp;",*"))/SUMIFS('AEO 2026 Table 23 '!N:N,'AEO 2026 Table 23 '!$B:$B,"*,"&amp;$A30&amp;",*"),"")</f>
        <v>6.9136521435425487E-3</v>
      </c>
      <c r="M30">
        <f>IFERROR((SUMIFS('AEO 2026 Table 23 '!P:P,'AEO 2026 Table 23 '!$B:$B,"*,"&amp;$A30&amp;",*")-SUMIFS('AEO 2026 Table 23 '!O:O,'AEO 2026 Table 23 '!$B:$B,"*,"&amp;$A30&amp;",*"))/SUMIFS('AEO 2026 Table 23 '!O:O,'AEO 2026 Table 23 '!$B:$B,"*,"&amp;$A30&amp;",*"),"")</f>
        <v>2.8542402586039105E-3</v>
      </c>
      <c r="N30">
        <f>IFERROR((SUMIFS('AEO 2026 Table 23 '!Q:Q,'AEO 2026 Table 23 '!$B:$B,"*,"&amp;$A30&amp;",*")-SUMIFS('AEO 2026 Table 23 '!P:P,'AEO 2026 Table 23 '!$B:$B,"*,"&amp;$A30&amp;",*"))/SUMIFS('AEO 2026 Table 23 '!P:P,'AEO 2026 Table 23 '!$B:$B,"*,"&amp;$A30&amp;",*"),"")</f>
        <v>3.8463791260001942E-3</v>
      </c>
      <c r="O30">
        <f>IFERROR((SUMIFS('AEO 2026 Table 23 '!R:R,'AEO 2026 Table 23 '!$B:$B,"*,"&amp;$A30&amp;",*")-SUMIFS('AEO 2026 Table 23 '!Q:Q,'AEO 2026 Table 23 '!$B:$B,"*,"&amp;$A30&amp;",*"))/SUMIFS('AEO 2026 Table 23 '!Q:Q,'AEO 2026 Table 23 '!$B:$B,"*,"&amp;$A30&amp;",*"),"")</f>
        <v>1.0277052427238266E-2</v>
      </c>
      <c r="P30">
        <f>IFERROR((SUMIFS('AEO 2026 Table 23 '!S:S,'AEO 2026 Table 23 '!$B:$B,"*,"&amp;$A30&amp;",*")-SUMIFS('AEO 2026 Table 23 '!R:R,'AEO 2026 Table 23 '!$B:$B,"*,"&amp;$A30&amp;",*"))/SUMIFS('AEO 2026 Table 23 '!R:R,'AEO 2026 Table 23 '!$B:$B,"*,"&amp;$A30&amp;",*"),"")</f>
        <v>2.0572282292054985E-2</v>
      </c>
      <c r="Q30">
        <f>IFERROR((SUMIFS('AEO 2026 Table 23 '!T:T,'AEO 2026 Table 23 '!$B:$B,"*,"&amp;$A30&amp;",*")-SUMIFS('AEO 2026 Table 23 '!S:S,'AEO 2026 Table 23 '!$B:$B,"*,"&amp;$A30&amp;",*"))/SUMIFS('AEO 2026 Table 23 '!S:S,'AEO 2026 Table 23 '!$B:$B,"*,"&amp;$A30&amp;",*"),"")</f>
        <v>1.8700062703327504E-2</v>
      </c>
      <c r="R30">
        <f>IFERROR((SUMIFS('AEO 2026 Table 23 '!U:U,'AEO 2026 Table 23 '!$B:$B,"*,"&amp;$A30&amp;",*")-SUMIFS('AEO 2026 Table 23 '!T:T,'AEO 2026 Table 23 '!$B:$B,"*,"&amp;$A30&amp;",*"))/SUMIFS('AEO 2026 Table 23 '!T:T,'AEO 2026 Table 23 '!$B:$B,"*,"&amp;$A30&amp;",*"),"")</f>
        <v>1.8711123076861937E-2</v>
      </c>
      <c r="S30">
        <f>IFERROR((SUMIFS('AEO 2026 Table 23 '!V:V,'AEO 2026 Table 23 '!$B:$B,"*,"&amp;$A30&amp;",*")-SUMIFS('AEO 2026 Table 23 '!U:U,'AEO 2026 Table 23 '!$B:$B,"*,"&amp;$A30&amp;",*"))/SUMIFS('AEO 2026 Table 23 '!U:U,'AEO 2026 Table 23 '!$B:$B,"*,"&amp;$A30&amp;",*"),"")</f>
        <v>1.7017403091970501E-2</v>
      </c>
      <c r="T30">
        <f>IFERROR((SUMIFS('AEO 2026 Table 23 '!W:W,'AEO 2026 Table 23 '!$B:$B,"*,"&amp;$A30&amp;",*")-SUMIFS('AEO 2026 Table 23 '!V:V,'AEO 2026 Table 23 '!$B:$B,"*,"&amp;$A30&amp;",*"))/SUMIFS('AEO 2026 Table 23 '!V:V,'AEO 2026 Table 23 '!$B:$B,"*,"&amp;$A30&amp;",*"),"")</f>
        <v>1.4762044680125085E-2</v>
      </c>
      <c r="U30">
        <f>IFERROR((SUMIFS('AEO 2026 Table 23 '!X:X,'AEO 2026 Table 23 '!$B:$B,"*,"&amp;$A30&amp;",*")-SUMIFS('AEO 2026 Table 23 '!W:W,'AEO 2026 Table 23 '!$B:$B,"*,"&amp;$A30&amp;",*"))/SUMIFS('AEO 2026 Table 23 '!W:W,'AEO 2026 Table 23 '!$B:$B,"*,"&amp;$A30&amp;",*"),"")</f>
        <v>1.4642211089780718E-2</v>
      </c>
      <c r="V30">
        <f>IFERROR((SUMIFS('AEO 2026 Table 23 '!Y:Y,'AEO 2026 Table 23 '!$B:$B,"*,"&amp;$A30&amp;",*")-SUMIFS('AEO 2026 Table 23 '!X:X,'AEO 2026 Table 23 '!$B:$B,"*,"&amp;$A30&amp;",*"))/SUMIFS('AEO 2026 Table 23 '!X:X,'AEO 2026 Table 23 '!$B:$B,"*,"&amp;$A30&amp;",*"),"")</f>
        <v>1.2713600388710966E-2</v>
      </c>
      <c r="W30">
        <f>IFERROR((SUMIFS('AEO 2026 Table 23 '!Z:Z,'AEO 2026 Table 23 '!$B:$B,"*,"&amp;$A30&amp;",*")-SUMIFS('AEO 2026 Table 23 '!Y:Y,'AEO 2026 Table 23 '!$B:$B,"*,"&amp;$A30&amp;",*"))/SUMIFS('AEO 2026 Table 23 '!Y:Y,'AEO 2026 Table 23 '!$B:$B,"*,"&amp;$A30&amp;",*"),"")</f>
        <v>1.2896278318495618E-2</v>
      </c>
      <c r="X30">
        <f>IFERROR((SUMIFS('AEO 2026 Table 23 '!AA:AA,'AEO 2026 Table 23 '!$B:$B,"*,"&amp;$A30&amp;",*")-SUMIFS('AEO 2026 Table 23 '!Z:Z,'AEO 2026 Table 23 '!$B:$B,"*,"&amp;$A30&amp;",*"))/SUMIFS('AEO 2026 Table 23 '!Z:Z,'AEO 2026 Table 23 '!$B:$B,"*,"&amp;$A30&amp;",*"),"")</f>
        <v>1.336315733038511E-2</v>
      </c>
      <c r="Y30">
        <f>IFERROR((SUMIFS('AEO 2026 Table 23 '!AB:AB,'AEO 2026 Table 23 '!$B:$B,"*,"&amp;$A30&amp;",*")-SUMIFS('AEO 2026 Table 23 '!AA:AA,'AEO 2026 Table 23 '!$B:$B,"*,"&amp;$A30&amp;",*"))/SUMIFS('AEO 2026 Table 23 '!AA:AA,'AEO 2026 Table 23 '!$B:$B,"*,"&amp;$A30&amp;",*"),"")</f>
        <v>1.2522422817884852E-2</v>
      </c>
      <c r="Z30">
        <f>IFERROR((SUMIFS('AEO 2026 Table 23 '!AC:AC,'AEO 2026 Table 23 '!$B:$B,"*,"&amp;$A30&amp;",*")-SUMIFS('AEO 2026 Table 23 '!AB:AB,'AEO 2026 Table 23 '!$B:$B,"*,"&amp;$A30&amp;",*"))/SUMIFS('AEO 2026 Table 23 '!AB:AB,'AEO 2026 Table 23 '!$B:$B,"*,"&amp;$A30&amp;",*"),"")</f>
        <v>1.1331525364436211E-2</v>
      </c>
      <c r="AA30">
        <f>IFERROR((SUMIFS('AEO 2026 Table 23 '!AD:AD,'AEO 2026 Table 23 '!$B:$B,"*,"&amp;$A30&amp;",*")-SUMIFS('AEO 2026 Table 23 '!AC:AC,'AEO 2026 Table 23 '!$B:$B,"*,"&amp;$A30&amp;",*"))/SUMIFS('AEO 2026 Table 23 '!AC:AC,'AEO 2026 Table 23 '!$B:$B,"*,"&amp;$A30&amp;",*"),"")</f>
        <v>1.1461454971234577E-2</v>
      </c>
      <c r="AB30">
        <f>IFERROR((SUMIFS('AEO 2026 Table 23 '!AE:AE,'AEO 2026 Table 23 '!$B:$B,"*,"&amp;$A30&amp;",*")-SUMIFS('AEO 2026 Table 23 '!AD:AD,'AEO 2026 Table 23 '!$B:$B,"*,"&amp;$A30&amp;",*"))/SUMIFS('AEO 2026 Table 23 '!AD:AD,'AEO 2026 Table 23 '!$B:$B,"*,"&amp;$A30&amp;",*"),"")</f>
        <v>1.0357703802010182E-2</v>
      </c>
      <c r="AC30">
        <f>IFERROR((SUMIFS('AEO 2026 Table 23 '!AF:AF,'AEO 2026 Table 23 '!$B:$B,"*,"&amp;$A30&amp;",*")-SUMIFS('AEO 2026 Table 23 '!AE:AE,'AEO 2026 Table 23 '!$B:$B,"*,"&amp;$A30&amp;",*"))/SUMIFS('AEO 2026 Table 23 '!AE:AE,'AEO 2026 Table 23 '!$B:$B,"*,"&amp;$A30&amp;",*"),"")</f>
        <v>8.2997084143176143E-3</v>
      </c>
    </row>
    <row r="31" spans="1:29" x14ac:dyDescent="0.25">
      <c r="A31" t="s">
        <v>344</v>
      </c>
      <c r="B31">
        <f>IFERROR(SUMPRODUCT(--('BLS Table 2.11'!$L$1:$L$426=$A31),'BLS Table 2.11'!$J$1:$J$426,'BLS Table 2.11'!$K$1:$K$426)/SUMIFS('BLS Table 2.11'!$J$1:$J$426,'BLS Table 2.11'!$L$1:$L$426,$A31)/100,0)</f>
        <v>1.5616425120772947E-2</v>
      </c>
      <c r="D31">
        <f>IFERROR((SUMIFS('AEO 2026 Table 23 '!G:G,'AEO 2026 Table 23 '!$B:$B,"*,"&amp;$A31&amp;",*")-SUMIFS('AEO25 Table 23'!H:H,'AEO25 Table 23'!$B:$B,"*,"&amp;$A31&amp;",*"))/SUMIFS('AEO25 Table 23'!H:H,'AEO25 Table 23'!$B:$B,"*,"&amp;$A31&amp;",*"),"")</f>
        <v>-1.632229783085291E-2</v>
      </c>
      <c r="E31">
        <f>IFERROR((SUMIFS('AEO 2026 Table 23 '!H:H,'AEO 2026 Table 23 '!$B:$B,"*,"&amp;$A31&amp;",*")-SUMIFS('AEO 2026 Table 23 '!G:G,'AEO 2026 Table 23 '!$B:$B,"*,"&amp;$A31&amp;",*"))/SUMIFS('AEO 2026 Table 23 '!G:G,'AEO 2026 Table 23 '!$B:$B,"*,"&amp;$A31&amp;",*"),"")</f>
        <v>5.5999459016875253E-3</v>
      </c>
      <c r="F31">
        <f>IFERROR((SUMIFS('AEO 2026 Table 23 '!I:I,'AEO 2026 Table 23 '!$B:$B,"*,"&amp;$A31&amp;",*")-SUMIFS('AEO 2026 Table 23 '!H:H,'AEO 2026 Table 23 '!$B:$B,"*,"&amp;$A31&amp;",*"))/SUMIFS('AEO 2026 Table 23 '!H:H,'AEO 2026 Table 23 '!$B:$B,"*,"&amp;$A31&amp;",*"),"")</f>
        <v>2.5757109931396592E-2</v>
      </c>
      <c r="G31">
        <f>IFERROR((SUMIFS('AEO 2026 Table 23 '!J:J,'AEO 2026 Table 23 '!$B:$B,"*,"&amp;$A31&amp;",*")-SUMIFS('AEO 2026 Table 23 '!I:I,'AEO 2026 Table 23 '!$B:$B,"*,"&amp;$A31&amp;",*"))/SUMIFS('AEO 2026 Table 23 '!I:I,'AEO 2026 Table 23 '!$B:$B,"*,"&amp;$A31&amp;",*"),"")</f>
        <v>1.1354110634450888E-2</v>
      </c>
      <c r="H31">
        <f>IFERROR((SUMIFS('AEO 2026 Table 23 '!K:K,'AEO 2026 Table 23 '!$B:$B,"*,"&amp;$A31&amp;",*")-SUMIFS('AEO 2026 Table 23 '!J:J,'AEO 2026 Table 23 '!$B:$B,"*,"&amp;$A31&amp;",*"))/SUMIFS('AEO 2026 Table 23 '!J:J,'AEO 2026 Table 23 '!$B:$B,"*,"&amp;$A31&amp;",*"),"")</f>
        <v>1.5817217719252666E-2</v>
      </c>
      <c r="I31">
        <f>IFERROR((SUMIFS('AEO 2026 Table 23 '!L:L,'AEO 2026 Table 23 '!$B:$B,"*,"&amp;$A31&amp;",*")-SUMIFS('AEO 2026 Table 23 '!K:K,'AEO 2026 Table 23 '!$B:$B,"*,"&amp;$A31&amp;",*"))/SUMIFS('AEO 2026 Table 23 '!K:K,'AEO 2026 Table 23 '!$B:$B,"*,"&amp;$A31&amp;",*"),"")</f>
        <v>2.3875865803752797E-2</v>
      </c>
      <c r="J31">
        <f>IFERROR((SUMIFS('AEO 2026 Table 23 '!M:M,'AEO 2026 Table 23 '!$B:$B,"*,"&amp;$A31&amp;",*")-SUMIFS('AEO 2026 Table 23 '!L:L,'AEO 2026 Table 23 '!$B:$B,"*,"&amp;$A31&amp;",*"))/SUMIFS('AEO 2026 Table 23 '!L:L,'AEO 2026 Table 23 '!$B:$B,"*,"&amp;$A31&amp;",*"),"")</f>
        <v>2.5367352744672552E-2</v>
      </c>
      <c r="K31">
        <f>IFERROR((SUMIFS('AEO 2026 Table 23 '!N:N,'AEO 2026 Table 23 '!$B:$B,"*,"&amp;$A31&amp;",*")-SUMIFS('AEO 2026 Table 23 '!M:M,'AEO 2026 Table 23 '!$B:$B,"*,"&amp;$A31&amp;",*"))/SUMIFS('AEO 2026 Table 23 '!M:M,'AEO 2026 Table 23 '!$B:$B,"*,"&amp;$A31&amp;",*"),"")</f>
        <v>1.0717953538114944E-2</v>
      </c>
      <c r="L31">
        <f>IFERROR((SUMIFS('AEO 2026 Table 23 '!O:O,'AEO 2026 Table 23 '!$B:$B,"*,"&amp;$A31&amp;",*")-SUMIFS('AEO 2026 Table 23 '!N:N,'AEO 2026 Table 23 '!$B:$B,"*,"&amp;$A31&amp;",*"))/SUMIFS('AEO 2026 Table 23 '!N:N,'AEO 2026 Table 23 '!$B:$B,"*,"&amp;$A31&amp;",*"),"")</f>
        <v>4.251649523984118E-3</v>
      </c>
      <c r="M31">
        <f>IFERROR((SUMIFS('AEO 2026 Table 23 '!P:P,'AEO 2026 Table 23 '!$B:$B,"*,"&amp;$A31&amp;",*")-SUMIFS('AEO 2026 Table 23 '!O:O,'AEO 2026 Table 23 '!$B:$B,"*,"&amp;$A31&amp;",*"))/SUMIFS('AEO 2026 Table 23 '!O:O,'AEO 2026 Table 23 '!$B:$B,"*,"&amp;$A31&amp;",*"),"")</f>
        <v>1.7918239151918502E-3</v>
      </c>
      <c r="N31">
        <f>IFERROR((SUMIFS('AEO 2026 Table 23 '!Q:Q,'AEO 2026 Table 23 '!$B:$B,"*,"&amp;$A31&amp;",*")-SUMIFS('AEO 2026 Table 23 '!P:P,'AEO 2026 Table 23 '!$B:$B,"*,"&amp;$A31&amp;",*"))/SUMIFS('AEO 2026 Table 23 '!P:P,'AEO 2026 Table 23 '!$B:$B,"*,"&amp;$A31&amp;",*"),"")</f>
        <v>7.7910798401826641E-3</v>
      </c>
      <c r="O31">
        <f>IFERROR((SUMIFS('AEO 2026 Table 23 '!R:R,'AEO 2026 Table 23 '!$B:$B,"*,"&amp;$A31&amp;",*")-SUMIFS('AEO 2026 Table 23 '!Q:Q,'AEO 2026 Table 23 '!$B:$B,"*,"&amp;$A31&amp;",*"))/SUMIFS('AEO 2026 Table 23 '!Q:Q,'AEO 2026 Table 23 '!$B:$B,"*,"&amp;$A31&amp;",*"),"")</f>
        <v>8.5717762642570985E-3</v>
      </c>
      <c r="P31">
        <f>IFERROR((SUMIFS('AEO 2026 Table 23 '!S:S,'AEO 2026 Table 23 '!$B:$B,"*,"&amp;$A31&amp;",*")-SUMIFS('AEO 2026 Table 23 '!R:R,'AEO 2026 Table 23 '!$B:$B,"*,"&amp;$A31&amp;",*"))/SUMIFS('AEO 2026 Table 23 '!R:R,'AEO 2026 Table 23 '!$B:$B,"*,"&amp;$A31&amp;",*"),"")</f>
        <v>9.7625674798807287E-3</v>
      </c>
      <c r="Q31">
        <f>IFERROR((SUMIFS('AEO 2026 Table 23 '!T:T,'AEO 2026 Table 23 '!$B:$B,"*,"&amp;$A31&amp;",*")-SUMIFS('AEO 2026 Table 23 '!S:S,'AEO 2026 Table 23 '!$B:$B,"*,"&amp;$A31&amp;",*"))/SUMIFS('AEO 2026 Table 23 '!S:S,'AEO 2026 Table 23 '!$B:$B,"*,"&amp;$A31&amp;",*"),"")</f>
        <v>1.1577806384322731E-2</v>
      </c>
      <c r="R31">
        <f>IFERROR((SUMIFS('AEO 2026 Table 23 '!U:U,'AEO 2026 Table 23 '!$B:$B,"*,"&amp;$A31&amp;",*")-SUMIFS('AEO 2026 Table 23 '!T:T,'AEO 2026 Table 23 '!$B:$B,"*,"&amp;$A31&amp;",*"))/SUMIFS('AEO 2026 Table 23 '!T:T,'AEO 2026 Table 23 '!$B:$B,"*,"&amp;$A31&amp;",*"),"")</f>
        <v>4.9481819871324117E-3</v>
      </c>
      <c r="S31">
        <f>IFERROR((SUMIFS('AEO 2026 Table 23 '!V:V,'AEO 2026 Table 23 '!$B:$B,"*,"&amp;$A31&amp;",*")-SUMIFS('AEO 2026 Table 23 '!U:U,'AEO 2026 Table 23 '!$B:$B,"*,"&amp;$A31&amp;",*"))/SUMIFS('AEO 2026 Table 23 '!U:U,'AEO 2026 Table 23 '!$B:$B,"*,"&amp;$A31&amp;",*"),"")</f>
        <v>1.0793203306688067E-2</v>
      </c>
      <c r="T31">
        <f>IFERROR((SUMIFS('AEO 2026 Table 23 '!W:W,'AEO 2026 Table 23 '!$B:$B,"*,"&amp;$A31&amp;",*")-SUMIFS('AEO 2026 Table 23 '!V:V,'AEO 2026 Table 23 '!$B:$B,"*,"&amp;$A31&amp;",*"))/SUMIFS('AEO 2026 Table 23 '!V:V,'AEO 2026 Table 23 '!$B:$B,"*,"&amp;$A31&amp;",*"),"")</f>
        <v>1.1087318728565851E-2</v>
      </c>
      <c r="U31">
        <f>IFERROR((SUMIFS('AEO 2026 Table 23 '!X:X,'AEO 2026 Table 23 '!$B:$B,"*,"&amp;$A31&amp;",*")-SUMIFS('AEO 2026 Table 23 '!W:W,'AEO 2026 Table 23 '!$B:$B,"*,"&amp;$A31&amp;",*"))/SUMIFS('AEO 2026 Table 23 '!W:W,'AEO 2026 Table 23 '!$B:$B,"*,"&amp;$A31&amp;",*"),"")</f>
        <v>9.320051786472822E-3</v>
      </c>
      <c r="V31">
        <f>IFERROR((SUMIFS('AEO 2026 Table 23 '!Y:Y,'AEO 2026 Table 23 '!$B:$B,"*,"&amp;$A31&amp;",*")-SUMIFS('AEO 2026 Table 23 '!X:X,'AEO 2026 Table 23 '!$B:$B,"*,"&amp;$A31&amp;",*"))/SUMIFS('AEO 2026 Table 23 '!X:X,'AEO 2026 Table 23 '!$B:$B,"*,"&amp;$A31&amp;",*"),"")</f>
        <v>8.6730499813616642E-3</v>
      </c>
      <c r="W31">
        <f>IFERROR((SUMIFS('AEO 2026 Table 23 '!Z:Z,'AEO 2026 Table 23 '!$B:$B,"*,"&amp;$A31&amp;",*")-SUMIFS('AEO 2026 Table 23 '!Y:Y,'AEO 2026 Table 23 '!$B:$B,"*,"&amp;$A31&amp;",*"))/SUMIFS('AEO 2026 Table 23 '!Y:Y,'AEO 2026 Table 23 '!$B:$B,"*,"&amp;$A31&amp;",*"),"")</f>
        <v>9.4775489895972537E-3</v>
      </c>
      <c r="X31">
        <f>IFERROR((SUMIFS('AEO 2026 Table 23 '!AA:AA,'AEO 2026 Table 23 '!$B:$B,"*,"&amp;$A31&amp;",*")-SUMIFS('AEO 2026 Table 23 '!Z:Z,'AEO 2026 Table 23 '!$B:$B,"*,"&amp;$A31&amp;",*"))/SUMIFS('AEO 2026 Table 23 '!Z:Z,'AEO 2026 Table 23 '!$B:$B,"*,"&amp;$A31&amp;",*"),"")</f>
        <v>1.2076580439907935E-2</v>
      </c>
      <c r="Y31">
        <f>IFERROR((SUMIFS('AEO 2026 Table 23 '!AB:AB,'AEO 2026 Table 23 '!$B:$B,"*,"&amp;$A31&amp;",*")-SUMIFS('AEO 2026 Table 23 '!AA:AA,'AEO 2026 Table 23 '!$B:$B,"*,"&amp;$A31&amp;",*"))/SUMIFS('AEO 2026 Table 23 '!AA:AA,'AEO 2026 Table 23 '!$B:$B,"*,"&amp;$A31&amp;",*"),"")</f>
        <v>8.1813883067160982E-3</v>
      </c>
      <c r="Z31">
        <f>IFERROR((SUMIFS('AEO 2026 Table 23 '!AC:AC,'AEO 2026 Table 23 '!$B:$B,"*,"&amp;$A31&amp;",*")-SUMIFS('AEO 2026 Table 23 '!AB:AB,'AEO 2026 Table 23 '!$B:$B,"*,"&amp;$A31&amp;",*"))/SUMIFS('AEO 2026 Table 23 '!AB:AB,'AEO 2026 Table 23 '!$B:$B,"*,"&amp;$A31&amp;",*"),"")</f>
        <v>7.4069072932828311E-3</v>
      </c>
      <c r="AA31">
        <f>IFERROR((SUMIFS('AEO 2026 Table 23 '!AD:AD,'AEO 2026 Table 23 '!$B:$B,"*,"&amp;$A31&amp;",*")-SUMIFS('AEO 2026 Table 23 '!AC:AC,'AEO 2026 Table 23 '!$B:$B,"*,"&amp;$A31&amp;",*"))/SUMIFS('AEO 2026 Table 23 '!AC:AC,'AEO 2026 Table 23 '!$B:$B,"*,"&amp;$A31&amp;",*"),"")</f>
        <v>3.1471864461374319E-3</v>
      </c>
      <c r="AB31">
        <f>IFERROR((SUMIFS('AEO 2026 Table 23 '!AE:AE,'AEO 2026 Table 23 '!$B:$B,"*,"&amp;$A31&amp;",*")-SUMIFS('AEO 2026 Table 23 '!AD:AD,'AEO 2026 Table 23 '!$B:$B,"*,"&amp;$A31&amp;",*"))/SUMIFS('AEO 2026 Table 23 '!AD:AD,'AEO 2026 Table 23 '!$B:$B,"*,"&amp;$A31&amp;",*"),"")</f>
        <v>1.1445265042010417E-2</v>
      </c>
      <c r="AC31">
        <f>IFERROR((SUMIFS('AEO 2026 Table 23 '!AF:AF,'AEO 2026 Table 23 '!$B:$B,"*,"&amp;$A31&amp;",*")-SUMIFS('AEO 2026 Table 23 '!AE:AE,'AEO 2026 Table 23 '!$B:$B,"*,"&amp;$A31&amp;",*"))/SUMIFS('AEO 2026 Table 23 '!AE:AE,'AEO 2026 Table 23 '!$B:$B,"*,"&amp;$A31&amp;",*"),"")</f>
        <v>2.5966262870745892E-3</v>
      </c>
    </row>
    <row r="32" spans="1:29" x14ac:dyDescent="0.25">
      <c r="A32" t="s">
        <v>106</v>
      </c>
      <c r="B32">
        <f>IFERROR(SUMPRODUCT(--('BLS Table 2.11'!$L$1:$L$426=$A32),'BLS Table 2.11'!$J$1:$J$426,'BLS Table 2.11'!$K$1:$K$426)/SUMIFS('BLS Table 2.11'!$J$1:$J$426,'BLS Table 2.11'!$L$1:$L$426,$A32)/100,0)</f>
        <v>0.02</v>
      </c>
      <c r="D32" t="str">
        <f>IFERROR((SUMIFS('AEO 2026 Table 23 '!G:G,'AEO 2026 Table 23 '!$B:$B,"*,"&amp;$A32&amp;",*")-SUMIFS('AEO25 Table 23'!H:H,'AEO25 Table 23'!$B:$B,"*,"&amp;$A32&amp;",*"))/SUMIFS('AEO25 Table 23'!H:H,'AEO25 Table 23'!$B:$B,"*,"&amp;$A32&amp;",*"),"")</f>
        <v/>
      </c>
      <c r="E32" t="str">
        <f>IFERROR((SUMIFS('AEO 2026 Table 23 '!H:H,'AEO 2026 Table 23 '!$B:$B,"*,"&amp;$A32&amp;",*")-SUMIFS('AEO 2026 Table 23 '!G:G,'AEO 2026 Table 23 '!$B:$B,"*,"&amp;$A32&amp;",*"))/SUMIFS('AEO 2026 Table 23 '!G:G,'AEO 2026 Table 23 '!$B:$B,"*,"&amp;$A32&amp;",*"),"")</f>
        <v/>
      </c>
      <c r="F32" t="str">
        <f>IFERROR((SUMIFS('AEO 2026 Table 23 '!I:I,'AEO 2026 Table 23 '!$B:$B,"*,"&amp;$A32&amp;",*")-SUMIFS('AEO 2026 Table 23 '!H:H,'AEO 2026 Table 23 '!$B:$B,"*,"&amp;$A32&amp;",*"))/SUMIFS('AEO 2026 Table 23 '!H:H,'AEO 2026 Table 23 '!$B:$B,"*,"&amp;$A32&amp;",*"),"")</f>
        <v/>
      </c>
      <c r="G32" t="str">
        <f>IFERROR((SUMIFS('AEO 2026 Table 23 '!J:J,'AEO 2026 Table 23 '!$B:$B,"*,"&amp;$A32&amp;",*")-SUMIFS('AEO 2026 Table 23 '!I:I,'AEO 2026 Table 23 '!$B:$B,"*,"&amp;$A32&amp;",*"))/SUMIFS('AEO 2026 Table 23 '!I:I,'AEO 2026 Table 23 '!$B:$B,"*,"&amp;$A32&amp;",*"),"")</f>
        <v/>
      </c>
      <c r="H32" t="str">
        <f>IFERROR((SUMIFS('AEO 2026 Table 23 '!K:K,'AEO 2026 Table 23 '!$B:$B,"*,"&amp;$A32&amp;",*")-SUMIFS('AEO 2026 Table 23 '!J:J,'AEO 2026 Table 23 '!$B:$B,"*,"&amp;$A32&amp;",*"))/SUMIFS('AEO 2026 Table 23 '!J:J,'AEO 2026 Table 23 '!$B:$B,"*,"&amp;$A32&amp;",*"),"")</f>
        <v/>
      </c>
      <c r="I32" t="str">
        <f>IFERROR((SUMIFS('AEO 2026 Table 23 '!L:L,'AEO 2026 Table 23 '!$B:$B,"*,"&amp;$A32&amp;",*")-SUMIFS('AEO 2026 Table 23 '!K:K,'AEO 2026 Table 23 '!$B:$B,"*,"&amp;$A32&amp;",*"))/SUMIFS('AEO 2026 Table 23 '!K:K,'AEO 2026 Table 23 '!$B:$B,"*,"&amp;$A32&amp;",*"),"")</f>
        <v/>
      </c>
      <c r="J32" t="str">
        <f>IFERROR((SUMIFS('AEO 2026 Table 23 '!M:M,'AEO 2026 Table 23 '!$B:$B,"*,"&amp;$A32&amp;",*")-SUMIFS('AEO 2026 Table 23 '!L:L,'AEO 2026 Table 23 '!$B:$B,"*,"&amp;$A32&amp;",*"))/SUMIFS('AEO 2026 Table 23 '!L:L,'AEO 2026 Table 23 '!$B:$B,"*,"&amp;$A32&amp;",*"),"")</f>
        <v/>
      </c>
      <c r="K32" t="str">
        <f>IFERROR((SUMIFS('AEO 2026 Table 23 '!N:N,'AEO 2026 Table 23 '!$B:$B,"*,"&amp;$A32&amp;",*")-SUMIFS('AEO 2026 Table 23 '!M:M,'AEO 2026 Table 23 '!$B:$B,"*,"&amp;$A32&amp;",*"))/SUMIFS('AEO 2026 Table 23 '!M:M,'AEO 2026 Table 23 '!$B:$B,"*,"&amp;$A32&amp;",*"),"")</f>
        <v/>
      </c>
      <c r="L32" t="str">
        <f>IFERROR((SUMIFS('AEO 2026 Table 23 '!O:O,'AEO 2026 Table 23 '!$B:$B,"*,"&amp;$A32&amp;",*")-SUMIFS('AEO 2026 Table 23 '!N:N,'AEO 2026 Table 23 '!$B:$B,"*,"&amp;$A32&amp;",*"))/SUMIFS('AEO 2026 Table 23 '!N:N,'AEO 2026 Table 23 '!$B:$B,"*,"&amp;$A32&amp;",*"),"")</f>
        <v/>
      </c>
      <c r="M32" t="str">
        <f>IFERROR((SUMIFS('AEO 2026 Table 23 '!P:P,'AEO 2026 Table 23 '!$B:$B,"*,"&amp;$A32&amp;",*")-SUMIFS('AEO 2026 Table 23 '!O:O,'AEO 2026 Table 23 '!$B:$B,"*,"&amp;$A32&amp;",*"))/SUMIFS('AEO 2026 Table 23 '!O:O,'AEO 2026 Table 23 '!$B:$B,"*,"&amp;$A32&amp;",*"),"")</f>
        <v/>
      </c>
      <c r="N32" t="str">
        <f>IFERROR((SUMIFS('AEO 2026 Table 23 '!Q:Q,'AEO 2026 Table 23 '!$B:$B,"*,"&amp;$A32&amp;",*")-SUMIFS('AEO 2026 Table 23 '!P:P,'AEO 2026 Table 23 '!$B:$B,"*,"&amp;$A32&amp;",*"))/SUMIFS('AEO 2026 Table 23 '!P:P,'AEO 2026 Table 23 '!$B:$B,"*,"&amp;$A32&amp;",*"),"")</f>
        <v/>
      </c>
      <c r="O32" t="str">
        <f>IFERROR((SUMIFS('AEO 2026 Table 23 '!R:R,'AEO 2026 Table 23 '!$B:$B,"*,"&amp;$A32&amp;",*")-SUMIFS('AEO 2026 Table 23 '!Q:Q,'AEO 2026 Table 23 '!$B:$B,"*,"&amp;$A32&amp;",*"))/SUMIFS('AEO 2026 Table 23 '!Q:Q,'AEO 2026 Table 23 '!$B:$B,"*,"&amp;$A32&amp;",*"),"")</f>
        <v/>
      </c>
      <c r="P32" t="str">
        <f>IFERROR((SUMIFS('AEO 2026 Table 23 '!S:S,'AEO 2026 Table 23 '!$B:$B,"*,"&amp;$A32&amp;",*")-SUMIFS('AEO 2026 Table 23 '!R:R,'AEO 2026 Table 23 '!$B:$B,"*,"&amp;$A32&amp;",*"))/SUMIFS('AEO 2026 Table 23 '!R:R,'AEO 2026 Table 23 '!$B:$B,"*,"&amp;$A32&amp;",*"),"")</f>
        <v/>
      </c>
      <c r="Q32" t="str">
        <f>IFERROR((SUMIFS('AEO 2026 Table 23 '!T:T,'AEO 2026 Table 23 '!$B:$B,"*,"&amp;$A32&amp;",*")-SUMIFS('AEO 2026 Table 23 '!S:S,'AEO 2026 Table 23 '!$B:$B,"*,"&amp;$A32&amp;",*"))/SUMIFS('AEO 2026 Table 23 '!S:S,'AEO 2026 Table 23 '!$B:$B,"*,"&amp;$A32&amp;",*"),"")</f>
        <v/>
      </c>
      <c r="R32" t="str">
        <f>IFERROR((SUMIFS('AEO 2026 Table 23 '!U:U,'AEO 2026 Table 23 '!$B:$B,"*,"&amp;$A32&amp;",*")-SUMIFS('AEO 2026 Table 23 '!T:T,'AEO 2026 Table 23 '!$B:$B,"*,"&amp;$A32&amp;",*"))/SUMIFS('AEO 2026 Table 23 '!T:T,'AEO 2026 Table 23 '!$B:$B,"*,"&amp;$A32&amp;",*"),"")</f>
        <v/>
      </c>
      <c r="S32" t="str">
        <f>IFERROR((SUMIFS('AEO 2026 Table 23 '!V:V,'AEO 2026 Table 23 '!$B:$B,"*,"&amp;$A32&amp;",*")-SUMIFS('AEO 2026 Table 23 '!U:U,'AEO 2026 Table 23 '!$B:$B,"*,"&amp;$A32&amp;",*"))/SUMIFS('AEO 2026 Table 23 '!U:U,'AEO 2026 Table 23 '!$B:$B,"*,"&amp;$A32&amp;",*"),"")</f>
        <v/>
      </c>
      <c r="T32" t="str">
        <f>IFERROR((SUMIFS('AEO 2026 Table 23 '!W:W,'AEO 2026 Table 23 '!$B:$B,"*,"&amp;$A32&amp;",*")-SUMIFS('AEO 2026 Table 23 '!V:V,'AEO 2026 Table 23 '!$B:$B,"*,"&amp;$A32&amp;",*"))/SUMIFS('AEO 2026 Table 23 '!V:V,'AEO 2026 Table 23 '!$B:$B,"*,"&amp;$A32&amp;",*"),"")</f>
        <v/>
      </c>
      <c r="U32" t="str">
        <f>IFERROR((SUMIFS('AEO 2026 Table 23 '!X:X,'AEO 2026 Table 23 '!$B:$B,"*,"&amp;$A32&amp;",*")-SUMIFS('AEO 2026 Table 23 '!W:W,'AEO 2026 Table 23 '!$B:$B,"*,"&amp;$A32&amp;",*"))/SUMIFS('AEO 2026 Table 23 '!W:W,'AEO 2026 Table 23 '!$B:$B,"*,"&amp;$A32&amp;",*"),"")</f>
        <v/>
      </c>
      <c r="V32" t="str">
        <f>IFERROR((SUMIFS('AEO 2026 Table 23 '!Y:Y,'AEO 2026 Table 23 '!$B:$B,"*,"&amp;$A32&amp;",*")-SUMIFS('AEO 2026 Table 23 '!X:X,'AEO 2026 Table 23 '!$B:$B,"*,"&amp;$A32&amp;",*"))/SUMIFS('AEO 2026 Table 23 '!X:X,'AEO 2026 Table 23 '!$B:$B,"*,"&amp;$A32&amp;",*"),"")</f>
        <v/>
      </c>
      <c r="W32" t="str">
        <f>IFERROR((SUMIFS('AEO 2026 Table 23 '!Z:Z,'AEO 2026 Table 23 '!$B:$B,"*,"&amp;$A32&amp;",*")-SUMIFS('AEO 2026 Table 23 '!Y:Y,'AEO 2026 Table 23 '!$B:$B,"*,"&amp;$A32&amp;",*"))/SUMIFS('AEO 2026 Table 23 '!Y:Y,'AEO 2026 Table 23 '!$B:$B,"*,"&amp;$A32&amp;",*"),"")</f>
        <v/>
      </c>
      <c r="X32" t="str">
        <f>IFERROR((SUMIFS('AEO 2026 Table 23 '!AA:AA,'AEO 2026 Table 23 '!$B:$B,"*,"&amp;$A32&amp;",*")-SUMIFS('AEO 2026 Table 23 '!Z:Z,'AEO 2026 Table 23 '!$B:$B,"*,"&amp;$A32&amp;",*"))/SUMIFS('AEO 2026 Table 23 '!Z:Z,'AEO 2026 Table 23 '!$B:$B,"*,"&amp;$A32&amp;",*"),"")</f>
        <v/>
      </c>
      <c r="Y32" t="str">
        <f>IFERROR((SUMIFS('AEO 2026 Table 23 '!AB:AB,'AEO 2026 Table 23 '!$B:$B,"*,"&amp;$A32&amp;",*")-SUMIFS('AEO 2026 Table 23 '!AA:AA,'AEO 2026 Table 23 '!$B:$B,"*,"&amp;$A32&amp;",*"))/SUMIFS('AEO 2026 Table 23 '!AA:AA,'AEO 2026 Table 23 '!$B:$B,"*,"&amp;$A32&amp;",*"),"")</f>
        <v/>
      </c>
      <c r="Z32" t="str">
        <f>IFERROR((SUMIFS('AEO 2026 Table 23 '!AC:AC,'AEO 2026 Table 23 '!$B:$B,"*,"&amp;$A32&amp;",*")-SUMIFS('AEO 2026 Table 23 '!AB:AB,'AEO 2026 Table 23 '!$B:$B,"*,"&amp;$A32&amp;",*"))/SUMIFS('AEO 2026 Table 23 '!AB:AB,'AEO 2026 Table 23 '!$B:$B,"*,"&amp;$A32&amp;",*"),"")</f>
        <v/>
      </c>
      <c r="AA32" t="str">
        <f>IFERROR((SUMIFS('AEO 2026 Table 23 '!AD:AD,'AEO 2026 Table 23 '!$B:$B,"*,"&amp;$A32&amp;",*")-SUMIFS('AEO 2026 Table 23 '!AC:AC,'AEO 2026 Table 23 '!$B:$B,"*,"&amp;$A32&amp;",*"))/SUMIFS('AEO 2026 Table 23 '!AC:AC,'AEO 2026 Table 23 '!$B:$B,"*,"&amp;$A32&amp;",*"),"")</f>
        <v/>
      </c>
      <c r="AB32" t="str">
        <f>IFERROR((SUMIFS('AEO 2026 Table 23 '!AE:AE,'AEO 2026 Table 23 '!$B:$B,"*,"&amp;$A32&amp;",*")-SUMIFS('AEO 2026 Table 23 '!AD:AD,'AEO 2026 Table 23 '!$B:$B,"*,"&amp;$A32&amp;",*"))/SUMIFS('AEO 2026 Table 23 '!AD:AD,'AEO 2026 Table 23 '!$B:$B,"*,"&amp;$A32&amp;",*"),"")</f>
        <v/>
      </c>
      <c r="AC32" t="str">
        <f>IFERROR((SUMIFS('AEO 2026 Table 23 '!AF:AF,'AEO 2026 Table 23 '!$B:$B,"*,"&amp;$A32&amp;",*")-SUMIFS('AEO 2026 Table 23 '!AE:AE,'AEO 2026 Table 23 '!$B:$B,"*,"&amp;$A32&amp;",*"))/SUMIFS('AEO 2026 Table 23 '!AE:AE,'AEO 2026 Table 23 '!$B:$B,"*,"&amp;$A32&amp;",*"),"")</f>
        <v/>
      </c>
    </row>
    <row r="33" spans="1:29" x14ac:dyDescent="0.25">
      <c r="A33" t="s">
        <v>127</v>
      </c>
      <c r="B33">
        <f>IFERROR(SUMPRODUCT(--('BLS Table 2.11'!$L$1:$L$426=$A33),'BLS Table 2.11'!$J$1:$J$426,'BLS Table 2.11'!$K$1:$K$426)/SUMIFS('BLS Table 2.11'!$J$1:$J$426,'BLS Table 2.11'!$L$1:$L$426,$A33)/100,0)</f>
        <v>1.1194630872483222E-2</v>
      </c>
      <c r="D33" t="str">
        <f>IFERROR((SUMIFS('AEO 2026 Table 23 '!G:G,'AEO 2026 Table 23 '!$B:$B,"*,"&amp;$A33&amp;",*")-SUMIFS('AEO25 Table 23'!H:H,'AEO25 Table 23'!$B:$B,"*,"&amp;$A33&amp;",*"))/SUMIFS('AEO25 Table 23'!H:H,'AEO25 Table 23'!$B:$B,"*,"&amp;$A33&amp;",*"),"")</f>
        <v/>
      </c>
      <c r="E33" t="str">
        <f>IFERROR((SUMIFS('AEO 2026 Table 23 '!H:H,'AEO 2026 Table 23 '!$B:$B,"*,"&amp;$A33&amp;",*")-SUMIFS('AEO 2026 Table 23 '!G:G,'AEO 2026 Table 23 '!$B:$B,"*,"&amp;$A33&amp;",*"))/SUMIFS('AEO 2026 Table 23 '!G:G,'AEO 2026 Table 23 '!$B:$B,"*,"&amp;$A33&amp;",*"),"")</f>
        <v/>
      </c>
      <c r="F33" t="str">
        <f>IFERROR((SUMIFS('AEO 2026 Table 23 '!I:I,'AEO 2026 Table 23 '!$B:$B,"*,"&amp;$A33&amp;",*")-SUMIFS('AEO 2026 Table 23 '!H:H,'AEO 2026 Table 23 '!$B:$B,"*,"&amp;$A33&amp;",*"))/SUMIFS('AEO 2026 Table 23 '!H:H,'AEO 2026 Table 23 '!$B:$B,"*,"&amp;$A33&amp;",*"),"")</f>
        <v/>
      </c>
      <c r="G33" t="str">
        <f>IFERROR((SUMIFS('AEO 2026 Table 23 '!J:J,'AEO 2026 Table 23 '!$B:$B,"*,"&amp;$A33&amp;",*")-SUMIFS('AEO 2026 Table 23 '!I:I,'AEO 2026 Table 23 '!$B:$B,"*,"&amp;$A33&amp;",*"))/SUMIFS('AEO 2026 Table 23 '!I:I,'AEO 2026 Table 23 '!$B:$B,"*,"&amp;$A33&amp;",*"),"")</f>
        <v/>
      </c>
      <c r="H33" t="str">
        <f>IFERROR((SUMIFS('AEO 2026 Table 23 '!K:K,'AEO 2026 Table 23 '!$B:$B,"*,"&amp;$A33&amp;",*")-SUMIFS('AEO 2026 Table 23 '!J:J,'AEO 2026 Table 23 '!$B:$B,"*,"&amp;$A33&amp;",*"))/SUMIFS('AEO 2026 Table 23 '!J:J,'AEO 2026 Table 23 '!$B:$B,"*,"&amp;$A33&amp;",*"),"")</f>
        <v/>
      </c>
      <c r="I33" t="str">
        <f>IFERROR((SUMIFS('AEO 2026 Table 23 '!L:L,'AEO 2026 Table 23 '!$B:$B,"*,"&amp;$A33&amp;",*")-SUMIFS('AEO 2026 Table 23 '!K:K,'AEO 2026 Table 23 '!$B:$B,"*,"&amp;$A33&amp;",*"))/SUMIFS('AEO 2026 Table 23 '!K:K,'AEO 2026 Table 23 '!$B:$B,"*,"&amp;$A33&amp;",*"),"")</f>
        <v/>
      </c>
      <c r="J33" t="str">
        <f>IFERROR((SUMIFS('AEO 2026 Table 23 '!M:M,'AEO 2026 Table 23 '!$B:$B,"*,"&amp;$A33&amp;",*")-SUMIFS('AEO 2026 Table 23 '!L:L,'AEO 2026 Table 23 '!$B:$B,"*,"&amp;$A33&amp;",*"))/SUMIFS('AEO 2026 Table 23 '!L:L,'AEO 2026 Table 23 '!$B:$B,"*,"&amp;$A33&amp;",*"),"")</f>
        <v/>
      </c>
      <c r="K33" t="str">
        <f>IFERROR((SUMIFS('AEO 2026 Table 23 '!N:N,'AEO 2026 Table 23 '!$B:$B,"*,"&amp;$A33&amp;",*")-SUMIFS('AEO 2026 Table 23 '!M:M,'AEO 2026 Table 23 '!$B:$B,"*,"&amp;$A33&amp;",*"))/SUMIFS('AEO 2026 Table 23 '!M:M,'AEO 2026 Table 23 '!$B:$B,"*,"&amp;$A33&amp;",*"),"")</f>
        <v/>
      </c>
      <c r="L33" t="str">
        <f>IFERROR((SUMIFS('AEO 2026 Table 23 '!O:O,'AEO 2026 Table 23 '!$B:$B,"*,"&amp;$A33&amp;",*")-SUMIFS('AEO 2026 Table 23 '!N:N,'AEO 2026 Table 23 '!$B:$B,"*,"&amp;$A33&amp;",*"))/SUMIFS('AEO 2026 Table 23 '!N:N,'AEO 2026 Table 23 '!$B:$B,"*,"&amp;$A33&amp;",*"),"")</f>
        <v/>
      </c>
      <c r="M33" t="str">
        <f>IFERROR((SUMIFS('AEO 2026 Table 23 '!P:P,'AEO 2026 Table 23 '!$B:$B,"*,"&amp;$A33&amp;",*")-SUMIFS('AEO 2026 Table 23 '!O:O,'AEO 2026 Table 23 '!$B:$B,"*,"&amp;$A33&amp;",*"))/SUMIFS('AEO 2026 Table 23 '!O:O,'AEO 2026 Table 23 '!$B:$B,"*,"&amp;$A33&amp;",*"),"")</f>
        <v/>
      </c>
      <c r="N33" t="str">
        <f>IFERROR((SUMIFS('AEO 2026 Table 23 '!Q:Q,'AEO 2026 Table 23 '!$B:$B,"*,"&amp;$A33&amp;",*")-SUMIFS('AEO 2026 Table 23 '!P:P,'AEO 2026 Table 23 '!$B:$B,"*,"&amp;$A33&amp;",*"))/SUMIFS('AEO 2026 Table 23 '!P:P,'AEO 2026 Table 23 '!$B:$B,"*,"&amp;$A33&amp;",*"),"")</f>
        <v/>
      </c>
      <c r="O33" t="str">
        <f>IFERROR((SUMIFS('AEO 2026 Table 23 '!R:R,'AEO 2026 Table 23 '!$B:$B,"*,"&amp;$A33&amp;",*")-SUMIFS('AEO 2026 Table 23 '!Q:Q,'AEO 2026 Table 23 '!$B:$B,"*,"&amp;$A33&amp;",*"))/SUMIFS('AEO 2026 Table 23 '!Q:Q,'AEO 2026 Table 23 '!$B:$B,"*,"&amp;$A33&amp;",*"),"")</f>
        <v/>
      </c>
      <c r="P33" t="str">
        <f>IFERROR((SUMIFS('AEO 2026 Table 23 '!S:S,'AEO 2026 Table 23 '!$B:$B,"*,"&amp;$A33&amp;",*")-SUMIFS('AEO 2026 Table 23 '!R:R,'AEO 2026 Table 23 '!$B:$B,"*,"&amp;$A33&amp;",*"))/SUMIFS('AEO 2026 Table 23 '!R:R,'AEO 2026 Table 23 '!$B:$B,"*,"&amp;$A33&amp;",*"),"")</f>
        <v/>
      </c>
      <c r="Q33" t="str">
        <f>IFERROR((SUMIFS('AEO 2026 Table 23 '!T:T,'AEO 2026 Table 23 '!$B:$B,"*,"&amp;$A33&amp;",*")-SUMIFS('AEO 2026 Table 23 '!S:S,'AEO 2026 Table 23 '!$B:$B,"*,"&amp;$A33&amp;",*"))/SUMIFS('AEO 2026 Table 23 '!S:S,'AEO 2026 Table 23 '!$B:$B,"*,"&amp;$A33&amp;",*"),"")</f>
        <v/>
      </c>
      <c r="R33" t="str">
        <f>IFERROR((SUMIFS('AEO 2026 Table 23 '!U:U,'AEO 2026 Table 23 '!$B:$B,"*,"&amp;$A33&amp;",*")-SUMIFS('AEO 2026 Table 23 '!T:T,'AEO 2026 Table 23 '!$B:$B,"*,"&amp;$A33&amp;",*"))/SUMIFS('AEO 2026 Table 23 '!T:T,'AEO 2026 Table 23 '!$B:$B,"*,"&amp;$A33&amp;",*"),"")</f>
        <v/>
      </c>
      <c r="S33" t="str">
        <f>IFERROR((SUMIFS('AEO 2026 Table 23 '!V:V,'AEO 2026 Table 23 '!$B:$B,"*,"&amp;$A33&amp;",*")-SUMIFS('AEO 2026 Table 23 '!U:U,'AEO 2026 Table 23 '!$B:$B,"*,"&amp;$A33&amp;",*"))/SUMIFS('AEO 2026 Table 23 '!U:U,'AEO 2026 Table 23 '!$B:$B,"*,"&amp;$A33&amp;",*"),"")</f>
        <v/>
      </c>
      <c r="T33" t="str">
        <f>IFERROR((SUMIFS('AEO 2026 Table 23 '!W:W,'AEO 2026 Table 23 '!$B:$B,"*,"&amp;$A33&amp;",*")-SUMIFS('AEO 2026 Table 23 '!V:V,'AEO 2026 Table 23 '!$B:$B,"*,"&amp;$A33&amp;",*"))/SUMIFS('AEO 2026 Table 23 '!V:V,'AEO 2026 Table 23 '!$B:$B,"*,"&amp;$A33&amp;",*"),"")</f>
        <v/>
      </c>
      <c r="U33" t="str">
        <f>IFERROR((SUMIFS('AEO 2026 Table 23 '!X:X,'AEO 2026 Table 23 '!$B:$B,"*,"&amp;$A33&amp;",*")-SUMIFS('AEO 2026 Table 23 '!W:W,'AEO 2026 Table 23 '!$B:$B,"*,"&amp;$A33&amp;",*"))/SUMIFS('AEO 2026 Table 23 '!W:W,'AEO 2026 Table 23 '!$B:$B,"*,"&amp;$A33&amp;",*"),"")</f>
        <v/>
      </c>
      <c r="V33" t="str">
        <f>IFERROR((SUMIFS('AEO 2026 Table 23 '!Y:Y,'AEO 2026 Table 23 '!$B:$B,"*,"&amp;$A33&amp;",*")-SUMIFS('AEO 2026 Table 23 '!X:X,'AEO 2026 Table 23 '!$B:$B,"*,"&amp;$A33&amp;",*"))/SUMIFS('AEO 2026 Table 23 '!X:X,'AEO 2026 Table 23 '!$B:$B,"*,"&amp;$A33&amp;",*"),"")</f>
        <v/>
      </c>
      <c r="W33" t="str">
        <f>IFERROR((SUMIFS('AEO 2026 Table 23 '!Z:Z,'AEO 2026 Table 23 '!$B:$B,"*,"&amp;$A33&amp;",*")-SUMIFS('AEO 2026 Table 23 '!Y:Y,'AEO 2026 Table 23 '!$B:$B,"*,"&amp;$A33&amp;",*"))/SUMIFS('AEO 2026 Table 23 '!Y:Y,'AEO 2026 Table 23 '!$B:$B,"*,"&amp;$A33&amp;",*"),"")</f>
        <v/>
      </c>
      <c r="X33" t="str">
        <f>IFERROR((SUMIFS('AEO 2026 Table 23 '!AA:AA,'AEO 2026 Table 23 '!$B:$B,"*,"&amp;$A33&amp;",*")-SUMIFS('AEO 2026 Table 23 '!Z:Z,'AEO 2026 Table 23 '!$B:$B,"*,"&amp;$A33&amp;",*"))/SUMIFS('AEO 2026 Table 23 '!Z:Z,'AEO 2026 Table 23 '!$B:$B,"*,"&amp;$A33&amp;",*"),"")</f>
        <v/>
      </c>
      <c r="Y33" t="str">
        <f>IFERROR((SUMIFS('AEO 2026 Table 23 '!AB:AB,'AEO 2026 Table 23 '!$B:$B,"*,"&amp;$A33&amp;",*")-SUMIFS('AEO 2026 Table 23 '!AA:AA,'AEO 2026 Table 23 '!$B:$B,"*,"&amp;$A33&amp;",*"))/SUMIFS('AEO 2026 Table 23 '!AA:AA,'AEO 2026 Table 23 '!$B:$B,"*,"&amp;$A33&amp;",*"),"")</f>
        <v/>
      </c>
      <c r="Z33" t="str">
        <f>IFERROR((SUMIFS('AEO 2026 Table 23 '!AC:AC,'AEO 2026 Table 23 '!$B:$B,"*,"&amp;$A33&amp;",*")-SUMIFS('AEO 2026 Table 23 '!AB:AB,'AEO 2026 Table 23 '!$B:$B,"*,"&amp;$A33&amp;",*"))/SUMIFS('AEO 2026 Table 23 '!AB:AB,'AEO 2026 Table 23 '!$B:$B,"*,"&amp;$A33&amp;",*"),"")</f>
        <v/>
      </c>
      <c r="AA33" t="str">
        <f>IFERROR((SUMIFS('AEO 2026 Table 23 '!AD:AD,'AEO 2026 Table 23 '!$B:$B,"*,"&amp;$A33&amp;",*")-SUMIFS('AEO 2026 Table 23 '!AC:AC,'AEO 2026 Table 23 '!$B:$B,"*,"&amp;$A33&amp;",*"))/SUMIFS('AEO 2026 Table 23 '!AC:AC,'AEO 2026 Table 23 '!$B:$B,"*,"&amp;$A33&amp;",*"),"")</f>
        <v/>
      </c>
      <c r="AB33" t="str">
        <f>IFERROR((SUMIFS('AEO 2026 Table 23 '!AE:AE,'AEO 2026 Table 23 '!$B:$B,"*,"&amp;$A33&amp;",*")-SUMIFS('AEO 2026 Table 23 '!AD:AD,'AEO 2026 Table 23 '!$B:$B,"*,"&amp;$A33&amp;",*"))/SUMIFS('AEO 2026 Table 23 '!AD:AD,'AEO 2026 Table 23 '!$B:$B,"*,"&amp;$A33&amp;",*"),"")</f>
        <v/>
      </c>
      <c r="AC33" t="str">
        <f>IFERROR((SUMIFS('AEO 2026 Table 23 '!AF:AF,'AEO 2026 Table 23 '!$B:$B,"*,"&amp;$A33&amp;",*")-SUMIFS('AEO 2026 Table 23 '!AE:AE,'AEO 2026 Table 23 '!$B:$B,"*,"&amp;$A33&amp;",*"))/SUMIFS('AEO 2026 Table 23 '!AE:AE,'AEO 2026 Table 23 '!$B:$B,"*,"&amp;$A33&amp;",*"),"")</f>
        <v/>
      </c>
    </row>
    <row r="34" spans="1:29" x14ac:dyDescent="0.25">
      <c r="A34" t="s">
        <v>130</v>
      </c>
      <c r="B34">
        <f>IFERROR(SUMPRODUCT(--('BLS Table 2.11'!$L$1:$L$426=$A34),'BLS Table 2.11'!$J$1:$J$426,'BLS Table 2.11'!$K$1:$K$426)/SUMIFS('BLS Table 2.11'!$J$1:$J$426,'BLS Table 2.11'!$L$1:$L$426,$A34)/100,0)</f>
        <v>1.4897971727105101E-2</v>
      </c>
      <c r="D34" t="str">
        <f>IFERROR((SUMIFS('AEO 2026 Table 23 '!G:G,'AEO 2026 Table 23 '!$B:$B,"*,"&amp;$A34&amp;",*")-SUMIFS('AEO25 Table 23'!H:H,'AEO25 Table 23'!$B:$B,"*,"&amp;$A34&amp;",*"))/SUMIFS('AEO25 Table 23'!H:H,'AEO25 Table 23'!$B:$B,"*,"&amp;$A34&amp;",*"),"")</f>
        <v/>
      </c>
      <c r="E34" t="str">
        <f>IFERROR((SUMIFS('AEO 2026 Table 23 '!H:H,'AEO 2026 Table 23 '!$B:$B,"*,"&amp;$A34&amp;",*")-SUMIFS('AEO 2026 Table 23 '!G:G,'AEO 2026 Table 23 '!$B:$B,"*,"&amp;$A34&amp;",*"))/SUMIFS('AEO 2026 Table 23 '!G:G,'AEO 2026 Table 23 '!$B:$B,"*,"&amp;$A34&amp;",*"),"")</f>
        <v/>
      </c>
      <c r="F34" t="str">
        <f>IFERROR((SUMIFS('AEO 2026 Table 23 '!I:I,'AEO 2026 Table 23 '!$B:$B,"*,"&amp;$A34&amp;",*")-SUMIFS('AEO 2026 Table 23 '!H:H,'AEO 2026 Table 23 '!$B:$B,"*,"&amp;$A34&amp;",*"))/SUMIFS('AEO 2026 Table 23 '!H:H,'AEO 2026 Table 23 '!$B:$B,"*,"&amp;$A34&amp;",*"),"")</f>
        <v/>
      </c>
      <c r="G34" t="str">
        <f>IFERROR((SUMIFS('AEO 2026 Table 23 '!J:J,'AEO 2026 Table 23 '!$B:$B,"*,"&amp;$A34&amp;",*")-SUMIFS('AEO 2026 Table 23 '!I:I,'AEO 2026 Table 23 '!$B:$B,"*,"&amp;$A34&amp;",*"))/SUMIFS('AEO 2026 Table 23 '!I:I,'AEO 2026 Table 23 '!$B:$B,"*,"&amp;$A34&amp;",*"),"")</f>
        <v/>
      </c>
      <c r="H34" t="str">
        <f>IFERROR((SUMIFS('AEO 2026 Table 23 '!K:K,'AEO 2026 Table 23 '!$B:$B,"*,"&amp;$A34&amp;",*")-SUMIFS('AEO 2026 Table 23 '!J:J,'AEO 2026 Table 23 '!$B:$B,"*,"&amp;$A34&amp;",*"))/SUMIFS('AEO 2026 Table 23 '!J:J,'AEO 2026 Table 23 '!$B:$B,"*,"&amp;$A34&amp;",*"),"")</f>
        <v/>
      </c>
      <c r="I34" t="str">
        <f>IFERROR((SUMIFS('AEO 2026 Table 23 '!L:L,'AEO 2026 Table 23 '!$B:$B,"*,"&amp;$A34&amp;",*")-SUMIFS('AEO 2026 Table 23 '!K:K,'AEO 2026 Table 23 '!$B:$B,"*,"&amp;$A34&amp;",*"))/SUMIFS('AEO 2026 Table 23 '!K:K,'AEO 2026 Table 23 '!$B:$B,"*,"&amp;$A34&amp;",*"),"")</f>
        <v/>
      </c>
      <c r="J34" t="str">
        <f>IFERROR((SUMIFS('AEO 2026 Table 23 '!M:M,'AEO 2026 Table 23 '!$B:$B,"*,"&amp;$A34&amp;",*")-SUMIFS('AEO 2026 Table 23 '!L:L,'AEO 2026 Table 23 '!$B:$B,"*,"&amp;$A34&amp;",*"))/SUMIFS('AEO 2026 Table 23 '!L:L,'AEO 2026 Table 23 '!$B:$B,"*,"&amp;$A34&amp;",*"),"")</f>
        <v/>
      </c>
      <c r="K34" t="str">
        <f>IFERROR((SUMIFS('AEO 2026 Table 23 '!N:N,'AEO 2026 Table 23 '!$B:$B,"*,"&amp;$A34&amp;",*")-SUMIFS('AEO 2026 Table 23 '!M:M,'AEO 2026 Table 23 '!$B:$B,"*,"&amp;$A34&amp;",*"))/SUMIFS('AEO 2026 Table 23 '!M:M,'AEO 2026 Table 23 '!$B:$B,"*,"&amp;$A34&amp;",*"),"")</f>
        <v/>
      </c>
      <c r="L34" t="str">
        <f>IFERROR((SUMIFS('AEO 2026 Table 23 '!O:O,'AEO 2026 Table 23 '!$B:$B,"*,"&amp;$A34&amp;",*")-SUMIFS('AEO 2026 Table 23 '!N:N,'AEO 2026 Table 23 '!$B:$B,"*,"&amp;$A34&amp;",*"))/SUMIFS('AEO 2026 Table 23 '!N:N,'AEO 2026 Table 23 '!$B:$B,"*,"&amp;$A34&amp;",*"),"")</f>
        <v/>
      </c>
      <c r="M34" t="str">
        <f>IFERROR((SUMIFS('AEO 2026 Table 23 '!P:P,'AEO 2026 Table 23 '!$B:$B,"*,"&amp;$A34&amp;",*")-SUMIFS('AEO 2026 Table 23 '!O:O,'AEO 2026 Table 23 '!$B:$B,"*,"&amp;$A34&amp;",*"))/SUMIFS('AEO 2026 Table 23 '!O:O,'AEO 2026 Table 23 '!$B:$B,"*,"&amp;$A34&amp;",*"),"")</f>
        <v/>
      </c>
      <c r="N34" t="str">
        <f>IFERROR((SUMIFS('AEO 2026 Table 23 '!Q:Q,'AEO 2026 Table 23 '!$B:$B,"*,"&amp;$A34&amp;",*")-SUMIFS('AEO 2026 Table 23 '!P:P,'AEO 2026 Table 23 '!$B:$B,"*,"&amp;$A34&amp;",*"))/SUMIFS('AEO 2026 Table 23 '!P:P,'AEO 2026 Table 23 '!$B:$B,"*,"&amp;$A34&amp;",*"),"")</f>
        <v/>
      </c>
      <c r="O34" t="str">
        <f>IFERROR((SUMIFS('AEO 2026 Table 23 '!R:R,'AEO 2026 Table 23 '!$B:$B,"*,"&amp;$A34&amp;",*")-SUMIFS('AEO 2026 Table 23 '!Q:Q,'AEO 2026 Table 23 '!$B:$B,"*,"&amp;$A34&amp;",*"))/SUMIFS('AEO 2026 Table 23 '!Q:Q,'AEO 2026 Table 23 '!$B:$B,"*,"&amp;$A34&amp;",*"),"")</f>
        <v/>
      </c>
      <c r="P34" t="str">
        <f>IFERROR((SUMIFS('AEO 2026 Table 23 '!S:S,'AEO 2026 Table 23 '!$B:$B,"*,"&amp;$A34&amp;",*")-SUMIFS('AEO 2026 Table 23 '!R:R,'AEO 2026 Table 23 '!$B:$B,"*,"&amp;$A34&amp;",*"))/SUMIFS('AEO 2026 Table 23 '!R:R,'AEO 2026 Table 23 '!$B:$B,"*,"&amp;$A34&amp;",*"),"")</f>
        <v/>
      </c>
      <c r="Q34" t="str">
        <f>IFERROR((SUMIFS('AEO 2026 Table 23 '!T:T,'AEO 2026 Table 23 '!$B:$B,"*,"&amp;$A34&amp;",*")-SUMIFS('AEO 2026 Table 23 '!S:S,'AEO 2026 Table 23 '!$B:$B,"*,"&amp;$A34&amp;",*"))/SUMIFS('AEO 2026 Table 23 '!S:S,'AEO 2026 Table 23 '!$B:$B,"*,"&amp;$A34&amp;",*"),"")</f>
        <v/>
      </c>
      <c r="R34" t="str">
        <f>IFERROR((SUMIFS('AEO 2026 Table 23 '!U:U,'AEO 2026 Table 23 '!$B:$B,"*,"&amp;$A34&amp;",*")-SUMIFS('AEO 2026 Table 23 '!T:T,'AEO 2026 Table 23 '!$B:$B,"*,"&amp;$A34&amp;",*"))/SUMIFS('AEO 2026 Table 23 '!T:T,'AEO 2026 Table 23 '!$B:$B,"*,"&amp;$A34&amp;",*"),"")</f>
        <v/>
      </c>
      <c r="S34" t="str">
        <f>IFERROR((SUMIFS('AEO 2026 Table 23 '!V:V,'AEO 2026 Table 23 '!$B:$B,"*,"&amp;$A34&amp;",*")-SUMIFS('AEO 2026 Table 23 '!U:U,'AEO 2026 Table 23 '!$B:$B,"*,"&amp;$A34&amp;",*"))/SUMIFS('AEO 2026 Table 23 '!U:U,'AEO 2026 Table 23 '!$B:$B,"*,"&amp;$A34&amp;",*"),"")</f>
        <v/>
      </c>
      <c r="T34" t="str">
        <f>IFERROR((SUMIFS('AEO 2026 Table 23 '!W:W,'AEO 2026 Table 23 '!$B:$B,"*,"&amp;$A34&amp;",*")-SUMIFS('AEO 2026 Table 23 '!V:V,'AEO 2026 Table 23 '!$B:$B,"*,"&amp;$A34&amp;",*"))/SUMIFS('AEO 2026 Table 23 '!V:V,'AEO 2026 Table 23 '!$B:$B,"*,"&amp;$A34&amp;",*"),"")</f>
        <v/>
      </c>
      <c r="U34" t="str">
        <f>IFERROR((SUMIFS('AEO 2026 Table 23 '!X:X,'AEO 2026 Table 23 '!$B:$B,"*,"&amp;$A34&amp;",*")-SUMIFS('AEO 2026 Table 23 '!W:W,'AEO 2026 Table 23 '!$B:$B,"*,"&amp;$A34&amp;",*"))/SUMIFS('AEO 2026 Table 23 '!W:W,'AEO 2026 Table 23 '!$B:$B,"*,"&amp;$A34&amp;",*"),"")</f>
        <v/>
      </c>
      <c r="V34" t="str">
        <f>IFERROR((SUMIFS('AEO 2026 Table 23 '!Y:Y,'AEO 2026 Table 23 '!$B:$B,"*,"&amp;$A34&amp;",*")-SUMIFS('AEO 2026 Table 23 '!X:X,'AEO 2026 Table 23 '!$B:$B,"*,"&amp;$A34&amp;",*"))/SUMIFS('AEO 2026 Table 23 '!X:X,'AEO 2026 Table 23 '!$B:$B,"*,"&amp;$A34&amp;",*"),"")</f>
        <v/>
      </c>
      <c r="W34" t="str">
        <f>IFERROR((SUMIFS('AEO 2026 Table 23 '!Z:Z,'AEO 2026 Table 23 '!$B:$B,"*,"&amp;$A34&amp;",*")-SUMIFS('AEO 2026 Table 23 '!Y:Y,'AEO 2026 Table 23 '!$B:$B,"*,"&amp;$A34&amp;",*"))/SUMIFS('AEO 2026 Table 23 '!Y:Y,'AEO 2026 Table 23 '!$B:$B,"*,"&amp;$A34&amp;",*"),"")</f>
        <v/>
      </c>
      <c r="X34" t="str">
        <f>IFERROR((SUMIFS('AEO 2026 Table 23 '!AA:AA,'AEO 2026 Table 23 '!$B:$B,"*,"&amp;$A34&amp;",*")-SUMIFS('AEO 2026 Table 23 '!Z:Z,'AEO 2026 Table 23 '!$B:$B,"*,"&amp;$A34&amp;",*"))/SUMIFS('AEO 2026 Table 23 '!Z:Z,'AEO 2026 Table 23 '!$B:$B,"*,"&amp;$A34&amp;",*"),"")</f>
        <v/>
      </c>
      <c r="Y34" t="str">
        <f>IFERROR((SUMIFS('AEO 2026 Table 23 '!AB:AB,'AEO 2026 Table 23 '!$B:$B,"*,"&amp;$A34&amp;",*")-SUMIFS('AEO 2026 Table 23 '!AA:AA,'AEO 2026 Table 23 '!$B:$B,"*,"&amp;$A34&amp;",*"))/SUMIFS('AEO 2026 Table 23 '!AA:AA,'AEO 2026 Table 23 '!$B:$B,"*,"&amp;$A34&amp;",*"),"")</f>
        <v/>
      </c>
      <c r="Z34" t="str">
        <f>IFERROR((SUMIFS('AEO 2026 Table 23 '!AC:AC,'AEO 2026 Table 23 '!$B:$B,"*,"&amp;$A34&amp;",*")-SUMIFS('AEO 2026 Table 23 '!AB:AB,'AEO 2026 Table 23 '!$B:$B,"*,"&amp;$A34&amp;",*"))/SUMIFS('AEO 2026 Table 23 '!AB:AB,'AEO 2026 Table 23 '!$B:$B,"*,"&amp;$A34&amp;",*"),"")</f>
        <v/>
      </c>
      <c r="AA34" t="str">
        <f>IFERROR((SUMIFS('AEO 2026 Table 23 '!AD:AD,'AEO 2026 Table 23 '!$B:$B,"*,"&amp;$A34&amp;",*")-SUMIFS('AEO 2026 Table 23 '!AC:AC,'AEO 2026 Table 23 '!$B:$B,"*,"&amp;$A34&amp;",*"))/SUMIFS('AEO 2026 Table 23 '!AC:AC,'AEO 2026 Table 23 '!$B:$B,"*,"&amp;$A34&amp;",*"),"")</f>
        <v/>
      </c>
      <c r="AB34" t="str">
        <f>IFERROR((SUMIFS('AEO 2026 Table 23 '!AE:AE,'AEO 2026 Table 23 '!$B:$B,"*,"&amp;$A34&amp;",*")-SUMIFS('AEO 2026 Table 23 '!AD:AD,'AEO 2026 Table 23 '!$B:$B,"*,"&amp;$A34&amp;",*"))/SUMIFS('AEO 2026 Table 23 '!AD:AD,'AEO 2026 Table 23 '!$B:$B,"*,"&amp;$A34&amp;",*"),"")</f>
        <v/>
      </c>
      <c r="AC34" t="str">
        <f>IFERROR((SUMIFS('AEO 2026 Table 23 '!AF:AF,'AEO 2026 Table 23 '!$B:$B,"*,"&amp;$A34&amp;",*")-SUMIFS('AEO 2026 Table 23 '!AE:AE,'AEO 2026 Table 23 '!$B:$B,"*,"&amp;$A34&amp;",*"))/SUMIFS('AEO 2026 Table 23 '!AE:AE,'AEO 2026 Table 23 '!$B:$B,"*,"&amp;$A34&amp;",*"),"")</f>
        <v/>
      </c>
    </row>
    <row r="35" spans="1:29" x14ac:dyDescent="0.25">
      <c r="A35" t="s">
        <v>133</v>
      </c>
      <c r="B35">
        <f>IFERROR(SUMPRODUCT(--('BLS Table 2.11'!$L$1:$L$426=$A35),'BLS Table 2.11'!$J$1:$J$426,'BLS Table 2.11'!$K$1:$K$426)/SUMIFS('BLS Table 2.11'!$J$1:$J$426,'BLS Table 2.11'!$L$1:$L$426,$A35)/100,0)</f>
        <v>9.0000000000000011E-3</v>
      </c>
      <c r="D35">
        <f>IFERROR((SUMIFS('AEO 2026 Table 23 '!G:G,'AEO 2026 Table 23 '!$B:$B,"*,"&amp;$A35&amp;",*")-SUMIFS('AEO25 Table 23'!H:H,'AEO25 Table 23'!$B:$B,"*,"&amp;$A35&amp;",*"))/SUMIFS('AEO25 Table 23'!H:H,'AEO25 Table 23'!$B:$B,"*,"&amp;$A35&amp;",*"),"")</f>
        <v>5.9669924007771706E-2</v>
      </c>
      <c r="E35">
        <f>IFERROR((SUMIFS('AEO 2026 Table 23 '!H:H,'AEO 2026 Table 23 '!$B:$B,"*,"&amp;$A35&amp;",*")-SUMIFS('AEO 2026 Table 23 '!G:G,'AEO 2026 Table 23 '!$B:$B,"*,"&amp;$A35&amp;",*"))/SUMIFS('AEO 2026 Table 23 '!G:G,'AEO 2026 Table 23 '!$B:$B,"*,"&amp;$A35&amp;",*"),"")</f>
        <v>-3.5622398453959603E-3</v>
      </c>
      <c r="F35">
        <f>IFERROR((SUMIFS('AEO 2026 Table 23 '!I:I,'AEO 2026 Table 23 '!$B:$B,"*,"&amp;$A35&amp;",*")-SUMIFS('AEO 2026 Table 23 '!H:H,'AEO 2026 Table 23 '!$B:$B,"*,"&amp;$A35&amp;",*"))/SUMIFS('AEO 2026 Table 23 '!H:H,'AEO 2026 Table 23 '!$B:$B,"*,"&amp;$A35&amp;",*"),"")</f>
        <v>6.0002827825867341E-3</v>
      </c>
      <c r="G35">
        <f>IFERROR((SUMIFS('AEO 2026 Table 23 '!J:J,'AEO 2026 Table 23 '!$B:$B,"*,"&amp;$A35&amp;",*")-SUMIFS('AEO 2026 Table 23 '!I:I,'AEO 2026 Table 23 '!$B:$B,"*,"&amp;$A35&amp;",*"))/SUMIFS('AEO 2026 Table 23 '!I:I,'AEO 2026 Table 23 '!$B:$B,"*,"&amp;$A35&amp;",*"),"")</f>
        <v>6.2367169119028577E-3</v>
      </c>
      <c r="H35">
        <f>IFERROR((SUMIFS('AEO 2026 Table 23 '!K:K,'AEO 2026 Table 23 '!$B:$B,"*,"&amp;$A35&amp;",*")-SUMIFS('AEO 2026 Table 23 '!J:J,'AEO 2026 Table 23 '!$B:$B,"*,"&amp;$A35&amp;",*"))/SUMIFS('AEO 2026 Table 23 '!J:J,'AEO 2026 Table 23 '!$B:$B,"*,"&amp;$A35&amp;",*"),"")</f>
        <v>1.6493947059946858E-2</v>
      </c>
      <c r="I35">
        <f>IFERROR((SUMIFS('AEO 2026 Table 23 '!L:L,'AEO 2026 Table 23 '!$B:$B,"*,"&amp;$A35&amp;",*")-SUMIFS('AEO 2026 Table 23 '!K:K,'AEO 2026 Table 23 '!$B:$B,"*,"&amp;$A35&amp;",*"))/SUMIFS('AEO 2026 Table 23 '!K:K,'AEO 2026 Table 23 '!$B:$B,"*,"&amp;$A35&amp;",*"),"")</f>
        <v>1.6767179940399238E-2</v>
      </c>
      <c r="J35">
        <f>IFERROR((SUMIFS('AEO 2026 Table 23 '!M:M,'AEO 2026 Table 23 '!$B:$B,"*,"&amp;$A35&amp;",*")-SUMIFS('AEO 2026 Table 23 '!L:L,'AEO 2026 Table 23 '!$B:$B,"*,"&amp;$A35&amp;",*"))/SUMIFS('AEO 2026 Table 23 '!L:L,'AEO 2026 Table 23 '!$B:$B,"*,"&amp;$A35&amp;",*"),"")</f>
        <v>1.5267178023281685E-2</v>
      </c>
      <c r="K35">
        <f>IFERROR((SUMIFS('AEO 2026 Table 23 '!N:N,'AEO 2026 Table 23 '!$B:$B,"*,"&amp;$A35&amp;",*")-SUMIFS('AEO 2026 Table 23 '!M:M,'AEO 2026 Table 23 '!$B:$B,"*,"&amp;$A35&amp;",*"))/SUMIFS('AEO 2026 Table 23 '!M:M,'AEO 2026 Table 23 '!$B:$B,"*,"&amp;$A35&amp;",*"),"")</f>
        <v>1.5087377513292623E-2</v>
      </c>
      <c r="L35">
        <f>IFERROR((SUMIFS('AEO 2026 Table 23 '!O:O,'AEO 2026 Table 23 '!$B:$B,"*,"&amp;$A35&amp;",*")-SUMIFS('AEO 2026 Table 23 '!N:N,'AEO 2026 Table 23 '!$B:$B,"*,"&amp;$A35&amp;",*"))/SUMIFS('AEO 2026 Table 23 '!N:N,'AEO 2026 Table 23 '!$B:$B,"*,"&amp;$A35&amp;",*"),"")</f>
        <v>1.2507505364018977E-2</v>
      </c>
      <c r="M35">
        <f>IFERROR((SUMIFS('AEO 2026 Table 23 '!P:P,'AEO 2026 Table 23 '!$B:$B,"*,"&amp;$A35&amp;",*")-SUMIFS('AEO 2026 Table 23 '!O:O,'AEO 2026 Table 23 '!$B:$B,"*,"&amp;$A35&amp;",*"))/SUMIFS('AEO 2026 Table 23 '!O:O,'AEO 2026 Table 23 '!$B:$B,"*,"&amp;$A35&amp;",*"),"")</f>
        <v>7.935139952700945E-3</v>
      </c>
      <c r="N35">
        <f>IFERROR((SUMIFS('AEO 2026 Table 23 '!Q:Q,'AEO 2026 Table 23 '!$B:$B,"*,"&amp;$A35&amp;",*")-SUMIFS('AEO 2026 Table 23 '!P:P,'AEO 2026 Table 23 '!$B:$B,"*,"&amp;$A35&amp;",*"))/SUMIFS('AEO 2026 Table 23 '!P:P,'AEO 2026 Table 23 '!$B:$B,"*,"&amp;$A35&amp;",*"),"")</f>
        <v>1.0927655626535845E-2</v>
      </c>
      <c r="O35">
        <f>IFERROR((SUMIFS('AEO 2026 Table 23 '!R:R,'AEO 2026 Table 23 '!$B:$B,"*,"&amp;$A35&amp;",*")-SUMIFS('AEO 2026 Table 23 '!Q:Q,'AEO 2026 Table 23 '!$B:$B,"*,"&amp;$A35&amp;",*"))/SUMIFS('AEO 2026 Table 23 '!Q:Q,'AEO 2026 Table 23 '!$B:$B,"*,"&amp;$A35&amp;",*"),"")</f>
        <v>9.457709870963853E-3</v>
      </c>
      <c r="P35">
        <f>IFERROR((SUMIFS('AEO 2026 Table 23 '!S:S,'AEO 2026 Table 23 '!$B:$B,"*,"&amp;$A35&amp;",*")-SUMIFS('AEO 2026 Table 23 '!R:R,'AEO 2026 Table 23 '!$B:$B,"*,"&amp;$A35&amp;",*"))/SUMIFS('AEO 2026 Table 23 '!R:R,'AEO 2026 Table 23 '!$B:$B,"*,"&amp;$A35&amp;",*"),"")</f>
        <v>8.0154366911507225E-3</v>
      </c>
      <c r="Q35">
        <f>IFERROR((SUMIFS('AEO 2026 Table 23 '!T:T,'AEO 2026 Table 23 '!$B:$B,"*,"&amp;$A35&amp;",*")-SUMIFS('AEO 2026 Table 23 '!S:S,'AEO 2026 Table 23 '!$B:$B,"*,"&amp;$A35&amp;",*"))/SUMIFS('AEO 2026 Table 23 '!S:S,'AEO 2026 Table 23 '!$B:$B,"*,"&amp;$A35&amp;",*"),"")</f>
        <v>6.7917630994960322E-3</v>
      </c>
      <c r="R35">
        <f>IFERROR((SUMIFS('AEO 2026 Table 23 '!U:U,'AEO 2026 Table 23 '!$B:$B,"*,"&amp;$A35&amp;",*")-SUMIFS('AEO 2026 Table 23 '!T:T,'AEO 2026 Table 23 '!$B:$B,"*,"&amp;$A35&amp;",*"))/SUMIFS('AEO 2026 Table 23 '!T:T,'AEO 2026 Table 23 '!$B:$B,"*,"&amp;$A35&amp;",*"),"")</f>
        <v>5.827733722957187E-3</v>
      </c>
      <c r="S35">
        <f>IFERROR((SUMIFS('AEO 2026 Table 23 '!V:V,'AEO 2026 Table 23 '!$B:$B,"*,"&amp;$A35&amp;",*")-SUMIFS('AEO 2026 Table 23 '!U:U,'AEO 2026 Table 23 '!$B:$B,"*,"&amp;$A35&amp;",*"))/SUMIFS('AEO 2026 Table 23 '!U:U,'AEO 2026 Table 23 '!$B:$B,"*,"&amp;$A35&amp;",*"),"")</f>
        <v>3.610756382528506E-3</v>
      </c>
      <c r="T35">
        <f>IFERROR((SUMIFS('AEO 2026 Table 23 '!W:W,'AEO 2026 Table 23 '!$B:$B,"*,"&amp;$A35&amp;",*")-SUMIFS('AEO 2026 Table 23 '!V:V,'AEO 2026 Table 23 '!$B:$B,"*,"&amp;$A35&amp;",*"))/SUMIFS('AEO 2026 Table 23 '!V:V,'AEO 2026 Table 23 '!$B:$B,"*,"&amp;$A35&amp;",*"),"")</f>
        <v>2.3745631258577406E-3</v>
      </c>
      <c r="U35">
        <f>IFERROR((SUMIFS('AEO 2026 Table 23 '!X:X,'AEO 2026 Table 23 '!$B:$B,"*,"&amp;$A35&amp;",*")-SUMIFS('AEO 2026 Table 23 '!W:W,'AEO 2026 Table 23 '!$B:$B,"*,"&amp;$A35&amp;",*"))/SUMIFS('AEO 2026 Table 23 '!W:W,'AEO 2026 Table 23 '!$B:$B,"*,"&amp;$A35&amp;",*"),"")</f>
        <v>5.8975026223083054E-3</v>
      </c>
      <c r="V35">
        <f>IFERROR((SUMIFS('AEO 2026 Table 23 '!Y:Y,'AEO 2026 Table 23 '!$B:$B,"*,"&amp;$A35&amp;",*")-SUMIFS('AEO 2026 Table 23 '!X:X,'AEO 2026 Table 23 '!$B:$B,"*,"&amp;$A35&amp;",*"))/SUMIFS('AEO 2026 Table 23 '!X:X,'AEO 2026 Table 23 '!$B:$B,"*,"&amp;$A35&amp;",*"),"")</f>
        <v>4.2630783665079741E-3</v>
      </c>
      <c r="W35">
        <f>IFERROR((SUMIFS('AEO 2026 Table 23 '!Z:Z,'AEO 2026 Table 23 '!$B:$B,"*,"&amp;$A35&amp;",*")-SUMIFS('AEO 2026 Table 23 '!Y:Y,'AEO 2026 Table 23 '!$B:$B,"*,"&amp;$A35&amp;",*"))/SUMIFS('AEO 2026 Table 23 '!Y:Y,'AEO 2026 Table 23 '!$B:$B,"*,"&amp;$A35&amp;",*"),"")</f>
        <v>5.0921734152755719E-3</v>
      </c>
      <c r="X35">
        <f>IFERROR((SUMIFS('AEO 2026 Table 23 '!AA:AA,'AEO 2026 Table 23 '!$B:$B,"*,"&amp;$A35&amp;",*")-SUMIFS('AEO 2026 Table 23 '!Z:Z,'AEO 2026 Table 23 '!$B:$B,"*,"&amp;$A35&amp;",*"))/SUMIFS('AEO 2026 Table 23 '!Z:Z,'AEO 2026 Table 23 '!$B:$B,"*,"&amp;$A35&amp;",*"),"")</f>
        <v>9.7286040284667464E-3</v>
      </c>
      <c r="Y35">
        <f>IFERROR((SUMIFS('AEO 2026 Table 23 '!AB:AB,'AEO 2026 Table 23 '!$B:$B,"*,"&amp;$A35&amp;",*")-SUMIFS('AEO 2026 Table 23 '!AA:AA,'AEO 2026 Table 23 '!$B:$B,"*,"&amp;$A35&amp;",*"))/SUMIFS('AEO 2026 Table 23 '!AA:AA,'AEO 2026 Table 23 '!$B:$B,"*,"&amp;$A35&amp;",*"),"")</f>
        <v>1.0093288979207428E-2</v>
      </c>
      <c r="Z35">
        <f>IFERROR((SUMIFS('AEO 2026 Table 23 '!AC:AC,'AEO 2026 Table 23 '!$B:$B,"*,"&amp;$A35&amp;",*")-SUMIFS('AEO 2026 Table 23 '!AB:AB,'AEO 2026 Table 23 '!$B:$B,"*,"&amp;$A35&amp;",*"))/SUMIFS('AEO 2026 Table 23 '!AB:AB,'AEO 2026 Table 23 '!$B:$B,"*,"&amp;$A35&amp;",*"),"")</f>
        <v>9.1794346705411749E-3</v>
      </c>
      <c r="AA35">
        <f>IFERROR((SUMIFS('AEO 2026 Table 23 '!AD:AD,'AEO 2026 Table 23 '!$B:$B,"*,"&amp;$A35&amp;",*")-SUMIFS('AEO 2026 Table 23 '!AC:AC,'AEO 2026 Table 23 '!$B:$B,"*,"&amp;$A35&amp;",*"))/SUMIFS('AEO 2026 Table 23 '!AC:AC,'AEO 2026 Table 23 '!$B:$B,"*,"&amp;$A35&amp;",*"),"")</f>
        <v>9.2093321853761578E-3</v>
      </c>
      <c r="AB35">
        <f>IFERROR((SUMIFS('AEO 2026 Table 23 '!AE:AE,'AEO 2026 Table 23 '!$B:$B,"*,"&amp;$A35&amp;",*")-SUMIFS('AEO 2026 Table 23 '!AD:AD,'AEO 2026 Table 23 '!$B:$B,"*,"&amp;$A35&amp;",*"))/SUMIFS('AEO 2026 Table 23 '!AD:AD,'AEO 2026 Table 23 '!$B:$B,"*,"&amp;$A35&amp;",*"),"")</f>
        <v>1.0398181780053332E-2</v>
      </c>
      <c r="AC35">
        <f>IFERROR((SUMIFS('AEO 2026 Table 23 '!AF:AF,'AEO 2026 Table 23 '!$B:$B,"*,"&amp;$A35&amp;",*")-SUMIFS('AEO 2026 Table 23 '!AE:AE,'AEO 2026 Table 23 '!$B:$B,"*,"&amp;$A35&amp;",*"))/SUMIFS('AEO 2026 Table 23 '!AE:AE,'AEO 2026 Table 23 '!$B:$B,"*,"&amp;$A35&amp;",*"),"")</f>
        <v>1.185113293339303E-2</v>
      </c>
    </row>
    <row r="36" spans="1:29" x14ac:dyDescent="0.25">
      <c r="A36" t="s">
        <v>359</v>
      </c>
      <c r="B36">
        <f>IFERROR(SUMPRODUCT(--('BLS Table 2.11'!$L$1:$L$426=$A36),'BLS Table 2.11'!$J$1:$J$426,'BLS Table 2.11'!$K$1:$K$426)/SUMIFS('BLS Table 2.11'!$J$1:$J$426,'BLS Table 2.11'!$L$1:$L$426,$A36)/100,0)</f>
        <v>2.5273068254159422E-2</v>
      </c>
      <c r="D36" t="str">
        <f>IFERROR((SUMIFS('AEO 2026 Table 23 '!G:G,'AEO 2026 Table 23 '!$B:$B,"*,"&amp;$A36&amp;",*")-SUMIFS('AEO25 Table 23'!H:H,'AEO25 Table 23'!$B:$B,"*,"&amp;$A36&amp;",*"))/SUMIFS('AEO25 Table 23'!H:H,'AEO25 Table 23'!$B:$B,"*,"&amp;$A36&amp;",*"),"")</f>
        <v/>
      </c>
      <c r="E36" t="str">
        <f>IFERROR((SUMIFS('AEO 2026 Table 23 '!H:H,'AEO 2026 Table 23 '!$B:$B,"*,"&amp;$A36&amp;",*")-SUMIFS('AEO 2026 Table 23 '!G:G,'AEO 2026 Table 23 '!$B:$B,"*,"&amp;$A36&amp;",*"))/SUMIFS('AEO 2026 Table 23 '!G:G,'AEO 2026 Table 23 '!$B:$B,"*,"&amp;$A36&amp;",*"),"")</f>
        <v/>
      </c>
      <c r="F36" t="str">
        <f>IFERROR((SUMIFS('AEO 2026 Table 23 '!I:I,'AEO 2026 Table 23 '!$B:$B,"*,"&amp;$A36&amp;",*")-SUMIFS('AEO 2026 Table 23 '!H:H,'AEO 2026 Table 23 '!$B:$B,"*,"&amp;$A36&amp;",*"))/SUMIFS('AEO 2026 Table 23 '!H:H,'AEO 2026 Table 23 '!$B:$B,"*,"&amp;$A36&amp;",*"),"")</f>
        <v/>
      </c>
      <c r="G36" t="str">
        <f>IFERROR((SUMIFS('AEO 2026 Table 23 '!J:J,'AEO 2026 Table 23 '!$B:$B,"*,"&amp;$A36&amp;",*")-SUMIFS('AEO 2026 Table 23 '!I:I,'AEO 2026 Table 23 '!$B:$B,"*,"&amp;$A36&amp;",*"))/SUMIFS('AEO 2026 Table 23 '!I:I,'AEO 2026 Table 23 '!$B:$B,"*,"&amp;$A36&amp;",*"),"")</f>
        <v/>
      </c>
      <c r="H36" t="str">
        <f>IFERROR((SUMIFS('AEO 2026 Table 23 '!K:K,'AEO 2026 Table 23 '!$B:$B,"*,"&amp;$A36&amp;",*")-SUMIFS('AEO 2026 Table 23 '!J:J,'AEO 2026 Table 23 '!$B:$B,"*,"&amp;$A36&amp;",*"))/SUMIFS('AEO 2026 Table 23 '!J:J,'AEO 2026 Table 23 '!$B:$B,"*,"&amp;$A36&amp;",*"),"")</f>
        <v/>
      </c>
      <c r="I36" t="str">
        <f>IFERROR((SUMIFS('AEO 2026 Table 23 '!L:L,'AEO 2026 Table 23 '!$B:$B,"*,"&amp;$A36&amp;",*")-SUMIFS('AEO 2026 Table 23 '!K:K,'AEO 2026 Table 23 '!$B:$B,"*,"&amp;$A36&amp;",*"))/SUMIFS('AEO 2026 Table 23 '!K:K,'AEO 2026 Table 23 '!$B:$B,"*,"&amp;$A36&amp;",*"),"")</f>
        <v/>
      </c>
      <c r="J36" t="str">
        <f>IFERROR((SUMIFS('AEO 2026 Table 23 '!M:M,'AEO 2026 Table 23 '!$B:$B,"*,"&amp;$A36&amp;",*")-SUMIFS('AEO 2026 Table 23 '!L:L,'AEO 2026 Table 23 '!$B:$B,"*,"&amp;$A36&amp;",*"))/SUMIFS('AEO 2026 Table 23 '!L:L,'AEO 2026 Table 23 '!$B:$B,"*,"&amp;$A36&amp;",*"),"")</f>
        <v/>
      </c>
      <c r="K36" t="str">
        <f>IFERROR((SUMIFS('AEO 2026 Table 23 '!N:N,'AEO 2026 Table 23 '!$B:$B,"*,"&amp;$A36&amp;",*")-SUMIFS('AEO 2026 Table 23 '!M:M,'AEO 2026 Table 23 '!$B:$B,"*,"&amp;$A36&amp;",*"))/SUMIFS('AEO 2026 Table 23 '!M:M,'AEO 2026 Table 23 '!$B:$B,"*,"&amp;$A36&amp;",*"),"")</f>
        <v/>
      </c>
      <c r="L36" t="str">
        <f>IFERROR((SUMIFS('AEO 2026 Table 23 '!O:O,'AEO 2026 Table 23 '!$B:$B,"*,"&amp;$A36&amp;",*")-SUMIFS('AEO 2026 Table 23 '!N:N,'AEO 2026 Table 23 '!$B:$B,"*,"&amp;$A36&amp;",*"))/SUMIFS('AEO 2026 Table 23 '!N:N,'AEO 2026 Table 23 '!$B:$B,"*,"&amp;$A36&amp;",*"),"")</f>
        <v/>
      </c>
      <c r="M36" t="str">
        <f>IFERROR((SUMIFS('AEO 2026 Table 23 '!P:P,'AEO 2026 Table 23 '!$B:$B,"*,"&amp;$A36&amp;",*")-SUMIFS('AEO 2026 Table 23 '!O:O,'AEO 2026 Table 23 '!$B:$B,"*,"&amp;$A36&amp;",*"))/SUMIFS('AEO 2026 Table 23 '!O:O,'AEO 2026 Table 23 '!$B:$B,"*,"&amp;$A36&amp;",*"),"")</f>
        <v/>
      </c>
      <c r="N36" t="str">
        <f>IFERROR((SUMIFS('AEO 2026 Table 23 '!Q:Q,'AEO 2026 Table 23 '!$B:$B,"*,"&amp;$A36&amp;",*")-SUMIFS('AEO 2026 Table 23 '!P:P,'AEO 2026 Table 23 '!$B:$B,"*,"&amp;$A36&amp;",*"))/SUMIFS('AEO 2026 Table 23 '!P:P,'AEO 2026 Table 23 '!$B:$B,"*,"&amp;$A36&amp;",*"),"")</f>
        <v/>
      </c>
      <c r="O36" t="str">
        <f>IFERROR((SUMIFS('AEO 2026 Table 23 '!R:R,'AEO 2026 Table 23 '!$B:$B,"*,"&amp;$A36&amp;",*")-SUMIFS('AEO 2026 Table 23 '!Q:Q,'AEO 2026 Table 23 '!$B:$B,"*,"&amp;$A36&amp;",*"))/SUMIFS('AEO 2026 Table 23 '!Q:Q,'AEO 2026 Table 23 '!$B:$B,"*,"&amp;$A36&amp;",*"),"")</f>
        <v/>
      </c>
      <c r="P36" t="str">
        <f>IFERROR((SUMIFS('AEO 2026 Table 23 '!S:S,'AEO 2026 Table 23 '!$B:$B,"*,"&amp;$A36&amp;",*")-SUMIFS('AEO 2026 Table 23 '!R:R,'AEO 2026 Table 23 '!$B:$B,"*,"&amp;$A36&amp;",*"))/SUMIFS('AEO 2026 Table 23 '!R:R,'AEO 2026 Table 23 '!$B:$B,"*,"&amp;$A36&amp;",*"),"")</f>
        <v/>
      </c>
      <c r="Q36" t="str">
        <f>IFERROR((SUMIFS('AEO 2026 Table 23 '!T:T,'AEO 2026 Table 23 '!$B:$B,"*,"&amp;$A36&amp;",*")-SUMIFS('AEO 2026 Table 23 '!S:S,'AEO 2026 Table 23 '!$B:$B,"*,"&amp;$A36&amp;",*"))/SUMIFS('AEO 2026 Table 23 '!S:S,'AEO 2026 Table 23 '!$B:$B,"*,"&amp;$A36&amp;",*"),"")</f>
        <v/>
      </c>
      <c r="R36" t="str">
        <f>IFERROR((SUMIFS('AEO 2026 Table 23 '!U:U,'AEO 2026 Table 23 '!$B:$B,"*,"&amp;$A36&amp;",*")-SUMIFS('AEO 2026 Table 23 '!T:T,'AEO 2026 Table 23 '!$B:$B,"*,"&amp;$A36&amp;",*"))/SUMIFS('AEO 2026 Table 23 '!T:T,'AEO 2026 Table 23 '!$B:$B,"*,"&amp;$A36&amp;",*"),"")</f>
        <v/>
      </c>
      <c r="S36" t="str">
        <f>IFERROR((SUMIFS('AEO 2026 Table 23 '!V:V,'AEO 2026 Table 23 '!$B:$B,"*,"&amp;$A36&amp;",*")-SUMIFS('AEO 2026 Table 23 '!U:U,'AEO 2026 Table 23 '!$B:$B,"*,"&amp;$A36&amp;",*"))/SUMIFS('AEO 2026 Table 23 '!U:U,'AEO 2026 Table 23 '!$B:$B,"*,"&amp;$A36&amp;",*"),"")</f>
        <v/>
      </c>
      <c r="T36" t="str">
        <f>IFERROR((SUMIFS('AEO 2026 Table 23 '!W:W,'AEO 2026 Table 23 '!$B:$B,"*,"&amp;$A36&amp;",*")-SUMIFS('AEO 2026 Table 23 '!V:V,'AEO 2026 Table 23 '!$B:$B,"*,"&amp;$A36&amp;",*"))/SUMIFS('AEO 2026 Table 23 '!V:V,'AEO 2026 Table 23 '!$B:$B,"*,"&amp;$A36&amp;",*"),"")</f>
        <v/>
      </c>
      <c r="U36" t="str">
        <f>IFERROR((SUMIFS('AEO 2026 Table 23 '!X:X,'AEO 2026 Table 23 '!$B:$B,"*,"&amp;$A36&amp;",*")-SUMIFS('AEO 2026 Table 23 '!W:W,'AEO 2026 Table 23 '!$B:$B,"*,"&amp;$A36&amp;",*"))/SUMIFS('AEO 2026 Table 23 '!W:W,'AEO 2026 Table 23 '!$B:$B,"*,"&amp;$A36&amp;",*"),"")</f>
        <v/>
      </c>
      <c r="V36" t="str">
        <f>IFERROR((SUMIFS('AEO 2026 Table 23 '!Y:Y,'AEO 2026 Table 23 '!$B:$B,"*,"&amp;$A36&amp;",*")-SUMIFS('AEO 2026 Table 23 '!X:X,'AEO 2026 Table 23 '!$B:$B,"*,"&amp;$A36&amp;",*"))/SUMIFS('AEO 2026 Table 23 '!X:X,'AEO 2026 Table 23 '!$B:$B,"*,"&amp;$A36&amp;",*"),"")</f>
        <v/>
      </c>
      <c r="W36" t="str">
        <f>IFERROR((SUMIFS('AEO 2026 Table 23 '!Z:Z,'AEO 2026 Table 23 '!$B:$B,"*,"&amp;$A36&amp;",*")-SUMIFS('AEO 2026 Table 23 '!Y:Y,'AEO 2026 Table 23 '!$B:$B,"*,"&amp;$A36&amp;",*"))/SUMIFS('AEO 2026 Table 23 '!Y:Y,'AEO 2026 Table 23 '!$B:$B,"*,"&amp;$A36&amp;",*"),"")</f>
        <v/>
      </c>
      <c r="X36" t="str">
        <f>IFERROR((SUMIFS('AEO 2026 Table 23 '!AA:AA,'AEO 2026 Table 23 '!$B:$B,"*,"&amp;$A36&amp;",*")-SUMIFS('AEO 2026 Table 23 '!Z:Z,'AEO 2026 Table 23 '!$B:$B,"*,"&amp;$A36&amp;",*"))/SUMIFS('AEO 2026 Table 23 '!Z:Z,'AEO 2026 Table 23 '!$B:$B,"*,"&amp;$A36&amp;",*"),"")</f>
        <v/>
      </c>
      <c r="Y36" t="str">
        <f>IFERROR((SUMIFS('AEO 2026 Table 23 '!AB:AB,'AEO 2026 Table 23 '!$B:$B,"*,"&amp;$A36&amp;",*")-SUMIFS('AEO 2026 Table 23 '!AA:AA,'AEO 2026 Table 23 '!$B:$B,"*,"&amp;$A36&amp;",*"))/SUMIFS('AEO 2026 Table 23 '!AA:AA,'AEO 2026 Table 23 '!$B:$B,"*,"&amp;$A36&amp;",*"),"")</f>
        <v/>
      </c>
      <c r="Z36" t="str">
        <f>IFERROR((SUMIFS('AEO 2026 Table 23 '!AC:AC,'AEO 2026 Table 23 '!$B:$B,"*,"&amp;$A36&amp;",*")-SUMIFS('AEO 2026 Table 23 '!AB:AB,'AEO 2026 Table 23 '!$B:$B,"*,"&amp;$A36&amp;",*"))/SUMIFS('AEO 2026 Table 23 '!AB:AB,'AEO 2026 Table 23 '!$B:$B,"*,"&amp;$A36&amp;",*"),"")</f>
        <v/>
      </c>
      <c r="AA36" t="str">
        <f>IFERROR((SUMIFS('AEO 2026 Table 23 '!AD:AD,'AEO 2026 Table 23 '!$B:$B,"*,"&amp;$A36&amp;",*")-SUMIFS('AEO 2026 Table 23 '!AC:AC,'AEO 2026 Table 23 '!$B:$B,"*,"&amp;$A36&amp;",*"))/SUMIFS('AEO 2026 Table 23 '!AC:AC,'AEO 2026 Table 23 '!$B:$B,"*,"&amp;$A36&amp;",*"),"")</f>
        <v/>
      </c>
      <c r="AB36" t="str">
        <f>IFERROR((SUMIFS('AEO 2026 Table 23 '!AE:AE,'AEO 2026 Table 23 '!$B:$B,"*,"&amp;$A36&amp;",*")-SUMIFS('AEO 2026 Table 23 '!AD:AD,'AEO 2026 Table 23 '!$B:$B,"*,"&amp;$A36&amp;",*"))/SUMIFS('AEO 2026 Table 23 '!AD:AD,'AEO 2026 Table 23 '!$B:$B,"*,"&amp;$A36&amp;",*"),"")</f>
        <v/>
      </c>
      <c r="AC36" t="str">
        <f>IFERROR((SUMIFS('AEO 2026 Table 23 '!AF:AF,'AEO 2026 Table 23 '!$B:$B,"*,"&amp;$A36&amp;",*")-SUMIFS('AEO 2026 Table 23 '!AE:AE,'AEO 2026 Table 23 '!$B:$B,"*,"&amp;$A36&amp;",*"))/SUMIFS('AEO 2026 Table 23 '!AE:AE,'AEO 2026 Table 23 '!$B:$B,"*,"&amp;$A36&amp;",*"),"")</f>
        <v/>
      </c>
    </row>
    <row r="37" spans="1:29" x14ac:dyDescent="0.25">
      <c r="A37" t="s">
        <v>461</v>
      </c>
      <c r="B37">
        <f>IFERROR(SUMPRODUCT(--('BLS Table 2.11'!$L$1:$L$426=$A37),'BLS Table 2.11'!$J$1:$J$426,'BLS Table 2.11'!$K$1:$K$426)/SUMIFS('BLS Table 2.11'!$J$1:$J$426,'BLS Table 2.11'!$L$1:$L$426,$A37)/100,0)</f>
        <v>1.8630338733431517E-2</v>
      </c>
      <c r="D37" t="str">
        <f>IFERROR((SUMIFS('AEO 2026 Table 23 '!G:G,'AEO 2026 Table 23 '!$B:$B,"*,"&amp;$A37&amp;",*")-SUMIFS('AEO25 Table 23'!H:H,'AEO25 Table 23'!$B:$B,"*,"&amp;$A37&amp;",*"))/SUMIFS('AEO25 Table 23'!H:H,'AEO25 Table 23'!$B:$B,"*,"&amp;$A37&amp;",*"),"")</f>
        <v/>
      </c>
      <c r="E37" t="str">
        <f>IFERROR((SUMIFS('AEO 2026 Table 23 '!H:H,'AEO 2026 Table 23 '!$B:$B,"*,"&amp;$A37&amp;",*")-SUMIFS('AEO 2026 Table 23 '!G:G,'AEO 2026 Table 23 '!$B:$B,"*,"&amp;$A37&amp;",*"))/SUMIFS('AEO 2026 Table 23 '!G:G,'AEO 2026 Table 23 '!$B:$B,"*,"&amp;$A37&amp;",*"),"")</f>
        <v/>
      </c>
      <c r="F37" t="str">
        <f>IFERROR((SUMIFS('AEO 2026 Table 23 '!I:I,'AEO 2026 Table 23 '!$B:$B,"*,"&amp;$A37&amp;",*")-SUMIFS('AEO 2026 Table 23 '!H:H,'AEO 2026 Table 23 '!$B:$B,"*,"&amp;$A37&amp;",*"))/SUMIFS('AEO 2026 Table 23 '!H:H,'AEO 2026 Table 23 '!$B:$B,"*,"&amp;$A37&amp;",*"),"")</f>
        <v/>
      </c>
      <c r="G37" t="str">
        <f>IFERROR((SUMIFS('AEO 2026 Table 23 '!J:J,'AEO 2026 Table 23 '!$B:$B,"*,"&amp;$A37&amp;",*")-SUMIFS('AEO 2026 Table 23 '!I:I,'AEO 2026 Table 23 '!$B:$B,"*,"&amp;$A37&amp;",*"))/SUMIFS('AEO 2026 Table 23 '!I:I,'AEO 2026 Table 23 '!$B:$B,"*,"&amp;$A37&amp;",*"),"")</f>
        <v/>
      </c>
      <c r="H37" t="str">
        <f>IFERROR((SUMIFS('AEO 2026 Table 23 '!K:K,'AEO 2026 Table 23 '!$B:$B,"*,"&amp;$A37&amp;",*")-SUMIFS('AEO 2026 Table 23 '!J:J,'AEO 2026 Table 23 '!$B:$B,"*,"&amp;$A37&amp;",*"))/SUMIFS('AEO 2026 Table 23 '!J:J,'AEO 2026 Table 23 '!$B:$B,"*,"&amp;$A37&amp;",*"),"")</f>
        <v/>
      </c>
      <c r="I37" t="str">
        <f>IFERROR((SUMIFS('AEO 2026 Table 23 '!L:L,'AEO 2026 Table 23 '!$B:$B,"*,"&amp;$A37&amp;",*")-SUMIFS('AEO 2026 Table 23 '!K:K,'AEO 2026 Table 23 '!$B:$B,"*,"&amp;$A37&amp;",*"))/SUMIFS('AEO 2026 Table 23 '!K:K,'AEO 2026 Table 23 '!$B:$B,"*,"&amp;$A37&amp;",*"),"")</f>
        <v/>
      </c>
      <c r="J37" t="str">
        <f>IFERROR((SUMIFS('AEO 2026 Table 23 '!M:M,'AEO 2026 Table 23 '!$B:$B,"*,"&amp;$A37&amp;",*")-SUMIFS('AEO 2026 Table 23 '!L:L,'AEO 2026 Table 23 '!$B:$B,"*,"&amp;$A37&amp;",*"))/SUMIFS('AEO 2026 Table 23 '!L:L,'AEO 2026 Table 23 '!$B:$B,"*,"&amp;$A37&amp;",*"),"")</f>
        <v/>
      </c>
      <c r="K37" t="str">
        <f>IFERROR((SUMIFS('AEO 2026 Table 23 '!N:N,'AEO 2026 Table 23 '!$B:$B,"*,"&amp;$A37&amp;",*")-SUMIFS('AEO 2026 Table 23 '!M:M,'AEO 2026 Table 23 '!$B:$B,"*,"&amp;$A37&amp;",*"))/SUMIFS('AEO 2026 Table 23 '!M:M,'AEO 2026 Table 23 '!$B:$B,"*,"&amp;$A37&amp;",*"),"")</f>
        <v/>
      </c>
      <c r="L37" t="str">
        <f>IFERROR((SUMIFS('AEO 2026 Table 23 '!O:O,'AEO 2026 Table 23 '!$B:$B,"*,"&amp;$A37&amp;",*")-SUMIFS('AEO 2026 Table 23 '!N:N,'AEO 2026 Table 23 '!$B:$B,"*,"&amp;$A37&amp;",*"))/SUMIFS('AEO 2026 Table 23 '!N:N,'AEO 2026 Table 23 '!$B:$B,"*,"&amp;$A37&amp;",*"),"")</f>
        <v/>
      </c>
      <c r="M37" t="str">
        <f>IFERROR((SUMIFS('AEO 2026 Table 23 '!P:P,'AEO 2026 Table 23 '!$B:$B,"*,"&amp;$A37&amp;",*")-SUMIFS('AEO 2026 Table 23 '!O:O,'AEO 2026 Table 23 '!$B:$B,"*,"&amp;$A37&amp;",*"))/SUMIFS('AEO 2026 Table 23 '!O:O,'AEO 2026 Table 23 '!$B:$B,"*,"&amp;$A37&amp;",*"),"")</f>
        <v/>
      </c>
      <c r="N37" t="str">
        <f>IFERROR((SUMIFS('AEO 2026 Table 23 '!Q:Q,'AEO 2026 Table 23 '!$B:$B,"*,"&amp;$A37&amp;",*")-SUMIFS('AEO 2026 Table 23 '!P:P,'AEO 2026 Table 23 '!$B:$B,"*,"&amp;$A37&amp;",*"))/SUMIFS('AEO 2026 Table 23 '!P:P,'AEO 2026 Table 23 '!$B:$B,"*,"&amp;$A37&amp;",*"),"")</f>
        <v/>
      </c>
      <c r="O37" t="str">
        <f>IFERROR((SUMIFS('AEO 2026 Table 23 '!R:R,'AEO 2026 Table 23 '!$B:$B,"*,"&amp;$A37&amp;",*")-SUMIFS('AEO 2026 Table 23 '!Q:Q,'AEO 2026 Table 23 '!$B:$B,"*,"&amp;$A37&amp;",*"))/SUMIFS('AEO 2026 Table 23 '!Q:Q,'AEO 2026 Table 23 '!$B:$B,"*,"&amp;$A37&amp;",*"),"")</f>
        <v/>
      </c>
      <c r="P37" t="str">
        <f>IFERROR((SUMIFS('AEO 2026 Table 23 '!S:S,'AEO 2026 Table 23 '!$B:$B,"*,"&amp;$A37&amp;",*")-SUMIFS('AEO 2026 Table 23 '!R:R,'AEO 2026 Table 23 '!$B:$B,"*,"&amp;$A37&amp;",*"))/SUMIFS('AEO 2026 Table 23 '!R:R,'AEO 2026 Table 23 '!$B:$B,"*,"&amp;$A37&amp;",*"),"")</f>
        <v/>
      </c>
      <c r="Q37" t="str">
        <f>IFERROR((SUMIFS('AEO 2026 Table 23 '!T:T,'AEO 2026 Table 23 '!$B:$B,"*,"&amp;$A37&amp;",*")-SUMIFS('AEO 2026 Table 23 '!S:S,'AEO 2026 Table 23 '!$B:$B,"*,"&amp;$A37&amp;",*"))/SUMIFS('AEO 2026 Table 23 '!S:S,'AEO 2026 Table 23 '!$B:$B,"*,"&amp;$A37&amp;",*"),"")</f>
        <v/>
      </c>
      <c r="R37" t="str">
        <f>IFERROR((SUMIFS('AEO 2026 Table 23 '!U:U,'AEO 2026 Table 23 '!$B:$B,"*,"&amp;$A37&amp;",*")-SUMIFS('AEO 2026 Table 23 '!T:T,'AEO 2026 Table 23 '!$B:$B,"*,"&amp;$A37&amp;",*"))/SUMIFS('AEO 2026 Table 23 '!T:T,'AEO 2026 Table 23 '!$B:$B,"*,"&amp;$A37&amp;",*"),"")</f>
        <v/>
      </c>
      <c r="S37" t="str">
        <f>IFERROR((SUMIFS('AEO 2026 Table 23 '!V:V,'AEO 2026 Table 23 '!$B:$B,"*,"&amp;$A37&amp;",*")-SUMIFS('AEO 2026 Table 23 '!U:U,'AEO 2026 Table 23 '!$B:$B,"*,"&amp;$A37&amp;",*"))/SUMIFS('AEO 2026 Table 23 '!U:U,'AEO 2026 Table 23 '!$B:$B,"*,"&amp;$A37&amp;",*"),"")</f>
        <v/>
      </c>
      <c r="T37" t="str">
        <f>IFERROR((SUMIFS('AEO 2026 Table 23 '!W:W,'AEO 2026 Table 23 '!$B:$B,"*,"&amp;$A37&amp;",*")-SUMIFS('AEO 2026 Table 23 '!V:V,'AEO 2026 Table 23 '!$B:$B,"*,"&amp;$A37&amp;",*"))/SUMIFS('AEO 2026 Table 23 '!V:V,'AEO 2026 Table 23 '!$B:$B,"*,"&amp;$A37&amp;",*"),"")</f>
        <v/>
      </c>
      <c r="U37" t="str">
        <f>IFERROR((SUMIFS('AEO 2026 Table 23 '!X:X,'AEO 2026 Table 23 '!$B:$B,"*,"&amp;$A37&amp;",*")-SUMIFS('AEO 2026 Table 23 '!W:W,'AEO 2026 Table 23 '!$B:$B,"*,"&amp;$A37&amp;",*"))/SUMIFS('AEO 2026 Table 23 '!W:W,'AEO 2026 Table 23 '!$B:$B,"*,"&amp;$A37&amp;",*"),"")</f>
        <v/>
      </c>
      <c r="V37" t="str">
        <f>IFERROR((SUMIFS('AEO 2026 Table 23 '!Y:Y,'AEO 2026 Table 23 '!$B:$B,"*,"&amp;$A37&amp;",*")-SUMIFS('AEO 2026 Table 23 '!X:X,'AEO 2026 Table 23 '!$B:$B,"*,"&amp;$A37&amp;",*"))/SUMIFS('AEO 2026 Table 23 '!X:X,'AEO 2026 Table 23 '!$B:$B,"*,"&amp;$A37&amp;",*"),"")</f>
        <v/>
      </c>
      <c r="W37" t="str">
        <f>IFERROR((SUMIFS('AEO 2026 Table 23 '!Z:Z,'AEO 2026 Table 23 '!$B:$B,"*,"&amp;$A37&amp;",*")-SUMIFS('AEO 2026 Table 23 '!Y:Y,'AEO 2026 Table 23 '!$B:$B,"*,"&amp;$A37&amp;",*"))/SUMIFS('AEO 2026 Table 23 '!Y:Y,'AEO 2026 Table 23 '!$B:$B,"*,"&amp;$A37&amp;",*"),"")</f>
        <v/>
      </c>
      <c r="X37" t="str">
        <f>IFERROR((SUMIFS('AEO 2026 Table 23 '!AA:AA,'AEO 2026 Table 23 '!$B:$B,"*,"&amp;$A37&amp;",*")-SUMIFS('AEO 2026 Table 23 '!Z:Z,'AEO 2026 Table 23 '!$B:$B,"*,"&amp;$A37&amp;",*"))/SUMIFS('AEO 2026 Table 23 '!Z:Z,'AEO 2026 Table 23 '!$B:$B,"*,"&amp;$A37&amp;",*"),"")</f>
        <v/>
      </c>
      <c r="Y37" t="str">
        <f>IFERROR((SUMIFS('AEO 2026 Table 23 '!AB:AB,'AEO 2026 Table 23 '!$B:$B,"*,"&amp;$A37&amp;",*")-SUMIFS('AEO 2026 Table 23 '!AA:AA,'AEO 2026 Table 23 '!$B:$B,"*,"&amp;$A37&amp;",*"))/SUMIFS('AEO 2026 Table 23 '!AA:AA,'AEO 2026 Table 23 '!$B:$B,"*,"&amp;$A37&amp;",*"),"")</f>
        <v/>
      </c>
      <c r="Z37" t="str">
        <f>IFERROR((SUMIFS('AEO 2026 Table 23 '!AC:AC,'AEO 2026 Table 23 '!$B:$B,"*,"&amp;$A37&amp;",*")-SUMIFS('AEO 2026 Table 23 '!AB:AB,'AEO 2026 Table 23 '!$B:$B,"*,"&amp;$A37&amp;",*"))/SUMIFS('AEO 2026 Table 23 '!AB:AB,'AEO 2026 Table 23 '!$B:$B,"*,"&amp;$A37&amp;",*"),"")</f>
        <v/>
      </c>
      <c r="AA37" t="str">
        <f>IFERROR((SUMIFS('AEO 2026 Table 23 '!AD:AD,'AEO 2026 Table 23 '!$B:$B,"*,"&amp;$A37&amp;",*")-SUMIFS('AEO 2026 Table 23 '!AC:AC,'AEO 2026 Table 23 '!$B:$B,"*,"&amp;$A37&amp;",*"))/SUMIFS('AEO 2026 Table 23 '!AC:AC,'AEO 2026 Table 23 '!$B:$B,"*,"&amp;$A37&amp;",*"),"")</f>
        <v/>
      </c>
      <c r="AB37" t="str">
        <f>IFERROR((SUMIFS('AEO 2026 Table 23 '!AE:AE,'AEO 2026 Table 23 '!$B:$B,"*,"&amp;$A37&amp;",*")-SUMIFS('AEO 2026 Table 23 '!AD:AD,'AEO 2026 Table 23 '!$B:$B,"*,"&amp;$A37&amp;",*"))/SUMIFS('AEO 2026 Table 23 '!AD:AD,'AEO 2026 Table 23 '!$B:$B,"*,"&amp;$A37&amp;",*"),"")</f>
        <v/>
      </c>
      <c r="AC37" t="str">
        <f>IFERROR((SUMIFS('AEO 2026 Table 23 '!AF:AF,'AEO 2026 Table 23 '!$B:$B,"*,"&amp;$A37&amp;",*")-SUMIFS('AEO 2026 Table 23 '!AE:AE,'AEO 2026 Table 23 '!$B:$B,"*,"&amp;$A37&amp;",*"))/SUMIFS('AEO 2026 Table 23 '!AE:AE,'AEO 2026 Table 23 '!$B:$B,"*,"&amp;$A37&amp;",*"),"")</f>
        <v/>
      </c>
    </row>
    <row r="38" spans="1:29" x14ac:dyDescent="0.25">
      <c r="A38" t="s">
        <v>464</v>
      </c>
      <c r="B38">
        <f>IFERROR(SUMPRODUCT(--('BLS Table 2.11'!$L$1:$L$426=$A38),'BLS Table 2.11'!$J$1:$J$426,'BLS Table 2.11'!$K$1:$K$426)/SUMIFS('BLS Table 2.11'!$J$1:$J$426,'BLS Table 2.11'!$L$1:$L$426,$A38)/100,0)</f>
        <v>2.1000000000000001E-2</v>
      </c>
      <c r="D38" t="str">
        <f>IFERROR((SUMIFS('AEO 2026 Table 23 '!G:G,'AEO 2026 Table 23 '!$B:$B,"*,"&amp;$A38&amp;",*")-SUMIFS('AEO25 Table 23'!H:H,'AEO25 Table 23'!$B:$B,"*,"&amp;$A38&amp;",*"))/SUMIFS('AEO25 Table 23'!H:H,'AEO25 Table 23'!$B:$B,"*,"&amp;$A38&amp;",*"),"")</f>
        <v/>
      </c>
      <c r="E38" t="str">
        <f>IFERROR((SUMIFS('AEO 2026 Table 23 '!H:H,'AEO 2026 Table 23 '!$B:$B,"*,"&amp;$A38&amp;",*")-SUMIFS('AEO 2026 Table 23 '!G:G,'AEO 2026 Table 23 '!$B:$B,"*,"&amp;$A38&amp;",*"))/SUMIFS('AEO 2026 Table 23 '!G:G,'AEO 2026 Table 23 '!$B:$B,"*,"&amp;$A38&amp;",*"),"")</f>
        <v/>
      </c>
      <c r="F38" t="str">
        <f>IFERROR((SUMIFS('AEO 2026 Table 23 '!I:I,'AEO 2026 Table 23 '!$B:$B,"*,"&amp;$A38&amp;",*")-SUMIFS('AEO 2026 Table 23 '!H:H,'AEO 2026 Table 23 '!$B:$B,"*,"&amp;$A38&amp;",*"))/SUMIFS('AEO 2026 Table 23 '!H:H,'AEO 2026 Table 23 '!$B:$B,"*,"&amp;$A38&amp;",*"),"")</f>
        <v/>
      </c>
      <c r="G38" t="str">
        <f>IFERROR((SUMIFS('AEO 2026 Table 23 '!J:J,'AEO 2026 Table 23 '!$B:$B,"*,"&amp;$A38&amp;",*")-SUMIFS('AEO 2026 Table 23 '!I:I,'AEO 2026 Table 23 '!$B:$B,"*,"&amp;$A38&amp;",*"))/SUMIFS('AEO 2026 Table 23 '!I:I,'AEO 2026 Table 23 '!$B:$B,"*,"&amp;$A38&amp;",*"),"")</f>
        <v/>
      </c>
      <c r="H38" t="str">
        <f>IFERROR((SUMIFS('AEO 2026 Table 23 '!K:K,'AEO 2026 Table 23 '!$B:$B,"*,"&amp;$A38&amp;",*")-SUMIFS('AEO 2026 Table 23 '!J:J,'AEO 2026 Table 23 '!$B:$B,"*,"&amp;$A38&amp;",*"))/SUMIFS('AEO 2026 Table 23 '!J:J,'AEO 2026 Table 23 '!$B:$B,"*,"&amp;$A38&amp;",*"),"")</f>
        <v/>
      </c>
      <c r="I38" t="str">
        <f>IFERROR((SUMIFS('AEO 2026 Table 23 '!L:L,'AEO 2026 Table 23 '!$B:$B,"*,"&amp;$A38&amp;",*")-SUMIFS('AEO 2026 Table 23 '!K:K,'AEO 2026 Table 23 '!$B:$B,"*,"&amp;$A38&amp;",*"))/SUMIFS('AEO 2026 Table 23 '!K:K,'AEO 2026 Table 23 '!$B:$B,"*,"&amp;$A38&amp;",*"),"")</f>
        <v/>
      </c>
      <c r="J38" t="str">
        <f>IFERROR((SUMIFS('AEO 2026 Table 23 '!M:M,'AEO 2026 Table 23 '!$B:$B,"*,"&amp;$A38&amp;",*")-SUMIFS('AEO 2026 Table 23 '!L:L,'AEO 2026 Table 23 '!$B:$B,"*,"&amp;$A38&amp;",*"))/SUMIFS('AEO 2026 Table 23 '!L:L,'AEO 2026 Table 23 '!$B:$B,"*,"&amp;$A38&amp;",*"),"")</f>
        <v/>
      </c>
      <c r="K38" t="str">
        <f>IFERROR((SUMIFS('AEO 2026 Table 23 '!N:N,'AEO 2026 Table 23 '!$B:$B,"*,"&amp;$A38&amp;",*")-SUMIFS('AEO 2026 Table 23 '!M:M,'AEO 2026 Table 23 '!$B:$B,"*,"&amp;$A38&amp;",*"))/SUMIFS('AEO 2026 Table 23 '!M:M,'AEO 2026 Table 23 '!$B:$B,"*,"&amp;$A38&amp;",*"),"")</f>
        <v/>
      </c>
      <c r="L38" t="str">
        <f>IFERROR((SUMIFS('AEO 2026 Table 23 '!O:O,'AEO 2026 Table 23 '!$B:$B,"*,"&amp;$A38&amp;",*")-SUMIFS('AEO 2026 Table 23 '!N:N,'AEO 2026 Table 23 '!$B:$B,"*,"&amp;$A38&amp;",*"))/SUMIFS('AEO 2026 Table 23 '!N:N,'AEO 2026 Table 23 '!$B:$B,"*,"&amp;$A38&amp;",*"),"")</f>
        <v/>
      </c>
      <c r="M38" t="str">
        <f>IFERROR((SUMIFS('AEO 2026 Table 23 '!P:P,'AEO 2026 Table 23 '!$B:$B,"*,"&amp;$A38&amp;",*")-SUMIFS('AEO 2026 Table 23 '!O:O,'AEO 2026 Table 23 '!$B:$B,"*,"&amp;$A38&amp;",*"))/SUMIFS('AEO 2026 Table 23 '!O:O,'AEO 2026 Table 23 '!$B:$B,"*,"&amp;$A38&amp;",*"),"")</f>
        <v/>
      </c>
      <c r="N38" t="str">
        <f>IFERROR((SUMIFS('AEO 2026 Table 23 '!Q:Q,'AEO 2026 Table 23 '!$B:$B,"*,"&amp;$A38&amp;",*")-SUMIFS('AEO 2026 Table 23 '!P:P,'AEO 2026 Table 23 '!$B:$B,"*,"&amp;$A38&amp;",*"))/SUMIFS('AEO 2026 Table 23 '!P:P,'AEO 2026 Table 23 '!$B:$B,"*,"&amp;$A38&amp;",*"),"")</f>
        <v/>
      </c>
      <c r="O38" t="str">
        <f>IFERROR((SUMIFS('AEO 2026 Table 23 '!R:R,'AEO 2026 Table 23 '!$B:$B,"*,"&amp;$A38&amp;",*")-SUMIFS('AEO 2026 Table 23 '!Q:Q,'AEO 2026 Table 23 '!$B:$B,"*,"&amp;$A38&amp;",*"))/SUMIFS('AEO 2026 Table 23 '!Q:Q,'AEO 2026 Table 23 '!$B:$B,"*,"&amp;$A38&amp;",*"),"")</f>
        <v/>
      </c>
      <c r="P38" t="str">
        <f>IFERROR((SUMIFS('AEO 2026 Table 23 '!S:S,'AEO 2026 Table 23 '!$B:$B,"*,"&amp;$A38&amp;",*")-SUMIFS('AEO 2026 Table 23 '!R:R,'AEO 2026 Table 23 '!$B:$B,"*,"&amp;$A38&amp;",*"))/SUMIFS('AEO 2026 Table 23 '!R:R,'AEO 2026 Table 23 '!$B:$B,"*,"&amp;$A38&amp;",*"),"")</f>
        <v/>
      </c>
      <c r="Q38" t="str">
        <f>IFERROR((SUMIFS('AEO 2026 Table 23 '!T:T,'AEO 2026 Table 23 '!$B:$B,"*,"&amp;$A38&amp;",*")-SUMIFS('AEO 2026 Table 23 '!S:S,'AEO 2026 Table 23 '!$B:$B,"*,"&amp;$A38&amp;",*"))/SUMIFS('AEO 2026 Table 23 '!S:S,'AEO 2026 Table 23 '!$B:$B,"*,"&amp;$A38&amp;",*"),"")</f>
        <v/>
      </c>
      <c r="R38" t="str">
        <f>IFERROR((SUMIFS('AEO 2026 Table 23 '!U:U,'AEO 2026 Table 23 '!$B:$B,"*,"&amp;$A38&amp;",*")-SUMIFS('AEO 2026 Table 23 '!T:T,'AEO 2026 Table 23 '!$B:$B,"*,"&amp;$A38&amp;",*"))/SUMIFS('AEO 2026 Table 23 '!T:T,'AEO 2026 Table 23 '!$B:$B,"*,"&amp;$A38&amp;",*"),"")</f>
        <v/>
      </c>
      <c r="S38" t="str">
        <f>IFERROR((SUMIFS('AEO 2026 Table 23 '!V:V,'AEO 2026 Table 23 '!$B:$B,"*,"&amp;$A38&amp;",*")-SUMIFS('AEO 2026 Table 23 '!U:U,'AEO 2026 Table 23 '!$B:$B,"*,"&amp;$A38&amp;",*"))/SUMIFS('AEO 2026 Table 23 '!U:U,'AEO 2026 Table 23 '!$B:$B,"*,"&amp;$A38&amp;",*"),"")</f>
        <v/>
      </c>
      <c r="T38" t="str">
        <f>IFERROR((SUMIFS('AEO 2026 Table 23 '!W:W,'AEO 2026 Table 23 '!$B:$B,"*,"&amp;$A38&amp;",*")-SUMIFS('AEO 2026 Table 23 '!V:V,'AEO 2026 Table 23 '!$B:$B,"*,"&amp;$A38&amp;",*"))/SUMIFS('AEO 2026 Table 23 '!V:V,'AEO 2026 Table 23 '!$B:$B,"*,"&amp;$A38&amp;",*"),"")</f>
        <v/>
      </c>
      <c r="U38" t="str">
        <f>IFERROR((SUMIFS('AEO 2026 Table 23 '!X:X,'AEO 2026 Table 23 '!$B:$B,"*,"&amp;$A38&amp;",*")-SUMIFS('AEO 2026 Table 23 '!W:W,'AEO 2026 Table 23 '!$B:$B,"*,"&amp;$A38&amp;",*"))/SUMIFS('AEO 2026 Table 23 '!W:W,'AEO 2026 Table 23 '!$B:$B,"*,"&amp;$A38&amp;",*"),"")</f>
        <v/>
      </c>
      <c r="V38" t="str">
        <f>IFERROR((SUMIFS('AEO 2026 Table 23 '!Y:Y,'AEO 2026 Table 23 '!$B:$B,"*,"&amp;$A38&amp;",*")-SUMIFS('AEO 2026 Table 23 '!X:X,'AEO 2026 Table 23 '!$B:$B,"*,"&amp;$A38&amp;",*"))/SUMIFS('AEO 2026 Table 23 '!X:X,'AEO 2026 Table 23 '!$B:$B,"*,"&amp;$A38&amp;",*"),"")</f>
        <v/>
      </c>
      <c r="W38" t="str">
        <f>IFERROR((SUMIFS('AEO 2026 Table 23 '!Z:Z,'AEO 2026 Table 23 '!$B:$B,"*,"&amp;$A38&amp;",*")-SUMIFS('AEO 2026 Table 23 '!Y:Y,'AEO 2026 Table 23 '!$B:$B,"*,"&amp;$A38&amp;",*"))/SUMIFS('AEO 2026 Table 23 '!Y:Y,'AEO 2026 Table 23 '!$B:$B,"*,"&amp;$A38&amp;",*"),"")</f>
        <v/>
      </c>
      <c r="X38" t="str">
        <f>IFERROR((SUMIFS('AEO 2026 Table 23 '!AA:AA,'AEO 2026 Table 23 '!$B:$B,"*,"&amp;$A38&amp;",*")-SUMIFS('AEO 2026 Table 23 '!Z:Z,'AEO 2026 Table 23 '!$B:$B,"*,"&amp;$A38&amp;",*"))/SUMIFS('AEO 2026 Table 23 '!Z:Z,'AEO 2026 Table 23 '!$B:$B,"*,"&amp;$A38&amp;",*"),"")</f>
        <v/>
      </c>
      <c r="Y38" t="str">
        <f>IFERROR((SUMIFS('AEO 2026 Table 23 '!AB:AB,'AEO 2026 Table 23 '!$B:$B,"*,"&amp;$A38&amp;",*")-SUMIFS('AEO 2026 Table 23 '!AA:AA,'AEO 2026 Table 23 '!$B:$B,"*,"&amp;$A38&amp;",*"))/SUMIFS('AEO 2026 Table 23 '!AA:AA,'AEO 2026 Table 23 '!$B:$B,"*,"&amp;$A38&amp;",*"),"")</f>
        <v/>
      </c>
      <c r="Z38" t="str">
        <f>IFERROR((SUMIFS('AEO 2026 Table 23 '!AC:AC,'AEO 2026 Table 23 '!$B:$B,"*,"&amp;$A38&amp;",*")-SUMIFS('AEO 2026 Table 23 '!AB:AB,'AEO 2026 Table 23 '!$B:$B,"*,"&amp;$A38&amp;",*"))/SUMIFS('AEO 2026 Table 23 '!AB:AB,'AEO 2026 Table 23 '!$B:$B,"*,"&amp;$A38&amp;",*"),"")</f>
        <v/>
      </c>
      <c r="AA38" t="str">
        <f>IFERROR((SUMIFS('AEO 2026 Table 23 '!AD:AD,'AEO 2026 Table 23 '!$B:$B,"*,"&amp;$A38&amp;",*")-SUMIFS('AEO 2026 Table 23 '!AC:AC,'AEO 2026 Table 23 '!$B:$B,"*,"&amp;$A38&amp;",*"))/SUMIFS('AEO 2026 Table 23 '!AC:AC,'AEO 2026 Table 23 '!$B:$B,"*,"&amp;$A38&amp;",*"),"")</f>
        <v/>
      </c>
      <c r="AB38" t="str">
        <f>IFERROR((SUMIFS('AEO 2026 Table 23 '!AE:AE,'AEO 2026 Table 23 '!$B:$B,"*,"&amp;$A38&amp;",*")-SUMIFS('AEO 2026 Table 23 '!AD:AD,'AEO 2026 Table 23 '!$B:$B,"*,"&amp;$A38&amp;",*"))/SUMIFS('AEO 2026 Table 23 '!AD:AD,'AEO 2026 Table 23 '!$B:$B,"*,"&amp;$A38&amp;",*"),"")</f>
        <v/>
      </c>
      <c r="AC38" t="str">
        <f>IFERROR((SUMIFS('AEO 2026 Table 23 '!AF:AF,'AEO 2026 Table 23 '!$B:$B,"*,"&amp;$A38&amp;",*")-SUMIFS('AEO 2026 Table 23 '!AE:AE,'AEO 2026 Table 23 '!$B:$B,"*,"&amp;$A38&amp;",*"))/SUMIFS('AEO 2026 Table 23 '!AE:AE,'AEO 2026 Table 23 '!$B:$B,"*,"&amp;$A38&amp;",*"),"")</f>
        <v/>
      </c>
    </row>
    <row r="39" spans="1:29" x14ac:dyDescent="0.25">
      <c r="A39" t="s">
        <v>454</v>
      </c>
      <c r="B39">
        <f>IFERROR(SUMPRODUCT(--('BLS Table 2.11'!$L$1:$L$426=$A39),'BLS Table 2.11'!$J$1:$J$426,'BLS Table 2.11'!$K$1:$K$426)/SUMIFS('BLS Table 2.11'!$J$1:$J$426,'BLS Table 2.11'!$L$1:$L$426,$A39)/100,0)</f>
        <v>2.3E-2</v>
      </c>
      <c r="D39" t="str">
        <f>IFERROR((SUMIFS('AEO 2026 Table 23 '!G:G,'AEO 2026 Table 23 '!$B:$B,"*,"&amp;$A39&amp;",*")-SUMIFS('AEO25 Table 23'!H:H,'AEO25 Table 23'!$B:$B,"*,"&amp;$A39&amp;",*"))/SUMIFS('AEO25 Table 23'!H:H,'AEO25 Table 23'!$B:$B,"*,"&amp;$A39&amp;",*"),"")</f>
        <v/>
      </c>
      <c r="E39" t="str">
        <f>IFERROR((SUMIFS('AEO 2026 Table 23 '!H:H,'AEO 2026 Table 23 '!$B:$B,"*,"&amp;$A39&amp;",*")-SUMIFS('AEO 2026 Table 23 '!G:G,'AEO 2026 Table 23 '!$B:$B,"*,"&amp;$A39&amp;",*"))/SUMIFS('AEO 2026 Table 23 '!G:G,'AEO 2026 Table 23 '!$B:$B,"*,"&amp;$A39&amp;",*"),"")</f>
        <v/>
      </c>
      <c r="F39" t="str">
        <f>IFERROR((SUMIFS('AEO 2026 Table 23 '!I:I,'AEO 2026 Table 23 '!$B:$B,"*,"&amp;$A39&amp;",*")-SUMIFS('AEO 2026 Table 23 '!H:H,'AEO 2026 Table 23 '!$B:$B,"*,"&amp;$A39&amp;",*"))/SUMIFS('AEO 2026 Table 23 '!H:H,'AEO 2026 Table 23 '!$B:$B,"*,"&amp;$A39&amp;",*"),"")</f>
        <v/>
      </c>
      <c r="G39" t="str">
        <f>IFERROR((SUMIFS('AEO 2026 Table 23 '!J:J,'AEO 2026 Table 23 '!$B:$B,"*,"&amp;$A39&amp;",*")-SUMIFS('AEO 2026 Table 23 '!I:I,'AEO 2026 Table 23 '!$B:$B,"*,"&amp;$A39&amp;",*"))/SUMIFS('AEO 2026 Table 23 '!I:I,'AEO 2026 Table 23 '!$B:$B,"*,"&amp;$A39&amp;",*"),"")</f>
        <v/>
      </c>
      <c r="H39" t="str">
        <f>IFERROR((SUMIFS('AEO 2026 Table 23 '!K:K,'AEO 2026 Table 23 '!$B:$B,"*,"&amp;$A39&amp;",*")-SUMIFS('AEO 2026 Table 23 '!J:J,'AEO 2026 Table 23 '!$B:$B,"*,"&amp;$A39&amp;",*"))/SUMIFS('AEO 2026 Table 23 '!J:J,'AEO 2026 Table 23 '!$B:$B,"*,"&amp;$A39&amp;",*"),"")</f>
        <v/>
      </c>
      <c r="I39" t="str">
        <f>IFERROR((SUMIFS('AEO 2026 Table 23 '!L:L,'AEO 2026 Table 23 '!$B:$B,"*,"&amp;$A39&amp;",*")-SUMIFS('AEO 2026 Table 23 '!K:K,'AEO 2026 Table 23 '!$B:$B,"*,"&amp;$A39&amp;",*"))/SUMIFS('AEO 2026 Table 23 '!K:K,'AEO 2026 Table 23 '!$B:$B,"*,"&amp;$A39&amp;",*"),"")</f>
        <v/>
      </c>
      <c r="J39" t="str">
        <f>IFERROR((SUMIFS('AEO 2026 Table 23 '!M:M,'AEO 2026 Table 23 '!$B:$B,"*,"&amp;$A39&amp;",*")-SUMIFS('AEO 2026 Table 23 '!L:L,'AEO 2026 Table 23 '!$B:$B,"*,"&amp;$A39&amp;",*"))/SUMIFS('AEO 2026 Table 23 '!L:L,'AEO 2026 Table 23 '!$B:$B,"*,"&amp;$A39&amp;",*"),"")</f>
        <v/>
      </c>
      <c r="K39" t="str">
        <f>IFERROR((SUMIFS('AEO 2026 Table 23 '!N:N,'AEO 2026 Table 23 '!$B:$B,"*,"&amp;$A39&amp;",*")-SUMIFS('AEO 2026 Table 23 '!M:M,'AEO 2026 Table 23 '!$B:$B,"*,"&amp;$A39&amp;",*"))/SUMIFS('AEO 2026 Table 23 '!M:M,'AEO 2026 Table 23 '!$B:$B,"*,"&amp;$A39&amp;",*"),"")</f>
        <v/>
      </c>
      <c r="L39" t="str">
        <f>IFERROR((SUMIFS('AEO 2026 Table 23 '!O:O,'AEO 2026 Table 23 '!$B:$B,"*,"&amp;$A39&amp;",*")-SUMIFS('AEO 2026 Table 23 '!N:N,'AEO 2026 Table 23 '!$B:$B,"*,"&amp;$A39&amp;",*"))/SUMIFS('AEO 2026 Table 23 '!N:N,'AEO 2026 Table 23 '!$B:$B,"*,"&amp;$A39&amp;",*"),"")</f>
        <v/>
      </c>
      <c r="M39" t="str">
        <f>IFERROR((SUMIFS('AEO 2026 Table 23 '!P:P,'AEO 2026 Table 23 '!$B:$B,"*,"&amp;$A39&amp;",*")-SUMIFS('AEO 2026 Table 23 '!O:O,'AEO 2026 Table 23 '!$B:$B,"*,"&amp;$A39&amp;",*"))/SUMIFS('AEO 2026 Table 23 '!O:O,'AEO 2026 Table 23 '!$B:$B,"*,"&amp;$A39&amp;",*"),"")</f>
        <v/>
      </c>
      <c r="N39" t="str">
        <f>IFERROR((SUMIFS('AEO 2026 Table 23 '!Q:Q,'AEO 2026 Table 23 '!$B:$B,"*,"&amp;$A39&amp;",*")-SUMIFS('AEO 2026 Table 23 '!P:P,'AEO 2026 Table 23 '!$B:$B,"*,"&amp;$A39&amp;",*"))/SUMIFS('AEO 2026 Table 23 '!P:P,'AEO 2026 Table 23 '!$B:$B,"*,"&amp;$A39&amp;",*"),"")</f>
        <v/>
      </c>
      <c r="O39" t="str">
        <f>IFERROR((SUMIFS('AEO 2026 Table 23 '!R:R,'AEO 2026 Table 23 '!$B:$B,"*,"&amp;$A39&amp;",*")-SUMIFS('AEO 2026 Table 23 '!Q:Q,'AEO 2026 Table 23 '!$B:$B,"*,"&amp;$A39&amp;",*"))/SUMIFS('AEO 2026 Table 23 '!Q:Q,'AEO 2026 Table 23 '!$B:$B,"*,"&amp;$A39&amp;",*"),"")</f>
        <v/>
      </c>
      <c r="P39" t="str">
        <f>IFERROR((SUMIFS('AEO 2026 Table 23 '!S:S,'AEO 2026 Table 23 '!$B:$B,"*,"&amp;$A39&amp;",*")-SUMIFS('AEO 2026 Table 23 '!R:R,'AEO 2026 Table 23 '!$B:$B,"*,"&amp;$A39&amp;",*"))/SUMIFS('AEO 2026 Table 23 '!R:R,'AEO 2026 Table 23 '!$B:$B,"*,"&amp;$A39&amp;",*"),"")</f>
        <v/>
      </c>
      <c r="Q39" t="str">
        <f>IFERROR((SUMIFS('AEO 2026 Table 23 '!T:T,'AEO 2026 Table 23 '!$B:$B,"*,"&amp;$A39&amp;",*")-SUMIFS('AEO 2026 Table 23 '!S:S,'AEO 2026 Table 23 '!$B:$B,"*,"&amp;$A39&amp;",*"))/SUMIFS('AEO 2026 Table 23 '!S:S,'AEO 2026 Table 23 '!$B:$B,"*,"&amp;$A39&amp;",*"),"")</f>
        <v/>
      </c>
      <c r="R39" t="str">
        <f>IFERROR((SUMIFS('AEO 2026 Table 23 '!U:U,'AEO 2026 Table 23 '!$B:$B,"*,"&amp;$A39&amp;",*")-SUMIFS('AEO 2026 Table 23 '!T:T,'AEO 2026 Table 23 '!$B:$B,"*,"&amp;$A39&amp;",*"))/SUMIFS('AEO 2026 Table 23 '!T:T,'AEO 2026 Table 23 '!$B:$B,"*,"&amp;$A39&amp;",*"),"")</f>
        <v/>
      </c>
      <c r="S39" t="str">
        <f>IFERROR((SUMIFS('AEO 2026 Table 23 '!V:V,'AEO 2026 Table 23 '!$B:$B,"*,"&amp;$A39&amp;",*")-SUMIFS('AEO 2026 Table 23 '!U:U,'AEO 2026 Table 23 '!$B:$B,"*,"&amp;$A39&amp;",*"))/SUMIFS('AEO 2026 Table 23 '!U:U,'AEO 2026 Table 23 '!$B:$B,"*,"&amp;$A39&amp;",*"),"")</f>
        <v/>
      </c>
      <c r="T39" t="str">
        <f>IFERROR((SUMIFS('AEO 2026 Table 23 '!W:W,'AEO 2026 Table 23 '!$B:$B,"*,"&amp;$A39&amp;",*")-SUMIFS('AEO 2026 Table 23 '!V:V,'AEO 2026 Table 23 '!$B:$B,"*,"&amp;$A39&amp;",*"))/SUMIFS('AEO 2026 Table 23 '!V:V,'AEO 2026 Table 23 '!$B:$B,"*,"&amp;$A39&amp;",*"),"")</f>
        <v/>
      </c>
      <c r="U39" t="str">
        <f>IFERROR((SUMIFS('AEO 2026 Table 23 '!X:X,'AEO 2026 Table 23 '!$B:$B,"*,"&amp;$A39&amp;",*")-SUMIFS('AEO 2026 Table 23 '!W:W,'AEO 2026 Table 23 '!$B:$B,"*,"&amp;$A39&amp;",*"))/SUMIFS('AEO 2026 Table 23 '!W:W,'AEO 2026 Table 23 '!$B:$B,"*,"&amp;$A39&amp;",*"),"")</f>
        <v/>
      </c>
      <c r="V39" t="str">
        <f>IFERROR((SUMIFS('AEO 2026 Table 23 '!Y:Y,'AEO 2026 Table 23 '!$B:$B,"*,"&amp;$A39&amp;",*")-SUMIFS('AEO 2026 Table 23 '!X:X,'AEO 2026 Table 23 '!$B:$B,"*,"&amp;$A39&amp;",*"))/SUMIFS('AEO 2026 Table 23 '!X:X,'AEO 2026 Table 23 '!$B:$B,"*,"&amp;$A39&amp;",*"),"")</f>
        <v/>
      </c>
      <c r="W39" t="str">
        <f>IFERROR((SUMIFS('AEO 2026 Table 23 '!Z:Z,'AEO 2026 Table 23 '!$B:$B,"*,"&amp;$A39&amp;",*")-SUMIFS('AEO 2026 Table 23 '!Y:Y,'AEO 2026 Table 23 '!$B:$B,"*,"&amp;$A39&amp;",*"))/SUMIFS('AEO 2026 Table 23 '!Y:Y,'AEO 2026 Table 23 '!$B:$B,"*,"&amp;$A39&amp;",*"),"")</f>
        <v/>
      </c>
      <c r="X39" t="str">
        <f>IFERROR((SUMIFS('AEO 2026 Table 23 '!AA:AA,'AEO 2026 Table 23 '!$B:$B,"*,"&amp;$A39&amp;",*")-SUMIFS('AEO 2026 Table 23 '!Z:Z,'AEO 2026 Table 23 '!$B:$B,"*,"&amp;$A39&amp;",*"))/SUMIFS('AEO 2026 Table 23 '!Z:Z,'AEO 2026 Table 23 '!$B:$B,"*,"&amp;$A39&amp;",*"),"")</f>
        <v/>
      </c>
      <c r="Y39" t="str">
        <f>IFERROR((SUMIFS('AEO 2026 Table 23 '!AB:AB,'AEO 2026 Table 23 '!$B:$B,"*,"&amp;$A39&amp;",*")-SUMIFS('AEO 2026 Table 23 '!AA:AA,'AEO 2026 Table 23 '!$B:$B,"*,"&amp;$A39&amp;",*"))/SUMIFS('AEO 2026 Table 23 '!AA:AA,'AEO 2026 Table 23 '!$B:$B,"*,"&amp;$A39&amp;",*"),"")</f>
        <v/>
      </c>
      <c r="Z39" t="str">
        <f>IFERROR((SUMIFS('AEO 2026 Table 23 '!AC:AC,'AEO 2026 Table 23 '!$B:$B,"*,"&amp;$A39&amp;",*")-SUMIFS('AEO 2026 Table 23 '!AB:AB,'AEO 2026 Table 23 '!$B:$B,"*,"&amp;$A39&amp;",*"))/SUMIFS('AEO 2026 Table 23 '!AB:AB,'AEO 2026 Table 23 '!$B:$B,"*,"&amp;$A39&amp;",*"),"")</f>
        <v/>
      </c>
      <c r="AA39" t="str">
        <f>IFERROR((SUMIFS('AEO 2026 Table 23 '!AD:AD,'AEO 2026 Table 23 '!$B:$B,"*,"&amp;$A39&amp;",*")-SUMIFS('AEO 2026 Table 23 '!AC:AC,'AEO 2026 Table 23 '!$B:$B,"*,"&amp;$A39&amp;",*"))/SUMIFS('AEO 2026 Table 23 '!AC:AC,'AEO 2026 Table 23 '!$B:$B,"*,"&amp;$A39&amp;",*"),"")</f>
        <v/>
      </c>
      <c r="AB39" t="str">
        <f>IFERROR((SUMIFS('AEO 2026 Table 23 '!AE:AE,'AEO 2026 Table 23 '!$B:$B,"*,"&amp;$A39&amp;",*")-SUMIFS('AEO 2026 Table 23 '!AD:AD,'AEO 2026 Table 23 '!$B:$B,"*,"&amp;$A39&amp;",*"))/SUMIFS('AEO 2026 Table 23 '!AD:AD,'AEO 2026 Table 23 '!$B:$B,"*,"&amp;$A39&amp;",*"),"")</f>
        <v/>
      </c>
      <c r="AC39" t="str">
        <f>IFERROR((SUMIFS('AEO 2026 Table 23 '!AF:AF,'AEO 2026 Table 23 '!$B:$B,"*,"&amp;$A39&amp;",*")-SUMIFS('AEO 2026 Table 23 '!AE:AE,'AEO 2026 Table 23 '!$B:$B,"*,"&amp;$A39&amp;",*"))/SUMIFS('AEO 2026 Table 23 '!AE:AE,'AEO 2026 Table 23 '!$B:$B,"*,"&amp;$A39&amp;",*"),"")</f>
        <v/>
      </c>
    </row>
    <row r="40" spans="1:29" x14ac:dyDescent="0.25">
      <c r="A40" t="s">
        <v>495</v>
      </c>
      <c r="B40">
        <f>IFERROR(SUMPRODUCT(--('BLS Table 2.11'!$L$1:$L$426=$A40),'BLS Table 2.11'!$J$1:$J$426,'BLS Table 2.11'!$K$1:$K$426)/SUMIFS('BLS Table 2.11'!$J$1:$J$426,'BLS Table 2.11'!$L$1:$L$426,$A40)/100,0)</f>
        <v>2.5814833891321144E-2</v>
      </c>
      <c r="D40" t="str">
        <f>IFERROR((SUMIFS('AEO 2026 Table 23 '!G:G,'AEO 2026 Table 23 '!$B:$B,"*,"&amp;$A40&amp;",*")-SUMIFS('AEO25 Table 23'!H:H,'AEO25 Table 23'!$B:$B,"*,"&amp;$A40&amp;",*"))/SUMIFS('AEO25 Table 23'!H:H,'AEO25 Table 23'!$B:$B,"*,"&amp;$A40&amp;",*"),"")</f>
        <v/>
      </c>
      <c r="E40" t="str">
        <f>IFERROR((SUMIFS('AEO 2026 Table 23 '!H:H,'AEO 2026 Table 23 '!$B:$B,"*,"&amp;$A40&amp;",*")-SUMIFS('AEO 2026 Table 23 '!G:G,'AEO 2026 Table 23 '!$B:$B,"*,"&amp;$A40&amp;",*"))/SUMIFS('AEO 2026 Table 23 '!G:G,'AEO 2026 Table 23 '!$B:$B,"*,"&amp;$A40&amp;",*"),"")</f>
        <v/>
      </c>
      <c r="F40" t="str">
        <f>IFERROR((SUMIFS('AEO 2026 Table 23 '!I:I,'AEO 2026 Table 23 '!$B:$B,"*,"&amp;$A40&amp;",*")-SUMIFS('AEO 2026 Table 23 '!H:H,'AEO 2026 Table 23 '!$B:$B,"*,"&amp;$A40&amp;",*"))/SUMIFS('AEO 2026 Table 23 '!H:H,'AEO 2026 Table 23 '!$B:$B,"*,"&amp;$A40&amp;",*"),"")</f>
        <v/>
      </c>
      <c r="G40" t="str">
        <f>IFERROR((SUMIFS('AEO 2026 Table 23 '!J:J,'AEO 2026 Table 23 '!$B:$B,"*,"&amp;$A40&amp;",*")-SUMIFS('AEO 2026 Table 23 '!I:I,'AEO 2026 Table 23 '!$B:$B,"*,"&amp;$A40&amp;",*"))/SUMIFS('AEO 2026 Table 23 '!I:I,'AEO 2026 Table 23 '!$B:$B,"*,"&amp;$A40&amp;",*"),"")</f>
        <v/>
      </c>
      <c r="H40" t="str">
        <f>IFERROR((SUMIFS('AEO 2026 Table 23 '!K:K,'AEO 2026 Table 23 '!$B:$B,"*,"&amp;$A40&amp;",*")-SUMIFS('AEO 2026 Table 23 '!J:J,'AEO 2026 Table 23 '!$B:$B,"*,"&amp;$A40&amp;",*"))/SUMIFS('AEO 2026 Table 23 '!J:J,'AEO 2026 Table 23 '!$B:$B,"*,"&amp;$A40&amp;",*"),"")</f>
        <v/>
      </c>
      <c r="I40" t="str">
        <f>IFERROR((SUMIFS('AEO 2026 Table 23 '!L:L,'AEO 2026 Table 23 '!$B:$B,"*,"&amp;$A40&amp;",*")-SUMIFS('AEO 2026 Table 23 '!K:K,'AEO 2026 Table 23 '!$B:$B,"*,"&amp;$A40&amp;",*"))/SUMIFS('AEO 2026 Table 23 '!K:K,'AEO 2026 Table 23 '!$B:$B,"*,"&amp;$A40&amp;",*"),"")</f>
        <v/>
      </c>
      <c r="J40" t="str">
        <f>IFERROR((SUMIFS('AEO 2026 Table 23 '!M:M,'AEO 2026 Table 23 '!$B:$B,"*,"&amp;$A40&amp;",*")-SUMIFS('AEO 2026 Table 23 '!L:L,'AEO 2026 Table 23 '!$B:$B,"*,"&amp;$A40&amp;",*"))/SUMIFS('AEO 2026 Table 23 '!L:L,'AEO 2026 Table 23 '!$B:$B,"*,"&amp;$A40&amp;",*"),"")</f>
        <v/>
      </c>
      <c r="K40" t="str">
        <f>IFERROR((SUMIFS('AEO 2026 Table 23 '!N:N,'AEO 2026 Table 23 '!$B:$B,"*,"&amp;$A40&amp;",*")-SUMIFS('AEO 2026 Table 23 '!M:M,'AEO 2026 Table 23 '!$B:$B,"*,"&amp;$A40&amp;",*"))/SUMIFS('AEO 2026 Table 23 '!M:M,'AEO 2026 Table 23 '!$B:$B,"*,"&amp;$A40&amp;",*"),"")</f>
        <v/>
      </c>
      <c r="L40" t="str">
        <f>IFERROR((SUMIFS('AEO 2026 Table 23 '!O:O,'AEO 2026 Table 23 '!$B:$B,"*,"&amp;$A40&amp;",*")-SUMIFS('AEO 2026 Table 23 '!N:N,'AEO 2026 Table 23 '!$B:$B,"*,"&amp;$A40&amp;",*"))/SUMIFS('AEO 2026 Table 23 '!N:N,'AEO 2026 Table 23 '!$B:$B,"*,"&amp;$A40&amp;",*"),"")</f>
        <v/>
      </c>
      <c r="M40" t="str">
        <f>IFERROR((SUMIFS('AEO 2026 Table 23 '!P:P,'AEO 2026 Table 23 '!$B:$B,"*,"&amp;$A40&amp;",*")-SUMIFS('AEO 2026 Table 23 '!O:O,'AEO 2026 Table 23 '!$B:$B,"*,"&amp;$A40&amp;",*"))/SUMIFS('AEO 2026 Table 23 '!O:O,'AEO 2026 Table 23 '!$B:$B,"*,"&amp;$A40&amp;",*"),"")</f>
        <v/>
      </c>
      <c r="N40" t="str">
        <f>IFERROR((SUMIFS('AEO 2026 Table 23 '!Q:Q,'AEO 2026 Table 23 '!$B:$B,"*,"&amp;$A40&amp;",*")-SUMIFS('AEO 2026 Table 23 '!P:P,'AEO 2026 Table 23 '!$B:$B,"*,"&amp;$A40&amp;",*"))/SUMIFS('AEO 2026 Table 23 '!P:P,'AEO 2026 Table 23 '!$B:$B,"*,"&amp;$A40&amp;",*"),"")</f>
        <v/>
      </c>
      <c r="O40" t="str">
        <f>IFERROR((SUMIFS('AEO 2026 Table 23 '!R:R,'AEO 2026 Table 23 '!$B:$B,"*,"&amp;$A40&amp;",*")-SUMIFS('AEO 2026 Table 23 '!Q:Q,'AEO 2026 Table 23 '!$B:$B,"*,"&amp;$A40&amp;",*"))/SUMIFS('AEO 2026 Table 23 '!Q:Q,'AEO 2026 Table 23 '!$B:$B,"*,"&amp;$A40&amp;",*"),"")</f>
        <v/>
      </c>
      <c r="P40" t="str">
        <f>IFERROR((SUMIFS('AEO 2026 Table 23 '!S:S,'AEO 2026 Table 23 '!$B:$B,"*,"&amp;$A40&amp;",*")-SUMIFS('AEO 2026 Table 23 '!R:R,'AEO 2026 Table 23 '!$B:$B,"*,"&amp;$A40&amp;",*"))/SUMIFS('AEO 2026 Table 23 '!R:R,'AEO 2026 Table 23 '!$B:$B,"*,"&amp;$A40&amp;",*"),"")</f>
        <v/>
      </c>
      <c r="Q40" t="str">
        <f>IFERROR((SUMIFS('AEO 2026 Table 23 '!T:T,'AEO 2026 Table 23 '!$B:$B,"*,"&amp;$A40&amp;",*")-SUMIFS('AEO 2026 Table 23 '!S:S,'AEO 2026 Table 23 '!$B:$B,"*,"&amp;$A40&amp;",*"))/SUMIFS('AEO 2026 Table 23 '!S:S,'AEO 2026 Table 23 '!$B:$B,"*,"&amp;$A40&amp;",*"),"")</f>
        <v/>
      </c>
      <c r="R40" t="str">
        <f>IFERROR((SUMIFS('AEO 2026 Table 23 '!U:U,'AEO 2026 Table 23 '!$B:$B,"*,"&amp;$A40&amp;",*")-SUMIFS('AEO 2026 Table 23 '!T:T,'AEO 2026 Table 23 '!$B:$B,"*,"&amp;$A40&amp;",*"))/SUMIFS('AEO 2026 Table 23 '!T:T,'AEO 2026 Table 23 '!$B:$B,"*,"&amp;$A40&amp;",*"),"")</f>
        <v/>
      </c>
      <c r="S40" t="str">
        <f>IFERROR((SUMIFS('AEO 2026 Table 23 '!V:V,'AEO 2026 Table 23 '!$B:$B,"*,"&amp;$A40&amp;",*")-SUMIFS('AEO 2026 Table 23 '!U:U,'AEO 2026 Table 23 '!$B:$B,"*,"&amp;$A40&amp;",*"))/SUMIFS('AEO 2026 Table 23 '!U:U,'AEO 2026 Table 23 '!$B:$B,"*,"&amp;$A40&amp;",*"),"")</f>
        <v/>
      </c>
      <c r="T40" t="str">
        <f>IFERROR((SUMIFS('AEO 2026 Table 23 '!W:W,'AEO 2026 Table 23 '!$B:$B,"*,"&amp;$A40&amp;",*")-SUMIFS('AEO 2026 Table 23 '!V:V,'AEO 2026 Table 23 '!$B:$B,"*,"&amp;$A40&amp;",*"))/SUMIFS('AEO 2026 Table 23 '!V:V,'AEO 2026 Table 23 '!$B:$B,"*,"&amp;$A40&amp;",*"),"")</f>
        <v/>
      </c>
      <c r="U40" t="str">
        <f>IFERROR((SUMIFS('AEO 2026 Table 23 '!X:X,'AEO 2026 Table 23 '!$B:$B,"*,"&amp;$A40&amp;",*")-SUMIFS('AEO 2026 Table 23 '!W:W,'AEO 2026 Table 23 '!$B:$B,"*,"&amp;$A40&amp;",*"))/SUMIFS('AEO 2026 Table 23 '!W:W,'AEO 2026 Table 23 '!$B:$B,"*,"&amp;$A40&amp;",*"),"")</f>
        <v/>
      </c>
      <c r="V40" t="str">
        <f>IFERROR((SUMIFS('AEO 2026 Table 23 '!Y:Y,'AEO 2026 Table 23 '!$B:$B,"*,"&amp;$A40&amp;",*")-SUMIFS('AEO 2026 Table 23 '!X:X,'AEO 2026 Table 23 '!$B:$B,"*,"&amp;$A40&amp;",*"))/SUMIFS('AEO 2026 Table 23 '!X:X,'AEO 2026 Table 23 '!$B:$B,"*,"&amp;$A40&amp;",*"),"")</f>
        <v/>
      </c>
      <c r="W40" t="str">
        <f>IFERROR((SUMIFS('AEO 2026 Table 23 '!Z:Z,'AEO 2026 Table 23 '!$B:$B,"*,"&amp;$A40&amp;",*")-SUMIFS('AEO 2026 Table 23 '!Y:Y,'AEO 2026 Table 23 '!$B:$B,"*,"&amp;$A40&amp;",*"))/SUMIFS('AEO 2026 Table 23 '!Y:Y,'AEO 2026 Table 23 '!$B:$B,"*,"&amp;$A40&amp;",*"),"")</f>
        <v/>
      </c>
      <c r="X40" t="str">
        <f>IFERROR((SUMIFS('AEO 2026 Table 23 '!AA:AA,'AEO 2026 Table 23 '!$B:$B,"*,"&amp;$A40&amp;",*")-SUMIFS('AEO 2026 Table 23 '!Z:Z,'AEO 2026 Table 23 '!$B:$B,"*,"&amp;$A40&amp;",*"))/SUMIFS('AEO 2026 Table 23 '!Z:Z,'AEO 2026 Table 23 '!$B:$B,"*,"&amp;$A40&amp;",*"),"")</f>
        <v/>
      </c>
      <c r="Y40" t="str">
        <f>IFERROR((SUMIFS('AEO 2026 Table 23 '!AB:AB,'AEO 2026 Table 23 '!$B:$B,"*,"&amp;$A40&amp;",*")-SUMIFS('AEO 2026 Table 23 '!AA:AA,'AEO 2026 Table 23 '!$B:$B,"*,"&amp;$A40&amp;",*"))/SUMIFS('AEO 2026 Table 23 '!AA:AA,'AEO 2026 Table 23 '!$B:$B,"*,"&amp;$A40&amp;",*"),"")</f>
        <v/>
      </c>
      <c r="Z40" t="str">
        <f>IFERROR((SUMIFS('AEO 2026 Table 23 '!AC:AC,'AEO 2026 Table 23 '!$B:$B,"*,"&amp;$A40&amp;",*")-SUMIFS('AEO 2026 Table 23 '!AB:AB,'AEO 2026 Table 23 '!$B:$B,"*,"&amp;$A40&amp;",*"))/SUMIFS('AEO 2026 Table 23 '!AB:AB,'AEO 2026 Table 23 '!$B:$B,"*,"&amp;$A40&amp;",*"),"")</f>
        <v/>
      </c>
      <c r="AA40" t="str">
        <f>IFERROR((SUMIFS('AEO 2026 Table 23 '!AD:AD,'AEO 2026 Table 23 '!$B:$B,"*,"&amp;$A40&amp;",*")-SUMIFS('AEO 2026 Table 23 '!AC:AC,'AEO 2026 Table 23 '!$B:$B,"*,"&amp;$A40&amp;",*"))/SUMIFS('AEO 2026 Table 23 '!AC:AC,'AEO 2026 Table 23 '!$B:$B,"*,"&amp;$A40&amp;",*"),"")</f>
        <v/>
      </c>
      <c r="AB40" t="str">
        <f>IFERROR((SUMIFS('AEO 2026 Table 23 '!AE:AE,'AEO 2026 Table 23 '!$B:$B,"*,"&amp;$A40&amp;",*")-SUMIFS('AEO 2026 Table 23 '!AD:AD,'AEO 2026 Table 23 '!$B:$B,"*,"&amp;$A40&amp;",*"))/SUMIFS('AEO 2026 Table 23 '!AD:AD,'AEO 2026 Table 23 '!$B:$B,"*,"&amp;$A40&amp;",*"),"")</f>
        <v/>
      </c>
      <c r="AC40" t="str">
        <f>IFERROR((SUMIFS('AEO 2026 Table 23 '!AF:AF,'AEO 2026 Table 23 '!$B:$B,"*,"&amp;$A40&amp;",*")-SUMIFS('AEO 2026 Table 23 '!AE:AE,'AEO 2026 Table 23 '!$B:$B,"*,"&amp;$A40&amp;",*"))/SUMIFS('AEO 2026 Table 23 '!AE:AE,'AEO 2026 Table 23 '!$B:$B,"*,"&amp;$A40&amp;",*"),"")</f>
        <v/>
      </c>
    </row>
    <row r="41" spans="1:29" x14ac:dyDescent="0.25">
      <c r="A41" t="s">
        <v>520</v>
      </c>
      <c r="B41">
        <f>IFERROR(SUMPRODUCT(--('BLS Table 2.11'!$L$1:$L$426=$A41),'BLS Table 2.11'!$J$1:$J$426,'BLS Table 2.11'!$K$1:$K$426)/SUMIFS('BLS Table 2.11'!$J$1:$J$426,'BLS Table 2.11'!$L$1:$L$426,$A41)/100,0)</f>
        <v>2.7999999999999997E-2</v>
      </c>
      <c r="D41" t="str">
        <f>IFERROR((SUMIFS('AEO 2026 Table 23 '!G:G,'AEO 2026 Table 23 '!$B:$B,"*,"&amp;$A41&amp;",*")-SUMIFS('AEO25 Table 23'!H:H,'AEO25 Table 23'!$B:$B,"*,"&amp;$A41&amp;",*"))/SUMIFS('AEO25 Table 23'!H:H,'AEO25 Table 23'!$B:$B,"*,"&amp;$A41&amp;",*"),"")</f>
        <v/>
      </c>
      <c r="E41" t="str">
        <f>IFERROR((SUMIFS('AEO 2026 Table 23 '!H:H,'AEO 2026 Table 23 '!$B:$B,"*,"&amp;$A41&amp;",*")-SUMIFS('AEO 2026 Table 23 '!G:G,'AEO 2026 Table 23 '!$B:$B,"*,"&amp;$A41&amp;",*"))/SUMIFS('AEO 2026 Table 23 '!G:G,'AEO 2026 Table 23 '!$B:$B,"*,"&amp;$A41&amp;",*"),"")</f>
        <v/>
      </c>
      <c r="F41" t="str">
        <f>IFERROR((SUMIFS('AEO 2026 Table 23 '!I:I,'AEO 2026 Table 23 '!$B:$B,"*,"&amp;$A41&amp;",*")-SUMIFS('AEO 2026 Table 23 '!H:H,'AEO 2026 Table 23 '!$B:$B,"*,"&amp;$A41&amp;",*"))/SUMIFS('AEO 2026 Table 23 '!H:H,'AEO 2026 Table 23 '!$B:$B,"*,"&amp;$A41&amp;",*"),"")</f>
        <v/>
      </c>
      <c r="G41" t="str">
        <f>IFERROR((SUMIFS('AEO 2026 Table 23 '!J:J,'AEO 2026 Table 23 '!$B:$B,"*,"&amp;$A41&amp;",*")-SUMIFS('AEO 2026 Table 23 '!I:I,'AEO 2026 Table 23 '!$B:$B,"*,"&amp;$A41&amp;",*"))/SUMIFS('AEO 2026 Table 23 '!I:I,'AEO 2026 Table 23 '!$B:$B,"*,"&amp;$A41&amp;",*"),"")</f>
        <v/>
      </c>
      <c r="H41" t="str">
        <f>IFERROR((SUMIFS('AEO 2026 Table 23 '!K:K,'AEO 2026 Table 23 '!$B:$B,"*,"&amp;$A41&amp;",*")-SUMIFS('AEO 2026 Table 23 '!J:J,'AEO 2026 Table 23 '!$B:$B,"*,"&amp;$A41&amp;",*"))/SUMIFS('AEO 2026 Table 23 '!J:J,'AEO 2026 Table 23 '!$B:$B,"*,"&amp;$A41&amp;",*"),"")</f>
        <v/>
      </c>
      <c r="I41" t="str">
        <f>IFERROR((SUMIFS('AEO 2026 Table 23 '!L:L,'AEO 2026 Table 23 '!$B:$B,"*,"&amp;$A41&amp;",*")-SUMIFS('AEO 2026 Table 23 '!K:K,'AEO 2026 Table 23 '!$B:$B,"*,"&amp;$A41&amp;",*"))/SUMIFS('AEO 2026 Table 23 '!K:K,'AEO 2026 Table 23 '!$B:$B,"*,"&amp;$A41&amp;",*"),"")</f>
        <v/>
      </c>
      <c r="J41" t="str">
        <f>IFERROR((SUMIFS('AEO 2026 Table 23 '!M:M,'AEO 2026 Table 23 '!$B:$B,"*,"&amp;$A41&amp;",*")-SUMIFS('AEO 2026 Table 23 '!L:L,'AEO 2026 Table 23 '!$B:$B,"*,"&amp;$A41&amp;",*"))/SUMIFS('AEO 2026 Table 23 '!L:L,'AEO 2026 Table 23 '!$B:$B,"*,"&amp;$A41&amp;",*"),"")</f>
        <v/>
      </c>
      <c r="K41" t="str">
        <f>IFERROR((SUMIFS('AEO 2026 Table 23 '!N:N,'AEO 2026 Table 23 '!$B:$B,"*,"&amp;$A41&amp;",*")-SUMIFS('AEO 2026 Table 23 '!M:M,'AEO 2026 Table 23 '!$B:$B,"*,"&amp;$A41&amp;",*"))/SUMIFS('AEO 2026 Table 23 '!M:M,'AEO 2026 Table 23 '!$B:$B,"*,"&amp;$A41&amp;",*"),"")</f>
        <v/>
      </c>
      <c r="L41" t="str">
        <f>IFERROR((SUMIFS('AEO 2026 Table 23 '!O:O,'AEO 2026 Table 23 '!$B:$B,"*,"&amp;$A41&amp;",*")-SUMIFS('AEO 2026 Table 23 '!N:N,'AEO 2026 Table 23 '!$B:$B,"*,"&amp;$A41&amp;",*"))/SUMIFS('AEO 2026 Table 23 '!N:N,'AEO 2026 Table 23 '!$B:$B,"*,"&amp;$A41&amp;",*"),"")</f>
        <v/>
      </c>
      <c r="M41" t="str">
        <f>IFERROR((SUMIFS('AEO 2026 Table 23 '!P:P,'AEO 2026 Table 23 '!$B:$B,"*,"&amp;$A41&amp;",*")-SUMIFS('AEO 2026 Table 23 '!O:O,'AEO 2026 Table 23 '!$B:$B,"*,"&amp;$A41&amp;",*"))/SUMIFS('AEO 2026 Table 23 '!O:O,'AEO 2026 Table 23 '!$B:$B,"*,"&amp;$A41&amp;",*"),"")</f>
        <v/>
      </c>
      <c r="N41" t="str">
        <f>IFERROR((SUMIFS('AEO 2026 Table 23 '!Q:Q,'AEO 2026 Table 23 '!$B:$B,"*,"&amp;$A41&amp;",*")-SUMIFS('AEO 2026 Table 23 '!P:P,'AEO 2026 Table 23 '!$B:$B,"*,"&amp;$A41&amp;",*"))/SUMIFS('AEO 2026 Table 23 '!P:P,'AEO 2026 Table 23 '!$B:$B,"*,"&amp;$A41&amp;",*"),"")</f>
        <v/>
      </c>
      <c r="O41" t="str">
        <f>IFERROR((SUMIFS('AEO 2026 Table 23 '!R:R,'AEO 2026 Table 23 '!$B:$B,"*,"&amp;$A41&amp;",*")-SUMIFS('AEO 2026 Table 23 '!Q:Q,'AEO 2026 Table 23 '!$B:$B,"*,"&amp;$A41&amp;",*"))/SUMIFS('AEO 2026 Table 23 '!Q:Q,'AEO 2026 Table 23 '!$B:$B,"*,"&amp;$A41&amp;",*"),"")</f>
        <v/>
      </c>
      <c r="P41" t="str">
        <f>IFERROR((SUMIFS('AEO 2026 Table 23 '!S:S,'AEO 2026 Table 23 '!$B:$B,"*,"&amp;$A41&amp;",*")-SUMIFS('AEO 2026 Table 23 '!R:R,'AEO 2026 Table 23 '!$B:$B,"*,"&amp;$A41&amp;",*"))/SUMIFS('AEO 2026 Table 23 '!R:R,'AEO 2026 Table 23 '!$B:$B,"*,"&amp;$A41&amp;",*"),"")</f>
        <v/>
      </c>
      <c r="Q41" t="str">
        <f>IFERROR((SUMIFS('AEO 2026 Table 23 '!T:T,'AEO 2026 Table 23 '!$B:$B,"*,"&amp;$A41&amp;",*")-SUMIFS('AEO 2026 Table 23 '!S:S,'AEO 2026 Table 23 '!$B:$B,"*,"&amp;$A41&amp;",*"))/SUMIFS('AEO 2026 Table 23 '!S:S,'AEO 2026 Table 23 '!$B:$B,"*,"&amp;$A41&amp;",*"),"")</f>
        <v/>
      </c>
      <c r="R41" t="str">
        <f>IFERROR((SUMIFS('AEO 2026 Table 23 '!U:U,'AEO 2026 Table 23 '!$B:$B,"*,"&amp;$A41&amp;",*")-SUMIFS('AEO 2026 Table 23 '!T:T,'AEO 2026 Table 23 '!$B:$B,"*,"&amp;$A41&amp;",*"))/SUMIFS('AEO 2026 Table 23 '!T:T,'AEO 2026 Table 23 '!$B:$B,"*,"&amp;$A41&amp;",*"),"")</f>
        <v/>
      </c>
      <c r="S41" t="str">
        <f>IFERROR((SUMIFS('AEO 2026 Table 23 '!V:V,'AEO 2026 Table 23 '!$B:$B,"*,"&amp;$A41&amp;",*")-SUMIFS('AEO 2026 Table 23 '!U:U,'AEO 2026 Table 23 '!$B:$B,"*,"&amp;$A41&amp;",*"))/SUMIFS('AEO 2026 Table 23 '!U:U,'AEO 2026 Table 23 '!$B:$B,"*,"&amp;$A41&amp;",*"),"")</f>
        <v/>
      </c>
      <c r="T41" t="str">
        <f>IFERROR((SUMIFS('AEO 2026 Table 23 '!W:W,'AEO 2026 Table 23 '!$B:$B,"*,"&amp;$A41&amp;",*")-SUMIFS('AEO 2026 Table 23 '!V:V,'AEO 2026 Table 23 '!$B:$B,"*,"&amp;$A41&amp;",*"))/SUMIFS('AEO 2026 Table 23 '!V:V,'AEO 2026 Table 23 '!$B:$B,"*,"&amp;$A41&amp;",*"),"")</f>
        <v/>
      </c>
      <c r="U41" t="str">
        <f>IFERROR((SUMIFS('AEO 2026 Table 23 '!X:X,'AEO 2026 Table 23 '!$B:$B,"*,"&amp;$A41&amp;",*")-SUMIFS('AEO 2026 Table 23 '!W:W,'AEO 2026 Table 23 '!$B:$B,"*,"&amp;$A41&amp;",*"))/SUMIFS('AEO 2026 Table 23 '!W:W,'AEO 2026 Table 23 '!$B:$B,"*,"&amp;$A41&amp;",*"),"")</f>
        <v/>
      </c>
      <c r="V41" t="str">
        <f>IFERROR((SUMIFS('AEO 2026 Table 23 '!Y:Y,'AEO 2026 Table 23 '!$B:$B,"*,"&amp;$A41&amp;",*")-SUMIFS('AEO 2026 Table 23 '!X:X,'AEO 2026 Table 23 '!$B:$B,"*,"&amp;$A41&amp;",*"))/SUMIFS('AEO 2026 Table 23 '!X:X,'AEO 2026 Table 23 '!$B:$B,"*,"&amp;$A41&amp;",*"),"")</f>
        <v/>
      </c>
      <c r="W41" t="str">
        <f>IFERROR((SUMIFS('AEO 2026 Table 23 '!Z:Z,'AEO 2026 Table 23 '!$B:$B,"*,"&amp;$A41&amp;",*")-SUMIFS('AEO 2026 Table 23 '!Y:Y,'AEO 2026 Table 23 '!$B:$B,"*,"&amp;$A41&amp;",*"))/SUMIFS('AEO 2026 Table 23 '!Y:Y,'AEO 2026 Table 23 '!$B:$B,"*,"&amp;$A41&amp;",*"),"")</f>
        <v/>
      </c>
      <c r="X41" t="str">
        <f>IFERROR((SUMIFS('AEO 2026 Table 23 '!AA:AA,'AEO 2026 Table 23 '!$B:$B,"*,"&amp;$A41&amp;",*")-SUMIFS('AEO 2026 Table 23 '!Z:Z,'AEO 2026 Table 23 '!$B:$B,"*,"&amp;$A41&amp;",*"))/SUMIFS('AEO 2026 Table 23 '!Z:Z,'AEO 2026 Table 23 '!$B:$B,"*,"&amp;$A41&amp;",*"),"")</f>
        <v/>
      </c>
      <c r="Y41" t="str">
        <f>IFERROR((SUMIFS('AEO 2026 Table 23 '!AB:AB,'AEO 2026 Table 23 '!$B:$B,"*,"&amp;$A41&amp;",*")-SUMIFS('AEO 2026 Table 23 '!AA:AA,'AEO 2026 Table 23 '!$B:$B,"*,"&amp;$A41&amp;",*"))/SUMIFS('AEO 2026 Table 23 '!AA:AA,'AEO 2026 Table 23 '!$B:$B,"*,"&amp;$A41&amp;",*"),"")</f>
        <v/>
      </c>
      <c r="Z41" t="str">
        <f>IFERROR((SUMIFS('AEO 2026 Table 23 '!AC:AC,'AEO 2026 Table 23 '!$B:$B,"*,"&amp;$A41&amp;",*")-SUMIFS('AEO 2026 Table 23 '!AB:AB,'AEO 2026 Table 23 '!$B:$B,"*,"&amp;$A41&amp;",*"))/SUMIFS('AEO 2026 Table 23 '!AB:AB,'AEO 2026 Table 23 '!$B:$B,"*,"&amp;$A41&amp;",*"),"")</f>
        <v/>
      </c>
      <c r="AA41" t="str">
        <f>IFERROR((SUMIFS('AEO 2026 Table 23 '!AD:AD,'AEO 2026 Table 23 '!$B:$B,"*,"&amp;$A41&amp;",*")-SUMIFS('AEO 2026 Table 23 '!AC:AC,'AEO 2026 Table 23 '!$B:$B,"*,"&amp;$A41&amp;",*"))/SUMIFS('AEO 2026 Table 23 '!AC:AC,'AEO 2026 Table 23 '!$B:$B,"*,"&amp;$A41&amp;",*"),"")</f>
        <v/>
      </c>
      <c r="AB41" t="str">
        <f>IFERROR((SUMIFS('AEO 2026 Table 23 '!AE:AE,'AEO 2026 Table 23 '!$B:$B,"*,"&amp;$A41&amp;",*")-SUMIFS('AEO 2026 Table 23 '!AD:AD,'AEO 2026 Table 23 '!$B:$B,"*,"&amp;$A41&amp;",*"))/SUMIFS('AEO 2026 Table 23 '!AD:AD,'AEO 2026 Table 23 '!$B:$B,"*,"&amp;$A41&amp;",*"),"")</f>
        <v/>
      </c>
      <c r="AC41" t="str">
        <f>IFERROR((SUMIFS('AEO 2026 Table 23 '!AF:AF,'AEO 2026 Table 23 '!$B:$B,"*,"&amp;$A41&amp;",*")-SUMIFS('AEO 2026 Table 23 '!AE:AE,'AEO 2026 Table 23 '!$B:$B,"*,"&amp;$A41&amp;",*"))/SUMIFS('AEO 2026 Table 23 '!AE:AE,'AEO 2026 Table 23 '!$B:$B,"*,"&amp;$A41&amp;",*"),"")</f>
        <v/>
      </c>
    </row>
    <row r="42" spans="1:29" x14ac:dyDescent="0.25">
      <c r="A42" t="s">
        <v>871</v>
      </c>
      <c r="B42">
        <f>IFERROR(SUMPRODUCT(--('BLS Table 2.11'!$L$1:$L$426=$A42),'BLS Table 2.11'!$J$1:$J$426,'BLS Table 2.11'!$K$1:$K$426)/SUMIFS('BLS Table 2.11'!$J$1:$J$426,'BLS Table 2.11'!$L$1:$L$426,$A42)/100,0)</f>
        <v>2.3E-2</v>
      </c>
      <c r="D42" t="str">
        <f>IFERROR((SUMIFS('AEO 2026 Table 23 '!G:G,'AEO 2026 Table 23 '!$B:$B,"*,"&amp;$A42&amp;",*")-SUMIFS('AEO25 Table 23'!H:H,'AEO25 Table 23'!$B:$B,"*,"&amp;$A42&amp;",*"))/SUMIFS('AEO25 Table 23'!H:H,'AEO25 Table 23'!$B:$B,"*,"&amp;$A42&amp;",*"),"")</f>
        <v/>
      </c>
      <c r="E42" t="str">
        <f>IFERROR((SUMIFS('AEO 2026 Table 23 '!H:H,'AEO 2026 Table 23 '!$B:$B,"*,"&amp;$A42&amp;",*")-SUMIFS('AEO 2026 Table 23 '!G:G,'AEO 2026 Table 23 '!$B:$B,"*,"&amp;$A42&amp;",*"))/SUMIFS('AEO 2026 Table 23 '!G:G,'AEO 2026 Table 23 '!$B:$B,"*,"&amp;$A42&amp;",*"),"")</f>
        <v/>
      </c>
      <c r="F42" t="str">
        <f>IFERROR((SUMIFS('AEO 2026 Table 23 '!I:I,'AEO 2026 Table 23 '!$B:$B,"*,"&amp;$A42&amp;",*")-SUMIFS('AEO 2026 Table 23 '!H:H,'AEO 2026 Table 23 '!$B:$B,"*,"&amp;$A42&amp;",*"))/SUMIFS('AEO 2026 Table 23 '!H:H,'AEO 2026 Table 23 '!$B:$B,"*,"&amp;$A42&amp;",*"),"")</f>
        <v/>
      </c>
      <c r="G42" t="str">
        <f>IFERROR((SUMIFS('AEO 2026 Table 23 '!J:J,'AEO 2026 Table 23 '!$B:$B,"*,"&amp;$A42&amp;",*")-SUMIFS('AEO 2026 Table 23 '!I:I,'AEO 2026 Table 23 '!$B:$B,"*,"&amp;$A42&amp;",*"))/SUMIFS('AEO 2026 Table 23 '!I:I,'AEO 2026 Table 23 '!$B:$B,"*,"&amp;$A42&amp;",*"),"")</f>
        <v/>
      </c>
      <c r="H42" t="str">
        <f>IFERROR((SUMIFS('AEO 2026 Table 23 '!K:K,'AEO 2026 Table 23 '!$B:$B,"*,"&amp;$A42&amp;",*")-SUMIFS('AEO 2026 Table 23 '!J:J,'AEO 2026 Table 23 '!$B:$B,"*,"&amp;$A42&amp;",*"))/SUMIFS('AEO 2026 Table 23 '!J:J,'AEO 2026 Table 23 '!$B:$B,"*,"&amp;$A42&amp;",*"),"")</f>
        <v/>
      </c>
      <c r="I42" t="str">
        <f>IFERROR((SUMIFS('AEO 2026 Table 23 '!L:L,'AEO 2026 Table 23 '!$B:$B,"*,"&amp;$A42&amp;",*")-SUMIFS('AEO 2026 Table 23 '!K:K,'AEO 2026 Table 23 '!$B:$B,"*,"&amp;$A42&amp;",*"))/SUMIFS('AEO 2026 Table 23 '!K:K,'AEO 2026 Table 23 '!$B:$B,"*,"&amp;$A42&amp;",*"),"")</f>
        <v/>
      </c>
      <c r="J42" t="str">
        <f>IFERROR((SUMIFS('AEO 2026 Table 23 '!M:M,'AEO 2026 Table 23 '!$B:$B,"*,"&amp;$A42&amp;",*")-SUMIFS('AEO 2026 Table 23 '!L:L,'AEO 2026 Table 23 '!$B:$B,"*,"&amp;$A42&amp;",*"))/SUMIFS('AEO 2026 Table 23 '!L:L,'AEO 2026 Table 23 '!$B:$B,"*,"&amp;$A42&amp;",*"),"")</f>
        <v/>
      </c>
      <c r="K42" t="str">
        <f>IFERROR((SUMIFS('AEO 2026 Table 23 '!N:N,'AEO 2026 Table 23 '!$B:$B,"*,"&amp;$A42&amp;",*")-SUMIFS('AEO 2026 Table 23 '!M:M,'AEO 2026 Table 23 '!$B:$B,"*,"&amp;$A42&amp;",*"))/SUMIFS('AEO 2026 Table 23 '!M:M,'AEO 2026 Table 23 '!$B:$B,"*,"&amp;$A42&amp;",*"),"")</f>
        <v/>
      </c>
      <c r="L42" t="str">
        <f>IFERROR((SUMIFS('AEO 2026 Table 23 '!O:O,'AEO 2026 Table 23 '!$B:$B,"*,"&amp;$A42&amp;",*")-SUMIFS('AEO 2026 Table 23 '!N:N,'AEO 2026 Table 23 '!$B:$B,"*,"&amp;$A42&amp;",*"))/SUMIFS('AEO 2026 Table 23 '!N:N,'AEO 2026 Table 23 '!$B:$B,"*,"&amp;$A42&amp;",*"),"")</f>
        <v/>
      </c>
      <c r="M42" t="str">
        <f>IFERROR((SUMIFS('AEO 2026 Table 23 '!P:P,'AEO 2026 Table 23 '!$B:$B,"*,"&amp;$A42&amp;",*")-SUMIFS('AEO 2026 Table 23 '!O:O,'AEO 2026 Table 23 '!$B:$B,"*,"&amp;$A42&amp;",*"))/SUMIFS('AEO 2026 Table 23 '!O:O,'AEO 2026 Table 23 '!$B:$B,"*,"&amp;$A42&amp;",*"),"")</f>
        <v/>
      </c>
      <c r="N42" t="str">
        <f>IFERROR((SUMIFS('AEO 2026 Table 23 '!Q:Q,'AEO 2026 Table 23 '!$B:$B,"*,"&amp;$A42&amp;",*")-SUMIFS('AEO 2026 Table 23 '!P:P,'AEO 2026 Table 23 '!$B:$B,"*,"&amp;$A42&amp;",*"))/SUMIFS('AEO 2026 Table 23 '!P:P,'AEO 2026 Table 23 '!$B:$B,"*,"&amp;$A42&amp;",*"),"")</f>
        <v/>
      </c>
      <c r="O42" t="str">
        <f>IFERROR((SUMIFS('AEO 2026 Table 23 '!R:R,'AEO 2026 Table 23 '!$B:$B,"*,"&amp;$A42&amp;",*")-SUMIFS('AEO 2026 Table 23 '!Q:Q,'AEO 2026 Table 23 '!$B:$B,"*,"&amp;$A42&amp;",*"))/SUMIFS('AEO 2026 Table 23 '!Q:Q,'AEO 2026 Table 23 '!$B:$B,"*,"&amp;$A42&amp;",*"),"")</f>
        <v/>
      </c>
      <c r="P42" t="str">
        <f>IFERROR((SUMIFS('AEO 2026 Table 23 '!S:S,'AEO 2026 Table 23 '!$B:$B,"*,"&amp;$A42&amp;",*")-SUMIFS('AEO 2026 Table 23 '!R:R,'AEO 2026 Table 23 '!$B:$B,"*,"&amp;$A42&amp;",*"))/SUMIFS('AEO 2026 Table 23 '!R:R,'AEO 2026 Table 23 '!$B:$B,"*,"&amp;$A42&amp;",*"),"")</f>
        <v/>
      </c>
      <c r="Q42" t="str">
        <f>IFERROR((SUMIFS('AEO 2026 Table 23 '!T:T,'AEO 2026 Table 23 '!$B:$B,"*,"&amp;$A42&amp;",*")-SUMIFS('AEO 2026 Table 23 '!S:S,'AEO 2026 Table 23 '!$B:$B,"*,"&amp;$A42&amp;",*"))/SUMIFS('AEO 2026 Table 23 '!S:S,'AEO 2026 Table 23 '!$B:$B,"*,"&amp;$A42&amp;",*"),"")</f>
        <v/>
      </c>
      <c r="R42" t="str">
        <f>IFERROR((SUMIFS('AEO 2026 Table 23 '!U:U,'AEO 2026 Table 23 '!$B:$B,"*,"&amp;$A42&amp;",*")-SUMIFS('AEO 2026 Table 23 '!T:T,'AEO 2026 Table 23 '!$B:$B,"*,"&amp;$A42&amp;",*"))/SUMIFS('AEO 2026 Table 23 '!T:T,'AEO 2026 Table 23 '!$B:$B,"*,"&amp;$A42&amp;",*"),"")</f>
        <v/>
      </c>
      <c r="S42" t="str">
        <f>IFERROR((SUMIFS('AEO 2026 Table 23 '!V:V,'AEO 2026 Table 23 '!$B:$B,"*,"&amp;$A42&amp;",*")-SUMIFS('AEO 2026 Table 23 '!U:U,'AEO 2026 Table 23 '!$B:$B,"*,"&amp;$A42&amp;",*"))/SUMIFS('AEO 2026 Table 23 '!U:U,'AEO 2026 Table 23 '!$B:$B,"*,"&amp;$A42&amp;",*"),"")</f>
        <v/>
      </c>
      <c r="T42" t="str">
        <f>IFERROR((SUMIFS('AEO 2026 Table 23 '!W:W,'AEO 2026 Table 23 '!$B:$B,"*,"&amp;$A42&amp;",*")-SUMIFS('AEO 2026 Table 23 '!V:V,'AEO 2026 Table 23 '!$B:$B,"*,"&amp;$A42&amp;",*"))/SUMIFS('AEO 2026 Table 23 '!V:V,'AEO 2026 Table 23 '!$B:$B,"*,"&amp;$A42&amp;",*"),"")</f>
        <v/>
      </c>
      <c r="U42" t="str">
        <f>IFERROR((SUMIFS('AEO 2026 Table 23 '!X:X,'AEO 2026 Table 23 '!$B:$B,"*,"&amp;$A42&amp;",*")-SUMIFS('AEO 2026 Table 23 '!W:W,'AEO 2026 Table 23 '!$B:$B,"*,"&amp;$A42&amp;",*"))/SUMIFS('AEO 2026 Table 23 '!W:W,'AEO 2026 Table 23 '!$B:$B,"*,"&amp;$A42&amp;",*"),"")</f>
        <v/>
      </c>
      <c r="V42" t="str">
        <f>IFERROR((SUMIFS('AEO 2026 Table 23 '!Y:Y,'AEO 2026 Table 23 '!$B:$B,"*,"&amp;$A42&amp;",*")-SUMIFS('AEO 2026 Table 23 '!X:X,'AEO 2026 Table 23 '!$B:$B,"*,"&amp;$A42&amp;",*"))/SUMIFS('AEO 2026 Table 23 '!X:X,'AEO 2026 Table 23 '!$B:$B,"*,"&amp;$A42&amp;",*"),"")</f>
        <v/>
      </c>
      <c r="W42" t="str">
        <f>IFERROR((SUMIFS('AEO 2026 Table 23 '!Z:Z,'AEO 2026 Table 23 '!$B:$B,"*,"&amp;$A42&amp;",*")-SUMIFS('AEO 2026 Table 23 '!Y:Y,'AEO 2026 Table 23 '!$B:$B,"*,"&amp;$A42&amp;",*"))/SUMIFS('AEO 2026 Table 23 '!Y:Y,'AEO 2026 Table 23 '!$B:$B,"*,"&amp;$A42&amp;",*"),"")</f>
        <v/>
      </c>
      <c r="X42" t="str">
        <f>IFERROR((SUMIFS('AEO 2026 Table 23 '!AA:AA,'AEO 2026 Table 23 '!$B:$B,"*,"&amp;$A42&amp;",*")-SUMIFS('AEO 2026 Table 23 '!Z:Z,'AEO 2026 Table 23 '!$B:$B,"*,"&amp;$A42&amp;",*"))/SUMIFS('AEO 2026 Table 23 '!Z:Z,'AEO 2026 Table 23 '!$B:$B,"*,"&amp;$A42&amp;",*"),"")</f>
        <v/>
      </c>
      <c r="Y42" t="str">
        <f>IFERROR((SUMIFS('AEO 2026 Table 23 '!AB:AB,'AEO 2026 Table 23 '!$B:$B,"*,"&amp;$A42&amp;",*")-SUMIFS('AEO 2026 Table 23 '!AA:AA,'AEO 2026 Table 23 '!$B:$B,"*,"&amp;$A42&amp;",*"))/SUMIFS('AEO 2026 Table 23 '!AA:AA,'AEO 2026 Table 23 '!$B:$B,"*,"&amp;$A42&amp;",*"),"")</f>
        <v/>
      </c>
      <c r="Z42" t="str">
        <f>IFERROR((SUMIFS('AEO 2026 Table 23 '!AC:AC,'AEO 2026 Table 23 '!$B:$B,"*,"&amp;$A42&amp;",*")-SUMIFS('AEO 2026 Table 23 '!AB:AB,'AEO 2026 Table 23 '!$B:$B,"*,"&amp;$A42&amp;",*"))/SUMIFS('AEO 2026 Table 23 '!AB:AB,'AEO 2026 Table 23 '!$B:$B,"*,"&amp;$A42&amp;",*"),"")</f>
        <v/>
      </c>
      <c r="AA42" t="str">
        <f>IFERROR((SUMIFS('AEO 2026 Table 23 '!AD:AD,'AEO 2026 Table 23 '!$B:$B,"*,"&amp;$A42&amp;",*")-SUMIFS('AEO 2026 Table 23 '!AC:AC,'AEO 2026 Table 23 '!$B:$B,"*,"&amp;$A42&amp;",*"))/SUMIFS('AEO 2026 Table 23 '!AC:AC,'AEO 2026 Table 23 '!$B:$B,"*,"&amp;$A42&amp;",*"),"")</f>
        <v/>
      </c>
      <c r="AB42" t="str">
        <f>IFERROR((SUMIFS('AEO 2026 Table 23 '!AE:AE,'AEO 2026 Table 23 '!$B:$B,"*,"&amp;$A42&amp;",*")-SUMIFS('AEO 2026 Table 23 '!AD:AD,'AEO 2026 Table 23 '!$B:$B,"*,"&amp;$A42&amp;",*"))/SUMIFS('AEO 2026 Table 23 '!AD:AD,'AEO 2026 Table 23 '!$B:$B,"*,"&amp;$A42&amp;",*"),"")</f>
        <v/>
      </c>
      <c r="AC42" t="str">
        <f>IFERROR((SUMIFS('AEO 2026 Table 23 '!AF:AF,'AEO 2026 Table 23 '!$B:$B,"*,"&amp;$A42&amp;",*")-SUMIFS('AEO 2026 Table 23 '!AE:AE,'AEO 2026 Table 23 '!$B:$B,"*,"&amp;$A42&amp;",*"))/SUMIFS('AEO 2026 Table 23 '!AE:AE,'AEO 2026 Table 23 '!$B:$B,"*,"&amp;$A42&amp;",*"),"")</f>
        <v/>
      </c>
    </row>
    <row r="43" spans="1:29" x14ac:dyDescent="0.25">
      <c r="A43" t="s">
        <v>531</v>
      </c>
      <c r="B43">
        <f>IFERROR(SUMPRODUCT(--('BLS Table 2.11'!$L$1:$L$426=$A43),'BLS Table 2.11'!$J$1:$J$426,'BLS Table 2.11'!$K$1:$K$426)/SUMIFS('BLS Table 2.11'!$J$1:$J$426,'BLS Table 2.11'!$L$1:$L$426,$A43)/100,0)</f>
        <v>3.6673081381868769E-2</v>
      </c>
      <c r="D43" t="str">
        <f>IFERROR((SUMIFS('AEO 2026 Table 23 '!G:G,'AEO 2026 Table 23 '!$B:$B,"*,"&amp;$A43&amp;",*")-SUMIFS('AEO25 Table 23'!H:H,'AEO25 Table 23'!$B:$B,"*,"&amp;$A43&amp;",*"))/SUMIFS('AEO25 Table 23'!H:H,'AEO25 Table 23'!$B:$B,"*,"&amp;$A43&amp;",*"),"")</f>
        <v/>
      </c>
      <c r="E43" t="str">
        <f>IFERROR((SUMIFS('AEO 2026 Table 23 '!H:H,'AEO 2026 Table 23 '!$B:$B,"*,"&amp;$A43&amp;",*")-SUMIFS('AEO 2026 Table 23 '!G:G,'AEO 2026 Table 23 '!$B:$B,"*,"&amp;$A43&amp;",*"))/SUMIFS('AEO 2026 Table 23 '!G:G,'AEO 2026 Table 23 '!$B:$B,"*,"&amp;$A43&amp;",*"),"")</f>
        <v/>
      </c>
      <c r="F43" t="str">
        <f>IFERROR((SUMIFS('AEO 2026 Table 23 '!I:I,'AEO 2026 Table 23 '!$B:$B,"*,"&amp;$A43&amp;",*")-SUMIFS('AEO 2026 Table 23 '!H:H,'AEO 2026 Table 23 '!$B:$B,"*,"&amp;$A43&amp;",*"))/SUMIFS('AEO 2026 Table 23 '!H:H,'AEO 2026 Table 23 '!$B:$B,"*,"&amp;$A43&amp;",*"),"")</f>
        <v/>
      </c>
      <c r="G43" t="str">
        <f>IFERROR((SUMIFS('AEO 2026 Table 23 '!J:J,'AEO 2026 Table 23 '!$B:$B,"*,"&amp;$A43&amp;",*")-SUMIFS('AEO 2026 Table 23 '!I:I,'AEO 2026 Table 23 '!$B:$B,"*,"&amp;$A43&amp;",*"))/SUMIFS('AEO 2026 Table 23 '!I:I,'AEO 2026 Table 23 '!$B:$B,"*,"&amp;$A43&amp;",*"),"")</f>
        <v/>
      </c>
      <c r="H43" t="str">
        <f>IFERROR((SUMIFS('AEO 2026 Table 23 '!K:K,'AEO 2026 Table 23 '!$B:$B,"*,"&amp;$A43&amp;",*")-SUMIFS('AEO 2026 Table 23 '!J:J,'AEO 2026 Table 23 '!$B:$B,"*,"&amp;$A43&amp;",*"))/SUMIFS('AEO 2026 Table 23 '!J:J,'AEO 2026 Table 23 '!$B:$B,"*,"&amp;$A43&amp;",*"),"")</f>
        <v/>
      </c>
      <c r="I43" t="str">
        <f>IFERROR((SUMIFS('AEO 2026 Table 23 '!L:L,'AEO 2026 Table 23 '!$B:$B,"*,"&amp;$A43&amp;",*")-SUMIFS('AEO 2026 Table 23 '!K:K,'AEO 2026 Table 23 '!$B:$B,"*,"&amp;$A43&amp;",*"))/SUMIFS('AEO 2026 Table 23 '!K:K,'AEO 2026 Table 23 '!$B:$B,"*,"&amp;$A43&amp;",*"),"")</f>
        <v/>
      </c>
      <c r="J43" t="str">
        <f>IFERROR((SUMIFS('AEO 2026 Table 23 '!M:M,'AEO 2026 Table 23 '!$B:$B,"*,"&amp;$A43&amp;",*")-SUMIFS('AEO 2026 Table 23 '!L:L,'AEO 2026 Table 23 '!$B:$B,"*,"&amp;$A43&amp;",*"))/SUMIFS('AEO 2026 Table 23 '!L:L,'AEO 2026 Table 23 '!$B:$B,"*,"&amp;$A43&amp;",*"),"")</f>
        <v/>
      </c>
      <c r="K43" t="str">
        <f>IFERROR((SUMIFS('AEO 2026 Table 23 '!N:N,'AEO 2026 Table 23 '!$B:$B,"*,"&amp;$A43&amp;",*")-SUMIFS('AEO 2026 Table 23 '!M:M,'AEO 2026 Table 23 '!$B:$B,"*,"&amp;$A43&amp;",*"))/SUMIFS('AEO 2026 Table 23 '!M:M,'AEO 2026 Table 23 '!$B:$B,"*,"&amp;$A43&amp;",*"),"")</f>
        <v/>
      </c>
      <c r="L43" t="str">
        <f>IFERROR((SUMIFS('AEO 2026 Table 23 '!O:O,'AEO 2026 Table 23 '!$B:$B,"*,"&amp;$A43&amp;",*")-SUMIFS('AEO 2026 Table 23 '!N:N,'AEO 2026 Table 23 '!$B:$B,"*,"&amp;$A43&amp;",*"))/SUMIFS('AEO 2026 Table 23 '!N:N,'AEO 2026 Table 23 '!$B:$B,"*,"&amp;$A43&amp;",*"),"")</f>
        <v/>
      </c>
      <c r="M43" t="str">
        <f>IFERROR((SUMIFS('AEO 2026 Table 23 '!P:P,'AEO 2026 Table 23 '!$B:$B,"*,"&amp;$A43&amp;",*")-SUMIFS('AEO 2026 Table 23 '!O:O,'AEO 2026 Table 23 '!$B:$B,"*,"&amp;$A43&amp;",*"))/SUMIFS('AEO 2026 Table 23 '!O:O,'AEO 2026 Table 23 '!$B:$B,"*,"&amp;$A43&amp;",*"),"")</f>
        <v/>
      </c>
      <c r="N43" t="str">
        <f>IFERROR((SUMIFS('AEO 2026 Table 23 '!Q:Q,'AEO 2026 Table 23 '!$B:$B,"*,"&amp;$A43&amp;",*")-SUMIFS('AEO 2026 Table 23 '!P:P,'AEO 2026 Table 23 '!$B:$B,"*,"&amp;$A43&amp;",*"))/SUMIFS('AEO 2026 Table 23 '!P:P,'AEO 2026 Table 23 '!$B:$B,"*,"&amp;$A43&amp;",*"),"")</f>
        <v/>
      </c>
      <c r="O43" t="str">
        <f>IFERROR((SUMIFS('AEO 2026 Table 23 '!R:R,'AEO 2026 Table 23 '!$B:$B,"*,"&amp;$A43&amp;",*")-SUMIFS('AEO 2026 Table 23 '!Q:Q,'AEO 2026 Table 23 '!$B:$B,"*,"&amp;$A43&amp;",*"))/SUMIFS('AEO 2026 Table 23 '!Q:Q,'AEO 2026 Table 23 '!$B:$B,"*,"&amp;$A43&amp;",*"),"")</f>
        <v/>
      </c>
      <c r="P43" t="str">
        <f>IFERROR((SUMIFS('AEO 2026 Table 23 '!S:S,'AEO 2026 Table 23 '!$B:$B,"*,"&amp;$A43&amp;",*")-SUMIFS('AEO 2026 Table 23 '!R:R,'AEO 2026 Table 23 '!$B:$B,"*,"&amp;$A43&amp;",*"))/SUMIFS('AEO 2026 Table 23 '!R:R,'AEO 2026 Table 23 '!$B:$B,"*,"&amp;$A43&amp;",*"),"")</f>
        <v/>
      </c>
      <c r="Q43" t="str">
        <f>IFERROR((SUMIFS('AEO 2026 Table 23 '!T:T,'AEO 2026 Table 23 '!$B:$B,"*,"&amp;$A43&amp;",*")-SUMIFS('AEO 2026 Table 23 '!S:S,'AEO 2026 Table 23 '!$B:$B,"*,"&amp;$A43&amp;",*"))/SUMIFS('AEO 2026 Table 23 '!S:S,'AEO 2026 Table 23 '!$B:$B,"*,"&amp;$A43&amp;",*"),"")</f>
        <v/>
      </c>
      <c r="R43" t="str">
        <f>IFERROR((SUMIFS('AEO 2026 Table 23 '!U:U,'AEO 2026 Table 23 '!$B:$B,"*,"&amp;$A43&amp;",*")-SUMIFS('AEO 2026 Table 23 '!T:T,'AEO 2026 Table 23 '!$B:$B,"*,"&amp;$A43&amp;",*"))/SUMIFS('AEO 2026 Table 23 '!T:T,'AEO 2026 Table 23 '!$B:$B,"*,"&amp;$A43&amp;",*"),"")</f>
        <v/>
      </c>
      <c r="S43" t="str">
        <f>IFERROR((SUMIFS('AEO 2026 Table 23 '!V:V,'AEO 2026 Table 23 '!$B:$B,"*,"&amp;$A43&amp;",*")-SUMIFS('AEO 2026 Table 23 '!U:U,'AEO 2026 Table 23 '!$B:$B,"*,"&amp;$A43&amp;",*"))/SUMIFS('AEO 2026 Table 23 '!U:U,'AEO 2026 Table 23 '!$B:$B,"*,"&amp;$A43&amp;",*"),"")</f>
        <v/>
      </c>
      <c r="T43" t="str">
        <f>IFERROR((SUMIFS('AEO 2026 Table 23 '!W:W,'AEO 2026 Table 23 '!$B:$B,"*,"&amp;$A43&amp;",*")-SUMIFS('AEO 2026 Table 23 '!V:V,'AEO 2026 Table 23 '!$B:$B,"*,"&amp;$A43&amp;",*"))/SUMIFS('AEO 2026 Table 23 '!V:V,'AEO 2026 Table 23 '!$B:$B,"*,"&amp;$A43&amp;",*"),"")</f>
        <v/>
      </c>
      <c r="U43" t="str">
        <f>IFERROR((SUMIFS('AEO 2026 Table 23 '!X:X,'AEO 2026 Table 23 '!$B:$B,"*,"&amp;$A43&amp;",*")-SUMIFS('AEO 2026 Table 23 '!W:W,'AEO 2026 Table 23 '!$B:$B,"*,"&amp;$A43&amp;",*"))/SUMIFS('AEO 2026 Table 23 '!W:W,'AEO 2026 Table 23 '!$B:$B,"*,"&amp;$A43&amp;",*"),"")</f>
        <v/>
      </c>
      <c r="V43" t="str">
        <f>IFERROR((SUMIFS('AEO 2026 Table 23 '!Y:Y,'AEO 2026 Table 23 '!$B:$B,"*,"&amp;$A43&amp;",*")-SUMIFS('AEO 2026 Table 23 '!X:X,'AEO 2026 Table 23 '!$B:$B,"*,"&amp;$A43&amp;",*"))/SUMIFS('AEO 2026 Table 23 '!X:X,'AEO 2026 Table 23 '!$B:$B,"*,"&amp;$A43&amp;",*"),"")</f>
        <v/>
      </c>
      <c r="W43" t="str">
        <f>IFERROR((SUMIFS('AEO 2026 Table 23 '!Z:Z,'AEO 2026 Table 23 '!$B:$B,"*,"&amp;$A43&amp;",*")-SUMIFS('AEO 2026 Table 23 '!Y:Y,'AEO 2026 Table 23 '!$B:$B,"*,"&amp;$A43&amp;",*"))/SUMIFS('AEO 2026 Table 23 '!Y:Y,'AEO 2026 Table 23 '!$B:$B,"*,"&amp;$A43&amp;",*"),"")</f>
        <v/>
      </c>
      <c r="X43" t="str">
        <f>IFERROR((SUMIFS('AEO 2026 Table 23 '!AA:AA,'AEO 2026 Table 23 '!$B:$B,"*,"&amp;$A43&amp;",*")-SUMIFS('AEO 2026 Table 23 '!Z:Z,'AEO 2026 Table 23 '!$B:$B,"*,"&amp;$A43&amp;",*"))/SUMIFS('AEO 2026 Table 23 '!Z:Z,'AEO 2026 Table 23 '!$B:$B,"*,"&amp;$A43&amp;",*"),"")</f>
        <v/>
      </c>
      <c r="Y43" t="str">
        <f>IFERROR((SUMIFS('AEO 2026 Table 23 '!AB:AB,'AEO 2026 Table 23 '!$B:$B,"*,"&amp;$A43&amp;",*")-SUMIFS('AEO 2026 Table 23 '!AA:AA,'AEO 2026 Table 23 '!$B:$B,"*,"&amp;$A43&amp;",*"))/SUMIFS('AEO 2026 Table 23 '!AA:AA,'AEO 2026 Table 23 '!$B:$B,"*,"&amp;$A43&amp;",*"),"")</f>
        <v/>
      </c>
      <c r="Z43" t="str">
        <f>IFERROR((SUMIFS('AEO 2026 Table 23 '!AC:AC,'AEO 2026 Table 23 '!$B:$B,"*,"&amp;$A43&amp;",*")-SUMIFS('AEO 2026 Table 23 '!AB:AB,'AEO 2026 Table 23 '!$B:$B,"*,"&amp;$A43&amp;",*"))/SUMIFS('AEO 2026 Table 23 '!AB:AB,'AEO 2026 Table 23 '!$B:$B,"*,"&amp;$A43&amp;",*"),"")</f>
        <v/>
      </c>
      <c r="AA43" t="str">
        <f>IFERROR((SUMIFS('AEO 2026 Table 23 '!AD:AD,'AEO 2026 Table 23 '!$B:$B,"*,"&amp;$A43&amp;",*")-SUMIFS('AEO 2026 Table 23 '!AC:AC,'AEO 2026 Table 23 '!$B:$B,"*,"&amp;$A43&amp;",*"))/SUMIFS('AEO 2026 Table 23 '!AC:AC,'AEO 2026 Table 23 '!$B:$B,"*,"&amp;$A43&amp;",*"),"")</f>
        <v/>
      </c>
      <c r="AB43" t="str">
        <f>IFERROR((SUMIFS('AEO 2026 Table 23 '!AE:AE,'AEO 2026 Table 23 '!$B:$B,"*,"&amp;$A43&amp;",*")-SUMIFS('AEO 2026 Table 23 '!AD:AD,'AEO 2026 Table 23 '!$B:$B,"*,"&amp;$A43&amp;",*"))/SUMIFS('AEO 2026 Table 23 '!AD:AD,'AEO 2026 Table 23 '!$B:$B,"*,"&amp;$A43&amp;",*"),"")</f>
        <v/>
      </c>
      <c r="AC43" t="str">
        <f>IFERROR((SUMIFS('AEO 2026 Table 23 '!AF:AF,'AEO 2026 Table 23 '!$B:$B,"*,"&amp;$A43&amp;",*")-SUMIFS('AEO 2026 Table 23 '!AE:AE,'AEO 2026 Table 23 '!$B:$B,"*,"&amp;$A43&amp;",*"))/SUMIFS('AEO 2026 Table 23 '!AE:AE,'AEO 2026 Table 23 '!$B:$B,"*,"&amp;$A43&amp;",*"),"")</f>
        <v/>
      </c>
    </row>
    <row r="44" spans="1:29" x14ac:dyDescent="0.25">
      <c r="A44" t="s">
        <v>562</v>
      </c>
      <c r="B44">
        <f>IFERROR(SUMPRODUCT(--('BLS Table 2.11'!$L$1:$L$426=$A44),'BLS Table 2.11'!$J$1:$J$426,'BLS Table 2.11'!$K$1:$K$426)/SUMIFS('BLS Table 2.11'!$J$1:$J$426,'BLS Table 2.11'!$L$1:$L$426,$A44)/100,0)</f>
        <v>2.7000000000000003E-2</v>
      </c>
      <c r="D44" t="str">
        <f>IFERROR((SUMIFS('AEO 2026 Table 23 '!G:G,'AEO 2026 Table 23 '!$B:$B,"*,"&amp;$A44&amp;",*")-SUMIFS('AEO25 Table 23'!H:H,'AEO25 Table 23'!$B:$B,"*,"&amp;$A44&amp;",*"))/SUMIFS('AEO25 Table 23'!H:H,'AEO25 Table 23'!$B:$B,"*,"&amp;$A44&amp;",*"),"")</f>
        <v/>
      </c>
      <c r="E44" t="str">
        <f>IFERROR((SUMIFS('AEO 2026 Table 23 '!H:H,'AEO 2026 Table 23 '!$B:$B,"*,"&amp;$A44&amp;",*")-SUMIFS('AEO 2026 Table 23 '!G:G,'AEO 2026 Table 23 '!$B:$B,"*,"&amp;$A44&amp;",*"))/SUMIFS('AEO 2026 Table 23 '!G:G,'AEO 2026 Table 23 '!$B:$B,"*,"&amp;$A44&amp;",*"),"")</f>
        <v/>
      </c>
      <c r="F44" t="str">
        <f>IFERROR((SUMIFS('AEO 2026 Table 23 '!I:I,'AEO 2026 Table 23 '!$B:$B,"*,"&amp;$A44&amp;",*")-SUMIFS('AEO 2026 Table 23 '!H:H,'AEO 2026 Table 23 '!$B:$B,"*,"&amp;$A44&amp;",*"))/SUMIFS('AEO 2026 Table 23 '!H:H,'AEO 2026 Table 23 '!$B:$B,"*,"&amp;$A44&amp;",*"),"")</f>
        <v/>
      </c>
      <c r="G44" t="str">
        <f>IFERROR((SUMIFS('AEO 2026 Table 23 '!J:J,'AEO 2026 Table 23 '!$B:$B,"*,"&amp;$A44&amp;",*")-SUMIFS('AEO 2026 Table 23 '!I:I,'AEO 2026 Table 23 '!$B:$B,"*,"&amp;$A44&amp;",*"))/SUMIFS('AEO 2026 Table 23 '!I:I,'AEO 2026 Table 23 '!$B:$B,"*,"&amp;$A44&amp;",*"),"")</f>
        <v/>
      </c>
      <c r="H44" t="str">
        <f>IFERROR((SUMIFS('AEO 2026 Table 23 '!K:K,'AEO 2026 Table 23 '!$B:$B,"*,"&amp;$A44&amp;",*")-SUMIFS('AEO 2026 Table 23 '!J:J,'AEO 2026 Table 23 '!$B:$B,"*,"&amp;$A44&amp;",*"))/SUMIFS('AEO 2026 Table 23 '!J:J,'AEO 2026 Table 23 '!$B:$B,"*,"&amp;$A44&amp;",*"),"")</f>
        <v/>
      </c>
      <c r="I44" t="str">
        <f>IFERROR((SUMIFS('AEO 2026 Table 23 '!L:L,'AEO 2026 Table 23 '!$B:$B,"*,"&amp;$A44&amp;",*")-SUMIFS('AEO 2026 Table 23 '!K:K,'AEO 2026 Table 23 '!$B:$B,"*,"&amp;$A44&amp;",*"))/SUMIFS('AEO 2026 Table 23 '!K:K,'AEO 2026 Table 23 '!$B:$B,"*,"&amp;$A44&amp;",*"),"")</f>
        <v/>
      </c>
      <c r="J44" t="str">
        <f>IFERROR((SUMIFS('AEO 2026 Table 23 '!M:M,'AEO 2026 Table 23 '!$B:$B,"*,"&amp;$A44&amp;",*")-SUMIFS('AEO 2026 Table 23 '!L:L,'AEO 2026 Table 23 '!$B:$B,"*,"&amp;$A44&amp;",*"))/SUMIFS('AEO 2026 Table 23 '!L:L,'AEO 2026 Table 23 '!$B:$B,"*,"&amp;$A44&amp;",*"),"")</f>
        <v/>
      </c>
      <c r="K44" t="str">
        <f>IFERROR((SUMIFS('AEO 2026 Table 23 '!N:N,'AEO 2026 Table 23 '!$B:$B,"*,"&amp;$A44&amp;",*")-SUMIFS('AEO 2026 Table 23 '!M:M,'AEO 2026 Table 23 '!$B:$B,"*,"&amp;$A44&amp;",*"))/SUMIFS('AEO 2026 Table 23 '!M:M,'AEO 2026 Table 23 '!$B:$B,"*,"&amp;$A44&amp;",*"),"")</f>
        <v/>
      </c>
      <c r="L44" t="str">
        <f>IFERROR((SUMIFS('AEO 2026 Table 23 '!O:O,'AEO 2026 Table 23 '!$B:$B,"*,"&amp;$A44&amp;",*")-SUMIFS('AEO 2026 Table 23 '!N:N,'AEO 2026 Table 23 '!$B:$B,"*,"&amp;$A44&amp;",*"))/SUMIFS('AEO 2026 Table 23 '!N:N,'AEO 2026 Table 23 '!$B:$B,"*,"&amp;$A44&amp;",*"),"")</f>
        <v/>
      </c>
      <c r="M44" t="str">
        <f>IFERROR((SUMIFS('AEO 2026 Table 23 '!P:P,'AEO 2026 Table 23 '!$B:$B,"*,"&amp;$A44&amp;",*")-SUMIFS('AEO 2026 Table 23 '!O:O,'AEO 2026 Table 23 '!$B:$B,"*,"&amp;$A44&amp;",*"))/SUMIFS('AEO 2026 Table 23 '!O:O,'AEO 2026 Table 23 '!$B:$B,"*,"&amp;$A44&amp;",*"),"")</f>
        <v/>
      </c>
      <c r="N44" t="str">
        <f>IFERROR((SUMIFS('AEO 2026 Table 23 '!Q:Q,'AEO 2026 Table 23 '!$B:$B,"*,"&amp;$A44&amp;",*")-SUMIFS('AEO 2026 Table 23 '!P:P,'AEO 2026 Table 23 '!$B:$B,"*,"&amp;$A44&amp;",*"))/SUMIFS('AEO 2026 Table 23 '!P:P,'AEO 2026 Table 23 '!$B:$B,"*,"&amp;$A44&amp;",*"),"")</f>
        <v/>
      </c>
      <c r="O44" t="str">
        <f>IFERROR((SUMIFS('AEO 2026 Table 23 '!R:R,'AEO 2026 Table 23 '!$B:$B,"*,"&amp;$A44&amp;",*")-SUMIFS('AEO 2026 Table 23 '!Q:Q,'AEO 2026 Table 23 '!$B:$B,"*,"&amp;$A44&amp;",*"))/SUMIFS('AEO 2026 Table 23 '!Q:Q,'AEO 2026 Table 23 '!$B:$B,"*,"&amp;$A44&amp;",*"),"")</f>
        <v/>
      </c>
      <c r="P44" t="str">
        <f>IFERROR((SUMIFS('AEO 2026 Table 23 '!S:S,'AEO 2026 Table 23 '!$B:$B,"*,"&amp;$A44&amp;",*")-SUMIFS('AEO 2026 Table 23 '!R:R,'AEO 2026 Table 23 '!$B:$B,"*,"&amp;$A44&amp;",*"))/SUMIFS('AEO 2026 Table 23 '!R:R,'AEO 2026 Table 23 '!$B:$B,"*,"&amp;$A44&amp;",*"),"")</f>
        <v/>
      </c>
      <c r="Q44" t="str">
        <f>IFERROR((SUMIFS('AEO 2026 Table 23 '!T:T,'AEO 2026 Table 23 '!$B:$B,"*,"&amp;$A44&amp;",*")-SUMIFS('AEO 2026 Table 23 '!S:S,'AEO 2026 Table 23 '!$B:$B,"*,"&amp;$A44&amp;",*"))/SUMIFS('AEO 2026 Table 23 '!S:S,'AEO 2026 Table 23 '!$B:$B,"*,"&amp;$A44&amp;",*"),"")</f>
        <v/>
      </c>
      <c r="R44" t="str">
        <f>IFERROR((SUMIFS('AEO 2026 Table 23 '!U:U,'AEO 2026 Table 23 '!$B:$B,"*,"&amp;$A44&amp;",*")-SUMIFS('AEO 2026 Table 23 '!T:T,'AEO 2026 Table 23 '!$B:$B,"*,"&amp;$A44&amp;",*"))/SUMIFS('AEO 2026 Table 23 '!T:T,'AEO 2026 Table 23 '!$B:$B,"*,"&amp;$A44&amp;",*"),"")</f>
        <v/>
      </c>
      <c r="S44" t="str">
        <f>IFERROR((SUMIFS('AEO 2026 Table 23 '!V:V,'AEO 2026 Table 23 '!$B:$B,"*,"&amp;$A44&amp;",*")-SUMIFS('AEO 2026 Table 23 '!U:U,'AEO 2026 Table 23 '!$B:$B,"*,"&amp;$A44&amp;",*"))/SUMIFS('AEO 2026 Table 23 '!U:U,'AEO 2026 Table 23 '!$B:$B,"*,"&amp;$A44&amp;",*"),"")</f>
        <v/>
      </c>
      <c r="T44" t="str">
        <f>IFERROR((SUMIFS('AEO 2026 Table 23 '!W:W,'AEO 2026 Table 23 '!$B:$B,"*,"&amp;$A44&amp;",*")-SUMIFS('AEO 2026 Table 23 '!V:V,'AEO 2026 Table 23 '!$B:$B,"*,"&amp;$A44&amp;",*"))/SUMIFS('AEO 2026 Table 23 '!V:V,'AEO 2026 Table 23 '!$B:$B,"*,"&amp;$A44&amp;",*"),"")</f>
        <v/>
      </c>
      <c r="U44" t="str">
        <f>IFERROR((SUMIFS('AEO 2026 Table 23 '!X:X,'AEO 2026 Table 23 '!$B:$B,"*,"&amp;$A44&amp;",*")-SUMIFS('AEO 2026 Table 23 '!W:W,'AEO 2026 Table 23 '!$B:$B,"*,"&amp;$A44&amp;",*"))/SUMIFS('AEO 2026 Table 23 '!W:W,'AEO 2026 Table 23 '!$B:$B,"*,"&amp;$A44&amp;",*"),"")</f>
        <v/>
      </c>
      <c r="V44" t="str">
        <f>IFERROR((SUMIFS('AEO 2026 Table 23 '!Y:Y,'AEO 2026 Table 23 '!$B:$B,"*,"&amp;$A44&amp;",*")-SUMIFS('AEO 2026 Table 23 '!X:X,'AEO 2026 Table 23 '!$B:$B,"*,"&amp;$A44&amp;",*"))/SUMIFS('AEO 2026 Table 23 '!X:X,'AEO 2026 Table 23 '!$B:$B,"*,"&amp;$A44&amp;",*"),"")</f>
        <v/>
      </c>
      <c r="W44" t="str">
        <f>IFERROR((SUMIFS('AEO 2026 Table 23 '!Z:Z,'AEO 2026 Table 23 '!$B:$B,"*,"&amp;$A44&amp;",*")-SUMIFS('AEO 2026 Table 23 '!Y:Y,'AEO 2026 Table 23 '!$B:$B,"*,"&amp;$A44&amp;",*"))/SUMIFS('AEO 2026 Table 23 '!Y:Y,'AEO 2026 Table 23 '!$B:$B,"*,"&amp;$A44&amp;",*"),"")</f>
        <v/>
      </c>
      <c r="X44" t="str">
        <f>IFERROR((SUMIFS('AEO 2026 Table 23 '!AA:AA,'AEO 2026 Table 23 '!$B:$B,"*,"&amp;$A44&amp;",*")-SUMIFS('AEO 2026 Table 23 '!Z:Z,'AEO 2026 Table 23 '!$B:$B,"*,"&amp;$A44&amp;",*"))/SUMIFS('AEO 2026 Table 23 '!Z:Z,'AEO 2026 Table 23 '!$B:$B,"*,"&amp;$A44&amp;",*"),"")</f>
        <v/>
      </c>
      <c r="Y44" t="str">
        <f>IFERROR((SUMIFS('AEO 2026 Table 23 '!AB:AB,'AEO 2026 Table 23 '!$B:$B,"*,"&amp;$A44&amp;",*")-SUMIFS('AEO 2026 Table 23 '!AA:AA,'AEO 2026 Table 23 '!$B:$B,"*,"&amp;$A44&amp;",*"))/SUMIFS('AEO 2026 Table 23 '!AA:AA,'AEO 2026 Table 23 '!$B:$B,"*,"&amp;$A44&amp;",*"),"")</f>
        <v/>
      </c>
      <c r="Z44" t="str">
        <f>IFERROR((SUMIFS('AEO 2026 Table 23 '!AC:AC,'AEO 2026 Table 23 '!$B:$B,"*,"&amp;$A44&amp;",*")-SUMIFS('AEO 2026 Table 23 '!AB:AB,'AEO 2026 Table 23 '!$B:$B,"*,"&amp;$A44&amp;",*"))/SUMIFS('AEO 2026 Table 23 '!AB:AB,'AEO 2026 Table 23 '!$B:$B,"*,"&amp;$A44&amp;",*"),"")</f>
        <v/>
      </c>
      <c r="AA44" t="str">
        <f>IFERROR((SUMIFS('AEO 2026 Table 23 '!AD:AD,'AEO 2026 Table 23 '!$B:$B,"*,"&amp;$A44&amp;",*")-SUMIFS('AEO 2026 Table 23 '!AC:AC,'AEO 2026 Table 23 '!$B:$B,"*,"&amp;$A44&amp;",*"))/SUMIFS('AEO 2026 Table 23 '!AC:AC,'AEO 2026 Table 23 '!$B:$B,"*,"&amp;$A44&amp;",*"),"")</f>
        <v/>
      </c>
      <c r="AB44" t="str">
        <f>IFERROR((SUMIFS('AEO 2026 Table 23 '!AE:AE,'AEO 2026 Table 23 '!$B:$B,"*,"&amp;$A44&amp;",*")-SUMIFS('AEO 2026 Table 23 '!AD:AD,'AEO 2026 Table 23 '!$B:$B,"*,"&amp;$A44&amp;",*"))/SUMIFS('AEO 2026 Table 23 '!AD:AD,'AEO 2026 Table 23 '!$B:$B,"*,"&amp;$A44&amp;",*"),"")</f>
        <v/>
      </c>
      <c r="AC44" t="str">
        <f>IFERROR((SUMIFS('AEO 2026 Table 23 '!AF:AF,'AEO 2026 Table 23 '!$B:$B,"*,"&amp;$A44&amp;",*")-SUMIFS('AEO 2026 Table 23 '!AE:AE,'AEO 2026 Table 23 '!$B:$B,"*,"&amp;$A44&amp;",*"))/SUMIFS('AEO 2026 Table 23 '!AE:AE,'AEO 2026 Table 23 '!$B:$B,"*,"&amp;$A44&amp;",*"),"")</f>
        <v/>
      </c>
    </row>
    <row r="45" spans="1:29" x14ac:dyDescent="0.25">
      <c r="A45" t="s">
        <v>565</v>
      </c>
      <c r="B45">
        <f>IFERROR(SUMPRODUCT(--('BLS Table 2.11'!$L$1:$L$426=$A45),'BLS Table 2.11'!$J$1:$J$426,'BLS Table 2.11'!$K$1:$K$426)/SUMIFS('BLS Table 2.11'!$J$1:$J$426,'BLS Table 2.11'!$L$1:$L$426,$A45)/100,0)</f>
        <v>3.4040216736905479E-2</v>
      </c>
      <c r="D45" t="str">
        <f>IFERROR((SUMIFS('AEO 2026 Table 23 '!G:G,'AEO 2026 Table 23 '!$B:$B,"*,"&amp;$A45&amp;",*")-SUMIFS('AEO25 Table 23'!H:H,'AEO25 Table 23'!$B:$B,"*,"&amp;$A45&amp;",*"))/SUMIFS('AEO25 Table 23'!H:H,'AEO25 Table 23'!$B:$B,"*,"&amp;$A45&amp;",*"),"")</f>
        <v/>
      </c>
      <c r="E45" t="str">
        <f>IFERROR((SUMIFS('AEO 2026 Table 23 '!H:H,'AEO 2026 Table 23 '!$B:$B,"*,"&amp;$A45&amp;",*")-SUMIFS('AEO 2026 Table 23 '!G:G,'AEO 2026 Table 23 '!$B:$B,"*,"&amp;$A45&amp;",*"))/SUMIFS('AEO 2026 Table 23 '!G:G,'AEO 2026 Table 23 '!$B:$B,"*,"&amp;$A45&amp;",*"),"")</f>
        <v/>
      </c>
      <c r="F45" t="str">
        <f>IFERROR((SUMIFS('AEO 2026 Table 23 '!I:I,'AEO 2026 Table 23 '!$B:$B,"*,"&amp;$A45&amp;",*")-SUMIFS('AEO 2026 Table 23 '!H:H,'AEO 2026 Table 23 '!$B:$B,"*,"&amp;$A45&amp;",*"))/SUMIFS('AEO 2026 Table 23 '!H:H,'AEO 2026 Table 23 '!$B:$B,"*,"&amp;$A45&amp;",*"),"")</f>
        <v/>
      </c>
      <c r="G45" t="str">
        <f>IFERROR((SUMIFS('AEO 2026 Table 23 '!J:J,'AEO 2026 Table 23 '!$B:$B,"*,"&amp;$A45&amp;",*")-SUMIFS('AEO 2026 Table 23 '!I:I,'AEO 2026 Table 23 '!$B:$B,"*,"&amp;$A45&amp;",*"))/SUMIFS('AEO 2026 Table 23 '!I:I,'AEO 2026 Table 23 '!$B:$B,"*,"&amp;$A45&amp;",*"),"")</f>
        <v/>
      </c>
      <c r="H45" t="str">
        <f>IFERROR((SUMIFS('AEO 2026 Table 23 '!K:K,'AEO 2026 Table 23 '!$B:$B,"*,"&amp;$A45&amp;",*")-SUMIFS('AEO 2026 Table 23 '!J:J,'AEO 2026 Table 23 '!$B:$B,"*,"&amp;$A45&amp;",*"))/SUMIFS('AEO 2026 Table 23 '!J:J,'AEO 2026 Table 23 '!$B:$B,"*,"&amp;$A45&amp;",*"),"")</f>
        <v/>
      </c>
      <c r="I45" t="str">
        <f>IFERROR((SUMIFS('AEO 2026 Table 23 '!L:L,'AEO 2026 Table 23 '!$B:$B,"*,"&amp;$A45&amp;",*")-SUMIFS('AEO 2026 Table 23 '!K:K,'AEO 2026 Table 23 '!$B:$B,"*,"&amp;$A45&amp;",*"))/SUMIFS('AEO 2026 Table 23 '!K:K,'AEO 2026 Table 23 '!$B:$B,"*,"&amp;$A45&amp;",*"),"")</f>
        <v/>
      </c>
      <c r="J45" t="str">
        <f>IFERROR((SUMIFS('AEO 2026 Table 23 '!M:M,'AEO 2026 Table 23 '!$B:$B,"*,"&amp;$A45&amp;",*")-SUMIFS('AEO 2026 Table 23 '!L:L,'AEO 2026 Table 23 '!$B:$B,"*,"&amp;$A45&amp;",*"))/SUMIFS('AEO 2026 Table 23 '!L:L,'AEO 2026 Table 23 '!$B:$B,"*,"&amp;$A45&amp;",*"),"")</f>
        <v/>
      </c>
      <c r="K45" t="str">
        <f>IFERROR((SUMIFS('AEO 2026 Table 23 '!N:N,'AEO 2026 Table 23 '!$B:$B,"*,"&amp;$A45&amp;",*")-SUMIFS('AEO 2026 Table 23 '!M:M,'AEO 2026 Table 23 '!$B:$B,"*,"&amp;$A45&amp;",*"))/SUMIFS('AEO 2026 Table 23 '!M:M,'AEO 2026 Table 23 '!$B:$B,"*,"&amp;$A45&amp;",*"),"")</f>
        <v/>
      </c>
      <c r="L45" t="str">
        <f>IFERROR((SUMIFS('AEO 2026 Table 23 '!O:O,'AEO 2026 Table 23 '!$B:$B,"*,"&amp;$A45&amp;",*")-SUMIFS('AEO 2026 Table 23 '!N:N,'AEO 2026 Table 23 '!$B:$B,"*,"&amp;$A45&amp;",*"))/SUMIFS('AEO 2026 Table 23 '!N:N,'AEO 2026 Table 23 '!$B:$B,"*,"&amp;$A45&amp;",*"),"")</f>
        <v/>
      </c>
      <c r="M45" t="str">
        <f>IFERROR((SUMIFS('AEO 2026 Table 23 '!P:P,'AEO 2026 Table 23 '!$B:$B,"*,"&amp;$A45&amp;",*")-SUMIFS('AEO 2026 Table 23 '!O:O,'AEO 2026 Table 23 '!$B:$B,"*,"&amp;$A45&amp;",*"))/SUMIFS('AEO 2026 Table 23 '!O:O,'AEO 2026 Table 23 '!$B:$B,"*,"&amp;$A45&amp;",*"),"")</f>
        <v/>
      </c>
      <c r="N45" t="str">
        <f>IFERROR((SUMIFS('AEO 2026 Table 23 '!Q:Q,'AEO 2026 Table 23 '!$B:$B,"*,"&amp;$A45&amp;",*")-SUMIFS('AEO 2026 Table 23 '!P:P,'AEO 2026 Table 23 '!$B:$B,"*,"&amp;$A45&amp;",*"))/SUMIFS('AEO 2026 Table 23 '!P:P,'AEO 2026 Table 23 '!$B:$B,"*,"&amp;$A45&amp;",*"),"")</f>
        <v/>
      </c>
      <c r="O45" t="str">
        <f>IFERROR((SUMIFS('AEO 2026 Table 23 '!R:R,'AEO 2026 Table 23 '!$B:$B,"*,"&amp;$A45&amp;",*")-SUMIFS('AEO 2026 Table 23 '!Q:Q,'AEO 2026 Table 23 '!$B:$B,"*,"&amp;$A45&amp;",*"))/SUMIFS('AEO 2026 Table 23 '!Q:Q,'AEO 2026 Table 23 '!$B:$B,"*,"&amp;$A45&amp;",*"),"")</f>
        <v/>
      </c>
      <c r="P45" t="str">
        <f>IFERROR((SUMIFS('AEO 2026 Table 23 '!S:S,'AEO 2026 Table 23 '!$B:$B,"*,"&amp;$A45&amp;",*")-SUMIFS('AEO 2026 Table 23 '!R:R,'AEO 2026 Table 23 '!$B:$B,"*,"&amp;$A45&amp;",*"))/SUMIFS('AEO 2026 Table 23 '!R:R,'AEO 2026 Table 23 '!$B:$B,"*,"&amp;$A45&amp;",*"),"")</f>
        <v/>
      </c>
      <c r="Q45" t="str">
        <f>IFERROR((SUMIFS('AEO 2026 Table 23 '!T:T,'AEO 2026 Table 23 '!$B:$B,"*,"&amp;$A45&amp;",*")-SUMIFS('AEO 2026 Table 23 '!S:S,'AEO 2026 Table 23 '!$B:$B,"*,"&amp;$A45&amp;",*"))/SUMIFS('AEO 2026 Table 23 '!S:S,'AEO 2026 Table 23 '!$B:$B,"*,"&amp;$A45&amp;",*"),"")</f>
        <v/>
      </c>
      <c r="R45" t="str">
        <f>IFERROR((SUMIFS('AEO 2026 Table 23 '!U:U,'AEO 2026 Table 23 '!$B:$B,"*,"&amp;$A45&amp;",*")-SUMIFS('AEO 2026 Table 23 '!T:T,'AEO 2026 Table 23 '!$B:$B,"*,"&amp;$A45&amp;",*"))/SUMIFS('AEO 2026 Table 23 '!T:T,'AEO 2026 Table 23 '!$B:$B,"*,"&amp;$A45&amp;",*"),"")</f>
        <v/>
      </c>
      <c r="S45" t="str">
        <f>IFERROR((SUMIFS('AEO 2026 Table 23 '!V:V,'AEO 2026 Table 23 '!$B:$B,"*,"&amp;$A45&amp;",*")-SUMIFS('AEO 2026 Table 23 '!U:U,'AEO 2026 Table 23 '!$B:$B,"*,"&amp;$A45&amp;",*"))/SUMIFS('AEO 2026 Table 23 '!U:U,'AEO 2026 Table 23 '!$B:$B,"*,"&amp;$A45&amp;",*"),"")</f>
        <v/>
      </c>
      <c r="T45" t="str">
        <f>IFERROR((SUMIFS('AEO 2026 Table 23 '!W:W,'AEO 2026 Table 23 '!$B:$B,"*,"&amp;$A45&amp;",*")-SUMIFS('AEO 2026 Table 23 '!V:V,'AEO 2026 Table 23 '!$B:$B,"*,"&amp;$A45&amp;",*"))/SUMIFS('AEO 2026 Table 23 '!V:V,'AEO 2026 Table 23 '!$B:$B,"*,"&amp;$A45&amp;",*"),"")</f>
        <v/>
      </c>
      <c r="U45" t="str">
        <f>IFERROR((SUMIFS('AEO 2026 Table 23 '!X:X,'AEO 2026 Table 23 '!$B:$B,"*,"&amp;$A45&amp;",*")-SUMIFS('AEO 2026 Table 23 '!W:W,'AEO 2026 Table 23 '!$B:$B,"*,"&amp;$A45&amp;",*"))/SUMIFS('AEO 2026 Table 23 '!W:W,'AEO 2026 Table 23 '!$B:$B,"*,"&amp;$A45&amp;",*"),"")</f>
        <v/>
      </c>
      <c r="V45" t="str">
        <f>IFERROR((SUMIFS('AEO 2026 Table 23 '!Y:Y,'AEO 2026 Table 23 '!$B:$B,"*,"&amp;$A45&amp;",*")-SUMIFS('AEO 2026 Table 23 '!X:X,'AEO 2026 Table 23 '!$B:$B,"*,"&amp;$A45&amp;",*"))/SUMIFS('AEO 2026 Table 23 '!X:X,'AEO 2026 Table 23 '!$B:$B,"*,"&amp;$A45&amp;",*"),"")</f>
        <v/>
      </c>
      <c r="W45" t="str">
        <f>IFERROR((SUMIFS('AEO 2026 Table 23 '!Z:Z,'AEO 2026 Table 23 '!$B:$B,"*,"&amp;$A45&amp;",*")-SUMIFS('AEO 2026 Table 23 '!Y:Y,'AEO 2026 Table 23 '!$B:$B,"*,"&amp;$A45&amp;",*"))/SUMIFS('AEO 2026 Table 23 '!Y:Y,'AEO 2026 Table 23 '!$B:$B,"*,"&amp;$A45&amp;",*"),"")</f>
        <v/>
      </c>
      <c r="X45" t="str">
        <f>IFERROR((SUMIFS('AEO 2026 Table 23 '!AA:AA,'AEO 2026 Table 23 '!$B:$B,"*,"&amp;$A45&amp;",*")-SUMIFS('AEO 2026 Table 23 '!Z:Z,'AEO 2026 Table 23 '!$B:$B,"*,"&amp;$A45&amp;",*"))/SUMIFS('AEO 2026 Table 23 '!Z:Z,'AEO 2026 Table 23 '!$B:$B,"*,"&amp;$A45&amp;",*"),"")</f>
        <v/>
      </c>
      <c r="Y45" t="str">
        <f>IFERROR((SUMIFS('AEO 2026 Table 23 '!AB:AB,'AEO 2026 Table 23 '!$B:$B,"*,"&amp;$A45&amp;",*")-SUMIFS('AEO 2026 Table 23 '!AA:AA,'AEO 2026 Table 23 '!$B:$B,"*,"&amp;$A45&amp;",*"))/SUMIFS('AEO 2026 Table 23 '!AA:AA,'AEO 2026 Table 23 '!$B:$B,"*,"&amp;$A45&amp;",*"),"")</f>
        <v/>
      </c>
      <c r="Z45" t="str">
        <f>IFERROR((SUMIFS('AEO 2026 Table 23 '!AC:AC,'AEO 2026 Table 23 '!$B:$B,"*,"&amp;$A45&amp;",*")-SUMIFS('AEO 2026 Table 23 '!AB:AB,'AEO 2026 Table 23 '!$B:$B,"*,"&amp;$A45&amp;",*"))/SUMIFS('AEO 2026 Table 23 '!AB:AB,'AEO 2026 Table 23 '!$B:$B,"*,"&amp;$A45&amp;",*"),"")</f>
        <v/>
      </c>
      <c r="AA45" t="str">
        <f>IFERROR((SUMIFS('AEO 2026 Table 23 '!AD:AD,'AEO 2026 Table 23 '!$B:$B,"*,"&amp;$A45&amp;",*")-SUMIFS('AEO 2026 Table 23 '!AC:AC,'AEO 2026 Table 23 '!$B:$B,"*,"&amp;$A45&amp;",*"))/SUMIFS('AEO 2026 Table 23 '!AC:AC,'AEO 2026 Table 23 '!$B:$B,"*,"&amp;$A45&amp;",*"),"")</f>
        <v/>
      </c>
      <c r="AB45" t="str">
        <f>IFERROR((SUMIFS('AEO 2026 Table 23 '!AE:AE,'AEO 2026 Table 23 '!$B:$B,"*,"&amp;$A45&amp;",*")-SUMIFS('AEO 2026 Table 23 '!AD:AD,'AEO 2026 Table 23 '!$B:$B,"*,"&amp;$A45&amp;",*"))/SUMIFS('AEO 2026 Table 23 '!AD:AD,'AEO 2026 Table 23 '!$B:$B,"*,"&amp;$A45&amp;",*"),"")</f>
        <v/>
      </c>
      <c r="AC45" t="str">
        <f>IFERROR((SUMIFS('AEO 2026 Table 23 '!AF:AF,'AEO 2026 Table 23 '!$B:$B,"*,"&amp;$A45&amp;",*")-SUMIFS('AEO 2026 Table 23 '!AE:AE,'AEO 2026 Table 23 '!$B:$B,"*,"&amp;$A45&amp;",*"))/SUMIFS('AEO 2026 Table 23 '!AE:AE,'AEO 2026 Table 23 '!$B:$B,"*,"&amp;$A45&amp;",*"),"")</f>
        <v/>
      </c>
    </row>
    <row r="46" spans="1:29" x14ac:dyDescent="0.25">
      <c r="A46" t="s">
        <v>568</v>
      </c>
      <c r="B46">
        <f>IFERROR(SUMPRODUCT(--('BLS Table 2.11'!$L$1:$L$426=$A46),'BLS Table 2.11'!$J$1:$J$426,'BLS Table 2.11'!$K$1:$K$426)/SUMIFS('BLS Table 2.11'!$J$1:$J$426,'BLS Table 2.11'!$L$1:$L$426,$A46)/100,0)</f>
        <v>0.02</v>
      </c>
      <c r="D46" t="str">
        <f>IFERROR((SUMIFS('AEO 2026 Table 23 '!G:G,'AEO 2026 Table 23 '!$B:$B,"*,"&amp;$A46&amp;",*")-SUMIFS('AEO25 Table 23'!H:H,'AEO25 Table 23'!$B:$B,"*,"&amp;$A46&amp;",*"))/SUMIFS('AEO25 Table 23'!H:H,'AEO25 Table 23'!$B:$B,"*,"&amp;$A46&amp;",*"),"")</f>
        <v/>
      </c>
      <c r="E46" t="str">
        <f>IFERROR((SUMIFS('AEO 2026 Table 23 '!H:H,'AEO 2026 Table 23 '!$B:$B,"*,"&amp;$A46&amp;",*")-SUMIFS('AEO 2026 Table 23 '!G:G,'AEO 2026 Table 23 '!$B:$B,"*,"&amp;$A46&amp;",*"))/SUMIFS('AEO 2026 Table 23 '!G:G,'AEO 2026 Table 23 '!$B:$B,"*,"&amp;$A46&amp;",*"),"")</f>
        <v/>
      </c>
      <c r="F46" t="str">
        <f>IFERROR((SUMIFS('AEO 2026 Table 23 '!I:I,'AEO 2026 Table 23 '!$B:$B,"*,"&amp;$A46&amp;",*")-SUMIFS('AEO 2026 Table 23 '!H:H,'AEO 2026 Table 23 '!$B:$B,"*,"&amp;$A46&amp;",*"))/SUMIFS('AEO 2026 Table 23 '!H:H,'AEO 2026 Table 23 '!$B:$B,"*,"&amp;$A46&amp;",*"),"")</f>
        <v/>
      </c>
      <c r="G46" t="str">
        <f>IFERROR((SUMIFS('AEO 2026 Table 23 '!J:J,'AEO 2026 Table 23 '!$B:$B,"*,"&amp;$A46&amp;",*")-SUMIFS('AEO 2026 Table 23 '!I:I,'AEO 2026 Table 23 '!$B:$B,"*,"&amp;$A46&amp;",*"))/SUMIFS('AEO 2026 Table 23 '!I:I,'AEO 2026 Table 23 '!$B:$B,"*,"&amp;$A46&amp;",*"),"")</f>
        <v/>
      </c>
      <c r="H46" t="str">
        <f>IFERROR((SUMIFS('AEO 2026 Table 23 '!K:K,'AEO 2026 Table 23 '!$B:$B,"*,"&amp;$A46&amp;",*")-SUMIFS('AEO 2026 Table 23 '!J:J,'AEO 2026 Table 23 '!$B:$B,"*,"&amp;$A46&amp;",*"))/SUMIFS('AEO 2026 Table 23 '!J:J,'AEO 2026 Table 23 '!$B:$B,"*,"&amp;$A46&amp;",*"),"")</f>
        <v/>
      </c>
      <c r="I46" t="str">
        <f>IFERROR((SUMIFS('AEO 2026 Table 23 '!L:L,'AEO 2026 Table 23 '!$B:$B,"*,"&amp;$A46&amp;",*")-SUMIFS('AEO 2026 Table 23 '!K:K,'AEO 2026 Table 23 '!$B:$B,"*,"&amp;$A46&amp;",*"))/SUMIFS('AEO 2026 Table 23 '!K:K,'AEO 2026 Table 23 '!$B:$B,"*,"&amp;$A46&amp;",*"),"")</f>
        <v/>
      </c>
      <c r="J46" t="str">
        <f>IFERROR((SUMIFS('AEO 2026 Table 23 '!M:M,'AEO 2026 Table 23 '!$B:$B,"*,"&amp;$A46&amp;",*")-SUMIFS('AEO 2026 Table 23 '!L:L,'AEO 2026 Table 23 '!$B:$B,"*,"&amp;$A46&amp;",*"))/SUMIFS('AEO 2026 Table 23 '!L:L,'AEO 2026 Table 23 '!$B:$B,"*,"&amp;$A46&amp;",*"),"")</f>
        <v/>
      </c>
      <c r="K46" t="str">
        <f>IFERROR((SUMIFS('AEO 2026 Table 23 '!N:N,'AEO 2026 Table 23 '!$B:$B,"*,"&amp;$A46&amp;",*")-SUMIFS('AEO 2026 Table 23 '!M:M,'AEO 2026 Table 23 '!$B:$B,"*,"&amp;$A46&amp;",*"))/SUMIFS('AEO 2026 Table 23 '!M:M,'AEO 2026 Table 23 '!$B:$B,"*,"&amp;$A46&amp;",*"),"")</f>
        <v/>
      </c>
      <c r="L46" t="str">
        <f>IFERROR((SUMIFS('AEO 2026 Table 23 '!O:O,'AEO 2026 Table 23 '!$B:$B,"*,"&amp;$A46&amp;",*")-SUMIFS('AEO 2026 Table 23 '!N:N,'AEO 2026 Table 23 '!$B:$B,"*,"&amp;$A46&amp;",*"))/SUMIFS('AEO 2026 Table 23 '!N:N,'AEO 2026 Table 23 '!$B:$B,"*,"&amp;$A46&amp;",*"),"")</f>
        <v/>
      </c>
      <c r="M46" t="str">
        <f>IFERROR((SUMIFS('AEO 2026 Table 23 '!P:P,'AEO 2026 Table 23 '!$B:$B,"*,"&amp;$A46&amp;",*")-SUMIFS('AEO 2026 Table 23 '!O:O,'AEO 2026 Table 23 '!$B:$B,"*,"&amp;$A46&amp;",*"))/SUMIFS('AEO 2026 Table 23 '!O:O,'AEO 2026 Table 23 '!$B:$B,"*,"&amp;$A46&amp;",*"),"")</f>
        <v/>
      </c>
      <c r="N46" t="str">
        <f>IFERROR((SUMIFS('AEO 2026 Table 23 '!Q:Q,'AEO 2026 Table 23 '!$B:$B,"*,"&amp;$A46&amp;",*")-SUMIFS('AEO 2026 Table 23 '!P:P,'AEO 2026 Table 23 '!$B:$B,"*,"&amp;$A46&amp;",*"))/SUMIFS('AEO 2026 Table 23 '!P:P,'AEO 2026 Table 23 '!$B:$B,"*,"&amp;$A46&amp;",*"),"")</f>
        <v/>
      </c>
      <c r="O46" t="str">
        <f>IFERROR((SUMIFS('AEO 2026 Table 23 '!R:R,'AEO 2026 Table 23 '!$B:$B,"*,"&amp;$A46&amp;",*")-SUMIFS('AEO 2026 Table 23 '!Q:Q,'AEO 2026 Table 23 '!$B:$B,"*,"&amp;$A46&amp;",*"))/SUMIFS('AEO 2026 Table 23 '!Q:Q,'AEO 2026 Table 23 '!$B:$B,"*,"&amp;$A46&amp;",*"),"")</f>
        <v/>
      </c>
      <c r="P46" t="str">
        <f>IFERROR((SUMIFS('AEO 2026 Table 23 '!S:S,'AEO 2026 Table 23 '!$B:$B,"*,"&amp;$A46&amp;",*")-SUMIFS('AEO 2026 Table 23 '!R:R,'AEO 2026 Table 23 '!$B:$B,"*,"&amp;$A46&amp;",*"))/SUMIFS('AEO 2026 Table 23 '!R:R,'AEO 2026 Table 23 '!$B:$B,"*,"&amp;$A46&amp;",*"),"")</f>
        <v/>
      </c>
      <c r="Q46" t="str">
        <f>IFERROR((SUMIFS('AEO 2026 Table 23 '!T:T,'AEO 2026 Table 23 '!$B:$B,"*,"&amp;$A46&amp;",*")-SUMIFS('AEO 2026 Table 23 '!S:S,'AEO 2026 Table 23 '!$B:$B,"*,"&amp;$A46&amp;",*"))/SUMIFS('AEO 2026 Table 23 '!S:S,'AEO 2026 Table 23 '!$B:$B,"*,"&amp;$A46&amp;",*"),"")</f>
        <v/>
      </c>
      <c r="R46" t="str">
        <f>IFERROR((SUMIFS('AEO 2026 Table 23 '!U:U,'AEO 2026 Table 23 '!$B:$B,"*,"&amp;$A46&amp;",*")-SUMIFS('AEO 2026 Table 23 '!T:T,'AEO 2026 Table 23 '!$B:$B,"*,"&amp;$A46&amp;",*"))/SUMIFS('AEO 2026 Table 23 '!T:T,'AEO 2026 Table 23 '!$B:$B,"*,"&amp;$A46&amp;",*"),"")</f>
        <v/>
      </c>
      <c r="S46" t="str">
        <f>IFERROR((SUMIFS('AEO 2026 Table 23 '!V:V,'AEO 2026 Table 23 '!$B:$B,"*,"&amp;$A46&amp;",*")-SUMIFS('AEO 2026 Table 23 '!U:U,'AEO 2026 Table 23 '!$B:$B,"*,"&amp;$A46&amp;",*"))/SUMIFS('AEO 2026 Table 23 '!U:U,'AEO 2026 Table 23 '!$B:$B,"*,"&amp;$A46&amp;",*"),"")</f>
        <v/>
      </c>
      <c r="T46" t="str">
        <f>IFERROR((SUMIFS('AEO 2026 Table 23 '!W:W,'AEO 2026 Table 23 '!$B:$B,"*,"&amp;$A46&amp;",*")-SUMIFS('AEO 2026 Table 23 '!V:V,'AEO 2026 Table 23 '!$B:$B,"*,"&amp;$A46&amp;",*"))/SUMIFS('AEO 2026 Table 23 '!V:V,'AEO 2026 Table 23 '!$B:$B,"*,"&amp;$A46&amp;",*"),"")</f>
        <v/>
      </c>
      <c r="U46" t="str">
        <f>IFERROR((SUMIFS('AEO 2026 Table 23 '!X:X,'AEO 2026 Table 23 '!$B:$B,"*,"&amp;$A46&amp;",*")-SUMIFS('AEO 2026 Table 23 '!W:W,'AEO 2026 Table 23 '!$B:$B,"*,"&amp;$A46&amp;",*"))/SUMIFS('AEO 2026 Table 23 '!W:W,'AEO 2026 Table 23 '!$B:$B,"*,"&amp;$A46&amp;",*"),"")</f>
        <v/>
      </c>
      <c r="V46" t="str">
        <f>IFERROR((SUMIFS('AEO 2026 Table 23 '!Y:Y,'AEO 2026 Table 23 '!$B:$B,"*,"&amp;$A46&amp;",*")-SUMIFS('AEO 2026 Table 23 '!X:X,'AEO 2026 Table 23 '!$B:$B,"*,"&amp;$A46&amp;",*"))/SUMIFS('AEO 2026 Table 23 '!X:X,'AEO 2026 Table 23 '!$B:$B,"*,"&amp;$A46&amp;",*"),"")</f>
        <v/>
      </c>
      <c r="W46" t="str">
        <f>IFERROR((SUMIFS('AEO 2026 Table 23 '!Z:Z,'AEO 2026 Table 23 '!$B:$B,"*,"&amp;$A46&amp;",*")-SUMIFS('AEO 2026 Table 23 '!Y:Y,'AEO 2026 Table 23 '!$B:$B,"*,"&amp;$A46&amp;",*"))/SUMIFS('AEO 2026 Table 23 '!Y:Y,'AEO 2026 Table 23 '!$B:$B,"*,"&amp;$A46&amp;",*"),"")</f>
        <v/>
      </c>
      <c r="X46" t="str">
        <f>IFERROR((SUMIFS('AEO 2026 Table 23 '!AA:AA,'AEO 2026 Table 23 '!$B:$B,"*,"&amp;$A46&amp;",*")-SUMIFS('AEO 2026 Table 23 '!Z:Z,'AEO 2026 Table 23 '!$B:$B,"*,"&amp;$A46&amp;",*"))/SUMIFS('AEO 2026 Table 23 '!Z:Z,'AEO 2026 Table 23 '!$B:$B,"*,"&amp;$A46&amp;",*"),"")</f>
        <v/>
      </c>
      <c r="Y46" t="str">
        <f>IFERROR((SUMIFS('AEO 2026 Table 23 '!AB:AB,'AEO 2026 Table 23 '!$B:$B,"*,"&amp;$A46&amp;",*")-SUMIFS('AEO 2026 Table 23 '!AA:AA,'AEO 2026 Table 23 '!$B:$B,"*,"&amp;$A46&amp;",*"))/SUMIFS('AEO 2026 Table 23 '!AA:AA,'AEO 2026 Table 23 '!$B:$B,"*,"&amp;$A46&amp;",*"),"")</f>
        <v/>
      </c>
      <c r="Z46" t="str">
        <f>IFERROR((SUMIFS('AEO 2026 Table 23 '!AC:AC,'AEO 2026 Table 23 '!$B:$B,"*,"&amp;$A46&amp;",*")-SUMIFS('AEO 2026 Table 23 '!AB:AB,'AEO 2026 Table 23 '!$B:$B,"*,"&amp;$A46&amp;",*"))/SUMIFS('AEO 2026 Table 23 '!AB:AB,'AEO 2026 Table 23 '!$B:$B,"*,"&amp;$A46&amp;",*"),"")</f>
        <v/>
      </c>
      <c r="AA46" t="str">
        <f>IFERROR((SUMIFS('AEO 2026 Table 23 '!AD:AD,'AEO 2026 Table 23 '!$B:$B,"*,"&amp;$A46&amp;",*")-SUMIFS('AEO 2026 Table 23 '!AC:AC,'AEO 2026 Table 23 '!$B:$B,"*,"&amp;$A46&amp;",*"))/SUMIFS('AEO 2026 Table 23 '!AC:AC,'AEO 2026 Table 23 '!$B:$B,"*,"&amp;$A46&amp;",*"),"")</f>
        <v/>
      </c>
      <c r="AB46" t="str">
        <f>IFERROR((SUMIFS('AEO 2026 Table 23 '!AE:AE,'AEO 2026 Table 23 '!$B:$B,"*,"&amp;$A46&amp;",*")-SUMIFS('AEO 2026 Table 23 '!AD:AD,'AEO 2026 Table 23 '!$B:$B,"*,"&amp;$A46&amp;",*"))/SUMIFS('AEO 2026 Table 23 '!AD:AD,'AEO 2026 Table 23 '!$B:$B,"*,"&amp;$A46&amp;",*"),"")</f>
        <v/>
      </c>
      <c r="AC46" t="str">
        <f>IFERROR((SUMIFS('AEO 2026 Table 23 '!AF:AF,'AEO 2026 Table 23 '!$B:$B,"*,"&amp;$A46&amp;",*")-SUMIFS('AEO 2026 Table 23 '!AE:AE,'AEO 2026 Table 23 '!$B:$B,"*,"&amp;$A46&amp;",*"))/SUMIFS('AEO 2026 Table 23 '!AE:AE,'AEO 2026 Table 23 '!$B:$B,"*,"&amp;$A46&amp;",*"),"")</f>
        <v/>
      </c>
    </row>
    <row r="47" spans="1:29" x14ac:dyDescent="0.25">
      <c r="A47" t="s">
        <v>607</v>
      </c>
      <c r="B47">
        <f>IFERROR(SUMPRODUCT(--('BLS Table 2.11'!$L$1:$L$426=$A47),'BLS Table 2.11'!$J$1:$J$426,'BLS Table 2.11'!$K$1:$K$426)/SUMIFS('BLS Table 2.11'!$J$1:$J$426,'BLS Table 2.11'!$L$1:$L$426,$A47)/100,0)</f>
        <v>1.9E-2</v>
      </c>
      <c r="D47" t="str">
        <f>IFERROR((SUMIFS('AEO 2026 Table 23 '!G:G,'AEO 2026 Table 23 '!$B:$B,"*,"&amp;$A47&amp;",*")-SUMIFS('AEO25 Table 23'!H:H,'AEO25 Table 23'!$B:$B,"*,"&amp;$A47&amp;",*"))/SUMIFS('AEO25 Table 23'!H:H,'AEO25 Table 23'!$B:$B,"*,"&amp;$A47&amp;",*"),"")</f>
        <v/>
      </c>
      <c r="E47" t="str">
        <f>IFERROR((SUMIFS('AEO 2026 Table 23 '!H:H,'AEO 2026 Table 23 '!$B:$B,"*,"&amp;$A47&amp;",*")-SUMIFS('AEO 2026 Table 23 '!G:G,'AEO 2026 Table 23 '!$B:$B,"*,"&amp;$A47&amp;",*"))/SUMIFS('AEO 2026 Table 23 '!G:G,'AEO 2026 Table 23 '!$B:$B,"*,"&amp;$A47&amp;",*"),"")</f>
        <v/>
      </c>
      <c r="F47" t="str">
        <f>IFERROR((SUMIFS('AEO 2026 Table 23 '!I:I,'AEO 2026 Table 23 '!$B:$B,"*,"&amp;$A47&amp;",*")-SUMIFS('AEO 2026 Table 23 '!H:H,'AEO 2026 Table 23 '!$B:$B,"*,"&amp;$A47&amp;",*"))/SUMIFS('AEO 2026 Table 23 '!H:H,'AEO 2026 Table 23 '!$B:$B,"*,"&amp;$A47&amp;",*"),"")</f>
        <v/>
      </c>
      <c r="G47" t="str">
        <f>IFERROR((SUMIFS('AEO 2026 Table 23 '!J:J,'AEO 2026 Table 23 '!$B:$B,"*,"&amp;$A47&amp;",*")-SUMIFS('AEO 2026 Table 23 '!I:I,'AEO 2026 Table 23 '!$B:$B,"*,"&amp;$A47&amp;",*"))/SUMIFS('AEO 2026 Table 23 '!I:I,'AEO 2026 Table 23 '!$B:$B,"*,"&amp;$A47&amp;",*"),"")</f>
        <v/>
      </c>
      <c r="H47" t="str">
        <f>IFERROR((SUMIFS('AEO 2026 Table 23 '!K:K,'AEO 2026 Table 23 '!$B:$B,"*,"&amp;$A47&amp;",*")-SUMIFS('AEO 2026 Table 23 '!J:J,'AEO 2026 Table 23 '!$B:$B,"*,"&amp;$A47&amp;",*"))/SUMIFS('AEO 2026 Table 23 '!J:J,'AEO 2026 Table 23 '!$B:$B,"*,"&amp;$A47&amp;",*"),"")</f>
        <v/>
      </c>
      <c r="I47" t="str">
        <f>IFERROR((SUMIFS('AEO 2026 Table 23 '!L:L,'AEO 2026 Table 23 '!$B:$B,"*,"&amp;$A47&amp;",*")-SUMIFS('AEO 2026 Table 23 '!K:K,'AEO 2026 Table 23 '!$B:$B,"*,"&amp;$A47&amp;",*"))/SUMIFS('AEO 2026 Table 23 '!K:K,'AEO 2026 Table 23 '!$B:$B,"*,"&amp;$A47&amp;",*"),"")</f>
        <v/>
      </c>
      <c r="J47" t="str">
        <f>IFERROR((SUMIFS('AEO 2026 Table 23 '!M:M,'AEO 2026 Table 23 '!$B:$B,"*,"&amp;$A47&amp;",*")-SUMIFS('AEO 2026 Table 23 '!L:L,'AEO 2026 Table 23 '!$B:$B,"*,"&amp;$A47&amp;",*"))/SUMIFS('AEO 2026 Table 23 '!L:L,'AEO 2026 Table 23 '!$B:$B,"*,"&amp;$A47&amp;",*"),"")</f>
        <v/>
      </c>
      <c r="K47" t="str">
        <f>IFERROR((SUMIFS('AEO 2026 Table 23 '!N:N,'AEO 2026 Table 23 '!$B:$B,"*,"&amp;$A47&amp;",*")-SUMIFS('AEO 2026 Table 23 '!M:M,'AEO 2026 Table 23 '!$B:$B,"*,"&amp;$A47&amp;",*"))/SUMIFS('AEO 2026 Table 23 '!M:M,'AEO 2026 Table 23 '!$B:$B,"*,"&amp;$A47&amp;",*"),"")</f>
        <v/>
      </c>
      <c r="L47" t="str">
        <f>IFERROR((SUMIFS('AEO 2026 Table 23 '!O:O,'AEO 2026 Table 23 '!$B:$B,"*,"&amp;$A47&amp;",*")-SUMIFS('AEO 2026 Table 23 '!N:N,'AEO 2026 Table 23 '!$B:$B,"*,"&amp;$A47&amp;",*"))/SUMIFS('AEO 2026 Table 23 '!N:N,'AEO 2026 Table 23 '!$B:$B,"*,"&amp;$A47&amp;",*"),"")</f>
        <v/>
      </c>
      <c r="M47" t="str">
        <f>IFERROR((SUMIFS('AEO 2026 Table 23 '!P:P,'AEO 2026 Table 23 '!$B:$B,"*,"&amp;$A47&amp;",*")-SUMIFS('AEO 2026 Table 23 '!O:O,'AEO 2026 Table 23 '!$B:$B,"*,"&amp;$A47&amp;",*"))/SUMIFS('AEO 2026 Table 23 '!O:O,'AEO 2026 Table 23 '!$B:$B,"*,"&amp;$A47&amp;",*"),"")</f>
        <v/>
      </c>
      <c r="N47" t="str">
        <f>IFERROR((SUMIFS('AEO 2026 Table 23 '!Q:Q,'AEO 2026 Table 23 '!$B:$B,"*,"&amp;$A47&amp;",*")-SUMIFS('AEO 2026 Table 23 '!P:P,'AEO 2026 Table 23 '!$B:$B,"*,"&amp;$A47&amp;",*"))/SUMIFS('AEO 2026 Table 23 '!P:P,'AEO 2026 Table 23 '!$B:$B,"*,"&amp;$A47&amp;",*"),"")</f>
        <v/>
      </c>
      <c r="O47" t="str">
        <f>IFERROR((SUMIFS('AEO 2026 Table 23 '!R:R,'AEO 2026 Table 23 '!$B:$B,"*,"&amp;$A47&amp;",*")-SUMIFS('AEO 2026 Table 23 '!Q:Q,'AEO 2026 Table 23 '!$B:$B,"*,"&amp;$A47&amp;",*"))/SUMIFS('AEO 2026 Table 23 '!Q:Q,'AEO 2026 Table 23 '!$B:$B,"*,"&amp;$A47&amp;",*"),"")</f>
        <v/>
      </c>
      <c r="P47" t="str">
        <f>IFERROR((SUMIFS('AEO 2026 Table 23 '!S:S,'AEO 2026 Table 23 '!$B:$B,"*,"&amp;$A47&amp;",*")-SUMIFS('AEO 2026 Table 23 '!R:R,'AEO 2026 Table 23 '!$B:$B,"*,"&amp;$A47&amp;",*"))/SUMIFS('AEO 2026 Table 23 '!R:R,'AEO 2026 Table 23 '!$B:$B,"*,"&amp;$A47&amp;",*"),"")</f>
        <v/>
      </c>
      <c r="Q47" t="str">
        <f>IFERROR((SUMIFS('AEO 2026 Table 23 '!T:T,'AEO 2026 Table 23 '!$B:$B,"*,"&amp;$A47&amp;",*")-SUMIFS('AEO 2026 Table 23 '!S:S,'AEO 2026 Table 23 '!$B:$B,"*,"&amp;$A47&amp;",*"))/SUMIFS('AEO 2026 Table 23 '!S:S,'AEO 2026 Table 23 '!$B:$B,"*,"&amp;$A47&amp;",*"),"")</f>
        <v/>
      </c>
      <c r="R47" t="str">
        <f>IFERROR((SUMIFS('AEO 2026 Table 23 '!U:U,'AEO 2026 Table 23 '!$B:$B,"*,"&amp;$A47&amp;",*")-SUMIFS('AEO 2026 Table 23 '!T:T,'AEO 2026 Table 23 '!$B:$B,"*,"&amp;$A47&amp;",*"))/SUMIFS('AEO 2026 Table 23 '!T:T,'AEO 2026 Table 23 '!$B:$B,"*,"&amp;$A47&amp;",*"),"")</f>
        <v/>
      </c>
      <c r="S47" t="str">
        <f>IFERROR((SUMIFS('AEO 2026 Table 23 '!V:V,'AEO 2026 Table 23 '!$B:$B,"*,"&amp;$A47&amp;",*")-SUMIFS('AEO 2026 Table 23 '!U:U,'AEO 2026 Table 23 '!$B:$B,"*,"&amp;$A47&amp;",*"))/SUMIFS('AEO 2026 Table 23 '!U:U,'AEO 2026 Table 23 '!$B:$B,"*,"&amp;$A47&amp;",*"),"")</f>
        <v/>
      </c>
      <c r="T47" t="str">
        <f>IFERROR((SUMIFS('AEO 2026 Table 23 '!W:W,'AEO 2026 Table 23 '!$B:$B,"*,"&amp;$A47&amp;",*")-SUMIFS('AEO 2026 Table 23 '!V:V,'AEO 2026 Table 23 '!$B:$B,"*,"&amp;$A47&amp;",*"))/SUMIFS('AEO 2026 Table 23 '!V:V,'AEO 2026 Table 23 '!$B:$B,"*,"&amp;$A47&amp;",*"),"")</f>
        <v/>
      </c>
      <c r="U47" t="str">
        <f>IFERROR((SUMIFS('AEO 2026 Table 23 '!X:X,'AEO 2026 Table 23 '!$B:$B,"*,"&amp;$A47&amp;",*")-SUMIFS('AEO 2026 Table 23 '!W:W,'AEO 2026 Table 23 '!$B:$B,"*,"&amp;$A47&amp;",*"))/SUMIFS('AEO 2026 Table 23 '!W:W,'AEO 2026 Table 23 '!$B:$B,"*,"&amp;$A47&amp;",*"),"")</f>
        <v/>
      </c>
      <c r="V47" t="str">
        <f>IFERROR((SUMIFS('AEO 2026 Table 23 '!Y:Y,'AEO 2026 Table 23 '!$B:$B,"*,"&amp;$A47&amp;",*")-SUMIFS('AEO 2026 Table 23 '!X:X,'AEO 2026 Table 23 '!$B:$B,"*,"&amp;$A47&amp;",*"))/SUMIFS('AEO 2026 Table 23 '!X:X,'AEO 2026 Table 23 '!$B:$B,"*,"&amp;$A47&amp;",*"),"")</f>
        <v/>
      </c>
      <c r="W47" t="str">
        <f>IFERROR((SUMIFS('AEO 2026 Table 23 '!Z:Z,'AEO 2026 Table 23 '!$B:$B,"*,"&amp;$A47&amp;",*")-SUMIFS('AEO 2026 Table 23 '!Y:Y,'AEO 2026 Table 23 '!$B:$B,"*,"&amp;$A47&amp;",*"))/SUMIFS('AEO 2026 Table 23 '!Y:Y,'AEO 2026 Table 23 '!$B:$B,"*,"&amp;$A47&amp;",*"),"")</f>
        <v/>
      </c>
      <c r="X47" t="str">
        <f>IFERROR((SUMIFS('AEO 2026 Table 23 '!AA:AA,'AEO 2026 Table 23 '!$B:$B,"*,"&amp;$A47&amp;",*")-SUMIFS('AEO 2026 Table 23 '!Z:Z,'AEO 2026 Table 23 '!$B:$B,"*,"&amp;$A47&amp;",*"))/SUMIFS('AEO 2026 Table 23 '!Z:Z,'AEO 2026 Table 23 '!$B:$B,"*,"&amp;$A47&amp;",*"),"")</f>
        <v/>
      </c>
      <c r="Y47" t="str">
        <f>IFERROR((SUMIFS('AEO 2026 Table 23 '!AB:AB,'AEO 2026 Table 23 '!$B:$B,"*,"&amp;$A47&amp;",*")-SUMIFS('AEO 2026 Table 23 '!AA:AA,'AEO 2026 Table 23 '!$B:$B,"*,"&amp;$A47&amp;",*"))/SUMIFS('AEO 2026 Table 23 '!AA:AA,'AEO 2026 Table 23 '!$B:$B,"*,"&amp;$A47&amp;",*"),"")</f>
        <v/>
      </c>
      <c r="Z47" t="str">
        <f>IFERROR((SUMIFS('AEO 2026 Table 23 '!AC:AC,'AEO 2026 Table 23 '!$B:$B,"*,"&amp;$A47&amp;",*")-SUMIFS('AEO 2026 Table 23 '!AB:AB,'AEO 2026 Table 23 '!$B:$B,"*,"&amp;$A47&amp;",*"))/SUMIFS('AEO 2026 Table 23 '!AB:AB,'AEO 2026 Table 23 '!$B:$B,"*,"&amp;$A47&amp;",*"),"")</f>
        <v/>
      </c>
      <c r="AA47" t="str">
        <f>IFERROR((SUMIFS('AEO 2026 Table 23 '!AD:AD,'AEO 2026 Table 23 '!$B:$B,"*,"&amp;$A47&amp;",*")-SUMIFS('AEO 2026 Table 23 '!AC:AC,'AEO 2026 Table 23 '!$B:$B,"*,"&amp;$A47&amp;",*"))/SUMIFS('AEO 2026 Table 23 '!AC:AC,'AEO 2026 Table 23 '!$B:$B,"*,"&amp;$A47&amp;",*"),"")</f>
        <v/>
      </c>
      <c r="AB47" t="str">
        <f>IFERROR((SUMIFS('AEO 2026 Table 23 '!AE:AE,'AEO 2026 Table 23 '!$B:$B,"*,"&amp;$A47&amp;",*")-SUMIFS('AEO 2026 Table 23 '!AD:AD,'AEO 2026 Table 23 '!$B:$B,"*,"&amp;$A47&amp;",*"))/SUMIFS('AEO 2026 Table 23 '!AD:AD,'AEO 2026 Table 23 '!$B:$B,"*,"&amp;$A47&amp;",*"),"")</f>
        <v/>
      </c>
      <c r="AC47" t="str">
        <f>IFERROR((SUMIFS('AEO 2026 Table 23 '!AF:AF,'AEO 2026 Table 23 '!$B:$B,"*,"&amp;$A47&amp;",*")-SUMIFS('AEO 2026 Table 23 '!AE:AE,'AEO 2026 Table 23 '!$B:$B,"*,"&amp;$A47&amp;",*"))/SUMIFS('AEO 2026 Table 23 '!AE:AE,'AEO 2026 Table 23 '!$B:$B,"*,"&amp;$A47&amp;",*"),"")</f>
        <v/>
      </c>
    </row>
    <row r="48" spans="1:29" x14ac:dyDescent="0.25">
      <c r="A48" t="s">
        <v>623</v>
      </c>
      <c r="B48">
        <f>IFERROR(SUMPRODUCT(--('BLS Table 2.11'!$L$1:$L$426=$A48),'BLS Table 2.11'!$J$1:$J$426,'BLS Table 2.11'!$K$1:$K$426)/SUMIFS('BLS Table 2.11'!$J$1:$J$426,'BLS Table 2.11'!$L$1:$L$426,$A48)/100,0)</f>
        <v>2.229329587339228E-2</v>
      </c>
      <c r="D48" t="str">
        <f>IFERROR((SUMIFS('AEO 2026 Table 23 '!G:G,'AEO 2026 Table 23 '!$B:$B,"*,"&amp;$A48&amp;",*")-SUMIFS('AEO25 Table 23'!H:H,'AEO25 Table 23'!$B:$B,"*,"&amp;$A48&amp;",*"))/SUMIFS('AEO25 Table 23'!H:H,'AEO25 Table 23'!$B:$B,"*,"&amp;$A48&amp;",*"),"")</f>
        <v/>
      </c>
      <c r="E48" t="str">
        <f>IFERROR((SUMIFS('AEO 2026 Table 23 '!H:H,'AEO 2026 Table 23 '!$B:$B,"*,"&amp;$A48&amp;",*")-SUMIFS('AEO 2026 Table 23 '!G:G,'AEO 2026 Table 23 '!$B:$B,"*,"&amp;$A48&amp;",*"))/SUMIFS('AEO 2026 Table 23 '!G:G,'AEO 2026 Table 23 '!$B:$B,"*,"&amp;$A48&amp;",*"),"")</f>
        <v/>
      </c>
      <c r="F48" t="str">
        <f>IFERROR((SUMIFS('AEO 2026 Table 23 '!I:I,'AEO 2026 Table 23 '!$B:$B,"*,"&amp;$A48&amp;",*")-SUMIFS('AEO 2026 Table 23 '!H:H,'AEO 2026 Table 23 '!$B:$B,"*,"&amp;$A48&amp;",*"))/SUMIFS('AEO 2026 Table 23 '!H:H,'AEO 2026 Table 23 '!$B:$B,"*,"&amp;$A48&amp;",*"),"")</f>
        <v/>
      </c>
      <c r="G48" t="str">
        <f>IFERROR((SUMIFS('AEO 2026 Table 23 '!J:J,'AEO 2026 Table 23 '!$B:$B,"*,"&amp;$A48&amp;",*")-SUMIFS('AEO 2026 Table 23 '!I:I,'AEO 2026 Table 23 '!$B:$B,"*,"&amp;$A48&amp;",*"))/SUMIFS('AEO 2026 Table 23 '!I:I,'AEO 2026 Table 23 '!$B:$B,"*,"&amp;$A48&amp;",*"),"")</f>
        <v/>
      </c>
      <c r="H48" t="str">
        <f>IFERROR((SUMIFS('AEO 2026 Table 23 '!K:K,'AEO 2026 Table 23 '!$B:$B,"*,"&amp;$A48&amp;",*")-SUMIFS('AEO 2026 Table 23 '!J:J,'AEO 2026 Table 23 '!$B:$B,"*,"&amp;$A48&amp;",*"))/SUMIFS('AEO 2026 Table 23 '!J:J,'AEO 2026 Table 23 '!$B:$B,"*,"&amp;$A48&amp;",*"),"")</f>
        <v/>
      </c>
      <c r="I48" t="str">
        <f>IFERROR((SUMIFS('AEO 2026 Table 23 '!L:L,'AEO 2026 Table 23 '!$B:$B,"*,"&amp;$A48&amp;",*")-SUMIFS('AEO 2026 Table 23 '!K:K,'AEO 2026 Table 23 '!$B:$B,"*,"&amp;$A48&amp;",*"))/SUMIFS('AEO 2026 Table 23 '!K:K,'AEO 2026 Table 23 '!$B:$B,"*,"&amp;$A48&amp;",*"),"")</f>
        <v/>
      </c>
      <c r="J48" t="str">
        <f>IFERROR((SUMIFS('AEO 2026 Table 23 '!M:M,'AEO 2026 Table 23 '!$B:$B,"*,"&amp;$A48&amp;",*")-SUMIFS('AEO 2026 Table 23 '!L:L,'AEO 2026 Table 23 '!$B:$B,"*,"&amp;$A48&amp;",*"))/SUMIFS('AEO 2026 Table 23 '!L:L,'AEO 2026 Table 23 '!$B:$B,"*,"&amp;$A48&amp;",*"),"")</f>
        <v/>
      </c>
      <c r="K48" t="str">
        <f>IFERROR((SUMIFS('AEO 2026 Table 23 '!N:N,'AEO 2026 Table 23 '!$B:$B,"*,"&amp;$A48&amp;",*")-SUMIFS('AEO 2026 Table 23 '!M:M,'AEO 2026 Table 23 '!$B:$B,"*,"&amp;$A48&amp;",*"))/SUMIFS('AEO 2026 Table 23 '!M:M,'AEO 2026 Table 23 '!$B:$B,"*,"&amp;$A48&amp;",*"),"")</f>
        <v/>
      </c>
      <c r="L48" t="str">
        <f>IFERROR((SUMIFS('AEO 2026 Table 23 '!O:O,'AEO 2026 Table 23 '!$B:$B,"*,"&amp;$A48&amp;",*")-SUMIFS('AEO 2026 Table 23 '!N:N,'AEO 2026 Table 23 '!$B:$B,"*,"&amp;$A48&amp;",*"))/SUMIFS('AEO 2026 Table 23 '!N:N,'AEO 2026 Table 23 '!$B:$B,"*,"&amp;$A48&amp;",*"),"")</f>
        <v/>
      </c>
      <c r="M48" t="str">
        <f>IFERROR((SUMIFS('AEO 2026 Table 23 '!P:P,'AEO 2026 Table 23 '!$B:$B,"*,"&amp;$A48&amp;",*")-SUMIFS('AEO 2026 Table 23 '!O:O,'AEO 2026 Table 23 '!$B:$B,"*,"&amp;$A48&amp;",*"))/SUMIFS('AEO 2026 Table 23 '!O:O,'AEO 2026 Table 23 '!$B:$B,"*,"&amp;$A48&amp;",*"),"")</f>
        <v/>
      </c>
      <c r="N48" t="str">
        <f>IFERROR((SUMIFS('AEO 2026 Table 23 '!Q:Q,'AEO 2026 Table 23 '!$B:$B,"*,"&amp;$A48&amp;",*")-SUMIFS('AEO 2026 Table 23 '!P:P,'AEO 2026 Table 23 '!$B:$B,"*,"&amp;$A48&amp;",*"))/SUMIFS('AEO 2026 Table 23 '!P:P,'AEO 2026 Table 23 '!$B:$B,"*,"&amp;$A48&amp;",*"),"")</f>
        <v/>
      </c>
      <c r="O48" t="str">
        <f>IFERROR((SUMIFS('AEO 2026 Table 23 '!R:R,'AEO 2026 Table 23 '!$B:$B,"*,"&amp;$A48&amp;",*")-SUMIFS('AEO 2026 Table 23 '!Q:Q,'AEO 2026 Table 23 '!$B:$B,"*,"&amp;$A48&amp;",*"))/SUMIFS('AEO 2026 Table 23 '!Q:Q,'AEO 2026 Table 23 '!$B:$B,"*,"&amp;$A48&amp;",*"),"")</f>
        <v/>
      </c>
      <c r="P48" t="str">
        <f>IFERROR((SUMIFS('AEO 2026 Table 23 '!S:S,'AEO 2026 Table 23 '!$B:$B,"*,"&amp;$A48&amp;",*")-SUMIFS('AEO 2026 Table 23 '!R:R,'AEO 2026 Table 23 '!$B:$B,"*,"&amp;$A48&amp;",*"))/SUMIFS('AEO 2026 Table 23 '!R:R,'AEO 2026 Table 23 '!$B:$B,"*,"&amp;$A48&amp;",*"),"")</f>
        <v/>
      </c>
      <c r="Q48" t="str">
        <f>IFERROR((SUMIFS('AEO 2026 Table 23 '!T:T,'AEO 2026 Table 23 '!$B:$B,"*,"&amp;$A48&amp;",*")-SUMIFS('AEO 2026 Table 23 '!S:S,'AEO 2026 Table 23 '!$B:$B,"*,"&amp;$A48&amp;",*"))/SUMIFS('AEO 2026 Table 23 '!S:S,'AEO 2026 Table 23 '!$B:$B,"*,"&amp;$A48&amp;",*"),"")</f>
        <v/>
      </c>
      <c r="R48" t="str">
        <f>IFERROR((SUMIFS('AEO 2026 Table 23 '!U:U,'AEO 2026 Table 23 '!$B:$B,"*,"&amp;$A48&amp;",*")-SUMIFS('AEO 2026 Table 23 '!T:T,'AEO 2026 Table 23 '!$B:$B,"*,"&amp;$A48&amp;",*"))/SUMIFS('AEO 2026 Table 23 '!T:T,'AEO 2026 Table 23 '!$B:$B,"*,"&amp;$A48&amp;",*"),"")</f>
        <v/>
      </c>
      <c r="S48" t="str">
        <f>IFERROR((SUMIFS('AEO 2026 Table 23 '!V:V,'AEO 2026 Table 23 '!$B:$B,"*,"&amp;$A48&amp;",*")-SUMIFS('AEO 2026 Table 23 '!U:U,'AEO 2026 Table 23 '!$B:$B,"*,"&amp;$A48&amp;",*"))/SUMIFS('AEO 2026 Table 23 '!U:U,'AEO 2026 Table 23 '!$B:$B,"*,"&amp;$A48&amp;",*"),"")</f>
        <v/>
      </c>
      <c r="T48" t="str">
        <f>IFERROR((SUMIFS('AEO 2026 Table 23 '!W:W,'AEO 2026 Table 23 '!$B:$B,"*,"&amp;$A48&amp;",*")-SUMIFS('AEO 2026 Table 23 '!V:V,'AEO 2026 Table 23 '!$B:$B,"*,"&amp;$A48&amp;",*"))/SUMIFS('AEO 2026 Table 23 '!V:V,'AEO 2026 Table 23 '!$B:$B,"*,"&amp;$A48&amp;",*"),"")</f>
        <v/>
      </c>
      <c r="U48" t="str">
        <f>IFERROR((SUMIFS('AEO 2026 Table 23 '!X:X,'AEO 2026 Table 23 '!$B:$B,"*,"&amp;$A48&amp;",*")-SUMIFS('AEO 2026 Table 23 '!W:W,'AEO 2026 Table 23 '!$B:$B,"*,"&amp;$A48&amp;",*"))/SUMIFS('AEO 2026 Table 23 '!W:W,'AEO 2026 Table 23 '!$B:$B,"*,"&amp;$A48&amp;",*"),"")</f>
        <v/>
      </c>
      <c r="V48" t="str">
        <f>IFERROR((SUMIFS('AEO 2026 Table 23 '!Y:Y,'AEO 2026 Table 23 '!$B:$B,"*,"&amp;$A48&amp;",*")-SUMIFS('AEO 2026 Table 23 '!X:X,'AEO 2026 Table 23 '!$B:$B,"*,"&amp;$A48&amp;",*"))/SUMIFS('AEO 2026 Table 23 '!X:X,'AEO 2026 Table 23 '!$B:$B,"*,"&amp;$A48&amp;",*"),"")</f>
        <v/>
      </c>
      <c r="W48" t="str">
        <f>IFERROR((SUMIFS('AEO 2026 Table 23 '!Z:Z,'AEO 2026 Table 23 '!$B:$B,"*,"&amp;$A48&amp;",*")-SUMIFS('AEO 2026 Table 23 '!Y:Y,'AEO 2026 Table 23 '!$B:$B,"*,"&amp;$A48&amp;",*"))/SUMIFS('AEO 2026 Table 23 '!Y:Y,'AEO 2026 Table 23 '!$B:$B,"*,"&amp;$A48&amp;",*"),"")</f>
        <v/>
      </c>
      <c r="X48" t="str">
        <f>IFERROR((SUMIFS('AEO 2026 Table 23 '!AA:AA,'AEO 2026 Table 23 '!$B:$B,"*,"&amp;$A48&amp;",*")-SUMIFS('AEO 2026 Table 23 '!Z:Z,'AEO 2026 Table 23 '!$B:$B,"*,"&amp;$A48&amp;",*"))/SUMIFS('AEO 2026 Table 23 '!Z:Z,'AEO 2026 Table 23 '!$B:$B,"*,"&amp;$A48&amp;",*"),"")</f>
        <v/>
      </c>
      <c r="Y48" t="str">
        <f>IFERROR((SUMIFS('AEO 2026 Table 23 '!AB:AB,'AEO 2026 Table 23 '!$B:$B,"*,"&amp;$A48&amp;",*")-SUMIFS('AEO 2026 Table 23 '!AA:AA,'AEO 2026 Table 23 '!$B:$B,"*,"&amp;$A48&amp;",*"))/SUMIFS('AEO 2026 Table 23 '!AA:AA,'AEO 2026 Table 23 '!$B:$B,"*,"&amp;$A48&amp;",*"),"")</f>
        <v/>
      </c>
      <c r="Z48" t="str">
        <f>IFERROR((SUMIFS('AEO 2026 Table 23 '!AC:AC,'AEO 2026 Table 23 '!$B:$B,"*,"&amp;$A48&amp;",*")-SUMIFS('AEO 2026 Table 23 '!AB:AB,'AEO 2026 Table 23 '!$B:$B,"*,"&amp;$A48&amp;",*"))/SUMIFS('AEO 2026 Table 23 '!AB:AB,'AEO 2026 Table 23 '!$B:$B,"*,"&amp;$A48&amp;",*"),"")</f>
        <v/>
      </c>
      <c r="AA48" t="str">
        <f>IFERROR((SUMIFS('AEO 2026 Table 23 '!AD:AD,'AEO 2026 Table 23 '!$B:$B,"*,"&amp;$A48&amp;",*")-SUMIFS('AEO 2026 Table 23 '!AC:AC,'AEO 2026 Table 23 '!$B:$B,"*,"&amp;$A48&amp;",*"))/SUMIFS('AEO 2026 Table 23 '!AC:AC,'AEO 2026 Table 23 '!$B:$B,"*,"&amp;$A48&amp;",*"),"")</f>
        <v/>
      </c>
      <c r="AB48" t="str">
        <f>IFERROR((SUMIFS('AEO 2026 Table 23 '!AE:AE,'AEO 2026 Table 23 '!$B:$B,"*,"&amp;$A48&amp;",*")-SUMIFS('AEO 2026 Table 23 '!AD:AD,'AEO 2026 Table 23 '!$B:$B,"*,"&amp;$A48&amp;",*"))/SUMIFS('AEO 2026 Table 23 '!AD:AD,'AEO 2026 Table 23 '!$B:$B,"*,"&amp;$A48&amp;",*"),"")</f>
        <v/>
      </c>
      <c r="AC48" t="str">
        <f>IFERROR((SUMIFS('AEO 2026 Table 23 '!AF:AF,'AEO 2026 Table 23 '!$B:$B,"*,"&amp;$A48&amp;",*")-SUMIFS('AEO 2026 Table 23 '!AE:AE,'AEO 2026 Table 23 '!$B:$B,"*,"&amp;$A48&amp;",*"))/SUMIFS('AEO 2026 Table 23 '!AE:AE,'AEO 2026 Table 23 '!$B:$B,"*,"&amp;$A48&amp;",*"),"")</f>
        <v/>
      </c>
    </row>
    <row r="49" spans="1:29" x14ac:dyDescent="0.25">
      <c r="A49" t="s">
        <v>610</v>
      </c>
      <c r="B49">
        <f>IFERROR(SUMPRODUCT(--('BLS Table 2.11'!$L$1:$L$426=$A49),'BLS Table 2.11'!$J$1:$J$426,'BLS Table 2.11'!$K$1:$K$426)/SUMIFS('BLS Table 2.11'!$J$1:$J$426,'BLS Table 2.11'!$L$1:$L$426,$A49)/100,0)</f>
        <v>2.3824568611339355E-2</v>
      </c>
      <c r="D49" t="str">
        <f>IFERROR((SUMIFS('AEO 2026 Table 23 '!G:G,'AEO 2026 Table 23 '!$B:$B,"*,"&amp;$A49&amp;",*")-SUMIFS('AEO25 Table 23'!H:H,'AEO25 Table 23'!$B:$B,"*,"&amp;$A49&amp;",*"))/SUMIFS('AEO25 Table 23'!H:H,'AEO25 Table 23'!$B:$B,"*,"&amp;$A49&amp;",*"),"")</f>
        <v/>
      </c>
      <c r="E49" t="str">
        <f>IFERROR((SUMIFS('AEO 2026 Table 23 '!H:H,'AEO 2026 Table 23 '!$B:$B,"*,"&amp;$A49&amp;",*")-SUMIFS('AEO 2026 Table 23 '!G:G,'AEO 2026 Table 23 '!$B:$B,"*,"&amp;$A49&amp;",*"))/SUMIFS('AEO 2026 Table 23 '!G:G,'AEO 2026 Table 23 '!$B:$B,"*,"&amp;$A49&amp;",*"),"")</f>
        <v/>
      </c>
      <c r="F49" t="str">
        <f>IFERROR((SUMIFS('AEO 2026 Table 23 '!I:I,'AEO 2026 Table 23 '!$B:$B,"*,"&amp;$A49&amp;",*")-SUMIFS('AEO 2026 Table 23 '!H:H,'AEO 2026 Table 23 '!$B:$B,"*,"&amp;$A49&amp;",*"))/SUMIFS('AEO 2026 Table 23 '!H:H,'AEO 2026 Table 23 '!$B:$B,"*,"&amp;$A49&amp;",*"),"")</f>
        <v/>
      </c>
      <c r="G49" t="str">
        <f>IFERROR((SUMIFS('AEO 2026 Table 23 '!J:J,'AEO 2026 Table 23 '!$B:$B,"*,"&amp;$A49&amp;",*")-SUMIFS('AEO 2026 Table 23 '!I:I,'AEO 2026 Table 23 '!$B:$B,"*,"&amp;$A49&amp;",*"))/SUMIFS('AEO 2026 Table 23 '!I:I,'AEO 2026 Table 23 '!$B:$B,"*,"&amp;$A49&amp;",*"),"")</f>
        <v/>
      </c>
      <c r="H49" t="str">
        <f>IFERROR((SUMIFS('AEO 2026 Table 23 '!K:K,'AEO 2026 Table 23 '!$B:$B,"*,"&amp;$A49&amp;",*")-SUMIFS('AEO 2026 Table 23 '!J:J,'AEO 2026 Table 23 '!$B:$B,"*,"&amp;$A49&amp;",*"))/SUMIFS('AEO 2026 Table 23 '!J:J,'AEO 2026 Table 23 '!$B:$B,"*,"&amp;$A49&amp;",*"),"")</f>
        <v/>
      </c>
      <c r="I49" t="str">
        <f>IFERROR((SUMIFS('AEO 2026 Table 23 '!L:L,'AEO 2026 Table 23 '!$B:$B,"*,"&amp;$A49&amp;",*")-SUMIFS('AEO 2026 Table 23 '!K:K,'AEO 2026 Table 23 '!$B:$B,"*,"&amp;$A49&amp;",*"))/SUMIFS('AEO 2026 Table 23 '!K:K,'AEO 2026 Table 23 '!$B:$B,"*,"&amp;$A49&amp;",*"),"")</f>
        <v/>
      </c>
      <c r="J49" t="str">
        <f>IFERROR((SUMIFS('AEO 2026 Table 23 '!M:M,'AEO 2026 Table 23 '!$B:$B,"*,"&amp;$A49&amp;",*")-SUMIFS('AEO 2026 Table 23 '!L:L,'AEO 2026 Table 23 '!$B:$B,"*,"&amp;$A49&amp;",*"))/SUMIFS('AEO 2026 Table 23 '!L:L,'AEO 2026 Table 23 '!$B:$B,"*,"&amp;$A49&amp;",*"),"")</f>
        <v/>
      </c>
      <c r="K49" t="str">
        <f>IFERROR((SUMIFS('AEO 2026 Table 23 '!N:N,'AEO 2026 Table 23 '!$B:$B,"*,"&amp;$A49&amp;",*")-SUMIFS('AEO 2026 Table 23 '!M:M,'AEO 2026 Table 23 '!$B:$B,"*,"&amp;$A49&amp;",*"))/SUMIFS('AEO 2026 Table 23 '!M:M,'AEO 2026 Table 23 '!$B:$B,"*,"&amp;$A49&amp;",*"),"")</f>
        <v/>
      </c>
      <c r="L49" t="str">
        <f>IFERROR((SUMIFS('AEO 2026 Table 23 '!O:O,'AEO 2026 Table 23 '!$B:$B,"*,"&amp;$A49&amp;",*")-SUMIFS('AEO 2026 Table 23 '!N:N,'AEO 2026 Table 23 '!$B:$B,"*,"&amp;$A49&amp;",*"))/SUMIFS('AEO 2026 Table 23 '!N:N,'AEO 2026 Table 23 '!$B:$B,"*,"&amp;$A49&amp;",*"),"")</f>
        <v/>
      </c>
      <c r="M49" t="str">
        <f>IFERROR((SUMIFS('AEO 2026 Table 23 '!P:P,'AEO 2026 Table 23 '!$B:$B,"*,"&amp;$A49&amp;",*")-SUMIFS('AEO 2026 Table 23 '!O:O,'AEO 2026 Table 23 '!$B:$B,"*,"&amp;$A49&amp;",*"))/SUMIFS('AEO 2026 Table 23 '!O:O,'AEO 2026 Table 23 '!$B:$B,"*,"&amp;$A49&amp;",*"),"")</f>
        <v/>
      </c>
      <c r="N49" t="str">
        <f>IFERROR((SUMIFS('AEO 2026 Table 23 '!Q:Q,'AEO 2026 Table 23 '!$B:$B,"*,"&amp;$A49&amp;",*")-SUMIFS('AEO 2026 Table 23 '!P:P,'AEO 2026 Table 23 '!$B:$B,"*,"&amp;$A49&amp;",*"))/SUMIFS('AEO 2026 Table 23 '!P:P,'AEO 2026 Table 23 '!$B:$B,"*,"&amp;$A49&amp;",*"),"")</f>
        <v/>
      </c>
      <c r="O49" t="str">
        <f>IFERROR((SUMIFS('AEO 2026 Table 23 '!R:R,'AEO 2026 Table 23 '!$B:$B,"*,"&amp;$A49&amp;",*")-SUMIFS('AEO 2026 Table 23 '!Q:Q,'AEO 2026 Table 23 '!$B:$B,"*,"&amp;$A49&amp;",*"))/SUMIFS('AEO 2026 Table 23 '!Q:Q,'AEO 2026 Table 23 '!$B:$B,"*,"&amp;$A49&amp;",*"),"")</f>
        <v/>
      </c>
      <c r="P49" t="str">
        <f>IFERROR((SUMIFS('AEO 2026 Table 23 '!S:S,'AEO 2026 Table 23 '!$B:$B,"*,"&amp;$A49&amp;",*")-SUMIFS('AEO 2026 Table 23 '!R:R,'AEO 2026 Table 23 '!$B:$B,"*,"&amp;$A49&amp;",*"))/SUMIFS('AEO 2026 Table 23 '!R:R,'AEO 2026 Table 23 '!$B:$B,"*,"&amp;$A49&amp;",*"),"")</f>
        <v/>
      </c>
      <c r="Q49" t="str">
        <f>IFERROR((SUMIFS('AEO 2026 Table 23 '!T:T,'AEO 2026 Table 23 '!$B:$B,"*,"&amp;$A49&amp;",*")-SUMIFS('AEO 2026 Table 23 '!S:S,'AEO 2026 Table 23 '!$B:$B,"*,"&amp;$A49&amp;",*"))/SUMIFS('AEO 2026 Table 23 '!S:S,'AEO 2026 Table 23 '!$B:$B,"*,"&amp;$A49&amp;",*"),"")</f>
        <v/>
      </c>
      <c r="R49" t="str">
        <f>IFERROR((SUMIFS('AEO 2026 Table 23 '!U:U,'AEO 2026 Table 23 '!$B:$B,"*,"&amp;$A49&amp;",*")-SUMIFS('AEO 2026 Table 23 '!T:T,'AEO 2026 Table 23 '!$B:$B,"*,"&amp;$A49&amp;",*"))/SUMIFS('AEO 2026 Table 23 '!T:T,'AEO 2026 Table 23 '!$B:$B,"*,"&amp;$A49&amp;",*"),"")</f>
        <v/>
      </c>
      <c r="S49" t="str">
        <f>IFERROR((SUMIFS('AEO 2026 Table 23 '!V:V,'AEO 2026 Table 23 '!$B:$B,"*,"&amp;$A49&amp;",*")-SUMIFS('AEO 2026 Table 23 '!U:U,'AEO 2026 Table 23 '!$B:$B,"*,"&amp;$A49&amp;",*"))/SUMIFS('AEO 2026 Table 23 '!U:U,'AEO 2026 Table 23 '!$B:$B,"*,"&amp;$A49&amp;",*"),"")</f>
        <v/>
      </c>
      <c r="T49" t="str">
        <f>IFERROR((SUMIFS('AEO 2026 Table 23 '!W:W,'AEO 2026 Table 23 '!$B:$B,"*,"&amp;$A49&amp;",*")-SUMIFS('AEO 2026 Table 23 '!V:V,'AEO 2026 Table 23 '!$B:$B,"*,"&amp;$A49&amp;",*"))/SUMIFS('AEO 2026 Table 23 '!V:V,'AEO 2026 Table 23 '!$B:$B,"*,"&amp;$A49&amp;",*"),"")</f>
        <v/>
      </c>
      <c r="U49" t="str">
        <f>IFERROR((SUMIFS('AEO 2026 Table 23 '!X:X,'AEO 2026 Table 23 '!$B:$B,"*,"&amp;$A49&amp;",*")-SUMIFS('AEO 2026 Table 23 '!W:W,'AEO 2026 Table 23 '!$B:$B,"*,"&amp;$A49&amp;",*"))/SUMIFS('AEO 2026 Table 23 '!W:W,'AEO 2026 Table 23 '!$B:$B,"*,"&amp;$A49&amp;",*"),"")</f>
        <v/>
      </c>
      <c r="V49" t="str">
        <f>IFERROR((SUMIFS('AEO 2026 Table 23 '!Y:Y,'AEO 2026 Table 23 '!$B:$B,"*,"&amp;$A49&amp;",*")-SUMIFS('AEO 2026 Table 23 '!X:X,'AEO 2026 Table 23 '!$B:$B,"*,"&amp;$A49&amp;",*"))/SUMIFS('AEO 2026 Table 23 '!X:X,'AEO 2026 Table 23 '!$B:$B,"*,"&amp;$A49&amp;",*"),"")</f>
        <v/>
      </c>
      <c r="W49" t="str">
        <f>IFERROR((SUMIFS('AEO 2026 Table 23 '!Z:Z,'AEO 2026 Table 23 '!$B:$B,"*,"&amp;$A49&amp;",*")-SUMIFS('AEO 2026 Table 23 '!Y:Y,'AEO 2026 Table 23 '!$B:$B,"*,"&amp;$A49&amp;",*"))/SUMIFS('AEO 2026 Table 23 '!Y:Y,'AEO 2026 Table 23 '!$B:$B,"*,"&amp;$A49&amp;",*"),"")</f>
        <v/>
      </c>
      <c r="X49" t="str">
        <f>IFERROR((SUMIFS('AEO 2026 Table 23 '!AA:AA,'AEO 2026 Table 23 '!$B:$B,"*,"&amp;$A49&amp;",*")-SUMIFS('AEO 2026 Table 23 '!Z:Z,'AEO 2026 Table 23 '!$B:$B,"*,"&amp;$A49&amp;",*"))/SUMIFS('AEO 2026 Table 23 '!Z:Z,'AEO 2026 Table 23 '!$B:$B,"*,"&amp;$A49&amp;",*"),"")</f>
        <v/>
      </c>
      <c r="Y49" t="str">
        <f>IFERROR((SUMIFS('AEO 2026 Table 23 '!AB:AB,'AEO 2026 Table 23 '!$B:$B,"*,"&amp;$A49&amp;",*")-SUMIFS('AEO 2026 Table 23 '!AA:AA,'AEO 2026 Table 23 '!$B:$B,"*,"&amp;$A49&amp;",*"))/SUMIFS('AEO 2026 Table 23 '!AA:AA,'AEO 2026 Table 23 '!$B:$B,"*,"&amp;$A49&amp;",*"),"")</f>
        <v/>
      </c>
      <c r="Z49" t="str">
        <f>IFERROR((SUMIFS('AEO 2026 Table 23 '!AC:AC,'AEO 2026 Table 23 '!$B:$B,"*,"&amp;$A49&amp;",*")-SUMIFS('AEO 2026 Table 23 '!AB:AB,'AEO 2026 Table 23 '!$B:$B,"*,"&amp;$A49&amp;",*"))/SUMIFS('AEO 2026 Table 23 '!AB:AB,'AEO 2026 Table 23 '!$B:$B,"*,"&amp;$A49&amp;",*"),"")</f>
        <v/>
      </c>
      <c r="AA49" t="str">
        <f>IFERROR((SUMIFS('AEO 2026 Table 23 '!AD:AD,'AEO 2026 Table 23 '!$B:$B,"*,"&amp;$A49&amp;",*")-SUMIFS('AEO 2026 Table 23 '!AC:AC,'AEO 2026 Table 23 '!$B:$B,"*,"&amp;$A49&amp;",*"))/SUMIFS('AEO 2026 Table 23 '!AC:AC,'AEO 2026 Table 23 '!$B:$B,"*,"&amp;$A49&amp;",*"),"")</f>
        <v/>
      </c>
      <c r="AB49" t="str">
        <f>IFERROR((SUMIFS('AEO 2026 Table 23 '!AE:AE,'AEO 2026 Table 23 '!$B:$B,"*,"&amp;$A49&amp;",*")-SUMIFS('AEO 2026 Table 23 '!AD:AD,'AEO 2026 Table 23 '!$B:$B,"*,"&amp;$A49&amp;",*"))/SUMIFS('AEO 2026 Table 23 '!AD:AD,'AEO 2026 Table 23 '!$B:$B,"*,"&amp;$A49&amp;",*"),"")</f>
        <v/>
      </c>
      <c r="AC49" t="str">
        <f>IFERROR((SUMIFS('AEO 2026 Table 23 '!AF:AF,'AEO 2026 Table 23 '!$B:$B,"*,"&amp;$A49&amp;",*")-SUMIFS('AEO 2026 Table 23 '!AE:AE,'AEO 2026 Table 23 '!$B:$B,"*,"&amp;$A49&amp;",*"))/SUMIFS('AEO 2026 Table 23 '!AE:AE,'AEO 2026 Table 23 '!$B:$B,"*,"&amp;$A49&amp;",*"),"")</f>
        <v/>
      </c>
    </row>
    <row r="50" spans="1:29" x14ac:dyDescent="0.25">
      <c r="A50" t="s">
        <v>942</v>
      </c>
      <c r="B50">
        <f>IFERROR(SUMPRODUCT(--('BLS Table 2.11'!$L$1:$L$426=$A50),'BLS Table 2.11'!$J$1:$J$426,'BLS Table 2.11'!$K$1:$K$426)/SUMIFS('BLS Table 2.11'!$J$1:$J$426,'BLS Table 2.11'!$L$1:$L$426,$A50)/100,0)</f>
        <v>5.0652135576482191E-3</v>
      </c>
      <c r="D50" t="str">
        <f>IFERROR((SUMIFS('AEO 2026 Table 23 '!G:G,'AEO 2026 Table 23 '!$B:$B,"*,"&amp;$A50&amp;",*")-SUMIFS('AEO25 Table 23'!H:H,'AEO25 Table 23'!$B:$B,"*,"&amp;$A50&amp;",*"))/SUMIFS('AEO25 Table 23'!H:H,'AEO25 Table 23'!$B:$B,"*,"&amp;$A50&amp;",*"),"")</f>
        <v/>
      </c>
      <c r="E50" t="str">
        <f>IFERROR((SUMIFS('AEO 2026 Table 23 '!H:H,'AEO 2026 Table 23 '!$B:$B,"*,"&amp;$A50&amp;",*")-SUMIFS('AEO 2026 Table 23 '!G:G,'AEO 2026 Table 23 '!$B:$B,"*,"&amp;$A50&amp;",*"))/SUMIFS('AEO 2026 Table 23 '!G:G,'AEO 2026 Table 23 '!$B:$B,"*,"&amp;$A50&amp;",*"),"")</f>
        <v/>
      </c>
      <c r="F50" t="str">
        <f>IFERROR((SUMIFS('AEO 2026 Table 23 '!I:I,'AEO 2026 Table 23 '!$B:$B,"*,"&amp;$A50&amp;",*")-SUMIFS('AEO 2026 Table 23 '!H:H,'AEO 2026 Table 23 '!$B:$B,"*,"&amp;$A50&amp;",*"))/SUMIFS('AEO 2026 Table 23 '!H:H,'AEO 2026 Table 23 '!$B:$B,"*,"&amp;$A50&amp;",*"),"")</f>
        <v/>
      </c>
      <c r="G50" t="str">
        <f>IFERROR((SUMIFS('AEO 2026 Table 23 '!J:J,'AEO 2026 Table 23 '!$B:$B,"*,"&amp;$A50&amp;",*")-SUMIFS('AEO 2026 Table 23 '!I:I,'AEO 2026 Table 23 '!$B:$B,"*,"&amp;$A50&amp;",*"))/SUMIFS('AEO 2026 Table 23 '!I:I,'AEO 2026 Table 23 '!$B:$B,"*,"&amp;$A50&amp;",*"),"")</f>
        <v/>
      </c>
      <c r="H50" t="str">
        <f>IFERROR((SUMIFS('AEO 2026 Table 23 '!K:K,'AEO 2026 Table 23 '!$B:$B,"*,"&amp;$A50&amp;",*")-SUMIFS('AEO 2026 Table 23 '!J:J,'AEO 2026 Table 23 '!$B:$B,"*,"&amp;$A50&amp;",*"))/SUMIFS('AEO 2026 Table 23 '!J:J,'AEO 2026 Table 23 '!$B:$B,"*,"&amp;$A50&amp;",*"),"")</f>
        <v/>
      </c>
      <c r="I50" t="str">
        <f>IFERROR((SUMIFS('AEO 2026 Table 23 '!L:L,'AEO 2026 Table 23 '!$B:$B,"*,"&amp;$A50&amp;",*")-SUMIFS('AEO 2026 Table 23 '!K:K,'AEO 2026 Table 23 '!$B:$B,"*,"&amp;$A50&amp;",*"))/SUMIFS('AEO 2026 Table 23 '!K:K,'AEO 2026 Table 23 '!$B:$B,"*,"&amp;$A50&amp;",*"),"")</f>
        <v/>
      </c>
      <c r="J50" t="str">
        <f>IFERROR((SUMIFS('AEO 2026 Table 23 '!M:M,'AEO 2026 Table 23 '!$B:$B,"*,"&amp;$A50&amp;",*")-SUMIFS('AEO 2026 Table 23 '!L:L,'AEO 2026 Table 23 '!$B:$B,"*,"&amp;$A50&amp;",*"))/SUMIFS('AEO 2026 Table 23 '!L:L,'AEO 2026 Table 23 '!$B:$B,"*,"&amp;$A50&amp;",*"),"")</f>
        <v/>
      </c>
      <c r="K50" t="str">
        <f>IFERROR((SUMIFS('AEO 2026 Table 23 '!N:N,'AEO 2026 Table 23 '!$B:$B,"*,"&amp;$A50&amp;",*")-SUMIFS('AEO 2026 Table 23 '!M:M,'AEO 2026 Table 23 '!$B:$B,"*,"&amp;$A50&amp;",*"))/SUMIFS('AEO 2026 Table 23 '!M:M,'AEO 2026 Table 23 '!$B:$B,"*,"&amp;$A50&amp;",*"),"")</f>
        <v/>
      </c>
      <c r="L50" t="str">
        <f>IFERROR((SUMIFS('AEO 2026 Table 23 '!O:O,'AEO 2026 Table 23 '!$B:$B,"*,"&amp;$A50&amp;",*")-SUMIFS('AEO 2026 Table 23 '!N:N,'AEO 2026 Table 23 '!$B:$B,"*,"&amp;$A50&amp;",*"))/SUMIFS('AEO 2026 Table 23 '!N:N,'AEO 2026 Table 23 '!$B:$B,"*,"&amp;$A50&amp;",*"),"")</f>
        <v/>
      </c>
      <c r="M50" t="str">
        <f>IFERROR((SUMIFS('AEO 2026 Table 23 '!P:P,'AEO 2026 Table 23 '!$B:$B,"*,"&amp;$A50&amp;",*")-SUMIFS('AEO 2026 Table 23 '!O:O,'AEO 2026 Table 23 '!$B:$B,"*,"&amp;$A50&amp;",*"))/SUMIFS('AEO 2026 Table 23 '!O:O,'AEO 2026 Table 23 '!$B:$B,"*,"&amp;$A50&amp;",*"),"")</f>
        <v/>
      </c>
      <c r="N50" t="str">
        <f>IFERROR((SUMIFS('AEO 2026 Table 23 '!Q:Q,'AEO 2026 Table 23 '!$B:$B,"*,"&amp;$A50&amp;",*")-SUMIFS('AEO 2026 Table 23 '!P:P,'AEO 2026 Table 23 '!$B:$B,"*,"&amp;$A50&amp;",*"))/SUMIFS('AEO 2026 Table 23 '!P:P,'AEO 2026 Table 23 '!$B:$B,"*,"&amp;$A50&amp;",*"),"")</f>
        <v/>
      </c>
      <c r="O50" t="str">
        <f>IFERROR((SUMIFS('AEO 2026 Table 23 '!R:R,'AEO 2026 Table 23 '!$B:$B,"*,"&amp;$A50&amp;",*")-SUMIFS('AEO 2026 Table 23 '!Q:Q,'AEO 2026 Table 23 '!$B:$B,"*,"&amp;$A50&amp;",*"))/SUMIFS('AEO 2026 Table 23 '!Q:Q,'AEO 2026 Table 23 '!$B:$B,"*,"&amp;$A50&amp;",*"),"")</f>
        <v/>
      </c>
      <c r="P50" t="str">
        <f>IFERROR((SUMIFS('AEO 2026 Table 23 '!S:S,'AEO 2026 Table 23 '!$B:$B,"*,"&amp;$A50&amp;",*")-SUMIFS('AEO 2026 Table 23 '!R:R,'AEO 2026 Table 23 '!$B:$B,"*,"&amp;$A50&amp;",*"))/SUMIFS('AEO 2026 Table 23 '!R:R,'AEO 2026 Table 23 '!$B:$B,"*,"&amp;$A50&amp;",*"),"")</f>
        <v/>
      </c>
      <c r="Q50" t="str">
        <f>IFERROR((SUMIFS('AEO 2026 Table 23 '!T:T,'AEO 2026 Table 23 '!$B:$B,"*,"&amp;$A50&amp;",*")-SUMIFS('AEO 2026 Table 23 '!S:S,'AEO 2026 Table 23 '!$B:$B,"*,"&amp;$A50&amp;",*"))/SUMIFS('AEO 2026 Table 23 '!S:S,'AEO 2026 Table 23 '!$B:$B,"*,"&amp;$A50&amp;",*"),"")</f>
        <v/>
      </c>
      <c r="R50" t="str">
        <f>IFERROR((SUMIFS('AEO 2026 Table 23 '!U:U,'AEO 2026 Table 23 '!$B:$B,"*,"&amp;$A50&amp;",*")-SUMIFS('AEO 2026 Table 23 '!T:T,'AEO 2026 Table 23 '!$B:$B,"*,"&amp;$A50&amp;",*"))/SUMIFS('AEO 2026 Table 23 '!T:T,'AEO 2026 Table 23 '!$B:$B,"*,"&amp;$A50&amp;",*"),"")</f>
        <v/>
      </c>
      <c r="S50" t="str">
        <f>IFERROR((SUMIFS('AEO 2026 Table 23 '!V:V,'AEO 2026 Table 23 '!$B:$B,"*,"&amp;$A50&amp;",*")-SUMIFS('AEO 2026 Table 23 '!U:U,'AEO 2026 Table 23 '!$B:$B,"*,"&amp;$A50&amp;",*"))/SUMIFS('AEO 2026 Table 23 '!U:U,'AEO 2026 Table 23 '!$B:$B,"*,"&amp;$A50&amp;",*"),"")</f>
        <v/>
      </c>
      <c r="T50" t="str">
        <f>IFERROR((SUMIFS('AEO 2026 Table 23 '!W:W,'AEO 2026 Table 23 '!$B:$B,"*,"&amp;$A50&amp;",*")-SUMIFS('AEO 2026 Table 23 '!V:V,'AEO 2026 Table 23 '!$B:$B,"*,"&amp;$A50&amp;",*"))/SUMIFS('AEO 2026 Table 23 '!V:V,'AEO 2026 Table 23 '!$B:$B,"*,"&amp;$A50&amp;",*"),"")</f>
        <v/>
      </c>
      <c r="U50" t="str">
        <f>IFERROR((SUMIFS('AEO 2026 Table 23 '!X:X,'AEO 2026 Table 23 '!$B:$B,"*,"&amp;$A50&amp;",*")-SUMIFS('AEO 2026 Table 23 '!W:W,'AEO 2026 Table 23 '!$B:$B,"*,"&amp;$A50&amp;",*"))/SUMIFS('AEO 2026 Table 23 '!W:W,'AEO 2026 Table 23 '!$B:$B,"*,"&amp;$A50&amp;",*"),"")</f>
        <v/>
      </c>
      <c r="V50" t="str">
        <f>IFERROR((SUMIFS('AEO 2026 Table 23 '!Y:Y,'AEO 2026 Table 23 '!$B:$B,"*,"&amp;$A50&amp;",*")-SUMIFS('AEO 2026 Table 23 '!X:X,'AEO 2026 Table 23 '!$B:$B,"*,"&amp;$A50&amp;",*"))/SUMIFS('AEO 2026 Table 23 '!X:X,'AEO 2026 Table 23 '!$B:$B,"*,"&amp;$A50&amp;",*"),"")</f>
        <v/>
      </c>
      <c r="W50" t="str">
        <f>IFERROR((SUMIFS('AEO 2026 Table 23 '!Z:Z,'AEO 2026 Table 23 '!$B:$B,"*,"&amp;$A50&amp;",*")-SUMIFS('AEO 2026 Table 23 '!Y:Y,'AEO 2026 Table 23 '!$B:$B,"*,"&amp;$A50&amp;",*"))/SUMIFS('AEO 2026 Table 23 '!Y:Y,'AEO 2026 Table 23 '!$B:$B,"*,"&amp;$A50&amp;",*"),"")</f>
        <v/>
      </c>
      <c r="X50" t="str">
        <f>IFERROR((SUMIFS('AEO 2026 Table 23 '!AA:AA,'AEO 2026 Table 23 '!$B:$B,"*,"&amp;$A50&amp;",*")-SUMIFS('AEO 2026 Table 23 '!Z:Z,'AEO 2026 Table 23 '!$B:$B,"*,"&amp;$A50&amp;",*"))/SUMIFS('AEO 2026 Table 23 '!Z:Z,'AEO 2026 Table 23 '!$B:$B,"*,"&amp;$A50&amp;",*"),"")</f>
        <v/>
      </c>
      <c r="Y50" t="str">
        <f>IFERROR((SUMIFS('AEO 2026 Table 23 '!AB:AB,'AEO 2026 Table 23 '!$B:$B,"*,"&amp;$A50&amp;",*")-SUMIFS('AEO 2026 Table 23 '!AA:AA,'AEO 2026 Table 23 '!$B:$B,"*,"&amp;$A50&amp;",*"))/SUMIFS('AEO 2026 Table 23 '!AA:AA,'AEO 2026 Table 23 '!$B:$B,"*,"&amp;$A50&amp;",*"),"")</f>
        <v/>
      </c>
      <c r="Z50" t="str">
        <f>IFERROR((SUMIFS('AEO 2026 Table 23 '!AC:AC,'AEO 2026 Table 23 '!$B:$B,"*,"&amp;$A50&amp;",*")-SUMIFS('AEO 2026 Table 23 '!AB:AB,'AEO 2026 Table 23 '!$B:$B,"*,"&amp;$A50&amp;",*"))/SUMIFS('AEO 2026 Table 23 '!AB:AB,'AEO 2026 Table 23 '!$B:$B,"*,"&amp;$A50&amp;",*"),"")</f>
        <v/>
      </c>
      <c r="AA50" t="str">
        <f>IFERROR((SUMIFS('AEO 2026 Table 23 '!AD:AD,'AEO 2026 Table 23 '!$B:$B,"*,"&amp;$A50&amp;",*")-SUMIFS('AEO 2026 Table 23 '!AC:AC,'AEO 2026 Table 23 '!$B:$B,"*,"&amp;$A50&amp;",*"))/SUMIFS('AEO 2026 Table 23 '!AC:AC,'AEO 2026 Table 23 '!$B:$B,"*,"&amp;$A50&amp;",*"),"")</f>
        <v/>
      </c>
      <c r="AB50" t="str">
        <f>IFERROR((SUMIFS('AEO 2026 Table 23 '!AE:AE,'AEO 2026 Table 23 '!$B:$B,"*,"&amp;$A50&amp;",*")-SUMIFS('AEO 2026 Table 23 '!AD:AD,'AEO 2026 Table 23 '!$B:$B,"*,"&amp;$A50&amp;",*"))/SUMIFS('AEO 2026 Table 23 '!AD:AD,'AEO 2026 Table 23 '!$B:$B,"*,"&amp;$A50&amp;",*"),"")</f>
        <v/>
      </c>
      <c r="AC50" t="str">
        <f>IFERROR((SUMIFS('AEO 2026 Table 23 '!AF:AF,'AEO 2026 Table 23 '!$B:$B,"*,"&amp;$A50&amp;",*")-SUMIFS('AEO 2026 Table 23 '!AE:AE,'AEO 2026 Table 23 '!$B:$B,"*,"&amp;$A50&amp;",*"))/SUMIFS('AEO 2026 Table 23 '!AE:AE,'AEO 2026 Table 23 '!$B:$B,"*,"&amp;$A50&amp;",*"),"")</f>
        <v/>
      </c>
    </row>
    <row r="51" spans="1:29" x14ac:dyDescent="0.25">
      <c r="A51" t="s">
        <v>700</v>
      </c>
      <c r="B51">
        <f>IFERROR(SUMPRODUCT(--('BLS Table 2.11'!$L$1:$L$426=$A51),'BLS Table 2.11'!$J$1:$J$426,'BLS Table 2.11'!$K$1:$K$426)/SUMIFS('BLS Table 2.11'!$J$1:$J$426,'BLS Table 2.11'!$L$1:$L$426,$A51)/100,0)</f>
        <v>4.7258152010125967E-3</v>
      </c>
      <c r="D51" t="str">
        <f>IFERROR((SUMIFS('AEO 2026 Table 23 '!G:G,'AEO 2026 Table 23 '!$B:$B,"*,"&amp;$A51&amp;",*")-SUMIFS('AEO25 Table 23'!H:H,'AEO25 Table 23'!$B:$B,"*,"&amp;$A51&amp;",*"))/SUMIFS('AEO25 Table 23'!H:H,'AEO25 Table 23'!$B:$B,"*,"&amp;$A51&amp;",*"),"")</f>
        <v/>
      </c>
      <c r="E51" t="str">
        <f>IFERROR((SUMIFS('AEO 2026 Table 23 '!H:H,'AEO 2026 Table 23 '!$B:$B,"*,"&amp;$A51&amp;",*")-SUMIFS('AEO 2026 Table 23 '!G:G,'AEO 2026 Table 23 '!$B:$B,"*,"&amp;$A51&amp;",*"))/SUMIFS('AEO 2026 Table 23 '!G:G,'AEO 2026 Table 23 '!$B:$B,"*,"&amp;$A51&amp;",*"),"")</f>
        <v/>
      </c>
      <c r="F51" t="str">
        <f>IFERROR((SUMIFS('AEO 2026 Table 23 '!I:I,'AEO 2026 Table 23 '!$B:$B,"*,"&amp;$A51&amp;",*")-SUMIFS('AEO 2026 Table 23 '!H:H,'AEO 2026 Table 23 '!$B:$B,"*,"&amp;$A51&amp;",*"))/SUMIFS('AEO 2026 Table 23 '!H:H,'AEO 2026 Table 23 '!$B:$B,"*,"&amp;$A51&amp;",*"),"")</f>
        <v/>
      </c>
      <c r="G51" t="str">
        <f>IFERROR((SUMIFS('AEO 2026 Table 23 '!J:J,'AEO 2026 Table 23 '!$B:$B,"*,"&amp;$A51&amp;",*")-SUMIFS('AEO 2026 Table 23 '!I:I,'AEO 2026 Table 23 '!$B:$B,"*,"&amp;$A51&amp;",*"))/SUMIFS('AEO 2026 Table 23 '!I:I,'AEO 2026 Table 23 '!$B:$B,"*,"&amp;$A51&amp;",*"),"")</f>
        <v/>
      </c>
      <c r="H51" t="str">
        <f>IFERROR((SUMIFS('AEO 2026 Table 23 '!K:K,'AEO 2026 Table 23 '!$B:$B,"*,"&amp;$A51&amp;",*")-SUMIFS('AEO 2026 Table 23 '!J:J,'AEO 2026 Table 23 '!$B:$B,"*,"&amp;$A51&amp;",*"))/SUMIFS('AEO 2026 Table 23 '!J:J,'AEO 2026 Table 23 '!$B:$B,"*,"&amp;$A51&amp;",*"),"")</f>
        <v/>
      </c>
      <c r="I51" t="str">
        <f>IFERROR((SUMIFS('AEO 2026 Table 23 '!L:L,'AEO 2026 Table 23 '!$B:$B,"*,"&amp;$A51&amp;",*")-SUMIFS('AEO 2026 Table 23 '!K:K,'AEO 2026 Table 23 '!$B:$B,"*,"&amp;$A51&amp;",*"))/SUMIFS('AEO 2026 Table 23 '!K:K,'AEO 2026 Table 23 '!$B:$B,"*,"&amp;$A51&amp;",*"),"")</f>
        <v/>
      </c>
      <c r="J51" t="str">
        <f>IFERROR((SUMIFS('AEO 2026 Table 23 '!M:M,'AEO 2026 Table 23 '!$B:$B,"*,"&amp;$A51&amp;",*")-SUMIFS('AEO 2026 Table 23 '!L:L,'AEO 2026 Table 23 '!$B:$B,"*,"&amp;$A51&amp;",*"))/SUMIFS('AEO 2026 Table 23 '!L:L,'AEO 2026 Table 23 '!$B:$B,"*,"&amp;$A51&amp;",*"),"")</f>
        <v/>
      </c>
      <c r="K51" t="str">
        <f>IFERROR((SUMIFS('AEO 2026 Table 23 '!N:N,'AEO 2026 Table 23 '!$B:$B,"*,"&amp;$A51&amp;",*")-SUMIFS('AEO 2026 Table 23 '!M:M,'AEO 2026 Table 23 '!$B:$B,"*,"&amp;$A51&amp;",*"))/SUMIFS('AEO 2026 Table 23 '!M:M,'AEO 2026 Table 23 '!$B:$B,"*,"&amp;$A51&amp;",*"),"")</f>
        <v/>
      </c>
      <c r="L51" t="str">
        <f>IFERROR((SUMIFS('AEO 2026 Table 23 '!O:O,'AEO 2026 Table 23 '!$B:$B,"*,"&amp;$A51&amp;",*")-SUMIFS('AEO 2026 Table 23 '!N:N,'AEO 2026 Table 23 '!$B:$B,"*,"&amp;$A51&amp;",*"))/SUMIFS('AEO 2026 Table 23 '!N:N,'AEO 2026 Table 23 '!$B:$B,"*,"&amp;$A51&amp;",*"),"")</f>
        <v/>
      </c>
      <c r="M51" t="str">
        <f>IFERROR((SUMIFS('AEO 2026 Table 23 '!P:P,'AEO 2026 Table 23 '!$B:$B,"*,"&amp;$A51&amp;",*")-SUMIFS('AEO 2026 Table 23 '!O:O,'AEO 2026 Table 23 '!$B:$B,"*,"&amp;$A51&amp;",*"))/SUMIFS('AEO 2026 Table 23 '!O:O,'AEO 2026 Table 23 '!$B:$B,"*,"&amp;$A51&amp;",*"),"")</f>
        <v/>
      </c>
      <c r="N51" t="str">
        <f>IFERROR((SUMIFS('AEO 2026 Table 23 '!Q:Q,'AEO 2026 Table 23 '!$B:$B,"*,"&amp;$A51&amp;",*")-SUMIFS('AEO 2026 Table 23 '!P:P,'AEO 2026 Table 23 '!$B:$B,"*,"&amp;$A51&amp;",*"))/SUMIFS('AEO 2026 Table 23 '!P:P,'AEO 2026 Table 23 '!$B:$B,"*,"&amp;$A51&amp;",*"),"")</f>
        <v/>
      </c>
      <c r="O51" t="str">
        <f>IFERROR((SUMIFS('AEO 2026 Table 23 '!R:R,'AEO 2026 Table 23 '!$B:$B,"*,"&amp;$A51&amp;",*")-SUMIFS('AEO 2026 Table 23 '!Q:Q,'AEO 2026 Table 23 '!$B:$B,"*,"&amp;$A51&amp;",*"))/SUMIFS('AEO 2026 Table 23 '!Q:Q,'AEO 2026 Table 23 '!$B:$B,"*,"&amp;$A51&amp;",*"),"")</f>
        <v/>
      </c>
      <c r="P51" t="str">
        <f>IFERROR((SUMIFS('AEO 2026 Table 23 '!S:S,'AEO 2026 Table 23 '!$B:$B,"*,"&amp;$A51&amp;",*")-SUMIFS('AEO 2026 Table 23 '!R:R,'AEO 2026 Table 23 '!$B:$B,"*,"&amp;$A51&amp;",*"))/SUMIFS('AEO 2026 Table 23 '!R:R,'AEO 2026 Table 23 '!$B:$B,"*,"&amp;$A51&amp;",*"),"")</f>
        <v/>
      </c>
      <c r="Q51" t="str">
        <f>IFERROR((SUMIFS('AEO 2026 Table 23 '!T:T,'AEO 2026 Table 23 '!$B:$B,"*,"&amp;$A51&amp;",*")-SUMIFS('AEO 2026 Table 23 '!S:S,'AEO 2026 Table 23 '!$B:$B,"*,"&amp;$A51&amp;",*"))/SUMIFS('AEO 2026 Table 23 '!S:S,'AEO 2026 Table 23 '!$B:$B,"*,"&amp;$A51&amp;",*"),"")</f>
        <v/>
      </c>
      <c r="R51" t="str">
        <f>IFERROR((SUMIFS('AEO 2026 Table 23 '!U:U,'AEO 2026 Table 23 '!$B:$B,"*,"&amp;$A51&amp;",*")-SUMIFS('AEO 2026 Table 23 '!T:T,'AEO 2026 Table 23 '!$B:$B,"*,"&amp;$A51&amp;",*"))/SUMIFS('AEO 2026 Table 23 '!T:T,'AEO 2026 Table 23 '!$B:$B,"*,"&amp;$A51&amp;",*"),"")</f>
        <v/>
      </c>
      <c r="S51" t="str">
        <f>IFERROR((SUMIFS('AEO 2026 Table 23 '!V:V,'AEO 2026 Table 23 '!$B:$B,"*,"&amp;$A51&amp;",*")-SUMIFS('AEO 2026 Table 23 '!U:U,'AEO 2026 Table 23 '!$B:$B,"*,"&amp;$A51&amp;",*"))/SUMIFS('AEO 2026 Table 23 '!U:U,'AEO 2026 Table 23 '!$B:$B,"*,"&amp;$A51&amp;",*"),"")</f>
        <v/>
      </c>
      <c r="T51" t="str">
        <f>IFERROR((SUMIFS('AEO 2026 Table 23 '!W:W,'AEO 2026 Table 23 '!$B:$B,"*,"&amp;$A51&amp;",*")-SUMIFS('AEO 2026 Table 23 '!V:V,'AEO 2026 Table 23 '!$B:$B,"*,"&amp;$A51&amp;",*"))/SUMIFS('AEO 2026 Table 23 '!V:V,'AEO 2026 Table 23 '!$B:$B,"*,"&amp;$A51&amp;",*"),"")</f>
        <v/>
      </c>
      <c r="U51" t="str">
        <f>IFERROR((SUMIFS('AEO 2026 Table 23 '!X:X,'AEO 2026 Table 23 '!$B:$B,"*,"&amp;$A51&amp;",*")-SUMIFS('AEO 2026 Table 23 '!W:W,'AEO 2026 Table 23 '!$B:$B,"*,"&amp;$A51&amp;",*"))/SUMIFS('AEO 2026 Table 23 '!W:W,'AEO 2026 Table 23 '!$B:$B,"*,"&amp;$A51&amp;",*"),"")</f>
        <v/>
      </c>
      <c r="V51" t="str">
        <f>IFERROR((SUMIFS('AEO 2026 Table 23 '!Y:Y,'AEO 2026 Table 23 '!$B:$B,"*,"&amp;$A51&amp;",*")-SUMIFS('AEO 2026 Table 23 '!X:X,'AEO 2026 Table 23 '!$B:$B,"*,"&amp;$A51&amp;",*"))/SUMIFS('AEO 2026 Table 23 '!X:X,'AEO 2026 Table 23 '!$B:$B,"*,"&amp;$A51&amp;",*"),"")</f>
        <v/>
      </c>
      <c r="W51" t="str">
        <f>IFERROR((SUMIFS('AEO 2026 Table 23 '!Z:Z,'AEO 2026 Table 23 '!$B:$B,"*,"&amp;$A51&amp;",*")-SUMIFS('AEO 2026 Table 23 '!Y:Y,'AEO 2026 Table 23 '!$B:$B,"*,"&amp;$A51&amp;",*"))/SUMIFS('AEO 2026 Table 23 '!Y:Y,'AEO 2026 Table 23 '!$B:$B,"*,"&amp;$A51&amp;",*"),"")</f>
        <v/>
      </c>
      <c r="X51" t="str">
        <f>IFERROR((SUMIFS('AEO 2026 Table 23 '!AA:AA,'AEO 2026 Table 23 '!$B:$B,"*,"&amp;$A51&amp;",*")-SUMIFS('AEO 2026 Table 23 '!Z:Z,'AEO 2026 Table 23 '!$B:$B,"*,"&amp;$A51&amp;",*"))/SUMIFS('AEO 2026 Table 23 '!Z:Z,'AEO 2026 Table 23 '!$B:$B,"*,"&amp;$A51&amp;",*"),"")</f>
        <v/>
      </c>
      <c r="Y51" t="str">
        <f>IFERROR((SUMIFS('AEO 2026 Table 23 '!AB:AB,'AEO 2026 Table 23 '!$B:$B,"*,"&amp;$A51&amp;",*")-SUMIFS('AEO 2026 Table 23 '!AA:AA,'AEO 2026 Table 23 '!$B:$B,"*,"&amp;$A51&amp;",*"))/SUMIFS('AEO 2026 Table 23 '!AA:AA,'AEO 2026 Table 23 '!$B:$B,"*,"&amp;$A51&amp;",*"),"")</f>
        <v/>
      </c>
      <c r="Z51" t="str">
        <f>IFERROR((SUMIFS('AEO 2026 Table 23 '!AC:AC,'AEO 2026 Table 23 '!$B:$B,"*,"&amp;$A51&amp;",*")-SUMIFS('AEO 2026 Table 23 '!AB:AB,'AEO 2026 Table 23 '!$B:$B,"*,"&amp;$A51&amp;",*"))/SUMIFS('AEO 2026 Table 23 '!AB:AB,'AEO 2026 Table 23 '!$B:$B,"*,"&amp;$A51&amp;",*"),"")</f>
        <v/>
      </c>
      <c r="AA51" t="str">
        <f>IFERROR((SUMIFS('AEO 2026 Table 23 '!AD:AD,'AEO 2026 Table 23 '!$B:$B,"*,"&amp;$A51&amp;",*")-SUMIFS('AEO 2026 Table 23 '!AC:AC,'AEO 2026 Table 23 '!$B:$B,"*,"&amp;$A51&amp;",*"))/SUMIFS('AEO 2026 Table 23 '!AC:AC,'AEO 2026 Table 23 '!$B:$B,"*,"&amp;$A51&amp;",*"),"")</f>
        <v/>
      </c>
      <c r="AB51" t="str">
        <f>IFERROR((SUMIFS('AEO 2026 Table 23 '!AE:AE,'AEO 2026 Table 23 '!$B:$B,"*,"&amp;$A51&amp;",*")-SUMIFS('AEO 2026 Table 23 '!AD:AD,'AEO 2026 Table 23 '!$B:$B,"*,"&amp;$A51&amp;",*"))/SUMIFS('AEO 2026 Table 23 '!AD:AD,'AEO 2026 Table 23 '!$B:$B,"*,"&amp;$A51&amp;",*"),"")</f>
        <v/>
      </c>
      <c r="AC51" t="str">
        <f>IFERROR((SUMIFS('AEO 2026 Table 23 '!AF:AF,'AEO 2026 Table 23 '!$B:$B,"*,"&amp;$A51&amp;",*")-SUMIFS('AEO 2026 Table 23 '!AE:AE,'AEO 2026 Table 23 '!$B:$B,"*,"&amp;$A51&amp;",*"))/SUMIFS('AEO 2026 Table 23 '!AE:AE,'AEO 2026 Table 23 '!$B:$B,"*,"&amp;$A51&amp;",*"),"")</f>
        <v/>
      </c>
    </row>
    <row r="52" spans="1:29" x14ac:dyDescent="0.25">
      <c r="A52" t="s">
        <v>755</v>
      </c>
      <c r="B52">
        <f>IFERROR(SUMPRODUCT(--('BLS Table 2.11'!$L$1:$L$426=$A52),'BLS Table 2.11'!$J$1:$J$426,'BLS Table 2.11'!$K$1:$K$426)/SUMIFS('BLS Table 2.11'!$J$1:$J$426,'BLS Table 2.11'!$L$1:$L$426,$A52)/100,0)</f>
        <v>2.7703373647358368E-2</v>
      </c>
      <c r="D52" t="str">
        <f>IFERROR((SUMIFS('AEO 2026 Table 23 '!G:G,'AEO 2026 Table 23 '!$B:$B,"*,"&amp;$A52&amp;",*")-SUMIFS('AEO25 Table 23'!H:H,'AEO25 Table 23'!$B:$B,"*,"&amp;$A52&amp;",*"))/SUMIFS('AEO25 Table 23'!H:H,'AEO25 Table 23'!$B:$B,"*,"&amp;$A52&amp;",*"),"")</f>
        <v/>
      </c>
      <c r="E52" t="str">
        <f>IFERROR((SUMIFS('AEO 2026 Table 23 '!H:H,'AEO 2026 Table 23 '!$B:$B,"*,"&amp;$A52&amp;",*")-SUMIFS('AEO 2026 Table 23 '!G:G,'AEO 2026 Table 23 '!$B:$B,"*,"&amp;$A52&amp;",*"))/SUMIFS('AEO 2026 Table 23 '!G:G,'AEO 2026 Table 23 '!$B:$B,"*,"&amp;$A52&amp;",*"),"")</f>
        <v/>
      </c>
      <c r="F52" t="str">
        <f>IFERROR((SUMIFS('AEO 2026 Table 23 '!I:I,'AEO 2026 Table 23 '!$B:$B,"*,"&amp;$A52&amp;",*")-SUMIFS('AEO 2026 Table 23 '!H:H,'AEO 2026 Table 23 '!$B:$B,"*,"&amp;$A52&amp;",*"))/SUMIFS('AEO 2026 Table 23 '!H:H,'AEO 2026 Table 23 '!$B:$B,"*,"&amp;$A52&amp;",*"),"")</f>
        <v/>
      </c>
      <c r="G52" t="str">
        <f>IFERROR((SUMIFS('AEO 2026 Table 23 '!J:J,'AEO 2026 Table 23 '!$B:$B,"*,"&amp;$A52&amp;",*")-SUMIFS('AEO 2026 Table 23 '!I:I,'AEO 2026 Table 23 '!$B:$B,"*,"&amp;$A52&amp;",*"))/SUMIFS('AEO 2026 Table 23 '!I:I,'AEO 2026 Table 23 '!$B:$B,"*,"&amp;$A52&amp;",*"),"")</f>
        <v/>
      </c>
      <c r="H52" t="str">
        <f>IFERROR((SUMIFS('AEO 2026 Table 23 '!K:K,'AEO 2026 Table 23 '!$B:$B,"*,"&amp;$A52&amp;",*")-SUMIFS('AEO 2026 Table 23 '!J:J,'AEO 2026 Table 23 '!$B:$B,"*,"&amp;$A52&amp;",*"))/SUMIFS('AEO 2026 Table 23 '!J:J,'AEO 2026 Table 23 '!$B:$B,"*,"&amp;$A52&amp;",*"),"")</f>
        <v/>
      </c>
      <c r="I52" t="str">
        <f>IFERROR((SUMIFS('AEO 2026 Table 23 '!L:L,'AEO 2026 Table 23 '!$B:$B,"*,"&amp;$A52&amp;",*")-SUMIFS('AEO 2026 Table 23 '!K:K,'AEO 2026 Table 23 '!$B:$B,"*,"&amp;$A52&amp;",*"))/SUMIFS('AEO 2026 Table 23 '!K:K,'AEO 2026 Table 23 '!$B:$B,"*,"&amp;$A52&amp;",*"),"")</f>
        <v/>
      </c>
      <c r="J52" t="str">
        <f>IFERROR((SUMIFS('AEO 2026 Table 23 '!M:M,'AEO 2026 Table 23 '!$B:$B,"*,"&amp;$A52&amp;",*")-SUMIFS('AEO 2026 Table 23 '!L:L,'AEO 2026 Table 23 '!$B:$B,"*,"&amp;$A52&amp;",*"))/SUMIFS('AEO 2026 Table 23 '!L:L,'AEO 2026 Table 23 '!$B:$B,"*,"&amp;$A52&amp;",*"),"")</f>
        <v/>
      </c>
      <c r="K52" t="str">
        <f>IFERROR((SUMIFS('AEO 2026 Table 23 '!N:N,'AEO 2026 Table 23 '!$B:$B,"*,"&amp;$A52&amp;",*")-SUMIFS('AEO 2026 Table 23 '!M:M,'AEO 2026 Table 23 '!$B:$B,"*,"&amp;$A52&amp;",*"))/SUMIFS('AEO 2026 Table 23 '!M:M,'AEO 2026 Table 23 '!$B:$B,"*,"&amp;$A52&amp;",*"),"")</f>
        <v/>
      </c>
      <c r="L52" t="str">
        <f>IFERROR((SUMIFS('AEO 2026 Table 23 '!O:O,'AEO 2026 Table 23 '!$B:$B,"*,"&amp;$A52&amp;",*")-SUMIFS('AEO 2026 Table 23 '!N:N,'AEO 2026 Table 23 '!$B:$B,"*,"&amp;$A52&amp;",*"))/SUMIFS('AEO 2026 Table 23 '!N:N,'AEO 2026 Table 23 '!$B:$B,"*,"&amp;$A52&amp;",*"),"")</f>
        <v/>
      </c>
      <c r="M52" t="str">
        <f>IFERROR((SUMIFS('AEO 2026 Table 23 '!P:P,'AEO 2026 Table 23 '!$B:$B,"*,"&amp;$A52&amp;",*")-SUMIFS('AEO 2026 Table 23 '!O:O,'AEO 2026 Table 23 '!$B:$B,"*,"&amp;$A52&amp;",*"))/SUMIFS('AEO 2026 Table 23 '!O:O,'AEO 2026 Table 23 '!$B:$B,"*,"&amp;$A52&amp;",*"),"")</f>
        <v/>
      </c>
      <c r="N52" t="str">
        <f>IFERROR((SUMIFS('AEO 2026 Table 23 '!Q:Q,'AEO 2026 Table 23 '!$B:$B,"*,"&amp;$A52&amp;",*")-SUMIFS('AEO 2026 Table 23 '!P:P,'AEO 2026 Table 23 '!$B:$B,"*,"&amp;$A52&amp;",*"))/SUMIFS('AEO 2026 Table 23 '!P:P,'AEO 2026 Table 23 '!$B:$B,"*,"&amp;$A52&amp;",*"),"")</f>
        <v/>
      </c>
      <c r="O52" t="str">
        <f>IFERROR((SUMIFS('AEO 2026 Table 23 '!R:R,'AEO 2026 Table 23 '!$B:$B,"*,"&amp;$A52&amp;",*")-SUMIFS('AEO 2026 Table 23 '!Q:Q,'AEO 2026 Table 23 '!$B:$B,"*,"&amp;$A52&amp;",*"))/SUMIFS('AEO 2026 Table 23 '!Q:Q,'AEO 2026 Table 23 '!$B:$B,"*,"&amp;$A52&amp;",*"),"")</f>
        <v/>
      </c>
      <c r="P52" t="str">
        <f>IFERROR((SUMIFS('AEO 2026 Table 23 '!S:S,'AEO 2026 Table 23 '!$B:$B,"*,"&amp;$A52&amp;",*")-SUMIFS('AEO 2026 Table 23 '!R:R,'AEO 2026 Table 23 '!$B:$B,"*,"&amp;$A52&amp;",*"))/SUMIFS('AEO 2026 Table 23 '!R:R,'AEO 2026 Table 23 '!$B:$B,"*,"&amp;$A52&amp;",*"),"")</f>
        <v/>
      </c>
      <c r="Q52" t="str">
        <f>IFERROR((SUMIFS('AEO 2026 Table 23 '!T:T,'AEO 2026 Table 23 '!$B:$B,"*,"&amp;$A52&amp;",*")-SUMIFS('AEO 2026 Table 23 '!S:S,'AEO 2026 Table 23 '!$B:$B,"*,"&amp;$A52&amp;",*"))/SUMIFS('AEO 2026 Table 23 '!S:S,'AEO 2026 Table 23 '!$B:$B,"*,"&amp;$A52&amp;",*"),"")</f>
        <v/>
      </c>
      <c r="R52" t="str">
        <f>IFERROR((SUMIFS('AEO 2026 Table 23 '!U:U,'AEO 2026 Table 23 '!$B:$B,"*,"&amp;$A52&amp;",*")-SUMIFS('AEO 2026 Table 23 '!T:T,'AEO 2026 Table 23 '!$B:$B,"*,"&amp;$A52&amp;",*"))/SUMIFS('AEO 2026 Table 23 '!T:T,'AEO 2026 Table 23 '!$B:$B,"*,"&amp;$A52&amp;",*"),"")</f>
        <v/>
      </c>
      <c r="S52" t="str">
        <f>IFERROR((SUMIFS('AEO 2026 Table 23 '!V:V,'AEO 2026 Table 23 '!$B:$B,"*,"&amp;$A52&amp;",*")-SUMIFS('AEO 2026 Table 23 '!U:U,'AEO 2026 Table 23 '!$B:$B,"*,"&amp;$A52&amp;",*"))/SUMIFS('AEO 2026 Table 23 '!U:U,'AEO 2026 Table 23 '!$B:$B,"*,"&amp;$A52&amp;",*"),"")</f>
        <v/>
      </c>
      <c r="T52" t="str">
        <f>IFERROR((SUMIFS('AEO 2026 Table 23 '!W:W,'AEO 2026 Table 23 '!$B:$B,"*,"&amp;$A52&amp;",*")-SUMIFS('AEO 2026 Table 23 '!V:V,'AEO 2026 Table 23 '!$B:$B,"*,"&amp;$A52&amp;",*"))/SUMIFS('AEO 2026 Table 23 '!V:V,'AEO 2026 Table 23 '!$B:$B,"*,"&amp;$A52&amp;",*"),"")</f>
        <v/>
      </c>
      <c r="U52" t="str">
        <f>IFERROR((SUMIFS('AEO 2026 Table 23 '!X:X,'AEO 2026 Table 23 '!$B:$B,"*,"&amp;$A52&amp;",*")-SUMIFS('AEO 2026 Table 23 '!W:W,'AEO 2026 Table 23 '!$B:$B,"*,"&amp;$A52&amp;",*"))/SUMIFS('AEO 2026 Table 23 '!W:W,'AEO 2026 Table 23 '!$B:$B,"*,"&amp;$A52&amp;",*"),"")</f>
        <v/>
      </c>
      <c r="V52" t="str">
        <f>IFERROR((SUMIFS('AEO 2026 Table 23 '!Y:Y,'AEO 2026 Table 23 '!$B:$B,"*,"&amp;$A52&amp;",*")-SUMIFS('AEO 2026 Table 23 '!X:X,'AEO 2026 Table 23 '!$B:$B,"*,"&amp;$A52&amp;",*"))/SUMIFS('AEO 2026 Table 23 '!X:X,'AEO 2026 Table 23 '!$B:$B,"*,"&amp;$A52&amp;",*"),"")</f>
        <v/>
      </c>
      <c r="W52" t="str">
        <f>IFERROR((SUMIFS('AEO 2026 Table 23 '!Z:Z,'AEO 2026 Table 23 '!$B:$B,"*,"&amp;$A52&amp;",*")-SUMIFS('AEO 2026 Table 23 '!Y:Y,'AEO 2026 Table 23 '!$B:$B,"*,"&amp;$A52&amp;",*"))/SUMIFS('AEO 2026 Table 23 '!Y:Y,'AEO 2026 Table 23 '!$B:$B,"*,"&amp;$A52&amp;",*"),"")</f>
        <v/>
      </c>
      <c r="X52" t="str">
        <f>IFERROR((SUMIFS('AEO 2026 Table 23 '!AA:AA,'AEO 2026 Table 23 '!$B:$B,"*,"&amp;$A52&amp;",*")-SUMIFS('AEO 2026 Table 23 '!Z:Z,'AEO 2026 Table 23 '!$B:$B,"*,"&amp;$A52&amp;",*"))/SUMIFS('AEO 2026 Table 23 '!Z:Z,'AEO 2026 Table 23 '!$B:$B,"*,"&amp;$A52&amp;",*"),"")</f>
        <v/>
      </c>
      <c r="Y52" t="str">
        <f>IFERROR((SUMIFS('AEO 2026 Table 23 '!AB:AB,'AEO 2026 Table 23 '!$B:$B,"*,"&amp;$A52&amp;",*")-SUMIFS('AEO 2026 Table 23 '!AA:AA,'AEO 2026 Table 23 '!$B:$B,"*,"&amp;$A52&amp;",*"))/SUMIFS('AEO 2026 Table 23 '!AA:AA,'AEO 2026 Table 23 '!$B:$B,"*,"&amp;$A52&amp;",*"),"")</f>
        <v/>
      </c>
      <c r="Z52" t="str">
        <f>IFERROR((SUMIFS('AEO 2026 Table 23 '!AC:AC,'AEO 2026 Table 23 '!$B:$B,"*,"&amp;$A52&amp;",*")-SUMIFS('AEO 2026 Table 23 '!AB:AB,'AEO 2026 Table 23 '!$B:$B,"*,"&amp;$A52&amp;",*"))/SUMIFS('AEO 2026 Table 23 '!AB:AB,'AEO 2026 Table 23 '!$B:$B,"*,"&amp;$A52&amp;",*"),"")</f>
        <v/>
      </c>
      <c r="AA52" t="str">
        <f>IFERROR((SUMIFS('AEO 2026 Table 23 '!AD:AD,'AEO 2026 Table 23 '!$B:$B,"*,"&amp;$A52&amp;",*")-SUMIFS('AEO 2026 Table 23 '!AC:AC,'AEO 2026 Table 23 '!$B:$B,"*,"&amp;$A52&amp;",*"))/SUMIFS('AEO 2026 Table 23 '!AC:AC,'AEO 2026 Table 23 '!$B:$B,"*,"&amp;$A52&amp;",*"),"")</f>
        <v/>
      </c>
      <c r="AB52" t="str">
        <f>IFERROR((SUMIFS('AEO 2026 Table 23 '!AE:AE,'AEO 2026 Table 23 '!$B:$B,"*,"&amp;$A52&amp;",*")-SUMIFS('AEO 2026 Table 23 '!AD:AD,'AEO 2026 Table 23 '!$B:$B,"*,"&amp;$A52&amp;",*"))/SUMIFS('AEO 2026 Table 23 '!AD:AD,'AEO 2026 Table 23 '!$B:$B,"*,"&amp;$A52&amp;",*"),"")</f>
        <v/>
      </c>
      <c r="AC52" t="str">
        <f>IFERROR((SUMIFS('AEO 2026 Table 23 '!AF:AF,'AEO 2026 Table 23 '!$B:$B,"*,"&amp;$A52&amp;",*")-SUMIFS('AEO 2026 Table 23 '!AE:AE,'AEO 2026 Table 23 '!$B:$B,"*,"&amp;$A52&amp;",*"))/SUMIFS('AEO 2026 Table 23 '!AE:AE,'AEO 2026 Table 23 '!$B:$B,"*,"&amp;$A52&amp;",*"),"")</f>
        <v/>
      </c>
    </row>
    <row r="53" spans="1:29" x14ac:dyDescent="0.25">
      <c r="A53" t="s">
        <v>840</v>
      </c>
      <c r="B53">
        <f>IFERROR(SUMPRODUCT(--('BLS Table 2.11'!$L$1:$L$426=$A53),'BLS Table 2.11'!$J$1:$J$426,'BLS Table 2.11'!$K$1:$K$426)/SUMIFS('BLS Table 2.11'!$J$1:$J$426,'BLS Table 2.11'!$L$1:$L$426,$A53)/100,0)</f>
        <v>2.2000000000000002E-2</v>
      </c>
      <c r="D53" t="str">
        <f>IFERROR((SUMIFS('AEO 2026 Table 23 '!G:G,'AEO 2026 Table 23 '!$B:$B,"*,"&amp;$A53&amp;",*")-SUMIFS('AEO25 Table 23'!H:H,'AEO25 Table 23'!$B:$B,"*,"&amp;$A53&amp;",*"))/SUMIFS('AEO25 Table 23'!H:H,'AEO25 Table 23'!$B:$B,"*,"&amp;$A53&amp;",*"),"")</f>
        <v/>
      </c>
      <c r="E53" t="str">
        <f>IFERROR((SUMIFS('AEO 2026 Table 23 '!H:H,'AEO 2026 Table 23 '!$B:$B,"*,"&amp;$A53&amp;",*")-SUMIFS('AEO 2026 Table 23 '!G:G,'AEO 2026 Table 23 '!$B:$B,"*,"&amp;$A53&amp;",*"))/SUMIFS('AEO 2026 Table 23 '!G:G,'AEO 2026 Table 23 '!$B:$B,"*,"&amp;$A53&amp;",*"),"")</f>
        <v/>
      </c>
      <c r="F53" t="str">
        <f>IFERROR((SUMIFS('AEO 2026 Table 23 '!I:I,'AEO 2026 Table 23 '!$B:$B,"*,"&amp;$A53&amp;",*")-SUMIFS('AEO 2026 Table 23 '!H:H,'AEO 2026 Table 23 '!$B:$B,"*,"&amp;$A53&amp;",*"))/SUMIFS('AEO 2026 Table 23 '!H:H,'AEO 2026 Table 23 '!$B:$B,"*,"&amp;$A53&amp;",*"),"")</f>
        <v/>
      </c>
      <c r="G53" t="str">
        <f>IFERROR((SUMIFS('AEO 2026 Table 23 '!J:J,'AEO 2026 Table 23 '!$B:$B,"*,"&amp;$A53&amp;",*")-SUMIFS('AEO 2026 Table 23 '!I:I,'AEO 2026 Table 23 '!$B:$B,"*,"&amp;$A53&amp;",*"))/SUMIFS('AEO 2026 Table 23 '!I:I,'AEO 2026 Table 23 '!$B:$B,"*,"&amp;$A53&amp;",*"),"")</f>
        <v/>
      </c>
      <c r="H53" t="str">
        <f>IFERROR((SUMIFS('AEO 2026 Table 23 '!K:K,'AEO 2026 Table 23 '!$B:$B,"*,"&amp;$A53&amp;",*")-SUMIFS('AEO 2026 Table 23 '!J:J,'AEO 2026 Table 23 '!$B:$B,"*,"&amp;$A53&amp;",*"))/SUMIFS('AEO 2026 Table 23 '!J:J,'AEO 2026 Table 23 '!$B:$B,"*,"&amp;$A53&amp;",*"),"")</f>
        <v/>
      </c>
      <c r="I53" t="str">
        <f>IFERROR((SUMIFS('AEO 2026 Table 23 '!L:L,'AEO 2026 Table 23 '!$B:$B,"*,"&amp;$A53&amp;",*")-SUMIFS('AEO 2026 Table 23 '!K:K,'AEO 2026 Table 23 '!$B:$B,"*,"&amp;$A53&amp;",*"))/SUMIFS('AEO 2026 Table 23 '!K:K,'AEO 2026 Table 23 '!$B:$B,"*,"&amp;$A53&amp;",*"),"")</f>
        <v/>
      </c>
      <c r="J53" t="str">
        <f>IFERROR((SUMIFS('AEO 2026 Table 23 '!M:M,'AEO 2026 Table 23 '!$B:$B,"*,"&amp;$A53&amp;",*")-SUMIFS('AEO 2026 Table 23 '!L:L,'AEO 2026 Table 23 '!$B:$B,"*,"&amp;$A53&amp;",*"))/SUMIFS('AEO 2026 Table 23 '!L:L,'AEO 2026 Table 23 '!$B:$B,"*,"&amp;$A53&amp;",*"),"")</f>
        <v/>
      </c>
      <c r="K53" t="str">
        <f>IFERROR((SUMIFS('AEO 2026 Table 23 '!N:N,'AEO 2026 Table 23 '!$B:$B,"*,"&amp;$A53&amp;",*")-SUMIFS('AEO 2026 Table 23 '!M:M,'AEO 2026 Table 23 '!$B:$B,"*,"&amp;$A53&amp;",*"))/SUMIFS('AEO 2026 Table 23 '!M:M,'AEO 2026 Table 23 '!$B:$B,"*,"&amp;$A53&amp;",*"),"")</f>
        <v/>
      </c>
      <c r="L53" t="str">
        <f>IFERROR((SUMIFS('AEO 2026 Table 23 '!O:O,'AEO 2026 Table 23 '!$B:$B,"*,"&amp;$A53&amp;",*")-SUMIFS('AEO 2026 Table 23 '!N:N,'AEO 2026 Table 23 '!$B:$B,"*,"&amp;$A53&amp;",*"))/SUMIFS('AEO 2026 Table 23 '!N:N,'AEO 2026 Table 23 '!$B:$B,"*,"&amp;$A53&amp;",*"),"")</f>
        <v/>
      </c>
      <c r="M53" t="str">
        <f>IFERROR((SUMIFS('AEO 2026 Table 23 '!P:P,'AEO 2026 Table 23 '!$B:$B,"*,"&amp;$A53&amp;",*")-SUMIFS('AEO 2026 Table 23 '!O:O,'AEO 2026 Table 23 '!$B:$B,"*,"&amp;$A53&amp;",*"))/SUMIFS('AEO 2026 Table 23 '!O:O,'AEO 2026 Table 23 '!$B:$B,"*,"&amp;$A53&amp;",*"),"")</f>
        <v/>
      </c>
      <c r="N53" t="str">
        <f>IFERROR((SUMIFS('AEO 2026 Table 23 '!Q:Q,'AEO 2026 Table 23 '!$B:$B,"*,"&amp;$A53&amp;",*")-SUMIFS('AEO 2026 Table 23 '!P:P,'AEO 2026 Table 23 '!$B:$B,"*,"&amp;$A53&amp;",*"))/SUMIFS('AEO 2026 Table 23 '!P:P,'AEO 2026 Table 23 '!$B:$B,"*,"&amp;$A53&amp;",*"),"")</f>
        <v/>
      </c>
      <c r="O53" t="str">
        <f>IFERROR((SUMIFS('AEO 2026 Table 23 '!R:R,'AEO 2026 Table 23 '!$B:$B,"*,"&amp;$A53&amp;",*")-SUMIFS('AEO 2026 Table 23 '!Q:Q,'AEO 2026 Table 23 '!$B:$B,"*,"&amp;$A53&amp;",*"))/SUMIFS('AEO 2026 Table 23 '!Q:Q,'AEO 2026 Table 23 '!$B:$B,"*,"&amp;$A53&amp;",*"),"")</f>
        <v/>
      </c>
      <c r="P53" t="str">
        <f>IFERROR((SUMIFS('AEO 2026 Table 23 '!S:S,'AEO 2026 Table 23 '!$B:$B,"*,"&amp;$A53&amp;",*")-SUMIFS('AEO 2026 Table 23 '!R:R,'AEO 2026 Table 23 '!$B:$B,"*,"&amp;$A53&amp;",*"))/SUMIFS('AEO 2026 Table 23 '!R:R,'AEO 2026 Table 23 '!$B:$B,"*,"&amp;$A53&amp;",*"),"")</f>
        <v/>
      </c>
      <c r="Q53" t="str">
        <f>IFERROR((SUMIFS('AEO 2026 Table 23 '!T:T,'AEO 2026 Table 23 '!$B:$B,"*,"&amp;$A53&amp;",*")-SUMIFS('AEO 2026 Table 23 '!S:S,'AEO 2026 Table 23 '!$B:$B,"*,"&amp;$A53&amp;",*"))/SUMIFS('AEO 2026 Table 23 '!S:S,'AEO 2026 Table 23 '!$B:$B,"*,"&amp;$A53&amp;",*"),"")</f>
        <v/>
      </c>
      <c r="R53" t="str">
        <f>IFERROR((SUMIFS('AEO 2026 Table 23 '!U:U,'AEO 2026 Table 23 '!$B:$B,"*,"&amp;$A53&amp;",*")-SUMIFS('AEO 2026 Table 23 '!T:T,'AEO 2026 Table 23 '!$B:$B,"*,"&amp;$A53&amp;",*"))/SUMIFS('AEO 2026 Table 23 '!T:T,'AEO 2026 Table 23 '!$B:$B,"*,"&amp;$A53&amp;",*"),"")</f>
        <v/>
      </c>
      <c r="S53" t="str">
        <f>IFERROR((SUMIFS('AEO 2026 Table 23 '!V:V,'AEO 2026 Table 23 '!$B:$B,"*,"&amp;$A53&amp;",*")-SUMIFS('AEO 2026 Table 23 '!U:U,'AEO 2026 Table 23 '!$B:$B,"*,"&amp;$A53&amp;",*"))/SUMIFS('AEO 2026 Table 23 '!U:U,'AEO 2026 Table 23 '!$B:$B,"*,"&amp;$A53&amp;",*"),"")</f>
        <v/>
      </c>
      <c r="T53" t="str">
        <f>IFERROR((SUMIFS('AEO 2026 Table 23 '!W:W,'AEO 2026 Table 23 '!$B:$B,"*,"&amp;$A53&amp;",*")-SUMIFS('AEO 2026 Table 23 '!V:V,'AEO 2026 Table 23 '!$B:$B,"*,"&amp;$A53&amp;",*"))/SUMIFS('AEO 2026 Table 23 '!V:V,'AEO 2026 Table 23 '!$B:$B,"*,"&amp;$A53&amp;",*"),"")</f>
        <v/>
      </c>
      <c r="U53" t="str">
        <f>IFERROR((SUMIFS('AEO 2026 Table 23 '!X:X,'AEO 2026 Table 23 '!$B:$B,"*,"&amp;$A53&amp;",*")-SUMIFS('AEO 2026 Table 23 '!W:W,'AEO 2026 Table 23 '!$B:$B,"*,"&amp;$A53&amp;",*"))/SUMIFS('AEO 2026 Table 23 '!W:W,'AEO 2026 Table 23 '!$B:$B,"*,"&amp;$A53&amp;",*"),"")</f>
        <v/>
      </c>
      <c r="V53" t="str">
        <f>IFERROR((SUMIFS('AEO 2026 Table 23 '!Y:Y,'AEO 2026 Table 23 '!$B:$B,"*,"&amp;$A53&amp;",*")-SUMIFS('AEO 2026 Table 23 '!X:X,'AEO 2026 Table 23 '!$B:$B,"*,"&amp;$A53&amp;",*"))/SUMIFS('AEO 2026 Table 23 '!X:X,'AEO 2026 Table 23 '!$B:$B,"*,"&amp;$A53&amp;",*"),"")</f>
        <v/>
      </c>
      <c r="W53" t="str">
        <f>IFERROR((SUMIFS('AEO 2026 Table 23 '!Z:Z,'AEO 2026 Table 23 '!$B:$B,"*,"&amp;$A53&amp;",*")-SUMIFS('AEO 2026 Table 23 '!Y:Y,'AEO 2026 Table 23 '!$B:$B,"*,"&amp;$A53&amp;",*"))/SUMIFS('AEO 2026 Table 23 '!Y:Y,'AEO 2026 Table 23 '!$B:$B,"*,"&amp;$A53&amp;",*"),"")</f>
        <v/>
      </c>
      <c r="X53" t="str">
        <f>IFERROR((SUMIFS('AEO 2026 Table 23 '!AA:AA,'AEO 2026 Table 23 '!$B:$B,"*,"&amp;$A53&amp;",*")-SUMIFS('AEO 2026 Table 23 '!Z:Z,'AEO 2026 Table 23 '!$B:$B,"*,"&amp;$A53&amp;",*"))/SUMIFS('AEO 2026 Table 23 '!Z:Z,'AEO 2026 Table 23 '!$B:$B,"*,"&amp;$A53&amp;",*"),"")</f>
        <v/>
      </c>
      <c r="Y53" t="str">
        <f>IFERROR((SUMIFS('AEO 2026 Table 23 '!AB:AB,'AEO 2026 Table 23 '!$B:$B,"*,"&amp;$A53&amp;",*")-SUMIFS('AEO 2026 Table 23 '!AA:AA,'AEO 2026 Table 23 '!$B:$B,"*,"&amp;$A53&amp;",*"))/SUMIFS('AEO 2026 Table 23 '!AA:AA,'AEO 2026 Table 23 '!$B:$B,"*,"&amp;$A53&amp;",*"),"")</f>
        <v/>
      </c>
      <c r="Z53" t="str">
        <f>IFERROR((SUMIFS('AEO 2026 Table 23 '!AC:AC,'AEO 2026 Table 23 '!$B:$B,"*,"&amp;$A53&amp;",*")-SUMIFS('AEO 2026 Table 23 '!AB:AB,'AEO 2026 Table 23 '!$B:$B,"*,"&amp;$A53&amp;",*"))/SUMIFS('AEO 2026 Table 23 '!AB:AB,'AEO 2026 Table 23 '!$B:$B,"*,"&amp;$A53&amp;",*"),"")</f>
        <v/>
      </c>
      <c r="AA53" t="str">
        <f>IFERROR((SUMIFS('AEO 2026 Table 23 '!AD:AD,'AEO 2026 Table 23 '!$B:$B,"*,"&amp;$A53&amp;",*")-SUMIFS('AEO 2026 Table 23 '!AC:AC,'AEO 2026 Table 23 '!$B:$B,"*,"&amp;$A53&amp;",*"))/SUMIFS('AEO 2026 Table 23 '!AC:AC,'AEO 2026 Table 23 '!$B:$B,"*,"&amp;$A53&amp;",*"),"")</f>
        <v/>
      </c>
      <c r="AB53" t="str">
        <f>IFERROR((SUMIFS('AEO 2026 Table 23 '!AE:AE,'AEO 2026 Table 23 '!$B:$B,"*,"&amp;$A53&amp;",*")-SUMIFS('AEO 2026 Table 23 '!AD:AD,'AEO 2026 Table 23 '!$B:$B,"*,"&amp;$A53&amp;",*"))/SUMIFS('AEO 2026 Table 23 '!AD:AD,'AEO 2026 Table 23 '!$B:$B,"*,"&amp;$A53&amp;",*"),"")</f>
        <v/>
      </c>
      <c r="AC53" t="str">
        <f>IFERROR((SUMIFS('AEO 2026 Table 23 '!AF:AF,'AEO 2026 Table 23 '!$B:$B,"*,"&amp;$A53&amp;",*")-SUMIFS('AEO 2026 Table 23 '!AE:AE,'AEO 2026 Table 23 '!$B:$B,"*,"&amp;$A53&amp;",*"))/SUMIFS('AEO 2026 Table 23 '!AE:AE,'AEO 2026 Table 23 '!$B:$B,"*,"&amp;$A53&amp;",*"),"")</f>
        <v/>
      </c>
    </row>
    <row r="54" spans="1:29" x14ac:dyDescent="0.25">
      <c r="A54" t="s">
        <v>904</v>
      </c>
      <c r="B54">
        <f>IFERROR(SUMPRODUCT(--('BLS Table 2.11'!$L$1:$L$426=$A54),'BLS Table 2.11'!$J$1:$J$426,'BLS Table 2.11'!$K$1:$K$426)/SUMIFS('BLS Table 2.11'!$J$1:$J$426,'BLS Table 2.11'!$L$1:$L$426,$A54)/100,0)</f>
        <v>2.1070752718542581E-2</v>
      </c>
      <c r="D54" t="str">
        <f>IFERROR((SUMIFS('AEO 2026 Table 23 '!G:G,'AEO 2026 Table 23 '!$B:$B,"*,"&amp;$A54&amp;",*")-SUMIFS('AEO25 Table 23'!H:H,'AEO25 Table 23'!$B:$B,"*,"&amp;$A54&amp;",*"))/SUMIFS('AEO25 Table 23'!H:H,'AEO25 Table 23'!$B:$B,"*,"&amp;$A54&amp;",*"),"")</f>
        <v/>
      </c>
      <c r="E54" t="str">
        <f>IFERROR((SUMIFS('AEO 2026 Table 23 '!H:H,'AEO 2026 Table 23 '!$B:$B,"*,"&amp;$A54&amp;",*")-SUMIFS('AEO 2026 Table 23 '!G:G,'AEO 2026 Table 23 '!$B:$B,"*,"&amp;$A54&amp;",*"))/SUMIFS('AEO 2026 Table 23 '!G:G,'AEO 2026 Table 23 '!$B:$B,"*,"&amp;$A54&amp;",*"),"")</f>
        <v/>
      </c>
      <c r="F54" t="str">
        <f>IFERROR((SUMIFS('AEO 2026 Table 23 '!I:I,'AEO 2026 Table 23 '!$B:$B,"*,"&amp;$A54&amp;",*")-SUMIFS('AEO 2026 Table 23 '!H:H,'AEO 2026 Table 23 '!$B:$B,"*,"&amp;$A54&amp;",*"))/SUMIFS('AEO 2026 Table 23 '!H:H,'AEO 2026 Table 23 '!$B:$B,"*,"&amp;$A54&amp;",*"),"")</f>
        <v/>
      </c>
      <c r="G54" t="str">
        <f>IFERROR((SUMIFS('AEO 2026 Table 23 '!J:J,'AEO 2026 Table 23 '!$B:$B,"*,"&amp;$A54&amp;",*")-SUMIFS('AEO 2026 Table 23 '!I:I,'AEO 2026 Table 23 '!$B:$B,"*,"&amp;$A54&amp;",*"))/SUMIFS('AEO 2026 Table 23 '!I:I,'AEO 2026 Table 23 '!$B:$B,"*,"&amp;$A54&amp;",*"),"")</f>
        <v/>
      </c>
      <c r="H54" t="str">
        <f>IFERROR((SUMIFS('AEO 2026 Table 23 '!K:K,'AEO 2026 Table 23 '!$B:$B,"*,"&amp;$A54&amp;",*")-SUMIFS('AEO 2026 Table 23 '!J:J,'AEO 2026 Table 23 '!$B:$B,"*,"&amp;$A54&amp;",*"))/SUMIFS('AEO 2026 Table 23 '!J:J,'AEO 2026 Table 23 '!$B:$B,"*,"&amp;$A54&amp;",*"),"")</f>
        <v/>
      </c>
      <c r="I54" t="str">
        <f>IFERROR((SUMIFS('AEO 2026 Table 23 '!L:L,'AEO 2026 Table 23 '!$B:$B,"*,"&amp;$A54&amp;",*")-SUMIFS('AEO 2026 Table 23 '!K:K,'AEO 2026 Table 23 '!$B:$B,"*,"&amp;$A54&amp;",*"))/SUMIFS('AEO 2026 Table 23 '!K:K,'AEO 2026 Table 23 '!$B:$B,"*,"&amp;$A54&amp;",*"),"")</f>
        <v/>
      </c>
      <c r="J54" t="str">
        <f>IFERROR((SUMIFS('AEO 2026 Table 23 '!M:M,'AEO 2026 Table 23 '!$B:$B,"*,"&amp;$A54&amp;",*")-SUMIFS('AEO 2026 Table 23 '!L:L,'AEO 2026 Table 23 '!$B:$B,"*,"&amp;$A54&amp;",*"))/SUMIFS('AEO 2026 Table 23 '!L:L,'AEO 2026 Table 23 '!$B:$B,"*,"&amp;$A54&amp;",*"),"")</f>
        <v/>
      </c>
      <c r="K54" t="str">
        <f>IFERROR((SUMIFS('AEO 2026 Table 23 '!N:N,'AEO 2026 Table 23 '!$B:$B,"*,"&amp;$A54&amp;",*")-SUMIFS('AEO 2026 Table 23 '!M:M,'AEO 2026 Table 23 '!$B:$B,"*,"&amp;$A54&amp;",*"))/SUMIFS('AEO 2026 Table 23 '!M:M,'AEO 2026 Table 23 '!$B:$B,"*,"&amp;$A54&amp;",*"),"")</f>
        <v/>
      </c>
      <c r="L54" t="str">
        <f>IFERROR((SUMIFS('AEO 2026 Table 23 '!O:O,'AEO 2026 Table 23 '!$B:$B,"*,"&amp;$A54&amp;",*")-SUMIFS('AEO 2026 Table 23 '!N:N,'AEO 2026 Table 23 '!$B:$B,"*,"&amp;$A54&amp;",*"))/SUMIFS('AEO 2026 Table 23 '!N:N,'AEO 2026 Table 23 '!$B:$B,"*,"&amp;$A54&amp;",*"),"")</f>
        <v/>
      </c>
      <c r="M54" t="str">
        <f>IFERROR((SUMIFS('AEO 2026 Table 23 '!P:P,'AEO 2026 Table 23 '!$B:$B,"*,"&amp;$A54&amp;",*")-SUMIFS('AEO 2026 Table 23 '!O:O,'AEO 2026 Table 23 '!$B:$B,"*,"&amp;$A54&amp;",*"))/SUMIFS('AEO 2026 Table 23 '!O:O,'AEO 2026 Table 23 '!$B:$B,"*,"&amp;$A54&amp;",*"),"")</f>
        <v/>
      </c>
      <c r="N54" t="str">
        <f>IFERROR((SUMIFS('AEO 2026 Table 23 '!Q:Q,'AEO 2026 Table 23 '!$B:$B,"*,"&amp;$A54&amp;",*")-SUMIFS('AEO 2026 Table 23 '!P:P,'AEO 2026 Table 23 '!$B:$B,"*,"&amp;$A54&amp;",*"))/SUMIFS('AEO 2026 Table 23 '!P:P,'AEO 2026 Table 23 '!$B:$B,"*,"&amp;$A54&amp;",*"),"")</f>
        <v/>
      </c>
      <c r="O54" t="str">
        <f>IFERROR((SUMIFS('AEO 2026 Table 23 '!R:R,'AEO 2026 Table 23 '!$B:$B,"*,"&amp;$A54&amp;",*")-SUMIFS('AEO 2026 Table 23 '!Q:Q,'AEO 2026 Table 23 '!$B:$B,"*,"&amp;$A54&amp;",*"))/SUMIFS('AEO 2026 Table 23 '!Q:Q,'AEO 2026 Table 23 '!$B:$B,"*,"&amp;$A54&amp;",*"),"")</f>
        <v/>
      </c>
      <c r="P54" t="str">
        <f>IFERROR((SUMIFS('AEO 2026 Table 23 '!S:S,'AEO 2026 Table 23 '!$B:$B,"*,"&amp;$A54&amp;",*")-SUMIFS('AEO 2026 Table 23 '!R:R,'AEO 2026 Table 23 '!$B:$B,"*,"&amp;$A54&amp;",*"))/SUMIFS('AEO 2026 Table 23 '!R:R,'AEO 2026 Table 23 '!$B:$B,"*,"&amp;$A54&amp;",*"),"")</f>
        <v/>
      </c>
      <c r="Q54" t="str">
        <f>IFERROR((SUMIFS('AEO 2026 Table 23 '!T:T,'AEO 2026 Table 23 '!$B:$B,"*,"&amp;$A54&amp;",*")-SUMIFS('AEO 2026 Table 23 '!S:S,'AEO 2026 Table 23 '!$B:$B,"*,"&amp;$A54&amp;",*"))/SUMIFS('AEO 2026 Table 23 '!S:S,'AEO 2026 Table 23 '!$B:$B,"*,"&amp;$A54&amp;",*"),"")</f>
        <v/>
      </c>
      <c r="R54" t="str">
        <f>IFERROR((SUMIFS('AEO 2026 Table 23 '!U:U,'AEO 2026 Table 23 '!$B:$B,"*,"&amp;$A54&amp;",*")-SUMIFS('AEO 2026 Table 23 '!T:T,'AEO 2026 Table 23 '!$B:$B,"*,"&amp;$A54&amp;",*"))/SUMIFS('AEO 2026 Table 23 '!T:T,'AEO 2026 Table 23 '!$B:$B,"*,"&amp;$A54&amp;",*"),"")</f>
        <v/>
      </c>
      <c r="S54" t="str">
        <f>IFERROR((SUMIFS('AEO 2026 Table 23 '!V:V,'AEO 2026 Table 23 '!$B:$B,"*,"&amp;$A54&amp;",*")-SUMIFS('AEO 2026 Table 23 '!U:U,'AEO 2026 Table 23 '!$B:$B,"*,"&amp;$A54&amp;",*"))/SUMIFS('AEO 2026 Table 23 '!U:U,'AEO 2026 Table 23 '!$B:$B,"*,"&amp;$A54&amp;",*"),"")</f>
        <v/>
      </c>
      <c r="T54" t="str">
        <f>IFERROR((SUMIFS('AEO 2026 Table 23 '!W:W,'AEO 2026 Table 23 '!$B:$B,"*,"&amp;$A54&amp;",*")-SUMIFS('AEO 2026 Table 23 '!V:V,'AEO 2026 Table 23 '!$B:$B,"*,"&amp;$A54&amp;",*"))/SUMIFS('AEO 2026 Table 23 '!V:V,'AEO 2026 Table 23 '!$B:$B,"*,"&amp;$A54&amp;",*"),"")</f>
        <v/>
      </c>
      <c r="U54" t="str">
        <f>IFERROR((SUMIFS('AEO 2026 Table 23 '!X:X,'AEO 2026 Table 23 '!$B:$B,"*,"&amp;$A54&amp;",*")-SUMIFS('AEO 2026 Table 23 '!W:W,'AEO 2026 Table 23 '!$B:$B,"*,"&amp;$A54&amp;",*"))/SUMIFS('AEO 2026 Table 23 '!W:W,'AEO 2026 Table 23 '!$B:$B,"*,"&amp;$A54&amp;",*"),"")</f>
        <v/>
      </c>
      <c r="V54" t="str">
        <f>IFERROR((SUMIFS('AEO 2026 Table 23 '!Y:Y,'AEO 2026 Table 23 '!$B:$B,"*,"&amp;$A54&amp;",*")-SUMIFS('AEO 2026 Table 23 '!X:X,'AEO 2026 Table 23 '!$B:$B,"*,"&amp;$A54&amp;",*"))/SUMIFS('AEO 2026 Table 23 '!X:X,'AEO 2026 Table 23 '!$B:$B,"*,"&amp;$A54&amp;",*"),"")</f>
        <v/>
      </c>
      <c r="W54" t="str">
        <f>IFERROR((SUMIFS('AEO 2026 Table 23 '!Z:Z,'AEO 2026 Table 23 '!$B:$B,"*,"&amp;$A54&amp;",*")-SUMIFS('AEO 2026 Table 23 '!Y:Y,'AEO 2026 Table 23 '!$B:$B,"*,"&amp;$A54&amp;",*"))/SUMIFS('AEO 2026 Table 23 '!Y:Y,'AEO 2026 Table 23 '!$B:$B,"*,"&amp;$A54&amp;",*"),"")</f>
        <v/>
      </c>
      <c r="X54" t="str">
        <f>IFERROR((SUMIFS('AEO 2026 Table 23 '!AA:AA,'AEO 2026 Table 23 '!$B:$B,"*,"&amp;$A54&amp;",*")-SUMIFS('AEO 2026 Table 23 '!Z:Z,'AEO 2026 Table 23 '!$B:$B,"*,"&amp;$A54&amp;",*"))/SUMIFS('AEO 2026 Table 23 '!Z:Z,'AEO 2026 Table 23 '!$B:$B,"*,"&amp;$A54&amp;",*"),"")</f>
        <v/>
      </c>
      <c r="Y54" t="str">
        <f>IFERROR((SUMIFS('AEO 2026 Table 23 '!AB:AB,'AEO 2026 Table 23 '!$B:$B,"*,"&amp;$A54&amp;",*")-SUMIFS('AEO 2026 Table 23 '!AA:AA,'AEO 2026 Table 23 '!$B:$B,"*,"&amp;$A54&amp;",*"))/SUMIFS('AEO 2026 Table 23 '!AA:AA,'AEO 2026 Table 23 '!$B:$B,"*,"&amp;$A54&amp;",*"),"")</f>
        <v/>
      </c>
      <c r="Z54" t="str">
        <f>IFERROR((SUMIFS('AEO 2026 Table 23 '!AC:AC,'AEO 2026 Table 23 '!$B:$B,"*,"&amp;$A54&amp;",*")-SUMIFS('AEO 2026 Table 23 '!AB:AB,'AEO 2026 Table 23 '!$B:$B,"*,"&amp;$A54&amp;",*"))/SUMIFS('AEO 2026 Table 23 '!AB:AB,'AEO 2026 Table 23 '!$B:$B,"*,"&amp;$A54&amp;",*"),"")</f>
        <v/>
      </c>
      <c r="AA54" t="str">
        <f>IFERROR((SUMIFS('AEO 2026 Table 23 '!AD:AD,'AEO 2026 Table 23 '!$B:$B,"*,"&amp;$A54&amp;",*")-SUMIFS('AEO 2026 Table 23 '!AC:AC,'AEO 2026 Table 23 '!$B:$B,"*,"&amp;$A54&amp;",*"))/SUMIFS('AEO 2026 Table 23 '!AC:AC,'AEO 2026 Table 23 '!$B:$B,"*,"&amp;$A54&amp;",*"),"")</f>
        <v/>
      </c>
      <c r="AB54" t="str">
        <f>IFERROR((SUMIFS('AEO 2026 Table 23 '!AE:AE,'AEO 2026 Table 23 '!$B:$B,"*,"&amp;$A54&amp;",*")-SUMIFS('AEO 2026 Table 23 '!AD:AD,'AEO 2026 Table 23 '!$B:$B,"*,"&amp;$A54&amp;",*"))/SUMIFS('AEO 2026 Table 23 '!AD:AD,'AEO 2026 Table 23 '!$B:$B,"*,"&amp;$A54&amp;",*"),"")</f>
        <v/>
      </c>
      <c r="AC54" t="str">
        <f>IFERROR((SUMIFS('AEO 2026 Table 23 '!AF:AF,'AEO 2026 Table 23 '!$B:$B,"*,"&amp;$A54&amp;",*")-SUMIFS('AEO 2026 Table 23 '!AE:AE,'AEO 2026 Table 23 '!$B:$B,"*,"&amp;$A54&amp;",*"))/SUMIFS('AEO 2026 Table 23 '!AE:AE,'AEO 2026 Table 23 '!$B:$B,"*,"&amp;$A54&amp;",*"),"")</f>
        <v/>
      </c>
    </row>
    <row r="55" spans="1:29" x14ac:dyDescent="0.25">
      <c r="A55" t="s">
        <v>937</v>
      </c>
      <c r="B55">
        <f>IFERROR(SUMPRODUCT(--('BLS Table 2.11'!$L$1:$L$426=$A55),'BLS Table 2.11'!$J$1:$J$426,'BLS Table 2.11'!$K$1:$K$426)/SUMIFS('BLS Table 2.11'!$J$1:$J$426,'BLS Table 2.11'!$L$1:$L$426,$A55)/100,0)</f>
        <v>1.8000000000000002E-2</v>
      </c>
      <c r="D55" t="str">
        <f>IFERROR((SUMIFS('AEO 2026 Table 23 '!G:G,'AEO 2026 Table 23 '!$B:$B,"*,"&amp;$A55&amp;",*")-SUMIFS('AEO25 Table 23'!H:H,'AEO25 Table 23'!$B:$B,"*,"&amp;$A55&amp;",*"))/SUMIFS('AEO25 Table 23'!H:H,'AEO25 Table 23'!$B:$B,"*,"&amp;$A55&amp;",*"),"")</f>
        <v/>
      </c>
      <c r="E55" t="str">
        <f>IFERROR((SUMIFS('AEO 2026 Table 23 '!H:H,'AEO 2026 Table 23 '!$B:$B,"*,"&amp;$A55&amp;",*")-SUMIFS('AEO 2026 Table 23 '!G:G,'AEO 2026 Table 23 '!$B:$B,"*,"&amp;$A55&amp;",*"))/SUMIFS('AEO 2026 Table 23 '!G:G,'AEO 2026 Table 23 '!$B:$B,"*,"&amp;$A55&amp;",*"),"")</f>
        <v/>
      </c>
      <c r="F55" t="str">
        <f>IFERROR((SUMIFS('AEO 2026 Table 23 '!I:I,'AEO 2026 Table 23 '!$B:$B,"*,"&amp;$A55&amp;",*")-SUMIFS('AEO 2026 Table 23 '!H:H,'AEO 2026 Table 23 '!$B:$B,"*,"&amp;$A55&amp;",*"))/SUMIFS('AEO 2026 Table 23 '!H:H,'AEO 2026 Table 23 '!$B:$B,"*,"&amp;$A55&amp;",*"),"")</f>
        <v/>
      </c>
      <c r="G55" t="str">
        <f>IFERROR((SUMIFS('AEO 2026 Table 23 '!J:J,'AEO 2026 Table 23 '!$B:$B,"*,"&amp;$A55&amp;",*")-SUMIFS('AEO 2026 Table 23 '!I:I,'AEO 2026 Table 23 '!$B:$B,"*,"&amp;$A55&amp;",*"))/SUMIFS('AEO 2026 Table 23 '!I:I,'AEO 2026 Table 23 '!$B:$B,"*,"&amp;$A55&amp;",*"),"")</f>
        <v/>
      </c>
      <c r="H55" t="str">
        <f>IFERROR((SUMIFS('AEO 2026 Table 23 '!K:K,'AEO 2026 Table 23 '!$B:$B,"*,"&amp;$A55&amp;",*")-SUMIFS('AEO 2026 Table 23 '!J:J,'AEO 2026 Table 23 '!$B:$B,"*,"&amp;$A55&amp;",*"))/SUMIFS('AEO 2026 Table 23 '!J:J,'AEO 2026 Table 23 '!$B:$B,"*,"&amp;$A55&amp;",*"),"")</f>
        <v/>
      </c>
      <c r="I55" t="str">
        <f>IFERROR((SUMIFS('AEO 2026 Table 23 '!L:L,'AEO 2026 Table 23 '!$B:$B,"*,"&amp;$A55&amp;",*")-SUMIFS('AEO 2026 Table 23 '!K:K,'AEO 2026 Table 23 '!$B:$B,"*,"&amp;$A55&amp;",*"))/SUMIFS('AEO 2026 Table 23 '!K:K,'AEO 2026 Table 23 '!$B:$B,"*,"&amp;$A55&amp;",*"),"")</f>
        <v/>
      </c>
      <c r="J55" t="str">
        <f>IFERROR((SUMIFS('AEO 2026 Table 23 '!M:M,'AEO 2026 Table 23 '!$B:$B,"*,"&amp;$A55&amp;",*")-SUMIFS('AEO 2026 Table 23 '!L:L,'AEO 2026 Table 23 '!$B:$B,"*,"&amp;$A55&amp;",*"))/SUMIFS('AEO 2026 Table 23 '!L:L,'AEO 2026 Table 23 '!$B:$B,"*,"&amp;$A55&amp;",*"),"")</f>
        <v/>
      </c>
      <c r="K55" t="str">
        <f>IFERROR((SUMIFS('AEO 2026 Table 23 '!N:N,'AEO 2026 Table 23 '!$B:$B,"*,"&amp;$A55&amp;",*")-SUMIFS('AEO 2026 Table 23 '!M:M,'AEO 2026 Table 23 '!$B:$B,"*,"&amp;$A55&amp;",*"))/SUMIFS('AEO 2026 Table 23 '!M:M,'AEO 2026 Table 23 '!$B:$B,"*,"&amp;$A55&amp;",*"),"")</f>
        <v/>
      </c>
      <c r="L55" t="str">
        <f>IFERROR((SUMIFS('AEO 2026 Table 23 '!O:O,'AEO 2026 Table 23 '!$B:$B,"*,"&amp;$A55&amp;",*")-SUMIFS('AEO 2026 Table 23 '!N:N,'AEO 2026 Table 23 '!$B:$B,"*,"&amp;$A55&amp;",*"))/SUMIFS('AEO 2026 Table 23 '!N:N,'AEO 2026 Table 23 '!$B:$B,"*,"&amp;$A55&amp;",*"),"")</f>
        <v/>
      </c>
      <c r="M55" t="str">
        <f>IFERROR((SUMIFS('AEO 2026 Table 23 '!P:P,'AEO 2026 Table 23 '!$B:$B,"*,"&amp;$A55&amp;",*")-SUMIFS('AEO 2026 Table 23 '!O:O,'AEO 2026 Table 23 '!$B:$B,"*,"&amp;$A55&amp;",*"))/SUMIFS('AEO 2026 Table 23 '!O:O,'AEO 2026 Table 23 '!$B:$B,"*,"&amp;$A55&amp;",*"),"")</f>
        <v/>
      </c>
      <c r="N55" t="str">
        <f>IFERROR((SUMIFS('AEO 2026 Table 23 '!Q:Q,'AEO 2026 Table 23 '!$B:$B,"*,"&amp;$A55&amp;",*")-SUMIFS('AEO 2026 Table 23 '!P:P,'AEO 2026 Table 23 '!$B:$B,"*,"&amp;$A55&amp;",*"))/SUMIFS('AEO 2026 Table 23 '!P:P,'AEO 2026 Table 23 '!$B:$B,"*,"&amp;$A55&amp;",*"),"")</f>
        <v/>
      </c>
      <c r="O55" t="str">
        <f>IFERROR((SUMIFS('AEO 2026 Table 23 '!R:R,'AEO 2026 Table 23 '!$B:$B,"*,"&amp;$A55&amp;",*")-SUMIFS('AEO 2026 Table 23 '!Q:Q,'AEO 2026 Table 23 '!$B:$B,"*,"&amp;$A55&amp;",*"))/SUMIFS('AEO 2026 Table 23 '!Q:Q,'AEO 2026 Table 23 '!$B:$B,"*,"&amp;$A55&amp;",*"),"")</f>
        <v/>
      </c>
      <c r="P55" t="str">
        <f>IFERROR((SUMIFS('AEO 2026 Table 23 '!S:S,'AEO 2026 Table 23 '!$B:$B,"*,"&amp;$A55&amp;",*")-SUMIFS('AEO 2026 Table 23 '!R:R,'AEO 2026 Table 23 '!$B:$B,"*,"&amp;$A55&amp;",*"))/SUMIFS('AEO 2026 Table 23 '!R:R,'AEO 2026 Table 23 '!$B:$B,"*,"&amp;$A55&amp;",*"),"")</f>
        <v/>
      </c>
      <c r="Q55" t="str">
        <f>IFERROR((SUMIFS('AEO 2026 Table 23 '!T:T,'AEO 2026 Table 23 '!$B:$B,"*,"&amp;$A55&amp;",*")-SUMIFS('AEO 2026 Table 23 '!S:S,'AEO 2026 Table 23 '!$B:$B,"*,"&amp;$A55&amp;",*"))/SUMIFS('AEO 2026 Table 23 '!S:S,'AEO 2026 Table 23 '!$B:$B,"*,"&amp;$A55&amp;",*"),"")</f>
        <v/>
      </c>
      <c r="R55" t="str">
        <f>IFERROR((SUMIFS('AEO 2026 Table 23 '!U:U,'AEO 2026 Table 23 '!$B:$B,"*,"&amp;$A55&amp;",*")-SUMIFS('AEO 2026 Table 23 '!T:T,'AEO 2026 Table 23 '!$B:$B,"*,"&amp;$A55&amp;",*"))/SUMIFS('AEO 2026 Table 23 '!T:T,'AEO 2026 Table 23 '!$B:$B,"*,"&amp;$A55&amp;",*"),"")</f>
        <v/>
      </c>
      <c r="S55" t="str">
        <f>IFERROR((SUMIFS('AEO 2026 Table 23 '!V:V,'AEO 2026 Table 23 '!$B:$B,"*,"&amp;$A55&amp;",*")-SUMIFS('AEO 2026 Table 23 '!U:U,'AEO 2026 Table 23 '!$B:$B,"*,"&amp;$A55&amp;",*"))/SUMIFS('AEO 2026 Table 23 '!U:U,'AEO 2026 Table 23 '!$B:$B,"*,"&amp;$A55&amp;",*"),"")</f>
        <v/>
      </c>
      <c r="T55" t="str">
        <f>IFERROR((SUMIFS('AEO 2026 Table 23 '!W:W,'AEO 2026 Table 23 '!$B:$B,"*,"&amp;$A55&amp;",*")-SUMIFS('AEO 2026 Table 23 '!V:V,'AEO 2026 Table 23 '!$B:$B,"*,"&amp;$A55&amp;",*"))/SUMIFS('AEO 2026 Table 23 '!V:V,'AEO 2026 Table 23 '!$B:$B,"*,"&amp;$A55&amp;",*"),"")</f>
        <v/>
      </c>
      <c r="U55" t="str">
        <f>IFERROR((SUMIFS('AEO 2026 Table 23 '!X:X,'AEO 2026 Table 23 '!$B:$B,"*,"&amp;$A55&amp;",*")-SUMIFS('AEO 2026 Table 23 '!W:W,'AEO 2026 Table 23 '!$B:$B,"*,"&amp;$A55&amp;",*"))/SUMIFS('AEO 2026 Table 23 '!W:W,'AEO 2026 Table 23 '!$B:$B,"*,"&amp;$A55&amp;",*"),"")</f>
        <v/>
      </c>
      <c r="V55" t="str">
        <f>IFERROR((SUMIFS('AEO 2026 Table 23 '!Y:Y,'AEO 2026 Table 23 '!$B:$B,"*,"&amp;$A55&amp;",*")-SUMIFS('AEO 2026 Table 23 '!X:X,'AEO 2026 Table 23 '!$B:$B,"*,"&amp;$A55&amp;",*"))/SUMIFS('AEO 2026 Table 23 '!X:X,'AEO 2026 Table 23 '!$B:$B,"*,"&amp;$A55&amp;",*"),"")</f>
        <v/>
      </c>
      <c r="W55" t="str">
        <f>IFERROR((SUMIFS('AEO 2026 Table 23 '!Z:Z,'AEO 2026 Table 23 '!$B:$B,"*,"&amp;$A55&amp;",*")-SUMIFS('AEO 2026 Table 23 '!Y:Y,'AEO 2026 Table 23 '!$B:$B,"*,"&amp;$A55&amp;",*"))/SUMIFS('AEO 2026 Table 23 '!Y:Y,'AEO 2026 Table 23 '!$B:$B,"*,"&amp;$A55&amp;",*"),"")</f>
        <v/>
      </c>
      <c r="X55" t="str">
        <f>IFERROR((SUMIFS('AEO 2026 Table 23 '!AA:AA,'AEO 2026 Table 23 '!$B:$B,"*,"&amp;$A55&amp;",*")-SUMIFS('AEO 2026 Table 23 '!Z:Z,'AEO 2026 Table 23 '!$B:$B,"*,"&amp;$A55&amp;",*"))/SUMIFS('AEO 2026 Table 23 '!Z:Z,'AEO 2026 Table 23 '!$B:$B,"*,"&amp;$A55&amp;",*"),"")</f>
        <v/>
      </c>
      <c r="Y55" t="str">
        <f>IFERROR((SUMIFS('AEO 2026 Table 23 '!AB:AB,'AEO 2026 Table 23 '!$B:$B,"*,"&amp;$A55&amp;",*")-SUMIFS('AEO 2026 Table 23 '!AA:AA,'AEO 2026 Table 23 '!$B:$B,"*,"&amp;$A55&amp;",*"))/SUMIFS('AEO 2026 Table 23 '!AA:AA,'AEO 2026 Table 23 '!$B:$B,"*,"&amp;$A55&amp;",*"),"")</f>
        <v/>
      </c>
      <c r="Z55" t="str">
        <f>IFERROR((SUMIFS('AEO 2026 Table 23 '!AC:AC,'AEO 2026 Table 23 '!$B:$B,"*,"&amp;$A55&amp;",*")-SUMIFS('AEO 2026 Table 23 '!AB:AB,'AEO 2026 Table 23 '!$B:$B,"*,"&amp;$A55&amp;",*"))/SUMIFS('AEO 2026 Table 23 '!AB:AB,'AEO 2026 Table 23 '!$B:$B,"*,"&amp;$A55&amp;",*"),"")</f>
        <v/>
      </c>
      <c r="AA55" t="str">
        <f>IFERROR((SUMIFS('AEO 2026 Table 23 '!AD:AD,'AEO 2026 Table 23 '!$B:$B,"*,"&amp;$A55&amp;",*")-SUMIFS('AEO 2026 Table 23 '!AC:AC,'AEO 2026 Table 23 '!$B:$B,"*,"&amp;$A55&amp;",*"))/SUMIFS('AEO 2026 Table 23 '!AC:AC,'AEO 2026 Table 23 '!$B:$B,"*,"&amp;$A55&amp;",*"),"")</f>
        <v/>
      </c>
      <c r="AB55" t="str">
        <f>IFERROR((SUMIFS('AEO 2026 Table 23 '!AE:AE,'AEO 2026 Table 23 '!$B:$B,"*,"&amp;$A55&amp;",*")-SUMIFS('AEO 2026 Table 23 '!AD:AD,'AEO 2026 Table 23 '!$B:$B,"*,"&amp;$A55&amp;",*"))/SUMIFS('AEO 2026 Table 23 '!AD:AD,'AEO 2026 Table 23 '!$B:$B,"*,"&amp;$A55&amp;",*"),"")</f>
        <v/>
      </c>
      <c r="AC55" t="str">
        <f>IFERROR((SUMIFS('AEO 2026 Table 23 '!AF:AF,'AEO 2026 Table 23 '!$B:$B,"*,"&amp;$A55&amp;",*")-SUMIFS('AEO 2026 Table 23 '!AE:AE,'AEO 2026 Table 23 '!$B:$B,"*,"&amp;$A55&amp;",*"))/SUMIFS('AEO 2026 Table 23 '!AE:AE,'AEO 2026 Table 23 '!$B:$B,"*,"&amp;$A55&amp;",*"),"")</f>
        <v/>
      </c>
    </row>
    <row r="59" spans="1:29" x14ac:dyDescent="0.25">
      <c r="A59" s="1" t="s">
        <v>1229</v>
      </c>
    </row>
    <row r="60" spans="1:29" x14ac:dyDescent="0.25">
      <c r="C60" s="1">
        <v>2024</v>
      </c>
      <c r="D60" s="1">
        <v>2025</v>
      </c>
      <c r="E60" s="1">
        <v>2026</v>
      </c>
      <c r="F60" s="1">
        <v>2027</v>
      </c>
      <c r="G60" s="1">
        <v>2028</v>
      </c>
      <c r="H60" s="1">
        <v>2029</v>
      </c>
      <c r="I60" s="1">
        <v>2030</v>
      </c>
      <c r="J60" s="1">
        <v>2031</v>
      </c>
      <c r="K60" s="1">
        <v>2032</v>
      </c>
      <c r="L60" s="1">
        <v>2033</v>
      </c>
      <c r="M60" s="1">
        <v>2034</v>
      </c>
      <c r="N60" s="1">
        <v>2035</v>
      </c>
      <c r="O60" s="1">
        <v>2036</v>
      </c>
      <c r="P60" s="1">
        <v>2037</v>
      </c>
      <c r="Q60" s="1">
        <v>2038</v>
      </c>
      <c r="R60" s="1">
        <v>2039</v>
      </c>
      <c r="S60" s="1">
        <v>2040</v>
      </c>
      <c r="T60" s="1">
        <v>2041</v>
      </c>
      <c r="U60" s="1">
        <v>2042</v>
      </c>
      <c r="V60" s="1">
        <v>2043</v>
      </c>
      <c r="W60" s="1">
        <v>2044</v>
      </c>
      <c r="X60" s="1">
        <v>2045</v>
      </c>
      <c r="Y60" s="1">
        <v>2046</v>
      </c>
      <c r="Z60" s="1">
        <v>2047</v>
      </c>
      <c r="AA60" s="1">
        <v>2048</v>
      </c>
      <c r="AB60" s="1">
        <v>2049</v>
      </c>
      <c r="AC60" s="1">
        <v>2050</v>
      </c>
    </row>
    <row r="61" spans="1:29" x14ac:dyDescent="0.25">
      <c r="A61" t="s">
        <v>66</v>
      </c>
      <c r="C61">
        <v>0</v>
      </c>
      <c r="D61">
        <f t="shared" ref="D61:AC61" si="0">IF(D4="",$B4,D4)</f>
        <v>-9.9246442360578349E-2</v>
      </c>
      <c r="E61">
        <f t="shared" si="0"/>
        <v>2.4221655673883858E-3</v>
      </c>
      <c r="F61">
        <f t="shared" si="0"/>
        <v>1.4078996801101312E-2</v>
      </c>
      <c r="G61">
        <f t="shared" si="0"/>
        <v>2.0031825018195219E-2</v>
      </c>
      <c r="H61">
        <f t="shared" si="0"/>
        <v>1.3204714892339337E-2</v>
      </c>
      <c r="I61">
        <f t="shared" si="0"/>
        <v>1.2805134886959699E-2</v>
      </c>
      <c r="J61">
        <f t="shared" si="0"/>
        <v>1.2429849853809712E-2</v>
      </c>
      <c r="K61">
        <f t="shared" si="0"/>
        <v>1.2496007024267423E-2</v>
      </c>
      <c r="L61">
        <f t="shared" si="0"/>
        <v>6.7384862316785931E-3</v>
      </c>
      <c r="M61">
        <f t="shared" si="0"/>
        <v>1.3166996229270631E-2</v>
      </c>
      <c r="N61">
        <f t="shared" si="0"/>
        <v>1.4348560175009727E-2</v>
      </c>
      <c r="O61">
        <f t="shared" si="0"/>
        <v>1.4131660795059422E-2</v>
      </c>
      <c r="P61">
        <f t="shared" si="0"/>
        <v>1.352784547057437E-2</v>
      </c>
      <c r="Q61">
        <f t="shared" si="0"/>
        <v>1.4121592708991805E-2</v>
      </c>
      <c r="R61">
        <f t="shared" si="0"/>
        <v>1.4366256699279449E-2</v>
      </c>
      <c r="S61">
        <f t="shared" si="0"/>
        <v>1.1995192747679755E-2</v>
      </c>
      <c r="T61">
        <f t="shared" si="0"/>
        <v>1.1234927092096699E-2</v>
      </c>
      <c r="U61">
        <f t="shared" si="0"/>
        <v>1.2383112057571054E-2</v>
      </c>
      <c r="V61">
        <f t="shared" si="0"/>
        <v>1.1567985810791029E-2</v>
      </c>
      <c r="W61">
        <f t="shared" si="0"/>
        <v>1.2451080250240349E-2</v>
      </c>
      <c r="X61">
        <f t="shared" si="0"/>
        <v>1.3976865433354137E-2</v>
      </c>
      <c r="Y61">
        <f t="shared" si="0"/>
        <v>1.4480385595373062E-2</v>
      </c>
      <c r="Z61">
        <f t="shared" si="0"/>
        <v>1.4401250336012673E-2</v>
      </c>
      <c r="AA61">
        <f t="shared" si="0"/>
        <v>1.4399263693733538E-2</v>
      </c>
      <c r="AB61">
        <f t="shared" si="0"/>
        <v>1.4095495313647692E-2</v>
      </c>
      <c r="AC61">
        <f t="shared" si="0"/>
        <v>1.4017183131886454E-2</v>
      </c>
    </row>
    <row r="62" spans="1:29" x14ac:dyDescent="0.25">
      <c r="A62" t="s">
        <v>73</v>
      </c>
      <c r="C62">
        <v>0</v>
      </c>
      <c r="D62">
        <f t="shared" ref="D62:AC62" si="1">IF(D5="",$B5,D5)</f>
        <v>1.6E-2</v>
      </c>
      <c r="E62">
        <f t="shared" si="1"/>
        <v>1.6E-2</v>
      </c>
      <c r="F62">
        <f t="shared" si="1"/>
        <v>1.6E-2</v>
      </c>
      <c r="G62">
        <f t="shared" si="1"/>
        <v>1.6E-2</v>
      </c>
      <c r="H62">
        <f t="shared" si="1"/>
        <v>1.6E-2</v>
      </c>
      <c r="I62">
        <f t="shared" si="1"/>
        <v>1.6E-2</v>
      </c>
      <c r="J62">
        <f t="shared" si="1"/>
        <v>1.6E-2</v>
      </c>
      <c r="K62">
        <f t="shared" si="1"/>
        <v>1.6E-2</v>
      </c>
      <c r="L62">
        <f t="shared" si="1"/>
        <v>1.6E-2</v>
      </c>
      <c r="M62">
        <f t="shared" si="1"/>
        <v>1.6E-2</v>
      </c>
      <c r="N62">
        <f t="shared" si="1"/>
        <v>1.6E-2</v>
      </c>
      <c r="O62">
        <f t="shared" si="1"/>
        <v>1.6E-2</v>
      </c>
      <c r="P62">
        <f t="shared" si="1"/>
        <v>1.6E-2</v>
      </c>
      <c r="Q62">
        <f t="shared" si="1"/>
        <v>1.6E-2</v>
      </c>
      <c r="R62">
        <f t="shared" si="1"/>
        <v>1.6E-2</v>
      </c>
      <c r="S62">
        <f t="shared" si="1"/>
        <v>1.6E-2</v>
      </c>
      <c r="T62">
        <f t="shared" si="1"/>
        <v>1.6E-2</v>
      </c>
      <c r="U62">
        <f t="shared" si="1"/>
        <v>1.6E-2</v>
      </c>
      <c r="V62">
        <f t="shared" si="1"/>
        <v>1.6E-2</v>
      </c>
      <c r="W62">
        <f t="shared" si="1"/>
        <v>1.6E-2</v>
      </c>
      <c r="X62">
        <f t="shared" si="1"/>
        <v>1.6E-2</v>
      </c>
      <c r="Y62">
        <f t="shared" si="1"/>
        <v>1.6E-2</v>
      </c>
      <c r="Z62">
        <f t="shared" si="1"/>
        <v>1.6E-2</v>
      </c>
      <c r="AA62">
        <f t="shared" si="1"/>
        <v>1.6E-2</v>
      </c>
      <c r="AB62">
        <f t="shared" si="1"/>
        <v>1.6E-2</v>
      </c>
      <c r="AC62">
        <f t="shared" si="1"/>
        <v>1.6E-2</v>
      </c>
    </row>
    <row r="63" spans="1:29" x14ac:dyDescent="0.25">
      <c r="A63" t="s">
        <v>78</v>
      </c>
      <c r="C63">
        <v>0</v>
      </c>
      <c r="D63">
        <f t="shared" ref="D63:AC63" si="2">IF(D6="",$B6,D6)</f>
        <v>1.4999999999999999E-2</v>
      </c>
      <c r="E63">
        <f t="shared" si="2"/>
        <v>1.4999999999999999E-2</v>
      </c>
      <c r="F63">
        <f t="shared" si="2"/>
        <v>1.4999999999999999E-2</v>
      </c>
      <c r="G63">
        <f t="shared" si="2"/>
        <v>1.4999999999999999E-2</v>
      </c>
      <c r="H63">
        <f t="shared" si="2"/>
        <v>1.4999999999999999E-2</v>
      </c>
      <c r="I63">
        <f t="shared" si="2"/>
        <v>1.4999999999999999E-2</v>
      </c>
      <c r="J63">
        <f t="shared" si="2"/>
        <v>1.4999999999999999E-2</v>
      </c>
      <c r="K63">
        <f t="shared" si="2"/>
        <v>1.4999999999999999E-2</v>
      </c>
      <c r="L63">
        <f t="shared" si="2"/>
        <v>1.4999999999999999E-2</v>
      </c>
      <c r="M63">
        <f t="shared" si="2"/>
        <v>1.4999999999999999E-2</v>
      </c>
      <c r="N63">
        <f t="shared" si="2"/>
        <v>1.4999999999999999E-2</v>
      </c>
      <c r="O63">
        <f t="shared" si="2"/>
        <v>1.4999999999999999E-2</v>
      </c>
      <c r="P63">
        <f t="shared" si="2"/>
        <v>1.4999999999999999E-2</v>
      </c>
      <c r="Q63">
        <f t="shared" si="2"/>
        <v>1.4999999999999999E-2</v>
      </c>
      <c r="R63">
        <f t="shared" si="2"/>
        <v>1.4999999999999999E-2</v>
      </c>
      <c r="S63">
        <f t="shared" si="2"/>
        <v>1.4999999999999999E-2</v>
      </c>
      <c r="T63">
        <f t="shared" si="2"/>
        <v>1.4999999999999999E-2</v>
      </c>
      <c r="U63">
        <f t="shared" si="2"/>
        <v>1.4999999999999999E-2</v>
      </c>
      <c r="V63">
        <f t="shared" si="2"/>
        <v>1.4999999999999999E-2</v>
      </c>
      <c r="W63">
        <f t="shared" si="2"/>
        <v>1.4999999999999999E-2</v>
      </c>
      <c r="X63">
        <f t="shared" si="2"/>
        <v>1.4999999999999999E-2</v>
      </c>
      <c r="Y63">
        <f t="shared" si="2"/>
        <v>1.4999999999999999E-2</v>
      </c>
      <c r="Z63">
        <f t="shared" si="2"/>
        <v>1.4999999999999999E-2</v>
      </c>
      <c r="AA63">
        <f t="shared" si="2"/>
        <v>1.4999999999999999E-2</v>
      </c>
      <c r="AB63">
        <f t="shared" si="2"/>
        <v>1.4999999999999999E-2</v>
      </c>
      <c r="AC63">
        <f t="shared" si="2"/>
        <v>1.4999999999999999E-2</v>
      </c>
    </row>
    <row r="64" spans="1:29" x14ac:dyDescent="0.25">
      <c r="A64" t="s">
        <v>90</v>
      </c>
      <c r="C64">
        <v>0</v>
      </c>
      <c r="D64">
        <f t="shared" ref="D64:AC64" si="3">IF(D7="",$B7,D7)</f>
        <v>7.1210619379968615E-2</v>
      </c>
      <c r="E64">
        <f t="shared" si="3"/>
        <v>9.1485608285695852E-2</v>
      </c>
      <c r="F64">
        <f t="shared" si="3"/>
        <v>-7.0993907420503948E-3</v>
      </c>
      <c r="G64">
        <f t="shared" si="3"/>
        <v>5.5548707441967927E-3</v>
      </c>
      <c r="H64">
        <f t="shared" si="3"/>
        <v>5.9511703967789834E-3</v>
      </c>
      <c r="I64">
        <f t="shared" si="3"/>
        <v>2.1573224384578597E-2</v>
      </c>
      <c r="J64">
        <f t="shared" si="3"/>
        <v>1.6109320999214728E-2</v>
      </c>
      <c r="K64">
        <f t="shared" si="3"/>
        <v>1.4839112543048894E-2</v>
      </c>
      <c r="L64">
        <f t="shared" si="3"/>
        <v>1.0867988350010568E-2</v>
      </c>
      <c r="M64">
        <f t="shared" si="3"/>
        <v>1.3336208967205965E-2</v>
      </c>
      <c r="N64">
        <f t="shared" si="3"/>
        <v>3.635627550798287E-3</v>
      </c>
      <c r="O64">
        <f t="shared" si="3"/>
        <v>4.3625166094370098E-3</v>
      </c>
      <c r="P64">
        <f t="shared" si="3"/>
        <v>5.5360413090617495E-3</v>
      </c>
      <c r="Q64">
        <f t="shared" si="3"/>
        <v>5.0714214789581427E-3</v>
      </c>
      <c r="R64">
        <f t="shared" si="3"/>
        <v>6.490507410011179E-3</v>
      </c>
      <c r="S64">
        <f t="shared" si="3"/>
        <v>1.1807222899426144E-2</v>
      </c>
      <c r="T64">
        <f t="shared" si="3"/>
        <v>1.4138693735629397E-2</v>
      </c>
      <c r="U64">
        <f t="shared" si="3"/>
        <v>7.8695027068229235E-3</v>
      </c>
      <c r="V64">
        <f t="shared" si="3"/>
        <v>8.6050480547517853E-3</v>
      </c>
      <c r="W64">
        <f t="shared" si="3"/>
        <v>5.0751542531941845E-3</v>
      </c>
      <c r="X64">
        <f t="shared" si="3"/>
        <v>3.6314508985072508E-3</v>
      </c>
      <c r="Y64">
        <f t="shared" si="3"/>
        <v>3.7320076133156074E-3</v>
      </c>
      <c r="Z64">
        <f t="shared" si="3"/>
        <v>5.5185131598065205E-3</v>
      </c>
      <c r="AA64">
        <f t="shared" si="3"/>
        <v>2.1673219962289911E-3</v>
      </c>
      <c r="AB64">
        <f t="shared" si="3"/>
        <v>1.601512248964386E-5</v>
      </c>
      <c r="AC64">
        <f t="shared" si="3"/>
        <v>-1.8375142190435721E-3</v>
      </c>
    </row>
    <row r="65" spans="1:29" x14ac:dyDescent="0.25">
      <c r="A65" t="s">
        <v>85</v>
      </c>
      <c r="C65">
        <v>0</v>
      </c>
      <c r="D65">
        <f t="shared" ref="D65:AC65" si="4">IF(D8="",$B8,D8)</f>
        <v>7.1210619379968615E-2</v>
      </c>
      <c r="E65">
        <f t="shared" si="4"/>
        <v>9.1485608285695852E-2</v>
      </c>
      <c r="F65">
        <f t="shared" si="4"/>
        <v>-7.0993907420503948E-3</v>
      </c>
      <c r="G65">
        <f t="shared" si="4"/>
        <v>5.5548707441967927E-3</v>
      </c>
      <c r="H65">
        <f t="shared" si="4"/>
        <v>5.9511703967789834E-3</v>
      </c>
      <c r="I65">
        <f t="shared" si="4"/>
        <v>2.1573224384578597E-2</v>
      </c>
      <c r="J65">
        <f t="shared" si="4"/>
        <v>1.6109320999214728E-2</v>
      </c>
      <c r="K65">
        <f t="shared" si="4"/>
        <v>1.4839112543048894E-2</v>
      </c>
      <c r="L65">
        <f t="shared" si="4"/>
        <v>1.0867988350010568E-2</v>
      </c>
      <c r="M65">
        <f t="shared" si="4"/>
        <v>1.3336208967205965E-2</v>
      </c>
      <c r="N65">
        <f t="shared" si="4"/>
        <v>3.635627550798287E-3</v>
      </c>
      <c r="O65">
        <f t="shared" si="4"/>
        <v>4.3625166094370098E-3</v>
      </c>
      <c r="P65">
        <f t="shared" si="4"/>
        <v>5.5360413090617495E-3</v>
      </c>
      <c r="Q65">
        <f t="shared" si="4"/>
        <v>5.0714214789581427E-3</v>
      </c>
      <c r="R65">
        <f t="shared" si="4"/>
        <v>6.490507410011179E-3</v>
      </c>
      <c r="S65">
        <f t="shared" si="4"/>
        <v>1.1807222899426144E-2</v>
      </c>
      <c r="T65">
        <f t="shared" si="4"/>
        <v>1.4138693735629397E-2</v>
      </c>
      <c r="U65">
        <f t="shared" si="4"/>
        <v>7.8695027068229235E-3</v>
      </c>
      <c r="V65">
        <f t="shared" si="4"/>
        <v>8.6050480547517853E-3</v>
      </c>
      <c r="W65">
        <f t="shared" si="4"/>
        <v>5.0751542531941845E-3</v>
      </c>
      <c r="X65">
        <f t="shared" si="4"/>
        <v>3.6314508985072508E-3</v>
      </c>
      <c r="Y65">
        <f t="shared" si="4"/>
        <v>3.7320076133156074E-3</v>
      </c>
      <c r="Z65">
        <f t="shared" si="4"/>
        <v>5.5185131598065205E-3</v>
      </c>
      <c r="AA65">
        <f t="shared" si="4"/>
        <v>2.1673219962289911E-3</v>
      </c>
      <c r="AB65">
        <f t="shared" si="4"/>
        <v>1.601512248964386E-5</v>
      </c>
      <c r="AC65">
        <f t="shared" si="4"/>
        <v>-1.8375142190435721E-3</v>
      </c>
    </row>
    <row r="66" spans="1:29" x14ac:dyDescent="0.25">
      <c r="A66" t="s">
        <v>93</v>
      </c>
      <c r="C66">
        <v>0</v>
      </c>
      <c r="D66">
        <f t="shared" ref="D66:AC66" si="5">IF(D9="",$B9,D9)</f>
        <v>2.6000000000000002E-2</v>
      </c>
      <c r="E66">
        <f t="shared" si="5"/>
        <v>2.6000000000000002E-2</v>
      </c>
      <c r="F66">
        <f t="shared" si="5"/>
        <v>2.6000000000000002E-2</v>
      </c>
      <c r="G66">
        <f t="shared" si="5"/>
        <v>2.6000000000000002E-2</v>
      </c>
      <c r="H66">
        <f t="shared" si="5"/>
        <v>2.6000000000000002E-2</v>
      </c>
      <c r="I66">
        <f t="shared" si="5"/>
        <v>2.6000000000000002E-2</v>
      </c>
      <c r="J66">
        <f t="shared" si="5"/>
        <v>2.6000000000000002E-2</v>
      </c>
      <c r="K66">
        <f t="shared" si="5"/>
        <v>2.6000000000000002E-2</v>
      </c>
      <c r="L66">
        <f t="shared" si="5"/>
        <v>2.6000000000000002E-2</v>
      </c>
      <c r="M66">
        <f t="shared" si="5"/>
        <v>2.6000000000000002E-2</v>
      </c>
      <c r="N66">
        <f t="shared" si="5"/>
        <v>2.6000000000000002E-2</v>
      </c>
      <c r="O66">
        <f t="shared" si="5"/>
        <v>2.6000000000000002E-2</v>
      </c>
      <c r="P66">
        <f t="shared" si="5"/>
        <v>2.6000000000000002E-2</v>
      </c>
      <c r="Q66">
        <f t="shared" si="5"/>
        <v>2.6000000000000002E-2</v>
      </c>
      <c r="R66">
        <f t="shared" si="5"/>
        <v>2.6000000000000002E-2</v>
      </c>
      <c r="S66">
        <f t="shared" si="5"/>
        <v>2.6000000000000002E-2</v>
      </c>
      <c r="T66">
        <f t="shared" si="5"/>
        <v>2.6000000000000002E-2</v>
      </c>
      <c r="U66">
        <f t="shared" si="5"/>
        <v>2.6000000000000002E-2</v>
      </c>
      <c r="V66">
        <f t="shared" si="5"/>
        <v>2.6000000000000002E-2</v>
      </c>
      <c r="W66">
        <f t="shared" si="5"/>
        <v>2.6000000000000002E-2</v>
      </c>
      <c r="X66">
        <f t="shared" si="5"/>
        <v>2.6000000000000002E-2</v>
      </c>
      <c r="Y66">
        <f t="shared" si="5"/>
        <v>2.6000000000000002E-2</v>
      </c>
      <c r="Z66">
        <f t="shared" si="5"/>
        <v>2.6000000000000002E-2</v>
      </c>
      <c r="AA66">
        <f t="shared" si="5"/>
        <v>2.6000000000000002E-2</v>
      </c>
      <c r="AB66">
        <f t="shared" si="5"/>
        <v>2.6000000000000002E-2</v>
      </c>
      <c r="AC66">
        <f t="shared" si="5"/>
        <v>2.6000000000000002E-2</v>
      </c>
    </row>
    <row r="67" spans="1:29" x14ac:dyDescent="0.25">
      <c r="A67" t="s">
        <v>96</v>
      </c>
      <c r="C67">
        <v>0</v>
      </c>
      <c r="D67">
        <f t="shared" ref="D67:AC67" si="6">IF(D10="",$B10,D10)</f>
        <v>7.1210619379968615E-2</v>
      </c>
      <c r="E67">
        <f t="shared" si="6"/>
        <v>9.1485608285695852E-2</v>
      </c>
      <c r="F67">
        <f t="shared" si="6"/>
        <v>-7.0993907420503948E-3</v>
      </c>
      <c r="G67">
        <f t="shared" si="6"/>
        <v>5.5548707441967927E-3</v>
      </c>
      <c r="H67">
        <f t="shared" si="6"/>
        <v>5.9511703967789834E-3</v>
      </c>
      <c r="I67">
        <f t="shared" si="6"/>
        <v>2.1573224384578597E-2</v>
      </c>
      <c r="J67">
        <f t="shared" si="6"/>
        <v>1.6109320999214728E-2</v>
      </c>
      <c r="K67">
        <f t="shared" si="6"/>
        <v>1.4839112543048894E-2</v>
      </c>
      <c r="L67">
        <f t="shared" si="6"/>
        <v>1.0867988350010568E-2</v>
      </c>
      <c r="M67">
        <f t="shared" si="6"/>
        <v>1.3336208967205965E-2</v>
      </c>
      <c r="N67">
        <f t="shared" si="6"/>
        <v>3.635627550798287E-3</v>
      </c>
      <c r="O67">
        <f t="shared" si="6"/>
        <v>4.3625166094370098E-3</v>
      </c>
      <c r="P67">
        <f t="shared" si="6"/>
        <v>5.5360413090617495E-3</v>
      </c>
      <c r="Q67">
        <f t="shared" si="6"/>
        <v>5.0714214789581427E-3</v>
      </c>
      <c r="R67">
        <f t="shared" si="6"/>
        <v>6.490507410011179E-3</v>
      </c>
      <c r="S67">
        <f t="shared" si="6"/>
        <v>1.1807222899426144E-2</v>
      </c>
      <c r="T67">
        <f t="shared" si="6"/>
        <v>1.4138693735629397E-2</v>
      </c>
      <c r="U67">
        <f t="shared" si="6"/>
        <v>7.8695027068229235E-3</v>
      </c>
      <c r="V67">
        <f t="shared" si="6"/>
        <v>8.6050480547517853E-3</v>
      </c>
      <c r="W67">
        <f t="shared" si="6"/>
        <v>5.0751542531941845E-3</v>
      </c>
      <c r="X67">
        <f t="shared" si="6"/>
        <v>3.6314508985072508E-3</v>
      </c>
      <c r="Y67">
        <f t="shared" si="6"/>
        <v>3.7320076133156074E-3</v>
      </c>
      <c r="Z67">
        <f t="shared" si="6"/>
        <v>5.5185131598065205E-3</v>
      </c>
      <c r="AA67">
        <f t="shared" si="6"/>
        <v>2.1673219962289911E-3</v>
      </c>
      <c r="AB67">
        <f t="shared" si="6"/>
        <v>1.601512248964386E-5</v>
      </c>
      <c r="AC67">
        <f t="shared" si="6"/>
        <v>-1.8375142190435721E-3</v>
      </c>
    </row>
    <row r="68" spans="1:29" x14ac:dyDescent="0.25">
      <c r="A68" t="s">
        <v>99</v>
      </c>
      <c r="C68">
        <v>0</v>
      </c>
      <c r="D68">
        <f t="shared" ref="D68:AC68" si="7">IF(D11="",$B11,D11)</f>
        <v>-5.0000000000000001E-3</v>
      </c>
      <c r="E68">
        <f t="shared" si="7"/>
        <v>-5.0000000000000001E-3</v>
      </c>
      <c r="F68">
        <f t="shared" si="7"/>
        <v>-5.0000000000000001E-3</v>
      </c>
      <c r="G68">
        <f t="shared" si="7"/>
        <v>-5.0000000000000001E-3</v>
      </c>
      <c r="H68">
        <f t="shared" si="7"/>
        <v>-5.0000000000000001E-3</v>
      </c>
      <c r="I68">
        <f t="shared" si="7"/>
        <v>-5.0000000000000001E-3</v>
      </c>
      <c r="J68">
        <f t="shared" si="7"/>
        <v>-5.0000000000000001E-3</v>
      </c>
      <c r="K68">
        <f t="shared" si="7"/>
        <v>-5.0000000000000001E-3</v>
      </c>
      <c r="L68">
        <f t="shared" si="7"/>
        <v>-5.0000000000000001E-3</v>
      </c>
      <c r="M68">
        <f t="shared" si="7"/>
        <v>-5.0000000000000001E-3</v>
      </c>
      <c r="N68">
        <f t="shared" si="7"/>
        <v>-5.0000000000000001E-3</v>
      </c>
      <c r="O68">
        <f t="shared" si="7"/>
        <v>-5.0000000000000001E-3</v>
      </c>
      <c r="P68">
        <f t="shared" si="7"/>
        <v>-5.0000000000000001E-3</v>
      </c>
      <c r="Q68">
        <f t="shared" si="7"/>
        <v>-5.0000000000000001E-3</v>
      </c>
      <c r="R68">
        <f t="shared" si="7"/>
        <v>-5.0000000000000001E-3</v>
      </c>
      <c r="S68">
        <f t="shared" si="7"/>
        <v>-5.0000000000000001E-3</v>
      </c>
      <c r="T68">
        <f t="shared" si="7"/>
        <v>-5.0000000000000001E-3</v>
      </c>
      <c r="U68">
        <f t="shared" si="7"/>
        <v>-5.0000000000000001E-3</v>
      </c>
      <c r="V68">
        <f t="shared" si="7"/>
        <v>-5.0000000000000001E-3</v>
      </c>
      <c r="W68">
        <f t="shared" si="7"/>
        <v>-5.0000000000000001E-3</v>
      </c>
      <c r="X68">
        <f t="shared" si="7"/>
        <v>-5.0000000000000001E-3</v>
      </c>
      <c r="Y68">
        <f t="shared" si="7"/>
        <v>-5.0000000000000001E-3</v>
      </c>
      <c r="Z68">
        <f t="shared" si="7"/>
        <v>-5.0000000000000001E-3</v>
      </c>
      <c r="AA68">
        <f t="shared" si="7"/>
        <v>-5.0000000000000001E-3</v>
      </c>
      <c r="AB68">
        <f t="shared" si="7"/>
        <v>-5.0000000000000001E-3</v>
      </c>
      <c r="AC68">
        <f t="shared" si="7"/>
        <v>-5.0000000000000001E-3</v>
      </c>
    </row>
    <row r="69" spans="1:29" x14ac:dyDescent="0.25">
      <c r="A69" t="s">
        <v>182</v>
      </c>
      <c r="C69">
        <v>0</v>
      </c>
      <c r="D69">
        <f t="shared" ref="D69:AC69" si="8">IF(D12="",$B12,D12)</f>
        <v>-5.7729872669432442E-2</v>
      </c>
      <c r="E69">
        <f t="shared" si="8"/>
        <v>2.3084925389895744E-3</v>
      </c>
      <c r="F69">
        <f t="shared" si="8"/>
        <v>8.6668536975894779E-3</v>
      </c>
      <c r="G69">
        <f t="shared" si="8"/>
        <v>8.895905393281495E-3</v>
      </c>
      <c r="H69">
        <f t="shared" si="8"/>
        <v>6.2431210570281486E-3</v>
      </c>
      <c r="I69">
        <f t="shared" si="8"/>
        <v>8.2994653578576105E-3</v>
      </c>
      <c r="J69">
        <f t="shared" si="8"/>
        <v>8.8544070298389645E-3</v>
      </c>
      <c r="K69">
        <f t="shared" si="8"/>
        <v>8.5623904163661772E-3</v>
      </c>
      <c r="L69">
        <f t="shared" si="8"/>
        <v>8.6305305300598441E-3</v>
      </c>
      <c r="M69">
        <f t="shared" si="8"/>
        <v>8.8124025739757458E-3</v>
      </c>
      <c r="N69">
        <f t="shared" si="8"/>
        <v>8.3397468750246884E-3</v>
      </c>
      <c r="O69">
        <f t="shared" si="8"/>
        <v>9.1512585221738517E-3</v>
      </c>
      <c r="P69">
        <f t="shared" si="8"/>
        <v>8.9158346258822047E-3</v>
      </c>
      <c r="Q69">
        <f t="shared" si="8"/>
        <v>9.0395674055599434E-3</v>
      </c>
      <c r="R69">
        <f t="shared" si="8"/>
        <v>8.9126869878666404E-3</v>
      </c>
      <c r="S69">
        <f t="shared" si="8"/>
        <v>8.2219736659823149E-3</v>
      </c>
      <c r="T69">
        <f t="shared" si="8"/>
        <v>8.1518849867408989E-3</v>
      </c>
      <c r="U69">
        <f t="shared" si="8"/>
        <v>8.0671144690563253E-3</v>
      </c>
      <c r="V69">
        <f t="shared" si="8"/>
        <v>7.6174180419561087E-3</v>
      </c>
      <c r="W69">
        <f t="shared" si="8"/>
        <v>7.5910007208408424E-3</v>
      </c>
      <c r="X69">
        <f t="shared" si="8"/>
        <v>6.9485012197958293E-3</v>
      </c>
      <c r="Y69">
        <f t="shared" si="8"/>
        <v>7.1654398456569134E-3</v>
      </c>
      <c r="Z69">
        <f t="shared" si="8"/>
        <v>6.9713486623400201E-3</v>
      </c>
      <c r="AA69">
        <f t="shared" si="8"/>
        <v>6.9198623364609326E-3</v>
      </c>
      <c r="AB69">
        <f t="shared" si="8"/>
        <v>7.1706668477333618E-3</v>
      </c>
      <c r="AC69">
        <f t="shared" si="8"/>
        <v>6.5544717745132219E-3</v>
      </c>
    </row>
    <row r="70" spans="1:29" x14ac:dyDescent="0.25">
      <c r="A70" t="s">
        <v>209</v>
      </c>
      <c r="C70">
        <v>0</v>
      </c>
      <c r="D70">
        <f t="shared" ref="D70:AC70" si="9">IF(D13="",$B13,D13)</f>
        <v>-0.11327023120960888</v>
      </c>
      <c r="E70">
        <f t="shared" si="9"/>
        <v>1.2654387821285499E-2</v>
      </c>
      <c r="F70">
        <f t="shared" si="9"/>
        <v>1.3735723311174427E-2</v>
      </c>
      <c r="G70">
        <f t="shared" si="9"/>
        <v>-2.8978791575699502E-2</v>
      </c>
      <c r="H70">
        <f t="shared" si="9"/>
        <v>-3.7839861235331416E-2</v>
      </c>
      <c r="I70">
        <f t="shared" si="9"/>
        <v>-1.7721610152687448E-2</v>
      </c>
      <c r="J70">
        <f t="shared" si="9"/>
        <v>-5.5535893277420126E-3</v>
      </c>
      <c r="K70">
        <f t="shared" si="9"/>
        <v>-2.8541013618708145E-3</v>
      </c>
      <c r="L70">
        <f t="shared" si="9"/>
        <v>2.6110775606644635E-3</v>
      </c>
      <c r="M70">
        <f t="shared" si="9"/>
        <v>7.1811112665338961E-3</v>
      </c>
      <c r="N70">
        <f t="shared" si="9"/>
        <v>4.3095939225521436E-3</v>
      </c>
      <c r="O70">
        <f t="shared" si="9"/>
        <v>-5.0828396051350012E-4</v>
      </c>
      <c r="P70">
        <f t="shared" si="9"/>
        <v>1.2939081422887416E-3</v>
      </c>
      <c r="Q70">
        <f t="shared" si="9"/>
        <v>1.9871252582326238E-3</v>
      </c>
      <c r="R70">
        <f t="shared" si="9"/>
        <v>9.4922215564872351E-4</v>
      </c>
      <c r="S70">
        <f t="shared" si="9"/>
        <v>3.876368628577711E-3</v>
      </c>
      <c r="T70">
        <f t="shared" si="9"/>
        <v>3.6086342533489719E-3</v>
      </c>
      <c r="U70">
        <f t="shared" si="9"/>
        <v>2.3781021607383874E-3</v>
      </c>
      <c r="V70">
        <f t="shared" si="9"/>
        <v>2.2510324909582892E-3</v>
      </c>
      <c r="W70">
        <f t="shared" si="9"/>
        <v>2.9899080939919951E-3</v>
      </c>
      <c r="X70">
        <f t="shared" si="9"/>
        <v>3.7431770442513351E-3</v>
      </c>
      <c r="Y70">
        <f t="shared" si="9"/>
        <v>1.8182871550452167E-3</v>
      </c>
      <c r="Z70">
        <f t="shared" si="9"/>
        <v>-1.8549583248712398E-3</v>
      </c>
      <c r="AA70">
        <f t="shared" si="9"/>
        <v>-4.8402017735736042E-3</v>
      </c>
      <c r="AB70">
        <f t="shared" si="9"/>
        <v>-1.2979738378702281E-3</v>
      </c>
      <c r="AC70">
        <f t="shared" si="9"/>
        <v>-9.7529928707283859E-4</v>
      </c>
    </row>
    <row r="71" spans="1:29" x14ac:dyDescent="0.25">
      <c r="A71" t="s">
        <v>218</v>
      </c>
      <c r="C71">
        <v>0</v>
      </c>
      <c r="D71">
        <f t="shared" ref="D71:AC71" si="10">IF(D14="",$B14,D14)</f>
        <v>0.20646756047733122</v>
      </c>
      <c r="E71">
        <f t="shared" si="10"/>
        <v>-0.16081253587386876</v>
      </c>
      <c r="F71">
        <f t="shared" si="10"/>
        <v>-5.9926481842827915E-2</v>
      </c>
      <c r="G71">
        <f t="shared" si="10"/>
        <v>4.8577552390751753E-2</v>
      </c>
      <c r="H71">
        <f t="shared" si="10"/>
        <v>7.8415031909261301E-2</v>
      </c>
      <c r="I71">
        <f t="shared" si="10"/>
        <v>1.0858482705549129E-2</v>
      </c>
      <c r="J71">
        <f t="shared" si="10"/>
        <v>-2.5408865648140155E-2</v>
      </c>
      <c r="K71">
        <f t="shared" si="10"/>
        <v>-3.0799743817374369E-3</v>
      </c>
      <c r="L71">
        <f t="shared" si="10"/>
        <v>2.2848120700727528E-2</v>
      </c>
      <c r="M71">
        <f t="shared" si="10"/>
        <v>3.8984983101808264E-2</v>
      </c>
      <c r="N71">
        <f t="shared" si="10"/>
        <v>2.9219529050703422E-2</v>
      </c>
      <c r="O71">
        <f t="shared" si="10"/>
        <v>2.9233758232177085E-2</v>
      </c>
      <c r="P71">
        <f t="shared" si="10"/>
        <v>2.1060842040691512E-2</v>
      </c>
      <c r="Q71">
        <f t="shared" si="10"/>
        <v>2.228663552233685E-2</v>
      </c>
      <c r="R71">
        <f t="shared" si="10"/>
        <v>1.6015879083247499E-2</v>
      </c>
      <c r="S71">
        <f t="shared" si="10"/>
        <v>5.1785345412433161E-3</v>
      </c>
      <c r="T71">
        <f t="shared" si="10"/>
        <v>-1.8013354096578064E-2</v>
      </c>
      <c r="U71">
        <f t="shared" si="10"/>
        <v>-1.0618322301797024E-2</v>
      </c>
      <c r="V71">
        <f t="shared" si="10"/>
        <v>-1.9917091594533951E-2</v>
      </c>
      <c r="W71">
        <f t="shared" si="10"/>
        <v>-1.3377491184493832E-2</v>
      </c>
      <c r="X71">
        <f t="shared" si="10"/>
        <v>6.3217512353089273E-3</v>
      </c>
      <c r="Y71">
        <f t="shared" si="10"/>
        <v>6.0034817341983937E-3</v>
      </c>
      <c r="Z71">
        <f t="shared" si="10"/>
        <v>8.9925975681785075E-3</v>
      </c>
      <c r="AA71">
        <f t="shared" si="10"/>
        <v>8.075867794985786E-3</v>
      </c>
      <c r="AB71">
        <f t="shared" si="10"/>
        <v>1.3737245679554182E-2</v>
      </c>
      <c r="AC71">
        <f t="shared" si="10"/>
        <v>1.1236138525516472E-2</v>
      </c>
    </row>
    <row r="72" spans="1:29" x14ac:dyDescent="0.25">
      <c r="A72" t="s">
        <v>227</v>
      </c>
      <c r="C72">
        <v>0</v>
      </c>
      <c r="D72">
        <f t="shared" ref="D72:AC72" si="11">IF(D15="",$B15,D15)</f>
        <v>-5.0057662323048653E-2</v>
      </c>
      <c r="E72">
        <f t="shared" si="11"/>
        <v>-9.0657834221724697E-3</v>
      </c>
      <c r="F72">
        <f t="shared" si="11"/>
        <v>1.278485593459618E-3</v>
      </c>
      <c r="G72">
        <f t="shared" si="11"/>
        <v>-7.1926520481287977E-3</v>
      </c>
      <c r="H72">
        <f t="shared" si="11"/>
        <v>-6.3772334766012823E-3</v>
      </c>
      <c r="I72">
        <f t="shared" si="11"/>
        <v>-6.2658343162849952E-3</v>
      </c>
      <c r="J72">
        <f t="shared" si="11"/>
        <v>-2.3939717110985303E-3</v>
      </c>
      <c r="K72">
        <f t="shared" si="11"/>
        <v>-3.0197325726839135E-3</v>
      </c>
      <c r="L72">
        <f t="shared" si="11"/>
        <v>-4.098789524848997E-3</v>
      </c>
      <c r="M72">
        <f t="shared" si="11"/>
        <v>-3.4129947835764363E-3</v>
      </c>
      <c r="N72">
        <f t="shared" si="11"/>
        <v>-3.441524691247057E-3</v>
      </c>
      <c r="O72">
        <f t="shared" si="11"/>
        <v>-3.1894531324822219E-3</v>
      </c>
      <c r="P72">
        <f t="shared" si="11"/>
        <v>-3.1325195911242193E-3</v>
      </c>
      <c r="Q72">
        <f t="shared" si="11"/>
        <v>2.6629654801326336E-4</v>
      </c>
      <c r="R72">
        <f t="shared" si="11"/>
        <v>3.3503925536994628E-3</v>
      </c>
      <c r="S72">
        <f t="shared" si="11"/>
        <v>5.4952678620504352E-3</v>
      </c>
      <c r="T72">
        <f t="shared" si="11"/>
        <v>4.1677260381441997E-3</v>
      </c>
      <c r="U72">
        <f t="shared" si="11"/>
        <v>5.4302573644451667E-3</v>
      </c>
      <c r="V72">
        <f t="shared" si="11"/>
        <v>5.8086122465398774E-3</v>
      </c>
      <c r="W72">
        <f t="shared" si="11"/>
        <v>6.0143914031781237E-3</v>
      </c>
      <c r="X72">
        <f t="shared" si="11"/>
        <v>6.6741622098685756E-3</v>
      </c>
      <c r="Y72">
        <f t="shared" si="11"/>
        <v>5.8020804358370056E-3</v>
      </c>
      <c r="Z72">
        <f t="shared" si="11"/>
        <v>6.9906301916783384E-3</v>
      </c>
      <c r="AA72">
        <f t="shared" si="11"/>
        <v>6.8990934448158476E-3</v>
      </c>
      <c r="AB72">
        <f t="shared" si="11"/>
        <v>7.8737061824086206E-3</v>
      </c>
      <c r="AC72">
        <f t="shared" si="11"/>
        <v>6.1365801067141219E-3</v>
      </c>
    </row>
    <row r="73" spans="1:29" x14ac:dyDescent="0.25">
      <c r="A73" t="s">
        <v>236</v>
      </c>
      <c r="C73">
        <v>0</v>
      </c>
      <c r="D73">
        <f t="shared" ref="D73:AC73" si="12">IF(D16="",$B16,D16)</f>
        <v>9.2796417486756702E-4</v>
      </c>
      <c r="E73">
        <f t="shared" si="12"/>
        <v>3.8698790057806816E-3</v>
      </c>
      <c r="F73">
        <f t="shared" si="12"/>
        <v>-1.8900763962524704E-3</v>
      </c>
      <c r="G73">
        <f t="shared" si="12"/>
        <v>-3.4576233884962256E-3</v>
      </c>
      <c r="H73">
        <f t="shared" si="12"/>
        <v>-9.2395075582589505E-3</v>
      </c>
      <c r="I73">
        <f t="shared" si="12"/>
        <v>-5.5176591261427172E-3</v>
      </c>
      <c r="J73">
        <f t="shared" si="12"/>
        <v>-6.6166130145881713E-3</v>
      </c>
      <c r="K73">
        <f t="shared" si="12"/>
        <v>-2.6039774078813042E-3</v>
      </c>
      <c r="L73">
        <f t="shared" si="12"/>
        <v>-2.047554302618233E-3</v>
      </c>
      <c r="M73">
        <f t="shared" si="12"/>
        <v>7.399211509591157E-4</v>
      </c>
      <c r="N73">
        <f t="shared" si="12"/>
        <v>1.4693596677565349E-3</v>
      </c>
      <c r="O73">
        <f t="shared" si="12"/>
        <v>-3.5672139471945225E-3</v>
      </c>
      <c r="P73">
        <f t="shared" si="12"/>
        <v>-7.8846764577685975E-3</v>
      </c>
      <c r="Q73">
        <f t="shared" si="12"/>
        <v>-7.6665663555704677E-3</v>
      </c>
      <c r="R73">
        <f t="shared" si="12"/>
        <v>-3.9897848989846911E-3</v>
      </c>
      <c r="S73">
        <f t="shared" si="12"/>
        <v>-1.5007878017789199E-3</v>
      </c>
      <c r="T73">
        <f t="shared" si="12"/>
        <v>1.4814202478820341E-3</v>
      </c>
      <c r="U73">
        <f t="shared" si="12"/>
        <v>-1.7439522658663593E-3</v>
      </c>
      <c r="V73">
        <f t="shared" si="12"/>
        <v>-5.2166332897896784E-3</v>
      </c>
      <c r="W73">
        <f t="shared" si="12"/>
        <v>-5.7503196953714655E-3</v>
      </c>
      <c r="X73">
        <f t="shared" si="12"/>
        <v>-5.1943860581410671E-3</v>
      </c>
      <c r="Y73">
        <f t="shared" si="12"/>
        <v>6.9266482707921518E-4</v>
      </c>
      <c r="Z73">
        <f t="shared" si="12"/>
        <v>1.7998124256706656E-3</v>
      </c>
      <c r="AA73">
        <f t="shared" si="12"/>
        <v>-3.6608763437707497E-3</v>
      </c>
      <c r="AB73">
        <f t="shared" si="12"/>
        <v>-2.2638412545510677E-3</v>
      </c>
      <c r="AC73">
        <f t="shared" si="12"/>
        <v>-4.4962071149564459E-4</v>
      </c>
    </row>
    <row r="74" spans="1:29" x14ac:dyDescent="0.25">
      <c r="A74" t="s">
        <v>241</v>
      </c>
      <c r="C74">
        <v>0</v>
      </c>
      <c r="D74">
        <f t="shared" ref="D74:AC74" si="13">IF(D17="",$B17,D17)</f>
        <v>7.1677561450444349E-2</v>
      </c>
      <c r="E74">
        <f t="shared" si="13"/>
        <v>-1.3322752034657602E-2</v>
      </c>
      <c r="F74">
        <f t="shared" si="13"/>
        <v>-1.1656389221256275E-2</v>
      </c>
      <c r="G74">
        <f t="shared" si="13"/>
        <v>-3.9834844723168946E-3</v>
      </c>
      <c r="H74">
        <f t="shared" si="13"/>
        <v>-8.4588021519986026E-3</v>
      </c>
      <c r="I74">
        <f t="shared" si="13"/>
        <v>-3.5692082180841363E-4</v>
      </c>
      <c r="J74">
        <f t="shared" si="13"/>
        <v>4.6102925636148148E-3</v>
      </c>
      <c r="K74">
        <f t="shared" si="13"/>
        <v>5.8713176717311646E-3</v>
      </c>
      <c r="L74">
        <f t="shared" si="13"/>
        <v>1.096075900833852E-2</v>
      </c>
      <c r="M74">
        <f t="shared" si="13"/>
        <v>1.0947535287415971E-2</v>
      </c>
      <c r="N74">
        <f t="shared" si="13"/>
        <v>1.1647639652423818E-2</v>
      </c>
      <c r="O74">
        <f t="shared" si="13"/>
        <v>1.1971146388333052E-2</v>
      </c>
      <c r="P74">
        <f t="shared" si="13"/>
        <v>1.3049614317436706E-2</v>
      </c>
      <c r="Q74">
        <f t="shared" si="13"/>
        <v>1.3004727066106054E-2</v>
      </c>
      <c r="R74">
        <f t="shared" si="13"/>
        <v>1.50061184439188E-2</v>
      </c>
      <c r="S74">
        <f t="shared" si="13"/>
        <v>1.5748427723141875E-2</v>
      </c>
      <c r="T74">
        <f t="shared" si="13"/>
        <v>1.7359441201003255E-2</v>
      </c>
      <c r="U74">
        <f t="shared" si="13"/>
        <v>1.9693202215778183E-2</v>
      </c>
      <c r="V74">
        <f t="shared" si="13"/>
        <v>1.8617996755474743E-2</v>
      </c>
      <c r="W74">
        <f t="shared" si="13"/>
        <v>1.8944643380388912E-2</v>
      </c>
      <c r="X74">
        <f t="shared" si="13"/>
        <v>2.0332594185957849E-2</v>
      </c>
      <c r="Y74">
        <f t="shared" si="13"/>
        <v>2.159212028848706E-2</v>
      </c>
      <c r="Z74">
        <f t="shared" si="13"/>
        <v>2.2091861117516778E-2</v>
      </c>
      <c r="AA74">
        <f t="shared" si="13"/>
        <v>1.9605559354869986E-2</v>
      </c>
      <c r="AB74">
        <f t="shared" si="13"/>
        <v>1.8448737017635143E-2</v>
      </c>
      <c r="AC74">
        <f t="shared" si="13"/>
        <v>2.0216894756495168E-2</v>
      </c>
    </row>
    <row r="75" spans="1:29" x14ac:dyDescent="0.25">
      <c r="A75" t="s">
        <v>246</v>
      </c>
      <c r="C75">
        <v>0</v>
      </c>
      <c r="D75">
        <f t="shared" ref="D75:AC75" si="14">IF(D18="",$B18,D18)</f>
        <v>2.3999999999999994E-2</v>
      </c>
      <c r="E75">
        <f t="shared" si="14"/>
        <v>2.3999999999999994E-2</v>
      </c>
      <c r="F75">
        <f t="shared" si="14"/>
        <v>2.3999999999999994E-2</v>
      </c>
      <c r="G75">
        <f t="shared" si="14"/>
        <v>2.3999999999999994E-2</v>
      </c>
      <c r="H75">
        <f t="shared" si="14"/>
        <v>2.3999999999999994E-2</v>
      </c>
      <c r="I75">
        <f t="shared" si="14"/>
        <v>2.3999999999999994E-2</v>
      </c>
      <c r="J75">
        <f t="shared" si="14"/>
        <v>2.3999999999999994E-2</v>
      </c>
      <c r="K75">
        <f t="shared" si="14"/>
        <v>2.3999999999999994E-2</v>
      </c>
      <c r="L75">
        <f t="shared" si="14"/>
        <v>2.3999999999999994E-2</v>
      </c>
      <c r="M75">
        <f t="shared" si="14"/>
        <v>2.3999999999999994E-2</v>
      </c>
      <c r="N75">
        <f t="shared" si="14"/>
        <v>2.3999999999999994E-2</v>
      </c>
      <c r="O75">
        <f t="shared" si="14"/>
        <v>2.3999999999999994E-2</v>
      </c>
      <c r="P75">
        <f t="shared" si="14"/>
        <v>2.3999999999999994E-2</v>
      </c>
      <c r="Q75">
        <f t="shared" si="14"/>
        <v>2.3999999999999994E-2</v>
      </c>
      <c r="R75">
        <f t="shared" si="14"/>
        <v>2.3999999999999994E-2</v>
      </c>
      <c r="S75">
        <f t="shared" si="14"/>
        <v>2.3999999999999994E-2</v>
      </c>
      <c r="T75">
        <f t="shared" si="14"/>
        <v>2.3999999999999994E-2</v>
      </c>
      <c r="U75">
        <f t="shared" si="14"/>
        <v>2.3999999999999994E-2</v>
      </c>
      <c r="V75">
        <f t="shared" si="14"/>
        <v>2.3999999999999994E-2</v>
      </c>
      <c r="W75">
        <f t="shared" si="14"/>
        <v>2.3999999999999994E-2</v>
      </c>
      <c r="X75">
        <f t="shared" si="14"/>
        <v>2.3999999999999994E-2</v>
      </c>
      <c r="Y75">
        <f t="shared" si="14"/>
        <v>2.3999999999999994E-2</v>
      </c>
      <c r="Z75">
        <f t="shared" si="14"/>
        <v>2.3999999999999994E-2</v>
      </c>
      <c r="AA75">
        <f t="shared" si="14"/>
        <v>2.3999999999999994E-2</v>
      </c>
      <c r="AB75">
        <f t="shared" si="14"/>
        <v>2.3999999999999994E-2</v>
      </c>
      <c r="AC75">
        <f t="shared" si="14"/>
        <v>2.3999999999999994E-2</v>
      </c>
    </row>
    <row r="76" spans="1:29" x14ac:dyDescent="0.25">
      <c r="A76" t="s">
        <v>249</v>
      </c>
      <c r="C76">
        <v>0</v>
      </c>
      <c r="D76">
        <f t="shared" ref="D76:AC76" si="15">IF(D19="",$B19,D19)</f>
        <v>1.7724214122440893E-2</v>
      </c>
      <c r="E76">
        <f t="shared" si="15"/>
        <v>-5.8729664651617488E-3</v>
      </c>
      <c r="F76">
        <f t="shared" si="15"/>
        <v>2.2595816437962872E-2</v>
      </c>
      <c r="G76">
        <f t="shared" si="15"/>
        <v>1.2078391913637288E-2</v>
      </c>
      <c r="H76">
        <f t="shared" si="15"/>
        <v>4.3401578051765564E-3</v>
      </c>
      <c r="I76">
        <f t="shared" si="15"/>
        <v>1.0538330439854564E-2</v>
      </c>
      <c r="J76">
        <f t="shared" si="15"/>
        <v>1.1919624433299109E-2</v>
      </c>
      <c r="K76">
        <f t="shared" si="15"/>
        <v>7.2282865610519224E-3</v>
      </c>
      <c r="L76">
        <f t="shared" si="15"/>
        <v>6.6818769513966106E-3</v>
      </c>
      <c r="M76">
        <f t="shared" si="15"/>
        <v>4.4451834259098492E-3</v>
      </c>
      <c r="N76">
        <f t="shared" si="15"/>
        <v>7.801068903021984E-3</v>
      </c>
      <c r="O76">
        <f t="shared" si="15"/>
        <v>1.156324137291186E-2</v>
      </c>
      <c r="P76">
        <f t="shared" si="15"/>
        <v>1.3563166417312762E-2</v>
      </c>
      <c r="Q76">
        <f t="shared" si="15"/>
        <v>1.1960972313155602E-2</v>
      </c>
      <c r="R76">
        <f t="shared" si="15"/>
        <v>9.8546563948202822E-3</v>
      </c>
      <c r="S76">
        <f t="shared" si="15"/>
        <v>1.174260116409828E-2</v>
      </c>
      <c r="T76">
        <f t="shared" si="15"/>
        <v>1.1727669794060551E-2</v>
      </c>
      <c r="U76">
        <f t="shared" si="15"/>
        <v>1.2452812401855015E-2</v>
      </c>
      <c r="V76">
        <f t="shared" si="15"/>
        <v>1.1472657296259773E-2</v>
      </c>
      <c r="W76">
        <f t="shared" si="15"/>
        <v>1.1588169071967315E-2</v>
      </c>
      <c r="X76">
        <f t="shared" si="15"/>
        <v>1.2545356154554065E-2</v>
      </c>
      <c r="Y76">
        <f t="shared" si="15"/>
        <v>1.0739513161443172E-2</v>
      </c>
      <c r="Z76">
        <f t="shared" si="15"/>
        <v>9.7885266276422963E-3</v>
      </c>
      <c r="AA76">
        <f t="shared" si="15"/>
        <v>7.7790196882548965E-3</v>
      </c>
      <c r="AB76">
        <f t="shared" si="15"/>
        <v>1.0818719628259659E-2</v>
      </c>
      <c r="AC76">
        <f t="shared" si="15"/>
        <v>1.0677986911461358E-2</v>
      </c>
    </row>
    <row r="77" spans="1:29" x14ac:dyDescent="0.25">
      <c r="A77" t="s">
        <v>1222</v>
      </c>
      <c r="C77">
        <v>0</v>
      </c>
      <c r="D77">
        <f t="shared" ref="D77:AC77" si="16">IF(D20="",$B20,D20)</f>
        <v>-6.2233199213274646E-3</v>
      </c>
      <c r="E77">
        <f t="shared" si="16"/>
        <v>6.0720253666557411E-4</v>
      </c>
      <c r="F77">
        <f t="shared" si="16"/>
        <v>2.462216093873312E-3</v>
      </c>
      <c r="G77">
        <f t="shared" si="16"/>
        <v>-1.1643884753133231E-3</v>
      </c>
      <c r="H77">
        <f t="shared" si="16"/>
        <v>-1.5622717482911286E-3</v>
      </c>
      <c r="I77">
        <f t="shared" si="16"/>
        <v>4.2884677077444577E-4</v>
      </c>
      <c r="J77">
        <f t="shared" si="16"/>
        <v>1.7034488687376508E-3</v>
      </c>
      <c r="K77">
        <f t="shared" si="16"/>
        <v>4.0618398053844373E-3</v>
      </c>
      <c r="L77">
        <f t="shared" si="16"/>
        <v>6.6316131750683007E-3</v>
      </c>
      <c r="M77">
        <f t="shared" si="16"/>
        <v>8.3090056745117793E-3</v>
      </c>
      <c r="N77">
        <f t="shared" si="16"/>
        <v>1.0367982306368139E-2</v>
      </c>
      <c r="O77">
        <f t="shared" si="16"/>
        <v>1.022946050450438E-2</v>
      </c>
      <c r="P77">
        <f t="shared" si="16"/>
        <v>9.6879481922688502E-3</v>
      </c>
      <c r="Q77">
        <f t="shared" si="16"/>
        <v>1.0119030407614882E-2</v>
      </c>
      <c r="R77">
        <f t="shared" si="16"/>
        <v>9.9271535032241578E-3</v>
      </c>
      <c r="S77">
        <f t="shared" si="16"/>
        <v>1.0068817804085108E-2</v>
      </c>
      <c r="T77">
        <f t="shared" si="16"/>
        <v>1.0497726662871541E-2</v>
      </c>
      <c r="U77">
        <f t="shared" si="16"/>
        <v>1.0773685175757294E-2</v>
      </c>
      <c r="V77">
        <f t="shared" si="16"/>
        <v>1.1043783809229451E-2</v>
      </c>
      <c r="W77">
        <f t="shared" si="16"/>
        <v>1.0784684936775644E-2</v>
      </c>
      <c r="X77">
        <f t="shared" si="16"/>
        <v>1.1019399231148896E-2</v>
      </c>
      <c r="Y77">
        <f t="shared" si="16"/>
        <v>1.1072157805751538E-2</v>
      </c>
      <c r="Z77">
        <f t="shared" si="16"/>
        <v>1.0968535414627783E-2</v>
      </c>
      <c r="AA77">
        <f t="shared" si="16"/>
        <v>1.0972790190006026E-2</v>
      </c>
      <c r="AB77">
        <f t="shared" si="16"/>
        <v>1.0452646000722115E-2</v>
      </c>
      <c r="AC77">
        <f t="shared" si="16"/>
        <v>1.03805003689426E-2</v>
      </c>
    </row>
    <row r="78" spans="1:29" x14ac:dyDescent="0.25">
      <c r="A78" t="s">
        <v>256</v>
      </c>
      <c r="C78">
        <v>0</v>
      </c>
      <c r="D78">
        <f t="shared" ref="D78:AC78" si="17">IF(D21="",$B21,D21)</f>
        <v>3.3677125558882557E-3</v>
      </c>
      <c r="E78">
        <f t="shared" si="17"/>
        <v>-1.6100321389836129E-2</v>
      </c>
      <c r="F78">
        <f t="shared" si="17"/>
        <v>-1.7324661384306477E-2</v>
      </c>
      <c r="G78">
        <f t="shared" si="17"/>
        <v>-3.0661376246751849E-3</v>
      </c>
      <c r="H78">
        <f t="shared" si="17"/>
        <v>-2.8177861535687836E-3</v>
      </c>
      <c r="I78">
        <f t="shared" si="17"/>
        <v>2.9511020407673163E-3</v>
      </c>
      <c r="J78">
        <f t="shared" si="17"/>
        <v>7.4787593155879887E-3</v>
      </c>
      <c r="K78">
        <f t="shared" si="17"/>
        <v>6.8072293280255691E-3</v>
      </c>
      <c r="L78">
        <f t="shared" si="17"/>
        <v>9.3879042406030001E-3</v>
      </c>
      <c r="M78">
        <f t="shared" si="17"/>
        <v>9.8625353808258764E-3</v>
      </c>
      <c r="N78">
        <f t="shared" si="17"/>
        <v>9.5639538061506116E-3</v>
      </c>
      <c r="O78">
        <f t="shared" si="17"/>
        <v>9.9268087496195406E-3</v>
      </c>
      <c r="P78">
        <f t="shared" si="17"/>
        <v>8.8885770497311549E-3</v>
      </c>
      <c r="Q78">
        <f t="shared" si="17"/>
        <v>9.3959774844289499E-3</v>
      </c>
      <c r="R78">
        <f t="shared" si="17"/>
        <v>8.9707251884070752E-3</v>
      </c>
      <c r="S78">
        <f t="shared" si="17"/>
        <v>4.9701530218554868E-3</v>
      </c>
      <c r="T78">
        <f t="shared" si="17"/>
        <v>1.6208327591064715E-3</v>
      </c>
      <c r="U78">
        <f t="shared" si="17"/>
        <v>-3.5840713790091122E-4</v>
      </c>
      <c r="V78">
        <f t="shared" si="17"/>
        <v>-4.5139001149143727E-3</v>
      </c>
      <c r="W78">
        <f t="shared" si="17"/>
        <v>-6.31192957131947E-3</v>
      </c>
      <c r="X78">
        <f t="shared" si="17"/>
        <v>1.3658997888406691E-3</v>
      </c>
      <c r="Y78">
        <f t="shared" si="17"/>
        <v>6.2790367013127674E-3</v>
      </c>
      <c r="Z78">
        <f t="shared" si="17"/>
        <v>6.4781329571070587E-3</v>
      </c>
      <c r="AA78">
        <f t="shared" si="17"/>
        <v>6.6010760132313301E-3</v>
      </c>
      <c r="AB78">
        <f t="shared" si="17"/>
        <v>6.3618268496300704E-3</v>
      </c>
      <c r="AC78">
        <f t="shared" si="17"/>
        <v>7.3540183049794847E-3</v>
      </c>
    </row>
    <row r="79" spans="1:29" x14ac:dyDescent="0.25">
      <c r="A79" t="s">
        <v>261</v>
      </c>
      <c r="C79">
        <v>0</v>
      </c>
      <c r="D79">
        <f t="shared" ref="D79:AC79" si="18">IF(D22="",$B22,D22)</f>
        <v>-1.4318822532873773E-2</v>
      </c>
      <c r="E79">
        <f t="shared" si="18"/>
        <v>2.0563609513499132E-2</v>
      </c>
      <c r="F79">
        <f t="shared" si="18"/>
        <v>3.1026543084000401E-2</v>
      </c>
      <c r="G79">
        <f t="shared" si="18"/>
        <v>-1.4872726456593712E-3</v>
      </c>
      <c r="H79">
        <f t="shared" si="18"/>
        <v>7.6125995799030434E-3</v>
      </c>
      <c r="I79">
        <f t="shared" si="18"/>
        <v>1.8836635658027599E-2</v>
      </c>
      <c r="J79">
        <f t="shared" si="18"/>
        <v>1.4672424996196651E-2</v>
      </c>
      <c r="K79">
        <f t="shared" si="18"/>
        <v>1.8340012043860557E-2</v>
      </c>
      <c r="L79">
        <f t="shared" si="18"/>
        <v>1.535324769203778E-2</v>
      </c>
      <c r="M79">
        <f t="shared" si="18"/>
        <v>7.0187670888773711E-3</v>
      </c>
      <c r="N79">
        <f t="shared" si="18"/>
        <v>1.1483801200096662E-2</v>
      </c>
      <c r="O79">
        <f t="shared" si="18"/>
        <v>5.7291914443533647E-3</v>
      </c>
      <c r="P79">
        <f t="shared" si="18"/>
        <v>7.9507598625235005E-3</v>
      </c>
      <c r="Q79">
        <f t="shared" si="18"/>
        <v>5.3761127265107766E-3</v>
      </c>
      <c r="R79">
        <f t="shared" si="18"/>
        <v>4.0827830185148333E-3</v>
      </c>
      <c r="S79">
        <f t="shared" si="18"/>
        <v>9.2964978183850498E-3</v>
      </c>
      <c r="T79">
        <f t="shared" si="18"/>
        <v>1.0454172303255269E-2</v>
      </c>
      <c r="U79">
        <f t="shared" si="18"/>
        <v>9.6713155442675908E-3</v>
      </c>
      <c r="V79">
        <f t="shared" si="18"/>
        <v>7.4659860444099939E-3</v>
      </c>
      <c r="W79">
        <f t="shared" si="18"/>
        <v>7.0963412928564378E-3</v>
      </c>
      <c r="X79">
        <f t="shared" si="18"/>
        <v>1.1883353893068311E-2</v>
      </c>
      <c r="Y79">
        <f t="shared" si="18"/>
        <v>8.4753603571672761E-3</v>
      </c>
      <c r="Z79">
        <f t="shared" si="18"/>
        <v>1.1187094527957811E-2</v>
      </c>
      <c r="AA79">
        <f t="shared" si="18"/>
        <v>8.7894909652514851E-3</v>
      </c>
      <c r="AB79">
        <f t="shared" si="18"/>
        <v>4.0537222005076904E-3</v>
      </c>
      <c r="AC79">
        <f t="shared" si="18"/>
        <v>7.7592449126460423E-3</v>
      </c>
    </row>
    <row r="80" spans="1:29" x14ac:dyDescent="0.25">
      <c r="A80" t="s">
        <v>266</v>
      </c>
      <c r="C80">
        <v>0</v>
      </c>
      <c r="D80">
        <f t="shared" ref="D80:AC80" si="19">IF(D23="",$B23,D23)</f>
        <v>2.7423101302979209E-4</v>
      </c>
      <c r="E80">
        <f t="shared" si="19"/>
        <v>-4.7853998917997116E-4</v>
      </c>
      <c r="F80">
        <f t="shared" si="19"/>
        <v>6.4732140458175378E-3</v>
      </c>
      <c r="G80">
        <f t="shared" si="19"/>
        <v>5.4052435047520532E-3</v>
      </c>
      <c r="H80">
        <f t="shared" si="19"/>
        <v>3.7668562580090558E-3</v>
      </c>
      <c r="I80">
        <f t="shared" si="19"/>
        <v>4.71760218819651E-3</v>
      </c>
      <c r="J80">
        <f t="shared" si="19"/>
        <v>5.0813282536308901E-3</v>
      </c>
      <c r="K80">
        <f t="shared" si="19"/>
        <v>6.2623422653454597E-3</v>
      </c>
      <c r="L80">
        <f t="shared" si="19"/>
        <v>7.6622890664389811E-3</v>
      </c>
      <c r="M80">
        <f t="shared" si="19"/>
        <v>8.7262193702413362E-3</v>
      </c>
      <c r="N80">
        <f t="shared" si="19"/>
        <v>1.007830508702855E-2</v>
      </c>
      <c r="O80">
        <f t="shared" si="19"/>
        <v>1.0496363271853919E-2</v>
      </c>
      <c r="P80">
        <f t="shared" si="19"/>
        <v>1.0333604705824288E-2</v>
      </c>
      <c r="Q80">
        <f t="shared" si="19"/>
        <v>1.0283047527828019E-2</v>
      </c>
      <c r="R80">
        <f t="shared" si="19"/>
        <v>1.0105062793125693E-2</v>
      </c>
      <c r="S80">
        <f t="shared" si="19"/>
        <v>1.0084138683607019E-2</v>
      </c>
      <c r="T80">
        <f t="shared" si="19"/>
        <v>1.0167585683094033E-2</v>
      </c>
      <c r="U80">
        <f t="shared" si="19"/>
        <v>1.0138120945988576E-2</v>
      </c>
      <c r="V80">
        <f t="shared" si="19"/>
        <v>1.0029968774932861E-2</v>
      </c>
      <c r="W80">
        <f t="shared" si="19"/>
        <v>9.7784698021622408E-3</v>
      </c>
      <c r="X80">
        <f t="shared" si="19"/>
        <v>9.5127956937354936E-3</v>
      </c>
      <c r="Y80">
        <f t="shared" si="19"/>
        <v>9.1730845548896687E-3</v>
      </c>
      <c r="Z80">
        <f t="shared" si="19"/>
        <v>8.6965091156279688E-3</v>
      </c>
      <c r="AA80">
        <f t="shared" si="19"/>
        <v>8.1121648865610206E-3</v>
      </c>
      <c r="AB80">
        <f t="shared" si="19"/>
        <v>7.48897548075166E-3</v>
      </c>
      <c r="AC80">
        <f t="shared" si="19"/>
        <v>7.0854466429014972E-3</v>
      </c>
    </row>
    <row r="81" spans="1:29" x14ac:dyDescent="0.25">
      <c r="A81" t="s">
        <v>273</v>
      </c>
      <c r="C81">
        <v>0</v>
      </c>
      <c r="D81">
        <f t="shared" ref="D81:AC81" si="20">IF(D24="",$B24,D24)</f>
        <v>2.583505185322945E-2</v>
      </c>
      <c r="E81">
        <f t="shared" si="20"/>
        <v>2.1302773500079922E-2</v>
      </c>
      <c r="F81">
        <f t="shared" si="20"/>
        <v>1.7395990296488601E-2</v>
      </c>
      <c r="G81">
        <f t="shared" si="20"/>
        <v>-8.7007286699702351E-3</v>
      </c>
      <c r="H81">
        <f t="shared" si="20"/>
        <v>-3.7304698077702675E-3</v>
      </c>
      <c r="I81">
        <f t="shared" si="20"/>
        <v>-2.0828084827644779E-4</v>
      </c>
      <c r="J81">
        <f t="shared" si="20"/>
        <v>1.2447620621955792E-3</v>
      </c>
      <c r="K81">
        <f t="shared" si="20"/>
        <v>9.5114980984205844E-3</v>
      </c>
      <c r="L81">
        <f t="shared" si="20"/>
        <v>7.2478771041927471E-3</v>
      </c>
      <c r="M81">
        <f t="shared" si="20"/>
        <v>1.2476036700577314E-2</v>
      </c>
      <c r="N81">
        <f t="shared" si="20"/>
        <v>1.1810309432023953E-2</v>
      </c>
      <c r="O81">
        <f t="shared" si="20"/>
        <v>7.9120390195665073E-3</v>
      </c>
      <c r="P81">
        <f t="shared" si="20"/>
        <v>8.8272957889208442E-3</v>
      </c>
      <c r="Q81">
        <f t="shared" si="20"/>
        <v>1.0427693086454585E-2</v>
      </c>
      <c r="R81">
        <f t="shared" si="20"/>
        <v>7.1226284684474369E-3</v>
      </c>
      <c r="S81">
        <f t="shared" si="20"/>
        <v>9.8951308344954747E-3</v>
      </c>
      <c r="T81">
        <f t="shared" si="20"/>
        <v>9.038876868339837E-3</v>
      </c>
      <c r="U81">
        <f t="shared" si="20"/>
        <v>9.9646974072085219E-3</v>
      </c>
      <c r="V81">
        <f t="shared" si="20"/>
        <v>1.0126107037825011E-2</v>
      </c>
      <c r="W81">
        <f t="shared" si="20"/>
        <v>1.4210034173012122E-2</v>
      </c>
      <c r="X81">
        <f t="shared" si="20"/>
        <v>1.3590009721918109E-2</v>
      </c>
      <c r="Y81">
        <f t="shared" si="20"/>
        <v>1.1843832165229377E-2</v>
      </c>
      <c r="Z81">
        <f t="shared" si="20"/>
        <v>6.1499425535588379E-3</v>
      </c>
      <c r="AA81">
        <f t="shared" si="20"/>
        <v>3.5324314979772627E-3</v>
      </c>
      <c r="AB81">
        <f t="shared" si="20"/>
        <v>1.0748907107304761E-2</v>
      </c>
      <c r="AC81">
        <f t="shared" si="20"/>
        <v>9.654321392619734E-3</v>
      </c>
    </row>
    <row r="82" spans="1:29" x14ac:dyDescent="0.25">
      <c r="A82" t="s">
        <v>299</v>
      </c>
      <c r="C82">
        <v>0</v>
      </c>
      <c r="D82">
        <f t="shared" ref="D82:AC82" si="21">IF(D25="",$B25,D25)</f>
        <v>-6.5496145174722312E-2</v>
      </c>
      <c r="E82">
        <f t="shared" si="21"/>
        <v>1.049235557326296E-2</v>
      </c>
      <c r="F82">
        <f t="shared" si="21"/>
        <v>3.7470970080506746E-2</v>
      </c>
      <c r="G82">
        <f t="shared" si="21"/>
        <v>2.3952323404698484E-2</v>
      </c>
      <c r="H82">
        <f t="shared" si="21"/>
        <v>2.5456781846209971E-2</v>
      </c>
      <c r="I82">
        <f t="shared" si="21"/>
        <v>2.044704623110288E-2</v>
      </c>
      <c r="J82">
        <f t="shared" si="21"/>
        <v>1.6053906954425344E-2</v>
      </c>
      <c r="K82">
        <f t="shared" si="21"/>
        <v>1.9197945678032947E-2</v>
      </c>
      <c r="L82">
        <f t="shared" si="21"/>
        <v>1.3829789433627978E-2</v>
      </c>
      <c r="M82">
        <f t="shared" si="21"/>
        <v>1.7647761389281848E-2</v>
      </c>
      <c r="N82">
        <f t="shared" si="21"/>
        <v>2.0477310320871293E-2</v>
      </c>
      <c r="O82">
        <f t="shared" si="21"/>
        <v>1.9872186202292391E-2</v>
      </c>
      <c r="P82">
        <f t="shared" si="21"/>
        <v>2.1011163495363843E-2</v>
      </c>
      <c r="Q82">
        <f t="shared" si="21"/>
        <v>2.0562019562047316E-2</v>
      </c>
      <c r="R82">
        <f t="shared" si="21"/>
        <v>2.1821787250447627E-2</v>
      </c>
      <c r="S82">
        <f t="shared" si="21"/>
        <v>2.2229099579873086E-2</v>
      </c>
      <c r="T82">
        <f t="shared" si="21"/>
        <v>2.1383231961426E-2</v>
      </c>
      <c r="U82">
        <f t="shared" si="21"/>
        <v>2.2557698028721859E-2</v>
      </c>
      <c r="V82">
        <f t="shared" si="21"/>
        <v>2.3289221664284179E-2</v>
      </c>
      <c r="W82">
        <f t="shared" si="21"/>
        <v>2.5166225455832306E-2</v>
      </c>
      <c r="X82">
        <f t="shared" si="21"/>
        <v>2.5932976807984533E-2</v>
      </c>
      <c r="Y82">
        <f t="shared" si="21"/>
        <v>2.6600966858647983E-2</v>
      </c>
      <c r="Z82">
        <f t="shared" si="21"/>
        <v>2.4984846374277125E-2</v>
      </c>
      <c r="AA82">
        <f t="shared" si="21"/>
        <v>2.4501268917016789E-2</v>
      </c>
      <c r="AB82">
        <f t="shared" si="21"/>
        <v>2.4399332556645007E-2</v>
      </c>
      <c r="AC82">
        <f t="shared" si="21"/>
        <v>2.1273483357682858E-2</v>
      </c>
    </row>
    <row r="83" spans="1:29" x14ac:dyDescent="0.25">
      <c r="A83" t="s">
        <v>314</v>
      </c>
      <c r="C83">
        <v>0</v>
      </c>
      <c r="D83">
        <f t="shared" ref="D83:AC83" si="22">IF(D26="",$B26,D26)</f>
        <v>9.5838154987310364E-3</v>
      </c>
      <c r="E83">
        <f t="shared" si="22"/>
        <v>-1.3180751806413827E-2</v>
      </c>
      <c r="F83">
        <f t="shared" si="22"/>
        <v>-5.495876411580016E-3</v>
      </c>
      <c r="G83">
        <f t="shared" si="22"/>
        <v>-1.5659957935745084E-2</v>
      </c>
      <c r="H83">
        <f t="shared" si="22"/>
        <v>-3.6960462318567761E-3</v>
      </c>
      <c r="I83">
        <f t="shared" si="22"/>
        <v>1.8032865730730773E-2</v>
      </c>
      <c r="J83">
        <f t="shared" si="22"/>
        <v>1.612508868781946E-2</v>
      </c>
      <c r="K83">
        <f t="shared" si="22"/>
        <v>1.680996299942103E-2</v>
      </c>
      <c r="L83">
        <f t="shared" si="22"/>
        <v>5.4695342229286433E-3</v>
      </c>
      <c r="M83">
        <f t="shared" si="22"/>
        <v>4.4293113800551055E-3</v>
      </c>
      <c r="N83">
        <f t="shared" si="22"/>
        <v>1.0716080366278562E-2</v>
      </c>
      <c r="O83">
        <f t="shared" si="22"/>
        <v>7.5710519600504199E-3</v>
      </c>
      <c r="P83">
        <f t="shared" si="22"/>
        <v>6.9475790461157125E-3</v>
      </c>
      <c r="Q83">
        <f t="shared" si="22"/>
        <v>5.019167709294562E-3</v>
      </c>
      <c r="R83">
        <f t="shared" si="22"/>
        <v>4.7556991717196831E-3</v>
      </c>
      <c r="S83">
        <f t="shared" si="22"/>
        <v>6.585604364996599E-3</v>
      </c>
      <c r="T83">
        <f t="shared" si="22"/>
        <v>5.6606166948387285E-3</v>
      </c>
      <c r="U83">
        <f t="shared" si="22"/>
        <v>6.5817540342673689E-3</v>
      </c>
      <c r="V83">
        <f t="shared" si="22"/>
        <v>5.5774839144858415E-3</v>
      </c>
      <c r="W83">
        <f t="shared" si="22"/>
        <v>5.3389950121167217E-3</v>
      </c>
      <c r="X83">
        <f t="shared" si="22"/>
        <v>6.2995500713378073E-3</v>
      </c>
      <c r="Y83">
        <f t="shared" si="22"/>
        <v>7.9632206641985174E-3</v>
      </c>
      <c r="Z83">
        <f t="shared" si="22"/>
        <v>7.8306975688093548E-3</v>
      </c>
      <c r="AA83">
        <f t="shared" si="22"/>
        <v>6.7753977190839121E-3</v>
      </c>
      <c r="AB83">
        <f t="shared" si="22"/>
        <v>5.4717269479305167E-3</v>
      </c>
      <c r="AC83">
        <f t="shared" si="22"/>
        <v>3.8045208677786554E-3</v>
      </c>
    </row>
    <row r="84" spans="1:29" x14ac:dyDescent="0.25">
      <c r="A84" t="s">
        <v>288</v>
      </c>
      <c r="C84">
        <v>0</v>
      </c>
      <c r="D84">
        <f t="shared" ref="D84:AC84" si="23">IF(D27="",$B27,D27)</f>
        <v>2.4336435643808989E-2</v>
      </c>
      <c r="E84">
        <f t="shared" si="23"/>
        <v>-2.0461753244390066E-2</v>
      </c>
      <c r="F84">
        <f t="shared" si="23"/>
        <v>2.4109605222139355E-2</v>
      </c>
      <c r="G84">
        <f t="shared" si="23"/>
        <v>1.8829391438090048E-2</v>
      </c>
      <c r="H84">
        <f t="shared" si="23"/>
        <v>1.9451339355595697E-2</v>
      </c>
      <c r="I84">
        <f t="shared" si="23"/>
        <v>1.2885394239777163E-2</v>
      </c>
      <c r="J84">
        <f t="shared" si="23"/>
        <v>1.9511096698901231E-2</v>
      </c>
      <c r="K84">
        <f t="shared" si="23"/>
        <v>1.6240848175239804E-2</v>
      </c>
      <c r="L84">
        <f t="shared" si="23"/>
        <v>1.032807562481246E-3</v>
      </c>
      <c r="M84">
        <f t="shared" si="23"/>
        <v>7.7800945510172245E-3</v>
      </c>
      <c r="N84">
        <f t="shared" si="23"/>
        <v>1.3022632948495967E-2</v>
      </c>
      <c r="O84">
        <f t="shared" si="23"/>
        <v>9.2415695740314403E-3</v>
      </c>
      <c r="P84">
        <f t="shared" si="23"/>
        <v>6.1339695197402148E-3</v>
      </c>
      <c r="Q84">
        <f t="shared" si="23"/>
        <v>2.4439179119564824E-3</v>
      </c>
      <c r="R84">
        <f t="shared" si="23"/>
        <v>3.1025991674817874E-4</v>
      </c>
      <c r="S84">
        <f t="shared" si="23"/>
        <v>4.3434375026623409E-3</v>
      </c>
      <c r="T84">
        <f t="shared" si="23"/>
        <v>3.8234490974420297E-3</v>
      </c>
      <c r="U84">
        <f t="shared" si="23"/>
        <v>3.6062588998127042E-3</v>
      </c>
      <c r="V84">
        <f t="shared" si="23"/>
        <v>1.85583021089817E-3</v>
      </c>
      <c r="W84">
        <f t="shared" si="23"/>
        <v>1.4739561454598278E-3</v>
      </c>
      <c r="X84">
        <f t="shared" si="23"/>
        <v>3.1443737620083013E-3</v>
      </c>
      <c r="Y84">
        <f t="shared" si="23"/>
        <v>4.7004788198066619E-3</v>
      </c>
      <c r="Z84">
        <f t="shared" si="23"/>
        <v>5.3265069574338622E-3</v>
      </c>
      <c r="AA84">
        <f t="shared" si="23"/>
        <v>2.9188988858584882E-3</v>
      </c>
      <c r="AB84">
        <f t="shared" si="23"/>
        <v>8.0121113135311873E-4</v>
      </c>
      <c r="AC84">
        <f t="shared" si="23"/>
        <v>-6.5342532923039177E-4</v>
      </c>
    </row>
    <row r="85" spans="1:29" x14ac:dyDescent="0.25">
      <c r="A85" t="s">
        <v>327</v>
      </c>
      <c r="C85">
        <v>0</v>
      </c>
      <c r="D85">
        <f t="shared" ref="D85:AC85" si="24">IF(D28="",$B28,D28)</f>
        <v>-6.1192822458182292E-2</v>
      </c>
      <c r="E85">
        <f t="shared" si="24"/>
        <v>2.9380888594976902E-3</v>
      </c>
      <c r="F85">
        <f t="shared" si="24"/>
        <v>6.3339290520313812E-2</v>
      </c>
      <c r="G85">
        <f t="shared" si="24"/>
        <v>1.9604562754516788E-2</v>
      </c>
      <c r="H85">
        <f t="shared" si="24"/>
        <v>1.5932404751837544E-2</v>
      </c>
      <c r="I85">
        <f t="shared" si="24"/>
        <v>1.6641426870951888E-2</v>
      </c>
      <c r="J85">
        <f t="shared" si="24"/>
        <v>6.7021756724579655E-3</v>
      </c>
      <c r="K85">
        <f t="shared" si="24"/>
        <v>1.5883257366551745E-2</v>
      </c>
      <c r="L85">
        <f t="shared" si="24"/>
        <v>6.9136521435425487E-3</v>
      </c>
      <c r="M85">
        <f t="shared" si="24"/>
        <v>2.8542402586039105E-3</v>
      </c>
      <c r="N85">
        <f t="shared" si="24"/>
        <v>3.8463791260001942E-3</v>
      </c>
      <c r="O85">
        <f t="shared" si="24"/>
        <v>1.0277052427238266E-2</v>
      </c>
      <c r="P85">
        <f t="shared" si="24"/>
        <v>2.0572282292054985E-2</v>
      </c>
      <c r="Q85">
        <f t="shared" si="24"/>
        <v>1.8700062703327504E-2</v>
      </c>
      <c r="R85">
        <f t="shared" si="24"/>
        <v>1.8711123076861937E-2</v>
      </c>
      <c r="S85">
        <f t="shared" si="24"/>
        <v>1.7017403091970501E-2</v>
      </c>
      <c r="T85">
        <f t="shared" si="24"/>
        <v>1.4762044680125085E-2</v>
      </c>
      <c r="U85">
        <f t="shared" si="24"/>
        <v>1.4642211089780718E-2</v>
      </c>
      <c r="V85">
        <f t="shared" si="24"/>
        <v>1.2713600388710966E-2</v>
      </c>
      <c r="W85">
        <f t="shared" si="24"/>
        <v>1.2896278318495618E-2</v>
      </c>
      <c r="X85">
        <f t="shared" si="24"/>
        <v>1.336315733038511E-2</v>
      </c>
      <c r="Y85">
        <f t="shared" si="24"/>
        <v>1.2522422817884852E-2</v>
      </c>
      <c r="Z85">
        <f t="shared" si="24"/>
        <v>1.1331525364436211E-2</v>
      </c>
      <c r="AA85">
        <f t="shared" si="24"/>
        <v>1.1461454971234577E-2</v>
      </c>
      <c r="AB85">
        <f t="shared" si="24"/>
        <v>1.0357703802010182E-2</v>
      </c>
      <c r="AC85">
        <f t="shared" si="24"/>
        <v>8.2997084143176143E-3</v>
      </c>
    </row>
    <row r="86" spans="1:29" x14ac:dyDescent="0.25">
      <c r="A86" t="s">
        <v>339</v>
      </c>
      <c r="C86">
        <v>0</v>
      </c>
      <c r="D86">
        <f t="shared" ref="D86:AC86" si="25">IF(D29="",$B29,D29)</f>
        <v>1.3000000000000001E-2</v>
      </c>
      <c r="E86">
        <f t="shared" si="25"/>
        <v>1.3000000000000001E-2</v>
      </c>
      <c r="F86">
        <f t="shared" si="25"/>
        <v>1.3000000000000001E-2</v>
      </c>
      <c r="G86">
        <f t="shared" si="25"/>
        <v>1.3000000000000001E-2</v>
      </c>
      <c r="H86">
        <f t="shared" si="25"/>
        <v>1.3000000000000001E-2</v>
      </c>
      <c r="I86">
        <f t="shared" si="25"/>
        <v>1.3000000000000001E-2</v>
      </c>
      <c r="J86">
        <f t="shared" si="25"/>
        <v>1.3000000000000001E-2</v>
      </c>
      <c r="K86">
        <f t="shared" si="25"/>
        <v>1.3000000000000001E-2</v>
      </c>
      <c r="L86">
        <f t="shared" si="25"/>
        <v>1.3000000000000001E-2</v>
      </c>
      <c r="M86">
        <f t="shared" si="25"/>
        <v>1.3000000000000001E-2</v>
      </c>
      <c r="N86">
        <f t="shared" si="25"/>
        <v>1.3000000000000001E-2</v>
      </c>
      <c r="O86">
        <f t="shared" si="25"/>
        <v>1.3000000000000001E-2</v>
      </c>
      <c r="P86">
        <f t="shared" si="25"/>
        <v>1.3000000000000001E-2</v>
      </c>
      <c r="Q86">
        <f t="shared" si="25"/>
        <v>1.3000000000000001E-2</v>
      </c>
      <c r="R86">
        <f t="shared" si="25"/>
        <v>1.3000000000000001E-2</v>
      </c>
      <c r="S86">
        <f t="shared" si="25"/>
        <v>1.3000000000000001E-2</v>
      </c>
      <c r="T86">
        <f t="shared" si="25"/>
        <v>1.3000000000000001E-2</v>
      </c>
      <c r="U86">
        <f t="shared" si="25"/>
        <v>1.3000000000000001E-2</v>
      </c>
      <c r="V86">
        <f t="shared" si="25"/>
        <v>1.3000000000000001E-2</v>
      </c>
      <c r="W86">
        <f t="shared" si="25"/>
        <v>1.3000000000000001E-2</v>
      </c>
      <c r="X86">
        <f t="shared" si="25"/>
        <v>1.3000000000000001E-2</v>
      </c>
      <c r="Y86">
        <f t="shared" si="25"/>
        <v>1.3000000000000001E-2</v>
      </c>
      <c r="Z86">
        <f t="shared" si="25"/>
        <v>1.3000000000000001E-2</v>
      </c>
      <c r="AA86">
        <f t="shared" si="25"/>
        <v>1.3000000000000001E-2</v>
      </c>
      <c r="AB86">
        <f t="shared" si="25"/>
        <v>1.3000000000000001E-2</v>
      </c>
      <c r="AC86">
        <f t="shared" si="25"/>
        <v>1.3000000000000001E-2</v>
      </c>
    </row>
    <row r="87" spans="1:29" x14ac:dyDescent="0.25">
      <c r="A87" t="s">
        <v>334</v>
      </c>
      <c r="C87">
        <v>0</v>
      </c>
      <c r="D87">
        <f t="shared" ref="D87:AC87" si="26">IF(D30="",$B30,D30)</f>
        <v>-6.1192822458182292E-2</v>
      </c>
      <c r="E87">
        <f t="shared" si="26"/>
        <v>2.9380888594976902E-3</v>
      </c>
      <c r="F87">
        <f t="shared" si="26"/>
        <v>6.3339290520313812E-2</v>
      </c>
      <c r="G87">
        <f t="shared" si="26"/>
        <v>1.9604562754516788E-2</v>
      </c>
      <c r="H87">
        <f t="shared" si="26"/>
        <v>1.5932404751837544E-2</v>
      </c>
      <c r="I87">
        <f t="shared" si="26"/>
        <v>1.6641426870951888E-2</v>
      </c>
      <c r="J87">
        <f t="shared" si="26"/>
        <v>6.7021756724579655E-3</v>
      </c>
      <c r="K87">
        <f t="shared" si="26"/>
        <v>1.5883257366551745E-2</v>
      </c>
      <c r="L87">
        <f t="shared" si="26"/>
        <v>6.9136521435425487E-3</v>
      </c>
      <c r="M87">
        <f t="shared" si="26"/>
        <v>2.8542402586039105E-3</v>
      </c>
      <c r="N87">
        <f t="shared" si="26"/>
        <v>3.8463791260001942E-3</v>
      </c>
      <c r="O87">
        <f t="shared" si="26"/>
        <v>1.0277052427238266E-2</v>
      </c>
      <c r="P87">
        <f t="shared" si="26"/>
        <v>2.0572282292054985E-2</v>
      </c>
      <c r="Q87">
        <f t="shared" si="26"/>
        <v>1.8700062703327504E-2</v>
      </c>
      <c r="R87">
        <f t="shared" si="26"/>
        <v>1.8711123076861937E-2</v>
      </c>
      <c r="S87">
        <f t="shared" si="26"/>
        <v>1.7017403091970501E-2</v>
      </c>
      <c r="T87">
        <f t="shared" si="26"/>
        <v>1.4762044680125085E-2</v>
      </c>
      <c r="U87">
        <f t="shared" si="26"/>
        <v>1.4642211089780718E-2</v>
      </c>
      <c r="V87">
        <f t="shared" si="26"/>
        <v>1.2713600388710966E-2</v>
      </c>
      <c r="W87">
        <f t="shared" si="26"/>
        <v>1.2896278318495618E-2</v>
      </c>
      <c r="X87">
        <f t="shared" si="26"/>
        <v>1.336315733038511E-2</v>
      </c>
      <c r="Y87">
        <f t="shared" si="26"/>
        <v>1.2522422817884852E-2</v>
      </c>
      <c r="Z87">
        <f t="shared" si="26"/>
        <v>1.1331525364436211E-2</v>
      </c>
      <c r="AA87">
        <f t="shared" si="26"/>
        <v>1.1461454971234577E-2</v>
      </c>
      <c r="AB87">
        <f t="shared" si="26"/>
        <v>1.0357703802010182E-2</v>
      </c>
      <c r="AC87">
        <f t="shared" si="26"/>
        <v>8.2997084143176143E-3</v>
      </c>
    </row>
    <row r="88" spans="1:29" x14ac:dyDescent="0.25">
      <c r="A88" t="s">
        <v>344</v>
      </c>
      <c r="C88">
        <v>0</v>
      </c>
      <c r="D88">
        <f t="shared" ref="D88:AC88" si="27">IF(D31="",$B31,D31)</f>
        <v>-1.632229783085291E-2</v>
      </c>
      <c r="E88">
        <f t="shared" si="27"/>
        <v>5.5999459016875253E-3</v>
      </c>
      <c r="F88">
        <f t="shared" si="27"/>
        <v>2.5757109931396592E-2</v>
      </c>
      <c r="G88">
        <f t="shared" si="27"/>
        <v>1.1354110634450888E-2</v>
      </c>
      <c r="H88">
        <f t="shared" si="27"/>
        <v>1.5817217719252666E-2</v>
      </c>
      <c r="I88">
        <f t="shared" si="27"/>
        <v>2.3875865803752797E-2</v>
      </c>
      <c r="J88">
        <f t="shared" si="27"/>
        <v>2.5367352744672552E-2</v>
      </c>
      <c r="K88">
        <f t="shared" si="27"/>
        <v>1.0717953538114944E-2</v>
      </c>
      <c r="L88">
        <f t="shared" si="27"/>
        <v>4.251649523984118E-3</v>
      </c>
      <c r="M88">
        <f t="shared" si="27"/>
        <v>1.7918239151918502E-3</v>
      </c>
      <c r="N88">
        <f t="shared" si="27"/>
        <v>7.7910798401826641E-3</v>
      </c>
      <c r="O88">
        <f t="shared" si="27"/>
        <v>8.5717762642570985E-3</v>
      </c>
      <c r="P88">
        <f t="shared" si="27"/>
        <v>9.7625674798807287E-3</v>
      </c>
      <c r="Q88">
        <f t="shared" si="27"/>
        <v>1.1577806384322731E-2</v>
      </c>
      <c r="R88">
        <f t="shared" si="27"/>
        <v>4.9481819871324117E-3</v>
      </c>
      <c r="S88">
        <f t="shared" si="27"/>
        <v>1.0793203306688067E-2</v>
      </c>
      <c r="T88">
        <f t="shared" si="27"/>
        <v>1.1087318728565851E-2</v>
      </c>
      <c r="U88">
        <f t="shared" si="27"/>
        <v>9.320051786472822E-3</v>
      </c>
      <c r="V88">
        <f t="shared" si="27"/>
        <v>8.6730499813616642E-3</v>
      </c>
      <c r="W88">
        <f t="shared" si="27"/>
        <v>9.4775489895972537E-3</v>
      </c>
      <c r="X88">
        <f t="shared" si="27"/>
        <v>1.2076580439907935E-2</v>
      </c>
      <c r="Y88">
        <f t="shared" si="27"/>
        <v>8.1813883067160982E-3</v>
      </c>
      <c r="Z88">
        <f t="shared" si="27"/>
        <v>7.4069072932828311E-3</v>
      </c>
      <c r="AA88">
        <f t="shared" si="27"/>
        <v>3.1471864461374319E-3</v>
      </c>
      <c r="AB88">
        <f t="shared" si="27"/>
        <v>1.1445265042010417E-2</v>
      </c>
      <c r="AC88">
        <f t="shared" si="27"/>
        <v>2.5966262870745892E-3</v>
      </c>
    </row>
    <row r="89" spans="1:29" x14ac:dyDescent="0.25">
      <c r="A89" t="s">
        <v>106</v>
      </c>
      <c r="C89">
        <v>0</v>
      </c>
      <c r="D89">
        <f t="shared" ref="D89:AC89" si="28">IF(D32="",$B32,D32)</f>
        <v>0.02</v>
      </c>
      <c r="E89">
        <f t="shared" si="28"/>
        <v>0.02</v>
      </c>
      <c r="F89">
        <f t="shared" si="28"/>
        <v>0.02</v>
      </c>
      <c r="G89">
        <f t="shared" si="28"/>
        <v>0.02</v>
      </c>
      <c r="H89">
        <f t="shared" si="28"/>
        <v>0.02</v>
      </c>
      <c r="I89">
        <f t="shared" si="28"/>
        <v>0.02</v>
      </c>
      <c r="J89">
        <f t="shared" si="28"/>
        <v>0.02</v>
      </c>
      <c r="K89">
        <f t="shared" si="28"/>
        <v>0.02</v>
      </c>
      <c r="L89">
        <f t="shared" si="28"/>
        <v>0.02</v>
      </c>
      <c r="M89">
        <f t="shared" si="28"/>
        <v>0.02</v>
      </c>
      <c r="N89">
        <f t="shared" si="28"/>
        <v>0.02</v>
      </c>
      <c r="O89">
        <f t="shared" si="28"/>
        <v>0.02</v>
      </c>
      <c r="P89">
        <f t="shared" si="28"/>
        <v>0.02</v>
      </c>
      <c r="Q89">
        <f t="shared" si="28"/>
        <v>0.02</v>
      </c>
      <c r="R89">
        <f t="shared" si="28"/>
        <v>0.02</v>
      </c>
      <c r="S89">
        <f t="shared" si="28"/>
        <v>0.02</v>
      </c>
      <c r="T89">
        <f t="shared" si="28"/>
        <v>0.02</v>
      </c>
      <c r="U89">
        <f t="shared" si="28"/>
        <v>0.02</v>
      </c>
      <c r="V89">
        <f t="shared" si="28"/>
        <v>0.02</v>
      </c>
      <c r="W89">
        <f t="shared" si="28"/>
        <v>0.02</v>
      </c>
      <c r="X89">
        <f t="shared" si="28"/>
        <v>0.02</v>
      </c>
      <c r="Y89">
        <f t="shared" si="28"/>
        <v>0.02</v>
      </c>
      <c r="Z89">
        <f t="shared" si="28"/>
        <v>0.02</v>
      </c>
      <c r="AA89">
        <f t="shared" si="28"/>
        <v>0.02</v>
      </c>
      <c r="AB89">
        <f t="shared" si="28"/>
        <v>0.02</v>
      </c>
      <c r="AC89">
        <f t="shared" si="28"/>
        <v>0.02</v>
      </c>
    </row>
    <row r="90" spans="1:29" x14ac:dyDescent="0.25">
      <c r="A90" t="s">
        <v>127</v>
      </c>
      <c r="C90">
        <v>0</v>
      </c>
      <c r="D90">
        <f t="shared" ref="D90:AC90" si="29">IF(D33="",$B33,D33)</f>
        <v>1.1194630872483222E-2</v>
      </c>
      <c r="E90">
        <f t="shared" si="29"/>
        <v>1.1194630872483222E-2</v>
      </c>
      <c r="F90">
        <f t="shared" si="29"/>
        <v>1.1194630872483222E-2</v>
      </c>
      <c r="G90">
        <f t="shared" si="29"/>
        <v>1.1194630872483222E-2</v>
      </c>
      <c r="H90">
        <f t="shared" si="29"/>
        <v>1.1194630872483222E-2</v>
      </c>
      <c r="I90">
        <f t="shared" si="29"/>
        <v>1.1194630872483222E-2</v>
      </c>
      <c r="J90">
        <f t="shared" si="29"/>
        <v>1.1194630872483222E-2</v>
      </c>
      <c r="K90">
        <f t="shared" si="29"/>
        <v>1.1194630872483222E-2</v>
      </c>
      <c r="L90">
        <f t="shared" si="29"/>
        <v>1.1194630872483222E-2</v>
      </c>
      <c r="M90">
        <f t="shared" si="29"/>
        <v>1.1194630872483222E-2</v>
      </c>
      <c r="N90">
        <f t="shared" si="29"/>
        <v>1.1194630872483222E-2</v>
      </c>
      <c r="O90">
        <f t="shared" si="29"/>
        <v>1.1194630872483222E-2</v>
      </c>
      <c r="P90">
        <f t="shared" si="29"/>
        <v>1.1194630872483222E-2</v>
      </c>
      <c r="Q90">
        <f t="shared" si="29"/>
        <v>1.1194630872483222E-2</v>
      </c>
      <c r="R90">
        <f t="shared" si="29"/>
        <v>1.1194630872483222E-2</v>
      </c>
      <c r="S90">
        <f t="shared" si="29"/>
        <v>1.1194630872483222E-2</v>
      </c>
      <c r="T90">
        <f t="shared" si="29"/>
        <v>1.1194630872483222E-2</v>
      </c>
      <c r="U90">
        <f t="shared" si="29"/>
        <v>1.1194630872483222E-2</v>
      </c>
      <c r="V90">
        <f t="shared" si="29"/>
        <v>1.1194630872483222E-2</v>
      </c>
      <c r="W90">
        <f t="shared" si="29"/>
        <v>1.1194630872483222E-2</v>
      </c>
      <c r="X90">
        <f t="shared" si="29"/>
        <v>1.1194630872483222E-2</v>
      </c>
      <c r="Y90">
        <f t="shared" si="29"/>
        <v>1.1194630872483222E-2</v>
      </c>
      <c r="Z90">
        <f t="shared" si="29"/>
        <v>1.1194630872483222E-2</v>
      </c>
      <c r="AA90">
        <f t="shared" si="29"/>
        <v>1.1194630872483222E-2</v>
      </c>
      <c r="AB90">
        <f t="shared" si="29"/>
        <v>1.1194630872483222E-2</v>
      </c>
      <c r="AC90">
        <f t="shared" si="29"/>
        <v>1.1194630872483222E-2</v>
      </c>
    </row>
    <row r="91" spans="1:29" x14ac:dyDescent="0.25">
      <c r="A91" t="s">
        <v>130</v>
      </c>
      <c r="C91">
        <v>0</v>
      </c>
      <c r="D91">
        <f t="shared" ref="D91:AC91" si="30">IF(D34="",$B34,D34)</f>
        <v>1.4897971727105101E-2</v>
      </c>
      <c r="E91">
        <f t="shared" si="30"/>
        <v>1.4897971727105101E-2</v>
      </c>
      <c r="F91">
        <f t="shared" si="30"/>
        <v>1.4897971727105101E-2</v>
      </c>
      <c r="G91">
        <f t="shared" si="30"/>
        <v>1.4897971727105101E-2</v>
      </c>
      <c r="H91">
        <f t="shared" si="30"/>
        <v>1.4897971727105101E-2</v>
      </c>
      <c r="I91">
        <f t="shared" si="30"/>
        <v>1.4897971727105101E-2</v>
      </c>
      <c r="J91">
        <f t="shared" si="30"/>
        <v>1.4897971727105101E-2</v>
      </c>
      <c r="K91">
        <f t="shared" si="30"/>
        <v>1.4897971727105101E-2</v>
      </c>
      <c r="L91">
        <f t="shared" si="30"/>
        <v>1.4897971727105101E-2</v>
      </c>
      <c r="M91">
        <f t="shared" si="30"/>
        <v>1.4897971727105101E-2</v>
      </c>
      <c r="N91">
        <f t="shared" si="30"/>
        <v>1.4897971727105101E-2</v>
      </c>
      <c r="O91">
        <f t="shared" si="30"/>
        <v>1.4897971727105101E-2</v>
      </c>
      <c r="P91">
        <f t="shared" si="30"/>
        <v>1.4897971727105101E-2</v>
      </c>
      <c r="Q91">
        <f t="shared" si="30"/>
        <v>1.4897971727105101E-2</v>
      </c>
      <c r="R91">
        <f t="shared" si="30"/>
        <v>1.4897971727105101E-2</v>
      </c>
      <c r="S91">
        <f t="shared" si="30"/>
        <v>1.4897971727105101E-2</v>
      </c>
      <c r="T91">
        <f t="shared" si="30"/>
        <v>1.4897971727105101E-2</v>
      </c>
      <c r="U91">
        <f t="shared" si="30"/>
        <v>1.4897971727105101E-2</v>
      </c>
      <c r="V91">
        <f t="shared" si="30"/>
        <v>1.4897971727105101E-2</v>
      </c>
      <c r="W91">
        <f t="shared" si="30"/>
        <v>1.4897971727105101E-2</v>
      </c>
      <c r="X91">
        <f t="shared" si="30"/>
        <v>1.4897971727105101E-2</v>
      </c>
      <c r="Y91">
        <f t="shared" si="30"/>
        <v>1.4897971727105101E-2</v>
      </c>
      <c r="Z91">
        <f t="shared" si="30"/>
        <v>1.4897971727105101E-2</v>
      </c>
      <c r="AA91">
        <f t="shared" si="30"/>
        <v>1.4897971727105101E-2</v>
      </c>
      <c r="AB91">
        <f t="shared" si="30"/>
        <v>1.4897971727105101E-2</v>
      </c>
      <c r="AC91">
        <f t="shared" si="30"/>
        <v>1.4897971727105101E-2</v>
      </c>
    </row>
    <row r="92" spans="1:29" x14ac:dyDescent="0.25">
      <c r="A92" t="s">
        <v>133</v>
      </c>
      <c r="C92">
        <v>0</v>
      </c>
      <c r="D92">
        <f t="shared" ref="D92:AC92" si="31">IF(D35="",$B35,D35)</f>
        <v>5.9669924007771706E-2</v>
      </c>
      <c r="E92">
        <f t="shared" si="31"/>
        <v>-3.5622398453959603E-3</v>
      </c>
      <c r="F92">
        <f t="shared" si="31"/>
        <v>6.0002827825867341E-3</v>
      </c>
      <c r="G92">
        <f t="shared" si="31"/>
        <v>6.2367169119028577E-3</v>
      </c>
      <c r="H92">
        <f t="shared" si="31"/>
        <v>1.6493947059946858E-2</v>
      </c>
      <c r="I92">
        <f t="shared" si="31"/>
        <v>1.6767179940399238E-2</v>
      </c>
      <c r="J92">
        <f t="shared" si="31"/>
        <v>1.5267178023281685E-2</v>
      </c>
      <c r="K92">
        <f t="shared" si="31"/>
        <v>1.5087377513292623E-2</v>
      </c>
      <c r="L92">
        <f t="shared" si="31"/>
        <v>1.2507505364018977E-2</v>
      </c>
      <c r="M92">
        <f t="shared" si="31"/>
        <v>7.935139952700945E-3</v>
      </c>
      <c r="N92">
        <f t="shared" si="31"/>
        <v>1.0927655626535845E-2</v>
      </c>
      <c r="O92">
        <f t="shared" si="31"/>
        <v>9.457709870963853E-3</v>
      </c>
      <c r="P92">
        <f t="shared" si="31"/>
        <v>8.0154366911507225E-3</v>
      </c>
      <c r="Q92">
        <f t="shared" si="31"/>
        <v>6.7917630994960322E-3</v>
      </c>
      <c r="R92">
        <f t="shared" si="31"/>
        <v>5.827733722957187E-3</v>
      </c>
      <c r="S92">
        <f t="shared" si="31"/>
        <v>3.610756382528506E-3</v>
      </c>
      <c r="T92">
        <f t="shared" si="31"/>
        <v>2.3745631258577406E-3</v>
      </c>
      <c r="U92">
        <f t="shared" si="31"/>
        <v>5.8975026223083054E-3</v>
      </c>
      <c r="V92">
        <f t="shared" si="31"/>
        <v>4.2630783665079741E-3</v>
      </c>
      <c r="W92">
        <f t="shared" si="31"/>
        <v>5.0921734152755719E-3</v>
      </c>
      <c r="X92">
        <f t="shared" si="31"/>
        <v>9.7286040284667464E-3</v>
      </c>
      <c r="Y92">
        <f t="shared" si="31"/>
        <v>1.0093288979207428E-2</v>
      </c>
      <c r="Z92">
        <f t="shared" si="31"/>
        <v>9.1794346705411749E-3</v>
      </c>
      <c r="AA92">
        <f t="shared" si="31"/>
        <v>9.2093321853761578E-3</v>
      </c>
      <c r="AB92">
        <f t="shared" si="31"/>
        <v>1.0398181780053332E-2</v>
      </c>
      <c r="AC92">
        <f t="shared" si="31"/>
        <v>1.185113293339303E-2</v>
      </c>
    </row>
    <row r="93" spans="1:29" x14ac:dyDescent="0.25">
      <c r="A93" t="s">
        <v>359</v>
      </c>
      <c r="C93">
        <v>0</v>
      </c>
      <c r="D93">
        <f t="shared" ref="D93:AC93" si="32">IF(D36="",$B36,D36)</f>
        <v>2.5273068254159422E-2</v>
      </c>
      <c r="E93">
        <f t="shared" si="32"/>
        <v>2.5273068254159422E-2</v>
      </c>
      <c r="F93">
        <f t="shared" si="32"/>
        <v>2.5273068254159422E-2</v>
      </c>
      <c r="G93">
        <f t="shared" si="32"/>
        <v>2.5273068254159422E-2</v>
      </c>
      <c r="H93">
        <f t="shared" si="32"/>
        <v>2.5273068254159422E-2</v>
      </c>
      <c r="I93">
        <f t="shared" si="32"/>
        <v>2.5273068254159422E-2</v>
      </c>
      <c r="J93">
        <f t="shared" si="32"/>
        <v>2.5273068254159422E-2</v>
      </c>
      <c r="K93">
        <f t="shared" si="32"/>
        <v>2.5273068254159422E-2</v>
      </c>
      <c r="L93">
        <f t="shared" si="32"/>
        <v>2.5273068254159422E-2</v>
      </c>
      <c r="M93">
        <f t="shared" si="32"/>
        <v>2.5273068254159422E-2</v>
      </c>
      <c r="N93">
        <f t="shared" si="32"/>
        <v>2.5273068254159422E-2</v>
      </c>
      <c r="O93">
        <f t="shared" si="32"/>
        <v>2.5273068254159422E-2</v>
      </c>
      <c r="P93">
        <f t="shared" si="32"/>
        <v>2.5273068254159422E-2</v>
      </c>
      <c r="Q93">
        <f t="shared" si="32"/>
        <v>2.5273068254159422E-2</v>
      </c>
      <c r="R93">
        <f t="shared" si="32"/>
        <v>2.5273068254159422E-2</v>
      </c>
      <c r="S93">
        <f t="shared" si="32"/>
        <v>2.5273068254159422E-2</v>
      </c>
      <c r="T93">
        <f t="shared" si="32"/>
        <v>2.5273068254159422E-2</v>
      </c>
      <c r="U93">
        <f t="shared" si="32"/>
        <v>2.5273068254159422E-2</v>
      </c>
      <c r="V93">
        <f t="shared" si="32"/>
        <v>2.5273068254159422E-2</v>
      </c>
      <c r="W93">
        <f t="shared" si="32"/>
        <v>2.5273068254159422E-2</v>
      </c>
      <c r="X93">
        <f t="shared" si="32"/>
        <v>2.5273068254159422E-2</v>
      </c>
      <c r="Y93">
        <f t="shared" si="32"/>
        <v>2.5273068254159422E-2</v>
      </c>
      <c r="Z93">
        <f t="shared" si="32"/>
        <v>2.5273068254159422E-2</v>
      </c>
      <c r="AA93">
        <f t="shared" si="32"/>
        <v>2.5273068254159422E-2</v>
      </c>
      <c r="AB93">
        <f t="shared" si="32"/>
        <v>2.5273068254159422E-2</v>
      </c>
      <c r="AC93">
        <f t="shared" si="32"/>
        <v>2.5273068254159422E-2</v>
      </c>
    </row>
    <row r="94" spans="1:29" x14ac:dyDescent="0.25">
      <c r="A94" t="s">
        <v>461</v>
      </c>
      <c r="C94">
        <v>0</v>
      </c>
      <c r="D94">
        <f t="shared" ref="D94:AC94" si="33">IF(D37="",$B37,D37)</f>
        <v>1.8630338733431517E-2</v>
      </c>
      <c r="E94">
        <f t="shared" si="33"/>
        <v>1.8630338733431517E-2</v>
      </c>
      <c r="F94">
        <f t="shared" si="33"/>
        <v>1.8630338733431517E-2</v>
      </c>
      <c r="G94">
        <f t="shared" si="33"/>
        <v>1.8630338733431517E-2</v>
      </c>
      <c r="H94">
        <f t="shared" si="33"/>
        <v>1.8630338733431517E-2</v>
      </c>
      <c r="I94">
        <f t="shared" si="33"/>
        <v>1.8630338733431517E-2</v>
      </c>
      <c r="J94">
        <f t="shared" si="33"/>
        <v>1.8630338733431517E-2</v>
      </c>
      <c r="K94">
        <f t="shared" si="33"/>
        <v>1.8630338733431517E-2</v>
      </c>
      <c r="L94">
        <f t="shared" si="33"/>
        <v>1.8630338733431517E-2</v>
      </c>
      <c r="M94">
        <f t="shared" si="33"/>
        <v>1.8630338733431517E-2</v>
      </c>
      <c r="N94">
        <f t="shared" si="33"/>
        <v>1.8630338733431517E-2</v>
      </c>
      <c r="O94">
        <f t="shared" si="33"/>
        <v>1.8630338733431517E-2</v>
      </c>
      <c r="P94">
        <f t="shared" si="33"/>
        <v>1.8630338733431517E-2</v>
      </c>
      <c r="Q94">
        <f t="shared" si="33"/>
        <v>1.8630338733431517E-2</v>
      </c>
      <c r="R94">
        <f t="shared" si="33"/>
        <v>1.8630338733431517E-2</v>
      </c>
      <c r="S94">
        <f t="shared" si="33"/>
        <v>1.8630338733431517E-2</v>
      </c>
      <c r="T94">
        <f t="shared" si="33"/>
        <v>1.8630338733431517E-2</v>
      </c>
      <c r="U94">
        <f t="shared" si="33"/>
        <v>1.8630338733431517E-2</v>
      </c>
      <c r="V94">
        <f t="shared" si="33"/>
        <v>1.8630338733431517E-2</v>
      </c>
      <c r="W94">
        <f t="shared" si="33"/>
        <v>1.8630338733431517E-2</v>
      </c>
      <c r="X94">
        <f t="shared" si="33"/>
        <v>1.8630338733431517E-2</v>
      </c>
      <c r="Y94">
        <f t="shared" si="33"/>
        <v>1.8630338733431517E-2</v>
      </c>
      <c r="Z94">
        <f t="shared" si="33"/>
        <v>1.8630338733431517E-2</v>
      </c>
      <c r="AA94">
        <f t="shared" si="33"/>
        <v>1.8630338733431517E-2</v>
      </c>
      <c r="AB94">
        <f t="shared" si="33"/>
        <v>1.8630338733431517E-2</v>
      </c>
      <c r="AC94">
        <f t="shared" si="33"/>
        <v>1.8630338733431517E-2</v>
      </c>
    </row>
    <row r="95" spans="1:29" x14ac:dyDescent="0.25">
      <c r="A95" t="s">
        <v>464</v>
      </c>
      <c r="C95">
        <v>0</v>
      </c>
      <c r="D95">
        <f t="shared" ref="D95:AC95" si="34">IF(D38="",$B38,D38)</f>
        <v>2.1000000000000001E-2</v>
      </c>
      <c r="E95">
        <f t="shared" si="34"/>
        <v>2.1000000000000001E-2</v>
      </c>
      <c r="F95">
        <f t="shared" si="34"/>
        <v>2.1000000000000001E-2</v>
      </c>
      <c r="G95">
        <f t="shared" si="34"/>
        <v>2.1000000000000001E-2</v>
      </c>
      <c r="H95">
        <f t="shared" si="34"/>
        <v>2.1000000000000001E-2</v>
      </c>
      <c r="I95">
        <f t="shared" si="34"/>
        <v>2.1000000000000001E-2</v>
      </c>
      <c r="J95">
        <f t="shared" si="34"/>
        <v>2.1000000000000001E-2</v>
      </c>
      <c r="K95">
        <f t="shared" si="34"/>
        <v>2.1000000000000001E-2</v>
      </c>
      <c r="L95">
        <f t="shared" si="34"/>
        <v>2.1000000000000001E-2</v>
      </c>
      <c r="M95">
        <f t="shared" si="34"/>
        <v>2.1000000000000001E-2</v>
      </c>
      <c r="N95">
        <f t="shared" si="34"/>
        <v>2.1000000000000001E-2</v>
      </c>
      <c r="O95">
        <f t="shared" si="34"/>
        <v>2.1000000000000001E-2</v>
      </c>
      <c r="P95">
        <f t="shared" si="34"/>
        <v>2.1000000000000001E-2</v>
      </c>
      <c r="Q95">
        <f t="shared" si="34"/>
        <v>2.1000000000000001E-2</v>
      </c>
      <c r="R95">
        <f t="shared" si="34"/>
        <v>2.1000000000000001E-2</v>
      </c>
      <c r="S95">
        <f t="shared" si="34"/>
        <v>2.1000000000000001E-2</v>
      </c>
      <c r="T95">
        <f t="shared" si="34"/>
        <v>2.1000000000000001E-2</v>
      </c>
      <c r="U95">
        <f t="shared" si="34"/>
        <v>2.1000000000000001E-2</v>
      </c>
      <c r="V95">
        <f t="shared" si="34"/>
        <v>2.1000000000000001E-2</v>
      </c>
      <c r="W95">
        <f t="shared" si="34"/>
        <v>2.1000000000000001E-2</v>
      </c>
      <c r="X95">
        <f t="shared" si="34"/>
        <v>2.1000000000000001E-2</v>
      </c>
      <c r="Y95">
        <f t="shared" si="34"/>
        <v>2.1000000000000001E-2</v>
      </c>
      <c r="Z95">
        <f t="shared" si="34"/>
        <v>2.1000000000000001E-2</v>
      </c>
      <c r="AA95">
        <f t="shared" si="34"/>
        <v>2.1000000000000001E-2</v>
      </c>
      <c r="AB95">
        <f t="shared" si="34"/>
        <v>2.1000000000000001E-2</v>
      </c>
      <c r="AC95">
        <f t="shared" si="34"/>
        <v>2.1000000000000001E-2</v>
      </c>
    </row>
    <row r="96" spans="1:29" x14ac:dyDescent="0.25">
      <c r="A96" t="s">
        <v>454</v>
      </c>
      <c r="C96">
        <v>0</v>
      </c>
      <c r="D96">
        <f t="shared" ref="D96:AC96" si="35">IF(D39="",$B39,D39)</f>
        <v>2.3E-2</v>
      </c>
      <c r="E96">
        <f t="shared" si="35"/>
        <v>2.3E-2</v>
      </c>
      <c r="F96">
        <f t="shared" si="35"/>
        <v>2.3E-2</v>
      </c>
      <c r="G96">
        <f t="shared" si="35"/>
        <v>2.3E-2</v>
      </c>
      <c r="H96">
        <f t="shared" si="35"/>
        <v>2.3E-2</v>
      </c>
      <c r="I96">
        <f t="shared" si="35"/>
        <v>2.3E-2</v>
      </c>
      <c r="J96">
        <f t="shared" si="35"/>
        <v>2.3E-2</v>
      </c>
      <c r="K96">
        <f t="shared" si="35"/>
        <v>2.3E-2</v>
      </c>
      <c r="L96">
        <f t="shared" si="35"/>
        <v>2.3E-2</v>
      </c>
      <c r="M96">
        <f t="shared" si="35"/>
        <v>2.3E-2</v>
      </c>
      <c r="N96">
        <f t="shared" si="35"/>
        <v>2.3E-2</v>
      </c>
      <c r="O96">
        <f t="shared" si="35"/>
        <v>2.3E-2</v>
      </c>
      <c r="P96">
        <f t="shared" si="35"/>
        <v>2.3E-2</v>
      </c>
      <c r="Q96">
        <f t="shared" si="35"/>
        <v>2.3E-2</v>
      </c>
      <c r="R96">
        <f t="shared" si="35"/>
        <v>2.3E-2</v>
      </c>
      <c r="S96">
        <f t="shared" si="35"/>
        <v>2.3E-2</v>
      </c>
      <c r="T96">
        <f t="shared" si="35"/>
        <v>2.3E-2</v>
      </c>
      <c r="U96">
        <f t="shared" si="35"/>
        <v>2.3E-2</v>
      </c>
      <c r="V96">
        <f t="shared" si="35"/>
        <v>2.3E-2</v>
      </c>
      <c r="W96">
        <f t="shared" si="35"/>
        <v>2.3E-2</v>
      </c>
      <c r="X96">
        <f t="shared" si="35"/>
        <v>2.3E-2</v>
      </c>
      <c r="Y96">
        <f t="shared" si="35"/>
        <v>2.3E-2</v>
      </c>
      <c r="Z96">
        <f t="shared" si="35"/>
        <v>2.3E-2</v>
      </c>
      <c r="AA96">
        <f t="shared" si="35"/>
        <v>2.3E-2</v>
      </c>
      <c r="AB96">
        <f t="shared" si="35"/>
        <v>2.3E-2</v>
      </c>
      <c r="AC96">
        <f t="shared" si="35"/>
        <v>2.3E-2</v>
      </c>
    </row>
    <row r="97" spans="1:29" x14ac:dyDescent="0.25">
      <c r="A97" t="s">
        <v>495</v>
      </c>
      <c r="C97">
        <v>0</v>
      </c>
      <c r="D97">
        <f t="shared" ref="D97:AC97" si="36">IF(D40="",$B40,D40)</f>
        <v>2.5814833891321144E-2</v>
      </c>
      <c r="E97">
        <f t="shared" si="36"/>
        <v>2.5814833891321144E-2</v>
      </c>
      <c r="F97">
        <f t="shared" si="36"/>
        <v>2.5814833891321144E-2</v>
      </c>
      <c r="G97">
        <f t="shared" si="36"/>
        <v>2.5814833891321144E-2</v>
      </c>
      <c r="H97">
        <f t="shared" si="36"/>
        <v>2.5814833891321144E-2</v>
      </c>
      <c r="I97">
        <f t="shared" si="36"/>
        <v>2.5814833891321144E-2</v>
      </c>
      <c r="J97">
        <f t="shared" si="36"/>
        <v>2.5814833891321144E-2</v>
      </c>
      <c r="K97">
        <f t="shared" si="36"/>
        <v>2.5814833891321144E-2</v>
      </c>
      <c r="L97">
        <f t="shared" si="36"/>
        <v>2.5814833891321144E-2</v>
      </c>
      <c r="M97">
        <f t="shared" si="36"/>
        <v>2.5814833891321144E-2</v>
      </c>
      <c r="N97">
        <f t="shared" si="36"/>
        <v>2.5814833891321144E-2</v>
      </c>
      <c r="O97">
        <f t="shared" si="36"/>
        <v>2.5814833891321144E-2</v>
      </c>
      <c r="P97">
        <f t="shared" si="36"/>
        <v>2.5814833891321144E-2</v>
      </c>
      <c r="Q97">
        <f t="shared" si="36"/>
        <v>2.5814833891321144E-2</v>
      </c>
      <c r="R97">
        <f t="shared" si="36"/>
        <v>2.5814833891321144E-2</v>
      </c>
      <c r="S97">
        <f t="shared" si="36"/>
        <v>2.5814833891321144E-2</v>
      </c>
      <c r="T97">
        <f t="shared" si="36"/>
        <v>2.5814833891321144E-2</v>
      </c>
      <c r="U97">
        <f t="shared" si="36"/>
        <v>2.5814833891321144E-2</v>
      </c>
      <c r="V97">
        <f t="shared" si="36"/>
        <v>2.5814833891321144E-2</v>
      </c>
      <c r="W97">
        <f t="shared" si="36"/>
        <v>2.5814833891321144E-2</v>
      </c>
      <c r="X97">
        <f t="shared" si="36"/>
        <v>2.5814833891321144E-2</v>
      </c>
      <c r="Y97">
        <f t="shared" si="36"/>
        <v>2.5814833891321144E-2</v>
      </c>
      <c r="Z97">
        <f t="shared" si="36"/>
        <v>2.5814833891321144E-2</v>
      </c>
      <c r="AA97">
        <f t="shared" si="36"/>
        <v>2.5814833891321144E-2</v>
      </c>
      <c r="AB97">
        <f t="shared" si="36"/>
        <v>2.5814833891321144E-2</v>
      </c>
      <c r="AC97">
        <f t="shared" si="36"/>
        <v>2.5814833891321144E-2</v>
      </c>
    </row>
    <row r="98" spans="1:29" x14ac:dyDescent="0.25">
      <c r="A98" t="s">
        <v>520</v>
      </c>
      <c r="C98">
        <v>0</v>
      </c>
      <c r="D98">
        <f t="shared" ref="D98:AC98" si="37">IF(D41="",$B41,D41)</f>
        <v>2.7999999999999997E-2</v>
      </c>
      <c r="E98">
        <f t="shared" si="37"/>
        <v>2.7999999999999997E-2</v>
      </c>
      <c r="F98">
        <f t="shared" si="37"/>
        <v>2.7999999999999997E-2</v>
      </c>
      <c r="G98">
        <f t="shared" si="37"/>
        <v>2.7999999999999997E-2</v>
      </c>
      <c r="H98">
        <f t="shared" si="37"/>
        <v>2.7999999999999997E-2</v>
      </c>
      <c r="I98">
        <f t="shared" si="37"/>
        <v>2.7999999999999997E-2</v>
      </c>
      <c r="J98">
        <f t="shared" si="37"/>
        <v>2.7999999999999997E-2</v>
      </c>
      <c r="K98">
        <f t="shared" si="37"/>
        <v>2.7999999999999997E-2</v>
      </c>
      <c r="L98">
        <f t="shared" si="37"/>
        <v>2.7999999999999997E-2</v>
      </c>
      <c r="M98">
        <f t="shared" si="37"/>
        <v>2.7999999999999997E-2</v>
      </c>
      <c r="N98">
        <f t="shared" si="37"/>
        <v>2.7999999999999997E-2</v>
      </c>
      <c r="O98">
        <f t="shared" si="37"/>
        <v>2.7999999999999997E-2</v>
      </c>
      <c r="P98">
        <f t="shared" si="37"/>
        <v>2.7999999999999997E-2</v>
      </c>
      <c r="Q98">
        <f t="shared" si="37"/>
        <v>2.7999999999999997E-2</v>
      </c>
      <c r="R98">
        <f t="shared" si="37"/>
        <v>2.7999999999999997E-2</v>
      </c>
      <c r="S98">
        <f t="shared" si="37"/>
        <v>2.7999999999999997E-2</v>
      </c>
      <c r="T98">
        <f t="shared" si="37"/>
        <v>2.7999999999999997E-2</v>
      </c>
      <c r="U98">
        <f t="shared" si="37"/>
        <v>2.7999999999999997E-2</v>
      </c>
      <c r="V98">
        <f t="shared" si="37"/>
        <v>2.7999999999999997E-2</v>
      </c>
      <c r="W98">
        <f t="shared" si="37"/>
        <v>2.7999999999999997E-2</v>
      </c>
      <c r="X98">
        <f t="shared" si="37"/>
        <v>2.7999999999999997E-2</v>
      </c>
      <c r="Y98">
        <f t="shared" si="37"/>
        <v>2.7999999999999997E-2</v>
      </c>
      <c r="Z98">
        <f t="shared" si="37"/>
        <v>2.7999999999999997E-2</v>
      </c>
      <c r="AA98">
        <f t="shared" si="37"/>
        <v>2.7999999999999997E-2</v>
      </c>
      <c r="AB98">
        <f t="shared" si="37"/>
        <v>2.7999999999999997E-2</v>
      </c>
      <c r="AC98">
        <f t="shared" si="37"/>
        <v>2.7999999999999997E-2</v>
      </c>
    </row>
    <row r="99" spans="1:29" x14ac:dyDescent="0.25">
      <c r="A99" t="s">
        <v>871</v>
      </c>
      <c r="C99">
        <v>0</v>
      </c>
      <c r="D99">
        <f t="shared" ref="D99:AC99" si="38">IF(D42="",$B42,D42)</f>
        <v>2.3E-2</v>
      </c>
      <c r="E99">
        <f t="shared" si="38"/>
        <v>2.3E-2</v>
      </c>
      <c r="F99">
        <f t="shared" si="38"/>
        <v>2.3E-2</v>
      </c>
      <c r="G99">
        <f t="shared" si="38"/>
        <v>2.3E-2</v>
      </c>
      <c r="H99">
        <f t="shared" si="38"/>
        <v>2.3E-2</v>
      </c>
      <c r="I99">
        <f t="shared" si="38"/>
        <v>2.3E-2</v>
      </c>
      <c r="J99">
        <f t="shared" si="38"/>
        <v>2.3E-2</v>
      </c>
      <c r="K99">
        <f t="shared" si="38"/>
        <v>2.3E-2</v>
      </c>
      <c r="L99">
        <f t="shared" si="38"/>
        <v>2.3E-2</v>
      </c>
      <c r="M99">
        <f t="shared" si="38"/>
        <v>2.3E-2</v>
      </c>
      <c r="N99">
        <f t="shared" si="38"/>
        <v>2.3E-2</v>
      </c>
      <c r="O99">
        <f t="shared" si="38"/>
        <v>2.3E-2</v>
      </c>
      <c r="P99">
        <f t="shared" si="38"/>
        <v>2.3E-2</v>
      </c>
      <c r="Q99">
        <f t="shared" si="38"/>
        <v>2.3E-2</v>
      </c>
      <c r="R99">
        <f t="shared" si="38"/>
        <v>2.3E-2</v>
      </c>
      <c r="S99">
        <f t="shared" si="38"/>
        <v>2.3E-2</v>
      </c>
      <c r="T99">
        <f t="shared" si="38"/>
        <v>2.3E-2</v>
      </c>
      <c r="U99">
        <f t="shared" si="38"/>
        <v>2.3E-2</v>
      </c>
      <c r="V99">
        <f t="shared" si="38"/>
        <v>2.3E-2</v>
      </c>
      <c r="W99">
        <f t="shared" si="38"/>
        <v>2.3E-2</v>
      </c>
      <c r="X99">
        <f t="shared" si="38"/>
        <v>2.3E-2</v>
      </c>
      <c r="Y99">
        <f t="shared" si="38"/>
        <v>2.3E-2</v>
      </c>
      <c r="Z99">
        <f t="shared" si="38"/>
        <v>2.3E-2</v>
      </c>
      <c r="AA99">
        <f t="shared" si="38"/>
        <v>2.3E-2</v>
      </c>
      <c r="AB99">
        <f t="shared" si="38"/>
        <v>2.3E-2</v>
      </c>
      <c r="AC99">
        <f t="shared" si="38"/>
        <v>2.3E-2</v>
      </c>
    </row>
    <row r="100" spans="1:29" x14ac:dyDescent="0.25">
      <c r="A100" t="s">
        <v>531</v>
      </c>
      <c r="C100">
        <v>0</v>
      </c>
      <c r="D100">
        <f t="shared" ref="D100:AC100" si="39">IF(D43="",$B43,D43)</f>
        <v>3.6673081381868769E-2</v>
      </c>
      <c r="E100">
        <f t="shared" si="39"/>
        <v>3.6673081381868769E-2</v>
      </c>
      <c r="F100">
        <f t="shared" si="39"/>
        <v>3.6673081381868769E-2</v>
      </c>
      <c r="G100">
        <f t="shared" si="39"/>
        <v>3.6673081381868769E-2</v>
      </c>
      <c r="H100">
        <f t="shared" si="39"/>
        <v>3.6673081381868769E-2</v>
      </c>
      <c r="I100">
        <f t="shared" si="39"/>
        <v>3.6673081381868769E-2</v>
      </c>
      <c r="J100">
        <f t="shared" si="39"/>
        <v>3.6673081381868769E-2</v>
      </c>
      <c r="K100">
        <f t="shared" si="39"/>
        <v>3.6673081381868769E-2</v>
      </c>
      <c r="L100">
        <f t="shared" si="39"/>
        <v>3.6673081381868769E-2</v>
      </c>
      <c r="M100">
        <f t="shared" si="39"/>
        <v>3.6673081381868769E-2</v>
      </c>
      <c r="N100">
        <f t="shared" si="39"/>
        <v>3.6673081381868769E-2</v>
      </c>
      <c r="O100">
        <f t="shared" si="39"/>
        <v>3.6673081381868769E-2</v>
      </c>
      <c r="P100">
        <f t="shared" si="39"/>
        <v>3.6673081381868769E-2</v>
      </c>
      <c r="Q100">
        <f t="shared" si="39"/>
        <v>3.6673081381868769E-2</v>
      </c>
      <c r="R100">
        <f t="shared" si="39"/>
        <v>3.6673081381868769E-2</v>
      </c>
      <c r="S100">
        <f t="shared" si="39"/>
        <v>3.6673081381868769E-2</v>
      </c>
      <c r="T100">
        <f t="shared" si="39"/>
        <v>3.6673081381868769E-2</v>
      </c>
      <c r="U100">
        <f t="shared" si="39"/>
        <v>3.6673081381868769E-2</v>
      </c>
      <c r="V100">
        <f t="shared" si="39"/>
        <v>3.6673081381868769E-2</v>
      </c>
      <c r="W100">
        <f t="shared" si="39"/>
        <v>3.6673081381868769E-2</v>
      </c>
      <c r="X100">
        <f t="shared" si="39"/>
        <v>3.6673081381868769E-2</v>
      </c>
      <c r="Y100">
        <f t="shared" si="39"/>
        <v>3.6673081381868769E-2</v>
      </c>
      <c r="Z100">
        <f t="shared" si="39"/>
        <v>3.6673081381868769E-2</v>
      </c>
      <c r="AA100">
        <f t="shared" si="39"/>
        <v>3.6673081381868769E-2</v>
      </c>
      <c r="AB100">
        <f t="shared" si="39"/>
        <v>3.6673081381868769E-2</v>
      </c>
      <c r="AC100">
        <f t="shared" si="39"/>
        <v>3.6673081381868769E-2</v>
      </c>
    </row>
    <row r="101" spans="1:29" x14ac:dyDescent="0.25">
      <c r="A101" t="s">
        <v>562</v>
      </c>
      <c r="C101">
        <v>0</v>
      </c>
      <c r="D101">
        <f t="shared" ref="D101:AC101" si="40">IF(D44="",$B44,D44)</f>
        <v>2.7000000000000003E-2</v>
      </c>
      <c r="E101">
        <f t="shared" si="40"/>
        <v>2.7000000000000003E-2</v>
      </c>
      <c r="F101">
        <f t="shared" si="40"/>
        <v>2.7000000000000003E-2</v>
      </c>
      <c r="G101">
        <f t="shared" si="40"/>
        <v>2.7000000000000003E-2</v>
      </c>
      <c r="H101">
        <f t="shared" si="40"/>
        <v>2.7000000000000003E-2</v>
      </c>
      <c r="I101">
        <f t="shared" si="40"/>
        <v>2.7000000000000003E-2</v>
      </c>
      <c r="J101">
        <f t="shared" si="40"/>
        <v>2.7000000000000003E-2</v>
      </c>
      <c r="K101">
        <f t="shared" si="40"/>
        <v>2.7000000000000003E-2</v>
      </c>
      <c r="L101">
        <f t="shared" si="40"/>
        <v>2.7000000000000003E-2</v>
      </c>
      <c r="M101">
        <f t="shared" si="40"/>
        <v>2.7000000000000003E-2</v>
      </c>
      <c r="N101">
        <f t="shared" si="40"/>
        <v>2.7000000000000003E-2</v>
      </c>
      <c r="O101">
        <f t="shared" si="40"/>
        <v>2.7000000000000003E-2</v>
      </c>
      <c r="P101">
        <f t="shared" si="40"/>
        <v>2.7000000000000003E-2</v>
      </c>
      <c r="Q101">
        <f t="shared" si="40"/>
        <v>2.7000000000000003E-2</v>
      </c>
      <c r="R101">
        <f t="shared" si="40"/>
        <v>2.7000000000000003E-2</v>
      </c>
      <c r="S101">
        <f t="shared" si="40"/>
        <v>2.7000000000000003E-2</v>
      </c>
      <c r="T101">
        <f t="shared" si="40"/>
        <v>2.7000000000000003E-2</v>
      </c>
      <c r="U101">
        <f t="shared" si="40"/>
        <v>2.7000000000000003E-2</v>
      </c>
      <c r="V101">
        <f t="shared" si="40"/>
        <v>2.7000000000000003E-2</v>
      </c>
      <c r="W101">
        <f t="shared" si="40"/>
        <v>2.7000000000000003E-2</v>
      </c>
      <c r="X101">
        <f t="shared" si="40"/>
        <v>2.7000000000000003E-2</v>
      </c>
      <c r="Y101">
        <f t="shared" si="40"/>
        <v>2.7000000000000003E-2</v>
      </c>
      <c r="Z101">
        <f t="shared" si="40"/>
        <v>2.7000000000000003E-2</v>
      </c>
      <c r="AA101">
        <f t="shared" si="40"/>
        <v>2.7000000000000003E-2</v>
      </c>
      <c r="AB101">
        <f t="shared" si="40"/>
        <v>2.7000000000000003E-2</v>
      </c>
      <c r="AC101">
        <f t="shared" si="40"/>
        <v>2.7000000000000003E-2</v>
      </c>
    </row>
    <row r="102" spans="1:29" x14ac:dyDescent="0.25">
      <c r="A102" t="s">
        <v>565</v>
      </c>
      <c r="C102">
        <v>0</v>
      </c>
      <c r="D102">
        <f t="shared" ref="D102:AC102" si="41">IF(D45="",$B45,D45)</f>
        <v>3.4040216736905479E-2</v>
      </c>
      <c r="E102">
        <f t="shared" si="41"/>
        <v>3.4040216736905479E-2</v>
      </c>
      <c r="F102">
        <f t="shared" si="41"/>
        <v>3.4040216736905479E-2</v>
      </c>
      <c r="G102">
        <f t="shared" si="41"/>
        <v>3.4040216736905479E-2</v>
      </c>
      <c r="H102">
        <f t="shared" si="41"/>
        <v>3.4040216736905479E-2</v>
      </c>
      <c r="I102">
        <f t="shared" si="41"/>
        <v>3.4040216736905479E-2</v>
      </c>
      <c r="J102">
        <f t="shared" si="41"/>
        <v>3.4040216736905479E-2</v>
      </c>
      <c r="K102">
        <f t="shared" si="41"/>
        <v>3.4040216736905479E-2</v>
      </c>
      <c r="L102">
        <f t="shared" si="41"/>
        <v>3.4040216736905479E-2</v>
      </c>
      <c r="M102">
        <f t="shared" si="41"/>
        <v>3.4040216736905479E-2</v>
      </c>
      <c r="N102">
        <f t="shared" si="41"/>
        <v>3.4040216736905479E-2</v>
      </c>
      <c r="O102">
        <f t="shared" si="41"/>
        <v>3.4040216736905479E-2</v>
      </c>
      <c r="P102">
        <f t="shared" si="41"/>
        <v>3.4040216736905479E-2</v>
      </c>
      <c r="Q102">
        <f t="shared" si="41"/>
        <v>3.4040216736905479E-2</v>
      </c>
      <c r="R102">
        <f t="shared" si="41"/>
        <v>3.4040216736905479E-2</v>
      </c>
      <c r="S102">
        <f t="shared" si="41"/>
        <v>3.4040216736905479E-2</v>
      </c>
      <c r="T102">
        <f t="shared" si="41"/>
        <v>3.4040216736905479E-2</v>
      </c>
      <c r="U102">
        <f t="shared" si="41"/>
        <v>3.4040216736905479E-2</v>
      </c>
      <c r="V102">
        <f t="shared" si="41"/>
        <v>3.4040216736905479E-2</v>
      </c>
      <c r="W102">
        <f t="shared" si="41"/>
        <v>3.4040216736905479E-2</v>
      </c>
      <c r="X102">
        <f t="shared" si="41"/>
        <v>3.4040216736905479E-2</v>
      </c>
      <c r="Y102">
        <f t="shared" si="41"/>
        <v>3.4040216736905479E-2</v>
      </c>
      <c r="Z102">
        <f t="shared" si="41"/>
        <v>3.4040216736905479E-2</v>
      </c>
      <c r="AA102">
        <f t="shared" si="41"/>
        <v>3.4040216736905479E-2</v>
      </c>
      <c r="AB102">
        <f t="shared" si="41"/>
        <v>3.4040216736905479E-2</v>
      </c>
      <c r="AC102">
        <f t="shared" si="41"/>
        <v>3.4040216736905479E-2</v>
      </c>
    </row>
    <row r="103" spans="1:29" x14ac:dyDescent="0.25">
      <c r="A103" t="s">
        <v>568</v>
      </c>
      <c r="C103">
        <v>0</v>
      </c>
      <c r="D103">
        <f t="shared" ref="D103:AC103" si="42">IF(D46="",$B46,D46)</f>
        <v>0.02</v>
      </c>
      <c r="E103">
        <f t="shared" si="42"/>
        <v>0.02</v>
      </c>
      <c r="F103">
        <f t="shared" si="42"/>
        <v>0.02</v>
      </c>
      <c r="G103">
        <f t="shared" si="42"/>
        <v>0.02</v>
      </c>
      <c r="H103">
        <f t="shared" si="42"/>
        <v>0.02</v>
      </c>
      <c r="I103">
        <f t="shared" si="42"/>
        <v>0.02</v>
      </c>
      <c r="J103">
        <f t="shared" si="42"/>
        <v>0.02</v>
      </c>
      <c r="K103">
        <f t="shared" si="42"/>
        <v>0.02</v>
      </c>
      <c r="L103">
        <f t="shared" si="42"/>
        <v>0.02</v>
      </c>
      <c r="M103">
        <f t="shared" si="42"/>
        <v>0.02</v>
      </c>
      <c r="N103">
        <f t="shared" si="42"/>
        <v>0.02</v>
      </c>
      <c r="O103">
        <f t="shared" si="42"/>
        <v>0.02</v>
      </c>
      <c r="P103">
        <f t="shared" si="42"/>
        <v>0.02</v>
      </c>
      <c r="Q103">
        <f t="shared" si="42"/>
        <v>0.02</v>
      </c>
      <c r="R103">
        <f t="shared" si="42"/>
        <v>0.02</v>
      </c>
      <c r="S103">
        <f t="shared" si="42"/>
        <v>0.02</v>
      </c>
      <c r="T103">
        <f t="shared" si="42"/>
        <v>0.02</v>
      </c>
      <c r="U103">
        <f t="shared" si="42"/>
        <v>0.02</v>
      </c>
      <c r="V103">
        <f t="shared" si="42"/>
        <v>0.02</v>
      </c>
      <c r="W103">
        <f t="shared" si="42"/>
        <v>0.02</v>
      </c>
      <c r="X103">
        <f t="shared" si="42"/>
        <v>0.02</v>
      </c>
      <c r="Y103">
        <f t="shared" si="42"/>
        <v>0.02</v>
      </c>
      <c r="Z103">
        <f t="shared" si="42"/>
        <v>0.02</v>
      </c>
      <c r="AA103">
        <f t="shared" si="42"/>
        <v>0.02</v>
      </c>
      <c r="AB103">
        <f t="shared" si="42"/>
        <v>0.02</v>
      </c>
      <c r="AC103">
        <f t="shared" si="42"/>
        <v>0.02</v>
      </c>
    </row>
    <row r="104" spans="1:29" x14ac:dyDescent="0.25">
      <c r="A104" t="s">
        <v>607</v>
      </c>
      <c r="C104">
        <v>0</v>
      </c>
      <c r="D104">
        <f t="shared" ref="D104:AC104" si="43">IF(D47="",$B47,D47)</f>
        <v>1.9E-2</v>
      </c>
      <c r="E104">
        <f t="shared" si="43"/>
        <v>1.9E-2</v>
      </c>
      <c r="F104">
        <f t="shared" si="43"/>
        <v>1.9E-2</v>
      </c>
      <c r="G104">
        <f t="shared" si="43"/>
        <v>1.9E-2</v>
      </c>
      <c r="H104">
        <f t="shared" si="43"/>
        <v>1.9E-2</v>
      </c>
      <c r="I104">
        <f t="shared" si="43"/>
        <v>1.9E-2</v>
      </c>
      <c r="J104">
        <f t="shared" si="43"/>
        <v>1.9E-2</v>
      </c>
      <c r="K104">
        <f t="shared" si="43"/>
        <v>1.9E-2</v>
      </c>
      <c r="L104">
        <f t="shared" si="43"/>
        <v>1.9E-2</v>
      </c>
      <c r="M104">
        <f t="shared" si="43"/>
        <v>1.9E-2</v>
      </c>
      <c r="N104">
        <f t="shared" si="43"/>
        <v>1.9E-2</v>
      </c>
      <c r="O104">
        <f t="shared" si="43"/>
        <v>1.9E-2</v>
      </c>
      <c r="P104">
        <f t="shared" si="43"/>
        <v>1.9E-2</v>
      </c>
      <c r="Q104">
        <f t="shared" si="43"/>
        <v>1.9E-2</v>
      </c>
      <c r="R104">
        <f t="shared" si="43"/>
        <v>1.9E-2</v>
      </c>
      <c r="S104">
        <f t="shared" si="43"/>
        <v>1.9E-2</v>
      </c>
      <c r="T104">
        <f t="shared" si="43"/>
        <v>1.9E-2</v>
      </c>
      <c r="U104">
        <f t="shared" si="43"/>
        <v>1.9E-2</v>
      </c>
      <c r="V104">
        <f t="shared" si="43"/>
        <v>1.9E-2</v>
      </c>
      <c r="W104">
        <f t="shared" si="43"/>
        <v>1.9E-2</v>
      </c>
      <c r="X104">
        <f t="shared" si="43"/>
        <v>1.9E-2</v>
      </c>
      <c r="Y104">
        <f t="shared" si="43"/>
        <v>1.9E-2</v>
      </c>
      <c r="Z104">
        <f t="shared" si="43"/>
        <v>1.9E-2</v>
      </c>
      <c r="AA104">
        <f t="shared" si="43"/>
        <v>1.9E-2</v>
      </c>
      <c r="AB104">
        <f t="shared" si="43"/>
        <v>1.9E-2</v>
      </c>
      <c r="AC104">
        <f t="shared" si="43"/>
        <v>1.9E-2</v>
      </c>
    </row>
    <row r="105" spans="1:29" x14ac:dyDescent="0.25">
      <c r="A105" t="s">
        <v>623</v>
      </c>
      <c r="C105">
        <v>0</v>
      </c>
      <c r="D105">
        <f t="shared" ref="D105:AC105" si="44">IF(D48="",$B48,D48)</f>
        <v>2.229329587339228E-2</v>
      </c>
      <c r="E105">
        <f t="shared" si="44"/>
        <v>2.229329587339228E-2</v>
      </c>
      <c r="F105">
        <f t="shared" si="44"/>
        <v>2.229329587339228E-2</v>
      </c>
      <c r="G105">
        <f t="shared" si="44"/>
        <v>2.229329587339228E-2</v>
      </c>
      <c r="H105">
        <f t="shared" si="44"/>
        <v>2.229329587339228E-2</v>
      </c>
      <c r="I105">
        <f t="shared" si="44"/>
        <v>2.229329587339228E-2</v>
      </c>
      <c r="J105">
        <f t="shared" si="44"/>
        <v>2.229329587339228E-2</v>
      </c>
      <c r="K105">
        <f t="shared" si="44"/>
        <v>2.229329587339228E-2</v>
      </c>
      <c r="L105">
        <f t="shared" si="44"/>
        <v>2.229329587339228E-2</v>
      </c>
      <c r="M105">
        <f t="shared" si="44"/>
        <v>2.229329587339228E-2</v>
      </c>
      <c r="N105">
        <f t="shared" si="44"/>
        <v>2.229329587339228E-2</v>
      </c>
      <c r="O105">
        <f t="shared" si="44"/>
        <v>2.229329587339228E-2</v>
      </c>
      <c r="P105">
        <f t="shared" si="44"/>
        <v>2.229329587339228E-2</v>
      </c>
      <c r="Q105">
        <f t="shared" si="44"/>
        <v>2.229329587339228E-2</v>
      </c>
      <c r="R105">
        <f t="shared" si="44"/>
        <v>2.229329587339228E-2</v>
      </c>
      <c r="S105">
        <f t="shared" si="44"/>
        <v>2.229329587339228E-2</v>
      </c>
      <c r="T105">
        <f t="shared" si="44"/>
        <v>2.229329587339228E-2</v>
      </c>
      <c r="U105">
        <f t="shared" si="44"/>
        <v>2.229329587339228E-2</v>
      </c>
      <c r="V105">
        <f t="shared" si="44"/>
        <v>2.229329587339228E-2</v>
      </c>
      <c r="W105">
        <f t="shared" si="44"/>
        <v>2.229329587339228E-2</v>
      </c>
      <c r="X105">
        <f t="shared" si="44"/>
        <v>2.229329587339228E-2</v>
      </c>
      <c r="Y105">
        <f t="shared" si="44"/>
        <v>2.229329587339228E-2</v>
      </c>
      <c r="Z105">
        <f t="shared" si="44"/>
        <v>2.229329587339228E-2</v>
      </c>
      <c r="AA105">
        <f t="shared" si="44"/>
        <v>2.229329587339228E-2</v>
      </c>
      <c r="AB105">
        <f t="shared" si="44"/>
        <v>2.229329587339228E-2</v>
      </c>
      <c r="AC105">
        <f t="shared" si="44"/>
        <v>2.229329587339228E-2</v>
      </c>
    </row>
    <row r="106" spans="1:29" x14ac:dyDescent="0.25">
      <c r="A106" t="s">
        <v>610</v>
      </c>
      <c r="C106">
        <v>0</v>
      </c>
      <c r="D106">
        <f t="shared" ref="D106:AC106" si="45">IF(D49="",$B49,D49)</f>
        <v>2.3824568611339355E-2</v>
      </c>
      <c r="E106">
        <f t="shared" si="45"/>
        <v>2.3824568611339355E-2</v>
      </c>
      <c r="F106">
        <f t="shared" si="45"/>
        <v>2.3824568611339355E-2</v>
      </c>
      <c r="G106">
        <f t="shared" si="45"/>
        <v>2.3824568611339355E-2</v>
      </c>
      <c r="H106">
        <f t="shared" si="45"/>
        <v>2.3824568611339355E-2</v>
      </c>
      <c r="I106">
        <f t="shared" si="45"/>
        <v>2.3824568611339355E-2</v>
      </c>
      <c r="J106">
        <f t="shared" si="45"/>
        <v>2.3824568611339355E-2</v>
      </c>
      <c r="K106">
        <f t="shared" si="45"/>
        <v>2.3824568611339355E-2</v>
      </c>
      <c r="L106">
        <f t="shared" si="45"/>
        <v>2.3824568611339355E-2</v>
      </c>
      <c r="M106">
        <f t="shared" si="45"/>
        <v>2.3824568611339355E-2</v>
      </c>
      <c r="N106">
        <f t="shared" si="45"/>
        <v>2.3824568611339355E-2</v>
      </c>
      <c r="O106">
        <f t="shared" si="45"/>
        <v>2.3824568611339355E-2</v>
      </c>
      <c r="P106">
        <f t="shared" si="45"/>
        <v>2.3824568611339355E-2</v>
      </c>
      <c r="Q106">
        <f t="shared" si="45"/>
        <v>2.3824568611339355E-2</v>
      </c>
      <c r="R106">
        <f t="shared" si="45"/>
        <v>2.3824568611339355E-2</v>
      </c>
      <c r="S106">
        <f t="shared" si="45"/>
        <v>2.3824568611339355E-2</v>
      </c>
      <c r="T106">
        <f t="shared" si="45"/>
        <v>2.3824568611339355E-2</v>
      </c>
      <c r="U106">
        <f t="shared" si="45"/>
        <v>2.3824568611339355E-2</v>
      </c>
      <c r="V106">
        <f t="shared" si="45"/>
        <v>2.3824568611339355E-2</v>
      </c>
      <c r="W106">
        <f t="shared" si="45"/>
        <v>2.3824568611339355E-2</v>
      </c>
      <c r="X106">
        <f t="shared" si="45"/>
        <v>2.3824568611339355E-2</v>
      </c>
      <c r="Y106">
        <f t="shared" si="45"/>
        <v>2.3824568611339355E-2</v>
      </c>
      <c r="Z106">
        <f t="shared" si="45"/>
        <v>2.3824568611339355E-2</v>
      </c>
      <c r="AA106">
        <f t="shared" si="45"/>
        <v>2.3824568611339355E-2</v>
      </c>
      <c r="AB106">
        <f t="shared" si="45"/>
        <v>2.3824568611339355E-2</v>
      </c>
      <c r="AC106">
        <f t="shared" si="45"/>
        <v>2.3824568611339355E-2</v>
      </c>
    </row>
    <row r="107" spans="1:29" x14ac:dyDescent="0.25">
      <c r="A107" t="s">
        <v>942</v>
      </c>
      <c r="C107">
        <v>0</v>
      </c>
      <c r="D107">
        <f t="shared" ref="D107:AC107" si="46">IF(D50="",$B50,D50)</f>
        <v>5.0652135576482191E-3</v>
      </c>
      <c r="E107">
        <f t="shared" si="46"/>
        <v>5.0652135576482191E-3</v>
      </c>
      <c r="F107">
        <f t="shared" si="46"/>
        <v>5.0652135576482191E-3</v>
      </c>
      <c r="G107">
        <f t="shared" si="46"/>
        <v>5.0652135576482191E-3</v>
      </c>
      <c r="H107">
        <f t="shared" si="46"/>
        <v>5.0652135576482191E-3</v>
      </c>
      <c r="I107">
        <f t="shared" si="46"/>
        <v>5.0652135576482191E-3</v>
      </c>
      <c r="J107">
        <f t="shared" si="46"/>
        <v>5.0652135576482191E-3</v>
      </c>
      <c r="K107">
        <f t="shared" si="46"/>
        <v>5.0652135576482191E-3</v>
      </c>
      <c r="L107">
        <f t="shared" si="46"/>
        <v>5.0652135576482191E-3</v>
      </c>
      <c r="M107">
        <f t="shared" si="46"/>
        <v>5.0652135576482191E-3</v>
      </c>
      <c r="N107">
        <f t="shared" si="46"/>
        <v>5.0652135576482191E-3</v>
      </c>
      <c r="O107">
        <f t="shared" si="46"/>
        <v>5.0652135576482191E-3</v>
      </c>
      <c r="P107">
        <f t="shared" si="46"/>
        <v>5.0652135576482191E-3</v>
      </c>
      <c r="Q107">
        <f t="shared" si="46"/>
        <v>5.0652135576482191E-3</v>
      </c>
      <c r="R107">
        <f t="shared" si="46"/>
        <v>5.0652135576482191E-3</v>
      </c>
      <c r="S107">
        <f t="shared" si="46"/>
        <v>5.0652135576482191E-3</v>
      </c>
      <c r="T107">
        <f t="shared" si="46"/>
        <v>5.0652135576482191E-3</v>
      </c>
      <c r="U107">
        <f t="shared" si="46"/>
        <v>5.0652135576482191E-3</v>
      </c>
      <c r="V107">
        <f t="shared" si="46"/>
        <v>5.0652135576482191E-3</v>
      </c>
      <c r="W107">
        <f t="shared" si="46"/>
        <v>5.0652135576482191E-3</v>
      </c>
      <c r="X107">
        <f t="shared" si="46"/>
        <v>5.0652135576482191E-3</v>
      </c>
      <c r="Y107">
        <f t="shared" si="46"/>
        <v>5.0652135576482191E-3</v>
      </c>
      <c r="Z107">
        <f t="shared" si="46"/>
        <v>5.0652135576482191E-3</v>
      </c>
      <c r="AA107">
        <f t="shared" si="46"/>
        <v>5.0652135576482191E-3</v>
      </c>
      <c r="AB107">
        <f t="shared" si="46"/>
        <v>5.0652135576482191E-3</v>
      </c>
      <c r="AC107">
        <f t="shared" si="46"/>
        <v>5.0652135576482191E-3</v>
      </c>
    </row>
    <row r="108" spans="1:29" x14ac:dyDescent="0.25">
      <c r="A108" t="s">
        <v>700</v>
      </c>
      <c r="C108">
        <v>0</v>
      </c>
      <c r="D108">
        <f t="shared" ref="D108:AC108" si="47">IF(D51="",$B51,D51)</f>
        <v>4.7258152010125967E-3</v>
      </c>
      <c r="E108">
        <f t="shared" si="47"/>
        <v>4.7258152010125967E-3</v>
      </c>
      <c r="F108">
        <f t="shared" si="47"/>
        <v>4.7258152010125967E-3</v>
      </c>
      <c r="G108">
        <f t="shared" si="47"/>
        <v>4.7258152010125967E-3</v>
      </c>
      <c r="H108">
        <f t="shared" si="47"/>
        <v>4.7258152010125967E-3</v>
      </c>
      <c r="I108">
        <f t="shared" si="47"/>
        <v>4.7258152010125967E-3</v>
      </c>
      <c r="J108">
        <f t="shared" si="47"/>
        <v>4.7258152010125967E-3</v>
      </c>
      <c r="K108">
        <f t="shared" si="47"/>
        <v>4.7258152010125967E-3</v>
      </c>
      <c r="L108">
        <f t="shared" si="47"/>
        <v>4.7258152010125967E-3</v>
      </c>
      <c r="M108">
        <f t="shared" si="47"/>
        <v>4.7258152010125967E-3</v>
      </c>
      <c r="N108">
        <f t="shared" si="47"/>
        <v>4.7258152010125967E-3</v>
      </c>
      <c r="O108">
        <f t="shared" si="47"/>
        <v>4.7258152010125967E-3</v>
      </c>
      <c r="P108">
        <f t="shared" si="47"/>
        <v>4.7258152010125967E-3</v>
      </c>
      <c r="Q108">
        <f t="shared" si="47"/>
        <v>4.7258152010125967E-3</v>
      </c>
      <c r="R108">
        <f t="shared" si="47"/>
        <v>4.7258152010125967E-3</v>
      </c>
      <c r="S108">
        <f t="shared" si="47"/>
        <v>4.7258152010125967E-3</v>
      </c>
      <c r="T108">
        <f t="shared" si="47"/>
        <v>4.7258152010125967E-3</v>
      </c>
      <c r="U108">
        <f t="shared" si="47"/>
        <v>4.7258152010125967E-3</v>
      </c>
      <c r="V108">
        <f t="shared" si="47"/>
        <v>4.7258152010125967E-3</v>
      </c>
      <c r="W108">
        <f t="shared" si="47"/>
        <v>4.7258152010125967E-3</v>
      </c>
      <c r="X108">
        <f t="shared" si="47"/>
        <v>4.7258152010125967E-3</v>
      </c>
      <c r="Y108">
        <f t="shared" si="47"/>
        <v>4.7258152010125967E-3</v>
      </c>
      <c r="Z108">
        <f t="shared" si="47"/>
        <v>4.7258152010125967E-3</v>
      </c>
      <c r="AA108">
        <f t="shared" si="47"/>
        <v>4.7258152010125967E-3</v>
      </c>
      <c r="AB108">
        <f t="shared" si="47"/>
        <v>4.7258152010125967E-3</v>
      </c>
      <c r="AC108">
        <f t="shared" si="47"/>
        <v>4.7258152010125967E-3</v>
      </c>
    </row>
    <row r="109" spans="1:29" x14ac:dyDescent="0.25">
      <c r="A109" t="s">
        <v>755</v>
      </c>
      <c r="C109">
        <v>0</v>
      </c>
      <c r="D109">
        <f t="shared" ref="D109:AC109" si="48">IF(D52="",$B52,D52)</f>
        <v>2.7703373647358368E-2</v>
      </c>
      <c r="E109">
        <f t="shared" si="48"/>
        <v>2.7703373647358368E-2</v>
      </c>
      <c r="F109">
        <f t="shared" si="48"/>
        <v>2.7703373647358368E-2</v>
      </c>
      <c r="G109">
        <f t="shared" si="48"/>
        <v>2.7703373647358368E-2</v>
      </c>
      <c r="H109">
        <f t="shared" si="48"/>
        <v>2.7703373647358368E-2</v>
      </c>
      <c r="I109">
        <f t="shared" si="48"/>
        <v>2.7703373647358368E-2</v>
      </c>
      <c r="J109">
        <f t="shared" si="48"/>
        <v>2.7703373647358368E-2</v>
      </c>
      <c r="K109">
        <f t="shared" si="48"/>
        <v>2.7703373647358368E-2</v>
      </c>
      <c r="L109">
        <f t="shared" si="48"/>
        <v>2.7703373647358368E-2</v>
      </c>
      <c r="M109">
        <f t="shared" si="48"/>
        <v>2.7703373647358368E-2</v>
      </c>
      <c r="N109">
        <f t="shared" si="48"/>
        <v>2.7703373647358368E-2</v>
      </c>
      <c r="O109">
        <f t="shared" si="48"/>
        <v>2.7703373647358368E-2</v>
      </c>
      <c r="P109">
        <f t="shared" si="48"/>
        <v>2.7703373647358368E-2</v>
      </c>
      <c r="Q109">
        <f t="shared" si="48"/>
        <v>2.7703373647358368E-2</v>
      </c>
      <c r="R109">
        <f t="shared" si="48"/>
        <v>2.7703373647358368E-2</v>
      </c>
      <c r="S109">
        <f t="shared" si="48"/>
        <v>2.7703373647358368E-2</v>
      </c>
      <c r="T109">
        <f t="shared" si="48"/>
        <v>2.7703373647358368E-2</v>
      </c>
      <c r="U109">
        <f t="shared" si="48"/>
        <v>2.7703373647358368E-2</v>
      </c>
      <c r="V109">
        <f t="shared" si="48"/>
        <v>2.7703373647358368E-2</v>
      </c>
      <c r="W109">
        <f t="shared" si="48"/>
        <v>2.7703373647358368E-2</v>
      </c>
      <c r="X109">
        <f t="shared" si="48"/>
        <v>2.7703373647358368E-2</v>
      </c>
      <c r="Y109">
        <f t="shared" si="48"/>
        <v>2.7703373647358368E-2</v>
      </c>
      <c r="Z109">
        <f t="shared" si="48"/>
        <v>2.7703373647358368E-2</v>
      </c>
      <c r="AA109">
        <f t="shared" si="48"/>
        <v>2.7703373647358368E-2</v>
      </c>
      <c r="AB109">
        <f t="shared" si="48"/>
        <v>2.7703373647358368E-2</v>
      </c>
      <c r="AC109">
        <f t="shared" si="48"/>
        <v>2.7703373647358368E-2</v>
      </c>
    </row>
    <row r="110" spans="1:29" x14ac:dyDescent="0.25">
      <c r="A110" t="s">
        <v>840</v>
      </c>
      <c r="C110">
        <v>0</v>
      </c>
      <c r="D110">
        <f t="shared" ref="D110:AC110" si="49">IF(D53="",$B53,D53)</f>
        <v>2.2000000000000002E-2</v>
      </c>
      <c r="E110">
        <f t="shared" si="49"/>
        <v>2.2000000000000002E-2</v>
      </c>
      <c r="F110">
        <f t="shared" si="49"/>
        <v>2.2000000000000002E-2</v>
      </c>
      <c r="G110">
        <f t="shared" si="49"/>
        <v>2.2000000000000002E-2</v>
      </c>
      <c r="H110">
        <f t="shared" si="49"/>
        <v>2.2000000000000002E-2</v>
      </c>
      <c r="I110">
        <f t="shared" si="49"/>
        <v>2.2000000000000002E-2</v>
      </c>
      <c r="J110">
        <f t="shared" si="49"/>
        <v>2.2000000000000002E-2</v>
      </c>
      <c r="K110">
        <f t="shared" si="49"/>
        <v>2.2000000000000002E-2</v>
      </c>
      <c r="L110">
        <f t="shared" si="49"/>
        <v>2.2000000000000002E-2</v>
      </c>
      <c r="M110">
        <f t="shared" si="49"/>
        <v>2.2000000000000002E-2</v>
      </c>
      <c r="N110">
        <f t="shared" si="49"/>
        <v>2.2000000000000002E-2</v>
      </c>
      <c r="O110">
        <f t="shared" si="49"/>
        <v>2.2000000000000002E-2</v>
      </c>
      <c r="P110">
        <f t="shared" si="49"/>
        <v>2.2000000000000002E-2</v>
      </c>
      <c r="Q110">
        <f t="shared" si="49"/>
        <v>2.2000000000000002E-2</v>
      </c>
      <c r="R110">
        <f t="shared" si="49"/>
        <v>2.2000000000000002E-2</v>
      </c>
      <c r="S110">
        <f t="shared" si="49"/>
        <v>2.2000000000000002E-2</v>
      </c>
      <c r="T110">
        <f t="shared" si="49"/>
        <v>2.2000000000000002E-2</v>
      </c>
      <c r="U110">
        <f t="shared" si="49"/>
        <v>2.2000000000000002E-2</v>
      </c>
      <c r="V110">
        <f t="shared" si="49"/>
        <v>2.2000000000000002E-2</v>
      </c>
      <c r="W110">
        <f t="shared" si="49"/>
        <v>2.2000000000000002E-2</v>
      </c>
      <c r="X110">
        <f t="shared" si="49"/>
        <v>2.2000000000000002E-2</v>
      </c>
      <c r="Y110">
        <f t="shared" si="49"/>
        <v>2.2000000000000002E-2</v>
      </c>
      <c r="Z110">
        <f t="shared" si="49"/>
        <v>2.2000000000000002E-2</v>
      </c>
      <c r="AA110">
        <f t="shared" si="49"/>
        <v>2.2000000000000002E-2</v>
      </c>
      <c r="AB110">
        <f t="shared" si="49"/>
        <v>2.2000000000000002E-2</v>
      </c>
      <c r="AC110">
        <f t="shared" si="49"/>
        <v>2.2000000000000002E-2</v>
      </c>
    </row>
    <row r="111" spans="1:29" x14ac:dyDescent="0.25">
      <c r="A111" t="s">
        <v>904</v>
      </c>
      <c r="C111">
        <v>0</v>
      </c>
      <c r="D111">
        <f t="shared" ref="D111:AC111" si="50">IF(D54="",$B54,D54)</f>
        <v>2.1070752718542581E-2</v>
      </c>
      <c r="E111">
        <f t="shared" si="50"/>
        <v>2.1070752718542581E-2</v>
      </c>
      <c r="F111">
        <f t="shared" si="50"/>
        <v>2.1070752718542581E-2</v>
      </c>
      <c r="G111">
        <f t="shared" si="50"/>
        <v>2.1070752718542581E-2</v>
      </c>
      <c r="H111">
        <f t="shared" si="50"/>
        <v>2.1070752718542581E-2</v>
      </c>
      <c r="I111">
        <f t="shared" si="50"/>
        <v>2.1070752718542581E-2</v>
      </c>
      <c r="J111">
        <f t="shared" si="50"/>
        <v>2.1070752718542581E-2</v>
      </c>
      <c r="K111">
        <f t="shared" si="50"/>
        <v>2.1070752718542581E-2</v>
      </c>
      <c r="L111">
        <f t="shared" si="50"/>
        <v>2.1070752718542581E-2</v>
      </c>
      <c r="M111">
        <f t="shared" si="50"/>
        <v>2.1070752718542581E-2</v>
      </c>
      <c r="N111">
        <f t="shared" si="50"/>
        <v>2.1070752718542581E-2</v>
      </c>
      <c r="O111">
        <f t="shared" si="50"/>
        <v>2.1070752718542581E-2</v>
      </c>
      <c r="P111">
        <f t="shared" si="50"/>
        <v>2.1070752718542581E-2</v>
      </c>
      <c r="Q111">
        <f t="shared" si="50"/>
        <v>2.1070752718542581E-2</v>
      </c>
      <c r="R111">
        <f t="shared" si="50"/>
        <v>2.1070752718542581E-2</v>
      </c>
      <c r="S111">
        <f t="shared" si="50"/>
        <v>2.1070752718542581E-2</v>
      </c>
      <c r="T111">
        <f t="shared" si="50"/>
        <v>2.1070752718542581E-2</v>
      </c>
      <c r="U111">
        <f t="shared" si="50"/>
        <v>2.1070752718542581E-2</v>
      </c>
      <c r="V111">
        <f t="shared" si="50"/>
        <v>2.1070752718542581E-2</v>
      </c>
      <c r="W111">
        <f t="shared" si="50"/>
        <v>2.1070752718542581E-2</v>
      </c>
      <c r="X111">
        <f t="shared" si="50"/>
        <v>2.1070752718542581E-2</v>
      </c>
      <c r="Y111">
        <f t="shared" si="50"/>
        <v>2.1070752718542581E-2</v>
      </c>
      <c r="Z111">
        <f t="shared" si="50"/>
        <v>2.1070752718542581E-2</v>
      </c>
      <c r="AA111">
        <f t="shared" si="50"/>
        <v>2.1070752718542581E-2</v>
      </c>
      <c r="AB111">
        <f t="shared" si="50"/>
        <v>2.1070752718542581E-2</v>
      </c>
      <c r="AC111">
        <f t="shared" si="50"/>
        <v>2.1070752718542581E-2</v>
      </c>
    </row>
    <row r="112" spans="1:29" x14ac:dyDescent="0.25">
      <c r="A112" t="s">
        <v>937</v>
      </c>
      <c r="C112">
        <v>0</v>
      </c>
      <c r="D112">
        <f t="shared" ref="D112:AC112" si="51">IF(D55="",$B55,D55)</f>
        <v>1.8000000000000002E-2</v>
      </c>
      <c r="E112">
        <f t="shared" si="51"/>
        <v>1.8000000000000002E-2</v>
      </c>
      <c r="F112">
        <f t="shared" si="51"/>
        <v>1.8000000000000002E-2</v>
      </c>
      <c r="G112">
        <f t="shared" si="51"/>
        <v>1.8000000000000002E-2</v>
      </c>
      <c r="H112">
        <f t="shared" si="51"/>
        <v>1.8000000000000002E-2</v>
      </c>
      <c r="I112">
        <f t="shared" si="51"/>
        <v>1.8000000000000002E-2</v>
      </c>
      <c r="J112">
        <f t="shared" si="51"/>
        <v>1.8000000000000002E-2</v>
      </c>
      <c r="K112">
        <f t="shared" si="51"/>
        <v>1.8000000000000002E-2</v>
      </c>
      <c r="L112">
        <f t="shared" si="51"/>
        <v>1.8000000000000002E-2</v>
      </c>
      <c r="M112">
        <f t="shared" si="51"/>
        <v>1.8000000000000002E-2</v>
      </c>
      <c r="N112">
        <f t="shared" si="51"/>
        <v>1.8000000000000002E-2</v>
      </c>
      <c r="O112">
        <f t="shared" si="51"/>
        <v>1.8000000000000002E-2</v>
      </c>
      <c r="P112">
        <f t="shared" si="51"/>
        <v>1.8000000000000002E-2</v>
      </c>
      <c r="Q112">
        <f t="shared" si="51"/>
        <v>1.8000000000000002E-2</v>
      </c>
      <c r="R112">
        <f t="shared" si="51"/>
        <v>1.8000000000000002E-2</v>
      </c>
      <c r="S112">
        <f t="shared" si="51"/>
        <v>1.8000000000000002E-2</v>
      </c>
      <c r="T112">
        <f t="shared" si="51"/>
        <v>1.8000000000000002E-2</v>
      </c>
      <c r="U112">
        <f t="shared" si="51"/>
        <v>1.8000000000000002E-2</v>
      </c>
      <c r="V112">
        <f t="shared" si="51"/>
        <v>1.8000000000000002E-2</v>
      </c>
      <c r="W112">
        <f t="shared" si="51"/>
        <v>1.8000000000000002E-2</v>
      </c>
      <c r="X112">
        <f t="shared" si="51"/>
        <v>1.8000000000000002E-2</v>
      </c>
      <c r="Y112">
        <f t="shared" si="51"/>
        <v>1.8000000000000002E-2</v>
      </c>
      <c r="Z112">
        <f t="shared" si="51"/>
        <v>1.8000000000000002E-2</v>
      </c>
      <c r="AA112">
        <f t="shared" si="51"/>
        <v>1.8000000000000002E-2</v>
      </c>
      <c r="AB112">
        <f t="shared" si="51"/>
        <v>1.8000000000000002E-2</v>
      </c>
      <c r="AC112">
        <f t="shared" si="51"/>
        <v>1.8000000000000002E-2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2"/>
  <sheetViews>
    <sheetView workbookViewId="0"/>
  </sheetViews>
  <sheetFormatPr defaultRowHeight="15" x14ac:dyDescent="0.25"/>
  <sheetData>
    <row r="1" spans="1:29" x14ac:dyDescent="0.25">
      <c r="A1" s="1" t="s">
        <v>1230</v>
      </c>
    </row>
    <row r="3" spans="1:29" x14ac:dyDescent="0.25">
      <c r="C3" s="1">
        <v>2024</v>
      </c>
      <c r="D3" s="1">
        <v>2025</v>
      </c>
      <c r="E3" s="1">
        <v>2026</v>
      </c>
      <c r="F3" s="1">
        <v>2027</v>
      </c>
      <c r="G3" s="1">
        <v>2028</v>
      </c>
      <c r="H3" s="1">
        <v>2029</v>
      </c>
      <c r="I3" s="1">
        <v>2030</v>
      </c>
      <c r="J3" s="1">
        <v>2031</v>
      </c>
      <c r="K3" s="1">
        <v>2032</v>
      </c>
      <c r="L3" s="1">
        <v>2033</v>
      </c>
      <c r="M3" s="1">
        <v>2034</v>
      </c>
      <c r="N3" s="1">
        <v>2035</v>
      </c>
      <c r="O3" s="1">
        <v>2036</v>
      </c>
      <c r="P3" s="1">
        <v>2037</v>
      </c>
      <c r="Q3" s="1">
        <v>2038</v>
      </c>
      <c r="R3" s="1">
        <v>2039</v>
      </c>
      <c r="S3" s="1">
        <v>2040</v>
      </c>
      <c r="T3" s="1">
        <v>2041</v>
      </c>
      <c r="U3" s="1">
        <v>2042</v>
      </c>
      <c r="V3" s="1">
        <v>2043</v>
      </c>
      <c r="W3" s="1">
        <v>2044</v>
      </c>
      <c r="X3" s="1">
        <v>2045</v>
      </c>
      <c r="Y3" s="1">
        <v>2046</v>
      </c>
      <c r="Z3" s="1">
        <v>2047</v>
      </c>
      <c r="AA3" s="1">
        <v>2048</v>
      </c>
      <c r="AB3" s="1">
        <v>2049</v>
      </c>
      <c r="AC3" s="1">
        <v>2050</v>
      </c>
    </row>
    <row r="4" spans="1:29" x14ac:dyDescent="0.25">
      <c r="A4" s="1" t="s">
        <v>1231</v>
      </c>
      <c r="C4">
        <f>SUM(C$9:C$60)</f>
        <v>21443693900000</v>
      </c>
      <c r="D4">
        <f>$C$4*INDEX('GDP Forecast'!B:B,MATCH(2025,'GDP Forecast'!A:A,0))/INDEX('GDP Forecast'!B:B,MATCH(2024,'GDP Forecast'!A:A,0))</f>
        <v>21825493791390.945</v>
      </c>
      <c r="E4">
        <f>$C$4*INDEX('GDP Forecast'!B:B,MATCH(2026,'GDP Forecast'!A:A,0))/INDEX('GDP Forecast'!B:B,MATCH(2024,'GDP Forecast'!A:A,0))</f>
        <v>22402493627254.16</v>
      </c>
      <c r="F4">
        <f>$C$4*INDEX('GDP Forecast'!B:B,MATCH(2027,'GDP Forecast'!A:A,0))/INDEX('GDP Forecast'!B:B,MATCH(2024,'GDP Forecast'!A:A,0))</f>
        <v>22823193507579.383</v>
      </c>
      <c r="G4">
        <f>$C$4*INDEX('GDP Forecast'!B:B,MATCH(2028,'GDP Forecast'!A:A,0))/INDEX('GDP Forecast'!B:B,MATCH(2024,'GDP Forecast'!A:A,0))</f>
        <v>23114693424657.59</v>
      </c>
      <c r="H4">
        <f>$C$4*INDEX('GDP Forecast'!B:B,MATCH(2029,'GDP Forecast'!A:A,0))/INDEX('GDP Forecast'!B:B,MATCH(2024,'GDP Forecast'!A:A,0))</f>
        <v>23470593323416.199</v>
      </c>
      <c r="I4">
        <f>$C$4*INDEX('GDP Forecast'!B:B,MATCH(2030,'GDP Forecast'!A:A,0))/INDEX('GDP Forecast'!B:B,MATCH(2024,'GDP Forecast'!A:A,0))</f>
        <v>23881593206500.742</v>
      </c>
      <c r="J4">
        <f>$C$4*INDEX('GDP Forecast'!B:B,MATCH(2031,'GDP Forecast'!A:A,0))/INDEX('GDP Forecast'!B:B,MATCH(2024,'GDP Forecast'!A:A,0))</f>
        <v>24282793092373.051</v>
      </c>
      <c r="K4">
        <f>$C$4*INDEX('GDP Forecast'!B:B,MATCH(2032,'GDP Forecast'!A:A,0))/INDEX('GDP Forecast'!B:B,MATCH(2024,'GDP Forecast'!A:A,0))</f>
        <v>24738792962656.633</v>
      </c>
      <c r="L4">
        <f>$C$4*INDEX('GDP Forecast'!B:B,MATCH(2033,'GDP Forecast'!A:A,0))/INDEX('GDP Forecast'!B:B,MATCH(2024,'GDP Forecast'!A:A,0))</f>
        <v>25221192825430.313</v>
      </c>
      <c r="M4">
        <f>$C$4*INDEX('GDP Forecast'!B:B,MATCH(2034,'GDP Forecast'!A:A,0))/INDEX('GDP Forecast'!B:B,MATCH(2024,'GDP Forecast'!A:A,0))</f>
        <v>25733992679556.234</v>
      </c>
      <c r="N4">
        <f>$C$4*INDEX('GDP Forecast'!B:B,MATCH(2035,'GDP Forecast'!A:A,0))/INDEX('GDP Forecast'!B:B,MATCH(2024,'GDP Forecast'!A:A,0))</f>
        <v>26281792523725.848</v>
      </c>
      <c r="O4">
        <f>$C$4*INDEX('GDP Forecast'!B:B,MATCH(2036,'GDP Forecast'!A:A,0))/INDEX('GDP Forecast'!B:B,MATCH(2024,'GDP Forecast'!A:A,0))</f>
        <v>26744392392131.953</v>
      </c>
      <c r="P4">
        <f>$C$4*INDEX('GDP Forecast'!B:B,MATCH(2037,'GDP Forecast'!A:A,0))/INDEX('GDP Forecast'!B:B,MATCH(2024,'GDP Forecast'!A:A,0))</f>
        <v>27206592260651.848</v>
      </c>
      <c r="Q4">
        <f>$C$4*INDEX('GDP Forecast'!B:B,MATCH(2038,'GDP Forecast'!A:A,0))/INDEX('GDP Forecast'!B:B,MATCH(2024,'GDP Forecast'!A:A,0))</f>
        <v>27669992128830.379</v>
      </c>
      <c r="R4">
        <f>$C$4*INDEX('GDP Forecast'!B:B,MATCH(2039,'GDP Forecast'!A:A,0))/INDEX('GDP Forecast'!B:B,MATCH(2024,'GDP Forecast'!A:A,0))</f>
        <v>28125291999313.086</v>
      </c>
      <c r="S4">
        <f>$C$4*INDEX('GDP Forecast'!B:B,MATCH(2040,'GDP Forecast'!A:A,0))/INDEX('GDP Forecast'!B:B,MATCH(2024,'GDP Forecast'!A:A,0))</f>
        <v>28584291868743.27</v>
      </c>
      <c r="T4">
        <f>$C$4*INDEX('GDP Forecast'!B:B,MATCH(2041,'GDP Forecast'!A:A,0))/INDEX('GDP Forecast'!B:B,MATCH(2024,'GDP Forecast'!A:A,0))</f>
        <v>29029391742127.527</v>
      </c>
      <c r="U4">
        <f>$C$4*INDEX('GDP Forecast'!B:B,MATCH(2042,'GDP Forecast'!A:A,0))/INDEX('GDP Forecast'!B:B,MATCH(2024,'GDP Forecast'!A:A,0))</f>
        <v>29489891611131.012</v>
      </c>
      <c r="V4">
        <f>$C$4*INDEX('GDP Forecast'!B:B,MATCH(2043,'GDP Forecast'!A:A,0))/INDEX('GDP Forecast'!B:B,MATCH(2024,'GDP Forecast'!A:A,0))</f>
        <v>29963991476265.754</v>
      </c>
      <c r="W4">
        <f>$C$4*INDEX('GDP Forecast'!B:B,MATCH(2044,'GDP Forecast'!A:A,0))/INDEX('GDP Forecast'!B:B,MATCH(2024,'GDP Forecast'!A:A,0))</f>
        <v>30442791340063.516</v>
      </c>
      <c r="X4">
        <f>$C$4*INDEX('GDP Forecast'!B:B,MATCH(2045,'GDP Forecast'!A:A,0))/INDEX('GDP Forecast'!B:B,MATCH(2024,'GDP Forecast'!A:A,0))</f>
        <v>30924991202894.09</v>
      </c>
      <c r="Y4">
        <f>$C$4*INDEX('GDP Forecast'!B:B,MATCH(2046,'GDP Forecast'!A:A,0))/INDEX('GDP Forecast'!B:B,MATCH(2024,'GDP Forecast'!A:A,0))</f>
        <v>31395191069138.258</v>
      </c>
      <c r="Z4">
        <f>$C$4*INDEX('GDP Forecast'!B:B,MATCH(2047,'GDP Forecast'!A:A,0))/INDEX('GDP Forecast'!B:B,MATCH(2024,'GDP Forecast'!A:A,0))</f>
        <v>31846290940815.719</v>
      </c>
      <c r="AA4">
        <f>$C$4*INDEX('GDP Forecast'!B:B,MATCH(2048,'GDP Forecast'!A:A,0))/INDEX('GDP Forecast'!B:B,MATCH(2024,'GDP Forecast'!A:A,0))</f>
        <v>32295490813033.664</v>
      </c>
      <c r="AB4">
        <f>$C$4*INDEX('GDP Forecast'!B:B,MATCH(2049,'GDP Forecast'!A:A,0))/INDEX('GDP Forecast'!B:B,MATCH(2024,'GDP Forecast'!A:A,0))</f>
        <v>32734290688210.055</v>
      </c>
      <c r="AC4">
        <f>$C$4*INDEX('GDP Forecast'!B:B,MATCH(2050,'GDP Forecast'!A:A,0))/INDEX('GDP Forecast'!B:B,MATCH(2024,'GDP Forecast'!A:A,0))</f>
        <v>33186790559489.27</v>
      </c>
    </row>
    <row r="5" spans="1:29" x14ac:dyDescent="0.25">
      <c r="A5" s="1" t="s">
        <v>1232</v>
      </c>
      <c r="D5">
        <f>(D4-SUMPRODUCT(--($A$9:$A$60="AEO"),C$9:C$60,(1+'Growth Rates'!D$61:D$112))-SUMPRODUCT(--($A$9:$A$60=""),C$9:C$60))/SUMPRODUCT(--($A$9:$A$60=""),C$9:C$60,'Growth Rates'!D$61:D$112)</f>
        <v>0.91504424855661282</v>
      </c>
      <c r="E5">
        <f>(E4-SUMPRODUCT(--($A$9:$A$60="AEO"),D$9:D$60,(1+'Growth Rates'!E$61:E$112))-SUMPRODUCT(--($A$9:$A$60=""),D$9:D$60))/SUMPRODUCT(--($A$9:$A$60=""),D$9:D$60,'Growth Rates'!E$61:E$112)</f>
        <v>1.4776330058599594</v>
      </c>
      <c r="F5">
        <f>(F4-SUMPRODUCT(--($A$9:$A$60="AEO"),E$9:E$60,(1+'Growth Rates'!F$61:F$112))-SUMPRODUCT(--($A$9:$A$60=""),E$9:E$60))/SUMPRODUCT(--($A$9:$A$60=""),E$9:E$60,'Growth Rates'!F$61:F$112)</f>
        <v>0.96263382012980248</v>
      </c>
      <c r="G5">
        <f>(G4-SUMPRODUCT(--($A$9:$A$60="AEO"),F$9:F$60,(1+'Growth Rates'!G$61:G$112))-SUMPRODUCT(--($A$9:$A$60=""),F$9:F$60))/SUMPRODUCT(--($A$9:$A$60=""),F$9:F$60,'Growth Rates'!G$61:G$112)</f>
        <v>0.65263987203053342</v>
      </c>
      <c r="H5">
        <f>(H4-SUMPRODUCT(--($A$9:$A$60="AEO"),G$9:G$60,(1+'Growth Rates'!H$61:H$112))-SUMPRODUCT(--($A$9:$A$60=""),G$9:G$60))/SUMPRODUCT(--($A$9:$A$60=""),G$9:G$60,'Growth Rates'!H$61:H$112)</f>
        <v>0.77492621154149177</v>
      </c>
      <c r="I5">
        <f>(I4-SUMPRODUCT(--($A$9:$A$60="AEO"),H$9:H$60,(1+'Growth Rates'!I$61:I$112))-SUMPRODUCT(--($A$9:$A$60=""),H$9:H$60))/SUMPRODUCT(--($A$9:$A$60=""),H$9:H$60,'Growth Rates'!I$61:I$112)</f>
        <v>0.87285151813505935</v>
      </c>
      <c r="J5">
        <f>(J4-SUMPRODUCT(--($A$9:$A$60="AEO"),I$9:I$60,(1+'Growth Rates'!J$61:J$112))-SUMPRODUCT(--($A$9:$A$60=""),I$9:I$60))/SUMPRODUCT(--($A$9:$A$60=""),I$9:I$60,'Growth Rates'!J$61:J$112)</f>
        <v>0.84244813753917058</v>
      </c>
      <c r="K5">
        <f>(K4-SUMPRODUCT(--($A$9:$A$60="AEO"),J$9:J$60,(1+'Growth Rates'!K$61:K$112))-SUMPRODUCT(--($A$9:$A$60=""),J$9:J$60))/SUMPRODUCT(--($A$9:$A$60=""),J$9:J$60,'Growth Rates'!K$61:K$112)</f>
        <v>0.94241266735364437</v>
      </c>
      <c r="L5">
        <f>(L4-SUMPRODUCT(--($A$9:$A$60="AEO"),K$9:K$60,(1+'Growth Rates'!L$61:L$112))-SUMPRODUCT(--($A$9:$A$60=""),K$9:K$60))/SUMPRODUCT(--($A$9:$A$60=""),K$9:K$60,'Growth Rates'!L$61:L$112)</f>
        <v>1.0027897304245807</v>
      </c>
      <c r="M5">
        <f>(M4-SUMPRODUCT(--($A$9:$A$60="AEO"),L$9:L$60,(1+'Growth Rates'!M$61:M$112))-SUMPRODUCT(--($A$9:$A$60=""),L$9:L$60))/SUMPRODUCT(--($A$9:$A$60=""),L$9:L$60,'Growth Rates'!M$61:M$112)</f>
        <v>1.0470311679191833</v>
      </c>
      <c r="N5">
        <f>(N4-SUMPRODUCT(--($A$9:$A$60="AEO"),M$9:M$60,(1+'Growth Rates'!N$61:N$112))-SUMPRODUCT(--($A$9:$A$60=""),M$9:M$60))/SUMPRODUCT(--($A$9:$A$60=""),M$9:M$60,'Growth Rates'!N$61:N$112)</f>
        <v>1.0863676075945503</v>
      </c>
      <c r="O5">
        <f>(O4-SUMPRODUCT(--($A$9:$A$60="AEO"),N$9:N$60,(1+'Growth Rates'!O$61:O$112))-SUMPRODUCT(--($A$9:$A$60=""),N$9:N$60))/SUMPRODUCT(--($A$9:$A$60=""),N$9:N$60,'Growth Rates'!O$61:O$112)</f>
        <v>0.88419756552690298</v>
      </c>
      <c r="P5">
        <f>(P4-SUMPRODUCT(--($A$9:$A$60="AEO"),O$9:O$60,(1+'Growth Rates'!P$61:P$112))-SUMPRODUCT(--($A$9:$A$60=""),O$9:O$60))/SUMPRODUCT(--($A$9:$A$60=""),O$9:O$60,'Growth Rates'!P$61:P$112)</f>
        <v>0.86165642063035719</v>
      </c>
      <c r="Q5">
        <f>(Q4-SUMPRODUCT(--($A$9:$A$60="AEO"),P$9:P$60,(1+'Growth Rates'!Q$61:Q$112))-SUMPRODUCT(--($A$9:$A$60=""),P$9:P$60))/SUMPRODUCT(--($A$9:$A$60=""),P$9:P$60,'Growth Rates'!Q$61:Q$112)</f>
        <v>0.84975507867312516</v>
      </c>
      <c r="R5">
        <f>(R4-SUMPRODUCT(--($A$9:$A$60="AEO"),Q$9:Q$60,(1+'Growth Rates'!R$61:R$112))-SUMPRODUCT(--($A$9:$A$60=""),Q$9:Q$60))/SUMPRODUCT(--($A$9:$A$60=""),Q$9:Q$60,'Growth Rates'!R$61:R$112)</f>
        <v>0.81900043582959337</v>
      </c>
      <c r="S5">
        <f>(S4-SUMPRODUCT(--($A$9:$A$60="AEO"),R$9:R$60,(1+'Growth Rates'!S$61:S$112))-SUMPRODUCT(--($A$9:$A$60=""),R$9:R$60))/SUMPRODUCT(--($A$9:$A$60=""),R$9:R$60,'Growth Rates'!S$61:S$112)</f>
        <v>0.80822043715055725</v>
      </c>
      <c r="T5">
        <f>(T4-SUMPRODUCT(--($A$9:$A$60="AEO"),S$9:S$60,(1+'Growth Rates'!T$61:T$112))-SUMPRODUCT(--($A$9:$A$60=""),S$9:S$60))/SUMPRODUCT(--($A$9:$A$60=""),S$9:S$60,'Growth Rates'!T$61:T$112)</f>
        <v>0.77082415673301485</v>
      </c>
      <c r="U5">
        <f>(U4-SUMPRODUCT(--($A$9:$A$60="AEO"),T$9:T$60,(1+'Growth Rates'!U$61:U$112))-SUMPRODUCT(--($A$9:$A$60=""),T$9:T$60))/SUMPRODUCT(--($A$9:$A$60=""),T$9:T$60,'Growth Rates'!U$61:U$112)</f>
        <v>0.7779667293475897</v>
      </c>
      <c r="V5">
        <f>(V4-SUMPRODUCT(--($A$9:$A$60="AEO"),U$9:U$60,(1+'Growth Rates'!V$61:V$112))-SUMPRODUCT(--($A$9:$A$60=""),U$9:U$60))/SUMPRODUCT(--($A$9:$A$60=""),U$9:U$60,'Growth Rates'!V$61:V$112)</f>
        <v>0.79526989744953169</v>
      </c>
      <c r="W5">
        <f>(W4-SUMPRODUCT(--($A$9:$A$60="AEO"),V$9:V$60,(1+'Growth Rates'!W$61:W$112))-SUMPRODUCT(--($A$9:$A$60=""),V$9:V$60))/SUMPRODUCT(--($A$9:$A$60=""),V$9:V$60,'Growth Rates'!W$61:W$112)</f>
        <v>0.78457167095854297</v>
      </c>
      <c r="X5">
        <f>(X4-SUMPRODUCT(--($A$9:$A$60="AEO"),W$9:W$60,(1+'Growth Rates'!X$61:X$112))-SUMPRODUCT(--($A$9:$A$60=""),W$9:W$60))/SUMPRODUCT(--($A$9:$A$60=""),W$9:W$60,'Growth Rates'!X$61:X$112)</f>
        <v>0.75993453275509837</v>
      </c>
      <c r="Y5">
        <f>(Y4-SUMPRODUCT(--($A$9:$A$60="AEO"),X$9:X$60,(1+'Growth Rates'!Y$61:Y$112))-SUMPRODUCT(--($A$9:$A$60=""),X$9:X$60))/SUMPRODUCT(--($A$9:$A$60=""),X$9:X$60,'Growth Rates'!Y$61:Y$112)</f>
        <v>0.72285882467272378</v>
      </c>
      <c r="Z5">
        <f>(Z4-SUMPRODUCT(--($A$9:$A$60="AEO"),Y$9:Y$60,(1+'Growth Rates'!Z$61:Z$112))-SUMPRODUCT(--($A$9:$A$60=""),Y$9:Y$60))/SUMPRODUCT(--($A$9:$A$60=""),Y$9:Y$60,'Growth Rates'!Z$61:Z$112)</f>
        <v>0.68050214933621855</v>
      </c>
      <c r="AA5">
        <f>(AA4-SUMPRODUCT(--($A$9:$A$60="AEO"),Z$9:Z$60,(1+'Growth Rates'!AA$61:AA$112))-SUMPRODUCT(--($A$9:$A$60=""),Z$9:Z$60))/SUMPRODUCT(--($A$9:$A$60=""),Z$9:Z$60,'Growth Rates'!AA$61:AA$112)</f>
        <v>0.67315990079257682</v>
      </c>
      <c r="AB5">
        <f>(AB4-SUMPRODUCT(--($A$9:$A$60="AEO"),AA$9:AA$60,(1+'Growth Rates'!AB$61:AB$112))-SUMPRODUCT(--($A$9:$A$60=""),AA$9:AA$60))/SUMPRODUCT(--($A$9:$A$60=""),AA$9:AA$60,'Growth Rates'!AB$61:AB$112)</f>
        <v>0.63998010176521547</v>
      </c>
      <c r="AC5">
        <f>(AC4-SUMPRODUCT(--($A$9:$A$60="AEO"),AB$9:AB$60,(1+'Growth Rates'!AC$61:AC$112))-SUMPRODUCT(--($A$9:$A$60=""),AB$9:AB$60))/SUMPRODUCT(--($A$9:$A$60=""),AB$9:AB$60,'Growth Rates'!AC$61:AC$112)</f>
        <v>0.65418844077482263</v>
      </c>
    </row>
    <row r="7" spans="1:29" x14ac:dyDescent="0.25">
      <c r="A7" s="1" t="s">
        <v>1233</v>
      </c>
    </row>
    <row r="8" spans="1:29" x14ac:dyDescent="0.25">
      <c r="A8" s="1" t="s">
        <v>1234</v>
      </c>
    </row>
    <row r="9" spans="1:29" x14ac:dyDescent="0.25">
      <c r="A9" t="s">
        <v>1235</v>
      </c>
      <c r="B9" t="s">
        <v>66</v>
      </c>
      <c r="C9">
        <f>'Data from BVAbIC'!B2</f>
        <v>179323977701.50699</v>
      </c>
      <c r="D9">
        <f>C9*(1+IF($A9="AEO",'Growth Rates'!D61,'Growth Rates'!D61*D$5))</f>
        <v>161526710884.68475</v>
      </c>
      <c r="E9">
        <f>D9*(1+IF($A9="AEO",'Growth Rates'!E61,'Growth Rates'!E61*E$5))</f>
        <v>161917955322.00314</v>
      </c>
      <c r="F9">
        <f>E9*(1+IF($A9="AEO",'Growth Rates'!F61,'Growth Rates'!F61*F$5))</f>
        <v>164197597697.02249</v>
      </c>
      <c r="G9">
        <f>F9*(1+IF($A9="AEO",'Growth Rates'!G61,'Growth Rates'!G61*G$5))</f>
        <v>167486775242.49725</v>
      </c>
      <c r="H9">
        <f>G9*(1+IF($A9="AEO",'Growth Rates'!H61,'Growth Rates'!H61*H$5))</f>
        <v>169698390357.81174</v>
      </c>
      <c r="I9">
        <f>H9*(1+IF($A9="AEO",'Growth Rates'!I61,'Growth Rates'!I61*I$5))</f>
        <v>171871401136.44348</v>
      </c>
      <c r="J9">
        <f>I9*(1+IF($A9="AEO",'Growth Rates'!J61,'Growth Rates'!J61*J$5))</f>
        <v>174007736846.7334</v>
      </c>
      <c r="K9">
        <f>J9*(1+IF($A9="AEO",'Growth Rates'!K61,'Growth Rates'!K61*K$5))</f>
        <v>176182138748.64706</v>
      </c>
      <c r="L9">
        <f>K9*(1+IF($A9="AEO",'Growth Rates'!L61,'Growth Rates'!L61*L$5))</f>
        <v>177369339664.8725</v>
      </c>
      <c r="M9">
        <f>L9*(1+IF($A9="AEO",'Growth Rates'!M61,'Growth Rates'!M61*M$5))</f>
        <v>179704761091.4281</v>
      </c>
      <c r="N9">
        <f>M9*(1+IF($A9="AEO",'Growth Rates'!N61,'Growth Rates'!N61*N$5))</f>
        <v>182283265669.6842</v>
      </c>
      <c r="O9">
        <f>N9*(1+IF($A9="AEO",'Growth Rates'!O61,'Growth Rates'!O61*O$5))</f>
        <v>184859230948.7439</v>
      </c>
      <c r="P9">
        <f>O9*(1+IF($A9="AEO",'Growth Rates'!P61,'Growth Rates'!P61*P$5))</f>
        <v>187359978058.8277</v>
      </c>
      <c r="Q9">
        <f>P9*(1+IF($A9="AEO",'Growth Rates'!Q61,'Growth Rates'!Q61*Q$5))</f>
        <v>190005799358.94009</v>
      </c>
      <c r="R9">
        <f>Q9*(1+IF($A9="AEO",'Growth Rates'!R61,'Growth Rates'!R61*R$5))</f>
        <v>192735471446.88242</v>
      </c>
      <c r="S9">
        <f>R9*(1+IF($A9="AEO",'Growth Rates'!S61,'Growth Rates'!S61*S$5))</f>
        <v>195047370576.2027</v>
      </c>
      <c r="T9">
        <f>S9*(1+IF($A9="AEO",'Growth Rates'!T61,'Growth Rates'!T61*T$5))</f>
        <v>197238713564.1315</v>
      </c>
      <c r="U9">
        <f>T9*(1+IF($A9="AEO",'Growth Rates'!U61,'Growth Rates'!U61*U$5))</f>
        <v>199681142656.28729</v>
      </c>
      <c r="V9">
        <f>U9*(1+IF($A9="AEO",'Growth Rates'!V61,'Growth Rates'!V61*V$5))</f>
        <v>201991051281.21777</v>
      </c>
      <c r="W9">
        <f>V9*(1+IF($A9="AEO",'Growth Rates'!W61,'Growth Rates'!W61*W$5))</f>
        <v>204506058070.55066</v>
      </c>
      <c r="X9">
        <f>W9*(1+IF($A9="AEO",'Growth Rates'!X61,'Growth Rates'!X61*X$5))</f>
        <v>207364411724.50845</v>
      </c>
      <c r="Y9">
        <f>X9*(1+IF($A9="AEO",'Growth Rates'!Y61,'Growth Rates'!Y61*Y$5))</f>
        <v>210367128365.03702</v>
      </c>
      <c r="Z9">
        <f>Y9*(1+IF($A9="AEO",'Growth Rates'!Z61,'Growth Rates'!Z61*Z$5))</f>
        <v>213396678043.09003</v>
      </c>
      <c r="AA9">
        <f>Z9*(1+IF($A9="AEO",'Growth Rates'!AA61,'Growth Rates'!AA61*AA$5))</f>
        <v>216469433081.59924</v>
      </c>
      <c r="AB9">
        <f>AA9*(1+IF($A9="AEO",'Growth Rates'!AB61,'Growth Rates'!AB61*AB$5))</f>
        <v>219520676961.1489</v>
      </c>
      <c r="AC9">
        <f>AB9*(1+IF($A9="AEO",'Growth Rates'!AC61,'Growth Rates'!AC61*AC$5))</f>
        <v>222597738491.34903</v>
      </c>
    </row>
    <row r="10" spans="1:29" x14ac:dyDescent="0.25">
      <c r="B10" t="s">
        <v>73</v>
      </c>
      <c r="C10">
        <f>'Data from BVAbIC'!C2</f>
        <v>11250222748.967661</v>
      </c>
      <c r="D10">
        <f>C10*(1+IF($A10="AEO",'Growth Rates'!D62,'Growth Rates'!D62*D$5))</f>
        <v>11414933974.910439</v>
      </c>
      <c r="E10">
        <f>D10*(1+IF($A10="AEO",'Growth Rates'!E62,'Growth Rates'!E62*E$5))</f>
        <v>11684807306.127077</v>
      </c>
      <c r="F10">
        <f>E10*(1+IF($A10="AEO",'Growth Rates'!F62,'Growth Rates'!F62*F$5))</f>
        <v>11864778357.24032</v>
      </c>
      <c r="G10">
        <f>F10*(1+IF($A10="AEO",'Growth Rates'!G62,'Growth Rates'!G62*G$5))</f>
        <v>11988673196.100159</v>
      </c>
      <c r="H10">
        <f>G10*(1+IF($A10="AEO",'Growth Rates'!H62,'Growth Rates'!H62*H$5))</f>
        <v>12137318589.720366</v>
      </c>
      <c r="I10">
        <f>H10*(1+IF($A10="AEO",'Growth Rates'!I62,'Growth Rates'!I62*I$5))</f>
        <v>12306823821.034386</v>
      </c>
      <c r="J10">
        <f>I10*(1+IF($A10="AEO",'Growth Rates'!J62,'Growth Rates'!J62*J$5))</f>
        <v>12472709593.947235</v>
      </c>
      <c r="K10">
        <f>J10*(1+IF($A10="AEO",'Growth Rates'!K62,'Growth Rates'!K62*K$5))</f>
        <v>12660780626.228184</v>
      </c>
      <c r="L10">
        <f>K10*(1+IF($A10="AEO",'Growth Rates'!L62,'Growth Rates'!L62*L$5))</f>
        <v>12863918238.886427</v>
      </c>
      <c r="M10">
        <f>L10*(1+IF($A10="AEO",'Growth Rates'!M62,'Growth Rates'!M62*M$5))</f>
        <v>13079421012.289276</v>
      </c>
      <c r="N10">
        <f>M10*(1+IF($A10="AEO",'Growth Rates'!N62,'Growth Rates'!N62*N$5))</f>
        <v>13306765961.310757</v>
      </c>
      <c r="O10">
        <f>N10*(1+IF($A10="AEO",'Growth Rates'!O62,'Growth Rates'!O62*O$5))</f>
        <v>13495018922.399193</v>
      </c>
      <c r="P10">
        <f>O10*(1+IF($A10="AEO",'Growth Rates'!P62,'Growth Rates'!P62*P$5))</f>
        <v>13681068037.615406</v>
      </c>
      <c r="Q10">
        <f>P10*(1+IF($A10="AEO",'Growth Rates'!Q62,'Growth Rates'!Q62*Q$5))</f>
        <v>13867076950.361588</v>
      </c>
      <c r="R10">
        <f>Q10*(1+IF($A10="AEO",'Growth Rates'!R62,'Growth Rates'!R62*R$5))</f>
        <v>14048791223.418047</v>
      </c>
      <c r="S10">
        <f>R10*(1+IF($A10="AEO",'Growth Rates'!S62,'Growth Rates'!S62*S$5))</f>
        <v>14230463546.362494</v>
      </c>
      <c r="T10">
        <f>S10*(1+IF($A10="AEO",'Growth Rates'!T62,'Growth Rates'!T62*T$5))</f>
        <v>14405970507.37121</v>
      </c>
      <c r="U10">
        <f>T10*(1+IF($A10="AEO",'Growth Rates'!U62,'Growth Rates'!U62*U$5))</f>
        <v>14585288359.510368</v>
      </c>
      <c r="V10">
        <f>U10*(1+IF($A10="AEO",'Growth Rates'!V62,'Growth Rates'!V62*V$5))</f>
        <v>14770876211.957403</v>
      </c>
      <c r="W10">
        <f>V10*(1+IF($A10="AEO",'Growth Rates'!W62,'Growth Rates'!W62*W$5))</f>
        <v>14956297188.455597</v>
      </c>
      <c r="X10">
        <f>W10*(1+IF($A10="AEO",'Growth Rates'!X62,'Growth Rates'!X62*X$5))</f>
        <v>15138150095.906082</v>
      </c>
      <c r="Y10">
        <f>X10*(1+IF($A10="AEO",'Growth Rates'!Y62,'Growth Rates'!Y62*Y$5))</f>
        <v>15313234022.082817</v>
      </c>
      <c r="Z10">
        <f>Y10*(1+IF($A10="AEO",'Growth Rates'!Z62,'Growth Rates'!Z62*Z$5))</f>
        <v>15479965040.727873</v>
      </c>
      <c r="AA10">
        <f>Z10*(1+IF($A10="AEO",'Growth Rates'!AA62,'Growth Rates'!AA62*AA$5))</f>
        <v>15646692908.425295</v>
      </c>
      <c r="AB10">
        <f>AA10*(1+IF($A10="AEO",'Growth Rates'!AB62,'Growth Rates'!AB62*AB$5))</f>
        <v>15806910062.342466</v>
      </c>
      <c r="AC10">
        <f>AB10*(1+IF($A10="AEO",'Growth Rates'!AC62,'Growth Rates'!AC62*AC$5))</f>
        <v>15972361227.896893</v>
      </c>
    </row>
    <row r="11" spans="1:29" x14ac:dyDescent="0.25">
      <c r="B11" t="s">
        <v>78</v>
      </c>
      <c r="C11">
        <f>'Data from BVAbIC'!D2</f>
        <v>6812799549.5253925</v>
      </c>
      <c r="D11">
        <f>C11*(1+IF($A11="AEO",'Growth Rates'!D63,'Growth Rates'!D63*D$5))</f>
        <v>6906309745.1908264</v>
      </c>
      <c r="E11">
        <f>D11*(1+IF($A11="AEO",'Growth Rates'!E63,'Growth Rates'!E63*E$5))</f>
        <v>7059384613.6136208</v>
      </c>
      <c r="F11">
        <f>E11*(1+IF($A11="AEO",'Growth Rates'!F63,'Growth Rates'!F63*F$5))</f>
        <v>7161318649.2891464</v>
      </c>
      <c r="G11">
        <f>F11*(1+IF($A11="AEO",'Growth Rates'!G63,'Growth Rates'!G63*G$5))</f>
        <v>7231425080.5917759</v>
      </c>
      <c r="H11">
        <f>G11*(1+IF($A11="AEO",'Growth Rates'!H63,'Growth Rates'!H63*H$5))</f>
        <v>7315482393.2180119</v>
      </c>
      <c r="I11">
        <f>H11*(1+IF($A11="AEO",'Growth Rates'!I63,'Growth Rates'!I63*I$5))</f>
        <v>7411262341.9101706</v>
      </c>
      <c r="J11">
        <f>I11*(1+IF($A11="AEO",'Growth Rates'!J63,'Growth Rates'!J63*J$5))</f>
        <v>7504916404.2615175</v>
      </c>
      <c r="K11">
        <f>J11*(1+IF($A11="AEO",'Growth Rates'!K63,'Growth Rates'!K63*K$5))</f>
        <v>7611007328.563611</v>
      </c>
      <c r="L11">
        <f>K11*(1+IF($A11="AEO",'Growth Rates'!L63,'Growth Rates'!L63*L$5))</f>
        <v>7725490928.3726587</v>
      </c>
      <c r="M11">
        <f>L11*(1+IF($A11="AEO",'Growth Rates'!M63,'Growth Rates'!M63*M$5))</f>
        <v>7846823375.2149048</v>
      </c>
      <c r="N11">
        <f>M11*(1+IF($A11="AEO",'Growth Rates'!N63,'Growth Rates'!N63*N$5))</f>
        <v>7974691396.2751427</v>
      </c>
      <c r="O11">
        <f>N11*(1+IF($A11="AEO",'Growth Rates'!O63,'Growth Rates'!O63*O$5))</f>
        <v>8080459437.0513649</v>
      </c>
      <c r="P11">
        <f>O11*(1+IF($A11="AEO",'Growth Rates'!P63,'Growth Rates'!P63*P$5))</f>
        <v>8184898133.3850422</v>
      </c>
      <c r="Q11">
        <f>P11*(1+IF($A11="AEO",'Growth Rates'!Q63,'Growth Rates'!Q63*Q$5))</f>
        <v>8289225514.7440338</v>
      </c>
      <c r="R11">
        <f>Q11*(1+IF($A11="AEO",'Growth Rates'!R63,'Growth Rates'!R63*R$5))</f>
        <v>8391058704.3830099</v>
      </c>
      <c r="S11">
        <f>R11*(1+IF($A11="AEO",'Growth Rates'!S63,'Growth Rates'!S63*S$5))</f>
        <v>8492786081.3961964</v>
      </c>
      <c r="T11">
        <f>S11*(1+IF($A11="AEO",'Growth Rates'!T63,'Growth Rates'!T63*T$5))</f>
        <v>8590982751.4387894</v>
      </c>
      <c r="U11">
        <f>T11*(1+IF($A11="AEO",'Growth Rates'!U63,'Growth Rates'!U63*U$5))</f>
        <v>8691235232.734066</v>
      </c>
      <c r="V11">
        <f>U11*(1+IF($A11="AEO",'Growth Rates'!V63,'Growth Rates'!V63*V$5))</f>
        <v>8794913399.0177574</v>
      </c>
      <c r="W11">
        <f>V11*(1+IF($A11="AEO",'Growth Rates'!W63,'Growth Rates'!W63*W$5))</f>
        <v>8898416997.5388031</v>
      </c>
      <c r="X11">
        <f>W11*(1+IF($A11="AEO",'Growth Rates'!X63,'Growth Rates'!X63*X$5))</f>
        <v>8999850212.9880714</v>
      </c>
      <c r="Y11">
        <f>X11*(1+IF($A11="AEO",'Growth Rates'!Y63,'Growth Rates'!Y63*Y$5))</f>
        <v>9097434530.1959381</v>
      </c>
      <c r="Z11">
        <f>Y11*(1+IF($A11="AEO",'Growth Rates'!Z63,'Growth Rates'!Z63*Z$5))</f>
        <v>9190296886.4645958</v>
      </c>
      <c r="AA11">
        <f>Z11*(1+IF($A11="AEO",'Growth Rates'!AA63,'Growth Rates'!AA63*AA$5))</f>
        <v>9283094976.5697975</v>
      </c>
      <c r="AB11">
        <f>AA11*(1+IF($A11="AEO",'Growth Rates'!AB63,'Growth Rates'!AB63*AB$5))</f>
        <v>9372209917.5868168</v>
      </c>
      <c r="AC11">
        <f>AB11*(1+IF($A11="AEO",'Growth Rates'!AC63,'Growth Rates'!AC63*AC$5))</f>
        <v>9464177788.4758244</v>
      </c>
    </row>
    <row r="12" spans="1:29" x14ac:dyDescent="0.25">
      <c r="A12" t="s">
        <v>1235</v>
      </c>
      <c r="B12" t="s">
        <v>90</v>
      </c>
      <c r="C12">
        <f>'Data from BVAbIC'!E2</f>
        <v>19459700000</v>
      </c>
      <c r="D12">
        <f>C12*(1+IF($A12="AEO",'Growth Rates'!D64,'Growth Rates'!D64*D$5))</f>
        <v>20845437289.948376</v>
      </c>
      <c r="E12">
        <f>D12*(1+IF($A12="AEO",'Growth Rates'!E64,'Growth Rates'!E64*E$5))</f>
        <v>22752494800.400631</v>
      </c>
      <c r="F12">
        <f>E12*(1+IF($A12="AEO",'Growth Rates'!F64,'Growth Rates'!F64*F$5))</f>
        <v>22590965949.45612</v>
      </c>
      <c r="G12">
        <f>F12*(1+IF($A12="AEO",'Growth Rates'!G64,'Growth Rates'!G64*G$5))</f>
        <v>22716455845.291901</v>
      </c>
      <c r="H12">
        <f>G12*(1+IF($A12="AEO",'Growth Rates'!H64,'Growth Rates'!H64*H$5))</f>
        <v>22851645344.838139</v>
      </c>
      <c r="I12">
        <f>H12*(1+IF($A12="AEO",'Growth Rates'!I64,'Growth Rates'!I64*I$5))</f>
        <v>23344629017.41914</v>
      </c>
      <c r="J12">
        <f>I12*(1+IF($A12="AEO",'Growth Rates'!J64,'Growth Rates'!J64*J$5))</f>
        <v>23720695139.868328</v>
      </c>
      <c r="K12">
        <f>J12*(1+IF($A12="AEO",'Growth Rates'!K64,'Growth Rates'!K64*K$5))</f>
        <v>24072689204.64819</v>
      </c>
      <c r="L12">
        <f>K12*(1+IF($A12="AEO",'Growth Rates'!L64,'Growth Rates'!L64*L$5))</f>
        <v>24334310910.47773</v>
      </c>
      <c r="M12">
        <f>L12*(1+IF($A12="AEO",'Growth Rates'!M64,'Growth Rates'!M64*M$5))</f>
        <v>24658838365.852821</v>
      </c>
      <c r="N12">
        <f>M12*(1+IF($A12="AEO",'Growth Rates'!N64,'Growth Rates'!N64*N$5))</f>
        <v>24748488717.986397</v>
      </c>
      <c r="O12">
        <f>N12*(1+IF($A12="AEO",'Growth Rates'!O64,'Growth Rates'!O64*O$5))</f>
        <v>24856454411.077076</v>
      </c>
      <c r="P12">
        <f>O12*(1+IF($A12="AEO",'Growth Rates'!P64,'Growth Rates'!P64*P$5))</f>
        <v>24994060769.493607</v>
      </c>
      <c r="Q12">
        <f>P12*(1+IF($A12="AEO",'Growth Rates'!Q64,'Growth Rates'!Q64*Q$5))</f>
        <v>25120816186.126404</v>
      </c>
      <c r="R12">
        <f>Q12*(1+IF($A12="AEO",'Growth Rates'!R64,'Growth Rates'!R64*R$5))</f>
        <v>25283863029.727985</v>
      </c>
      <c r="S12">
        <f>R12*(1+IF($A12="AEO",'Growth Rates'!S64,'Growth Rates'!S64*S$5))</f>
        <v>25582395236.278545</v>
      </c>
      <c r="T12">
        <f>S12*(1+IF($A12="AEO",'Growth Rates'!T64,'Growth Rates'!T64*T$5))</f>
        <v>25944096887.548111</v>
      </c>
      <c r="U12">
        <f>T12*(1+IF($A12="AEO",'Growth Rates'!U64,'Growth Rates'!U64*U$5))</f>
        <v>26148264028.230747</v>
      </c>
      <c r="V12">
        <f>U12*(1+IF($A12="AEO",'Growth Rates'!V64,'Growth Rates'!V64*V$5))</f>
        <v>26373271096.742008</v>
      </c>
      <c r="W12">
        <f>V12*(1+IF($A12="AEO",'Growth Rates'!W64,'Growth Rates'!W64*W$5))</f>
        <v>26507119515.71928</v>
      </c>
      <c r="X12">
        <f>W12*(1+IF($A12="AEO",'Growth Rates'!X64,'Growth Rates'!X64*X$5))</f>
        <v>26603378818.701481</v>
      </c>
      <c r="Y12">
        <f>X12*(1+IF($A12="AEO",'Growth Rates'!Y64,'Growth Rates'!Y64*Y$5))</f>
        <v>26702662830.992794</v>
      </c>
      <c r="Z12">
        <f>Y12*(1+IF($A12="AEO",'Growth Rates'!Z64,'Growth Rates'!Z64*Z$5))</f>
        <v>26850021827.227505</v>
      </c>
      <c r="AA12">
        <f>Z12*(1+IF($A12="AEO",'Growth Rates'!AA64,'Growth Rates'!AA64*AA$5))</f>
        <v>26908214470.132885</v>
      </c>
      <c r="AB12">
        <f>AA12*(1+IF($A12="AEO",'Growth Rates'!AB64,'Growth Rates'!AB64*AB$5))</f>
        <v>26908645408.483604</v>
      </c>
      <c r="AC12">
        <f>AB12*(1+IF($A12="AEO",'Growth Rates'!AC64,'Growth Rates'!AC64*AC$5))</f>
        <v>26859200389.930313</v>
      </c>
    </row>
    <row r="13" spans="1:29" x14ac:dyDescent="0.25">
      <c r="A13" t="s">
        <v>1235</v>
      </c>
      <c r="B13" t="s">
        <v>85</v>
      </c>
      <c r="C13">
        <f>'Data from BVAbIC'!F2</f>
        <v>184888000000</v>
      </c>
      <c r="D13">
        <f>C13*(1+IF($A13="AEO",'Growth Rates'!D65,'Growth Rates'!D65*D$5))</f>
        <v>198053988995.92365</v>
      </c>
      <c r="E13">
        <f>D13*(1+IF($A13="AEO",'Growth Rates'!E65,'Growth Rates'!E65*E$5))</f>
        <v>216173078652.62424</v>
      </c>
      <c r="F13">
        <f>E13*(1+IF($A13="AEO",'Growth Rates'!F65,'Growth Rates'!F65*F$5))</f>
        <v>214638381499.35727</v>
      </c>
      <c r="G13">
        <f>F13*(1+IF($A13="AEO",'Growth Rates'!G65,'Growth Rates'!G65*G$5))</f>
        <v>215830669965.3298</v>
      </c>
      <c r="H13">
        <f>G13*(1+IF($A13="AEO",'Growth Rates'!H65,'Growth Rates'!H65*H$5))</f>
        <v>217115115059.14444</v>
      </c>
      <c r="I13">
        <f>H13*(1+IF($A13="AEO",'Growth Rates'!I65,'Growth Rates'!I65*I$5))</f>
        <v>221798988153.59894</v>
      </c>
      <c r="J13">
        <f>I13*(1+IF($A13="AEO",'Growth Rates'!J65,'Growth Rates'!J65*J$5))</f>
        <v>225372019251.06628</v>
      </c>
      <c r="K13">
        <f>J13*(1+IF($A13="AEO",'Growth Rates'!K65,'Growth Rates'!K65*K$5))</f>
        <v>228716340008.78705</v>
      </c>
      <c r="L13">
        <f>K13*(1+IF($A13="AEO",'Growth Rates'!L65,'Growth Rates'!L65*L$5))</f>
        <v>231202026527.45956</v>
      </c>
      <c r="M13">
        <f>L13*(1+IF($A13="AEO",'Growth Rates'!M65,'Growth Rates'!M65*M$5))</f>
        <v>234285385066.87128</v>
      </c>
      <c r="N13">
        <f>M13*(1+IF($A13="AEO",'Growth Rates'!N65,'Growth Rates'!N65*N$5))</f>
        <v>235137159467.56976</v>
      </c>
      <c r="O13">
        <f>N13*(1+IF($A13="AEO",'Growth Rates'!O65,'Growth Rates'!O65*O$5))</f>
        <v>236162949231.24286</v>
      </c>
      <c r="P13">
        <f>O13*(1+IF($A13="AEO",'Growth Rates'!P65,'Growth Rates'!P65*P$5))</f>
        <v>237470357073.85687</v>
      </c>
      <c r="Q13">
        <f>P13*(1+IF($A13="AEO",'Growth Rates'!Q65,'Growth Rates'!Q65*Q$5))</f>
        <v>238674669343.3371</v>
      </c>
      <c r="R13">
        <f>Q13*(1+IF($A13="AEO",'Growth Rates'!R65,'Growth Rates'!R65*R$5))</f>
        <v>240223789053.29199</v>
      </c>
      <c r="S13">
        <f>R13*(1+IF($A13="AEO",'Growth Rates'!S65,'Growth Rates'!S65*S$5))</f>
        <v>243060164876.38895</v>
      </c>
      <c r="T13">
        <f>S13*(1+IF($A13="AEO",'Growth Rates'!T65,'Growth Rates'!T65*T$5))</f>
        <v>246496718106.90778</v>
      </c>
      <c r="U13">
        <f>T13*(1+IF($A13="AEO",'Growth Rates'!U65,'Growth Rates'!U65*U$5))</f>
        <v>248436524697.27307</v>
      </c>
      <c r="V13">
        <f>U13*(1+IF($A13="AEO",'Growth Rates'!V65,'Growth Rates'!V65*V$5))</f>
        <v>250574332930.8486</v>
      </c>
      <c r="W13">
        <f>V13*(1+IF($A13="AEO",'Growth Rates'!W65,'Growth Rates'!W65*W$5))</f>
        <v>251846036322.36389</v>
      </c>
      <c r="X13">
        <f>W13*(1+IF($A13="AEO",'Growth Rates'!X65,'Growth Rates'!X65*X$5))</f>
        <v>252760602837.25226</v>
      </c>
      <c r="Y13">
        <f>X13*(1+IF($A13="AEO",'Growth Rates'!Y65,'Growth Rates'!Y65*Y$5))</f>
        <v>253703907331.38712</v>
      </c>
      <c r="Z13">
        <f>Y13*(1+IF($A13="AEO",'Growth Rates'!Z65,'Growth Rates'!Z65*Z$5))</f>
        <v>255103975682.68973</v>
      </c>
      <c r="AA13">
        <f>Z13*(1+IF($A13="AEO",'Growth Rates'!AA65,'Growth Rates'!AA65*AA$5))</f>
        <v>255656868140.5123</v>
      </c>
      <c r="AB13">
        <f>AA13*(1+IF($A13="AEO",'Growth Rates'!AB65,'Growth Rates'!AB65*AB$5))</f>
        <v>255660962516.57089</v>
      </c>
      <c r="AC13">
        <f>AB13*(1+IF($A13="AEO",'Growth Rates'!AC65,'Growth Rates'!AC65*AC$5))</f>
        <v>255191181862.69232</v>
      </c>
    </row>
    <row r="14" spans="1:29" x14ac:dyDescent="0.25">
      <c r="B14" t="s">
        <v>93</v>
      </c>
      <c r="C14">
        <f>'Data from BVAbIC'!G2</f>
        <v>16619382098.668261</v>
      </c>
      <c r="D14">
        <f>C14*(1+IF($A14="AEO",'Growth Rates'!D66,'Growth Rates'!D66*D$5))</f>
        <v>17014776318.77099</v>
      </c>
      <c r="E14">
        <f>D14*(1+IF($A14="AEO",'Growth Rates'!E66,'Growth Rates'!E66*E$5))</f>
        <v>17668457790.745441</v>
      </c>
      <c r="F14">
        <f>E14*(1+IF($A14="AEO",'Growth Rates'!F66,'Growth Rates'!F66*F$5))</f>
        <v>18110672421.237034</v>
      </c>
      <c r="G14">
        <f>F14*(1+IF($A14="AEO",'Growth Rates'!G66,'Growth Rates'!G66*G$5))</f>
        <v>18417985841.452995</v>
      </c>
      <c r="H14">
        <f>G14*(1+IF($A14="AEO",'Growth Rates'!H66,'Growth Rates'!H66*H$5))</f>
        <v>18789072921.253887</v>
      </c>
      <c r="I14">
        <f>H14*(1+IF($A14="AEO",'Growth Rates'!I66,'Growth Rates'!I66*I$5))</f>
        <v>19215474762.66922</v>
      </c>
      <c r="J14">
        <f>I14*(1+IF($A14="AEO",'Growth Rates'!J66,'Growth Rates'!J66*J$5))</f>
        <v>19636363826.738503</v>
      </c>
      <c r="K14">
        <f>J14*(1+IF($A14="AEO",'Growth Rates'!K66,'Growth Rates'!K66*K$5))</f>
        <v>20117508335.026669</v>
      </c>
      <c r="L14">
        <f>K14*(1+IF($A14="AEO",'Growth Rates'!L66,'Growth Rates'!L66*L$5))</f>
        <v>20642022734.789158</v>
      </c>
      <c r="M14">
        <f>L14*(1+IF($A14="AEO",'Growth Rates'!M66,'Growth Rates'!M66*M$5))</f>
        <v>21203956605.266891</v>
      </c>
      <c r="N14">
        <f>M14*(1+IF($A14="AEO",'Growth Rates'!N66,'Growth Rates'!N66*N$5))</f>
        <v>21802874187.095757</v>
      </c>
      <c r="O14">
        <f>N14*(1+IF($A14="AEO",'Growth Rates'!O66,'Growth Rates'!O66*O$5))</f>
        <v>22304103442.31646</v>
      </c>
      <c r="P14">
        <f>O14*(1+IF($A14="AEO",'Growth Rates'!P66,'Growth Rates'!P66*P$5))</f>
        <v>22803783764.690826</v>
      </c>
      <c r="Q14">
        <f>P14*(1+IF($A14="AEO",'Growth Rates'!Q66,'Growth Rates'!Q66*Q$5))</f>
        <v>23307602172.433079</v>
      </c>
      <c r="R14">
        <f>Q14*(1+IF($A14="AEO",'Growth Rates'!R66,'Growth Rates'!R66*R$5))</f>
        <v>23803914517.204578</v>
      </c>
      <c r="S14">
        <f>R14*(1+IF($A14="AEO",'Growth Rates'!S66,'Growth Rates'!S66*S$5))</f>
        <v>24304123582.326305</v>
      </c>
      <c r="T14">
        <f>S14*(1+IF($A14="AEO",'Growth Rates'!T66,'Growth Rates'!T66*T$5))</f>
        <v>24791212927.028831</v>
      </c>
      <c r="U14">
        <f>T14*(1+IF($A14="AEO",'Growth Rates'!U66,'Growth Rates'!U66*U$5))</f>
        <v>25292668136.801243</v>
      </c>
      <c r="V14">
        <f>U14*(1+IF($A14="AEO",'Growth Rates'!V66,'Growth Rates'!V66*V$5))</f>
        <v>25815645074.281097</v>
      </c>
      <c r="W14">
        <f>V14*(1+IF($A14="AEO",'Growth Rates'!W66,'Growth Rates'!W66*W$5))</f>
        <v>26342254892.893936</v>
      </c>
      <c r="X14">
        <f>W14*(1+IF($A14="AEO",'Growth Rates'!X66,'Growth Rates'!X66*X$5))</f>
        <v>26862733011.151363</v>
      </c>
      <c r="Y14">
        <f>X14*(1+IF($A14="AEO",'Growth Rates'!Y66,'Growth Rates'!Y66*Y$5))</f>
        <v>27367600065.061749</v>
      </c>
      <c r="Z14">
        <f>Y14*(1+IF($A14="AEO",'Growth Rates'!Z66,'Growth Rates'!Z66*Z$5))</f>
        <v>27851816542.389412</v>
      </c>
      <c r="AA14">
        <f>Z14*(1+IF($A14="AEO",'Growth Rates'!AA66,'Growth Rates'!AA66*AA$5))</f>
        <v>28339283419.964176</v>
      </c>
      <c r="AB14">
        <f>AA14*(1+IF($A14="AEO",'Growth Rates'!AB66,'Growth Rates'!AB66*AB$5))</f>
        <v>28810834434.627785</v>
      </c>
      <c r="AC14">
        <f>AB14*(1+IF($A14="AEO",'Growth Rates'!AC66,'Growth Rates'!AC66*AC$5))</f>
        <v>29300875020.889263</v>
      </c>
    </row>
    <row r="15" spans="1:29" x14ac:dyDescent="0.25">
      <c r="A15" t="s">
        <v>1235</v>
      </c>
      <c r="B15" t="s">
        <v>96</v>
      </c>
      <c r="C15">
        <f>'Data from BVAbIC'!H2</f>
        <v>23059017901.331741</v>
      </c>
      <c r="D15">
        <f>C15*(1+IF($A15="AEO",'Growth Rates'!D67,'Growth Rates'!D67*D$5))</f>
        <v>24701064848.37936</v>
      </c>
      <c r="E15">
        <f>D15*(1+IF($A15="AEO",'Growth Rates'!E67,'Growth Rates'!E67*E$5))</f>
        <v>26960856791.337765</v>
      </c>
      <c r="F15">
        <f>E15*(1+IF($A15="AEO",'Growth Rates'!F67,'Growth Rates'!F67*F$5))</f>
        <v>26769451134.235596</v>
      </c>
      <c r="G15">
        <f>F15*(1+IF($A15="AEO",'Growth Rates'!G67,'Growth Rates'!G67*G$5))</f>
        <v>26918151975.179367</v>
      </c>
      <c r="H15">
        <f>G15*(1+IF($A15="AEO",'Growth Rates'!H67,'Growth Rates'!H67*H$5))</f>
        <v>27078346484.350052</v>
      </c>
      <c r="I15">
        <f>H15*(1+IF($A15="AEO",'Growth Rates'!I67,'Growth Rates'!I67*I$5))</f>
        <v>27662513729.020298</v>
      </c>
      <c r="J15">
        <f>I15*(1+IF($A15="AEO",'Growth Rates'!J67,'Growth Rates'!J67*J$5))</f>
        <v>28108138042.326271</v>
      </c>
      <c r="K15">
        <f>J15*(1+IF($A15="AEO",'Growth Rates'!K67,'Growth Rates'!K67*K$5))</f>
        <v>28525237866.111904</v>
      </c>
      <c r="L15">
        <f>K15*(1+IF($A15="AEO",'Growth Rates'!L67,'Growth Rates'!L67*L$5))</f>
        <v>28835249818.922085</v>
      </c>
      <c r="M15">
        <f>L15*(1+IF($A15="AEO",'Growth Rates'!M67,'Growth Rates'!M67*M$5))</f>
        <v>29219802736.128819</v>
      </c>
      <c r="N15">
        <f>M15*(1+IF($A15="AEO",'Growth Rates'!N67,'Growth Rates'!N67*N$5))</f>
        <v>29326035055.98518</v>
      </c>
      <c r="O15">
        <f>N15*(1+IF($A15="AEO",'Growth Rates'!O67,'Growth Rates'!O67*O$5))</f>
        <v>29453970371.005848</v>
      </c>
      <c r="P15">
        <f>O15*(1+IF($A15="AEO",'Growth Rates'!P67,'Growth Rates'!P67*P$5))</f>
        <v>29617028767.695618</v>
      </c>
      <c r="Q15">
        <f>P15*(1+IF($A15="AEO",'Growth Rates'!Q67,'Growth Rates'!Q67*Q$5))</f>
        <v>29767229203.531033</v>
      </c>
      <c r="R15">
        <f>Q15*(1+IF($A15="AEO",'Growth Rates'!R67,'Growth Rates'!R67*R$5))</f>
        <v>29960433625.252052</v>
      </c>
      <c r="S15">
        <f>R15*(1+IF($A15="AEO",'Growth Rates'!S67,'Growth Rates'!S67*S$5))</f>
        <v>30314183143.228867</v>
      </c>
      <c r="T15">
        <f>S15*(1+IF($A15="AEO",'Growth Rates'!T67,'Growth Rates'!T67*T$5))</f>
        <v>30742786094.536758</v>
      </c>
      <c r="U15">
        <f>T15*(1+IF($A15="AEO",'Growth Rates'!U67,'Growth Rates'!U67*U$5))</f>
        <v>30984716532.922997</v>
      </c>
      <c r="V15">
        <f>U15*(1+IF($A15="AEO",'Growth Rates'!V67,'Growth Rates'!V67*V$5))</f>
        <v>31251341507.651657</v>
      </c>
      <c r="W15">
        <f>V15*(1+IF($A15="AEO",'Growth Rates'!W67,'Growth Rates'!W67*W$5))</f>
        <v>31409946886.422237</v>
      </c>
      <c r="X15">
        <f>W15*(1+IF($A15="AEO",'Growth Rates'!X67,'Growth Rates'!X67*X$5))</f>
        <v>31524010566.265003</v>
      </c>
      <c r="Y15">
        <f>X15*(1+IF($A15="AEO",'Growth Rates'!Y67,'Growth Rates'!Y67*Y$5))</f>
        <v>31641658413.700546</v>
      </c>
      <c r="Z15">
        <f>Y15*(1+IF($A15="AEO",'Growth Rates'!Z67,'Growth Rates'!Z67*Z$5))</f>
        <v>31816273322.054657</v>
      </c>
      <c r="AA15">
        <f>Z15*(1+IF($A15="AEO",'Growth Rates'!AA67,'Growth Rates'!AA67*AA$5))</f>
        <v>31885229431.06358</v>
      </c>
      <c r="AB15">
        <f>AA15*(1+IF($A15="AEO",'Growth Rates'!AB67,'Growth Rates'!AB67*AB$5))</f>
        <v>31885740076.91853</v>
      </c>
      <c r="AC15">
        <f>AB15*(1+IF($A15="AEO",'Growth Rates'!AC67,'Growth Rates'!AC67*AC$5))</f>
        <v>31827149576.142464</v>
      </c>
    </row>
    <row r="16" spans="1:29" x14ac:dyDescent="0.25">
      <c r="B16" t="s">
        <v>99</v>
      </c>
      <c r="C16">
        <f>'Data from BVAbIC'!I2</f>
        <v>51848900000</v>
      </c>
      <c r="D16">
        <f>C16*(1+IF($A16="AEO",'Growth Rates'!D68,'Growth Rates'!D68*D$5))</f>
        <v>51611679811.305061</v>
      </c>
      <c r="E16">
        <f>D16*(1+IF($A16="AEO",'Growth Rates'!E68,'Growth Rates'!E68*E$5))</f>
        <v>51230364203.419754</v>
      </c>
      <c r="F16">
        <f>E16*(1+IF($A16="AEO",'Growth Rates'!F68,'Growth Rates'!F68*F$5))</f>
        <v>50983783797.42086</v>
      </c>
      <c r="G16">
        <f>F16*(1+IF($A16="AEO",'Growth Rates'!G68,'Growth Rates'!G68*G$5))</f>
        <v>50817413546.754959</v>
      </c>
      <c r="H16">
        <f>G16*(1+IF($A16="AEO",'Growth Rates'!H68,'Growth Rates'!H68*H$5))</f>
        <v>50620514817.954338</v>
      </c>
      <c r="I16">
        <f>H16*(1+IF($A16="AEO",'Growth Rates'!I68,'Growth Rates'!I68*I$5))</f>
        <v>50399593851.916191</v>
      </c>
      <c r="J16">
        <f>I16*(1+IF($A16="AEO",'Growth Rates'!J68,'Growth Rates'!J68*J$5))</f>
        <v>50187298632.049805</v>
      </c>
      <c r="K16">
        <f>J16*(1+IF($A16="AEO",'Growth Rates'!K68,'Growth Rates'!K68*K$5))</f>
        <v>49950812902.194283</v>
      </c>
      <c r="L16">
        <f>K16*(1+IF($A16="AEO",'Growth Rates'!L68,'Growth Rates'!L68*L$5))</f>
        <v>49700362091.170883</v>
      </c>
      <c r="M16">
        <f>L16*(1+IF($A16="AEO",'Growth Rates'!M68,'Growth Rates'!M68*M$5))</f>
        <v>49440172950.339256</v>
      </c>
      <c r="N16">
        <f>M16*(1+IF($A16="AEO",'Growth Rates'!N68,'Growth Rates'!N68*N$5))</f>
        <v>49171621938.30365</v>
      </c>
      <c r="O16">
        <f>N16*(1+IF($A16="AEO",'Growth Rates'!O68,'Growth Rates'!O68*O$5))</f>
        <v>48954234796.249359</v>
      </c>
      <c r="P16">
        <f>O16*(1+IF($A16="AEO",'Growth Rates'!P68,'Growth Rates'!P68*P$5))</f>
        <v>48743326142.603188</v>
      </c>
      <c r="Q16">
        <f>P16*(1+IF($A16="AEO",'Growth Rates'!Q68,'Growth Rates'!Q68*Q$5))</f>
        <v>48536226697.897697</v>
      </c>
      <c r="R16">
        <f>Q16*(1+IF($A16="AEO",'Growth Rates'!R68,'Growth Rates'!R68*R$5))</f>
        <v>48337470743.802185</v>
      </c>
      <c r="S16">
        <f>R16*(1+IF($A16="AEO",'Growth Rates'!S68,'Growth Rates'!S68*S$5))</f>
        <v>48142134085.125641</v>
      </c>
      <c r="T16">
        <f>S16*(1+IF($A16="AEO",'Growth Rates'!T68,'Growth Rates'!T68*T$5))</f>
        <v>47956588485.578163</v>
      </c>
      <c r="U16">
        <f>T16*(1+IF($A16="AEO",'Growth Rates'!U68,'Growth Rates'!U68*U$5))</f>
        <v>47770045334.104195</v>
      </c>
      <c r="V16">
        <f>U16*(1+IF($A16="AEO",'Growth Rates'!V68,'Growth Rates'!V68*V$5))</f>
        <v>47580094938.834129</v>
      </c>
      <c r="W16">
        <f>V16*(1+IF($A16="AEO",'Growth Rates'!W68,'Growth Rates'!W68*W$5))</f>
        <v>47393444965.881493</v>
      </c>
      <c r="X16">
        <f>W16*(1+IF($A16="AEO",'Growth Rates'!X68,'Growth Rates'!X68*X$5))</f>
        <v>47213365388.602486</v>
      </c>
      <c r="Y16">
        <f>X16*(1+IF($A16="AEO",'Growth Rates'!Y68,'Growth Rates'!Y68*Y$5))</f>
        <v>47042722399.534241</v>
      </c>
      <c r="Z16">
        <f>Y16*(1+IF($A16="AEO",'Growth Rates'!Z68,'Growth Rates'!Z68*Z$5))</f>
        <v>46882659031.016693</v>
      </c>
      <c r="AA16">
        <f>Z16*(1+IF($A16="AEO",'Growth Rates'!AA68,'Growth Rates'!AA68*AA$5))</f>
        <v>46724861400.505638</v>
      </c>
      <c r="AB16">
        <f>AA16*(1+IF($A16="AEO",'Growth Rates'!AB68,'Growth Rates'!AB68*AB$5))</f>
        <v>46575346492.735329</v>
      </c>
      <c r="AC16">
        <f>AB16*(1+IF($A16="AEO",'Growth Rates'!AC68,'Growth Rates'!AC68*AC$5))</f>
        <v>46423001226.232178</v>
      </c>
    </row>
    <row r="17" spans="1:29" x14ac:dyDescent="0.25">
      <c r="A17" t="s">
        <v>1235</v>
      </c>
      <c r="B17" t="s">
        <v>182</v>
      </c>
      <c r="C17">
        <f>'Data from BVAbIC'!J2</f>
        <v>263619000000</v>
      </c>
      <c r="D17">
        <f>C17*(1+IF($A17="AEO",'Growth Rates'!D69,'Growth Rates'!D69*D$5))</f>
        <v>248400308696.7569</v>
      </c>
      <c r="E17">
        <f>D17*(1+IF($A17="AEO",'Growth Rates'!E69,'Growth Rates'!E69*E$5))</f>
        <v>248973738956.06607</v>
      </c>
      <c r="F17">
        <f>E17*(1+IF($A17="AEO",'Growth Rates'!F69,'Growth Rates'!F69*F$5))</f>
        <v>251131557926.14017</v>
      </c>
      <c r="G17">
        <f>F17*(1+IF($A17="AEO",'Growth Rates'!G69,'Growth Rates'!G69*G$5))</f>
        <v>253365600506.71851</v>
      </c>
      <c r="H17">
        <f>G17*(1+IF($A17="AEO",'Growth Rates'!H69,'Growth Rates'!H69*H$5))</f>
        <v>254947392622.36859</v>
      </c>
      <c r="I17">
        <f>H17*(1+IF($A17="AEO",'Growth Rates'!I69,'Growth Rates'!I69*I$5))</f>
        <v>257063319675.51407</v>
      </c>
      <c r="J17">
        <f>I17*(1+IF($A17="AEO",'Growth Rates'!J69,'Growth Rates'!J69*J$5))</f>
        <v>259339462940.36264</v>
      </c>
      <c r="K17">
        <f>J17*(1+IF($A17="AEO",'Growth Rates'!K69,'Growth Rates'!K69*K$5))</f>
        <v>261560028672.42874</v>
      </c>
      <c r="L17">
        <f>K17*(1+IF($A17="AEO",'Growth Rates'!L69,'Growth Rates'!L69*L$5))</f>
        <v>263817430485.32947</v>
      </c>
      <c r="M17">
        <f>L17*(1+IF($A17="AEO",'Growth Rates'!M69,'Growth Rates'!M69*M$5))</f>
        <v>266142295888.79807</v>
      </c>
      <c r="N17">
        <f>M17*(1+IF($A17="AEO",'Growth Rates'!N69,'Growth Rates'!N69*N$5))</f>
        <v>268361855269.24854</v>
      </c>
      <c r="O17">
        <f>N17*(1+IF($A17="AEO",'Growth Rates'!O69,'Growth Rates'!O69*O$5))</f>
        <v>270817703984.30762</v>
      </c>
      <c r="P17">
        <f>O17*(1+IF($A17="AEO",'Growth Rates'!P69,'Growth Rates'!P69*P$5))</f>
        <v>273232269846.79282</v>
      </c>
      <c r="Q17">
        <f>P17*(1+IF($A17="AEO",'Growth Rates'!Q69,'Growth Rates'!Q69*Q$5))</f>
        <v>275702171367.44702</v>
      </c>
      <c r="R17">
        <f>Q17*(1+IF($A17="AEO",'Growth Rates'!R69,'Growth Rates'!R69*R$5))</f>
        <v>278159418522.72021</v>
      </c>
      <c r="S17">
        <f>R17*(1+IF($A17="AEO",'Growth Rates'!S69,'Growth Rates'!S69*S$5))</f>
        <v>280446437936.75897</v>
      </c>
      <c r="T17">
        <f>S17*(1+IF($A17="AEO",'Growth Rates'!T69,'Growth Rates'!T69*T$5))</f>
        <v>282732605043.76056</v>
      </c>
      <c r="U17">
        <f>T17*(1+IF($A17="AEO",'Growth Rates'!U69,'Growth Rates'!U69*U$5))</f>
        <v>285013441332.78308</v>
      </c>
      <c r="V17">
        <f>U17*(1+IF($A17="AEO",'Growth Rates'!V69,'Growth Rates'!V69*V$5))</f>
        <v>287184507862.99146</v>
      </c>
      <c r="W17">
        <f>V17*(1+IF($A17="AEO",'Growth Rates'!W69,'Growth Rates'!W69*W$5))</f>
        <v>289364525669.19373</v>
      </c>
      <c r="X17">
        <f>W17*(1+IF($A17="AEO",'Growth Rates'!X69,'Growth Rates'!X69*X$5))</f>
        <v>291375175428.77179</v>
      </c>
      <c r="Y17">
        <f>X17*(1+IF($A17="AEO",'Growth Rates'!Y69,'Growth Rates'!Y69*Y$5))</f>
        <v>293463006720.8244</v>
      </c>
      <c r="Z17">
        <f>Y17*(1+IF($A17="AEO",'Growth Rates'!Z69,'Growth Rates'!Z69*Z$5))</f>
        <v>295508839660.17389</v>
      </c>
      <c r="AA17">
        <f>Z17*(1+IF($A17="AEO",'Growth Rates'!AA69,'Growth Rates'!AA69*AA$5))</f>
        <v>297553720149.82965</v>
      </c>
      <c r="AB17">
        <f>AA17*(1+IF($A17="AEO",'Growth Rates'!AB69,'Growth Rates'!AB69*AB$5))</f>
        <v>299687378746.32776</v>
      </c>
      <c r="AC17">
        <f>AB17*(1+IF($A17="AEO",'Growth Rates'!AC69,'Growth Rates'!AC69*AC$5))</f>
        <v>301651671211.49841</v>
      </c>
    </row>
    <row r="18" spans="1:29" x14ac:dyDescent="0.25">
      <c r="A18" t="s">
        <v>1235</v>
      </c>
      <c r="B18" t="s">
        <v>209</v>
      </c>
      <c r="C18">
        <f>'Data from BVAbIC'!K2</f>
        <v>21056500000</v>
      </c>
      <c r="D18">
        <f>C18*(1+IF($A18="AEO",'Growth Rates'!D70,'Growth Rates'!D70*D$5))</f>
        <v>18671425376.53487</v>
      </c>
      <c r="E18">
        <f>D18*(1+IF($A18="AEO",'Growth Rates'!E70,'Growth Rates'!E70*E$5))</f>
        <v>18907700834.425732</v>
      </c>
      <c r="F18">
        <f>E18*(1+IF($A18="AEO",'Growth Rates'!F70,'Growth Rates'!F70*F$5))</f>
        <v>19167411781.537865</v>
      </c>
      <c r="G18">
        <f>F18*(1+IF($A18="AEO",'Growth Rates'!G70,'Growth Rates'!G70*G$5))</f>
        <v>18611963350.475071</v>
      </c>
      <c r="H18">
        <f>G18*(1+IF($A18="AEO",'Growth Rates'!H70,'Growth Rates'!H70*H$5))</f>
        <v>17907689239.976021</v>
      </c>
      <c r="I18">
        <f>H18*(1+IF($A18="AEO",'Growth Rates'!I70,'Growth Rates'!I70*I$5))</f>
        <v>17590336152.52969</v>
      </c>
      <c r="J18">
        <f>I18*(1+IF($A18="AEO",'Growth Rates'!J70,'Growth Rates'!J70*J$5))</f>
        <v>17492646649.401608</v>
      </c>
      <c r="K18">
        <f>J18*(1+IF($A18="AEO",'Growth Rates'!K70,'Growth Rates'!K70*K$5))</f>
        <v>17442720862.776825</v>
      </c>
      <c r="L18">
        <f>K18*(1+IF($A18="AEO",'Growth Rates'!L70,'Growth Rates'!L70*L$5))</f>
        <v>17488265159.818554</v>
      </c>
      <c r="M18">
        <f>L18*(1+IF($A18="AEO",'Growth Rates'!M70,'Growth Rates'!M70*M$5))</f>
        <v>17613850337.78986</v>
      </c>
      <c r="N18">
        <f>M18*(1+IF($A18="AEO",'Growth Rates'!N70,'Growth Rates'!N70*N$5))</f>
        <v>17689758880.15834</v>
      </c>
      <c r="O18">
        <f>N18*(1+IF($A18="AEO",'Growth Rates'!O70,'Growth Rates'!O70*O$5))</f>
        <v>17680767459.454205</v>
      </c>
      <c r="P18">
        <f>O18*(1+IF($A18="AEO",'Growth Rates'!P70,'Growth Rates'!P70*P$5))</f>
        <v>17703644748.431904</v>
      </c>
      <c r="Q18">
        <f>P18*(1+IF($A18="AEO",'Growth Rates'!Q70,'Growth Rates'!Q70*Q$5))</f>
        <v>17738824108.074291</v>
      </c>
      <c r="R18">
        <f>Q18*(1+IF($A18="AEO",'Growth Rates'!R70,'Growth Rates'!R70*R$5))</f>
        <v>17755662192.932831</v>
      </c>
      <c r="S18">
        <f>R18*(1+IF($A18="AEO",'Growth Rates'!S70,'Growth Rates'!S70*S$5))</f>
        <v>17824489684.837139</v>
      </c>
      <c r="T18">
        <f>S18*(1+IF($A18="AEO",'Growth Rates'!T70,'Growth Rates'!T70*T$5))</f>
        <v>17888811748.862309</v>
      </c>
      <c r="U18">
        <f>T18*(1+IF($A18="AEO",'Growth Rates'!U70,'Growth Rates'!U70*U$5))</f>
        <v>17931353170.735317</v>
      </c>
      <c r="V18">
        <f>U18*(1+IF($A18="AEO",'Growth Rates'!V70,'Growth Rates'!V70*V$5))</f>
        <v>17971717229.329491</v>
      </c>
      <c r="W18">
        <f>V18*(1+IF($A18="AEO",'Growth Rates'!W70,'Growth Rates'!W70*W$5))</f>
        <v>18025451012.136398</v>
      </c>
      <c r="X18">
        <f>W18*(1+IF($A18="AEO",'Growth Rates'!X70,'Growth Rates'!X70*X$5))</f>
        <v>18092923466.577305</v>
      </c>
      <c r="Y18">
        <f>X18*(1+IF($A18="AEO",'Growth Rates'!Y70,'Growth Rates'!Y70*Y$5))</f>
        <v>18125821596.913799</v>
      </c>
      <c r="Z18">
        <f>Y18*(1+IF($A18="AEO",'Growth Rates'!Z70,'Growth Rates'!Z70*Z$5))</f>
        <v>18092198953.247475</v>
      </c>
      <c r="AA18">
        <f>Z18*(1+IF($A18="AEO",'Growth Rates'!AA70,'Growth Rates'!AA70*AA$5))</f>
        <v>18004629059.786121</v>
      </c>
      <c r="AB18">
        <f>AA18*(1+IF($A18="AEO",'Growth Rates'!AB70,'Growth Rates'!AB70*AB$5))</f>
        <v>17981259522.305962</v>
      </c>
      <c r="AC18">
        <f>AB18*(1+IF($A18="AEO",'Growth Rates'!AC70,'Growth Rates'!AC70*AC$5))</f>
        <v>17963722412.713184</v>
      </c>
    </row>
    <row r="19" spans="1:29" x14ac:dyDescent="0.25">
      <c r="A19" t="s">
        <v>1235</v>
      </c>
      <c r="B19" t="s">
        <v>218</v>
      </c>
      <c r="C19">
        <f>'Data from BVAbIC'!L2</f>
        <v>44040100000</v>
      </c>
      <c r="D19">
        <f>C19*(1+IF($A19="AEO",'Growth Rates'!D71,'Growth Rates'!D71*D$5))</f>
        <v>53132952010.177711</v>
      </c>
      <c r="E19">
        <f>D19*(1+IF($A19="AEO",'Growth Rates'!E71,'Growth Rates'!E71*E$5))</f>
        <v>44588507258.956459</v>
      </c>
      <c r="F19">
        <f>E19*(1+IF($A19="AEO",'Growth Rates'!F71,'Growth Rates'!F71*F$5))</f>
        <v>41916474888.303802</v>
      </c>
      <c r="G19">
        <f>F19*(1+IF($A19="AEO",'Growth Rates'!G71,'Growth Rates'!G71*G$5))</f>
        <v>43952674643.226006</v>
      </c>
      <c r="H19">
        <f>G19*(1+IF($A19="AEO",'Growth Rates'!H71,'Growth Rates'!H71*H$5))</f>
        <v>47399225027.871956</v>
      </c>
      <c r="I19">
        <f>H19*(1+IF($A19="AEO",'Growth Rates'!I71,'Growth Rates'!I71*I$5))</f>
        <v>47913908693.093536</v>
      </c>
      <c r="J19">
        <f>I19*(1+IF($A19="AEO",'Growth Rates'!J71,'Growth Rates'!J71*J$5))</f>
        <v>46696470624.433472</v>
      </c>
      <c r="K19">
        <f>J19*(1+IF($A19="AEO",'Growth Rates'!K71,'Growth Rates'!K71*K$5))</f>
        <v>46552646691.192657</v>
      </c>
      <c r="L19">
        <f>K19*(1+IF($A19="AEO",'Growth Rates'!L71,'Growth Rates'!L71*L$5))</f>
        <v>47616287181.731354</v>
      </c>
      <c r="M19">
        <f>L19*(1+IF($A19="AEO",'Growth Rates'!M71,'Growth Rates'!M71*M$5))</f>
        <v>49472607332.882004</v>
      </c>
      <c r="N19">
        <f>M19*(1+IF($A19="AEO",'Growth Rates'!N71,'Growth Rates'!N71*N$5))</f>
        <v>50918173620.059189</v>
      </c>
      <c r="O19">
        <f>N19*(1+IF($A19="AEO",'Growth Rates'!O71,'Growth Rates'!O71*O$5))</f>
        <v>52406703197.292015</v>
      </c>
      <c r="P19">
        <f>O19*(1+IF($A19="AEO",'Growth Rates'!P71,'Growth Rates'!P71*P$5))</f>
        <v>53510432495.203583</v>
      </c>
      <c r="Q19">
        <f>P19*(1+IF($A19="AEO",'Growth Rates'!Q71,'Growth Rates'!Q71*Q$5))</f>
        <v>54703000000.866791</v>
      </c>
      <c r="R19">
        <f>Q19*(1+IF($A19="AEO",'Growth Rates'!R71,'Growth Rates'!R71*R$5))</f>
        <v>55579116634.371559</v>
      </c>
      <c r="S19">
        <f>R19*(1+IF($A19="AEO",'Growth Rates'!S71,'Growth Rates'!S71*S$5))</f>
        <v>55866935009.634445</v>
      </c>
      <c r="T19">
        <f>S19*(1+IF($A19="AEO",'Growth Rates'!T71,'Growth Rates'!T71*T$5))</f>
        <v>54860584127.015381</v>
      </c>
      <c r="U19">
        <f>T19*(1+IF($A19="AEO",'Growth Rates'!U71,'Growth Rates'!U71*U$5))</f>
        <v>54278056763.089882</v>
      </c>
      <c r="V19">
        <f>U19*(1+IF($A19="AEO",'Growth Rates'!V71,'Growth Rates'!V71*V$5))</f>
        <v>53196995734.96611</v>
      </c>
      <c r="W19">
        <f>V19*(1+IF($A19="AEO",'Growth Rates'!W71,'Growth Rates'!W71*W$5))</f>
        <v>52485353393.480042</v>
      </c>
      <c r="X19">
        <f>W19*(1+IF($A19="AEO",'Growth Rates'!X71,'Growth Rates'!X71*X$5))</f>
        <v>52817152741.130898</v>
      </c>
      <c r="Y19">
        <f>X19*(1+IF($A19="AEO",'Growth Rates'!Y71,'Growth Rates'!Y71*Y$5))</f>
        <v>53134239552.864639</v>
      </c>
      <c r="Z19">
        <f>Y19*(1+IF($A19="AEO",'Growth Rates'!Z71,'Growth Rates'!Z71*Z$5))</f>
        <v>53612054386.254753</v>
      </c>
      <c r="AA19">
        <f>Z19*(1+IF($A19="AEO",'Growth Rates'!AA71,'Growth Rates'!AA71*AA$5))</f>
        <v>54045018249.695732</v>
      </c>
      <c r="AB19">
        <f>AA19*(1+IF($A19="AEO",'Growth Rates'!AB71,'Growth Rates'!AB71*AB$5))</f>
        <v>54787447943.147789</v>
      </c>
      <c r="AC19">
        <f>AB19*(1+IF($A19="AEO",'Growth Rates'!AC71,'Growth Rates'!AC71*AC$5))</f>
        <v>55403047297.696518</v>
      </c>
    </row>
    <row r="20" spans="1:29" x14ac:dyDescent="0.25">
      <c r="A20" t="s">
        <v>1235</v>
      </c>
      <c r="B20" t="s">
        <v>227</v>
      </c>
      <c r="C20">
        <f>'Data from BVAbIC'!M2</f>
        <v>84707600000</v>
      </c>
      <c r="D20">
        <f>C20*(1+IF($A20="AEO",'Growth Rates'!D72,'Growth Rates'!D72*D$5))</f>
        <v>80467335563.00412</v>
      </c>
      <c r="E20">
        <f>D20*(1+IF($A20="AEO",'Growth Rates'!E72,'Growth Rates'!E72*E$5))</f>
        <v>79737836126.230652</v>
      </c>
      <c r="F20">
        <f>E20*(1+IF($A20="AEO",'Growth Rates'!F72,'Growth Rates'!F72*F$5))</f>
        <v>79839779800.97168</v>
      </c>
      <c r="G20">
        <f>F20*(1+IF($A20="AEO",'Growth Rates'!G72,'Growth Rates'!G72*G$5))</f>
        <v>79265520045.264069</v>
      </c>
      <c r="H20">
        <f>G20*(1+IF($A20="AEO",'Growth Rates'!H72,'Growth Rates'!H72*H$5))</f>
        <v>78760025317.291199</v>
      </c>
      <c r="I20">
        <f>H20*(1+IF($A20="AEO",'Growth Rates'!I72,'Growth Rates'!I72*I$5))</f>
        <v>78266528047.906631</v>
      </c>
      <c r="J20">
        <f>I20*(1+IF($A20="AEO",'Growth Rates'!J72,'Growth Rates'!J72*J$5))</f>
        <v>78079160193.834045</v>
      </c>
      <c r="K20">
        <f>J20*(1+IF($A20="AEO",'Growth Rates'!K72,'Growth Rates'!K72*K$5))</f>
        <v>77843382010.54892</v>
      </c>
      <c r="L20">
        <f>K20*(1+IF($A20="AEO",'Growth Rates'!L72,'Growth Rates'!L72*L$5))</f>
        <v>77524318371.785263</v>
      </c>
      <c r="M20">
        <f>L20*(1+IF($A20="AEO",'Growth Rates'!M72,'Growth Rates'!M72*M$5))</f>
        <v>77259728277.582031</v>
      </c>
      <c r="N20">
        <f>M20*(1+IF($A20="AEO",'Growth Rates'!N72,'Growth Rates'!N72*N$5))</f>
        <v>76993837015.075699</v>
      </c>
      <c r="O20">
        <f>N20*(1+IF($A20="AEO",'Growth Rates'!O72,'Growth Rates'!O72*O$5))</f>
        <v>76748268780.426147</v>
      </c>
      <c r="P20">
        <f>O20*(1+IF($A20="AEO",'Growth Rates'!P72,'Growth Rates'!P72*P$5))</f>
        <v>76507853324.886597</v>
      </c>
      <c r="Q20">
        <f>P20*(1+IF($A20="AEO",'Growth Rates'!Q72,'Growth Rates'!Q72*Q$5))</f>
        <v>76528227102.122925</v>
      </c>
      <c r="R20">
        <f>Q20*(1+IF($A20="AEO",'Growth Rates'!R72,'Growth Rates'!R72*R$5))</f>
        <v>76784626704.353699</v>
      </c>
      <c r="S20">
        <f>R20*(1+IF($A20="AEO",'Growth Rates'!S72,'Growth Rates'!S72*S$5))</f>
        <v>77206578795.781662</v>
      </c>
      <c r="T20">
        <f>S20*(1+IF($A20="AEO",'Growth Rates'!T72,'Growth Rates'!T72*T$5))</f>
        <v>77528354664.544876</v>
      </c>
      <c r="U20">
        <f>T20*(1+IF($A20="AEO",'Growth Rates'!U72,'Growth Rates'!U72*U$5))</f>
        <v>77949353583.415329</v>
      </c>
      <c r="V20">
        <f>U20*(1+IF($A20="AEO",'Growth Rates'!V72,'Growth Rates'!V72*V$5))</f>
        <v>78402131153.249832</v>
      </c>
      <c r="W20">
        <f>V20*(1+IF($A20="AEO",'Growth Rates'!W72,'Growth Rates'!W72*W$5))</f>
        <v>78873672256.84877</v>
      </c>
      <c r="X20">
        <f>W20*(1+IF($A20="AEO",'Growth Rates'!X72,'Growth Rates'!X72*X$5))</f>
        <v>79400087939.578979</v>
      </c>
      <c r="Y20">
        <f>X20*(1+IF($A20="AEO",'Growth Rates'!Y72,'Growth Rates'!Y72*Y$5))</f>
        <v>79860773636.416946</v>
      </c>
      <c r="Z20">
        <f>Y20*(1+IF($A20="AEO",'Growth Rates'!Z72,'Growth Rates'!Z72*Z$5))</f>
        <v>80419050771.730484</v>
      </c>
      <c r="AA20">
        <f>Z20*(1+IF($A20="AEO",'Growth Rates'!AA72,'Growth Rates'!AA72*AA$5))</f>
        <v>80973869317.748047</v>
      </c>
      <c r="AB20">
        <f>AA20*(1+IF($A20="AEO",'Growth Rates'!AB72,'Growth Rates'!AB72*AB$5))</f>
        <v>81611433773.20874</v>
      </c>
      <c r="AC20">
        <f>AB20*(1+IF($A20="AEO",'Growth Rates'!AC72,'Growth Rates'!AC72*AC$5))</f>
        <v>82112248874.181839</v>
      </c>
    </row>
    <row r="21" spans="1:29" x14ac:dyDescent="0.25">
      <c r="A21" t="s">
        <v>1235</v>
      </c>
      <c r="B21" t="s">
        <v>236</v>
      </c>
      <c r="C21">
        <f>'Data from BVAbIC'!N2</f>
        <v>137808000000</v>
      </c>
      <c r="D21">
        <f>C21*(1+IF($A21="AEO",'Growth Rates'!D73,'Growth Rates'!D73*D$5))</f>
        <v>137935880887.01016</v>
      </c>
      <c r="E21">
        <f>D21*(1+IF($A21="AEO",'Growth Rates'!E73,'Growth Rates'!E73*E$5))</f>
        <v>138469676056.59866</v>
      </c>
      <c r="F21">
        <f>E21*(1+IF($A21="AEO",'Growth Rates'!F73,'Growth Rates'!F73*F$5))</f>
        <v>138207957790.28735</v>
      </c>
      <c r="G21">
        <f>F21*(1+IF($A21="AEO",'Growth Rates'!G73,'Growth Rates'!G73*G$5))</f>
        <v>137730086722.95535</v>
      </c>
      <c r="H21">
        <f>G21*(1+IF($A21="AEO",'Growth Rates'!H73,'Growth Rates'!H73*H$5))</f>
        <v>136457528545.67894</v>
      </c>
      <c r="I21">
        <f>H21*(1+IF($A21="AEO",'Growth Rates'!I73,'Growth Rates'!I73*I$5))</f>
        <v>135704602417.96799</v>
      </c>
      <c r="J21">
        <f>I21*(1+IF($A21="AEO",'Growth Rates'!J73,'Growth Rates'!J73*J$5))</f>
        <v>134806697579.46974</v>
      </c>
      <c r="K21">
        <f>J21*(1+IF($A21="AEO",'Growth Rates'!K73,'Growth Rates'!K73*K$5))</f>
        <v>134455663984.54172</v>
      </c>
      <c r="L21">
        <f>K21*(1+IF($A21="AEO",'Growth Rates'!L73,'Growth Rates'!L73*L$5))</f>
        <v>134180358711.23877</v>
      </c>
      <c r="M21">
        <f>L21*(1+IF($A21="AEO",'Growth Rates'!M73,'Growth Rates'!M73*M$5))</f>
        <v>134279641596.69249</v>
      </c>
      <c r="N21">
        <f>M21*(1+IF($A21="AEO",'Growth Rates'!N73,'Growth Rates'!N73*N$5))</f>
        <v>134476946686.25548</v>
      </c>
      <c r="O21">
        <f>N21*(1+IF($A21="AEO",'Growth Rates'!O73,'Growth Rates'!O73*O$5))</f>
        <v>133997238646.46013</v>
      </c>
      <c r="P21">
        <f>O21*(1+IF($A21="AEO",'Growth Rates'!P73,'Growth Rates'!P73*P$5))</f>
        <v>132940713773.49838</v>
      </c>
      <c r="Q21">
        <f>P21*(1+IF($A21="AEO",'Growth Rates'!Q73,'Growth Rates'!Q73*Q$5))</f>
        <v>131921514969.99695</v>
      </c>
      <c r="R21">
        <f>Q21*(1+IF($A21="AEO",'Growth Rates'!R73,'Growth Rates'!R73*R$5))</f>
        <v>131395176501.71848</v>
      </c>
      <c r="S21">
        <f>R21*(1+IF($A21="AEO",'Growth Rates'!S73,'Growth Rates'!S73*S$5))</f>
        <v>131197980223.61212</v>
      </c>
      <c r="T21">
        <f>S21*(1+IF($A21="AEO",'Growth Rates'!T73,'Growth Rates'!T73*T$5))</f>
        <v>131392339567.99661</v>
      </c>
      <c r="U21">
        <f>T21*(1+IF($A21="AEO",'Growth Rates'!U73,'Growth Rates'!U73*U$5))</f>
        <v>131163197599.68953</v>
      </c>
      <c r="V21">
        <f>U21*(1+IF($A21="AEO",'Growth Rates'!V73,'Growth Rates'!V73*V$5))</f>
        <v>130478967296.69572</v>
      </c>
      <c r="W21">
        <f>V21*(1+IF($A21="AEO",'Growth Rates'!W73,'Growth Rates'!W73*W$5))</f>
        <v>129728671521.2178</v>
      </c>
      <c r="X21">
        <f>W21*(1+IF($A21="AEO",'Growth Rates'!X73,'Growth Rates'!X73*X$5))</f>
        <v>129054810718.52682</v>
      </c>
      <c r="Y21">
        <f>X21*(1+IF($A21="AEO",'Growth Rates'!Y73,'Growth Rates'!Y73*Y$5))</f>
        <v>129144202446.67693</v>
      </c>
      <c r="Z21">
        <f>Y21*(1+IF($A21="AEO",'Growth Rates'!Z73,'Growth Rates'!Z73*Z$5))</f>
        <v>129376637786.94377</v>
      </c>
      <c r="AA21">
        <f>Z21*(1+IF($A21="AEO",'Growth Rates'!AA73,'Growth Rates'!AA73*AA$5))</f>
        <v>128903005914.23296</v>
      </c>
      <c r="AB21">
        <f>AA21*(1+IF($A21="AEO",'Growth Rates'!AB73,'Growth Rates'!AB73*AB$5))</f>
        <v>128611189971.60867</v>
      </c>
      <c r="AC21">
        <f>AB21*(1+IF($A21="AEO",'Growth Rates'!AC73,'Growth Rates'!AC73*AC$5))</f>
        <v>128553363716.86732</v>
      </c>
    </row>
    <row r="22" spans="1:29" x14ac:dyDescent="0.25">
      <c r="A22" t="s">
        <v>1235</v>
      </c>
      <c r="B22" t="s">
        <v>241</v>
      </c>
      <c r="C22">
        <f>'Data from BVAbIC'!O2</f>
        <v>269741000000</v>
      </c>
      <c r="D22">
        <f>C22*(1+IF($A22="AEO",'Growth Rates'!D74,'Growth Rates'!D74*D$5))</f>
        <v>289075377103.20428</v>
      </c>
      <c r="E22">
        <f>D22*(1+IF($A22="AEO",'Growth Rates'!E74,'Growth Rates'!E74*E$5))</f>
        <v>285224097534.73315</v>
      </c>
      <c r="F22">
        <f>E22*(1+IF($A22="AEO",'Growth Rates'!F74,'Growth Rates'!F74*F$5))</f>
        <v>281899414438.58673</v>
      </c>
      <c r="G22">
        <f>F22*(1+IF($A22="AEO",'Growth Rates'!G74,'Growth Rates'!G74*G$5))</f>
        <v>280776472498.41541</v>
      </c>
      <c r="H22">
        <f>G22*(1+IF($A22="AEO",'Growth Rates'!H74,'Growth Rates'!H74*H$5))</f>
        <v>278401439868.61523</v>
      </c>
      <c r="I22">
        <f>H22*(1+IF($A22="AEO",'Growth Rates'!I74,'Growth Rates'!I74*I$5))</f>
        <v>278302072597.90466</v>
      </c>
      <c r="J22">
        <f>I22*(1+IF($A22="AEO",'Growth Rates'!J74,'Growth Rates'!J74*J$5))</f>
        <v>279585126573.64142</v>
      </c>
      <c r="K22">
        <f>J22*(1+IF($A22="AEO",'Growth Rates'!K74,'Growth Rates'!K74*K$5))</f>
        <v>281226659668.04639</v>
      </c>
      <c r="L22">
        <f>K22*(1+IF($A22="AEO",'Growth Rates'!L74,'Growth Rates'!L74*L$5))</f>
        <v>284309117311.38788</v>
      </c>
      <c r="M22">
        <f>L22*(1+IF($A22="AEO",'Growth Rates'!M74,'Growth Rates'!M74*M$5))</f>
        <v>287421601405.68842</v>
      </c>
      <c r="N22">
        <f>M22*(1+IF($A22="AEO",'Growth Rates'!N74,'Growth Rates'!N74*N$5))</f>
        <v>290769384647.18451</v>
      </c>
      <c r="O22">
        <f>N22*(1+IF($A22="AEO",'Growth Rates'!O74,'Growth Rates'!O74*O$5))</f>
        <v>294250227516.04144</v>
      </c>
      <c r="P22">
        <f>O22*(1+IF($A22="AEO",'Growth Rates'!P74,'Growth Rates'!P74*P$5))</f>
        <v>298090079497.94379</v>
      </c>
      <c r="Q22">
        <f>P22*(1+IF($A22="AEO",'Growth Rates'!Q74,'Growth Rates'!Q74*Q$5))</f>
        <v>301966659622.92841</v>
      </c>
      <c r="R22">
        <f>Q22*(1+IF($A22="AEO",'Growth Rates'!R74,'Growth Rates'!R74*R$5))</f>
        <v>306498007083.34454</v>
      </c>
      <c r="S22">
        <f>R22*(1+IF($A22="AEO",'Growth Rates'!S74,'Growth Rates'!S74*S$5))</f>
        <v>311324868795.18365</v>
      </c>
      <c r="T22">
        <f>S22*(1+IF($A22="AEO",'Growth Rates'!T74,'Growth Rates'!T74*T$5))</f>
        <v>316729294549.44366</v>
      </c>
      <c r="U22">
        <f>T22*(1+IF($A22="AEO",'Growth Rates'!U74,'Growth Rates'!U74*U$5))</f>
        <v>322966708594.66663</v>
      </c>
      <c r="V22">
        <f>U22*(1+IF($A22="AEO",'Growth Rates'!V74,'Growth Rates'!V74*V$5))</f>
        <v>328979701727.40845</v>
      </c>
      <c r="W22">
        <f>V22*(1+IF($A22="AEO",'Growth Rates'!W74,'Growth Rates'!W74*W$5))</f>
        <v>335212104856.02087</v>
      </c>
      <c r="X22">
        <f>W22*(1+IF($A22="AEO",'Growth Rates'!X74,'Growth Rates'!X74*X$5))</f>
        <v>342027836550.27905</v>
      </c>
      <c r="Y22">
        <f>X22*(1+IF($A22="AEO",'Growth Rates'!Y74,'Growth Rates'!Y74*Y$5))</f>
        <v>349412942739.08368</v>
      </c>
      <c r="Z22">
        <f>Y22*(1+IF($A22="AEO",'Growth Rates'!Z74,'Growth Rates'!Z74*Z$5))</f>
        <v>357132124942.73834</v>
      </c>
      <c r="AA22">
        <f>Z22*(1+IF($A22="AEO",'Growth Rates'!AA74,'Growth Rates'!AA74*AA$5))</f>
        <v>364133900015.83405</v>
      </c>
      <c r="AB22">
        <f>AA22*(1+IF($A22="AEO",'Growth Rates'!AB74,'Growth Rates'!AB74*AB$5))</f>
        <v>370851710576.43201</v>
      </c>
      <c r="AC22">
        <f>AB22*(1+IF($A22="AEO",'Growth Rates'!AC74,'Growth Rates'!AC74*AC$5))</f>
        <v>378349180579.42194</v>
      </c>
    </row>
    <row r="23" spans="1:29" x14ac:dyDescent="0.25">
      <c r="B23" t="s">
        <v>246</v>
      </c>
      <c r="C23">
        <f>'Data from BVAbIC'!P2</f>
        <v>135756000000</v>
      </c>
      <c r="D23">
        <f>C23*(1+IF($A23="AEO",'Growth Rates'!D75,'Growth Rates'!D75*D$5))</f>
        <v>138737345928.16925</v>
      </c>
      <c r="E23">
        <f>D23*(1+IF($A23="AEO",'Growth Rates'!E75,'Growth Rates'!E75*E$5))</f>
        <v>143657415083.90222</v>
      </c>
      <c r="F23">
        <f>E23*(1+IF($A23="AEO",'Growth Rates'!F75,'Growth Rates'!F75*F$5))</f>
        <v>146976362754.43478</v>
      </c>
      <c r="G23">
        <f>F23*(1+IF($A23="AEO",'Growth Rates'!G75,'Growth Rates'!G75*G$5))</f>
        <v>149278505984.34439</v>
      </c>
      <c r="H23">
        <f>G23*(1+IF($A23="AEO",'Growth Rates'!H75,'Growth Rates'!H75*H$5))</f>
        <v>152054821834.9129</v>
      </c>
      <c r="I23">
        <f>H23*(1+IF($A23="AEO",'Growth Rates'!I75,'Growth Rates'!I75*I$5))</f>
        <v>155240132604.79355</v>
      </c>
      <c r="J23">
        <f>I23*(1+IF($A23="AEO",'Growth Rates'!J75,'Growth Rates'!J75*J$5))</f>
        <v>158378894858.81537</v>
      </c>
      <c r="K23">
        <f>J23*(1+IF($A23="AEO",'Growth Rates'!K75,'Growth Rates'!K75*K$5))</f>
        <v>161961093500.96942</v>
      </c>
      <c r="L23">
        <f>K23*(1+IF($A23="AEO",'Growth Rates'!L75,'Growth Rates'!L75*L$5))</f>
        <v>165859003611.95599</v>
      </c>
      <c r="M23">
        <f>L23*(1+IF($A23="AEO",'Growth Rates'!M75,'Growth Rates'!M75*M$5))</f>
        <v>170026832722.2377</v>
      </c>
      <c r="N23">
        <f>M23*(1+IF($A23="AEO",'Growth Rates'!N75,'Growth Rates'!N75*N$5))</f>
        <v>174459912166.02979</v>
      </c>
      <c r="O23">
        <f>N23*(1+IF($A23="AEO",'Growth Rates'!O75,'Growth Rates'!O75*O$5))</f>
        <v>178162080876.89157</v>
      </c>
      <c r="P23">
        <f>O23*(1+IF($A23="AEO",'Growth Rates'!P75,'Growth Rates'!P75*P$5))</f>
        <v>181846428898.50208</v>
      </c>
      <c r="Q23">
        <f>P23*(1+IF($A23="AEO",'Growth Rates'!Q75,'Growth Rates'!Q75*Q$5))</f>
        <v>185555027134.38382</v>
      </c>
      <c r="R23">
        <f>Q23*(1+IF($A23="AEO",'Growth Rates'!R75,'Growth Rates'!R75*R$5))</f>
        <v>189202298688.62619</v>
      </c>
      <c r="S23">
        <f>R23*(1+IF($A23="AEO",'Growth Rates'!S75,'Growth Rates'!S75*S$5))</f>
        <v>192872310637.97046</v>
      </c>
      <c r="T23">
        <f>S23*(1+IF($A23="AEO",'Growth Rates'!T75,'Growth Rates'!T75*T$5))</f>
        <v>196440405906.88235</v>
      </c>
      <c r="U23">
        <f>T23*(1+IF($A23="AEO",'Growth Rates'!U75,'Growth Rates'!U75*U$5))</f>
        <v>200108184309.16452</v>
      </c>
      <c r="V23">
        <f>U23*(1+IF($A23="AEO",'Growth Rates'!V75,'Growth Rates'!V75*V$5))</f>
        <v>203927544674.30917</v>
      </c>
      <c r="W23">
        <f>V23*(1+IF($A23="AEO",'Growth Rates'!W75,'Growth Rates'!W75*W$5))</f>
        <v>207767443261.81946</v>
      </c>
      <c r="X23">
        <f>W23*(1+IF($A23="AEO",'Growth Rates'!X75,'Growth Rates'!X75*X$5))</f>
        <v>211556794979.82486</v>
      </c>
      <c r="Y23">
        <f>X23*(1+IF($A23="AEO",'Growth Rates'!Y75,'Growth Rates'!Y75*Y$5))</f>
        <v>215227011687.92032</v>
      </c>
      <c r="Z23">
        <f>Y23*(1+IF($A23="AEO",'Growth Rates'!Z75,'Growth Rates'!Z75*Z$5))</f>
        <v>218742110345.0925</v>
      </c>
      <c r="AA23">
        <f>Z23*(1+IF($A23="AEO",'Growth Rates'!AA75,'Growth Rates'!AA75*AA$5))</f>
        <v>222276072360.26996</v>
      </c>
      <c r="AB23">
        <f>AA23*(1+IF($A23="AEO",'Growth Rates'!AB75,'Growth Rates'!AB75*AB$5))</f>
        <v>225690126682.08832</v>
      </c>
      <c r="AC23">
        <f>AB23*(1+IF($A23="AEO",'Growth Rates'!AC75,'Growth Rates'!AC75*AC$5))</f>
        <v>229233579611.8266</v>
      </c>
    </row>
    <row r="24" spans="1:29" x14ac:dyDescent="0.25">
      <c r="A24" t="s">
        <v>1235</v>
      </c>
      <c r="B24" t="s">
        <v>249</v>
      </c>
      <c r="C24">
        <f>'Data from BVAbIC'!Q2</f>
        <v>74268200000</v>
      </c>
      <c r="D24">
        <f>C24*(1+IF($A24="AEO",'Growth Rates'!D76,'Growth Rates'!D76*D$5))</f>
        <v>75584545479.288269</v>
      </c>
      <c r="E24">
        <f>D24*(1+IF($A24="AEO",'Growth Rates'!E76,'Growth Rates'!E76*E$5))</f>
        <v>75140639978.403915</v>
      </c>
      <c r="F24">
        <f>E24*(1+IF($A24="AEO",'Growth Rates'!F76,'Growth Rates'!F76*F$5))</f>
        <v>76838504086.386993</v>
      </c>
      <c r="G24">
        <f>F24*(1+IF($A24="AEO",'Growth Rates'!G76,'Growth Rates'!G76*G$5))</f>
        <v>77766589652.800003</v>
      </c>
      <c r="H24">
        <f>G24*(1+IF($A24="AEO",'Growth Rates'!H76,'Growth Rates'!H76*H$5))</f>
        <v>78104108923.863556</v>
      </c>
      <c r="I24">
        <f>H24*(1+IF($A24="AEO",'Growth Rates'!I76,'Growth Rates'!I76*I$5))</f>
        <v>78927195832.41362</v>
      </c>
      <c r="J24">
        <f>I24*(1+IF($A24="AEO",'Growth Rates'!J76,'Growth Rates'!J76*J$5))</f>
        <v>79867978364.309433</v>
      </c>
      <c r="K24">
        <f>J24*(1+IF($A24="AEO",'Growth Rates'!K76,'Growth Rates'!K76*K$5))</f>
        <v>80445286998.978561</v>
      </c>
      <c r="L24">
        <f>K24*(1+IF($A24="AEO",'Growth Rates'!L76,'Growth Rates'!L76*L$5))</f>
        <v>80982812508.025513</v>
      </c>
      <c r="M24">
        <f>L24*(1+IF($A24="AEO",'Growth Rates'!M76,'Growth Rates'!M76*M$5))</f>
        <v>81342795963.969757</v>
      </c>
      <c r="N24">
        <f>M24*(1+IF($A24="AEO",'Growth Rates'!N76,'Growth Rates'!N76*N$5))</f>
        <v>81977356720.049133</v>
      </c>
      <c r="O24">
        <f>N24*(1+IF($A24="AEO",'Growth Rates'!O76,'Growth Rates'!O76*O$5))</f>
        <v>82925280682.916367</v>
      </c>
      <c r="P24">
        <f>O24*(1+IF($A24="AEO",'Growth Rates'!P76,'Growth Rates'!P76*P$5))</f>
        <v>84050010065.021133</v>
      </c>
      <c r="Q24">
        <f>P24*(1+IF($A24="AEO",'Growth Rates'!Q76,'Growth Rates'!Q76*Q$5))</f>
        <v>85055329908.3293</v>
      </c>
      <c r="R24">
        <f>Q24*(1+IF($A24="AEO",'Growth Rates'!R76,'Growth Rates'!R76*R$5))</f>
        <v>85893520959.123962</v>
      </c>
      <c r="S24">
        <f>R24*(1+IF($A24="AEO",'Growth Rates'!S76,'Growth Rates'!S76*S$5))</f>
        <v>86902134318.327057</v>
      </c>
      <c r="T24">
        <f>S24*(1+IF($A24="AEO",'Growth Rates'!T76,'Growth Rates'!T76*T$5))</f>
        <v>87921293854.01149</v>
      </c>
      <c r="U24">
        <f>T24*(1+IF($A24="AEO",'Growth Rates'!U76,'Growth Rates'!U76*U$5))</f>
        <v>89016161232.50386</v>
      </c>
      <c r="V24">
        <f>U24*(1+IF($A24="AEO",'Growth Rates'!V76,'Growth Rates'!V76*V$5))</f>
        <v>90037413144.152985</v>
      </c>
      <c r="W24">
        <f>V24*(1+IF($A24="AEO",'Growth Rates'!W76,'Growth Rates'!W76*W$5))</f>
        <v>91080781910.470001</v>
      </c>
      <c r="X24">
        <f>W24*(1+IF($A24="AEO",'Growth Rates'!X76,'Growth Rates'!X76*X$5))</f>
        <v>92223422758.372116</v>
      </c>
      <c r="Y24">
        <f>X24*(1+IF($A24="AEO",'Growth Rates'!Y76,'Growth Rates'!Y76*Y$5))</f>
        <v>93213857420.878998</v>
      </c>
      <c r="Z24">
        <f>Y24*(1+IF($A24="AEO",'Growth Rates'!Z76,'Growth Rates'!Z76*Z$5))</f>
        <v>94126283746.308517</v>
      </c>
      <c r="AA24">
        <f>Z24*(1+IF($A24="AEO",'Growth Rates'!AA76,'Growth Rates'!AA76*AA$5))</f>
        <v>94858493960.753326</v>
      </c>
      <c r="AB24">
        <f>AA24*(1+IF($A24="AEO",'Growth Rates'!AB76,'Growth Rates'!AB76*AB$5))</f>
        <v>95884741411.273682</v>
      </c>
      <c r="AC24">
        <f>AB24*(1+IF($A24="AEO",'Growth Rates'!AC76,'Growth Rates'!AC76*AC$5))</f>
        <v>96908597425.072113</v>
      </c>
    </row>
    <row r="25" spans="1:29" x14ac:dyDescent="0.25">
      <c r="A25" t="s">
        <v>1235</v>
      </c>
      <c r="B25" t="s">
        <v>1222</v>
      </c>
      <c r="C25">
        <f>'Data from BVAbIC'!R2</f>
        <v>10908300000</v>
      </c>
      <c r="D25">
        <f>C25*(1+IF($A25="AEO",'Growth Rates'!D77,'Growth Rates'!D77*D$5))</f>
        <v>10840414159.302183</v>
      </c>
      <c r="E25">
        <f>D25*(1+IF($A25="AEO",'Growth Rates'!E77,'Growth Rates'!E77*E$5))</f>
        <v>10846996486.278215</v>
      </c>
      <c r="F25">
        <f>E25*(1+IF($A25="AEO",'Growth Rates'!F77,'Growth Rates'!F77*F$5))</f>
        <v>10873704135.596916</v>
      </c>
      <c r="G25">
        <f>F25*(1+IF($A25="AEO",'Growth Rates'!G77,'Growth Rates'!G77*G$5))</f>
        <v>10861042919.817461</v>
      </c>
      <c r="H25">
        <f>G25*(1+IF($A25="AEO",'Growth Rates'!H77,'Growth Rates'!H77*H$5))</f>
        <v>10844075019.306852</v>
      </c>
      <c r="I25">
        <f>H25*(1+IF($A25="AEO",'Growth Rates'!I77,'Growth Rates'!I77*I$5))</f>
        <v>10848725465.860918</v>
      </c>
      <c r="J25">
        <f>I25*(1+IF($A25="AEO",'Growth Rates'!J77,'Growth Rates'!J77*J$5))</f>
        <v>10867205714.982985</v>
      </c>
      <c r="K25">
        <f>J25*(1+IF($A25="AEO",'Growth Rates'!K77,'Growth Rates'!K77*K$5))</f>
        <v>10911346563.729404</v>
      </c>
      <c r="L25">
        <f>K25*(1+IF($A25="AEO",'Growth Rates'!L77,'Growth Rates'!L77*L$5))</f>
        <v>10983706393.359169</v>
      </c>
      <c r="M25">
        <f>L25*(1+IF($A25="AEO",'Growth Rates'!M77,'Growth Rates'!M77*M$5))</f>
        <v>11074970072.108763</v>
      </c>
      <c r="N25">
        <f>M25*(1+IF($A25="AEO",'Growth Rates'!N77,'Growth Rates'!N77*N$5))</f>
        <v>11189795165.859941</v>
      </c>
      <c r="O25">
        <f>N25*(1+IF($A25="AEO",'Growth Rates'!O77,'Growth Rates'!O77*O$5))</f>
        <v>11304260733.562599</v>
      </c>
      <c r="P25">
        <f>O25*(1+IF($A25="AEO",'Growth Rates'!P77,'Growth Rates'!P77*P$5))</f>
        <v>11413775825.901253</v>
      </c>
      <c r="Q25">
        <f>P25*(1+IF($A25="AEO",'Growth Rates'!Q77,'Growth Rates'!Q77*Q$5))</f>
        <v>11529272170.549248</v>
      </c>
      <c r="R25">
        <f>Q25*(1+IF($A25="AEO",'Growth Rates'!R77,'Growth Rates'!R77*R$5))</f>
        <v>11643725025.16674</v>
      </c>
      <c r="S25">
        <f>R25*(1+IF($A25="AEO",'Growth Rates'!S77,'Growth Rates'!S77*S$5))</f>
        <v>11760963571.00601</v>
      </c>
      <c r="T25">
        <f>S25*(1+IF($A25="AEO",'Growth Rates'!T77,'Growth Rates'!T77*T$5))</f>
        <v>11884426951.866423</v>
      </c>
      <c r="U25">
        <f>T25*(1+IF($A25="AEO",'Growth Rates'!U77,'Growth Rates'!U77*U$5))</f>
        <v>12012466026.340118</v>
      </c>
      <c r="V25">
        <f>U25*(1+IF($A25="AEO",'Growth Rates'!V77,'Growth Rates'!V77*V$5))</f>
        <v>12145129104.150732</v>
      </c>
      <c r="W25">
        <f>V25*(1+IF($A25="AEO",'Growth Rates'!W77,'Growth Rates'!W77*W$5))</f>
        <v>12276110495.055462</v>
      </c>
      <c r="X25">
        <f>W25*(1+IF($A25="AEO",'Growth Rates'!X77,'Growth Rates'!X77*X$5))</f>
        <v>12411385857.606174</v>
      </c>
      <c r="Y25">
        <f>X25*(1+IF($A25="AEO",'Growth Rates'!Y77,'Growth Rates'!Y77*Y$5))</f>
        <v>12548806680.409662</v>
      </c>
      <c r="Z25">
        <f>Y25*(1+IF($A25="AEO",'Growth Rates'!Z77,'Growth Rates'!Z77*Z$5))</f>
        <v>12686448710.895054</v>
      </c>
      <c r="AA25">
        <f>Z25*(1+IF($A25="AEO",'Growth Rates'!AA77,'Growth Rates'!AA77*AA$5))</f>
        <v>12825654450.855978</v>
      </c>
      <c r="AB25">
        <f>AA25*(1+IF($A25="AEO",'Growth Rates'!AB77,'Growth Rates'!AB77*AB$5))</f>
        <v>12959716476.558363</v>
      </c>
      <c r="AC25">
        <f>AB25*(1+IF($A25="AEO",'Growth Rates'!AC77,'Growth Rates'!AC77*AC$5))</f>
        <v>13094244818.224669</v>
      </c>
    </row>
    <row r="26" spans="1:29" x14ac:dyDescent="0.25">
      <c r="A26" t="s">
        <v>1235</v>
      </c>
      <c r="B26" t="s">
        <v>256</v>
      </c>
      <c r="C26">
        <f>'Data from BVAbIC'!S2</f>
        <v>45826900000</v>
      </c>
      <c r="D26">
        <f>C26*(1+IF($A26="AEO",'Growth Rates'!D78,'Growth Rates'!D78*D$5))</f>
        <v>45981231826.527435</v>
      </c>
      <c r="E26">
        <f>D26*(1+IF($A26="AEO",'Growth Rates'!E78,'Growth Rates'!E78*E$5))</f>
        <v>45240919216.219788</v>
      </c>
      <c r="F26">
        <f>E26*(1+IF($A26="AEO",'Growth Rates'!F78,'Growth Rates'!F78*F$5))</f>
        <v>44457135610.084015</v>
      </c>
      <c r="G26">
        <f>F26*(1+IF($A26="AEO",'Growth Rates'!G78,'Growth Rates'!G78*G$5))</f>
        <v>44320823913.904648</v>
      </c>
      <c r="H26">
        <f>G26*(1+IF($A26="AEO",'Growth Rates'!H78,'Growth Rates'!H78*H$5))</f>
        <v>44195937309.965286</v>
      </c>
      <c r="I26">
        <f>H26*(1+IF($A26="AEO",'Growth Rates'!I78,'Growth Rates'!I78*I$5))</f>
        <v>44326364030.754349</v>
      </c>
      <c r="J26">
        <f>I26*(1+IF($A26="AEO",'Growth Rates'!J78,'Growth Rates'!J78*J$5))</f>
        <v>44657870238.675499</v>
      </c>
      <c r="K26">
        <f>J26*(1+IF($A26="AEO",'Growth Rates'!K78,'Growth Rates'!K78*K$5))</f>
        <v>44961866602.691368</v>
      </c>
      <c r="L26">
        <f>K26*(1+IF($A26="AEO",'Growth Rates'!L78,'Growth Rates'!L78*L$5))</f>
        <v>45383964300.836205</v>
      </c>
      <c r="M26">
        <f>L26*(1+IF($A26="AEO",'Growth Rates'!M78,'Growth Rates'!M78*M$5))</f>
        <v>45831565254.475342</v>
      </c>
      <c r="N26">
        <f>M26*(1+IF($A26="AEO",'Growth Rates'!N78,'Growth Rates'!N78*N$5))</f>
        <v>46269896227.432724</v>
      </c>
      <c r="O26">
        <f>N26*(1+IF($A26="AEO",'Growth Rates'!O78,'Growth Rates'!O78*O$5))</f>
        <v>46729208638.147194</v>
      </c>
      <c r="P26">
        <f>O26*(1+IF($A26="AEO",'Growth Rates'!P78,'Growth Rates'!P78*P$5))</f>
        <v>47144564809.600327</v>
      </c>
      <c r="Q26">
        <f>P26*(1+IF($A26="AEO",'Growth Rates'!Q78,'Growth Rates'!Q78*Q$5))</f>
        <v>47587534079.064537</v>
      </c>
      <c r="R26">
        <f>Q26*(1+IF($A26="AEO",'Growth Rates'!R78,'Growth Rates'!R78*R$5))</f>
        <v>48014428769.681778</v>
      </c>
      <c r="S26">
        <f>R26*(1+IF($A26="AEO",'Growth Rates'!S78,'Growth Rates'!S78*S$5))</f>
        <v>48253067827.92408</v>
      </c>
      <c r="T26">
        <f>S26*(1+IF($A26="AEO",'Growth Rates'!T78,'Growth Rates'!T78*T$5))</f>
        <v>48331277980.986969</v>
      </c>
      <c r="U26">
        <f>T26*(1+IF($A26="AEO",'Growth Rates'!U78,'Growth Rates'!U78*U$5))</f>
        <v>48313955705.974709</v>
      </c>
      <c r="V26">
        <f>U26*(1+IF($A26="AEO",'Growth Rates'!V78,'Growth Rates'!V78*V$5))</f>
        <v>48095871335.761543</v>
      </c>
      <c r="W26">
        <f>V26*(1+IF($A26="AEO",'Growth Rates'!W78,'Growth Rates'!W78*W$5))</f>
        <v>47792293583.218979</v>
      </c>
      <c r="X26">
        <f>W26*(1+IF($A26="AEO",'Growth Rates'!X78,'Growth Rates'!X78*X$5))</f>
        <v>47857573066.932503</v>
      </c>
      <c r="Y26">
        <f>X26*(1+IF($A26="AEO",'Growth Rates'!Y78,'Growth Rates'!Y78*Y$5))</f>
        <v>48158072524.655533</v>
      </c>
      <c r="Z26">
        <f>Y26*(1+IF($A26="AEO",'Growth Rates'!Z78,'Growth Rates'!Z78*Z$5))</f>
        <v>48470046921.428261</v>
      </c>
      <c r="AA26">
        <f>Z26*(1+IF($A26="AEO",'Growth Rates'!AA78,'Growth Rates'!AA78*AA$5))</f>
        <v>48790001385.5215</v>
      </c>
      <c r="AB26">
        <f>AA26*(1+IF($A26="AEO",'Growth Rates'!AB78,'Growth Rates'!AB78*AB$5))</f>
        <v>49100394926.329407</v>
      </c>
      <c r="AC26">
        <f>AB26*(1+IF($A26="AEO",'Growth Rates'!AC78,'Growth Rates'!AC78*AC$5))</f>
        <v>49461480129.399353</v>
      </c>
    </row>
    <row r="27" spans="1:29" x14ac:dyDescent="0.25">
      <c r="A27" t="s">
        <v>1235</v>
      </c>
      <c r="B27" t="s">
        <v>261</v>
      </c>
      <c r="C27">
        <f>'Data from BVAbIC'!T2</f>
        <v>42096300000</v>
      </c>
      <c r="D27">
        <f>C27*(1+IF($A27="AEO",'Growth Rates'!D79,'Growth Rates'!D79*D$5))</f>
        <v>41493530551.009384</v>
      </c>
      <c r="E27">
        <f>D27*(1+IF($A27="AEO",'Growth Rates'!E79,'Growth Rates'!E79*E$5))</f>
        <v>42346787310.596786</v>
      </c>
      <c r="F27">
        <f>E27*(1+IF($A27="AEO",'Growth Rates'!F79,'Growth Rates'!F79*F$5))</f>
        <v>43660661731.558022</v>
      </c>
      <c r="G27">
        <f>F27*(1+IF($A27="AEO",'Growth Rates'!G79,'Growth Rates'!G79*G$5))</f>
        <v>43595726423.673286</v>
      </c>
      <c r="H27">
        <f>G27*(1+IF($A27="AEO",'Growth Rates'!H79,'Growth Rates'!H79*H$5))</f>
        <v>43927603232.331711</v>
      </c>
      <c r="I27">
        <f>H27*(1+IF($A27="AEO",'Growth Rates'!I79,'Growth Rates'!I79*I$5))</f>
        <v>44755051489.749542</v>
      </c>
      <c r="J27">
        <f>I27*(1+IF($A27="AEO",'Growth Rates'!J79,'Growth Rates'!J79*J$5))</f>
        <v>45411716625.933815</v>
      </c>
      <c r="K27">
        <f>J27*(1+IF($A27="AEO",'Growth Rates'!K79,'Growth Rates'!K79*K$5))</f>
        <v>46244568055.785828</v>
      </c>
      <c r="L27">
        <f>K27*(1+IF($A27="AEO",'Growth Rates'!L79,'Growth Rates'!L79*L$5))</f>
        <v>46954572363.557602</v>
      </c>
      <c r="M27">
        <f>L27*(1+IF($A27="AEO",'Growth Rates'!M79,'Growth Rates'!M79*M$5))</f>
        <v>47284135570.735245</v>
      </c>
      <c r="N27">
        <f>M27*(1+IF($A27="AEO",'Growth Rates'!N79,'Growth Rates'!N79*N$5))</f>
        <v>47827137183.547989</v>
      </c>
      <c r="O27">
        <f>N27*(1+IF($A27="AEO",'Growth Rates'!O79,'Growth Rates'!O79*O$5))</f>
        <v>48101148008.707886</v>
      </c>
      <c r="P27">
        <f>O27*(1+IF($A27="AEO",'Growth Rates'!P79,'Growth Rates'!P79*P$5))</f>
        <v>48483588685.636818</v>
      </c>
      <c r="Q27">
        <f>P27*(1+IF($A27="AEO",'Growth Rates'!Q79,'Growth Rates'!Q79*Q$5))</f>
        <v>48744241923.796585</v>
      </c>
      <c r="R27">
        <f>Q27*(1+IF($A27="AEO",'Growth Rates'!R79,'Growth Rates'!R79*R$5))</f>
        <v>48943254086.973442</v>
      </c>
      <c r="S27">
        <f>R27*(1+IF($A27="AEO",'Growth Rates'!S79,'Growth Rates'!S79*S$5))</f>
        <v>49398254941.817657</v>
      </c>
      <c r="T27">
        <f>S27*(1+IF($A27="AEO",'Growth Rates'!T79,'Growth Rates'!T79*T$5))</f>
        <v>49914672810.459549</v>
      </c>
      <c r="U27">
        <f>T27*(1+IF($A27="AEO",'Growth Rates'!U79,'Growth Rates'!U79*U$5))</f>
        <v>50397413361.498375</v>
      </c>
      <c r="V27">
        <f>U27*(1+IF($A27="AEO",'Growth Rates'!V79,'Growth Rates'!V79*V$5))</f>
        <v>50773679746.329681</v>
      </c>
      <c r="W27">
        <f>V27*(1+IF($A27="AEO",'Growth Rates'!W79,'Growth Rates'!W79*W$5))</f>
        <v>51133987106.50383</v>
      </c>
      <c r="X27">
        <f>W27*(1+IF($A27="AEO",'Growth Rates'!X79,'Growth Rates'!X79*X$5))</f>
        <v>51741630371.254005</v>
      </c>
      <c r="Y27">
        <f>X27*(1+IF($A27="AEO",'Growth Rates'!Y79,'Growth Rates'!Y79*Y$5))</f>
        <v>52180159334.117729</v>
      </c>
      <c r="Z27">
        <f>Y27*(1+IF($A27="AEO",'Growth Rates'!Z79,'Growth Rates'!Z79*Z$5))</f>
        <v>52763903709.072403</v>
      </c>
      <c r="AA27">
        <f>Z27*(1+IF($A27="AEO",'Growth Rates'!AA79,'Growth Rates'!AA79*AA$5))</f>
        <v>53227671564.014694</v>
      </c>
      <c r="AB27">
        <f>AA27*(1+IF($A27="AEO",'Growth Rates'!AB79,'Growth Rates'!AB79*AB$5))</f>
        <v>53443441757.91507</v>
      </c>
      <c r="AC27">
        <f>AB27*(1+IF($A27="AEO",'Growth Rates'!AC79,'Growth Rates'!AC79*AC$5))</f>
        <v>53858122511.489464</v>
      </c>
    </row>
    <row r="28" spans="1:29" x14ac:dyDescent="0.25">
      <c r="A28" t="s">
        <v>1235</v>
      </c>
      <c r="B28" t="s">
        <v>266</v>
      </c>
      <c r="C28">
        <f>'Data from BVAbIC'!U2</f>
        <v>19343900000</v>
      </c>
      <c r="D28">
        <f>C28*(1+IF($A28="AEO",'Growth Rates'!D80,'Growth Rates'!D80*D$5))</f>
        <v>19349204697.292946</v>
      </c>
      <c r="E28">
        <f>D28*(1+IF($A28="AEO",'Growth Rates'!E80,'Growth Rates'!E80*E$5))</f>
        <v>19339945329.08646</v>
      </c>
      <c r="F28">
        <f>E28*(1+IF($A28="AEO",'Growth Rates'!F80,'Growth Rates'!F80*F$5))</f>
        <v>19465136934.836044</v>
      </c>
      <c r="G28">
        <f>F28*(1+IF($A28="AEO",'Growth Rates'!G80,'Growth Rates'!G80*G$5))</f>
        <v>19570350739.822174</v>
      </c>
      <c r="H28">
        <f>G28*(1+IF($A28="AEO",'Growth Rates'!H80,'Growth Rates'!H80*H$5))</f>
        <v>19644069437.977905</v>
      </c>
      <c r="I28">
        <f>H28*(1+IF($A28="AEO",'Growth Rates'!I80,'Growth Rates'!I80*I$5))</f>
        <v>19736742342.943592</v>
      </c>
      <c r="J28">
        <f>I28*(1+IF($A28="AEO",'Growth Rates'!J80,'Growth Rates'!J80*J$5))</f>
        <v>19837031209.445423</v>
      </c>
      <c r="K28">
        <f>J28*(1+IF($A28="AEO",'Growth Rates'!K80,'Growth Rates'!K80*K$5))</f>
        <v>19961257488.40731</v>
      </c>
      <c r="L28">
        <f>K28*(1+IF($A28="AEO",'Growth Rates'!L80,'Growth Rates'!L80*L$5))</f>
        <v>20114206413.413109</v>
      </c>
      <c r="M28">
        <f>L28*(1+IF($A28="AEO",'Growth Rates'!M80,'Growth Rates'!M80*M$5))</f>
        <v>20289727391.034866</v>
      </c>
      <c r="N28">
        <f>M28*(1+IF($A28="AEO",'Growth Rates'!N80,'Growth Rates'!N80*N$5))</f>
        <v>20494213453.814354</v>
      </c>
      <c r="O28">
        <f>N28*(1+IF($A28="AEO",'Growth Rates'!O80,'Growth Rates'!O80*O$5))</f>
        <v>20709328163.196507</v>
      </c>
      <c r="P28">
        <f>O28*(1+IF($A28="AEO",'Growth Rates'!P80,'Growth Rates'!P80*P$5))</f>
        <v>20923330174.158173</v>
      </c>
      <c r="Q28">
        <f>P28*(1+IF($A28="AEO",'Growth Rates'!Q80,'Growth Rates'!Q80*Q$5))</f>
        <v>21138485772.779476</v>
      </c>
      <c r="R28">
        <f>Q28*(1+IF($A28="AEO",'Growth Rates'!R80,'Growth Rates'!R80*R$5))</f>
        <v>21352091498.865005</v>
      </c>
      <c r="S28">
        <f>R28*(1+IF($A28="AEO",'Growth Rates'!S80,'Growth Rates'!S80*S$5))</f>
        <v>21567408950.724628</v>
      </c>
      <c r="T28">
        <f>S28*(1+IF($A28="AEO",'Growth Rates'!T80,'Growth Rates'!T80*T$5))</f>
        <v>21786697429.193451</v>
      </c>
      <c r="U28">
        <f>T28*(1+IF($A28="AEO",'Growth Rates'!U80,'Growth Rates'!U80*U$5))</f>
        <v>22007573602.74427</v>
      </c>
      <c r="V28">
        <f>U28*(1+IF($A28="AEO",'Growth Rates'!V80,'Growth Rates'!V80*V$5))</f>
        <v>22228308878.791832</v>
      </c>
      <c r="W28">
        <f>V28*(1+IF($A28="AEO",'Growth Rates'!W80,'Growth Rates'!W80*W$5))</f>
        <v>22445667725.916237</v>
      </c>
      <c r="X28">
        <f>W28*(1+IF($A28="AEO",'Growth Rates'!X80,'Growth Rates'!X80*X$5))</f>
        <v>22659188777.202351</v>
      </c>
      <c r="Y28">
        <f>X28*(1+IF($A28="AEO",'Growth Rates'!Y80,'Growth Rates'!Y80*Y$5))</f>
        <v>22867043431.800835</v>
      </c>
      <c r="Z28">
        <f>Y28*(1+IF($A28="AEO",'Growth Rates'!Z80,'Growth Rates'!Z80*Z$5))</f>
        <v>23065906883.45295</v>
      </c>
      <c r="AA28">
        <f>Z28*(1+IF($A28="AEO",'Growth Rates'!AA80,'Growth Rates'!AA80*AA$5))</f>
        <v>23253021323.349583</v>
      </c>
      <c r="AB28">
        <f>AA28*(1+IF($A28="AEO",'Growth Rates'!AB80,'Growth Rates'!AB80*AB$5))</f>
        <v>23427162629.893543</v>
      </c>
      <c r="AC28">
        <f>AB28*(1+IF($A28="AEO",'Growth Rates'!AC80,'Growth Rates'!AC80*AC$5))</f>
        <v>23593154540.702232</v>
      </c>
    </row>
    <row r="29" spans="1:29" x14ac:dyDescent="0.25">
      <c r="A29" t="s">
        <v>1235</v>
      </c>
      <c r="B29" t="s">
        <v>273</v>
      </c>
      <c r="C29">
        <f>'Data from BVAbIC'!V2</f>
        <v>139456000000</v>
      </c>
      <c r="D29">
        <f>C29*(1+IF($A29="AEO",'Growth Rates'!D81,'Growth Rates'!D81*D$5))</f>
        <v>143058852991.24399</v>
      </c>
      <c r="E29">
        <f>D29*(1+IF($A29="AEO",'Growth Rates'!E81,'Growth Rates'!E81*E$5))</f>
        <v>146106403333.69769</v>
      </c>
      <c r="F29">
        <f>E29*(1+IF($A29="AEO",'Growth Rates'!F81,'Growth Rates'!F81*F$5))</f>
        <v>148648068908.34555</v>
      </c>
      <c r="G29">
        <f>F29*(1+IF($A29="AEO",'Growth Rates'!G81,'Growth Rates'!G81*G$5))</f>
        <v>147354722393.45901</v>
      </c>
      <c r="H29">
        <f>G29*(1+IF($A29="AEO",'Growth Rates'!H81,'Growth Rates'!H81*H$5))</f>
        <v>146805020050.53784</v>
      </c>
      <c r="I29">
        <f>H29*(1+IF($A29="AEO",'Growth Rates'!I81,'Growth Rates'!I81*I$5))</f>
        <v>146774443376.43048</v>
      </c>
      <c r="J29">
        <f>I29*(1+IF($A29="AEO",'Growth Rates'!J81,'Growth Rates'!J81*J$5))</f>
        <v>146957142635.24533</v>
      </c>
      <c r="K29">
        <f>J29*(1+IF($A29="AEO",'Growth Rates'!K81,'Growth Rates'!K81*K$5))</f>
        <v>148354925217.96979</v>
      </c>
      <c r="L29">
        <f>K29*(1+IF($A29="AEO",'Growth Rates'!L81,'Growth Rates'!L81*L$5))</f>
        <v>149430183483.75134</v>
      </c>
      <c r="M29">
        <f>L29*(1+IF($A29="AEO",'Growth Rates'!M81,'Growth Rates'!M81*M$5))</f>
        <v>151294479937.06863</v>
      </c>
      <c r="N29">
        <f>M29*(1+IF($A29="AEO",'Growth Rates'!N81,'Growth Rates'!N81*N$5))</f>
        <v>153081314560.48254</v>
      </c>
      <c r="O29">
        <f>N29*(1+IF($A29="AEO",'Growth Rates'!O81,'Growth Rates'!O81*O$5))</f>
        <v>154292499894.45163</v>
      </c>
      <c r="P29">
        <f>O29*(1+IF($A29="AEO",'Growth Rates'!P81,'Growth Rates'!P81*P$5))</f>
        <v>155654485429.03198</v>
      </c>
      <c r="Q29">
        <f>P29*(1+IF($A29="AEO",'Growth Rates'!Q81,'Growth Rates'!Q81*Q$5))</f>
        <v>157277602630.61597</v>
      </c>
      <c r="R29">
        <f>Q29*(1+IF($A29="AEO",'Growth Rates'!R81,'Growth Rates'!R81*R$5))</f>
        <v>158397832560.56195</v>
      </c>
      <c r="S29">
        <f>R29*(1+IF($A29="AEO",'Growth Rates'!S81,'Growth Rates'!S81*S$5))</f>
        <v>159965199837.6492</v>
      </c>
      <c r="T29">
        <f>S29*(1+IF($A29="AEO",'Growth Rates'!T81,'Growth Rates'!T81*T$5))</f>
        <v>161411105582.20108</v>
      </c>
      <c r="U29">
        <f>T29*(1+IF($A29="AEO",'Growth Rates'!U81,'Growth Rates'!U81*U$5))</f>
        <v>163019518407.49069</v>
      </c>
      <c r="V29">
        <f>U29*(1+IF($A29="AEO",'Growth Rates'!V81,'Growth Rates'!V81*V$5))</f>
        <v>164670271500.13962</v>
      </c>
      <c r="W29">
        <f>V29*(1+IF($A29="AEO",'Growth Rates'!W81,'Growth Rates'!W81*W$5))</f>
        <v>167010241685.43576</v>
      </c>
      <c r="X29">
        <f>W29*(1+IF($A29="AEO",'Growth Rates'!X81,'Growth Rates'!X81*X$5))</f>
        <v>169279912493.60074</v>
      </c>
      <c r="Y29">
        <f>X29*(1+IF($A29="AEO",'Growth Rates'!Y81,'Growth Rates'!Y81*Y$5))</f>
        <v>171284835366.11966</v>
      </c>
      <c r="Z29">
        <f>Y29*(1+IF($A29="AEO",'Growth Rates'!Z81,'Growth Rates'!Z81*Z$5))</f>
        <v>172338227263.91708</v>
      </c>
      <c r="AA29">
        <f>Z29*(1+IF($A29="AEO",'Growth Rates'!AA81,'Growth Rates'!AA81*AA$5))</f>
        <v>172947000246.20969</v>
      </c>
      <c r="AB29">
        <f>AA29*(1+IF($A29="AEO",'Growth Rates'!AB81,'Growth Rates'!AB81*AB$5))</f>
        <v>174805991486.3432</v>
      </c>
      <c r="AC29">
        <f>AB29*(1+IF($A29="AEO",'Growth Rates'!AC81,'Growth Rates'!AC81*AC$5))</f>
        <v>176493624709.5079</v>
      </c>
    </row>
    <row r="30" spans="1:29" x14ac:dyDescent="0.25">
      <c r="A30" t="s">
        <v>1235</v>
      </c>
      <c r="B30" t="s">
        <v>299</v>
      </c>
      <c r="C30">
        <f>'Data from BVAbIC'!W2</f>
        <v>219416000000</v>
      </c>
      <c r="D30">
        <f>C30*(1+IF($A30="AEO",'Growth Rates'!D82,'Growth Rates'!D82*D$5))</f>
        <v>205045097810.34311</v>
      </c>
      <c r="E30">
        <f>D30*(1+IF($A30="AEO",'Growth Rates'!E82,'Growth Rates'!E82*E$5))</f>
        <v>207196503885.12372</v>
      </c>
      <c r="F30">
        <f>E30*(1+IF($A30="AEO",'Growth Rates'!F82,'Growth Rates'!F82*F$5))</f>
        <v>214960357882.98877</v>
      </c>
      <c r="G30">
        <f>F30*(1+IF($A30="AEO",'Growth Rates'!G82,'Growth Rates'!G82*G$5))</f>
        <v>220109157894.19186</v>
      </c>
      <c r="H30">
        <f>G30*(1+IF($A30="AEO",'Growth Rates'!H82,'Growth Rates'!H82*H$5))</f>
        <v>225712428709.05728</v>
      </c>
      <c r="I30">
        <f>H30*(1+IF($A30="AEO",'Growth Rates'!I82,'Growth Rates'!I82*I$5))</f>
        <v>230327581173.80588</v>
      </c>
      <c r="J30">
        <f>I30*(1+IF($A30="AEO",'Growth Rates'!J82,'Growth Rates'!J82*J$5))</f>
        <v>234025238731.00803</v>
      </c>
      <c r="K30">
        <f>J30*(1+IF($A30="AEO",'Growth Rates'!K82,'Growth Rates'!K82*K$5))</f>
        <v>238518042551.45459</v>
      </c>
      <c r="L30">
        <f>K30*(1+IF($A30="AEO",'Growth Rates'!L82,'Growth Rates'!L82*L$5))</f>
        <v>241816696856.06232</v>
      </c>
      <c r="M30">
        <f>L30*(1+IF($A30="AEO",'Growth Rates'!M82,'Growth Rates'!M82*M$5))</f>
        <v>246084220222.12241</v>
      </c>
      <c r="N30">
        <f>M30*(1+IF($A30="AEO",'Growth Rates'!N82,'Growth Rates'!N82*N$5))</f>
        <v>251123363164.68045</v>
      </c>
      <c r="O30">
        <f>N30*(1+IF($A30="AEO",'Growth Rates'!O82,'Growth Rates'!O82*O$5))</f>
        <v>256113733397.23486</v>
      </c>
      <c r="P30">
        <f>O30*(1+IF($A30="AEO",'Growth Rates'!P82,'Growth Rates'!P82*P$5))</f>
        <v>261494980923.05219</v>
      </c>
      <c r="Q30">
        <f>P30*(1+IF($A30="AEO",'Growth Rates'!Q82,'Growth Rates'!Q82*Q$5))</f>
        <v>266871845836.16916</v>
      </c>
      <c r="R30">
        <f>Q30*(1+IF($A30="AEO",'Growth Rates'!R82,'Growth Rates'!R82*R$5))</f>
        <v>272695466479.14029</v>
      </c>
      <c r="S30">
        <f>R30*(1+IF($A30="AEO",'Growth Rates'!S82,'Growth Rates'!S82*S$5))</f>
        <v>278757241158.48505</v>
      </c>
      <c r="T30">
        <f>S30*(1+IF($A30="AEO",'Growth Rates'!T82,'Growth Rates'!T82*T$5))</f>
        <v>284717971907.10413</v>
      </c>
      <c r="U30">
        <f>T30*(1+IF($A30="AEO",'Growth Rates'!U82,'Growth Rates'!U82*U$5))</f>
        <v>291140553940.73468</v>
      </c>
      <c r="V30">
        <f>U30*(1+IF($A30="AEO",'Growth Rates'!V82,'Growth Rates'!V82*V$5))</f>
        <v>297920990836.92291</v>
      </c>
      <c r="W30">
        <f>V30*(1+IF($A30="AEO",'Growth Rates'!W82,'Growth Rates'!W82*W$5))</f>
        <v>305418537660.34985</v>
      </c>
      <c r="X30">
        <f>W30*(1+IF($A30="AEO",'Growth Rates'!X82,'Growth Rates'!X82*X$5))</f>
        <v>313338949514.22424</v>
      </c>
      <c r="Y30">
        <f>X30*(1+IF($A30="AEO",'Growth Rates'!Y82,'Growth Rates'!Y82*Y$5))</f>
        <v>321674068525.7757</v>
      </c>
      <c r="Z30">
        <f>Y30*(1+IF($A30="AEO",'Growth Rates'!Z82,'Growth Rates'!Z82*Z$5))</f>
        <v>329711045710.4809</v>
      </c>
      <c r="AA30">
        <f>Z30*(1+IF($A30="AEO",'Growth Rates'!AA82,'Growth Rates'!AA82*AA$5))</f>
        <v>337789384706.34418</v>
      </c>
      <c r="AB30">
        <f>AA30*(1+IF($A30="AEO",'Growth Rates'!AB82,'Growth Rates'!AB82*AB$5))</f>
        <v>346031220237.89874</v>
      </c>
      <c r="AC30">
        <f>AB30*(1+IF($A30="AEO",'Growth Rates'!AC82,'Growth Rates'!AC82*AC$5))</f>
        <v>353392509642.86835</v>
      </c>
    </row>
    <row r="31" spans="1:29" x14ac:dyDescent="0.25">
      <c r="A31" t="s">
        <v>1235</v>
      </c>
      <c r="B31" t="s">
        <v>314</v>
      </c>
      <c r="C31">
        <f>'Data from BVAbIC'!X2</f>
        <v>58678400000</v>
      </c>
      <c r="D31">
        <f>C31*(1+IF($A31="AEO",'Growth Rates'!D83,'Growth Rates'!D83*D$5))</f>
        <v>59240762959.360741</v>
      </c>
      <c r="E31">
        <f>D31*(1+IF($A31="AEO",'Growth Rates'!E83,'Growth Rates'!E83*E$5))</f>
        <v>58459925165.97081</v>
      </c>
      <c r="F31">
        <f>E31*(1+IF($A31="AEO",'Growth Rates'!F83,'Growth Rates'!F83*F$5))</f>
        <v>58138636642.228416</v>
      </c>
      <c r="G31">
        <f>F31*(1+IF($A31="AEO",'Growth Rates'!G83,'Growth Rates'!G83*G$5))</f>
        <v>57228188037.969551</v>
      </c>
      <c r="H31">
        <f>G31*(1+IF($A31="AEO",'Growth Rates'!H83,'Growth Rates'!H83*H$5))</f>
        <v>57016670009.21582</v>
      </c>
      <c r="I31">
        <f>H31*(1+IF($A31="AEO",'Growth Rates'!I83,'Growth Rates'!I83*I$5))</f>
        <v>58044843963.905388</v>
      </c>
      <c r="J31">
        <f>I31*(1+IF($A31="AEO",'Growth Rates'!J83,'Growth Rates'!J83*J$5))</f>
        <v>58980822220.694008</v>
      </c>
      <c r="K31">
        <f>J31*(1+IF($A31="AEO",'Growth Rates'!K83,'Growth Rates'!K83*K$5))</f>
        <v>59972287659.8993</v>
      </c>
      <c r="L31">
        <f>K31*(1+IF($A31="AEO",'Growth Rates'!L83,'Growth Rates'!L83*L$5))</f>
        <v>60300308139.682442</v>
      </c>
      <c r="M31">
        <f>L31*(1+IF($A31="AEO",'Growth Rates'!M83,'Growth Rates'!M83*M$5))</f>
        <v>60567396980.746368</v>
      </c>
      <c r="N31">
        <f>M31*(1+IF($A31="AEO",'Growth Rates'!N83,'Growth Rates'!N83*N$5))</f>
        <v>61216442074.36834</v>
      </c>
      <c r="O31">
        <f>N31*(1+IF($A31="AEO",'Growth Rates'!O83,'Growth Rates'!O83*O$5))</f>
        <v>61679914938.122803</v>
      </c>
      <c r="P31">
        <f>O31*(1+IF($A31="AEO",'Growth Rates'!P83,'Growth Rates'!P83*P$5))</f>
        <v>62108441022.713104</v>
      </c>
      <c r="Q31">
        <f>P31*(1+IF($A31="AEO",'Growth Rates'!Q83,'Growth Rates'!Q83*Q$5))</f>
        <v>62420173704.368935</v>
      </c>
      <c r="R31">
        <f>Q31*(1+IF($A31="AEO",'Growth Rates'!R83,'Growth Rates'!R83*R$5))</f>
        <v>62717025272.753403</v>
      </c>
      <c r="S31">
        <f>R31*(1+IF($A31="AEO",'Growth Rates'!S83,'Growth Rates'!S83*S$5))</f>
        <v>63130054788.149246</v>
      </c>
      <c r="T31">
        <f>S31*(1+IF($A31="AEO",'Growth Rates'!T83,'Growth Rates'!T83*T$5))</f>
        <v>63487409830.229126</v>
      </c>
      <c r="U31">
        <f>T31*(1+IF($A31="AEO",'Growth Rates'!U83,'Growth Rates'!U83*U$5))</f>
        <v>63905268346.004425</v>
      </c>
      <c r="V31">
        <f>U31*(1+IF($A31="AEO",'Growth Rates'!V83,'Growth Rates'!V83*V$5))</f>
        <v>64261698952.255157</v>
      </c>
      <c r="W31">
        <f>V31*(1+IF($A31="AEO",'Growth Rates'!W83,'Growth Rates'!W83*W$5))</f>
        <v>64604791842.431396</v>
      </c>
      <c r="X31">
        <f>W31*(1+IF($A31="AEO",'Growth Rates'!X83,'Growth Rates'!X83*X$5))</f>
        <v>65011772963.49115</v>
      </c>
      <c r="Y31">
        <f>X31*(1+IF($A31="AEO",'Growth Rates'!Y83,'Growth Rates'!Y83*Y$5))</f>
        <v>65529476057.370201</v>
      </c>
      <c r="Z31">
        <f>Y31*(1+IF($A31="AEO",'Growth Rates'!Z83,'Growth Rates'!Z83*Z$5))</f>
        <v>66042617566.218002</v>
      </c>
      <c r="AA31">
        <f>Z31*(1+IF($A31="AEO",'Growth Rates'!AA83,'Growth Rates'!AA83*AA$5))</f>
        <v>66490082566.638481</v>
      </c>
      <c r="AB31">
        <f>AA31*(1+IF($A31="AEO",'Growth Rates'!AB83,'Growth Rates'!AB83*AB$5))</f>
        <v>66853898143.188484</v>
      </c>
      <c r="AC31">
        <f>AB31*(1+IF($A31="AEO",'Growth Rates'!AC83,'Growth Rates'!AC83*AC$5))</f>
        <v>67108245193.766586</v>
      </c>
    </row>
    <row r="32" spans="1:29" x14ac:dyDescent="0.25">
      <c r="A32" t="s">
        <v>1235</v>
      </c>
      <c r="B32" t="s">
        <v>288</v>
      </c>
      <c r="C32">
        <f>'Data from BVAbIC'!Y2</f>
        <v>152693000000</v>
      </c>
      <c r="D32">
        <f>C32*(1+IF($A32="AEO",'Growth Rates'!D84,'Growth Rates'!D84*D$5))</f>
        <v>156409003367.76013</v>
      </c>
      <c r="E32">
        <f>D32*(1+IF($A32="AEO",'Growth Rates'!E84,'Growth Rates'!E84*E$5))</f>
        <v>153208600935.64804</v>
      </c>
      <c r="F32">
        <f>E32*(1+IF($A32="AEO",'Growth Rates'!F84,'Growth Rates'!F84*F$5))</f>
        <v>156902399820.84283</v>
      </c>
      <c r="G32">
        <f>F32*(1+IF($A32="AEO",'Growth Rates'!G84,'Growth Rates'!G84*G$5))</f>
        <v>159856776524.6452</v>
      </c>
      <c r="H32">
        <f>G32*(1+IF($A32="AEO",'Growth Rates'!H84,'Growth Rates'!H84*H$5))</f>
        <v>162966204933.11771</v>
      </c>
      <c r="I32">
        <f>H32*(1+IF($A32="AEO",'Growth Rates'!I84,'Growth Rates'!I84*I$5))</f>
        <v>165066088731.44122</v>
      </c>
      <c r="J32">
        <f>I32*(1+IF($A32="AEO",'Growth Rates'!J84,'Growth Rates'!J84*J$5))</f>
        <v>168286709150.38977</v>
      </c>
      <c r="K32">
        <f>J32*(1+IF($A32="AEO",'Growth Rates'!K84,'Growth Rates'!K84*K$5))</f>
        <v>171019828043.612</v>
      </c>
      <c r="L32">
        <f>K32*(1+IF($A32="AEO",'Growth Rates'!L84,'Growth Rates'!L84*L$5))</f>
        <v>171196458615.34967</v>
      </c>
      <c r="M32">
        <f>L32*(1+IF($A32="AEO",'Growth Rates'!M84,'Growth Rates'!M84*M$5))</f>
        <v>172528383250.17639</v>
      </c>
      <c r="N32">
        <f>M32*(1+IF($A32="AEO",'Growth Rates'!N84,'Growth Rates'!N84*N$5))</f>
        <v>174775157058.44086</v>
      </c>
      <c r="O32">
        <f>N32*(1+IF($A32="AEO",'Growth Rates'!O84,'Growth Rates'!O84*O$5))</f>
        <v>176390353832.20874</v>
      </c>
      <c r="P32">
        <f>O32*(1+IF($A32="AEO",'Growth Rates'!P84,'Growth Rates'!P84*P$5))</f>
        <v>177472326886.19171</v>
      </c>
      <c r="Q32">
        <f>P32*(1+IF($A32="AEO",'Growth Rates'!Q84,'Growth Rates'!Q84*Q$5))</f>
        <v>177906054684.74545</v>
      </c>
      <c r="R32">
        <f>Q32*(1+IF($A32="AEO",'Growth Rates'!R84,'Growth Rates'!R84*R$5))</f>
        <v>177961251802.46094</v>
      </c>
      <c r="S32">
        <f>R32*(1+IF($A32="AEO",'Growth Rates'!S84,'Growth Rates'!S84*S$5))</f>
        <v>178734215377.56049</v>
      </c>
      <c r="T32">
        <f>S32*(1+IF($A32="AEO",'Growth Rates'!T84,'Growth Rates'!T84*T$5))</f>
        <v>179417596552.02783</v>
      </c>
      <c r="U32">
        <f>T32*(1+IF($A32="AEO",'Growth Rates'!U84,'Growth Rates'!U84*U$5))</f>
        <v>180064622856.37659</v>
      </c>
      <c r="V32">
        <f>U32*(1+IF($A32="AEO",'Growth Rates'!V84,'Growth Rates'!V84*V$5))</f>
        <v>180398792223.38745</v>
      </c>
      <c r="W32">
        <f>V32*(1+IF($A32="AEO",'Growth Rates'!W84,'Growth Rates'!W84*W$5))</f>
        <v>180664692131.81863</v>
      </c>
      <c r="X32">
        <f>W32*(1+IF($A32="AEO",'Growth Rates'!X84,'Growth Rates'!X84*X$5))</f>
        <v>181232769449.47922</v>
      </c>
      <c r="Y32">
        <f>X32*(1+IF($A32="AEO",'Growth Rates'!Y84,'Growth Rates'!Y84*Y$5))</f>
        <v>182084650243.73138</v>
      </c>
      <c r="Z32">
        <f>Y32*(1+IF($A32="AEO",'Growth Rates'!Z84,'Growth Rates'!Z84*Z$5))</f>
        <v>183054525400.0965</v>
      </c>
      <c r="AA32">
        <f>Z32*(1+IF($A32="AEO",'Growth Rates'!AA84,'Growth Rates'!AA84*AA$5))</f>
        <v>183588843050.33817</v>
      </c>
      <c r="AB32">
        <f>AA32*(1+IF($A32="AEO",'Growth Rates'!AB84,'Growth Rates'!AB84*AB$5))</f>
        <v>183735936474.98233</v>
      </c>
      <c r="AC32">
        <f>AB32*(1+IF($A32="AEO",'Growth Rates'!AC84,'Growth Rates'!AC84*AC$5))</f>
        <v>183615878760.19971</v>
      </c>
    </row>
    <row r="33" spans="1:29" x14ac:dyDescent="0.25">
      <c r="A33" t="s">
        <v>1235</v>
      </c>
      <c r="B33" t="s">
        <v>327</v>
      </c>
      <c r="C33">
        <f>'Data from BVAbIC'!Z2</f>
        <v>136030000000</v>
      </c>
      <c r="D33">
        <f>C33*(1+IF($A33="AEO",'Growth Rates'!D85,'Growth Rates'!D85*D$5))</f>
        <v>127705940361.01347</v>
      </c>
      <c r="E33">
        <f>D33*(1+IF($A33="AEO",'Growth Rates'!E85,'Growth Rates'!E85*E$5))</f>
        <v>128081151761.67984</v>
      </c>
      <c r="F33">
        <f>E33*(1+IF($A33="AEO",'Growth Rates'!F85,'Growth Rates'!F85*F$5))</f>
        <v>136193721043.28929</v>
      </c>
      <c r="G33">
        <f>F33*(1+IF($A33="AEO",'Growth Rates'!G85,'Growth Rates'!G85*G$5))</f>
        <v>138863739394.2536</v>
      </c>
      <c r="H33">
        <f>G33*(1+IF($A33="AEO",'Growth Rates'!H85,'Growth Rates'!H85*H$5))</f>
        <v>141076172695.63654</v>
      </c>
      <c r="I33">
        <f>H33*(1+IF($A33="AEO",'Growth Rates'!I85,'Growth Rates'!I85*I$5))</f>
        <v>143423881506.78473</v>
      </c>
      <c r="J33">
        <f>I33*(1+IF($A33="AEO",'Growth Rates'!J85,'Growth Rates'!J85*J$5))</f>
        <v>144385133556.26898</v>
      </c>
      <c r="K33">
        <f>J33*(1+IF($A33="AEO",'Growth Rates'!K85,'Growth Rates'!K85*K$5))</f>
        <v>146678439792.44714</v>
      </c>
      <c r="L33">
        <f>K33*(1+IF($A33="AEO",'Growth Rates'!L85,'Growth Rates'!L85*L$5))</f>
        <v>147692523502.12967</v>
      </c>
      <c r="M33">
        <f>L33*(1+IF($A33="AEO",'Growth Rates'!M85,'Growth Rates'!M85*M$5))</f>
        <v>148114073448.60425</v>
      </c>
      <c r="N33">
        <f>M33*(1+IF($A33="AEO",'Growth Rates'!N85,'Growth Rates'!N85*N$5))</f>
        <v>148683776328.98383</v>
      </c>
      <c r="O33">
        <f>N33*(1+IF($A33="AEO",'Growth Rates'!O85,'Growth Rates'!O85*O$5))</f>
        <v>150211807293.39655</v>
      </c>
      <c r="P33">
        <f>O33*(1+IF($A33="AEO",'Growth Rates'!P85,'Growth Rates'!P85*P$5))</f>
        <v>153302006996.63605</v>
      </c>
      <c r="Q33">
        <f>P33*(1+IF($A33="AEO",'Growth Rates'!Q85,'Growth Rates'!Q85*Q$5))</f>
        <v>156168764140.0191</v>
      </c>
      <c r="R33">
        <f>Q33*(1+IF($A33="AEO",'Growth Rates'!R85,'Growth Rates'!R85*R$5))</f>
        <v>159090857106.60443</v>
      </c>
      <c r="S33">
        <f>R33*(1+IF($A33="AEO",'Growth Rates'!S85,'Growth Rates'!S85*S$5))</f>
        <v>161798170350.23459</v>
      </c>
      <c r="T33">
        <f>S33*(1+IF($A33="AEO",'Growth Rates'!T85,'Growth Rates'!T85*T$5))</f>
        <v>164186642170.10724</v>
      </c>
      <c r="U33">
        <f>T33*(1+IF($A33="AEO",'Growth Rates'!U85,'Growth Rates'!U85*U$5))</f>
        <v>166590697642.88425</v>
      </c>
      <c r="V33">
        <f>U33*(1+IF($A33="AEO",'Growth Rates'!V85,'Growth Rates'!V85*V$5))</f>
        <v>168708665201.19244</v>
      </c>
      <c r="W33">
        <f>V33*(1+IF($A33="AEO",'Growth Rates'!W85,'Growth Rates'!W85*W$5))</f>
        <v>170884379102.36893</v>
      </c>
      <c r="X33">
        <f>W33*(1+IF($A33="AEO",'Growth Rates'!X85,'Growth Rates'!X85*X$5))</f>
        <v>173167933945.61908</v>
      </c>
      <c r="Y33">
        <f>X33*(1+IF($A33="AEO",'Growth Rates'!Y85,'Growth Rates'!Y85*Y$5))</f>
        <v>175336416032.98569</v>
      </c>
      <c r="Z33">
        <f>Y33*(1+IF($A33="AEO",'Growth Rates'!Z85,'Growth Rates'!Z85*Z$5))</f>
        <v>177323245078.57278</v>
      </c>
      <c r="AA33">
        <f>Z33*(1+IF($A33="AEO",'Growth Rates'!AA85,'Growth Rates'!AA85*AA$5))</f>
        <v>179355627467.39404</v>
      </c>
      <c r="AB33">
        <f>AA33*(1+IF($A33="AEO",'Growth Rates'!AB85,'Growth Rates'!AB85*AB$5))</f>
        <v>181213339931.92499</v>
      </c>
      <c r="AC33">
        <f>AB33*(1+IF($A33="AEO",'Growth Rates'!AC85,'Growth Rates'!AC85*AC$5))</f>
        <v>182717357814.14459</v>
      </c>
    </row>
    <row r="34" spans="1:29" x14ac:dyDescent="0.25">
      <c r="B34" t="s">
        <v>339</v>
      </c>
      <c r="C34">
        <f>'Data from BVAbIC'!AA2</f>
        <v>14323093965.29431</v>
      </c>
      <c r="D34">
        <f>C34*(1+IF($A34="AEO",'Growth Rates'!D86,'Growth Rates'!D86*D$5))</f>
        <v>14493475407.10253</v>
      </c>
      <c r="E34">
        <f>D34*(1+IF($A34="AEO",'Growth Rates'!E86,'Growth Rates'!E86*E$5))</f>
        <v>14771883896.307535</v>
      </c>
      <c r="F34">
        <f>E34*(1+IF($A34="AEO",'Growth Rates'!F86,'Growth Rates'!F86*F$5))</f>
        <v>14956742791.640551</v>
      </c>
      <c r="G34">
        <f>F34*(1+IF($A34="AEO",'Growth Rates'!G86,'Growth Rates'!G86*G$5))</f>
        <v>15083640558.760439</v>
      </c>
      <c r="H34">
        <f>G34*(1+IF($A34="AEO",'Growth Rates'!H86,'Growth Rates'!H86*H$5))</f>
        <v>15235593768.40834</v>
      </c>
      <c r="I34">
        <f>H34*(1+IF($A34="AEO",'Growth Rates'!I86,'Growth Rates'!I86*I$5))</f>
        <v>15408473113.364117</v>
      </c>
      <c r="J34">
        <f>I34*(1+IF($A34="AEO",'Growth Rates'!J86,'Growth Rates'!J86*J$5))</f>
        <v>15577224026.560905</v>
      </c>
      <c r="K34">
        <f>J34*(1+IF($A34="AEO",'Growth Rates'!K86,'Growth Rates'!K86*K$5))</f>
        <v>15768066278.743778</v>
      </c>
      <c r="L34">
        <f>K34*(1+IF($A34="AEO",'Growth Rates'!L86,'Growth Rates'!L86*L$5))</f>
        <v>15973622992.872496</v>
      </c>
      <c r="M34">
        <f>L34*(1+IF($A34="AEO",'Growth Rates'!M86,'Growth Rates'!M86*M$5))</f>
        <v>16191046447.668161</v>
      </c>
      <c r="N34">
        <f>M34*(1+IF($A34="AEO",'Growth Rates'!N86,'Growth Rates'!N86*N$5))</f>
        <v>16419709016.787634</v>
      </c>
      <c r="O34">
        <f>N34*(1+IF($A34="AEO",'Growth Rates'!O86,'Growth Rates'!O86*O$5))</f>
        <v>16608446484.398582</v>
      </c>
      <c r="P34">
        <f>O34*(1+IF($A34="AEO",'Growth Rates'!P86,'Growth Rates'!P86*P$5))</f>
        <v>16794486553.548294</v>
      </c>
      <c r="Q34">
        <f>P34*(1+IF($A34="AEO",'Growth Rates'!Q86,'Growth Rates'!Q86*Q$5))</f>
        <v>16980012156.7019</v>
      </c>
      <c r="R34">
        <f>Q34*(1+IF($A34="AEO",'Growth Rates'!R86,'Growth Rates'!R86*R$5))</f>
        <v>17160798442.339401</v>
      </c>
      <c r="S34">
        <f>R34*(1+IF($A34="AEO",'Growth Rates'!S86,'Growth Rates'!S86*S$5))</f>
        <v>17341104646.585361</v>
      </c>
      <c r="T34">
        <f>S34*(1+IF($A34="AEO",'Growth Rates'!T86,'Growth Rates'!T86*T$5))</f>
        <v>17514874897.343662</v>
      </c>
      <c r="U34">
        <f>T34*(1+IF($A34="AEO",'Growth Rates'!U86,'Growth Rates'!U86*U$5))</f>
        <v>17692012766.548306</v>
      </c>
      <c r="V34">
        <f>U34*(1+IF($A34="AEO",'Growth Rates'!V86,'Growth Rates'!V86*V$5))</f>
        <v>17874921793.869179</v>
      </c>
      <c r="W34">
        <f>V34*(1+IF($A34="AEO",'Growth Rates'!W86,'Growth Rates'!W86*W$5))</f>
        <v>18057235838.250076</v>
      </c>
      <c r="X34">
        <f>W34*(1+IF($A34="AEO",'Growth Rates'!X86,'Growth Rates'!X86*X$5))</f>
        <v>18235625960.284737</v>
      </c>
      <c r="Y34">
        <f>X34*(1+IF($A34="AEO",'Growth Rates'!Y86,'Growth Rates'!Y86*Y$5))</f>
        <v>18406989141.219433</v>
      </c>
      <c r="Z34">
        <f>Y34*(1+IF($A34="AEO",'Growth Rates'!Z86,'Growth Rates'!Z86*Z$5))</f>
        <v>18569827084.97374</v>
      </c>
      <c r="AA34">
        <f>Z34*(1+IF($A34="AEO",'Growth Rates'!AA86,'Growth Rates'!AA86*AA$5))</f>
        <v>18732333103.431072</v>
      </c>
      <c r="AB34">
        <f>AA34*(1+IF($A34="AEO",'Growth Rates'!AB86,'Growth Rates'!AB86*AB$5))</f>
        <v>18888181269.226913</v>
      </c>
      <c r="AC34">
        <f>AB34*(1+IF($A34="AEO",'Growth Rates'!AC86,'Growth Rates'!AC86*AC$5))</f>
        <v>19048814857.323555</v>
      </c>
    </row>
    <row r="35" spans="1:29" x14ac:dyDescent="0.25">
      <c r="A35" t="s">
        <v>1235</v>
      </c>
      <c r="B35" t="s">
        <v>334</v>
      </c>
      <c r="C35">
        <f>'Data from BVAbIC'!AB2</f>
        <v>130105906034.7057</v>
      </c>
      <c r="D35">
        <f>C35*(1+IF($A35="AEO",'Growth Rates'!D87,'Growth Rates'!D87*D$5))</f>
        <v>122144358425.96301</v>
      </c>
      <c r="E35">
        <f>D35*(1+IF($A35="AEO",'Growth Rates'!E87,'Growth Rates'!E87*E$5))</f>
        <v>122503229404.70482</v>
      </c>
      <c r="F35">
        <f>E35*(1+IF($A35="AEO",'Growth Rates'!F87,'Growth Rates'!F87*F$5))</f>
        <v>130262497041.64607</v>
      </c>
      <c r="G35">
        <f>F35*(1+IF($A35="AEO",'Growth Rates'!G87,'Growth Rates'!G87*G$5))</f>
        <v>132816236339.45908</v>
      </c>
      <c r="H35">
        <f>G35*(1+IF($A35="AEO",'Growth Rates'!H87,'Growth Rates'!H87*H$5))</f>
        <v>134932318374.43504</v>
      </c>
      <c r="I35">
        <f>H35*(1+IF($A35="AEO",'Growth Rates'!I87,'Growth Rates'!I87*I$5))</f>
        <v>137177784683.19119</v>
      </c>
      <c r="J35">
        <f>I35*(1+IF($A35="AEO",'Growth Rates'!J87,'Growth Rates'!J87*J$5))</f>
        <v>138097174294.49655</v>
      </c>
      <c r="K35">
        <f>J35*(1+IF($A35="AEO",'Growth Rates'!K87,'Growth Rates'!K87*K$5))</f>
        <v>140290607255.40958</v>
      </c>
      <c r="L35">
        <f>K35*(1+IF($A35="AEO",'Growth Rates'!L87,'Growth Rates'!L87*L$5))</f>
        <v>141260527712.9798</v>
      </c>
      <c r="M35">
        <f>L35*(1+IF($A35="AEO",'Growth Rates'!M87,'Growth Rates'!M87*M$5))</f>
        <v>141663719198.12979</v>
      </c>
      <c r="N35">
        <f>M35*(1+IF($A35="AEO",'Growth Rates'!N87,'Growth Rates'!N87*N$5))</f>
        <v>142208611570.56503</v>
      </c>
      <c r="O35">
        <f>N35*(1+IF($A35="AEO",'Growth Rates'!O87,'Growth Rates'!O87*O$5))</f>
        <v>143670096927.28049</v>
      </c>
      <c r="P35">
        <f>O35*(1+IF($A35="AEO",'Growth Rates'!P87,'Growth Rates'!P87*P$5))</f>
        <v>146625718718.19537</v>
      </c>
      <c r="Q35">
        <f>P35*(1+IF($A35="AEO",'Growth Rates'!Q87,'Growth Rates'!Q87*Q$5))</f>
        <v>149367628852.14609</v>
      </c>
      <c r="R35">
        <f>Q35*(1+IF($A35="AEO",'Growth Rates'!R87,'Growth Rates'!R87*R$5))</f>
        <v>152162464939.29764</v>
      </c>
      <c r="S35">
        <f>R35*(1+IF($A35="AEO",'Growth Rates'!S87,'Growth Rates'!S87*S$5))</f>
        <v>154751874940.63751</v>
      </c>
      <c r="T35">
        <f>S35*(1+IF($A35="AEO",'Growth Rates'!T87,'Growth Rates'!T87*T$5))</f>
        <v>157036329032.84433</v>
      </c>
      <c r="U35">
        <f>T35*(1+IF($A35="AEO",'Growth Rates'!U87,'Growth Rates'!U87*U$5))</f>
        <v>159335688111.30753</v>
      </c>
      <c r="V35">
        <f>U35*(1+IF($A35="AEO",'Growth Rates'!V87,'Growth Rates'!V87*V$5))</f>
        <v>161361418377.61496</v>
      </c>
      <c r="W35">
        <f>V35*(1+IF($A35="AEO",'Growth Rates'!W87,'Growth Rates'!W87*W$5))</f>
        <v>163442380138.87988</v>
      </c>
      <c r="X35">
        <f>W35*(1+IF($A35="AEO",'Growth Rates'!X87,'Growth Rates'!X87*X$5))</f>
        <v>165626486379.12836</v>
      </c>
      <c r="Y35">
        <f>X35*(1+IF($A35="AEO",'Growth Rates'!Y87,'Growth Rates'!Y87*Y$5))</f>
        <v>167700531271.40845</v>
      </c>
      <c r="Z35">
        <f>Y35*(1+IF($A35="AEO",'Growth Rates'!Z87,'Growth Rates'!Z87*Z$5))</f>
        <v>169600834095.13983</v>
      </c>
      <c r="AA35">
        <f>Z35*(1+IF($A35="AEO",'Growth Rates'!AA87,'Growth Rates'!AA87*AA$5))</f>
        <v>171544706418.20511</v>
      </c>
      <c r="AB35">
        <f>AA35*(1+IF($A35="AEO",'Growth Rates'!AB87,'Growth Rates'!AB87*AB$5))</f>
        <v>173321515676.08768</v>
      </c>
      <c r="AC35">
        <f>AB35*(1+IF($A35="AEO",'Growth Rates'!AC87,'Growth Rates'!AC87*AC$5))</f>
        <v>174760033718.1268</v>
      </c>
    </row>
    <row r="36" spans="1:29" x14ac:dyDescent="0.25">
      <c r="A36" t="s">
        <v>1235</v>
      </c>
      <c r="B36" t="s">
        <v>344</v>
      </c>
      <c r="C36">
        <f>'Data from BVAbIC'!AC2</f>
        <v>134673000000</v>
      </c>
      <c r="D36">
        <f>C36*(1+IF($A36="AEO",'Growth Rates'!D88,'Growth Rates'!D88*D$5))</f>
        <v>132474827184.22554</v>
      </c>
      <c r="E36">
        <f>D36*(1+IF($A36="AEO",'Growth Rates'!E88,'Growth Rates'!E88*E$5))</f>
        <v>133216679049.79262</v>
      </c>
      <c r="F36">
        <f>E36*(1+IF($A36="AEO",'Growth Rates'!F88,'Growth Rates'!F88*F$5))</f>
        <v>136647955696.77371</v>
      </c>
      <c r="G36">
        <f>F36*(1+IF($A36="AEO",'Growth Rates'!G88,'Growth Rates'!G88*G$5))</f>
        <v>138199471703.72641</v>
      </c>
      <c r="H36">
        <f>G36*(1+IF($A36="AEO",'Growth Rates'!H88,'Growth Rates'!H88*H$5))</f>
        <v>140385402836.34995</v>
      </c>
      <c r="I36">
        <f>H36*(1+IF($A36="AEO",'Growth Rates'!I88,'Growth Rates'!I88*I$5))</f>
        <v>143737225875.2764</v>
      </c>
      <c r="J36">
        <f>I36*(1+IF($A36="AEO",'Growth Rates'!J88,'Growth Rates'!J88*J$5))</f>
        <v>147383458786.59521</v>
      </c>
      <c r="K36">
        <f>J36*(1+IF($A36="AEO",'Growth Rates'!K88,'Growth Rates'!K88*K$5))</f>
        <v>148963107850.15662</v>
      </c>
      <c r="L36">
        <f>K36*(1+IF($A36="AEO",'Growth Rates'!L88,'Growth Rates'!L88*L$5))</f>
        <v>149596446776.73892</v>
      </c>
      <c r="M36">
        <f>L36*(1+IF($A36="AEO",'Growth Rates'!M88,'Growth Rates'!M88*M$5))</f>
        <v>149864497267.70123</v>
      </c>
      <c r="N36">
        <f>M36*(1+IF($A36="AEO",'Growth Rates'!N88,'Growth Rates'!N88*N$5))</f>
        <v>151032103531.12271</v>
      </c>
      <c r="O36">
        <f>N36*(1+IF($A36="AEO",'Growth Rates'!O88,'Growth Rates'!O88*O$5))</f>
        <v>152326716931.31161</v>
      </c>
      <c r="P36">
        <f>O36*(1+IF($A36="AEO",'Growth Rates'!P88,'Growth Rates'!P88*P$5))</f>
        <v>153813816784.34222</v>
      </c>
      <c r="Q36">
        <f>P36*(1+IF($A36="AEO",'Growth Rates'!Q88,'Growth Rates'!Q88*Q$5))</f>
        <v>155594643374.30505</v>
      </c>
      <c r="R36">
        <f>Q36*(1+IF($A36="AEO",'Growth Rates'!R88,'Growth Rates'!R88*R$5))</f>
        <v>156364553985.94409</v>
      </c>
      <c r="S36">
        <f>R36*(1+IF($A36="AEO",'Growth Rates'!S88,'Growth Rates'!S88*S$5))</f>
        <v>158052228407.07397</v>
      </c>
      <c r="T36">
        <f>S36*(1+IF($A36="AEO",'Growth Rates'!T88,'Growth Rates'!T88*T$5))</f>
        <v>159804603839.18329</v>
      </c>
      <c r="U36">
        <f>T36*(1+IF($A36="AEO",'Growth Rates'!U88,'Growth Rates'!U88*U$5))</f>
        <v>161293991022.68127</v>
      </c>
      <c r="V36">
        <f>U36*(1+IF($A36="AEO",'Growth Rates'!V88,'Growth Rates'!V88*V$5))</f>
        <v>162692901868.51428</v>
      </c>
      <c r="W36">
        <f>V36*(1+IF($A36="AEO",'Growth Rates'!W88,'Growth Rates'!W88*W$5))</f>
        <v>164234831816.23288</v>
      </c>
      <c r="X36">
        <f>W36*(1+IF($A36="AEO",'Growth Rates'!X88,'Growth Rates'!X88*X$5))</f>
        <v>166218226973.69635</v>
      </c>
      <c r="Y36">
        <f>X36*(1+IF($A36="AEO",'Growth Rates'!Y88,'Growth Rates'!Y88*Y$5))</f>
        <v>167578122832.22205</v>
      </c>
      <c r="Z36">
        <f>Y36*(1+IF($A36="AEO",'Growth Rates'!Z88,'Growth Rates'!Z88*Z$5))</f>
        <v>168819358452.42267</v>
      </c>
      <c r="AA36">
        <f>Z36*(1+IF($A36="AEO",'Growth Rates'!AA88,'Growth Rates'!AA88*AA$5))</f>
        <v>169350664449.18976</v>
      </c>
      <c r="AB36">
        <f>AA36*(1+IF($A36="AEO",'Growth Rates'!AB88,'Growth Rates'!AB88*AB$5))</f>
        <v>171288927688.85132</v>
      </c>
      <c r="AC36">
        <f>AB36*(1+IF($A36="AEO",'Growth Rates'!AC88,'Growth Rates'!AC88*AC$5))</f>
        <v>171733701021.17303</v>
      </c>
    </row>
    <row r="37" spans="1:29" x14ac:dyDescent="0.25">
      <c r="B37" t="s">
        <v>106</v>
      </c>
      <c r="C37">
        <f>'Data from BVAbIC'!AD2</f>
        <v>259989000000</v>
      </c>
      <c r="D37">
        <f>C37*(1+IF($A37="AEO",'Growth Rates'!D89,'Growth Rates'!D89*D$5))</f>
        <v>264747028782.75974</v>
      </c>
      <c r="E37">
        <f>D37*(1+IF($A37="AEO",'Growth Rates'!E89,'Growth Rates'!E89*E$5))</f>
        <v>272571007741.41498</v>
      </c>
      <c r="F37">
        <f>E37*(1+IF($A37="AEO",'Growth Rates'!F89,'Growth Rates'!F89*F$5))</f>
        <v>277818729150.18994</v>
      </c>
      <c r="G37">
        <f>F37*(1+IF($A37="AEO",'Growth Rates'!G89,'Growth Rates'!G89*G$5))</f>
        <v>281445040746.99524</v>
      </c>
      <c r="H37">
        <f>G37*(1+IF($A37="AEO",'Growth Rates'!H89,'Growth Rates'!H89*H$5))</f>
        <v>285807023530.65942</v>
      </c>
      <c r="I37">
        <f>H37*(1+IF($A37="AEO",'Growth Rates'!I89,'Growth Rates'!I89*I$5))</f>
        <v>290796365418.30737</v>
      </c>
      <c r="J37">
        <f>I37*(1+IF($A37="AEO",'Growth Rates'!J89,'Growth Rates'!J89*J$5))</f>
        <v>295695982547.30365</v>
      </c>
      <c r="K37">
        <f>J37*(1+IF($A37="AEO",'Growth Rates'!K89,'Growth Rates'!K89*K$5))</f>
        <v>301269335340.06683</v>
      </c>
      <c r="L37">
        <f>K37*(1+IF($A37="AEO",'Growth Rates'!L89,'Growth Rates'!L89*L$5))</f>
        <v>307311531251.48401</v>
      </c>
      <c r="M37">
        <f>L37*(1+IF($A37="AEO",'Growth Rates'!M89,'Growth Rates'!M89*M$5))</f>
        <v>313746826281.1095</v>
      </c>
      <c r="N37">
        <f>M37*(1+IF($A37="AEO",'Growth Rates'!N89,'Growth Rates'!N89*N$5))</f>
        <v>320563714062.25732</v>
      </c>
      <c r="O37">
        <f>N37*(1+IF($A37="AEO",'Growth Rates'!O89,'Growth Rates'!O89*O$5))</f>
        <v>326232547173.65948</v>
      </c>
      <c r="P37">
        <f>O37*(1+IF($A37="AEO",'Growth Rates'!P89,'Growth Rates'!P89*P$5))</f>
        <v>331854554551.47504</v>
      </c>
      <c r="Q37">
        <f>P37*(1+IF($A37="AEO",'Growth Rates'!Q89,'Growth Rates'!Q89*Q$5))</f>
        <v>337494456413.69348</v>
      </c>
      <c r="R37">
        <f>Q37*(1+IF($A37="AEO",'Growth Rates'!R89,'Growth Rates'!R89*R$5))</f>
        <v>343022618551.55127</v>
      </c>
      <c r="S37">
        <f>R37*(1+IF($A37="AEO",'Growth Rates'!S89,'Growth Rates'!S89*S$5))</f>
        <v>348567376365.9165</v>
      </c>
      <c r="T37">
        <f>S37*(1+IF($A37="AEO",'Growth Rates'!T89,'Growth Rates'!T89*T$5))</f>
        <v>353941059444.95447</v>
      </c>
      <c r="U37">
        <f>T37*(1+IF($A37="AEO",'Growth Rates'!U89,'Growth Rates'!U89*U$5))</f>
        <v>359448146812.9187</v>
      </c>
      <c r="V37">
        <f>U37*(1+IF($A37="AEO",'Growth Rates'!V89,'Growth Rates'!V89*V$5))</f>
        <v>365165312630.00543</v>
      </c>
      <c r="W37">
        <f>V37*(1+IF($A37="AEO",'Growth Rates'!W89,'Growth Rates'!W89*W$5))</f>
        <v>370895279820.12988</v>
      </c>
      <c r="X37">
        <f>W37*(1+IF($A37="AEO",'Growth Rates'!X89,'Growth Rates'!X89*X$5))</f>
        <v>376532402443.55353</v>
      </c>
      <c r="Y37">
        <f>X37*(1+IF($A37="AEO",'Growth Rates'!Y89,'Growth Rates'!Y89*Y$5))</f>
        <v>381975997841.18439</v>
      </c>
      <c r="Z37">
        <f>Y37*(1+IF($A37="AEO",'Growth Rates'!Z89,'Growth Rates'!Z89*Z$5))</f>
        <v>387174707591.69983</v>
      </c>
      <c r="AA37">
        <f>Z37*(1+IF($A37="AEO",'Growth Rates'!AA89,'Growth Rates'!AA89*AA$5))</f>
        <v>392387317346.73627</v>
      </c>
      <c r="AB37">
        <f>AA37*(1+IF($A37="AEO",'Growth Rates'!AB89,'Growth Rates'!AB89*AB$5))</f>
        <v>397409718852.47516</v>
      </c>
      <c r="AC37">
        <f>AB37*(1+IF($A37="AEO",'Growth Rates'!AC89,'Growth Rates'!AC89*AC$5))</f>
        <v>402609335738.97241</v>
      </c>
    </row>
    <row r="38" spans="1:29" x14ac:dyDescent="0.25">
      <c r="B38" t="s">
        <v>127</v>
      </c>
      <c r="C38">
        <f>'Data from BVAbIC'!AE2</f>
        <v>61106700000</v>
      </c>
      <c r="D38">
        <f>C38*(1+IF($A38="AEO",'Growth Rates'!D90,'Growth Rates'!D90*D$5))</f>
        <v>61732651528.532227</v>
      </c>
      <c r="E38">
        <f>D38*(1+IF($A38="AEO",'Growth Rates'!E90,'Growth Rates'!E90*E$5))</f>
        <v>62753805644.869598</v>
      </c>
      <c r="F38">
        <f>E38*(1+IF($A38="AEO",'Growth Rates'!F90,'Growth Rates'!F90*F$5))</f>
        <v>63430061380.933678</v>
      </c>
      <c r="G38">
        <f>F38*(1+IF($A38="AEO",'Growth Rates'!G90,'Growth Rates'!G90*G$5))</f>
        <v>63893485371.227364</v>
      </c>
      <c r="H38">
        <f>G38*(1+IF($A38="AEO",'Growth Rates'!H90,'Growth Rates'!H90*H$5))</f>
        <v>64447762180.513222</v>
      </c>
      <c r="I38">
        <f>H38*(1+IF($A38="AEO",'Growth Rates'!I90,'Growth Rates'!I90*I$5))</f>
        <v>65077497412.295288</v>
      </c>
      <c r="J38">
        <f>I38*(1+IF($A38="AEO",'Growth Rates'!J90,'Growth Rates'!J90*J$5))</f>
        <v>65691236517.707939</v>
      </c>
      <c r="K38">
        <f>J38*(1+IF($A38="AEO",'Growth Rates'!K90,'Growth Rates'!K90*K$5))</f>
        <v>66384276562.799164</v>
      </c>
      <c r="L38">
        <f>K38*(1+IF($A38="AEO",'Growth Rates'!L90,'Growth Rates'!L90*L$5))</f>
        <v>67129497215.76873</v>
      </c>
      <c r="M38">
        <f>L38*(1+IF($A38="AEO",'Growth Rates'!M90,'Growth Rates'!M90*M$5))</f>
        <v>67916330607.405769</v>
      </c>
      <c r="N38">
        <f>M38*(1+IF($A38="AEO",'Growth Rates'!N90,'Growth Rates'!N90*N$5))</f>
        <v>68742293999.797806</v>
      </c>
      <c r="O38">
        <f>N38*(1+IF($A38="AEO",'Growth Rates'!O90,'Growth Rates'!O90*O$5))</f>
        <v>69422723467.56691</v>
      </c>
      <c r="P38">
        <f>O38*(1+IF($A38="AEO",'Growth Rates'!P90,'Growth Rates'!P90*P$5))</f>
        <v>70092369890.853333</v>
      </c>
      <c r="Q38">
        <f>P38*(1+IF($A38="AEO",'Growth Rates'!Q90,'Growth Rates'!Q90*Q$5))</f>
        <v>70759137188.043716</v>
      </c>
      <c r="R38">
        <f>Q38*(1+IF($A38="AEO",'Growth Rates'!R90,'Growth Rates'!R90*R$5))</f>
        <v>71407885796.626389</v>
      </c>
      <c r="S38">
        <f>R38*(1+IF($A38="AEO",'Growth Rates'!S90,'Growth Rates'!S90*S$5))</f>
        <v>72053965028.446152</v>
      </c>
      <c r="T38">
        <f>S38*(1+IF($A38="AEO",'Growth Rates'!T90,'Growth Rates'!T90*T$5))</f>
        <v>72675725314.595901</v>
      </c>
      <c r="U38">
        <f>T38*(1+IF($A38="AEO",'Growth Rates'!U90,'Growth Rates'!U90*U$5))</f>
        <v>73308661866.754974</v>
      </c>
      <c r="V38">
        <f>U38*(1+IF($A38="AEO",'Growth Rates'!V90,'Growth Rates'!V90*V$5))</f>
        <v>73961310772.152527</v>
      </c>
      <c r="W38">
        <f>V38*(1+IF($A38="AEO",'Growth Rates'!W90,'Growth Rates'!W90*W$5))</f>
        <v>74610912243.496323</v>
      </c>
      <c r="X38">
        <f>W38*(1+IF($A38="AEO",'Growth Rates'!X90,'Growth Rates'!X90*X$5))</f>
        <v>75245641194.963669</v>
      </c>
      <c r="Y38">
        <f>X38*(1+IF($A38="AEO",'Growth Rates'!Y90,'Growth Rates'!Y90*Y$5))</f>
        <v>75854539285.97644</v>
      </c>
      <c r="Z38">
        <f>Y38*(1+IF($A38="AEO",'Growth Rates'!Z90,'Growth Rates'!Z90*Z$5))</f>
        <v>76432396918.668076</v>
      </c>
      <c r="AA38">
        <f>Z38*(1+IF($A38="AEO",'Growth Rates'!AA90,'Growth Rates'!AA90*AA$5))</f>
        <v>77008374387.425247</v>
      </c>
      <c r="AB38">
        <f>AA38*(1+IF($A38="AEO",'Growth Rates'!AB90,'Growth Rates'!AB90*AB$5))</f>
        <v>77560088641.777145</v>
      </c>
      <c r="AC38">
        <f>AB38*(1+IF($A38="AEO",'Growth Rates'!AC90,'Growth Rates'!AC90*AC$5))</f>
        <v>78128092048.775848</v>
      </c>
    </row>
    <row r="39" spans="1:29" x14ac:dyDescent="0.25">
      <c r="B39" t="s">
        <v>130</v>
      </c>
      <c r="C39">
        <f>'Data from BVAbIC'!AF2</f>
        <v>76304000000</v>
      </c>
      <c r="D39">
        <f>C39*(1+IF($A39="AEO",'Growth Rates'!D91,'Growth Rates'!D91*D$5))</f>
        <v>77344199274.364136</v>
      </c>
      <c r="E39">
        <f>D39*(1+IF($A39="AEO",'Growth Rates'!E91,'Growth Rates'!E91*E$5))</f>
        <v>79046833961.203278</v>
      </c>
      <c r="F39">
        <f>E39*(1+IF($A39="AEO",'Growth Rates'!F91,'Growth Rates'!F91*F$5))</f>
        <v>80180467644.122055</v>
      </c>
      <c r="G39">
        <f>F39*(1+IF($A39="AEO",'Growth Rates'!G91,'Growth Rates'!G91*G$5))</f>
        <v>80960063161.81517</v>
      </c>
      <c r="H39">
        <f>G39*(1+IF($A39="AEO",'Growth Rates'!H91,'Growth Rates'!H91*H$5))</f>
        <v>81894733229.857071</v>
      </c>
      <c r="I39">
        <f>H39*(1+IF($A39="AEO",'Growth Rates'!I91,'Growth Rates'!I91*I$5))</f>
        <v>82959669184.152679</v>
      </c>
      <c r="J39">
        <f>I39*(1+IF($A39="AEO",'Growth Rates'!J91,'Growth Rates'!J91*J$5))</f>
        <v>84000876789.790878</v>
      </c>
      <c r="K39">
        <f>J39*(1+IF($A39="AEO",'Growth Rates'!K91,'Growth Rates'!K91*K$5))</f>
        <v>85180252230.926254</v>
      </c>
      <c r="L39">
        <f>K39*(1+IF($A39="AEO",'Growth Rates'!L91,'Growth Rates'!L91*L$5))</f>
        <v>86452805424.516113</v>
      </c>
      <c r="M39">
        <f>L39*(1+IF($A39="AEO",'Growth Rates'!M91,'Growth Rates'!M91*M$5))</f>
        <v>87801351677.0439</v>
      </c>
      <c r="N39">
        <f>M39*(1+IF($A39="AEO",'Growth Rates'!N91,'Growth Rates'!N91*N$5))</f>
        <v>89222387922.195831</v>
      </c>
      <c r="O39">
        <f>N39*(1+IF($A39="AEO",'Growth Rates'!O91,'Growth Rates'!O91*O$5))</f>
        <v>90397692162.355011</v>
      </c>
      <c r="P39">
        <f>O39*(1+IF($A39="AEO",'Growth Rates'!P91,'Growth Rates'!P91*P$5))</f>
        <v>91558121279.367676</v>
      </c>
      <c r="Q39">
        <f>P39*(1+IF($A39="AEO",'Growth Rates'!Q91,'Growth Rates'!Q91*Q$5))</f>
        <v>92717212956.132019</v>
      </c>
      <c r="R39">
        <f>Q39*(1+IF($A39="AEO",'Growth Rates'!R91,'Growth Rates'!R91*R$5))</f>
        <v>93848496961.859406</v>
      </c>
      <c r="S39">
        <f>R39*(1+IF($A39="AEO",'Growth Rates'!S91,'Growth Rates'!S91*S$5))</f>
        <v>94978512188.088638</v>
      </c>
      <c r="T39">
        <f>S39*(1+IF($A39="AEO",'Growth Rates'!T91,'Growth Rates'!T91*T$5))</f>
        <v>96069218495.038513</v>
      </c>
      <c r="U39">
        <f>T39*(1+IF($A39="AEO",'Growth Rates'!U91,'Growth Rates'!U91*U$5))</f>
        <v>97182672874.63205</v>
      </c>
      <c r="V39">
        <f>U39*(1+IF($A39="AEO",'Growth Rates'!V91,'Growth Rates'!V91*V$5))</f>
        <v>98334084285.545776</v>
      </c>
      <c r="W39">
        <f>V39*(1+IF($A39="AEO",'Growth Rates'!W91,'Growth Rates'!W91*W$5))</f>
        <v>99483464842.633759</v>
      </c>
      <c r="X39">
        <f>W39*(1+IF($A39="AEO",'Growth Rates'!X91,'Growth Rates'!X91*X$5))</f>
        <v>100609765216.87961</v>
      </c>
      <c r="Y39">
        <f>X39*(1+IF($A39="AEO",'Growth Rates'!Y91,'Growth Rates'!Y91*Y$5))</f>
        <v>101693244891.23878</v>
      </c>
      <c r="Z39">
        <f>Y39*(1+IF($A39="AEO",'Growth Rates'!Z91,'Growth Rates'!Z91*Z$5))</f>
        <v>102724221358.39091</v>
      </c>
      <c r="AA39">
        <f>Z39*(1+IF($A39="AEO",'Growth Rates'!AA91,'Growth Rates'!AA91*AA$5))</f>
        <v>103754413520.8851</v>
      </c>
      <c r="AB39">
        <f>AA39*(1+IF($A39="AEO",'Growth Rates'!AB91,'Growth Rates'!AB91*AB$5))</f>
        <v>104743650167.86607</v>
      </c>
      <c r="AC39">
        <f>AB39*(1+IF($A39="AEO",'Growth Rates'!AC91,'Growth Rates'!AC91*AC$5))</f>
        <v>105764490255.62524</v>
      </c>
    </row>
    <row r="40" spans="1:29" x14ac:dyDescent="0.25">
      <c r="A40" t="s">
        <v>1235</v>
      </c>
      <c r="B40" t="s">
        <v>133</v>
      </c>
      <c r="C40">
        <f>'Data from BVAbIC'!AG2</f>
        <v>955445000000</v>
      </c>
      <c r="D40">
        <f>C40*(1+IF($A40="AEO",'Growth Rates'!D92,'Growth Rates'!D92*D$5))</f>
        <v>1012456330543.6053</v>
      </c>
      <c r="E40">
        <f>D40*(1+IF($A40="AEO",'Growth Rates'!E92,'Growth Rates'!E92*E$5))</f>
        <v>1008849718261.2196</v>
      </c>
      <c r="F40">
        <f>E40*(1+IF($A40="AEO",'Growth Rates'!F92,'Growth Rates'!F92*F$5))</f>
        <v>1014903101855.9198</v>
      </c>
      <c r="G40">
        <f>F40*(1+IF($A40="AEO",'Growth Rates'!G92,'Growth Rates'!G92*G$5))</f>
        <v>1021232765195.2073</v>
      </c>
      <c r="H40">
        <f>G40*(1+IF($A40="AEO",'Growth Rates'!H92,'Growth Rates'!H92*H$5))</f>
        <v>1038076924360.2201</v>
      </c>
      <c r="I40">
        <f>H40*(1+IF($A40="AEO",'Growth Rates'!I92,'Growth Rates'!I92*I$5))</f>
        <v>1055482546942.9441</v>
      </c>
      <c r="J40">
        <f>I40*(1+IF($A40="AEO",'Growth Rates'!J92,'Growth Rates'!J92*J$5))</f>
        <v>1071596786887.5887</v>
      </c>
      <c r="K40">
        <f>J40*(1+IF($A40="AEO",'Growth Rates'!K92,'Growth Rates'!K92*K$5))</f>
        <v>1087764372153.3933</v>
      </c>
      <c r="L40">
        <f>K40*(1+IF($A40="AEO",'Growth Rates'!L92,'Growth Rates'!L92*L$5))</f>
        <v>1101369590872.8906</v>
      </c>
      <c r="M40">
        <f>L40*(1+IF($A40="AEO",'Growth Rates'!M92,'Growth Rates'!M92*M$5))</f>
        <v>1110109112716.116</v>
      </c>
      <c r="N40">
        <f>M40*(1+IF($A40="AEO",'Growth Rates'!N92,'Growth Rates'!N92*N$5))</f>
        <v>1122240002807.7571</v>
      </c>
      <c r="O40">
        <f>N40*(1+IF($A40="AEO",'Growth Rates'!O92,'Growth Rates'!O92*O$5))</f>
        <v>1132853823159.9026</v>
      </c>
      <c r="P40">
        <f>O40*(1+IF($A40="AEO",'Growth Rates'!P92,'Growth Rates'!P92*P$5))</f>
        <v>1141934141259.7688</v>
      </c>
      <c r="Q40">
        <f>P40*(1+IF($A40="AEO",'Growth Rates'!Q92,'Growth Rates'!Q92*Q$5))</f>
        <v>1149689887422.4316</v>
      </c>
      <c r="R40">
        <f>Q40*(1+IF($A40="AEO",'Growth Rates'!R92,'Growth Rates'!R92*R$5))</f>
        <v>1156389973950.3062</v>
      </c>
      <c r="S40">
        <f>R40*(1+IF($A40="AEO",'Growth Rates'!S92,'Growth Rates'!S92*S$5))</f>
        <v>1160565416429.4392</v>
      </c>
      <c r="T40">
        <f>S40*(1+IF($A40="AEO",'Growth Rates'!T92,'Growth Rates'!T92*T$5))</f>
        <v>1163321252272.4385</v>
      </c>
      <c r="U40">
        <f>T40*(1+IF($A40="AEO",'Growth Rates'!U92,'Growth Rates'!U92*U$5))</f>
        <v>1170181942408.302</v>
      </c>
      <c r="V40">
        <f>U40*(1+IF($A40="AEO",'Growth Rates'!V92,'Growth Rates'!V92*V$5))</f>
        <v>1175170519731.8613</v>
      </c>
      <c r="W40">
        <f>V40*(1+IF($A40="AEO",'Growth Rates'!W92,'Growth Rates'!W92*W$5))</f>
        <v>1181154691810.8555</v>
      </c>
      <c r="X40">
        <f>W40*(1+IF($A40="AEO",'Growth Rates'!X92,'Growth Rates'!X92*X$5))</f>
        <v>1192645678103.8489</v>
      </c>
      <c r="Y40">
        <f>X40*(1+IF($A40="AEO",'Growth Rates'!Y92,'Growth Rates'!Y92*Y$5))</f>
        <v>1204683395582.7537</v>
      </c>
      <c r="Z40">
        <f>Y40*(1+IF($A40="AEO",'Growth Rates'!Z92,'Growth Rates'!Z92*Z$5))</f>
        <v>1215741708111.1912</v>
      </c>
      <c r="AA40">
        <f>Z40*(1+IF($A40="AEO",'Growth Rates'!AA92,'Growth Rates'!AA92*AA$5))</f>
        <v>1226937877352.8037</v>
      </c>
      <c r="AB40">
        <f>AA40*(1+IF($A40="AEO",'Growth Rates'!AB92,'Growth Rates'!AB92*AB$5))</f>
        <v>1239695800434.3511</v>
      </c>
      <c r="AC40">
        <f>AB40*(1+IF($A40="AEO",'Growth Rates'!AC92,'Growth Rates'!AC92*AC$5))</f>
        <v>1254387600162.2676</v>
      </c>
    </row>
    <row r="41" spans="1:29" x14ac:dyDescent="0.25">
      <c r="B41" t="s">
        <v>359</v>
      </c>
      <c r="C41">
        <f>'Data from BVAbIC'!AH2</f>
        <v>2695700000000</v>
      </c>
      <c r="D41">
        <f>C41*(1+IF($A41="AEO",'Growth Rates'!D93,'Growth Rates'!D93*D$5))</f>
        <v>2758040692827.5156</v>
      </c>
      <c r="E41">
        <f>D41*(1+IF($A41="AEO",'Growth Rates'!E93,'Growth Rates'!E93*E$5))</f>
        <v>2861037846514.1426</v>
      </c>
      <c r="F41">
        <f>E41*(1+IF($A41="AEO",'Growth Rates'!F93,'Growth Rates'!F93*F$5))</f>
        <v>2930643207267.3809</v>
      </c>
      <c r="G41">
        <f>F41*(1+IF($A41="AEO",'Growth Rates'!G93,'Growth Rates'!G93*G$5))</f>
        <v>2978981857715.8848</v>
      </c>
      <c r="H41">
        <f>G41*(1+IF($A41="AEO",'Growth Rates'!H93,'Growth Rates'!H93*H$5))</f>
        <v>3037324511488.4648</v>
      </c>
      <c r="I41">
        <f>H41*(1+IF($A41="AEO",'Growth Rates'!I93,'Growth Rates'!I93*I$5))</f>
        <v>3104326784606.2607</v>
      </c>
      <c r="J41">
        <f>I41*(1+IF($A41="AEO",'Growth Rates'!J93,'Growth Rates'!J93*J$5))</f>
        <v>3170421780025.8086</v>
      </c>
      <c r="K41">
        <f>J41*(1+IF($A41="AEO",'Growth Rates'!K93,'Growth Rates'!K93*K$5))</f>
        <v>3245933806978.9102</v>
      </c>
      <c r="L41">
        <f>K41*(1+IF($A41="AEO",'Growth Rates'!L93,'Growth Rates'!L93*L$5))</f>
        <v>3328197368348.1909</v>
      </c>
      <c r="M41">
        <f>L41*(1+IF($A41="AEO",'Growth Rates'!M93,'Growth Rates'!M93*M$5))</f>
        <v>3416267095937.5371</v>
      </c>
      <c r="N41">
        <f>M41*(1+IF($A41="AEO",'Growth Rates'!N93,'Growth Rates'!N93*N$5))</f>
        <v>3510063587930.5889</v>
      </c>
      <c r="O41">
        <f>N41*(1+IF($A41="AEO",'Growth Rates'!O93,'Growth Rates'!O93*O$5))</f>
        <v>3588500821728.2617</v>
      </c>
      <c r="P41">
        <f>O41*(1+IF($A41="AEO",'Growth Rates'!P93,'Growth Rates'!P93*P$5))</f>
        <v>3666646533064.0078</v>
      </c>
      <c r="Q41">
        <f>P41*(1+IF($A41="AEO",'Growth Rates'!Q93,'Growth Rates'!Q93*Q$5))</f>
        <v>3745391133719.3623</v>
      </c>
      <c r="R41">
        <f>Q41*(1+IF($A41="AEO",'Growth Rates'!R93,'Growth Rates'!R93*R$5))</f>
        <v>3822915688572.1831</v>
      </c>
      <c r="S41">
        <f>R41*(1+IF($A41="AEO",'Growth Rates'!S93,'Growth Rates'!S93*S$5))</f>
        <v>3901003368281.0459</v>
      </c>
      <c r="T41">
        <f>S41*(1+IF($A41="AEO",'Growth Rates'!T93,'Growth Rates'!T93*T$5))</f>
        <v>3976999171938.1284</v>
      </c>
      <c r="U41">
        <f>T41*(1+IF($A41="AEO",'Growth Rates'!U93,'Growth Rates'!U93*U$5))</f>
        <v>4055193363714.4131</v>
      </c>
      <c r="V41">
        <f>U41*(1+IF($A41="AEO",'Growth Rates'!V93,'Growth Rates'!V93*V$5))</f>
        <v>4136698331781.1943</v>
      </c>
      <c r="W41">
        <f>V41*(1+IF($A41="AEO",'Growth Rates'!W93,'Growth Rates'!W93*W$5))</f>
        <v>4218722992778.9922</v>
      </c>
      <c r="X41">
        <f>W41*(1+IF($A41="AEO",'Growth Rates'!X93,'Growth Rates'!X93*X$5))</f>
        <v>4299747269004.3271</v>
      </c>
      <c r="Y41">
        <f>X41*(1+IF($A41="AEO",'Growth Rates'!Y93,'Growth Rates'!Y93*Y$5))</f>
        <v>4378298751677.5684</v>
      </c>
      <c r="Z41">
        <f>Y41*(1+IF($A41="AEO",'Growth Rates'!Z93,'Growth Rates'!Z93*Z$5))</f>
        <v>4453598385397.7646</v>
      </c>
      <c r="AA41">
        <f>Z41*(1+IF($A41="AEO",'Growth Rates'!AA93,'Growth Rates'!AA93*AA$5))</f>
        <v>4529366635795.0488</v>
      </c>
      <c r="AB41">
        <f>AA41*(1+IF($A41="AEO",'Growth Rates'!AB93,'Growth Rates'!AB93*AB$5))</f>
        <v>4602625792990.4902</v>
      </c>
      <c r="AC41">
        <f>AB41*(1+IF($A41="AEO",'Growth Rates'!AC93,'Growth Rates'!AC93*AC$5))</f>
        <v>4678722612070.7129</v>
      </c>
    </row>
    <row r="42" spans="1:29" x14ac:dyDescent="0.25">
      <c r="B42" t="s">
        <v>461</v>
      </c>
      <c r="C42">
        <f>'Data from BVAbIC'!AI2</f>
        <v>361372297293.06482</v>
      </c>
      <c r="D42">
        <f>C42*(1+IF($A42="AEO",'Growth Rates'!D94,'Growth Rates'!D94*D$5))</f>
        <v>367532821997.26984</v>
      </c>
      <c r="E42">
        <f>D42*(1+IF($A42="AEO",'Growth Rates'!E94,'Growth Rates'!E94*E$5))</f>
        <v>377650560805.48517</v>
      </c>
      <c r="F42">
        <f>E42*(1+IF($A42="AEO",'Growth Rates'!F94,'Growth Rates'!F94*F$5))</f>
        <v>384423419282.04285</v>
      </c>
      <c r="G42">
        <f>F42*(1+IF($A42="AEO",'Growth Rates'!G94,'Growth Rates'!G94*G$5))</f>
        <v>389097585920.10913</v>
      </c>
      <c r="H42">
        <f>G42*(1+IF($A42="AEO",'Growth Rates'!H94,'Growth Rates'!H94*H$5))</f>
        <v>394715041391.30084</v>
      </c>
      <c r="I42">
        <f>H42*(1+IF($A42="AEO",'Growth Rates'!I94,'Growth Rates'!I94*I$5))</f>
        <v>401133707712.84814</v>
      </c>
      <c r="J42">
        <f>I42*(1+IF($A42="AEO",'Growth Rates'!J94,'Growth Rates'!J94*J$5))</f>
        <v>407429539029.24121</v>
      </c>
      <c r="K42">
        <f>J42*(1+IF($A42="AEO",'Growth Rates'!K94,'Growth Rates'!K94*K$5))</f>
        <v>414582969804.99298</v>
      </c>
      <c r="L42">
        <f>K42*(1+IF($A42="AEO",'Growth Rates'!L94,'Growth Rates'!L94*L$5))</f>
        <v>422328338344.45764</v>
      </c>
      <c r="M42">
        <f>L42*(1+IF($A42="AEO",'Growth Rates'!M94,'Growth Rates'!M94*M$5))</f>
        <v>430566505217.47437</v>
      </c>
      <c r="N42">
        <f>M42*(1+IF($A42="AEO",'Growth Rates'!N94,'Growth Rates'!N94*N$5))</f>
        <v>439280911444.16174</v>
      </c>
      <c r="O42">
        <f>N42*(1+IF($A42="AEO",'Growth Rates'!O94,'Growth Rates'!O94*O$5))</f>
        <v>446517142037.51855</v>
      </c>
      <c r="P42">
        <f>O42*(1+IF($A42="AEO",'Growth Rates'!P94,'Growth Rates'!P94*P$5))</f>
        <v>453685059834.02893</v>
      </c>
      <c r="Q42">
        <f>P42*(1+IF($A42="AEO",'Growth Rates'!Q94,'Growth Rates'!Q94*Q$5))</f>
        <v>460867450075.4986</v>
      </c>
      <c r="R42">
        <f>Q42*(1+IF($A42="AEO",'Growth Rates'!R94,'Growth Rates'!R94*R$5))</f>
        <v>467899483399.8941</v>
      </c>
      <c r="S42">
        <f>R42*(1+IF($A42="AEO",'Growth Rates'!S94,'Growth Rates'!S94*S$5))</f>
        <v>474944842680.38336</v>
      </c>
      <c r="T42">
        <f>S42*(1+IF($A42="AEO",'Growth Rates'!T94,'Growth Rates'!T94*T$5))</f>
        <v>481765390275.15601</v>
      </c>
      <c r="U42">
        <f>T42*(1+IF($A42="AEO",'Growth Rates'!U94,'Growth Rates'!U94*U$5))</f>
        <v>488747993631.65546</v>
      </c>
      <c r="V42">
        <f>U42*(1+IF($A42="AEO",'Growth Rates'!V94,'Growth Rates'!V94*V$5))</f>
        <v>495989356031.79169</v>
      </c>
      <c r="W42">
        <f>V42*(1+IF($A42="AEO",'Growth Rates'!W94,'Growth Rates'!W94*W$5))</f>
        <v>503239151101.99768</v>
      </c>
      <c r="X42">
        <f>W42*(1+IF($A42="AEO",'Growth Rates'!X94,'Growth Rates'!X94*X$5))</f>
        <v>510363929358.01111</v>
      </c>
      <c r="Y42">
        <f>X42*(1+IF($A42="AEO",'Growth Rates'!Y94,'Growth Rates'!Y94*Y$5))</f>
        <v>517237053860.45325</v>
      </c>
      <c r="Z42">
        <f>Y42*(1+IF($A42="AEO",'Growth Rates'!Z94,'Growth Rates'!Z94*Z$5))</f>
        <v>523794577755.7182</v>
      </c>
      <c r="AA42">
        <f>Z42*(1+IF($A42="AEO",'Growth Rates'!AA94,'Growth Rates'!AA94*AA$5))</f>
        <v>530363588729.0191</v>
      </c>
      <c r="AB42">
        <f>AA42*(1+IF($A42="AEO",'Growth Rates'!AB94,'Growth Rates'!AB94*AB$5))</f>
        <v>536687138235.8161</v>
      </c>
      <c r="AC42">
        <f>AB42*(1+IF($A42="AEO",'Growth Rates'!AC94,'Growth Rates'!AC94*AC$5))</f>
        <v>543228148110.85559</v>
      </c>
    </row>
    <row r="43" spans="1:29" x14ac:dyDescent="0.25">
      <c r="B43" t="s">
        <v>464</v>
      </c>
      <c r="C43">
        <f>'Data from BVAbIC'!AJ2</f>
        <v>16243782662.17305</v>
      </c>
      <c r="D43">
        <f>C43*(1+IF($A43="AEO",'Growth Rates'!D95,'Growth Rates'!D95*D$5))</f>
        <v>16555922040.069378</v>
      </c>
      <c r="E43">
        <f>D43*(1+IF($A43="AEO",'Growth Rates'!E95,'Growth Rates'!E95*E$5))</f>
        <v>17069657153.895245</v>
      </c>
      <c r="F43">
        <f>E43*(1+IF($A43="AEO",'Growth Rates'!F95,'Growth Rates'!F95*F$5))</f>
        <v>17414725568.656807</v>
      </c>
      <c r="G43">
        <f>F43*(1+IF($A43="AEO",'Growth Rates'!G95,'Growth Rates'!G95*G$5))</f>
        <v>17653401998.254883</v>
      </c>
      <c r="H43">
        <f>G43*(1+IF($A43="AEO",'Growth Rates'!H95,'Growth Rates'!H95*H$5))</f>
        <v>17940683760.812744</v>
      </c>
      <c r="I43">
        <f>H43*(1+IF($A43="AEO",'Growth Rates'!I95,'Growth Rates'!I95*I$5))</f>
        <v>18269534375.009876</v>
      </c>
      <c r="J43">
        <f>I43*(1+IF($A43="AEO",'Growth Rates'!J95,'Growth Rates'!J95*J$5))</f>
        <v>18592748214.376511</v>
      </c>
      <c r="K43">
        <f>J43*(1+IF($A43="AEO",'Growth Rates'!K95,'Growth Rates'!K95*K$5))</f>
        <v>18960711084.57756</v>
      </c>
      <c r="L43">
        <f>K43*(1+IF($A43="AEO",'Growth Rates'!L95,'Growth Rates'!L95*L$5))</f>
        <v>19359996818.077961</v>
      </c>
      <c r="M43">
        <f>L43*(1+IF($A43="AEO",'Growth Rates'!M95,'Growth Rates'!M95*M$5))</f>
        <v>19785677739.744183</v>
      </c>
      <c r="N43">
        <f>M43*(1+IF($A43="AEO",'Growth Rates'!N95,'Growth Rates'!N95*N$5))</f>
        <v>20237062646.950199</v>
      </c>
      <c r="O43">
        <f>N43*(1+IF($A43="AEO",'Growth Rates'!O95,'Growth Rates'!O95*O$5))</f>
        <v>20612827438.993023</v>
      </c>
      <c r="P43">
        <f>O43*(1+IF($A43="AEO",'Growth Rates'!P95,'Growth Rates'!P95*P$5))</f>
        <v>20985812116.306255</v>
      </c>
      <c r="Q43">
        <f>P43*(1+IF($A43="AEO",'Growth Rates'!Q95,'Growth Rates'!Q95*Q$5))</f>
        <v>21360300925.250393</v>
      </c>
      <c r="R43">
        <f>Q43*(1+IF($A43="AEO",'Growth Rates'!R95,'Growth Rates'!R95*R$5))</f>
        <v>21727676936.362251</v>
      </c>
      <c r="S43">
        <f>R43*(1+IF($A43="AEO",'Growth Rates'!S95,'Growth Rates'!S95*S$5))</f>
        <v>22096452739.949482</v>
      </c>
      <c r="T43">
        <f>S43*(1+IF($A43="AEO",'Growth Rates'!T95,'Growth Rates'!T95*T$5))</f>
        <v>22454134810.500797</v>
      </c>
      <c r="U43">
        <f>T43*(1+IF($A43="AEO",'Growth Rates'!U95,'Growth Rates'!U95*U$5))</f>
        <v>22820974776.696754</v>
      </c>
      <c r="V43">
        <f>U43*(1+IF($A43="AEO",'Growth Rates'!V95,'Growth Rates'!V95*V$5))</f>
        <v>23202100296.374355</v>
      </c>
      <c r="W43">
        <f>V43*(1+IF($A43="AEO",'Growth Rates'!W95,'Growth Rates'!W95*W$5))</f>
        <v>23584378218.95911</v>
      </c>
      <c r="X43">
        <f>W43*(1+IF($A43="AEO",'Growth Rates'!X95,'Growth Rates'!X95*X$5))</f>
        <v>23960752471.244137</v>
      </c>
      <c r="Y43">
        <f>X43*(1+IF($A43="AEO",'Growth Rates'!Y95,'Growth Rates'!Y95*Y$5))</f>
        <v>24324477540.006527</v>
      </c>
      <c r="Z43">
        <f>Y43*(1+IF($A43="AEO",'Growth Rates'!Z95,'Growth Rates'!Z95*Z$5))</f>
        <v>24672087584.203083</v>
      </c>
      <c r="AA43">
        <f>Z43*(1+IF($A43="AEO",'Growth Rates'!AA95,'Growth Rates'!AA95*AA$5))</f>
        <v>25020861044.844166</v>
      </c>
      <c r="AB43">
        <f>AA43*(1+IF($A43="AEO",'Growth Rates'!AB95,'Growth Rates'!AB95*AB$5))</f>
        <v>25357130961.996548</v>
      </c>
      <c r="AC43">
        <f>AB43*(1+IF($A43="AEO",'Growth Rates'!AC95,'Growth Rates'!AC95*AC$5))</f>
        <v>25705486143.294128</v>
      </c>
    </row>
    <row r="44" spans="1:29" x14ac:dyDescent="0.25">
      <c r="B44" t="s">
        <v>454</v>
      </c>
      <c r="C44">
        <f>'Data from BVAbIC'!AK2</f>
        <v>126110928922.1524</v>
      </c>
      <c r="D44">
        <f>C44*(1+IF($A44="AEO",'Growth Rates'!D96,'Growth Rates'!D96*D$5))</f>
        <v>128765061766.5304</v>
      </c>
      <c r="E44">
        <f>D44*(1+IF($A44="AEO",'Growth Rates'!E96,'Growth Rates'!E96*E$5))</f>
        <v>133141214387.69029</v>
      </c>
      <c r="F44">
        <f>E44*(1+IF($A44="AEO",'Growth Rates'!F96,'Growth Rates'!F96*F$5))</f>
        <v>136089037811.6134</v>
      </c>
      <c r="G44">
        <f>F44*(1+IF($A44="AEO",'Growth Rates'!G96,'Growth Rates'!G96*G$5))</f>
        <v>138131831852.72238</v>
      </c>
      <c r="H44">
        <f>G44*(1+IF($A44="AEO",'Growth Rates'!H96,'Growth Rates'!H96*H$5))</f>
        <v>140593797327.19348</v>
      </c>
      <c r="I44">
        <f>H44*(1+IF($A44="AEO",'Growth Rates'!I96,'Growth Rates'!I96*I$5))</f>
        <v>143416300044.254</v>
      </c>
      <c r="J44">
        <f>I44*(1+IF($A44="AEO",'Growth Rates'!J96,'Growth Rates'!J96*J$5))</f>
        <v>146195178326.14993</v>
      </c>
      <c r="K44">
        <f>J44*(1+IF($A44="AEO",'Growth Rates'!K96,'Growth Rates'!K96*K$5))</f>
        <v>149364030649.24347</v>
      </c>
      <c r="L44">
        <f>K44*(1+IF($A44="AEO",'Growth Rates'!L96,'Growth Rates'!L96*L$5))</f>
        <v>152808987117.93079</v>
      </c>
      <c r="M44">
        <f>L44*(1+IF($A44="AEO",'Growth Rates'!M96,'Growth Rates'!M96*M$5))</f>
        <v>156488889879.69537</v>
      </c>
      <c r="N44">
        <f>M44*(1+IF($A44="AEO",'Growth Rates'!N96,'Growth Rates'!N96*N$5))</f>
        <v>160398992480.71118</v>
      </c>
      <c r="O44">
        <f>N44*(1+IF($A44="AEO",'Growth Rates'!O96,'Growth Rates'!O96*O$5))</f>
        <v>163660953649.99268</v>
      </c>
      <c r="P44">
        <f>O44*(1+IF($A44="AEO",'Growth Rates'!P96,'Growth Rates'!P96*P$5))</f>
        <v>166904402414.92975</v>
      </c>
      <c r="Q44">
        <f>P44*(1+IF($A44="AEO",'Growth Rates'!Q96,'Growth Rates'!Q96*Q$5))</f>
        <v>170166443277.84451</v>
      </c>
      <c r="R44">
        <f>Q44*(1+IF($A44="AEO",'Growth Rates'!R96,'Growth Rates'!R96*R$5))</f>
        <v>173371870275.63144</v>
      </c>
      <c r="S44">
        <f>R44*(1+IF($A44="AEO",'Growth Rates'!S96,'Growth Rates'!S96*S$5))</f>
        <v>176594692117.65839</v>
      </c>
      <c r="T44">
        <f>S44*(1+IF($A44="AEO",'Growth Rates'!T96,'Growth Rates'!T96*T$5))</f>
        <v>179725531574.26617</v>
      </c>
      <c r="U44">
        <f>T44*(1+IF($A44="AEO",'Growth Rates'!U96,'Growth Rates'!U96*U$5))</f>
        <v>182941402705.78522</v>
      </c>
      <c r="V44">
        <f>U44*(1+IF($A44="AEO",'Growth Rates'!V96,'Growth Rates'!V96*V$5))</f>
        <v>186287621888.8746</v>
      </c>
      <c r="W44">
        <f>V44*(1+IF($A44="AEO",'Growth Rates'!W96,'Growth Rates'!W96*W$5))</f>
        <v>189649209676.91229</v>
      </c>
      <c r="X44">
        <f>W44*(1+IF($A44="AEO",'Growth Rates'!X96,'Growth Rates'!X96*X$5))</f>
        <v>192963992298.40585</v>
      </c>
      <c r="Y44">
        <f>X44*(1+IF($A44="AEO",'Growth Rates'!Y96,'Growth Rates'!Y96*Y$5))</f>
        <v>196172163965.97644</v>
      </c>
      <c r="Z44">
        <f>Y44*(1+IF($A44="AEO",'Growth Rates'!Z96,'Growth Rates'!Z96*Z$5))</f>
        <v>199242562288.00848</v>
      </c>
      <c r="AA44">
        <f>Z44*(1+IF($A44="AEO",'Growth Rates'!AA96,'Growth Rates'!AA96*AA$5))</f>
        <v>202327370667.66794</v>
      </c>
      <c r="AB44">
        <f>AA44*(1+IF($A44="AEO",'Growth Rates'!AB96,'Growth Rates'!AB96*AB$5))</f>
        <v>205305536966.87292</v>
      </c>
      <c r="AC44">
        <f>AB44*(1+IF($A44="AEO",'Growth Rates'!AC96,'Growth Rates'!AC96*AC$5))</f>
        <v>208394632676.42123</v>
      </c>
    </row>
    <row r="45" spans="1:29" x14ac:dyDescent="0.25">
      <c r="B45" t="s">
        <v>495</v>
      </c>
      <c r="C45">
        <f>'Data from BVAbIC'!AL2</f>
        <v>152411004029.24551</v>
      </c>
      <c r="D45">
        <f>C45*(1+IF($A45="AEO",'Growth Rates'!D97,'Growth Rates'!D97*D$5))</f>
        <v>156011213371.91724</v>
      </c>
      <c r="E45">
        <f>D45*(1+IF($A45="AEO",'Growth Rates'!E97,'Growth Rates'!E97*E$5))</f>
        <v>161962237797.69662</v>
      </c>
      <c r="F45">
        <f>E45*(1+IF($A45="AEO",'Growth Rates'!F97,'Growth Rates'!F97*F$5))</f>
        <v>165987037008.90295</v>
      </c>
      <c r="G45">
        <f>F45*(1+IF($A45="AEO",'Growth Rates'!G97,'Growth Rates'!G97*G$5))</f>
        <v>168783551732.448</v>
      </c>
      <c r="H45">
        <f>G45*(1+IF($A45="AEO",'Growth Rates'!H97,'Growth Rates'!H97*H$5))</f>
        <v>172159997724.78677</v>
      </c>
      <c r="I45">
        <f>H45*(1+IF($A45="AEO",'Growth Rates'!I97,'Growth Rates'!I97*I$5))</f>
        <v>176039195792.05325</v>
      </c>
      <c r="J45">
        <f>I45*(1+IF($A45="AEO",'Growth Rates'!J97,'Growth Rates'!J97*J$5))</f>
        <v>179867636145.70486</v>
      </c>
      <c r="K45">
        <f>J45*(1+IF($A45="AEO",'Growth Rates'!K97,'Growth Rates'!K97*K$5))</f>
        <v>184243496731.54785</v>
      </c>
      <c r="L45">
        <f>K45*(1+IF($A45="AEO",'Growth Rates'!L97,'Growth Rates'!L97*L$5))</f>
        <v>189012980553.65585</v>
      </c>
      <c r="M45">
        <f>L45*(1+IF($A45="AEO",'Growth Rates'!M97,'Growth Rates'!M97*M$5))</f>
        <v>194121800247.51208</v>
      </c>
      <c r="N45">
        <f>M45*(1+IF($A45="AEO",'Growth Rates'!N97,'Growth Rates'!N97*N$5))</f>
        <v>199565829533.27567</v>
      </c>
      <c r="O45">
        <f>N45*(1+IF($A45="AEO",'Growth Rates'!O97,'Growth Rates'!O97*O$5))</f>
        <v>204121002069.17572</v>
      </c>
      <c r="P45">
        <f>O45*(1+IF($A45="AEO",'Growth Rates'!P97,'Growth Rates'!P97*P$5))</f>
        <v>208661371124.2757</v>
      </c>
      <c r="Q45">
        <f>P45*(1+IF($A45="AEO",'Growth Rates'!Q97,'Growth Rates'!Q97*Q$5))</f>
        <v>213238626681.02972</v>
      </c>
      <c r="R45">
        <f>Q45*(1+IF($A45="AEO",'Growth Rates'!R97,'Growth Rates'!R97*R$5))</f>
        <v>217746994536.54959</v>
      </c>
      <c r="S45">
        <f>R45*(1+IF($A45="AEO",'Growth Rates'!S97,'Growth Rates'!S97*S$5))</f>
        <v>222290084451.75714</v>
      </c>
      <c r="T45">
        <f>S45*(1+IF($A45="AEO",'Growth Rates'!T97,'Growth Rates'!T97*T$5))</f>
        <v>226713367614.06778</v>
      </c>
      <c r="U45">
        <f>T45*(1+IF($A45="AEO",'Growth Rates'!U97,'Growth Rates'!U97*U$5))</f>
        <v>231266470741.66418</v>
      </c>
      <c r="V45">
        <f>U45*(1+IF($A45="AEO",'Growth Rates'!V97,'Growth Rates'!V97*V$5))</f>
        <v>236014315951.74768</v>
      </c>
      <c r="W45">
        <f>V45*(1+IF($A45="AEO",'Growth Rates'!W97,'Growth Rates'!W97*W$5))</f>
        <v>240794452518.47198</v>
      </c>
      <c r="X45">
        <f>W45*(1+IF($A45="AEO",'Growth Rates'!X97,'Growth Rates'!X97*X$5))</f>
        <v>245518257852.7981</v>
      </c>
      <c r="Y45">
        <f>X45*(1+IF($A45="AEO",'Growth Rates'!Y97,'Growth Rates'!Y97*Y$5))</f>
        <v>250099746512.36832</v>
      </c>
      <c r="Z45">
        <f>Y45*(1+IF($A45="AEO",'Growth Rates'!Z97,'Growth Rates'!Z97*Z$5))</f>
        <v>254493261251.2836</v>
      </c>
      <c r="AA45">
        <f>Z45*(1+IF($A45="AEO",'Growth Rates'!AA97,'Growth Rates'!AA97*AA$5))</f>
        <v>258915720703.51382</v>
      </c>
      <c r="AB45">
        <f>AA45*(1+IF($A45="AEO",'Growth Rates'!AB97,'Growth Rates'!AB97*AB$5))</f>
        <v>263193262152.33276</v>
      </c>
      <c r="AC45">
        <f>AB45*(1+IF($A45="AEO",'Growth Rates'!AC97,'Growth Rates'!AC97*AC$5))</f>
        <v>267638008358.49994</v>
      </c>
    </row>
    <row r="46" spans="1:29" x14ac:dyDescent="0.25">
      <c r="B46" t="s">
        <v>520</v>
      </c>
      <c r="C46">
        <f>'Data from BVAbIC'!AM2</f>
        <v>66483987093.364311</v>
      </c>
      <c r="D46">
        <f>C46*(1+IF($A46="AEO",'Growth Rates'!D98,'Growth Rates'!D98*D$5))</f>
        <v>68187389213.669373</v>
      </c>
      <c r="E46">
        <f>D46*(1+IF($A46="AEO",'Growth Rates'!E98,'Growth Rates'!E98*E$5))</f>
        <v>71008555446.464417</v>
      </c>
      <c r="F46">
        <f>E46*(1+IF($A46="AEO",'Growth Rates'!F98,'Growth Rates'!F98*F$5))</f>
        <v>72922502082.221634</v>
      </c>
      <c r="G46">
        <f>F46*(1+IF($A46="AEO",'Growth Rates'!G98,'Growth Rates'!G98*G$5))</f>
        <v>74255081790.180069</v>
      </c>
      <c r="H46">
        <f>G46*(1+IF($A46="AEO",'Growth Rates'!H98,'Growth Rates'!H98*H$5))</f>
        <v>75866263648.322372</v>
      </c>
      <c r="I46">
        <f>H46*(1+IF($A46="AEO",'Growth Rates'!I98,'Growth Rates'!I98*I$5))</f>
        <v>77720423183.541214</v>
      </c>
      <c r="J46">
        <f>I46*(1+IF($A46="AEO",'Growth Rates'!J98,'Growth Rates'!J98*J$5))</f>
        <v>79553735104.813675</v>
      </c>
      <c r="K46">
        <f>J46*(1+IF($A46="AEO",'Growth Rates'!K98,'Growth Rates'!K98*K$5))</f>
        <v>81652963640.359711</v>
      </c>
      <c r="L46">
        <f>K46*(1+IF($A46="AEO",'Growth Rates'!L98,'Growth Rates'!L98*L$5))</f>
        <v>83945624735.483673</v>
      </c>
      <c r="M46">
        <f>L46*(1+IF($A46="AEO",'Growth Rates'!M98,'Growth Rates'!M98*M$5))</f>
        <v>86406647929.721649</v>
      </c>
      <c r="N46">
        <f>M46*(1+IF($A46="AEO",'Growth Rates'!N98,'Growth Rates'!N98*N$5))</f>
        <v>89034990664.688583</v>
      </c>
      <c r="O46">
        <f>N46*(1+IF($A46="AEO",'Growth Rates'!O98,'Growth Rates'!O98*O$5))</f>
        <v>91239277280.476578</v>
      </c>
      <c r="P46">
        <f>O46*(1+IF($A46="AEO",'Growth Rates'!P98,'Growth Rates'!P98*P$5))</f>
        <v>93440550734.783676</v>
      </c>
      <c r="Q46">
        <f>P46*(1+IF($A46="AEO",'Growth Rates'!Q98,'Growth Rates'!Q98*Q$5))</f>
        <v>95663795045.928772</v>
      </c>
      <c r="R46">
        <f>Q46*(1+IF($A46="AEO",'Growth Rates'!R98,'Growth Rates'!R98*R$5))</f>
        <v>97857558361.329178</v>
      </c>
      <c r="S46">
        <f>R46*(1+IF($A46="AEO",'Growth Rates'!S98,'Growth Rates'!S98*S$5))</f>
        <v>100072091762.05301</v>
      </c>
      <c r="T46">
        <f>S46*(1+IF($A46="AEO",'Growth Rates'!T98,'Growth Rates'!T98*T$5))</f>
        <v>102231955362.91284</v>
      </c>
      <c r="U46">
        <f>T46*(1+IF($A46="AEO",'Growth Rates'!U98,'Growth Rates'!U98*U$5))</f>
        <v>104458881041.47069</v>
      </c>
      <c r="V46">
        <f>U46*(1+IF($A46="AEO",'Growth Rates'!V98,'Growth Rates'!V98*V$5))</f>
        <v>106784925142.6499</v>
      </c>
      <c r="W46">
        <f>V46*(1+IF($A46="AEO",'Growth Rates'!W98,'Growth Rates'!W98*W$5))</f>
        <v>109130777102.91576</v>
      </c>
      <c r="X46">
        <f>W46*(1+IF($A46="AEO",'Growth Rates'!X98,'Growth Rates'!X98*X$5))</f>
        <v>111452879993.90909</v>
      </c>
      <c r="Y46">
        <f>X46*(1+IF($A46="AEO",'Growth Rates'!Y98,'Growth Rates'!Y98*Y$5))</f>
        <v>113708691533.39513</v>
      </c>
      <c r="Z46">
        <f>Y46*(1+IF($A46="AEO",'Growth Rates'!Z98,'Growth Rates'!Z98*Z$5))</f>
        <v>115875303785.02229</v>
      </c>
      <c r="AA46">
        <f>Z46*(1+IF($A46="AEO",'Growth Rates'!AA98,'Growth Rates'!AA98*AA$5))</f>
        <v>118059376809.02888</v>
      </c>
      <c r="AB46">
        <f>AA46*(1+IF($A46="AEO",'Growth Rates'!AB98,'Growth Rates'!AB98*AB$5))</f>
        <v>120174935064.59714</v>
      </c>
      <c r="AC46">
        <f>AB46*(1+IF($A46="AEO",'Growth Rates'!AC98,'Growth Rates'!AC98*AC$5))</f>
        <v>122376212559.52061</v>
      </c>
    </row>
    <row r="47" spans="1:29" x14ac:dyDescent="0.25">
      <c r="B47" t="s">
        <v>871</v>
      </c>
      <c r="C47">
        <f>'Data from BVAbIC'!AN2</f>
        <v>702900000000</v>
      </c>
      <c r="D47">
        <f>C47*(1+IF($A47="AEO",'Growth Rates'!D99,'Growth Rates'!D99*D$5))</f>
        <v>717693245853.14026</v>
      </c>
      <c r="E47">
        <f>D47*(1+IF($A47="AEO",'Growth Rates'!E99,'Growth Rates'!E99*E$5))</f>
        <v>742084452100.71375</v>
      </c>
      <c r="F47">
        <f>E47*(1+IF($A47="AEO",'Growth Rates'!F99,'Growth Rates'!F99*F$5))</f>
        <v>758514630693.3606</v>
      </c>
      <c r="G47">
        <f>F47*(1+IF($A47="AEO",'Growth Rates'!G99,'Growth Rates'!G99*G$5))</f>
        <v>769900479198.06763</v>
      </c>
      <c r="H47">
        <f>G47*(1+IF($A47="AEO",'Growth Rates'!H99,'Growth Rates'!H99*H$5))</f>
        <v>783622648615.07324</v>
      </c>
      <c r="I47">
        <f>H47*(1+IF($A47="AEO",'Growth Rates'!I99,'Growth Rates'!I99*I$5))</f>
        <v>799354331640.31299</v>
      </c>
      <c r="J47">
        <f>I47*(1+IF($A47="AEO",'Growth Rates'!J99,'Growth Rates'!J99*J$5))</f>
        <v>814842866702.5708</v>
      </c>
      <c r="K47">
        <f>J47*(1+IF($A47="AEO",'Growth Rates'!K99,'Growth Rates'!K99*K$5))</f>
        <v>832504986210.68567</v>
      </c>
      <c r="L47">
        <f>K47*(1+IF($A47="AEO",'Growth Rates'!L99,'Growth Rates'!L99*L$5))</f>
        <v>851706017576.77026</v>
      </c>
      <c r="M47">
        <f>L47*(1+IF($A47="AEO",'Growth Rates'!M99,'Growth Rates'!M99*M$5))</f>
        <v>872216560741.83594</v>
      </c>
      <c r="N47">
        <f>M47*(1+IF($A47="AEO",'Growth Rates'!N99,'Growth Rates'!N99*N$5))</f>
        <v>894010160564.97729</v>
      </c>
      <c r="O47">
        <f>N47*(1+IF($A47="AEO",'Growth Rates'!O99,'Growth Rates'!O99*O$5))</f>
        <v>912191237538.11829</v>
      </c>
      <c r="P47">
        <f>O47*(1+IF($A47="AEO",'Growth Rates'!P99,'Growth Rates'!P99*P$5))</f>
        <v>930269132581.47009</v>
      </c>
      <c r="Q47">
        <f>P47*(1+IF($A47="AEO",'Growth Rates'!Q99,'Growth Rates'!Q99*Q$5))</f>
        <v>948450653740.18091</v>
      </c>
      <c r="R47">
        <f>Q47*(1+IF($A47="AEO",'Growth Rates'!R99,'Growth Rates'!R99*R$5))</f>
        <v>966316628212.03052</v>
      </c>
      <c r="S47">
        <f>R47*(1+IF($A47="AEO",'Growth Rates'!S99,'Growth Rates'!S99*S$5))</f>
        <v>984279555708.65625</v>
      </c>
      <c r="T47">
        <f>S47*(1+IF($A47="AEO",'Growth Rates'!T99,'Growth Rates'!T99*T$5))</f>
        <v>1001729804254.5858</v>
      </c>
      <c r="U47">
        <f>T47*(1+IF($A47="AEO",'Growth Rates'!U99,'Growth Rates'!U99*U$5))</f>
        <v>1019653990823.2224</v>
      </c>
      <c r="V47">
        <f>U47*(1+IF($A47="AEO",'Growth Rates'!V99,'Growth Rates'!V99*V$5))</f>
        <v>1038304693691.6902</v>
      </c>
      <c r="W47">
        <f>V47*(1+IF($A47="AEO",'Growth Rates'!W99,'Growth Rates'!W99*W$5))</f>
        <v>1057041056007.0474</v>
      </c>
      <c r="X47">
        <f>W47*(1+IF($A47="AEO",'Growth Rates'!X99,'Growth Rates'!X99*X$5))</f>
        <v>1075516542030.0398</v>
      </c>
      <c r="Y47">
        <f>X47*(1+IF($A47="AEO",'Growth Rates'!Y99,'Growth Rates'!Y99*Y$5))</f>
        <v>1093397814370.2617</v>
      </c>
      <c r="Z47">
        <f>Y47*(1+IF($A47="AEO",'Growth Rates'!Z99,'Growth Rates'!Z99*Z$5))</f>
        <v>1110511184313.707</v>
      </c>
      <c r="AA47">
        <f>Z47*(1+IF($A47="AEO",'Growth Rates'!AA99,'Growth Rates'!AA99*AA$5))</f>
        <v>1127704871082.9253</v>
      </c>
      <c r="AB47">
        <f>AA47*(1+IF($A47="AEO",'Growth Rates'!AB99,'Growth Rates'!AB99*AB$5))</f>
        <v>1144304170680.5313</v>
      </c>
      <c r="AC47">
        <f>AB47*(1+IF($A47="AEO",'Growth Rates'!AC99,'Growth Rates'!AC99*AC$5))</f>
        <v>1161521753587.8926</v>
      </c>
    </row>
    <row r="48" spans="1:29" x14ac:dyDescent="0.25">
      <c r="B48" t="s">
        <v>531</v>
      </c>
      <c r="C48">
        <f>'Data from BVAbIC'!AO2</f>
        <v>502078000000</v>
      </c>
      <c r="D48">
        <f>C48*(1+IF($A48="AEO",'Growth Rates'!D100,'Growth Rates'!D100*D$5))</f>
        <v>518926478566.44574</v>
      </c>
      <c r="E48">
        <f>D48*(1+IF($A48="AEO",'Growth Rates'!E100,'Growth Rates'!E100*E$5))</f>
        <v>547046769979.6189</v>
      </c>
      <c r="F48">
        <f>E48*(1+IF($A48="AEO",'Growth Rates'!F100,'Growth Rates'!F100*F$5))</f>
        <v>566359024477.77136</v>
      </c>
      <c r="G48">
        <f>F48*(1+IF($A48="AEO",'Growth Rates'!G100,'Growth Rates'!G100*G$5))</f>
        <v>579914439852.02124</v>
      </c>
      <c r="H48">
        <f>G48*(1+IF($A48="AEO",'Growth Rates'!H100,'Growth Rates'!H100*H$5))</f>
        <v>596394988896.05872</v>
      </c>
      <c r="I48">
        <f>H48*(1+IF($A48="AEO",'Growth Rates'!I100,'Growth Rates'!I100*I$5))</f>
        <v>615485684788.02698</v>
      </c>
      <c r="J48">
        <f>I48*(1+IF($A48="AEO",'Growth Rates'!J100,'Growth Rates'!J100*J$5))</f>
        <v>634501219103.09253</v>
      </c>
      <c r="K48">
        <f>J48*(1+IF($A48="AEO",'Growth Rates'!K100,'Growth Rates'!K100*K$5))</f>
        <v>656430327691.1864</v>
      </c>
      <c r="L48">
        <f>K48*(1+IF($A48="AEO",'Growth Rates'!L100,'Growth Rates'!L100*L$5))</f>
        <v>680570808601.24878</v>
      </c>
      <c r="M48">
        <f>L48*(1+IF($A48="AEO",'Growth Rates'!M100,'Growth Rates'!M100*M$5))</f>
        <v>706703270706.27527</v>
      </c>
      <c r="N48">
        <f>M48*(1+IF($A48="AEO",'Growth Rates'!N100,'Growth Rates'!N100*N$5))</f>
        <v>734858645390.9187</v>
      </c>
      <c r="O48">
        <f>N48*(1+IF($A48="AEO",'Growth Rates'!O100,'Growth Rates'!O100*O$5))</f>
        <v>758687355010.61853</v>
      </c>
      <c r="P48">
        <f>O48*(1+IF($A48="AEO",'Growth Rates'!P100,'Growth Rates'!P100*P$5))</f>
        <v>782661568947.3241</v>
      </c>
      <c r="Q48">
        <f>P48*(1+IF($A48="AEO",'Growth Rates'!Q100,'Growth Rates'!Q100*Q$5))</f>
        <v>807051758766.24854</v>
      </c>
      <c r="R48">
        <f>Q48*(1+IF($A48="AEO",'Growth Rates'!R100,'Growth Rates'!R100*R$5))</f>
        <v>831291775950.16528</v>
      </c>
      <c r="S48">
        <f>R48*(1+IF($A48="AEO",'Growth Rates'!S100,'Growth Rates'!S100*S$5))</f>
        <v>855931209212.771</v>
      </c>
      <c r="T48">
        <f>S48*(1+IF($A48="AEO",'Growth Rates'!T100,'Growth Rates'!T100*T$5))</f>
        <v>880127098059.12549</v>
      </c>
      <c r="U48">
        <f>T48*(1+IF($A48="AEO",'Growth Rates'!U100,'Growth Rates'!U100*U$5))</f>
        <v>905237508938.73718</v>
      </c>
      <c r="V48">
        <f>U48*(1+IF($A48="AEO",'Growth Rates'!V100,'Growth Rates'!V100*V$5))</f>
        <v>931638758777.47595</v>
      </c>
      <c r="W48">
        <f>V48*(1+IF($A48="AEO",'Growth Rates'!W100,'Growth Rates'!W100*W$5))</f>
        <v>958444484715.05664</v>
      </c>
      <c r="X48">
        <f>W48*(1+IF($A48="AEO",'Growth Rates'!X100,'Growth Rates'!X100*X$5))</f>
        <v>985155509166.34326</v>
      </c>
      <c r="Y48">
        <f>X48*(1+IF($A48="AEO",'Growth Rates'!Y100,'Growth Rates'!Y100*Y$5))</f>
        <v>1011271450227.6991</v>
      </c>
      <c r="Z48">
        <f>Y48*(1+IF($A48="AEO",'Growth Rates'!Z100,'Growth Rates'!Z100*Z$5))</f>
        <v>1036508852490.5103</v>
      </c>
      <c r="AA48">
        <f>Z48*(1+IF($A48="AEO",'Growth Rates'!AA100,'Growth Rates'!AA100*AA$5))</f>
        <v>1062096988800.9775</v>
      </c>
      <c r="AB48">
        <f>AA48*(1+IF($A48="AEO",'Growth Rates'!AB100,'Growth Rates'!AB100*AB$5))</f>
        <v>1087024450113.0552</v>
      </c>
      <c r="AC48">
        <f>AB48*(1+IF($A48="AEO",'Growth Rates'!AC100,'Growth Rates'!AC100*AC$5))</f>
        <v>1113103368841.6228</v>
      </c>
    </row>
    <row r="49" spans="1:29" x14ac:dyDescent="0.25">
      <c r="B49" t="s">
        <v>562</v>
      </c>
      <c r="C49">
        <f>'Data from BVAbIC'!AP2</f>
        <v>276414000000</v>
      </c>
      <c r="D49">
        <f>C49*(1+IF($A49="AEO",'Growth Rates'!D101,'Growth Rates'!D101*D$5))</f>
        <v>283243138104.85425</v>
      </c>
      <c r="E49">
        <f>D49*(1+IF($A49="AEO",'Growth Rates'!E101,'Growth Rates'!E101*E$5))</f>
        <v>294543432162.62549</v>
      </c>
      <c r="F49">
        <f>E49*(1+IF($A49="AEO",'Growth Rates'!F101,'Growth Rates'!F101*F$5))</f>
        <v>302198943833.6405</v>
      </c>
      <c r="G49">
        <f>F49*(1+IF($A49="AEO",'Growth Rates'!G101,'Growth Rates'!G101*G$5))</f>
        <v>307524074994.48694</v>
      </c>
      <c r="H49">
        <f>G49*(1+IF($A49="AEO",'Growth Rates'!H101,'Growth Rates'!H101*H$5))</f>
        <v>313958403587.10547</v>
      </c>
      <c r="I49">
        <f>H49*(1+IF($A49="AEO",'Growth Rates'!I101,'Growth Rates'!I101*I$5))</f>
        <v>321357458455.56659</v>
      </c>
      <c r="J49">
        <f>I49*(1+IF($A49="AEO",'Growth Rates'!J101,'Growth Rates'!J101*J$5))</f>
        <v>328667087249.29236</v>
      </c>
      <c r="K49">
        <f>J49*(1+IF($A49="AEO",'Growth Rates'!K101,'Growth Rates'!K101*K$5))</f>
        <v>337030067961.17322</v>
      </c>
      <c r="L49">
        <f>K49*(1+IF($A49="AEO",'Growth Rates'!L101,'Growth Rates'!L101*L$5))</f>
        <v>346155265818.05884</v>
      </c>
      <c r="M49">
        <f>L49*(1+IF($A49="AEO",'Growth Rates'!M101,'Growth Rates'!M101*M$5))</f>
        <v>355941020328.83203</v>
      </c>
      <c r="N49">
        <f>M49*(1+IF($A49="AEO",'Growth Rates'!N101,'Growth Rates'!N101*N$5))</f>
        <v>366381455785.7157</v>
      </c>
      <c r="O49">
        <f>N49*(1+IF($A49="AEO",'Growth Rates'!O101,'Growth Rates'!O101*O$5))</f>
        <v>375128202749.73389</v>
      </c>
      <c r="P49">
        <f>O49*(1+IF($A49="AEO",'Growth Rates'!P101,'Growth Rates'!P101*P$5))</f>
        <v>383855456610.12238</v>
      </c>
      <c r="Q49">
        <f>P49*(1+IF($A49="AEO",'Growth Rates'!Q101,'Growth Rates'!Q101*Q$5))</f>
        <v>392662400950.85516</v>
      </c>
      <c r="R49">
        <f>Q49*(1+IF($A49="AEO",'Growth Rates'!R101,'Growth Rates'!R101*R$5))</f>
        <v>401345349243.69659</v>
      </c>
      <c r="S49">
        <f>R49*(1+IF($A49="AEO",'Growth Rates'!S101,'Growth Rates'!S101*S$5))</f>
        <v>410103488111.27686</v>
      </c>
      <c r="T49">
        <f>S49*(1+IF($A49="AEO",'Growth Rates'!T101,'Growth Rates'!T101*T$5))</f>
        <v>418638665346.98627</v>
      </c>
      <c r="U49">
        <f>T49*(1+IF($A49="AEO",'Growth Rates'!U101,'Growth Rates'!U101*U$5))</f>
        <v>427432213084.96399</v>
      </c>
      <c r="V49">
        <f>U49*(1+IF($A49="AEO",'Growth Rates'!V101,'Growth Rates'!V101*V$5))</f>
        <v>436610160336.16498</v>
      </c>
      <c r="W49">
        <f>V49*(1+IF($A49="AEO",'Growth Rates'!W101,'Growth Rates'!W101*W$5))</f>
        <v>445859063338.58038</v>
      </c>
      <c r="X49">
        <f>W49*(1+IF($A49="AEO",'Growth Rates'!X101,'Growth Rates'!X101*X$5))</f>
        <v>455007303210.84686</v>
      </c>
      <c r="Y49">
        <f>X49*(1+IF($A49="AEO",'Growth Rates'!Y101,'Growth Rates'!Y101*Y$5))</f>
        <v>463887766410.09235</v>
      </c>
      <c r="Z49">
        <f>Y49*(1+IF($A49="AEO",'Growth Rates'!Z101,'Growth Rates'!Z101*Z$5))</f>
        <v>472411035206.59918</v>
      </c>
      <c r="AA49">
        <f>Z49*(1+IF($A49="AEO",'Growth Rates'!AA101,'Growth Rates'!AA101*AA$5))</f>
        <v>480997255677.61005</v>
      </c>
      <c r="AB49">
        <f>AA49*(1+IF($A49="AEO",'Growth Rates'!AB101,'Growth Rates'!AB101*AB$5))</f>
        <v>489308629838.81842</v>
      </c>
      <c r="AC49">
        <f>AB49*(1+IF($A49="AEO",'Growth Rates'!AC101,'Growth Rates'!AC101*AC$5))</f>
        <v>497951331178.34033</v>
      </c>
    </row>
    <row r="50" spans="1:29" x14ac:dyDescent="0.25">
      <c r="B50" t="s">
        <v>565</v>
      </c>
      <c r="C50">
        <f>'Data from BVAbIC'!AQ2</f>
        <v>769467000000</v>
      </c>
      <c r="D50">
        <f>C50*(1+IF($A50="AEO",'Growth Rates'!D102,'Growth Rates'!D102*D$5))</f>
        <v>793434592453.11658</v>
      </c>
      <c r="E50">
        <f>D50*(1+IF($A50="AEO",'Growth Rates'!E102,'Growth Rates'!E102*E$5))</f>
        <v>833343517583.44312</v>
      </c>
      <c r="F50">
        <f>E50*(1+IF($A50="AEO",'Growth Rates'!F102,'Growth Rates'!F102*F$5))</f>
        <v>860650737866.54956</v>
      </c>
      <c r="G50">
        <f>F50*(1+IF($A50="AEO",'Growth Rates'!G102,'Growth Rates'!G102*G$5))</f>
        <v>879770956978.50293</v>
      </c>
      <c r="H50">
        <f>G50*(1+IF($A50="AEO",'Growth Rates'!H102,'Growth Rates'!H102*H$5))</f>
        <v>902978132583.84839</v>
      </c>
      <c r="I50">
        <f>H50*(1+IF($A50="AEO",'Growth Rates'!I102,'Growth Rates'!I102*I$5))</f>
        <v>929807468393.35852</v>
      </c>
      <c r="J50">
        <f>I50*(1+IF($A50="AEO",'Growth Rates'!J102,'Growth Rates'!J102*J$5))</f>
        <v>956471666129.94702</v>
      </c>
      <c r="K50">
        <f>J50*(1+IF($A50="AEO",'Growth Rates'!K102,'Growth Rates'!K102*K$5))</f>
        <v>987155211615.48511</v>
      </c>
      <c r="L50">
        <f>K50*(1+IF($A50="AEO",'Growth Rates'!L102,'Growth Rates'!L102*L$5))</f>
        <v>1020851932220.1294</v>
      </c>
      <c r="M50">
        <f>L50*(1+IF($A50="AEO",'Growth Rates'!M102,'Growth Rates'!M102*M$5))</f>
        <v>1057236287323.4043</v>
      </c>
      <c r="N50">
        <f>M50*(1+IF($A50="AEO",'Growth Rates'!N102,'Growth Rates'!N102*N$5))</f>
        <v>1096333084854.3641</v>
      </c>
      <c r="O50">
        <f>N50*(1+IF($A50="AEO",'Growth Rates'!O102,'Growth Rates'!O102*O$5))</f>
        <v>1129330821473.0813</v>
      </c>
      <c r="P50">
        <f>O50*(1+IF($A50="AEO",'Growth Rates'!P102,'Growth Rates'!P102*P$5))</f>
        <v>1162455191398.3403</v>
      </c>
      <c r="Q50">
        <f>P50*(1+IF($A50="AEO",'Growth Rates'!Q102,'Growth Rates'!Q102*Q$5))</f>
        <v>1196080192468.741</v>
      </c>
      <c r="R50">
        <f>Q50*(1+IF($A50="AEO",'Growth Rates'!R102,'Growth Rates'!R102*R$5))</f>
        <v>1229425655153.2935</v>
      </c>
      <c r="S50">
        <f>R50*(1+IF($A50="AEO",'Growth Rates'!S102,'Growth Rates'!S102*S$5))</f>
        <v>1263249612366.2463</v>
      </c>
      <c r="T50">
        <f>S50*(1+IF($A50="AEO",'Growth Rates'!T102,'Growth Rates'!T102*T$5))</f>
        <v>1296396045929.6951</v>
      </c>
      <c r="U50">
        <f>T50*(1+IF($A50="AEO",'Growth Rates'!U102,'Growth Rates'!U102*U$5))</f>
        <v>1330727408360.9177</v>
      </c>
      <c r="V50">
        <f>U50*(1+IF($A50="AEO",'Growth Rates'!V102,'Growth Rates'!V102*V$5))</f>
        <v>1366751742514.5837</v>
      </c>
      <c r="W50">
        <f>V50*(1+IF($A50="AEO",'Growth Rates'!W102,'Growth Rates'!W102*W$5))</f>
        <v>1403253567258.6353</v>
      </c>
      <c r="X50">
        <f>W50*(1+IF($A50="AEO",'Growth Rates'!X102,'Growth Rates'!X102*X$5))</f>
        <v>1439553402311.5132</v>
      </c>
      <c r="Y50">
        <f>X50*(1+IF($A50="AEO",'Growth Rates'!Y102,'Growth Rates'!Y102*Y$5))</f>
        <v>1474975443537.0784</v>
      </c>
      <c r="Z50">
        <f>Y50*(1+IF($A50="AEO",'Growth Rates'!Z102,'Growth Rates'!Z102*Z$5))</f>
        <v>1509142424664.0193</v>
      </c>
      <c r="AA50">
        <f>Z50*(1+IF($A50="AEO",'Growth Rates'!AA102,'Growth Rates'!AA102*AA$5))</f>
        <v>1543723682217.9075</v>
      </c>
      <c r="AB50">
        <f>AA50*(1+IF($A50="AEO",'Growth Rates'!AB102,'Growth Rates'!AB102*AB$5))</f>
        <v>1577353797375.5002</v>
      </c>
      <c r="AC50">
        <f>AB50*(1+IF($A50="AEO",'Growth Rates'!AC102,'Growth Rates'!AC102*AC$5))</f>
        <v>1612479441610.9443</v>
      </c>
    </row>
    <row r="51" spans="1:29" x14ac:dyDescent="0.25">
      <c r="B51" t="s">
        <v>568</v>
      </c>
      <c r="C51">
        <f>'Data from BVAbIC'!AR2</f>
        <v>1631550000000</v>
      </c>
      <c r="D51">
        <f>C51*(1+IF($A51="AEO",'Growth Rates'!D103,'Growth Rates'!D103*D$5))</f>
        <v>1661408808874.6509</v>
      </c>
      <c r="E51">
        <f>D51*(1+IF($A51="AEO",'Growth Rates'!E103,'Growth Rates'!E103*E$5))</f>
        <v>1710507858719.0442</v>
      </c>
      <c r="F51">
        <f>E51*(1+IF($A51="AEO",'Growth Rates'!F103,'Growth Rates'!F103*F$5))</f>
        <v>1743439713007.0593</v>
      </c>
      <c r="G51">
        <f>F51*(1+IF($A51="AEO",'Growth Rates'!G103,'Growth Rates'!G103*G$5))</f>
        <v>1766196478430.8569</v>
      </c>
      <c r="H51">
        <f>G51*(1+IF($A51="AEO",'Growth Rates'!H103,'Growth Rates'!H103*H$5))</f>
        <v>1793569917348.2239</v>
      </c>
      <c r="I51">
        <f>H51*(1+IF($A51="AEO",'Growth Rates'!I103,'Growth Rates'!I103*I$5))</f>
        <v>1824880321852.999</v>
      </c>
      <c r="J51">
        <f>I51*(1+IF($A51="AEO",'Growth Rates'!J103,'Growth Rates'!J103*J$5))</f>
        <v>1855627662420.5381</v>
      </c>
      <c r="K51">
        <f>J51*(1+IF($A51="AEO",'Growth Rates'!K103,'Growth Rates'!K103*K$5))</f>
        <v>1890603002719.677</v>
      </c>
      <c r="L51">
        <f>K51*(1+IF($A51="AEO",'Growth Rates'!L103,'Growth Rates'!L103*L$5))</f>
        <v>1928520548228.4204</v>
      </c>
      <c r="M51">
        <f>L51*(1+IF($A51="AEO",'Growth Rates'!M103,'Growth Rates'!M103*M$5))</f>
        <v>1968904970667.7756</v>
      </c>
      <c r="N51">
        <f>M51*(1+IF($A51="AEO",'Growth Rates'!N103,'Growth Rates'!N103*N$5))</f>
        <v>2011684062319.083</v>
      </c>
      <c r="O51">
        <f>N51*(1+IF($A51="AEO",'Growth Rates'!O103,'Growth Rates'!O103*O$5))</f>
        <v>2047258585329.3191</v>
      </c>
      <c r="P51">
        <f>O51*(1+IF($A51="AEO",'Growth Rates'!P103,'Growth Rates'!P103*P$5))</f>
        <v>2082539255424.1116</v>
      </c>
      <c r="Q51">
        <f>P51*(1+IF($A51="AEO",'Growth Rates'!Q103,'Growth Rates'!Q103*Q$5))</f>
        <v>2117932221600.7671</v>
      </c>
      <c r="R51">
        <f>Q51*(1+IF($A51="AEO",'Growth Rates'!R103,'Growth Rates'!R103*R$5))</f>
        <v>2152623969851.7385</v>
      </c>
      <c r="S51">
        <f>R51*(1+IF($A51="AEO",'Growth Rates'!S103,'Growth Rates'!S103*S$5))</f>
        <v>2187419863570.425</v>
      </c>
      <c r="T51">
        <f>S51*(1+IF($A51="AEO",'Growth Rates'!T103,'Growth Rates'!T103*T$5))</f>
        <v>2221142185005.5796</v>
      </c>
      <c r="U51">
        <f>T51*(1+IF($A51="AEO",'Growth Rates'!U103,'Growth Rates'!U103*U$5))</f>
        <v>2255701679427.2744</v>
      </c>
      <c r="V51">
        <f>U51*(1+IF($A51="AEO",'Growth Rates'!V103,'Growth Rates'!V103*V$5))</f>
        <v>2291579512292.772</v>
      </c>
      <c r="W51">
        <f>V51*(1+IF($A51="AEO",'Growth Rates'!W103,'Growth Rates'!W103*W$5))</f>
        <v>2327537679634.6499</v>
      </c>
      <c r="X51">
        <f>W51*(1+IF($A51="AEO",'Growth Rates'!X103,'Growth Rates'!X103*X$5))</f>
        <v>2362913204815.5107</v>
      </c>
      <c r="Y51">
        <f>X51*(1+IF($A51="AEO",'Growth Rates'!Y103,'Growth Rates'!Y103*Y$5))</f>
        <v>2397074258056.2427</v>
      </c>
      <c r="Z51">
        <f>Y51*(1+IF($A51="AEO",'Growth Rates'!Z103,'Growth Rates'!Z103*Z$5))</f>
        <v>2429698541750.7583</v>
      </c>
      <c r="AA51">
        <f>Z51*(1+IF($A51="AEO",'Growth Rates'!AA103,'Growth Rates'!AA103*AA$5))</f>
        <v>2462410054337.1743</v>
      </c>
      <c r="AB51">
        <f>AA51*(1+IF($A51="AEO",'Growth Rates'!AB103,'Growth Rates'!AB103*AB$5))</f>
        <v>2493927923080.4224</v>
      </c>
      <c r="AC51">
        <f>AB51*(1+IF($A51="AEO",'Growth Rates'!AC103,'Growth Rates'!AC103*AC$5))</f>
        <v>2526557899468.5181</v>
      </c>
    </row>
    <row r="52" spans="1:29" x14ac:dyDescent="0.25">
      <c r="B52" t="s">
        <v>607</v>
      </c>
      <c r="C52">
        <f>'Data from BVAbIC'!AS2</f>
        <v>2966020000000</v>
      </c>
      <c r="D52">
        <f>C52*(1+IF($A52="AEO",'Growth Rates'!D104,'Growth Rates'!D104*D$5))</f>
        <v>3017586751299.9736</v>
      </c>
      <c r="E52">
        <f>D52*(1+IF($A52="AEO",'Growth Rates'!E104,'Growth Rates'!E104*E$5))</f>
        <v>3102305581153.5386</v>
      </c>
      <c r="F52">
        <f>E52*(1+IF($A52="AEO",'Growth Rates'!F104,'Growth Rates'!F104*F$5))</f>
        <v>3159046882336.6597</v>
      </c>
      <c r="G52">
        <f>F52*(1+IF($A52="AEO",'Growth Rates'!G104,'Growth Rates'!G104*G$5))</f>
        <v>3198219561444.166</v>
      </c>
      <c r="H52">
        <f>G52*(1+IF($A52="AEO",'Growth Rates'!H104,'Growth Rates'!H104*H$5))</f>
        <v>3245308860644.2944</v>
      </c>
      <c r="I52">
        <f>H52*(1+IF($A52="AEO",'Growth Rates'!I104,'Growth Rates'!I104*I$5))</f>
        <v>3299129643195.0747</v>
      </c>
      <c r="J52">
        <f>I52*(1+IF($A52="AEO",'Growth Rates'!J104,'Growth Rates'!J104*J$5))</f>
        <v>3351937210039.8638</v>
      </c>
      <c r="K52">
        <f>J52*(1+IF($A52="AEO",'Growth Rates'!K104,'Growth Rates'!K104*K$5))</f>
        <v>3411956463691.2603</v>
      </c>
      <c r="L52">
        <f>K52*(1+IF($A52="AEO",'Growth Rates'!L104,'Growth Rates'!L104*L$5))</f>
        <v>3476964486837.7222</v>
      </c>
      <c r="M52">
        <f>L52*(1+IF($A52="AEO",'Growth Rates'!M104,'Growth Rates'!M104*M$5))</f>
        <v>3546133800399.5991</v>
      </c>
      <c r="N52">
        <f>M52*(1+IF($A52="AEO",'Growth Rates'!N104,'Growth Rates'!N104*N$5))</f>
        <v>3619329493365.6548</v>
      </c>
      <c r="O52">
        <f>N52*(1+IF($A52="AEO",'Growth Rates'!O104,'Growth Rates'!O104*O$5))</f>
        <v>3680133337576.2534</v>
      </c>
      <c r="P52">
        <f>O52*(1+IF($A52="AEO",'Growth Rates'!P104,'Growth Rates'!P104*P$5))</f>
        <v>3740382537439.123</v>
      </c>
      <c r="Q52">
        <f>P52*(1+IF($A52="AEO",'Growth Rates'!Q104,'Growth Rates'!Q104*Q$5))</f>
        <v>3800772309529.1372</v>
      </c>
      <c r="R52">
        <f>Q52*(1+IF($A52="AEO",'Growth Rates'!R104,'Growth Rates'!R104*R$5))</f>
        <v>3859916158911.0117</v>
      </c>
      <c r="S52">
        <f>R52*(1+IF($A52="AEO",'Growth Rates'!S104,'Growth Rates'!S104*S$5))</f>
        <v>3919189758292.0835</v>
      </c>
      <c r="T52">
        <f>S52*(1+IF($A52="AEO",'Growth Rates'!T104,'Growth Rates'!T104*T$5))</f>
        <v>3976588874961.8149</v>
      </c>
      <c r="U52">
        <f>T52*(1+IF($A52="AEO",'Growth Rates'!U104,'Growth Rates'!U104*U$5))</f>
        <v>4035368297941.0825</v>
      </c>
      <c r="V52">
        <f>U52*(1+IF($A52="AEO",'Growth Rates'!V104,'Growth Rates'!V104*V$5))</f>
        <v>4096343229658.1016</v>
      </c>
      <c r="W52">
        <f>V52*(1+IF($A52="AEO",'Growth Rates'!W104,'Growth Rates'!W104*W$5))</f>
        <v>4157406851855.8398</v>
      </c>
      <c r="X52">
        <f>W52*(1+IF($A52="AEO",'Growth Rates'!X104,'Growth Rates'!X104*X$5))</f>
        <v>4217434635491.1602</v>
      </c>
      <c r="Y52">
        <f>X52*(1+IF($A52="AEO",'Growth Rates'!Y104,'Growth Rates'!Y104*Y$5))</f>
        <v>4275358222522.3188</v>
      </c>
      <c r="Z52">
        <f>Y52*(1+IF($A52="AEO",'Growth Rates'!Z104,'Growth Rates'!Z104*Z$5))</f>
        <v>4330636641254.8843</v>
      </c>
      <c r="AA52">
        <f>Z52*(1+IF($A52="AEO",'Growth Rates'!AA104,'Growth Rates'!AA104*AA$5))</f>
        <v>4386025648959.0054</v>
      </c>
      <c r="AB52">
        <f>AA52*(1+IF($A52="AEO",'Growth Rates'!AB104,'Growth Rates'!AB104*AB$5))</f>
        <v>4439358062641.1523</v>
      </c>
      <c r="AC52">
        <f>AB52*(1+IF($A52="AEO",'Growth Rates'!AC104,'Growth Rates'!AC104*AC$5))</f>
        <v>4494537420492.9189</v>
      </c>
    </row>
    <row r="53" spans="1:29" x14ac:dyDescent="0.25">
      <c r="B53" t="s">
        <v>623</v>
      </c>
      <c r="C53">
        <f>'Data from BVAbIC'!AT2</f>
        <v>1713918800817.9651</v>
      </c>
      <c r="D53">
        <f>C53*(1+IF($A53="AEO",'Growth Rates'!D105,'Growth Rates'!D105*D$5))</f>
        <v>1748881634027.1807</v>
      </c>
      <c r="E53">
        <f>D53*(1+IF($A53="AEO",'Growth Rates'!E105,'Growth Rates'!E105*E$5))</f>
        <v>1806492085723.0798</v>
      </c>
      <c r="F53">
        <f>E53*(1+IF($A53="AEO",'Growth Rates'!F105,'Growth Rates'!F105*F$5))</f>
        <v>1845259912729.9785</v>
      </c>
      <c r="G53">
        <f>F53*(1+IF($A53="AEO",'Growth Rates'!G105,'Growth Rates'!G105*G$5))</f>
        <v>1872107510326.8</v>
      </c>
      <c r="H53">
        <f>G53*(1+IF($A53="AEO",'Growth Rates'!H105,'Growth Rates'!H105*H$5))</f>
        <v>1904449401874.2769</v>
      </c>
      <c r="I53">
        <f>H53*(1+IF($A53="AEO",'Growth Rates'!I105,'Growth Rates'!I105*I$5))</f>
        <v>1941507582195.7278</v>
      </c>
      <c r="J53">
        <f>I53*(1+IF($A53="AEO",'Growth Rates'!J105,'Growth Rates'!J105*J$5))</f>
        <v>1977970930455.9243</v>
      </c>
      <c r="K53">
        <f>J53*(1+IF($A53="AEO",'Growth Rates'!K105,'Growth Rates'!K105*K$5))</f>
        <v>2019527079918.6667</v>
      </c>
      <c r="L53">
        <f>K53*(1+IF($A53="AEO",'Growth Rates'!L105,'Growth Rates'!L105*L$5))</f>
        <v>2064674593640.8804</v>
      </c>
      <c r="M53">
        <f>L53*(1+IF($A53="AEO",'Growth Rates'!M105,'Growth Rates'!M105*M$5))</f>
        <v>2112867764723.8142</v>
      </c>
      <c r="N53">
        <f>M53*(1+IF($A53="AEO",'Growth Rates'!N105,'Growth Rates'!N105*N$5))</f>
        <v>2164038705901.0435</v>
      </c>
      <c r="O53">
        <f>N53*(1+IF($A53="AEO",'Growth Rates'!O105,'Growth Rates'!O105*O$5))</f>
        <v>2206695539918.915</v>
      </c>
      <c r="P53">
        <f>O53*(1+IF($A53="AEO",'Growth Rates'!P105,'Growth Rates'!P105*P$5))</f>
        <v>2249084310984.6294</v>
      </c>
      <c r="Q53">
        <f>P53*(1+IF($A53="AEO",'Growth Rates'!Q105,'Growth Rates'!Q105*Q$5))</f>
        <v>2291690607441.9106</v>
      </c>
      <c r="R53">
        <f>Q53*(1+IF($A53="AEO",'Growth Rates'!R105,'Growth Rates'!R105*R$5))</f>
        <v>2333532796516.2139</v>
      </c>
      <c r="S53">
        <f>R53*(1+IF($A53="AEO",'Growth Rates'!S105,'Growth Rates'!S105*S$5))</f>
        <v>2375578150874.7783</v>
      </c>
      <c r="T53">
        <f>S53*(1+IF($A53="AEO",'Growth Rates'!T105,'Growth Rates'!T105*T$5))</f>
        <v>2416400587048.3628</v>
      </c>
      <c r="U53">
        <f>T53*(1+IF($A53="AEO",'Growth Rates'!U105,'Growth Rates'!U105*U$5))</f>
        <v>2458309291631.228</v>
      </c>
      <c r="V53">
        <f>U53*(1+IF($A53="AEO",'Growth Rates'!V105,'Growth Rates'!V105*V$5))</f>
        <v>2501893117068.8774</v>
      </c>
      <c r="W53">
        <f>V53*(1+IF($A53="AEO",'Growth Rates'!W105,'Growth Rates'!W105*W$5))</f>
        <v>2545652949976.0249</v>
      </c>
      <c r="X53">
        <f>W53*(1+IF($A53="AEO",'Growth Rates'!X105,'Growth Rates'!X105*X$5))</f>
        <v>2588779990392.416</v>
      </c>
      <c r="Y53">
        <f>X53*(1+IF($A53="AEO",'Growth Rates'!Y105,'Growth Rates'!Y105*Y$5))</f>
        <v>2630497935694.2788</v>
      </c>
      <c r="Z53">
        <f>Y53*(1+IF($A53="AEO",'Growth Rates'!Z105,'Growth Rates'!Z105*Z$5))</f>
        <v>2670404261737.8989</v>
      </c>
      <c r="AA53">
        <f>Z53*(1+IF($A53="AEO",'Growth Rates'!AA105,'Growth Rates'!AA105*AA$5))</f>
        <v>2710478892553.4546</v>
      </c>
      <c r="AB53">
        <f>AA53*(1+IF($A53="AEO",'Growth Rates'!AB105,'Growth Rates'!AB105*AB$5))</f>
        <v>2749150015255.0898</v>
      </c>
      <c r="AC53">
        <f>AB53*(1+IF($A53="AEO",'Growth Rates'!AC105,'Growth Rates'!AC105*AC$5))</f>
        <v>2789243664348.2256</v>
      </c>
    </row>
    <row r="54" spans="1:29" x14ac:dyDescent="0.25">
      <c r="B54" t="s">
        <v>610</v>
      </c>
      <c r="C54">
        <f>'Data from BVAbIC'!AU2</f>
        <v>628401199182.03479</v>
      </c>
      <c r="D54">
        <f>C54*(1+IF($A54="AEO",'Growth Rates'!D106,'Growth Rates'!D106*D$5))</f>
        <v>642100681193.42627</v>
      </c>
      <c r="E54">
        <f>D54*(1+IF($A54="AEO",'Growth Rates'!E106,'Growth Rates'!E106*E$5))</f>
        <v>664705173624.40625</v>
      </c>
      <c r="F54">
        <f>E54*(1+IF($A54="AEO",'Growth Rates'!F106,'Growth Rates'!F106*F$5))</f>
        <v>679949745081.75549</v>
      </c>
      <c r="G54">
        <f>F54*(1+IF($A54="AEO",'Growth Rates'!G106,'Growth Rates'!G106*G$5))</f>
        <v>690522190793.4834</v>
      </c>
      <c r="H54">
        <f>G54*(1+IF($A54="AEO",'Growth Rates'!H106,'Growth Rates'!H106*H$5))</f>
        <v>703270806687.49463</v>
      </c>
      <c r="I54">
        <f>H54*(1+IF($A54="AEO",'Growth Rates'!I106,'Growth Rates'!I106*I$5))</f>
        <v>717895541746.31799</v>
      </c>
      <c r="J54">
        <f>I54*(1+IF($A54="AEO",'Growth Rates'!J106,'Growth Rates'!J106*J$5))</f>
        <v>732304396928.71106</v>
      </c>
      <c r="K54">
        <f>J54*(1+IF($A54="AEO",'Growth Rates'!K106,'Growth Rates'!K106*K$5))</f>
        <v>748746516509.26746</v>
      </c>
      <c r="L54">
        <f>K54*(1+IF($A54="AEO",'Growth Rates'!L106,'Growth Rates'!L106*L$5))</f>
        <v>766634844045.59241</v>
      </c>
      <c r="M54">
        <f>L54*(1+IF($A54="AEO",'Growth Rates'!M106,'Growth Rates'!M106*M$5))</f>
        <v>785758600750.24365</v>
      </c>
      <c r="N54">
        <f>M54*(1+IF($A54="AEO",'Growth Rates'!N106,'Growth Rates'!N106*N$5))</f>
        <v>806095793125.97974</v>
      </c>
      <c r="O54">
        <f>N54*(1+IF($A54="AEO",'Growth Rates'!O106,'Growth Rates'!O106*O$5))</f>
        <v>823076705274.19861</v>
      </c>
      <c r="P54">
        <f>O54*(1+IF($A54="AEO",'Growth Rates'!P106,'Growth Rates'!P106*P$5))</f>
        <v>839973311563.47571</v>
      </c>
      <c r="Q54">
        <f>P54*(1+IF($A54="AEO",'Growth Rates'!Q106,'Growth Rates'!Q106*Q$5))</f>
        <v>856978611721.52539</v>
      </c>
      <c r="R54">
        <f>Q54*(1+IF($A54="AEO",'Growth Rates'!R106,'Growth Rates'!R106*R$5))</f>
        <v>873700262975.58435</v>
      </c>
      <c r="S54">
        <f>R54*(1+IF($A54="AEO",'Growth Rates'!S106,'Growth Rates'!S106*S$5))</f>
        <v>890523801235.80884</v>
      </c>
      <c r="T54">
        <f>S54*(1+IF($A54="AEO",'Growth Rates'!T106,'Growth Rates'!T106*T$5))</f>
        <v>906877872789.70374</v>
      </c>
      <c r="U54">
        <f>T54*(1+IF($A54="AEO",'Growth Rates'!U106,'Growth Rates'!U106*U$5))</f>
        <v>923686601796.50391</v>
      </c>
      <c r="V54">
        <f>U54*(1+IF($A54="AEO",'Growth Rates'!V106,'Growth Rates'!V106*V$5))</f>
        <v>941187656958.93628</v>
      </c>
      <c r="W54">
        <f>V54*(1+IF($A54="AEO",'Growth Rates'!W106,'Growth Rates'!W106*W$5))</f>
        <v>958780413448.68079</v>
      </c>
      <c r="X54">
        <f>W54*(1+IF($A54="AEO",'Growth Rates'!X106,'Growth Rates'!X106*X$5))</f>
        <v>976139240616.18823</v>
      </c>
      <c r="Y54">
        <f>X54*(1+IF($A54="AEO",'Growth Rates'!Y106,'Growth Rates'!Y106*Y$5))</f>
        <v>992950115062.95947</v>
      </c>
      <c r="Z54">
        <f>Y54*(1+IF($A54="AEO",'Growth Rates'!Z106,'Growth Rates'!Z106*Z$5))</f>
        <v>1009048487750.9254</v>
      </c>
      <c r="AA54">
        <f>Z54*(1+IF($A54="AEO",'Growth Rates'!AA106,'Growth Rates'!AA106*AA$5))</f>
        <v>1025231349326.0944</v>
      </c>
      <c r="AB54">
        <f>AA54*(1+IF($A54="AEO",'Growth Rates'!AB106,'Growth Rates'!AB106*AB$5))</f>
        <v>1040863307857.578</v>
      </c>
      <c r="AC54">
        <f>AB54*(1+IF($A54="AEO",'Growth Rates'!AC106,'Growth Rates'!AC106*AC$5))</f>
        <v>1057085950852.0651</v>
      </c>
    </row>
    <row r="55" spans="1:29" x14ac:dyDescent="0.25">
      <c r="B55" t="s">
        <v>942</v>
      </c>
      <c r="C55">
        <f>'Data from BVAbIC'!AV2</f>
        <v>2412650000000</v>
      </c>
      <c r="D55">
        <f>C55*(1+IF($A55="AEO",'Growth Rates'!D107,'Growth Rates'!D107*D$5))</f>
        <v>2423832378296.5791</v>
      </c>
      <c r="E55">
        <f>D55*(1+IF($A55="AEO",'Growth Rates'!E107,'Growth Rates'!E107*E$5))</f>
        <v>2441973616531.9116</v>
      </c>
      <c r="F55">
        <f>E55*(1+IF($A55="AEO",'Growth Rates'!F107,'Growth Rates'!F107*F$5))</f>
        <v>2453880547718.627</v>
      </c>
      <c r="G55">
        <f>F55*(1+IF($A55="AEO",'Growth Rates'!G107,'Growth Rates'!G107*G$5))</f>
        <v>2461992488683.1001</v>
      </c>
      <c r="H55">
        <f>G55*(1+IF($A55="AEO",'Growth Rates'!H107,'Growth Rates'!H107*H$5))</f>
        <v>2471656219745.5117</v>
      </c>
      <c r="I55">
        <f>H55*(1+IF($A55="AEO",'Growth Rates'!I107,'Growth Rates'!I107*I$5))</f>
        <v>2482583855168.4136</v>
      </c>
      <c r="J55">
        <f>I55*(1+IF($A55="AEO",'Growth Rates'!J107,'Growth Rates'!J107*J$5))</f>
        <v>2493177486667.9473</v>
      </c>
      <c r="K55">
        <f>J55*(1+IF($A55="AEO",'Growth Rates'!K107,'Growth Rates'!K107*K$5))</f>
        <v>2505078722803.3691</v>
      </c>
      <c r="L55">
        <f>K55*(1+IF($A55="AEO",'Growth Rates'!L107,'Growth Rates'!L107*L$5))</f>
        <v>2517802879729.3115</v>
      </c>
      <c r="M55">
        <f>L55*(1+IF($A55="AEO",'Growth Rates'!M107,'Growth Rates'!M107*M$5))</f>
        <v>2531155887338.4473</v>
      </c>
      <c r="N55">
        <f>M55*(1+IF($A55="AEO",'Growth Rates'!N107,'Growth Rates'!N107*N$5))</f>
        <v>2545084038175.6162</v>
      </c>
      <c r="O55">
        <f>N55*(1+IF($A55="AEO",'Growth Rates'!O107,'Growth Rates'!O107*O$5))</f>
        <v>2556482577521.8599</v>
      </c>
      <c r="P55">
        <f>O55*(1+IF($A55="AEO",'Growth Rates'!P107,'Growth Rates'!P107*P$5))</f>
        <v>2567640278710.2251</v>
      </c>
      <c r="Q55">
        <f>P55*(1+IF($A55="AEO",'Growth Rates'!Q107,'Growth Rates'!Q107*Q$5))</f>
        <v>2578691892748.3179</v>
      </c>
      <c r="R55">
        <f>Q55*(1+IF($A55="AEO",'Growth Rates'!R107,'Growth Rates'!R107*R$5))</f>
        <v>2589389369427.4644</v>
      </c>
      <c r="S55">
        <f>R55*(1+IF($A55="AEO",'Growth Rates'!S107,'Growth Rates'!S107*S$5))</f>
        <v>2599989835232.4424</v>
      </c>
      <c r="T55">
        <f>S55*(1+IF($A55="AEO",'Growth Rates'!T107,'Growth Rates'!T107*T$5))</f>
        <v>2610141206865.2773</v>
      </c>
      <c r="U55">
        <f>T55*(1+IF($A55="AEO",'Growth Rates'!U107,'Growth Rates'!U107*U$5))</f>
        <v>2620426644801.4438</v>
      </c>
      <c r="V55">
        <f>U55*(1+IF($A55="AEO",'Growth Rates'!V107,'Growth Rates'!V107*V$5))</f>
        <v>2630982278507.459</v>
      </c>
      <c r="W55">
        <f>V55*(1+IF($A55="AEO",'Growth Rates'!W107,'Growth Rates'!W107*W$5))</f>
        <v>2641437862765.0273</v>
      </c>
      <c r="X55">
        <f>W55*(1+IF($A55="AEO",'Growth Rates'!X107,'Growth Rates'!X107*X$5))</f>
        <v>2651605366473.8662</v>
      </c>
      <c r="Y55">
        <f>X55*(1+IF($A55="AEO",'Growth Rates'!Y107,'Growth Rates'!Y107*Y$5))</f>
        <v>2661314045363.1128</v>
      </c>
      <c r="Z55">
        <f>Y55*(1+IF($A55="AEO",'Growth Rates'!Z107,'Growth Rates'!Z107*Z$5))</f>
        <v>2670487298707.3613</v>
      </c>
      <c r="AA55">
        <f>Z55*(1+IF($A55="AEO",'Growth Rates'!AA107,'Growth Rates'!AA107*AA$5))</f>
        <v>2679592855660.5215</v>
      </c>
      <c r="AB55">
        <f>AA55*(1+IF($A55="AEO",'Growth Rates'!AB107,'Growth Rates'!AB107*AB$5))</f>
        <v>2688279120026.8901</v>
      </c>
      <c r="AC55">
        <f>AB55*(1+IF($A55="AEO",'Growth Rates'!AC107,'Growth Rates'!AC107*AC$5))</f>
        <v>2697187012900.8262</v>
      </c>
    </row>
    <row r="56" spans="1:29" x14ac:dyDescent="0.25">
      <c r="B56" t="s">
        <v>700</v>
      </c>
      <c r="C56">
        <f>'Data from BVAbIC'!AW2</f>
        <v>245035000000</v>
      </c>
      <c r="D56">
        <f>C56*(1+IF($A56="AEO",'Growth Rates'!D108,'Growth Rates'!D108*D$5))</f>
        <v>246094612206.31055</v>
      </c>
      <c r="E56">
        <f>D56*(1+IF($A56="AEO",'Growth Rates'!E108,'Growth Rates'!E108*E$5))</f>
        <v>247813095933.35901</v>
      </c>
      <c r="F56">
        <f>E56*(1+IF($A56="AEO",'Growth Rates'!F108,'Growth Rates'!F108*F$5))</f>
        <v>248940454589.82208</v>
      </c>
      <c r="G56">
        <f>F56*(1+IF($A56="AEO",'Growth Rates'!G108,'Growth Rates'!G108*G$5))</f>
        <v>249708250538.1467</v>
      </c>
      <c r="H56">
        <f>G56*(1+IF($A56="AEO",'Growth Rates'!H108,'Growth Rates'!H108*H$5))</f>
        <v>250622721623.04199</v>
      </c>
      <c r="I56">
        <f>H56*(1+IF($A56="AEO",'Growth Rates'!I108,'Growth Rates'!I108*I$5))</f>
        <v>251656524052.40048</v>
      </c>
      <c r="J56">
        <f>I56*(1+IF($A56="AEO",'Growth Rates'!J108,'Growth Rates'!J108*J$5))</f>
        <v>252658432649.37726</v>
      </c>
      <c r="K56">
        <f>J56*(1+IF($A56="AEO",'Growth Rates'!K108,'Growth Rates'!K108*K$5))</f>
        <v>253783689453.33939</v>
      </c>
      <c r="L56">
        <f>K56*(1+IF($A56="AEO",'Growth Rates'!L108,'Growth Rates'!L108*L$5))</f>
        <v>254986370091.5564</v>
      </c>
      <c r="M56">
        <f>L56*(1+IF($A56="AEO",'Growth Rates'!M108,'Growth Rates'!M108*M$5))</f>
        <v>256248061981.10416</v>
      </c>
      <c r="N56">
        <f>M56*(1+IF($A56="AEO",'Growth Rates'!N108,'Growth Rates'!N108*N$5))</f>
        <v>257563632498.29443</v>
      </c>
      <c r="O56">
        <f>N56*(1+IF($A56="AEO",'Growth Rates'!O108,'Growth Rates'!O108*O$5))</f>
        <v>258639876121.32889</v>
      </c>
      <c r="P56">
        <f>O56*(1+IF($A56="AEO",'Growth Rates'!P108,'Growth Rates'!P108*P$5))</f>
        <v>259693065200.20975</v>
      </c>
      <c r="Q56">
        <f>P56*(1+IF($A56="AEO",'Growth Rates'!Q108,'Growth Rates'!Q108*Q$5))</f>
        <v>260735936837.5632</v>
      </c>
      <c r="R56">
        <f>Q56*(1+IF($A56="AEO",'Growth Rates'!R108,'Growth Rates'!R108*R$5))</f>
        <v>261745100864.81516</v>
      </c>
      <c r="S56">
        <f>R56*(1+IF($A56="AEO",'Growth Rates'!S108,'Growth Rates'!S108*S$5))</f>
        <v>262744836389.50494</v>
      </c>
      <c r="T56">
        <f>S56*(1+IF($A56="AEO",'Growth Rates'!T108,'Growth Rates'!T108*T$5))</f>
        <v>263701956058.53995</v>
      </c>
      <c r="U56">
        <f>T56*(1+IF($A56="AEO",'Growth Rates'!U108,'Growth Rates'!U108*U$5))</f>
        <v>264671463418.73761</v>
      </c>
      <c r="V56">
        <f>U56*(1+IF($A56="AEO",'Growth Rates'!V108,'Growth Rates'!V108*V$5))</f>
        <v>265666177801.29675</v>
      </c>
      <c r="W56">
        <f>V56*(1+IF($A56="AEO",'Growth Rates'!W108,'Growth Rates'!W108*W$5))</f>
        <v>266651199109.02173</v>
      </c>
      <c r="X56">
        <f>W56*(1+IF($A56="AEO",'Growth Rates'!X108,'Growth Rates'!X108*X$5))</f>
        <v>267608826271.3363</v>
      </c>
      <c r="Y56">
        <f>X56*(1+IF($A56="AEO",'Growth Rates'!Y108,'Growth Rates'!Y108*Y$5))</f>
        <v>268523004039.29752</v>
      </c>
      <c r="Z56">
        <f>Y56*(1+IF($A56="AEO",'Growth Rates'!Z108,'Growth Rates'!Z108*Z$5))</f>
        <v>269386554525.96216</v>
      </c>
      <c r="AA56">
        <f>Z56*(1+IF($A56="AEO",'Growth Rates'!AA108,'Growth Rates'!AA108*AA$5))</f>
        <v>270243534924.05814</v>
      </c>
      <c r="AB56">
        <f>AA56*(1+IF($A56="AEO",'Growth Rates'!AB108,'Growth Rates'!AB108*AB$5))</f>
        <v>271060866955.009</v>
      </c>
      <c r="AC56">
        <f>AB56*(1+IF($A56="AEO",'Growth Rates'!AC108,'Growth Rates'!AC108*AC$5))</f>
        <v>271898871596.3526</v>
      </c>
    </row>
    <row r="57" spans="1:29" x14ac:dyDescent="0.25">
      <c r="B57" t="s">
        <v>755</v>
      </c>
      <c r="C57">
        <f>'Data from BVAbIC'!AX2</f>
        <v>1617080000000</v>
      </c>
      <c r="D57">
        <f>C57*(1+IF($A57="AEO",'Growth Rates'!D109,'Growth Rates'!D109*D$5))</f>
        <v>1658072675155.8936</v>
      </c>
      <c r="E57">
        <f>D57*(1+IF($A57="AEO",'Growth Rates'!E109,'Growth Rates'!E109*E$5))</f>
        <v>1725946575301.8337</v>
      </c>
      <c r="F57">
        <f>E57*(1+IF($A57="AEO",'Growth Rates'!F109,'Growth Rates'!F109*F$5))</f>
        <v>1771974471363.4712</v>
      </c>
      <c r="G57">
        <f>F57*(1+IF($A57="AEO",'Growth Rates'!G109,'Growth Rates'!G109*G$5))</f>
        <v>1804012347880.5444</v>
      </c>
      <c r="H57">
        <f>G57*(1+IF($A57="AEO",'Growth Rates'!H109,'Growth Rates'!H109*H$5))</f>
        <v>1842741011944.7017</v>
      </c>
      <c r="I57">
        <f>H57*(1+IF($A57="AEO",'Growth Rates'!I109,'Growth Rates'!I109*I$5))</f>
        <v>1887300206579.2798</v>
      </c>
      <c r="J57">
        <f>I57*(1+IF($A57="AEO",'Growth Rates'!J109,'Growth Rates'!J109*J$5))</f>
        <v>1931347255987.5571</v>
      </c>
      <c r="K57">
        <f>J57*(1+IF($A57="AEO",'Growth Rates'!K109,'Growth Rates'!K109*K$5))</f>
        <v>1981770889950.3389</v>
      </c>
      <c r="L57">
        <f>K57*(1+IF($A57="AEO",'Growth Rates'!L109,'Growth Rates'!L109*L$5))</f>
        <v>2036825790450.991</v>
      </c>
      <c r="M57">
        <f>L57*(1+IF($A57="AEO",'Growth Rates'!M109,'Growth Rates'!M109*M$5))</f>
        <v>2095906561547.511</v>
      </c>
      <c r="N57">
        <f>M57*(1+IF($A57="AEO",'Growth Rates'!N109,'Growth Rates'!N109*N$5))</f>
        <v>2158985065506.6917</v>
      </c>
      <c r="O57">
        <f>N57*(1+IF($A57="AEO",'Growth Rates'!O109,'Growth Rates'!O109*O$5))</f>
        <v>2211869956384.4189</v>
      </c>
      <c r="P57">
        <f>O57*(1+IF($A57="AEO",'Growth Rates'!P109,'Growth Rates'!P109*P$5))</f>
        <v>2264669039125.936</v>
      </c>
      <c r="Q57">
        <f>P57*(1+IF($A57="AEO",'Growth Rates'!Q109,'Growth Rates'!Q109*Q$5))</f>
        <v>2317981799705.2588</v>
      </c>
      <c r="R57">
        <f>Q57*(1+IF($A57="AEO",'Growth Rates'!R109,'Growth Rates'!R109*R$5))</f>
        <v>2370574662818.6592</v>
      </c>
      <c r="S57">
        <f>R57*(1+IF($A57="AEO",'Growth Rates'!S109,'Growth Rates'!S109*S$5))</f>
        <v>2423652855408.6172</v>
      </c>
      <c r="T57">
        <f>S57*(1+IF($A57="AEO",'Growth Rates'!T109,'Growth Rates'!T109*T$5))</f>
        <v>2475408579757.9214</v>
      </c>
      <c r="U57">
        <f>T57*(1+IF($A57="AEO",'Growth Rates'!U109,'Growth Rates'!U109*U$5))</f>
        <v>2528759335488.7744</v>
      </c>
      <c r="V57">
        <f>U57*(1+IF($A57="AEO",'Growth Rates'!V109,'Growth Rates'!V109*V$5))</f>
        <v>2584472099163.6196</v>
      </c>
      <c r="W57">
        <f>V57*(1+IF($A57="AEO",'Growth Rates'!W109,'Growth Rates'!W109*W$5))</f>
        <v>2640646329457.2983</v>
      </c>
      <c r="X57">
        <f>W57*(1+IF($A57="AEO",'Growth Rates'!X109,'Growth Rates'!X109*X$5))</f>
        <v>2696239197284.2754</v>
      </c>
      <c r="Y57">
        <f>X57*(1+IF($A57="AEO",'Growth Rates'!Y109,'Growth Rates'!Y109*Y$5))</f>
        <v>2750233080756.0161</v>
      </c>
      <c r="Z57">
        <f>Y57*(1+IF($A57="AEO",'Growth Rates'!Z109,'Growth Rates'!Z109*Z$5))</f>
        <v>2802081039447.2349</v>
      </c>
      <c r="AA57">
        <f>Z57*(1+IF($A57="AEO",'Growth Rates'!AA109,'Growth Rates'!AA109*AA$5))</f>
        <v>2854336489053.2227</v>
      </c>
      <c r="AB57">
        <f>AA57*(1+IF($A57="AEO",'Growth Rates'!AB109,'Growth Rates'!AB109*AB$5))</f>
        <v>2904942755779.0557</v>
      </c>
      <c r="AC57">
        <f>AB57*(1+IF($A57="AEO",'Growth Rates'!AC109,'Growth Rates'!AC109*AC$5))</f>
        <v>2957589692213.7554</v>
      </c>
    </row>
    <row r="58" spans="1:29" x14ac:dyDescent="0.25">
      <c r="B58" t="s">
        <v>840</v>
      </c>
      <c r="C58">
        <f>'Data from BVAbIC'!AY2</f>
        <v>222923275035.23291</v>
      </c>
      <c r="D58">
        <f>C58*(1+IF($A58="AEO",'Growth Rates'!D110,'Growth Rates'!D110*D$5))</f>
        <v>227410937570.4216</v>
      </c>
      <c r="E58">
        <f>D58*(1+IF($A58="AEO",'Growth Rates'!E110,'Growth Rates'!E110*E$5))</f>
        <v>234803595529.86911</v>
      </c>
      <c r="F58">
        <f>E58*(1+IF($A58="AEO",'Growth Rates'!F110,'Growth Rates'!F110*F$5))</f>
        <v>239776252937.06198</v>
      </c>
      <c r="G58">
        <f>F58*(1+IF($A58="AEO",'Growth Rates'!G110,'Growth Rates'!G110*G$5))</f>
        <v>243218978883.78366</v>
      </c>
      <c r="H58">
        <f>G58*(1+IF($A58="AEO",'Growth Rates'!H110,'Growth Rates'!H110*H$5))</f>
        <v>247365467645.1745</v>
      </c>
      <c r="I58">
        <f>H58*(1+IF($A58="AEO",'Growth Rates'!I110,'Growth Rates'!I110*I$5))</f>
        <v>252115560772.47665</v>
      </c>
      <c r="J58">
        <f>I58*(1+IF($A58="AEO",'Growth Rates'!J110,'Growth Rates'!J110*J$5))</f>
        <v>256788235034.05981</v>
      </c>
      <c r="K58">
        <f>J58*(1+IF($A58="AEO",'Growth Rates'!K110,'Growth Rates'!K110*K$5))</f>
        <v>262112245715.57642</v>
      </c>
      <c r="L58">
        <f>K58*(1+IF($A58="AEO",'Growth Rates'!L110,'Growth Rates'!L110*L$5))</f>
        <v>267894802016.46271</v>
      </c>
      <c r="M58">
        <f>L58*(1+IF($A58="AEO",'Growth Rates'!M110,'Growth Rates'!M110*M$5))</f>
        <v>274065674580.02777</v>
      </c>
      <c r="N58">
        <f>M58*(1+IF($A58="AEO",'Growth Rates'!N110,'Growth Rates'!N110*N$5))</f>
        <v>280615868146.80817</v>
      </c>
      <c r="O58">
        <f>N58*(1+IF($A58="AEO",'Growth Rates'!O110,'Growth Rates'!O110*O$5))</f>
        <v>286074505231.00793</v>
      </c>
      <c r="P58">
        <f>O58*(1+IF($A58="AEO",'Growth Rates'!P110,'Growth Rates'!P110*P$5))</f>
        <v>291497459783.64886</v>
      </c>
      <c r="Q58">
        <f>P58*(1+IF($A58="AEO",'Growth Rates'!Q110,'Growth Rates'!Q110*Q$5))</f>
        <v>296946891614.82117</v>
      </c>
      <c r="R58">
        <f>Q58*(1+IF($A58="AEO",'Growth Rates'!R110,'Growth Rates'!R110*R$5))</f>
        <v>302297283555.13831</v>
      </c>
      <c r="S58">
        <f>R58*(1+IF($A58="AEO",'Growth Rates'!S110,'Growth Rates'!S110*S$5))</f>
        <v>307672386093.75421</v>
      </c>
      <c r="T58">
        <f>S58*(1+IF($A58="AEO",'Growth Rates'!T110,'Growth Rates'!T110*T$5))</f>
        <v>312889934860.09082</v>
      </c>
      <c r="U58">
        <f>T58*(1+IF($A58="AEO",'Growth Rates'!U110,'Growth Rates'!U110*U$5))</f>
        <v>318245129964.00629</v>
      </c>
      <c r="V58">
        <f>U58*(1+IF($A58="AEO",'Growth Rates'!V110,'Growth Rates'!V110*V$5))</f>
        <v>323813126945.15265</v>
      </c>
      <c r="W58">
        <f>V58*(1+IF($A58="AEO",'Growth Rates'!W110,'Growth Rates'!W110*W$5))</f>
        <v>329402328279.03741</v>
      </c>
      <c r="X58">
        <f>W58*(1+IF($A58="AEO",'Growth Rates'!X110,'Growth Rates'!X110*X$5))</f>
        <v>334909460776.47919</v>
      </c>
      <c r="Y58">
        <f>X58*(1+IF($A58="AEO",'Growth Rates'!Y110,'Growth Rates'!Y110*Y$5))</f>
        <v>340235490478.6297</v>
      </c>
      <c r="Z58">
        <f>Y58*(1+IF($A58="AEO",'Growth Rates'!Z110,'Growth Rates'!Z110*Z$5))</f>
        <v>345329172094.75543</v>
      </c>
      <c r="AA58">
        <f>Z58*(1+IF($A58="AEO",'Growth Rates'!AA110,'Growth Rates'!AA110*AA$5))</f>
        <v>350443330621.77338</v>
      </c>
      <c r="AB58">
        <f>AA58*(1+IF($A58="AEO",'Growth Rates'!AB110,'Growth Rates'!AB110*AB$5))</f>
        <v>355377419306.4472</v>
      </c>
      <c r="AC58">
        <f>AB58*(1+IF($A58="AEO",'Growth Rates'!AC110,'Growth Rates'!AC110*AC$5))</f>
        <v>360492062902.54584</v>
      </c>
    </row>
    <row r="59" spans="1:29" x14ac:dyDescent="0.25">
      <c r="B59" t="s">
        <v>904</v>
      </c>
      <c r="C59">
        <f>'Data from BVAbIC'!AZ2</f>
        <v>344791724964.76703</v>
      </c>
      <c r="D59">
        <f>C59*(1+IF($A59="AEO",'Growth Rates'!D111,'Growth Rates'!D111*D$5))</f>
        <v>351439540807.62897</v>
      </c>
      <c r="E59">
        <f>D59*(1+IF($A59="AEO",'Growth Rates'!E111,'Growth Rates'!E111*E$5))</f>
        <v>362381554566.21167</v>
      </c>
      <c r="F59">
        <f>E59*(1+IF($A59="AEO",'Growth Rates'!F111,'Growth Rates'!F111*F$5))</f>
        <v>369731891541.47003</v>
      </c>
      <c r="G59">
        <f>F59*(1+IF($A59="AEO",'Growth Rates'!G111,'Growth Rates'!G111*G$5))</f>
        <v>374816301560.0025</v>
      </c>
      <c r="H59">
        <f>G59*(1+IF($A59="AEO",'Growth Rates'!H111,'Growth Rates'!H111*H$5))</f>
        <v>380936406547.6402</v>
      </c>
      <c r="I59">
        <f>H59*(1+IF($A59="AEO",'Growth Rates'!I111,'Growth Rates'!I111*I$5))</f>
        <v>387942451227.83087</v>
      </c>
      <c r="J59">
        <f>I59*(1+IF($A59="AEO",'Growth Rates'!J111,'Growth Rates'!J111*J$5))</f>
        <v>394828824035.73566</v>
      </c>
      <c r="K59">
        <f>J59*(1+IF($A59="AEO",'Growth Rates'!K111,'Growth Rates'!K111*K$5))</f>
        <v>402669075923.37128</v>
      </c>
      <c r="L59">
        <f>K59*(1+IF($A59="AEO",'Growth Rates'!L111,'Growth Rates'!L111*L$5))</f>
        <v>411177286030.40118</v>
      </c>
      <c r="M59">
        <f>L59*(1+IF($A59="AEO",'Growth Rates'!M111,'Growth Rates'!M111*M$5))</f>
        <v>420248570282.03156</v>
      </c>
      <c r="N59">
        <f>M59*(1+IF($A59="AEO",'Growth Rates'!N111,'Growth Rates'!N111*N$5))</f>
        <v>429868305153.6037</v>
      </c>
      <c r="O59">
        <f>N59*(1+IF($A59="AEO",'Growth Rates'!O111,'Growth Rates'!O111*O$5))</f>
        <v>437877056136.09003</v>
      </c>
      <c r="P59">
        <f>O59*(1+IF($A59="AEO",'Growth Rates'!P111,'Growth Rates'!P111*P$5))</f>
        <v>445827042221.05225</v>
      </c>
      <c r="Q59">
        <f>P59*(1+IF($A59="AEO",'Growth Rates'!Q111,'Growth Rates'!Q111*Q$5))</f>
        <v>453809566109.41412</v>
      </c>
      <c r="R59">
        <f>Q59*(1+IF($A59="AEO",'Growth Rates'!R111,'Growth Rates'!R111*R$5))</f>
        <v>461640937669.73193</v>
      </c>
      <c r="S59">
        <f>R59*(1+IF($A59="AEO",'Growth Rates'!S111,'Growth Rates'!S111*S$5))</f>
        <v>469502596499.05328</v>
      </c>
      <c r="T59">
        <f>S59*(1+IF($A59="AEO",'Growth Rates'!T111,'Growth Rates'!T111*T$5))</f>
        <v>477128184990.51117</v>
      </c>
      <c r="U59">
        <f>T59*(1+IF($A59="AEO",'Growth Rates'!U111,'Growth Rates'!U111*U$5))</f>
        <v>484949434606.43475</v>
      </c>
      <c r="V59">
        <f>U59*(1+IF($A59="AEO",'Growth Rates'!V111,'Growth Rates'!V111*V$5))</f>
        <v>493075700931.92865</v>
      </c>
      <c r="W59">
        <f>V59*(1+IF($A59="AEO",'Growth Rates'!W111,'Growth Rates'!W111*W$5))</f>
        <v>501226989607.76031</v>
      </c>
      <c r="X59">
        <f>W59*(1+IF($A59="AEO",'Growth Rates'!X111,'Growth Rates'!X111*X$5))</f>
        <v>509252832958.08484</v>
      </c>
      <c r="Y59">
        <f>X59*(1+IF($A59="AEO",'Growth Rates'!Y111,'Growth Rates'!Y111*Y$5))</f>
        <v>517009354290.71783</v>
      </c>
      <c r="Z59">
        <f>Y59*(1+IF($A59="AEO",'Growth Rates'!Z111,'Growth Rates'!Z111*Z$5))</f>
        <v>524422592448.28888</v>
      </c>
      <c r="AA59">
        <f>Z59*(1+IF($A59="AEO",'Growth Rates'!AA111,'Growth Rates'!AA111*AA$5))</f>
        <v>531860995057.82953</v>
      </c>
      <c r="AB59">
        <f>AA59*(1+IF($A59="AEO",'Growth Rates'!AB111,'Growth Rates'!AB111*AB$5))</f>
        <v>539033067428.85382</v>
      </c>
      <c r="AC59">
        <f>AB59*(1+IF($A59="AEO",'Growth Rates'!AC111,'Growth Rates'!AC111*AC$5))</f>
        <v>546463230143.58069</v>
      </c>
    </row>
    <row r="60" spans="1:29" x14ac:dyDescent="0.25">
      <c r="B60" t="s">
        <v>937</v>
      </c>
      <c r="C60">
        <f>'Data from BVAbIC'!BA2</f>
        <v>11489000000</v>
      </c>
      <c r="D60">
        <f>C60*(1+IF($A60="AEO",'Growth Rates'!D112,'Growth Rates'!D112*D$5))</f>
        <v>11678232980.690004</v>
      </c>
      <c r="E60">
        <f>D60*(1+IF($A60="AEO",'Growth Rates'!E112,'Growth Rates'!E112*E$5))</f>
        <v>11988843545.733023</v>
      </c>
      <c r="F60">
        <f>E60*(1+IF($A60="AEO",'Growth Rates'!F112,'Growth Rates'!F112*F$5))</f>
        <v>12196579138.437639</v>
      </c>
      <c r="G60">
        <f>F60*(1+IF($A60="AEO",'Growth Rates'!G112,'Growth Rates'!G112*G$5))</f>
        <v>12339858667.703802</v>
      </c>
      <c r="H60">
        <f>G60*(1+IF($A60="AEO",'Growth Rates'!H112,'Growth Rates'!H112*H$5))</f>
        <v>12511983306.413582</v>
      </c>
      <c r="I60">
        <f>H60*(1+IF($A60="AEO",'Growth Rates'!I112,'Growth Rates'!I112*I$5))</f>
        <v>12708563171.643488</v>
      </c>
      <c r="J60">
        <f>I60*(1+IF($A60="AEO",'Growth Rates'!J112,'Growth Rates'!J112*J$5))</f>
        <v>12901276668.388988</v>
      </c>
      <c r="K60">
        <f>J60*(1+IF($A60="AEO",'Growth Rates'!K112,'Growth Rates'!K112*K$5))</f>
        <v>13120126546.420816</v>
      </c>
      <c r="L60">
        <f>K60*(1+IF($A60="AEO",'Growth Rates'!L112,'Growth Rates'!L112*L$5))</f>
        <v>13356947653.348007</v>
      </c>
      <c r="M60">
        <f>L60*(1+IF($A60="AEO",'Growth Rates'!M112,'Growth Rates'!M112*M$5))</f>
        <v>13608680182.371773</v>
      </c>
      <c r="N60">
        <f>M60*(1+IF($A60="AEO",'Growth Rates'!N112,'Growth Rates'!N112*N$5))</f>
        <v>13874792710.35214</v>
      </c>
      <c r="O60">
        <f>N60*(1+IF($A60="AEO",'Growth Rates'!O112,'Growth Rates'!O112*O$5))</f>
        <v>14095617753.212446</v>
      </c>
      <c r="P60">
        <f>O60*(1+IF($A60="AEO",'Growth Rates'!P112,'Growth Rates'!P112*P$5))</f>
        <v>14314238184.928968</v>
      </c>
      <c r="Q60">
        <f>P60*(1+IF($A60="AEO",'Growth Rates'!Q112,'Growth Rates'!Q112*Q$5))</f>
        <v>14533182923.638613</v>
      </c>
      <c r="R60">
        <f>Q60*(1+IF($A60="AEO",'Growth Rates'!R112,'Growth Rates'!R112*R$5))</f>
        <v>14747431220.310736</v>
      </c>
      <c r="S60">
        <f>R60*(1+IF($A60="AEO",'Growth Rates'!S112,'Growth Rates'!S112*S$5))</f>
        <v>14961976375.849827</v>
      </c>
      <c r="T60">
        <f>S60*(1+IF($A60="AEO",'Growth Rates'!T112,'Growth Rates'!T112*T$5))</f>
        <v>15169571326.663355</v>
      </c>
      <c r="U60">
        <f>T60*(1+IF($A60="AEO",'Growth Rates'!U112,'Growth Rates'!U112*U$5))</f>
        <v>15381996918.894321</v>
      </c>
      <c r="V60">
        <f>U60*(1+IF($A60="AEO",'Growth Rates'!V112,'Growth Rates'!V112*V$5))</f>
        <v>15602188022.914967</v>
      </c>
      <c r="W60">
        <f>V60*(1+IF($A60="AEO",'Growth Rates'!W112,'Growth Rates'!W112*W$5))</f>
        <v>15822526648.014425</v>
      </c>
      <c r="X60">
        <f>W60*(1+IF($A60="AEO",'Growth Rates'!X112,'Growth Rates'!X112*X$5))</f>
        <v>16038960167.129175</v>
      </c>
      <c r="Y60">
        <f>X60*(1+IF($A60="AEO",'Growth Rates'!Y112,'Growth Rates'!Y112*Y$5))</f>
        <v>16247650437.24608</v>
      </c>
      <c r="Z60">
        <f>Y60*(1+IF($A60="AEO",'Growth Rates'!Z112,'Growth Rates'!Z112*Z$5))</f>
        <v>16446668536.041849</v>
      </c>
      <c r="AA60">
        <f>Z60*(1+IF($A60="AEO",'Growth Rates'!AA112,'Growth Rates'!AA112*AA$5))</f>
        <v>16645950815.723476</v>
      </c>
      <c r="AB60">
        <f>AA60*(1+IF($A60="AEO",'Growth Rates'!AB112,'Growth Rates'!AB112*AB$5))</f>
        <v>16837706207.069933</v>
      </c>
      <c r="AC60">
        <f>AB60*(1+IF($A60="AEO",'Growth Rates'!AC112,'Growth Rates'!AC112*AC$5))</f>
        <v>17035976796.926828</v>
      </c>
    </row>
    <row r="63" spans="1:29" x14ac:dyDescent="0.25">
      <c r="A63" s="1" t="s">
        <v>1236</v>
      </c>
    </row>
    <row r="64" spans="1:29" x14ac:dyDescent="0.25">
      <c r="C64" s="1">
        <v>2024</v>
      </c>
      <c r="D64" s="1">
        <v>2025</v>
      </c>
      <c r="E64" s="1">
        <v>2026</v>
      </c>
      <c r="F64" s="1">
        <v>2027</v>
      </c>
      <c r="G64" s="1">
        <v>2028</v>
      </c>
      <c r="H64" s="1">
        <v>2029</v>
      </c>
      <c r="I64" s="1">
        <v>2030</v>
      </c>
      <c r="J64" s="1">
        <v>2031</v>
      </c>
      <c r="K64" s="1">
        <v>2032</v>
      </c>
      <c r="L64" s="1">
        <v>2033</v>
      </c>
      <c r="M64" s="1">
        <v>2034</v>
      </c>
      <c r="N64" s="1">
        <v>2035</v>
      </c>
      <c r="O64" s="1">
        <v>2036</v>
      </c>
      <c r="P64" s="1">
        <v>2037</v>
      </c>
      <c r="Q64" s="1">
        <v>2038</v>
      </c>
      <c r="R64" s="1">
        <v>2039</v>
      </c>
      <c r="S64" s="1">
        <v>2040</v>
      </c>
      <c r="T64" s="1">
        <v>2041</v>
      </c>
      <c r="U64" s="1">
        <v>2042</v>
      </c>
      <c r="V64" s="1">
        <v>2043</v>
      </c>
      <c r="W64" s="1">
        <v>2044</v>
      </c>
      <c r="X64" s="1">
        <v>2045</v>
      </c>
      <c r="Y64" s="1">
        <v>2046</v>
      </c>
      <c r="Z64" s="1">
        <v>2047</v>
      </c>
      <c r="AA64" s="1">
        <v>2048</v>
      </c>
      <c r="AB64" s="1">
        <v>2049</v>
      </c>
      <c r="AC64" s="1">
        <v>2050</v>
      </c>
    </row>
    <row r="65" spans="2:29" x14ac:dyDescent="0.25">
      <c r="B65" t="s">
        <v>66</v>
      </c>
      <c r="C65">
        <v>0</v>
      </c>
      <c r="D65">
        <f>IF($A9="AEO",'Growth Rates'!D61,'Growth Rates'!D61*D$5)</f>
        <v>-9.9246442360578349E-2</v>
      </c>
      <c r="E65">
        <f>IF($A9="AEO",'Growth Rates'!E61,'Growth Rates'!E61*E$5)</f>
        <v>2.4221655673883858E-3</v>
      </c>
      <c r="F65">
        <f>IF($A9="AEO",'Growth Rates'!F61,'Growth Rates'!F61*F$5)</f>
        <v>1.4078996801101312E-2</v>
      </c>
      <c r="G65">
        <f>IF($A9="AEO",'Growth Rates'!G61,'Growth Rates'!G61*G$5)</f>
        <v>2.0031825018195219E-2</v>
      </c>
      <c r="H65">
        <f>IF($A9="AEO",'Growth Rates'!H61,'Growth Rates'!H61*H$5)</f>
        <v>1.3204714892339337E-2</v>
      </c>
      <c r="I65">
        <f>IF($A9="AEO",'Growth Rates'!I61,'Growth Rates'!I61*I$5)</f>
        <v>1.2805134886959699E-2</v>
      </c>
      <c r="J65">
        <f>IF($A9="AEO",'Growth Rates'!J61,'Growth Rates'!J61*J$5)</f>
        <v>1.2429849853809712E-2</v>
      </c>
      <c r="K65">
        <f>IF($A9="AEO",'Growth Rates'!K61,'Growth Rates'!K61*K$5)</f>
        <v>1.2496007024267423E-2</v>
      </c>
      <c r="L65">
        <f>IF($A9="AEO",'Growth Rates'!L61,'Growth Rates'!L61*L$5)</f>
        <v>6.7384862316785931E-3</v>
      </c>
      <c r="M65">
        <f>IF($A9="AEO",'Growth Rates'!M61,'Growth Rates'!M61*M$5)</f>
        <v>1.3166996229270631E-2</v>
      </c>
      <c r="N65">
        <f>IF($A9="AEO",'Growth Rates'!N61,'Growth Rates'!N61*N$5)</f>
        <v>1.4348560175009727E-2</v>
      </c>
      <c r="O65">
        <f>IF($A9="AEO",'Growth Rates'!O61,'Growth Rates'!O61*O$5)</f>
        <v>1.4131660795059422E-2</v>
      </c>
      <c r="P65">
        <f>IF($A9="AEO",'Growth Rates'!P61,'Growth Rates'!P61*P$5)</f>
        <v>1.352784547057437E-2</v>
      </c>
      <c r="Q65">
        <f>IF($A9="AEO",'Growth Rates'!Q61,'Growth Rates'!Q61*Q$5)</f>
        <v>1.4121592708991805E-2</v>
      </c>
      <c r="R65">
        <f>IF($A9="AEO",'Growth Rates'!R61,'Growth Rates'!R61*R$5)</f>
        <v>1.4366256699279449E-2</v>
      </c>
      <c r="S65">
        <f>IF($A9="AEO",'Growth Rates'!S61,'Growth Rates'!S61*S$5)</f>
        <v>1.1995192747679755E-2</v>
      </c>
      <c r="T65">
        <f>IF($A9="AEO",'Growth Rates'!T61,'Growth Rates'!T61*T$5)</f>
        <v>1.1234927092096699E-2</v>
      </c>
      <c r="U65">
        <f>IF($A9="AEO",'Growth Rates'!U61,'Growth Rates'!U61*U$5)</f>
        <v>1.2383112057571054E-2</v>
      </c>
      <c r="V65">
        <f>IF($A9="AEO",'Growth Rates'!V61,'Growth Rates'!V61*V$5)</f>
        <v>1.1567985810791029E-2</v>
      </c>
      <c r="W65">
        <f>IF($A9="AEO",'Growth Rates'!W61,'Growth Rates'!W61*W$5)</f>
        <v>1.2451080250240349E-2</v>
      </c>
      <c r="X65">
        <f>IF($A9="AEO",'Growth Rates'!X61,'Growth Rates'!X61*X$5)</f>
        <v>1.3976865433354137E-2</v>
      </c>
      <c r="Y65">
        <f>IF($A9="AEO",'Growth Rates'!Y61,'Growth Rates'!Y61*Y$5)</f>
        <v>1.4480385595373062E-2</v>
      </c>
      <c r="Z65">
        <f>IF($A9="AEO",'Growth Rates'!Z61,'Growth Rates'!Z61*Z$5)</f>
        <v>1.4401250336012673E-2</v>
      </c>
      <c r="AA65">
        <f>IF($A9="AEO",'Growth Rates'!AA61,'Growth Rates'!AA61*AA$5)</f>
        <v>1.4399263693733538E-2</v>
      </c>
      <c r="AB65">
        <f>IF($A9="AEO",'Growth Rates'!AB61,'Growth Rates'!AB61*AB$5)</f>
        <v>1.4095495313647692E-2</v>
      </c>
      <c r="AC65">
        <f>IF($A9="AEO",'Growth Rates'!AC61,'Growth Rates'!AC61*AC$5)</f>
        <v>1.4017183131886454E-2</v>
      </c>
    </row>
    <row r="66" spans="2:29" x14ac:dyDescent="0.25">
      <c r="B66" t="s">
        <v>73</v>
      </c>
      <c r="C66">
        <v>0</v>
      </c>
      <c r="D66">
        <f>IF($A10="AEO",'Growth Rates'!D62,'Growth Rates'!D62*D$5)</f>
        <v>1.4640707976905806E-2</v>
      </c>
      <c r="E66">
        <f>IF($A10="AEO",'Growth Rates'!E62,'Growth Rates'!E62*E$5)</f>
        <v>2.3642128093759349E-2</v>
      </c>
      <c r="F66">
        <f>IF($A10="AEO",'Growth Rates'!F62,'Growth Rates'!F62*F$5)</f>
        <v>1.5402141122076839E-2</v>
      </c>
      <c r="G66">
        <f>IF($A10="AEO",'Growth Rates'!G62,'Growth Rates'!G62*G$5)</f>
        <v>1.0442237952488534E-2</v>
      </c>
      <c r="H66">
        <f>IF($A10="AEO",'Growth Rates'!H62,'Growth Rates'!H62*H$5)</f>
        <v>1.2398819384663869E-2</v>
      </c>
      <c r="I66">
        <f>IF($A10="AEO",'Growth Rates'!I62,'Growth Rates'!I62*I$5)</f>
        <v>1.396562429016095E-2</v>
      </c>
      <c r="J66">
        <f>IF($A10="AEO",'Growth Rates'!J62,'Growth Rates'!J62*J$5)</f>
        <v>1.3479170200626729E-2</v>
      </c>
      <c r="K66">
        <f>IF($A10="AEO",'Growth Rates'!K62,'Growth Rates'!K62*K$5)</f>
        <v>1.507860267765831E-2</v>
      </c>
      <c r="L66">
        <f>IF($A10="AEO",'Growth Rates'!L62,'Growth Rates'!L62*L$5)</f>
        <v>1.6044635686793294E-2</v>
      </c>
      <c r="M66">
        <f>IF($A10="AEO",'Growth Rates'!M62,'Growth Rates'!M62*M$5)</f>
        <v>1.6752498686706932E-2</v>
      </c>
      <c r="N66">
        <f>IF($A10="AEO",'Growth Rates'!N62,'Growth Rates'!N62*N$5)</f>
        <v>1.7381881721512806E-2</v>
      </c>
      <c r="O66">
        <f>IF($A10="AEO",'Growth Rates'!O62,'Growth Rates'!O62*O$5)</f>
        <v>1.4147161048430447E-2</v>
      </c>
      <c r="P66">
        <f>IF($A10="AEO",'Growth Rates'!P62,'Growth Rates'!P62*P$5)</f>
        <v>1.3786502730085715E-2</v>
      </c>
      <c r="Q66">
        <f>IF($A10="AEO",'Growth Rates'!Q62,'Growth Rates'!Q62*Q$5)</f>
        <v>1.3596081258770003E-2</v>
      </c>
      <c r="R66">
        <f>IF($A10="AEO",'Growth Rates'!R62,'Growth Rates'!R62*R$5)</f>
        <v>1.3104006973273494E-2</v>
      </c>
      <c r="S66">
        <f>IF($A10="AEO",'Growth Rates'!S62,'Growth Rates'!S62*S$5)</f>
        <v>1.2931526994408917E-2</v>
      </c>
      <c r="T66">
        <f>IF($A10="AEO",'Growth Rates'!T62,'Growth Rates'!T62*T$5)</f>
        <v>1.2333186507728237E-2</v>
      </c>
      <c r="U66">
        <f>IF($A10="AEO",'Growth Rates'!U62,'Growth Rates'!U62*U$5)</f>
        <v>1.2447467669561436E-2</v>
      </c>
      <c r="V66">
        <f>IF($A10="AEO",'Growth Rates'!V62,'Growth Rates'!V62*V$5)</f>
        <v>1.2724318359192507E-2</v>
      </c>
      <c r="W66">
        <f>IF($A10="AEO",'Growth Rates'!W62,'Growth Rates'!W62*W$5)</f>
        <v>1.2553146735336689E-2</v>
      </c>
      <c r="X66">
        <f>IF($A10="AEO",'Growth Rates'!X62,'Growth Rates'!X62*X$5)</f>
        <v>1.2158952524081574E-2</v>
      </c>
      <c r="Y66">
        <f>IF($A10="AEO",'Growth Rates'!Y62,'Growth Rates'!Y62*Y$5)</f>
        <v>1.1565741194763581E-2</v>
      </c>
      <c r="Z66">
        <f>IF($A10="AEO",'Growth Rates'!Z62,'Growth Rates'!Z62*Z$5)</f>
        <v>1.0888034389379497E-2</v>
      </c>
      <c r="AA66">
        <f>IF($A10="AEO",'Growth Rates'!AA62,'Growth Rates'!AA62*AA$5)</f>
        <v>1.0770558412681229E-2</v>
      </c>
      <c r="AB66">
        <f>IF($A10="AEO",'Growth Rates'!AB62,'Growth Rates'!AB62*AB$5)</f>
        <v>1.0239681628243447E-2</v>
      </c>
      <c r="AC66">
        <f>IF($A10="AEO",'Growth Rates'!AC62,'Growth Rates'!AC62*AC$5)</f>
        <v>1.0467015052397163E-2</v>
      </c>
    </row>
    <row r="67" spans="2:29" x14ac:dyDescent="0.25">
      <c r="B67" t="s">
        <v>78</v>
      </c>
      <c r="C67">
        <v>0</v>
      </c>
      <c r="D67">
        <f>IF($A11="AEO",'Growth Rates'!D63,'Growth Rates'!D63*D$5)</f>
        <v>1.3725663728349193E-2</v>
      </c>
      <c r="E67">
        <f>IF($A11="AEO",'Growth Rates'!E63,'Growth Rates'!E63*E$5)</f>
        <v>2.2164495087899388E-2</v>
      </c>
      <c r="F67">
        <f>IF($A11="AEO",'Growth Rates'!F63,'Growth Rates'!F63*F$5)</f>
        <v>1.4439507301947036E-2</v>
      </c>
      <c r="G67">
        <f>IF($A11="AEO",'Growth Rates'!G63,'Growth Rates'!G63*G$5)</f>
        <v>9.7895980804580014E-3</v>
      </c>
      <c r="H67">
        <f>IF($A11="AEO",'Growth Rates'!H63,'Growth Rates'!H63*H$5)</f>
        <v>1.1623893173122376E-2</v>
      </c>
      <c r="I67">
        <f>IF($A11="AEO",'Growth Rates'!I63,'Growth Rates'!I63*I$5)</f>
        <v>1.309277277202589E-2</v>
      </c>
      <c r="J67">
        <f>IF($A11="AEO",'Growth Rates'!J63,'Growth Rates'!J63*J$5)</f>
        <v>1.2636722063087559E-2</v>
      </c>
      <c r="K67">
        <f>IF($A11="AEO",'Growth Rates'!K63,'Growth Rates'!K63*K$5)</f>
        <v>1.4136190010304665E-2</v>
      </c>
      <c r="L67">
        <f>IF($A11="AEO",'Growth Rates'!L63,'Growth Rates'!L63*L$5)</f>
        <v>1.5041845956368712E-2</v>
      </c>
      <c r="M67">
        <f>IF($A11="AEO",'Growth Rates'!M63,'Growth Rates'!M63*M$5)</f>
        <v>1.570546751878775E-2</v>
      </c>
      <c r="N67">
        <f>IF($A11="AEO",'Growth Rates'!N63,'Growth Rates'!N63*N$5)</f>
        <v>1.6295514113918254E-2</v>
      </c>
      <c r="O67">
        <f>IF($A11="AEO",'Growth Rates'!O63,'Growth Rates'!O63*O$5)</f>
        <v>1.3262963482903544E-2</v>
      </c>
      <c r="P67">
        <f>IF($A11="AEO",'Growth Rates'!P63,'Growth Rates'!P63*P$5)</f>
        <v>1.2924846309455357E-2</v>
      </c>
      <c r="Q67">
        <f>IF($A11="AEO",'Growth Rates'!Q63,'Growth Rates'!Q63*Q$5)</f>
        <v>1.2746326180096877E-2</v>
      </c>
      <c r="R67">
        <f>IF($A11="AEO",'Growth Rates'!R63,'Growth Rates'!R63*R$5)</f>
        <v>1.22850065374439E-2</v>
      </c>
      <c r="S67">
        <f>IF($A11="AEO",'Growth Rates'!S63,'Growth Rates'!S63*S$5)</f>
        <v>1.2123306557258358E-2</v>
      </c>
      <c r="T67">
        <f>IF($A11="AEO",'Growth Rates'!T63,'Growth Rates'!T63*T$5)</f>
        <v>1.1562362350995222E-2</v>
      </c>
      <c r="U67">
        <f>IF($A11="AEO",'Growth Rates'!U63,'Growth Rates'!U63*U$5)</f>
        <v>1.1669500940213845E-2</v>
      </c>
      <c r="V67">
        <f>IF($A11="AEO",'Growth Rates'!V63,'Growth Rates'!V63*V$5)</f>
        <v>1.1929048461742975E-2</v>
      </c>
      <c r="W67">
        <f>IF($A11="AEO",'Growth Rates'!W63,'Growth Rates'!W63*W$5)</f>
        <v>1.1768575064378143E-2</v>
      </c>
      <c r="X67">
        <f>IF($A11="AEO",'Growth Rates'!X63,'Growth Rates'!X63*X$5)</f>
        <v>1.1399017991326475E-2</v>
      </c>
      <c r="Y67">
        <f>IF($A11="AEO",'Growth Rates'!Y63,'Growth Rates'!Y63*Y$5)</f>
        <v>1.0842882370090855E-2</v>
      </c>
      <c r="Z67">
        <f>IF($A11="AEO",'Growth Rates'!Z63,'Growth Rates'!Z63*Z$5)</f>
        <v>1.0207532240043279E-2</v>
      </c>
      <c r="AA67">
        <f>IF($A11="AEO",'Growth Rates'!AA63,'Growth Rates'!AA63*AA$5)</f>
        <v>1.0097398511888652E-2</v>
      </c>
      <c r="AB67">
        <f>IF($A11="AEO",'Growth Rates'!AB63,'Growth Rates'!AB63*AB$5)</f>
        <v>9.5997015264782312E-3</v>
      </c>
      <c r="AC67">
        <f>IF($A11="AEO",'Growth Rates'!AC63,'Growth Rates'!AC63*AC$5)</f>
        <v>9.8128266116223398E-3</v>
      </c>
    </row>
    <row r="68" spans="2:29" x14ac:dyDescent="0.25">
      <c r="B68" t="s">
        <v>90</v>
      </c>
      <c r="C68">
        <v>0</v>
      </c>
      <c r="D68">
        <f>IF($A12="AEO",'Growth Rates'!D64,'Growth Rates'!D64*D$5)</f>
        <v>7.1210619379968615E-2</v>
      </c>
      <c r="E68">
        <f>IF($A12="AEO",'Growth Rates'!E64,'Growth Rates'!E64*E$5)</f>
        <v>9.1485608285695852E-2</v>
      </c>
      <c r="F68">
        <f>IF($A12="AEO",'Growth Rates'!F64,'Growth Rates'!F64*F$5)</f>
        <v>-7.0993907420503948E-3</v>
      </c>
      <c r="G68">
        <f>IF($A12="AEO",'Growth Rates'!G64,'Growth Rates'!G64*G$5)</f>
        <v>5.5548707441967927E-3</v>
      </c>
      <c r="H68">
        <f>IF($A12="AEO",'Growth Rates'!H64,'Growth Rates'!H64*H$5)</f>
        <v>5.9511703967789834E-3</v>
      </c>
      <c r="I68">
        <f>IF($A12="AEO",'Growth Rates'!I64,'Growth Rates'!I64*I$5)</f>
        <v>2.1573224384578597E-2</v>
      </c>
      <c r="J68">
        <f>IF($A12="AEO",'Growth Rates'!J64,'Growth Rates'!J64*J$5)</f>
        <v>1.6109320999214728E-2</v>
      </c>
      <c r="K68">
        <f>IF($A12="AEO",'Growth Rates'!K64,'Growth Rates'!K64*K$5)</f>
        <v>1.4839112543048894E-2</v>
      </c>
      <c r="L68">
        <f>IF($A12="AEO",'Growth Rates'!L64,'Growth Rates'!L64*L$5)</f>
        <v>1.0867988350010568E-2</v>
      </c>
      <c r="M68">
        <f>IF($A12="AEO",'Growth Rates'!M64,'Growth Rates'!M64*M$5)</f>
        <v>1.3336208967205965E-2</v>
      </c>
      <c r="N68">
        <f>IF($A12="AEO",'Growth Rates'!N64,'Growth Rates'!N64*N$5)</f>
        <v>3.635627550798287E-3</v>
      </c>
      <c r="O68">
        <f>IF($A12="AEO",'Growth Rates'!O64,'Growth Rates'!O64*O$5)</f>
        <v>4.3625166094370098E-3</v>
      </c>
      <c r="P68">
        <f>IF($A12="AEO",'Growth Rates'!P64,'Growth Rates'!P64*P$5)</f>
        <v>5.5360413090617495E-3</v>
      </c>
      <c r="Q68">
        <f>IF($A12="AEO",'Growth Rates'!Q64,'Growth Rates'!Q64*Q$5)</f>
        <v>5.0714214789581427E-3</v>
      </c>
      <c r="R68">
        <f>IF($A12="AEO",'Growth Rates'!R64,'Growth Rates'!R64*R$5)</f>
        <v>6.490507410011179E-3</v>
      </c>
      <c r="S68">
        <f>IF($A12="AEO",'Growth Rates'!S64,'Growth Rates'!S64*S$5)</f>
        <v>1.1807222899426144E-2</v>
      </c>
      <c r="T68">
        <f>IF($A12="AEO",'Growth Rates'!T64,'Growth Rates'!T64*T$5)</f>
        <v>1.4138693735629397E-2</v>
      </c>
      <c r="U68">
        <f>IF($A12="AEO",'Growth Rates'!U64,'Growth Rates'!U64*U$5)</f>
        <v>7.8695027068229235E-3</v>
      </c>
      <c r="V68">
        <f>IF($A12="AEO",'Growth Rates'!V64,'Growth Rates'!V64*V$5)</f>
        <v>8.6050480547517853E-3</v>
      </c>
      <c r="W68">
        <f>IF($A12="AEO",'Growth Rates'!W64,'Growth Rates'!W64*W$5)</f>
        <v>5.0751542531941845E-3</v>
      </c>
      <c r="X68">
        <f>IF($A12="AEO",'Growth Rates'!X64,'Growth Rates'!X64*X$5)</f>
        <v>3.6314508985072508E-3</v>
      </c>
      <c r="Y68">
        <f>IF($A12="AEO",'Growth Rates'!Y64,'Growth Rates'!Y64*Y$5)</f>
        <v>3.7320076133156074E-3</v>
      </c>
      <c r="Z68">
        <f>IF($A12="AEO",'Growth Rates'!Z64,'Growth Rates'!Z64*Z$5)</f>
        <v>5.5185131598065205E-3</v>
      </c>
      <c r="AA68">
        <f>IF($A12="AEO",'Growth Rates'!AA64,'Growth Rates'!AA64*AA$5)</f>
        <v>2.1673219962289911E-3</v>
      </c>
      <c r="AB68">
        <f>IF($A12="AEO",'Growth Rates'!AB64,'Growth Rates'!AB64*AB$5)</f>
        <v>1.601512248964386E-5</v>
      </c>
      <c r="AC68">
        <f>IF($A12="AEO",'Growth Rates'!AC64,'Growth Rates'!AC64*AC$5)</f>
        <v>-1.8375142190435721E-3</v>
      </c>
    </row>
    <row r="69" spans="2:29" x14ac:dyDescent="0.25">
      <c r="B69" t="s">
        <v>85</v>
      </c>
      <c r="C69">
        <v>0</v>
      </c>
      <c r="D69">
        <f>IF($A13="AEO",'Growth Rates'!D65,'Growth Rates'!D65*D$5)</f>
        <v>7.1210619379968615E-2</v>
      </c>
      <c r="E69">
        <f>IF($A13="AEO",'Growth Rates'!E65,'Growth Rates'!E65*E$5)</f>
        <v>9.1485608285695852E-2</v>
      </c>
      <c r="F69">
        <f>IF($A13="AEO",'Growth Rates'!F65,'Growth Rates'!F65*F$5)</f>
        <v>-7.0993907420503948E-3</v>
      </c>
      <c r="G69">
        <f>IF($A13="AEO",'Growth Rates'!G65,'Growth Rates'!G65*G$5)</f>
        <v>5.5548707441967927E-3</v>
      </c>
      <c r="H69">
        <f>IF($A13="AEO",'Growth Rates'!H65,'Growth Rates'!H65*H$5)</f>
        <v>5.9511703967789834E-3</v>
      </c>
      <c r="I69">
        <f>IF($A13="AEO",'Growth Rates'!I65,'Growth Rates'!I65*I$5)</f>
        <v>2.1573224384578597E-2</v>
      </c>
      <c r="J69">
        <f>IF($A13="AEO",'Growth Rates'!J65,'Growth Rates'!J65*J$5)</f>
        <v>1.6109320999214728E-2</v>
      </c>
      <c r="K69">
        <f>IF($A13="AEO",'Growth Rates'!K65,'Growth Rates'!K65*K$5)</f>
        <v>1.4839112543048894E-2</v>
      </c>
      <c r="L69">
        <f>IF($A13="AEO",'Growth Rates'!L65,'Growth Rates'!L65*L$5)</f>
        <v>1.0867988350010568E-2</v>
      </c>
      <c r="M69">
        <f>IF($A13="AEO",'Growth Rates'!M65,'Growth Rates'!M65*M$5)</f>
        <v>1.3336208967205965E-2</v>
      </c>
      <c r="N69">
        <f>IF($A13="AEO",'Growth Rates'!N65,'Growth Rates'!N65*N$5)</f>
        <v>3.635627550798287E-3</v>
      </c>
      <c r="O69">
        <f>IF($A13="AEO",'Growth Rates'!O65,'Growth Rates'!O65*O$5)</f>
        <v>4.3625166094370098E-3</v>
      </c>
      <c r="P69">
        <f>IF($A13="AEO",'Growth Rates'!P65,'Growth Rates'!P65*P$5)</f>
        <v>5.5360413090617495E-3</v>
      </c>
      <c r="Q69">
        <f>IF($A13="AEO",'Growth Rates'!Q65,'Growth Rates'!Q65*Q$5)</f>
        <v>5.0714214789581427E-3</v>
      </c>
      <c r="R69">
        <f>IF($A13="AEO",'Growth Rates'!R65,'Growth Rates'!R65*R$5)</f>
        <v>6.490507410011179E-3</v>
      </c>
      <c r="S69">
        <f>IF($A13="AEO",'Growth Rates'!S65,'Growth Rates'!S65*S$5)</f>
        <v>1.1807222899426144E-2</v>
      </c>
      <c r="T69">
        <f>IF($A13="AEO",'Growth Rates'!T65,'Growth Rates'!T65*T$5)</f>
        <v>1.4138693735629397E-2</v>
      </c>
      <c r="U69">
        <f>IF($A13="AEO",'Growth Rates'!U65,'Growth Rates'!U65*U$5)</f>
        <v>7.8695027068229235E-3</v>
      </c>
      <c r="V69">
        <f>IF($A13="AEO",'Growth Rates'!V65,'Growth Rates'!V65*V$5)</f>
        <v>8.6050480547517853E-3</v>
      </c>
      <c r="W69">
        <f>IF($A13="AEO",'Growth Rates'!W65,'Growth Rates'!W65*W$5)</f>
        <v>5.0751542531941845E-3</v>
      </c>
      <c r="X69">
        <f>IF($A13="AEO",'Growth Rates'!X65,'Growth Rates'!X65*X$5)</f>
        <v>3.6314508985072508E-3</v>
      </c>
      <c r="Y69">
        <f>IF($A13="AEO",'Growth Rates'!Y65,'Growth Rates'!Y65*Y$5)</f>
        <v>3.7320076133156074E-3</v>
      </c>
      <c r="Z69">
        <f>IF($A13="AEO",'Growth Rates'!Z65,'Growth Rates'!Z65*Z$5)</f>
        <v>5.5185131598065205E-3</v>
      </c>
      <c r="AA69">
        <f>IF($A13="AEO",'Growth Rates'!AA65,'Growth Rates'!AA65*AA$5)</f>
        <v>2.1673219962289911E-3</v>
      </c>
      <c r="AB69">
        <f>IF($A13="AEO",'Growth Rates'!AB65,'Growth Rates'!AB65*AB$5)</f>
        <v>1.601512248964386E-5</v>
      </c>
      <c r="AC69">
        <f>IF($A13="AEO",'Growth Rates'!AC65,'Growth Rates'!AC65*AC$5)</f>
        <v>-1.8375142190435721E-3</v>
      </c>
    </row>
    <row r="70" spans="2:29" x14ac:dyDescent="0.25">
      <c r="B70" t="s">
        <v>93</v>
      </c>
      <c r="C70">
        <v>0</v>
      </c>
      <c r="D70">
        <f>IF($A14="AEO",'Growth Rates'!D66,'Growth Rates'!D66*D$5)</f>
        <v>2.3791150462471936E-2</v>
      </c>
      <c r="E70">
        <f>IF($A14="AEO",'Growth Rates'!E66,'Growth Rates'!E66*E$5)</f>
        <v>3.8418458152358947E-2</v>
      </c>
      <c r="F70">
        <f>IF($A14="AEO",'Growth Rates'!F66,'Growth Rates'!F66*F$5)</f>
        <v>2.5028479323374868E-2</v>
      </c>
      <c r="G70">
        <f>IF($A14="AEO",'Growth Rates'!G66,'Growth Rates'!G66*G$5)</f>
        <v>1.6968636672793871E-2</v>
      </c>
      <c r="H70">
        <f>IF($A14="AEO",'Growth Rates'!H66,'Growth Rates'!H66*H$5)</f>
        <v>2.0148081500078789E-2</v>
      </c>
      <c r="I70">
        <f>IF($A14="AEO",'Growth Rates'!I66,'Growth Rates'!I66*I$5)</f>
        <v>2.2694139471511544E-2</v>
      </c>
      <c r="J70">
        <f>IF($A14="AEO",'Growth Rates'!J66,'Growth Rates'!J66*J$5)</f>
        <v>2.1903651576018437E-2</v>
      </c>
      <c r="K70">
        <f>IF($A14="AEO",'Growth Rates'!K66,'Growth Rates'!K66*K$5)</f>
        <v>2.4502729351194755E-2</v>
      </c>
      <c r="L70">
        <f>IF($A14="AEO",'Growth Rates'!L66,'Growth Rates'!L66*L$5)</f>
        <v>2.60725329910391E-2</v>
      </c>
      <c r="M70">
        <f>IF($A14="AEO",'Growth Rates'!M66,'Growth Rates'!M66*M$5)</f>
        <v>2.7222810365898766E-2</v>
      </c>
      <c r="N70">
        <f>IF($A14="AEO",'Growth Rates'!N66,'Growth Rates'!N66*N$5)</f>
        <v>2.8245557797458312E-2</v>
      </c>
      <c r="O70">
        <f>IF($A14="AEO",'Growth Rates'!O66,'Growth Rates'!O66*O$5)</f>
        <v>2.2989136703699481E-2</v>
      </c>
      <c r="P70">
        <f>IF($A14="AEO",'Growth Rates'!P66,'Growth Rates'!P66*P$5)</f>
        <v>2.2403066936389288E-2</v>
      </c>
      <c r="Q70">
        <f>IF($A14="AEO",'Growth Rates'!Q66,'Growth Rates'!Q66*Q$5)</f>
        <v>2.2093632045501257E-2</v>
      </c>
      <c r="R70">
        <f>IF($A14="AEO",'Growth Rates'!R66,'Growth Rates'!R66*R$5)</f>
        <v>2.129401133156943E-2</v>
      </c>
      <c r="S70">
        <f>IF($A14="AEO",'Growth Rates'!S66,'Growth Rates'!S66*S$5)</f>
        <v>2.101373136591449E-2</v>
      </c>
      <c r="T70">
        <f>IF($A14="AEO",'Growth Rates'!T66,'Growth Rates'!T66*T$5)</f>
        <v>2.0041428075058387E-2</v>
      </c>
      <c r="U70">
        <f>IF($A14="AEO",'Growth Rates'!U66,'Growth Rates'!U66*U$5)</f>
        <v>2.0227134963037335E-2</v>
      </c>
      <c r="V70">
        <f>IF($A14="AEO",'Growth Rates'!V66,'Growth Rates'!V66*V$5)</f>
        <v>2.0677017333687826E-2</v>
      </c>
      <c r="W70">
        <f>IF($A14="AEO",'Growth Rates'!W66,'Growth Rates'!W66*W$5)</f>
        <v>2.039886344492212E-2</v>
      </c>
      <c r="X70">
        <f>IF($A14="AEO",'Growth Rates'!X66,'Growth Rates'!X66*X$5)</f>
        <v>1.9758297851632561E-2</v>
      </c>
      <c r="Y70">
        <f>IF($A14="AEO",'Growth Rates'!Y66,'Growth Rates'!Y66*Y$5)</f>
        <v>1.8794329441490818E-2</v>
      </c>
      <c r="Z70">
        <f>IF($A14="AEO",'Growth Rates'!Z66,'Growth Rates'!Z66*Z$5)</f>
        <v>1.7693055882741685E-2</v>
      </c>
      <c r="AA70">
        <f>IF($A14="AEO",'Growth Rates'!AA66,'Growth Rates'!AA66*AA$5)</f>
        <v>1.7502157420606998E-2</v>
      </c>
      <c r="AB70">
        <f>IF($A14="AEO",'Growth Rates'!AB66,'Growth Rates'!AB66*AB$5)</f>
        <v>1.6639482645895605E-2</v>
      </c>
      <c r="AC70">
        <f>IF($A14="AEO",'Growth Rates'!AC66,'Growth Rates'!AC66*AC$5)</f>
        <v>1.7008899460145391E-2</v>
      </c>
    </row>
    <row r="71" spans="2:29" x14ac:dyDescent="0.25">
      <c r="B71" t="s">
        <v>96</v>
      </c>
      <c r="C71">
        <v>0</v>
      </c>
      <c r="D71">
        <f>IF($A15="AEO",'Growth Rates'!D67,'Growth Rates'!D67*D$5)</f>
        <v>7.1210619379968615E-2</v>
      </c>
      <c r="E71">
        <f>IF($A15="AEO",'Growth Rates'!E67,'Growth Rates'!E67*E$5)</f>
        <v>9.1485608285695852E-2</v>
      </c>
      <c r="F71">
        <f>IF($A15="AEO",'Growth Rates'!F67,'Growth Rates'!F67*F$5)</f>
        <v>-7.0993907420503948E-3</v>
      </c>
      <c r="G71">
        <f>IF($A15="AEO",'Growth Rates'!G67,'Growth Rates'!G67*G$5)</f>
        <v>5.5548707441967927E-3</v>
      </c>
      <c r="H71">
        <f>IF($A15="AEO",'Growth Rates'!H67,'Growth Rates'!H67*H$5)</f>
        <v>5.9511703967789834E-3</v>
      </c>
      <c r="I71">
        <f>IF($A15="AEO",'Growth Rates'!I67,'Growth Rates'!I67*I$5)</f>
        <v>2.1573224384578597E-2</v>
      </c>
      <c r="J71">
        <f>IF($A15="AEO",'Growth Rates'!J67,'Growth Rates'!J67*J$5)</f>
        <v>1.6109320999214728E-2</v>
      </c>
      <c r="K71">
        <f>IF($A15="AEO",'Growth Rates'!K67,'Growth Rates'!K67*K$5)</f>
        <v>1.4839112543048894E-2</v>
      </c>
      <c r="L71">
        <f>IF($A15="AEO",'Growth Rates'!L67,'Growth Rates'!L67*L$5)</f>
        <v>1.0867988350010568E-2</v>
      </c>
      <c r="M71">
        <f>IF($A15="AEO",'Growth Rates'!M67,'Growth Rates'!M67*M$5)</f>
        <v>1.3336208967205965E-2</v>
      </c>
      <c r="N71">
        <f>IF($A15="AEO",'Growth Rates'!N67,'Growth Rates'!N67*N$5)</f>
        <v>3.635627550798287E-3</v>
      </c>
      <c r="O71">
        <f>IF($A15="AEO",'Growth Rates'!O67,'Growth Rates'!O67*O$5)</f>
        <v>4.3625166094370098E-3</v>
      </c>
      <c r="P71">
        <f>IF($A15="AEO",'Growth Rates'!P67,'Growth Rates'!P67*P$5)</f>
        <v>5.5360413090617495E-3</v>
      </c>
      <c r="Q71">
        <f>IF($A15="AEO",'Growth Rates'!Q67,'Growth Rates'!Q67*Q$5)</f>
        <v>5.0714214789581427E-3</v>
      </c>
      <c r="R71">
        <f>IF($A15="AEO",'Growth Rates'!R67,'Growth Rates'!R67*R$5)</f>
        <v>6.490507410011179E-3</v>
      </c>
      <c r="S71">
        <f>IF($A15="AEO",'Growth Rates'!S67,'Growth Rates'!S67*S$5)</f>
        <v>1.1807222899426144E-2</v>
      </c>
      <c r="T71">
        <f>IF($A15="AEO",'Growth Rates'!T67,'Growth Rates'!T67*T$5)</f>
        <v>1.4138693735629397E-2</v>
      </c>
      <c r="U71">
        <f>IF($A15="AEO",'Growth Rates'!U67,'Growth Rates'!U67*U$5)</f>
        <v>7.8695027068229235E-3</v>
      </c>
      <c r="V71">
        <f>IF($A15="AEO",'Growth Rates'!V67,'Growth Rates'!V67*V$5)</f>
        <v>8.6050480547517853E-3</v>
      </c>
      <c r="W71">
        <f>IF($A15="AEO",'Growth Rates'!W67,'Growth Rates'!W67*W$5)</f>
        <v>5.0751542531941845E-3</v>
      </c>
      <c r="X71">
        <f>IF($A15="AEO",'Growth Rates'!X67,'Growth Rates'!X67*X$5)</f>
        <v>3.6314508985072508E-3</v>
      </c>
      <c r="Y71">
        <f>IF($A15="AEO",'Growth Rates'!Y67,'Growth Rates'!Y67*Y$5)</f>
        <v>3.7320076133156074E-3</v>
      </c>
      <c r="Z71">
        <f>IF($A15="AEO",'Growth Rates'!Z67,'Growth Rates'!Z67*Z$5)</f>
        <v>5.5185131598065205E-3</v>
      </c>
      <c r="AA71">
        <f>IF($A15="AEO",'Growth Rates'!AA67,'Growth Rates'!AA67*AA$5)</f>
        <v>2.1673219962289911E-3</v>
      </c>
      <c r="AB71">
        <f>IF($A15="AEO",'Growth Rates'!AB67,'Growth Rates'!AB67*AB$5)</f>
        <v>1.601512248964386E-5</v>
      </c>
      <c r="AC71">
        <f>IF($A15="AEO",'Growth Rates'!AC67,'Growth Rates'!AC67*AC$5)</f>
        <v>-1.8375142190435721E-3</v>
      </c>
    </row>
    <row r="72" spans="2:29" x14ac:dyDescent="0.25">
      <c r="B72" t="s">
        <v>99</v>
      </c>
      <c r="C72">
        <v>0</v>
      </c>
      <c r="D72">
        <f>IF($A16="AEO",'Growth Rates'!D68,'Growth Rates'!D68*D$5)</f>
        <v>-4.5752212427830645E-3</v>
      </c>
      <c r="E72">
        <f>IF($A16="AEO",'Growth Rates'!E68,'Growth Rates'!E68*E$5)</f>
        <v>-7.3881650292997973E-3</v>
      </c>
      <c r="F72">
        <f>IF($A16="AEO",'Growth Rates'!F68,'Growth Rates'!F68*F$5)</f>
        <v>-4.8131691006490125E-3</v>
      </c>
      <c r="G72">
        <f>IF($A16="AEO",'Growth Rates'!G68,'Growth Rates'!G68*G$5)</f>
        <v>-3.2631993601526673E-3</v>
      </c>
      <c r="H72">
        <f>IF($A16="AEO",'Growth Rates'!H68,'Growth Rates'!H68*H$5)</f>
        <v>-3.8746310577074589E-3</v>
      </c>
      <c r="I72">
        <f>IF($A16="AEO",'Growth Rates'!I68,'Growth Rates'!I68*I$5)</f>
        <v>-4.3642575906752967E-3</v>
      </c>
      <c r="J72">
        <f>IF($A16="AEO",'Growth Rates'!J68,'Growth Rates'!J68*J$5)</f>
        <v>-4.2122406876958533E-3</v>
      </c>
      <c r="K72">
        <f>IF($A16="AEO",'Growth Rates'!K68,'Growth Rates'!K68*K$5)</f>
        <v>-4.7120633367682217E-3</v>
      </c>
      <c r="L72">
        <f>IF($A16="AEO",'Growth Rates'!L68,'Growth Rates'!L68*L$5)</f>
        <v>-5.0139486521229041E-3</v>
      </c>
      <c r="M72">
        <f>IF($A16="AEO",'Growth Rates'!M68,'Growth Rates'!M68*M$5)</f>
        <v>-5.2351558395959162E-3</v>
      </c>
      <c r="N72">
        <f>IF($A16="AEO",'Growth Rates'!N68,'Growth Rates'!N68*N$5)</f>
        <v>-5.4318380379727513E-3</v>
      </c>
      <c r="O72">
        <f>IF($A16="AEO",'Growth Rates'!O68,'Growth Rates'!O68*O$5)</f>
        <v>-4.4209878276345151E-3</v>
      </c>
      <c r="P72">
        <f>IF($A16="AEO",'Growth Rates'!P68,'Growth Rates'!P68*P$5)</f>
        <v>-4.3082821031517858E-3</v>
      </c>
      <c r="Q72">
        <f>IF($A16="AEO",'Growth Rates'!Q68,'Growth Rates'!Q68*Q$5)</f>
        <v>-4.2487753933656263E-3</v>
      </c>
      <c r="R72">
        <f>IF($A16="AEO",'Growth Rates'!R68,'Growth Rates'!R68*R$5)</f>
        <v>-4.0950021791479668E-3</v>
      </c>
      <c r="S72">
        <f>IF($A16="AEO",'Growth Rates'!S68,'Growth Rates'!S68*S$5)</f>
        <v>-4.041102185752786E-3</v>
      </c>
      <c r="T72">
        <f>IF($A16="AEO",'Growth Rates'!T68,'Growth Rates'!T68*T$5)</f>
        <v>-3.8541207836650742E-3</v>
      </c>
      <c r="U72">
        <f>IF($A16="AEO",'Growth Rates'!U68,'Growth Rates'!U68*U$5)</f>
        <v>-3.8898336467379484E-3</v>
      </c>
      <c r="V72">
        <f>IF($A16="AEO",'Growth Rates'!V68,'Growth Rates'!V68*V$5)</f>
        <v>-3.9763494872476586E-3</v>
      </c>
      <c r="W72">
        <f>IF($A16="AEO",'Growth Rates'!W68,'Growth Rates'!W68*W$5)</f>
        <v>-3.9228583547927147E-3</v>
      </c>
      <c r="X72">
        <f>IF($A16="AEO",'Growth Rates'!X68,'Growth Rates'!X68*X$5)</f>
        <v>-3.7996726637754921E-3</v>
      </c>
      <c r="Y72">
        <f>IF($A16="AEO",'Growth Rates'!Y68,'Growth Rates'!Y68*Y$5)</f>
        <v>-3.6142941233636189E-3</v>
      </c>
      <c r="Z72">
        <f>IF($A16="AEO",'Growth Rates'!Z68,'Growth Rates'!Z68*Z$5)</f>
        <v>-3.4025107466810929E-3</v>
      </c>
      <c r="AA72">
        <f>IF($A16="AEO",'Growth Rates'!AA68,'Growth Rates'!AA68*AA$5)</f>
        <v>-3.3657995039628841E-3</v>
      </c>
      <c r="AB72">
        <f>IF($A16="AEO",'Growth Rates'!AB68,'Growth Rates'!AB68*AB$5)</f>
        <v>-3.1999005088260775E-3</v>
      </c>
      <c r="AC72">
        <f>IF($A16="AEO",'Growth Rates'!AC68,'Growth Rates'!AC68*AC$5)</f>
        <v>-3.2709422038741131E-3</v>
      </c>
    </row>
    <row r="73" spans="2:29" x14ac:dyDescent="0.25">
      <c r="B73" t="s">
        <v>182</v>
      </c>
      <c r="C73">
        <v>0</v>
      </c>
      <c r="D73">
        <f>IF($A17="AEO",'Growth Rates'!D69,'Growth Rates'!D69*D$5)</f>
        <v>-5.7729872669432442E-2</v>
      </c>
      <c r="E73">
        <f>IF($A17="AEO",'Growth Rates'!E69,'Growth Rates'!E69*E$5)</f>
        <v>2.3084925389895744E-3</v>
      </c>
      <c r="F73">
        <f>IF($A17="AEO",'Growth Rates'!F69,'Growth Rates'!F69*F$5)</f>
        <v>8.6668536975894779E-3</v>
      </c>
      <c r="G73">
        <f>IF($A17="AEO",'Growth Rates'!G69,'Growth Rates'!G69*G$5)</f>
        <v>8.895905393281495E-3</v>
      </c>
      <c r="H73">
        <f>IF($A17="AEO",'Growth Rates'!H69,'Growth Rates'!H69*H$5)</f>
        <v>6.2431210570281486E-3</v>
      </c>
      <c r="I73">
        <f>IF($A17="AEO",'Growth Rates'!I69,'Growth Rates'!I69*I$5)</f>
        <v>8.2994653578576105E-3</v>
      </c>
      <c r="J73">
        <f>IF($A17="AEO",'Growth Rates'!J69,'Growth Rates'!J69*J$5)</f>
        <v>8.8544070298389645E-3</v>
      </c>
      <c r="K73">
        <f>IF($A17="AEO",'Growth Rates'!K69,'Growth Rates'!K69*K$5)</f>
        <v>8.5623904163661772E-3</v>
      </c>
      <c r="L73">
        <f>IF($A17="AEO",'Growth Rates'!L69,'Growth Rates'!L69*L$5)</f>
        <v>8.6305305300598441E-3</v>
      </c>
      <c r="M73">
        <f>IF($A17="AEO",'Growth Rates'!M69,'Growth Rates'!M69*M$5)</f>
        <v>8.8124025739757458E-3</v>
      </c>
      <c r="N73">
        <f>IF($A17="AEO",'Growth Rates'!N69,'Growth Rates'!N69*N$5)</f>
        <v>8.3397468750246884E-3</v>
      </c>
      <c r="O73">
        <f>IF($A17="AEO",'Growth Rates'!O69,'Growth Rates'!O69*O$5)</f>
        <v>9.1512585221738517E-3</v>
      </c>
      <c r="P73">
        <f>IF($A17="AEO",'Growth Rates'!P69,'Growth Rates'!P69*P$5)</f>
        <v>8.9158346258822047E-3</v>
      </c>
      <c r="Q73">
        <f>IF($A17="AEO",'Growth Rates'!Q69,'Growth Rates'!Q69*Q$5)</f>
        <v>9.0395674055599434E-3</v>
      </c>
      <c r="R73">
        <f>IF($A17="AEO",'Growth Rates'!R69,'Growth Rates'!R69*R$5)</f>
        <v>8.9126869878666404E-3</v>
      </c>
      <c r="S73">
        <f>IF($A17="AEO",'Growth Rates'!S69,'Growth Rates'!S69*S$5)</f>
        <v>8.2219736659823149E-3</v>
      </c>
      <c r="T73">
        <f>IF($A17="AEO",'Growth Rates'!T69,'Growth Rates'!T69*T$5)</f>
        <v>8.1518849867408989E-3</v>
      </c>
      <c r="U73">
        <f>IF($A17="AEO",'Growth Rates'!U69,'Growth Rates'!U69*U$5)</f>
        <v>8.0671144690563253E-3</v>
      </c>
      <c r="V73">
        <f>IF($A17="AEO",'Growth Rates'!V69,'Growth Rates'!V69*V$5)</f>
        <v>7.6174180419561087E-3</v>
      </c>
      <c r="W73">
        <f>IF($A17="AEO",'Growth Rates'!W69,'Growth Rates'!W69*W$5)</f>
        <v>7.5910007208408424E-3</v>
      </c>
      <c r="X73">
        <f>IF($A17="AEO",'Growth Rates'!X69,'Growth Rates'!X69*X$5)</f>
        <v>6.9485012197958293E-3</v>
      </c>
      <c r="Y73">
        <f>IF($A17="AEO",'Growth Rates'!Y69,'Growth Rates'!Y69*Y$5)</f>
        <v>7.1654398456569134E-3</v>
      </c>
      <c r="Z73">
        <f>IF($A17="AEO",'Growth Rates'!Z69,'Growth Rates'!Z69*Z$5)</f>
        <v>6.9713486623400201E-3</v>
      </c>
      <c r="AA73">
        <f>IF($A17="AEO",'Growth Rates'!AA69,'Growth Rates'!AA69*AA$5)</f>
        <v>6.9198623364609326E-3</v>
      </c>
      <c r="AB73">
        <f>IF($A17="AEO",'Growth Rates'!AB69,'Growth Rates'!AB69*AB$5)</f>
        <v>7.1706668477333618E-3</v>
      </c>
      <c r="AC73">
        <f>IF($A17="AEO",'Growth Rates'!AC69,'Growth Rates'!AC69*AC$5)</f>
        <v>6.5544717745132219E-3</v>
      </c>
    </row>
    <row r="74" spans="2:29" x14ac:dyDescent="0.25">
      <c r="B74" t="s">
        <v>209</v>
      </c>
      <c r="C74">
        <v>0</v>
      </c>
      <c r="D74">
        <f>IF($A18="AEO",'Growth Rates'!D70,'Growth Rates'!D70*D$5)</f>
        <v>-0.11327023120960888</v>
      </c>
      <c r="E74">
        <f>IF($A18="AEO",'Growth Rates'!E70,'Growth Rates'!E70*E$5)</f>
        <v>1.2654387821285499E-2</v>
      </c>
      <c r="F74">
        <f>IF($A18="AEO",'Growth Rates'!F70,'Growth Rates'!F70*F$5)</f>
        <v>1.3735723311174427E-2</v>
      </c>
      <c r="G74">
        <f>IF($A18="AEO",'Growth Rates'!G70,'Growth Rates'!G70*G$5)</f>
        <v>-2.8978791575699502E-2</v>
      </c>
      <c r="H74">
        <f>IF($A18="AEO",'Growth Rates'!H70,'Growth Rates'!H70*H$5)</f>
        <v>-3.7839861235331416E-2</v>
      </c>
      <c r="I74">
        <f>IF($A18="AEO",'Growth Rates'!I70,'Growth Rates'!I70*I$5)</f>
        <v>-1.7721610152687448E-2</v>
      </c>
      <c r="J74">
        <f>IF($A18="AEO",'Growth Rates'!J70,'Growth Rates'!J70*J$5)</f>
        <v>-5.5535893277420126E-3</v>
      </c>
      <c r="K74">
        <f>IF($A18="AEO",'Growth Rates'!K70,'Growth Rates'!K70*K$5)</f>
        <v>-2.8541013618708145E-3</v>
      </c>
      <c r="L74">
        <f>IF($A18="AEO",'Growth Rates'!L70,'Growth Rates'!L70*L$5)</f>
        <v>2.6110775606644635E-3</v>
      </c>
      <c r="M74">
        <f>IF($A18="AEO",'Growth Rates'!M70,'Growth Rates'!M70*M$5)</f>
        <v>7.1811112665338961E-3</v>
      </c>
      <c r="N74">
        <f>IF($A18="AEO",'Growth Rates'!N70,'Growth Rates'!N70*N$5)</f>
        <v>4.3095939225521436E-3</v>
      </c>
      <c r="O74">
        <f>IF($A18="AEO",'Growth Rates'!O70,'Growth Rates'!O70*O$5)</f>
        <v>-5.0828396051350012E-4</v>
      </c>
      <c r="P74">
        <f>IF($A18="AEO",'Growth Rates'!P70,'Growth Rates'!P70*P$5)</f>
        <v>1.2939081422887416E-3</v>
      </c>
      <c r="Q74">
        <f>IF($A18="AEO",'Growth Rates'!Q70,'Growth Rates'!Q70*Q$5)</f>
        <v>1.9871252582326238E-3</v>
      </c>
      <c r="R74">
        <f>IF($A18="AEO",'Growth Rates'!R70,'Growth Rates'!R70*R$5)</f>
        <v>9.4922215564872351E-4</v>
      </c>
      <c r="S74">
        <f>IF($A18="AEO",'Growth Rates'!S70,'Growth Rates'!S70*S$5)</f>
        <v>3.876368628577711E-3</v>
      </c>
      <c r="T74">
        <f>IF($A18="AEO",'Growth Rates'!T70,'Growth Rates'!T70*T$5)</f>
        <v>3.6086342533489719E-3</v>
      </c>
      <c r="U74">
        <f>IF($A18="AEO",'Growth Rates'!U70,'Growth Rates'!U70*U$5)</f>
        <v>2.3781021607383874E-3</v>
      </c>
      <c r="V74">
        <f>IF($A18="AEO",'Growth Rates'!V70,'Growth Rates'!V70*V$5)</f>
        <v>2.2510324909582892E-3</v>
      </c>
      <c r="W74">
        <f>IF($A18="AEO",'Growth Rates'!W70,'Growth Rates'!W70*W$5)</f>
        <v>2.9899080939919951E-3</v>
      </c>
      <c r="X74">
        <f>IF($A18="AEO",'Growth Rates'!X70,'Growth Rates'!X70*X$5)</f>
        <v>3.7431770442513351E-3</v>
      </c>
      <c r="Y74">
        <f>IF($A18="AEO",'Growth Rates'!Y70,'Growth Rates'!Y70*Y$5)</f>
        <v>1.8182871550452167E-3</v>
      </c>
      <c r="Z74">
        <f>IF($A18="AEO",'Growth Rates'!Z70,'Growth Rates'!Z70*Z$5)</f>
        <v>-1.8549583248712398E-3</v>
      </c>
      <c r="AA74">
        <f>IF($A18="AEO",'Growth Rates'!AA70,'Growth Rates'!AA70*AA$5)</f>
        <v>-4.8402017735736042E-3</v>
      </c>
      <c r="AB74">
        <f>IF($A18="AEO",'Growth Rates'!AB70,'Growth Rates'!AB70*AB$5)</f>
        <v>-1.2979738378702281E-3</v>
      </c>
      <c r="AC74">
        <f>IF($A18="AEO",'Growth Rates'!AC70,'Growth Rates'!AC70*AC$5)</f>
        <v>-9.7529928707283859E-4</v>
      </c>
    </row>
    <row r="75" spans="2:29" x14ac:dyDescent="0.25">
      <c r="B75" t="s">
        <v>218</v>
      </c>
      <c r="C75">
        <v>0</v>
      </c>
      <c r="D75">
        <f>IF($A19="AEO",'Growth Rates'!D71,'Growth Rates'!D71*D$5)</f>
        <v>0.20646756047733122</v>
      </c>
      <c r="E75">
        <f>IF($A19="AEO",'Growth Rates'!E71,'Growth Rates'!E71*E$5)</f>
        <v>-0.16081253587386876</v>
      </c>
      <c r="F75">
        <f>IF($A19="AEO",'Growth Rates'!F71,'Growth Rates'!F71*F$5)</f>
        <v>-5.9926481842827915E-2</v>
      </c>
      <c r="G75">
        <f>IF($A19="AEO",'Growth Rates'!G71,'Growth Rates'!G71*G$5)</f>
        <v>4.8577552390751753E-2</v>
      </c>
      <c r="H75">
        <f>IF($A19="AEO",'Growth Rates'!H71,'Growth Rates'!H71*H$5)</f>
        <v>7.8415031909261301E-2</v>
      </c>
      <c r="I75">
        <f>IF($A19="AEO",'Growth Rates'!I71,'Growth Rates'!I71*I$5)</f>
        <v>1.0858482705549129E-2</v>
      </c>
      <c r="J75">
        <f>IF($A19="AEO",'Growth Rates'!J71,'Growth Rates'!J71*J$5)</f>
        <v>-2.5408865648140155E-2</v>
      </c>
      <c r="K75">
        <f>IF($A19="AEO",'Growth Rates'!K71,'Growth Rates'!K71*K$5)</f>
        <v>-3.0799743817374369E-3</v>
      </c>
      <c r="L75">
        <f>IF($A19="AEO",'Growth Rates'!L71,'Growth Rates'!L71*L$5)</f>
        <v>2.2848120700727528E-2</v>
      </c>
      <c r="M75">
        <f>IF($A19="AEO",'Growth Rates'!M71,'Growth Rates'!M71*M$5)</f>
        <v>3.8984983101808264E-2</v>
      </c>
      <c r="N75">
        <f>IF($A19="AEO",'Growth Rates'!N71,'Growth Rates'!N71*N$5)</f>
        <v>2.9219529050703422E-2</v>
      </c>
      <c r="O75">
        <f>IF($A19="AEO",'Growth Rates'!O71,'Growth Rates'!O71*O$5)</f>
        <v>2.9233758232177085E-2</v>
      </c>
      <c r="P75">
        <f>IF($A19="AEO",'Growth Rates'!P71,'Growth Rates'!P71*P$5)</f>
        <v>2.1060842040691512E-2</v>
      </c>
      <c r="Q75">
        <f>IF($A19="AEO",'Growth Rates'!Q71,'Growth Rates'!Q71*Q$5)</f>
        <v>2.228663552233685E-2</v>
      </c>
      <c r="R75">
        <f>IF($A19="AEO",'Growth Rates'!R71,'Growth Rates'!R71*R$5)</f>
        <v>1.6015879083247499E-2</v>
      </c>
      <c r="S75">
        <f>IF($A19="AEO",'Growth Rates'!S71,'Growth Rates'!S71*S$5)</f>
        <v>5.1785345412433161E-3</v>
      </c>
      <c r="T75">
        <f>IF($A19="AEO",'Growth Rates'!T71,'Growth Rates'!T71*T$5)</f>
        <v>-1.8013354096578064E-2</v>
      </c>
      <c r="U75">
        <f>IF($A19="AEO",'Growth Rates'!U71,'Growth Rates'!U71*U$5)</f>
        <v>-1.0618322301797024E-2</v>
      </c>
      <c r="V75">
        <f>IF($A19="AEO",'Growth Rates'!V71,'Growth Rates'!V71*V$5)</f>
        <v>-1.9917091594533951E-2</v>
      </c>
      <c r="W75">
        <f>IF($A19="AEO",'Growth Rates'!W71,'Growth Rates'!W71*W$5)</f>
        <v>-1.3377491184493832E-2</v>
      </c>
      <c r="X75">
        <f>IF($A19="AEO",'Growth Rates'!X71,'Growth Rates'!X71*X$5)</f>
        <v>6.3217512353089273E-3</v>
      </c>
      <c r="Y75">
        <f>IF($A19="AEO",'Growth Rates'!Y71,'Growth Rates'!Y71*Y$5)</f>
        <v>6.0034817341983937E-3</v>
      </c>
      <c r="Z75">
        <f>IF($A19="AEO",'Growth Rates'!Z71,'Growth Rates'!Z71*Z$5)</f>
        <v>8.9925975681785075E-3</v>
      </c>
      <c r="AA75">
        <f>IF($A19="AEO",'Growth Rates'!AA71,'Growth Rates'!AA71*AA$5)</f>
        <v>8.075867794985786E-3</v>
      </c>
      <c r="AB75">
        <f>IF($A19="AEO",'Growth Rates'!AB71,'Growth Rates'!AB71*AB$5)</f>
        <v>1.3737245679554182E-2</v>
      </c>
      <c r="AC75">
        <f>IF($A19="AEO",'Growth Rates'!AC71,'Growth Rates'!AC71*AC$5)</f>
        <v>1.1236138525516472E-2</v>
      </c>
    </row>
    <row r="76" spans="2:29" x14ac:dyDescent="0.25">
      <c r="B76" t="s">
        <v>227</v>
      </c>
      <c r="C76">
        <v>0</v>
      </c>
      <c r="D76">
        <f>IF($A20="AEO",'Growth Rates'!D72,'Growth Rates'!D72*D$5)</f>
        <v>-5.0057662323048653E-2</v>
      </c>
      <c r="E76">
        <f>IF($A20="AEO",'Growth Rates'!E72,'Growth Rates'!E72*E$5)</f>
        <v>-9.0657834221724697E-3</v>
      </c>
      <c r="F76">
        <f>IF($A20="AEO",'Growth Rates'!F72,'Growth Rates'!F72*F$5)</f>
        <v>1.278485593459618E-3</v>
      </c>
      <c r="G76">
        <f>IF($A20="AEO",'Growth Rates'!G72,'Growth Rates'!G72*G$5)</f>
        <v>-7.1926520481287977E-3</v>
      </c>
      <c r="H76">
        <f>IF($A20="AEO",'Growth Rates'!H72,'Growth Rates'!H72*H$5)</f>
        <v>-6.3772334766012823E-3</v>
      </c>
      <c r="I76">
        <f>IF($A20="AEO",'Growth Rates'!I72,'Growth Rates'!I72*I$5)</f>
        <v>-6.2658343162849952E-3</v>
      </c>
      <c r="J76">
        <f>IF($A20="AEO",'Growth Rates'!J72,'Growth Rates'!J72*J$5)</f>
        <v>-2.3939717110985303E-3</v>
      </c>
      <c r="K76">
        <f>IF($A20="AEO",'Growth Rates'!K72,'Growth Rates'!K72*K$5)</f>
        <v>-3.0197325726839135E-3</v>
      </c>
      <c r="L76">
        <f>IF($A20="AEO",'Growth Rates'!L72,'Growth Rates'!L72*L$5)</f>
        <v>-4.098789524848997E-3</v>
      </c>
      <c r="M76">
        <f>IF($A20="AEO",'Growth Rates'!M72,'Growth Rates'!M72*M$5)</f>
        <v>-3.4129947835764363E-3</v>
      </c>
      <c r="N76">
        <f>IF($A20="AEO",'Growth Rates'!N72,'Growth Rates'!N72*N$5)</f>
        <v>-3.441524691247057E-3</v>
      </c>
      <c r="O76">
        <f>IF($A20="AEO",'Growth Rates'!O72,'Growth Rates'!O72*O$5)</f>
        <v>-3.1894531324822219E-3</v>
      </c>
      <c r="P76">
        <f>IF($A20="AEO",'Growth Rates'!P72,'Growth Rates'!P72*P$5)</f>
        <v>-3.1325195911242193E-3</v>
      </c>
      <c r="Q76">
        <f>IF($A20="AEO",'Growth Rates'!Q72,'Growth Rates'!Q72*Q$5)</f>
        <v>2.6629654801326336E-4</v>
      </c>
      <c r="R76">
        <f>IF($A20="AEO",'Growth Rates'!R72,'Growth Rates'!R72*R$5)</f>
        <v>3.3503925536994628E-3</v>
      </c>
      <c r="S76">
        <f>IF($A20="AEO",'Growth Rates'!S72,'Growth Rates'!S72*S$5)</f>
        <v>5.4952678620504352E-3</v>
      </c>
      <c r="T76">
        <f>IF($A20="AEO",'Growth Rates'!T72,'Growth Rates'!T72*T$5)</f>
        <v>4.1677260381441997E-3</v>
      </c>
      <c r="U76">
        <f>IF($A20="AEO",'Growth Rates'!U72,'Growth Rates'!U72*U$5)</f>
        <v>5.4302573644451667E-3</v>
      </c>
      <c r="V76">
        <f>IF($A20="AEO",'Growth Rates'!V72,'Growth Rates'!V72*V$5)</f>
        <v>5.8086122465398774E-3</v>
      </c>
      <c r="W76">
        <f>IF($A20="AEO",'Growth Rates'!W72,'Growth Rates'!W72*W$5)</f>
        <v>6.0143914031781237E-3</v>
      </c>
      <c r="X76">
        <f>IF($A20="AEO",'Growth Rates'!X72,'Growth Rates'!X72*X$5)</f>
        <v>6.6741622098685756E-3</v>
      </c>
      <c r="Y76">
        <f>IF($A20="AEO",'Growth Rates'!Y72,'Growth Rates'!Y72*Y$5)</f>
        <v>5.8020804358370056E-3</v>
      </c>
      <c r="Z76">
        <f>IF($A20="AEO",'Growth Rates'!Z72,'Growth Rates'!Z72*Z$5)</f>
        <v>6.9906301916783384E-3</v>
      </c>
      <c r="AA76">
        <f>IF($A20="AEO",'Growth Rates'!AA72,'Growth Rates'!AA72*AA$5)</f>
        <v>6.8990934448158476E-3</v>
      </c>
      <c r="AB76">
        <f>IF($A20="AEO",'Growth Rates'!AB72,'Growth Rates'!AB72*AB$5)</f>
        <v>7.8737061824086206E-3</v>
      </c>
      <c r="AC76">
        <f>IF($A20="AEO",'Growth Rates'!AC72,'Growth Rates'!AC72*AC$5)</f>
        <v>6.1365801067141219E-3</v>
      </c>
    </row>
    <row r="77" spans="2:29" x14ac:dyDescent="0.25">
      <c r="B77" t="s">
        <v>236</v>
      </c>
      <c r="C77">
        <v>0</v>
      </c>
      <c r="D77">
        <f>IF($A21="AEO",'Growth Rates'!D73,'Growth Rates'!D73*D$5)</f>
        <v>9.2796417486756702E-4</v>
      </c>
      <c r="E77">
        <f>IF($A21="AEO",'Growth Rates'!E73,'Growth Rates'!E73*E$5)</f>
        <v>3.8698790057806816E-3</v>
      </c>
      <c r="F77">
        <f>IF($A21="AEO",'Growth Rates'!F73,'Growth Rates'!F73*F$5)</f>
        <v>-1.8900763962524704E-3</v>
      </c>
      <c r="G77">
        <f>IF($A21="AEO",'Growth Rates'!G73,'Growth Rates'!G73*G$5)</f>
        <v>-3.4576233884962256E-3</v>
      </c>
      <c r="H77">
        <f>IF($A21="AEO",'Growth Rates'!H73,'Growth Rates'!H73*H$5)</f>
        <v>-9.2395075582589505E-3</v>
      </c>
      <c r="I77">
        <f>IF($A21="AEO",'Growth Rates'!I73,'Growth Rates'!I73*I$5)</f>
        <v>-5.5176591261427172E-3</v>
      </c>
      <c r="J77">
        <f>IF($A21="AEO",'Growth Rates'!J73,'Growth Rates'!J73*J$5)</f>
        <v>-6.6166130145881713E-3</v>
      </c>
      <c r="K77">
        <f>IF($A21="AEO",'Growth Rates'!K73,'Growth Rates'!K73*K$5)</f>
        <v>-2.6039774078813042E-3</v>
      </c>
      <c r="L77">
        <f>IF($A21="AEO",'Growth Rates'!L73,'Growth Rates'!L73*L$5)</f>
        <v>-2.047554302618233E-3</v>
      </c>
      <c r="M77">
        <f>IF($A21="AEO",'Growth Rates'!M73,'Growth Rates'!M73*M$5)</f>
        <v>7.399211509591157E-4</v>
      </c>
      <c r="N77">
        <f>IF($A21="AEO",'Growth Rates'!N73,'Growth Rates'!N73*N$5)</f>
        <v>1.4693596677565349E-3</v>
      </c>
      <c r="O77">
        <f>IF($A21="AEO",'Growth Rates'!O73,'Growth Rates'!O73*O$5)</f>
        <v>-3.5672139471945225E-3</v>
      </c>
      <c r="P77">
        <f>IF($A21="AEO",'Growth Rates'!P73,'Growth Rates'!P73*P$5)</f>
        <v>-7.8846764577685975E-3</v>
      </c>
      <c r="Q77">
        <f>IF($A21="AEO",'Growth Rates'!Q73,'Growth Rates'!Q73*Q$5)</f>
        <v>-7.6665663555704677E-3</v>
      </c>
      <c r="R77">
        <f>IF($A21="AEO",'Growth Rates'!R73,'Growth Rates'!R73*R$5)</f>
        <v>-3.9897848989846911E-3</v>
      </c>
      <c r="S77">
        <f>IF($A21="AEO",'Growth Rates'!S73,'Growth Rates'!S73*S$5)</f>
        <v>-1.5007878017789199E-3</v>
      </c>
      <c r="T77">
        <f>IF($A21="AEO",'Growth Rates'!T73,'Growth Rates'!T73*T$5)</f>
        <v>1.4814202478820341E-3</v>
      </c>
      <c r="U77">
        <f>IF($A21="AEO",'Growth Rates'!U73,'Growth Rates'!U73*U$5)</f>
        <v>-1.7439522658663593E-3</v>
      </c>
      <c r="V77">
        <f>IF($A21="AEO",'Growth Rates'!V73,'Growth Rates'!V73*V$5)</f>
        <v>-5.2166332897896784E-3</v>
      </c>
      <c r="W77">
        <f>IF($A21="AEO",'Growth Rates'!W73,'Growth Rates'!W73*W$5)</f>
        <v>-5.7503196953714655E-3</v>
      </c>
      <c r="X77">
        <f>IF($A21="AEO",'Growth Rates'!X73,'Growth Rates'!X73*X$5)</f>
        <v>-5.1943860581410671E-3</v>
      </c>
      <c r="Y77">
        <f>IF($A21="AEO",'Growth Rates'!Y73,'Growth Rates'!Y73*Y$5)</f>
        <v>6.9266482707921518E-4</v>
      </c>
      <c r="Z77">
        <f>IF($A21="AEO",'Growth Rates'!Z73,'Growth Rates'!Z73*Z$5)</f>
        <v>1.7998124256706656E-3</v>
      </c>
      <c r="AA77">
        <f>IF($A21="AEO",'Growth Rates'!AA73,'Growth Rates'!AA73*AA$5)</f>
        <v>-3.6608763437707497E-3</v>
      </c>
      <c r="AB77">
        <f>IF($A21="AEO",'Growth Rates'!AB73,'Growth Rates'!AB73*AB$5)</f>
        <v>-2.2638412545510677E-3</v>
      </c>
      <c r="AC77">
        <f>IF($A21="AEO",'Growth Rates'!AC73,'Growth Rates'!AC73*AC$5)</f>
        <v>-4.4962071149564459E-4</v>
      </c>
    </row>
    <row r="78" spans="2:29" x14ac:dyDescent="0.25">
      <c r="B78" t="s">
        <v>241</v>
      </c>
      <c r="C78">
        <v>0</v>
      </c>
      <c r="D78">
        <f>IF($A22="AEO",'Growth Rates'!D74,'Growth Rates'!D74*D$5)</f>
        <v>7.1677561450444349E-2</v>
      </c>
      <c r="E78">
        <f>IF($A22="AEO",'Growth Rates'!E74,'Growth Rates'!E74*E$5)</f>
        <v>-1.3322752034657602E-2</v>
      </c>
      <c r="F78">
        <f>IF($A22="AEO",'Growth Rates'!F74,'Growth Rates'!F74*F$5)</f>
        <v>-1.1656389221256275E-2</v>
      </c>
      <c r="G78">
        <f>IF($A22="AEO",'Growth Rates'!G74,'Growth Rates'!G74*G$5)</f>
        <v>-3.9834844723168946E-3</v>
      </c>
      <c r="H78">
        <f>IF($A22="AEO",'Growth Rates'!H74,'Growth Rates'!H74*H$5)</f>
        <v>-8.4588021519986026E-3</v>
      </c>
      <c r="I78">
        <f>IF($A22="AEO",'Growth Rates'!I74,'Growth Rates'!I74*I$5)</f>
        <v>-3.5692082180841363E-4</v>
      </c>
      <c r="J78">
        <f>IF($A22="AEO",'Growth Rates'!J74,'Growth Rates'!J74*J$5)</f>
        <v>4.6102925636148148E-3</v>
      </c>
      <c r="K78">
        <f>IF($A22="AEO",'Growth Rates'!K74,'Growth Rates'!K74*K$5)</f>
        <v>5.8713176717311646E-3</v>
      </c>
      <c r="L78">
        <f>IF($A22="AEO",'Growth Rates'!L74,'Growth Rates'!L74*L$5)</f>
        <v>1.096075900833852E-2</v>
      </c>
      <c r="M78">
        <f>IF($A22="AEO",'Growth Rates'!M74,'Growth Rates'!M74*M$5)</f>
        <v>1.0947535287415971E-2</v>
      </c>
      <c r="N78">
        <f>IF($A22="AEO",'Growth Rates'!N74,'Growth Rates'!N74*N$5)</f>
        <v>1.1647639652423818E-2</v>
      </c>
      <c r="O78">
        <f>IF($A22="AEO",'Growth Rates'!O74,'Growth Rates'!O74*O$5)</f>
        <v>1.1971146388333052E-2</v>
      </c>
      <c r="P78">
        <f>IF($A22="AEO",'Growth Rates'!P74,'Growth Rates'!P74*P$5)</f>
        <v>1.3049614317436706E-2</v>
      </c>
      <c r="Q78">
        <f>IF($A22="AEO",'Growth Rates'!Q74,'Growth Rates'!Q74*Q$5)</f>
        <v>1.3004727066106054E-2</v>
      </c>
      <c r="R78">
        <f>IF($A22="AEO",'Growth Rates'!R74,'Growth Rates'!R74*R$5)</f>
        <v>1.50061184439188E-2</v>
      </c>
      <c r="S78">
        <f>IF($A22="AEO",'Growth Rates'!S74,'Growth Rates'!S74*S$5)</f>
        <v>1.5748427723141875E-2</v>
      </c>
      <c r="T78">
        <f>IF($A22="AEO",'Growth Rates'!T74,'Growth Rates'!T74*T$5)</f>
        <v>1.7359441201003255E-2</v>
      </c>
      <c r="U78">
        <f>IF($A22="AEO",'Growth Rates'!U74,'Growth Rates'!U74*U$5)</f>
        <v>1.9693202215778183E-2</v>
      </c>
      <c r="V78">
        <f>IF($A22="AEO",'Growth Rates'!V74,'Growth Rates'!V74*V$5)</f>
        <v>1.8617996755474743E-2</v>
      </c>
      <c r="W78">
        <f>IF($A22="AEO",'Growth Rates'!W74,'Growth Rates'!W74*W$5)</f>
        <v>1.8944643380388912E-2</v>
      </c>
      <c r="X78">
        <f>IF($A22="AEO",'Growth Rates'!X74,'Growth Rates'!X74*X$5)</f>
        <v>2.0332594185957849E-2</v>
      </c>
      <c r="Y78">
        <f>IF($A22="AEO",'Growth Rates'!Y74,'Growth Rates'!Y74*Y$5)</f>
        <v>2.159212028848706E-2</v>
      </c>
      <c r="Z78">
        <f>IF($A22="AEO",'Growth Rates'!Z74,'Growth Rates'!Z74*Z$5)</f>
        <v>2.2091861117516778E-2</v>
      </c>
      <c r="AA78">
        <f>IF($A22="AEO",'Growth Rates'!AA74,'Growth Rates'!AA74*AA$5)</f>
        <v>1.9605559354869986E-2</v>
      </c>
      <c r="AB78">
        <f>IF($A22="AEO",'Growth Rates'!AB74,'Growth Rates'!AB74*AB$5)</f>
        <v>1.8448737017635143E-2</v>
      </c>
      <c r="AC78">
        <f>IF($A22="AEO",'Growth Rates'!AC74,'Growth Rates'!AC74*AC$5)</f>
        <v>2.0216894756495168E-2</v>
      </c>
    </row>
    <row r="79" spans="2:29" x14ac:dyDescent="0.25">
      <c r="B79" t="s">
        <v>246</v>
      </c>
      <c r="C79">
        <v>0</v>
      </c>
      <c r="D79">
        <f>IF($A23="AEO",'Growth Rates'!D75,'Growth Rates'!D75*D$5)</f>
        <v>2.1961061965358703E-2</v>
      </c>
      <c r="E79">
        <f>IF($A23="AEO",'Growth Rates'!E75,'Growth Rates'!E75*E$5)</f>
        <v>3.5463192140639019E-2</v>
      </c>
      <c r="F79">
        <f>IF($A23="AEO",'Growth Rates'!F75,'Growth Rates'!F75*F$5)</f>
        <v>2.3103211683115254E-2</v>
      </c>
      <c r="G79">
        <f>IF($A23="AEO",'Growth Rates'!G75,'Growth Rates'!G75*G$5)</f>
        <v>1.5663356928732799E-2</v>
      </c>
      <c r="H79">
        <f>IF($A23="AEO",'Growth Rates'!H75,'Growth Rates'!H75*H$5)</f>
        <v>1.8598229076995796E-2</v>
      </c>
      <c r="I79">
        <f>IF($A23="AEO",'Growth Rates'!I75,'Growth Rates'!I75*I$5)</f>
        <v>2.094843643524142E-2</v>
      </c>
      <c r="J79">
        <f>IF($A23="AEO",'Growth Rates'!J75,'Growth Rates'!J75*J$5)</f>
        <v>2.021875530094009E-2</v>
      </c>
      <c r="K79">
        <f>IF($A23="AEO",'Growth Rates'!K75,'Growth Rates'!K75*K$5)</f>
        <v>2.2617904016487458E-2</v>
      </c>
      <c r="L79">
        <f>IF($A23="AEO",'Growth Rates'!L75,'Growth Rates'!L75*L$5)</f>
        <v>2.4066953530189932E-2</v>
      </c>
      <c r="M79">
        <f>IF($A23="AEO",'Growth Rates'!M75,'Growth Rates'!M75*M$5)</f>
        <v>2.5128748030060391E-2</v>
      </c>
      <c r="N79">
        <f>IF($A23="AEO",'Growth Rates'!N75,'Growth Rates'!N75*N$5)</f>
        <v>2.6072822582269201E-2</v>
      </c>
      <c r="O79">
        <f>IF($A23="AEO",'Growth Rates'!O75,'Growth Rates'!O75*O$5)</f>
        <v>2.1220741572645665E-2</v>
      </c>
      <c r="P79">
        <f>IF($A23="AEO",'Growth Rates'!P75,'Growth Rates'!P75*P$5)</f>
        <v>2.0679754095128566E-2</v>
      </c>
      <c r="Q79">
        <f>IF($A23="AEO",'Growth Rates'!Q75,'Growth Rates'!Q75*Q$5)</f>
        <v>2.0394121888154999E-2</v>
      </c>
      <c r="R79">
        <f>IF($A23="AEO",'Growth Rates'!R75,'Growth Rates'!R75*R$5)</f>
        <v>1.9656010459910236E-2</v>
      </c>
      <c r="S79">
        <f>IF($A23="AEO",'Growth Rates'!S75,'Growth Rates'!S75*S$5)</f>
        <v>1.9397290491613369E-2</v>
      </c>
      <c r="T79">
        <f>IF($A23="AEO",'Growth Rates'!T75,'Growth Rates'!T75*T$5)</f>
        <v>1.8499779761592353E-2</v>
      </c>
      <c r="U79">
        <f>IF($A23="AEO",'Growth Rates'!U75,'Growth Rates'!U75*U$5)</f>
        <v>1.8671201504342146E-2</v>
      </c>
      <c r="V79">
        <f>IF($A23="AEO",'Growth Rates'!V75,'Growth Rates'!V75*V$5)</f>
        <v>1.9086477538788754E-2</v>
      </c>
      <c r="W79">
        <f>IF($A23="AEO",'Growth Rates'!W75,'Growth Rates'!W75*W$5)</f>
        <v>1.8829720103005026E-2</v>
      </c>
      <c r="X79">
        <f>IF($A23="AEO",'Growth Rates'!X75,'Growth Rates'!X75*X$5)</f>
        <v>1.8238428786122356E-2</v>
      </c>
      <c r="Y79">
        <f>IF($A23="AEO",'Growth Rates'!Y75,'Growth Rates'!Y75*Y$5)</f>
        <v>1.7348611792145367E-2</v>
      </c>
      <c r="Z79">
        <f>IF($A23="AEO",'Growth Rates'!Z75,'Growth Rates'!Z75*Z$5)</f>
        <v>1.6332051584069241E-2</v>
      </c>
      <c r="AA79">
        <f>IF($A23="AEO",'Growth Rates'!AA75,'Growth Rates'!AA75*AA$5)</f>
        <v>1.615583761902184E-2</v>
      </c>
      <c r="AB79">
        <f>IF($A23="AEO",'Growth Rates'!AB75,'Growth Rates'!AB75*AB$5)</f>
        <v>1.5359522442365168E-2</v>
      </c>
      <c r="AC79">
        <f>IF($A23="AEO",'Growth Rates'!AC75,'Growth Rates'!AC75*AC$5)</f>
        <v>1.5700522578595739E-2</v>
      </c>
    </row>
    <row r="80" spans="2:29" x14ac:dyDescent="0.25">
      <c r="B80" t="s">
        <v>249</v>
      </c>
      <c r="C80">
        <v>0</v>
      </c>
      <c r="D80">
        <f>IF($A24="AEO",'Growth Rates'!D76,'Growth Rates'!D76*D$5)</f>
        <v>1.7724214122440893E-2</v>
      </c>
      <c r="E80">
        <f>IF($A24="AEO",'Growth Rates'!E76,'Growth Rates'!E76*E$5)</f>
        <v>-5.8729664651617488E-3</v>
      </c>
      <c r="F80">
        <f>IF($A24="AEO",'Growth Rates'!F76,'Growth Rates'!F76*F$5)</f>
        <v>2.2595816437962872E-2</v>
      </c>
      <c r="G80">
        <f>IF($A24="AEO",'Growth Rates'!G76,'Growth Rates'!G76*G$5)</f>
        <v>1.2078391913637288E-2</v>
      </c>
      <c r="H80">
        <f>IF($A24="AEO",'Growth Rates'!H76,'Growth Rates'!H76*H$5)</f>
        <v>4.3401578051765564E-3</v>
      </c>
      <c r="I80">
        <f>IF($A24="AEO",'Growth Rates'!I76,'Growth Rates'!I76*I$5)</f>
        <v>1.0538330439854564E-2</v>
      </c>
      <c r="J80">
        <f>IF($A24="AEO",'Growth Rates'!J76,'Growth Rates'!J76*J$5)</f>
        <v>1.1919624433299109E-2</v>
      </c>
      <c r="K80">
        <f>IF($A24="AEO",'Growth Rates'!K76,'Growth Rates'!K76*K$5)</f>
        <v>7.2282865610519224E-3</v>
      </c>
      <c r="L80">
        <f>IF($A24="AEO",'Growth Rates'!L76,'Growth Rates'!L76*L$5)</f>
        <v>6.6818769513966106E-3</v>
      </c>
      <c r="M80">
        <f>IF($A24="AEO",'Growth Rates'!M76,'Growth Rates'!M76*M$5)</f>
        <v>4.4451834259098492E-3</v>
      </c>
      <c r="N80">
        <f>IF($A24="AEO",'Growth Rates'!N76,'Growth Rates'!N76*N$5)</f>
        <v>7.801068903021984E-3</v>
      </c>
      <c r="O80">
        <f>IF($A24="AEO",'Growth Rates'!O76,'Growth Rates'!O76*O$5)</f>
        <v>1.156324137291186E-2</v>
      </c>
      <c r="P80">
        <f>IF($A24="AEO",'Growth Rates'!P76,'Growth Rates'!P76*P$5)</f>
        <v>1.3563166417312762E-2</v>
      </c>
      <c r="Q80">
        <f>IF($A24="AEO",'Growth Rates'!Q76,'Growth Rates'!Q76*Q$5)</f>
        <v>1.1960972313155602E-2</v>
      </c>
      <c r="R80">
        <f>IF($A24="AEO",'Growth Rates'!R76,'Growth Rates'!R76*R$5)</f>
        <v>9.8546563948202822E-3</v>
      </c>
      <c r="S80">
        <f>IF($A24="AEO",'Growth Rates'!S76,'Growth Rates'!S76*S$5)</f>
        <v>1.174260116409828E-2</v>
      </c>
      <c r="T80">
        <f>IF($A24="AEO",'Growth Rates'!T76,'Growth Rates'!T76*T$5)</f>
        <v>1.1727669794060551E-2</v>
      </c>
      <c r="U80">
        <f>IF($A24="AEO",'Growth Rates'!U76,'Growth Rates'!U76*U$5)</f>
        <v>1.2452812401855015E-2</v>
      </c>
      <c r="V80">
        <f>IF($A24="AEO",'Growth Rates'!V76,'Growth Rates'!V76*V$5)</f>
        <v>1.1472657296259773E-2</v>
      </c>
      <c r="W80">
        <f>IF($A24="AEO",'Growth Rates'!W76,'Growth Rates'!W76*W$5)</f>
        <v>1.1588169071967315E-2</v>
      </c>
      <c r="X80">
        <f>IF($A24="AEO",'Growth Rates'!X76,'Growth Rates'!X76*X$5)</f>
        <v>1.2545356154554065E-2</v>
      </c>
      <c r="Y80">
        <f>IF($A24="AEO",'Growth Rates'!Y76,'Growth Rates'!Y76*Y$5)</f>
        <v>1.0739513161443172E-2</v>
      </c>
      <c r="Z80">
        <f>IF($A24="AEO",'Growth Rates'!Z76,'Growth Rates'!Z76*Z$5)</f>
        <v>9.7885266276422963E-3</v>
      </c>
      <c r="AA80">
        <f>IF($A24="AEO",'Growth Rates'!AA76,'Growth Rates'!AA76*AA$5)</f>
        <v>7.7790196882548965E-3</v>
      </c>
      <c r="AB80">
        <f>IF($A24="AEO",'Growth Rates'!AB76,'Growth Rates'!AB76*AB$5)</f>
        <v>1.0818719628259659E-2</v>
      </c>
      <c r="AC80">
        <f>IF($A24="AEO",'Growth Rates'!AC76,'Growth Rates'!AC76*AC$5)</f>
        <v>1.0677986911461358E-2</v>
      </c>
    </row>
    <row r="81" spans="2:29" x14ac:dyDescent="0.25">
      <c r="B81" t="s">
        <v>1222</v>
      </c>
      <c r="C81">
        <v>0</v>
      </c>
      <c r="D81">
        <f>IF($A25="AEO",'Growth Rates'!D77,'Growth Rates'!D77*D$5)</f>
        <v>-6.2233199213274646E-3</v>
      </c>
      <c r="E81">
        <f>IF($A25="AEO",'Growth Rates'!E77,'Growth Rates'!E77*E$5)</f>
        <v>6.0720253666557411E-4</v>
      </c>
      <c r="F81">
        <f>IF($A25="AEO",'Growth Rates'!F77,'Growth Rates'!F77*F$5)</f>
        <v>2.462216093873312E-3</v>
      </c>
      <c r="G81">
        <f>IF($A25="AEO",'Growth Rates'!G77,'Growth Rates'!G77*G$5)</f>
        <v>-1.1643884753133231E-3</v>
      </c>
      <c r="H81">
        <f>IF($A25="AEO",'Growth Rates'!H77,'Growth Rates'!H77*H$5)</f>
        <v>-1.5622717482911286E-3</v>
      </c>
      <c r="I81">
        <f>IF($A25="AEO",'Growth Rates'!I77,'Growth Rates'!I77*I$5)</f>
        <v>4.2884677077444577E-4</v>
      </c>
      <c r="J81">
        <f>IF($A25="AEO",'Growth Rates'!J77,'Growth Rates'!J77*J$5)</f>
        <v>1.7034488687376508E-3</v>
      </c>
      <c r="K81">
        <f>IF($A25="AEO",'Growth Rates'!K77,'Growth Rates'!K77*K$5)</f>
        <v>4.0618398053844373E-3</v>
      </c>
      <c r="L81">
        <f>IF($A25="AEO",'Growth Rates'!L77,'Growth Rates'!L77*L$5)</f>
        <v>6.6316131750683007E-3</v>
      </c>
      <c r="M81">
        <f>IF($A25="AEO",'Growth Rates'!M77,'Growth Rates'!M77*M$5)</f>
        <v>8.3090056745117793E-3</v>
      </c>
      <c r="N81">
        <f>IF($A25="AEO",'Growth Rates'!N77,'Growth Rates'!N77*N$5)</f>
        <v>1.0367982306368139E-2</v>
      </c>
      <c r="O81">
        <f>IF($A25="AEO",'Growth Rates'!O77,'Growth Rates'!O77*O$5)</f>
        <v>1.022946050450438E-2</v>
      </c>
      <c r="P81">
        <f>IF($A25="AEO",'Growth Rates'!P77,'Growth Rates'!P77*P$5)</f>
        <v>9.6879481922688502E-3</v>
      </c>
      <c r="Q81">
        <f>IF($A25="AEO",'Growth Rates'!Q77,'Growth Rates'!Q77*Q$5)</f>
        <v>1.0119030407614882E-2</v>
      </c>
      <c r="R81">
        <f>IF($A25="AEO",'Growth Rates'!R77,'Growth Rates'!R77*R$5)</f>
        <v>9.9271535032241578E-3</v>
      </c>
      <c r="S81">
        <f>IF($A25="AEO",'Growth Rates'!S77,'Growth Rates'!S77*S$5)</f>
        <v>1.0068817804085108E-2</v>
      </c>
      <c r="T81">
        <f>IF($A25="AEO",'Growth Rates'!T77,'Growth Rates'!T77*T$5)</f>
        <v>1.0497726662871541E-2</v>
      </c>
      <c r="U81">
        <f>IF($A25="AEO",'Growth Rates'!U77,'Growth Rates'!U77*U$5)</f>
        <v>1.0773685175757294E-2</v>
      </c>
      <c r="V81">
        <f>IF($A25="AEO",'Growth Rates'!V77,'Growth Rates'!V77*V$5)</f>
        <v>1.1043783809229451E-2</v>
      </c>
      <c r="W81">
        <f>IF($A25="AEO",'Growth Rates'!W77,'Growth Rates'!W77*W$5)</f>
        <v>1.0784684936775644E-2</v>
      </c>
      <c r="X81">
        <f>IF($A25="AEO",'Growth Rates'!X77,'Growth Rates'!X77*X$5)</f>
        <v>1.1019399231148896E-2</v>
      </c>
      <c r="Y81">
        <f>IF($A25="AEO",'Growth Rates'!Y77,'Growth Rates'!Y77*Y$5)</f>
        <v>1.1072157805751538E-2</v>
      </c>
      <c r="Z81">
        <f>IF($A25="AEO",'Growth Rates'!Z77,'Growth Rates'!Z77*Z$5)</f>
        <v>1.0968535414627783E-2</v>
      </c>
      <c r="AA81">
        <f>IF($A25="AEO",'Growth Rates'!AA77,'Growth Rates'!AA77*AA$5)</f>
        <v>1.0972790190006026E-2</v>
      </c>
      <c r="AB81">
        <f>IF($A25="AEO",'Growth Rates'!AB77,'Growth Rates'!AB77*AB$5)</f>
        <v>1.0452646000722115E-2</v>
      </c>
      <c r="AC81">
        <f>IF($A25="AEO",'Growth Rates'!AC77,'Growth Rates'!AC77*AC$5)</f>
        <v>1.03805003689426E-2</v>
      </c>
    </row>
    <row r="82" spans="2:29" x14ac:dyDescent="0.25">
      <c r="B82" t="s">
        <v>256</v>
      </c>
      <c r="C82">
        <v>0</v>
      </c>
      <c r="D82">
        <f>IF($A26="AEO",'Growth Rates'!D78,'Growth Rates'!D78*D$5)</f>
        <v>3.3677125558882557E-3</v>
      </c>
      <c r="E82">
        <f>IF($A26="AEO",'Growth Rates'!E78,'Growth Rates'!E78*E$5)</f>
        <v>-1.6100321389836129E-2</v>
      </c>
      <c r="F82">
        <f>IF($A26="AEO",'Growth Rates'!F78,'Growth Rates'!F78*F$5)</f>
        <v>-1.7324661384306477E-2</v>
      </c>
      <c r="G82">
        <f>IF($A26="AEO",'Growth Rates'!G78,'Growth Rates'!G78*G$5)</f>
        <v>-3.0661376246751849E-3</v>
      </c>
      <c r="H82">
        <f>IF($A26="AEO",'Growth Rates'!H78,'Growth Rates'!H78*H$5)</f>
        <v>-2.8177861535687836E-3</v>
      </c>
      <c r="I82">
        <f>IF($A26="AEO",'Growth Rates'!I78,'Growth Rates'!I78*I$5)</f>
        <v>2.9511020407673163E-3</v>
      </c>
      <c r="J82">
        <f>IF($A26="AEO",'Growth Rates'!J78,'Growth Rates'!J78*J$5)</f>
        <v>7.4787593155879887E-3</v>
      </c>
      <c r="K82">
        <f>IF($A26="AEO",'Growth Rates'!K78,'Growth Rates'!K78*K$5)</f>
        <v>6.8072293280255691E-3</v>
      </c>
      <c r="L82">
        <f>IF($A26="AEO",'Growth Rates'!L78,'Growth Rates'!L78*L$5)</f>
        <v>9.3879042406030001E-3</v>
      </c>
      <c r="M82">
        <f>IF($A26="AEO",'Growth Rates'!M78,'Growth Rates'!M78*M$5)</f>
        <v>9.8625353808258764E-3</v>
      </c>
      <c r="N82">
        <f>IF($A26="AEO",'Growth Rates'!N78,'Growth Rates'!N78*N$5)</f>
        <v>9.5639538061506116E-3</v>
      </c>
      <c r="O82">
        <f>IF($A26="AEO",'Growth Rates'!O78,'Growth Rates'!O78*O$5)</f>
        <v>9.9268087496195406E-3</v>
      </c>
      <c r="P82">
        <f>IF($A26="AEO",'Growth Rates'!P78,'Growth Rates'!P78*P$5)</f>
        <v>8.8885770497311549E-3</v>
      </c>
      <c r="Q82">
        <f>IF($A26="AEO",'Growth Rates'!Q78,'Growth Rates'!Q78*Q$5)</f>
        <v>9.3959774844289499E-3</v>
      </c>
      <c r="R82">
        <f>IF($A26="AEO",'Growth Rates'!R78,'Growth Rates'!R78*R$5)</f>
        <v>8.9707251884070752E-3</v>
      </c>
      <c r="S82">
        <f>IF($A26="AEO",'Growth Rates'!S78,'Growth Rates'!S78*S$5)</f>
        <v>4.9701530218554868E-3</v>
      </c>
      <c r="T82">
        <f>IF($A26="AEO",'Growth Rates'!T78,'Growth Rates'!T78*T$5)</f>
        <v>1.6208327591064715E-3</v>
      </c>
      <c r="U82">
        <f>IF($A26="AEO",'Growth Rates'!U78,'Growth Rates'!U78*U$5)</f>
        <v>-3.5840713790091122E-4</v>
      </c>
      <c r="V82">
        <f>IF($A26="AEO",'Growth Rates'!V78,'Growth Rates'!V78*V$5)</f>
        <v>-4.5139001149143727E-3</v>
      </c>
      <c r="W82">
        <f>IF($A26="AEO",'Growth Rates'!W78,'Growth Rates'!W78*W$5)</f>
        <v>-6.31192957131947E-3</v>
      </c>
      <c r="X82">
        <f>IF($A26="AEO",'Growth Rates'!X78,'Growth Rates'!X78*X$5)</f>
        <v>1.3658997888406691E-3</v>
      </c>
      <c r="Y82">
        <f>IF($A26="AEO",'Growth Rates'!Y78,'Growth Rates'!Y78*Y$5)</f>
        <v>6.2790367013127674E-3</v>
      </c>
      <c r="Z82">
        <f>IF($A26="AEO",'Growth Rates'!Z78,'Growth Rates'!Z78*Z$5)</f>
        <v>6.4781329571070587E-3</v>
      </c>
      <c r="AA82">
        <f>IF($A26="AEO",'Growth Rates'!AA78,'Growth Rates'!AA78*AA$5)</f>
        <v>6.6010760132313301E-3</v>
      </c>
      <c r="AB82">
        <f>IF($A26="AEO",'Growth Rates'!AB78,'Growth Rates'!AB78*AB$5)</f>
        <v>6.3618268496300704E-3</v>
      </c>
      <c r="AC82">
        <f>IF($A26="AEO",'Growth Rates'!AC78,'Growth Rates'!AC78*AC$5)</f>
        <v>7.3540183049794847E-3</v>
      </c>
    </row>
    <row r="83" spans="2:29" x14ac:dyDescent="0.25">
      <c r="B83" t="s">
        <v>261</v>
      </c>
      <c r="C83">
        <v>0</v>
      </c>
      <c r="D83">
        <f>IF($A27="AEO",'Growth Rates'!D79,'Growth Rates'!D79*D$5)</f>
        <v>-1.4318822532873773E-2</v>
      </c>
      <c r="E83">
        <f>IF($A27="AEO",'Growth Rates'!E79,'Growth Rates'!E79*E$5)</f>
        <v>2.0563609513499132E-2</v>
      </c>
      <c r="F83">
        <f>IF($A27="AEO",'Growth Rates'!F79,'Growth Rates'!F79*F$5)</f>
        <v>3.1026543084000401E-2</v>
      </c>
      <c r="G83">
        <f>IF($A27="AEO",'Growth Rates'!G79,'Growth Rates'!G79*G$5)</f>
        <v>-1.4872726456593712E-3</v>
      </c>
      <c r="H83">
        <f>IF($A27="AEO",'Growth Rates'!H79,'Growth Rates'!H79*H$5)</f>
        <v>7.6125995799030434E-3</v>
      </c>
      <c r="I83">
        <f>IF($A27="AEO",'Growth Rates'!I79,'Growth Rates'!I79*I$5)</f>
        <v>1.8836635658027599E-2</v>
      </c>
      <c r="J83">
        <f>IF($A27="AEO",'Growth Rates'!J79,'Growth Rates'!J79*J$5)</f>
        <v>1.4672424996196651E-2</v>
      </c>
      <c r="K83">
        <f>IF($A27="AEO",'Growth Rates'!K79,'Growth Rates'!K79*K$5)</f>
        <v>1.8340012043860557E-2</v>
      </c>
      <c r="L83">
        <f>IF($A27="AEO",'Growth Rates'!L79,'Growth Rates'!L79*L$5)</f>
        <v>1.535324769203778E-2</v>
      </c>
      <c r="M83">
        <f>IF($A27="AEO",'Growth Rates'!M79,'Growth Rates'!M79*M$5)</f>
        <v>7.0187670888773711E-3</v>
      </c>
      <c r="N83">
        <f>IF($A27="AEO",'Growth Rates'!N79,'Growth Rates'!N79*N$5)</f>
        <v>1.1483801200096662E-2</v>
      </c>
      <c r="O83">
        <f>IF($A27="AEO",'Growth Rates'!O79,'Growth Rates'!O79*O$5)</f>
        <v>5.7291914443533647E-3</v>
      </c>
      <c r="P83">
        <f>IF($A27="AEO",'Growth Rates'!P79,'Growth Rates'!P79*P$5)</f>
        <v>7.9507598625235005E-3</v>
      </c>
      <c r="Q83">
        <f>IF($A27="AEO",'Growth Rates'!Q79,'Growth Rates'!Q79*Q$5)</f>
        <v>5.3761127265107766E-3</v>
      </c>
      <c r="R83">
        <f>IF($A27="AEO",'Growth Rates'!R79,'Growth Rates'!R79*R$5)</f>
        <v>4.0827830185148333E-3</v>
      </c>
      <c r="S83">
        <f>IF($A27="AEO",'Growth Rates'!S79,'Growth Rates'!S79*S$5)</f>
        <v>9.2964978183850498E-3</v>
      </c>
      <c r="T83">
        <f>IF($A27="AEO",'Growth Rates'!T79,'Growth Rates'!T79*T$5)</f>
        <v>1.0454172303255269E-2</v>
      </c>
      <c r="U83">
        <f>IF($A27="AEO",'Growth Rates'!U79,'Growth Rates'!U79*U$5)</f>
        <v>9.6713155442675908E-3</v>
      </c>
      <c r="V83">
        <f>IF($A27="AEO",'Growth Rates'!V79,'Growth Rates'!V79*V$5)</f>
        <v>7.4659860444099939E-3</v>
      </c>
      <c r="W83">
        <f>IF($A27="AEO",'Growth Rates'!W79,'Growth Rates'!W79*W$5)</f>
        <v>7.0963412928564378E-3</v>
      </c>
      <c r="X83">
        <f>IF($A27="AEO",'Growth Rates'!X79,'Growth Rates'!X79*X$5)</f>
        <v>1.1883353893068311E-2</v>
      </c>
      <c r="Y83">
        <f>IF($A27="AEO",'Growth Rates'!Y79,'Growth Rates'!Y79*Y$5)</f>
        <v>8.4753603571672761E-3</v>
      </c>
      <c r="Z83">
        <f>IF($A27="AEO",'Growth Rates'!Z79,'Growth Rates'!Z79*Z$5)</f>
        <v>1.1187094527957811E-2</v>
      </c>
      <c r="AA83">
        <f>IF($A27="AEO",'Growth Rates'!AA79,'Growth Rates'!AA79*AA$5)</f>
        <v>8.7894909652514851E-3</v>
      </c>
      <c r="AB83">
        <f>IF($A27="AEO",'Growth Rates'!AB79,'Growth Rates'!AB79*AB$5)</f>
        <v>4.0537222005076904E-3</v>
      </c>
      <c r="AC83">
        <f>IF($A27="AEO",'Growth Rates'!AC79,'Growth Rates'!AC79*AC$5)</f>
        <v>7.7592449126460423E-3</v>
      </c>
    </row>
    <row r="84" spans="2:29" x14ac:dyDescent="0.25">
      <c r="B84" t="s">
        <v>266</v>
      </c>
      <c r="C84">
        <v>0</v>
      </c>
      <c r="D84">
        <f>IF($A28="AEO",'Growth Rates'!D80,'Growth Rates'!D80*D$5)</f>
        <v>2.7423101302979209E-4</v>
      </c>
      <c r="E84">
        <f>IF($A28="AEO",'Growth Rates'!E80,'Growth Rates'!E80*E$5)</f>
        <v>-4.7853998917997116E-4</v>
      </c>
      <c r="F84">
        <f>IF($A28="AEO",'Growth Rates'!F80,'Growth Rates'!F80*F$5)</f>
        <v>6.4732140458175378E-3</v>
      </c>
      <c r="G84">
        <f>IF($A28="AEO",'Growth Rates'!G80,'Growth Rates'!G80*G$5)</f>
        <v>5.4052435047520532E-3</v>
      </c>
      <c r="H84">
        <f>IF($A28="AEO",'Growth Rates'!H80,'Growth Rates'!H80*H$5)</f>
        <v>3.7668562580090558E-3</v>
      </c>
      <c r="I84">
        <f>IF($A28="AEO",'Growth Rates'!I80,'Growth Rates'!I80*I$5)</f>
        <v>4.71760218819651E-3</v>
      </c>
      <c r="J84">
        <f>IF($A28="AEO",'Growth Rates'!J80,'Growth Rates'!J80*J$5)</f>
        <v>5.0813282536308901E-3</v>
      </c>
      <c r="K84">
        <f>IF($A28="AEO",'Growth Rates'!K80,'Growth Rates'!K80*K$5)</f>
        <v>6.2623422653454597E-3</v>
      </c>
      <c r="L84">
        <f>IF($A28="AEO",'Growth Rates'!L80,'Growth Rates'!L80*L$5)</f>
        <v>7.6622890664389811E-3</v>
      </c>
      <c r="M84">
        <f>IF($A28="AEO",'Growth Rates'!M80,'Growth Rates'!M80*M$5)</f>
        <v>8.7262193702413362E-3</v>
      </c>
      <c r="N84">
        <f>IF($A28="AEO",'Growth Rates'!N80,'Growth Rates'!N80*N$5)</f>
        <v>1.007830508702855E-2</v>
      </c>
      <c r="O84">
        <f>IF($A28="AEO",'Growth Rates'!O80,'Growth Rates'!O80*O$5)</f>
        <v>1.0496363271853919E-2</v>
      </c>
      <c r="P84">
        <f>IF($A28="AEO",'Growth Rates'!P80,'Growth Rates'!P80*P$5)</f>
        <v>1.0333604705824288E-2</v>
      </c>
      <c r="Q84">
        <f>IF($A28="AEO",'Growth Rates'!Q80,'Growth Rates'!Q80*Q$5)</f>
        <v>1.0283047527828019E-2</v>
      </c>
      <c r="R84">
        <f>IF($A28="AEO",'Growth Rates'!R80,'Growth Rates'!R80*R$5)</f>
        <v>1.0105062793125693E-2</v>
      </c>
      <c r="S84">
        <f>IF($A28="AEO",'Growth Rates'!S80,'Growth Rates'!S80*S$5)</f>
        <v>1.0084138683607019E-2</v>
      </c>
      <c r="T84">
        <f>IF($A28="AEO",'Growth Rates'!T80,'Growth Rates'!T80*T$5)</f>
        <v>1.0167585683094033E-2</v>
      </c>
      <c r="U84">
        <f>IF($A28="AEO",'Growth Rates'!U80,'Growth Rates'!U80*U$5)</f>
        <v>1.0138120945988576E-2</v>
      </c>
      <c r="V84">
        <f>IF($A28="AEO",'Growth Rates'!V80,'Growth Rates'!V80*V$5)</f>
        <v>1.0029968774932861E-2</v>
      </c>
      <c r="W84">
        <f>IF($A28="AEO",'Growth Rates'!W80,'Growth Rates'!W80*W$5)</f>
        <v>9.7784698021622408E-3</v>
      </c>
      <c r="X84">
        <f>IF($A28="AEO",'Growth Rates'!X80,'Growth Rates'!X80*X$5)</f>
        <v>9.5127956937354936E-3</v>
      </c>
      <c r="Y84">
        <f>IF($A28="AEO",'Growth Rates'!Y80,'Growth Rates'!Y80*Y$5)</f>
        <v>9.1730845548896687E-3</v>
      </c>
      <c r="Z84">
        <f>IF($A28="AEO",'Growth Rates'!Z80,'Growth Rates'!Z80*Z$5)</f>
        <v>8.6965091156279688E-3</v>
      </c>
      <c r="AA84">
        <f>IF($A28="AEO",'Growth Rates'!AA80,'Growth Rates'!AA80*AA$5)</f>
        <v>8.1121648865610206E-3</v>
      </c>
      <c r="AB84">
        <f>IF($A28="AEO",'Growth Rates'!AB80,'Growth Rates'!AB80*AB$5)</f>
        <v>7.48897548075166E-3</v>
      </c>
      <c r="AC84">
        <f>IF($A28="AEO",'Growth Rates'!AC80,'Growth Rates'!AC80*AC$5)</f>
        <v>7.0854466429014972E-3</v>
      </c>
    </row>
    <row r="85" spans="2:29" x14ac:dyDescent="0.25">
      <c r="B85" t="s">
        <v>273</v>
      </c>
      <c r="C85">
        <v>0</v>
      </c>
      <c r="D85">
        <f>IF($A29="AEO",'Growth Rates'!D81,'Growth Rates'!D81*D$5)</f>
        <v>2.583505185322945E-2</v>
      </c>
      <c r="E85">
        <f>IF($A29="AEO",'Growth Rates'!E81,'Growth Rates'!E81*E$5)</f>
        <v>2.1302773500079922E-2</v>
      </c>
      <c r="F85">
        <f>IF($A29="AEO",'Growth Rates'!F81,'Growth Rates'!F81*F$5)</f>
        <v>1.7395990296488601E-2</v>
      </c>
      <c r="G85">
        <f>IF($A29="AEO",'Growth Rates'!G81,'Growth Rates'!G81*G$5)</f>
        <v>-8.7007286699702351E-3</v>
      </c>
      <c r="H85">
        <f>IF($A29="AEO",'Growth Rates'!H81,'Growth Rates'!H81*H$5)</f>
        <v>-3.7304698077702675E-3</v>
      </c>
      <c r="I85">
        <f>IF($A29="AEO",'Growth Rates'!I81,'Growth Rates'!I81*I$5)</f>
        <v>-2.0828084827644779E-4</v>
      </c>
      <c r="J85">
        <f>IF($A29="AEO",'Growth Rates'!J81,'Growth Rates'!J81*J$5)</f>
        <v>1.2447620621955792E-3</v>
      </c>
      <c r="K85">
        <f>IF($A29="AEO",'Growth Rates'!K81,'Growth Rates'!K81*K$5)</f>
        <v>9.5114980984205844E-3</v>
      </c>
      <c r="L85">
        <f>IF($A29="AEO",'Growth Rates'!L81,'Growth Rates'!L81*L$5)</f>
        <v>7.2478771041927471E-3</v>
      </c>
      <c r="M85">
        <f>IF($A29="AEO",'Growth Rates'!M81,'Growth Rates'!M81*M$5)</f>
        <v>1.2476036700577314E-2</v>
      </c>
      <c r="N85">
        <f>IF($A29="AEO",'Growth Rates'!N81,'Growth Rates'!N81*N$5)</f>
        <v>1.1810309432023953E-2</v>
      </c>
      <c r="O85">
        <f>IF($A29="AEO",'Growth Rates'!O81,'Growth Rates'!O81*O$5)</f>
        <v>7.9120390195665073E-3</v>
      </c>
      <c r="P85">
        <f>IF($A29="AEO",'Growth Rates'!P81,'Growth Rates'!P81*P$5)</f>
        <v>8.8272957889208442E-3</v>
      </c>
      <c r="Q85">
        <f>IF($A29="AEO",'Growth Rates'!Q81,'Growth Rates'!Q81*Q$5)</f>
        <v>1.0427693086454585E-2</v>
      </c>
      <c r="R85">
        <f>IF($A29="AEO",'Growth Rates'!R81,'Growth Rates'!R81*R$5)</f>
        <v>7.1226284684474369E-3</v>
      </c>
      <c r="S85">
        <f>IF($A29="AEO",'Growth Rates'!S81,'Growth Rates'!S81*S$5)</f>
        <v>9.8951308344954747E-3</v>
      </c>
      <c r="T85">
        <f>IF($A29="AEO",'Growth Rates'!T81,'Growth Rates'!T81*T$5)</f>
        <v>9.038876868339837E-3</v>
      </c>
      <c r="U85">
        <f>IF($A29="AEO",'Growth Rates'!U81,'Growth Rates'!U81*U$5)</f>
        <v>9.9646974072085219E-3</v>
      </c>
      <c r="V85">
        <f>IF($A29="AEO",'Growth Rates'!V81,'Growth Rates'!V81*V$5)</f>
        <v>1.0126107037825011E-2</v>
      </c>
      <c r="W85">
        <f>IF($A29="AEO",'Growth Rates'!W81,'Growth Rates'!W81*W$5)</f>
        <v>1.4210034173012122E-2</v>
      </c>
      <c r="X85">
        <f>IF($A29="AEO",'Growth Rates'!X81,'Growth Rates'!X81*X$5)</f>
        <v>1.3590009721918109E-2</v>
      </c>
      <c r="Y85">
        <f>IF($A29="AEO",'Growth Rates'!Y81,'Growth Rates'!Y81*Y$5)</f>
        <v>1.1843832165229377E-2</v>
      </c>
      <c r="Z85">
        <f>IF($A29="AEO",'Growth Rates'!Z81,'Growth Rates'!Z81*Z$5)</f>
        <v>6.1499425535588379E-3</v>
      </c>
      <c r="AA85">
        <f>IF($A29="AEO",'Growth Rates'!AA81,'Growth Rates'!AA81*AA$5)</f>
        <v>3.5324314979772627E-3</v>
      </c>
      <c r="AB85">
        <f>IF($A29="AEO",'Growth Rates'!AB81,'Growth Rates'!AB81*AB$5)</f>
        <v>1.0748907107304761E-2</v>
      </c>
      <c r="AC85">
        <f>IF($A29="AEO",'Growth Rates'!AC81,'Growth Rates'!AC81*AC$5)</f>
        <v>9.654321392619734E-3</v>
      </c>
    </row>
    <row r="86" spans="2:29" x14ac:dyDescent="0.25">
      <c r="B86" t="s">
        <v>299</v>
      </c>
      <c r="C86">
        <v>0</v>
      </c>
      <c r="D86">
        <f>IF($A30="AEO",'Growth Rates'!D82,'Growth Rates'!D82*D$5)</f>
        <v>-6.5496145174722312E-2</v>
      </c>
      <c r="E86">
        <f>IF($A30="AEO",'Growth Rates'!E82,'Growth Rates'!E82*E$5)</f>
        <v>1.049235557326296E-2</v>
      </c>
      <c r="F86">
        <f>IF($A30="AEO",'Growth Rates'!F82,'Growth Rates'!F82*F$5)</f>
        <v>3.7470970080506746E-2</v>
      </c>
      <c r="G86">
        <f>IF($A30="AEO",'Growth Rates'!G82,'Growth Rates'!G82*G$5)</f>
        <v>2.3952323404698484E-2</v>
      </c>
      <c r="H86">
        <f>IF($A30="AEO",'Growth Rates'!H82,'Growth Rates'!H82*H$5)</f>
        <v>2.5456781846209971E-2</v>
      </c>
      <c r="I86">
        <f>IF($A30="AEO",'Growth Rates'!I82,'Growth Rates'!I82*I$5)</f>
        <v>2.044704623110288E-2</v>
      </c>
      <c r="J86">
        <f>IF($A30="AEO",'Growth Rates'!J82,'Growth Rates'!J82*J$5)</f>
        <v>1.6053906954425344E-2</v>
      </c>
      <c r="K86">
        <f>IF($A30="AEO",'Growth Rates'!K82,'Growth Rates'!K82*K$5)</f>
        <v>1.9197945678032947E-2</v>
      </c>
      <c r="L86">
        <f>IF($A30="AEO",'Growth Rates'!L82,'Growth Rates'!L82*L$5)</f>
        <v>1.3829789433627978E-2</v>
      </c>
      <c r="M86">
        <f>IF($A30="AEO",'Growth Rates'!M82,'Growth Rates'!M82*M$5)</f>
        <v>1.7647761389281848E-2</v>
      </c>
      <c r="N86">
        <f>IF($A30="AEO",'Growth Rates'!N82,'Growth Rates'!N82*N$5)</f>
        <v>2.0477310320871293E-2</v>
      </c>
      <c r="O86">
        <f>IF($A30="AEO",'Growth Rates'!O82,'Growth Rates'!O82*O$5)</f>
        <v>1.9872186202292391E-2</v>
      </c>
      <c r="P86">
        <f>IF($A30="AEO",'Growth Rates'!P82,'Growth Rates'!P82*P$5)</f>
        <v>2.1011163495363843E-2</v>
      </c>
      <c r="Q86">
        <f>IF($A30="AEO",'Growth Rates'!Q82,'Growth Rates'!Q82*Q$5)</f>
        <v>2.0562019562047316E-2</v>
      </c>
      <c r="R86">
        <f>IF($A30="AEO",'Growth Rates'!R82,'Growth Rates'!R82*R$5)</f>
        <v>2.1821787250447627E-2</v>
      </c>
      <c r="S86">
        <f>IF($A30="AEO",'Growth Rates'!S82,'Growth Rates'!S82*S$5)</f>
        <v>2.2229099579873086E-2</v>
      </c>
      <c r="T86">
        <f>IF($A30="AEO",'Growth Rates'!T82,'Growth Rates'!T82*T$5)</f>
        <v>2.1383231961426E-2</v>
      </c>
      <c r="U86">
        <f>IF($A30="AEO",'Growth Rates'!U82,'Growth Rates'!U82*U$5)</f>
        <v>2.2557698028721859E-2</v>
      </c>
      <c r="V86">
        <f>IF($A30="AEO",'Growth Rates'!V82,'Growth Rates'!V82*V$5)</f>
        <v>2.3289221664284179E-2</v>
      </c>
      <c r="W86">
        <f>IF($A30="AEO",'Growth Rates'!W82,'Growth Rates'!W82*W$5)</f>
        <v>2.5166225455832306E-2</v>
      </c>
      <c r="X86">
        <f>IF($A30="AEO",'Growth Rates'!X82,'Growth Rates'!X82*X$5)</f>
        <v>2.5932976807984533E-2</v>
      </c>
      <c r="Y86">
        <f>IF($A30="AEO",'Growth Rates'!Y82,'Growth Rates'!Y82*Y$5)</f>
        <v>2.6600966858647983E-2</v>
      </c>
      <c r="Z86">
        <f>IF($A30="AEO",'Growth Rates'!Z82,'Growth Rates'!Z82*Z$5)</f>
        <v>2.4984846374277125E-2</v>
      </c>
      <c r="AA86">
        <f>IF($A30="AEO",'Growth Rates'!AA82,'Growth Rates'!AA82*AA$5)</f>
        <v>2.4501268917016789E-2</v>
      </c>
      <c r="AB86">
        <f>IF($A30="AEO",'Growth Rates'!AB82,'Growth Rates'!AB82*AB$5)</f>
        <v>2.4399332556645007E-2</v>
      </c>
      <c r="AC86">
        <f>IF($A30="AEO",'Growth Rates'!AC82,'Growth Rates'!AC82*AC$5)</f>
        <v>2.1273483357682858E-2</v>
      </c>
    </row>
    <row r="87" spans="2:29" x14ac:dyDescent="0.25">
      <c r="B87" t="s">
        <v>314</v>
      </c>
      <c r="C87">
        <v>0</v>
      </c>
      <c r="D87">
        <f>IF($A31="AEO",'Growth Rates'!D83,'Growth Rates'!D83*D$5)</f>
        <v>9.5838154987310364E-3</v>
      </c>
      <c r="E87">
        <f>IF($A31="AEO",'Growth Rates'!E83,'Growth Rates'!E83*E$5)</f>
        <v>-1.3180751806413827E-2</v>
      </c>
      <c r="F87">
        <f>IF($A31="AEO",'Growth Rates'!F83,'Growth Rates'!F83*F$5)</f>
        <v>-5.495876411580016E-3</v>
      </c>
      <c r="G87">
        <f>IF($A31="AEO",'Growth Rates'!G83,'Growth Rates'!G83*G$5)</f>
        <v>-1.5659957935745084E-2</v>
      </c>
      <c r="H87">
        <f>IF($A31="AEO",'Growth Rates'!H83,'Growth Rates'!H83*H$5)</f>
        <v>-3.6960462318567761E-3</v>
      </c>
      <c r="I87">
        <f>IF($A31="AEO",'Growth Rates'!I83,'Growth Rates'!I83*I$5)</f>
        <v>1.8032865730730773E-2</v>
      </c>
      <c r="J87">
        <f>IF($A31="AEO",'Growth Rates'!J83,'Growth Rates'!J83*J$5)</f>
        <v>1.612508868781946E-2</v>
      </c>
      <c r="K87">
        <f>IF($A31="AEO",'Growth Rates'!K83,'Growth Rates'!K83*K$5)</f>
        <v>1.680996299942103E-2</v>
      </c>
      <c r="L87">
        <f>IF($A31="AEO",'Growth Rates'!L83,'Growth Rates'!L83*L$5)</f>
        <v>5.4695342229286433E-3</v>
      </c>
      <c r="M87">
        <f>IF($A31="AEO",'Growth Rates'!M83,'Growth Rates'!M83*M$5)</f>
        <v>4.4293113800551055E-3</v>
      </c>
      <c r="N87">
        <f>IF($A31="AEO",'Growth Rates'!N83,'Growth Rates'!N83*N$5)</f>
        <v>1.0716080366278562E-2</v>
      </c>
      <c r="O87">
        <f>IF($A31="AEO",'Growth Rates'!O83,'Growth Rates'!O83*O$5)</f>
        <v>7.5710519600504199E-3</v>
      </c>
      <c r="P87">
        <f>IF($A31="AEO",'Growth Rates'!P83,'Growth Rates'!P83*P$5)</f>
        <v>6.9475790461157125E-3</v>
      </c>
      <c r="Q87">
        <f>IF($A31="AEO",'Growth Rates'!Q83,'Growth Rates'!Q83*Q$5)</f>
        <v>5.019167709294562E-3</v>
      </c>
      <c r="R87">
        <f>IF($A31="AEO",'Growth Rates'!R83,'Growth Rates'!R83*R$5)</f>
        <v>4.7556991717196831E-3</v>
      </c>
      <c r="S87">
        <f>IF($A31="AEO",'Growth Rates'!S83,'Growth Rates'!S83*S$5)</f>
        <v>6.585604364996599E-3</v>
      </c>
      <c r="T87">
        <f>IF($A31="AEO",'Growth Rates'!T83,'Growth Rates'!T83*T$5)</f>
        <v>5.6606166948387285E-3</v>
      </c>
      <c r="U87">
        <f>IF($A31="AEO",'Growth Rates'!U83,'Growth Rates'!U83*U$5)</f>
        <v>6.5817540342673689E-3</v>
      </c>
      <c r="V87">
        <f>IF($A31="AEO",'Growth Rates'!V83,'Growth Rates'!V83*V$5)</f>
        <v>5.5774839144858415E-3</v>
      </c>
      <c r="W87">
        <f>IF($A31="AEO",'Growth Rates'!W83,'Growth Rates'!W83*W$5)</f>
        <v>5.3389950121167217E-3</v>
      </c>
      <c r="X87">
        <f>IF($A31="AEO",'Growth Rates'!X83,'Growth Rates'!X83*X$5)</f>
        <v>6.2995500713378073E-3</v>
      </c>
      <c r="Y87">
        <f>IF($A31="AEO",'Growth Rates'!Y83,'Growth Rates'!Y83*Y$5)</f>
        <v>7.9632206641985174E-3</v>
      </c>
      <c r="Z87">
        <f>IF($A31="AEO",'Growth Rates'!Z83,'Growth Rates'!Z83*Z$5)</f>
        <v>7.8306975688093548E-3</v>
      </c>
      <c r="AA87">
        <f>IF($A31="AEO",'Growth Rates'!AA83,'Growth Rates'!AA83*AA$5)</f>
        <v>6.7753977190839121E-3</v>
      </c>
      <c r="AB87">
        <f>IF($A31="AEO",'Growth Rates'!AB83,'Growth Rates'!AB83*AB$5)</f>
        <v>5.4717269479305167E-3</v>
      </c>
      <c r="AC87">
        <f>IF($A31="AEO",'Growth Rates'!AC83,'Growth Rates'!AC83*AC$5)</f>
        <v>3.8045208677786554E-3</v>
      </c>
    </row>
    <row r="88" spans="2:29" x14ac:dyDescent="0.25">
      <c r="B88" t="s">
        <v>288</v>
      </c>
      <c r="C88">
        <v>0</v>
      </c>
      <c r="D88">
        <f>IF($A32="AEO",'Growth Rates'!D84,'Growth Rates'!D84*D$5)</f>
        <v>2.4336435643808989E-2</v>
      </c>
      <c r="E88">
        <f>IF($A32="AEO",'Growth Rates'!E84,'Growth Rates'!E84*E$5)</f>
        <v>-2.0461753244390066E-2</v>
      </c>
      <c r="F88">
        <f>IF($A32="AEO",'Growth Rates'!F84,'Growth Rates'!F84*F$5)</f>
        <v>2.4109605222139355E-2</v>
      </c>
      <c r="G88">
        <f>IF($A32="AEO",'Growth Rates'!G84,'Growth Rates'!G84*G$5)</f>
        <v>1.8829391438090048E-2</v>
      </c>
      <c r="H88">
        <f>IF($A32="AEO",'Growth Rates'!H84,'Growth Rates'!H84*H$5)</f>
        <v>1.9451339355595697E-2</v>
      </c>
      <c r="I88">
        <f>IF($A32="AEO",'Growth Rates'!I84,'Growth Rates'!I84*I$5)</f>
        <v>1.2885394239777163E-2</v>
      </c>
      <c r="J88">
        <f>IF($A32="AEO",'Growth Rates'!J84,'Growth Rates'!J84*J$5)</f>
        <v>1.9511096698901231E-2</v>
      </c>
      <c r="K88">
        <f>IF($A32="AEO",'Growth Rates'!K84,'Growth Rates'!K84*K$5)</f>
        <v>1.6240848175239804E-2</v>
      </c>
      <c r="L88">
        <f>IF($A32="AEO",'Growth Rates'!L84,'Growth Rates'!L84*L$5)</f>
        <v>1.032807562481246E-3</v>
      </c>
      <c r="M88">
        <f>IF($A32="AEO",'Growth Rates'!M84,'Growth Rates'!M84*M$5)</f>
        <v>7.7800945510172245E-3</v>
      </c>
      <c r="N88">
        <f>IF($A32="AEO",'Growth Rates'!N84,'Growth Rates'!N84*N$5)</f>
        <v>1.3022632948495967E-2</v>
      </c>
      <c r="O88">
        <f>IF($A32="AEO",'Growth Rates'!O84,'Growth Rates'!O84*O$5)</f>
        <v>9.2415695740314403E-3</v>
      </c>
      <c r="P88">
        <f>IF($A32="AEO",'Growth Rates'!P84,'Growth Rates'!P84*P$5)</f>
        <v>6.1339695197402148E-3</v>
      </c>
      <c r="Q88">
        <f>IF($A32="AEO",'Growth Rates'!Q84,'Growth Rates'!Q84*Q$5)</f>
        <v>2.4439179119564824E-3</v>
      </c>
      <c r="R88">
        <f>IF($A32="AEO",'Growth Rates'!R84,'Growth Rates'!R84*R$5)</f>
        <v>3.1025991674817874E-4</v>
      </c>
      <c r="S88">
        <f>IF($A32="AEO",'Growth Rates'!S84,'Growth Rates'!S84*S$5)</f>
        <v>4.3434375026623409E-3</v>
      </c>
      <c r="T88">
        <f>IF($A32="AEO",'Growth Rates'!T84,'Growth Rates'!T84*T$5)</f>
        <v>3.8234490974420297E-3</v>
      </c>
      <c r="U88">
        <f>IF($A32="AEO",'Growth Rates'!U84,'Growth Rates'!U84*U$5)</f>
        <v>3.6062588998127042E-3</v>
      </c>
      <c r="V88">
        <f>IF($A32="AEO",'Growth Rates'!V84,'Growth Rates'!V84*V$5)</f>
        <v>1.85583021089817E-3</v>
      </c>
      <c r="W88">
        <f>IF($A32="AEO",'Growth Rates'!W84,'Growth Rates'!W84*W$5)</f>
        <v>1.4739561454598278E-3</v>
      </c>
      <c r="X88">
        <f>IF($A32="AEO",'Growth Rates'!X84,'Growth Rates'!X84*X$5)</f>
        <v>3.1443737620083013E-3</v>
      </c>
      <c r="Y88">
        <f>IF($A32="AEO",'Growth Rates'!Y84,'Growth Rates'!Y84*Y$5)</f>
        <v>4.7004788198066619E-3</v>
      </c>
      <c r="Z88">
        <f>IF($A32="AEO",'Growth Rates'!Z84,'Growth Rates'!Z84*Z$5)</f>
        <v>5.3265069574338622E-3</v>
      </c>
      <c r="AA88">
        <f>IF($A32="AEO",'Growth Rates'!AA84,'Growth Rates'!AA84*AA$5)</f>
        <v>2.9188988858584882E-3</v>
      </c>
      <c r="AB88">
        <f>IF($A32="AEO",'Growth Rates'!AB84,'Growth Rates'!AB84*AB$5)</f>
        <v>8.0121113135311873E-4</v>
      </c>
      <c r="AC88">
        <f>IF($A32="AEO",'Growth Rates'!AC84,'Growth Rates'!AC84*AC$5)</f>
        <v>-6.5342532923039177E-4</v>
      </c>
    </row>
    <row r="89" spans="2:29" x14ac:dyDescent="0.25">
      <c r="B89" t="s">
        <v>327</v>
      </c>
      <c r="C89">
        <v>0</v>
      </c>
      <c r="D89">
        <f>IF($A33="AEO",'Growth Rates'!D85,'Growth Rates'!D85*D$5)</f>
        <v>-6.1192822458182292E-2</v>
      </c>
      <c r="E89">
        <f>IF($A33="AEO",'Growth Rates'!E85,'Growth Rates'!E85*E$5)</f>
        <v>2.9380888594976902E-3</v>
      </c>
      <c r="F89">
        <f>IF($A33="AEO",'Growth Rates'!F85,'Growth Rates'!F85*F$5)</f>
        <v>6.3339290520313812E-2</v>
      </c>
      <c r="G89">
        <f>IF($A33="AEO",'Growth Rates'!G85,'Growth Rates'!G85*G$5)</f>
        <v>1.9604562754516788E-2</v>
      </c>
      <c r="H89">
        <f>IF($A33="AEO",'Growth Rates'!H85,'Growth Rates'!H85*H$5)</f>
        <v>1.5932404751837544E-2</v>
      </c>
      <c r="I89">
        <f>IF($A33="AEO",'Growth Rates'!I85,'Growth Rates'!I85*I$5)</f>
        <v>1.6641426870951888E-2</v>
      </c>
      <c r="J89">
        <f>IF($A33="AEO",'Growth Rates'!J85,'Growth Rates'!J85*J$5)</f>
        <v>6.7021756724579655E-3</v>
      </c>
      <c r="K89">
        <f>IF($A33="AEO",'Growth Rates'!K85,'Growth Rates'!K85*K$5)</f>
        <v>1.5883257366551745E-2</v>
      </c>
      <c r="L89">
        <f>IF($A33="AEO",'Growth Rates'!L85,'Growth Rates'!L85*L$5)</f>
        <v>6.9136521435425487E-3</v>
      </c>
      <c r="M89">
        <f>IF($A33="AEO",'Growth Rates'!M85,'Growth Rates'!M85*M$5)</f>
        <v>2.8542402586039105E-3</v>
      </c>
      <c r="N89">
        <f>IF($A33="AEO",'Growth Rates'!N85,'Growth Rates'!N85*N$5)</f>
        <v>3.8463791260001942E-3</v>
      </c>
      <c r="O89">
        <f>IF($A33="AEO",'Growth Rates'!O85,'Growth Rates'!O85*O$5)</f>
        <v>1.0277052427238266E-2</v>
      </c>
      <c r="P89">
        <f>IF($A33="AEO",'Growth Rates'!P85,'Growth Rates'!P85*P$5)</f>
        <v>2.0572282292054985E-2</v>
      </c>
      <c r="Q89">
        <f>IF($A33="AEO",'Growth Rates'!Q85,'Growth Rates'!Q85*Q$5)</f>
        <v>1.8700062703327504E-2</v>
      </c>
      <c r="R89">
        <f>IF($A33="AEO",'Growth Rates'!R85,'Growth Rates'!R85*R$5)</f>
        <v>1.8711123076861937E-2</v>
      </c>
      <c r="S89">
        <f>IF($A33="AEO",'Growth Rates'!S85,'Growth Rates'!S85*S$5)</f>
        <v>1.7017403091970501E-2</v>
      </c>
      <c r="T89">
        <f>IF($A33="AEO",'Growth Rates'!T85,'Growth Rates'!T85*T$5)</f>
        <v>1.4762044680125085E-2</v>
      </c>
      <c r="U89">
        <f>IF($A33="AEO",'Growth Rates'!U85,'Growth Rates'!U85*U$5)</f>
        <v>1.4642211089780718E-2</v>
      </c>
      <c r="V89">
        <f>IF($A33="AEO",'Growth Rates'!V85,'Growth Rates'!V85*V$5)</f>
        <v>1.2713600388710966E-2</v>
      </c>
      <c r="W89">
        <f>IF($A33="AEO",'Growth Rates'!W85,'Growth Rates'!W85*W$5)</f>
        <v>1.2896278318495618E-2</v>
      </c>
      <c r="X89">
        <f>IF($A33="AEO",'Growth Rates'!X85,'Growth Rates'!X85*X$5)</f>
        <v>1.336315733038511E-2</v>
      </c>
      <c r="Y89">
        <f>IF($A33="AEO",'Growth Rates'!Y85,'Growth Rates'!Y85*Y$5)</f>
        <v>1.2522422817884852E-2</v>
      </c>
      <c r="Z89">
        <f>IF($A33="AEO",'Growth Rates'!Z85,'Growth Rates'!Z85*Z$5)</f>
        <v>1.1331525364436211E-2</v>
      </c>
      <c r="AA89">
        <f>IF($A33="AEO",'Growth Rates'!AA85,'Growth Rates'!AA85*AA$5)</f>
        <v>1.1461454971234577E-2</v>
      </c>
      <c r="AB89">
        <f>IF($A33="AEO",'Growth Rates'!AB85,'Growth Rates'!AB85*AB$5)</f>
        <v>1.0357703802010182E-2</v>
      </c>
      <c r="AC89">
        <f>IF($A33="AEO",'Growth Rates'!AC85,'Growth Rates'!AC85*AC$5)</f>
        <v>8.2997084143176143E-3</v>
      </c>
    </row>
    <row r="90" spans="2:29" x14ac:dyDescent="0.25">
      <c r="B90" t="s">
        <v>339</v>
      </c>
      <c r="C90">
        <v>0</v>
      </c>
      <c r="D90">
        <f>IF($A34="AEO",'Growth Rates'!D86,'Growth Rates'!D86*D$5)</f>
        <v>1.1895575231235968E-2</v>
      </c>
      <c r="E90">
        <f>IF($A34="AEO",'Growth Rates'!E86,'Growth Rates'!E86*E$5)</f>
        <v>1.9209229076179474E-2</v>
      </c>
      <c r="F90">
        <f>IF($A34="AEO",'Growth Rates'!F86,'Growth Rates'!F86*F$5)</f>
        <v>1.2514239661687434E-2</v>
      </c>
      <c r="G90">
        <f>IF($A34="AEO",'Growth Rates'!G86,'Growth Rates'!G86*G$5)</f>
        <v>8.4843183363969357E-3</v>
      </c>
      <c r="H90">
        <f>IF($A34="AEO",'Growth Rates'!H86,'Growth Rates'!H86*H$5)</f>
        <v>1.0074040750039395E-2</v>
      </c>
      <c r="I90">
        <f>IF($A34="AEO",'Growth Rates'!I86,'Growth Rates'!I86*I$5)</f>
        <v>1.1347069735755772E-2</v>
      </c>
      <c r="J90">
        <f>IF($A34="AEO",'Growth Rates'!J86,'Growth Rates'!J86*J$5)</f>
        <v>1.0951825788009219E-2</v>
      </c>
      <c r="K90">
        <f>IF($A34="AEO",'Growth Rates'!K86,'Growth Rates'!K86*K$5)</f>
        <v>1.2251364675597377E-2</v>
      </c>
      <c r="L90">
        <f>IF($A34="AEO",'Growth Rates'!L86,'Growth Rates'!L86*L$5)</f>
        <v>1.303626649551955E-2</v>
      </c>
      <c r="M90">
        <f>IF($A34="AEO",'Growth Rates'!M86,'Growth Rates'!M86*M$5)</f>
        <v>1.3611405182949383E-2</v>
      </c>
      <c r="N90">
        <f>IF($A34="AEO",'Growth Rates'!N86,'Growth Rates'!N86*N$5)</f>
        <v>1.4122778898729156E-2</v>
      </c>
      <c r="O90">
        <f>IF($A34="AEO",'Growth Rates'!O86,'Growth Rates'!O86*O$5)</f>
        <v>1.149456835184974E-2</v>
      </c>
      <c r="P90">
        <f>IF($A34="AEO",'Growth Rates'!P86,'Growth Rates'!P86*P$5)</f>
        <v>1.1201533468194644E-2</v>
      </c>
      <c r="Q90">
        <f>IF($A34="AEO",'Growth Rates'!Q86,'Growth Rates'!Q86*Q$5)</f>
        <v>1.1046816022750629E-2</v>
      </c>
      <c r="R90">
        <f>IF($A34="AEO",'Growth Rates'!R86,'Growth Rates'!R86*R$5)</f>
        <v>1.0647005665784715E-2</v>
      </c>
      <c r="S90">
        <f>IF($A34="AEO",'Growth Rates'!S86,'Growth Rates'!S86*S$5)</f>
        <v>1.0506865682957245E-2</v>
      </c>
      <c r="T90">
        <f>IF($A34="AEO",'Growth Rates'!T86,'Growth Rates'!T86*T$5)</f>
        <v>1.0020714037529193E-2</v>
      </c>
      <c r="U90">
        <f>IF($A34="AEO",'Growth Rates'!U86,'Growth Rates'!U86*U$5)</f>
        <v>1.0113567481518667E-2</v>
      </c>
      <c r="V90">
        <f>IF($A34="AEO",'Growth Rates'!V86,'Growth Rates'!V86*V$5)</f>
        <v>1.0338508666843913E-2</v>
      </c>
      <c r="W90">
        <f>IF($A34="AEO",'Growth Rates'!W86,'Growth Rates'!W86*W$5)</f>
        <v>1.019943172246106E-2</v>
      </c>
      <c r="X90">
        <f>IF($A34="AEO",'Growth Rates'!X86,'Growth Rates'!X86*X$5)</f>
        <v>9.8791489258162803E-3</v>
      </c>
      <c r="Y90">
        <f>IF($A34="AEO",'Growth Rates'!Y86,'Growth Rates'!Y86*Y$5)</f>
        <v>9.3971647207454091E-3</v>
      </c>
      <c r="Z90">
        <f>IF($A34="AEO",'Growth Rates'!Z86,'Growth Rates'!Z86*Z$5)</f>
        <v>8.8465279413708423E-3</v>
      </c>
      <c r="AA90">
        <f>IF($A34="AEO",'Growth Rates'!AA86,'Growth Rates'!AA86*AA$5)</f>
        <v>8.751078710303499E-3</v>
      </c>
      <c r="AB90">
        <f>IF($A34="AEO",'Growth Rates'!AB86,'Growth Rates'!AB86*AB$5)</f>
        <v>8.3197413229478025E-3</v>
      </c>
      <c r="AC90">
        <f>IF($A34="AEO",'Growth Rates'!AC86,'Growth Rates'!AC86*AC$5)</f>
        <v>8.5044497300726957E-3</v>
      </c>
    </row>
    <row r="91" spans="2:29" x14ac:dyDescent="0.25">
      <c r="B91" t="s">
        <v>334</v>
      </c>
      <c r="C91">
        <v>0</v>
      </c>
      <c r="D91">
        <f>IF($A35="AEO",'Growth Rates'!D87,'Growth Rates'!D87*D$5)</f>
        <v>-6.1192822458182292E-2</v>
      </c>
      <c r="E91">
        <f>IF($A35="AEO",'Growth Rates'!E87,'Growth Rates'!E87*E$5)</f>
        <v>2.9380888594976902E-3</v>
      </c>
      <c r="F91">
        <f>IF($A35="AEO",'Growth Rates'!F87,'Growth Rates'!F87*F$5)</f>
        <v>6.3339290520313812E-2</v>
      </c>
      <c r="G91">
        <f>IF($A35="AEO",'Growth Rates'!G87,'Growth Rates'!G87*G$5)</f>
        <v>1.9604562754516788E-2</v>
      </c>
      <c r="H91">
        <f>IF($A35="AEO",'Growth Rates'!H87,'Growth Rates'!H87*H$5)</f>
        <v>1.5932404751837544E-2</v>
      </c>
      <c r="I91">
        <f>IF($A35="AEO",'Growth Rates'!I87,'Growth Rates'!I87*I$5)</f>
        <v>1.6641426870951888E-2</v>
      </c>
      <c r="J91">
        <f>IF($A35="AEO",'Growth Rates'!J87,'Growth Rates'!J87*J$5)</f>
        <v>6.7021756724579655E-3</v>
      </c>
      <c r="K91">
        <f>IF($A35="AEO",'Growth Rates'!K87,'Growth Rates'!K87*K$5)</f>
        <v>1.5883257366551745E-2</v>
      </c>
      <c r="L91">
        <f>IF($A35="AEO",'Growth Rates'!L87,'Growth Rates'!L87*L$5)</f>
        <v>6.9136521435425487E-3</v>
      </c>
      <c r="M91">
        <f>IF($A35="AEO",'Growth Rates'!M87,'Growth Rates'!M87*M$5)</f>
        <v>2.8542402586039105E-3</v>
      </c>
      <c r="N91">
        <f>IF($A35="AEO",'Growth Rates'!N87,'Growth Rates'!N87*N$5)</f>
        <v>3.8463791260001942E-3</v>
      </c>
      <c r="O91">
        <f>IF($A35="AEO",'Growth Rates'!O87,'Growth Rates'!O87*O$5)</f>
        <v>1.0277052427238266E-2</v>
      </c>
      <c r="P91">
        <f>IF($A35="AEO",'Growth Rates'!P87,'Growth Rates'!P87*P$5)</f>
        <v>2.0572282292054985E-2</v>
      </c>
      <c r="Q91">
        <f>IF($A35="AEO",'Growth Rates'!Q87,'Growth Rates'!Q87*Q$5)</f>
        <v>1.8700062703327504E-2</v>
      </c>
      <c r="R91">
        <f>IF($A35="AEO",'Growth Rates'!R87,'Growth Rates'!R87*R$5)</f>
        <v>1.8711123076861937E-2</v>
      </c>
      <c r="S91">
        <f>IF($A35="AEO",'Growth Rates'!S87,'Growth Rates'!S87*S$5)</f>
        <v>1.7017403091970501E-2</v>
      </c>
      <c r="T91">
        <f>IF($A35="AEO",'Growth Rates'!T87,'Growth Rates'!T87*T$5)</f>
        <v>1.4762044680125085E-2</v>
      </c>
      <c r="U91">
        <f>IF($A35="AEO",'Growth Rates'!U87,'Growth Rates'!U87*U$5)</f>
        <v>1.4642211089780718E-2</v>
      </c>
      <c r="V91">
        <f>IF($A35="AEO",'Growth Rates'!V87,'Growth Rates'!V87*V$5)</f>
        <v>1.2713600388710966E-2</v>
      </c>
      <c r="W91">
        <f>IF($A35="AEO",'Growth Rates'!W87,'Growth Rates'!W87*W$5)</f>
        <v>1.2896278318495618E-2</v>
      </c>
      <c r="X91">
        <f>IF($A35="AEO",'Growth Rates'!X87,'Growth Rates'!X87*X$5)</f>
        <v>1.336315733038511E-2</v>
      </c>
      <c r="Y91">
        <f>IF($A35="AEO",'Growth Rates'!Y87,'Growth Rates'!Y87*Y$5)</f>
        <v>1.2522422817884852E-2</v>
      </c>
      <c r="Z91">
        <f>IF($A35="AEO",'Growth Rates'!Z87,'Growth Rates'!Z87*Z$5)</f>
        <v>1.1331525364436211E-2</v>
      </c>
      <c r="AA91">
        <f>IF($A35="AEO",'Growth Rates'!AA87,'Growth Rates'!AA87*AA$5)</f>
        <v>1.1461454971234577E-2</v>
      </c>
      <c r="AB91">
        <f>IF($A35="AEO",'Growth Rates'!AB87,'Growth Rates'!AB87*AB$5)</f>
        <v>1.0357703802010182E-2</v>
      </c>
      <c r="AC91">
        <f>IF($A35="AEO",'Growth Rates'!AC87,'Growth Rates'!AC87*AC$5)</f>
        <v>8.2997084143176143E-3</v>
      </c>
    </row>
    <row r="92" spans="2:29" x14ac:dyDescent="0.25">
      <c r="B92" t="s">
        <v>344</v>
      </c>
      <c r="C92">
        <v>0</v>
      </c>
      <c r="D92">
        <f>IF($A36="AEO",'Growth Rates'!D88,'Growth Rates'!D88*D$5)</f>
        <v>-1.632229783085291E-2</v>
      </c>
      <c r="E92">
        <f>IF($A36="AEO",'Growth Rates'!E88,'Growth Rates'!E88*E$5)</f>
        <v>5.5999459016875253E-3</v>
      </c>
      <c r="F92">
        <f>IF($A36="AEO",'Growth Rates'!F88,'Growth Rates'!F88*F$5)</f>
        <v>2.5757109931396592E-2</v>
      </c>
      <c r="G92">
        <f>IF($A36="AEO",'Growth Rates'!G88,'Growth Rates'!G88*G$5)</f>
        <v>1.1354110634450888E-2</v>
      </c>
      <c r="H92">
        <f>IF($A36="AEO",'Growth Rates'!H88,'Growth Rates'!H88*H$5)</f>
        <v>1.5817217719252666E-2</v>
      </c>
      <c r="I92">
        <f>IF($A36="AEO",'Growth Rates'!I88,'Growth Rates'!I88*I$5)</f>
        <v>2.3875865803752797E-2</v>
      </c>
      <c r="J92">
        <f>IF($A36="AEO",'Growth Rates'!J88,'Growth Rates'!J88*J$5)</f>
        <v>2.5367352744672552E-2</v>
      </c>
      <c r="K92">
        <f>IF($A36="AEO",'Growth Rates'!K88,'Growth Rates'!K88*K$5)</f>
        <v>1.0717953538114944E-2</v>
      </c>
      <c r="L92">
        <f>IF($A36="AEO",'Growth Rates'!L88,'Growth Rates'!L88*L$5)</f>
        <v>4.251649523984118E-3</v>
      </c>
      <c r="M92">
        <f>IF($A36="AEO",'Growth Rates'!M88,'Growth Rates'!M88*M$5)</f>
        <v>1.7918239151918502E-3</v>
      </c>
      <c r="N92">
        <f>IF($A36="AEO",'Growth Rates'!N88,'Growth Rates'!N88*N$5)</f>
        <v>7.7910798401826641E-3</v>
      </c>
      <c r="O92">
        <f>IF($A36="AEO",'Growth Rates'!O88,'Growth Rates'!O88*O$5)</f>
        <v>8.5717762642570985E-3</v>
      </c>
      <c r="P92">
        <f>IF($A36="AEO",'Growth Rates'!P88,'Growth Rates'!P88*P$5)</f>
        <v>9.7625674798807287E-3</v>
      </c>
      <c r="Q92">
        <f>IF($A36="AEO",'Growth Rates'!Q88,'Growth Rates'!Q88*Q$5)</f>
        <v>1.1577806384322731E-2</v>
      </c>
      <c r="R92">
        <f>IF($A36="AEO",'Growth Rates'!R88,'Growth Rates'!R88*R$5)</f>
        <v>4.9481819871324117E-3</v>
      </c>
      <c r="S92">
        <f>IF($A36="AEO",'Growth Rates'!S88,'Growth Rates'!S88*S$5)</f>
        <v>1.0793203306688067E-2</v>
      </c>
      <c r="T92">
        <f>IF($A36="AEO",'Growth Rates'!T88,'Growth Rates'!T88*T$5)</f>
        <v>1.1087318728565851E-2</v>
      </c>
      <c r="U92">
        <f>IF($A36="AEO",'Growth Rates'!U88,'Growth Rates'!U88*U$5)</f>
        <v>9.320051786472822E-3</v>
      </c>
      <c r="V92">
        <f>IF($A36="AEO",'Growth Rates'!V88,'Growth Rates'!V88*V$5)</f>
        <v>8.6730499813616642E-3</v>
      </c>
      <c r="W92">
        <f>IF($A36="AEO",'Growth Rates'!W88,'Growth Rates'!W88*W$5)</f>
        <v>9.4775489895972537E-3</v>
      </c>
      <c r="X92">
        <f>IF($A36="AEO",'Growth Rates'!X88,'Growth Rates'!X88*X$5)</f>
        <v>1.2076580439907935E-2</v>
      </c>
      <c r="Y92">
        <f>IF($A36="AEO",'Growth Rates'!Y88,'Growth Rates'!Y88*Y$5)</f>
        <v>8.1813883067160982E-3</v>
      </c>
      <c r="Z92">
        <f>IF($A36="AEO",'Growth Rates'!Z88,'Growth Rates'!Z88*Z$5)</f>
        <v>7.4069072932828311E-3</v>
      </c>
      <c r="AA92">
        <f>IF($A36="AEO",'Growth Rates'!AA88,'Growth Rates'!AA88*AA$5)</f>
        <v>3.1471864461374319E-3</v>
      </c>
      <c r="AB92">
        <f>IF($A36="AEO",'Growth Rates'!AB88,'Growth Rates'!AB88*AB$5)</f>
        <v>1.1445265042010417E-2</v>
      </c>
      <c r="AC92">
        <f>IF($A36="AEO",'Growth Rates'!AC88,'Growth Rates'!AC88*AC$5)</f>
        <v>2.5966262870745892E-3</v>
      </c>
    </row>
    <row r="93" spans="2:29" x14ac:dyDescent="0.25">
      <c r="B93" t="s">
        <v>106</v>
      </c>
      <c r="C93">
        <v>0</v>
      </c>
      <c r="D93">
        <f>IF($A37="AEO",'Growth Rates'!D89,'Growth Rates'!D89*D$5)</f>
        <v>1.8300884971132258E-2</v>
      </c>
      <c r="E93">
        <f>IF($A37="AEO",'Growth Rates'!E89,'Growth Rates'!E89*E$5)</f>
        <v>2.9552660117199189E-2</v>
      </c>
      <c r="F93">
        <f>IF($A37="AEO",'Growth Rates'!F89,'Growth Rates'!F89*F$5)</f>
        <v>1.925267640259605E-2</v>
      </c>
      <c r="G93">
        <f>IF($A37="AEO",'Growth Rates'!G89,'Growth Rates'!G89*G$5)</f>
        <v>1.3052797440610669E-2</v>
      </c>
      <c r="H93">
        <f>IF($A37="AEO",'Growth Rates'!H89,'Growth Rates'!H89*H$5)</f>
        <v>1.5498524230829836E-2</v>
      </c>
      <c r="I93">
        <f>IF($A37="AEO",'Growth Rates'!I89,'Growth Rates'!I89*I$5)</f>
        <v>1.7457030362701187E-2</v>
      </c>
      <c r="J93">
        <f>IF($A37="AEO",'Growth Rates'!J89,'Growth Rates'!J89*J$5)</f>
        <v>1.6848962750783413E-2</v>
      </c>
      <c r="K93">
        <f>IF($A37="AEO",'Growth Rates'!K89,'Growth Rates'!K89*K$5)</f>
        <v>1.8848253347072887E-2</v>
      </c>
      <c r="L93">
        <f>IF($A37="AEO",'Growth Rates'!L89,'Growth Rates'!L89*L$5)</f>
        <v>2.0055794608491617E-2</v>
      </c>
      <c r="M93">
        <f>IF($A37="AEO",'Growth Rates'!M89,'Growth Rates'!M89*M$5)</f>
        <v>2.0940623358383665E-2</v>
      </c>
      <c r="N93">
        <f>IF($A37="AEO",'Growth Rates'!N89,'Growth Rates'!N89*N$5)</f>
        <v>2.1727352151891005E-2</v>
      </c>
      <c r="O93">
        <f>IF($A37="AEO",'Growth Rates'!O89,'Growth Rates'!O89*O$5)</f>
        <v>1.768395131053806E-2</v>
      </c>
      <c r="P93">
        <f>IF($A37="AEO",'Growth Rates'!P89,'Growth Rates'!P89*P$5)</f>
        <v>1.7233128412607143E-2</v>
      </c>
      <c r="Q93">
        <f>IF($A37="AEO",'Growth Rates'!Q89,'Growth Rates'!Q89*Q$5)</f>
        <v>1.6995101573462505E-2</v>
      </c>
      <c r="R93">
        <f>IF($A37="AEO",'Growth Rates'!R89,'Growth Rates'!R89*R$5)</f>
        <v>1.6380008716591867E-2</v>
      </c>
      <c r="S93">
        <f>IF($A37="AEO",'Growth Rates'!S89,'Growth Rates'!S89*S$5)</f>
        <v>1.6164408743011144E-2</v>
      </c>
      <c r="T93">
        <f>IF($A37="AEO",'Growth Rates'!T89,'Growth Rates'!T89*T$5)</f>
        <v>1.5416483134660297E-2</v>
      </c>
      <c r="U93">
        <f>IF($A37="AEO",'Growth Rates'!U89,'Growth Rates'!U89*U$5)</f>
        <v>1.5559334586951794E-2</v>
      </c>
      <c r="V93">
        <f>IF($A37="AEO",'Growth Rates'!V89,'Growth Rates'!V89*V$5)</f>
        <v>1.5905397948990634E-2</v>
      </c>
      <c r="W93">
        <f>IF($A37="AEO",'Growth Rates'!W89,'Growth Rates'!W89*W$5)</f>
        <v>1.5691433419170859E-2</v>
      </c>
      <c r="X93">
        <f>IF($A37="AEO",'Growth Rates'!X89,'Growth Rates'!X89*X$5)</f>
        <v>1.5198690655101968E-2</v>
      </c>
      <c r="Y93">
        <f>IF($A37="AEO",'Growth Rates'!Y89,'Growth Rates'!Y89*Y$5)</f>
        <v>1.4457176493454476E-2</v>
      </c>
      <c r="Z93">
        <f>IF($A37="AEO",'Growth Rates'!Z89,'Growth Rates'!Z89*Z$5)</f>
        <v>1.3610042986724372E-2</v>
      </c>
      <c r="AA93">
        <f>IF($A37="AEO",'Growth Rates'!AA89,'Growth Rates'!AA89*AA$5)</f>
        <v>1.3463198015851536E-2</v>
      </c>
      <c r="AB93">
        <f>IF($A37="AEO",'Growth Rates'!AB89,'Growth Rates'!AB89*AB$5)</f>
        <v>1.279960203530431E-2</v>
      </c>
      <c r="AC93">
        <f>IF($A37="AEO",'Growth Rates'!AC89,'Growth Rates'!AC89*AC$5)</f>
        <v>1.3083768815496452E-2</v>
      </c>
    </row>
    <row r="94" spans="2:29" x14ac:dyDescent="0.25">
      <c r="B94" t="s">
        <v>127</v>
      </c>
      <c r="C94">
        <v>0</v>
      </c>
      <c r="D94">
        <f>IF($A38="AEO",'Growth Rates'!D90,'Growth Rates'!D90*D$5)</f>
        <v>1.0243582594580069E-2</v>
      </c>
      <c r="E94">
        <f>IF($A38="AEO",'Growth Rates'!E90,'Growth Rates'!E90*E$5)</f>
        <v>1.6541556065600083E-2</v>
      </c>
      <c r="F94">
        <f>IF($A38="AEO",'Growth Rates'!F90,'Growth Rates'!F90*F$5)</f>
        <v>1.0776330281721548E-2</v>
      </c>
      <c r="G94">
        <f>IF($A38="AEO",'Growth Rates'!G90,'Growth Rates'!G90*G$5)</f>
        <v>7.3060624600465082E-3</v>
      </c>
      <c r="H94">
        <f>IF($A38="AEO",'Growth Rates'!H90,'Growth Rates'!H90*H$5)</f>
        <v>8.6750128916188475E-3</v>
      </c>
      <c r="I94">
        <f>IF($A38="AEO",'Growth Rates'!I90,'Growth Rates'!I90*I$5)</f>
        <v>9.7712505520085834E-3</v>
      </c>
      <c r="J94">
        <f>IF($A38="AEO",'Growth Rates'!J90,'Growth Rates'!J90*J$5)</f>
        <v>9.4308959289619906E-3</v>
      </c>
      <c r="K94">
        <f>IF($A38="AEO",'Growth Rates'!K90,'Growth Rates'!K90*K$5)</f>
        <v>1.0549961940576369E-2</v>
      </c>
      <c r="L94">
        <f>IF($A38="AEO",'Growth Rates'!L90,'Growth Rates'!L90*L$5)</f>
        <v>1.1225860874820139E-2</v>
      </c>
      <c r="M94">
        <f>IF($A38="AEO",'Growth Rates'!M90,'Growth Rates'!M90*M$5)</f>
        <v>1.1721127436840253E-2</v>
      </c>
      <c r="N94">
        <f>IF($A38="AEO",'Growth Rates'!N90,'Growth Rates'!N90*N$5)</f>
        <v>1.2161484358843691E-2</v>
      </c>
      <c r="O94">
        <f>IF($A38="AEO",'Growth Rates'!O90,'Growth Rates'!O90*O$5)</f>
        <v>9.8982653644219751E-3</v>
      </c>
      <c r="P94">
        <f>IF($A38="AEO",'Growth Rates'!P90,'Growth Rates'!P90*P$5)</f>
        <v>9.6459255678619845E-3</v>
      </c>
      <c r="Q94">
        <f>IF($A38="AEO",'Growth Rates'!Q90,'Growth Rates'!Q90*Q$5)</f>
        <v>9.5126944377635757E-3</v>
      </c>
      <c r="R94">
        <f>IF($A38="AEO",'Growth Rates'!R90,'Growth Rates'!R90*R$5)</f>
        <v>9.1684075635151789E-3</v>
      </c>
      <c r="S94">
        <f>IF($A38="AEO",'Growth Rates'!S90,'Growth Rates'!S90*S$5)</f>
        <v>9.047729457497513E-3</v>
      </c>
      <c r="T94">
        <f>IF($A38="AEO",'Growth Rates'!T90,'Growth Rates'!T90*T$5)</f>
        <v>8.6290919022192544E-3</v>
      </c>
      <c r="U94">
        <f>IF($A38="AEO",'Growth Rates'!U90,'Growth Rates'!U90*U$5)</f>
        <v>8.709050366119327E-3</v>
      </c>
      <c r="V94">
        <f>IF($A38="AEO",'Growth Rates'!V90,'Growth Rates'!V90*V$5)</f>
        <v>8.902752945945093E-3</v>
      </c>
      <c r="W94">
        <f>IF($A38="AEO",'Growth Rates'!W90,'Growth Rates'!W90*W$5)</f>
        <v>8.7829902493882523E-3</v>
      </c>
      <c r="X94">
        <f>IF($A38="AEO",'Growth Rates'!X90,'Growth Rates'!X90*X$5)</f>
        <v>8.5071865814463354E-3</v>
      </c>
      <c r="Y94">
        <f>IF($A38="AEO",'Growth Rates'!Y90,'Growth Rates'!Y90*Y$5)</f>
        <v>8.0921377151282094E-3</v>
      </c>
      <c r="Z94">
        <f>IF($A38="AEO",'Growth Rates'!Z90,'Growth Rates'!Z90*Z$5)</f>
        <v>7.6179703697504195E-3</v>
      </c>
      <c r="AA94">
        <f>IF($A38="AEO",'Growth Rates'!AA90,'Growth Rates'!AA90*AA$5)</f>
        <v>7.535776607530323E-3</v>
      </c>
      <c r="AB94">
        <f>IF($A38="AEO",'Growth Rates'!AB90,'Growth Rates'!AB90*AB$5)</f>
        <v>7.1643410049958348E-3</v>
      </c>
      <c r="AC94">
        <f>IF($A38="AEO",'Growth Rates'!AC90,'Growth Rates'!AC90*AC$5)</f>
        <v>7.3233981155194907E-3</v>
      </c>
    </row>
    <row r="95" spans="2:29" x14ac:dyDescent="0.25">
      <c r="B95" t="s">
        <v>130</v>
      </c>
      <c r="C95">
        <v>0</v>
      </c>
      <c r="D95">
        <f>IF($A39="AEO",'Growth Rates'!D91,'Growth Rates'!D91*D$5)</f>
        <v>1.363230334404655E-2</v>
      </c>
      <c r="E95">
        <f>IF($A39="AEO",'Growth Rates'!E91,'Growth Rates'!E91*E$5)</f>
        <v>2.2013734744339E-2</v>
      </c>
      <c r="F95">
        <f>IF($A39="AEO",'Growth Rates'!F91,'Growth Rates'!F91*F$5)</f>
        <v>1.4341291435848974E-2</v>
      </c>
      <c r="G95">
        <f>IF($A39="AEO",'Growth Rates'!G91,'Growth Rates'!G91*G$5)</f>
        <v>9.7230103614923784E-3</v>
      </c>
      <c r="H95">
        <f>IF($A39="AEO",'Growth Rates'!H91,'Growth Rates'!H91*H$5)</f>
        <v>1.1544828790137811E-2</v>
      </c>
      <c r="I95">
        <f>IF($A39="AEO",'Growth Rates'!I91,'Growth Rates'!I91*I$5)</f>
        <v>1.300371723913688E-2</v>
      </c>
      <c r="J95">
        <f>IF($A39="AEO",'Growth Rates'!J91,'Growth Rates'!J91*J$5)</f>
        <v>1.2550768534610913E-2</v>
      </c>
      <c r="K95">
        <f>IF($A39="AEO",'Growth Rates'!K91,'Growth Rates'!K91*K$5)</f>
        <v>1.4040037273500299E-2</v>
      </c>
      <c r="L95">
        <f>IF($A39="AEO",'Growth Rates'!L91,'Growth Rates'!L91*L$5)</f>
        <v>1.493953305209675E-2</v>
      </c>
      <c r="M95">
        <f>IF($A39="AEO",'Growth Rates'!M91,'Growth Rates'!M91*M$5)</f>
        <v>1.5598640737057827E-2</v>
      </c>
      <c r="N95">
        <f>IF($A39="AEO",'Growth Rates'!N91,'Growth Rates'!N91*N$5)</f>
        <v>1.6184673903186418E-2</v>
      </c>
      <c r="O95">
        <f>IF($A39="AEO",'Growth Rates'!O91,'Growth Rates'!O91*O$5)</f>
        <v>1.3172750332394961E-2</v>
      </c>
      <c r="P95">
        <f>IF($A39="AEO",'Growth Rates'!P91,'Growth Rates'!P91*P$5)</f>
        <v>1.2836932993029642E-2</v>
      </c>
      <c r="Q95">
        <f>IF($A39="AEO",'Growth Rates'!Q91,'Growth Rates'!Q91*Q$5)</f>
        <v>1.2659627137036189E-2</v>
      </c>
      <c r="R95">
        <f>IF($A39="AEO",'Growth Rates'!R91,'Growth Rates'!R91*R$5)</f>
        <v>1.2201445337476038E-2</v>
      </c>
      <c r="S95">
        <f>IF($A39="AEO",'Growth Rates'!S91,'Growth Rates'!S91*S$5)</f>
        <v>1.2040845221937527E-2</v>
      </c>
      <c r="T95">
        <f>IF($A39="AEO",'Growth Rates'!T91,'Growth Rates'!T91*T$5)</f>
        <v>1.1483716493578086E-2</v>
      </c>
      <c r="U95">
        <f>IF($A39="AEO",'Growth Rates'!U91,'Growth Rates'!U91*U$5)</f>
        <v>1.1590126338448819E-2</v>
      </c>
      <c r="V95">
        <f>IF($A39="AEO",'Growth Rates'!V91,'Growth Rates'!V91*V$5)</f>
        <v>1.1847908447620896E-2</v>
      </c>
      <c r="W95">
        <f>IF($A39="AEO",'Growth Rates'!W91,'Growth Rates'!W91*W$5)</f>
        <v>1.168852657182798E-2</v>
      </c>
      <c r="X95">
        <f>IF($A39="AEO",'Growth Rates'!X91,'Growth Rates'!X91*X$5)</f>
        <v>1.132148318343628E-2</v>
      </c>
      <c r="Y95">
        <f>IF($A39="AEO",'Growth Rates'!Y91,'Growth Rates'!Y91*Y$5)</f>
        <v>1.0769130332662663E-2</v>
      </c>
      <c r="Z95">
        <f>IF($A39="AEO",'Growth Rates'!Z91,'Growth Rates'!Z91*Z$5)</f>
        <v>1.0138101781045237E-2</v>
      </c>
      <c r="AA95">
        <f>IF($A39="AEO",'Growth Rates'!AA91,'Growth Rates'!AA91*AA$5)</f>
        <v>1.0028717169828684E-2</v>
      </c>
      <c r="AB95">
        <f>IF($A39="AEO",'Growth Rates'!AB91,'Growth Rates'!AB91*AB$5)</f>
        <v>9.5344054620080249E-3</v>
      </c>
      <c r="AC95">
        <f>IF($A39="AEO",'Growth Rates'!AC91,'Growth Rates'!AC91*AC$5)</f>
        <v>9.746080894862277E-3</v>
      </c>
    </row>
    <row r="96" spans="2:29" x14ac:dyDescent="0.25">
      <c r="B96" t="s">
        <v>133</v>
      </c>
      <c r="C96">
        <v>0</v>
      </c>
      <c r="D96">
        <f>IF($A40="AEO",'Growth Rates'!D92,'Growth Rates'!D92*D$5)</f>
        <v>5.9669924007771706E-2</v>
      </c>
      <c r="E96">
        <f>IF($A40="AEO",'Growth Rates'!E92,'Growth Rates'!E92*E$5)</f>
        <v>-3.5622398453959603E-3</v>
      </c>
      <c r="F96">
        <f>IF($A40="AEO",'Growth Rates'!F92,'Growth Rates'!F92*F$5)</f>
        <v>6.0002827825867341E-3</v>
      </c>
      <c r="G96">
        <f>IF($A40="AEO",'Growth Rates'!G92,'Growth Rates'!G92*G$5)</f>
        <v>6.2367169119028577E-3</v>
      </c>
      <c r="H96">
        <f>IF($A40="AEO",'Growth Rates'!H92,'Growth Rates'!H92*H$5)</f>
        <v>1.6493947059946858E-2</v>
      </c>
      <c r="I96">
        <f>IF($A40="AEO",'Growth Rates'!I92,'Growth Rates'!I92*I$5)</f>
        <v>1.6767179940399238E-2</v>
      </c>
      <c r="J96">
        <f>IF($A40="AEO",'Growth Rates'!J92,'Growth Rates'!J92*J$5)</f>
        <v>1.5267178023281685E-2</v>
      </c>
      <c r="K96">
        <f>IF($A40="AEO",'Growth Rates'!K92,'Growth Rates'!K92*K$5)</f>
        <v>1.5087377513292623E-2</v>
      </c>
      <c r="L96">
        <f>IF($A40="AEO",'Growth Rates'!L92,'Growth Rates'!L92*L$5)</f>
        <v>1.2507505364018977E-2</v>
      </c>
      <c r="M96">
        <f>IF($A40="AEO",'Growth Rates'!M92,'Growth Rates'!M92*M$5)</f>
        <v>7.935139952700945E-3</v>
      </c>
      <c r="N96">
        <f>IF($A40="AEO",'Growth Rates'!N92,'Growth Rates'!N92*N$5)</f>
        <v>1.0927655626535845E-2</v>
      </c>
      <c r="O96">
        <f>IF($A40="AEO",'Growth Rates'!O92,'Growth Rates'!O92*O$5)</f>
        <v>9.457709870963853E-3</v>
      </c>
      <c r="P96">
        <f>IF($A40="AEO",'Growth Rates'!P92,'Growth Rates'!P92*P$5)</f>
        <v>8.0154366911507225E-3</v>
      </c>
      <c r="Q96">
        <f>IF($A40="AEO",'Growth Rates'!Q92,'Growth Rates'!Q92*Q$5)</f>
        <v>6.7917630994960322E-3</v>
      </c>
      <c r="R96">
        <f>IF($A40="AEO",'Growth Rates'!R92,'Growth Rates'!R92*R$5)</f>
        <v>5.827733722957187E-3</v>
      </c>
      <c r="S96">
        <f>IF($A40="AEO",'Growth Rates'!S92,'Growth Rates'!S92*S$5)</f>
        <v>3.610756382528506E-3</v>
      </c>
      <c r="T96">
        <f>IF($A40="AEO",'Growth Rates'!T92,'Growth Rates'!T92*T$5)</f>
        <v>2.3745631258577406E-3</v>
      </c>
      <c r="U96">
        <f>IF($A40="AEO",'Growth Rates'!U92,'Growth Rates'!U92*U$5)</f>
        <v>5.8975026223083054E-3</v>
      </c>
      <c r="V96">
        <f>IF($A40="AEO",'Growth Rates'!V92,'Growth Rates'!V92*V$5)</f>
        <v>4.2630783665079741E-3</v>
      </c>
      <c r="W96">
        <f>IF($A40="AEO",'Growth Rates'!W92,'Growth Rates'!W92*W$5)</f>
        <v>5.0921734152755719E-3</v>
      </c>
      <c r="X96">
        <f>IF($A40="AEO",'Growth Rates'!X92,'Growth Rates'!X92*X$5)</f>
        <v>9.7286040284667464E-3</v>
      </c>
      <c r="Y96">
        <f>IF($A40="AEO",'Growth Rates'!Y92,'Growth Rates'!Y92*Y$5)</f>
        <v>1.0093288979207428E-2</v>
      </c>
      <c r="Z96">
        <f>IF($A40="AEO",'Growth Rates'!Z92,'Growth Rates'!Z92*Z$5)</f>
        <v>9.1794346705411749E-3</v>
      </c>
      <c r="AA96">
        <f>IF($A40="AEO",'Growth Rates'!AA92,'Growth Rates'!AA92*AA$5)</f>
        <v>9.2093321853761578E-3</v>
      </c>
      <c r="AB96">
        <f>IF($A40="AEO",'Growth Rates'!AB92,'Growth Rates'!AB92*AB$5)</f>
        <v>1.0398181780053332E-2</v>
      </c>
      <c r="AC96">
        <f>IF($A40="AEO",'Growth Rates'!AC92,'Growth Rates'!AC92*AC$5)</f>
        <v>1.185113293339303E-2</v>
      </c>
    </row>
    <row r="97" spans="2:29" x14ac:dyDescent="0.25">
      <c r="B97" t="s">
        <v>359</v>
      </c>
      <c r="C97">
        <v>0</v>
      </c>
      <c r="D97">
        <f>IF($A41="AEO",'Growth Rates'!D93,'Growth Rates'!D93*D$5)</f>
        <v>2.3125975749347296E-2</v>
      </c>
      <c r="E97">
        <f>IF($A41="AEO",'Growth Rates'!E93,'Growth Rates'!E93*E$5)</f>
        <v>3.7344319811697502E-2</v>
      </c>
      <c r="F97">
        <f>IF($A41="AEO",'Growth Rates'!F93,'Growth Rates'!F93*F$5)</f>
        <v>2.4328710239902723E-2</v>
      </c>
      <c r="G97">
        <f>IF($A41="AEO",'Growth Rates'!G93,'Growth Rates'!G93*G$5)</f>
        <v>1.6494212031213543E-2</v>
      </c>
      <c r="H97">
        <f>IF($A41="AEO",'Growth Rates'!H93,'Growth Rates'!H93*H$5)</f>
        <v>1.9584763036225306E-2</v>
      </c>
      <c r="I97">
        <f>IF($A41="AEO",'Growth Rates'!I93,'Growth Rates'!I93*I$5)</f>
        <v>2.2059635993574026E-2</v>
      </c>
      <c r="J97">
        <f>IF($A41="AEO",'Growth Rates'!J93,'Growth Rates'!J93*J$5)</f>
        <v>2.1291249280616941E-2</v>
      </c>
      <c r="K97">
        <f>IF($A41="AEO",'Growth Rates'!K93,'Growth Rates'!K93*K$5)</f>
        <v>2.3817659665613094E-2</v>
      </c>
      <c r="L97">
        <f>IF($A41="AEO",'Growth Rates'!L93,'Growth Rates'!L93*L$5)</f>
        <v>2.5343573301590556E-2</v>
      </c>
      <c r="M97">
        <f>IF($A41="AEO",'Growth Rates'!M93,'Growth Rates'!M93*M$5)</f>
        <v>2.6461690171053775E-2</v>
      </c>
      <c r="N97">
        <f>IF($A41="AEO",'Growth Rates'!N93,'Growth Rates'!N93*N$5)</f>
        <v>2.7455842695844949E-2</v>
      </c>
      <c r="O97">
        <f>IF($A41="AEO",'Growth Rates'!O93,'Growth Rates'!O93*O$5)</f>
        <v>2.2346385423723018E-2</v>
      </c>
      <c r="P97">
        <f>IF($A41="AEO",'Growth Rates'!P93,'Growth Rates'!P93*P$5)</f>
        <v>2.1776701530225717E-2</v>
      </c>
      <c r="Q97">
        <f>IF($A41="AEO",'Growth Rates'!Q93,'Growth Rates'!Q93*Q$5)</f>
        <v>2.1475918102624503E-2</v>
      </c>
      <c r="R97">
        <f>IF($A41="AEO",'Growth Rates'!R93,'Growth Rates'!R93*R$5)</f>
        <v>2.0698653914907626E-2</v>
      </c>
      <c r="S97">
        <f>IF($A41="AEO",'Growth Rates'!S93,'Growth Rates'!S93*S$5)</f>
        <v>2.0426210272512599E-2</v>
      </c>
      <c r="T97">
        <f>IF($A41="AEO",'Growth Rates'!T93,'Growth Rates'!T93*T$5)</f>
        <v>1.9481091525068363E-2</v>
      </c>
      <c r="U97">
        <f>IF($A41="AEO",'Growth Rates'!U93,'Growth Rates'!U93*U$5)</f>
        <v>1.9661606250266805E-2</v>
      </c>
      <c r="V97">
        <f>IF($A41="AEO",'Growth Rates'!V93,'Growth Rates'!V93*V$5)</f>
        <v>2.0098910398720377E-2</v>
      </c>
      <c r="W97">
        <f>IF($A41="AEO",'Growth Rates'!W93,'Growth Rates'!W93*W$5)</f>
        <v>1.9828533390415164E-2</v>
      </c>
      <c r="X97">
        <f>IF($A41="AEO",'Growth Rates'!X93,'Growth Rates'!X93*X$5)</f>
        <v>1.9205877315012349E-2</v>
      </c>
      <c r="Y97">
        <f>IF($A41="AEO",'Growth Rates'!Y93,'Growth Rates'!Y93*Y$5)</f>
        <v>1.8268860414075206E-2</v>
      </c>
      <c r="Z97">
        <f>IF($A41="AEO",'Growth Rates'!Z93,'Growth Rates'!Z93*Z$5)</f>
        <v>1.7198377267276438E-2</v>
      </c>
      <c r="AA97">
        <f>IF($A41="AEO",'Growth Rates'!AA93,'Growth Rates'!AA93*AA$5)</f>
        <v>1.7012816118693978E-2</v>
      </c>
      <c r="AB97">
        <f>IF($A41="AEO",'Growth Rates'!AB93,'Growth Rates'!AB93*AB$5)</f>
        <v>1.6174260793216183E-2</v>
      </c>
      <c r="AC97">
        <f>IF($A41="AEO",'Growth Rates'!AC93,'Growth Rates'!AC93*AC$5)</f>
        <v>1.653334911478422E-2</v>
      </c>
    </row>
    <row r="98" spans="2:29" x14ac:dyDescent="0.25">
      <c r="B98" t="s">
        <v>461</v>
      </c>
      <c r="C98">
        <v>0</v>
      </c>
      <c r="D98">
        <f>IF($A42="AEO",'Growth Rates'!D94,'Growth Rates'!D94*D$5)</f>
        <v>1.7047584306687999E-2</v>
      </c>
      <c r="E98">
        <f>IF($A42="AEO",'Growth Rates'!E94,'Growth Rates'!E94*E$5)</f>
        <v>2.752880342286964E-2</v>
      </c>
      <c r="F98">
        <f>IF($A42="AEO",'Growth Rates'!F94,'Growth Rates'!F94*F$5)</f>
        <v>1.7934194145275407E-2</v>
      </c>
      <c r="G98">
        <f>IF($A42="AEO",'Growth Rates'!G94,'Growth Rates'!G94*G$5)</f>
        <v>1.2158901886872235E-2</v>
      </c>
      <c r="H98">
        <f>IF($A42="AEO",'Growth Rates'!H94,'Growth Rates'!H94*H$5)</f>
        <v>1.44371378144328E-2</v>
      </c>
      <c r="I98">
        <f>IF($A42="AEO",'Growth Rates'!I94,'Growth Rates'!I94*I$5)</f>
        <v>1.6261519446846097E-2</v>
      </c>
      <c r="J98">
        <f>IF($A42="AEO",'Growth Rates'!J94,'Growth Rates'!J94*J$5)</f>
        <v>1.569509416770325E-2</v>
      </c>
      <c r="K98">
        <f>IF($A42="AEO",'Growth Rates'!K94,'Growth Rates'!K94*K$5)</f>
        <v>1.7557467219475112E-2</v>
      </c>
      <c r="L98">
        <f>IF($A42="AEO",'Growth Rates'!L94,'Growth Rates'!L94*L$5)</f>
        <v>1.8682312356216417E-2</v>
      </c>
      <c r="M98">
        <f>IF($A42="AEO",'Growth Rates'!M94,'Growth Rates'!M94*M$5)</f>
        <v>1.9506545322794798E-2</v>
      </c>
      <c r="N98">
        <f>IF($A42="AEO",'Growth Rates'!N94,'Growth Rates'!N94*N$5)</f>
        <v>2.0239396518514082E-2</v>
      </c>
      <c r="O98">
        <f>IF($A42="AEO",'Growth Rates'!O94,'Growth Rates'!O94*O$5)</f>
        <v>1.6472900153041713E-2</v>
      </c>
      <c r="P98">
        <f>IF($A42="AEO",'Growth Rates'!P94,'Growth Rates'!P94*P$5)</f>
        <v>1.6052950988179705E-2</v>
      </c>
      <c r="Q98">
        <f>IF($A42="AEO",'Growth Rates'!Q94,'Growth Rates'!Q94*Q$5)</f>
        <v>1.5831224956134069E-2</v>
      </c>
      <c r="R98">
        <f>IF($A42="AEO",'Growth Rates'!R94,'Growth Rates'!R94*R$5)</f>
        <v>1.5258255542333366E-2</v>
      </c>
      <c r="S98">
        <f>IF($A42="AEO",'Growth Rates'!S94,'Growth Rates'!S94*S$5)</f>
        <v>1.5057420515396979E-2</v>
      </c>
      <c r="T98">
        <f>IF($A42="AEO",'Growth Rates'!T94,'Growth Rates'!T94*T$5)</f>
        <v>1.4360715143847774E-2</v>
      </c>
      <c r="U98">
        <f>IF($A42="AEO",'Growth Rates'!U94,'Growth Rates'!U94*U$5)</f>
        <v>1.4493783691085433E-2</v>
      </c>
      <c r="V98">
        <f>IF($A42="AEO",'Growth Rates'!V94,'Growth Rates'!V94*V$5)</f>
        <v>1.4816147573986121E-2</v>
      </c>
      <c r="W98">
        <f>IF($A42="AEO",'Growth Rates'!W94,'Growth Rates'!W94*W$5)</f>
        <v>1.461683599061203E-2</v>
      </c>
      <c r="X98">
        <f>IF($A42="AEO",'Growth Rates'!X94,'Growth Rates'!X94*X$5)</f>
        <v>1.415783776045949E-2</v>
      </c>
      <c r="Y98">
        <f>IF($A42="AEO",'Growth Rates'!Y94,'Growth Rates'!Y94*Y$5)</f>
        <v>1.3467104760103028E-2</v>
      </c>
      <c r="Z98">
        <f>IF($A42="AEO",'Growth Rates'!Z94,'Growth Rates'!Z94*Z$5)</f>
        <v>1.2677985550961951E-2</v>
      </c>
      <c r="AA98">
        <f>IF($A42="AEO",'Growth Rates'!AA94,'Growth Rates'!AA94*AA$5)</f>
        <v>1.2541196973528861E-2</v>
      </c>
      <c r="AB98">
        <f>IF($A42="AEO",'Growth Rates'!AB94,'Growth Rates'!AB94*AB$5)</f>
        <v>1.1923046078541938E-2</v>
      </c>
      <c r="AC98">
        <f>IF($A42="AEO",'Growth Rates'!AC94,'Growth Rates'!AC94*AC$5)</f>
        <v>1.2187752247130347E-2</v>
      </c>
    </row>
    <row r="99" spans="2:29" x14ac:dyDescent="0.25">
      <c r="B99" t="s">
        <v>464</v>
      </c>
      <c r="C99">
        <v>0</v>
      </c>
      <c r="D99">
        <f>IF($A43="AEO",'Growth Rates'!D95,'Growth Rates'!D95*D$5)</f>
        <v>1.9215929219688871E-2</v>
      </c>
      <c r="E99">
        <f>IF($A43="AEO",'Growth Rates'!E95,'Growth Rates'!E95*E$5)</f>
        <v>3.103029312305915E-2</v>
      </c>
      <c r="F99">
        <f>IF($A43="AEO",'Growth Rates'!F95,'Growth Rates'!F95*F$5)</f>
        <v>2.0215310222725852E-2</v>
      </c>
      <c r="G99">
        <f>IF($A43="AEO",'Growth Rates'!G95,'Growth Rates'!G95*G$5)</f>
        <v>1.3705437312641202E-2</v>
      </c>
      <c r="H99">
        <f>IF($A43="AEO",'Growth Rates'!H95,'Growth Rates'!H95*H$5)</f>
        <v>1.6273450442371329E-2</v>
      </c>
      <c r="I99">
        <f>IF($A43="AEO",'Growth Rates'!I95,'Growth Rates'!I95*I$5)</f>
        <v>1.8329881880836247E-2</v>
      </c>
      <c r="J99">
        <f>IF($A43="AEO",'Growth Rates'!J95,'Growth Rates'!J95*J$5)</f>
        <v>1.7691410888322583E-2</v>
      </c>
      <c r="K99">
        <f>IF($A43="AEO",'Growth Rates'!K95,'Growth Rates'!K95*K$5)</f>
        <v>1.9790666014426535E-2</v>
      </c>
      <c r="L99">
        <f>IF($A43="AEO",'Growth Rates'!L95,'Growth Rates'!L95*L$5)</f>
        <v>2.1058584338916195E-2</v>
      </c>
      <c r="M99">
        <f>IF($A43="AEO",'Growth Rates'!M95,'Growth Rates'!M95*M$5)</f>
        <v>2.1987654526302851E-2</v>
      </c>
      <c r="N99">
        <f>IF($A43="AEO",'Growth Rates'!N95,'Growth Rates'!N95*N$5)</f>
        <v>2.2813719759485557E-2</v>
      </c>
      <c r="O99">
        <f>IF($A43="AEO",'Growth Rates'!O95,'Growth Rates'!O95*O$5)</f>
        <v>1.8568148876064963E-2</v>
      </c>
      <c r="P99">
        <f>IF($A43="AEO",'Growth Rates'!P95,'Growth Rates'!P95*P$5)</f>
        <v>1.8094784833237502E-2</v>
      </c>
      <c r="Q99">
        <f>IF($A43="AEO",'Growth Rates'!Q95,'Growth Rates'!Q95*Q$5)</f>
        <v>1.7844856652135629E-2</v>
      </c>
      <c r="R99">
        <f>IF($A43="AEO",'Growth Rates'!R95,'Growth Rates'!R95*R$5)</f>
        <v>1.7199009152421462E-2</v>
      </c>
      <c r="S99">
        <f>IF($A43="AEO",'Growth Rates'!S95,'Growth Rates'!S95*S$5)</f>
        <v>1.6972629180161704E-2</v>
      </c>
      <c r="T99">
        <f>IF($A43="AEO",'Growth Rates'!T95,'Growth Rates'!T95*T$5)</f>
        <v>1.6187307291393314E-2</v>
      </c>
      <c r="U99">
        <f>IF($A43="AEO",'Growth Rates'!U95,'Growth Rates'!U95*U$5)</f>
        <v>1.6337301316299385E-2</v>
      </c>
      <c r="V99">
        <f>IF($A43="AEO",'Growth Rates'!V95,'Growth Rates'!V95*V$5)</f>
        <v>1.6700667846440167E-2</v>
      </c>
      <c r="W99">
        <f>IF($A43="AEO",'Growth Rates'!W95,'Growth Rates'!W95*W$5)</f>
        <v>1.6476005090129402E-2</v>
      </c>
      <c r="X99">
        <f>IF($A43="AEO",'Growth Rates'!X95,'Growth Rates'!X95*X$5)</f>
        <v>1.5958625187857067E-2</v>
      </c>
      <c r="Y99">
        <f>IF($A43="AEO",'Growth Rates'!Y95,'Growth Rates'!Y95*Y$5)</f>
        <v>1.51800353181272E-2</v>
      </c>
      <c r="Z99">
        <f>IF($A43="AEO",'Growth Rates'!Z95,'Growth Rates'!Z95*Z$5)</f>
        <v>1.429054513606059E-2</v>
      </c>
      <c r="AA99">
        <f>IF($A43="AEO",'Growth Rates'!AA95,'Growth Rates'!AA95*AA$5)</f>
        <v>1.4136357916644113E-2</v>
      </c>
      <c r="AB99">
        <f>IF($A43="AEO",'Growth Rates'!AB95,'Growth Rates'!AB95*AB$5)</f>
        <v>1.3439582137069526E-2</v>
      </c>
      <c r="AC99">
        <f>IF($A43="AEO",'Growth Rates'!AC95,'Growth Rates'!AC95*AC$5)</f>
        <v>1.3737957256271275E-2</v>
      </c>
    </row>
    <row r="100" spans="2:29" x14ac:dyDescent="0.25">
      <c r="B100" t="s">
        <v>454</v>
      </c>
      <c r="C100">
        <v>0</v>
      </c>
      <c r="D100">
        <f>IF($A44="AEO",'Growth Rates'!D96,'Growth Rates'!D96*D$5)</f>
        <v>2.1046017716802094E-2</v>
      </c>
      <c r="E100">
        <f>IF($A44="AEO",'Growth Rates'!E96,'Growth Rates'!E96*E$5)</f>
        <v>3.3985559134779068E-2</v>
      </c>
      <c r="F100">
        <f>IF($A44="AEO",'Growth Rates'!F96,'Growth Rates'!F96*F$5)</f>
        <v>2.2140577862985455E-2</v>
      </c>
      <c r="G100">
        <f>IF($A44="AEO",'Growth Rates'!G96,'Growth Rates'!G96*G$5)</f>
        <v>1.5010717056702268E-2</v>
      </c>
      <c r="H100">
        <f>IF($A44="AEO",'Growth Rates'!H96,'Growth Rates'!H96*H$5)</f>
        <v>1.7823302865454312E-2</v>
      </c>
      <c r="I100">
        <f>IF($A44="AEO",'Growth Rates'!I96,'Growth Rates'!I96*I$5)</f>
        <v>2.0075584917106364E-2</v>
      </c>
      <c r="J100">
        <f>IF($A44="AEO",'Growth Rates'!J96,'Growth Rates'!J96*J$5)</f>
        <v>1.9376307163400924E-2</v>
      </c>
      <c r="K100">
        <f>IF($A44="AEO",'Growth Rates'!K96,'Growth Rates'!K96*K$5)</f>
        <v>2.1675491349133821E-2</v>
      </c>
      <c r="L100">
        <f>IF($A44="AEO",'Growth Rates'!L96,'Growth Rates'!L96*L$5)</f>
        <v>2.3064163799765357E-2</v>
      </c>
      <c r="M100">
        <f>IF($A44="AEO",'Growth Rates'!M96,'Growth Rates'!M96*M$5)</f>
        <v>2.4081716862141216E-2</v>
      </c>
      <c r="N100">
        <f>IF($A44="AEO",'Growth Rates'!N96,'Growth Rates'!N96*N$5)</f>
        <v>2.4986454974674655E-2</v>
      </c>
      <c r="O100">
        <f>IF($A44="AEO",'Growth Rates'!O96,'Growth Rates'!O96*O$5)</f>
        <v>2.0336544007118769E-2</v>
      </c>
      <c r="P100">
        <f>IF($A44="AEO",'Growth Rates'!P96,'Growth Rates'!P96*P$5)</f>
        <v>1.9818097674498214E-2</v>
      </c>
      <c r="Q100">
        <f>IF($A44="AEO",'Growth Rates'!Q96,'Growth Rates'!Q96*Q$5)</f>
        <v>1.9544366809481878E-2</v>
      </c>
      <c r="R100">
        <f>IF($A44="AEO",'Growth Rates'!R96,'Growth Rates'!R96*R$5)</f>
        <v>1.8837010024080648E-2</v>
      </c>
      <c r="S100">
        <f>IF($A44="AEO",'Growth Rates'!S96,'Growth Rates'!S96*S$5)</f>
        <v>1.8589070054462815E-2</v>
      </c>
      <c r="T100">
        <f>IF($A44="AEO",'Growth Rates'!T96,'Growth Rates'!T96*T$5)</f>
        <v>1.7728955604859341E-2</v>
      </c>
      <c r="U100">
        <f>IF($A44="AEO",'Growth Rates'!U96,'Growth Rates'!U96*U$5)</f>
        <v>1.7893234774994562E-2</v>
      </c>
      <c r="V100">
        <f>IF($A44="AEO",'Growth Rates'!V96,'Growth Rates'!V96*V$5)</f>
        <v>1.8291207641339229E-2</v>
      </c>
      <c r="W100">
        <f>IF($A44="AEO",'Growth Rates'!W96,'Growth Rates'!W96*W$5)</f>
        <v>1.8045148432046489E-2</v>
      </c>
      <c r="X100">
        <f>IF($A44="AEO",'Growth Rates'!X96,'Growth Rates'!X96*X$5)</f>
        <v>1.7478494253367262E-2</v>
      </c>
      <c r="Y100">
        <f>IF($A44="AEO",'Growth Rates'!Y96,'Growth Rates'!Y96*Y$5)</f>
        <v>1.6625752967472648E-2</v>
      </c>
      <c r="Z100">
        <f>IF($A44="AEO",'Growth Rates'!Z96,'Growth Rates'!Z96*Z$5)</f>
        <v>1.5651549434733028E-2</v>
      </c>
      <c r="AA100">
        <f>IF($A44="AEO",'Growth Rates'!AA96,'Growth Rates'!AA96*AA$5)</f>
        <v>1.5482677718229266E-2</v>
      </c>
      <c r="AB100">
        <f>IF($A44="AEO",'Growth Rates'!AB96,'Growth Rates'!AB96*AB$5)</f>
        <v>1.4719542340599955E-2</v>
      </c>
      <c r="AC100">
        <f>IF($A44="AEO",'Growth Rates'!AC96,'Growth Rates'!AC96*AC$5)</f>
        <v>1.5046334137820921E-2</v>
      </c>
    </row>
    <row r="101" spans="2:29" x14ac:dyDescent="0.25">
      <c r="B101" t="s">
        <v>495</v>
      </c>
      <c r="C101">
        <v>0</v>
      </c>
      <c r="D101">
        <f>IF($A45="AEO",'Growth Rates'!D97,'Growth Rates'!D97*D$5)</f>
        <v>2.3621715279697739E-2</v>
      </c>
      <c r="E101">
        <f>IF($A45="AEO",'Growth Rates'!E97,'Growth Rates'!E97*E$5)</f>
        <v>3.8144850598608414E-2</v>
      </c>
      <c r="F101">
        <f>IF($A45="AEO",'Growth Rates'!F97,'Growth Rates'!F97*F$5)</f>
        <v>2.4850232164818766E-2</v>
      </c>
      <c r="G101">
        <f>IF($A45="AEO",'Growth Rates'!G97,'Growth Rates'!G97*G$5)</f>
        <v>1.6847789887321309E-2</v>
      </c>
      <c r="H101">
        <f>IF($A45="AEO",'Growth Rates'!H97,'Growth Rates'!H97*H$5)</f>
        <v>2.00045914289744E-2</v>
      </c>
      <c r="I101">
        <f>IF($A45="AEO",'Growth Rates'!I97,'Growth Rates'!I97*I$5)</f>
        <v>2.2532516952444043E-2</v>
      </c>
      <c r="J101">
        <f>IF($A45="AEO",'Growth Rates'!J97,'Growth Rates'!J97*J$5)</f>
        <v>2.1747658732626556E-2</v>
      </c>
      <c r="K101">
        <f>IF($A45="AEO",'Growth Rates'!K97,'Growth Rates'!K97*K$5)</f>
        <v>2.4328226464811219E-2</v>
      </c>
      <c r="L101">
        <f>IF($A45="AEO",'Growth Rates'!L97,'Growth Rates'!L97*L$5)</f>
        <v>2.5886850318833261E-2</v>
      </c>
      <c r="M101">
        <f>IF($A45="AEO",'Growth Rates'!M97,'Growth Rates'!M97*M$5)</f>
        <v>2.7028935678869694E-2</v>
      </c>
      <c r="N101">
        <f>IF($A45="AEO",'Growth Rates'!N97,'Growth Rates'!N97*N$5)</f>
        <v>2.8044399334965268E-2</v>
      </c>
      <c r="O101">
        <f>IF($A45="AEO",'Growth Rates'!O97,'Growth Rates'!O97*O$5)</f>
        <v>2.2825413281187545E-2</v>
      </c>
      <c r="P101">
        <f>IF($A45="AEO",'Growth Rates'!P97,'Growth Rates'!P97*P$5)</f>
        <v>2.2243517369963012E-2</v>
      </c>
      <c r="Q101">
        <f>IF($A45="AEO",'Growth Rates'!Q97,'Growth Rates'!Q97*Q$5)</f>
        <v>2.1936286204253256E-2</v>
      </c>
      <c r="R101">
        <f>IF($A45="AEO",'Growth Rates'!R97,'Growth Rates'!R97*R$5)</f>
        <v>2.1142360207860575E-2</v>
      </c>
      <c r="S101">
        <f>IF($A45="AEO",'Growth Rates'!S97,'Growth Rates'!S97*S$5)</f>
        <v>2.0864076332612596E-2</v>
      </c>
      <c r="T101">
        <f>IF($A45="AEO",'Growth Rates'!T97,'Growth Rates'!T97*T$5)</f>
        <v>1.9898697565480475E-2</v>
      </c>
      <c r="U101">
        <f>IF($A45="AEO",'Growth Rates'!U97,'Growth Rates'!U97*U$5)</f>
        <v>2.0083081891082422E-2</v>
      </c>
      <c r="V101">
        <f>IF($A45="AEO",'Growth Rates'!V97,'Growth Rates'!V97*V$5)</f>
        <v>2.0529760301427662E-2</v>
      </c>
      <c r="W101">
        <f>IF($A45="AEO",'Growth Rates'!W97,'Growth Rates'!W97*W$5)</f>
        <v>2.0253587361631055E-2</v>
      </c>
      <c r="X101">
        <f>IF($A45="AEO",'Growth Rates'!X97,'Growth Rates'!X97*X$5)</f>
        <v>1.9617583731351612E-2</v>
      </c>
      <c r="Y101">
        <f>IF($A45="AEO",'Growth Rates'!Y97,'Growth Rates'!Y97*Y$5)</f>
        <v>1.8660480485801999E-2</v>
      </c>
      <c r="Z101">
        <f>IF($A45="AEO",'Growth Rates'!Z97,'Growth Rates'!Z97*Z$5)</f>
        <v>1.7567049947801498E-2</v>
      </c>
      <c r="AA101">
        <f>IF($A45="AEO",'Growth Rates'!AA97,'Growth Rates'!AA97*AA$5)</f>
        <v>1.737751102125859E-2</v>
      </c>
      <c r="AB101">
        <f>IF($A45="AEO",'Growth Rates'!AB97,'Growth Rates'!AB97*AB$5)</f>
        <v>1.652098002081984E-2</v>
      </c>
      <c r="AC101">
        <f>IF($A45="AEO",'Growth Rates'!AC97,'Growth Rates'!AC97*AC$5)</f>
        <v>1.6887765932224425E-2</v>
      </c>
    </row>
    <row r="102" spans="2:29" x14ac:dyDescent="0.25">
      <c r="B102" t="s">
        <v>520</v>
      </c>
      <c r="C102">
        <v>0</v>
      </c>
      <c r="D102">
        <f>IF($A46="AEO",'Growth Rates'!D98,'Growth Rates'!D98*D$5)</f>
        <v>2.5621238959585155E-2</v>
      </c>
      <c r="E102">
        <f>IF($A46="AEO",'Growth Rates'!E98,'Growth Rates'!E98*E$5)</f>
        <v>4.1373724164078855E-2</v>
      </c>
      <c r="F102">
        <f>IF($A46="AEO",'Growth Rates'!F98,'Growth Rates'!F98*F$5)</f>
        <v>2.6953746963634468E-2</v>
      </c>
      <c r="G102">
        <f>IF($A46="AEO",'Growth Rates'!G98,'Growth Rates'!G98*G$5)</f>
        <v>1.8273916416854934E-2</v>
      </c>
      <c r="H102">
        <f>IF($A46="AEO",'Growth Rates'!H98,'Growth Rates'!H98*H$5)</f>
        <v>2.1697933923161768E-2</v>
      </c>
      <c r="I102">
        <f>IF($A46="AEO",'Growth Rates'!I98,'Growth Rates'!I98*I$5)</f>
        <v>2.443984250778166E-2</v>
      </c>
      <c r="J102">
        <f>IF($A46="AEO",'Growth Rates'!J98,'Growth Rates'!J98*J$5)</f>
        <v>2.3588547851096774E-2</v>
      </c>
      <c r="K102">
        <f>IF($A46="AEO",'Growth Rates'!K98,'Growth Rates'!K98*K$5)</f>
        <v>2.6387554685902041E-2</v>
      </c>
      <c r="L102">
        <f>IF($A46="AEO",'Growth Rates'!L98,'Growth Rates'!L98*L$5)</f>
        <v>2.8078112451888258E-2</v>
      </c>
      <c r="M102">
        <f>IF($A46="AEO",'Growth Rates'!M98,'Growth Rates'!M98*M$5)</f>
        <v>2.9316872701737128E-2</v>
      </c>
      <c r="N102">
        <f>IF($A46="AEO",'Growth Rates'!N98,'Growth Rates'!N98*N$5)</f>
        <v>3.0418293012647406E-2</v>
      </c>
      <c r="O102">
        <f>IF($A46="AEO",'Growth Rates'!O98,'Growth Rates'!O98*O$5)</f>
        <v>2.475753183475328E-2</v>
      </c>
      <c r="P102">
        <f>IF($A46="AEO",'Growth Rates'!P98,'Growth Rates'!P98*P$5)</f>
        <v>2.412637977765E-2</v>
      </c>
      <c r="Q102">
        <f>IF($A46="AEO",'Growth Rates'!Q98,'Growth Rates'!Q98*Q$5)</f>
        <v>2.3793142202847502E-2</v>
      </c>
      <c r="R102">
        <f>IF($A46="AEO",'Growth Rates'!R98,'Growth Rates'!R98*R$5)</f>
        <v>2.2932012203228613E-2</v>
      </c>
      <c r="S102">
        <f>IF($A46="AEO",'Growth Rates'!S98,'Growth Rates'!S98*S$5)</f>
        <v>2.2630172240215601E-2</v>
      </c>
      <c r="T102">
        <f>IF($A46="AEO",'Growth Rates'!T98,'Growth Rates'!T98*T$5)</f>
        <v>2.1583076388524414E-2</v>
      </c>
      <c r="U102">
        <f>IF($A46="AEO",'Growth Rates'!U98,'Growth Rates'!U98*U$5)</f>
        <v>2.1783068421732509E-2</v>
      </c>
      <c r="V102">
        <f>IF($A46="AEO",'Growth Rates'!V98,'Growth Rates'!V98*V$5)</f>
        <v>2.2267557128586885E-2</v>
      </c>
      <c r="W102">
        <f>IF($A46="AEO",'Growth Rates'!W98,'Growth Rates'!W98*W$5)</f>
        <v>2.19680067868392E-2</v>
      </c>
      <c r="X102">
        <f>IF($A46="AEO",'Growth Rates'!X98,'Growth Rates'!X98*X$5)</f>
        <v>2.1278166917142752E-2</v>
      </c>
      <c r="Y102">
        <f>IF($A46="AEO",'Growth Rates'!Y98,'Growth Rates'!Y98*Y$5)</f>
        <v>2.0240047090836263E-2</v>
      </c>
      <c r="Z102">
        <f>IF($A46="AEO",'Growth Rates'!Z98,'Growth Rates'!Z98*Z$5)</f>
        <v>1.9054060181414118E-2</v>
      </c>
      <c r="AA102">
        <f>IF($A46="AEO",'Growth Rates'!AA98,'Growth Rates'!AA98*AA$5)</f>
        <v>1.8848477222192149E-2</v>
      </c>
      <c r="AB102">
        <f>IF($A46="AEO",'Growth Rates'!AB98,'Growth Rates'!AB98*AB$5)</f>
        <v>1.791944284942603E-2</v>
      </c>
      <c r="AC102">
        <f>IF($A46="AEO",'Growth Rates'!AC98,'Growth Rates'!AC98*AC$5)</f>
        <v>1.831727634169503E-2</v>
      </c>
    </row>
    <row r="103" spans="2:29" x14ac:dyDescent="0.25">
      <c r="B103" t="s">
        <v>871</v>
      </c>
      <c r="C103">
        <v>0</v>
      </c>
      <c r="D103">
        <f>IF($A47="AEO",'Growth Rates'!D99,'Growth Rates'!D99*D$5)</f>
        <v>2.1046017716802094E-2</v>
      </c>
      <c r="E103">
        <f>IF($A47="AEO",'Growth Rates'!E99,'Growth Rates'!E99*E$5)</f>
        <v>3.3985559134779068E-2</v>
      </c>
      <c r="F103">
        <f>IF($A47="AEO",'Growth Rates'!F99,'Growth Rates'!F99*F$5)</f>
        <v>2.2140577862985455E-2</v>
      </c>
      <c r="G103">
        <f>IF($A47="AEO",'Growth Rates'!G99,'Growth Rates'!G99*G$5)</f>
        <v>1.5010717056702268E-2</v>
      </c>
      <c r="H103">
        <f>IF($A47="AEO",'Growth Rates'!H99,'Growth Rates'!H99*H$5)</f>
        <v>1.7823302865454312E-2</v>
      </c>
      <c r="I103">
        <f>IF($A47="AEO",'Growth Rates'!I99,'Growth Rates'!I99*I$5)</f>
        <v>2.0075584917106364E-2</v>
      </c>
      <c r="J103">
        <f>IF($A47="AEO",'Growth Rates'!J99,'Growth Rates'!J99*J$5)</f>
        <v>1.9376307163400924E-2</v>
      </c>
      <c r="K103">
        <f>IF($A47="AEO",'Growth Rates'!K99,'Growth Rates'!K99*K$5)</f>
        <v>2.1675491349133821E-2</v>
      </c>
      <c r="L103">
        <f>IF($A47="AEO",'Growth Rates'!L99,'Growth Rates'!L99*L$5)</f>
        <v>2.3064163799765357E-2</v>
      </c>
      <c r="M103">
        <f>IF($A47="AEO",'Growth Rates'!M99,'Growth Rates'!M99*M$5)</f>
        <v>2.4081716862141216E-2</v>
      </c>
      <c r="N103">
        <f>IF($A47="AEO",'Growth Rates'!N99,'Growth Rates'!N99*N$5)</f>
        <v>2.4986454974674655E-2</v>
      </c>
      <c r="O103">
        <f>IF($A47="AEO",'Growth Rates'!O99,'Growth Rates'!O99*O$5)</f>
        <v>2.0336544007118769E-2</v>
      </c>
      <c r="P103">
        <f>IF($A47="AEO",'Growth Rates'!P99,'Growth Rates'!P99*P$5)</f>
        <v>1.9818097674498214E-2</v>
      </c>
      <c r="Q103">
        <f>IF($A47="AEO",'Growth Rates'!Q99,'Growth Rates'!Q99*Q$5)</f>
        <v>1.9544366809481878E-2</v>
      </c>
      <c r="R103">
        <f>IF($A47="AEO",'Growth Rates'!R99,'Growth Rates'!R99*R$5)</f>
        <v>1.8837010024080648E-2</v>
      </c>
      <c r="S103">
        <f>IF($A47="AEO",'Growth Rates'!S99,'Growth Rates'!S99*S$5)</f>
        <v>1.8589070054462815E-2</v>
      </c>
      <c r="T103">
        <f>IF($A47="AEO",'Growth Rates'!T99,'Growth Rates'!T99*T$5)</f>
        <v>1.7728955604859341E-2</v>
      </c>
      <c r="U103">
        <f>IF($A47="AEO",'Growth Rates'!U99,'Growth Rates'!U99*U$5)</f>
        <v>1.7893234774994562E-2</v>
      </c>
      <c r="V103">
        <f>IF($A47="AEO",'Growth Rates'!V99,'Growth Rates'!V99*V$5)</f>
        <v>1.8291207641339229E-2</v>
      </c>
      <c r="W103">
        <f>IF($A47="AEO",'Growth Rates'!W99,'Growth Rates'!W99*W$5)</f>
        <v>1.8045148432046489E-2</v>
      </c>
      <c r="X103">
        <f>IF($A47="AEO",'Growth Rates'!X99,'Growth Rates'!X99*X$5)</f>
        <v>1.7478494253367262E-2</v>
      </c>
      <c r="Y103">
        <f>IF($A47="AEO",'Growth Rates'!Y99,'Growth Rates'!Y99*Y$5)</f>
        <v>1.6625752967472648E-2</v>
      </c>
      <c r="Z103">
        <f>IF($A47="AEO",'Growth Rates'!Z99,'Growth Rates'!Z99*Z$5)</f>
        <v>1.5651549434733028E-2</v>
      </c>
      <c r="AA103">
        <f>IF($A47="AEO",'Growth Rates'!AA99,'Growth Rates'!AA99*AA$5)</f>
        <v>1.5482677718229266E-2</v>
      </c>
      <c r="AB103">
        <f>IF($A47="AEO",'Growth Rates'!AB99,'Growth Rates'!AB99*AB$5)</f>
        <v>1.4719542340599955E-2</v>
      </c>
      <c r="AC103">
        <f>IF($A47="AEO",'Growth Rates'!AC99,'Growth Rates'!AC99*AC$5)</f>
        <v>1.5046334137820921E-2</v>
      </c>
    </row>
    <row r="104" spans="2:29" x14ac:dyDescent="0.25">
      <c r="B104" t="s">
        <v>531</v>
      </c>
      <c r="C104">
        <v>0</v>
      </c>
      <c r="D104">
        <f>IF($A48="AEO",'Growth Rates'!D100,'Growth Rates'!D100*D$5)</f>
        <v>3.3557492195327616E-2</v>
      </c>
      <c r="E104">
        <f>IF($A48="AEO",'Growth Rates'!E100,'Growth Rates'!E100*E$5)</f>
        <v>5.4189355476437662E-2</v>
      </c>
      <c r="F104">
        <f>IF($A48="AEO",'Growth Rates'!F100,'Growth Rates'!F100*F$5)</f>
        <v>3.530274842655947E-2</v>
      </c>
      <c r="G104">
        <f>IF($A48="AEO",'Growth Rates'!G100,'Growth Rates'!G100*G$5)</f>
        <v>2.3934315140028171E-2</v>
      </c>
      <c r="H104">
        <f>IF($A48="AEO",'Growth Rates'!H100,'Growth Rates'!H100*H$5)</f>
        <v>2.841893202080438E-2</v>
      </c>
      <c r="I104">
        <f>IF($A48="AEO",'Growth Rates'!I100,'Growth Rates'!I100*I$5)</f>
        <v>3.2010154758854735E-2</v>
      </c>
      <c r="J104">
        <f>IF($A48="AEO",'Growth Rates'!J100,'Growth Rates'!J100*J$5)</f>
        <v>3.0895169107977776E-2</v>
      </c>
      <c r="K104">
        <f>IF($A48="AEO",'Growth Rates'!K100,'Growth Rates'!K100*K$5)</f>
        <v>3.4561176445164224E-2</v>
      </c>
      <c r="L104">
        <f>IF($A48="AEO",'Growth Rates'!L100,'Growth Rates'!L100*L$5)</f>
        <v>3.6775389392762897E-2</v>
      </c>
      <c r="M104">
        <f>IF($A48="AEO",'Growth Rates'!M100,'Growth Rates'!M100*M$5)</f>
        <v>3.8397859230453316E-2</v>
      </c>
      <c r="N104">
        <f>IF($A48="AEO",'Growth Rates'!N100,'Growth Rates'!N100*N$5)</f>
        <v>3.9840447683941023E-2</v>
      </c>
      <c r="O104">
        <f>IF($A48="AEO",'Growth Rates'!O100,'Growth Rates'!O100*O$5)</f>
        <v>3.2426249278218355E-2</v>
      </c>
      <c r="P104">
        <f>IF($A48="AEO",'Growth Rates'!P100,'Growth Rates'!P100*P$5)</f>
        <v>3.1599596036986838E-2</v>
      </c>
      <c r="Q104">
        <f>IF($A48="AEO",'Growth Rates'!Q100,'Growth Rates'!Q100*Q$5)</f>
        <v>3.1163137154835818E-2</v>
      </c>
      <c r="R104">
        <f>IF($A48="AEO",'Growth Rates'!R100,'Growth Rates'!R100*R$5)</f>
        <v>3.0035269634964668E-2</v>
      </c>
      <c r="S104">
        <f>IF($A48="AEO",'Growth Rates'!S100,'Growth Rates'!S100*S$5)</f>
        <v>2.9639933866111939E-2</v>
      </c>
      <c r="T104">
        <f>IF($A48="AEO",'Growth Rates'!T100,'Growth Rates'!T100*T$5)</f>
        <v>2.8268497030980222E-2</v>
      </c>
      <c r="U104">
        <f>IF($A48="AEO",'Growth Rates'!U100,'Growth Rates'!U100*U$5)</f>
        <v>2.8530437177750431E-2</v>
      </c>
      <c r="V104">
        <f>IF($A48="AEO",'Growth Rates'!V100,'Growth Rates'!V100*V$5)</f>
        <v>2.9164997669717106E-2</v>
      </c>
      <c r="W104">
        <f>IF($A48="AEO",'Growth Rates'!W100,'Growth Rates'!W100*W$5)</f>
        <v>2.877266073897141E-2</v>
      </c>
      <c r="X104">
        <f>IF($A48="AEO",'Growth Rates'!X100,'Growth Rates'!X100*X$5)</f>
        <v>2.7869140964620141E-2</v>
      </c>
      <c r="Y104">
        <f>IF($A48="AEO",'Growth Rates'!Y100,'Growth Rates'!Y100*Y$5)</f>
        <v>2.6509460504824806E-2</v>
      </c>
      <c r="Z104">
        <f>IF($A48="AEO",'Growth Rates'!Z100,'Growth Rates'!Z100*Z$5)</f>
        <v>2.4956110703143759E-2</v>
      </c>
      <c r="AA104">
        <f>IF($A48="AEO",'Growth Rates'!AA100,'Growth Rates'!AA100*AA$5)</f>
        <v>2.4686847824776877E-2</v>
      </c>
      <c r="AB104">
        <f>IF($A48="AEO",'Growth Rates'!AB100,'Growth Rates'!AB100*AB$5)</f>
        <v>2.3470042354812405E-2</v>
      </c>
      <c r="AC104">
        <f>IF($A48="AEO",'Growth Rates'!AC100,'Growth Rates'!AC100*AC$5)</f>
        <v>2.3991105927612909E-2</v>
      </c>
    </row>
    <row r="105" spans="2:29" x14ac:dyDescent="0.25">
      <c r="B105" t="s">
        <v>562</v>
      </c>
      <c r="C105">
        <v>0</v>
      </c>
      <c r="D105">
        <f>IF($A49="AEO",'Growth Rates'!D101,'Growth Rates'!D101*D$5)</f>
        <v>2.4706194711028549E-2</v>
      </c>
      <c r="E105">
        <f>IF($A49="AEO",'Growth Rates'!E101,'Growth Rates'!E101*E$5)</f>
        <v>3.9896091158218905E-2</v>
      </c>
      <c r="F105">
        <f>IF($A49="AEO",'Growth Rates'!F101,'Growth Rates'!F101*F$5)</f>
        <v>2.599111314350467E-2</v>
      </c>
      <c r="G105">
        <f>IF($A49="AEO",'Growth Rates'!G101,'Growth Rates'!G101*G$5)</f>
        <v>1.7621276544824406E-2</v>
      </c>
      <c r="H105">
        <f>IF($A49="AEO",'Growth Rates'!H101,'Growth Rates'!H101*H$5)</f>
        <v>2.092300771162028E-2</v>
      </c>
      <c r="I105">
        <f>IF($A49="AEO",'Growth Rates'!I101,'Growth Rates'!I101*I$5)</f>
        <v>2.3566990989646604E-2</v>
      </c>
      <c r="J105">
        <f>IF($A49="AEO",'Growth Rates'!J101,'Growth Rates'!J101*J$5)</f>
        <v>2.2746099713557608E-2</v>
      </c>
      <c r="K105">
        <f>IF($A49="AEO",'Growth Rates'!K101,'Growth Rates'!K101*K$5)</f>
        <v>2.5445142018548399E-2</v>
      </c>
      <c r="L105">
        <f>IF($A49="AEO",'Growth Rates'!L101,'Growth Rates'!L101*L$5)</f>
        <v>2.7075322721463683E-2</v>
      </c>
      <c r="M105">
        <f>IF($A49="AEO",'Growth Rates'!M101,'Growth Rates'!M101*M$5)</f>
        <v>2.8269841533817952E-2</v>
      </c>
      <c r="N105">
        <f>IF($A49="AEO",'Growth Rates'!N101,'Growth Rates'!N101*N$5)</f>
        <v>2.9331925405052861E-2</v>
      </c>
      <c r="O105">
        <f>IF($A49="AEO",'Growth Rates'!O101,'Growth Rates'!O101*O$5)</f>
        <v>2.3873334269226384E-2</v>
      </c>
      <c r="P105">
        <f>IF($A49="AEO",'Growth Rates'!P101,'Growth Rates'!P101*P$5)</f>
        <v>2.3264723357019648E-2</v>
      </c>
      <c r="Q105">
        <f>IF($A49="AEO",'Growth Rates'!Q101,'Growth Rates'!Q101*Q$5)</f>
        <v>2.2943387124174382E-2</v>
      </c>
      <c r="R105">
        <f>IF($A49="AEO",'Growth Rates'!R101,'Growth Rates'!R101*R$5)</f>
        <v>2.2113011767399025E-2</v>
      </c>
      <c r="S105">
        <f>IF($A49="AEO",'Growth Rates'!S101,'Growth Rates'!S101*S$5)</f>
        <v>2.1821951803065048E-2</v>
      </c>
      <c r="T105">
        <f>IF($A49="AEO",'Growth Rates'!T101,'Growth Rates'!T101*T$5)</f>
        <v>2.0812252231791402E-2</v>
      </c>
      <c r="U105">
        <f>IF($A49="AEO",'Growth Rates'!U101,'Growth Rates'!U101*U$5)</f>
        <v>2.1005101692384925E-2</v>
      </c>
      <c r="V105">
        <f>IF($A49="AEO",'Growth Rates'!V101,'Growth Rates'!V101*V$5)</f>
        <v>2.1472287231137359E-2</v>
      </c>
      <c r="W105">
        <f>IF($A49="AEO",'Growth Rates'!W101,'Growth Rates'!W101*W$5)</f>
        <v>2.1183435115880663E-2</v>
      </c>
      <c r="X105">
        <f>IF($A49="AEO",'Growth Rates'!X101,'Growth Rates'!X101*X$5)</f>
        <v>2.0518232384387658E-2</v>
      </c>
      <c r="Y105">
        <f>IF($A49="AEO",'Growth Rates'!Y101,'Growth Rates'!Y101*Y$5)</f>
        <v>1.9517188266163544E-2</v>
      </c>
      <c r="Z105">
        <f>IF($A49="AEO",'Growth Rates'!Z101,'Growth Rates'!Z101*Z$5)</f>
        <v>1.8373558032077904E-2</v>
      </c>
      <c r="AA105">
        <f>IF($A49="AEO",'Growth Rates'!AA101,'Growth Rates'!AA101*AA$5)</f>
        <v>1.8175317321399577E-2</v>
      </c>
      <c r="AB105">
        <f>IF($A49="AEO",'Growth Rates'!AB101,'Growth Rates'!AB101*AB$5)</f>
        <v>1.7279462747660821E-2</v>
      </c>
      <c r="AC105">
        <f>IF($A49="AEO",'Growth Rates'!AC101,'Growth Rates'!AC101*AC$5)</f>
        <v>1.7663087900920214E-2</v>
      </c>
    </row>
    <row r="106" spans="2:29" x14ac:dyDescent="0.25">
      <c r="B106" t="s">
        <v>565</v>
      </c>
      <c r="C106">
        <v>0</v>
      </c>
      <c r="D106">
        <f>IF($A50="AEO",'Growth Rates'!D102,'Growth Rates'!D102*D$5)</f>
        <v>3.1148304544725908E-2</v>
      </c>
      <c r="E106">
        <f>IF($A50="AEO",'Growth Rates'!E102,'Growth Rates'!E102*E$5)</f>
        <v>5.0298947777078142E-2</v>
      </c>
      <c r="F106">
        <f>IF($A50="AEO",'Growth Rates'!F102,'Growth Rates'!F102*F$5)</f>
        <v>3.276826387549376E-2</v>
      </c>
      <c r="G106">
        <f>IF($A50="AEO",'Growth Rates'!G102,'Growth Rates'!G102*G$5)</f>
        <v>2.2216002695065615E-2</v>
      </c>
      <c r="H106">
        <f>IF($A50="AEO",'Growth Rates'!H102,'Growth Rates'!H102*H$5)</f>
        <v>2.6378656195981443E-2</v>
      </c>
      <c r="I106">
        <f>IF($A50="AEO",'Growth Rates'!I102,'Growth Rates'!I102*I$5)</f>
        <v>2.9712054856454402E-2</v>
      </c>
      <c r="J106">
        <f>IF($A50="AEO",'Growth Rates'!J102,'Growth Rates'!J102*J$5)</f>
        <v>2.8677117191435723E-2</v>
      </c>
      <c r="K106">
        <f>IF($A50="AEO",'Growth Rates'!K102,'Growth Rates'!K102*K$5)</f>
        <v>3.2079931452323261E-2</v>
      </c>
      <c r="L106">
        <f>IF($A50="AEO",'Growth Rates'!L102,'Growth Rates'!L102*L$5)</f>
        <v>3.4135179765195749E-2</v>
      </c>
      <c r="M106">
        <f>IF($A50="AEO",'Growth Rates'!M102,'Growth Rates'!M102*M$5)</f>
        <v>3.5641167886264272E-2</v>
      </c>
      <c r="N106">
        <f>IF($A50="AEO",'Growth Rates'!N102,'Growth Rates'!N102*N$5)</f>
        <v>3.6980188818471975E-2</v>
      </c>
      <c r="O106">
        <f>IF($A50="AEO",'Growth Rates'!O102,'Growth Rates'!O102*O$5)</f>
        <v>3.0098276768779963E-2</v>
      </c>
      <c r="P106">
        <f>IF($A50="AEO",'Growth Rates'!P102,'Growth Rates'!P102*P$5)</f>
        <v>2.9330971311003554E-2</v>
      </c>
      <c r="Q106">
        <f>IF($A50="AEO",'Growth Rates'!Q102,'Growth Rates'!Q102*Q$5)</f>
        <v>2.8925847051319349E-2</v>
      </c>
      <c r="R106">
        <f>IF($A50="AEO",'Growth Rates'!R102,'Growth Rates'!R102*R$5)</f>
        <v>2.7878952343259406E-2</v>
      </c>
      <c r="S106">
        <f>IF($A50="AEO",'Growth Rates'!S102,'Growth Rates'!S102*S$5)</f>
        <v>2.7511998851801462E-2</v>
      </c>
      <c r="T106">
        <f>IF($A50="AEO",'Growth Rates'!T102,'Growth Rates'!T102*T$5)</f>
        <v>2.6239021361234224E-2</v>
      </c>
      <c r="U106">
        <f>IF($A50="AEO",'Growth Rates'!U102,'Growth Rates'!U102*U$5)</f>
        <v>2.6482156081093437E-2</v>
      </c>
      <c r="V106">
        <f>IF($A50="AEO",'Growth Rates'!V102,'Growth Rates'!V102*V$5)</f>
        <v>2.7071159673518651E-2</v>
      </c>
      <c r="W106">
        <f>IF($A50="AEO",'Growth Rates'!W102,'Growth Rates'!W102*W$5)</f>
        <v>2.6706989725064894E-2</v>
      </c>
      <c r="X106">
        <f>IF($A50="AEO",'Growth Rates'!X102,'Growth Rates'!X102*X$5)</f>
        <v>2.5868336200842546E-2</v>
      </c>
      <c r="Y106">
        <f>IF($A50="AEO",'Growth Rates'!Y102,'Growth Rates'!Y102*Y$5)</f>
        <v>2.4606271062044275E-2</v>
      </c>
      <c r="Z106">
        <f>IF($A50="AEO",'Growth Rates'!Z102,'Growth Rates'!Z102*Z$5)</f>
        <v>2.3164440653334898E-2</v>
      </c>
      <c r="AA106">
        <f>IF($A50="AEO",'Growth Rates'!AA102,'Growth Rates'!AA102*AA$5)</f>
        <v>2.2914508921573106E-2</v>
      </c>
      <c r="AB106">
        <f>IF($A50="AEO",'Growth Rates'!AB102,'Growth Rates'!AB102*AB$5)</f>
        <v>2.178506137139476E-2</v>
      </c>
      <c r="AC106">
        <f>IF($A50="AEO",'Growth Rates'!AC102,'Growth Rates'!AC102*AC$5)</f>
        <v>2.2268716310753216E-2</v>
      </c>
    </row>
    <row r="107" spans="2:29" x14ac:dyDescent="0.25">
      <c r="B107" t="s">
        <v>568</v>
      </c>
      <c r="C107">
        <v>0</v>
      </c>
      <c r="D107">
        <f>IF($A51="AEO",'Growth Rates'!D103,'Growth Rates'!D103*D$5)</f>
        <v>1.8300884971132258E-2</v>
      </c>
      <c r="E107">
        <f>IF($A51="AEO",'Growth Rates'!E103,'Growth Rates'!E103*E$5)</f>
        <v>2.9552660117199189E-2</v>
      </c>
      <c r="F107">
        <f>IF($A51="AEO",'Growth Rates'!F103,'Growth Rates'!F103*F$5)</f>
        <v>1.925267640259605E-2</v>
      </c>
      <c r="G107">
        <f>IF($A51="AEO",'Growth Rates'!G103,'Growth Rates'!G103*G$5)</f>
        <v>1.3052797440610669E-2</v>
      </c>
      <c r="H107">
        <f>IF($A51="AEO",'Growth Rates'!H103,'Growth Rates'!H103*H$5)</f>
        <v>1.5498524230829836E-2</v>
      </c>
      <c r="I107">
        <f>IF($A51="AEO",'Growth Rates'!I103,'Growth Rates'!I103*I$5)</f>
        <v>1.7457030362701187E-2</v>
      </c>
      <c r="J107">
        <f>IF($A51="AEO",'Growth Rates'!J103,'Growth Rates'!J103*J$5)</f>
        <v>1.6848962750783413E-2</v>
      </c>
      <c r="K107">
        <f>IF($A51="AEO",'Growth Rates'!K103,'Growth Rates'!K103*K$5)</f>
        <v>1.8848253347072887E-2</v>
      </c>
      <c r="L107">
        <f>IF($A51="AEO",'Growth Rates'!L103,'Growth Rates'!L103*L$5)</f>
        <v>2.0055794608491617E-2</v>
      </c>
      <c r="M107">
        <f>IF($A51="AEO",'Growth Rates'!M103,'Growth Rates'!M103*M$5)</f>
        <v>2.0940623358383665E-2</v>
      </c>
      <c r="N107">
        <f>IF($A51="AEO",'Growth Rates'!N103,'Growth Rates'!N103*N$5)</f>
        <v>2.1727352151891005E-2</v>
      </c>
      <c r="O107">
        <f>IF($A51="AEO",'Growth Rates'!O103,'Growth Rates'!O103*O$5)</f>
        <v>1.768395131053806E-2</v>
      </c>
      <c r="P107">
        <f>IF($A51="AEO",'Growth Rates'!P103,'Growth Rates'!P103*P$5)</f>
        <v>1.7233128412607143E-2</v>
      </c>
      <c r="Q107">
        <f>IF($A51="AEO",'Growth Rates'!Q103,'Growth Rates'!Q103*Q$5)</f>
        <v>1.6995101573462505E-2</v>
      </c>
      <c r="R107">
        <f>IF($A51="AEO",'Growth Rates'!R103,'Growth Rates'!R103*R$5)</f>
        <v>1.6380008716591867E-2</v>
      </c>
      <c r="S107">
        <f>IF($A51="AEO",'Growth Rates'!S103,'Growth Rates'!S103*S$5)</f>
        <v>1.6164408743011144E-2</v>
      </c>
      <c r="T107">
        <f>IF($A51="AEO",'Growth Rates'!T103,'Growth Rates'!T103*T$5)</f>
        <v>1.5416483134660297E-2</v>
      </c>
      <c r="U107">
        <f>IF($A51="AEO",'Growth Rates'!U103,'Growth Rates'!U103*U$5)</f>
        <v>1.5559334586951794E-2</v>
      </c>
      <c r="V107">
        <f>IF($A51="AEO",'Growth Rates'!V103,'Growth Rates'!V103*V$5)</f>
        <v>1.5905397948990634E-2</v>
      </c>
      <c r="W107">
        <f>IF($A51="AEO",'Growth Rates'!W103,'Growth Rates'!W103*W$5)</f>
        <v>1.5691433419170859E-2</v>
      </c>
      <c r="X107">
        <f>IF($A51="AEO",'Growth Rates'!X103,'Growth Rates'!X103*X$5)</f>
        <v>1.5198690655101968E-2</v>
      </c>
      <c r="Y107">
        <f>IF($A51="AEO",'Growth Rates'!Y103,'Growth Rates'!Y103*Y$5)</f>
        <v>1.4457176493454476E-2</v>
      </c>
      <c r="Z107">
        <f>IF($A51="AEO",'Growth Rates'!Z103,'Growth Rates'!Z103*Z$5)</f>
        <v>1.3610042986724372E-2</v>
      </c>
      <c r="AA107">
        <f>IF($A51="AEO",'Growth Rates'!AA103,'Growth Rates'!AA103*AA$5)</f>
        <v>1.3463198015851536E-2</v>
      </c>
      <c r="AB107">
        <f>IF($A51="AEO",'Growth Rates'!AB103,'Growth Rates'!AB103*AB$5)</f>
        <v>1.279960203530431E-2</v>
      </c>
      <c r="AC107">
        <f>IF($A51="AEO",'Growth Rates'!AC103,'Growth Rates'!AC103*AC$5)</f>
        <v>1.3083768815496452E-2</v>
      </c>
    </row>
    <row r="108" spans="2:29" x14ac:dyDescent="0.25">
      <c r="B108" t="s">
        <v>607</v>
      </c>
      <c r="C108">
        <v>0</v>
      </c>
      <c r="D108">
        <f>IF($A52="AEO",'Growth Rates'!D104,'Growth Rates'!D104*D$5)</f>
        <v>1.7385840722575645E-2</v>
      </c>
      <c r="E108">
        <f>IF($A52="AEO",'Growth Rates'!E104,'Growth Rates'!E104*E$5)</f>
        <v>2.8075027111339228E-2</v>
      </c>
      <c r="F108">
        <f>IF($A52="AEO",'Growth Rates'!F104,'Growth Rates'!F104*F$5)</f>
        <v>1.8290042582466248E-2</v>
      </c>
      <c r="G108">
        <f>IF($A52="AEO",'Growth Rates'!G104,'Growth Rates'!G104*G$5)</f>
        <v>1.2400157568580135E-2</v>
      </c>
      <c r="H108">
        <f>IF($A52="AEO",'Growth Rates'!H104,'Growth Rates'!H104*H$5)</f>
        <v>1.4723598019288343E-2</v>
      </c>
      <c r="I108">
        <f>IF($A52="AEO",'Growth Rates'!I104,'Growth Rates'!I104*I$5)</f>
        <v>1.6584178844566127E-2</v>
      </c>
      <c r="J108">
        <f>IF($A52="AEO",'Growth Rates'!J104,'Growth Rates'!J104*J$5)</f>
        <v>1.600651461324424E-2</v>
      </c>
      <c r="K108">
        <f>IF($A52="AEO",'Growth Rates'!K104,'Growth Rates'!K104*K$5)</f>
        <v>1.7905840679719242E-2</v>
      </c>
      <c r="L108">
        <f>IF($A52="AEO",'Growth Rates'!L104,'Growth Rates'!L104*L$5)</f>
        <v>1.9053004878067034E-2</v>
      </c>
      <c r="M108">
        <f>IF($A52="AEO",'Growth Rates'!M104,'Growth Rates'!M104*M$5)</f>
        <v>1.9893592190464483E-2</v>
      </c>
      <c r="N108">
        <f>IF($A52="AEO",'Growth Rates'!N104,'Growth Rates'!N104*N$5)</f>
        <v>2.0640984544296456E-2</v>
      </c>
      <c r="O108">
        <f>IF($A52="AEO",'Growth Rates'!O104,'Growth Rates'!O104*O$5)</f>
        <v>1.6799753745011158E-2</v>
      </c>
      <c r="P108">
        <f>IF($A52="AEO",'Growth Rates'!P104,'Growth Rates'!P104*P$5)</f>
        <v>1.6371471991976787E-2</v>
      </c>
      <c r="Q108">
        <f>IF($A52="AEO",'Growth Rates'!Q104,'Growth Rates'!Q104*Q$5)</f>
        <v>1.6145346494789378E-2</v>
      </c>
      <c r="R108">
        <f>IF($A52="AEO",'Growth Rates'!R104,'Growth Rates'!R104*R$5)</f>
        <v>1.5561008280762274E-2</v>
      </c>
      <c r="S108">
        <f>IF($A52="AEO",'Growth Rates'!S104,'Growth Rates'!S104*S$5)</f>
        <v>1.5356188305860587E-2</v>
      </c>
      <c r="T108">
        <f>IF($A52="AEO",'Growth Rates'!T104,'Growth Rates'!T104*T$5)</f>
        <v>1.4645658977927281E-2</v>
      </c>
      <c r="U108">
        <f>IF($A52="AEO",'Growth Rates'!U104,'Growth Rates'!U104*U$5)</f>
        <v>1.4781367857604205E-2</v>
      </c>
      <c r="V108">
        <f>IF($A52="AEO",'Growth Rates'!V104,'Growth Rates'!V104*V$5)</f>
        <v>1.5110128051541102E-2</v>
      </c>
      <c r="W108">
        <f>IF($A52="AEO",'Growth Rates'!W104,'Growth Rates'!W104*W$5)</f>
        <v>1.4906861748212315E-2</v>
      </c>
      <c r="X108">
        <f>IF($A52="AEO",'Growth Rates'!X104,'Growth Rates'!X104*X$5)</f>
        <v>1.4438756122346869E-2</v>
      </c>
      <c r="Y108">
        <f>IF($A52="AEO",'Growth Rates'!Y104,'Growth Rates'!Y104*Y$5)</f>
        <v>1.3734317668781752E-2</v>
      </c>
      <c r="Z108">
        <f>IF($A52="AEO",'Growth Rates'!Z104,'Growth Rates'!Z104*Z$5)</f>
        <v>1.2929540837388152E-2</v>
      </c>
      <c r="AA108">
        <f>IF($A52="AEO",'Growth Rates'!AA104,'Growth Rates'!AA104*AA$5)</f>
        <v>1.2790038115058959E-2</v>
      </c>
      <c r="AB108">
        <f>IF($A52="AEO",'Growth Rates'!AB104,'Growth Rates'!AB104*AB$5)</f>
        <v>1.2159621933539094E-2</v>
      </c>
      <c r="AC108">
        <f>IF($A52="AEO",'Growth Rates'!AC104,'Growth Rates'!AC104*AC$5)</f>
        <v>1.242958037472163E-2</v>
      </c>
    </row>
    <row r="109" spans="2:29" x14ac:dyDescent="0.25">
      <c r="B109" t="s">
        <v>623</v>
      </c>
      <c r="C109">
        <v>0</v>
      </c>
      <c r="D109">
        <f>IF($A53="AEO",'Growth Rates'!D105,'Growth Rates'!D105*D$5)</f>
        <v>2.0399352170318477E-2</v>
      </c>
      <c r="E109">
        <f>IF($A53="AEO",'Growth Rates'!E105,'Growth Rates'!E105*E$5)</f>
        <v>3.2941309791926061E-2</v>
      </c>
      <c r="F109">
        <f>IF($A53="AEO",'Growth Rates'!F105,'Growth Rates'!F105*F$5)</f>
        <v>2.1460280569887573E-2</v>
      </c>
      <c r="G109">
        <f>IF($A53="AEO",'Growth Rates'!G105,'Growth Rates'!G105*G$5)</f>
        <v>1.4549493765949556E-2</v>
      </c>
      <c r="H109">
        <f>IF($A53="AEO",'Growth Rates'!H105,'Growth Rates'!H105*H$5)</f>
        <v>1.7275659313941451E-2</v>
      </c>
      <c r="I109">
        <f>IF($A53="AEO",'Growth Rates'!I105,'Growth Rates'!I105*I$5)</f>
        <v>1.9458737147324504E-2</v>
      </c>
      <c r="J109">
        <f>IF($A53="AEO",'Growth Rates'!J105,'Growth Rates'!J105*J$5)</f>
        <v>1.8780945588149002E-2</v>
      </c>
      <c r="K109">
        <f>IF($A53="AEO",'Growth Rates'!K105,'Growth Rates'!K105*K$5)</f>
        <v>2.1009484428147613E-2</v>
      </c>
      <c r="L109">
        <f>IF($A53="AEO",'Growth Rates'!L105,'Growth Rates'!L105*L$5)</f>
        <v>2.2355488159154464E-2</v>
      </c>
      <c r="M109">
        <f>IF($A53="AEO",'Growth Rates'!M105,'Growth Rates'!M105*M$5)</f>
        <v>2.3341775615085828E-2</v>
      </c>
      <c r="N109">
        <f>IF($A53="AEO",'Growth Rates'!N105,'Growth Rates'!N105*N$5)</f>
        <v>2.4218714503374632E-2</v>
      </c>
      <c r="O109">
        <f>IF($A53="AEO",'Growth Rates'!O105,'Growth Rates'!O105*O$5)</f>
        <v>1.9711677938824407E-2</v>
      </c>
      <c r="P109">
        <f>IF($A53="AEO",'Growth Rates'!P105,'Growth Rates'!P105*P$5)</f>
        <v>1.9209161526320705E-2</v>
      </c>
      <c r="Q109">
        <f>IF($A53="AEO",'Growth Rates'!Q105,'Growth Rates'!Q105*Q$5)</f>
        <v>1.8943841388777714E-2</v>
      </c>
      <c r="R109">
        <f>IF($A53="AEO",'Growth Rates'!R105,'Growth Rates'!R105*R$5)</f>
        <v>1.8258219036386351E-2</v>
      </c>
      <c r="S109">
        <f>IF($A53="AEO",'Growth Rates'!S105,'Growth Rates'!S105*S$5)</f>
        <v>1.8017897336319821E-2</v>
      </c>
      <c r="T109">
        <f>IF($A53="AEO",'Growth Rates'!T105,'Growth Rates'!T105*T$5)</f>
        <v>1.7184210992407203E-2</v>
      </c>
      <c r="U109">
        <f>IF($A53="AEO",'Growth Rates'!U105,'Growth Rates'!U105*U$5)</f>
        <v>1.7343442477001109E-2</v>
      </c>
      <c r="V109">
        <f>IF($A53="AEO",'Growth Rates'!V105,'Growth Rates'!V105*V$5)</f>
        <v>1.7729187123044745E-2</v>
      </c>
      <c r="W109">
        <f>IF($A53="AEO",'Growth Rates'!W105,'Growth Rates'!W105*W$5)</f>
        <v>1.7490688394560572E-2</v>
      </c>
      <c r="X109">
        <f>IF($A53="AEO",'Growth Rates'!X105,'Growth Rates'!X105*X$5)</f>
        <v>1.6941445383117523E-2</v>
      </c>
      <c r="Y109">
        <f>IF($A53="AEO",'Growth Rates'!Y105,'Growth Rates'!Y105*Y$5)</f>
        <v>1.6114905653121625E-2</v>
      </c>
      <c r="Z109">
        <f>IF($A53="AEO",'Growth Rates'!Z105,'Growth Rates'!Z105*Z$5)</f>
        <v>1.5170635757631699E-2</v>
      </c>
      <c r="AA109">
        <f>IF($A53="AEO",'Growth Rates'!AA105,'Growth Rates'!AA105*AA$5)</f>
        <v>1.5006952838472309E-2</v>
      </c>
      <c r="AB109">
        <f>IF($A53="AEO",'Growth Rates'!AB105,'Growth Rates'!AB105*AB$5)</f>
        <v>1.426726576173565E-2</v>
      </c>
      <c r="AC109">
        <f>IF($A53="AEO",'Growth Rates'!AC105,'Growth Rates'!AC105*AC$5)</f>
        <v>1.4584016467146283E-2</v>
      </c>
    </row>
    <row r="110" spans="2:29" x14ac:dyDescent="0.25">
      <c r="B110" t="s">
        <v>610</v>
      </c>
      <c r="C110">
        <v>0</v>
      </c>
      <c r="D110">
        <f>IF($A54="AEO",'Growth Rates'!D106,'Growth Rates'!D106*D$5)</f>
        <v>2.1800534482148484E-2</v>
      </c>
      <c r="E110">
        <f>IF($A54="AEO",'Growth Rates'!E106,'Growth Rates'!E106*E$5)</f>
        <v>3.5203968930490208E-2</v>
      </c>
      <c r="F110">
        <f>IF($A54="AEO",'Growth Rates'!F106,'Growth Rates'!F106*F$5)</f>
        <v>2.2934335495278187E-2</v>
      </c>
      <c r="G110">
        <f>IF($A54="AEO",'Growth Rates'!G106,'Growth Rates'!G106*G$5)</f>
        <v>1.554886340968718E-2</v>
      </c>
      <c r="H110">
        <f>IF($A54="AEO",'Growth Rates'!H106,'Growth Rates'!H106*H$5)</f>
        <v>1.8462282695595546E-2</v>
      </c>
      <c r="I110">
        <f>IF($A54="AEO",'Growth Rates'!I106,'Growth Rates'!I106*I$5)</f>
        <v>2.0795310881320438E-2</v>
      </c>
      <c r="J110">
        <f>IF($A54="AEO",'Growth Rates'!J106,'Growth Rates'!J106*J$5)</f>
        <v>2.0070963454297024E-2</v>
      </c>
      <c r="K110">
        <f>IF($A54="AEO",'Growth Rates'!K106,'Growth Rates'!K106*K$5)</f>
        <v>2.2452575253562233E-2</v>
      </c>
      <c r="L110">
        <f>IF($A54="AEO",'Growth Rates'!L106,'Growth Rates'!L106*L$5)</f>
        <v>2.3891032735246918E-2</v>
      </c>
      <c r="M110">
        <f>IF($A54="AEO",'Growth Rates'!M106,'Growth Rates'!M106*M$5)</f>
        <v>2.4945065898301359E-2</v>
      </c>
      <c r="N110">
        <f>IF($A54="AEO",'Growth Rates'!N106,'Growth Rates'!N106*N$5)</f>
        <v>2.5882239604272952E-2</v>
      </c>
      <c r="O110">
        <f>IF($A54="AEO",'Growth Rates'!O106,'Growth Rates'!O106*O$5)</f>
        <v>2.1065625565874924E-2</v>
      </c>
      <c r="P110">
        <f>IF($A54="AEO",'Growth Rates'!P106,'Growth Rates'!P106*P$5)</f>
        <v>2.052859251270903E-2</v>
      </c>
      <c r="Q110">
        <f>IF($A54="AEO",'Growth Rates'!Q106,'Growth Rates'!Q106*Q$5)</f>
        <v>2.0245048174681941E-2</v>
      </c>
      <c r="R110">
        <f>IF($A54="AEO",'Growth Rates'!R106,'Growth Rates'!R106*R$5)</f>
        <v>1.9512332076138981E-2</v>
      </c>
      <c r="S110">
        <f>IF($A54="AEO",'Growth Rates'!S106,'Growth Rates'!S106*S$5)</f>
        <v>1.9255503257980137E-2</v>
      </c>
      <c r="T110">
        <f>IF($A54="AEO",'Growth Rates'!T106,'Growth Rates'!T106*T$5)</f>
        <v>1.8364553009363512E-2</v>
      </c>
      <c r="U110">
        <f>IF($A54="AEO",'Growth Rates'!U106,'Growth Rates'!U106*U$5)</f>
        <v>1.8534721720680925E-2</v>
      </c>
      <c r="V110">
        <f>IF($A54="AEO",'Growth Rates'!V106,'Growth Rates'!V106*V$5)</f>
        <v>1.8946962236319181E-2</v>
      </c>
      <c r="W110">
        <f>IF($A54="AEO",'Growth Rates'!W106,'Growth Rates'!W106*W$5)</f>
        <v>1.8692081605264973E-2</v>
      </c>
      <c r="X110">
        <f>IF($A54="AEO",'Growth Rates'!X106,'Growth Rates'!X106*X$5)</f>
        <v>1.8105112415749955E-2</v>
      </c>
      <c r="Y110">
        <f>IF($A54="AEO",'Growth Rates'!Y106,'Growth Rates'!Y106*Y$5)</f>
        <v>1.7221799664727432E-2</v>
      </c>
      <c r="Z110">
        <f>IF($A54="AEO",'Growth Rates'!Z106,'Growth Rates'!Z106*Z$5)</f>
        <v>1.6212670147024637E-2</v>
      </c>
      <c r="AA110">
        <f>IF($A54="AEO",'Growth Rates'!AA106,'Growth Rates'!AA106*AA$5)</f>
        <v>1.603774424283514E-2</v>
      </c>
      <c r="AB110">
        <f>IF($A54="AEO",'Growth Rates'!AB106,'Growth Rates'!AB106*AB$5)</f>
        <v>1.5247249844397319E-2</v>
      </c>
      <c r="AC110">
        <f>IF($A54="AEO",'Growth Rates'!AC106,'Growth Rates'!AC106*AC$5)</f>
        <v>1.5585757391984874E-2</v>
      </c>
    </row>
    <row r="111" spans="2:29" x14ac:dyDescent="0.25">
      <c r="B111" t="s">
        <v>942</v>
      </c>
      <c r="C111">
        <v>0</v>
      </c>
      <c r="D111">
        <f>IF($A55="AEO",'Growth Rates'!D107,'Growth Rates'!D107*D$5)</f>
        <v>4.6348945336369823E-3</v>
      </c>
      <c r="E111">
        <f>IF($A55="AEO",'Growth Rates'!E107,'Growth Rates'!E107*E$5)</f>
        <v>7.4845267345103562E-3</v>
      </c>
      <c r="F111">
        <f>IF($A55="AEO",'Growth Rates'!F107,'Growth Rates'!F107*F$5)</f>
        <v>4.8759458767721727E-3</v>
      </c>
      <c r="G111">
        <f>IF($A55="AEO",'Growth Rates'!G107,'Growth Rates'!G107*G$5)</f>
        <v>3.3057603280708565E-3</v>
      </c>
      <c r="H111">
        <f>IF($A55="AEO",'Growth Rates'!H107,'Growth Rates'!H107*H$5)</f>
        <v>3.925166752876936E-3</v>
      </c>
      <c r="I111">
        <f>IF($A55="AEO",'Growth Rates'!I107,'Growth Rates'!I107*I$5)</f>
        <v>4.4211793434715332E-3</v>
      </c>
      <c r="J111">
        <f>IF($A55="AEO",'Growth Rates'!J107,'Growth Rates'!J107*J$5)</f>
        <v>4.2671797278788981E-3</v>
      </c>
      <c r="K111">
        <f>IF($A55="AEO",'Growth Rates'!K107,'Growth Rates'!K107*K$5)</f>
        <v>4.7735214195791008E-3</v>
      </c>
      <c r="L111">
        <f>IF($A55="AEO",'Growth Rates'!L107,'Growth Rates'!L107*L$5)</f>
        <v>5.0793441380169889E-3</v>
      </c>
      <c r="M111">
        <f>IF($A55="AEO",'Growth Rates'!M107,'Growth Rates'!M107*M$5)</f>
        <v>5.3034364670244962E-3</v>
      </c>
      <c r="N111">
        <f>IF($A55="AEO",'Growth Rates'!N107,'Growth Rates'!N107*N$5)</f>
        <v>5.5026839345777767E-3</v>
      </c>
      <c r="O111">
        <f>IF($A55="AEO",'Growth Rates'!O107,'Growth Rates'!O107*O$5)</f>
        <v>4.4786494965464189E-3</v>
      </c>
      <c r="P111">
        <f>IF($A55="AEO",'Growth Rates'!P107,'Growth Rates'!P107*P$5)</f>
        <v>4.3644737838115216E-3</v>
      </c>
      <c r="Q111">
        <f>IF($A55="AEO",'Growth Rates'!Q107,'Growth Rates'!Q107*Q$5)</f>
        <v>4.3041909451755423E-3</v>
      </c>
      <c r="R111">
        <f>IF($A55="AEO",'Growth Rates'!R107,'Growth Rates'!R107*R$5)</f>
        <v>4.1484121112838569E-3</v>
      </c>
      <c r="S111">
        <f>IF($A55="AEO",'Growth Rates'!S107,'Growth Rates'!S107*S$5)</f>
        <v>4.0938091158233729E-3</v>
      </c>
      <c r="T111">
        <f>IF($A55="AEO",'Growth Rates'!T107,'Growth Rates'!T107*T$5)</f>
        <v>3.9043889692468225E-3</v>
      </c>
      <c r="U111">
        <f>IF($A55="AEO",'Growth Rates'!U107,'Growth Rates'!U107*U$5)</f>
        <v>3.9405676248906538E-3</v>
      </c>
      <c r="V111">
        <f>IF($A55="AEO",'Growth Rates'!V107,'Growth Rates'!V107*V$5)</f>
        <v>4.0282118665508765E-3</v>
      </c>
      <c r="W111">
        <f>IF($A55="AEO",'Growth Rates'!W107,'Growth Rates'!W107*W$5)</f>
        <v>3.9740230646859295E-3</v>
      </c>
      <c r="X111">
        <f>IF($A55="AEO",'Growth Rates'!X107,'Growth Rates'!X107*X$5)</f>
        <v>3.8492306982361888E-3</v>
      </c>
      <c r="Y111">
        <f>IF($A55="AEO",'Growth Rates'!Y107,'Growth Rates'!Y107*Y$5)</f>
        <v>3.6614343189979373E-3</v>
      </c>
      <c r="Z111">
        <f>IF($A55="AEO",'Growth Rates'!Z107,'Growth Rates'!Z107*Z$5)</f>
        <v>3.4468887128265673E-3</v>
      </c>
      <c r="AA111">
        <f>IF($A55="AEO",'Growth Rates'!AA107,'Growth Rates'!AA107*AA$5)</f>
        <v>3.4096986559596903E-3</v>
      </c>
      <c r="AB111">
        <f>IF($A55="AEO",'Growth Rates'!AB107,'Growth Rates'!AB107*AB$5)</f>
        <v>3.2416358880862565E-3</v>
      </c>
      <c r="AC111">
        <f>IF($A55="AEO",'Growth Rates'!AC107,'Growth Rates'!AC107*AC$5)</f>
        <v>3.3136041594693808E-3</v>
      </c>
    </row>
    <row r="112" spans="2:29" x14ac:dyDescent="0.25">
      <c r="B112" t="s">
        <v>700</v>
      </c>
      <c r="C112">
        <v>0</v>
      </c>
      <c r="D112">
        <f>IF($A56="AEO",'Growth Rates'!D108,'Growth Rates'!D108*D$5)</f>
        <v>4.32433001942799E-3</v>
      </c>
      <c r="E112">
        <f>IF($A56="AEO",'Growth Rates'!E108,'Growth Rates'!E108*E$5)</f>
        <v>6.9830205206109315E-3</v>
      </c>
      <c r="F112">
        <f>IF($A56="AEO",'Growth Rates'!F108,'Growth Rates'!F108*F$5)</f>
        <v>4.549229540178246E-3</v>
      </c>
      <c r="G112">
        <f>IF($A56="AEO",'Growth Rates'!G108,'Growth Rates'!G108*G$5)</f>
        <v>3.0842554280288109E-3</v>
      </c>
      <c r="H112">
        <f>IF($A56="AEO",'Growth Rates'!H108,'Growth Rates'!H108*H$5)</f>
        <v>3.6621580701658848E-3</v>
      </c>
      <c r="I112">
        <f>IF($A56="AEO",'Growth Rates'!I108,'Growth Rates'!I108*I$5)</f>
        <v>4.1249349726295856E-3</v>
      </c>
      <c r="J112">
        <f>IF($A56="AEO",'Growth Rates'!J108,'Growth Rates'!J108*J$5)</f>
        <v>3.9812542144473636E-3</v>
      </c>
      <c r="K112">
        <f>IF($A56="AEO",'Growth Rates'!K108,'Growth Rates'!K108*K$5)</f>
        <v>4.4536681090066805E-3</v>
      </c>
      <c r="L112">
        <f>IF($A56="AEO",'Growth Rates'!L108,'Growth Rates'!L108*L$5)</f>
        <v>4.738998951459808E-3</v>
      </c>
      <c r="M112">
        <f>IF($A56="AEO",'Growth Rates'!M108,'Growth Rates'!M108*M$5)</f>
        <v>4.9480758092864492E-3</v>
      </c>
      <c r="N112">
        <f>IF($A56="AEO",'Growth Rates'!N108,'Growth Rates'!N108*N$5)</f>
        <v>5.1339725538580138E-3</v>
      </c>
      <c r="O112">
        <f>IF($A56="AEO",'Growth Rates'!O108,'Growth Rates'!O108*O$5)</f>
        <v>4.1785542958653697E-3</v>
      </c>
      <c r="P112">
        <f>IF($A56="AEO",'Growth Rates'!P108,'Growth Rates'!P108*P$5)</f>
        <v>4.0720290106650457E-3</v>
      </c>
      <c r="Q112">
        <f>IF($A56="AEO",'Growth Rates'!Q108,'Growth Rates'!Q108*Q$5)</f>
        <v>4.0157854679311097E-3</v>
      </c>
      <c r="R112">
        <f>IF($A56="AEO",'Growth Rates'!R108,'Growth Rates'!R108*R$5)</f>
        <v>3.870444709279434E-3</v>
      </c>
      <c r="S112">
        <f>IF($A56="AEO",'Growth Rates'!S108,'Growth Rates'!S108*S$5)</f>
        <v>3.8195004276551496E-3</v>
      </c>
      <c r="T112">
        <f>IF($A56="AEO",'Growth Rates'!T108,'Growth Rates'!T108*T$5)</f>
        <v>3.6427725171965979E-3</v>
      </c>
      <c r="U112">
        <f>IF($A56="AEO",'Growth Rates'!U108,'Growth Rates'!U108*U$5)</f>
        <v>3.6765269954328922E-3</v>
      </c>
      <c r="V112">
        <f>IF($A56="AEO",'Growth Rates'!V108,'Growth Rates'!V108*V$5)</f>
        <v>3.7582985702747256E-3</v>
      </c>
      <c r="W112">
        <f>IF($A56="AEO",'Growth Rates'!W108,'Growth Rates'!W108*W$5)</f>
        <v>3.7077407288997354E-3</v>
      </c>
      <c r="X112">
        <f>IF($A56="AEO",'Growth Rates'!X108,'Growth Rates'!X108*X$5)</f>
        <v>3.5913101666684489E-3</v>
      </c>
      <c r="Y112">
        <f>IF($A56="AEO",'Growth Rates'!Y108,'Growth Rates'!Y108*Y$5)</f>
        <v>3.4160972218244576E-3</v>
      </c>
      <c r="Z112">
        <f>IF($A56="AEO",'Growth Rates'!Z108,'Growth Rates'!Z108*Z$5)</f>
        <v>3.2159274016548456E-3</v>
      </c>
      <c r="AA112">
        <f>IF($A56="AEO",'Growth Rates'!AA108,'Growth Rates'!AA108*AA$5)</f>
        <v>3.1812292918776911E-3</v>
      </c>
      <c r="AB112">
        <f>IF($A56="AEO",'Growth Rates'!AB108,'Growth Rates'!AB108*AB$5)</f>
        <v>3.0244276932676439E-3</v>
      </c>
      <c r="AC112">
        <f>IF($A56="AEO",'Growth Rates'!AC108,'Growth Rates'!AC108*AC$5)</f>
        <v>3.0915736777403858E-3</v>
      </c>
    </row>
    <row r="113" spans="1:29" x14ac:dyDescent="0.25">
      <c r="B113" t="s">
        <v>755</v>
      </c>
      <c r="C113">
        <v>0</v>
      </c>
      <c r="D113">
        <f>IF($A57="AEO",'Growth Rates'!D109,'Growth Rates'!D109*D$5)</f>
        <v>2.5349812721630109E-2</v>
      </c>
      <c r="E113">
        <f>IF($A57="AEO",'Growth Rates'!E109,'Growth Rates'!E109*E$5)</f>
        <v>4.0935419275007733E-2</v>
      </c>
      <c r="F113">
        <f>IF($A57="AEO",'Growth Rates'!F109,'Growth Rates'!F109*F$5)</f>
        <v>2.6668204404639885E-2</v>
      </c>
      <c r="G113">
        <f>IF($A57="AEO",'Growth Rates'!G109,'Growth Rates'!G109*G$5)</f>
        <v>1.8080326232026017E-2</v>
      </c>
      <c r="H113">
        <f>IF($A57="AEO",'Growth Rates'!H109,'Growth Rates'!H109*H$5)</f>
        <v>2.1468070387465819E-2</v>
      </c>
      <c r="I113">
        <f>IF($A57="AEO",'Growth Rates'!I109,'Growth Rates'!I109*I$5)</f>
        <v>2.4180931745559547E-2</v>
      </c>
      <c r="J113">
        <f>IF($A57="AEO",'Growth Rates'!J109,'Growth Rates'!J109*J$5)</f>
        <v>2.3338655532768798E-2</v>
      </c>
      <c r="K113">
        <f>IF($A57="AEO",'Growth Rates'!K109,'Growth Rates'!K109*K$5)</f>
        <v>2.6108010253701658E-2</v>
      </c>
      <c r="L113">
        <f>IF($A57="AEO",'Growth Rates'!L109,'Growth Rates'!L109*L$5)</f>
        <v>2.7780658591685933E-2</v>
      </c>
      <c r="M113">
        <f>IF($A57="AEO",'Growth Rates'!M109,'Growth Rates'!M109*M$5)</f>
        <v>2.9006295665295157E-2</v>
      </c>
      <c r="N113">
        <f>IF($A57="AEO",'Growth Rates'!N109,'Growth Rates'!N109*N$5)</f>
        <v>3.0096047751578623E-2</v>
      </c>
      <c r="O113">
        <f>IF($A57="AEO",'Growth Rates'!O109,'Growth Rates'!O109*O$5)</f>
        <v>2.4495255535876427E-2</v>
      </c>
      <c r="P113">
        <f>IF($A57="AEO",'Growth Rates'!P109,'Growth Rates'!P109*P$5)</f>
        <v>2.3870789776368175E-2</v>
      </c>
      <c r="Q113">
        <f>IF($A57="AEO",'Growth Rates'!Q109,'Growth Rates'!Q109*Q$5)</f>
        <v>2.3541082453221993E-2</v>
      </c>
      <c r="R113">
        <f>IF($A57="AEO",'Growth Rates'!R109,'Growth Rates'!R109*R$5)</f>
        <v>2.2689075091136574E-2</v>
      </c>
      <c r="S113">
        <f>IF($A57="AEO",'Growth Rates'!S109,'Growth Rates'!S109*S$5)</f>
        <v>2.2390432759813207E-2</v>
      </c>
      <c r="T113">
        <f>IF($A57="AEO",'Growth Rates'!T109,'Growth Rates'!T109*T$5)</f>
        <v>2.1354429630384641E-2</v>
      </c>
      <c r="U113">
        <f>IF($A57="AEO",'Growth Rates'!U109,'Growth Rates'!U109*U$5)</f>
        <v>2.1552302988329598E-2</v>
      </c>
      <c r="V113">
        <f>IF($A57="AEO",'Growth Rates'!V109,'Growth Rates'!V109*V$5)</f>
        <v>2.2031659119540747E-2</v>
      </c>
      <c r="W113">
        <f>IF($A57="AEO",'Growth Rates'!W109,'Growth Rates'!W109*W$5)</f>
        <v>2.1735282153696821E-2</v>
      </c>
      <c r="X113">
        <f>IF($A57="AEO",'Growth Rates'!X109,'Growth Rates'!X109*X$5)</f>
        <v>2.1052750308445188E-2</v>
      </c>
      <c r="Y113">
        <f>IF($A57="AEO",'Growth Rates'!Y109,'Growth Rates'!Y109*Y$5)</f>
        <v>2.0025628114198779E-2</v>
      </c>
      <c r="Z113">
        <f>IF($A57="AEO",'Growth Rates'!Z109,'Growth Rates'!Z109*Z$5)</f>
        <v>1.8852205310891726E-2</v>
      </c>
      <c r="AA113">
        <f>IF($A57="AEO",'Growth Rates'!AA109,'Growth Rates'!AA109*AA$5)</f>
        <v>1.8648800256075446E-2</v>
      </c>
      <c r="AB113">
        <f>IF($A57="AEO",'Growth Rates'!AB109,'Growth Rates'!AB109*AB$5)</f>
        <v>1.7729607886076196E-2</v>
      </c>
      <c r="AC113">
        <f>IF($A57="AEO",'Growth Rates'!AC109,'Growth Rates'!AC109*AC$5)</f>
        <v>1.8123226810567682E-2</v>
      </c>
    </row>
    <row r="114" spans="1:29" x14ac:dyDescent="0.25">
      <c r="B114" t="s">
        <v>840</v>
      </c>
      <c r="C114">
        <v>0</v>
      </c>
      <c r="D114">
        <f>IF($A58="AEO",'Growth Rates'!D110,'Growth Rates'!D110*D$5)</f>
        <v>2.0130973468245484E-2</v>
      </c>
      <c r="E114">
        <f>IF($A58="AEO",'Growth Rates'!E110,'Growth Rates'!E110*E$5)</f>
        <v>3.2507926128919111E-2</v>
      </c>
      <c r="F114">
        <f>IF($A58="AEO",'Growth Rates'!F110,'Growth Rates'!F110*F$5)</f>
        <v>2.1177944042855657E-2</v>
      </c>
      <c r="G114">
        <f>IF($A58="AEO",'Growth Rates'!G110,'Growth Rates'!G110*G$5)</f>
        <v>1.4358077184671737E-2</v>
      </c>
      <c r="H114">
        <f>IF($A58="AEO",'Growth Rates'!H110,'Growth Rates'!H110*H$5)</f>
        <v>1.704837665391282E-2</v>
      </c>
      <c r="I114">
        <f>IF($A58="AEO",'Growth Rates'!I110,'Growth Rates'!I110*I$5)</f>
        <v>1.9202733398971307E-2</v>
      </c>
      <c r="J114">
        <f>IF($A58="AEO",'Growth Rates'!J110,'Growth Rates'!J110*J$5)</f>
        <v>1.8533859025861753E-2</v>
      </c>
      <c r="K114">
        <f>IF($A58="AEO",'Growth Rates'!K110,'Growth Rates'!K110*K$5)</f>
        <v>2.0733078681780179E-2</v>
      </c>
      <c r="L114">
        <f>IF($A58="AEO",'Growth Rates'!L110,'Growth Rates'!L110*L$5)</f>
        <v>2.2061374069340778E-2</v>
      </c>
      <c r="M114">
        <f>IF($A58="AEO",'Growth Rates'!M110,'Growth Rates'!M110*M$5)</f>
        <v>2.3034685694222033E-2</v>
      </c>
      <c r="N114">
        <f>IF($A58="AEO",'Growth Rates'!N110,'Growth Rates'!N110*N$5)</f>
        <v>2.390008736708011E-2</v>
      </c>
      <c r="O114">
        <f>IF($A58="AEO",'Growth Rates'!O110,'Growth Rates'!O110*O$5)</f>
        <v>1.9452346441591866E-2</v>
      </c>
      <c r="P114">
        <f>IF($A58="AEO",'Growth Rates'!P110,'Growth Rates'!P110*P$5)</f>
        <v>1.8956441253867862E-2</v>
      </c>
      <c r="Q114">
        <f>IF($A58="AEO",'Growth Rates'!Q110,'Growth Rates'!Q110*Q$5)</f>
        <v>1.8694611730808757E-2</v>
      </c>
      <c r="R114">
        <f>IF($A58="AEO",'Growth Rates'!R110,'Growth Rates'!R110*R$5)</f>
        <v>1.8018009588251057E-2</v>
      </c>
      <c r="S114">
        <f>IF($A58="AEO",'Growth Rates'!S110,'Growth Rates'!S110*S$5)</f>
        <v>1.7780849617312262E-2</v>
      </c>
      <c r="T114">
        <f>IF($A58="AEO",'Growth Rates'!T110,'Growth Rates'!T110*T$5)</f>
        <v>1.6958131448126329E-2</v>
      </c>
      <c r="U114">
        <f>IF($A58="AEO",'Growth Rates'!U110,'Growth Rates'!U110*U$5)</f>
        <v>1.7115268045646975E-2</v>
      </c>
      <c r="V114">
        <f>IF($A58="AEO",'Growth Rates'!V110,'Growth Rates'!V110*V$5)</f>
        <v>1.7495937743889699E-2</v>
      </c>
      <c r="W114">
        <f>IF($A58="AEO",'Growth Rates'!W110,'Growth Rates'!W110*W$5)</f>
        <v>1.7260576761087946E-2</v>
      </c>
      <c r="X114">
        <f>IF($A58="AEO",'Growth Rates'!X110,'Growth Rates'!X110*X$5)</f>
        <v>1.6718559720612165E-2</v>
      </c>
      <c r="Y114">
        <f>IF($A58="AEO",'Growth Rates'!Y110,'Growth Rates'!Y110*Y$5)</f>
        <v>1.5902894142799925E-2</v>
      </c>
      <c r="Z114">
        <f>IF($A58="AEO",'Growth Rates'!Z110,'Growth Rates'!Z110*Z$5)</f>
        <v>1.497104728539681E-2</v>
      </c>
      <c r="AA114">
        <f>IF($A58="AEO",'Growth Rates'!AA110,'Growth Rates'!AA110*AA$5)</f>
        <v>1.4809517817436691E-2</v>
      </c>
      <c r="AB114">
        <f>IF($A58="AEO",'Growth Rates'!AB110,'Growth Rates'!AB110*AB$5)</f>
        <v>1.4079562238834742E-2</v>
      </c>
      <c r="AC114">
        <f>IF($A58="AEO",'Growth Rates'!AC110,'Growth Rates'!AC110*AC$5)</f>
        <v>1.43921456970461E-2</v>
      </c>
    </row>
    <row r="115" spans="1:29" x14ac:dyDescent="0.25">
      <c r="B115" t="s">
        <v>904</v>
      </c>
      <c r="C115">
        <v>0</v>
      </c>
      <c r="D115">
        <f>IF($A59="AEO",'Growth Rates'!D111,'Growth Rates'!D111*D$5)</f>
        <v>1.9280671087861002E-2</v>
      </c>
      <c r="E115">
        <f>IF($A59="AEO",'Growth Rates'!E111,'Growth Rates'!E111*E$5)</f>
        <v>3.1134839675231986E-2</v>
      </c>
      <c r="F115">
        <f>IF($A59="AEO",'Growth Rates'!F111,'Growth Rates'!F111*F$5)</f>
        <v>2.0283419182461064E-2</v>
      </c>
      <c r="G115">
        <f>IF($A59="AEO",'Growth Rates'!G111,'Growth Rates'!G111*G$5)</f>
        <v>1.3751613357816644E-2</v>
      </c>
      <c r="H115">
        <f>IF($A59="AEO",'Growth Rates'!H111,'Growth Rates'!H111*H$5)</f>
        <v>1.6328278578507792E-2</v>
      </c>
      <c r="I115">
        <f>IF($A59="AEO",'Growth Rates'!I111,'Growth Rates'!I111*I$5)</f>
        <v>1.8391638498628321E-2</v>
      </c>
      <c r="J115">
        <f>IF($A59="AEO",'Growth Rates'!J111,'Growth Rates'!J111*J$5)</f>
        <v>1.7751016384284612E-2</v>
      </c>
      <c r="K115">
        <f>IF($A59="AEO",'Growth Rates'!K111,'Growth Rates'!K111*K$5)</f>
        <v>1.9857344272630768E-2</v>
      </c>
      <c r="L115">
        <f>IF($A59="AEO",'Growth Rates'!L111,'Growth Rates'!L111*L$5)</f>
        <v>2.1129534438470318E-2</v>
      </c>
      <c r="M115">
        <f>IF($A59="AEO",'Growth Rates'!M111,'Growth Rates'!M111*M$5)</f>
        <v>2.2061734827831945E-2</v>
      </c>
      <c r="N115">
        <f>IF($A59="AEO",'Growth Rates'!N111,'Growth Rates'!N111*N$5)</f>
        <v>2.2890583221059472E-2</v>
      </c>
      <c r="O115">
        <f>IF($A59="AEO",'Growth Rates'!O111,'Growth Rates'!O111*O$5)</f>
        <v>1.8630708257554723E-2</v>
      </c>
      <c r="P115">
        <f>IF($A59="AEO",'Growth Rates'!P111,'Growth Rates'!P111*P$5)</f>
        <v>1.815574936744677E-2</v>
      </c>
      <c r="Q115">
        <f>IF($A59="AEO",'Growth Rates'!Q111,'Growth Rates'!Q111*Q$5)</f>
        <v>1.7904979134047119E-2</v>
      </c>
      <c r="R115">
        <f>IF($A59="AEO",'Growth Rates'!R111,'Growth Rates'!R111*R$5)</f>
        <v>1.7256955659743962E-2</v>
      </c>
      <c r="S115">
        <f>IF($A59="AEO",'Growth Rates'!S111,'Growth Rates'!S111*S$5)</f>
        <v>1.7029812973271777E-2</v>
      </c>
      <c r="T115">
        <f>IF($A59="AEO",'Growth Rates'!T111,'Growth Rates'!T111*T$5)</f>
        <v>1.6241845196000467E-2</v>
      </c>
      <c r="U115">
        <f>IF($A59="AEO",'Growth Rates'!U111,'Growth Rates'!U111*U$5)</f>
        <v>1.6392344577336408E-2</v>
      </c>
      <c r="V115">
        <f>IF($A59="AEO",'Growth Rates'!V111,'Growth Rates'!V111*V$5)</f>
        <v>1.67569353536598E-2</v>
      </c>
      <c r="W115">
        <f>IF($A59="AEO",'Growth Rates'!W111,'Growth Rates'!W111*W$5)</f>
        <v>1.6531515668741215E-2</v>
      </c>
      <c r="X115">
        <f>IF($A59="AEO",'Growth Rates'!X111,'Growth Rates'!X111*X$5)</f>
        <v>1.6012392621963877E-2</v>
      </c>
      <c r="Y115">
        <f>IF($A59="AEO",'Growth Rates'!Y111,'Growth Rates'!Y111*Y$5)</f>
        <v>1.5231179545095289E-2</v>
      </c>
      <c r="Z115">
        <f>IF($A59="AEO",'Growth Rates'!Z111,'Growth Rates'!Z111*Z$5)</f>
        <v>1.4338692513100196E-2</v>
      </c>
      <c r="AA115">
        <f>IF($A59="AEO",'Growth Rates'!AA111,'Growth Rates'!AA111*AA$5)</f>
        <v>1.4183985809639043E-2</v>
      </c>
      <c r="AB115">
        <f>IF($A59="AEO",'Growth Rates'!AB111,'Growth Rates'!AB111*AB$5)</f>
        <v>1.3484862469082572E-2</v>
      </c>
      <c r="AC115">
        <f>IF($A59="AEO",'Growth Rates'!AC111,'Growth Rates'!AC111*AC$5)</f>
        <v>1.3784242866895226E-2</v>
      </c>
    </row>
    <row r="116" spans="1:29" x14ac:dyDescent="0.25">
      <c r="B116" t="s">
        <v>937</v>
      </c>
      <c r="C116">
        <v>0</v>
      </c>
      <c r="D116">
        <f>IF($A60="AEO",'Growth Rates'!D112,'Growth Rates'!D112*D$5)</f>
        <v>1.6470796474019032E-2</v>
      </c>
      <c r="E116">
        <f>IF($A60="AEO",'Growth Rates'!E112,'Growth Rates'!E112*E$5)</f>
        <v>2.6597394105479271E-2</v>
      </c>
      <c r="F116">
        <f>IF($A60="AEO",'Growth Rates'!F112,'Growth Rates'!F112*F$5)</f>
        <v>1.7327408762336446E-2</v>
      </c>
      <c r="G116">
        <f>IF($A60="AEO",'Growth Rates'!G112,'Growth Rates'!G112*G$5)</f>
        <v>1.1747517696549603E-2</v>
      </c>
      <c r="H116">
        <f>IF($A60="AEO",'Growth Rates'!H112,'Growth Rates'!H112*H$5)</f>
        <v>1.3948671807746853E-2</v>
      </c>
      <c r="I116">
        <f>IF($A60="AEO",'Growth Rates'!I112,'Growth Rates'!I112*I$5)</f>
        <v>1.571132732643107E-2</v>
      </c>
      <c r="J116">
        <f>IF($A60="AEO",'Growth Rates'!J112,'Growth Rates'!J112*J$5)</f>
        <v>1.5164066475705073E-2</v>
      </c>
      <c r="K116">
        <f>IF($A60="AEO",'Growth Rates'!K112,'Growth Rates'!K112*K$5)</f>
        <v>1.6963428012365601E-2</v>
      </c>
      <c r="L116">
        <f>IF($A60="AEO",'Growth Rates'!L112,'Growth Rates'!L112*L$5)</f>
        <v>1.8050215147642455E-2</v>
      </c>
      <c r="M116">
        <f>IF($A60="AEO",'Growth Rates'!M112,'Growth Rates'!M112*M$5)</f>
        <v>1.88465610225453E-2</v>
      </c>
      <c r="N116">
        <f>IF($A60="AEO",'Growth Rates'!N112,'Growth Rates'!N112*N$5)</f>
        <v>1.9554616936701907E-2</v>
      </c>
      <c r="O116">
        <f>IF($A60="AEO",'Growth Rates'!O112,'Growth Rates'!O112*O$5)</f>
        <v>1.5915556179484255E-2</v>
      </c>
      <c r="P116">
        <f>IF($A60="AEO",'Growth Rates'!P112,'Growth Rates'!P112*P$5)</f>
        <v>1.5509815571346432E-2</v>
      </c>
      <c r="Q116">
        <f>IF($A60="AEO",'Growth Rates'!Q112,'Growth Rates'!Q112*Q$5)</f>
        <v>1.5295591416116255E-2</v>
      </c>
      <c r="R116">
        <f>IF($A60="AEO",'Growth Rates'!R112,'Growth Rates'!R112*R$5)</f>
        <v>1.4742007844932683E-2</v>
      </c>
      <c r="S116">
        <f>IF($A60="AEO",'Growth Rates'!S112,'Growth Rates'!S112*S$5)</f>
        <v>1.4547967868710033E-2</v>
      </c>
      <c r="T116">
        <f>IF($A60="AEO",'Growth Rates'!T112,'Growth Rates'!T112*T$5)</f>
        <v>1.387483482119427E-2</v>
      </c>
      <c r="U116">
        <f>IF($A60="AEO",'Growth Rates'!U112,'Growth Rates'!U112*U$5)</f>
        <v>1.4003401128256616E-2</v>
      </c>
      <c r="V116">
        <f>IF($A60="AEO",'Growth Rates'!V112,'Growth Rates'!V112*V$5)</f>
        <v>1.4314858154091573E-2</v>
      </c>
      <c r="W116">
        <f>IF($A60="AEO",'Growth Rates'!W112,'Growth Rates'!W112*W$5)</f>
        <v>1.4122290077253775E-2</v>
      </c>
      <c r="X116">
        <f>IF($A60="AEO",'Growth Rates'!X112,'Growth Rates'!X112*X$5)</f>
        <v>1.3678821589591772E-2</v>
      </c>
      <c r="Y116">
        <f>IF($A60="AEO",'Growth Rates'!Y112,'Growth Rates'!Y112*Y$5)</f>
        <v>1.3011458844109029E-2</v>
      </c>
      <c r="Z116">
        <f>IF($A60="AEO",'Growth Rates'!Z112,'Growth Rates'!Z112*Z$5)</f>
        <v>1.2249038688051935E-2</v>
      </c>
      <c r="AA116">
        <f>IF($A60="AEO",'Growth Rates'!AA112,'Growth Rates'!AA112*AA$5)</f>
        <v>1.2116878214266383E-2</v>
      </c>
      <c r="AB116">
        <f>IF($A60="AEO",'Growth Rates'!AB112,'Growth Rates'!AB112*AB$5)</f>
        <v>1.151964183177388E-2</v>
      </c>
      <c r="AC116">
        <f>IF($A60="AEO",'Growth Rates'!AC112,'Growth Rates'!AC112*AC$5)</f>
        <v>1.1775391933946808E-2</v>
      </c>
    </row>
    <row r="119" spans="1:29" x14ac:dyDescent="0.25">
      <c r="A119" s="1" t="s">
        <v>1237</v>
      </c>
    </row>
    <row r="120" spans="1:29" x14ac:dyDescent="0.25">
      <c r="C120" s="1">
        <v>2024</v>
      </c>
      <c r="D120" s="1">
        <v>2025</v>
      </c>
      <c r="E120" s="1">
        <v>2026</v>
      </c>
      <c r="F120" s="1">
        <v>2027</v>
      </c>
      <c r="G120" s="1">
        <v>2028</v>
      </c>
      <c r="H120" s="1">
        <v>2029</v>
      </c>
      <c r="I120" s="1">
        <v>2030</v>
      </c>
      <c r="J120" s="1">
        <v>2031</v>
      </c>
      <c r="K120" s="1">
        <v>2032</v>
      </c>
      <c r="L120" s="1">
        <v>2033</v>
      </c>
      <c r="M120" s="1">
        <v>2034</v>
      </c>
      <c r="N120" s="1">
        <v>2035</v>
      </c>
      <c r="O120" s="1">
        <v>2036</v>
      </c>
      <c r="P120" s="1">
        <v>2037</v>
      </c>
      <c r="Q120" s="1">
        <v>2038</v>
      </c>
      <c r="R120" s="1">
        <v>2039</v>
      </c>
      <c r="S120" s="1">
        <v>2040</v>
      </c>
      <c r="T120" s="1">
        <v>2041</v>
      </c>
      <c r="U120" s="1">
        <v>2042</v>
      </c>
      <c r="V120" s="1">
        <v>2043</v>
      </c>
      <c r="W120" s="1">
        <v>2044</v>
      </c>
      <c r="X120" s="1">
        <v>2045</v>
      </c>
      <c r="Y120" s="1">
        <v>2046</v>
      </c>
      <c r="Z120" s="1">
        <v>2047</v>
      </c>
      <c r="AA120" s="1">
        <v>2048</v>
      </c>
      <c r="AB120" s="1">
        <v>2049</v>
      </c>
      <c r="AC120" s="1">
        <v>2050</v>
      </c>
    </row>
    <row r="121" spans="1:29" x14ac:dyDescent="0.25">
      <c r="B121" t="s">
        <v>66</v>
      </c>
      <c r="C121">
        <v>0</v>
      </c>
      <c r="D121">
        <f t="shared" ref="D121:AC121" si="0">(1+C121)*(1+D65)-1</f>
        <v>-9.9246442360578335E-2</v>
      </c>
      <c r="E121">
        <f t="shared" si="0"/>
        <v>-9.7064668108561514E-2</v>
      </c>
      <c r="F121">
        <f t="shared" si="0"/>
        <v>-8.4352244459260706E-2</v>
      </c>
      <c r="G121">
        <f t="shared" si="0"/>
        <v>-6.6010148841965433E-2</v>
      </c>
      <c r="H121">
        <f t="shared" si="0"/>
        <v>-5.3677079145085127E-2</v>
      </c>
      <c r="I121">
        <f t="shared" si="0"/>
        <v>-4.1559286496916203E-2</v>
      </c>
      <c r="J121">
        <f t="shared" si="0"/>
        <v>-2.9646012334294536E-2</v>
      </c>
      <c r="K121">
        <f t="shared" si="0"/>
        <v>-1.752046208839797E-2</v>
      </c>
      <c r="L121">
        <f t="shared" si="0"/>
        <v>-1.0900037249274686E-2</v>
      </c>
      <c r="M121">
        <f t="shared" si="0"/>
        <v>2.1234382306358768E-3</v>
      </c>
      <c r="N121">
        <f t="shared" si="0"/>
        <v>1.6502466686875827E-2</v>
      </c>
      <c r="O121">
        <f t="shared" si="0"/>
        <v>3.0867334743436059E-2</v>
      </c>
      <c r="P121">
        <f t="shared" si="0"/>
        <v>4.4812748748507936E-2</v>
      </c>
      <c r="Q121">
        <f t="shared" si="0"/>
        <v>5.9567168843496443E-2</v>
      </c>
      <c r="R121">
        <f t="shared" si="0"/>
        <v>7.4789182781231034E-2</v>
      </c>
      <c r="S121">
        <f t="shared" si="0"/>
        <v>8.7681486191813152E-2</v>
      </c>
      <c r="T121">
        <f t="shared" si="0"/>
        <v>9.9901508388601457E-2</v>
      </c>
      <c r="U121">
        <f t="shared" si="0"/>
        <v>0.11352171201926886</v>
      </c>
      <c r="V121">
        <f t="shared" si="0"/>
        <v>0.12640291538391568</v>
      </c>
      <c r="W121">
        <f t="shared" si="0"/>
        <v>0.1404278484774657</v>
      </c>
      <c r="X121">
        <f t="shared" si="0"/>
        <v>0.15636745505208482</v>
      </c>
      <c r="Y121">
        <f t="shared" si="0"/>
        <v>0.17311210169117919</v>
      </c>
      <c r="Z121">
        <f t="shared" si="0"/>
        <v>0.19000638273983994</v>
      </c>
      <c r="AA121">
        <f t="shared" si="0"/>
        <v>0.20714159844213698</v>
      </c>
      <c r="AB121">
        <f t="shared" si="0"/>
        <v>0.22415685718588718</v>
      </c>
      <c r="AC121">
        <f t="shared" si="0"/>
        <v>0.24131608803521631</v>
      </c>
    </row>
    <row r="122" spans="1:29" x14ac:dyDescent="0.25">
      <c r="B122" t="s">
        <v>73</v>
      </c>
      <c r="C122">
        <v>0</v>
      </c>
      <c r="D122">
        <f t="shared" ref="D122:AC122" si="1">(1+C122)*(1+D66)-1</f>
        <v>1.4640707976905754E-2</v>
      </c>
      <c r="E122">
        <f t="shared" si="1"/>
        <v>3.8628973564038382E-2</v>
      </c>
      <c r="F122">
        <f t="shared" si="1"/>
        <v>5.4626083588349417E-2</v>
      </c>
      <c r="G122">
        <f t="shared" si="1"/>
        <v>6.5638740104079885E-2</v>
      </c>
      <c r="H122">
        <f t="shared" si="1"/>
        <v>7.8851402371931112E-2</v>
      </c>
      <c r="I122">
        <f t="shared" si="1"/>
        <v>9.391823572237068E-2</v>
      </c>
      <c r="J122">
        <f t="shared" si="1"/>
        <v>0.10866334580724191</v>
      </c>
      <c r="K122">
        <f t="shared" si="1"/>
        <v>0.12538043990195269</v>
      </c>
      <c r="L122">
        <f t="shared" si="1"/>
        <v>0.14343675906922271</v>
      </c>
      <c r="M122">
        <f t="shared" si="1"/>
        <v>0.16259218187386226</v>
      </c>
      <c r="N122">
        <f t="shared" si="1"/>
        <v>0.18280022166954923</v>
      </c>
      <c r="O122">
        <f t="shared" si="1"/>
        <v>0.1995334868936276</v>
      </c>
      <c r="P122">
        <f t="shared" si="1"/>
        <v>0.21607085858551578</v>
      </c>
      <c r="Q122">
        <f t="shared" si="1"/>
        <v>0.23260465679526687</v>
      </c>
      <c r="R122">
        <f t="shared" si="1"/>
        <v>0.24875671681320144</v>
      </c>
      <c r="S122">
        <f t="shared" si="1"/>
        <v>0.26490504800612102</v>
      </c>
      <c r="T122">
        <f t="shared" si="1"/>
        <v>0.28050535787774744</v>
      </c>
      <c r="U122">
        <f t="shared" si="1"/>
        <v>0.2964444069206309</v>
      </c>
      <c r="V122">
        <f t="shared" si="1"/>
        <v>0.31294077828928346</v>
      </c>
      <c r="W122">
        <f t="shared" si="1"/>
        <v>0.32942231653395582</v>
      </c>
      <c r="X122">
        <f t="shared" si="1"/>
        <v>0.34558669936514663</v>
      </c>
      <c r="Y122">
        <f t="shared" si="1"/>
        <v>0.36114940688512021</v>
      </c>
      <c r="Z122">
        <f t="shared" si="1"/>
        <v>0.37596964843636904</v>
      </c>
      <c r="AA122">
        <f t="shared" si="1"/>
        <v>0.39078960990892941</v>
      </c>
      <c r="AB122">
        <f t="shared" si="1"/>
        <v>0.40503085272626582</v>
      </c>
      <c r="AC122">
        <f t="shared" si="1"/>
        <v>0.41973733181083395</v>
      </c>
    </row>
    <row r="123" spans="1:29" x14ac:dyDescent="0.25">
      <c r="B123" t="s">
        <v>78</v>
      </c>
      <c r="C123">
        <v>0</v>
      </c>
      <c r="D123">
        <f t="shared" ref="D123:AC123" si="2">(1+C123)*(1+D67)-1</f>
        <v>1.3725663728349158E-2</v>
      </c>
      <c r="E123">
        <f t="shared" si="2"/>
        <v>3.6194381222533822E-2</v>
      </c>
      <c r="F123">
        <f t="shared" si="2"/>
        <v>5.1156517556433023E-2</v>
      </c>
      <c r="G123">
        <f t="shared" si="2"/>
        <v>6.1446917382964594E-2</v>
      </c>
      <c r="H123">
        <f t="shared" si="2"/>
        <v>7.3785062959564218E-2</v>
      </c>
      <c r="I123">
        <f t="shared" si="2"/>
        <v>8.7843886794889192E-2</v>
      </c>
      <c r="J123">
        <f t="shared" si="2"/>
        <v>0.10159066764034508</v>
      </c>
      <c r="K123">
        <f t="shared" si="2"/>
        <v>0.11716296263168746</v>
      </c>
      <c r="L123">
        <f t="shared" si="2"/>
        <v>0.13396715582375385</v>
      </c>
      <c r="M123">
        <f t="shared" si="2"/>
        <v>0.15177664015691605</v>
      </c>
      <c r="N123">
        <f t="shared" si="2"/>
        <v>0.17054543265267452</v>
      </c>
      <c r="O123">
        <f t="shared" si="2"/>
        <v>0.18607033398102657</v>
      </c>
      <c r="P123">
        <f t="shared" si="2"/>
        <v>0.20140011075993569</v>
      </c>
      <c r="Q123">
        <f t="shared" si="2"/>
        <v>0.21671354844448643</v>
      </c>
      <c r="R123">
        <f t="shared" si="2"/>
        <v>0.23166088234132332</v>
      </c>
      <c r="S123">
        <f t="shared" si="2"/>
        <v>0.24659268479253038</v>
      </c>
      <c r="T123">
        <f t="shared" si="2"/>
        <v>0.2610062411182017</v>
      </c>
      <c r="U123">
        <f t="shared" si="2"/>
        <v>0.27572155463454617</v>
      </c>
      <c r="V123">
        <f t="shared" si="2"/>
        <v>0.2909396988834716</v>
      </c>
      <c r="W123">
        <f t="shared" si="2"/>
        <v>0.30613221963336734</v>
      </c>
      <c r="X123">
        <f t="shared" si="2"/>
        <v>0.32102084430401923</v>
      </c>
      <c r="Y123">
        <f t="shared" si="2"/>
        <v>0.33534451792724562</v>
      </c>
      <c r="Z123">
        <f t="shared" si="2"/>
        <v>0.34897509014555306</v>
      </c>
      <c r="AA123">
        <f t="shared" si="2"/>
        <v>0.36259622921336354</v>
      </c>
      <c r="AB123">
        <f t="shared" si="2"/>
        <v>0.37567674631491643</v>
      </c>
      <c r="AC123">
        <f t="shared" si="2"/>
        <v>0.38917602370014559</v>
      </c>
    </row>
    <row r="124" spans="1:29" x14ac:dyDescent="0.25">
      <c r="B124" t="s">
        <v>90</v>
      </c>
      <c r="C124">
        <v>0</v>
      </c>
      <c r="D124">
        <f t="shared" ref="D124:AC124" si="3">(1+C124)*(1+D68)-1</f>
        <v>7.1210619379968643E-2</v>
      </c>
      <c r="E124">
        <f t="shared" si="3"/>
        <v>0.16921097449604217</v>
      </c>
      <c r="F124">
        <f t="shared" si="3"/>
        <v>0.16091028892820125</v>
      </c>
      <c r="G124">
        <f t="shared" si="3"/>
        <v>0.16735899552880551</v>
      </c>
      <c r="H124">
        <f t="shared" si="3"/>
        <v>0.17430614782541021</v>
      </c>
      <c r="I124">
        <f t="shared" si="3"/>
        <v>0.19963971784863777</v>
      </c>
      <c r="J124">
        <f t="shared" si="3"/>
        <v>0.21896509914686879</v>
      </c>
      <c r="K124">
        <f t="shared" si="3"/>
        <v>0.23705345943915801</v>
      </c>
      <c r="L124">
        <f t="shared" si="3"/>
        <v>0.250497742024683</v>
      </c>
      <c r="M124">
        <f t="shared" si="3"/>
        <v>0.26717464122534351</v>
      </c>
      <c r="N124">
        <f t="shared" si="3"/>
        <v>0.27178161626265518</v>
      </c>
      <c r="O124">
        <f t="shared" si="3"/>
        <v>0.27732978468717762</v>
      </c>
      <c r="P124">
        <f t="shared" si="3"/>
        <v>0.28440113514050069</v>
      </c>
      <c r="Q124">
        <f t="shared" si="3"/>
        <v>0.29091487464485066</v>
      </c>
      <c r="R124">
        <f t="shared" si="3"/>
        <v>0.29929356720442679</v>
      </c>
      <c r="S124">
        <f t="shared" si="3"/>
        <v>0.31463461596419995</v>
      </c>
      <c r="T124">
        <f t="shared" si="3"/>
        <v>0.33322183217357448</v>
      </c>
      <c r="U124">
        <f t="shared" si="3"/>
        <v>0.34371362499065983</v>
      </c>
      <c r="V124">
        <f t="shared" si="3"/>
        <v>0.35527634530552898</v>
      </c>
      <c r="W124">
        <f t="shared" si="3"/>
        <v>0.36215458181365978</v>
      </c>
      <c r="X124">
        <f t="shared" si="3"/>
        <v>0.3671011792936929</v>
      </c>
      <c r="Y124">
        <f t="shared" si="3"/>
        <v>0.37220321130298961</v>
      </c>
      <c r="Z124">
        <f t="shared" si="3"/>
        <v>0.37977573278249399</v>
      </c>
      <c r="AA124">
        <f t="shared" si="3"/>
        <v>0.38276615107801648</v>
      </c>
      <c r="AB124">
        <f t="shared" si="3"/>
        <v>0.3827882962473006</v>
      </c>
      <c r="AC124">
        <f t="shared" si="3"/>
        <v>0.38024740309101923</v>
      </c>
    </row>
    <row r="125" spans="1:29" x14ac:dyDescent="0.25">
      <c r="B125" t="s">
        <v>85</v>
      </c>
      <c r="C125">
        <v>0</v>
      </c>
      <c r="D125">
        <f t="shared" ref="D125:AC125" si="4">(1+C125)*(1+D69)-1</f>
        <v>7.1210619379968643E-2</v>
      </c>
      <c r="E125">
        <f t="shared" si="4"/>
        <v>0.16921097449604217</v>
      </c>
      <c r="F125">
        <f t="shared" si="4"/>
        <v>0.16091028892820125</v>
      </c>
      <c r="G125">
        <f t="shared" si="4"/>
        <v>0.16735899552880551</v>
      </c>
      <c r="H125">
        <f t="shared" si="4"/>
        <v>0.17430614782541021</v>
      </c>
      <c r="I125">
        <f t="shared" si="4"/>
        <v>0.19963971784863777</v>
      </c>
      <c r="J125">
        <f t="shared" si="4"/>
        <v>0.21896509914686879</v>
      </c>
      <c r="K125">
        <f t="shared" si="4"/>
        <v>0.23705345943915801</v>
      </c>
      <c r="L125">
        <f t="shared" si="4"/>
        <v>0.250497742024683</v>
      </c>
      <c r="M125">
        <f t="shared" si="4"/>
        <v>0.26717464122534351</v>
      </c>
      <c r="N125">
        <f t="shared" si="4"/>
        <v>0.27178161626265518</v>
      </c>
      <c r="O125">
        <f t="shared" si="4"/>
        <v>0.27732978468717762</v>
      </c>
      <c r="P125">
        <f t="shared" si="4"/>
        <v>0.28440113514050069</v>
      </c>
      <c r="Q125">
        <f t="shared" si="4"/>
        <v>0.29091487464485066</v>
      </c>
      <c r="R125">
        <f t="shared" si="4"/>
        <v>0.29929356720442679</v>
      </c>
      <c r="S125">
        <f t="shared" si="4"/>
        <v>0.31463461596419995</v>
      </c>
      <c r="T125">
        <f t="shared" si="4"/>
        <v>0.33322183217357448</v>
      </c>
      <c r="U125">
        <f t="shared" si="4"/>
        <v>0.34371362499065983</v>
      </c>
      <c r="V125">
        <f t="shared" si="4"/>
        <v>0.35527634530552898</v>
      </c>
      <c r="W125">
        <f t="shared" si="4"/>
        <v>0.36215458181365978</v>
      </c>
      <c r="X125">
        <f t="shared" si="4"/>
        <v>0.3671011792936929</v>
      </c>
      <c r="Y125">
        <f t="shared" si="4"/>
        <v>0.37220321130298961</v>
      </c>
      <c r="Z125">
        <f t="shared" si="4"/>
        <v>0.37977573278249399</v>
      </c>
      <c r="AA125">
        <f t="shared" si="4"/>
        <v>0.38276615107801648</v>
      </c>
      <c r="AB125">
        <f t="shared" si="4"/>
        <v>0.3827882962473006</v>
      </c>
      <c r="AC125">
        <f t="shared" si="4"/>
        <v>0.38024740309101923</v>
      </c>
    </row>
    <row r="126" spans="1:29" x14ac:dyDescent="0.25">
      <c r="B126" t="s">
        <v>93</v>
      </c>
      <c r="C126">
        <v>0</v>
      </c>
      <c r="D126">
        <f t="shared" ref="D126:AC126" si="5">(1+C126)*(1+D70)-1</f>
        <v>2.3791150462471933E-2</v>
      </c>
      <c r="E126">
        <f t="shared" si="5"/>
        <v>6.3123627933269866E-2</v>
      </c>
      <c r="F126">
        <f t="shared" si="5"/>
        <v>8.9731995673189013E-2</v>
      </c>
      <c r="G126">
        <f t="shared" si="5"/>
        <v>0.10822326197848597</v>
      </c>
      <c r="H126">
        <f t="shared" si="5"/>
        <v>0.13055183458111164</v>
      </c>
      <c r="I126">
        <f t="shared" si="5"/>
        <v>0.15620873559486848</v>
      </c>
      <c r="J126">
        <f t="shared" si="5"/>
        <v>0.18153392888848741</v>
      </c>
      <c r="K126">
        <f t="shared" si="5"/>
        <v>0.21048473496729581</v>
      </c>
      <c r="L126">
        <f t="shared" si="5"/>
        <v>0.24204513815488005</v>
      </c>
      <c r="M126">
        <f t="shared" si="5"/>
        <v>0.27585709741675668</v>
      </c>
      <c r="N126">
        <f t="shared" si="5"/>
        <v>0.31189439280313902</v>
      </c>
      <c r="O126">
        <f t="shared" si="5"/>
        <v>0.34205371234010706</v>
      </c>
      <c r="P126">
        <f t="shared" si="5"/>
        <v>0.37211983148989214</v>
      </c>
      <c r="Q126">
        <f t="shared" si="5"/>
        <v>0.40243494216916487</v>
      </c>
      <c r="R126">
        <f t="shared" si="5"/>
        <v>0.43229840771950401</v>
      </c>
      <c r="S126">
        <f t="shared" si="5"/>
        <v>0.46239634169514865</v>
      </c>
      <c r="T126">
        <f t="shared" si="5"/>
        <v>0.49170485279446052</v>
      </c>
      <c r="U126">
        <f t="shared" si="5"/>
        <v>0.52187776817695197</v>
      </c>
      <c r="V126">
        <f t="shared" si="5"/>
        <v>0.55334566116930106</v>
      </c>
      <c r="W126">
        <f t="shared" si="5"/>
        <v>0.58503214719425589</v>
      </c>
      <c r="X126">
        <f t="shared" si="5"/>
        <v>0.61634968446293281</v>
      </c>
      <c r="Y126">
        <f t="shared" si="5"/>
        <v>0.6467278929253788</v>
      </c>
      <c r="Z126">
        <f t="shared" si="5"/>
        <v>0.67586354155857697</v>
      </c>
      <c r="AA126">
        <f t="shared" si="5"/>
        <v>0.70519476907839107</v>
      </c>
      <c r="AB126">
        <f t="shared" si="5"/>
        <v>0.73356832784634274</v>
      </c>
      <c r="AC126">
        <f t="shared" si="5"/>
        <v>0.76305441724197354</v>
      </c>
    </row>
    <row r="127" spans="1:29" x14ac:dyDescent="0.25">
      <c r="B127" t="s">
        <v>96</v>
      </c>
      <c r="C127">
        <v>0</v>
      </c>
      <c r="D127">
        <f t="shared" ref="D127:AC127" si="6">(1+C127)*(1+D71)-1</f>
        <v>7.1210619379968643E-2</v>
      </c>
      <c r="E127">
        <f t="shared" si="6"/>
        <v>0.16921097449604217</v>
      </c>
      <c r="F127">
        <f t="shared" si="6"/>
        <v>0.16091028892820125</v>
      </c>
      <c r="G127">
        <f t="shared" si="6"/>
        <v>0.16735899552880551</v>
      </c>
      <c r="H127">
        <f t="shared" si="6"/>
        <v>0.17430614782541021</v>
      </c>
      <c r="I127">
        <f t="shared" si="6"/>
        <v>0.19963971784863777</v>
      </c>
      <c r="J127">
        <f t="shared" si="6"/>
        <v>0.21896509914686879</v>
      </c>
      <c r="K127">
        <f t="shared" si="6"/>
        <v>0.23705345943915801</v>
      </c>
      <c r="L127">
        <f t="shared" si="6"/>
        <v>0.250497742024683</v>
      </c>
      <c r="M127">
        <f t="shared" si="6"/>
        <v>0.26717464122534351</v>
      </c>
      <c r="N127">
        <f t="shared" si="6"/>
        <v>0.27178161626265518</v>
      </c>
      <c r="O127">
        <f t="shared" si="6"/>
        <v>0.27732978468717762</v>
      </c>
      <c r="P127">
        <f t="shared" si="6"/>
        <v>0.28440113514050069</v>
      </c>
      <c r="Q127">
        <f t="shared" si="6"/>
        <v>0.29091487464485066</v>
      </c>
      <c r="R127">
        <f t="shared" si="6"/>
        <v>0.29929356720442679</v>
      </c>
      <c r="S127">
        <f t="shared" si="6"/>
        <v>0.31463461596419995</v>
      </c>
      <c r="T127">
        <f t="shared" si="6"/>
        <v>0.33322183217357448</v>
      </c>
      <c r="U127">
        <f t="shared" si="6"/>
        <v>0.34371362499065983</v>
      </c>
      <c r="V127">
        <f t="shared" si="6"/>
        <v>0.35527634530552898</v>
      </c>
      <c r="W127">
        <f t="shared" si="6"/>
        <v>0.36215458181365978</v>
      </c>
      <c r="X127">
        <f t="shared" si="6"/>
        <v>0.3671011792936929</v>
      </c>
      <c r="Y127">
        <f t="shared" si="6"/>
        <v>0.37220321130298961</v>
      </c>
      <c r="Z127">
        <f t="shared" si="6"/>
        <v>0.37977573278249399</v>
      </c>
      <c r="AA127">
        <f t="shared" si="6"/>
        <v>0.38276615107801648</v>
      </c>
      <c r="AB127">
        <f t="shared" si="6"/>
        <v>0.3827882962473006</v>
      </c>
      <c r="AC127">
        <f t="shared" si="6"/>
        <v>0.38024740309101923</v>
      </c>
    </row>
    <row r="128" spans="1:29" x14ac:dyDescent="0.25">
      <c r="B128" t="s">
        <v>99</v>
      </c>
      <c r="C128">
        <v>0</v>
      </c>
      <c r="D128">
        <f t="shared" ref="D128:AC128" si="7">(1+C128)*(1+D72)-1</f>
        <v>-4.5752212427830896E-3</v>
      </c>
      <c r="E128">
        <f t="shared" si="7"/>
        <v>-1.1929583782495645E-2</v>
      </c>
      <c r="F128">
        <f t="shared" si="7"/>
        <v>-1.6685333779099087E-2</v>
      </c>
      <c r="G128">
        <f t="shared" si="7"/>
        <v>-1.9894085568739839E-2</v>
      </c>
      <c r="H128">
        <f t="shared" si="7"/>
        <v>-2.369163438463795E-2</v>
      </c>
      <c r="I128">
        <f t="shared" si="7"/>
        <v>-2.7952495580114589E-2</v>
      </c>
      <c r="J128">
        <f t="shared" si="7"/>
        <v>-3.2046993628605303E-2</v>
      </c>
      <c r="K128">
        <f t="shared" si="7"/>
        <v>-3.6608049501642537E-2</v>
      </c>
      <c r="L128">
        <f t="shared" si="7"/>
        <v>-4.1438447273309809E-2</v>
      </c>
      <c r="M128">
        <f t="shared" si="7"/>
        <v>-4.6456666383679068E-2</v>
      </c>
      <c r="N128">
        <f t="shared" si="7"/>
        <v>-5.1636159334071507E-2</v>
      </c>
      <c r="O128">
        <f t="shared" si="7"/>
        <v>-5.5828864329824368E-2</v>
      </c>
      <c r="P128">
        <f t="shared" si="7"/>
        <v>-5.989661993594475E-2</v>
      </c>
      <c r="Q128">
        <f t="shared" si="7"/>
        <v>-6.3890908044380801E-2</v>
      </c>
      <c r="R128">
        <f t="shared" si="7"/>
        <v>-6.7724276815859241E-2</v>
      </c>
      <c r="S128">
        <f t="shared" si="7"/>
        <v>-7.1491698278542959E-2</v>
      </c>
      <c r="T128">
        <f t="shared" si="7"/>
        <v>-7.5070281422013219E-2</v>
      </c>
      <c r="U128">
        <f t="shared" si="7"/>
        <v>-7.866810416220571E-2</v>
      </c>
      <c r="V128">
        <f t="shared" si="7"/>
        <v>-8.2331641773805253E-2</v>
      </c>
      <c r="W128">
        <f t="shared" si="7"/>
        <v>-8.5931524759801703E-2</v>
      </c>
      <c r="X128">
        <f t="shared" si="7"/>
        <v>-8.9404685757990765E-2</v>
      </c>
      <c r="Y128">
        <f t="shared" si="7"/>
        <v>-9.2695845051018133E-2</v>
      </c>
      <c r="Z128">
        <f t="shared" si="7"/>
        <v>-9.5782957188740414E-2</v>
      </c>
      <c r="AA128">
        <f t="shared" si="7"/>
        <v>-9.8826370462909319E-2</v>
      </c>
      <c r="AB128">
        <f t="shared" si="7"/>
        <v>-0.10171003641860576</v>
      </c>
      <c r="AC128">
        <f t="shared" si="7"/>
        <v>-0.10464829097180073</v>
      </c>
    </row>
    <row r="129" spans="2:29" x14ac:dyDescent="0.25">
      <c r="B129" t="s">
        <v>182</v>
      </c>
      <c r="C129">
        <v>0</v>
      </c>
      <c r="D129">
        <f t="shared" ref="D129:AC129" si="8">(1+C129)*(1+D73)-1</f>
        <v>-5.7729872669432414E-2</v>
      </c>
      <c r="E129">
        <f t="shared" si="8"/>
        <v>-5.555464911077701E-2</v>
      </c>
      <c r="F129">
        <f t="shared" si="8"/>
        <v>-4.736927942925151E-2</v>
      </c>
      <c r="G129">
        <f t="shared" si="8"/>
        <v>-3.8894766664320457E-2</v>
      </c>
      <c r="H129">
        <f t="shared" si="8"/>
        <v>-3.2894470344062454E-2</v>
      </c>
      <c r="I129">
        <f t="shared" si="8"/>
        <v>-2.4868011503290433E-2</v>
      </c>
      <c r="J129">
        <f t="shared" si="8"/>
        <v>-1.6233795969324394E-2</v>
      </c>
      <c r="K129">
        <f t="shared" si="8"/>
        <v>-7.8104056519873177E-3</v>
      </c>
      <c r="L129">
        <f t="shared" si="8"/>
        <v>7.5271693364076242E-4</v>
      </c>
      <c r="M129">
        <f t="shared" si="8"/>
        <v>9.5717527522600765E-3</v>
      </c>
      <c r="N129">
        <f t="shared" si="8"/>
        <v>1.7991325622388921E-2</v>
      </c>
      <c r="O129">
        <f t="shared" si="8"/>
        <v>2.7307227416489832E-2</v>
      </c>
      <c r="P129">
        <f t="shared" si="8"/>
        <v>3.6466528766108786E-2</v>
      </c>
      <c r="Q129">
        <f t="shared" si="8"/>
        <v>4.5835737816496636E-2</v>
      </c>
      <c r="R129">
        <f t="shared" si="8"/>
        <v>5.5156944388379703E-2</v>
      </c>
      <c r="S129">
        <f t="shared" si="8"/>
        <v>6.3832416998619301E-2</v>
      </c>
      <c r="T129">
        <f t="shared" si="8"/>
        <v>7.2504656507158538E-2</v>
      </c>
      <c r="U129">
        <f t="shared" si="8"/>
        <v>8.1156674339797563E-2</v>
      </c>
      <c r="V129">
        <f t="shared" si="8"/>
        <v>8.9392296697094809E-2</v>
      </c>
      <c r="W129">
        <f t="shared" si="8"/>
        <v>9.7661874406600901E-2</v>
      </c>
      <c r="X129">
        <f t="shared" si="8"/>
        <v>0.1052889792798386</v>
      </c>
      <c r="Y129">
        <f t="shared" si="8"/>
        <v>0.11320886097293581</v>
      </c>
      <c r="Z129">
        <f t="shared" si="8"/>
        <v>0.12096942807678457</v>
      </c>
      <c r="AA129">
        <f t="shared" si="8"/>
        <v>0.12872638220245736</v>
      </c>
      <c r="AB129">
        <f t="shared" si="8"/>
        <v>0.13682010305147863</v>
      </c>
      <c r="AC129">
        <f t="shared" si="8"/>
        <v>0.14427135832962867</v>
      </c>
    </row>
    <row r="130" spans="2:29" x14ac:dyDescent="0.25">
      <c r="B130" t="s">
        <v>209</v>
      </c>
      <c r="C130">
        <v>0</v>
      </c>
      <c r="D130">
        <f t="shared" ref="D130:AC130" si="9">(1+C130)*(1+D74)-1</f>
        <v>-0.11327023120960888</v>
      </c>
      <c r="E130">
        <f t="shared" si="9"/>
        <v>-0.10204920882265645</v>
      </c>
      <c r="F130">
        <f t="shared" si="9"/>
        <v>-8.9715205207994364E-2</v>
      </c>
      <c r="G130">
        <f t="shared" si="9"/>
        <v>-0.1160941585508003</v>
      </c>
      <c r="H130">
        <f t="shared" si="9"/>
        <v>-0.14954103293633692</v>
      </c>
      <c r="I130">
        <f t="shared" si="9"/>
        <v>-0.16461253520149643</v>
      </c>
      <c r="J130">
        <f t="shared" si="9"/>
        <v>-0.16925193411053086</v>
      </c>
      <c r="K130">
        <f t="shared" si="9"/>
        <v>-0.17162297329675757</v>
      </c>
      <c r="L130">
        <f t="shared" si="9"/>
        <v>-0.16946001663056276</v>
      </c>
      <c r="M130">
        <f t="shared" si="9"/>
        <v>-0.16349581659868162</v>
      </c>
      <c r="N130">
        <f t="shared" si="9"/>
        <v>-0.15989082325370585</v>
      </c>
      <c r="O130">
        <f t="shared" si="9"/>
        <v>-0.16031783727332616</v>
      </c>
      <c r="P130">
        <f t="shared" si="9"/>
        <v>-0.15923136568603957</v>
      </c>
      <c r="Q130">
        <f t="shared" si="9"/>
        <v>-0.1575606530964645</v>
      </c>
      <c r="R130">
        <f t="shared" si="9"/>
        <v>-0.15676099100359353</v>
      </c>
      <c r="S130">
        <f t="shared" si="9"/>
        <v>-0.153492285762727</v>
      </c>
      <c r="T130">
        <f t="shared" si="9"/>
        <v>-0.1504375490294062</v>
      </c>
      <c r="U130">
        <f t="shared" si="9"/>
        <v>-0.14841720272907089</v>
      </c>
      <c r="V130">
        <f t="shared" si="9"/>
        <v>-0.14650026218367285</v>
      </c>
      <c r="W130">
        <f t="shared" si="9"/>
        <v>-0.14394837640935587</v>
      </c>
      <c r="X130">
        <f t="shared" si="9"/>
        <v>-0.14074402362323735</v>
      </c>
      <c r="Y130">
        <f t="shared" si="9"/>
        <v>-0.13918164951849565</v>
      </c>
      <c r="Z130">
        <f t="shared" si="9"/>
        <v>-0.14077843168392323</v>
      </c>
      <c r="AA130">
        <f t="shared" si="9"/>
        <v>-0.14493723744277942</v>
      </c>
      <c r="AB130">
        <f t="shared" si="9"/>
        <v>-0.14604708653831577</v>
      </c>
      <c r="AC130">
        <f t="shared" si="9"/>
        <v>-0.14687994620600875</v>
      </c>
    </row>
    <row r="131" spans="2:29" x14ac:dyDescent="0.25">
      <c r="B131" t="s">
        <v>218</v>
      </c>
      <c r="C131">
        <v>0</v>
      </c>
      <c r="D131">
        <f t="shared" ref="D131:AC131" si="10">(1+C131)*(1+D75)-1</f>
        <v>0.20646756047733117</v>
      </c>
      <c r="E131">
        <f t="shared" si="10"/>
        <v>1.2452452627411459E-2</v>
      </c>
      <c r="F131">
        <f t="shared" si="10"/>
        <v>-4.8220260891691735E-2</v>
      </c>
      <c r="G131">
        <f t="shared" si="10"/>
        <v>-1.9851307507019467E-3</v>
      </c>
      <c r="H131">
        <f t="shared" si="10"/>
        <v>7.6274237067398998E-2</v>
      </c>
      <c r="I131">
        <f t="shared" si="10"/>
        <v>8.7960942257023333E-2</v>
      </c>
      <c r="J131">
        <f t="shared" si="10"/>
        <v>6.031708884479059E-2</v>
      </c>
      <c r="K131">
        <f t="shared" si="10"/>
        <v>5.7051339374630139E-2</v>
      </c>
      <c r="L131">
        <f t="shared" si="10"/>
        <v>8.1202975963527546E-2</v>
      </c>
      <c r="M131">
        <f t="shared" si="10"/>
        <v>0.12335365571109058</v>
      </c>
      <c r="N131">
        <f t="shared" si="10"/>
        <v>0.15617752048835465</v>
      </c>
      <c r="O131">
        <f t="shared" si="10"/>
        <v>0.18997693459578913</v>
      </c>
      <c r="P131">
        <f t="shared" si="10"/>
        <v>0.21503885084737728</v>
      </c>
      <c r="Q131">
        <f t="shared" si="10"/>
        <v>0.24211797886169162</v>
      </c>
      <c r="R131">
        <f t="shared" si="10"/>
        <v>0.26201159021826825</v>
      </c>
      <c r="S131">
        <f t="shared" si="10"/>
        <v>0.26854696082966312</v>
      </c>
      <c r="T131">
        <f t="shared" si="10"/>
        <v>0.24569617523610043</v>
      </c>
      <c r="U131">
        <f t="shared" si="10"/>
        <v>0.23246897175732761</v>
      </c>
      <c r="V131">
        <f t="shared" si="10"/>
        <v>0.20792177435941595</v>
      </c>
      <c r="W131">
        <f t="shared" si="10"/>
        <v>0.19176281147136476</v>
      </c>
      <c r="X131">
        <f t="shared" si="10"/>
        <v>0.19929683949697896</v>
      </c>
      <c r="Y131">
        <f t="shared" si="10"/>
        <v>0.20649679616678074</v>
      </c>
      <c r="Z131">
        <f t="shared" si="10"/>
        <v>0.2173463363220054</v>
      </c>
      <c r="AA131">
        <f t="shared" si="10"/>
        <v>0.22717746439485209</v>
      </c>
      <c r="AB131">
        <f t="shared" si="10"/>
        <v>0.24403550271565644</v>
      </c>
      <c r="AC131">
        <f t="shared" si="10"/>
        <v>0.25801365795483</v>
      </c>
    </row>
    <row r="132" spans="2:29" x14ac:dyDescent="0.25">
      <c r="B132" t="s">
        <v>227</v>
      </c>
      <c r="C132">
        <v>0</v>
      </c>
      <c r="D132">
        <f t="shared" ref="D132:AC132" si="11">(1+C132)*(1+D76)-1</f>
        <v>-5.0057662323048646E-2</v>
      </c>
      <c r="E132">
        <f t="shared" si="11"/>
        <v>-5.8669633819980138E-2</v>
      </c>
      <c r="F132">
        <f t="shared" si="11"/>
        <v>-5.7466156508133026E-2</v>
      </c>
      <c r="G132">
        <f t="shared" si="11"/>
        <v>-6.4245474487955478E-2</v>
      </c>
      <c r="H132">
        <f t="shared" si="11"/>
        <v>-7.0212999573932011E-2</v>
      </c>
      <c r="I132">
        <f t="shared" si="11"/>
        <v>-7.603889086803739E-2</v>
      </c>
      <c r="J132">
        <f t="shared" si="11"/>
        <v>-7.8250827625454544E-2</v>
      </c>
      <c r="K132">
        <f t="shared" si="11"/>
        <v>-8.1034263625118452E-2</v>
      </c>
      <c r="L132">
        <f t="shared" si="11"/>
        <v>-8.4800910759066928E-2</v>
      </c>
      <c r="M132">
        <f t="shared" si="11"/>
        <v>-8.7924480476580191E-2</v>
      </c>
      <c r="N132">
        <f t="shared" si="11"/>
        <v>-9.1063410897301966E-2</v>
      </c>
      <c r="O132">
        <f t="shared" si="11"/>
        <v>-9.3962421548643205E-2</v>
      </c>
      <c r="P132">
        <f t="shared" si="11"/>
        <v>-9.6800602013436876E-2</v>
      </c>
      <c r="Q132">
        <f t="shared" si="11"/>
        <v>-9.6560083131585261E-2</v>
      </c>
      <c r="R132">
        <f t="shared" si="11"/>
        <v>-9.3533204761394373E-2</v>
      </c>
      <c r="S132">
        <f t="shared" si="11"/>
        <v>-8.8551926913503887E-2</v>
      </c>
      <c r="T132">
        <f t="shared" si="11"/>
        <v>-8.4753261046884854E-2</v>
      </c>
      <c r="U132">
        <f t="shared" si="11"/>
        <v>-7.9783235702400312E-2</v>
      </c>
      <c r="V132">
        <f t="shared" si="11"/>
        <v>-7.4438053335829868E-2</v>
      </c>
      <c r="W132">
        <f t="shared" si="11"/>
        <v>-6.8871361520704166E-2</v>
      </c>
      <c r="X132">
        <f t="shared" si="11"/>
        <v>-6.2656857949239364E-2</v>
      </c>
      <c r="Y132">
        <f t="shared" si="11"/>
        <v>-5.7218317643080718E-2</v>
      </c>
      <c r="Z132">
        <f t="shared" si="11"/>
        <v>-5.0627679550235061E-2</v>
      </c>
      <c r="AA132">
        <f t="shared" si="11"/>
        <v>-4.4077871197530483E-2</v>
      </c>
      <c r="AB132">
        <f t="shared" si="11"/>
        <v>-3.6551221222077324E-2</v>
      </c>
      <c r="AC132">
        <f t="shared" si="11"/>
        <v>-3.0638940612390697E-2</v>
      </c>
    </row>
    <row r="133" spans="2:29" x14ac:dyDescent="0.25">
      <c r="B133" t="s">
        <v>236</v>
      </c>
      <c r="C133">
        <v>0</v>
      </c>
      <c r="D133">
        <f t="shared" ref="D133:AC133" si="12">(1+C133)*(1+D77)-1</f>
        <v>9.2796417486762373E-4</v>
      </c>
      <c r="E133">
        <f t="shared" si="12"/>
        <v>4.8014342897266804E-3</v>
      </c>
      <c r="F133">
        <f t="shared" si="12"/>
        <v>2.9022828158549174E-3</v>
      </c>
      <c r="G133">
        <f t="shared" si="12"/>
        <v>-5.6537557358538049E-4</v>
      </c>
      <c r="H133">
        <f t="shared" si="12"/>
        <v>-9.799659339958966E-3</v>
      </c>
      <c r="I133">
        <f t="shared" si="12"/>
        <v>-1.5263247286311565E-2</v>
      </c>
      <c r="J133">
        <f t="shared" si="12"/>
        <v>-2.1778869300260184E-2</v>
      </c>
      <c r="K133">
        <f t="shared" si="12"/>
        <v>-2.4326135024514417E-2</v>
      </c>
      <c r="L133">
        <f t="shared" si="12"/>
        <v>-2.6323880244697118E-2</v>
      </c>
      <c r="M133">
        <f t="shared" si="12"/>
        <v>-2.5603436689506376E-2</v>
      </c>
      <c r="N133">
        <f t="shared" si="12"/>
        <v>-2.4171697678977311E-2</v>
      </c>
      <c r="O133">
        <f t="shared" si="12"/>
        <v>-2.7652686009083993E-2</v>
      </c>
      <c r="P133">
        <f t="shared" si="12"/>
        <v>-3.5319329984482728E-2</v>
      </c>
      <c r="Q133">
        <f t="shared" si="12"/>
        <v>-4.271511835309294E-2</v>
      </c>
      <c r="R133">
        <f t="shared" si="12"/>
        <v>-4.6534479117914196E-2</v>
      </c>
      <c r="S133">
        <f t="shared" si="12"/>
        <v>-4.7965428541070776E-2</v>
      </c>
      <c r="T133">
        <f t="shared" si="12"/>
        <v>-4.655506525022779E-2</v>
      </c>
      <c r="U133">
        <f t="shared" si="12"/>
        <v>-4.8217827704563399E-2</v>
      </c>
      <c r="V133">
        <f t="shared" si="12"/>
        <v>-5.3182926269188191E-2</v>
      </c>
      <c r="W133">
        <f t="shared" si="12"/>
        <v>-5.8627427136176413E-2</v>
      </c>
      <c r="X133">
        <f t="shared" si="12"/>
        <v>-6.3517279704176643E-2</v>
      </c>
      <c r="Y133">
        <f t="shared" si="12"/>
        <v>-6.2868611062660174E-2</v>
      </c>
      <c r="Z133">
        <f t="shared" si="12"/>
        <v>-6.1181950344364799E-2</v>
      </c>
      <c r="AA133">
        <f t="shared" si="12"/>
        <v>-6.4618847133454116E-2</v>
      </c>
      <c r="AB133">
        <f t="shared" si="12"/>
        <v>-6.6736401576042881E-2</v>
      </c>
      <c r="AC133">
        <f t="shared" si="12"/>
        <v>-6.7156016219179326E-2</v>
      </c>
    </row>
    <row r="134" spans="2:29" x14ac:dyDescent="0.25">
      <c r="B134" t="s">
        <v>241</v>
      </c>
      <c r="C134">
        <v>0</v>
      </c>
      <c r="D134">
        <f t="shared" ref="D134:AC134" si="13">(1+C134)*(1+D78)-1</f>
        <v>7.1677561450444349E-2</v>
      </c>
      <c r="E134">
        <f t="shared" si="13"/>
        <v>5.739986703813349E-2</v>
      </c>
      <c r="F134">
        <f t="shared" si="13"/>
        <v>4.5074402625432386E-2</v>
      </c>
      <c r="G134">
        <f t="shared" si="13"/>
        <v>4.0911364970158237E-2</v>
      </c>
      <c r="H134">
        <f t="shared" si="13"/>
        <v>3.2106501676108845E-2</v>
      </c>
      <c r="I134">
        <f t="shared" si="13"/>
        <v>3.1738121375336936E-2</v>
      </c>
      <c r="J134">
        <f t="shared" si="13"/>
        <v>3.6494735963911618E-2</v>
      </c>
      <c r="K134">
        <f t="shared" si="13"/>
        <v>4.2580325823832865E-2</v>
      </c>
      <c r="L134">
        <f t="shared" si="13"/>
        <v>5.4007797522023004E-2</v>
      </c>
      <c r="M134">
        <f t="shared" si="13"/>
        <v>6.5546585078607E-2</v>
      </c>
      <c r="N134">
        <f t="shared" si="13"/>
        <v>7.7957687734473424E-2</v>
      </c>
      <c r="O134">
        <f t="shared" si="13"/>
        <v>9.0862077014771669E-2</v>
      </c>
      <c r="P134">
        <f t="shared" si="13"/>
        <v>0.10509740639333254</v>
      </c>
      <c r="Q134">
        <f t="shared" si="13"/>
        <v>0.11946889654493953</v>
      </c>
      <c r="R134">
        <f t="shared" si="13"/>
        <v>0.13626777940077583</v>
      </c>
      <c r="S134">
        <f t="shared" si="13"/>
        <v>0.15416221039880385</v>
      </c>
      <c r="T134">
        <f t="shared" si="13"/>
        <v>0.17419782142664175</v>
      </c>
      <c r="U134">
        <f t="shared" si="13"/>
        <v>0.1973215365653227</v>
      </c>
      <c r="V134">
        <f t="shared" si="13"/>
        <v>0.21961326504835577</v>
      </c>
      <c r="W134">
        <f t="shared" si="13"/>
        <v>0.24271840341668849</v>
      </c>
      <c r="X134">
        <f t="shared" si="13"/>
        <v>0.26798609240078131</v>
      </c>
      <c r="Y134">
        <f t="shared" si="13"/>
        <v>0.29536460063202763</v>
      </c>
      <c r="Z134">
        <f t="shared" si="13"/>
        <v>0.32398161548573778</v>
      </c>
      <c r="AA134">
        <f t="shared" si="13"/>
        <v>0.34993901563290009</v>
      </c>
      <c r="AB134">
        <f t="shared" si="13"/>
        <v>0.37484368552215663</v>
      </c>
      <c r="AC134">
        <f t="shared" si="13"/>
        <v>0.40263875561898987</v>
      </c>
    </row>
    <row r="135" spans="2:29" x14ac:dyDescent="0.25">
      <c r="B135" t="s">
        <v>246</v>
      </c>
      <c r="C135">
        <v>0</v>
      </c>
      <c r="D135">
        <f t="shared" ref="D135:AC135" si="14">(1+C135)*(1+D79)-1</f>
        <v>2.1961061965358741E-2</v>
      </c>
      <c r="E135">
        <f t="shared" si="14"/>
        <v>5.8203063466087723E-2</v>
      </c>
      <c r="F135">
        <f t="shared" si="14"/>
        <v>8.265095284506585E-2</v>
      </c>
      <c r="G135">
        <f t="shared" si="14"/>
        <v>9.9608901148710682E-2</v>
      </c>
      <c r="H135">
        <f t="shared" si="14"/>
        <v>0.12005967938737783</v>
      </c>
      <c r="I135">
        <f t="shared" si="14"/>
        <v>0.1435231783847013</v>
      </c>
      <c r="J135">
        <f t="shared" si="14"/>
        <v>0.16664379370941473</v>
      </c>
      <c r="K135">
        <f t="shared" si="14"/>
        <v>0.19303083105696528</v>
      </c>
      <c r="L135">
        <f t="shared" si="14"/>
        <v>0.22174344862809692</v>
      </c>
      <c r="M135">
        <f t="shared" si="14"/>
        <v>0.25244433190604942</v>
      </c>
      <c r="N135">
        <f t="shared" si="14"/>
        <v>0.2850990907660047</v>
      </c>
      <c r="O135">
        <f t="shared" si="14"/>
        <v>0.31236984646639221</v>
      </c>
      <c r="P135">
        <f t="shared" si="14"/>
        <v>0.33950933217317858</v>
      </c>
      <c r="Q135">
        <f t="shared" si="14"/>
        <v>0.36682744876383944</v>
      </c>
      <c r="R135">
        <f t="shared" si="14"/>
        <v>0.39369382339363379</v>
      </c>
      <c r="S135">
        <f t="shared" si="14"/>
        <v>0.42072770734236742</v>
      </c>
      <c r="T135">
        <f t="shared" si="14"/>
        <v>0.44701085702939336</v>
      </c>
      <c r="U135">
        <f t="shared" si="14"/>
        <v>0.47402828831996002</v>
      </c>
      <c r="V135">
        <f t="shared" si="14"/>
        <v>0.50216229613651797</v>
      </c>
      <c r="W135">
        <f t="shared" si="14"/>
        <v>0.53044759172205591</v>
      </c>
      <c r="X135">
        <f t="shared" si="14"/>
        <v>0.55836055113457106</v>
      </c>
      <c r="Y135">
        <f t="shared" si="14"/>
        <v>0.5853959433683984</v>
      </c>
      <c r="Z135">
        <f t="shared" si="14"/>
        <v>0.61128871169666521</v>
      </c>
      <c r="AA135">
        <f t="shared" si="14"/>
        <v>0.63732043048019937</v>
      </c>
      <c r="AB135">
        <f t="shared" si="14"/>
        <v>0.66246889037750312</v>
      </c>
      <c r="AC135">
        <f t="shared" si="14"/>
        <v>0.68857052072708824</v>
      </c>
    </row>
    <row r="136" spans="2:29" x14ac:dyDescent="0.25">
      <c r="B136" t="s">
        <v>249</v>
      </c>
      <c r="C136">
        <v>0</v>
      </c>
      <c r="D136">
        <f t="shared" ref="D136:AC136" si="15">(1+C136)*(1+D80)-1</f>
        <v>1.7724214122440962E-2</v>
      </c>
      <c r="E136">
        <f t="shared" si="15"/>
        <v>1.1747153942116784E-2</v>
      </c>
      <c r="F136">
        <f t="shared" si="15"/>
        <v>3.4608406914224288E-2</v>
      </c>
      <c r="G136">
        <f t="shared" si="15"/>
        <v>4.7104812730078383E-2</v>
      </c>
      <c r="H136">
        <f t="shared" si="15"/>
        <v>5.1649412855886645E-2</v>
      </c>
      <c r="I136">
        <f t="shared" si="15"/>
        <v>6.2732041875440903E-2</v>
      </c>
      <c r="J136">
        <f t="shared" si="15"/>
        <v>7.5399408687829128E-2</v>
      </c>
      <c r="K136">
        <f t="shared" si="15"/>
        <v>8.3172703781410728E-2</v>
      </c>
      <c r="L136">
        <f t="shared" si="15"/>
        <v>9.041033050518954E-2</v>
      </c>
      <c r="M136">
        <f t="shared" si="15"/>
        <v>9.5257404433792159E-2</v>
      </c>
      <c r="N136">
        <f t="shared" si="15"/>
        <v>0.10380158291232511</v>
      </c>
      <c r="O136">
        <f t="shared" si="15"/>
        <v>0.11656510704334244</v>
      </c>
      <c r="P136">
        <f t="shared" si="15"/>
        <v>0.13170926540593597</v>
      </c>
      <c r="Q136">
        <f t="shared" si="15"/>
        <v>0.14524560859599789</v>
      </c>
      <c r="R136">
        <f t="shared" si="15"/>
        <v>0.15653161055638831</v>
      </c>
      <c r="S136">
        <f t="shared" si="15"/>
        <v>0.17011229999282418</v>
      </c>
      <c r="T136">
        <f t="shared" si="15"/>
        <v>0.18383499066910858</v>
      </c>
      <c r="U136">
        <f t="shared" si="15"/>
        <v>0.19857706572266287</v>
      </c>
      <c r="V136">
        <f t="shared" si="15"/>
        <v>0.21232792964085556</v>
      </c>
      <c r="W136">
        <f t="shared" si="15"/>
        <v>0.22637659066020177</v>
      </c>
      <c r="X136">
        <f t="shared" si="15"/>
        <v>0.24176192176964184</v>
      </c>
      <c r="Y136">
        <f t="shared" si="15"/>
        <v>0.25509784027186577</v>
      </c>
      <c r="Z136">
        <f t="shared" si="15"/>
        <v>0.26738339890166318</v>
      </c>
      <c r="AA136">
        <f t="shared" si="15"/>
        <v>0.27724239931428674</v>
      </c>
      <c r="AB136">
        <f t="shared" si="15"/>
        <v>0.29106052672979366</v>
      </c>
      <c r="AC136">
        <f t="shared" si="15"/>
        <v>0.30484645413611866</v>
      </c>
    </row>
    <row r="137" spans="2:29" x14ac:dyDescent="0.25">
      <c r="B137" t="s">
        <v>1222</v>
      </c>
      <c r="C137">
        <v>0</v>
      </c>
      <c r="D137">
        <f t="shared" ref="D137:AC137" si="16">(1+C137)*(1+D81)-1</f>
        <v>-6.2233199213275192E-3</v>
      </c>
      <c r="E137">
        <f t="shared" si="16"/>
        <v>-5.6198962003047859E-3</v>
      </c>
      <c r="F137">
        <f t="shared" si="16"/>
        <v>-3.1715175053018685E-3</v>
      </c>
      <c r="G137">
        <f t="shared" si="16"/>
        <v>-4.3322131021827914E-3</v>
      </c>
      <c r="H137">
        <f t="shared" si="16"/>
        <v>-5.8877167563368138E-3</v>
      </c>
      <c r="I137">
        <f t="shared" si="16"/>
        <v>-5.4613949138805351E-3</v>
      </c>
      <c r="J137">
        <f t="shared" si="16"/>
        <v>-3.7672492521305667E-3</v>
      </c>
      <c r="K137">
        <f t="shared" si="16"/>
        <v>2.7928859028469866E-4</v>
      </c>
      <c r="L137">
        <f t="shared" si="16"/>
        <v>6.9127538992479476E-3</v>
      </c>
      <c r="M137">
        <f t="shared" si="16"/>
        <v>1.5279197685135193E-2</v>
      </c>
      <c r="N137">
        <f t="shared" si="16"/>
        <v>2.5805594442758206E-2</v>
      </c>
      <c r="O137">
        <f t="shared" si="16"/>
        <v>3.6299032256410069E-2</v>
      </c>
      <c r="P137">
        <f t="shared" si="16"/>
        <v>4.633864359260853E-2</v>
      </c>
      <c r="Q137">
        <f t="shared" si="16"/>
        <v>5.6926576143784713E-2</v>
      </c>
      <c r="R137">
        <f t="shared" si="16"/>
        <v>6.7418848506801243E-2</v>
      </c>
      <c r="S137">
        <f t="shared" si="16"/>
        <v>7.8166494413062448E-2</v>
      </c>
      <c r="T137">
        <f t="shared" si="16"/>
        <v>8.9484791568477329E-2</v>
      </c>
      <c r="U137">
        <f t="shared" si="16"/>
        <v>0.10122255771661171</v>
      </c>
      <c r="V137">
        <f t="shared" si="16"/>
        <v>0.11338422156988059</v>
      </c>
      <c r="W137">
        <f t="shared" si="16"/>
        <v>0.12539171961308893</v>
      </c>
      <c r="X137">
        <f t="shared" si="16"/>
        <v>0.1377928602629348</v>
      </c>
      <c r="Y137">
        <f t="shared" si="16"/>
        <v>0.15039068236202335</v>
      </c>
      <c r="Z137">
        <f t="shared" si="16"/>
        <v>0.16300878330216917</v>
      </c>
      <c r="AA137">
        <f t="shared" si="16"/>
        <v>0.17577023467047814</v>
      </c>
      <c r="AB137">
        <f t="shared" si="16"/>
        <v>0.18806014471167476</v>
      </c>
      <c r="AC137">
        <f t="shared" si="16"/>
        <v>0.20039280348218025</v>
      </c>
    </row>
    <row r="138" spans="2:29" x14ac:dyDescent="0.25">
      <c r="B138" t="s">
        <v>256</v>
      </c>
      <c r="C138">
        <v>0</v>
      </c>
      <c r="D138">
        <f t="shared" ref="D138:AC138" si="17">(1+C138)*(1+D82)-1</f>
        <v>3.3677125558881915E-3</v>
      </c>
      <c r="E138">
        <f t="shared" si="17"/>
        <v>-1.2786830088446277E-2</v>
      </c>
      <c r="F138">
        <f t="shared" si="17"/>
        <v>-2.9889963971291733E-2</v>
      </c>
      <c r="G138">
        <f t="shared" si="17"/>
        <v>-3.2864454852834402E-2</v>
      </c>
      <c r="H138">
        <f t="shared" si="17"/>
        <v>-3.5589636000574298E-2</v>
      </c>
      <c r="I138">
        <f t="shared" si="17"/>
        <v>-3.274356260723843E-2</v>
      </c>
      <c r="J138">
        <f t="shared" si="17"/>
        <v>-2.5509684515524822E-2</v>
      </c>
      <c r="K138">
        <f t="shared" si="17"/>
        <v>-1.8876105460082115E-2</v>
      </c>
      <c r="L138">
        <f t="shared" si="17"/>
        <v>-9.6654082899737537E-3</v>
      </c>
      <c r="M138">
        <f t="shared" si="17"/>
        <v>1.0180165962214716E-4</v>
      </c>
      <c r="N138">
        <f t="shared" si="17"/>
        <v>9.6667290921428339E-3</v>
      </c>
      <c r="O138">
        <f t="shared" si="17"/>
        <v>1.9689497612694451E-2</v>
      </c>
      <c r="P138">
        <f t="shared" si="17"/>
        <v>2.8753086279026396E-2</v>
      </c>
      <c r="Q138">
        <f t="shared" si="17"/>
        <v>3.8419227114740995E-2</v>
      </c>
      <c r="R138">
        <f t="shared" si="17"/>
        <v>4.7734600631545332E-2</v>
      </c>
      <c r="S138">
        <f t="shared" si="17"/>
        <v>5.2942001922976933E-2</v>
      </c>
      <c r="T138">
        <f t="shared" si="17"/>
        <v>5.4648644813132918E-2</v>
      </c>
      <c r="U138">
        <f t="shared" si="17"/>
        <v>5.4270651210854393E-2</v>
      </c>
      <c r="V138">
        <f t="shared" si="17"/>
        <v>4.951177879720281E-2</v>
      </c>
      <c r="W138">
        <f t="shared" si="17"/>
        <v>4.2887334365164786E-2</v>
      </c>
      <c r="X138">
        <f t="shared" si="17"/>
        <v>4.4311813954958756E-2</v>
      </c>
      <c r="Y138">
        <f t="shared" si="17"/>
        <v>5.0869086162396382E-2</v>
      </c>
      <c r="Z138">
        <f t="shared" si="17"/>
        <v>5.767675582306997E-2</v>
      </c>
      <c r="AA138">
        <f t="shared" si="17"/>
        <v>6.4658560485685967E-2</v>
      </c>
      <c r="AB138">
        <f t="shared" si="17"/>
        <v>7.1431733901472505E-2</v>
      </c>
      <c r="AC138">
        <f t="shared" si="17"/>
        <v>7.9311062485119654E-2</v>
      </c>
    </row>
    <row r="139" spans="2:29" x14ac:dyDescent="0.25">
      <c r="B139" t="s">
        <v>261</v>
      </c>
      <c r="C139">
        <v>0</v>
      </c>
      <c r="D139">
        <f t="shared" ref="D139:AC139" si="18">(1+C139)*(1+D83)-1</f>
        <v>-1.4318822532873754E-2</v>
      </c>
      <c r="E139">
        <f t="shared" si="18"/>
        <v>5.9503403053662307E-3</v>
      </c>
      <c r="F139">
        <f t="shared" si="18"/>
        <v>3.7161501879215519E-2</v>
      </c>
      <c r="G139">
        <f t="shared" si="18"/>
        <v>3.5618959948339635E-2</v>
      </c>
      <c r="H139">
        <f t="shared" si="18"/>
        <v>4.3502712407782029E-2</v>
      </c>
      <c r="I139">
        <f t="shared" si="18"/>
        <v>6.3158792809570929E-2</v>
      </c>
      <c r="J139">
        <f t="shared" si="18"/>
        <v>7.8757910456116464E-2</v>
      </c>
      <c r="K139">
        <f t="shared" si="18"/>
        <v>9.8542343526291543E-2</v>
      </c>
      <c r="L139">
        <f t="shared" si="18"/>
        <v>0.11540853622664238</v>
      </c>
      <c r="M139">
        <f t="shared" si="18"/>
        <v>0.12323732895136263</v>
      </c>
      <c r="N139">
        <f t="shared" si="18"/>
        <v>0.13613636313756761</v>
      </c>
      <c r="O139">
        <f t="shared" si="18"/>
        <v>0.14264550586887403</v>
      </c>
      <c r="P139">
        <f t="shared" si="18"/>
        <v>0.1517304058940292</v>
      </c>
      <c r="Q139">
        <f t="shared" si="18"/>
        <v>0.15792223838666564</v>
      </c>
      <c r="R139">
        <f t="shared" si="18"/>
        <v>0.1626497836383114</v>
      </c>
      <c r="S139">
        <f t="shared" si="18"/>
        <v>0.17345835481545091</v>
      </c>
      <c r="T139">
        <f t="shared" si="18"/>
        <v>0.18572589064738598</v>
      </c>
      <c r="U139">
        <f t="shared" si="18"/>
        <v>0.19719341988484462</v>
      </c>
      <c r="V139">
        <f t="shared" si="18"/>
        <v>0.20613164925016436</v>
      </c>
      <c r="W139">
        <f t="shared" si="18"/>
        <v>0.21469077107735934</v>
      </c>
      <c r="X139">
        <f t="shared" si="18"/>
        <v>0.22912537138071554</v>
      </c>
      <c r="Y139">
        <f t="shared" si="18"/>
        <v>0.23954265182730405</v>
      </c>
      <c r="Z139">
        <f t="shared" si="18"/>
        <v>0.25340953264473143</v>
      </c>
      <c r="AA139">
        <f t="shared" si="18"/>
        <v>0.26442636440767231</v>
      </c>
      <c r="AB139">
        <f t="shared" si="18"/>
        <v>0.2695519976319789</v>
      </c>
      <c r="AC139">
        <f t="shared" si="18"/>
        <v>0.27940276251094431</v>
      </c>
    </row>
    <row r="140" spans="2:29" x14ac:dyDescent="0.25">
      <c r="B140" t="s">
        <v>266</v>
      </c>
      <c r="C140">
        <v>0</v>
      </c>
      <c r="D140">
        <f t="shared" ref="D140:AC140" si="19">(1+C140)*(1+D84)-1</f>
        <v>2.742310130297021E-4</v>
      </c>
      <c r="E140">
        <f t="shared" si="19"/>
        <v>-2.0444020665633111E-4</v>
      </c>
      <c r="F140">
        <f t="shared" si="19"/>
        <v>6.2674504539439457E-3</v>
      </c>
      <c r="G140">
        <f t="shared" si="19"/>
        <v>1.1706571054553416E-2</v>
      </c>
      <c r="H140">
        <f t="shared" si="19"/>
        <v>1.551752428299924E-2</v>
      </c>
      <c r="I140">
        <f t="shared" si="19"/>
        <v>2.0308331977708649E-2</v>
      </c>
      <c r="J140">
        <f t="shared" si="19"/>
        <v>2.5492853532401938E-2</v>
      </c>
      <c r="K140">
        <f t="shared" si="19"/>
        <v>3.1914840771887443E-2</v>
      </c>
      <c r="L140">
        <f t="shared" si="19"/>
        <v>3.9821670573830126E-2</v>
      </c>
      <c r="M140">
        <f t="shared" si="19"/>
        <v>4.8895382577188062E-2</v>
      </c>
      <c r="N140">
        <f t="shared" si="19"/>
        <v>5.9466470247176551E-2</v>
      </c>
      <c r="O140">
        <f t="shared" si="19"/>
        <v>7.0587015193239733E-2</v>
      </c>
      <c r="P140">
        <f t="shared" si="19"/>
        <v>8.1650038211434905E-2</v>
      </c>
      <c r="Q140">
        <f t="shared" si="19"/>
        <v>9.2772696962839962E-2</v>
      </c>
      <c r="R140">
        <f t="shared" si="19"/>
        <v>0.1038152336842626</v>
      </c>
      <c r="S140">
        <f t="shared" si="19"/>
        <v>0.1149462595818127</v>
      </c>
      <c r="T140">
        <f t="shared" si="19"/>
        <v>0.12628257120815611</v>
      </c>
      <c r="U140">
        <f t="shared" si="19"/>
        <v>0.13770096013442346</v>
      </c>
      <c r="V140">
        <f t="shared" si="19"/>
        <v>0.14911206523978282</v>
      </c>
      <c r="W140">
        <f t="shared" si="19"/>
        <v>0.16034862286903051</v>
      </c>
      <c r="X140">
        <f t="shared" si="19"/>
        <v>0.17138678225189108</v>
      </c>
      <c r="Y140">
        <f t="shared" si="19"/>
        <v>0.18213201225196785</v>
      </c>
      <c r="Z140">
        <f t="shared" si="19"/>
        <v>0.19241243407239272</v>
      </c>
      <c r="AA140">
        <f t="shared" si="19"/>
        <v>0.20208548035037355</v>
      </c>
      <c r="AB140">
        <f t="shared" si="19"/>
        <v>0.2110878690384852</v>
      </c>
      <c r="AC140">
        <f t="shared" si="19"/>
        <v>0.21966896751442277</v>
      </c>
    </row>
    <row r="141" spans="2:29" x14ac:dyDescent="0.25">
      <c r="B141" t="s">
        <v>273</v>
      </c>
      <c r="C141">
        <v>0</v>
      </c>
      <c r="D141">
        <f t="shared" ref="D141:AC141" si="20">(1+C141)*(1+D85)-1</f>
        <v>2.583505185322954E-2</v>
      </c>
      <c r="E141">
        <f t="shared" si="20"/>
        <v>4.7688183611301671E-2</v>
      </c>
      <c r="F141">
        <f t="shared" si="20"/>
        <v>6.5913757087149749E-2</v>
      </c>
      <c r="G141">
        <f t="shared" si="20"/>
        <v>5.6639530701146024E-2</v>
      </c>
      <c r="H141">
        <f t="shared" si="20"/>
        <v>5.2697768834168768E-2</v>
      </c>
      <c r="I141">
        <f t="shared" si="20"/>
        <v>5.2478512049897397E-2</v>
      </c>
      <c r="J141">
        <f t="shared" si="20"/>
        <v>5.3788597372973257E-2</v>
      </c>
      <c r="K141">
        <f t="shared" si="20"/>
        <v>6.3811705613023628E-2</v>
      </c>
      <c r="L141">
        <f t="shared" si="20"/>
        <v>7.1522082117308594E-2</v>
      </c>
      <c r="M141">
        <f t="shared" si="20"/>
        <v>8.4890430939283279E-2</v>
      </c>
      <c r="N141">
        <f t="shared" si="20"/>
        <v>9.7703322628517997E-2</v>
      </c>
      <c r="O141">
        <f t="shared" si="20"/>
        <v>0.10638839414906265</v>
      </c>
      <c r="P141">
        <f t="shared" si="20"/>
        <v>0.11615481176164555</v>
      </c>
      <c r="Q141">
        <f t="shared" si="20"/>
        <v>0.12779373157566543</v>
      </c>
      <c r="R141">
        <f t="shared" si="20"/>
        <v>0.13582658731472264</v>
      </c>
      <c r="S141">
        <f t="shared" si="20"/>
        <v>0.1470657400015003</v>
      </c>
      <c r="T141">
        <f t="shared" si="20"/>
        <v>0.15743392598526507</v>
      </c>
      <c r="U141">
        <f t="shared" si="20"/>
        <v>0.16896740482654571</v>
      </c>
      <c r="V141">
        <f t="shared" si="20"/>
        <v>0.18080449389154762</v>
      </c>
      <c r="W141">
        <f t="shared" si="20"/>
        <v>0.19758376610139261</v>
      </c>
      <c r="X141">
        <f t="shared" si="20"/>
        <v>0.21385894112552184</v>
      </c>
      <c r="Y141">
        <f t="shared" si="20"/>
        <v>0.22823568269647554</v>
      </c>
      <c r="Z141">
        <f t="shared" si="20"/>
        <v>0.23578926158729008</v>
      </c>
      <c r="AA141">
        <f t="shared" si="20"/>
        <v>0.24015460249978293</v>
      </c>
      <c r="AB141">
        <f t="shared" si="20"/>
        <v>0.25348490912074961</v>
      </c>
      <c r="AC141">
        <f t="shared" si="20"/>
        <v>0.2655864552942</v>
      </c>
    </row>
    <row r="142" spans="2:29" x14ac:dyDescent="0.25">
      <c r="B142" t="s">
        <v>299</v>
      </c>
      <c r="C142">
        <v>0</v>
      </c>
      <c r="D142">
        <f t="shared" ref="D142:AC142" si="21">(1+C142)*(1+D86)-1</f>
        <v>-6.5496145174722353E-2</v>
      </c>
      <c r="E142">
        <f t="shared" si="21"/>
        <v>-5.5690998445310558E-2</v>
      </c>
      <c r="F142">
        <f t="shared" si="21"/>
        <v>-2.0306824101301579E-2</v>
      </c>
      <c r="G142">
        <f t="shared" si="21"/>
        <v>3.1591036852003374E-3</v>
      </c>
      <c r="H142">
        <f t="shared" si="21"/>
        <v>2.8696306144754047E-2</v>
      </c>
      <c r="I142">
        <f t="shared" si="21"/>
        <v>4.9730107074260621E-2</v>
      </c>
      <c r="J142">
        <f t="shared" si="21"/>
        <v>6.6582376540489818E-2</v>
      </c>
      <c r="K142">
        <f t="shared" si="21"/>
        <v>8.7058567066461423E-2</v>
      </c>
      <c r="L142">
        <f t="shared" si="21"/>
        <v>0.10209235815101181</v>
      </c>
      <c r="M142">
        <f t="shared" si="21"/>
        <v>0.12154182111661171</v>
      </c>
      <c r="N142">
        <f t="shared" si="21"/>
        <v>0.1445079810254517</v>
      </c>
      <c r="O142">
        <f t="shared" si="21"/>
        <v>0.16725185673439924</v>
      </c>
      <c r="P142">
        <f t="shared" si="21"/>
        <v>0.19177717633651259</v>
      </c>
      <c r="Q142">
        <f t="shared" si="21"/>
        <v>0.21628252194994535</v>
      </c>
      <c r="R142">
        <f t="shared" si="21"/>
        <v>0.24282398038037489</v>
      </c>
      <c r="S142">
        <f t="shared" si="21"/>
        <v>0.27045083840050443</v>
      </c>
      <c r="T142">
        <f t="shared" si="21"/>
        <v>0.29761718337361054</v>
      </c>
      <c r="U142">
        <f t="shared" si="21"/>
        <v>0.32688843995303296</v>
      </c>
      <c r="V142">
        <f t="shared" si="21"/>
        <v>0.35779063895487528</v>
      </c>
      <c r="W142">
        <f t="shared" si="21"/>
        <v>0.39196110429663222</v>
      </c>
      <c r="X142">
        <f t="shared" si="21"/>
        <v>0.42805879933197333</v>
      </c>
      <c r="Y142">
        <f t="shared" si="21"/>
        <v>0.46604654412520374</v>
      </c>
      <c r="Z142">
        <f t="shared" si="21"/>
        <v>0.50267549180771209</v>
      </c>
      <c r="AA142">
        <f t="shared" si="21"/>
        <v>0.53949294812750326</v>
      </c>
      <c r="AB142">
        <f t="shared" si="21"/>
        <v>0.57705554853747598</v>
      </c>
      <c r="AC142">
        <f t="shared" si="21"/>
        <v>0.61060501350342933</v>
      </c>
    </row>
    <row r="143" spans="2:29" x14ac:dyDescent="0.25">
      <c r="B143" t="s">
        <v>314</v>
      </c>
      <c r="C143">
        <v>0</v>
      </c>
      <c r="D143">
        <f t="shared" ref="D143:AC143" si="22">(1+C143)*(1+D87)-1</f>
        <v>9.5838154987311075E-3</v>
      </c>
      <c r="E143">
        <f t="shared" si="22"/>
        <v>-3.7232582011299531E-3</v>
      </c>
      <c r="F143">
        <f t="shared" si="22"/>
        <v>-9.1986720457881699E-3</v>
      </c>
      <c r="G143">
        <f t="shared" si="22"/>
        <v>-2.4714579164231476E-2</v>
      </c>
      <c r="H143">
        <f t="shared" si="22"/>
        <v>-2.8319279168896427E-2</v>
      </c>
      <c r="I143">
        <f t="shared" si="22"/>
        <v>-1.0797091197009556E-2</v>
      </c>
      <c r="J143">
        <f t="shared" si="22"/>
        <v>5.1538934376875734E-3</v>
      </c>
      <c r="K143">
        <f t="shared" si="22"/>
        <v>2.2050493195099108E-2</v>
      </c>
      <c r="L143">
        <f t="shared" si="22"/>
        <v>2.7640633345190846E-2</v>
      </c>
      <c r="M143">
        <f t="shared" si="22"/>
        <v>3.2192373697073728E-2</v>
      </c>
      <c r="N143">
        <f t="shared" si="22"/>
        <v>4.325343012707128E-2</v>
      </c>
      <c r="O143">
        <f t="shared" si="22"/>
        <v>5.1151956054064307E-2</v>
      </c>
      <c r="P143">
        <f t="shared" si="22"/>
        <v>5.8454917358229164E-2</v>
      </c>
      <c r="Q143">
        <f t="shared" si="22"/>
        <v>6.3767480101177609E-2</v>
      </c>
      <c r="R143">
        <f t="shared" si="22"/>
        <v>6.8826438225197073E-2</v>
      </c>
      <c r="S143">
        <f t="shared" si="22"/>
        <v>7.5865306282196565E-2</v>
      </c>
      <c r="T143">
        <f t="shared" si="22"/>
        <v>8.1955367396335355E-2</v>
      </c>
      <c r="U143">
        <f t="shared" si="22"/>
        <v>8.907653150059347E-2</v>
      </c>
      <c r="V143">
        <f t="shared" si="22"/>
        <v>9.515083833668192E-2</v>
      </c>
      <c r="W143">
        <f t="shared" si="22"/>
        <v>0.10099784320007688</v>
      </c>
      <c r="X143">
        <f t="shared" si="22"/>
        <v>0.10793363424175073</v>
      </c>
      <c r="Y143">
        <f t="shared" si="22"/>
        <v>0.11675635425250519</v>
      </c>
      <c r="Z143">
        <f t="shared" si="22"/>
        <v>0.12550133552070264</v>
      </c>
      <c r="AA143">
        <f t="shared" si="22"/>
        <v>0.13312705470221542</v>
      </c>
      <c r="AB143">
        <f t="shared" si="22"/>
        <v>0.13932721654285873</v>
      </c>
      <c r="AC143">
        <f t="shared" si="22"/>
        <v>0.14366181071342421</v>
      </c>
    </row>
    <row r="144" spans="2:29" x14ac:dyDescent="0.25">
      <c r="B144" t="s">
        <v>288</v>
      </c>
      <c r="C144">
        <v>0</v>
      </c>
      <c r="D144">
        <f t="shared" ref="D144:AC144" si="23">(1+C144)*(1+D88)-1</f>
        <v>2.433643564380894E-2</v>
      </c>
      <c r="E144">
        <f t="shared" si="23"/>
        <v>3.3767162584272814E-3</v>
      </c>
      <c r="F144">
        <f t="shared" si="23"/>
        <v>2.7567732776504705E-2</v>
      </c>
      <c r="G144">
        <f t="shared" si="23"/>
        <v>4.6916207846104285E-2</v>
      </c>
      <c r="H144">
        <f t="shared" si="23"/>
        <v>6.728013028179225E-2</v>
      </c>
      <c r="I144">
        <f t="shared" si="23"/>
        <v>8.1032455524753688E-2</v>
      </c>
      <c r="J144">
        <f t="shared" si="23"/>
        <v>0.10212458429914784</v>
      </c>
      <c r="K144">
        <f t="shared" si="23"/>
        <v>0.12002402234294962</v>
      </c>
      <c r="L144">
        <f t="shared" si="23"/>
        <v>0.12118079162338602</v>
      </c>
      <c r="M144">
        <f t="shared" si="23"/>
        <v>0.12990368419100018</v>
      </c>
      <c r="N144">
        <f t="shared" si="23"/>
        <v>0.14461800513737288</v>
      </c>
      <c r="O144">
        <f t="shared" si="23"/>
        <v>0.15519607206753916</v>
      </c>
      <c r="P144">
        <f t="shared" si="23"/>
        <v>0.16228200956292516</v>
      </c>
      <c r="Q144">
        <f t="shared" si="23"/>
        <v>0.16512253138484079</v>
      </c>
      <c r="R144">
        <f t="shared" si="23"/>
        <v>0.16548402220442959</v>
      </c>
      <c r="S144">
        <f t="shared" si="23"/>
        <v>0.170546229215226</v>
      </c>
      <c r="T144">
        <f t="shared" si="23"/>
        <v>0.17502175313883317</v>
      </c>
      <c r="U144">
        <f t="shared" si="23"/>
        <v>0.1792591857935637</v>
      </c>
      <c r="V144">
        <f t="shared" si="23"/>
        <v>0.18144769061703858</v>
      </c>
      <c r="W144">
        <f t="shared" si="23"/>
        <v>0.18318909270116279</v>
      </c>
      <c r="X144">
        <f t="shared" si="23"/>
        <v>0.18690948143974673</v>
      </c>
      <c r="Y144">
        <f t="shared" si="23"/>
        <v>0.1924885243182819</v>
      </c>
      <c r="Z144">
        <f t="shared" si="23"/>
        <v>0.19884032273972307</v>
      </c>
      <c r="AA144">
        <f t="shared" si="23"/>
        <v>0.20233961642209009</v>
      </c>
      <c r="AB144">
        <f t="shared" si="23"/>
        <v>0.20330294430643425</v>
      </c>
      <c r="AC144">
        <f t="shared" si="23"/>
        <v>0.20251667568388698</v>
      </c>
    </row>
    <row r="145" spans="2:29" x14ac:dyDescent="0.25">
      <c r="B145" t="s">
        <v>327</v>
      </c>
      <c r="C145">
        <v>0</v>
      </c>
      <c r="D145">
        <f t="shared" ref="D145:AC145" si="24">(1+C145)*(1+D89)-1</f>
        <v>-6.119282245818225E-2</v>
      </c>
      <c r="E145">
        <f t="shared" si="24"/>
        <v>-5.8434523548630213E-2</v>
      </c>
      <c r="F145">
        <f t="shared" si="24"/>
        <v>1.2035657082207774E-3</v>
      </c>
      <c r="G145">
        <f t="shared" si="24"/>
        <v>2.0831723842193561E-2</v>
      </c>
      <c r="H145">
        <f t="shared" si="24"/>
        <v>3.7096028049963259E-2</v>
      </c>
      <c r="I145">
        <f t="shared" si="24"/>
        <v>5.4354785758911284E-2</v>
      </c>
      <c r="J145">
        <f t="shared" si="24"/>
        <v>6.1421256754164322E-2</v>
      </c>
      <c r="K145">
        <f t="shared" si="24"/>
        <v>7.8280083749519447E-2</v>
      </c>
      <c r="L145">
        <f t="shared" si="24"/>
        <v>8.5734937161873415E-2</v>
      </c>
      <c r="M145">
        <f t="shared" si="24"/>
        <v>8.8833885529693513E-2</v>
      </c>
      <c r="N145">
        <f t="shared" si="24"/>
        <v>9.3021953458676476E-2</v>
      </c>
      <c r="O145">
        <f t="shared" si="24"/>
        <v>0.10425499737849364</v>
      </c>
      <c r="P145">
        <f t="shared" si="24"/>
        <v>0.12697204290697628</v>
      </c>
      <c r="Q145">
        <f t="shared" si="24"/>
        <v>0.14804649077423382</v>
      </c>
      <c r="R145">
        <f t="shared" si="24"/>
        <v>0.16952772996107002</v>
      </c>
      <c r="S145">
        <f t="shared" si="24"/>
        <v>0.18943005476905483</v>
      </c>
      <c r="T145">
        <f t="shared" si="24"/>
        <v>0.20698847438143919</v>
      </c>
      <c r="U145">
        <f t="shared" si="24"/>
        <v>0.22466145440626462</v>
      </c>
      <c r="V145">
        <f t="shared" si="24"/>
        <v>0.24023131074904347</v>
      </c>
      <c r="W145">
        <f t="shared" si="24"/>
        <v>0.25622567891177583</v>
      </c>
      <c r="X145">
        <f t="shared" si="24"/>
        <v>0.27301282030154383</v>
      </c>
      <c r="Y145">
        <f t="shared" si="24"/>
        <v>0.28895402508994783</v>
      </c>
      <c r="Z145">
        <f t="shared" si="24"/>
        <v>0.30355984031884664</v>
      </c>
      <c r="AA145">
        <f t="shared" si="24"/>
        <v>0.3185005327309709</v>
      </c>
      <c r="AB145">
        <f t="shared" si="24"/>
        <v>0.33215717071179096</v>
      </c>
      <c r="AC145">
        <f t="shared" si="24"/>
        <v>0.34321368679074138</v>
      </c>
    </row>
    <row r="146" spans="2:29" x14ac:dyDescent="0.25">
      <c r="B146" t="s">
        <v>339</v>
      </c>
      <c r="C146">
        <v>0</v>
      </c>
      <c r="D146">
        <f t="shared" ref="D146:AC146" si="25">(1+C146)*(1+D90)-1</f>
        <v>1.1895575231235966E-2</v>
      </c>
      <c r="E146">
        <f t="shared" si="25"/>
        <v>3.1333309137025145E-2</v>
      </c>
      <c r="F146">
        <f t="shared" si="25"/>
        <v>4.4239661338647096E-2</v>
      </c>
      <c r="G146">
        <f t="shared" si="25"/>
        <v>5.3099323044935476E-2</v>
      </c>
      <c r="H146">
        <f t="shared" si="25"/>
        <v>6.3708288539129132E-2</v>
      </c>
      <c r="I146">
        <f t="shared" si="25"/>
        <v>7.5778260667684227E-2</v>
      </c>
      <c r="J146">
        <f t="shared" si="25"/>
        <v>8.7559996765044223E-2</v>
      </c>
      <c r="K146">
        <f t="shared" si="25"/>
        <v>0.10088409089200412</v>
      </c>
      <c r="L146">
        <f t="shared" si="25"/>
        <v>0.11523550928155002</v>
      </c>
      <c r="M146">
        <f t="shared" si="25"/>
        <v>0.13041543167279412</v>
      </c>
      <c r="N146">
        <f t="shared" si="25"/>
        <v>0.14638003887802054</v>
      </c>
      <c r="O146">
        <f t="shared" si="25"/>
        <v>0.15955718259210006</v>
      </c>
      <c r="P146">
        <f t="shared" si="25"/>
        <v>0.17254600118119101</v>
      </c>
      <c r="Q146">
        <f t="shared" si="25"/>
        <v>0.18549890113445144</v>
      </c>
      <c r="R146">
        <f t="shared" si="25"/>
        <v>0.19812091465161163</v>
      </c>
      <c r="S146">
        <f t="shared" si="25"/>
        <v>0.21070941017379807</v>
      </c>
      <c r="T146">
        <f t="shared" si="25"/>
        <v>0.22284158295569534</v>
      </c>
      <c r="U146">
        <f t="shared" si="25"/>
        <v>0.23520887382412492</v>
      </c>
      <c r="V146">
        <f t="shared" si="25"/>
        <v>0.24797909147151809</v>
      </c>
      <c r="W146">
        <f t="shared" si="25"/>
        <v>0.26070776900604065</v>
      </c>
      <c r="X146">
        <f t="shared" si="25"/>
        <v>0.27316248880798488</v>
      </c>
      <c r="Y146">
        <f t="shared" si="25"/>
        <v>0.2851266064315876</v>
      </c>
      <c r="Z146">
        <f t="shared" si="25"/>
        <v>0.29649551486358372</v>
      </c>
      <c r="AA146">
        <f t="shared" si="25"/>
        <v>0.30784124916171041</v>
      </c>
      <c r="AB146">
        <f t="shared" si="25"/>
        <v>0.31872215004621696</v>
      </c>
      <c r="AC146">
        <f t="shared" si="25"/>
        <v>0.3299371562792186</v>
      </c>
    </row>
    <row r="147" spans="2:29" x14ac:dyDescent="0.25">
      <c r="B147" t="s">
        <v>334</v>
      </c>
      <c r="C147">
        <v>0</v>
      </c>
      <c r="D147">
        <f t="shared" ref="D147:AC147" si="26">(1+C147)*(1+D91)-1</f>
        <v>-6.119282245818225E-2</v>
      </c>
      <c r="E147">
        <f t="shared" si="26"/>
        <v>-5.8434523548630213E-2</v>
      </c>
      <c r="F147">
        <f t="shared" si="26"/>
        <v>1.2035657082207774E-3</v>
      </c>
      <c r="G147">
        <f t="shared" si="26"/>
        <v>2.0831723842193561E-2</v>
      </c>
      <c r="H147">
        <f t="shared" si="26"/>
        <v>3.7096028049963259E-2</v>
      </c>
      <c r="I147">
        <f t="shared" si="26"/>
        <v>5.4354785758911284E-2</v>
      </c>
      <c r="J147">
        <f t="shared" si="26"/>
        <v>6.1421256754164322E-2</v>
      </c>
      <c r="K147">
        <f t="shared" si="26"/>
        <v>7.8280083749519447E-2</v>
      </c>
      <c r="L147">
        <f t="shared" si="26"/>
        <v>8.5734937161873415E-2</v>
      </c>
      <c r="M147">
        <f t="shared" si="26"/>
        <v>8.8833885529693513E-2</v>
      </c>
      <c r="N147">
        <f t="shared" si="26"/>
        <v>9.3021953458676476E-2</v>
      </c>
      <c r="O147">
        <f t="shared" si="26"/>
        <v>0.10425499737849364</v>
      </c>
      <c r="P147">
        <f t="shared" si="26"/>
        <v>0.12697204290697628</v>
      </c>
      <c r="Q147">
        <f t="shared" si="26"/>
        <v>0.14804649077423382</v>
      </c>
      <c r="R147">
        <f t="shared" si="26"/>
        <v>0.16952772996107002</v>
      </c>
      <c r="S147">
        <f t="shared" si="26"/>
        <v>0.18943005476905483</v>
      </c>
      <c r="T147">
        <f t="shared" si="26"/>
        <v>0.20698847438143919</v>
      </c>
      <c r="U147">
        <f t="shared" si="26"/>
        <v>0.22466145440626462</v>
      </c>
      <c r="V147">
        <f t="shared" si="26"/>
        <v>0.24023131074904347</v>
      </c>
      <c r="W147">
        <f t="shared" si="26"/>
        <v>0.25622567891177583</v>
      </c>
      <c r="X147">
        <f t="shared" si="26"/>
        <v>0.27301282030154383</v>
      </c>
      <c r="Y147">
        <f t="shared" si="26"/>
        <v>0.28895402508994783</v>
      </c>
      <c r="Z147">
        <f t="shared" si="26"/>
        <v>0.30355984031884664</v>
      </c>
      <c r="AA147">
        <f t="shared" si="26"/>
        <v>0.3185005327309709</v>
      </c>
      <c r="AB147">
        <f t="shared" si="26"/>
        <v>0.33215717071179096</v>
      </c>
      <c r="AC147">
        <f t="shared" si="26"/>
        <v>0.34321368679074138</v>
      </c>
    </row>
    <row r="148" spans="2:29" x14ac:dyDescent="0.25">
      <c r="B148" t="s">
        <v>344</v>
      </c>
      <c r="C148">
        <v>0</v>
      </c>
      <c r="D148">
        <f t="shared" ref="D148:AC148" si="27">(1+C148)*(1+D92)-1</f>
        <v>-1.6322297830852928E-2</v>
      </c>
      <c r="E148">
        <f t="shared" si="27"/>
        <v>-1.0813755914009349E-2</v>
      </c>
      <c r="F148">
        <f t="shared" si="27"/>
        <v>1.4664822917539011E-2</v>
      </c>
      <c r="G148">
        <f t="shared" si="27"/>
        <v>2.6185439573830127E-2</v>
      </c>
      <c r="H148">
        <f t="shared" si="27"/>
        <v>4.2416838091896336E-2</v>
      </c>
      <c r="I148">
        <f t="shared" si="27"/>
        <v>6.73054426297508E-2</v>
      </c>
      <c r="J148">
        <f t="shared" si="27"/>
        <v>9.4380156279248562E-2</v>
      </c>
      <c r="K148">
        <f t="shared" si="27"/>
        <v>0.10610967194728449</v>
      </c>
      <c r="L148">
        <f t="shared" si="27"/>
        <v>0.11081246260749333</v>
      </c>
      <c r="M148">
        <f t="shared" si="27"/>
        <v>0.1128028429432868</v>
      </c>
      <c r="N148">
        <f t="shared" si="27"/>
        <v>0.12147277873904017</v>
      </c>
      <c r="O148">
        <f t="shared" si="27"/>
        <v>0.13108579248484609</v>
      </c>
      <c r="P148">
        <f t="shared" si="27"/>
        <v>0.14212809385951375</v>
      </c>
      <c r="Q148">
        <f t="shared" si="27"/>
        <v>0.15535143179631494</v>
      </c>
      <c r="R148">
        <f t="shared" si="27"/>
        <v>0.16106832093993706</v>
      </c>
      <c r="S148">
        <f t="shared" si="27"/>
        <v>0.17359996738079664</v>
      </c>
      <c r="T148">
        <f t="shared" si="27"/>
        <v>0.18661204427898204</v>
      </c>
      <c r="U148">
        <f t="shared" si="27"/>
        <v>0.19767132998211467</v>
      </c>
      <c r="V148">
        <f t="shared" si="27"/>
        <v>0.20805879328829335</v>
      </c>
      <c r="W148">
        <f t="shared" si="27"/>
        <v>0.21950822968399697</v>
      </c>
      <c r="X148">
        <f t="shared" si="27"/>
        <v>0.23423571891690553</v>
      </c>
      <c r="Y148">
        <f t="shared" si="27"/>
        <v>0.24433348059538362</v>
      </c>
      <c r="Z148">
        <f t="shared" si="27"/>
        <v>0.25355014332808157</v>
      </c>
      <c r="AA148">
        <f t="shared" si="27"/>
        <v>0.2574952993487174</v>
      </c>
      <c r="AB148">
        <f t="shared" si="27"/>
        <v>0.27188766633884587</v>
      </c>
      <c r="AC148">
        <f t="shared" si="27"/>
        <v>0.27519028328746731</v>
      </c>
    </row>
    <row r="149" spans="2:29" x14ac:dyDescent="0.25">
      <c r="B149" t="s">
        <v>106</v>
      </c>
      <c r="C149">
        <v>0</v>
      </c>
      <c r="D149">
        <f t="shared" ref="D149:AC149" si="28">(1+C149)*(1+D93)-1</f>
        <v>1.8300884971132358E-2</v>
      </c>
      <c r="E149">
        <f t="shared" si="28"/>
        <v>4.8394384921727429E-2</v>
      </c>
      <c r="F149">
        <f t="shared" si="28"/>
        <v>6.8578782756924195E-2</v>
      </c>
      <c r="G149">
        <f t="shared" si="28"/>
        <v>8.2526725157584746E-2</v>
      </c>
      <c r="H149">
        <f t="shared" si="28"/>
        <v>9.9304291837960523E-2</v>
      </c>
      <c r="I149">
        <f t="shared" si="28"/>
        <v>0.11849488023842336</v>
      </c>
      <c r="J149">
        <f t="shared" si="28"/>
        <v>0.13734035881250262</v>
      </c>
      <c r="K149">
        <f t="shared" si="28"/>
        <v>0.15877723803725141</v>
      </c>
      <c r="L149">
        <f t="shared" si="28"/>
        <v>0.18201743632032175</v>
      </c>
      <c r="M149">
        <f t="shared" si="28"/>
        <v>0.20676961825734796</v>
      </c>
      <c r="N149">
        <f t="shared" si="28"/>
        <v>0.23298952671942841</v>
      </c>
      <c r="O149">
        <f t="shared" si="28"/>
        <v>0.2547936534763382</v>
      </c>
      <c r="P149">
        <f t="shared" si="28"/>
        <v>0.27641767363802039</v>
      </c>
      <c r="Q149">
        <f t="shared" si="28"/>
        <v>0.29811052165166108</v>
      </c>
      <c r="R149">
        <f t="shared" si="28"/>
        <v>0.31937358331141508</v>
      </c>
      <c r="S149">
        <f t="shared" si="28"/>
        <v>0.34070047719679186</v>
      </c>
      <c r="T149">
        <f t="shared" si="28"/>
        <v>0.36136936349212734</v>
      </c>
      <c r="U149">
        <f t="shared" si="28"/>
        <v>0.38255136491512687</v>
      </c>
      <c r="V149">
        <f t="shared" si="28"/>
        <v>0.40454139455902216</v>
      </c>
      <c r="W149">
        <f t="shared" si="28"/>
        <v>0.4265806623362145</v>
      </c>
      <c r="X149">
        <f t="shared" si="28"/>
        <v>0.44826282051761313</v>
      </c>
      <c r="Y149">
        <f t="shared" si="28"/>
        <v>0.46920061172274452</v>
      </c>
      <c r="Z149">
        <f t="shared" si="28"/>
        <v>0.48919649520441277</v>
      </c>
      <c r="AA149">
        <f t="shared" si="28"/>
        <v>0.50924584250386173</v>
      </c>
      <c r="AB149">
        <f t="shared" si="28"/>
        <v>0.52856358866134867</v>
      </c>
      <c r="AC149">
        <f t="shared" si="28"/>
        <v>0.54856296127517945</v>
      </c>
    </row>
    <row r="150" spans="2:29" x14ac:dyDescent="0.25">
      <c r="B150" t="s">
        <v>127</v>
      </c>
      <c r="C150">
        <v>0</v>
      </c>
      <c r="D150">
        <f t="shared" ref="D150:AC150" si="29">(1+C150)*(1+D94)-1</f>
        <v>1.0243582594580136E-2</v>
      </c>
      <c r="E150">
        <f t="shared" si="29"/>
        <v>2.6954583455981229E-2</v>
      </c>
      <c r="F150">
        <f t="shared" si="29"/>
        <v>3.8021385231630678E-2</v>
      </c>
      <c r="G150">
        <f t="shared" si="29"/>
        <v>4.5605234306997033E-2</v>
      </c>
      <c r="H150">
        <f t="shared" si="29"/>
        <v>5.4675873194154345E-2</v>
      </c>
      <c r="I150">
        <f t="shared" si="29"/>
        <v>6.4981375402292985E-2</v>
      </c>
      <c r="J150">
        <f t="shared" si="29"/>
        <v>7.5025103919994729E-2</v>
      </c>
      <c r="K150">
        <f t="shared" si="29"/>
        <v>8.6366577851514803E-2</v>
      </c>
      <c r="L150">
        <f t="shared" si="29"/>
        <v>9.8561977913530274E-2</v>
      </c>
      <c r="M150">
        <f t="shared" si="29"/>
        <v>0.11143836285392217</v>
      </c>
      <c r="N150">
        <f t="shared" si="29"/>
        <v>0.12495510311958902</v>
      </c>
      <c r="O150">
        <f t="shared" si="29"/>
        <v>0.13609020725332743</v>
      </c>
      <c r="P150">
        <f t="shared" si="29"/>
        <v>0.14704884883086988</v>
      </c>
      <c r="Q150">
        <f t="shared" si="29"/>
        <v>0.1579603740349862</v>
      </c>
      <c r="R150">
        <f t="shared" si="29"/>
        <v>0.1685770266865394</v>
      </c>
      <c r="S150">
        <f t="shared" si="29"/>
        <v>0.17914999547424615</v>
      </c>
      <c r="T150">
        <f t="shared" si="29"/>
        <v>0.18932498915169482</v>
      </c>
      <c r="U150">
        <f t="shared" si="29"/>
        <v>0.19968288038390125</v>
      </c>
      <c r="V150">
        <f t="shared" si="29"/>
        <v>0.21036336068143902</v>
      </c>
      <c r="W150">
        <f t="shared" si="29"/>
        <v>0.2209939702765209</v>
      </c>
      <c r="X150">
        <f t="shared" si="29"/>
        <v>0.23138119379648425</v>
      </c>
      <c r="Y150">
        <f t="shared" si="29"/>
        <v>0.24134569999650424</v>
      </c>
      <c r="Z150">
        <f t="shared" si="29"/>
        <v>0.25080223475769459</v>
      </c>
      <c r="AA150">
        <f t="shared" si="29"/>
        <v>0.26022800097902832</v>
      </c>
      <c r="AB150">
        <f t="shared" si="29"/>
        <v>0.26925670412208613</v>
      </c>
      <c r="AC150">
        <f t="shared" si="29"/>
        <v>0.27855197627716421</v>
      </c>
    </row>
    <row r="151" spans="2:29" x14ac:dyDescent="0.25">
      <c r="B151" t="s">
        <v>130</v>
      </c>
      <c r="C151">
        <v>0</v>
      </c>
      <c r="D151">
        <f t="shared" ref="D151:AC151" si="30">(1+C151)*(1+D95)-1</f>
        <v>1.3632303344046637E-2</v>
      </c>
      <c r="E151">
        <f t="shared" si="30"/>
        <v>3.5946135998155881E-2</v>
      </c>
      <c r="F151">
        <f t="shared" si="30"/>
        <v>5.0802941446347116E-2</v>
      </c>
      <c r="G151">
        <f t="shared" si="30"/>
        <v>6.1019909333916766E-2</v>
      </c>
      <c r="H151">
        <f t="shared" si="30"/>
        <v>7.3269202530104494E-2</v>
      </c>
      <c r="I151">
        <f t="shared" si="30"/>
        <v>8.7225691761279922E-2</v>
      </c>
      <c r="J151">
        <f t="shared" si="30"/>
        <v>0.10087120976345787</v>
      </c>
      <c r="K151">
        <f t="shared" si="30"/>
        <v>0.11632748258186032</v>
      </c>
      <c r="L151">
        <f t="shared" si="30"/>
        <v>0.13300489390485604</v>
      </c>
      <c r="M151">
        <f t="shared" si="30"/>
        <v>0.15067823019820614</v>
      </c>
      <c r="N151">
        <f t="shared" si="30"/>
        <v>0.16930158212145963</v>
      </c>
      <c r="O151">
        <f t="shared" si="30"/>
        <v>0.18470449992602012</v>
      </c>
      <c r="P151">
        <f t="shared" si="30"/>
        <v>0.19991247220811115</v>
      </c>
      <c r="Q151">
        <f t="shared" si="30"/>
        <v>0.21510291670334514</v>
      </c>
      <c r="R151">
        <f t="shared" si="30"/>
        <v>0.22992892852090874</v>
      </c>
      <c r="S151">
        <f t="shared" si="30"/>
        <v>0.24473831238321253</v>
      </c>
      <c r="T151">
        <f t="shared" si="30"/>
        <v>0.25903253427131623</v>
      </c>
      <c r="U151">
        <f t="shared" si="30"/>
        <v>0.27362488040773814</v>
      </c>
      <c r="V151">
        <f t="shared" si="30"/>
        <v>0.28871467138742113</v>
      </c>
      <c r="W151">
        <f t="shared" si="30"/>
        <v>0.30377784706743771</v>
      </c>
      <c r="X151">
        <f t="shared" si="30"/>
        <v>0.3185385460379484</v>
      </c>
      <c r="Y151">
        <f t="shared" si="30"/>
        <v>0.3327380594888707</v>
      </c>
      <c r="Z151">
        <f t="shared" si="30"/>
        <v>0.34624949358344148</v>
      </c>
      <c r="AA151">
        <f t="shared" si="30"/>
        <v>0.35975064899461495</v>
      </c>
      <c r="AB151">
        <f t="shared" si="30"/>
        <v>0.37271506300935831</v>
      </c>
      <c r="AC151">
        <f t="shared" si="30"/>
        <v>0.38609365505904325</v>
      </c>
    </row>
    <row r="152" spans="2:29" x14ac:dyDescent="0.25">
      <c r="B152" t="s">
        <v>133</v>
      </c>
      <c r="C152">
        <v>0</v>
      </c>
      <c r="D152">
        <f t="shared" ref="D152:AC152" si="31">(1+C152)*(1+D96)-1</f>
        <v>5.9669924007771602E-2</v>
      </c>
      <c r="E152">
        <f t="shared" si="31"/>
        <v>5.5895125581503446E-2</v>
      </c>
      <c r="F152">
        <f t="shared" si="31"/>
        <v>6.2230794923747279E-2</v>
      </c>
      <c r="G152">
        <f t="shared" si="31"/>
        <v>6.8855627686792209E-2</v>
      </c>
      <c r="H152">
        <f t="shared" si="31"/>
        <v>8.6485275824584429E-2</v>
      </c>
      <c r="I152">
        <f t="shared" si="31"/>
        <v>0.1047025699469295</v>
      </c>
      <c r="J152">
        <f t="shared" si="31"/>
        <v>0.12156826074508587</v>
      </c>
      <c r="K152">
        <f t="shared" si="31"/>
        <v>0.13848978450187399</v>
      </c>
      <c r="L152">
        <f t="shared" si="31"/>
        <v>0.15272945158841189</v>
      </c>
      <c r="M152">
        <f t="shared" si="31"/>
        <v>0.16187652111436623</v>
      </c>
      <c r="N152">
        <f t="shared" si="31"/>
        <v>0.17457310761766154</v>
      </c>
      <c r="O152">
        <f t="shared" si="31"/>
        <v>0.18568187929174584</v>
      </c>
      <c r="P152">
        <f t="shared" si="31"/>
        <v>0.19518563733105343</v>
      </c>
      <c r="Q152">
        <f t="shared" si="31"/>
        <v>0.20330305503972612</v>
      </c>
      <c r="R152">
        <f t="shared" si="31"/>
        <v>0.21031558483251844</v>
      </c>
      <c r="S152">
        <f t="shared" si="31"/>
        <v>0.2146857395553261</v>
      </c>
      <c r="T152">
        <f t="shared" si="31"/>
        <v>0.21757008752197948</v>
      </c>
      <c r="U152">
        <f t="shared" si="31"/>
        <v>0.22475071030598448</v>
      </c>
      <c r="V152">
        <f t="shared" si="31"/>
        <v>0.22997191856345522</v>
      </c>
      <c r="W152">
        <f t="shared" si="31"/>
        <v>0.23623514886869956</v>
      </c>
      <c r="X152">
        <f t="shared" si="31"/>
        <v>0.24826199111811587</v>
      </c>
      <c r="Y152">
        <f t="shared" si="31"/>
        <v>0.26086106011623178</v>
      </c>
      <c r="Z152">
        <f t="shared" si="31"/>
        <v>0.27243505184619798</v>
      </c>
      <c r="AA152">
        <f t="shared" si="31"/>
        <v>0.28415332892296585</v>
      </c>
      <c r="AB152">
        <f t="shared" si="31"/>
        <v>0.29750618867056744</v>
      </c>
      <c r="AC152">
        <f t="shared" si="31"/>
        <v>0.31288310699440247</v>
      </c>
    </row>
    <row r="153" spans="2:29" x14ac:dyDescent="0.25">
      <c r="B153" t="s">
        <v>359</v>
      </c>
      <c r="C153">
        <v>0</v>
      </c>
      <c r="D153">
        <f t="shared" ref="D153:AC153" si="32">(1+C153)*(1+D97)-1</f>
        <v>2.3125975749347383E-2</v>
      </c>
      <c r="E153">
        <f t="shared" si="32"/>
        <v>6.1333919395386127E-2</v>
      </c>
      <c r="F153">
        <f t="shared" si="32"/>
        <v>8.7154804788136753E-2</v>
      </c>
      <c r="G153">
        <f t="shared" si="32"/>
        <v>0.10508656664906479</v>
      </c>
      <c r="H153">
        <f t="shared" si="32"/>
        <v>0.12672942519140262</v>
      </c>
      <c r="I153">
        <f t="shared" si="32"/>
        <v>0.15158466617437383</v>
      </c>
      <c r="J153">
        <f t="shared" si="32"/>
        <v>0.17610334236962855</v>
      </c>
      <c r="K153">
        <f t="shared" si="32"/>
        <v>0.20411537150977832</v>
      </c>
      <c r="L153">
        <f t="shared" si="32"/>
        <v>0.23463195769120837</v>
      </c>
      <c r="M153">
        <f t="shared" si="32"/>
        <v>0.2673024060309146</v>
      </c>
      <c r="N153">
        <f t="shared" si="32"/>
        <v>0.30209726153896521</v>
      </c>
      <c r="O153">
        <f t="shared" si="32"/>
        <v>0.33119442880448902</v>
      </c>
      <c r="P153">
        <f t="shared" si="32"/>
        <v>0.36018345255926376</v>
      </c>
      <c r="Q153">
        <f t="shared" si="32"/>
        <v>0.38939464099097165</v>
      </c>
      <c r="R153">
        <f t="shared" si="32"/>
        <v>0.41815323981607122</v>
      </c>
      <c r="S153">
        <f t="shared" si="32"/>
        <v>0.44712073609119929</v>
      </c>
      <c r="T153">
        <f t="shared" si="32"/>
        <v>0.47531222759881619</v>
      </c>
      <c r="U153">
        <f t="shared" si="32"/>
        <v>0.50431923571406823</v>
      </c>
      <c r="V153">
        <f t="shared" si="32"/>
        <v>0.53455441324375674</v>
      </c>
      <c r="W153">
        <f t="shared" si="32"/>
        <v>0.56498237666616946</v>
      </c>
      <c r="X153">
        <f t="shared" si="32"/>
        <v>0.59503923619257626</v>
      </c>
      <c r="Y153">
        <f t="shared" si="32"/>
        <v>0.62417878535355165</v>
      </c>
      <c r="Z153">
        <f t="shared" si="32"/>
        <v>0.65211202485356878</v>
      </c>
      <c r="AA153">
        <f t="shared" si="32"/>
        <v>0.68021910293988563</v>
      </c>
      <c r="AB153">
        <f t="shared" si="32"/>
        <v>0.70739540490057928</v>
      </c>
      <c r="AC153">
        <f t="shared" si="32"/>
        <v>0.73562436920677921</v>
      </c>
    </row>
    <row r="154" spans="2:29" x14ac:dyDescent="0.25">
      <c r="B154" t="s">
        <v>461</v>
      </c>
      <c r="C154">
        <v>0</v>
      </c>
      <c r="D154">
        <f t="shared" ref="D154:AC154" si="33">(1+C154)*(1+D98)-1</f>
        <v>1.7047584306687957E-2</v>
      </c>
      <c r="E154">
        <f t="shared" si="33"/>
        <v>4.5045687326771056E-2</v>
      </c>
      <c r="F154">
        <f t="shared" si="33"/>
        <v>6.3787739573972102E-2</v>
      </c>
      <c r="G154">
        <f t="shared" si="33"/>
        <v>7.6722230327909591E-2</v>
      </c>
      <c r="H154">
        <f t="shared" si="33"/>
        <v>9.2267017555017095E-2</v>
      </c>
      <c r="I154">
        <f t="shared" si="33"/>
        <v>0.1100289389021365</v>
      </c>
      <c r="J154">
        <f t="shared" si="33"/>
        <v>0.12745094762708109</v>
      </c>
      <c r="K154">
        <f t="shared" si="33"/>
        <v>0.14724613068160974</v>
      </c>
      <c r="L154">
        <f t="shared" si="33"/>
        <v>0.16867934124446404</v>
      </c>
      <c r="M154">
        <f t="shared" si="33"/>
        <v>0.19147623778226297</v>
      </c>
      <c r="N154">
        <f t="shared" si="33"/>
        <v>0.21559099780112567</v>
      </c>
      <c r="O154">
        <f t="shared" si="33"/>
        <v>0.2356153069348399</v>
      </c>
      <c r="P154">
        <f t="shared" si="33"/>
        <v>0.2554505788973096</v>
      </c>
      <c r="Q154">
        <f t="shared" si="33"/>
        <v>0.27532589943314179</v>
      </c>
      <c r="R154">
        <f t="shared" si="33"/>
        <v>0.29478514790644872</v>
      </c>
      <c r="S154">
        <f t="shared" si="33"/>
        <v>0.31428127235556658</v>
      </c>
      <c r="T154">
        <f t="shared" si="33"/>
        <v>0.33315529132675881</v>
      </c>
      <c r="U154">
        <f t="shared" si="33"/>
        <v>0.35247775574587492</v>
      </c>
      <c r="V154">
        <f t="shared" si="33"/>
        <v>0.3725162657655392</v>
      </c>
      <c r="W154">
        <f t="shared" si="33"/>
        <v>0.39257811091668127</v>
      </c>
      <c r="X154">
        <f t="shared" si="33"/>
        <v>0.4122940058798068</v>
      </c>
      <c r="Y154">
        <f t="shared" si="33"/>
        <v>0.43131351720905564</v>
      </c>
      <c r="Z154">
        <f t="shared" si="33"/>
        <v>0.44945968929912872</v>
      </c>
      <c r="AA154">
        <f t="shared" si="33"/>
        <v>0.4676376487678191</v>
      </c>
      <c r="AB154">
        <f t="shared" si="33"/>
        <v>0.48513636008068084</v>
      </c>
      <c r="AC154">
        <f t="shared" si="33"/>
        <v>0.50323683409054909</v>
      </c>
    </row>
    <row r="155" spans="2:29" x14ac:dyDescent="0.25">
      <c r="B155" t="s">
        <v>464</v>
      </c>
      <c r="C155">
        <v>0</v>
      </c>
      <c r="D155">
        <f t="shared" ref="D155:AC155" si="34">(1+C155)*(1+D99)-1</f>
        <v>1.9215929219688954E-2</v>
      </c>
      <c r="E155">
        <f t="shared" si="34"/>
        <v>5.0842498259066948E-2</v>
      </c>
      <c r="F155">
        <f t="shared" si="34"/>
        <v>7.2085605356598137E-2</v>
      </c>
      <c r="G155">
        <f t="shared" si="34"/>
        <v>8.6779007414597986E-2</v>
      </c>
      <c r="H155">
        <f t="shared" si="34"/>
        <v>0.104464651733569</v>
      </c>
      <c r="I155">
        <f t="shared" si="34"/>
        <v>0.12470935834140429</v>
      </c>
      <c r="J155">
        <f t="shared" si="34"/>
        <v>0.14460705372976368</v>
      </c>
      <c r="K155">
        <f t="shared" si="34"/>
        <v>0.16725958964788612</v>
      </c>
      <c r="L155">
        <f t="shared" si="34"/>
        <v>0.19184042416189473</v>
      </c>
      <c r="M155">
        <f t="shared" si="34"/>
        <v>0.21804619965884875</v>
      </c>
      <c r="N155">
        <f t="shared" si="34"/>
        <v>0.24583436431197203</v>
      </c>
      <c r="O155">
        <f t="shared" si="34"/>
        <v>0.2689672022634344</v>
      </c>
      <c r="P155">
        <f t="shared" si="34"/>
        <v>0.29192889074882666</v>
      </c>
      <c r="Q155">
        <f t="shared" si="34"/>
        <v>0.31498317660899211</v>
      </c>
      <c r="R155">
        <f t="shared" si="34"/>
        <v>0.33759958429877046</v>
      </c>
      <c r="S155">
        <f t="shared" si="34"/>
        <v>0.36030216603461196</v>
      </c>
      <c r="T155">
        <f t="shared" si="34"/>
        <v>0.38232179520536236</v>
      </c>
      <c r="U155">
        <f t="shared" si="34"/>
        <v>0.40490520288972021</v>
      </c>
      <c r="V155">
        <f t="shared" si="34"/>
        <v>0.42836805803891687</v>
      </c>
      <c r="W155">
        <f t="shared" si="34"/>
        <v>0.45190185743374434</v>
      </c>
      <c r="X155">
        <f t="shared" si="34"/>
        <v>0.47507221498608287</v>
      </c>
      <c r="Y155">
        <f t="shared" si="34"/>
        <v>0.49746386330635994</v>
      </c>
      <c r="Z155">
        <f t="shared" si="34"/>
        <v>0.51886343823455916</v>
      </c>
      <c r="AA155">
        <f t="shared" si="34"/>
        <v>0.54033463542394733</v>
      </c>
      <c r="AB155">
        <f t="shared" si="34"/>
        <v>0.56103608927530035</v>
      </c>
      <c r="AC155">
        <f t="shared" si="34"/>
        <v>0.58248153634526134</v>
      </c>
    </row>
    <row r="156" spans="2:29" x14ac:dyDescent="0.25">
      <c r="B156" t="s">
        <v>454</v>
      </c>
      <c r="C156">
        <v>0</v>
      </c>
      <c r="D156">
        <f t="shared" ref="D156:AC156" si="35">(1+C156)*(1+D100)-1</f>
        <v>2.1046017716802146E-2</v>
      </c>
      <c r="E156">
        <f t="shared" si="35"/>
        <v>5.5746837531247317E-2</v>
      </c>
      <c r="F156">
        <f t="shared" si="35"/>
        <v>7.9121682591208664E-2</v>
      </c>
      <c r="G156">
        <f t="shared" si="35"/>
        <v>9.5320072838337655E-2</v>
      </c>
      <c r="H156">
        <f t="shared" si="35"/>
        <v>0.11484229423114689</v>
      </c>
      <c r="I156">
        <f t="shared" si="35"/>
        <v>0.13722340537816602</v>
      </c>
      <c r="J156">
        <f t="shared" si="35"/>
        <v>0.1592585953941823</v>
      </c>
      <c r="K156">
        <f t="shared" si="35"/>
        <v>0.18438609505005776</v>
      </c>
      <c r="L156">
        <f t="shared" si="35"/>
        <v>0.21170296994845672</v>
      </c>
      <c r="M156">
        <f t="shared" si="35"/>
        <v>0.24088285779177099</v>
      </c>
      <c r="N156">
        <f t="shared" si="35"/>
        <v>0.2718881214468305</v>
      </c>
      <c r="O156">
        <f t="shared" si="35"/>
        <v>0.29775393020076568</v>
      </c>
      <c r="P156">
        <f t="shared" si="35"/>
        <v>0.3234729443469484</v>
      </c>
      <c r="Q156">
        <f t="shared" si="35"/>
        <v>0.34933938503369011</v>
      </c>
      <c r="R156">
        <f t="shared" si="35"/>
        <v>0.37475690455545663</v>
      </c>
      <c r="S156">
        <f t="shared" si="35"/>
        <v>0.40031235696209455</v>
      </c>
      <c r="T156">
        <f t="shared" si="35"/>
        <v>0.42513843257161166</v>
      </c>
      <c r="U156">
        <f t="shared" si="35"/>
        <v>0.45063876913248313</v>
      </c>
      <c r="V156">
        <f t="shared" si="35"/>
        <v>0.47717270407126233</v>
      </c>
      <c r="W156">
        <f t="shared" si="35"/>
        <v>0.50382850477599583</v>
      </c>
      <c r="X156">
        <f t="shared" si="35"/>
        <v>0.53011316265477282</v>
      </c>
      <c r="Y156">
        <f t="shared" si="35"/>
        <v>0.55555244610934951</v>
      </c>
      <c r="Z156">
        <f t="shared" si="35"/>
        <v>0.57989925211795001</v>
      </c>
      <c r="AA156">
        <f t="shared" si="35"/>
        <v>0.6043603230657637</v>
      </c>
      <c r="AB156">
        <f t="shared" si="35"/>
        <v>0.62797577277070871</v>
      </c>
      <c r="AC156">
        <f t="shared" si="35"/>
        <v>0.65247084021609392</v>
      </c>
    </row>
    <row r="157" spans="2:29" x14ac:dyDescent="0.25">
      <c r="B157" t="s">
        <v>495</v>
      </c>
      <c r="C157">
        <v>0</v>
      </c>
      <c r="D157">
        <f t="shared" ref="D157:AC157" si="36">(1+C157)*(1+D101)-1</f>
        <v>2.3621715279697808E-2</v>
      </c>
      <c r="E157">
        <f t="shared" si="36"/>
        <v>6.2667612678533047E-2</v>
      </c>
      <c r="F157">
        <f t="shared" si="36"/>
        <v>8.9075149567628298E-2</v>
      </c>
      <c r="G157">
        <f t="shared" si="36"/>
        <v>0.1074236588590467</v>
      </c>
      <c r="H157">
        <f t="shared" si="36"/>
        <v>0.1295772166933018</v>
      </c>
      <c r="I157">
        <f t="shared" si="36"/>
        <v>0.15502943447753803</v>
      </c>
      <c r="J157">
        <f t="shared" si="36"/>
        <v>0.18014862044469426</v>
      </c>
      <c r="K157">
        <f t="shared" si="36"/>
        <v>0.20885954334500734</v>
      </c>
      <c r="L157">
        <f t="shared" si="36"/>
        <v>0.24015310940007262</v>
      </c>
      <c r="M157">
        <f t="shared" si="36"/>
        <v>0.27367312802599741</v>
      </c>
      <c r="N157">
        <f t="shared" si="36"/>
        <v>0.30939252585057275</v>
      </c>
      <c r="O157">
        <f t="shared" si="36"/>
        <v>0.33927995140041012</v>
      </c>
      <c r="P157">
        <f t="shared" si="36"/>
        <v>0.36907024826262846</v>
      </c>
      <c r="Q157">
        <f t="shared" si="36"/>
        <v>0.39910256506224573</v>
      </c>
      <c r="R157">
        <f t="shared" si="36"/>
        <v>0.42868289546053351</v>
      </c>
      <c r="S157">
        <f t="shared" si="36"/>
        <v>0.45849104444652022</v>
      </c>
      <c r="T157">
        <f t="shared" si="36"/>
        <v>0.48751311664192332</v>
      </c>
      <c r="U157">
        <f t="shared" si="36"/>
        <v>0.51738696437750242</v>
      </c>
      <c r="V157">
        <f t="shared" si="36"/>
        <v>0.54853855504068338</v>
      </c>
      <c r="W157">
        <f t="shared" si="36"/>
        <v>0.57990201594805368</v>
      </c>
      <c r="X157">
        <f t="shared" si="36"/>
        <v>0.61089587603324591</v>
      </c>
      <c r="Y157">
        <f t="shared" si="36"/>
        <v>0.64095596709262304</v>
      </c>
      <c r="Z157">
        <f t="shared" si="36"/>
        <v>0.6697827225286821</v>
      </c>
      <c r="AA157">
        <f t="shared" si="36"/>
        <v>0.69879939019253157</v>
      </c>
      <c r="AB157">
        <f t="shared" si="36"/>
        <v>0.72686522097728345</v>
      </c>
      <c r="AC157">
        <f t="shared" si="36"/>
        <v>0.75602811662564684</v>
      </c>
    </row>
    <row r="158" spans="2:29" x14ac:dyDescent="0.25">
      <c r="B158" t="s">
        <v>520</v>
      </c>
      <c r="C158">
        <v>0</v>
      </c>
      <c r="D158">
        <f t="shared" ref="D158:AC158" si="37">(1+C158)*(1+D102)-1</f>
        <v>2.5621238959585124E-2</v>
      </c>
      <c r="E158">
        <f t="shared" si="37"/>
        <v>6.8055009197119709E-2</v>
      </c>
      <c r="F158">
        <f t="shared" si="37"/>
        <v>9.6843093658261159E-2</v>
      </c>
      <c r="G158">
        <f t="shared" si="37"/>
        <v>0.11688671267417661</v>
      </c>
      <c r="H158">
        <f t="shared" si="37"/>
        <v>0.14112084676543835</v>
      </c>
      <c r="I158">
        <f t="shared" si="37"/>
        <v>0.16900966054273203</v>
      </c>
      <c r="J158">
        <f t="shared" si="37"/>
        <v>0.19658490085883873</v>
      </c>
      <c r="K158">
        <f t="shared" si="37"/>
        <v>0.22815985036657604</v>
      </c>
      <c r="L158">
        <f t="shared" si="37"/>
        <v>0.26264426075406311</v>
      </c>
      <c r="M158">
        <f t="shared" si="37"/>
        <v>0.29966104181416897</v>
      </c>
      <c r="N158">
        <f t="shared" si="37"/>
        <v>0.33919451220119479</v>
      </c>
      <c r="O158">
        <f t="shared" si="37"/>
        <v>0.37234966296994276</v>
      </c>
      <c r="P158">
        <f t="shared" si="37"/>
        <v>0.4054594921264858</v>
      </c>
      <c r="Q158">
        <f t="shared" si="37"/>
        <v>0.43889978968299292</v>
      </c>
      <c r="R158">
        <f t="shared" si="37"/>
        <v>0.47189665721922647</v>
      </c>
      <c r="S158">
        <f t="shared" si="37"/>
        <v>0.50520593209189513</v>
      </c>
      <c r="T158">
        <f t="shared" si="37"/>
        <v>0.53769290670469472</v>
      </c>
      <c r="U158">
        <f t="shared" si="37"/>
        <v>0.57118857650305599</v>
      </c>
      <c r="V158">
        <f t="shared" si="37"/>
        <v>0.60617510789012075</v>
      </c>
      <c r="W158">
        <f t="shared" si="37"/>
        <v>0.64145957356110328</v>
      </c>
      <c r="X158">
        <f t="shared" si="37"/>
        <v>0.67638682435507835</v>
      </c>
      <c r="Y158">
        <f t="shared" si="37"/>
        <v>0.7103169726224825</v>
      </c>
      <c r="Z158">
        <f t="shared" si="37"/>
        <v>0.74290545514812534</v>
      </c>
      <c r="AA158">
        <f t="shared" si="37"/>
        <v>0.77575656891991929</v>
      </c>
      <c r="AB158">
        <f t="shared" si="37"/>
        <v>0.80757713727117264</v>
      </c>
      <c r="AC158">
        <f t="shared" si="37"/>
        <v>0.84068702720349875</v>
      </c>
    </row>
    <row r="159" spans="2:29" x14ac:dyDescent="0.25">
      <c r="B159" t="s">
        <v>871</v>
      </c>
      <c r="C159">
        <v>0</v>
      </c>
      <c r="D159">
        <f t="shared" ref="D159:AC159" si="38">(1+C159)*(1+D103)-1</f>
        <v>2.1046017716802146E-2</v>
      </c>
      <c r="E159">
        <f t="shared" si="38"/>
        <v>5.5746837531247317E-2</v>
      </c>
      <c r="F159">
        <f t="shared" si="38"/>
        <v>7.9121682591208664E-2</v>
      </c>
      <c r="G159">
        <f t="shared" si="38"/>
        <v>9.5320072838337655E-2</v>
      </c>
      <c r="H159">
        <f t="shared" si="38"/>
        <v>0.11484229423114689</v>
      </c>
      <c r="I159">
        <f t="shared" si="38"/>
        <v>0.13722340537816602</v>
      </c>
      <c r="J159">
        <f t="shared" si="38"/>
        <v>0.1592585953941823</v>
      </c>
      <c r="K159">
        <f t="shared" si="38"/>
        <v>0.18438609505005776</v>
      </c>
      <c r="L159">
        <f t="shared" si="38"/>
        <v>0.21170296994845672</v>
      </c>
      <c r="M159">
        <f t="shared" si="38"/>
        <v>0.24088285779177099</v>
      </c>
      <c r="N159">
        <f t="shared" si="38"/>
        <v>0.2718881214468305</v>
      </c>
      <c r="O159">
        <f t="shared" si="38"/>
        <v>0.29775393020076568</v>
      </c>
      <c r="P159">
        <f t="shared" si="38"/>
        <v>0.3234729443469484</v>
      </c>
      <c r="Q159">
        <f t="shared" si="38"/>
        <v>0.34933938503369011</v>
      </c>
      <c r="R159">
        <f t="shared" si="38"/>
        <v>0.37475690455545663</v>
      </c>
      <c r="S159">
        <f t="shared" si="38"/>
        <v>0.40031235696209455</v>
      </c>
      <c r="T159">
        <f t="shared" si="38"/>
        <v>0.42513843257161166</v>
      </c>
      <c r="U159">
        <f t="shared" si="38"/>
        <v>0.45063876913248313</v>
      </c>
      <c r="V159">
        <f t="shared" si="38"/>
        <v>0.47717270407126233</v>
      </c>
      <c r="W159">
        <f t="shared" si="38"/>
        <v>0.50382850477599583</v>
      </c>
      <c r="X159">
        <f t="shared" si="38"/>
        <v>0.53011316265477282</v>
      </c>
      <c r="Y159">
        <f t="shared" si="38"/>
        <v>0.55555244610934951</v>
      </c>
      <c r="Z159">
        <f t="shared" si="38"/>
        <v>0.57989925211795001</v>
      </c>
      <c r="AA159">
        <f t="shared" si="38"/>
        <v>0.6043603230657637</v>
      </c>
      <c r="AB159">
        <f t="shared" si="38"/>
        <v>0.62797577277070871</v>
      </c>
      <c r="AC159">
        <f t="shared" si="38"/>
        <v>0.65247084021609392</v>
      </c>
    </row>
    <row r="160" spans="2:29" x14ac:dyDescent="0.25">
      <c r="B160" t="s">
        <v>531</v>
      </c>
      <c r="C160">
        <v>0</v>
      </c>
      <c r="D160">
        <f t="shared" ref="D160:AC160" si="39">(1+C160)*(1+D104)-1</f>
        <v>3.3557492195327665E-2</v>
      </c>
      <c r="E160">
        <f t="shared" si="39"/>
        <v>8.9565306545235757E-2</v>
      </c>
      <c r="F160">
        <f t="shared" si="39"/>
        <v>0.1280299564565095</v>
      </c>
      <c r="G160">
        <f t="shared" si="39"/>
        <v>0.15502858092173177</v>
      </c>
      <c r="H160">
        <f t="shared" si="39"/>
        <v>0.18785325964503263</v>
      </c>
      <c r="I160">
        <f t="shared" si="39"/>
        <v>0.22587662631708016</v>
      </c>
      <c r="J160">
        <f t="shared" si="39"/>
        <v>0.26375029199266353</v>
      </c>
      <c r="K160">
        <f t="shared" si="39"/>
        <v>0.30742698881684993</v>
      </c>
      <c r="L160">
        <f t="shared" si="39"/>
        <v>0.3555081254331971</v>
      </c>
      <c r="M160">
        <f t="shared" si="39"/>
        <v>0.4075567356193166</v>
      </c>
      <c r="N160">
        <f t="shared" si="39"/>
        <v>0.46363442610693695</v>
      </c>
      <c r="O160">
        <f t="shared" si="39"/>
        <v>0.51109460086006253</v>
      </c>
      <c r="P160">
        <f t="shared" si="39"/>
        <v>0.55884457982091229</v>
      </c>
      <c r="Q160">
        <f t="shared" si="39"/>
        <v>0.60742306726494366</v>
      </c>
      <c r="R160">
        <f t="shared" si="39"/>
        <v>0.6557024525077082</v>
      </c>
      <c r="S160">
        <f t="shared" si="39"/>
        <v>0.70477736370199606</v>
      </c>
      <c r="T160">
        <f t="shared" si="39"/>
        <v>0.75296885754628806</v>
      </c>
      <c r="U160">
        <f t="shared" si="39"/>
        <v>0.80298182541106522</v>
      </c>
      <c r="V160">
        <f t="shared" si="39"/>
        <v>0.85556578614772105</v>
      </c>
      <c r="W160">
        <f t="shared" si="39"/>
        <v>0.90895535099139213</v>
      </c>
      <c r="X160">
        <f t="shared" si="39"/>
        <v>0.96215629676333703</v>
      </c>
      <c r="Y160">
        <f t="shared" si="39"/>
        <v>1.0141720016166782</v>
      </c>
      <c r="Z160">
        <f t="shared" si="39"/>
        <v>1.0644379010641964</v>
      </c>
      <c r="AA160">
        <f t="shared" si="39"/>
        <v>1.11540236537147</v>
      </c>
      <c r="AB160">
        <f t="shared" si="39"/>
        <v>1.1650509484842089</v>
      </c>
      <c r="AC160">
        <f t="shared" si="39"/>
        <v>1.2169929151279724</v>
      </c>
    </row>
    <row r="161" spans="2:29" x14ac:dyDescent="0.25">
      <c r="B161" t="s">
        <v>562</v>
      </c>
      <c r="C161">
        <v>0</v>
      </c>
      <c r="D161">
        <f t="shared" ref="D161:AC161" si="40">(1+C161)*(1+D105)-1</f>
        <v>2.4706194711028528E-2</v>
      </c>
      <c r="E161">
        <f t="shared" si="40"/>
        <v>6.558796646561138E-2</v>
      </c>
      <c r="F161">
        <f t="shared" si="40"/>
        <v>9.3283783866376035E-2</v>
      </c>
      <c r="G161">
        <f t="shared" si="40"/>
        <v>0.11254883976385766</v>
      </c>
      <c r="H161">
        <f t="shared" si="40"/>
        <v>0.13582670771779104</v>
      </c>
      <c r="I161">
        <f t="shared" si="40"/>
        <v>0.16259472550437604</v>
      </c>
      <c r="J161">
        <f t="shared" si="40"/>
        <v>0.18903922105715476</v>
      </c>
      <c r="K161">
        <f t="shared" si="40"/>
        <v>0.21929449290257819</v>
      </c>
      <c r="L161">
        <f t="shared" si="40"/>
        <v>0.25230728479041886</v>
      </c>
      <c r="M161">
        <f t="shared" si="40"/>
        <v>0.28770981328308998</v>
      </c>
      <c r="N161">
        <f t="shared" si="40"/>
        <v>0.32548082146966406</v>
      </c>
      <c r="O161">
        <f t="shared" si="40"/>
        <v>0.3571244681880581</v>
      </c>
      <c r="P161">
        <f t="shared" si="40"/>
        <v>0.38869759350149558</v>
      </c>
      <c r="Q161">
        <f t="shared" si="40"/>
        <v>0.42055901998760992</v>
      </c>
      <c r="R161">
        <f t="shared" si="40"/>
        <v>0.45197185831288089</v>
      </c>
      <c r="S161">
        <f t="shared" si="40"/>
        <v>0.48365671822439138</v>
      </c>
      <c r="T161">
        <f t="shared" si="40"/>
        <v>0.51453495606946942</v>
      </c>
      <c r="U161">
        <f t="shared" si="40"/>
        <v>0.54634791683838024</v>
      </c>
      <c r="V161">
        <f t="shared" si="40"/>
        <v>0.57955154346800475</v>
      </c>
      <c r="W161">
        <f t="shared" si="40"/>
        <v>0.61301187110124822</v>
      </c>
      <c r="X161">
        <f t="shared" si="40"/>
        <v>0.64610802351127972</v>
      </c>
      <c r="Y161">
        <f t="shared" si="40"/>
        <v>0.67823542371259182</v>
      </c>
      <c r="Z161">
        <f t="shared" si="40"/>
        <v>0.70907057966166387</v>
      </c>
      <c r="AA161">
        <f t="shared" si="40"/>
        <v>0.74013347977168298</v>
      </c>
      <c r="AB161">
        <f t="shared" si="40"/>
        <v>0.77020205141135523</v>
      </c>
      <c r="AC161">
        <f t="shared" si="40"/>
        <v>0.8014692858478234</v>
      </c>
    </row>
    <row r="162" spans="2:29" x14ac:dyDescent="0.25">
      <c r="B162" t="s">
        <v>565</v>
      </c>
      <c r="C162">
        <v>0</v>
      </c>
      <c r="D162">
        <f t="shared" ref="D162:AC162" si="41">(1+C162)*(1+D106)-1</f>
        <v>3.1148304544725836E-2</v>
      </c>
      <c r="E162">
        <f t="shared" si="41"/>
        <v>8.3013979265443627E-2</v>
      </c>
      <c r="F162">
        <f t="shared" si="41"/>
        <v>0.11850246711886236</v>
      </c>
      <c r="G162">
        <f t="shared" si="41"/>
        <v>0.14335112094281244</v>
      </c>
      <c r="H162">
        <f t="shared" si="41"/>
        <v>0.1735111870734527</v>
      </c>
      <c r="I162">
        <f t="shared" si="41"/>
        <v>0.20837861583844219</v>
      </c>
      <c r="J162">
        <f t="shared" si="41"/>
        <v>0.24303143101646607</v>
      </c>
      <c r="K162">
        <f t="shared" si="41"/>
        <v>0.28290779411655764</v>
      </c>
      <c r="L162">
        <f t="shared" si="41"/>
        <v>0.32670008229089698</v>
      </c>
      <c r="M162">
        <f t="shared" si="41"/>
        <v>0.37398522265854739</v>
      </c>
      <c r="N162">
        <f t="shared" si="41"/>
        <v>0.42479545562625076</v>
      </c>
      <c r="O162">
        <f t="shared" si="41"/>
        <v>0.46767934358858976</v>
      </c>
      <c r="P162">
        <f t="shared" si="41"/>
        <v>0.510727804309139</v>
      </c>
      <c r="Q162">
        <f t="shared" si="41"/>
        <v>0.55442688571276078</v>
      </c>
      <c r="R162">
        <f t="shared" si="41"/>
        <v>0.59776267878062805</v>
      </c>
      <c r="S162">
        <f t="shared" si="41"/>
        <v>0.64172032376469201</v>
      </c>
      <c r="T162">
        <f t="shared" si="41"/>
        <v>0.68479745840912609</v>
      </c>
      <c r="U162">
        <f t="shared" si="41"/>
        <v>0.72941452766774617</v>
      </c>
      <c r="V162">
        <f t="shared" si="41"/>
        <v>0.77623178448794272</v>
      </c>
      <c r="W162">
        <f t="shared" si="41"/>
        <v>0.82366958850559602</v>
      </c>
      <c r="X162">
        <f t="shared" si="41"/>
        <v>0.87084488654031089</v>
      </c>
      <c r="Y162">
        <f t="shared" si="41"/>
        <v>0.91687940293356118</v>
      </c>
      <c r="Z162">
        <f t="shared" si="41"/>
        <v>0.96128284210241577</v>
      </c>
      <c r="AA162">
        <f t="shared" si="41"/>
        <v>1.0062246752855</v>
      </c>
      <c r="AB162">
        <f t="shared" si="41"/>
        <v>1.0499304029614014</v>
      </c>
      <c r="AC162">
        <f t="shared" si="41"/>
        <v>1.0955797215617364</v>
      </c>
    </row>
    <row r="163" spans="2:29" x14ac:dyDescent="0.25">
      <c r="B163" t="s">
        <v>568</v>
      </c>
      <c r="C163">
        <v>0</v>
      </c>
      <c r="D163">
        <f t="shared" ref="D163:AC163" si="42">(1+C163)*(1+D107)-1</f>
        <v>1.8300884971132358E-2</v>
      </c>
      <c r="E163">
        <f t="shared" si="42"/>
        <v>4.8394384921727429E-2</v>
      </c>
      <c r="F163">
        <f t="shared" si="42"/>
        <v>6.8578782756924195E-2</v>
      </c>
      <c r="G163">
        <f t="shared" si="42"/>
        <v>8.2526725157584746E-2</v>
      </c>
      <c r="H163">
        <f t="shared" si="42"/>
        <v>9.9304291837960523E-2</v>
      </c>
      <c r="I163">
        <f t="shared" si="42"/>
        <v>0.11849488023842336</v>
      </c>
      <c r="J163">
        <f t="shared" si="42"/>
        <v>0.13734035881250262</v>
      </c>
      <c r="K163">
        <f t="shared" si="42"/>
        <v>0.15877723803725141</v>
      </c>
      <c r="L163">
        <f t="shared" si="42"/>
        <v>0.18201743632032175</v>
      </c>
      <c r="M163">
        <f t="shared" si="42"/>
        <v>0.20676961825734796</v>
      </c>
      <c r="N163">
        <f t="shared" si="42"/>
        <v>0.23298952671942841</v>
      </c>
      <c r="O163">
        <f t="shared" si="42"/>
        <v>0.2547936534763382</v>
      </c>
      <c r="P163">
        <f t="shared" si="42"/>
        <v>0.27641767363802039</v>
      </c>
      <c r="Q163">
        <f t="shared" si="42"/>
        <v>0.29811052165166108</v>
      </c>
      <c r="R163">
        <f t="shared" si="42"/>
        <v>0.31937358331141508</v>
      </c>
      <c r="S163">
        <f t="shared" si="42"/>
        <v>0.34070047719679186</v>
      </c>
      <c r="T163">
        <f t="shared" si="42"/>
        <v>0.36136936349212734</v>
      </c>
      <c r="U163">
        <f t="shared" si="42"/>
        <v>0.38255136491512687</v>
      </c>
      <c r="V163">
        <f t="shared" si="42"/>
        <v>0.40454139455902216</v>
      </c>
      <c r="W163">
        <f t="shared" si="42"/>
        <v>0.4265806623362145</v>
      </c>
      <c r="X163">
        <f t="shared" si="42"/>
        <v>0.44826282051761313</v>
      </c>
      <c r="Y163">
        <f t="shared" si="42"/>
        <v>0.46920061172274452</v>
      </c>
      <c r="Z163">
        <f t="shared" si="42"/>
        <v>0.48919649520441277</v>
      </c>
      <c r="AA163">
        <f t="shared" si="42"/>
        <v>0.50924584250386173</v>
      </c>
      <c r="AB163">
        <f t="shared" si="42"/>
        <v>0.52856358866134867</v>
      </c>
      <c r="AC163">
        <f t="shared" si="42"/>
        <v>0.54856296127517945</v>
      </c>
    </row>
    <row r="164" spans="2:29" x14ac:dyDescent="0.25">
      <c r="B164" t="s">
        <v>607</v>
      </c>
      <c r="C164">
        <v>0</v>
      </c>
      <c r="D164">
        <f t="shared" ref="D164:AC164" si="43">(1+C164)*(1+D108)-1</f>
        <v>1.7385840722575541E-2</v>
      </c>
      <c r="E164">
        <f t="shared" si="43"/>
        <v>4.5948975783554502E-2</v>
      </c>
      <c r="F164">
        <f t="shared" si="43"/>
        <v>6.5079427089722808E-2</v>
      </c>
      <c r="G164">
        <f t="shared" si="43"/>
        <v>7.8286579808688472E-2</v>
      </c>
      <c r="H164">
        <f t="shared" si="43"/>
        <v>9.4162837959384849E-2</v>
      </c>
      <c r="I164">
        <f t="shared" si="43"/>
        <v>0.11230863014918135</v>
      </c>
      <c r="J164">
        <f t="shared" si="43"/>
        <v>0.13011281449210177</v>
      </c>
      <c r="K164">
        <f t="shared" si="43"/>
        <v>0.15034843449850643</v>
      </c>
      <c r="L164">
        <f t="shared" si="43"/>
        <v>0.17226602883248332</v>
      </c>
      <c r="M164">
        <f t="shared" si="43"/>
        <v>0.19558661114881182</v>
      </c>
      <c r="N164">
        <f t="shared" si="43"/>
        <v>0.22026469591090225</v>
      </c>
      <c r="O164">
        <f t="shared" si="43"/>
        <v>0.24076484230593631</v>
      </c>
      <c r="P164">
        <f t="shared" si="43"/>
        <v>0.26107798917037739</v>
      </c>
      <c r="Q164">
        <f t="shared" si="43"/>
        <v>0.28143853026248533</v>
      </c>
      <c r="R164">
        <f t="shared" si="43"/>
        <v>0.30137900584318755</v>
      </c>
      <c r="S164">
        <f t="shared" si="43"/>
        <v>0.32136322691420927</v>
      </c>
      <c r="T164">
        <f t="shared" si="43"/>
        <v>0.34071546212156845</v>
      </c>
      <c r="U164">
        <f t="shared" si="43"/>
        <v>0.36053307055956529</v>
      </c>
      <c r="V164">
        <f t="shared" si="43"/>
        <v>0.38109089947407671</v>
      </c>
      <c r="W164">
        <f t="shared" si="43"/>
        <v>0.40167863057425079</v>
      </c>
      <c r="X164">
        <f t="shared" si="43"/>
        <v>0.42191712648301749</v>
      </c>
      <c r="Y164">
        <f t="shared" si="43"/>
        <v>0.44144618799681679</v>
      </c>
      <c r="Z164">
        <f t="shared" si="43"/>
        <v>0.46008342534941904</v>
      </c>
      <c r="AA164">
        <f t="shared" si="43"/>
        <v>0.47875794801080396</v>
      </c>
      <c r="AB164">
        <f t="shared" si="43"/>
        <v>0.49673908558983149</v>
      </c>
      <c r="AC164">
        <f t="shared" si="43"/>
        <v>0.51534292435415763</v>
      </c>
    </row>
    <row r="165" spans="2:29" x14ac:dyDescent="0.25">
      <c r="B165" t="s">
        <v>623</v>
      </c>
      <c r="C165">
        <v>0</v>
      </c>
      <c r="D165">
        <f t="shared" ref="D165:AC165" si="44">(1+C165)*(1+D109)-1</f>
        <v>2.0399352170318519E-2</v>
      </c>
      <c r="E165">
        <f t="shared" si="44"/>
        <v>5.4012643341641686E-2</v>
      </c>
      <c r="F165">
        <f t="shared" si="44"/>
        <v>7.6632050391962192E-2</v>
      </c>
      <c r="G165">
        <f t="shared" si="44"/>
        <v>9.2296501697361588E-2</v>
      </c>
      <c r="H165">
        <f t="shared" si="44"/>
        <v>0.11116664393049525</v>
      </c>
      <c r="I165">
        <f t="shared" si="44"/>
        <v>0.13278854358161341</v>
      </c>
      <c r="J165">
        <f t="shared" si="44"/>
        <v>0.15406338358149818</v>
      </c>
      <c r="K165">
        <f t="shared" si="44"/>
        <v>0.17830966026794903</v>
      </c>
      <c r="L165">
        <f t="shared" si="44"/>
        <v>0.20465134792588668</v>
      </c>
      <c r="M165">
        <f t="shared" si="44"/>
        <v>0.23277004938358337</v>
      </c>
      <c r="N165">
        <f t="shared" si="44"/>
        <v>0.26262615525791522</v>
      </c>
      <c r="O165">
        <f t="shared" si="44"/>
        <v>0.28751463538749533</v>
      </c>
      <c r="P165">
        <f t="shared" si="44"/>
        <v>0.31224671198615583</v>
      </c>
      <c r="Q165">
        <f t="shared" si="44"/>
        <v>0.33710570556096653</v>
      </c>
      <c r="R165">
        <f t="shared" si="44"/>
        <v>0.36151887440790054</v>
      </c>
      <c r="S165">
        <f t="shared" si="44"/>
        <v>0.38605058170844386</v>
      </c>
      <c r="T165">
        <f t="shared" si="44"/>
        <v>0.40986876735067046</v>
      </c>
      <c r="U165">
        <f t="shared" si="44"/>
        <v>0.43432074521733743</v>
      </c>
      <c r="V165">
        <f t="shared" si="44"/>
        <v>0.45975008610376067</v>
      </c>
      <c r="W165">
        <f t="shared" si="44"/>
        <v>0.48528211999373427</v>
      </c>
      <c r="X165">
        <f t="shared" si="44"/>
        <v>0.51044494590812928</v>
      </c>
      <c r="Y165">
        <f t="shared" si="44"/>
        <v>0.53478562370567317</v>
      </c>
      <c r="Z165">
        <f t="shared" si="44"/>
        <v>0.5580692973689616</v>
      </c>
      <c r="AA165">
        <f t="shared" si="44"/>
        <v>0.58145116983364908</v>
      </c>
      <c r="AB165">
        <f t="shared" si="44"/>
        <v>0.60401415396287361</v>
      </c>
      <c r="AC165">
        <f t="shared" si="44"/>
        <v>0.62740712279780375</v>
      </c>
    </row>
    <row r="166" spans="2:29" x14ac:dyDescent="0.25">
      <c r="B166" t="s">
        <v>610</v>
      </c>
      <c r="C166">
        <v>0</v>
      </c>
      <c r="D166">
        <f t="shared" ref="D166:AC166" si="45">(1+C166)*(1+D110)-1</f>
        <v>2.1800534482148581E-2</v>
      </c>
      <c r="E166">
        <f t="shared" si="45"/>
        <v>5.7771968751216374E-2</v>
      </c>
      <c r="F166">
        <f t="shared" si="45"/>
        <v>8.203126596005772E-2</v>
      </c>
      <c r="G166">
        <f t="shared" si="45"/>
        <v>9.885562231948164E-2</v>
      </c>
      <c r="H166">
        <f t="shared" si="45"/>
        <v>0.11914300546038858</v>
      </c>
      <c r="I166">
        <f t="shared" si="45"/>
        <v>0.14241593217959259</v>
      </c>
      <c r="J166">
        <f t="shared" si="45"/>
        <v>0.16534532060397589</v>
      </c>
      <c r="K166">
        <f t="shared" si="45"/>
        <v>0.19151032411122326</v>
      </c>
      <c r="L166">
        <f t="shared" si="45"/>
        <v>0.21997673626894909</v>
      </c>
      <c r="M166">
        <f t="shared" si="45"/>
        <v>0.25040913634957263</v>
      </c>
      <c r="N166">
        <f t="shared" si="45"/>
        <v>0.28277252521994445</v>
      </c>
      <c r="O166">
        <f t="shared" si="45"/>
        <v>0.30979493092241972</v>
      </c>
      <c r="P166">
        <f t="shared" si="45"/>
        <v>0.33668317733453801</v>
      </c>
      <c r="Q166">
        <f t="shared" si="45"/>
        <v>0.36374439265396252</v>
      </c>
      <c r="R166">
        <f t="shared" si="45"/>
        <v>0.39035422611039916</v>
      </c>
      <c r="S166">
        <f t="shared" si="45"/>
        <v>0.41712619644101445</v>
      </c>
      <c r="T166">
        <f t="shared" si="45"/>
        <v>0.44315108559651306</v>
      </c>
      <c r="U166">
        <f t="shared" si="45"/>
        <v>0.46989948936894277</v>
      </c>
      <c r="V166">
        <f t="shared" si="45"/>
        <v>0.49774961948520091</v>
      </c>
      <c r="W166">
        <f t="shared" si="45"/>
        <v>0.52574567759687274</v>
      </c>
      <c r="X166">
        <f t="shared" si="45"/>
        <v>0.55336947460760855</v>
      </c>
      <c r="Y166">
        <f t="shared" si="45"/>
        <v>0.58012129250460376</v>
      </c>
      <c r="Z166">
        <f t="shared" si="45"/>
        <v>0.60573927781227122</v>
      </c>
      <c r="AA166">
        <f t="shared" si="45"/>
        <v>0.63149171367049939</v>
      </c>
      <c r="AB166">
        <f t="shared" si="45"/>
        <v>0.65636747544789764</v>
      </c>
      <c r="AC166">
        <f t="shared" si="45"/>
        <v>0.68218321707220309</v>
      </c>
    </row>
    <row r="167" spans="2:29" x14ac:dyDescent="0.25">
      <c r="B167" t="s">
        <v>942</v>
      </c>
      <c r="C167">
        <v>0</v>
      </c>
      <c r="D167">
        <f t="shared" ref="D167:AC167" si="46">(1+C167)*(1+D111)-1</f>
        <v>4.6348945336369685E-3</v>
      </c>
      <c r="E167">
        <f t="shared" si="46"/>
        <v>1.2154111260195943E-2</v>
      </c>
      <c r="F167">
        <f t="shared" si="46"/>
        <v>1.7089319925653212E-2</v>
      </c>
      <c r="G167">
        <f t="shared" si="46"/>
        <v>2.045157344956805E-2</v>
      </c>
      <c r="H167">
        <f t="shared" si="46"/>
        <v>2.4457016038593293E-2</v>
      </c>
      <c r="I167">
        <f t="shared" si="46"/>
        <v>2.8986324236177641E-2</v>
      </c>
      <c r="J167">
        <f t="shared" si="46"/>
        <v>3.3377193819222883E-2</v>
      </c>
      <c r="K167">
        <f t="shared" si="46"/>
        <v>3.8310041988423693E-2</v>
      </c>
      <c r="L167">
        <f t="shared" si="46"/>
        <v>4.3583976013641834E-2</v>
      </c>
      <c r="M167">
        <f t="shared" si="46"/>
        <v>4.9118557328435175E-2</v>
      </c>
      <c r="N167">
        <f t="shared" si="46"/>
        <v>5.4891525159313836E-2</v>
      </c>
      <c r="O167">
        <f t="shared" si="46"/>
        <v>5.9616014557379859E-2</v>
      </c>
      <c r="P167">
        <f t="shared" si="46"/>
        <v>6.4240680873822509E-2</v>
      </c>
      <c r="Q167">
        <f t="shared" si="46"/>
        <v>6.8821375975927079E-2</v>
      </c>
      <c r="R167">
        <f t="shared" si="46"/>
        <v>7.3255287516824641E-2</v>
      </c>
      <c r="S167">
        <f t="shared" si="46"/>
        <v>7.7648989796466727E-2</v>
      </c>
      <c r="T167">
        <f t="shared" si="46"/>
        <v>8.185655062494801E-2</v>
      </c>
      <c r="U167">
        <f t="shared" si="46"/>
        <v>8.6119679523116499E-2</v>
      </c>
      <c r="V167">
        <f t="shared" si="46"/>
        <v>9.0494799704665896E-2</v>
      </c>
      <c r="W167">
        <f t="shared" si="46"/>
        <v>9.4828451190612117E-2</v>
      </c>
      <c r="X167">
        <f t="shared" si="46"/>
        <v>9.9042698474237412E-2</v>
      </c>
      <c r="Y167">
        <f t="shared" si="46"/>
        <v>0.10306677112847518</v>
      </c>
      <c r="Z167">
        <f t="shared" si="46"/>
        <v>0.1068689195313719</v>
      </c>
      <c r="AA167">
        <f t="shared" si="46"/>
        <v>0.11064300899862167</v>
      </c>
      <c r="AB167">
        <f t="shared" si="46"/>
        <v>0.11424330923544379</v>
      </c>
      <c r="AC167">
        <f t="shared" si="46"/>
        <v>0.11793547049958741</v>
      </c>
    </row>
    <row r="168" spans="2:29" x14ac:dyDescent="0.25">
      <c r="B168" t="s">
        <v>700</v>
      </c>
      <c r="C168">
        <v>0</v>
      </c>
      <c r="D168">
        <f t="shared" ref="D168:AC168" si="47">(1+C168)*(1+D112)-1</f>
        <v>4.3243300194280021E-3</v>
      </c>
      <c r="E168">
        <f t="shared" si="47"/>
        <v>1.1337547425302574E-2</v>
      </c>
      <c r="F168">
        <f t="shared" si="47"/>
        <v>1.5938354071141303E-2</v>
      </c>
      <c r="G168">
        <f t="shared" si="47"/>
        <v>1.9071767454227784E-2</v>
      </c>
      <c r="H168">
        <f t="shared" si="47"/>
        <v>2.2803769351488423E-2</v>
      </c>
      <c r="I168">
        <f t="shared" si="47"/>
        <v>2.7022768389823648E-2</v>
      </c>
      <c r="J168">
        <f t="shared" si="47"/>
        <v>3.1111607114808981E-2</v>
      </c>
      <c r="K168">
        <f t="shared" si="47"/>
        <v>3.5703835996242717E-2</v>
      </c>
      <c r="L168">
        <f t="shared" si="47"/>
        <v>4.0612035389052004E-2</v>
      </c>
      <c r="M168">
        <f t="shared" si="47"/>
        <v>4.5761062628212779E-2</v>
      </c>
      <c r="N168">
        <f t="shared" si="47"/>
        <v>5.1129971221639314E-2</v>
      </c>
      <c r="O168">
        <f t="shared" si="47"/>
        <v>5.5522174878400499E-2</v>
      </c>
      <c r="P168">
        <f t="shared" si="47"/>
        <v>5.9820291795905645E-2</v>
      </c>
      <c r="Q168">
        <f t="shared" si="47"/>
        <v>6.4076302722318124E-2</v>
      </c>
      <c r="R168">
        <f t="shared" si="47"/>
        <v>6.8194751218459304E-2</v>
      </c>
      <c r="S168">
        <f t="shared" si="47"/>
        <v>7.2274721527557206E-2</v>
      </c>
      <c r="T168">
        <f t="shared" si="47"/>
        <v>7.6180774414022379E-2</v>
      </c>
      <c r="U168">
        <f t="shared" si="47"/>
        <v>8.0137382083121267E-2</v>
      </c>
      <c r="V168">
        <f t="shared" si="47"/>
        <v>8.4196860861904366E-2</v>
      </c>
      <c r="W168">
        <f t="shared" si="47"/>
        <v>8.8216781721067283E-2</v>
      </c>
      <c r="X168">
        <f t="shared" si="47"/>
        <v>9.2124905712801297E-2</v>
      </c>
      <c r="Y168">
        <f t="shared" si="47"/>
        <v>9.5855710569092034E-2</v>
      </c>
      <c r="Z168">
        <f t="shared" si="47"/>
        <v>9.937990297697108E-2</v>
      </c>
      <c r="AA168">
        <f t="shared" si="47"/>
        <v>0.10287728252722306</v>
      </c>
      <c r="AB168">
        <f t="shared" si="47"/>
        <v>0.10621285512277412</v>
      </c>
      <c r="AC168">
        <f t="shared" si="47"/>
        <v>0.10963279366764977</v>
      </c>
    </row>
    <row r="169" spans="2:29" x14ac:dyDescent="0.25">
      <c r="B169" t="s">
        <v>755</v>
      </c>
      <c r="C169">
        <v>0</v>
      </c>
      <c r="D169">
        <f t="shared" ref="D169:AC169" si="48">(1+C169)*(1+D113)-1</f>
        <v>2.5349812721630061E-2</v>
      </c>
      <c r="E169">
        <f t="shared" si="48"/>
        <v>6.7322937208940781E-2</v>
      </c>
      <c r="F169">
        <f t="shared" si="48"/>
        <v>9.5786523464189255E-2</v>
      </c>
      <c r="G169">
        <f t="shared" si="48"/>
        <v>0.11559870128907934</v>
      </c>
      <c r="H169">
        <f t="shared" si="48"/>
        <v>0.13954845273251881</v>
      </c>
      <c r="I169">
        <f t="shared" si="48"/>
        <v>0.16710379608880177</v>
      </c>
      <c r="J169">
        <f t="shared" si="48"/>
        <v>0.19434242955670511</v>
      </c>
      <c r="K169">
        <f t="shared" si="48"/>
        <v>0.22552433395400251</v>
      </c>
      <c r="L169">
        <f t="shared" si="48"/>
        <v>0.25957020707138212</v>
      </c>
      <c r="M169">
        <f t="shared" si="48"/>
        <v>0.29610567290889178</v>
      </c>
      <c r="N169">
        <f t="shared" si="48"/>
        <v>0.33511333113184971</v>
      </c>
      <c r="O169">
        <f t="shared" si="48"/>
        <v>0.36781727334727954</v>
      </c>
      <c r="P169">
        <f t="shared" si="48"/>
        <v>0.4004681519318376</v>
      </c>
      <c r="Q169">
        <f t="shared" si="48"/>
        <v>0.43343668816957659</v>
      </c>
      <c r="R169">
        <f t="shared" si="48"/>
        <v>0.46596004082584619</v>
      </c>
      <c r="S169">
        <f t="shared" si="48"/>
        <v>0.49878352054853026</v>
      </c>
      <c r="T169">
        <f t="shared" si="48"/>
        <v>0.53078918776926409</v>
      </c>
      <c r="U169">
        <f t="shared" si="48"/>
        <v>0.56378122015532628</v>
      </c>
      <c r="V169">
        <f t="shared" si="48"/>
        <v>0.59823391493532818</v>
      </c>
      <c r="W169">
        <f t="shared" si="48"/>
        <v>0.63297198002405519</v>
      </c>
      <c r="X169">
        <f t="shared" si="48"/>
        <v>0.66735053138018907</v>
      </c>
      <c r="Y169">
        <f t="shared" si="48"/>
        <v>0.70074027305762066</v>
      </c>
      <c r="Z169">
        <f t="shared" si="48"/>
        <v>0.73280297786580495</v>
      </c>
      <c r="AA169">
        <f t="shared" si="48"/>
        <v>0.76511767448315693</v>
      </c>
      <c r="AB169">
        <f t="shared" si="48"/>
        <v>0.79641251872452612</v>
      </c>
      <c r="AC169">
        <f t="shared" si="48"/>
        <v>0.82896931024671394</v>
      </c>
    </row>
    <row r="170" spans="2:29" x14ac:dyDescent="0.25">
      <c r="B170" t="s">
        <v>840</v>
      </c>
      <c r="C170">
        <v>0</v>
      </c>
      <c r="D170">
        <f t="shared" ref="D170:AC170" si="49">(1+C170)*(1+D114)-1</f>
        <v>2.013097346824555E-2</v>
      </c>
      <c r="E170">
        <f t="shared" si="49"/>
        <v>5.3293315795573726E-2</v>
      </c>
      <c r="F170">
        <f t="shared" si="49"/>
        <v>7.5599902698206378E-2</v>
      </c>
      <c r="G170">
        <f t="shared" si="49"/>
        <v>9.1043449120972619E-2</v>
      </c>
      <c r="H170">
        <f t="shared" si="49"/>
        <v>0.10964396878737115</v>
      </c>
      <c r="I170">
        <f t="shared" si="49"/>
        <v>0.13095216608777149</v>
      </c>
      <c r="J170">
        <f t="shared" si="49"/>
        <v>0.15191307409903509</v>
      </c>
      <c r="K170">
        <f t="shared" si="49"/>
        <v>0.17579577849890149</v>
      </c>
      <c r="L170">
        <f t="shared" si="49"/>
        <v>0.20173544899751739</v>
      </c>
      <c r="M170">
        <f t="shared" si="49"/>
        <v>0.22941704735278012</v>
      </c>
      <c r="N170">
        <f t="shared" si="49"/>
        <v>0.25880022219508914</v>
      </c>
      <c r="O170">
        <f t="shared" si="49"/>
        <v>0.2832868402179809</v>
      </c>
      <c r="P170">
        <f t="shared" si="49"/>
        <v>0.30761339181643477</v>
      </c>
      <c r="Q170">
        <f t="shared" si="49"/>
        <v>0.33205871647044871</v>
      </c>
      <c r="R170">
        <f t="shared" si="49"/>
        <v>0.35605976319592658</v>
      </c>
      <c r="S170">
        <f t="shared" si="49"/>
        <v>0.38017165791740126</v>
      </c>
      <c r="T170">
        <f t="shared" si="49"/>
        <v>0.40357679031334315</v>
      </c>
      <c r="U170">
        <f t="shared" si="49"/>
        <v>0.42759938330220493</v>
      </c>
      <c r="V170">
        <f t="shared" si="49"/>
        <v>0.45257657323567568</v>
      </c>
      <c r="W170">
        <f t="shared" si="49"/>
        <v>0.47764888267936834</v>
      </c>
      <c r="X170">
        <f t="shared" si="49"/>
        <v>0.50235304377053902</v>
      </c>
      <c r="Y170">
        <f t="shared" si="49"/>
        <v>0.52624480519073513</v>
      </c>
      <c r="Z170">
        <f t="shared" si="49"/>
        <v>0.54909428833833673</v>
      </c>
      <c r="AA170">
        <f t="shared" si="49"/>
        <v>0.57203562780237283</v>
      </c>
      <c r="AB170">
        <f t="shared" si="49"/>
        <v>0.59416920126568207</v>
      </c>
      <c r="AC170">
        <f t="shared" si="49"/>
        <v>0.61711271667604151</v>
      </c>
    </row>
    <row r="171" spans="2:29" x14ac:dyDescent="0.25">
      <c r="B171" t="s">
        <v>904</v>
      </c>
      <c r="C171">
        <v>0</v>
      </c>
      <c r="D171">
        <f t="shared" ref="D171:AC171" si="50">(1+C171)*(1+D115)-1</f>
        <v>1.9280671087861023E-2</v>
      </c>
      <c r="E171">
        <f t="shared" si="50"/>
        <v>5.1015811366244446E-2</v>
      </c>
      <c r="F171">
        <f t="shared" si="50"/>
        <v>7.2334005635580345E-2</v>
      </c>
      <c r="G171">
        <f t="shared" si="50"/>
        <v>8.7080328271519569E-2</v>
      </c>
      <c r="H171">
        <f t="shared" si="50"/>
        <v>0.10483047870875262</v>
      </c>
      <c r="I171">
        <f t="shared" si="50"/>
        <v>0.12515012147543048</v>
      </c>
      <c r="J171">
        <f t="shared" si="50"/>
        <v>0.14512267971652082</v>
      </c>
      <c r="K171">
        <f t="shared" si="50"/>
        <v>0.16786177500204946</v>
      </c>
      <c r="L171">
        <f t="shared" si="50"/>
        <v>0.19253815059632839</v>
      </c>
      <c r="M171">
        <f t="shared" si="50"/>
        <v>0.21884761104685779</v>
      </c>
      <c r="N171">
        <f t="shared" si="50"/>
        <v>0.24674774372131547</v>
      </c>
      <c r="O171">
        <f t="shared" si="50"/>
        <v>0.26997553720535183</v>
      </c>
      <c r="P171">
        <f t="shared" si="50"/>
        <v>0.29303289476164074</v>
      </c>
      <c r="Q171">
        <f t="shared" si="50"/>
        <v>0.31618462176198436</v>
      </c>
      <c r="R171">
        <f t="shared" si="50"/>
        <v>0.3388979614197678</v>
      </c>
      <c r="S171">
        <f t="shared" si="50"/>
        <v>0.3616991432930412</v>
      </c>
      <c r="T171">
        <f t="shared" si="50"/>
        <v>0.38381564998193318</v>
      </c>
      <c r="U171">
        <f t="shared" si="50"/>
        <v>0.40649963294794778</v>
      </c>
      <c r="V171">
        <f t="shared" si="50"/>
        <v>0.43006825637220292</v>
      </c>
      <c r="W171">
        <f t="shared" si="50"/>
        <v>0.45370945215978931</v>
      </c>
      <c r="X171">
        <f t="shared" si="50"/>
        <v>0.47698681866603199</v>
      </c>
      <c r="Y171">
        <f t="shared" si="50"/>
        <v>0.49948307008687332</v>
      </c>
      <c r="Z171">
        <f t="shared" si="50"/>
        <v>0.52098369675744838</v>
      </c>
      <c r="AA171">
        <f t="shared" si="50"/>
        <v>0.54255730792894852</v>
      </c>
      <c r="AB171">
        <f t="shared" si="50"/>
        <v>0.56335848107704867</v>
      </c>
      <c r="AC171">
        <f t="shared" si="50"/>
        <v>0.58490819406823524</v>
      </c>
    </row>
    <row r="172" spans="2:29" x14ac:dyDescent="0.25">
      <c r="B172" t="s">
        <v>937</v>
      </c>
      <c r="C172">
        <v>0</v>
      </c>
      <c r="D172">
        <f t="shared" ref="D172:AC172" si="51">(1+C172)*(1+D116)-1</f>
        <v>1.6470796474018945E-2</v>
      </c>
      <c r="E172">
        <f t="shared" si="51"/>
        <v>4.3506270844548833E-2</v>
      </c>
      <c r="F172">
        <f t="shared" si="51"/>
        <v>6.1587530545533786E-2</v>
      </c>
      <c r="G172">
        <f t="shared" si="51"/>
        <v>7.4058548847053762E-2</v>
      </c>
      <c r="H172">
        <f t="shared" si="51"/>
        <v>8.9040239047226244E-2</v>
      </c>
      <c r="I172">
        <f t="shared" si="51"/>
        <v>0.10615050671455206</v>
      </c>
      <c r="J172">
        <f t="shared" si="51"/>
        <v>0.12292424653050649</v>
      </c>
      <c r="K172">
        <f t="shared" si="51"/>
        <v>0.14197289114986655</v>
      </c>
      <c r="L172">
        <f t="shared" si="51"/>
        <v>0.1625857475278969</v>
      </c>
      <c r="M172">
        <f t="shared" si="51"/>
        <v>0.18449649076262276</v>
      </c>
      <c r="N172">
        <f t="shared" si="51"/>
        <v>0.20765886590235372</v>
      </c>
      <c r="O172">
        <f t="shared" si="51"/>
        <v>0.22687942842827469</v>
      </c>
      <c r="P172">
        <f t="shared" si="51"/>
        <v>0.24590810209147618</v>
      </c>
      <c r="Q172">
        <f t="shared" si="51"/>
        <v>0.26496500336309636</v>
      </c>
      <c r="R172">
        <f t="shared" si="51"/>
        <v>0.28361312736624056</v>
      </c>
      <c r="S172">
        <f t="shared" si="51"/>
        <v>0.30228708989901887</v>
      </c>
      <c r="T172">
        <f t="shared" si="51"/>
        <v>0.32035610816114168</v>
      </c>
      <c r="U172">
        <f t="shared" si="51"/>
        <v>0.33884558437586598</v>
      </c>
      <c r="V172">
        <f t="shared" si="51"/>
        <v>0.35801096900643836</v>
      </c>
      <c r="W172">
        <f t="shared" si="51"/>
        <v>0.37718919383883964</v>
      </c>
      <c r="X172">
        <f t="shared" si="51"/>
        <v>0.39602751911647482</v>
      </c>
      <c r="Y172">
        <f t="shared" si="51"/>
        <v>0.41419187372670252</v>
      </c>
      <c r="Z172">
        <f t="shared" si="51"/>
        <v>0.43151436470030946</v>
      </c>
      <c r="AA172">
        <f t="shared" si="51"/>
        <v>0.44885984991935612</v>
      </c>
      <c r="AB172">
        <f t="shared" si="51"/>
        <v>0.46555019645486473</v>
      </c>
      <c r="AC172">
        <f t="shared" si="51"/>
        <v>0.48280762441699343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D55"/>
  <sheetViews>
    <sheetView workbookViewId="0">
      <pane xSplit="3" ySplit="3" topLeftCell="D4" activePane="bottomRight" state="frozen"/>
      <selection pane="topRight"/>
      <selection pane="bottomLeft"/>
      <selection pane="bottomRight"/>
    </sheetView>
  </sheetViews>
  <sheetFormatPr defaultRowHeight="15" x14ac:dyDescent="0.25"/>
  <sheetData>
    <row r="1" spans="1:30" x14ac:dyDescent="0.25">
      <c r="A1" s="1" t="s">
        <v>1238</v>
      </c>
    </row>
    <row r="3" spans="1:30" x14ac:dyDescent="0.25">
      <c r="A3" s="1" t="s">
        <v>1239</v>
      </c>
      <c r="B3" s="1" t="s">
        <v>1240</v>
      </c>
      <c r="C3" s="1" t="s">
        <v>1241</v>
      </c>
      <c r="D3" s="1" t="s">
        <v>1242</v>
      </c>
      <c r="E3" s="1" t="s">
        <v>1243</v>
      </c>
      <c r="F3" s="1" t="s">
        <v>1244</v>
      </c>
      <c r="G3" s="1" t="s">
        <v>1245</v>
      </c>
      <c r="H3" s="1" t="s">
        <v>1246</v>
      </c>
      <c r="I3" s="1" t="s">
        <v>1247</v>
      </c>
      <c r="J3" s="1" t="s">
        <v>1248</v>
      </c>
      <c r="K3" s="1" t="s">
        <v>1249</v>
      </c>
      <c r="L3" s="1" t="s">
        <v>1250</v>
      </c>
      <c r="M3" s="1" t="s">
        <v>1251</v>
      </c>
      <c r="N3" s="1" t="s">
        <v>1252</v>
      </c>
      <c r="O3" s="1" t="s">
        <v>1253</v>
      </c>
      <c r="P3" s="1" t="s">
        <v>1254</v>
      </c>
      <c r="Q3" s="1" t="s">
        <v>1255</v>
      </c>
      <c r="R3" s="1" t="s">
        <v>1256</v>
      </c>
      <c r="S3" s="1" t="s">
        <v>1257</v>
      </c>
      <c r="T3" s="1" t="s">
        <v>1258</v>
      </c>
      <c r="U3" s="1" t="s">
        <v>1259</v>
      </c>
      <c r="V3" s="1" t="s">
        <v>1260</v>
      </c>
      <c r="W3" s="1" t="s">
        <v>1261</v>
      </c>
      <c r="X3" s="1" t="s">
        <v>1262</v>
      </c>
      <c r="Y3" s="1" t="s">
        <v>1263</v>
      </c>
      <c r="Z3" s="1" t="s">
        <v>1264</v>
      </c>
      <c r="AA3" s="1" t="s">
        <v>1265</v>
      </c>
      <c r="AB3" s="1" t="s">
        <v>1266</v>
      </c>
      <c r="AC3" s="1" t="s">
        <v>1267</v>
      </c>
      <c r="AD3" s="1" t="s">
        <v>1268</v>
      </c>
    </row>
    <row r="4" spans="1:30" x14ac:dyDescent="0.25">
      <c r="A4" t="s">
        <v>66</v>
      </c>
      <c r="B4" t="s">
        <v>1269</v>
      </c>
      <c r="C4">
        <v>394059122230.82343</v>
      </c>
      <c r="D4">
        <f>(1+'Rescale to Fit GDP Proj'!C121)/(1+'Rescale to Fit GDP Proj'!$D$121)-1</f>
        <v>0.1101815713286447</v>
      </c>
      <c r="E4">
        <f>(1+'Rescale to Fit GDP Proj'!D121)/(1+'Rescale to Fit GDP Proj'!$D$121)-1</f>
        <v>0</v>
      </c>
      <c r="F4">
        <f>(1+'Rescale to Fit GDP Proj'!E121)/(1+'Rescale to Fit GDP Proj'!$D$121)-1</f>
        <v>2.4221655673883902E-3</v>
      </c>
      <c r="G4">
        <f>(1+'Rescale to Fit GDP Proj'!F121)/(1+'Rescale to Fit GDP Proj'!$D$121)-1</f>
        <v>1.6535264029764685E-2</v>
      </c>
      <c r="H4">
        <f>(1+'Rescale to Fit GDP Proj'!G121)/(1+'Rescale to Fit GDP Proj'!$D$121)-1</f>
        <v>3.6898320563633735E-2</v>
      </c>
      <c r="I4">
        <f>(1+'Rescale to Fit GDP Proj'!H121)/(1+'Rescale to Fit GDP Proj'!$D$121)-1</f>
        <v>5.0590267259021937E-2</v>
      </c>
      <c r="J4">
        <f>(1+'Rescale to Fit GDP Proj'!I121)/(1+'Rescale to Fit GDP Proj'!$D$121)-1</f>
        <v>6.4043217342200753E-2</v>
      </c>
      <c r="K4">
        <f>(1+'Rescale to Fit GDP Proj'!J121)/(1+'Rescale to Fit GDP Proj'!$D$121)-1</f>
        <v>7.7269114771729042E-2</v>
      </c>
      <c r="L4">
        <f>(1+'Rescale to Fit GDP Proj'!K121)/(1+'Rescale to Fit GDP Proj'!$D$121)-1</f>
        <v>9.0730677196942944E-2</v>
      </c>
      <c r="M4">
        <f>(1+'Rescale to Fit GDP Proj'!L121)/(1+'Rescale to Fit GDP Proj'!$D$121)-1</f>
        <v>9.8080550847704062E-2</v>
      </c>
      <c r="N4">
        <f>(1+'Rescale to Fit GDP Proj'!M121)/(1+'Rescale to Fit GDP Proj'!$D$121)-1</f>
        <v>0.11253897332015117</v>
      </c>
      <c r="O4">
        <f>(1+'Rescale to Fit GDP Proj'!N121)/(1+'Rescale to Fit GDP Proj'!$D$121)-1</f>
        <v>0.12850230572587895</v>
      </c>
      <c r="P4">
        <f>(1+'Rescale to Fit GDP Proj'!O121)/(1+'Rescale to Fit GDP Proj'!$D$121)-1</f>
        <v>0.14444991751683967</v>
      </c>
      <c r="Q4">
        <f>(1+'Rescale to Fit GDP Proj'!P121)/(1+'Rescale to Fit GDP Proj'!$D$121)-1</f>
        <v>0.15993185914981889</v>
      </c>
      <c r="R4">
        <f>(1+'Rescale to Fit GDP Proj'!Q121)/(1+'Rescale to Fit GDP Proj'!$D$121)-1</f>
        <v>0.17631194443491616</v>
      </c>
      <c r="S4">
        <f>(1+'Rescale to Fit GDP Proj'!R121)/(1+'Rescale to Fit GDP Proj'!$D$121)-1</f>
        <v>0.19321114378709692</v>
      </c>
      <c r="T4">
        <f>(1+'Rescale to Fit GDP Proj'!S121)/(1+'Rescale to Fit GDP Proj'!$D$121)-1</f>
        <v>0.20752394144550257</v>
      </c>
      <c r="U4">
        <f>(1+'Rescale to Fit GDP Proj'!T121)/(1+'Rescale to Fit GDP Proj'!$D$121)-1</f>
        <v>0.22109038488960397</v>
      </c>
      <c r="V4">
        <f>(1+'Rescale to Fit GDP Proj'!U121)/(1+'Rescale to Fit GDP Proj'!$D$121)-1</f>
        <v>0.2362112839581143</v>
      </c>
      <c r="W4">
        <f>(1+'Rescale to Fit GDP Proj'!V121)/(1+'Rescale to Fit GDP Proj'!$D$121)-1</f>
        <v>0.25051175855008179</v>
      </c>
      <c r="X4">
        <f>(1+'Rescale to Fit GDP Proj'!W121)/(1+'Rescale to Fit GDP Proj'!$D$121)-1</f>
        <v>0.26608198080965839</v>
      </c>
      <c r="Y4">
        <f>(1+'Rescale to Fit GDP Proj'!X121)/(1+'Rescale to Fit GDP Proj'!$D$121)-1</f>
        <v>0.28377783828302938</v>
      </c>
      <c r="Z4">
        <f>(1+'Rescale to Fit GDP Proj'!Y121)/(1+'Rescale to Fit GDP Proj'!$D$121)-1</f>
        <v>0.30236743640016206</v>
      </c>
      <c r="AA4">
        <f>(1+'Rescale to Fit GDP Proj'!Z121)/(1+'Rescale to Fit GDP Proj'!$D$121)-1</f>
        <v>0.32112315588123197</v>
      </c>
      <c r="AB4">
        <f>(1+'Rescale to Fit GDP Proj'!AA121)/(1+'Rescale to Fit GDP Proj'!$D$121)-1</f>
        <v>0.34014635657466341</v>
      </c>
      <c r="AC4">
        <f>(1+'Rescale to Fit GDP Proj'!AB121)/(1+'Rescale to Fit GDP Proj'!$D$121)-1</f>
        <v>0.3590363832633634</v>
      </c>
      <c r="AD4">
        <f>(1+'Rescale to Fit GDP Proj'!AC121)/(1+'Rescale to Fit GDP Proj'!$D$121)-1</f>
        <v>0.37808624513046252</v>
      </c>
    </row>
    <row r="5" spans="1:30" x14ac:dyDescent="0.25">
      <c r="A5" t="s">
        <v>73</v>
      </c>
      <c r="B5" t="s">
        <v>1269</v>
      </c>
      <c r="C5">
        <v>19659690966.010979</v>
      </c>
      <c r="D5">
        <f>(1+'Rescale to Fit GDP Proj'!C122)/(1+'Rescale to Fit GDP Proj'!$D$122)-1</f>
        <v>-1.4429450604340421E-2</v>
      </c>
      <c r="E5">
        <f>(1+'Rescale to Fit GDP Proj'!D122)/(1+'Rescale to Fit GDP Proj'!$D$122)-1</f>
        <v>0</v>
      </c>
      <c r="F5">
        <f>(1+'Rescale to Fit GDP Proj'!E122)/(1+'Rescale to Fit GDP Proj'!$D$122)-1</f>
        <v>2.3642128093759318E-2</v>
      </c>
      <c r="G5">
        <f>(1+'Rescale to Fit GDP Proj'!F122)/(1+'Rescale to Fit GDP Proj'!$D$122)-1</f>
        <v>3.9408408609162393E-2</v>
      </c>
      <c r="H5">
        <f>(1+'Rescale to Fit GDP Proj'!G122)/(1+'Rescale to Fit GDP Proj'!$D$122)-1</f>
        <v>5.0262158541676483E-2</v>
      </c>
      <c r="I5">
        <f>(1+'Rescale to Fit GDP Proj'!H122)/(1+'Rescale to Fit GDP Proj'!$D$122)-1</f>
        <v>6.3284169351981889E-2</v>
      </c>
      <c r="J5">
        <f>(1+'Rescale to Fit GDP Proj'!I122)/(1+'Rescale to Fit GDP Proj'!$D$122)-1</f>
        <v>7.8133596574827546E-2</v>
      </c>
      <c r="K5">
        <f>(1+'Rescale to Fit GDP Proj'!J122)/(1+'Rescale to Fit GDP Proj'!$D$122)-1</f>
        <v>9.2665942822073522E-2</v>
      </c>
      <c r="L5">
        <f>(1+'Rescale to Fit GDP Proj'!K122)/(1+'Rescale to Fit GDP Proj'!$D$122)-1</f>
        <v>0.10914181843329662</v>
      </c>
      <c r="M5">
        <f>(1+'Rescale to Fit GDP Proj'!L122)/(1+'Rescale to Fit GDP Proj'!$D$122)-1</f>
        <v>0.12693759483504619</v>
      </c>
      <c r="N5">
        <f>(1+'Rescale to Fit GDP Proj'!M122)/(1+'Rescale to Fit GDP Proj'!$D$122)-1</f>
        <v>0.14581661541252111</v>
      </c>
      <c r="O5">
        <f>(1+'Rescale to Fit GDP Proj'!N122)/(1+'Rescale to Fit GDP Proj'!$D$122)-1</f>
        <v>0.16573306429616563</v>
      </c>
      <c r="P5">
        <f>(1+'Rescale to Fit GDP Proj'!O122)/(1+'Rescale to Fit GDP Proj'!$D$122)-1</f>
        <v>0.18222487769624385</v>
      </c>
      <c r="Q5">
        <f>(1+'Rescale to Fit GDP Proj'!P122)/(1+'Rescale to Fit GDP Proj'!$D$122)-1</f>
        <v>0.19852362420017822</v>
      </c>
      <c r="R5">
        <f>(1+'Rescale to Fit GDP Proj'!Q122)/(1+'Rescale to Fit GDP Proj'!$D$122)-1</f>
        <v>0.21481884878535951</v>
      </c>
      <c r="S5">
        <f>(1+'Rescale to Fit GDP Proj'!R122)/(1+'Rescale to Fit GDP Proj'!$D$122)-1</f>
        <v>0.23073784345110693</v>
      </c>
      <c r="T5">
        <f>(1+'Rescale to Fit GDP Proj'!S122)/(1+'Rescale to Fit GDP Proj'!$D$122)-1</f>
        <v>0.24665316309673591</v>
      </c>
      <c r="U5">
        <f>(1+'Rescale to Fit GDP Proj'!T122)/(1+'Rescale to Fit GDP Proj'!$D$122)-1</f>
        <v>0.26202836906765725</v>
      </c>
      <c r="V5">
        <f>(1+'Rescale to Fit GDP Proj'!U122)/(1+'Rescale to Fit GDP Proj'!$D$122)-1</f>
        <v>0.27773742638969634</v>
      </c>
      <c r="W5">
        <f>(1+'Rescale to Fit GDP Proj'!V122)/(1+'Rescale to Fit GDP Proj'!$D$122)-1</f>
        <v>0.29399576418253393</v>
      </c>
      <c r="X5">
        <f>(1+'Rescale to Fit GDP Proj'!W122)/(1+'Rescale to Fit GDP Proj'!$D$122)-1</f>
        <v>0.3102394828852213</v>
      </c>
      <c r="Y5">
        <f>(1+'Rescale to Fit GDP Proj'!X122)/(1+'Rescale to Fit GDP Proj'!$D$122)-1</f>
        <v>0.32617062255279983</v>
      </c>
      <c r="Z5">
        <f>(1+'Rescale to Fit GDP Proj'!Y122)/(1+'Rescale to Fit GDP Proj'!$D$122)-1</f>
        <v>0.34150876875334402</v>
      </c>
      <c r="AA5">
        <f>(1+'Rescale to Fit GDP Proj'!Z122)/(1+'Rescale to Fit GDP Proj'!$D$122)-1</f>
        <v>0.3561151623611849</v>
      </c>
      <c r="AB5">
        <f>(1+'Rescale to Fit GDP Proj'!AA122)/(1+'Rescale to Fit GDP Proj'!$D$122)-1</f>
        <v>0.37072127993171855</v>
      </c>
      <c r="AC5">
        <f>(1+'Rescale to Fit GDP Proj'!AB122)/(1+'Rescale to Fit GDP Proj'!$D$122)-1</f>
        <v>0.38475702943927792</v>
      </c>
      <c r="AD5">
        <f>(1+'Rescale to Fit GDP Proj'!AC122)/(1+'Rescale to Fit GDP Proj'!$D$122)-1</f>
        <v>0.39925130211033144</v>
      </c>
    </row>
    <row r="6" spans="1:30" x14ac:dyDescent="0.25">
      <c r="A6" t="s">
        <v>78</v>
      </c>
      <c r="B6" t="s">
        <v>1269</v>
      </c>
      <c r="C6">
        <v>7165127410.1974096</v>
      </c>
      <c r="D6">
        <f>(1+'Rescale to Fit GDP Proj'!C123)/(1+'Rescale to Fit GDP Proj'!$D$123)-1</f>
        <v>-1.3539820702445304E-2</v>
      </c>
      <c r="E6">
        <f>(1+'Rescale to Fit GDP Proj'!D123)/(1+'Rescale to Fit GDP Proj'!$D$123)-1</f>
        <v>0</v>
      </c>
      <c r="F6">
        <f>(1+'Rescale to Fit GDP Proj'!E123)/(1+'Rescale to Fit GDP Proj'!$D$123)-1</f>
        <v>2.2164495087899416E-2</v>
      </c>
      <c r="G6">
        <f>(1+'Rescale to Fit GDP Proj'!F123)/(1+'Rescale to Fit GDP Proj'!$D$123)-1</f>
        <v>3.6924046778512132E-2</v>
      </c>
      <c r="H6">
        <f>(1+'Rescale to Fit GDP Proj'!G123)/(1+'Rescale to Fit GDP Proj'!$D$123)-1</f>
        <v>4.7075116436436026E-2</v>
      </c>
      <c r="I6">
        <f>(1+'Rescale to Fit GDP Proj'!H123)/(1+'Rescale to Fit GDP Proj'!$D$123)-1</f>
        <v>5.9246205734127866E-2</v>
      </c>
      <c r="J6">
        <f>(1+'Rescale to Fit GDP Proj'!I123)/(1+'Rescale to Fit GDP Proj'!$D$123)-1</f>
        <v>7.3114675615435276E-2</v>
      </c>
      <c r="K6">
        <f>(1+'Rescale to Fit GDP Proj'!J123)/(1+'Rescale to Fit GDP Proj'!$D$123)-1</f>
        <v>8.6675327513007883E-2</v>
      </c>
      <c r="L6">
        <f>(1+'Rescale to Fit GDP Proj'!K123)/(1+'Rescale to Fit GDP Proj'!$D$123)-1</f>
        <v>0.10203677642224185</v>
      </c>
      <c r="M6">
        <f>(1+'Rescale to Fit GDP Proj'!L123)/(1+'Rescale to Fit GDP Proj'!$D$123)-1</f>
        <v>0.11861344385143835</v>
      </c>
      <c r="N6">
        <f>(1+'Rescale to Fit GDP Proj'!M123)/(1+'Rescale to Fit GDP Proj'!$D$123)-1</f>
        <v>0.13618179095992655</v>
      </c>
      <c r="O6">
        <f>(1+'Rescale to Fit GDP Proj'!N123)/(1+'Rescale to Fit GDP Proj'!$D$123)-1</f>
        <v>0.1546964573704912</v>
      </c>
      <c r="P6">
        <f>(1+'Rescale to Fit GDP Proj'!O123)/(1+'Rescale to Fit GDP Proj'!$D$123)-1</f>
        <v>0.17001115431843417</v>
      </c>
      <c r="Q6">
        <f>(1+'Rescale to Fit GDP Proj'!P123)/(1+'Rescale to Fit GDP Proj'!$D$123)-1</f>
        <v>0.18513336866834829</v>
      </c>
      <c r="R6">
        <f>(1+'Rescale to Fit GDP Proj'!Q123)/(1+'Rescale to Fit GDP Proj'!$D$123)-1</f>
        <v>0.20023946515231206</v>
      </c>
      <c r="S6">
        <f>(1+'Rescale to Fit GDP Proj'!R123)/(1+'Rescale to Fit GDP Proj'!$D$123)-1</f>
        <v>0.21498441482820629</v>
      </c>
      <c r="T6">
        <f>(1+'Rescale to Fit GDP Proj'!S123)/(1+'Rescale to Fit GDP Proj'!$D$123)-1</f>
        <v>0.22971404335145973</v>
      </c>
      <c r="U6">
        <f>(1+'Rescale to Fit GDP Proj'!T123)/(1+'Rescale to Fit GDP Proj'!$D$123)-1</f>
        <v>0.24393244270879677</v>
      </c>
      <c r="V6">
        <f>(1+'Rescale to Fit GDP Proj'!U123)/(1+'Rescale to Fit GDP Proj'!$D$123)-1</f>
        <v>0.25844851351854969</v>
      </c>
      <c r="W6">
        <f>(1+'Rescale to Fit GDP Proj'!V123)/(1+'Rescale to Fit GDP Proj'!$D$123)-1</f>
        <v>0.27346060682292084</v>
      </c>
      <c r="X6">
        <f>(1+'Rescale to Fit GDP Proj'!W123)/(1+'Rescale to Fit GDP Proj'!$D$123)-1</f>
        <v>0.28844742356584474</v>
      </c>
      <c r="Y6">
        <f>(1+'Rescale to Fit GDP Proj'!X123)/(1+'Rescale to Fit GDP Proj'!$D$123)-1</f>
        <v>0.30313445892794988</v>
      </c>
      <c r="Z6">
        <f>(1+'Rescale to Fit GDP Proj'!Y123)/(1+'Rescale to Fit GDP Proj'!$D$123)-1</f>
        <v>0.31726419257851757</v>
      </c>
      <c r="AA6">
        <f>(1+'Rescale to Fit GDP Proj'!Z123)/(1+'Rescale to Fit GDP Proj'!$D$123)-1</f>
        <v>0.33071020929291728</v>
      </c>
      <c r="AB6">
        <f>(1+'Rescale to Fit GDP Proj'!AA123)/(1+'Rescale to Fit GDP Proj'!$D$123)-1</f>
        <v>0.34414692057998653</v>
      </c>
      <c r="AC6">
        <f>(1+'Rescale to Fit GDP Proj'!AB123)/(1+'Rescale to Fit GDP Proj'!$D$123)-1</f>
        <v>0.35705032982528917</v>
      </c>
      <c r="AD6">
        <f>(1+'Rescale to Fit GDP Proj'!AC123)/(1+'Rescale to Fit GDP Proj'!$D$123)-1</f>
        <v>0.37036682941510968</v>
      </c>
    </row>
    <row r="7" spans="1:30" x14ac:dyDescent="0.25">
      <c r="A7" t="s">
        <v>90</v>
      </c>
      <c r="B7" t="s">
        <v>90</v>
      </c>
      <c r="C7">
        <v>36080561800.383492</v>
      </c>
      <c r="D7">
        <f>(1+'Rescale to Fit GDP Proj'!C124)/(1+'Rescale to Fit GDP Proj'!$D$124)-1</f>
        <v>-6.647676758580523E-2</v>
      </c>
      <c r="E7">
        <f>(1+'Rescale to Fit GDP Proj'!D124)/(1+'Rescale to Fit GDP Proj'!$D$124)-1</f>
        <v>0</v>
      </c>
      <c r="F7">
        <f>(1+'Rescale to Fit GDP Proj'!E124)/(1+'Rescale to Fit GDP Proj'!$D$124)-1</f>
        <v>9.1485608285695852E-2</v>
      </c>
      <c r="G7">
        <f>(1+'Rescale to Fit GDP Proj'!F124)/(1+'Rescale to Fit GDP Proj'!$D$124)-1</f>
        <v>8.373672546315114E-2</v>
      </c>
      <c r="H7">
        <f>(1+'Rescale to Fit GDP Proj'!G124)/(1+'Rescale to Fit GDP Proj'!$D$124)-1</f>
        <v>8.9756742893838171E-2</v>
      </c>
      <c r="I7">
        <f>(1+'Rescale to Fit GDP Proj'!H124)/(1+'Rescale to Fit GDP Proj'!$D$124)-1</f>
        <v>9.6242070961838122E-2</v>
      </c>
      <c r="J7">
        <f>(1+'Rescale to Fit GDP Proj'!I124)/(1+'Rescale to Fit GDP Proj'!$D$124)-1</f>
        <v>0.11989154713851291</v>
      </c>
      <c r="K7">
        <f>(1+'Rescale to Fit GDP Proj'!J124)/(1+'Rescale to Fit GDP Proj'!$D$124)-1</f>
        <v>0.13793223955567435</v>
      </c>
      <c r="L7">
        <f>(1+'Rescale to Fit GDP Proj'!K124)/(1+'Rescale to Fit GDP Proj'!$D$124)-1</f>
        <v>0.15481814412480466</v>
      </c>
      <c r="M7">
        <f>(1+'Rescale to Fit GDP Proj'!L124)/(1+'Rescale to Fit GDP Proj'!$D$124)-1</f>
        <v>0.167368694261534</v>
      </c>
      <c r="N7">
        <f>(1+'Rescale to Fit GDP Proj'!M124)/(1+'Rescale to Fit GDP Proj'!$D$124)-1</f>
        <v>0.18293696710998031</v>
      </c>
      <c r="O7">
        <f>(1+'Rescale to Fit GDP Proj'!N124)/(1+'Rescale to Fit GDP Proj'!$D$124)-1</f>
        <v>0.18723768533846297</v>
      </c>
      <c r="P7">
        <f>(1+'Rescale to Fit GDP Proj'!O124)/(1+'Rescale to Fit GDP Proj'!$D$124)-1</f>
        <v>0.19241702946010153</v>
      </c>
      <c r="Q7">
        <f>(1+'Rescale to Fit GDP Proj'!P124)/(1+'Rescale to Fit GDP Proj'!$D$124)-1</f>
        <v>0.19901829939282112</v>
      </c>
      <c r="R7">
        <f>(1+'Rescale to Fit GDP Proj'!Q124)/(1+'Rescale to Fit GDP Proj'!$D$124)-1</f>
        <v>0.2050990265500261</v>
      </c>
      <c r="S7">
        <f>(1+'Rescale to Fit GDP Proj'!R124)/(1+'Rescale to Fit GDP Proj'!$D$124)-1</f>
        <v>0.2129207307116463</v>
      </c>
      <c r="T7">
        <f>(1+'Rescale to Fit GDP Proj'!S124)/(1+'Rescale to Fit GDP Proj'!$D$124)-1</f>
        <v>0.22724195613849352</v>
      </c>
      <c r="U7">
        <f>(1+'Rescale to Fit GDP Proj'!T124)/(1+'Rescale to Fit GDP Proj'!$D$124)-1</f>
        <v>0.24459355429585039</v>
      </c>
      <c r="V7">
        <f>(1+'Rescale to Fit GDP Proj'!U124)/(1+'Rescale to Fit GDP Proj'!$D$124)-1</f>
        <v>0.25438788664027578</v>
      </c>
      <c r="W7">
        <f>(1+'Rescale to Fit GDP Proj'!V124)/(1+'Rescale to Fit GDP Proj'!$D$124)-1</f>
        <v>0.26518195468411387</v>
      </c>
      <c r="X7">
        <f>(1+'Rescale to Fit GDP Proj'!W124)/(1+'Rescale to Fit GDP Proj'!$D$124)-1</f>
        <v>0.27160294826249332</v>
      </c>
      <c r="Y7">
        <f>(1+'Rescale to Fit GDP Proj'!X124)/(1+'Rescale to Fit GDP Proj'!$D$124)-1</f>
        <v>0.27622071193150588</v>
      </c>
      <c r="Z7">
        <f>(1+'Rescale to Fit GDP Proj'!Y124)/(1+'Rescale to Fit GDP Proj'!$D$124)-1</f>
        <v>0.28098357734470514</v>
      </c>
      <c r="AA7">
        <f>(1+'Rescale to Fit GDP Proj'!Z124)/(1+'Rescale to Fit GDP Proj'!$D$124)-1</f>
        <v>0.28805270207377798</v>
      </c>
      <c r="AB7">
        <f>(1+'Rescale to Fit GDP Proj'!AA124)/(1+'Rescale to Fit GDP Proj'!$D$124)-1</f>
        <v>0.29084432702728469</v>
      </c>
      <c r="AC7">
        <f>(1+'Rescale to Fit GDP Proj'!AB124)/(1+'Rescale to Fit GDP Proj'!$D$124)-1</f>
        <v>0.29086500005729721</v>
      </c>
      <c r="AD7">
        <f>(1+'Rescale to Fit GDP Proj'!AC124)/(1+'Rescale to Fit GDP Proj'!$D$124)-1</f>
        <v>0.28849301726482635</v>
      </c>
    </row>
    <row r="8" spans="1:30" x14ac:dyDescent="0.25">
      <c r="A8" t="s">
        <v>85</v>
      </c>
      <c r="B8" t="s">
        <v>85</v>
      </c>
      <c r="C8">
        <v>357515802116.60559</v>
      </c>
      <c r="D8">
        <f>(1+'Rescale to Fit GDP Proj'!C125)/(1+'Rescale to Fit GDP Proj'!$D$125)-1</f>
        <v>-6.647676758580523E-2</v>
      </c>
      <c r="E8">
        <f>(1+'Rescale to Fit GDP Proj'!D125)/(1+'Rescale to Fit GDP Proj'!$D$125)-1</f>
        <v>0</v>
      </c>
      <c r="F8">
        <f>(1+'Rescale to Fit GDP Proj'!E125)/(1+'Rescale to Fit GDP Proj'!$D$125)-1</f>
        <v>9.1485608285695852E-2</v>
      </c>
      <c r="G8">
        <f>(1+'Rescale to Fit GDP Proj'!F125)/(1+'Rescale to Fit GDP Proj'!$D$125)-1</f>
        <v>8.373672546315114E-2</v>
      </c>
      <c r="H8">
        <f>(1+'Rescale to Fit GDP Proj'!G125)/(1+'Rescale to Fit GDP Proj'!$D$125)-1</f>
        <v>8.9756742893838171E-2</v>
      </c>
      <c r="I8">
        <f>(1+'Rescale to Fit GDP Proj'!H125)/(1+'Rescale to Fit GDP Proj'!$D$125)-1</f>
        <v>9.6242070961838122E-2</v>
      </c>
      <c r="J8">
        <f>(1+'Rescale to Fit GDP Proj'!I125)/(1+'Rescale to Fit GDP Proj'!$D$125)-1</f>
        <v>0.11989154713851291</v>
      </c>
      <c r="K8">
        <f>(1+'Rescale to Fit GDP Proj'!J125)/(1+'Rescale to Fit GDP Proj'!$D$125)-1</f>
        <v>0.13793223955567435</v>
      </c>
      <c r="L8">
        <f>(1+'Rescale to Fit GDP Proj'!K125)/(1+'Rescale to Fit GDP Proj'!$D$125)-1</f>
        <v>0.15481814412480466</v>
      </c>
      <c r="M8">
        <f>(1+'Rescale to Fit GDP Proj'!L125)/(1+'Rescale to Fit GDP Proj'!$D$125)-1</f>
        <v>0.167368694261534</v>
      </c>
      <c r="N8">
        <f>(1+'Rescale to Fit GDP Proj'!M125)/(1+'Rescale to Fit GDP Proj'!$D$125)-1</f>
        <v>0.18293696710998031</v>
      </c>
      <c r="O8">
        <f>(1+'Rescale to Fit GDP Proj'!N125)/(1+'Rescale to Fit GDP Proj'!$D$125)-1</f>
        <v>0.18723768533846297</v>
      </c>
      <c r="P8">
        <f>(1+'Rescale to Fit GDP Proj'!O125)/(1+'Rescale to Fit GDP Proj'!$D$125)-1</f>
        <v>0.19241702946010153</v>
      </c>
      <c r="Q8">
        <f>(1+'Rescale to Fit GDP Proj'!P125)/(1+'Rescale to Fit GDP Proj'!$D$125)-1</f>
        <v>0.19901829939282112</v>
      </c>
      <c r="R8">
        <f>(1+'Rescale to Fit GDP Proj'!Q125)/(1+'Rescale to Fit GDP Proj'!$D$125)-1</f>
        <v>0.2050990265500261</v>
      </c>
      <c r="S8">
        <f>(1+'Rescale to Fit GDP Proj'!R125)/(1+'Rescale to Fit GDP Proj'!$D$125)-1</f>
        <v>0.2129207307116463</v>
      </c>
      <c r="T8">
        <f>(1+'Rescale to Fit GDP Proj'!S125)/(1+'Rescale to Fit GDP Proj'!$D$125)-1</f>
        <v>0.22724195613849352</v>
      </c>
      <c r="U8">
        <f>(1+'Rescale to Fit GDP Proj'!T125)/(1+'Rescale to Fit GDP Proj'!$D$125)-1</f>
        <v>0.24459355429585039</v>
      </c>
      <c r="V8">
        <f>(1+'Rescale to Fit GDP Proj'!U125)/(1+'Rescale to Fit GDP Proj'!$D$125)-1</f>
        <v>0.25438788664027578</v>
      </c>
      <c r="W8">
        <f>(1+'Rescale to Fit GDP Proj'!V125)/(1+'Rescale to Fit GDP Proj'!$D$125)-1</f>
        <v>0.26518195468411387</v>
      </c>
      <c r="X8">
        <f>(1+'Rescale to Fit GDP Proj'!W125)/(1+'Rescale to Fit GDP Proj'!$D$125)-1</f>
        <v>0.27160294826249332</v>
      </c>
      <c r="Y8">
        <f>(1+'Rescale to Fit GDP Proj'!X125)/(1+'Rescale to Fit GDP Proj'!$D$125)-1</f>
        <v>0.27622071193150588</v>
      </c>
      <c r="Z8">
        <f>(1+'Rescale to Fit GDP Proj'!Y125)/(1+'Rescale to Fit GDP Proj'!$D$125)-1</f>
        <v>0.28098357734470514</v>
      </c>
      <c r="AA8">
        <f>(1+'Rescale to Fit GDP Proj'!Z125)/(1+'Rescale to Fit GDP Proj'!$D$125)-1</f>
        <v>0.28805270207377798</v>
      </c>
      <c r="AB8">
        <f>(1+'Rescale to Fit GDP Proj'!AA125)/(1+'Rescale to Fit GDP Proj'!$D$125)-1</f>
        <v>0.29084432702728469</v>
      </c>
      <c r="AC8">
        <f>(1+'Rescale to Fit GDP Proj'!AB125)/(1+'Rescale to Fit GDP Proj'!$D$125)-1</f>
        <v>0.29086500005729721</v>
      </c>
      <c r="AD8">
        <f>(1+'Rescale to Fit GDP Proj'!AC125)/(1+'Rescale to Fit GDP Proj'!$D$125)-1</f>
        <v>0.28849301726482635</v>
      </c>
    </row>
    <row r="9" spans="1:30" x14ac:dyDescent="0.25">
      <c r="A9" t="s">
        <v>93</v>
      </c>
      <c r="B9" t="s">
        <v>1270</v>
      </c>
      <c r="C9">
        <v>30426509315.716499</v>
      </c>
      <c r="D9">
        <f>(1+'Rescale to Fit GDP Proj'!C126)/(1+'Rescale to Fit GDP Proj'!$D$126)-1</f>
        <v>-2.3238284929230857E-2</v>
      </c>
      <c r="E9">
        <f>(1+'Rescale to Fit GDP Proj'!D126)/(1+'Rescale to Fit GDP Proj'!$D$126)-1</f>
        <v>0</v>
      </c>
      <c r="F9">
        <f>(1+'Rescale to Fit GDP Proj'!E126)/(1+'Rescale to Fit GDP Proj'!$D$126)-1</f>
        <v>3.8418458152359003E-2</v>
      </c>
      <c r="G9">
        <f>(1+'Rescale to Fit GDP Proj'!F126)/(1+'Rescale to Fit GDP Proj'!$D$126)-1</f>
        <v>6.4408493061236083E-2</v>
      </c>
      <c r="H9">
        <f>(1+'Rescale to Fit GDP Proj'!G126)/(1+'Rescale to Fit GDP Proj'!$D$126)-1</f>
        <v>8.2470054051428265E-2</v>
      </c>
      <c r="I9">
        <f>(1+'Rescale to Fit GDP Proj'!H126)/(1+'Rescale to Fit GDP Proj'!$D$126)-1</f>
        <v>0.10427974892185121</v>
      </c>
      <c r="J9">
        <f>(1+'Rescale to Fit GDP Proj'!I126)/(1+'Rescale to Fit GDP Proj'!$D$126)-1</f>
        <v>0.12934042755944919</v>
      </c>
      <c r="K9">
        <f>(1+'Rescale to Fit GDP Proj'!J126)/(1+'Rescale to Fit GDP Proj'!$D$126)-1</f>
        <v>0.15407710679542319</v>
      </c>
      <c r="L9">
        <f>(1+'Rescale to Fit GDP Proj'!K126)/(1+'Rescale to Fit GDP Proj'!$D$126)-1</f>
        <v>0.18235514579364143</v>
      </c>
      <c r="M9">
        <f>(1+'Rescale to Fit GDP Proj'!L126)/(1+'Rescale to Fit GDP Proj'!$D$126)-1</f>
        <v>0.21318213933947106</v>
      </c>
      <c r="N9">
        <f>(1+'Rescale to Fit GDP Proj'!M126)/(1+'Rescale to Fit GDP Proj'!$D$126)-1</f>
        <v>0.24620836665800461</v>
      </c>
      <c r="O9">
        <f>(1+'Rescale to Fit GDP Proj'!N126)/(1+'Rescale to Fit GDP Proj'!$D$126)-1</f>
        <v>0.28140821710611941</v>
      </c>
      <c r="P9">
        <f>(1+'Rescale to Fit GDP Proj'!O126)/(1+'Rescale to Fit GDP Proj'!$D$126)-1</f>
        <v>0.31086668578241561</v>
      </c>
      <c r="Q9">
        <f>(1+'Rescale to Fit GDP Proj'!P126)/(1+'Rescale to Fit GDP Proj'!$D$126)-1</f>
        <v>0.3402341198886818</v>
      </c>
      <c r="R9">
        <f>(1+'Rescale to Fit GDP Proj'!Q126)/(1+'Rescale to Fit GDP Proj'!$D$126)-1</f>
        <v>0.3698447593883285</v>
      </c>
      <c r="S9">
        <f>(1+'Rescale to Fit GDP Proj'!R126)/(1+'Rescale to Fit GDP Proj'!$D$126)-1</f>
        <v>0.39901424921723461</v>
      </c>
      <c r="T9">
        <f>(1+'Rescale to Fit GDP Proj'!S126)/(1+'Rescale to Fit GDP Proj'!$D$126)-1</f>
        <v>0.42841275882737206</v>
      </c>
      <c r="U9">
        <f>(1+'Rescale to Fit GDP Proj'!T126)/(1+'Rescale to Fit GDP Proj'!$D$126)-1</f>
        <v>0.45704019039490662</v>
      </c>
      <c r="V9">
        <f>(1+'Rescale to Fit GDP Proj'!U126)/(1+'Rescale to Fit GDP Proj'!$D$126)-1</f>
        <v>0.48651193897259404</v>
      </c>
      <c r="W9">
        <f>(1+'Rescale to Fit GDP Proj'!V126)/(1+'Rescale to Fit GDP Proj'!$D$126)-1</f>
        <v>0.51724857210146435</v>
      </c>
      <c r="X9">
        <f>(1+'Rescale to Fit GDP Proj'!W126)/(1+'Rescale to Fit GDP Proj'!$D$126)-1</f>
        <v>0.54819871853576529</v>
      </c>
      <c r="Y9">
        <f>(1+'Rescale to Fit GDP Proj'!X126)/(1+'Rescale to Fit GDP Proj'!$D$126)-1</f>
        <v>0.57878848995011078</v>
      </c>
      <c r="Z9">
        <f>(1+'Rescale to Fit GDP Proj'!Y126)/(1+'Rescale to Fit GDP Proj'!$D$126)-1</f>
        <v>0.60846076094866697</v>
      </c>
      <c r="AA9">
        <f>(1+'Rescale to Fit GDP Proj'!Z126)/(1+'Rescale to Fit GDP Proj'!$D$126)-1</f>
        <v>0.63691934707732889</v>
      </c>
      <c r="AB9">
        <f>(1+'Rescale to Fit GDP Proj'!AA126)/(1+'Rescale to Fit GDP Proj'!$D$126)-1</f>
        <v>0.66556896717471359</v>
      </c>
      <c r="AC9">
        <f>(1+'Rescale to Fit GDP Proj'!AB126)/(1+'Rescale to Fit GDP Proj'!$D$126)-1</f>
        <v>0.69328317309955922</v>
      </c>
      <c r="AD9">
        <f>(1+'Rescale to Fit GDP Proj'!AC126)/(1+'Rescale to Fit GDP Proj'!$D$126)-1</f>
        <v>0.72208405634836548</v>
      </c>
    </row>
    <row r="10" spans="1:30" x14ac:dyDescent="0.25">
      <c r="A10" t="s">
        <v>96</v>
      </c>
      <c r="B10" t="s">
        <v>1270</v>
      </c>
      <c r="C10">
        <v>41732678752.489464</v>
      </c>
      <c r="D10">
        <f>(1+'Rescale to Fit GDP Proj'!C127)/(1+'Rescale to Fit GDP Proj'!$D$127)-1</f>
        <v>-6.647676758580523E-2</v>
      </c>
      <c r="E10">
        <f>(1+'Rescale to Fit GDP Proj'!D127)/(1+'Rescale to Fit GDP Proj'!$D$127)-1</f>
        <v>0</v>
      </c>
      <c r="F10">
        <f>(1+'Rescale to Fit GDP Proj'!E127)/(1+'Rescale to Fit GDP Proj'!$D$127)-1</f>
        <v>9.1485608285695852E-2</v>
      </c>
      <c r="G10">
        <f>(1+'Rescale to Fit GDP Proj'!F127)/(1+'Rescale to Fit GDP Proj'!$D$127)-1</f>
        <v>8.373672546315114E-2</v>
      </c>
      <c r="H10">
        <f>(1+'Rescale to Fit GDP Proj'!G127)/(1+'Rescale to Fit GDP Proj'!$D$127)-1</f>
        <v>8.9756742893838171E-2</v>
      </c>
      <c r="I10">
        <f>(1+'Rescale to Fit GDP Proj'!H127)/(1+'Rescale to Fit GDP Proj'!$D$127)-1</f>
        <v>9.6242070961838122E-2</v>
      </c>
      <c r="J10">
        <f>(1+'Rescale to Fit GDP Proj'!I127)/(1+'Rescale to Fit GDP Proj'!$D$127)-1</f>
        <v>0.11989154713851291</v>
      </c>
      <c r="K10">
        <f>(1+'Rescale to Fit GDP Proj'!J127)/(1+'Rescale to Fit GDP Proj'!$D$127)-1</f>
        <v>0.13793223955567435</v>
      </c>
      <c r="L10">
        <f>(1+'Rescale to Fit GDP Proj'!K127)/(1+'Rescale to Fit GDP Proj'!$D$127)-1</f>
        <v>0.15481814412480466</v>
      </c>
      <c r="M10">
        <f>(1+'Rescale to Fit GDP Proj'!L127)/(1+'Rescale to Fit GDP Proj'!$D$127)-1</f>
        <v>0.167368694261534</v>
      </c>
      <c r="N10">
        <f>(1+'Rescale to Fit GDP Proj'!M127)/(1+'Rescale to Fit GDP Proj'!$D$127)-1</f>
        <v>0.18293696710998031</v>
      </c>
      <c r="O10">
        <f>(1+'Rescale to Fit GDP Proj'!N127)/(1+'Rescale to Fit GDP Proj'!$D$127)-1</f>
        <v>0.18723768533846297</v>
      </c>
      <c r="P10">
        <f>(1+'Rescale to Fit GDP Proj'!O127)/(1+'Rescale to Fit GDP Proj'!$D$127)-1</f>
        <v>0.19241702946010153</v>
      </c>
      <c r="Q10">
        <f>(1+'Rescale to Fit GDP Proj'!P127)/(1+'Rescale to Fit GDP Proj'!$D$127)-1</f>
        <v>0.19901829939282112</v>
      </c>
      <c r="R10">
        <f>(1+'Rescale to Fit GDP Proj'!Q127)/(1+'Rescale to Fit GDP Proj'!$D$127)-1</f>
        <v>0.2050990265500261</v>
      </c>
      <c r="S10">
        <f>(1+'Rescale to Fit GDP Proj'!R127)/(1+'Rescale to Fit GDP Proj'!$D$127)-1</f>
        <v>0.2129207307116463</v>
      </c>
      <c r="T10">
        <f>(1+'Rescale to Fit GDP Proj'!S127)/(1+'Rescale to Fit GDP Proj'!$D$127)-1</f>
        <v>0.22724195613849352</v>
      </c>
      <c r="U10">
        <f>(1+'Rescale to Fit GDP Proj'!T127)/(1+'Rescale to Fit GDP Proj'!$D$127)-1</f>
        <v>0.24459355429585039</v>
      </c>
      <c r="V10">
        <f>(1+'Rescale to Fit GDP Proj'!U127)/(1+'Rescale to Fit GDP Proj'!$D$127)-1</f>
        <v>0.25438788664027578</v>
      </c>
      <c r="W10">
        <f>(1+'Rescale to Fit GDP Proj'!V127)/(1+'Rescale to Fit GDP Proj'!$D$127)-1</f>
        <v>0.26518195468411387</v>
      </c>
      <c r="X10">
        <f>(1+'Rescale to Fit GDP Proj'!W127)/(1+'Rescale to Fit GDP Proj'!$D$127)-1</f>
        <v>0.27160294826249332</v>
      </c>
      <c r="Y10">
        <f>(1+'Rescale to Fit GDP Proj'!X127)/(1+'Rescale to Fit GDP Proj'!$D$127)-1</f>
        <v>0.27622071193150588</v>
      </c>
      <c r="Z10">
        <f>(1+'Rescale to Fit GDP Proj'!Y127)/(1+'Rescale to Fit GDP Proj'!$D$127)-1</f>
        <v>0.28098357734470514</v>
      </c>
      <c r="AA10">
        <f>(1+'Rescale to Fit GDP Proj'!Z127)/(1+'Rescale to Fit GDP Proj'!$D$127)-1</f>
        <v>0.28805270207377798</v>
      </c>
      <c r="AB10">
        <f>(1+'Rescale to Fit GDP Proj'!AA127)/(1+'Rescale to Fit GDP Proj'!$D$127)-1</f>
        <v>0.29084432702728469</v>
      </c>
      <c r="AC10">
        <f>(1+'Rescale to Fit GDP Proj'!AB127)/(1+'Rescale to Fit GDP Proj'!$D$127)-1</f>
        <v>0.29086500005729721</v>
      </c>
      <c r="AD10">
        <f>(1+'Rescale to Fit GDP Proj'!AC127)/(1+'Rescale to Fit GDP Proj'!$D$127)-1</f>
        <v>0.28849301726482635</v>
      </c>
    </row>
    <row r="11" spans="1:30" x14ac:dyDescent="0.25">
      <c r="A11" t="s">
        <v>99</v>
      </c>
      <c r="B11" t="s">
        <v>99</v>
      </c>
      <c r="C11">
        <v>80551132386.60321</v>
      </c>
      <c r="D11">
        <f>(1+'Rescale to Fit GDP Proj'!C128)/(1+'Rescale to Fit GDP Proj'!$D$128)-1</f>
        <v>4.5962501038956383E-3</v>
      </c>
      <c r="E11">
        <f>(1+'Rescale to Fit GDP Proj'!D128)/(1+'Rescale to Fit GDP Proj'!$D$128)-1</f>
        <v>0</v>
      </c>
      <c r="F11">
        <f>(1+'Rescale to Fit GDP Proj'!E128)/(1+'Rescale to Fit GDP Proj'!$D$128)-1</f>
        <v>-7.3881650292998424E-3</v>
      </c>
      <c r="G11">
        <f>(1+'Rescale to Fit GDP Proj'!F128)/(1+'Rescale to Fit GDP Proj'!$D$128)-1</f>
        <v>-1.2165773642319189E-2</v>
      </c>
      <c r="H11">
        <f>(1+'Rescale to Fit GDP Proj'!G128)/(1+'Rescale to Fit GDP Proj'!$D$128)-1</f>
        <v>-1.5389273657706481E-2</v>
      </c>
      <c r="I11">
        <f>(1+'Rescale to Fit GDP Proj'!H128)/(1+'Rescale to Fit GDP Proj'!$D$128)-1</f>
        <v>-1.9204276957744182E-2</v>
      </c>
      <c r="J11">
        <f>(1+'Rescale to Fit GDP Proj'!I128)/(1+'Rescale to Fit GDP Proj'!$D$128)-1</f>
        <v>-2.34847221369332E-2</v>
      </c>
      <c r="K11">
        <f>(1+'Rescale to Fit GDP Proj'!J128)/(1+'Rescale to Fit GDP Proj'!$D$128)-1</f>
        <v>-2.7598039522504725E-2</v>
      </c>
      <c r="L11">
        <f>(1+'Rescale to Fit GDP Proj'!K128)/(1+'Rescale to Fit GDP Proj'!$D$128)-1</f>
        <v>-3.2180059149072293E-2</v>
      </c>
      <c r="M11">
        <f>(1+'Rescale to Fit GDP Proj'!L128)/(1+'Rescale to Fit GDP Proj'!$D$128)-1</f>
        <v>-3.7032658636999449E-2</v>
      </c>
      <c r="N11">
        <f>(1+'Rescale to Fit GDP Proj'!M128)/(1+'Rescale to Fit GDP Proj'!$D$128)-1</f>
        <v>-4.2073942737476111E-2</v>
      </c>
      <c r="O11">
        <f>(1+'Rescale to Fit GDP Proj'!N128)/(1+'Rescale to Fit GDP Proj'!$D$128)-1</f>
        <v>-4.7277241932879965E-2</v>
      </c>
      <c r="P11">
        <f>(1+'Rescale to Fit GDP Proj'!O128)/(1+'Rescale to Fit GDP Proj'!$D$128)-1</f>
        <v>-5.1489217649405172E-2</v>
      </c>
      <c r="Q11">
        <f>(1+'Rescale to Fit GDP Proj'!P128)/(1+'Rescale to Fit GDP Proj'!$D$128)-1</f>
        <v>-5.5575669677652706E-2</v>
      </c>
      <c r="R11">
        <f>(1+'Rescale to Fit GDP Proj'!Q128)/(1+'Rescale to Fit GDP Proj'!$D$128)-1</f>
        <v>-5.9588316533222163E-2</v>
      </c>
      <c r="S11">
        <f>(1+'Rescale to Fit GDP Proj'!R128)/(1+'Rescale to Fit GDP Proj'!$D$128)-1</f>
        <v>-6.3439304426314846E-2</v>
      </c>
      <c r="T11">
        <f>(1+'Rescale to Fit GDP Proj'!S128)/(1+'Rescale to Fit GDP Proj'!$D$128)-1</f>
        <v>-6.7224041900287856E-2</v>
      </c>
      <c r="U11">
        <f>(1+'Rescale to Fit GDP Proj'!T128)/(1+'Rescale to Fit GDP Proj'!$D$128)-1</f>
        <v>-7.0819073106903052E-2</v>
      </c>
      <c r="V11">
        <f>(1+'Rescale to Fit GDP Proj'!U128)/(1+'Rescale to Fit GDP Proj'!$D$128)-1</f>
        <v>-7.4433432340238914E-2</v>
      </c>
      <c r="W11">
        <f>(1+'Rescale to Fit GDP Proj'!V128)/(1+'Rescale to Fit GDP Proj'!$D$128)-1</f>
        <v>-7.8113808486966474E-2</v>
      </c>
      <c r="X11">
        <f>(1+'Rescale to Fit GDP Proj'!W128)/(1+'Rescale to Fit GDP Proj'!$D$128)-1</f>
        <v>-8.1730237435511222E-2</v>
      </c>
      <c r="Y11">
        <f>(1+'Rescale to Fit GDP Proj'!X128)/(1+'Rescale to Fit GDP Proj'!$D$128)-1</f>
        <v>-8.5219361950299111E-2</v>
      </c>
      <c r="Z11">
        <f>(1+'Rescale to Fit GDP Proj'!Y128)/(1+'Rescale to Fit GDP Proj'!$D$128)-1</f>
        <v>-8.8525648234568988E-2</v>
      </c>
      <c r="AA11">
        <f>(1+'Rescale to Fit GDP Proj'!Z128)/(1+'Rescale to Fit GDP Proj'!$D$128)-1</f>
        <v>-9.1626949511774969E-2</v>
      </c>
      <c r="AB11">
        <f>(1+'Rescale to Fit GDP Proj'!AA128)/(1+'Rescale to Fit GDP Proj'!$D$128)-1</f>
        <v>-9.4684351074521556E-2</v>
      </c>
      <c r="AC11">
        <f>(1+'Rescale to Fit GDP Proj'!AB128)/(1+'Rescale to Fit GDP Proj'!$D$128)-1</f>
        <v>-9.7581271080166454E-2</v>
      </c>
      <c r="AD11">
        <f>(1+'Rescale to Fit GDP Proj'!AC128)/(1+'Rescale to Fit GDP Proj'!$D$128)-1</f>
        <v>-0.10053303058615681</v>
      </c>
    </row>
    <row r="12" spans="1:30" x14ac:dyDescent="0.25">
      <c r="A12" t="s">
        <v>182</v>
      </c>
      <c r="B12" t="s">
        <v>182</v>
      </c>
      <c r="C12">
        <v>864061015129.02612</v>
      </c>
      <c r="D12">
        <f>(1+'Rescale to Fit GDP Proj'!C129)/(1+'Rescale to Fit GDP Proj'!$D$129)-1</f>
        <v>6.126679706272764E-2</v>
      </c>
      <c r="E12">
        <f>(1+'Rescale to Fit GDP Proj'!D129)/(1+'Rescale to Fit GDP Proj'!$D$129)-1</f>
        <v>0</v>
      </c>
      <c r="F12">
        <f>(1+'Rescale to Fit GDP Proj'!E129)/(1+'Rescale to Fit GDP Proj'!$D$129)-1</f>
        <v>2.3084925389895705E-3</v>
      </c>
      <c r="G12">
        <f>(1+'Rescale to Fit GDP Proj'!F129)/(1+'Rescale to Fit GDP Proj'!$D$129)-1</f>
        <v>1.0995353603676428E-2</v>
      </c>
      <c r="H12">
        <f>(1+'Rescale to Fit GDP Proj'!G129)/(1+'Rescale to Fit GDP Proj'!$D$129)-1</f>
        <v>1.9989072622382142E-2</v>
      </c>
      <c r="I12">
        <f>(1+'Rescale to Fit GDP Proj'!H129)/(1+'Rescale to Fit GDP Proj'!$D$129)-1</f>
        <v>2.6356987879609495E-2</v>
      </c>
      <c r="J12">
        <f>(1+'Rescale to Fit GDP Proj'!I129)/(1+'Rescale to Fit GDP Proj'!$D$129)-1</f>
        <v>3.487520214531159E-2</v>
      </c>
      <c r="K12">
        <f>(1+'Rescale to Fit GDP Proj'!J129)/(1+'Rescale to Fit GDP Proj'!$D$129)-1</f>
        <v>4.403840841019302E-2</v>
      </c>
      <c r="L12">
        <f>(1+'Rescale to Fit GDP Proj'!K129)/(1+'Rescale to Fit GDP Proj'!$D$129)-1</f>
        <v>5.2977872872682408E-2</v>
      </c>
      <c r="M12">
        <f>(1+'Rescale to Fit GDP Proj'!L129)/(1+'Rescale to Fit GDP Proj'!$D$129)-1</f>
        <v>6.206563055198755E-2</v>
      </c>
      <c r="N12">
        <f>(1+'Rescale to Fit GDP Proj'!M129)/(1+'Rescale to Fit GDP Proj'!$D$129)-1</f>
        <v>7.142498044839507E-2</v>
      </c>
      <c r="O12">
        <f>(1+'Rescale to Fit GDP Proj'!N129)/(1+'Rescale to Fit GDP Proj'!$D$129)-1</f>
        <v>8.0360393580912959E-2</v>
      </c>
      <c r="P12">
        <f>(1+'Rescale to Fit GDP Proj'!O129)/(1+'Rescale to Fit GDP Proj'!$D$129)-1</f>
        <v>9.0247050839689313E-2</v>
      </c>
      <c r="Q12">
        <f>(1+'Rescale to Fit GDP Proj'!P129)/(1+'Rescale to Fit GDP Proj'!$D$129)-1</f>
        <v>9.9967513246331796E-2</v>
      </c>
      <c r="R12">
        <f>(1+'Rescale to Fit GDP Proj'!Q129)/(1+'Rescale to Fit GDP Proj'!$D$129)-1</f>
        <v>0.10991074372624787</v>
      </c>
      <c r="S12">
        <f>(1+'Rescale to Fit GDP Proj'!R129)/(1+'Rescale to Fit GDP Proj'!$D$129)-1</f>
        <v>0.11980303076955034</v>
      </c>
      <c r="T12">
        <f>(1+'Rescale to Fit GDP Proj'!S129)/(1+'Rescale to Fit GDP Proj'!$D$129)-1</f>
        <v>0.12901002179962484</v>
      </c>
      <c r="U12">
        <f>(1+'Rescale to Fit GDP Proj'!T129)/(1+'Rescale to Fit GDP Proj'!$D$129)-1</f>
        <v>0.13821358164621311</v>
      </c>
      <c r="V12">
        <f>(1+'Rescale to Fit GDP Proj'!U129)/(1+'Rescale to Fit GDP Proj'!$D$129)-1</f>
        <v>0.14739568089958754</v>
      </c>
      <c r="W12">
        <f>(1+'Rescale to Fit GDP Proj'!V129)/(1+'Rescale to Fit GDP Proj'!$D$129)-1</f>
        <v>0.15613587346053448</v>
      </c>
      <c r="X12">
        <f>(1+'Rescale to Fit GDP Proj'!W129)/(1+'Rescale to Fit GDP Proj'!$D$129)-1</f>
        <v>0.16491210170936332</v>
      </c>
      <c r="Y12">
        <f>(1+'Rescale to Fit GDP Proj'!X129)/(1+'Rescale to Fit GDP Proj'!$D$129)-1</f>
        <v>0.17300649486904573</v>
      </c>
      <c r="Z12">
        <f>(1+'Rescale to Fit GDP Proj'!Y129)/(1+'Rescale to Fit GDP Proj'!$D$129)-1</f>
        <v>0.18141160234659481</v>
      </c>
      <c r="AA12">
        <f>(1+'Rescale to Fit GDP Proj'!Z129)/(1+'Rescale to Fit GDP Proj'!$D$129)-1</f>
        <v>0.18964763454028688</v>
      </c>
      <c r="AB12">
        <f>(1+'Rescale to Fit GDP Proj'!AA129)/(1+'Rescale to Fit GDP Proj'!$D$129)-1</f>
        <v>0.19787983240020202</v>
      </c>
      <c r="AC12">
        <f>(1+'Rescale to Fit GDP Proj'!AB129)/(1+'Rescale to Fit GDP Proj'!$D$129)-1</f>
        <v>0.20646942960196268</v>
      </c>
      <c r="AD12">
        <f>(1+'Rescale to Fit GDP Proj'!AC129)/(1+'Rescale to Fit GDP Proj'!$D$129)-1</f>
        <v>0.21437719942510181</v>
      </c>
    </row>
    <row r="13" spans="1:30" x14ac:dyDescent="0.25">
      <c r="A13" t="s">
        <v>209</v>
      </c>
      <c r="B13" t="s">
        <v>209</v>
      </c>
      <c r="C13">
        <v>44592296622.693802</v>
      </c>
      <c r="D13">
        <f>(1+'Rescale to Fit GDP Proj'!C130)/(1+'Rescale to Fit GDP Proj'!$D$130)-1</f>
        <v>0.12773929013810315</v>
      </c>
      <c r="E13">
        <f>(1+'Rescale to Fit GDP Proj'!D130)/(1+'Rescale to Fit GDP Proj'!$D$130)-1</f>
        <v>0</v>
      </c>
      <c r="F13">
        <f>(1+'Rescale to Fit GDP Proj'!E130)/(1+'Rescale to Fit GDP Proj'!$D$130)-1</f>
        <v>1.2654387821285473E-2</v>
      </c>
      <c r="G13">
        <f>(1+'Rescale to Fit GDP Proj'!F130)/(1+'Rescale to Fit GDP Proj'!$D$130)-1</f>
        <v>2.656392830224541E-2</v>
      </c>
      <c r="H13">
        <f>(1+'Rescale to Fit GDP Proj'!G130)/(1+'Rescale to Fit GDP Proj'!$D$130)-1</f>
        <v>-3.1846538151567572E-3</v>
      </c>
      <c r="I13">
        <f>(1+'Rescale to Fit GDP Proj'!H130)/(1+'Rescale to Fit GDP Proj'!$D$130)-1</f>
        <v>-4.0904008192040209E-2</v>
      </c>
      <c r="J13">
        <f>(1+'Rescale to Fit GDP Proj'!I130)/(1+'Rescale to Fit GDP Proj'!$D$130)-1</f>
        <v>-5.7900733457865949E-2</v>
      </c>
      <c r="K13">
        <f>(1+'Rescale to Fit GDP Proj'!J130)/(1+'Rescale to Fit GDP Proj'!$D$130)-1</f>
        <v>-6.3132765890207887E-2</v>
      </c>
      <c r="L13">
        <f>(1+'Rescale to Fit GDP Proj'!K130)/(1+'Rescale to Fit GDP Proj'!$D$130)-1</f>
        <v>-6.5806679938972934E-2</v>
      </c>
      <c r="M13">
        <f>(1+'Rescale to Fit GDP Proj'!L130)/(1+'Rescale to Fit GDP Proj'!$D$130)-1</f>
        <v>-6.3367428723638874E-2</v>
      </c>
      <c r="N13">
        <f>(1+'Rescale to Fit GDP Proj'!M130)/(1+'Rescale to Fit GDP Proj'!$D$130)-1</f>
        <v>-5.6641366013443606E-2</v>
      </c>
      <c r="O13">
        <f>(1+'Rescale to Fit GDP Proj'!N130)/(1+'Rescale to Fit GDP Proj'!$D$130)-1</f>
        <v>-5.2575873377628035E-2</v>
      </c>
      <c r="P13">
        <f>(1+'Rescale to Fit GDP Proj'!O130)/(1+'Rescale to Fit GDP Proj'!$D$130)-1</f>
        <v>-5.3057433864993619E-2</v>
      </c>
      <c r="Q13">
        <f>(1+'Rescale to Fit GDP Proj'!P130)/(1+'Rescale to Fit GDP Proj'!$D$130)-1</f>
        <v>-5.1832177168391835E-2</v>
      </c>
      <c r="R13">
        <f>(1+'Rescale to Fit GDP Proj'!Q130)/(1+'Rescale to Fit GDP Proj'!$D$130)-1</f>
        <v>-4.994804893859961E-2</v>
      </c>
      <c r="S13">
        <f>(1+'Rescale to Fit GDP Proj'!R130)/(1+'Rescale to Fit GDP Proj'!$D$130)-1</f>
        <v>-4.9046238577635015E-2</v>
      </c>
      <c r="T13">
        <f>(1+'Rescale to Fit GDP Proj'!S130)/(1+'Rescale to Fit GDP Proj'!$D$130)-1</f>
        <v>-4.5359991249629528E-2</v>
      </c>
      <c r="U13">
        <f>(1+'Rescale to Fit GDP Proj'!T130)/(1+'Rescale to Fit GDP Proj'!$D$130)-1</f>
        <v>-4.1915044614435515E-2</v>
      </c>
      <c r="V13">
        <f>(1+'Rescale to Fit GDP Proj'!U130)/(1+'Rescale to Fit GDP Proj'!$D$130)-1</f>
        <v>-3.9636620711862247E-2</v>
      </c>
      <c r="W13">
        <f>(1+'Rescale to Fit GDP Proj'!V130)/(1+'Rescale to Fit GDP Proj'!$D$130)-1</f>
        <v>-3.7474811541958086E-2</v>
      </c>
      <c r="X13">
        <f>(1+'Rescale to Fit GDP Proj'!W130)/(1+'Rescale to Fit GDP Proj'!$D$130)-1</f>
        <v>-3.4596949690316348E-2</v>
      </c>
      <c r="Y13">
        <f>(1+'Rescale to Fit GDP Proj'!X130)/(1+'Rescale to Fit GDP Proj'!$D$130)-1</f>
        <v>-3.0983275153946943E-2</v>
      </c>
      <c r="Z13">
        <f>(1+'Rescale to Fit GDP Proj'!Y130)/(1+'Rescale to Fit GDP Proj'!$D$130)-1</f>
        <v>-2.922132449013537E-2</v>
      </c>
      <c r="AA13">
        <f>(1+'Rescale to Fit GDP Proj'!Z130)/(1+'Rescale to Fit GDP Proj'!$D$130)-1</f>
        <v>-3.10220784758799E-2</v>
      </c>
      <c r="AB13">
        <f>(1+'Rescale to Fit GDP Proj'!AA130)/(1+'Rescale to Fit GDP Proj'!$D$130)-1</f>
        <v>-3.5712127130194671E-2</v>
      </c>
      <c r="AC13">
        <f>(1+'Rescale to Fit GDP Proj'!AB130)/(1+'Rescale to Fit GDP Proj'!$D$130)-1</f>
        <v>-3.6963747561355231E-2</v>
      </c>
      <c r="AD13">
        <f>(1+'Rescale to Fit GDP Proj'!AC130)/(1+'Rescale to Fit GDP Proj'!$D$130)-1</f>
        <v>-3.7902996131783939E-2</v>
      </c>
    </row>
    <row r="14" spans="1:30" x14ac:dyDescent="0.25">
      <c r="A14" t="s">
        <v>218</v>
      </c>
      <c r="B14" t="s">
        <v>218</v>
      </c>
      <c r="C14">
        <v>153785480903.70059</v>
      </c>
      <c r="D14">
        <f>(1+'Rescale to Fit GDP Proj'!C131)/(1+'Rescale to Fit GDP Proj'!$D$131)-1</f>
        <v>-0.17113395108248386</v>
      </c>
      <c r="E14">
        <f>(1+'Rescale to Fit GDP Proj'!D131)/(1+'Rescale to Fit GDP Proj'!$D$131)-1</f>
        <v>0</v>
      </c>
      <c r="F14">
        <f>(1+'Rescale to Fit GDP Proj'!E131)/(1+'Rescale to Fit GDP Proj'!$D$131)-1</f>
        <v>-0.16081253587386868</v>
      </c>
      <c r="G14">
        <f>(1+'Rescale to Fit GDP Proj'!F131)/(1+'Rescale to Fit GDP Proj'!$D$131)-1</f>
        <v>-0.21110208820555221</v>
      </c>
      <c r="H14">
        <f>(1+'Rescale to Fit GDP Proj'!G131)/(1+'Rescale to Fit GDP Proj'!$D$131)-1</f>
        <v>-0.17277935856440274</v>
      </c>
      <c r="I14">
        <f>(1+'Rescale to Fit GDP Proj'!H131)/(1+'Rescale to Fit GDP Proj'!$D$131)-1</f>
        <v>-0.10791282557023085</v>
      </c>
      <c r="J14">
        <f>(1+'Rescale to Fit GDP Proj'!I131)/(1+'Rescale to Fit GDP Proj'!$D$131)-1</f>
        <v>-9.8226112414843136E-2</v>
      </c>
      <c r="K14">
        <f>(1+'Rescale to Fit GDP Proj'!J131)/(1+'Rescale to Fit GDP Proj'!$D$131)-1</f>
        <v>-0.12113916396949542</v>
      </c>
      <c r="L14">
        <f>(1+'Rescale to Fit GDP Proj'!K131)/(1+'Rescale to Fit GDP Proj'!$D$131)-1</f>
        <v>-0.12384603282958184</v>
      </c>
      <c r="M14">
        <f>(1+'Rescale to Fit GDP Proj'!L131)/(1+'Rescale to Fit GDP Proj'!$D$131)-1</f>
        <v>-0.10382756123525072</v>
      </c>
      <c r="N14">
        <f>(1+'Rescale to Fit GDP Proj'!M131)/(1+'Rescale to Fit GDP Proj'!$D$131)-1</f>
        <v>-6.8890293853700602E-2</v>
      </c>
      <c r="O14">
        <f>(1+'Rescale to Fit GDP Proj'!N131)/(1+'Rescale to Fit GDP Proj'!$D$131)-1</f>
        <v>-4.1683706745566873E-2</v>
      </c>
      <c r="P14">
        <f>(1+'Rescale to Fit GDP Proj'!O131)/(1+'Rescale to Fit GDP Proj'!$D$131)-1</f>
        <v>-1.3668519918610733E-2</v>
      </c>
      <c r="Q14">
        <f>(1+'Rescale to Fit GDP Proj'!P131)/(1+'Rescale to Fit GDP Proj'!$D$131)-1</f>
        <v>7.1044515831448773E-3</v>
      </c>
      <c r="R14">
        <f>(1+'Rescale to Fit GDP Proj'!Q131)/(1+'Rescale to Fit GDP Proj'!$D$131)-1</f>
        <v>2.9549421428501255E-2</v>
      </c>
      <c r="S14">
        <f>(1+'Rescale to Fit GDP Proj'!R131)/(1+'Rescale to Fit GDP Proj'!$D$131)-1</f>
        <v>4.6038560472327461E-2</v>
      </c>
      <c r="T14">
        <f>(1+'Rescale to Fit GDP Proj'!S131)/(1+'Rescale to Fit GDP Proj'!$D$131)-1</f>
        <v>5.1455507289206004E-2</v>
      </c>
      <c r="U14">
        <f>(1+'Rescale to Fit GDP Proj'!T131)/(1+'Rescale to Fit GDP Proj'!$D$131)-1</f>
        <v>3.2515266919608488E-2</v>
      </c>
      <c r="V14">
        <f>(1+'Rescale to Fit GDP Proj'!U131)/(1+'Rescale to Fit GDP Proj'!$D$131)-1</f>
        <v>2.1551687033930067E-2</v>
      </c>
      <c r="W14">
        <f>(1+'Rescale to Fit GDP Proj'!V131)/(1+'Rescale to Fit GDP Proj'!$D$131)-1</f>
        <v>1.2053485147245357E-3</v>
      </c>
      <c r="X14">
        <f>(1+'Rescale to Fit GDP Proj'!W131)/(1+'Rescale to Fit GDP Proj'!$D$131)-1</f>
        <v>-1.2188267208899206E-2</v>
      </c>
      <c r="Y14">
        <f>(1+'Rescale to Fit GDP Proj'!X131)/(1+'Rescale to Fit GDP Proj'!$D$131)-1</f>
        <v>-5.9435671668744972E-3</v>
      </c>
      <c r="Z14">
        <f>(1+'Rescale to Fit GDP Proj'!Y131)/(1+'Rescale to Fit GDP Proj'!$D$131)-1</f>
        <v>2.4232470401397421E-5</v>
      </c>
      <c r="AA14">
        <f>(1+'Rescale to Fit GDP Proj'!Z131)/(1+'Rescale to Fit GDP Proj'!$D$131)-1</f>
        <v>9.0170479514344315E-3</v>
      </c>
      <c r="AB14">
        <f>(1+'Rescale to Fit GDP Proj'!AA131)/(1+'Rescale to Fit GDP Proj'!$D$131)-1</f>
        <v>1.7165736233576867E-2</v>
      </c>
      <c r="AC14">
        <f>(1+'Rescale to Fit GDP Proj'!AB131)/(1+'Rescale to Fit GDP Proj'!$D$131)-1</f>
        <v>3.1138791849042224E-2</v>
      </c>
      <c r="AD14">
        <f>(1+'Rescale to Fit GDP Proj'!AC131)/(1+'Rescale to Fit GDP Proj'!$D$131)-1</f>
        <v>4.2724810153291548E-2</v>
      </c>
    </row>
    <row r="15" spans="1:30" x14ac:dyDescent="0.25">
      <c r="A15" t="s">
        <v>227</v>
      </c>
      <c r="B15" t="s">
        <v>227</v>
      </c>
      <c r="C15">
        <v>210840272904.8045</v>
      </c>
      <c r="D15">
        <f>(1+'Rescale to Fit GDP Proj'!C132)/(1+'Rescale to Fit GDP Proj'!$D$132)-1</f>
        <v>5.2695474596345271E-2</v>
      </c>
      <c r="E15">
        <f>(1+'Rescale to Fit GDP Proj'!D132)/(1+'Rescale to Fit GDP Proj'!$D$132)-1</f>
        <v>0</v>
      </c>
      <c r="F15">
        <f>(1+'Rescale to Fit GDP Proj'!E132)/(1+'Rescale to Fit GDP Proj'!$D$132)-1</f>
        <v>-9.0657834221724576E-3</v>
      </c>
      <c r="G15">
        <f>(1+'Rescale to Fit GDP Proj'!F132)/(1+'Rescale to Fit GDP Proj'!$D$132)-1</f>
        <v>-7.7988883022116484E-3</v>
      </c>
      <c r="H15">
        <f>(1+'Rescale to Fit GDP Proj'!G132)/(1+'Rescale to Fit GDP Proj'!$D$132)-1</f>
        <v>-1.4935445660420377E-2</v>
      </c>
      <c r="I15">
        <f>(1+'Rescale to Fit GDP Proj'!H132)/(1+'Rescale to Fit GDP Proj'!$D$132)-1</f>
        <v>-2.1217432312968021E-2</v>
      </c>
      <c r="J15">
        <f>(1+'Rescale to Fit GDP Proj'!I132)/(1+'Rescale to Fit GDP Proj'!$D$132)-1</f>
        <v>-2.7350321713763059E-2</v>
      </c>
      <c r="K15">
        <f>(1+'Rescale to Fit GDP Proj'!J132)/(1+'Rescale to Fit GDP Proj'!$D$132)-1</f>
        <v>-2.9678817528389412E-2</v>
      </c>
      <c r="L15">
        <f>(1+'Rescale to Fit GDP Proj'!K132)/(1+'Rescale to Fit GDP Proj'!$D$132)-1</f>
        <v>-3.260892800906412E-2</v>
      </c>
      <c r="M15">
        <f>(1+'Rescale to Fit GDP Proj'!L132)/(1+'Rescale to Fit GDP Proj'!$D$132)-1</f>
        <v>-3.657406040137301E-2</v>
      </c>
      <c r="N15">
        <f>(1+'Rescale to Fit GDP Proj'!M132)/(1+'Rescale to Fit GDP Proj'!$D$132)-1</f>
        <v>-3.986222810758544E-2</v>
      </c>
      <c r="O15">
        <f>(1+'Rescale to Fit GDP Proj'!N132)/(1+'Rescale to Fit GDP Proj'!$D$132)-1</f>
        <v>-4.3166565956551994E-2</v>
      </c>
      <c r="P15">
        <f>(1+'Rescale to Fit GDP Proj'!O132)/(1+'Rescale to Fit GDP Proj'!$D$132)-1</f>
        <v>-4.621834135002556E-2</v>
      </c>
      <c r="Q15">
        <f>(1+'Rescale to Fit GDP Proj'!P132)/(1+'Rescale to Fit GDP Proj'!$D$132)-1</f>
        <v>-4.9206081081401565E-2</v>
      </c>
      <c r="R15">
        <f>(1+'Rescale to Fit GDP Proj'!Q132)/(1+'Rescale to Fit GDP Proj'!$D$132)-1</f>
        <v>-4.8952887942921408E-2</v>
      </c>
      <c r="S15">
        <f>(1+'Rescale to Fit GDP Proj'!R132)/(1+'Rescale to Fit GDP Proj'!$D$132)-1</f>
        <v>-4.5766506780467897E-2</v>
      </c>
      <c r="T15">
        <f>(1+'Rescale to Fit GDP Proj'!S132)/(1+'Rescale to Fit GDP Proj'!$D$132)-1</f>
        <v>-4.0522738132286573E-2</v>
      </c>
      <c r="U15">
        <f>(1+'Rescale to Fit GDP Proj'!T132)/(1+'Rescale to Fit GDP Proj'!$D$132)-1</f>
        <v>-3.6523899764993151E-2</v>
      </c>
      <c r="V15">
        <f>(1+'Rescale to Fit GDP Proj'!U132)/(1+'Rescale to Fit GDP Proj'!$D$132)-1</f>
        <v>-3.1291976576225067E-2</v>
      </c>
      <c r="W15">
        <f>(1+'Rescale to Fit GDP Proj'!V132)/(1+'Rescale to Fit GDP Proj'!$D$132)-1</f>
        <v>-2.5665127288044154E-2</v>
      </c>
      <c r="X15">
        <f>(1+'Rescale to Fit GDP Proj'!W132)/(1+'Rescale to Fit GDP Proj'!$D$132)-1</f>
        <v>-1.9805096005788836E-2</v>
      </c>
      <c r="Y15">
        <f>(1+'Rescale to Fit GDP Proj'!X132)/(1+'Rescale to Fit GDP Proj'!$D$132)-1</f>
        <v>-1.326311621924503E-2</v>
      </c>
      <c r="Z15">
        <f>(1+'Rescale to Fit GDP Proj'!Y132)/(1+'Rescale to Fit GDP Proj'!$D$132)-1</f>
        <v>-7.5379894505419598E-3</v>
      </c>
      <c r="AA15">
        <f>(1+'Rescale to Fit GDP Proj'!Z132)/(1+'Rescale to Fit GDP Proj'!$D$132)-1</f>
        <v>-6.0005455550105058E-4</v>
      </c>
      <c r="AB15">
        <f>(1+'Rescale to Fit GDP Proj'!AA132)/(1+'Rescale to Fit GDP Proj'!$D$132)-1</f>
        <v>6.2948990568643115E-3</v>
      </c>
      <c r="AC15">
        <f>(1+'Rescale to Fit GDP Proj'!AB132)/(1+'Rescale to Fit GDP Proj'!$D$132)-1</f>
        <v>1.4218169424894622E-2</v>
      </c>
      <c r="AD15">
        <f>(1+'Rescale to Fit GDP Proj'!AC132)/(1+'Rescale to Fit GDP Proj'!$D$132)-1</f>
        <v>2.0442000467255417E-2</v>
      </c>
    </row>
    <row r="16" spans="1:30" x14ac:dyDescent="0.25">
      <c r="A16" t="s">
        <v>236</v>
      </c>
      <c r="B16" t="s">
        <v>236</v>
      </c>
      <c r="C16">
        <v>458557707738.28271</v>
      </c>
      <c r="D16">
        <f>(1+'Rescale to Fit GDP Proj'!C133)/(1+'Rescale to Fit GDP Proj'!$D$133)-1</f>
        <v>-9.2710385570315967E-4</v>
      </c>
      <c r="E16">
        <f>(1+'Rescale to Fit GDP Proj'!D133)/(1+'Rescale to Fit GDP Proj'!$D$133)-1</f>
        <v>0</v>
      </c>
      <c r="F16">
        <f>(1+'Rescale to Fit GDP Proj'!E133)/(1+'Rescale to Fit GDP Proj'!$D$133)-1</f>
        <v>3.8698790057807297E-3</v>
      </c>
      <c r="G16">
        <f>(1+'Rescale to Fit GDP Proj'!F133)/(1+'Rescale to Fit GDP Proj'!$D$133)-1</f>
        <v>1.9724882425629087E-3</v>
      </c>
      <c r="H16">
        <f>(1+'Rescale to Fit GDP Proj'!G133)/(1+'Rescale to Fit GDP Proj'!$D$133)-1</f>
        <v>-1.4919552674143022E-3</v>
      </c>
      <c r="I16">
        <f>(1+'Rescale to Fit GDP Proj'!H133)/(1+'Rescale to Fit GDP Proj'!$D$133)-1</f>
        <v>-1.0717677893703481E-2</v>
      </c>
      <c r="J16">
        <f>(1+'Rescale to Fit GDP Proj'!I133)/(1+'Rescale to Fit GDP Proj'!$D$133)-1</f>
        <v>-1.6176200526605067E-2</v>
      </c>
      <c r="K16">
        <f>(1+'Rescale to Fit GDP Proj'!J133)/(1+'Rescale to Fit GDP Proj'!$D$133)-1</f>
        <v>-2.2685781882262224E-2</v>
      </c>
      <c r="L16">
        <f>(1+'Rescale to Fit GDP Proj'!K133)/(1+'Rescale to Fit GDP Proj'!$D$133)-1</f>
        <v>-2.5230686026642024E-2</v>
      </c>
      <c r="M16">
        <f>(1+'Rescale to Fit GDP Proj'!L133)/(1+'Rescale to Fit GDP Proj'!$D$133)-1</f>
        <v>-2.7226579129528306E-2</v>
      </c>
      <c r="N16">
        <f>(1+'Rescale to Fit GDP Proj'!M133)/(1+'Rescale to Fit GDP Proj'!$D$133)-1</f>
        <v>-2.6506803500335407E-2</v>
      </c>
      <c r="O16">
        <f>(1+'Rescale to Fit GDP Proj'!N133)/(1+'Rescale to Fit GDP Proj'!$D$133)-1</f>
        <v>-2.507639186056343E-2</v>
      </c>
      <c r="P16">
        <f>(1+'Rescale to Fit GDP Proj'!O133)/(1+'Rescale to Fit GDP Proj'!$D$133)-1</f>
        <v>-2.8554152952967593E-2</v>
      </c>
      <c r="Q16">
        <f>(1+'Rescale to Fit GDP Proj'!P133)/(1+'Rescale to Fit GDP Proj'!$D$133)-1</f>
        <v>-3.6213689153176465E-2</v>
      </c>
      <c r="R16">
        <f>(1+'Rescale to Fit GDP Proj'!Q133)/(1+'Rescale to Fit GDP Proj'!$D$133)-1</f>
        <v>-4.3602620857874141E-2</v>
      </c>
      <c r="S16">
        <f>(1+'Rescale to Fit GDP Proj'!R133)/(1+'Rescale to Fit GDP Proj'!$D$133)-1</f>
        <v>-4.7418440678604012E-2</v>
      </c>
      <c r="T16">
        <f>(1+'Rescale to Fit GDP Proj'!S133)/(1+'Rescale to Fit GDP Proj'!$D$133)-1</f>
        <v>-4.8848063463033053E-2</v>
      </c>
      <c r="U16">
        <f>(1+'Rescale to Fit GDP Proj'!T133)/(1+'Rescale to Fit GDP Proj'!$D$133)-1</f>
        <v>-4.7439007725434967E-2</v>
      </c>
      <c r="V16">
        <f>(1+'Rescale to Fit GDP Proj'!U133)/(1+'Rescale to Fit GDP Proj'!$D$133)-1</f>
        <v>-4.9100228626288045E-2</v>
      </c>
      <c r="W16">
        <f>(1+'Rescale to Fit GDP Proj'!V133)/(1+'Rescale to Fit GDP Proj'!$D$133)-1</f>
        <v>-5.4060724028889617E-2</v>
      </c>
      <c r="X16">
        <f>(1+'Rescale to Fit GDP Proj'!W133)/(1+'Rescale to Fit GDP Proj'!$D$133)-1</f>
        <v>-5.9500177278131616E-2</v>
      </c>
      <c r="Y16">
        <f>(1+'Rescale to Fit GDP Proj'!X133)/(1+'Rescale to Fit GDP Proj'!$D$133)-1</f>
        <v>-6.4385496444962276E-2</v>
      </c>
      <c r="Z16">
        <f>(1+'Rescale to Fit GDP Proj'!Y133)/(1+'Rescale to Fit GDP Proj'!$D$133)-1</f>
        <v>-6.3737429186644379E-2</v>
      </c>
      <c r="AA16">
        <f>(1+'Rescale to Fit GDP Proj'!Z133)/(1+'Rescale to Fit GDP Proj'!$D$133)-1</f>
        <v>-6.205233217800421E-2</v>
      </c>
      <c r="AB16">
        <f>(1+'Rescale to Fit GDP Proj'!AA133)/(1+'Rescale to Fit GDP Proj'!$D$133)-1</f>
        <v>-6.5486042606828776E-2</v>
      </c>
      <c r="AC16">
        <f>(1+'Rescale to Fit GDP Proj'!AB133)/(1+'Rescale to Fit GDP Proj'!$D$133)-1</f>
        <v>-6.7601633856529175E-2</v>
      </c>
      <c r="AD16">
        <f>(1+'Rescale to Fit GDP Proj'!AC133)/(1+'Rescale to Fit GDP Proj'!$D$133)-1</f>
        <v>-6.8020859473312045E-2</v>
      </c>
    </row>
    <row r="17" spans="1:30" x14ac:dyDescent="0.25">
      <c r="A17" t="s">
        <v>241</v>
      </c>
      <c r="B17" t="s">
        <v>241</v>
      </c>
      <c r="C17">
        <v>519597061113.8208</v>
      </c>
      <c r="D17">
        <f>(1+'Rescale to Fit GDP Proj'!C134)/(1+'Rescale to Fit GDP Proj'!$D$134)-1</f>
        <v>-6.6883514247917608E-2</v>
      </c>
      <c r="E17">
        <f>(1+'Rescale to Fit GDP Proj'!D134)/(1+'Rescale to Fit GDP Proj'!$D$134)-1</f>
        <v>0</v>
      </c>
      <c r="F17">
        <f>(1+'Rescale to Fit GDP Proj'!E134)/(1+'Rescale to Fit GDP Proj'!$D$134)-1</f>
        <v>-1.3322752034657603E-2</v>
      </c>
      <c r="G17">
        <f>(1+'Rescale to Fit GDP Proj'!F134)/(1+'Rescale to Fit GDP Proj'!$D$134)-1</f>
        <v>-2.4823846072699607E-2</v>
      </c>
      <c r="H17">
        <f>(1+'Rescale to Fit GDP Proj'!G134)/(1+'Rescale to Fit GDP Proj'!$D$134)-1</f>
        <v>-2.8708445139642658E-2</v>
      </c>
      <c r="I17">
        <f>(1+'Rescale to Fit GDP Proj'!H134)/(1+'Rescale to Fit GDP Proj'!$D$134)-1</f>
        <v>-3.6924408234113582E-2</v>
      </c>
      <c r="J17">
        <f>(1+'Rescale to Fit GDP Proj'!I134)/(1+'Rescale to Fit GDP Proj'!$D$134)-1</f>
        <v>-3.7268149965790087E-2</v>
      </c>
      <c r="K17">
        <f>(1+'Rescale to Fit GDP Proj'!J134)/(1+'Rescale to Fit GDP Proj'!$D$134)-1</f>
        <v>-3.2829674476822168E-2</v>
      </c>
      <c r="L17">
        <f>(1+'Rescale to Fit GDP Proj'!K134)/(1+'Rescale to Fit GDP Proj'!$D$134)-1</f>
        <v>-2.7151110253003985E-2</v>
      </c>
      <c r="M17">
        <f>(1+'Rescale to Fit GDP Proj'!L134)/(1+'Rescale to Fit GDP Proj'!$D$134)-1</f>
        <v>-1.6487948020957433E-2</v>
      </c>
      <c r="N17">
        <f>(1+'Rescale to Fit GDP Proj'!M134)/(1+'Rescale to Fit GDP Proj'!$D$134)-1</f>
        <v>-5.7209151263178937E-3</v>
      </c>
      <c r="O17">
        <f>(1+'Rescale to Fit GDP Proj'!N134)/(1+'Rescale to Fit GDP Proj'!$D$134)-1</f>
        <v>5.8600893682325683E-3</v>
      </c>
      <c r="P17">
        <f>(1+'Rescale to Fit GDP Proj'!O134)/(1+'Rescale to Fit GDP Proj'!$D$134)-1</f>
        <v>1.7901387744241326E-2</v>
      </c>
      <c r="Q17">
        <f>(1+'Rescale to Fit GDP Proj'!P134)/(1+'Rescale to Fit GDP Proj'!$D$134)-1</f>
        <v>3.1184608267487368E-2</v>
      </c>
      <c r="R17">
        <f>(1+'Rescale to Fit GDP Proj'!Q134)/(1+'Rescale to Fit GDP Proj'!$D$134)-1</f>
        <v>4.4594882652775558E-2</v>
      </c>
      <c r="S17">
        <f>(1+'Rescale to Fit GDP Proj'!R134)/(1+'Rescale to Fit GDP Proj'!$D$134)-1</f>
        <v>6.0270197187774377E-2</v>
      </c>
      <c r="T17">
        <f>(1+'Rescale to Fit GDP Proj'!S134)/(1+'Rescale to Fit GDP Proj'!$D$134)-1</f>
        <v>7.6967785755187368E-2</v>
      </c>
      <c r="U17">
        <f>(1+'Rescale to Fit GDP Proj'!T134)/(1+'Rescale to Fit GDP Proj'!$D$134)-1</f>
        <v>9.5663344707379139E-2</v>
      </c>
      <c r="V17">
        <f>(1+'Rescale to Fit GDP Proj'!U134)/(1+'Rescale to Fit GDP Proj'!$D$134)-1</f>
        <v>0.11724046451511727</v>
      </c>
      <c r="W17">
        <f>(1+'Rescale to Fit GDP Proj'!V134)/(1+'Rescale to Fit GDP Proj'!$D$134)-1</f>
        <v>0.13804124385854477</v>
      </c>
      <c r="X17">
        <f>(1+'Rescale to Fit GDP Proj'!W134)/(1+'Rescale to Fit GDP Proj'!$D$134)-1</f>
        <v>0.15960102937561893</v>
      </c>
      <c r="Y17">
        <f>(1+'Rescale to Fit GDP Proj'!X134)/(1+'Rescale to Fit GDP Proj'!$D$134)-1</f>
        <v>0.18317872652353229</v>
      </c>
      <c r="Z17">
        <f>(1+'Rescale to Fit GDP Proj'!Y134)/(1+'Rescale to Fit GDP Proj'!$D$134)-1</f>
        <v>0.20872606390940729</v>
      </c>
      <c r="AA17">
        <f>(1+'Rescale to Fit GDP Proj'!Z134)/(1+'Rescale to Fit GDP Proj'!$D$134)-1</f>
        <v>0.2354290722424166</v>
      </c>
      <c r="AB17">
        <f>(1+'Rescale to Fit GDP Proj'!AA134)/(1+'Rescale to Fit GDP Proj'!$D$134)-1</f>
        <v>0.25965035024699712</v>
      </c>
      <c r="AC17">
        <f>(1+'Rescale to Fit GDP Proj'!AB134)/(1+'Rescale to Fit GDP Proj'!$D$134)-1</f>
        <v>0.28288930829287606</v>
      </c>
      <c r="AD17">
        <f>(1+'Rescale to Fit GDP Proj'!AC134)/(1+'Rescale to Fit GDP Proj'!$D$134)-1</f>
        <v>0.30882534642286585</v>
      </c>
    </row>
    <row r="18" spans="1:30" x14ac:dyDescent="0.25">
      <c r="A18" t="s">
        <v>246</v>
      </c>
      <c r="B18" t="s">
        <v>246</v>
      </c>
      <c r="C18">
        <v>249373768307.0527</v>
      </c>
      <c r="D18">
        <f>(1+'Rescale to Fit GDP Proj'!C135)/(1+'Rescale to Fit GDP Proj'!$D$135)-1</f>
        <v>-2.1489137681160675E-2</v>
      </c>
      <c r="E18">
        <f>(1+'Rescale to Fit GDP Proj'!D135)/(1+'Rescale to Fit GDP Proj'!$D$135)-1</f>
        <v>0</v>
      </c>
      <c r="F18">
        <f>(1+'Rescale to Fit GDP Proj'!E135)/(1+'Rescale to Fit GDP Proj'!$D$135)-1</f>
        <v>3.5463192140638977E-2</v>
      </c>
      <c r="G18">
        <f>(1+'Rescale to Fit GDP Proj'!F135)/(1+'Rescale to Fit GDP Proj'!$D$135)-1</f>
        <v>5.9385717458738441E-2</v>
      </c>
      <c r="H18">
        <f>(1+'Rescale to Fit GDP Proj'!G135)/(1+'Rescale to Fit GDP Proj'!$D$135)-1</f>
        <v>7.5979254076496305E-2</v>
      </c>
      <c r="I18">
        <f>(1+'Rescale to Fit GDP Proj'!H135)/(1+'Rescale to Fit GDP Proj'!$D$135)-1</f>
        <v>9.5990562725905892E-2</v>
      </c>
      <c r="J18">
        <f>(1+'Rescale to Fit GDP Proj'!I135)/(1+'Rescale to Fit GDP Proj'!$D$135)-1</f>
        <v>0.11894985136279401</v>
      </c>
      <c r="K18">
        <f>(1+'Rescale to Fit GDP Proj'!J135)/(1+'Rescale to Fit GDP Proj'!$D$135)-1</f>
        <v>0.14157362460152156</v>
      </c>
      <c r="L18">
        <f>(1+'Rescale to Fit GDP Proj'!K135)/(1+'Rescale to Fit GDP Proj'!$D$135)-1</f>
        <v>0.16739362727051255</v>
      </c>
      <c r="M18">
        <f>(1+'Rescale to Fit GDP Proj'!L135)/(1+'Rescale to Fit GDP Proj'!$D$135)-1</f>
        <v>0.19548923544947172</v>
      </c>
      <c r="N18">
        <f>(1+'Rescale to Fit GDP Proj'!M135)/(1+'Rescale to Fit GDP Proj'!$D$135)-1</f>
        <v>0.22553038321973107</v>
      </c>
      <c r="O18">
        <f>(1+'Rescale to Fit GDP Proj'!N135)/(1+'Rescale to Fit GDP Proj'!$D$135)-1</f>
        <v>0.25748341947059972</v>
      </c>
      <c r="P18">
        <f>(1+'Rescale to Fit GDP Proj'!O135)/(1+'Rescale to Fit GDP Proj'!$D$135)-1</f>
        <v>0.28416815014707231</v>
      </c>
      <c r="Q18">
        <f>(1+'Rescale to Fit GDP Proj'!P135)/(1+'Rescale to Fit GDP Proj'!$D$135)-1</f>
        <v>0.31072443170890951</v>
      </c>
      <c r="R18">
        <f>(1+'Rescale to Fit GDP Proj'!Q135)/(1+'Rescale to Fit GDP Proj'!$D$135)-1</f>
        <v>0.33745550553096382</v>
      </c>
      <c r="S18">
        <f>(1+'Rescale to Fit GDP Proj'!R135)/(1+'Rescale to Fit GDP Proj'!$D$135)-1</f>
        <v>0.36374454493734487</v>
      </c>
      <c r="T18">
        <f>(1+'Rescale to Fit GDP Proj'!S135)/(1+'Rescale to Fit GDP Proj'!$D$135)-1</f>
        <v>0.39019749403184756</v>
      </c>
      <c r="U18">
        <f>(1+'Rescale to Fit GDP Proj'!T135)/(1+'Rescale to Fit GDP Proj'!$D$135)-1</f>
        <v>0.41591584149655447</v>
      </c>
      <c r="V18">
        <f>(1+'Rescale to Fit GDP Proj'!U135)/(1+'Rescale to Fit GDP Proj'!$D$135)-1</f>
        <v>0.44235269148632694</v>
      </c>
      <c r="W18">
        <f>(1+'Rescale to Fit GDP Proj'!V135)/(1+'Rescale to Fit GDP Proj'!$D$135)-1</f>
        <v>0.46988212373539184</v>
      </c>
      <c r="X18">
        <f>(1+'Rescale to Fit GDP Proj'!W135)/(1+'Rescale to Fit GDP Proj'!$D$135)-1</f>
        <v>0.49755959270973982</v>
      </c>
      <c r="Y18">
        <f>(1+'Rescale to Fit GDP Proj'!X135)/(1+'Rescale to Fit GDP Proj'!$D$135)-1</f>
        <v>0.52487272669435092</v>
      </c>
      <c r="Z18">
        <f>(1+'Rescale to Fit GDP Proj'!Y135)/(1+'Rescale to Fit GDP Proj'!$D$135)-1</f>
        <v>0.55132715166220136</v>
      </c>
      <c r="AA18">
        <f>(1+'Rescale to Fit GDP Proj'!Z135)/(1+'Rescale to Fit GDP Proj'!$D$135)-1</f>
        <v>0.57666350672691569</v>
      </c>
      <c r="AB18">
        <f>(1+'Rescale to Fit GDP Proj'!AA135)/(1+'Rescale to Fit GDP Proj'!$D$135)-1</f>
        <v>0.60213582632143314</v>
      </c>
      <c r="AC18">
        <f>(1+'Rescale to Fit GDP Proj'!AB135)/(1+'Rescale to Fit GDP Proj'!$D$135)-1</f>
        <v>0.62674386750153466</v>
      </c>
      <c r="AD18">
        <f>(1+'Rescale to Fit GDP Proj'!AC135)/(1+'Rescale to Fit GDP Proj'!$D$135)-1</f>
        <v>0.65228459632283475</v>
      </c>
    </row>
    <row r="19" spans="1:30" x14ac:dyDescent="0.25">
      <c r="A19" t="s">
        <v>249</v>
      </c>
      <c r="B19" t="s">
        <v>249</v>
      </c>
      <c r="C19">
        <v>222256893442.4335</v>
      </c>
      <c r="D19">
        <f>(1+'Rescale to Fit GDP Proj'!C136)/(1+'Rescale to Fit GDP Proj'!$D$136)-1</f>
        <v>-1.7415537408357884E-2</v>
      </c>
      <c r="E19">
        <f>(1+'Rescale to Fit GDP Proj'!D136)/(1+'Rescale to Fit GDP Proj'!$D$136)-1</f>
        <v>0</v>
      </c>
      <c r="F19">
        <f>(1+'Rescale to Fit GDP Proj'!E136)/(1+'Rescale to Fit GDP Proj'!$D$136)-1</f>
        <v>-5.8729664651617774E-3</v>
      </c>
      <c r="G19">
        <f>(1+'Rescale to Fit GDP Proj'!F136)/(1+'Rescale to Fit GDP Proj'!$D$136)-1</f>
        <v>1.6590145500608111E-2</v>
      </c>
      <c r="H19">
        <f>(1+'Rescale to Fit GDP Proj'!G136)/(1+'Rescale to Fit GDP Proj'!$D$136)-1</f>
        <v>2.8868919693506134E-2</v>
      </c>
      <c r="I19">
        <f>(1+'Rescale to Fit GDP Proj'!H136)/(1+'Rescale to Fit GDP Proj'!$D$136)-1</f>
        <v>3.3334373165817333E-2</v>
      </c>
      <c r="J19">
        <f>(1+'Rescale to Fit GDP Proj'!I136)/(1+'Rescale to Fit GDP Proj'!$D$136)-1</f>
        <v>4.4223992245098653E-2</v>
      </c>
      <c r="K19">
        <f>(1+'Rescale to Fit GDP Proj'!J136)/(1+'Rescale to Fit GDP Proj'!$D$136)-1</f>
        <v>5.6670750056900365E-2</v>
      </c>
      <c r="L19">
        <f>(1+'Rescale to Fit GDP Proj'!K136)/(1+'Rescale to Fit GDP Proj'!$D$136)-1</f>
        <v>6.4308669038993349E-2</v>
      </c>
      <c r="M19">
        <f>(1+'Rescale to Fit GDP Proj'!L136)/(1+'Rescale to Fit GDP Proj'!$D$136)-1</f>
        <v>7.1420248603816461E-2</v>
      </c>
      <c r="N19">
        <f>(1+'Rescale to Fit GDP Proj'!M136)/(1+'Rescale to Fit GDP Proj'!$D$136)-1</f>
        <v>7.6182908135094429E-2</v>
      </c>
      <c r="O19">
        <f>(1+'Rescale to Fit GDP Proj'!N136)/(1+'Rescale to Fit GDP Proj'!$D$136)-1</f>
        <v>8.4578285153710908E-2</v>
      </c>
      <c r="P19">
        <f>(1+'Rescale to Fit GDP Proj'!O136)/(1+'Rescale to Fit GDP Proj'!$D$136)-1</f>
        <v>9.711952565276194E-2</v>
      </c>
      <c r="Q19">
        <f>(1+'Rescale to Fit GDP Proj'!P136)/(1+'Rescale to Fit GDP Proj'!$D$136)-1</f>
        <v>0.11199994035887362</v>
      </c>
      <c r="R19">
        <f>(1+'Rescale to Fit GDP Proj'!Q136)/(1+'Rescale to Fit GDP Proj'!$D$136)-1</f>
        <v>0.12530054085773679</v>
      </c>
      <c r="S19">
        <f>(1+'Rescale to Fit GDP Proj'!R136)/(1+'Rescale to Fit GDP Proj'!$D$136)-1</f>
        <v>0.13638999102879512</v>
      </c>
      <c r="T19">
        <f>(1+'Rescale to Fit GDP Proj'!S136)/(1+'Rescale to Fit GDP Proj'!$D$136)-1</f>
        <v>0.14973416546031948</v>
      </c>
      <c r="U19">
        <f>(1+'Rescale to Fit GDP Proj'!T136)/(1+'Rescale to Fit GDP Proj'!$D$136)-1</f>
        <v>0.16321786810378769</v>
      </c>
      <c r="V19">
        <f>(1+'Rescale to Fit GDP Proj'!U136)/(1+'Rescale to Fit GDP Proj'!$D$136)-1</f>
        <v>0.17770320199777001</v>
      </c>
      <c r="W19">
        <f>(1+'Rescale to Fit GDP Proj'!V136)/(1+'Rescale to Fit GDP Proj'!$D$136)-1</f>
        <v>0.19121458723099827</v>
      </c>
      <c r="X19">
        <f>(1+'Rescale to Fit GDP Proj'!W136)/(1+'Rescale to Fit GDP Proj'!$D$136)-1</f>
        <v>0.20501858326882472</v>
      </c>
      <c r="Y19">
        <f>(1+'Rescale to Fit GDP Proj'!X136)/(1+'Rescale to Fit GDP Proj'!$D$136)-1</f>
        <v>0.22013597056878842</v>
      </c>
      <c r="Z19">
        <f>(1+'Rescale to Fit GDP Proj'!Y136)/(1+'Rescale to Fit GDP Proj'!$D$136)-1</f>
        <v>0.23323963688346194</v>
      </c>
      <c r="AA19">
        <f>(1+'Rescale to Fit GDP Proj'!Z136)/(1+'Rescale to Fit GDP Proj'!$D$136)-1</f>
        <v>0.24531123590735948</v>
      </c>
      <c r="AB19">
        <f>(1+'Rescale to Fit GDP Proj'!AA136)/(1+'Rescale to Fit GDP Proj'!$D$136)-1</f>
        <v>0.25499853652948801</v>
      </c>
      <c r="AC19">
        <f>(1+'Rescale to Fit GDP Proj'!AB136)/(1+'Rescale to Fit GDP Proj'!$D$136)-1</f>
        <v>0.26857601383007679</v>
      </c>
      <c r="AD19">
        <f>(1+'Rescale to Fit GDP Proj'!AC136)/(1+'Rescale to Fit GDP Proj'!$D$136)-1</f>
        <v>0.28212185190194794</v>
      </c>
    </row>
    <row r="20" spans="1:30" x14ac:dyDescent="0.25">
      <c r="A20" t="s">
        <v>1222</v>
      </c>
      <c r="B20" t="s">
        <v>1222</v>
      </c>
      <c r="C20">
        <v>24513522394.23056</v>
      </c>
      <c r="D20">
        <f>(1+'Rescale to Fit GDP Proj'!C137)/(1+'Rescale to Fit GDP Proj'!$D$137)-1</f>
        <v>6.2622921689357014E-3</v>
      </c>
      <c r="E20">
        <f>(1+'Rescale to Fit GDP Proj'!D137)/(1+'Rescale to Fit GDP Proj'!$D$137)-1</f>
        <v>0</v>
      </c>
      <c r="F20">
        <f>(1+'Rescale to Fit GDP Proj'!E137)/(1+'Rescale to Fit GDP Proj'!$D$137)-1</f>
        <v>6.072025366654632E-4</v>
      </c>
      <c r="G20">
        <f>(1+'Rescale to Fit GDP Proj'!F137)/(1+'Rescale to Fit GDP Proj'!$D$137)-1</f>
        <v>3.0709136943967152E-3</v>
      </c>
      <c r="H20">
        <f>(1+'Rescale to Fit GDP Proj'!G137)/(1+'Rescale to Fit GDP Proj'!$D$137)-1</f>
        <v>1.9029494825688609E-3</v>
      </c>
      <c r="I20">
        <f>(1+'Rescale to Fit GDP Proj'!H137)/(1+'Rescale to Fit GDP Proj'!$D$137)-1</f>
        <v>3.3770481006278885E-4</v>
      </c>
      <c r="J20">
        <f>(1+'Rescale to Fit GDP Proj'!I137)/(1+'Rescale to Fit GDP Proj'!$D$137)-1</f>
        <v>7.6669640445437004E-4</v>
      </c>
      <c r="K20">
        <f>(1+'Rescale to Fit GDP Proj'!J137)/(1+'Rescale to Fit GDP Proj'!$D$137)-1</f>
        <v>2.4714513013150974E-3</v>
      </c>
      <c r="L20">
        <f>(1+'Rescale to Fit GDP Proj'!K137)/(1+'Rescale to Fit GDP Proj'!$D$137)-1</f>
        <v>6.5433297459720485E-3</v>
      </c>
      <c r="M20">
        <f>(1+'Rescale to Fit GDP Proj'!L137)/(1+'Rescale to Fit GDP Proj'!$D$137)-1</f>
        <v>1.3218335752792632E-2</v>
      </c>
      <c r="N20">
        <f>(1+'Rescale to Fit GDP Proj'!M137)/(1+'Rescale to Fit GDP Proj'!$D$137)-1</f>
        <v>2.1637172654082049E-2</v>
      </c>
      <c r="O20">
        <f>(1+'Rescale to Fit GDP Proj'!N137)/(1+'Rescale to Fit GDP Proj'!$D$137)-1</f>
        <v>3.2229488783687366E-2</v>
      </c>
      <c r="P20">
        <f>(1+'Rescale to Fit GDP Proj'!O137)/(1+'Rescale to Fit GDP Proj'!$D$137)-1</f>
        <v>4.2788639570785048E-2</v>
      </c>
      <c r="Q20">
        <f>(1+'Rescale to Fit GDP Proj'!P137)/(1+'Rescale to Fit GDP Proj'!$D$137)-1</f>
        <v>5.289112188643319E-2</v>
      </c>
      <c r="R20">
        <f>(1+'Rescale to Fit GDP Proj'!Q137)/(1+'Rescale to Fit GDP Proj'!$D$137)-1</f>
        <v>6.3545359164709936E-2</v>
      </c>
      <c r="S20">
        <f>(1+'Rescale to Fit GDP Proj'!R137)/(1+'Rescale to Fit GDP Proj'!$D$137)-1</f>
        <v>7.4103337202779729E-2</v>
      </c>
      <c r="T20">
        <f>(1+'Rescale to Fit GDP Proj'!S137)/(1+'Rescale to Fit GDP Proj'!$D$137)-1</f>
        <v>8.4918288007834075E-2</v>
      </c>
      <c r="U20">
        <f>(1+'Rescale to Fit GDP Proj'!T137)/(1+'Rescale to Fit GDP Proj'!$D$137)-1</f>
        <v>9.6307463646891023E-2</v>
      </c>
      <c r="V20">
        <f>(1+'Rescale to Fit GDP Proj'!U137)/(1+'Rescale to Fit GDP Proj'!$D$137)-1</f>
        <v>0.10811873511605574</v>
      </c>
      <c r="W20">
        <f>(1+'Rescale to Fit GDP Proj'!V137)/(1+'Rescale to Fit GDP Proj'!$D$137)-1</f>
        <v>0.12035655886163421</v>
      </c>
      <c r="X20">
        <f>(1+'Rescale to Fit GDP Proj'!W137)/(1+'Rescale to Fit GDP Proj'!$D$137)-1</f>
        <v>0.13243925136580703</v>
      </c>
      <c r="Y20">
        <f>(1+'Rescale to Fit GDP Proj'!X137)/(1+'Rescale to Fit GDP Proj'!$D$137)-1</f>
        <v>0.14491805158163018</v>
      </c>
      <c r="Z20">
        <f>(1+'Rescale to Fit GDP Proj'!Y137)/(1+'Rescale to Fit GDP Proj'!$D$137)-1</f>
        <v>0.15759476492339553</v>
      </c>
      <c r="AA20">
        <f>(1+'Rescale to Fit GDP Proj'!Z137)/(1+'Rescale to Fit GDP Proj'!$D$137)-1</f>
        <v>0.17029188409824569</v>
      </c>
      <c r="AB20">
        <f>(1+'Rescale to Fit GDP Proj'!AA137)/(1+'Rescale to Fit GDP Proj'!$D$137)-1</f>
        <v>0.18313325140352266</v>
      </c>
      <c r="AC20">
        <f>(1+'Rescale to Fit GDP Proj'!AB137)/(1+'Rescale to Fit GDP Proj'!$D$137)-1</f>
        <v>0.19550012445212728</v>
      </c>
      <c r="AD20">
        <f>(1+'Rescale to Fit GDP Proj'!AC137)/(1+'Rescale to Fit GDP Proj'!$D$137)-1</f>
        <v>0.20791001393507336</v>
      </c>
    </row>
    <row r="21" spans="1:30" x14ac:dyDescent="0.25">
      <c r="A21" t="s">
        <v>256</v>
      </c>
      <c r="B21" t="s">
        <v>256</v>
      </c>
      <c r="C21">
        <v>103978052507.9938</v>
      </c>
      <c r="D21">
        <f>(1+'Rescale to Fit GDP Proj'!C138)/(1+'Rescale to Fit GDP Proj'!$D$138)-1</f>
        <v>-3.3564091347025871E-3</v>
      </c>
      <c r="E21">
        <f>(1+'Rescale to Fit GDP Proj'!D138)/(1+'Rescale to Fit GDP Proj'!$D$138)-1</f>
        <v>0</v>
      </c>
      <c r="F21">
        <f>(1+'Rescale to Fit GDP Proj'!E138)/(1+'Rescale to Fit GDP Proj'!$D$138)-1</f>
        <v>-1.6100321389836081E-2</v>
      </c>
      <c r="G21">
        <f>(1+'Rescale to Fit GDP Proj'!F138)/(1+'Rescale to Fit GDP Proj'!$D$138)-1</f>
        <v>-3.3146050157885076E-2</v>
      </c>
      <c r="H21">
        <f>(1+'Rescale to Fit GDP Proj'!G138)/(1+'Rescale to Fit GDP Proj'!$D$138)-1</f>
        <v>-3.611055743106184E-2</v>
      </c>
      <c r="I21">
        <f>(1+'Rescale to Fit GDP Proj'!H138)/(1+'Rescale to Fit GDP Proj'!$D$138)-1</f>
        <v>-3.882659175590375E-2</v>
      </c>
      <c r="J21">
        <f>(1+'Rescale to Fit GDP Proj'!I138)/(1+'Rescale to Fit GDP Proj'!$D$138)-1</f>
        <v>-3.5990070949303399E-2</v>
      </c>
      <c r="K21">
        <f>(1+'Rescale to Fit GDP Proj'!J138)/(1+'Rescale to Fit GDP Proj'!$D$138)-1</f>
        <v>-2.878047271209605E-2</v>
      </c>
      <c r="L21">
        <f>(1+'Rescale to Fit GDP Proj'!K138)/(1+'Rescale to Fit GDP Proj'!$D$138)-1</f>
        <v>-2.2169158661990873E-2</v>
      </c>
      <c r="M21">
        <f>(1+'Rescale to Fit GDP Proj'!L138)/(1+'Rescale to Fit GDP Proj'!$D$138)-1</f>
        <v>-1.2989376360001192E-2</v>
      </c>
      <c r="N21">
        <f>(1+'Rescale to Fit GDP Proj'!M138)/(1+'Rescale to Fit GDP Proj'!$D$138)-1</f>
        <v>-3.2549491631006511E-3</v>
      </c>
      <c r="O21">
        <f>(1+'Rescale to Fit GDP Proj'!N138)/(1+'Rescale to Fit GDP Proj'!$D$138)-1</f>
        <v>6.2778744596128089E-3</v>
      </c>
      <c r="P21">
        <f>(1+'Rescale to Fit GDP Proj'!O138)/(1+'Rescale to Fit GDP Proj'!$D$138)-1</f>
        <v>1.6267002468346892E-2</v>
      </c>
      <c r="Q21">
        <f>(1+'Rescale to Fit GDP Proj'!P138)/(1+'Rescale to Fit GDP Proj'!$D$138)-1</f>
        <v>2.5300170022886093E-2</v>
      </c>
      <c r="R21">
        <f>(1+'Rescale to Fit GDP Proj'!Q138)/(1+'Rescale to Fit GDP Proj'!$D$138)-1</f>
        <v>3.4933867335202207E-2</v>
      </c>
      <c r="S21">
        <f>(1+'Rescale to Fit GDP Proj'!R138)/(1+'Rescale to Fit GDP Proj'!$D$138)-1</f>
        <v>4.4217974647241753E-2</v>
      </c>
      <c r="T21">
        <f>(1+'Rescale to Fit GDP Proj'!S138)/(1+'Rescale to Fit GDP Proj'!$D$138)-1</f>
        <v>4.9407897769410569E-2</v>
      </c>
      <c r="U21">
        <f>(1+'Rescale to Fit GDP Proj'!T138)/(1+'Rescale to Fit GDP Proj'!$D$138)-1</f>
        <v>5.110881246778054E-2</v>
      </c>
      <c r="V21">
        <f>(1+'Rescale to Fit GDP Proj'!U138)/(1+'Rescale to Fit GDP Proj'!$D$138)-1</f>
        <v>5.0732087566681461E-2</v>
      </c>
      <c r="W21">
        <f>(1+'Rescale to Fit GDP Proj'!V138)/(1+'Rescale to Fit GDP Proj'!$D$138)-1</f>
        <v>4.598918787587003E-2</v>
      </c>
      <c r="X21">
        <f>(1+'Rescale to Fit GDP Proj'!W138)/(1+'Rescale to Fit GDP Proj'!$D$138)-1</f>
        <v>3.9386977789635846E-2</v>
      </c>
      <c r="Y21">
        <f>(1+'Rescale to Fit GDP Proj'!X138)/(1+'Rescale to Fit GDP Proj'!$D$138)-1</f>
        <v>4.0806676243122508E-2</v>
      </c>
      <c r="Z21">
        <f>(1+'Rescale to Fit GDP Proj'!Y138)/(1+'Rescale to Fit GDP Proj'!$D$138)-1</f>
        <v>4.7341939562224322E-2</v>
      </c>
      <c r="AA21">
        <f>(1+'Rescale to Fit GDP Proj'!Z138)/(1+'Rescale to Fit GDP Proj'!$D$138)-1</f>
        <v>5.4126759898262877E-2</v>
      </c>
      <c r="AB21">
        <f>(1+'Rescale to Fit GDP Proj'!AA138)/(1+'Rescale to Fit GDP Proj'!$D$138)-1</f>
        <v>6.1085130767932538E-2</v>
      </c>
      <c r="AC21">
        <f>(1+'Rescale to Fit GDP Proj'!AB138)/(1+'Rescale to Fit GDP Proj'!$D$138)-1</f>
        <v>6.7835570642595489E-2</v>
      </c>
      <c r="AD21">
        <f>(1+'Rescale to Fit GDP Proj'!AC138)/(1+'Rescale to Fit GDP Proj'!$D$138)-1</f>
        <v>7.5688452975809062E-2</v>
      </c>
    </row>
    <row r="22" spans="1:30" x14ac:dyDescent="0.25">
      <c r="A22" t="s">
        <v>261</v>
      </c>
      <c r="B22" t="s">
        <v>261</v>
      </c>
      <c r="C22">
        <v>154327388570.57581</v>
      </c>
      <c r="D22">
        <f>(1+'Rescale to Fit GDP Proj'!C139)/(1+'Rescale to Fit GDP Proj'!$D$139)-1</f>
        <v>1.4526829628286553E-2</v>
      </c>
      <c r="E22">
        <f>(1+'Rescale to Fit GDP Proj'!D139)/(1+'Rescale to Fit GDP Proj'!$D$139)-1</f>
        <v>0</v>
      </c>
      <c r="F22">
        <f>(1+'Rescale to Fit GDP Proj'!E139)/(1+'Rescale to Fit GDP Proj'!$D$139)-1</f>
        <v>2.0563609513499115E-2</v>
      </c>
      <c r="G22">
        <f>(1+'Rescale to Fit GDP Proj'!F139)/(1+'Rescale to Fit GDP Proj'!$D$139)-1</f>
        <v>5.2228170314032596E-2</v>
      </c>
      <c r="H22">
        <f>(1+'Rescale to Fit GDP Proj'!G139)/(1+'Rescale to Fit GDP Proj'!$D$139)-1</f>
        <v>5.0663220139332443E-2</v>
      </c>
      <c r="I22">
        <f>(1+'Rescale to Fit GDP Proj'!H139)/(1+'Rescale to Fit GDP Proj'!$D$139)-1</f>
        <v>5.8661498527584621E-2</v>
      </c>
      <c r="J22">
        <f>(1+'Rescale to Fit GDP Proj'!I139)/(1+'Rescale to Fit GDP Proj'!$D$139)-1</f>
        <v>7.8603119460530335E-2</v>
      </c>
      <c r="K22">
        <f>(1+'Rescale to Fit GDP Proj'!J139)/(1+'Rescale to Fit GDP Proj'!$D$139)-1</f>
        <v>9.4428842831478788E-2</v>
      </c>
      <c r="L22">
        <f>(1+'Rescale to Fit GDP Proj'!K139)/(1+'Rescale to Fit GDP Proj'!$D$139)-1</f>
        <v>0.11450068099015653</v>
      </c>
      <c r="M22">
        <f>(1+'Rescale to Fit GDP Proj'!L139)/(1+'Rescale to Fit GDP Proj'!$D$139)-1</f>
        <v>0.13161188599834328</v>
      </c>
      <c r="N22">
        <f>(1+'Rescale to Fit GDP Proj'!M139)/(1+'Rescale to Fit GDP Proj'!$D$139)-1</f>
        <v>0.13955440626117066</v>
      </c>
      <c r="O22">
        <f>(1+'Rescale to Fit GDP Proj'!N139)/(1+'Rescale to Fit GDP Proj'!$D$139)-1</f>
        <v>0.15264082251936806</v>
      </c>
      <c r="P22">
        <f>(1+'Rescale to Fit GDP Proj'!O139)/(1+'Rescale to Fit GDP Proj'!$D$139)-1</f>
        <v>0.15924452245815846</v>
      </c>
      <c r="Q22">
        <f>(1+'Rescale to Fit GDP Proj'!P139)/(1+'Rescale to Fit GDP Proj'!$D$139)-1</f>
        <v>0.168461397278169</v>
      </c>
      <c r="R22">
        <f>(1+'Rescale to Fit GDP Proj'!Q139)/(1+'Rescale to Fit GDP Proj'!$D$139)-1</f>
        <v>0.17474317746651291</v>
      </c>
      <c r="S22">
        <f>(1+'Rescale to Fit GDP Proj'!R139)/(1+'Rescale to Fit GDP Proj'!$D$139)-1</f>
        <v>0.1795393989625893</v>
      </c>
      <c r="T22">
        <f>(1+'Rescale to Fit GDP Proj'!S139)/(1+'Rescale to Fit GDP Proj'!$D$139)-1</f>
        <v>0.19050498441174435</v>
      </c>
      <c r="U22">
        <f>(1+'Rescale to Fit GDP Proj'!T139)/(1+'Rescale to Fit GDP Proj'!$D$139)-1</f>
        <v>0.20295072864666874</v>
      </c>
      <c r="V22">
        <f>(1+'Rescale to Fit GDP Proj'!U139)/(1+'Rescale to Fit GDP Proj'!$D$139)-1</f>
        <v>0.2145848447276173</v>
      </c>
      <c r="W22">
        <f>(1+'Rescale to Fit GDP Proj'!V139)/(1+'Rescale to Fit GDP Proj'!$D$139)-1</f>
        <v>0.22365291822810573</v>
      </c>
      <c r="X22">
        <f>(1+'Rescale to Fit GDP Proj'!W139)/(1+'Rescale to Fit GDP Proj'!$D$139)-1</f>
        <v>0.2323363769598521</v>
      </c>
      <c r="Y22">
        <f>(1+'Rescale to Fit GDP Proj'!X139)/(1+'Rescale to Fit GDP Proj'!$D$139)-1</f>
        <v>0.24698066624256754</v>
      </c>
      <c r="Z22">
        <f>(1+'Rescale to Fit GDP Proj'!Y139)/(1+'Rescale to Fit GDP Proj'!$D$139)-1</f>
        <v>0.2575492767473937</v>
      </c>
      <c r="AA22">
        <f>(1+'Rescale to Fit GDP Proj'!Z139)/(1+'Rescale to Fit GDP Proj'!$D$139)-1</f>
        <v>0.27161759937993168</v>
      </c>
      <c r="AB22">
        <f>(1+'Rescale to Fit GDP Proj'!AA139)/(1+'Rescale to Fit GDP Proj'!$D$139)-1</f>
        <v>0.28279447078093622</v>
      </c>
      <c r="AC22">
        <f>(1+'Rescale to Fit GDP Proj'!AB139)/(1+'Rescale to Fit GDP Proj'!$D$139)-1</f>
        <v>0.28799456320582939</v>
      </c>
      <c r="AD22">
        <f>(1+'Rescale to Fit GDP Proj'!AC139)/(1+'Rescale to Fit GDP Proj'!$D$139)-1</f>
        <v>0.29798842846789997</v>
      </c>
    </row>
    <row r="23" spans="1:30" x14ac:dyDescent="0.25">
      <c r="A23" t="s">
        <v>266</v>
      </c>
      <c r="B23" t="s">
        <v>266</v>
      </c>
      <c r="C23">
        <v>82639139008.882721</v>
      </c>
      <c r="D23">
        <f>(1+'Rescale to Fit GDP Proj'!C140)/(1+'Rescale to Fit GDP Proj'!$D$140)-1</f>
        <v>-2.7415583099843488E-4</v>
      </c>
      <c r="E23">
        <f>(1+'Rescale to Fit GDP Proj'!D140)/(1+'Rescale to Fit GDP Proj'!$D$140)-1</f>
        <v>0</v>
      </c>
      <c r="F23">
        <f>(1+'Rescale to Fit GDP Proj'!E140)/(1+'Rescale to Fit GDP Proj'!$D$140)-1</f>
        <v>-4.7853998918001572E-4</v>
      </c>
      <c r="G23">
        <f>(1+'Rescale to Fit GDP Proj'!F140)/(1+'Rescale to Fit GDP Proj'!$D$140)-1</f>
        <v>5.9915763648581422E-3</v>
      </c>
      <c r="H23">
        <f>(1+'Rescale to Fit GDP Proj'!G140)/(1+'Rescale to Fit GDP Proj'!$D$140)-1</f>
        <v>1.1429205798839437E-2</v>
      </c>
      <c r="I23">
        <f>(1+'Rescale to Fit GDP Proj'!H140)/(1+'Rescale to Fit GDP Proj'!$D$140)-1</f>
        <v>1.5239114232235895E-2</v>
      </c>
      <c r="J23">
        <f>(1+'Rescale to Fit GDP Proj'!I140)/(1+'Rescale to Fit GDP Proj'!$D$140)-1</f>
        <v>2.0028608499080613E-2</v>
      </c>
      <c r="K23">
        <f>(1+'Rescale to Fit GDP Proj'!J140)/(1+'Rescale to Fit GDP Proj'!$D$140)-1</f>
        <v>2.5211708686958767E-2</v>
      </c>
      <c r="L23">
        <f>(1+'Rescale to Fit GDP Proj'!K140)/(1+'Rescale to Fit GDP Proj'!$D$140)-1</f>
        <v>3.1631935301196012E-2</v>
      </c>
      <c r="M23">
        <f>(1+'Rescale to Fit GDP Proj'!L140)/(1+'Rescale to Fit GDP Proj'!$D$140)-1</f>
        <v>3.9536597399643769E-2</v>
      </c>
      <c r="N23">
        <f>(1+'Rescale to Fit GDP Proj'!M140)/(1+'Rescale to Fit GDP Proj'!$D$140)-1</f>
        <v>4.8607821791947226E-2</v>
      </c>
      <c r="O23">
        <f>(1+'Rescale to Fit GDP Proj'!N140)/(1+'Rescale to Fit GDP Proj'!$D$140)-1</f>
        <v>5.9176011336610879E-2</v>
      </c>
      <c r="P23">
        <f>(1+'Rescale to Fit GDP Proj'!O140)/(1+'Rescale to Fit GDP Proj'!$D$140)-1</f>
        <v>7.0293507520433396E-2</v>
      </c>
      <c r="Q23">
        <f>(1+'Rescale to Fit GDP Proj'!P140)/(1+'Rescale to Fit GDP Proj'!$D$140)-1</f>
        <v>8.1353497546359455E-2</v>
      </c>
      <c r="R23">
        <f>(1+'Rescale to Fit GDP Proj'!Q140)/(1+'Rescale to Fit GDP Proj'!$D$140)-1</f>
        <v>9.247310695601163E-2</v>
      </c>
      <c r="S23">
        <f>(1+'Rescale to Fit GDP Proj'!R140)/(1+'Rescale to Fit GDP Proj'!$D$140)-1</f>
        <v>0.10351261630160313</v>
      </c>
      <c r="T23">
        <f>(1+'Rescale to Fit GDP Proj'!S140)/(1+'Rescale to Fit GDP Proj'!$D$140)-1</f>
        <v>0.1146405905634984</v>
      </c>
      <c r="U23">
        <f>(1+'Rescale to Fit GDP Proj'!T140)/(1+'Rescale to Fit GDP Proj'!$D$140)-1</f>
        <v>0.12597379427390742</v>
      </c>
      <c r="V23">
        <f>(1+'Rescale to Fit GDP Proj'!U140)/(1+'Rescale to Fit GDP Proj'!$D$140)-1</f>
        <v>0.13738905278227009</v>
      </c>
      <c r="W23">
        <f>(1+'Rescale to Fit GDP Proj'!V140)/(1+'Rescale to Fit GDP Proj'!$D$140)-1</f>
        <v>0.14879702946662676</v>
      </c>
      <c r="X23">
        <f>(1+'Rescale to Fit GDP Proj'!W140)/(1+'Rescale to Fit GDP Proj'!$D$140)-1</f>
        <v>0.16003050652808004</v>
      </c>
      <c r="Y23">
        <f>(1+'Rescale to Fit GDP Proj'!X140)/(1+'Rescale to Fit GDP Proj'!$D$140)-1</f>
        <v>0.17106563973518218</v>
      </c>
      <c r="Z23">
        <f>(1+'Rescale to Fit GDP Proj'!Y140)/(1+'Rescale to Fit GDP Proj'!$D$140)-1</f>
        <v>0.18180792386779898</v>
      </c>
      <c r="AA23">
        <f>(1+'Rescale to Fit GDP Proj'!Z140)/(1+'Rescale to Fit GDP Proj'!$D$140)-1</f>
        <v>0.19208552725063677</v>
      </c>
      <c r="AB23">
        <f>(1+'Rescale to Fit GDP Proj'!AA140)/(1+'Rescale to Fit GDP Proj'!$D$140)-1</f>
        <v>0.20175592160657696</v>
      </c>
      <c r="AC23">
        <f>(1+'Rescale to Fit GDP Proj'!AB140)/(1+'Rescale to Fit GDP Proj'!$D$140)-1</f>
        <v>0.21075584223733679</v>
      </c>
      <c r="AD23">
        <f>(1+'Rescale to Fit GDP Proj'!AC140)/(1+'Rescale to Fit GDP Proj'!$D$140)-1</f>
        <v>0.21933458815509077</v>
      </c>
    </row>
    <row r="24" spans="1:30" x14ac:dyDescent="0.25">
      <c r="A24" t="s">
        <v>273</v>
      </c>
      <c r="B24" t="s">
        <v>273</v>
      </c>
      <c r="C24">
        <v>345751201637.1969</v>
      </c>
      <c r="D24">
        <f>(1+'Rescale to Fit GDP Proj'!C141)/(1+'Rescale to Fit GDP Proj'!$D$141)-1</f>
        <v>-2.5184411281869434E-2</v>
      </c>
      <c r="E24">
        <f>(1+'Rescale to Fit GDP Proj'!D141)/(1+'Rescale to Fit GDP Proj'!$D$141)-1</f>
        <v>0</v>
      </c>
      <c r="F24">
        <f>(1+'Rescale to Fit GDP Proj'!E141)/(1+'Rescale to Fit GDP Proj'!$D$141)-1</f>
        <v>2.1302773500079919E-2</v>
      </c>
      <c r="G24">
        <f>(1+'Rescale to Fit GDP Proj'!F141)/(1+'Rescale to Fit GDP Proj'!$D$141)-1</f>
        <v>3.9069346637664371E-2</v>
      </c>
      <c r="H24">
        <f>(1+'Rescale to Fit GDP Proj'!G141)/(1+'Rescale to Fit GDP Proj'!$D$141)-1</f>
        <v>3.0028686183286801E-2</v>
      </c>
      <c r="I24">
        <f>(1+'Rescale to Fit GDP Proj'!H141)/(1+'Rescale to Fit GDP Proj'!$D$141)-1</f>
        <v>2.6186195268342871E-2</v>
      </c>
      <c r="J24">
        <f>(1+'Rescale to Fit GDP Proj'!I141)/(1+'Rescale to Fit GDP Proj'!$D$141)-1</f>
        <v>2.5972460337102765E-2</v>
      </c>
      <c r="K24">
        <f>(1+'Rescale to Fit GDP Proj'!J141)/(1+'Rescale to Fit GDP Proj'!$D$141)-1</f>
        <v>2.7249551932587934E-2</v>
      </c>
      <c r="L24">
        <f>(1+'Rescale to Fit GDP Proj'!K141)/(1+'Rescale to Fit GDP Proj'!$D$141)-1</f>
        <v>3.7020234092398185E-2</v>
      </c>
      <c r="M24">
        <f>(1+'Rescale to Fit GDP Proj'!L141)/(1+'Rescale to Fit GDP Proj'!$D$141)-1</f>
        <v>4.4536429303661196E-2</v>
      </c>
      <c r="N24">
        <f>(1+'Rescale to Fit GDP Proj'!M141)/(1+'Rescale to Fit GDP Proj'!$D$141)-1</f>
        <v>5.7568104130743869E-2</v>
      </c>
      <c r="O24">
        <f>(1+'Rescale to Fit GDP Proj'!N141)/(1+'Rescale to Fit GDP Proj'!$D$141)-1</f>
        <v>7.0058310685966907E-2</v>
      </c>
      <c r="P24">
        <f>(1+'Rescale to Fit GDP Proj'!O141)/(1+'Rescale to Fit GDP Proj'!$D$141)-1</f>
        <v>7.8524653793325738E-2</v>
      </c>
      <c r="Q24">
        <f>(1+'Rescale to Fit GDP Proj'!P141)/(1+'Rescale to Fit GDP Proj'!$D$141)-1</f>
        <v>8.8045109928002852E-2</v>
      </c>
      <c r="R24">
        <f>(1+'Rescale to Fit GDP Proj'!Q141)/(1+'Rescale to Fit GDP Proj'!$D$141)-1</f>
        <v>9.9390910398549748E-2</v>
      </c>
      <c r="S24">
        <f>(1+'Rescale to Fit GDP Proj'!R141)/(1+'Rescale to Fit GDP Proj'!$D$141)-1</f>
        <v>0.10722146339490646</v>
      </c>
      <c r="T24">
        <f>(1+'Rescale to Fit GDP Proj'!S141)/(1+'Rescale to Fit GDP Proj'!$D$141)-1</f>
        <v>0.11817756463796059</v>
      </c>
      <c r="U24">
        <f>(1+'Rescale to Fit GDP Proj'!T141)/(1+'Rescale to Fit GDP Proj'!$D$141)-1</f>
        <v>0.12828463396166345</v>
      </c>
      <c r="V24">
        <f>(1+'Rescale to Fit GDP Proj'!U141)/(1+'Rescale to Fit GDP Proj'!$D$141)-1</f>
        <v>0.13952764892829439</v>
      </c>
      <c r="W24">
        <f>(1+'Rescale to Fit GDP Proj'!V141)/(1+'Rescale to Fit GDP Proj'!$D$141)-1</f>
        <v>0.15106662787390324</v>
      </c>
      <c r="X24">
        <f>(1+'Rescale to Fit GDP Proj'!W141)/(1+'Rescale to Fit GDP Proj'!$D$141)-1</f>
        <v>0.16742332399140514</v>
      </c>
      <c r="Y24">
        <f>(1+'Rescale to Fit GDP Proj'!X141)/(1+'Rescale to Fit GDP Proj'!$D$141)-1</f>
        <v>0.18328861831404231</v>
      </c>
      <c r="Z24">
        <f>(1+'Rescale to Fit GDP Proj'!Y141)/(1+'Rescale to Fit GDP Proj'!$D$141)-1</f>
        <v>0.1973032901123799</v>
      </c>
      <c r="AA24">
        <f>(1+'Rescale to Fit GDP Proj'!Z141)/(1+'Rescale to Fit GDP Proj'!$D$141)-1</f>
        <v>0.20466663656575812</v>
      </c>
      <c r="AB24">
        <f>(1+'Rescale to Fit GDP Proj'!AA141)/(1+'Rescale to Fit GDP Proj'!$D$141)-1</f>
        <v>0.20892203893732519</v>
      </c>
      <c r="AC24">
        <f>(1+'Rescale to Fit GDP Proj'!AB141)/(1+'Rescale to Fit GDP Proj'!$D$141)-1</f>
        <v>0.22191662963383596</v>
      </c>
      <c r="AD24">
        <f>(1+'Rescale to Fit GDP Proj'!AC141)/(1+'Rescale to Fit GDP Proj'!$D$141)-1</f>
        <v>0.2337134054913077</v>
      </c>
    </row>
    <row r="25" spans="1:30" x14ac:dyDescent="0.25">
      <c r="A25" t="s">
        <v>299</v>
      </c>
      <c r="B25" t="s">
        <v>299</v>
      </c>
      <c r="C25">
        <v>282203302739.22058</v>
      </c>
      <c r="D25">
        <f>(1+'Rescale to Fit GDP Proj'!C142)/(1+'Rescale to Fit GDP Proj'!$D$142)-1</f>
        <v>7.0086543609783281E-2</v>
      </c>
      <c r="E25">
        <f>(1+'Rescale to Fit GDP Proj'!D142)/(1+'Rescale to Fit GDP Proj'!$D$142)-1</f>
        <v>0</v>
      </c>
      <c r="F25">
        <f>(1+'Rescale to Fit GDP Proj'!E142)/(1+'Rescale to Fit GDP Proj'!$D$142)-1</f>
        <v>1.0492355573263001E-2</v>
      </c>
      <c r="G25">
        <f>(1+'Rescale to Fit GDP Proj'!F142)/(1+'Rescale to Fit GDP Proj'!$D$142)-1</f>
        <v>4.8356484395529531E-2</v>
      </c>
      <c r="H25">
        <f>(1+'Rescale to Fit GDP Proj'!G142)/(1+'Rescale to Fit GDP Proj'!$D$142)-1</f>
        <v>7.3467057953184201E-2</v>
      </c>
      <c r="I25">
        <f>(1+'Rescale to Fit GDP Proj'!H142)/(1+'Rescale to Fit GDP Proj'!$D$142)-1</f>
        <v>0.10079407466659118</v>
      </c>
      <c r="J25">
        <f>(1+'Rescale to Fit GDP Proj'!I142)/(1+'Rescale to Fit GDP Proj'!$D$142)-1</f>
        <v>0.12330206200222316</v>
      </c>
      <c r="K25">
        <f>(1+'Rescale to Fit GDP Proj'!J142)/(1+'Rescale to Fit GDP Proj'!$D$142)-1</f>
        <v>0.14133544878732107</v>
      </c>
      <c r="L25">
        <f>(1+'Rescale to Fit GDP Proj'!K142)/(1+'Rescale to Fit GDP Proj'!$D$142)-1</f>
        <v>0.16324674473355349</v>
      </c>
      <c r="M25">
        <f>(1+'Rescale to Fit GDP Proj'!L142)/(1+'Rescale to Fit GDP Proj'!$D$142)-1</f>
        <v>0.17933420227257146</v>
      </c>
      <c r="N25">
        <f>(1+'Rescale to Fit GDP Proj'!M142)/(1+'Rescale to Fit GDP Proj'!$D$142)-1</f>
        <v>0.20014681087249686</v>
      </c>
      <c r="O25">
        <f>(1+'Rescale to Fit GDP Proj'!N142)/(1+'Rescale to Fit GDP Proj'!$D$142)-1</f>
        <v>0.22472258954933699</v>
      </c>
      <c r="P25">
        <f>(1+'Rescale to Fit GDP Proj'!O142)/(1+'Rescale to Fit GDP Proj'!$D$142)-1</f>
        <v>0.24906050489501519</v>
      </c>
      <c r="Q25">
        <f>(1+'Rescale to Fit GDP Proj'!P142)/(1+'Rescale to Fit GDP Proj'!$D$142)-1</f>
        <v>0.27530471937896595</v>
      </c>
      <c r="R25">
        <f>(1+'Rescale to Fit GDP Proj'!Q142)/(1+'Rescale to Fit GDP Proj'!$D$142)-1</f>
        <v>0.30152755996640734</v>
      </c>
      <c r="S25">
        <f>(1+'Rescale to Fit GDP Proj'!R142)/(1+'Rescale to Fit GDP Proj'!$D$142)-1</f>
        <v>0.32992921748058834</v>
      </c>
      <c r="T25">
        <f>(1+'Rescale to Fit GDP Proj'!S142)/(1+'Rescale to Fit GDP Proj'!$D$142)-1</f>
        <v>0.35949234649014694</v>
      </c>
      <c r="U25">
        <f>(1+'Rescale to Fit GDP Proj'!T142)/(1+'Rescale to Fit GDP Proj'!$D$142)-1</f>
        <v>0.38856268668492921</v>
      </c>
      <c r="V25">
        <f>(1+'Rescale to Fit GDP Proj'!U142)/(1+'Rescale to Fit GDP Proj'!$D$142)-1</f>
        <v>0.41988546446511843</v>
      </c>
      <c r="W25">
        <f>(1+'Rescale to Fit GDP Proj'!V142)/(1+'Rescale to Fit GDP Proj'!$D$142)-1</f>
        <v>0.4529534917849416</v>
      </c>
      <c r="X25">
        <f>(1+'Rescale to Fit GDP Proj'!W142)/(1+'Rescale to Fit GDP Proj'!$D$142)-1</f>
        <v>0.48951884693604009</v>
      </c>
      <c r="Y25">
        <f>(1+'Rescale to Fit GDP Proj'!X142)/(1+'Rescale to Fit GDP Proj'!$D$142)-1</f>
        <v>0.5281465046486884</v>
      </c>
      <c r="Z25">
        <f>(1+'Rescale to Fit GDP Proj'!Y142)/(1+'Rescale to Fit GDP Proj'!$D$142)-1</f>
        <v>0.56879667917400689</v>
      </c>
      <c r="AA25">
        <f>(1+'Rescale to Fit GDP Proj'!Z142)/(1+'Rescale to Fit GDP Proj'!$D$142)-1</f>
        <v>0.60799282319564574</v>
      </c>
      <c r="AB25">
        <f>(1+'Rescale to Fit GDP Proj'!AA142)/(1+'Rescale to Fit GDP Proj'!$D$142)-1</f>
        <v>0.64739068777339526</v>
      </c>
      <c r="AC25">
        <f>(1+'Rescale to Fit GDP Proj'!AB142)/(1+'Rescale to Fit GDP Proj'!$D$142)-1</f>
        <v>0.6875859210150983</v>
      </c>
      <c r="AD25">
        <f>(1+'Rescale to Fit GDP Proj'!AC142)/(1+'Rescale to Fit GDP Proj'!$D$142)-1</f>
        <v>0.72348675202047286</v>
      </c>
    </row>
    <row r="26" spans="1:30" x14ac:dyDescent="0.25">
      <c r="A26" t="s">
        <v>314</v>
      </c>
      <c r="B26" t="s">
        <v>314</v>
      </c>
      <c r="C26">
        <v>142388223091.9173</v>
      </c>
      <c r="D26">
        <f>(1+'Rescale to Fit GDP Proj'!C143)/(1+'Rescale to Fit GDP Proj'!$D$143)-1</f>
        <v>-9.4928378918165413E-3</v>
      </c>
      <c r="E26">
        <f>(1+'Rescale to Fit GDP Proj'!D143)/(1+'Rescale to Fit GDP Proj'!$D$143)-1</f>
        <v>0</v>
      </c>
      <c r="F26">
        <f>(1+'Rescale to Fit GDP Proj'!E143)/(1+'Rescale to Fit GDP Proj'!$D$143)-1</f>
        <v>-1.3180751806413871E-2</v>
      </c>
      <c r="G26">
        <f>(1+'Rescale to Fit GDP Proj'!F143)/(1+'Rescale to Fit GDP Proj'!$D$143)-1</f>
        <v>-1.860418843505407E-2</v>
      </c>
      <c r="H26">
        <f>(1+'Rescale to Fit GDP Proj'!G143)/(1+'Rescale to Fit GDP Proj'!$D$143)-1</f>
        <v>-3.3972805562477504E-2</v>
      </c>
      <c r="I26">
        <f>(1+'Rescale to Fit GDP Proj'!H143)/(1+'Rescale to Fit GDP Proj'!$D$143)-1</f>
        <v>-3.754328673434959E-2</v>
      </c>
      <c r="J26">
        <f>(1+'Rescale to Fit GDP Proj'!I143)/(1+'Rescale to Fit GDP Proj'!$D$143)-1</f>
        <v>-2.0187434052389763E-2</v>
      </c>
      <c r="K26">
        <f>(1+'Rescale to Fit GDP Proj'!J143)/(1+'Rescale to Fit GDP Proj'!$D$143)-1</f>
        <v>-4.3878695290446856E-3</v>
      </c>
      <c r="L26">
        <f>(1+'Rescale to Fit GDP Proj'!K143)/(1+'Rescale to Fit GDP Proj'!$D$143)-1</f>
        <v>1.2348333545946888E-2</v>
      </c>
      <c r="M26">
        <f>(1+'Rescale to Fit GDP Proj'!L143)/(1+'Rescale to Fit GDP Proj'!$D$143)-1</f>
        <v>1.7885407401801334E-2</v>
      </c>
      <c r="N26">
        <f>(1+'Rescale to Fit GDP Proj'!M143)/(1+'Rescale to Fit GDP Proj'!$D$143)-1</f>
        <v>2.2393938820397974E-2</v>
      </c>
      <c r="O26">
        <f>(1+'Rescale to Fit GDP Proj'!N143)/(1+'Rescale to Fit GDP Proj'!$D$143)-1</f>
        <v>3.3349994434793473E-2</v>
      </c>
      <c r="P26">
        <f>(1+'Rescale to Fit GDP Proj'!O143)/(1+'Rescale to Fit GDP Proj'!$D$143)-1</f>
        <v>4.1173540935577124E-2</v>
      </c>
      <c r="Q26">
        <f>(1+'Rescale to Fit GDP Proj'!P143)/(1+'Rescale to Fit GDP Proj'!$D$143)-1</f>
        <v>4.8407176411951358E-2</v>
      </c>
      <c r="R26">
        <f>(1+'Rescale to Fit GDP Proj'!Q143)/(1+'Rescale to Fit GDP Proj'!$D$143)-1</f>
        <v>5.3669307857990844E-2</v>
      </c>
      <c r="S26">
        <f>(1+'Rescale to Fit GDP Proj'!R143)/(1+'Rescale to Fit GDP Proj'!$D$143)-1</f>
        <v>5.868024211263756E-2</v>
      </c>
      <c r="T26">
        <f>(1+'Rescale to Fit GDP Proj'!S143)/(1+'Rescale to Fit GDP Proj'!$D$143)-1</f>
        <v>6.5652291336230073E-2</v>
      </c>
      <c r="U26">
        <f>(1+'Rescale to Fit GDP Proj'!T143)/(1+'Rescale to Fit GDP Proj'!$D$143)-1</f>
        <v>7.168454048746109E-2</v>
      </c>
      <c r="V26">
        <f>(1+'Rescale to Fit GDP Proj'!U143)/(1+'Rescale to Fit GDP Proj'!$D$143)-1</f>
        <v>7.873810453527641E-2</v>
      </c>
      <c r="W26">
        <f>(1+'Rescale to Fit GDP Proj'!V143)/(1+'Rescale to Fit GDP Proj'!$D$143)-1</f>
        <v>8.4754748961264781E-2</v>
      </c>
      <c r="X26">
        <f>(1+'Rescale to Fit GDP Proj'!W143)/(1+'Rescale to Fit GDP Proj'!$D$143)-1</f>
        <v>9.054624915533882E-2</v>
      </c>
      <c r="Y26">
        <f>(1+'Rescale to Fit GDP Proj'!X143)/(1+'Rescale to Fit GDP Proj'!$D$143)-1</f>
        <v>9.7416199857002672E-2</v>
      </c>
      <c r="Z26">
        <f>(1+'Rescale to Fit GDP Proj'!Y143)/(1+'Rescale to Fit GDP Proj'!$D$143)-1</f>
        <v>0.10615516721693008</v>
      </c>
      <c r="AA26">
        <f>(1+'Rescale to Fit GDP Proj'!Z143)/(1+'Rescale to Fit GDP Proj'!$D$143)-1</f>
        <v>0.11481713379558145</v>
      </c>
      <c r="AB26">
        <f>(1+'Rescale to Fit GDP Proj'!AA143)/(1+'Rescale to Fit GDP Proj'!$D$143)-1</f>
        <v>0.1223704632610958</v>
      </c>
      <c r="AC26">
        <f>(1+'Rescale to Fit GDP Proj'!AB143)/(1+'Rescale to Fit GDP Proj'!$D$143)-1</f>
        <v>0.1285117679704828</v>
      </c>
      <c r="AD26">
        <f>(1+'Rescale to Fit GDP Proj'!AC143)/(1+'Rescale to Fit GDP Proj'!$D$143)-1</f>
        <v>0.13280521454126015</v>
      </c>
    </row>
    <row r="27" spans="1:30" x14ac:dyDescent="0.25">
      <c r="A27" t="s">
        <v>288</v>
      </c>
      <c r="B27" t="s">
        <v>288</v>
      </c>
      <c r="C27">
        <v>327424312722.42059</v>
      </c>
      <c r="D27">
        <f>(1+'Rescale to Fit GDP Proj'!C144)/(1+'Rescale to Fit GDP Proj'!$D$144)-1</f>
        <v>-2.3758244651829852E-2</v>
      </c>
      <c r="E27">
        <f>(1+'Rescale to Fit GDP Proj'!D144)/(1+'Rescale to Fit GDP Proj'!$D$144)-1</f>
        <v>0</v>
      </c>
      <c r="F27">
        <f>(1+'Rescale to Fit GDP Proj'!E144)/(1+'Rescale to Fit GDP Proj'!$D$144)-1</f>
        <v>-2.0461753244390035E-2</v>
      </c>
      <c r="G27">
        <f>(1+'Rescale to Fit GDP Proj'!F144)/(1+'Rescale to Fit GDP Proj'!$D$144)-1</f>
        <v>3.1545271848745227E-3</v>
      </c>
      <c r="H27">
        <f>(1+'Rescale to Fit GDP Proj'!G144)/(1+'Rescale to Fit GDP Proj'!$D$144)-1</f>
        <v>2.2043316450130579E-2</v>
      </c>
      <c r="I27">
        <f>(1+'Rescale to Fit GDP Proj'!H144)/(1+'Rescale to Fit GDP Proj'!$D$144)-1</f>
        <v>4.1923427834520632E-2</v>
      </c>
      <c r="J27">
        <f>(1+'Rescale to Fit GDP Proj'!I144)/(1+'Rescale to Fit GDP Proj'!$D$144)-1</f>
        <v>5.5349021969828271E-2</v>
      </c>
      <c r="K27">
        <f>(1+'Rescale to Fit GDP Proj'!J144)/(1+'Rescale to Fit GDP Proj'!$D$144)-1</f>
        <v>7.5940038788572473E-2</v>
      </c>
      <c r="L27">
        <f>(1+'Rescale to Fit GDP Proj'!K144)/(1+'Rescale to Fit GDP Proj'!$D$144)-1</f>
        <v>9.3414217604199212E-2</v>
      </c>
      <c r="M27">
        <f>(1+'Rescale to Fit GDP Proj'!L144)/(1+'Rescale to Fit GDP Proj'!$D$144)-1</f>
        <v>9.4543504077065466E-2</v>
      </c>
      <c r="N27">
        <f>(1+'Rescale to Fit GDP Proj'!M144)/(1+'Rescale to Fit GDP Proj'!$D$144)-1</f>
        <v>0.10305915602898663</v>
      </c>
      <c r="O27">
        <f>(1+'Rescale to Fit GDP Proj'!N144)/(1+'Rescale to Fit GDP Proj'!$D$144)-1</f>
        <v>0.11742389053842972</v>
      </c>
      <c r="P27">
        <f>(1+'Rescale to Fit GDP Proj'!O144)/(1+'Rescale to Fit GDP Proj'!$D$144)-1</f>
        <v>0.12775064116652568</v>
      </c>
      <c r="Q27">
        <f>(1+'Rescale to Fit GDP Proj'!P144)/(1+'Rescale to Fit GDP Proj'!$D$144)-1</f>
        <v>0.13466822922530874</v>
      </c>
      <c r="R27">
        <f>(1+'Rescale to Fit GDP Proj'!Q144)/(1+'Rescale to Fit GDP Proj'!$D$144)-1</f>
        <v>0.13744126523484046</v>
      </c>
      <c r="S27">
        <f>(1+'Rescale to Fit GDP Proj'!R144)/(1+'Rescale to Fit GDP Proj'!$D$144)-1</f>
        <v>0.13779416766709818</v>
      </c>
      <c r="T27">
        <f>(1+'Rescale to Fit GDP Proj'!S144)/(1+'Rescale to Fit GDP Proj'!$D$144)-1</f>
        <v>0.14273610552525384</v>
      </c>
      <c r="U27">
        <f>(1+'Rescale to Fit GDP Proj'!T144)/(1+'Rescale to Fit GDP Proj'!$D$144)-1</f>
        <v>0.14710529885653889</v>
      </c>
      <c r="V27">
        <f>(1+'Rescale to Fit GDP Proj'!U144)/(1+'Rescale to Fit GDP Proj'!$D$144)-1</f>
        <v>0.15124205754956255</v>
      </c>
      <c r="W27">
        <f>(1+'Rescale to Fit GDP Proj'!V144)/(1+'Rescale to Fit GDP Proj'!$D$144)-1</f>
        <v>0.15337856734001964</v>
      </c>
      <c r="X27">
        <f>(1+'Rescale to Fit GDP Proj'!W144)/(1+'Rescale to Fit GDP Proj'!$D$144)-1</f>
        <v>0.155078596767392</v>
      </c>
      <c r="Y27">
        <f>(1+'Rescale to Fit GDP Proj'!X144)/(1+'Rescale to Fit GDP Proj'!$D$144)-1</f>
        <v>0.15871059560012468</v>
      </c>
      <c r="Z27">
        <f>(1+'Rescale to Fit GDP Proj'!Y144)/(1+'Rescale to Fit GDP Proj'!$D$144)-1</f>
        <v>0.16415709021302871</v>
      </c>
      <c r="AA27">
        <f>(1+'Rescale to Fit GDP Proj'!Z144)/(1+'Rescale to Fit GDP Proj'!$D$144)-1</f>
        <v>0.17035798105359401</v>
      </c>
      <c r="AB27">
        <f>(1+'Rescale to Fit GDP Proj'!AA144)/(1+'Rescale to Fit GDP Proj'!$D$144)-1</f>
        <v>0.17377413766054683</v>
      </c>
      <c r="AC27">
        <f>(1+'Rescale to Fit GDP Proj'!AB144)/(1+'Rescale to Fit GDP Proj'!$D$144)-1</f>
        <v>0.17471457856533479</v>
      </c>
      <c r="AD27">
        <f>(1+'Rescale to Fit GDP Proj'!AC144)/(1+'Rescale to Fit GDP Proj'!$D$144)-1</f>
        <v>0.17394699030508409</v>
      </c>
    </row>
    <row r="28" spans="1:30" x14ac:dyDescent="0.25">
      <c r="A28" t="s">
        <v>327</v>
      </c>
      <c r="B28" t="s">
        <v>327</v>
      </c>
      <c r="C28">
        <v>529753012600.35999</v>
      </c>
      <c r="D28">
        <f>(1+'Rescale to Fit GDP Proj'!C145)/(1+'Rescale to Fit GDP Proj'!$D$145)-1</f>
        <v>6.5181459965410804E-2</v>
      </c>
      <c r="E28">
        <f>(1+'Rescale to Fit GDP Proj'!D145)/(1+'Rescale to Fit GDP Proj'!$D$145)-1</f>
        <v>0</v>
      </c>
      <c r="F28">
        <f>(1+'Rescale to Fit GDP Proj'!E145)/(1+'Rescale to Fit GDP Proj'!$D$145)-1</f>
        <v>2.9380888594976451E-3</v>
      </c>
      <c r="G28">
        <f>(1+'Rescale to Fit GDP Proj'!F145)/(1+'Rescale to Fit GDP Proj'!$D$145)-1</f>
        <v>6.6463475843657749E-2</v>
      </c>
      <c r="H28">
        <f>(1+'Rescale to Fit GDP Proj'!G145)/(1+'Rescale to Fit GDP Proj'!$D$145)-1</f>
        <v>8.7371025981234807E-2</v>
      </c>
      <c r="I28">
        <f>(1+'Rescale to Fit GDP Proj'!H145)/(1+'Rescale to Fit GDP Proj'!$D$145)-1</f>
        <v>0.10469546128258833</v>
      </c>
      <c r="J28">
        <f>(1+'Rescale to Fit GDP Proj'!I145)/(1+'Rescale to Fit GDP Proj'!$D$145)-1</f>
        <v>0.12307917001619506</v>
      </c>
      <c r="K28">
        <f>(1+'Rescale to Fit GDP Proj'!J145)/(1+'Rescale to Fit GDP Proj'!$D$145)-1</f>
        <v>0.1306062439077218</v>
      </c>
      <c r="L28">
        <f>(1+'Rescale to Fit GDP Proj'!K145)/(1+'Rescale to Fit GDP Proj'!$D$145)-1</f>
        <v>0.14856395385993859</v>
      </c>
      <c r="M28">
        <f>(1+'Rescale to Fit GDP Proj'!L145)/(1+'Rescale to Fit GDP Proj'!$D$145)-1</f>
        <v>0.15650472550153771</v>
      </c>
      <c r="N28">
        <f>(1+'Rescale to Fit GDP Proj'!M145)/(1+'Rescale to Fit GDP Proj'!$D$145)-1</f>
        <v>0.15980566784832995</v>
      </c>
      <c r="O28">
        <f>(1+'Rescale to Fit GDP Proj'!N145)/(1+'Rescale to Fit GDP Proj'!$D$145)-1</f>
        <v>0.16426672015935817</v>
      </c>
      <c r="P28">
        <f>(1+'Rescale to Fit GDP Proj'!O145)/(1+'Rescale to Fit GDP Proj'!$D$145)-1</f>
        <v>0.17623195028172467</v>
      </c>
      <c r="Q28">
        <f>(1+'Rescale to Fit GDP Proj'!P145)/(1+'Rescale to Fit GDP Proj'!$D$145)-1</f>
        <v>0.20042972600385456</v>
      </c>
      <c r="R28">
        <f>(1+'Rescale to Fit GDP Proj'!Q145)/(1+'Rescale to Fit GDP Proj'!$D$145)-1</f>
        <v>0.22287783715106491</v>
      </c>
      <c r="S28">
        <f>(1+'Rescale to Fit GDP Proj'!R145)/(1+'Rescale to Fit GDP Proj'!$D$145)-1</f>
        <v>0.24575925486996519</v>
      </c>
      <c r="T28">
        <f>(1+'Rescale to Fit GDP Proj'!S145)/(1+'Rescale to Fit GDP Proj'!$D$145)-1</f>
        <v>0.26695884226564037</v>
      </c>
      <c r="U28">
        <f>(1+'Rescale to Fit GDP Proj'!T145)/(1+'Rescale to Fit GDP Proj'!$D$145)-1</f>
        <v>0.28566174530304522</v>
      </c>
      <c r="V28">
        <f>(1+'Rescale to Fit GDP Proj'!U145)/(1+'Rescale to Fit GDP Proj'!$D$145)-1</f>
        <v>0.30448667596782819</v>
      </c>
      <c r="W28">
        <f>(1+'Rescale to Fit GDP Proj'!V145)/(1+'Rescale to Fit GDP Proj'!$D$145)-1</f>
        <v>0.32107139827848119</v>
      </c>
      <c r="X28">
        <f>(1+'Rescale to Fit GDP Proj'!W145)/(1+'Rescale to Fit GDP Proj'!$D$145)-1</f>
        <v>0.3381083027092846</v>
      </c>
      <c r="Y28">
        <f>(1+'Rescale to Fit GDP Proj'!X145)/(1+'Rescale to Fit GDP Proj'!$D$145)-1</f>
        <v>0.35598965448348352</v>
      </c>
      <c r="Z28">
        <f>(1+'Rescale to Fit GDP Proj'!Y145)/(1+'Rescale to Fit GDP Proj'!$D$145)-1</f>
        <v>0.37296993027360337</v>
      </c>
      <c r="AA28">
        <f>(1+'Rescale to Fit GDP Proj'!Z145)/(1+'Rescale to Fit GDP Proj'!$D$145)-1</f>
        <v>0.38852777386310677</v>
      </c>
      <c r="AB28">
        <f>(1+'Rescale to Fit GDP Proj'!AA145)/(1+'Rescale to Fit GDP Proj'!$D$145)-1</f>
        <v>0.40444232241954747</v>
      </c>
      <c r="AC28">
        <f>(1+'Rescale to Fit GDP Proj'!AB145)/(1+'Rescale to Fit GDP Proj'!$D$145)-1</f>
        <v>0.41898912000217647</v>
      </c>
      <c r="AD28">
        <f>(1+'Rescale to Fit GDP Proj'!AC145)/(1+'Rescale to Fit GDP Proj'!$D$145)-1</f>
        <v>0.43076631594128378</v>
      </c>
    </row>
    <row r="29" spans="1:30" x14ac:dyDescent="0.25">
      <c r="A29" t="s">
        <v>339</v>
      </c>
      <c r="B29" t="s">
        <v>1271</v>
      </c>
      <c r="C29">
        <v>32718483181.788361</v>
      </c>
      <c r="D29">
        <f>(1+'Rescale to Fit GDP Proj'!C146)/(1+'Rescale to Fit GDP Proj'!$D$146)-1</f>
        <v>-1.175573401288732E-2</v>
      </c>
      <c r="E29">
        <f>(1+'Rescale to Fit GDP Proj'!D146)/(1+'Rescale to Fit GDP Proj'!$D$146)-1</f>
        <v>0</v>
      </c>
      <c r="F29">
        <f>(1+'Rescale to Fit GDP Proj'!E146)/(1+'Rescale to Fit GDP Proj'!$D$146)-1</f>
        <v>1.920922907617939E-2</v>
      </c>
      <c r="G29">
        <f>(1+'Rescale to Fit GDP Proj'!F146)/(1+'Rescale to Fit GDP Proj'!$D$146)-1</f>
        <v>3.1963857634242476E-2</v>
      </c>
      <c r="H29">
        <f>(1+'Rescale to Fit GDP Proj'!G146)/(1+'Rescale to Fit GDP Proj'!$D$146)-1</f>
        <v>4.0719367514067573E-2</v>
      </c>
      <c r="I29">
        <f>(1+'Rescale to Fit GDP Proj'!H146)/(1+'Rescale to Fit GDP Proj'!$D$146)-1</f>
        <v>5.1203616831759557E-2</v>
      </c>
      <c r="J29">
        <f>(1+'Rescale to Fit GDP Proj'!I146)/(1+'Rescale to Fit GDP Proj'!$D$146)-1</f>
        <v>6.3131697578428403E-2</v>
      </c>
      <c r="K29">
        <f>(1+'Rescale to Fit GDP Proj'!J146)/(1+'Rescale to Fit GDP Proj'!$D$146)-1</f>
        <v>7.477493072001784E-2</v>
      </c>
      <c r="L29">
        <f>(1+'Rescale to Fit GDP Proj'!K146)/(1+'Rescale to Fit GDP Proj'!$D$146)-1</f>
        <v>8.7942390340458587E-2</v>
      </c>
      <c r="M29">
        <f>(1+'Rescale to Fit GDP Proj'!L146)/(1+'Rescale to Fit GDP Proj'!$D$146)-1</f>
        <v>0.10212509727270924</v>
      </c>
      <c r="N29">
        <f>(1+'Rescale to Fit GDP Proj'!M146)/(1+'Rescale to Fit GDP Proj'!$D$146)-1</f>
        <v>0.11712656853398551</v>
      </c>
      <c r="O29">
        <f>(1+'Rescale to Fit GDP Proj'!N146)/(1+'Rescale to Fit GDP Proj'!$D$146)-1</f>
        <v>0.13290350006328722</v>
      </c>
      <c r="P29">
        <f>(1+'Rescale to Fit GDP Proj'!O146)/(1+'Rescale to Fit GDP Proj'!$D$146)-1</f>
        <v>0.14592573678081444</v>
      </c>
      <c r="Q29">
        <f>(1+'Rescale to Fit GDP Proj'!P146)/(1+'Rescale to Fit GDP Proj'!$D$146)-1</f>
        <v>0.15876186227343037</v>
      </c>
      <c r="R29">
        <f>(1+'Rescale to Fit GDP Proj'!Q146)/(1+'Rescale to Fit GDP Proj'!$D$146)-1</f>
        <v>0.17156249138014479</v>
      </c>
      <c r="S29">
        <f>(1+'Rescale to Fit GDP Proj'!R146)/(1+'Rescale to Fit GDP Proj'!$D$146)-1</f>
        <v>0.18403612386369006</v>
      </c>
      <c r="T29">
        <f>(1+'Rescale to Fit GDP Proj'!S146)/(1+'Rescale to Fit GDP Proj'!$D$146)-1</f>
        <v>0.1964766323808953</v>
      </c>
      <c r="U29">
        <f>(1+'Rescale to Fit GDP Proj'!T146)/(1+'Rescale to Fit GDP Proj'!$D$146)-1</f>
        <v>0.20846618256657012</v>
      </c>
      <c r="V29">
        <f>(1+'Rescale to Fit GDP Proj'!U146)/(1+'Rescale to Fit GDP Proj'!$D$146)-1</f>
        <v>0.22068808685309049</v>
      </c>
      <c r="W29">
        <f>(1+'Rescale to Fit GDP Proj'!V146)/(1+'Rescale to Fit GDP Proj'!$D$146)-1</f>
        <v>0.23330818121853425</v>
      </c>
      <c r="X29">
        <f>(1+'Rescale to Fit GDP Proj'!W146)/(1+'Rescale to Fit GDP Proj'!$D$146)-1</f>
        <v>0.24588722380562511</v>
      </c>
      <c r="Y29">
        <f>(1+'Rescale to Fit GDP Proj'!X146)/(1+'Rescale to Fit GDP Proj'!$D$146)-1</f>
        <v>0.25819552923437272</v>
      </c>
      <c r="Z29">
        <f>(1+'Rescale to Fit GDP Proj'!Y146)/(1+'Rescale to Fit GDP Proj'!$D$146)-1</f>
        <v>0.27001899987349343</v>
      </c>
      <c r="AA29">
        <f>(1+'Rescale to Fit GDP Proj'!Z146)/(1+'Rescale to Fit GDP Proj'!$D$146)-1</f>
        <v>0.28125425844194618</v>
      </c>
      <c r="AB29">
        <f>(1+'Rescale to Fit GDP Proj'!AA146)/(1+'Rescale to Fit GDP Proj'!$D$146)-1</f>
        <v>0.29246661530548312</v>
      </c>
      <c r="AC29">
        <f>(1+'Rescale to Fit GDP Proj'!AB146)/(1+'Rescale to Fit GDP Proj'!$D$146)-1</f>
        <v>0.30321960321337071</v>
      </c>
      <c r="AD29">
        <f>(1+'Rescale to Fit GDP Proj'!AC146)/(1+'Rescale to Fit GDP Proj'!$D$146)-1</f>
        <v>0.31430276881614438</v>
      </c>
    </row>
    <row r="30" spans="1:30" x14ac:dyDescent="0.25">
      <c r="A30" t="s">
        <v>334</v>
      </c>
      <c r="B30" t="s">
        <v>1271</v>
      </c>
      <c r="C30">
        <v>228788200188.14511</v>
      </c>
      <c r="D30">
        <f>(1+'Rescale to Fit GDP Proj'!C147)/(1+'Rescale to Fit GDP Proj'!$D$147)-1</f>
        <v>6.5181459965410804E-2</v>
      </c>
      <c r="E30">
        <f>(1+'Rescale to Fit GDP Proj'!D147)/(1+'Rescale to Fit GDP Proj'!$D$147)-1</f>
        <v>0</v>
      </c>
      <c r="F30">
        <f>(1+'Rescale to Fit GDP Proj'!E147)/(1+'Rescale to Fit GDP Proj'!$D$147)-1</f>
        <v>2.9380888594976451E-3</v>
      </c>
      <c r="G30">
        <f>(1+'Rescale to Fit GDP Proj'!F147)/(1+'Rescale to Fit GDP Proj'!$D$147)-1</f>
        <v>6.6463475843657749E-2</v>
      </c>
      <c r="H30">
        <f>(1+'Rescale to Fit GDP Proj'!G147)/(1+'Rescale to Fit GDP Proj'!$D$147)-1</f>
        <v>8.7371025981234807E-2</v>
      </c>
      <c r="I30">
        <f>(1+'Rescale to Fit GDP Proj'!H147)/(1+'Rescale to Fit GDP Proj'!$D$147)-1</f>
        <v>0.10469546128258833</v>
      </c>
      <c r="J30">
        <f>(1+'Rescale to Fit GDP Proj'!I147)/(1+'Rescale to Fit GDP Proj'!$D$147)-1</f>
        <v>0.12307917001619506</v>
      </c>
      <c r="K30">
        <f>(1+'Rescale to Fit GDP Proj'!J147)/(1+'Rescale to Fit GDP Proj'!$D$147)-1</f>
        <v>0.1306062439077218</v>
      </c>
      <c r="L30">
        <f>(1+'Rescale to Fit GDP Proj'!K147)/(1+'Rescale to Fit GDP Proj'!$D$147)-1</f>
        <v>0.14856395385993859</v>
      </c>
      <c r="M30">
        <f>(1+'Rescale to Fit GDP Proj'!L147)/(1+'Rescale to Fit GDP Proj'!$D$147)-1</f>
        <v>0.15650472550153771</v>
      </c>
      <c r="N30">
        <f>(1+'Rescale to Fit GDP Proj'!M147)/(1+'Rescale to Fit GDP Proj'!$D$147)-1</f>
        <v>0.15980566784832995</v>
      </c>
      <c r="O30">
        <f>(1+'Rescale to Fit GDP Proj'!N147)/(1+'Rescale to Fit GDP Proj'!$D$147)-1</f>
        <v>0.16426672015935817</v>
      </c>
      <c r="P30">
        <f>(1+'Rescale to Fit GDP Proj'!O147)/(1+'Rescale to Fit GDP Proj'!$D$147)-1</f>
        <v>0.17623195028172467</v>
      </c>
      <c r="Q30">
        <f>(1+'Rescale to Fit GDP Proj'!P147)/(1+'Rescale to Fit GDP Proj'!$D$147)-1</f>
        <v>0.20042972600385456</v>
      </c>
      <c r="R30">
        <f>(1+'Rescale to Fit GDP Proj'!Q147)/(1+'Rescale to Fit GDP Proj'!$D$147)-1</f>
        <v>0.22287783715106491</v>
      </c>
      <c r="S30">
        <f>(1+'Rescale to Fit GDP Proj'!R147)/(1+'Rescale to Fit GDP Proj'!$D$147)-1</f>
        <v>0.24575925486996519</v>
      </c>
      <c r="T30">
        <f>(1+'Rescale to Fit GDP Proj'!S147)/(1+'Rescale to Fit GDP Proj'!$D$147)-1</f>
        <v>0.26695884226564037</v>
      </c>
      <c r="U30">
        <f>(1+'Rescale to Fit GDP Proj'!T147)/(1+'Rescale to Fit GDP Proj'!$D$147)-1</f>
        <v>0.28566174530304522</v>
      </c>
      <c r="V30">
        <f>(1+'Rescale to Fit GDP Proj'!U147)/(1+'Rescale to Fit GDP Proj'!$D$147)-1</f>
        <v>0.30448667596782819</v>
      </c>
      <c r="W30">
        <f>(1+'Rescale to Fit GDP Proj'!V147)/(1+'Rescale to Fit GDP Proj'!$D$147)-1</f>
        <v>0.32107139827848119</v>
      </c>
      <c r="X30">
        <f>(1+'Rescale to Fit GDP Proj'!W147)/(1+'Rescale to Fit GDP Proj'!$D$147)-1</f>
        <v>0.3381083027092846</v>
      </c>
      <c r="Y30">
        <f>(1+'Rescale to Fit GDP Proj'!X147)/(1+'Rescale to Fit GDP Proj'!$D$147)-1</f>
        <v>0.35598965448348352</v>
      </c>
      <c r="Z30">
        <f>(1+'Rescale to Fit GDP Proj'!Y147)/(1+'Rescale to Fit GDP Proj'!$D$147)-1</f>
        <v>0.37296993027360337</v>
      </c>
      <c r="AA30">
        <f>(1+'Rescale to Fit GDP Proj'!Z147)/(1+'Rescale to Fit GDP Proj'!$D$147)-1</f>
        <v>0.38852777386310677</v>
      </c>
      <c r="AB30">
        <f>(1+'Rescale to Fit GDP Proj'!AA147)/(1+'Rescale to Fit GDP Proj'!$D$147)-1</f>
        <v>0.40444232241954747</v>
      </c>
      <c r="AC30">
        <f>(1+'Rescale to Fit GDP Proj'!AB147)/(1+'Rescale to Fit GDP Proj'!$D$147)-1</f>
        <v>0.41898912000217647</v>
      </c>
      <c r="AD30">
        <f>(1+'Rescale to Fit GDP Proj'!AC147)/(1+'Rescale to Fit GDP Proj'!$D$147)-1</f>
        <v>0.43076631594128378</v>
      </c>
    </row>
    <row r="31" spans="1:30" x14ac:dyDescent="0.25">
      <c r="A31" t="s">
        <v>344</v>
      </c>
      <c r="B31" t="s">
        <v>344</v>
      </c>
      <c r="C31">
        <v>233974953498.13708</v>
      </c>
      <c r="D31">
        <f>(1+'Rescale to Fit GDP Proj'!C148)/(1+'Rescale to Fit GDP Proj'!$D$148)-1</f>
        <v>1.6593135937573944E-2</v>
      </c>
      <c r="E31">
        <f>(1+'Rescale to Fit GDP Proj'!D148)/(1+'Rescale to Fit GDP Proj'!$D$148)-1</f>
        <v>0</v>
      </c>
      <c r="F31">
        <f>(1+'Rescale to Fit GDP Proj'!E148)/(1+'Rescale to Fit GDP Proj'!$D$148)-1</f>
        <v>5.599945901687553E-3</v>
      </c>
      <c r="G31">
        <f>(1+'Rescale to Fit GDP Proj'!F148)/(1+'Rescale to Fit GDP Proj'!$D$148)-1</f>
        <v>3.1501294255283918E-2</v>
      </c>
      <c r="H31">
        <f>(1+'Rescale to Fit GDP Proj'!G148)/(1+'Rescale to Fit GDP Proj'!$D$148)-1</f>
        <v>4.3213074069837543E-2</v>
      </c>
      <c r="I31">
        <f>(1+'Rescale to Fit GDP Proj'!H148)/(1+'Rescale to Fit GDP Proj'!$D$148)-1</f>
        <v>5.9713802389971038E-2</v>
      </c>
      <c r="J31">
        <f>(1+'Rescale to Fit GDP Proj'!I148)/(1+'Rescale to Fit GDP Proj'!$D$148)-1</f>
        <v>8.5015386926218683E-2</v>
      </c>
      <c r="K31">
        <f>(1+'Rescale to Fit GDP Proj'!J148)/(1+'Rescale to Fit GDP Proj'!$D$148)-1</f>
        <v>0.11253935497977352</v>
      </c>
      <c r="L31">
        <f>(1+'Rescale to Fit GDP Proj'!K148)/(1+'Rescale to Fit GDP Proj'!$D$148)-1</f>
        <v>0.12446350009577101</v>
      </c>
      <c r="M31">
        <f>(1+'Rescale to Fit GDP Proj'!L148)/(1+'Rescale to Fit GDP Proj'!$D$148)-1</f>
        <v>0.1292443248006907</v>
      </c>
      <c r="N31">
        <f>(1+'Rescale to Fit GDP Proj'!M148)/(1+'Rescale to Fit GDP Proj'!$D$148)-1</f>
        <v>0.13126773178796336</v>
      </c>
      <c r="O31">
        <f>(1+'Rescale to Fit GDP Proj'!N148)/(1+'Rescale to Fit GDP Proj'!$D$148)-1</f>
        <v>0.1400815290069457</v>
      </c>
      <c r="P31">
        <f>(1+'Rescale to Fit GDP Proj'!O148)/(1+'Rescale to Fit GDP Proj'!$D$148)-1</f>
        <v>0.14985405279660546</v>
      </c>
      <c r="Q31">
        <f>(1+'Rescale to Fit GDP Proj'!P148)/(1+'Rescale to Fit GDP Proj'!$D$148)-1</f>
        <v>0.16107958057904681</v>
      </c>
      <c r="R31">
        <f>(1+'Rescale to Fit GDP Proj'!Q148)/(1+'Rescale to Fit GDP Proj'!$D$148)-1</f>
        <v>0.17452233515978177</v>
      </c>
      <c r="S31">
        <f>(1+'Rescale to Fit GDP Proj'!R148)/(1+'Rescale to Fit GDP Proj'!$D$148)-1</f>
        <v>0.18033408542210405</v>
      </c>
      <c r="T31">
        <f>(1+'Rescale to Fit GDP Proj'!S148)/(1+'Rescale to Fit GDP Proj'!$D$148)-1</f>
        <v>0.19307367117587848</v>
      </c>
      <c r="U31">
        <f>(1+'Rescale to Fit GDP Proj'!T148)/(1+'Rescale to Fit GDP Proj'!$D$148)-1</f>
        <v>0.20630165923486565</v>
      </c>
      <c r="V31">
        <f>(1+'Rescale to Fit GDP Proj'!U148)/(1+'Rescale to Fit GDP Proj'!$D$148)-1</f>
        <v>0.2175444531690427</v>
      </c>
      <c r="W31">
        <f>(1+'Rescale to Fit GDP Proj'!V148)/(1+'Rescale to Fit GDP Proj'!$D$148)-1</f>
        <v>0.22810427706590741</v>
      </c>
      <c r="X31">
        <f>(1+'Rescale to Fit GDP Proj'!W148)/(1+'Rescale to Fit GDP Proj'!$D$148)-1</f>
        <v>0.23974369551613361</v>
      </c>
      <c r="Y31">
        <f>(1+'Rescale to Fit GDP Proj'!X148)/(1+'Rescale to Fit GDP Proj'!$D$148)-1</f>
        <v>0.25471555997990292</v>
      </c>
      <c r="Z31">
        <f>(1+'Rescale to Fit GDP Proj'!Y148)/(1+'Rescale to Fit GDP Proj'!$D$148)-1</f>
        <v>0.26498087519057711</v>
      </c>
      <c r="AA31">
        <f>(1+'Rescale to Fit GDP Proj'!Z148)/(1+'Rescale to Fit GDP Proj'!$D$148)-1</f>
        <v>0.27435047126088952</v>
      </c>
      <c r="AB31">
        <f>(1+'Rescale to Fit GDP Proj'!AA148)/(1+'Rescale to Fit GDP Proj'!$D$148)-1</f>
        <v>0.27836108979167085</v>
      </c>
      <c r="AC31">
        <f>(1+'Rescale to Fit GDP Proj'!AB148)/(1+'Rescale to Fit GDP Proj'!$D$148)-1</f>
        <v>0.29299227128372984</v>
      </c>
      <c r="AD31">
        <f>(1+'Rescale to Fit GDP Proj'!AC148)/(1+'Rescale to Fit GDP Proj'!$D$148)-1</f>
        <v>0.29634968900432956</v>
      </c>
    </row>
    <row r="32" spans="1:30" x14ac:dyDescent="0.25">
      <c r="A32" t="s">
        <v>106</v>
      </c>
      <c r="B32" t="s">
        <v>106</v>
      </c>
      <c r="C32">
        <v>374824957803.27667</v>
      </c>
      <c r="D32">
        <f>(1+'Rescale to Fit GDP Proj'!C149)/(1+'Rescale to Fit GDP Proj'!$D$149)-1</f>
        <v>-1.797198179951609E-2</v>
      </c>
      <c r="E32">
        <f>(1+'Rescale to Fit GDP Proj'!D149)/(1+'Rescale to Fit GDP Proj'!$D$149)-1</f>
        <v>0</v>
      </c>
      <c r="F32">
        <f>(1+'Rescale to Fit GDP Proj'!E149)/(1+'Rescale to Fit GDP Proj'!$D$149)-1</f>
        <v>2.9552660117199148E-2</v>
      </c>
      <c r="G32">
        <f>(1+'Rescale to Fit GDP Proj'!F149)/(1+'Rescale to Fit GDP Proj'!$D$149)-1</f>
        <v>4.9374304321867735E-2</v>
      </c>
      <c r="H32">
        <f>(1+'Rescale to Fit GDP Proj'!G149)/(1+'Rescale to Fit GDP Proj'!$D$149)-1</f>
        <v>6.3071574555562782E-2</v>
      </c>
      <c r="I32">
        <f>(1+'Rescale to Fit GDP Proj'!H149)/(1+'Rescale to Fit GDP Proj'!$D$149)-1</f>
        <v>7.9547615112918635E-2</v>
      </c>
      <c r="J32">
        <f>(1+'Rescale to Fit GDP Proj'!I149)/(1+'Rescale to Fit GDP Proj'!$D$149)-1</f>
        <v>9.8393310607926443E-2</v>
      </c>
      <c r="K32">
        <f>(1+'Rescale to Fit GDP Proj'!J149)/(1+'Rescale to Fit GDP Proj'!$D$149)-1</f>
        <v>0.11690009858406913</v>
      </c>
      <c r="L32">
        <f>(1+'Rescale to Fit GDP Proj'!K149)/(1+'Rescale to Fit GDP Proj'!$D$149)-1</f>
        <v>0.13795171460555244</v>
      </c>
      <c r="M32">
        <f>(1+'Rescale to Fit GDP Proj'!L149)/(1+'Rescale to Fit GDP Proj'!$D$149)-1</f>
        <v>0.1607742404680621</v>
      </c>
      <c r="N32">
        <f>(1+'Rescale to Fit GDP Proj'!M149)/(1+'Rescale to Fit GDP Proj'!$D$149)-1</f>
        <v>0.1850815766418179</v>
      </c>
      <c r="O32">
        <f>(1+'Rescale to Fit GDP Proj'!N149)/(1+'Rescale to Fit GDP Proj'!$D$149)-1</f>
        <v>0.21083026138623273</v>
      </c>
      <c r="P32">
        <f>(1+'Rescale to Fit GDP Proj'!O149)/(1+'Rescale to Fit GDP Proj'!$D$149)-1</f>
        <v>0.23224252477391305</v>
      </c>
      <c r="Q32">
        <f>(1+'Rescale to Fit GDP Proj'!P149)/(1+'Rescale to Fit GDP Proj'!$D$149)-1</f>
        <v>0.25347791843881717</v>
      </c>
      <c r="R32">
        <f>(1+'Rescale to Fit GDP Proj'!Q149)/(1+'Rescale to Fit GDP Proj'!$D$149)-1</f>
        <v>0.27478090298277702</v>
      </c>
      <c r="S32">
        <f>(1+'Rescale to Fit GDP Proj'!R149)/(1+'Rescale to Fit GDP Proj'!$D$149)-1</f>
        <v>0.29566182528537999</v>
      </c>
      <c r="T32">
        <f>(1+'Rescale to Fit GDP Proj'!S149)/(1+'Rescale to Fit GDP Proj'!$D$149)-1</f>
        <v>0.31660543262200846</v>
      </c>
      <c r="U32">
        <f>(1+'Rescale to Fit GDP Proj'!T149)/(1+'Rescale to Fit GDP Proj'!$D$149)-1</f>
        <v>0.33690285806902787</v>
      </c>
      <c r="V32">
        <f>(1+'Rescale to Fit GDP Proj'!U149)/(1+'Rescale to Fit GDP Proj'!$D$149)-1</f>
        <v>0.35770417694797607</v>
      </c>
      <c r="W32">
        <f>(1+'Rescale to Fit GDP Proj'!V149)/(1+'Rescale to Fit GDP Proj'!$D$149)-1</f>
        <v>0.37929900217934032</v>
      </c>
      <c r="X32">
        <f>(1+'Rescale to Fit GDP Proj'!W149)/(1+'Rescale to Fit GDP Proj'!$D$149)-1</f>
        <v>0.40094218063716647</v>
      </c>
      <c r="Y32">
        <f>(1+'Rescale to Fit GDP Proj'!X149)/(1+'Rescale to Fit GDP Proj'!$D$149)-1</f>
        <v>0.42223466746635463</v>
      </c>
      <c r="Z32">
        <f>(1+'Rescale to Fit GDP Proj'!Y149)/(1+'Rescale to Fit GDP Proj'!$D$149)-1</f>
        <v>0.4427961650690253</v>
      </c>
      <c r="AA32">
        <f>(1+'Rescale to Fit GDP Proj'!Z149)/(1+'Rescale to Fit GDP Proj'!$D$149)-1</f>
        <v>0.46243268289669581</v>
      </c>
      <c r="AB32">
        <f>(1+'Rescale to Fit GDP Proj'!AA149)/(1+'Rescale to Fit GDP Proj'!$D$149)-1</f>
        <v>0.48212170369138696</v>
      </c>
      <c r="AC32">
        <f>(1+'Rescale to Fit GDP Proj'!AB149)/(1+'Rescale to Fit GDP Proj'!$D$149)-1</f>
        <v>0.50109227166652381</v>
      </c>
      <c r="AD32">
        <f>(1+'Rescale to Fit GDP Proj'!AC149)/(1+'Rescale to Fit GDP Proj'!$D$149)-1</f>
        <v>0.52073221591973717</v>
      </c>
    </row>
    <row r="33" spans="1:30" x14ac:dyDescent="0.25">
      <c r="A33" t="s">
        <v>127</v>
      </c>
      <c r="B33" t="s">
        <v>127</v>
      </c>
      <c r="C33">
        <v>141533346329.68079</v>
      </c>
      <c r="D33">
        <f>(1+'Rescale to Fit GDP Proj'!C150)/(1+'Rescale to Fit GDP Proj'!$D$150)-1</f>
        <v>-1.0139715580545272E-2</v>
      </c>
      <c r="E33">
        <f>(1+'Rescale to Fit GDP Proj'!D150)/(1+'Rescale to Fit GDP Proj'!$D$150)-1</f>
        <v>0</v>
      </c>
      <c r="F33">
        <f>(1+'Rescale to Fit GDP Proj'!E150)/(1+'Rescale to Fit GDP Proj'!$D$150)-1</f>
        <v>1.6541556065600149E-2</v>
      </c>
      <c r="G33">
        <f>(1+'Rescale to Fit GDP Proj'!F150)/(1+'Rescale to Fit GDP Proj'!$D$150)-1</f>
        <v>2.7496143618858326E-2</v>
      </c>
      <c r="H33">
        <f>(1+'Rescale to Fit GDP Proj'!G150)/(1+'Rescale to Fit GDP Proj'!$D$150)-1</f>
        <v>3.5003094621594677E-2</v>
      </c>
      <c r="I33">
        <f>(1+'Rescale to Fit GDP Proj'!H150)/(1+'Rescale to Fit GDP Proj'!$D$150)-1</f>
        <v>4.3981759810302501E-2</v>
      </c>
      <c r="J33">
        <f>(1+'Rescale to Fit GDP Proj'!I150)/(1+'Rescale to Fit GDP Proj'!$D$150)-1</f>
        <v>5.4182767157135769E-2</v>
      </c>
      <c r="K33">
        <f>(1+'Rescale to Fit GDP Proj'!J150)/(1+'Rescale to Fit GDP Proj'!$D$150)-1</f>
        <v>6.4124655124299768E-2</v>
      </c>
      <c r="L33">
        <f>(1+'Rescale to Fit GDP Proj'!K150)/(1+'Rescale to Fit GDP Proj'!$D$150)-1</f>
        <v>7.5351129735890199E-2</v>
      </c>
      <c r="M33">
        <f>(1+'Rescale to Fit GDP Proj'!L150)/(1+'Rescale to Fit GDP Proj'!$D$150)-1</f>
        <v>8.7422871909885735E-2</v>
      </c>
      <c r="N33">
        <f>(1+'Rescale to Fit GDP Proj'!M150)/(1+'Rescale to Fit GDP Proj'!$D$150)-1</f>
        <v>0.10016869396927652</v>
      </c>
      <c r="O33">
        <f>(1+'Rescale to Fit GDP Proj'!N150)/(1+'Rescale to Fit GDP Proj'!$D$150)-1</f>
        <v>0.11354837833307352</v>
      </c>
      <c r="P33">
        <f>(1+'Rescale to Fit GDP Proj'!O150)/(1+'Rescale to Fit GDP Proj'!$D$150)-1</f>
        <v>0.12457057567793606</v>
      </c>
      <c r="Q33">
        <f>(1+'Rescale to Fit GDP Proj'!P150)/(1+'Rescale to Fit GDP Proj'!$D$150)-1</f>
        <v>0.13541809974673291</v>
      </c>
      <c r="R33">
        <f>(1+'Rescale to Fit GDP Proj'!Q150)/(1+'Rescale to Fit GDP Proj'!$D$150)-1</f>
        <v>0.14621898518872967</v>
      </c>
      <c r="S33">
        <f>(1+'Rescale to Fit GDP Proj'!R150)/(1+'Rescale to Fit GDP Proj'!$D$150)-1</f>
        <v>0.15672798800197874</v>
      </c>
      <c r="T33">
        <f>(1+'Rescale to Fit GDP Proj'!S150)/(1+'Rescale to Fit GDP Proj'!$D$150)-1</f>
        <v>0.16719374989333602</v>
      </c>
      <c r="U33">
        <f>(1+'Rescale to Fit GDP Proj'!T150)/(1+'Rescale to Fit GDP Proj'!$D$150)-1</f>
        <v>0.17726557202886162</v>
      </c>
      <c r="V33">
        <f>(1+'Rescale to Fit GDP Proj'!U150)/(1+'Rescale to Fit GDP Proj'!$D$150)-1</f>
        <v>0.1875184371899592</v>
      </c>
      <c r="W33">
        <f>(1+'Rescale to Fit GDP Proj'!V150)/(1+'Rescale to Fit GDP Proj'!$D$150)-1</f>
        <v>0.19809062045501635</v>
      </c>
      <c r="X33">
        <f>(1+'Rescale to Fit GDP Proj'!W150)/(1+'Rescale to Fit GDP Proj'!$D$150)-1</f>
        <v>0.20861343869235616</v>
      </c>
      <c r="Y33">
        <f>(1+'Rescale to Fit GDP Proj'!X150)/(1+'Rescale to Fit GDP Proj'!$D$150)-1</f>
        <v>0.21889533872015554</v>
      </c>
      <c r="Z33">
        <f>(1+'Rescale to Fit GDP Proj'!Y150)/(1+'Rescale to Fit GDP Proj'!$D$150)-1</f>
        <v>0.22875880766140688</v>
      </c>
      <c r="AA33">
        <f>(1+'Rescale to Fit GDP Proj'!Z150)/(1+'Rescale to Fit GDP Proj'!$D$150)-1</f>
        <v>0.23811945584974126</v>
      </c>
      <c r="AB33">
        <f>(1+'Rescale to Fit GDP Proj'!AA150)/(1+'Rescale to Fit GDP Proj'!$D$150)-1</f>
        <v>0.2474496474824619</v>
      </c>
      <c r="AC33">
        <f>(1+'Rescale to Fit GDP Proj'!AB150)/(1+'Rescale to Fit GDP Proj'!$D$150)-1</f>
        <v>0.25638680214358778</v>
      </c>
      <c r="AD33">
        <f>(1+'Rescale to Fit GDP Proj'!AC150)/(1+'Rescale to Fit GDP Proj'!$D$150)-1</f>
        <v>0.26558782288276972</v>
      </c>
    </row>
    <row r="34" spans="1:30" x14ac:dyDescent="0.25">
      <c r="A34" t="s">
        <v>130</v>
      </c>
      <c r="B34" t="s">
        <v>130</v>
      </c>
      <c r="C34">
        <v>148153947606.04691</v>
      </c>
      <c r="D34">
        <f>(1+'Rescale to Fit GDP Proj'!C151)/(1+'Rescale to Fit GDP Proj'!$D$151)-1</f>
        <v>-1.3448963000757486E-2</v>
      </c>
      <c r="E34">
        <f>(1+'Rescale to Fit GDP Proj'!D151)/(1+'Rescale to Fit GDP Proj'!$D$151)-1</f>
        <v>0</v>
      </c>
      <c r="F34">
        <f>(1+'Rescale to Fit GDP Proj'!E151)/(1+'Rescale to Fit GDP Proj'!$D$151)-1</f>
        <v>2.2013734744338986E-2</v>
      </c>
      <c r="G34">
        <f>(1+'Rescale to Fit GDP Proj'!F151)/(1+'Rescale to Fit GDP Proj'!$D$151)-1</f>
        <v>3.6670731565748182E-2</v>
      </c>
      <c r="H34">
        <f>(1+'Rescale to Fit GDP Proj'!G151)/(1+'Rescale to Fit GDP Proj'!$D$151)-1</f>
        <v>4.6750291830217838E-2</v>
      </c>
      <c r="I34">
        <f>(1+'Rescale to Fit GDP Proj'!H151)/(1+'Rescale to Fit GDP Proj'!$D$151)-1</f>
        <v>5.8834844735424552E-2</v>
      </c>
      <c r="J34">
        <f>(1+'Rescale to Fit GDP Proj'!I151)/(1+'Rescale to Fit GDP Proj'!$D$151)-1</f>
        <v>7.2603633659309441E-2</v>
      </c>
      <c r="K34">
        <f>(1+'Rescale to Fit GDP Proj'!J151)/(1+'Rescale to Fit GDP Proj'!$D$151)-1</f>
        <v>8.6065633594750057E-2</v>
      </c>
      <c r="L34">
        <f>(1+'Rescale to Fit GDP Proj'!K151)/(1+'Rescale to Fit GDP Proj'!$D$151)-1</f>
        <v>0.10131403557188823</v>
      </c>
      <c r="M34">
        <f>(1+'Rescale to Fit GDP Proj'!L151)/(1+'Rescale to Fit GDP Proj'!$D$151)-1</f>
        <v>0.11776715300705254</v>
      </c>
      <c r="N34">
        <f>(1+'Rescale to Fit GDP Proj'!M151)/(1+'Rescale to Fit GDP Proj'!$D$151)-1</f>
        <v>0.13520280125449347</v>
      </c>
      <c r="O34">
        <f>(1+'Rescale to Fit GDP Proj'!N151)/(1+'Rescale to Fit GDP Proj'!$D$151)-1</f>
        <v>0.15357568840678093</v>
      </c>
      <c r="P34">
        <f>(1+'Rescale to Fit GDP Proj'!O151)/(1+'Rescale to Fit GDP Proj'!$D$151)-1</f>
        <v>0.16877145293968421</v>
      </c>
      <c r="Q34">
        <f>(1+'Rescale to Fit GDP Proj'!P151)/(1+'Rescale to Fit GDP Proj'!$D$151)-1</f>
        <v>0.18377489376523681</v>
      </c>
      <c r="R34">
        <f>(1+'Rescale to Fit GDP Proj'!Q151)/(1+'Rescale to Fit GDP Proj'!$D$151)-1</f>
        <v>0.19876104253448945</v>
      </c>
      <c r="S34">
        <f>(1+'Rescale to Fit GDP Proj'!R151)/(1+'Rescale to Fit GDP Proj'!$D$151)-1</f>
        <v>0.21338765986766983</v>
      </c>
      <c r="T34">
        <f>(1+'Rescale to Fit GDP Proj'!S151)/(1+'Rescale to Fit GDP Proj'!$D$151)-1</f>
        <v>0.22799787287434548</v>
      </c>
      <c r="U34">
        <f>(1+'Rescale to Fit GDP Proj'!T151)/(1+'Rescale to Fit GDP Proj'!$D$151)-1</f>
        <v>0.2420998523011515</v>
      </c>
      <c r="V34">
        <f>(1+'Rescale to Fit GDP Proj'!U151)/(1+'Rescale to Fit GDP Proj'!$D$151)-1</f>
        <v>0.25649594651429042</v>
      </c>
      <c r="W34">
        <f>(1+'Rescale to Fit GDP Proj'!V151)/(1+'Rescale to Fit GDP Proj'!$D$151)-1</f>
        <v>0.2713827954533985</v>
      </c>
      <c r="X34">
        <f>(1+'Rescale to Fit GDP Proj'!W151)/(1+'Rescale to Fit GDP Proj'!$D$151)-1</f>
        <v>0.28624338704102059</v>
      </c>
      <c r="Y34">
        <f>(1+'Rescale to Fit GDP Proj'!X151)/(1+'Rescale to Fit GDP Proj'!$D$151)-1</f>
        <v>0.30080556991721141</v>
      </c>
      <c r="Z34">
        <f>(1+'Rescale to Fit GDP Proj'!Y151)/(1+'Rescale to Fit GDP Proj'!$D$151)-1</f>
        <v>0.31481411463710351</v>
      </c>
      <c r="AA34">
        <f>(1+'Rescale to Fit GDP Proj'!Z151)/(1+'Rescale to Fit GDP Proj'!$D$151)-1</f>
        <v>0.32814383395444935</v>
      </c>
      <c r="AB34">
        <f>(1+'Rescale to Fit GDP Proj'!AA151)/(1+'Rescale to Fit GDP Proj'!$D$151)-1</f>
        <v>0.34146341282603054</v>
      </c>
      <c r="AC34">
        <f>(1+'Rescale to Fit GDP Proj'!AB151)/(1+'Rescale to Fit GDP Proj'!$D$151)-1</f>
        <v>0.354253468916363</v>
      </c>
      <c r="AD34">
        <f>(1+'Rescale to Fit GDP Proj'!AC151)/(1+'Rescale to Fit GDP Proj'!$D$151)-1</f>
        <v>0.36745213277656941</v>
      </c>
    </row>
    <row r="35" spans="1:30" x14ac:dyDescent="0.25">
      <c r="A35" t="s">
        <v>133</v>
      </c>
      <c r="B35" t="s">
        <v>133</v>
      </c>
      <c r="C35">
        <v>1947898928660.4839</v>
      </c>
      <c r="D35">
        <f>(1+'Rescale to Fit GDP Proj'!C152)/(1+'Rescale to Fit GDP Proj'!$D$152)-1</f>
        <v>-5.6309915621738482E-2</v>
      </c>
      <c r="E35">
        <f>(1+'Rescale to Fit GDP Proj'!D152)/(1+'Rescale to Fit GDP Proj'!$D$152)-1</f>
        <v>0</v>
      </c>
      <c r="F35">
        <f>(1+'Rescale to Fit GDP Proj'!E152)/(1+'Rescale to Fit GDP Proj'!$D$152)-1</f>
        <v>-3.5622398453959425E-3</v>
      </c>
      <c r="G35">
        <f>(1+'Rescale to Fit GDP Proj'!F152)/(1+'Rescale to Fit GDP Proj'!$D$152)-1</f>
        <v>2.4166684907789282E-3</v>
      </c>
      <c r="H35">
        <f>(1+'Rescale to Fit GDP Proj'!G152)/(1+'Rescale to Fit GDP Proj'!$D$152)-1</f>
        <v>8.6684574799287262E-3</v>
      </c>
      <c r="I35">
        <f>(1+'Rescale to Fit GDP Proj'!H152)/(1+'Rescale to Fit GDP Proj'!$D$152)-1</f>
        <v>2.5305381618640821E-2</v>
      </c>
      <c r="J35">
        <f>(1+'Rescale to Fit GDP Proj'!I152)/(1+'Rescale to Fit GDP Proj'!$D$152)-1</f>
        <v>4.249686144610032E-2</v>
      </c>
      <c r="K35">
        <f>(1+'Rescale to Fit GDP Proj'!J152)/(1+'Rescale to Fit GDP Proj'!$D$152)-1</f>
        <v>5.8412846618510095E-2</v>
      </c>
      <c r="L35">
        <f>(1+'Rescale to Fit GDP Proj'!K152)/(1+'Rescale to Fit GDP Proj'!$D$152)-1</f>
        <v>7.43815208003622E-2</v>
      </c>
      <c r="M35">
        <f>(1+'Rescale to Fit GDP Proj'!L152)/(1+'Rescale to Fit GDP Proj'!$D$152)-1</f>
        <v>8.7819353434775538E-2</v>
      </c>
      <c r="N35">
        <f>(1+'Rescale to Fit GDP Proj'!M152)/(1+'Rescale to Fit GDP Proj'!$D$152)-1</f>
        <v>9.6451352247537203E-2</v>
      </c>
      <c r="O35">
        <f>(1+'Rescale to Fit GDP Proj'!N152)/(1+'Rescale to Fit GDP Proj'!$D$152)-1</f>
        <v>0.10843299503614801</v>
      </c>
      <c r="P35">
        <f>(1+'Rescale to Fit GDP Proj'!O152)/(1+'Rescale to Fit GDP Proj'!$D$152)-1</f>
        <v>0.11891623271460339</v>
      </c>
      <c r="Q35">
        <f>(1+'Rescale to Fit GDP Proj'!P152)/(1+'Rescale to Fit GDP Proj'!$D$152)-1</f>
        <v>0.12788483494062808</v>
      </c>
      <c r="R35">
        <f>(1+'Rescale to Fit GDP Proj'!Q152)/(1+'Rescale to Fit GDP Proj'!$D$152)-1</f>
        <v>0.13554516154305896</v>
      </c>
      <c r="S35">
        <f>(1+'Rescale to Fit GDP Proj'!R152)/(1+'Rescale to Fit GDP Proj'!$D$152)-1</f>
        <v>0.14216281637492423</v>
      </c>
      <c r="T35">
        <f>(1+'Rescale to Fit GDP Proj'!S152)/(1+'Rescale to Fit GDP Proj'!$D$152)-1</f>
        <v>0.14628688805403667</v>
      </c>
      <c r="U35">
        <f>(1+'Rescale to Fit GDP Proj'!T152)/(1+'Rescale to Fit GDP Proj'!$D$152)-1</f>
        <v>0.14900881863006421</v>
      </c>
      <c r="V35">
        <f>(1+'Rescale to Fit GDP Proj'!U152)/(1+'Rescale to Fit GDP Proj'!$D$152)-1</f>
        <v>0.15578510115099031</v>
      </c>
      <c r="W35">
        <f>(1+'Rescale to Fit GDP Proj'!V152)/(1+'Rescale to Fit GDP Proj'!$D$152)-1</f>
        <v>0.16071230361203925</v>
      </c>
      <c r="X35">
        <f>(1+'Rescale to Fit GDP Proj'!W152)/(1+'Rescale to Fit GDP Proj'!$D$152)-1</f>
        <v>0.16662285194727589</v>
      </c>
      <c r="Y35">
        <f>(1+'Rescale to Fit GDP Proj'!X152)/(1+'Rescale to Fit GDP Proj'!$D$152)-1</f>
        <v>0.17797246372443154</v>
      </c>
      <c r="Z35">
        <f>(1+'Rescale to Fit GDP Proj'!Y152)/(1+'Rescale to Fit GDP Proj'!$D$152)-1</f>
        <v>0.189862080210351</v>
      </c>
      <c r="AA35">
        <f>(1+'Rescale to Fit GDP Proj'!Z152)/(1+'Rescale to Fit GDP Proj'!$D$152)-1</f>
        <v>0.20078434144259627</v>
      </c>
      <c r="AB35">
        <f>(1+'Rescale to Fit GDP Proj'!AA152)/(1+'Rescale to Fit GDP Proj'!$D$152)-1</f>
        <v>0.21184276332593921</v>
      </c>
      <c r="AC35">
        <f>(1+'Rescale to Fit GDP Proj'!AB152)/(1+'Rescale to Fit GDP Proj'!$D$152)-1</f>
        <v>0.22444372466784435</v>
      </c>
      <c r="AD35">
        <f>(1+'Rescale to Fit GDP Proj'!AC152)/(1+'Rescale to Fit GDP Proj'!$D$152)-1</f>
        <v>0.23895477001834187</v>
      </c>
    </row>
    <row r="36" spans="1:30" x14ac:dyDescent="0.25">
      <c r="A36" t="s">
        <v>359</v>
      </c>
      <c r="B36" t="s">
        <v>359</v>
      </c>
      <c r="C36">
        <v>4490312903975.1533</v>
      </c>
      <c r="D36">
        <f>(1+'Rescale to Fit GDP Proj'!C153)/(1+'Rescale to Fit GDP Proj'!$D$153)-1</f>
        <v>-2.2603253458020833E-2</v>
      </c>
      <c r="E36">
        <f>(1+'Rescale to Fit GDP Proj'!D153)/(1+'Rescale to Fit GDP Proj'!$D$153)-1</f>
        <v>0</v>
      </c>
      <c r="F36">
        <f>(1+'Rescale to Fit GDP Proj'!E153)/(1+'Rescale to Fit GDP Proj'!$D$153)-1</f>
        <v>3.7344319811697613E-2</v>
      </c>
      <c r="G36">
        <f>(1+'Rescale to Fit GDP Proj'!F153)/(1+'Rescale to Fit GDP Proj'!$D$153)-1</f>
        <v>6.2581569187405428E-2</v>
      </c>
      <c r="H36">
        <f>(1+'Rescale to Fit GDP Proj'!G153)/(1+'Rescale to Fit GDP Proj'!$D$153)-1</f>
        <v>8.0108014890041934E-2</v>
      </c>
      <c r="I36">
        <f>(1+'Rescale to Fit GDP Proj'!H153)/(1+'Rescale to Fit GDP Proj'!$D$153)-1</f>
        <v>0.10126167441519129</v>
      </c>
      <c r="J36">
        <f>(1+'Rescale to Fit GDP Proj'!I153)/(1+'Rescale to Fit GDP Proj'!$D$153)-1</f>
        <v>0.12555510608646414</v>
      </c>
      <c r="K36">
        <f>(1+'Rescale to Fit GDP Proj'!J153)/(1+'Rescale to Fit GDP Proj'!$D$153)-1</f>
        <v>0.14951958042922242</v>
      </c>
      <c r="L36">
        <f>(1+'Rescale to Fit GDP Proj'!K153)/(1+'Rescale to Fit GDP Proj'!$D$153)-1</f>
        <v>0.17689844657484377</v>
      </c>
      <c r="M36">
        <f>(1+'Rescale to Fit GDP Proj'!L153)/(1+'Rescale to Fit GDP Proj'!$D$153)-1</f>
        <v>0.20672525862414148</v>
      </c>
      <c r="N36">
        <f>(1+'Rescale to Fit GDP Proj'!M153)/(1+'Rescale to Fit GDP Proj'!$D$153)-1</f>
        <v>0.23865724853943826</v>
      </c>
      <c r="O36">
        <f>(1+'Rescale to Fit GDP Proj'!N153)/(1+'Rescale to Fit GDP Proj'!$D$153)-1</f>
        <v>0.27266562710940523</v>
      </c>
      <c r="P36">
        <f>(1+'Rescale to Fit GDP Proj'!O153)/(1+'Rescale to Fit GDP Proj'!$D$153)-1</f>
        <v>0.30110510372831589</v>
      </c>
      <c r="Q36">
        <f>(1+'Rescale to Fit GDP Proj'!P153)/(1+'Rescale to Fit GDP Proj'!$D$153)-1</f>
        <v>0.32943888123166087</v>
      </c>
      <c r="R36">
        <f>(1+'Rescale to Fit GDP Proj'!Q153)/(1+'Rescale to Fit GDP Proj'!$D$153)-1</f>
        <v>0.35798980176743678</v>
      </c>
      <c r="S36">
        <f>(1+'Rescale to Fit GDP Proj'!R153)/(1+'Rescale to Fit GDP Proj'!$D$153)-1</f>
        <v>0.38609836269419517</v>
      </c>
      <c r="T36">
        <f>(1+'Rescale to Fit GDP Proj'!S153)/(1+'Rescale to Fit GDP Proj'!$D$153)-1</f>
        <v>0.41441109930897224</v>
      </c>
      <c r="U36">
        <f>(1+'Rescale to Fit GDP Proj'!T153)/(1+'Rescale to Fit GDP Proj'!$D$153)-1</f>
        <v>0.44196537138868286</v>
      </c>
      <c r="V36">
        <f>(1+'Rescale to Fit GDP Proj'!U153)/(1+'Rescale to Fit GDP Proj'!$D$153)-1</f>
        <v>0.47031672674744684</v>
      </c>
      <c r="W36">
        <f>(1+'Rescale to Fit GDP Proj'!V153)/(1+'Rescale to Fit GDP Proj'!$D$153)-1</f>
        <v>0.49986849089608376</v>
      </c>
      <c r="X36">
        <f>(1+'Rescale to Fit GDP Proj'!W153)/(1+'Rescale to Fit GDP Proj'!$D$153)-1</f>
        <v>0.52960868334904809</v>
      </c>
      <c r="Y36">
        <f>(1+'Rescale to Fit GDP Proj'!X153)/(1+'Rescale to Fit GDP Proj'!$D$153)-1</f>
        <v>0.55898616006142743</v>
      </c>
      <c r="Z36">
        <f>(1+'Rescale to Fit GDP Proj'!Y153)/(1+'Rescale to Fit GDP Proj'!$D$153)-1</f>
        <v>0.58746706060706488</v>
      </c>
      <c r="AA36">
        <f>(1+'Rescale to Fit GDP Proj'!Z153)/(1+'Rescale to Fit GDP Proj'!$D$153)-1</f>
        <v>0.61476891801475952</v>
      </c>
      <c r="AB36">
        <f>(1+'Rescale to Fit GDP Proj'!AA153)/(1+'Rescale to Fit GDP Proj'!$D$153)-1</f>
        <v>0.64224068469112705</v>
      </c>
      <c r="AC36">
        <f>(1+'Rescale to Fit GDP Proj'!AB153)/(1+'Rescale to Fit GDP Proj'!$D$153)-1</f>
        <v>0.66880271381055145</v>
      </c>
      <c r="AD36">
        <f>(1+'Rescale to Fit GDP Proj'!AC153)/(1+'Rescale to Fit GDP Proj'!$D$153)-1</f>
        <v>0.6963936116816809</v>
      </c>
    </row>
    <row r="37" spans="1:30" x14ac:dyDescent="0.25">
      <c r="A37" t="s">
        <v>461</v>
      </c>
      <c r="B37" t="s">
        <v>1272</v>
      </c>
      <c r="C37">
        <v>593741579545.63867</v>
      </c>
      <c r="D37">
        <f>(1+'Rescale to Fit GDP Proj'!C154)/(1+'Rescale to Fit GDP Proj'!$D$154)-1</f>
        <v>-1.6761835502818845E-2</v>
      </c>
      <c r="E37">
        <f>(1+'Rescale to Fit GDP Proj'!D154)/(1+'Rescale to Fit GDP Proj'!$D$154)-1</f>
        <v>0</v>
      </c>
      <c r="F37">
        <f>(1+'Rescale to Fit GDP Proj'!E154)/(1+'Rescale to Fit GDP Proj'!$D$154)-1</f>
        <v>2.7528803422869563E-2</v>
      </c>
      <c r="G37">
        <f>(1+'Rescale to Fit GDP Proj'!F154)/(1+'Rescale to Fit GDP Proj'!$D$154)-1</f>
        <v>4.5956704473317789E-2</v>
      </c>
      <c r="H37">
        <f>(1+'Rescale to Fit GDP Proj'!G154)/(1+'Rescale to Fit GDP Proj'!$D$154)-1</f>
        <v>5.8674389420924955E-2</v>
      </c>
      <c r="I37">
        <f>(1+'Rescale to Fit GDP Proj'!H154)/(1+'Rescale to Fit GDP Proj'!$D$154)-1</f>
        <v>7.3958617481605371E-2</v>
      </c>
      <c r="J37">
        <f>(1+'Rescale to Fit GDP Proj'!I154)/(1+'Rescale to Fit GDP Proj'!$D$154)-1</f>
        <v>9.1422816424890474E-2</v>
      </c>
      <c r="K37">
        <f>(1+'Rescale to Fit GDP Proj'!J154)/(1+'Rescale to Fit GDP Proj'!$D$154)-1</f>
        <v>0.10855280030545877</v>
      </c>
      <c r="L37">
        <f>(1+'Rescale to Fit GDP Proj'!K154)/(1+'Rescale to Fit GDP Proj'!$D$154)-1</f>
        <v>0.12801617975787916</v>
      </c>
      <c r="M37">
        <f>(1+'Rescale to Fit GDP Proj'!L154)/(1+'Rescale to Fit GDP Proj'!$D$154)-1</f>
        <v>0.14909013037098173</v>
      </c>
      <c r="N37">
        <f>(1+'Rescale to Fit GDP Proj'!M154)/(1+'Rescale to Fit GDP Proj'!$D$154)-1</f>
        <v>0.17150490907903926</v>
      </c>
      <c r="O37">
        <f>(1+'Rescale to Fit GDP Proj'!N154)/(1+'Rescale to Fit GDP Proj'!$D$154)-1</f>
        <v>0.19521546145727586</v>
      </c>
      <c r="P37">
        <f>(1+'Rescale to Fit GDP Proj'!O154)/(1+'Rescale to Fit GDP Proj'!$D$154)-1</f>
        <v>0.21490412641523315</v>
      </c>
      <c r="Q37">
        <f>(1+'Rescale to Fit GDP Proj'!P154)/(1+'Rescale to Fit GDP Proj'!$D$154)-1</f>
        <v>0.23440692281191433</v>
      </c>
      <c r="R37">
        <f>(1+'Rescale to Fit GDP Proj'!Q154)/(1+'Rescale to Fit GDP Proj'!$D$154)-1</f>
        <v>0.25394909649435893</v>
      </c>
      <c r="S37">
        <f>(1+'Rescale to Fit GDP Proj'!R154)/(1+'Rescale to Fit GDP Proj'!$D$154)-1</f>
        <v>0.27308217224574793</v>
      </c>
      <c r="T37">
        <f>(1+'Rescale to Fit GDP Proj'!S154)/(1+'Rescale to Fit GDP Proj'!$D$154)-1</f>
        <v>0.29225150586390725</v>
      </c>
      <c r="U37">
        <f>(1+'Rescale to Fit GDP Proj'!T154)/(1+'Rescale to Fit GDP Proj'!$D$154)-1</f>
        <v>0.3108091616338271</v>
      </c>
      <c r="V37">
        <f>(1+'Rescale to Fit GDP Proj'!U154)/(1+'Rescale to Fit GDP Proj'!$D$154)-1</f>
        <v>0.32980774608284102</v>
      </c>
      <c r="W37">
        <f>(1+'Rescale to Fit GDP Proj'!V154)/(1+'Rescale to Fit GDP Proj'!$D$154)-1</f>
        <v>0.3495103738938341</v>
      </c>
      <c r="X37">
        <f>(1+'Rescale to Fit GDP Proj'!W154)/(1+'Rescale to Fit GDP Proj'!$D$154)-1</f>
        <v>0.36923594569666962</v>
      </c>
      <c r="Y37">
        <f>(1+'Rescale to Fit GDP Proj'!X154)/(1+'Rescale to Fit GDP Proj'!$D$154)-1</f>
        <v>0.38862136607163245</v>
      </c>
      <c r="Z37">
        <f>(1+'Rescale to Fit GDP Proj'!Y154)/(1+'Rescale to Fit GDP Proj'!$D$154)-1</f>
        <v>0.40732207548063637</v>
      </c>
      <c r="AA37">
        <f>(1+'Rescale to Fit GDP Proj'!Z154)/(1+'Rescale to Fit GDP Proj'!$D$154)-1</f>
        <v>0.42516408441912978</v>
      </c>
      <c r="AB37">
        <f>(1+'Rescale to Fit GDP Proj'!AA154)/(1+'Rescale to Fit GDP Proj'!$D$154)-1</f>
        <v>0.44303734792142913</v>
      </c>
      <c r="AC37">
        <f>(1+'Rescale to Fit GDP Proj'!AB154)/(1+'Rescale to Fit GDP Proj'!$D$154)-1</f>
        <v>0.46024274871375348</v>
      </c>
      <c r="AD37">
        <f>(1+'Rescale to Fit GDP Proj'!AC154)/(1+'Rescale to Fit GDP Proj'!$D$154)-1</f>
        <v>0.4780398255557452</v>
      </c>
    </row>
    <row r="38" spans="1:30" x14ac:dyDescent="0.25">
      <c r="A38" t="s">
        <v>464</v>
      </c>
      <c r="B38" t="s">
        <v>1272</v>
      </c>
      <c r="C38">
        <v>57856751907.549004</v>
      </c>
      <c r="D38">
        <f>(1+'Rescale to Fit GDP Proj'!C155)/(1+'Rescale to Fit GDP Proj'!$D$155)-1</f>
        <v>-1.8853639026619851E-2</v>
      </c>
      <c r="E38">
        <f>(1+'Rescale to Fit GDP Proj'!D155)/(1+'Rescale to Fit GDP Proj'!$D$155)-1</f>
        <v>0</v>
      </c>
      <c r="F38">
        <f>(1+'Rescale to Fit GDP Proj'!E155)/(1+'Rescale to Fit GDP Proj'!$D$155)-1</f>
        <v>3.103029312305905E-2</v>
      </c>
      <c r="G38">
        <f>(1+'Rescale to Fit GDP Proj'!F155)/(1+'Rescale to Fit GDP Proj'!$D$155)-1</f>
        <v>5.1872890347569589E-2</v>
      </c>
      <c r="H38">
        <f>(1+'Rescale to Fit GDP Proj'!G155)/(1+'Rescale to Fit GDP Proj'!$D$155)-1</f>
        <v>6.6289268307095028E-2</v>
      </c>
      <c r="I38">
        <f>(1+'Rescale to Fit GDP Proj'!H155)/(1+'Rescale to Fit GDP Proj'!$D$155)-1</f>
        <v>8.3641473872122951E-2</v>
      </c>
      <c r="J38">
        <f>(1+'Rescale to Fit GDP Proj'!I155)/(1+'Rescale to Fit GDP Proj'!$D$155)-1</f>
        <v>0.10350449408937412</v>
      </c>
      <c r="K38">
        <f>(1+'Rescale to Fit GDP Proj'!J155)/(1+'Rescale to Fit GDP Proj'!$D$155)-1</f>
        <v>0.12302704551141974</v>
      </c>
      <c r="L38">
        <f>(1+'Rescale to Fit GDP Proj'!K155)/(1+'Rescale to Fit GDP Proj'!$D$155)-1</f>
        <v>0.14525249869430445</v>
      </c>
      <c r="M38">
        <f>(1+'Rescale to Fit GDP Proj'!L155)/(1+'Rescale to Fit GDP Proj'!$D$155)-1</f>
        <v>0.16936989502741295</v>
      </c>
      <c r="N38">
        <f>(1+'Rescale to Fit GDP Proj'!M155)/(1+'Rescale to Fit GDP Proj'!$D$155)-1</f>
        <v>0.19508159629273458</v>
      </c>
      <c r="O38">
        <f>(1+'Rescale to Fit GDP Proj'!N155)/(1+'Rescale to Fit GDP Proj'!$D$155)-1</f>
        <v>0.22234585292027575</v>
      </c>
      <c r="P38">
        <f>(1+'Rescale to Fit GDP Proj'!O155)/(1+'Rescale to Fit GDP Proj'!$D$155)-1</f>
        <v>0.24504255269533992</v>
      </c>
      <c r="Q38">
        <f>(1+'Rescale to Fit GDP Proj'!P155)/(1+'Rescale to Fit GDP Proj'!$D$155)-1</f>
        <v>0.26757132979458698</v>
      </c>
      <c r="R38">
        <f>(1+'Rescale to Fit GDP Proj'!Q155)/(1+'Rescale to Fit GDP Proj'!$D$155)-1</f>
        <v>0.29019095847112819</v>
      </c>
      <c r="S38">
        <f>(1+'Rescale to Fit GDP Proj'!R155)/(1+'Rescale to Fit GDP Proj'!$D$155)-1</f>
        <v>0.31238096457424458</v>
      </c>
      <c r="T38">
        <f>(1+'Rescale to Fit GDP Proj'!S155)/(1+'Rescale to Fit GDP Proj'!$D$155)-1</f>
        <v>0.33465552002906618</v>
      </c>
      <c r="U38">
        <f>(1+'Rescale to Fit GDP Proj'!T155)/(1+'Rescale to Fit GDP Proj'!$D$155)-1</f>
        <v>0.35625999905993133</v>
      </c>
      <c r="V38">
        <f>(1+'Rescale to Fit GDP Proj'!U155)/(1+'Rescale to Fit GDP Proj'!$D$155)-1</f>
        <v>0.37841762732781725</v>
      </c>
      <c r="W38">
        <f>(1+'Rescale to Fit GDP Proj'!V155)/(1+'Rescale to Fit GDP Proj'!$D$155)-1</f>
        <v>0.40143812227549702</v>
      </c>
      <c r="X38">
        <f>(1+'Rescale to Fit GDP Proj'!W155)/(1+'Rescale to Fit GDP Proj'!$D$155)-1</f>
        <v>0.42452822391160971</v>
      </c>
      <c r="Y38">
        <f>(1+'Rescale to Fit GDP Proj'!X155)/(1+'Rescale to Fit GDP Proj'!$D$155)-1</f>
        <v>0.44726173590653873</v>
      </c>
      <c r="Z38">
        <f>(1+'Rescale to Fit GDP Proj'!Y155)/(1+'Rescale to Fit GDP Proj'!$D$155)-1</f>
        <v>0.46923122017217422</v>
      </c>
      <c r="AA38">
        <f>(1+'Rescale to Fit GDP Proj'!Z155)/(1+'Rescale to Fit GDP Proj'!$D$155)-1</f>
        <v>0.49022733523935402</v>
      </c>
      <c r="AB38">
        <f>(1+'Rescale to Fit GDP Proj'!AA155)/(1+'Rescale to Fit GDP Proj'!$D$155)-1</f>
        <v>0.51129372222746405</v>
      </c>
      <c r="AC38">
        <f>(1+'Rescale to Fit GDP Proj'!AB155)/(1+'Rescale to Fit GDP Proj'!$D$155)-1</f>
        <v>0.53160487834057757</v>
      </c>
      <c r="AD38">
        <f>(1+'Rescale to Fit GDP Proj'!AC155)/(1+'Rescale to Fit GDP Proj'!$D$155)-1</f>
        <v>0.55264600069271697</v>
      </c>
    </row>
    <row r="39" spans="1:30" x14ac:dyDescent="0.25">
      <c r="A39" t="s">
        <v>454</v>
      </c>
      <c r="B39" t="s">
        <v>1272</v>
      </c>
      <c r="C39">
        <v>246074515034.73819</v>
      </c>
      <c r="D39">
        <f>(1+'Rescale to Fit GDP Proj'!C156)/(1+'Rescale to Fit GDP Proj'!$D$156)-1</f>
        <v>-2.0612212722658563E-2</v>
      </c>
      <c r="E39">
        <f>(1+'Rescale to Fit GDP Proj'!D156)/(1+'Rescale to Fit GDP Proj'!$D$156)-1</f>
        <v>0</v>
      </c>
      <c r="F39">
        <f>(1+'Rescale to Fit GDP Proj'!E156)/(1+'Rescale to Fit GDP Proj'!$D$156)-1</f>
        <v>3.3985559134779075E-2</v>
      </c>
      <c r="G39">
        <f>(1+'Rescale to Fit GDP Proj'!F156)/(1+'Rescale to Fit GDP Proj'!$D$156)-1</f>
        <v>5.6878596916005497E-2</v>
      </c>
      <c r="H39">
        <f>(1+'Rescale to Fit GDP Proj'!G156)/(1+'Rescale to Fit GDP Proj'!$D$156)-1</f>
        <v>7.2743102497595968E-2</v>
      </c>
      <c r="I39">
        <f>(1+'Rescale to Fit GDP Proj'!H156)/(1+'Rescale to Fit GDP Proj'!$D$156)-1</f>
        <v>9.1862927710237852E-2</v>
      </c>
      <c r="J39">
        <f>(1+'Rescale to Fit GDP Proj'!I156)/(1+'Rescale to Fit GDP Proj'!$D$156)-1</f>
        <v>0.11378271463332501</v>
      </c>
      <c r="K39">
        <f>(1+'Rescale to Fit GDP Proj'!J156)/(1+'Rescale to Fit GDP Proj'!$D$156)-1</f>
        <v>0.13536371062534713</v>
      </c>
      <c r="L39">
        <f>(1+'Rescale to Fit GDP Proj'!K156)/(1+'Rescale to Fit GDP Proj'!$D$156)-1</f>
        <v>0.15997327691312702</v>
      </c>
      <c r="M39">
        <f>(1+'Rescale to Fit GDP Proj'!L156)/(1+'Rescale to Fit GDP Proj'!$D$156)-1</f>
        <v>0.18672709057520187</v>
      </c>
      <c r="N39">
        <f>(1+'Rescale to Fit GDP Proj'!M156)/(1+'Rescale to Fit GDP Proj'!$D$156)-1</f>
        <v>0.21530551636306661</v>
      </c>
      <c r="O39">
        <f>(1+'Rescale to Fit GDP Proj'!N156)/(1+'Rescale to Fit GDP Proj'!$D$156)-1</f>
        <v>0.24567169292814572</v>
      </c>
      <c r="P39">
        <f>(1+'Rescale to Fit GDP Proj'!O156)/(1+'Rescale to Fit GDP Proj'!$D$156)-1</f>
        <v>0.2710043501298014</v>
      </c>
      <c r="Q39">
        <f>(1+'Rescale to Fit GDP Proj'!P156)/(1+'Rescale to Fit GDP Proj'!$D$156)-1</f>
        <v>0.29619323848538581</v>
      </c>
      <c r="R39">
        <f>(1+'Rescale to Fit GDP Proj'!Q156)/(1+'Rescale to Fit GDP Proj'!$D$156)-1</f>
        <v>0.32152651459431447</v>
      </c>
      <c r="S39">
        <f>(1+'Rescale to Fit GDP Proj'!R156)/(1+'Rescale to Fit GDP Proj'!$D$156)-1</f>
        <v>0.346420122796816</v>
      </c>
      <c r="T39">
        <f>(1+'Rescale to Fit GDP Proj'!S156)/(1+'Rescale to Fit GDP Proj'!$D$156)-1</f>
        <v>0.37144882078222441</v>
      </c>
      <c r="U39">
        <f>(1+'Rescale to Fit GDP Proj'!T156)/(1+'Rescale to Fit GDP Proj'!$D$156)-1</f>
        <v>0.39576317604020939</v>
      </c>
      <c r="V39">
        <f>(1+'Rescale to Fit GDP Proj'!U156)/(1+'Rescale to Fit GDP Proj'!$D$156)-1</f>
        <v>0.42073789423938868</v>
      </c>
      <c r="W39">
        <f>(1+'Rescale to Fit GDP Proj'!V156)/(1+'Rescale to Fit GDP Proj'!$D$156)-1</f>
        <v>0.44672490606684079</v>
      </c>
      <c r="X39">
        <f>(1+'Rescale to Fit GDP Proj'!W156)/(1+'Rescale to Fit GDP Proj'!$D$156)-1</f>
        <v>0.47283127173715545</v>
      </c>
      <c r="Y39">
        <f>(1+'Rescale to Fit GDP Proj'!X156)/(1+'Rescale to Fit GDP Proj'!$D$156)-1</f>
        <v>0.49857414465639271</v>
      </c>
      <c r="Z39">
        <f>(1+'Rescale to Fit GDP Proj'!Y156)/(1+'Rescale to Fit GDP Proj'!$D$156)-1</f>
        <v>0.52348906818889174</v>
      </c>
      <c r="AA39">
        <f>(1+'Rescale to Fit GDP Proj'!Z156)/(1+'Rescale to Fit GDP Proj'!$D$156)-1</f>
        <v>0.54733403265292568</v>
      </c>
      <c r="AB39">
        <f>(1+'Rescale to Fit GDP Proj'!AA156)/(1+'Rescale to Fit GDP Proj'!$D$156)-1</f>
        <v>0.57129090680293904</v>
      </c>
      <c r="AC39">
        <f>(1+'Rescale to Fit GDP Proj'!AB156)/(1+'Rescale to Fit GDP Proj'!$D$156)-1</f>
        <v>0.59441958983502441</v>
      </c>
      <c r="AD39">
        <f>(1+'Rescale to Fit GDP Proj'!AC156)/(1+'Rescale to Fit GDP Proj'!$D$156)-1</f>
        <v>0.61840975973956946</v>
      </c>
    </row>
    <row r="40" spans="1:30" x14ac:dyDescent="0.25">
      <c r="A40" t="s">
        <v>495</v>
      </c>
      <c r="B40" t="s">
        <v>1272</v>
      </c>
      <c r="C40">
        <v>291863342386.90161</v>
      </c>
      <c r="D40">
        <f>(1+'Rescale to Fit GDP Proj'!C157)/(1+'Rescale to Fit GDP Proj'!$D$157)-1</f>
        <v>-2.307660625707153E-2</v>
      </c>
      <c r="E40">
        <f>(1+'Rescale to Fit GDP Proj'!D157)/(1+'Rescale to Fit GDP Proj'!$D$157)-1</f>
        <v>0</v>
      </c>
      <c r="F40">
        <f>(1+'Rescale to Fit GDP Proj'!E157)/(1+'Rescale to Fit GDP Proj'!$D$157)-1</f>
        <v>3.8144850598608393E-2</v>
      </c>
      <c r="G40">
        <f>(1+'Rescale to Fit GDP Proj'!F157)/(1+'Rescale to Fit GDP Proj'!$D$157)-1</f>
        <v>6.3942991156694884E-2</v>
      </c>
      <c r="H40">
        <f>(1+'Rescale to Fit GDP Proj'!G157)/(1+'Rescale to Fit GDP Proj'!$D$157)-1</f>
        <v>8.1868079123790904E-2</v>
      </c>
      <c r="I40">
        <f>(1+'Rescale to Fit GDP Proj'!H157)/(1+'Rescale to Fit GDP Proj'!$D$157)-1</f>
        <v>0.10351040802671174</v>
      </c>
      <c r="J40">
        <f>(1+'Rescale to Fit GDP Proj'!I157)/(1+'Rescale to Fit GDP Proj'!$D$157)-1</f>
        <v>0.12837527500277179</v>
      </c>
      <c r="K40">
        <f>(1+'Rescale to Fit GDP Proj'!J157)/(1+'Rescale to Fit GDP Proj'!$D$157)-1</f>
        <v>0.15291479540586583</v>
      </c>
      <c r="L40">
        <f>(1+'Rescale to Fit GDP Proj'!K157)/(1+'Rescale to Fit GDP Proj'!$D$157)-1</f>
        <v>0.18096316764313136</v>
      </c>
      <c r="M40">
        <f>(1+'Rescale to Fit GDP Proj'!L157)/(1+'Rescale to Fit GDP Proj'!$D$157)-1</f>
        <v>0.21153458439596418</v>
      </c>
      <c r="N40">
        <f>(1+'Rescale to Fit GDP Proj'!M157)/(1+'Rescale to Fit GDP Proj'!$D$157)-1</f>
        <v>0.24428107475032879</v>
      </c>
      <c r="O40">
        <f>(1+'Rescale to Fit GDP Proj'!N157)/(1+'Rescale to Fit GDP Proj'!$D$157)-1</f>
        <v>0.27917619009556671</v>
      </c>
      <c r="P40">
        <f>(1+'Rescale to Fit GDP Proj'!O157)/(1+'Rescale to Fit GDP Proj'!$D$157)-1</f>
        <v>0.30837391529395286</v>
      </c>
      <c r="Q40">
        <f>(1+'Rescale to Fit GDP Proj'!P157)/(1+'Rescale to Fit GDP Proj'!$D$157)-1</f>
        <v>0.33747675320520054</v>
      </c>
      <c r="R40">
        <f>(1+'Rescale to Fit GDP Proj'!Q157)/(1+'Rescale to Fit GDP Proj'!$D$157)-1</f>
        <v>0.36681602605504549</v>
      </c>
      <c r="S40">
        <f>(1+'Rescale to Fit GDP Proj'!R157)/(1+'Rescale to Fit GDP Proj'!$D$157)-1</f>
        <v>0.39571374281577776</v>
      </c>
      <c r="T40">
        <f>(1+'Rescale to Fit GDP Proj'!S157)/(1+'Rescale to Fit GDP Proj'!$D$157)-1</f>
        <v>0.42483402088436284</v>
      </c>
      <c r="U40">
        <f>(1+'Rescale to Fit GDP Proj'!T157)/(1+'Rescale to Fit GDP Proj'!$D$157)-1</f>
        <v>0.4531863621469483</v>
      </c>
      <c r="V40">
        <f>(1+'Rescale to Fit GDP Proj'!U157)/(1+'Rescale to Fit GDP Proj'!$D$157)-1</f>
        <v>0.48237082286094979</v>
      </c>
      <c r="W40">
        <f>(1+'Rescale to Fit GDP Proj'!V157)/(1+'Rescale to Fit GDP Proj'!$D$157)-1</f>
        <v>0.51280354053211497</v>
      </c>
      <c r="X40">
        <f>(1+'Rescale to Fit GDP Proj'!W157)/(1+'Rescale to Fit GDP Proj'!$D$157)-1</f>
        <v>0.54344323920126691</v>
      </c>
      <c r="Y40">
        <f>(1+'Rescale to Fit GDP Proj'!X157)/(1+'Rescale to Fit GDP Proj'!$D$157)-1</f>
        <v>0.57372186618088628</v>
      </c>
      <c r="Z40">
        <f>(1+'Rescale to Fit GDP Proj'!Y157)/(1+'Rescale to Fit GDP Proj'!$D$157)-1</f>
        <v>0.60308827235483453</v>
      </c>
      <c r="AA40">
        <f>(1+'Rescale to Fit GDP Proj'!Z157)/(1+'Rescale to Fit GDP Proj'!$D$157)-1</f>
        <v>0.6312498041060266</v>
      </c>
      <c r="AB40">
        <f>(1+'Rescale to Fit GDP Proj'!AA157)/(1+'Rescale to Fit GDP Proj'!$D$157)-1</f>
        <v>0.65959686555530528</v>
      </c>
      <c r="AC40">
        <f>(1+'Rescale to Fit GDP Proj'!AB157)/(1+'Rescale to Fit GDP Proj'!$D$157)-1</f>
        <v>0.68701503221375981</v>
      </c>
      <c r="AD40">
        <f>(1+'Rescale to Fit GDP Proj'!AC157)/(1+'Rescale to Fit GDP Proj'!$D$157)-1</f>
        <v>0.71550494720192992</v>
      </c>
    </row>
    <row r="41" spans="1:30" x14ac:dyDescent="0.25">
      <c r="A41" t="s">
        <v>520</v>
      </c>
      <c r="B41" t="s">
        <v>1272</v>
      </c>
      <c r="C41">
        <v>115576691132.644</v>
      </c>
      <c r="D41">
        <f>(1+'Rescale to Fit GDP Proj'!C158)/(1+'Rescale to Fit GDP Proj'!$D$158)-1</f>
        <v>-2.4981189923071301E-2</v>
      </c>
      <c r="E41">
        <f>(1+'Rescale to Fit GDP Proj'!D158)/(1+'Rescale to Fit GDP Proj'!$D$158)-1</f>
        <v>0</v>
      </c>
      <c r="F41">
        <f>(1+'Rescale to Fit GDP Proj'!E158)/(1+'Rescale to Fit GDP Proj'!$D$158)-1</f>
        <v>4.1373724164078807E-2</v>
      </c>
      <c r="G41">
        <f>(1+'Rescale to Fit GDP Proj'!F158)/(1+'Rescale to Fit GDP Proj'!$D$158)-1</f>
        <v>6.9442648019774955E-2</v>
      </c>
      <c r="H41">
        <f>(1+'Rescale to Fit GDP Proj'!G158)/(1+'Rescale to Fit GDP Proj'!$D$158)-1</f>
        <v>8.8985553582308308E-2</v>
      </c>
      <c r="I41">
        <f>(1+'Rescale to Fit GDP Proj'!H158)/(1+'Rescale to Fit GDP Proj'!$D$158)-1</f>
        <v>0.11261429016721491</v>
      </c>
      <c r="J41">
        <f>(1+'Rescale to Fit GDP Proj'!I158)/(1+'Rescale to Fit GDP Proj'!$D$158)-1</f>
        <v>0.13980640819080881</v>
      </c>
      <c r="K41">
        <f>(1+'Rescale to Fit GDP Proj'!J158)/(1+'Rescale to Fit GDP Proj'!$D$158)-1</f>
        <v>0.16669278619140471</v>
      </c>
      <c r="L41">
        <f>(1+'Rescale to Fit GDP Proj'!K158)/(1+'Rescale to Fit GDP Proj'!$D$158)-1</f>
        <v>0.19747895588867781</v>
      </c>
      <c r="M41">
        <f>(1+'Rescale to Fit GDP Proj'!L158)/(1+'Rescale to Fit GDP Proj'!$D$158)-1</f>
        <v>0.23110190467088976</v>
      </c>
      <c r="N41">
        <f>(1+'Rescale to Fit GDP Proj'!M158)/(1+'Rescale to Fit GDP Proj'!$D$158)-1</f>
        <v>0.26719396249299243</v>
      </c>
      <c r="O41">
        <f>(1+'Rescale to Fit GDP Proj'!N158)/(1+'Rescale to Fit GDP Proj'!$D$158)-1</f>
        <v>0.30573983974796182</v>
      </c>
      <c r="P41">
        <f>(1+'Rescale to Fit GDP Proj'!O158)/(1+'Rescale to Fit GDP Proj'!$D$158)-1</f>
        <v>0.33806673539842769</v>
      </c>
      <c r="Q41">
        <f>(1+'Rescale to Fit GDP Proj'!P158)/(1+'Rescale to Fit GDP Proj'!$D$158)-1</f>
        <v>0.37034944162449057</v>
      </c>
      <c r="R41">
        <f>(1+'Rescale to Fit GDP Proj'!Q158)/(1+'Rescale to Fit GDP Proj'!$D$158)-1</f>
        <v>0.40295436075665458</v>
      </c>
      <c r="S41">
        <f>(1+'Rescale to Fit GDP Proj'!R158)/(1+'Rescale to Fit GDP Proj'!$D$158)-1</f>
        <v>0.4351269272780991</v>
      </c>
      <c r="T41">
        <f>(1+'Rescale to Fit GDP Proj'!S158)/(1+'Rescale to Fit GDP Proj'!$D$158)-1</f>
        <v>0.46760409682897386</v>
      </c>
      <c r="U41">
        <f>(1+'Rescale to Fit GDP Proj'!T158)/(1+'Rescale to Fit GDP Proj'!$D$158)-1</f>
        <v>0.49927950815894517</v>
      </c>
      <c r="V41">
        <f>(1+'Rescale to Fit GDP Proj'!U158)/(1+'Rescale to Fit GDP Proj'!$D$158)-1</f>
        <v>0.53193841626847305</v>
      </c>
      <c r="W41">
        <f>(1+'Rescale to Fit GDP Proj'!V158)/(1+'Rescale to Fit GDP Proj'!$D$158)-1</f>
        <v>0.56605094247020804</v>
      </c>
      <c r="X41">
        <f>(1+'Rescale to Fit GDP Proj'!W158)/(1+'Rescale to Fit GDP Proj'!$D$158)-1</f>
        <v>0.60045396020292974</v>
      </c>
      <c r="Y41">
        <f>(1+'Rescale to Fit GDP Proj'!X158)/(1+'Rescale to Fit GDP Proj'!$D$158)-1</f>
        <v>0.63450868671132965</v>
      </c>
      <c r="Z41">
        <f>(1+'Rescale to Fit GDP Proj'!Y158)/(1+'Rescale to Fit GDP Proj'!$D$158)-1</f>
        <v>0.66759121950074785</v>
      </c>
      <c r="AA41">
        <f>(1+'Rescale to Fit GDP Proj'!Z158)/(1+'Rescale to Fit GDP Proj'!$D$158)-1</f>
        <v>0.69936560295511296</v>
      </c>
      <c r="AB41">
        <f>(1+'Rescale to Fit GDP Proj'!AA158)/(1+'Rescale to Fit GDP Proj'!$D$158)-1</f>
        <v>0.73139605681458919</v>
      </c>
      <c r="AC41">
        <f>(1+'Rescale to Fit GDP Proj'!AB158)/(1+'Rescale to Fit GDP Proj'!$D$158)-1</f>
        <v>0.76242170950439991</v>
      </c>
      <c r="AD41">
        <f>(1+'Rescale to Fit GDP Proj'!AC158)/(1+'Rescale to Fit GDP Proj'!$D$158)-1</f>
        <v>0.79470447498799457</v>
      </c>
    </row>
    <row r="42" spans="1:30" x14ac:dyDescent="0.25">
      <c r="A42" t="s">
        <v>871</v>
      </c>
      <c r="B42" t="s">
        <v>871</v>
      </c>
      <c r="C42">
        <v>1305098588935.2571</v>
      </c>
      <c r="D42">
        <f>(1+'Rescale to Fit GDP Proj'!C159)/(1+'Rescale to Fit GDP Proj'!$D$159)-1</f>
        <v>-2.0612212722658563E-2</v>
      </c>
      <c r="E42">
        <f>(1+'Rescale to Fit GDP Proj'!D159)/(1+'Rescale to Fit GDP Proj'!$D$159)-1</f>
        <v>0</v>
      </c>
      <c r="F42">
        <f>(1+'Rescale to Fit GDP Proj'!E159)/(1+'Rescale to Fit GDP Proj'!$D$159)-1</f>
        <v>3.3985559134779075E-2</v>
      </c>
      <c r="G42">
        <f>(1+'Rescale to Fit GDP Proj'!F159)/(1+'Rescale to Fit GDP Proj'!$D$159)-1</f>
        <v>5.6878596916005497E-2</v>
      </c>
      <c r="H42">
        <f>(1+'Rescale to Fit GDP Proj'!G159)/(1+'Rescale to Fit GDP Proj'!$D$159)-1</f>
        <v>7.2743102497595968E-2</v>
      </c>
      <c r="I42">
        <f>(1+'Rescale to Fit GDP Proj'!H159)/(1+'Rescale to Fit GDP Proj'!$D$159)-1</f>
        <v>9.1862927710237852E-2</v>
      </c>
      <c r="J42">
        <f>(1+'Rescale to Fit GDP Proj'!I159)/(1+'Rescale to Fit GDP Proj'!$D$159)-1</f>
        <v>0.11378271463332501</v>
      </c>
      <c r="K42">
        <f>(1+'Rescale to Fit GDP Proj'!J159)/(1+'Rescale to Fit GDP Proj'!$D$159)-1</f>
        <v>0.13536371062534713</v>
      </c>
      <c r="L42">
        <f>(1+'Rescale to Fit GDP Proj'!K159)/(1+'Rescale to Fit GDP Proj'!$D$159)-1</f>
        <v>0.15997327691312702</v>
      </c>
      <c r="M42">
        <f>(1+'Rescale to Fit GDP Proj'!L159)/(1+'Rescale to Fit GDP Proj'!$D$159)-1</f>
        <v>0.18672709057520187</v>
      </c>
      <c r="N42">
        <f>(1+'Rescale to Fit GDP Proj'!M159)/(1+'Rescale to Fit GDP Proj'!$D$159)-1</f>
        <v>0.21530551636306661</v>
      </c>
      <c r="O42">
        <f>(1+'Rescale to Fit GDP Proj'!N159)/(1+'Rescale to Fit GDP Proj'!$D$159)-1</f>
        <v>0.24567169292814572</v>
      </c>
      <c r="P42">
        <f>(1+'Rescale to Fit GDP Proj'!O159)/(1+'Rescale to Fit GDP Proj'!$D$159)-1</f>
        <v>0.2710043501298014</v>
      </c>
      <c r="Q42">
        <f>(1+'Rescale to Fit GDP Proj'!P159)/(1+'Rescale to Fit GDP Proj'!$D$159)-1</f>
        <v>0.29619323848538581</v>
      </c>
      <c r="R42">
        <f>(1+'Rescale to Fit GDP Proj'!Q159)/(1+'Rescale to Fit GDP Proj'!$D$159)-1</f>
        <v>0.32152651459431447</v>
      </c>
      <c r="S42">
        <f>(1+'Rescale to Fit GDP Proj'!R159)/(1+'Rescale to Fit GDP Proj'!$D$159)-1</f>
        <v>0.346420122796816</v>
      </c>
      <c r="T42">
        <f>(1+'Rescale to Fit GDP Proj'!S159)/(1+'Rescale to Fit GDP Proj'!$D$159)-1</f>
        <v>0.37144882078222441</v>
      </c>
      <c r="U42">
        <f>(1+'Rescale to Fit GDP Proj'!T159)/(1+'Rescale to Fit GDP Proj'!$D$159)-1</f>
        <v>0.39576317604020939</v>
      </c>
      <c r="V42">
        <f>(1+'Rescale to Fit GDP Proj'!U159)/(1+'Rescale to Fit GDP Proj'!$D$159)-1</f>
        <v>0.42073789423938868</v>
      </c>
      <c r="W42">
        <f>(1+'Rescale to Fit GDP Proj'!V159)/(1+'Rescale to Fit GDP Proj'!$D$159)-1</f>
        <v>0.44672490606684079</v>
      </c>
      <c r="X42">
        <f>(1+'Rescale to Fit GDP Proj'!W159)/(1+'Rescale to Fit GDP Proj'!$D$159)-1</f>
        <v>0.47283127173715545</v>
      </c>
      <c r="Y42">
        <f>(1+'Rescale to Fit GDP Proj'!X159)/(1+'Rescale to Fit GDP Proj'!$D$159)-1</f>
        <v>0.49857414465639271</v>
      </c>
      <c r="Z42">
        <f>(1+'Rescale to Fit GDP Proj'!Y159)/(1+'Rescale to Fit GDP Proj'!$D$159)-1</f>
        <v>0.52348906818889174</v>
      </c>
      <c r="AA42">
        <f>(1+'Rescale to Fit GDP Proj'!Z159)/(1+'Rescale to Fit GDP Proj'!$D$159)-1</f>
        <v>0.54733403265292568</v>
      </c>
      <c r="AB42">
        <f>(1+'Rescale to Fit GDP Proj'!AA159)/(1+'Rescale to Fit GDP Proj'!$D$159)-1</f>
        <v>0.57129090680293904</v>
      </c>
      <c r="AC42">
        <f>(1+'Rescale to Fit GDP Proj'!AB159)/(1+'Rescale to Fit GDP Proj'!$D$159)-1</f>
        <v>0.59441958983502441</v>
      </c>
      <c r="AD42">
        <f>(1+'Rescale to Fit GDP Proj'!AC159)/(1+'Rescale to Fit GDP Proj'!$D$159)-1</f>
        <v>0.61840975973956946</v>
      </c>
    </row>
    <row r="43" spans="1:30" x14ac:dyDescent="0.25">
      <c r="A43" t="s">
        <v>531</v>
      </c>
      <c r="B43" t="s">
        <v>531</v>
      </c>
      <c r="C43">
        <v>824889293699.42139</v>
      </c>
      <c r="D43">
        <f>(1+'Rescale to Fit GDP Proj'!C160)/(1+'Rescale to Fit GDP Proj'!$D$160)-1</f>
        <v>-3.2467949242039662E-2</v>
      </c>
      <c r="E43">
        <f>(1+'Rescale to Fit GDP Proj'!D160)/(1+'Rescale to Fit GDP Proj'!$D$160)-1</f>
        <v>0</v>
      </c>
      <c r="F43">
        <f>(1+'Rescale to Fit GDP Proj'!E160)/(1+'Rescale to Fit GDP Proj'!$D$160)-1</f>
        <v>5.4189355476437662E-2</v>
      </c>
      <c r="G43">
        <f>(1+'Rescale to Fit GDP Proj'!F160)/(1+'Rescale to Fit GDP Proj'!$D$160)-1</f>
        <v>9.1405137086779442E-2</v>
      </c>
      <c r="H43">
        <f>(1+'Rescale to Fit GDP Proj'!G160)/(1+'Rescale to Fit GDP Proj'!$D$160)-1</f>
        <v>0.11752717158325998</v>
      </c>
      <c r="I43">
        <f>(1+'Rescale to Fit GDP Proj'!H160)/(1+'Rescale to Fit GDP Proj'!$D$160)-1</f>
        <v>0.14928610030388634</v>
      </c>
      <c r="J43">
        <f>(1+'Rescale to Fit GDP Proj'!I160)/(1+'Rescale to Fit GDP Proj'!$D$160)-1</f>
        <v>0.18607492623681443</v>
      </c>
      <c r="K43">
        <f>(1+'Rescale to Fit GDP Proj'!J160)/(1+'Rescale to Fit GDP Proj'!$D$160)-1</f>
        <v>0.22271891165763291</v>
      </c>
      <c r="L43">
        <f>(1+'Rescale to Fit GDP Proj'!K160)/(1+'Rescale to Fit GDP Proj'!$D$160)-1</f>
        <v>0.2649775157062717</v>
      </c>
      <c r="M43">
        <f>(1+'Rescale to Fit GDP Proj'!L160)/(1+'Rescale to Fit GDP Proj'!$D$160)-1</f>
        <v>0.31149755641945975</v>
      </c>
      <c r="N43">
        <f>(1+'Rescale to Fit GDP Proj'!M160)/(1+'Rescale to Fit GDP Proj'!$D$160)-1</f>
        <v>0.36185625497193774</v>
      </c>
      <c r="O43">
        <f>(1+'Rescale to Fit GDP Proj'!N160)/(1+'Rescale to Fit GDP Proj'!$D$160)-1</f>
        <v>0.41611321785119504</v>
      </c>
      <c r="P43">
        <f>(1+'Rescale to Fit GDP Proj'!O160)/(1+'Rescale to Fit GDP Proj'!$D$160)-1</f>
        <v>0.46203245805941795</v>
      </c>
      <c r="Q43">
        <f>(1+'Rescale to Fit GDP Proj'!P160)/(1+'Rescale to Fit GDP Proj'!$D$160)-1</f>
        <v>0.5082320931270583</v>
      </c>
      <c r="R43">
        <f>(1+'Rescale to Fit GDP Proj'!Q160)/(1+'Rescale to Fit GDP Proj'!$D$160)-1</f>
        <v>0.55523333670650188</v>
      </c>
      <c r="S43">
        <f>(1+'Rescale to Fit GDP Proj'!R160)/(1+'Rescale to Fit GDP Proj'!$D$160)-1</f>
        <v>0.60194518931976737</v>
      </c>
      <c r="T43">
        <f>(1+'Rescale to Fit GDP Proj'!S160)/(1+'Rescale to Fit GDP Proj'!$D$160)-1</f>
        <v>0.64942673878834145</v>
      </c>
      <c r="U43">
        <f>(1+'Rescale to Fit GDP Proj'!T160)/(1+'Rescale to Fit GDP Proj'!$D$160)-1</f>
        <v>0.69605355365659904</v>
      </c>
      <c r="V43">
        <f>(1+'Rescale to Fit GDP Proj'!U160)/(1+'Rescale to Fit GDP Proj'!$D$160)-1</f>
        <v>0.74444270301929882</v>
      </c>
      <c r="W43">
        <f>(1+'Rescale to Fit GDP Proj'!V160)/(1+'Rescale to Fit GDP Proj'!$D$160)-1</f>
        <v>0.79531937038781142</v>
      </c>
      <c r="X43">
        <f>(1+'Rescale to Fit GDP Proj'!W160)/(1+'Rescale to Fit GDP Proj'!$D$160)-1</f>
        <v>0.84697548555008373</v>
      </c>
      <c r="Y43">
        <f>(1+'Rescale to Fit GDP Proj'!X160)/(1+'Rescale to Fit GDP Proj'!$D$160)-1</f>
        <v>0.89844910571507652</v>
      </c>
      <c r="Z43">
        <f>(1+'Rescale to Fit GDP Proj'!Y160)/(1+'Rescale to Fit GDP Proj'!$D$160)-1</f>
        <v>0.9487759673034506</v>
      </c>
      <c r="AA43">
        <f>(1+'Rescale to Fit GDP Proj'!Z160)/(1+'Rescale to Fit GDP Proj'!$D$160)-1</f>
        <v>0.99740983607910128</v>
      </c>
      <c r="AB43">
        <f>(1+'Rescale to Fit GDP Proj'!AA160)/(1+'Rescale to Fit GDP Proj'!$D$160)-1</f>
        <v>1.0467195887460985</v>
      </c>
      <c r="AC43">
        <f>(1+'Rescale to Fit GDP Proj'!AB160)/(1+'Rescale to Fit GDP Proj'!$D$160)-1</f>
        <v>1.0947561841823936</v>
      </c>
      <c r="AD43">
        <f>(1+'Rescale to Fit GDP Proj'!AC160)/(1+'Rescale to Fit GDP Proj'!$D$160)-1</f>
        <v>1.145011701689636</v>
      </c>
    </row>
    <row r="44" spans="1:30" x14ac:dyDescent="0.25">
      <c r="A44" t="s">
        <v>562</v>
      </c>
      <c r="B44" t="s">
        <v>562</v>
      </c>
      <c r="C44">
        <v>530045948100.26971</v>
      </c>
      <c r="D44">
        <f>(1+'Rescale to Fit GDP Proj'!C161)/(1+'Rescale to Fit GDP Proj'!$D$161)-1</f>
        <v>-2.4110515617596917E-2</v>
      </c>
      <c r="E44">
        <f>(1+'Rescale to Fit GDP Proj'!D161)/(1+'Rescale to Fit GDP Proj'!$D$161)-1</f>
        <v>0</v>
      </c>
      <c r="F44">
        <f>(1+'Rescale to Fit GDP Proj'!E161)/(1+'Rescale to Fit GDP Proj'!$D$161)-1</f>
        <v>3.9896091158218905E-2</v>
      </c>
      <c r="G44">
        <f>(1+'Rescale to Fit GDP Proj'!F161)/(1+'Rescale to Fit GDP Proj'!$D$161)-1</f>
        <v>6.6924148121000337E-2</v>
      </c>
      <c r="H44">
        <f>(1+'Rescale to Fit GDP Proj'!G161)/(1+'Rescale to Fit GDP Proj'!$D$161)-1</f>
        <v>8.5724713587391976E-2</v>
      </c>
      <c r="I44">
        <f>(1+'Rescale to Fit GDP Proj'!H161)/(1+'Rescale to Fit GDP Proj'!$D$161)-1</f>
        <v>0.10844134014247753</v>
      </c>
      <c r="J44">
        <f>(1+'Rescale to Fit GDP Proj'!I161)/(1+'Rescale to Fit GDP Proj'!$D$161)-1</f>
        <v>0.1345639672181671</v>
      </c>
      <c r="K44">
        <f>(1+'Rescale to Fit GDP Proj'!J161)/(1+'Rescale to Fit GDP Proj'!$D$161)-1</f>
        <v>0.16037087234792091</v>
      </c>
      <c r="L44">
        <f>(1+'Rescale to Fit GDP Proj'!K161)/(1+'Rescale to Fit GDP Proj'!$D$161)-1</f>
        <v>0.18989667398900067</v>
      </c>
      <c r="M44">
        <f>(1+'Rescale to Fit GDP Proj'!L161)/(1+'Rescale to Fit GDP Proj'!$D$161)-1</f>
        <v>0.2221135104424492</v>
      </c>
      <c r="N44">
        <f>(1+'Rescale to Fit GDP Proj'!M161)/(1+'Rescale to Fit GDP Proj'!$D$161)-1</f>
        <v>0.25666246571899531</v>
      </c>
      <c r="O44">
        <f>(1+'Rescale to Fit GDP Proj'!N161)/(1+'Rescale to Fit GDP Proj'!$D$161)-1</f>
        <v>0.29352279542279458</v>
      </c>
      <c r="P44">
        <f>(1+'Rescale to Fit GDP Proj'!O161)/(1+'Rescale to Fit GDP Proj'!$D$161)-1</f>
        <v>0.32440349750278696</v>
      </c>
      <c r="Q44">
        <f>(1+'Rescale to Fit GDP Proj'!P161)/(1+'Rescale to Fit GDP Proj'!$D$161)-1</f>
        <v>0.35521537848525853</v>
      </c>
      <c r="R44">
        <f>(1+'Rescale to Fit GDP Proj'!Q161)/(1+'Rescale to Fit GDP Proj'!$D$161)-1</f>
        <v>0.38630860955048063</v>
      </c>
      <c r="S44">
        <f>(1+'Rescale to Fit GDP Proj'!R161)/(1+'Rescale to Fit GDP Proj'!$D$161)-1</f>
        <v>0.41696406814671705</v>
      </c>
      <c r="T44">
        <f>(1+'Rescale to Fit GDP Proj'!S161)/(1+'Rescale to Fit GDP Proj'!$D$161)-1</f>
        <v>0.44788498974848956</v>
      </c>
      <c r="U44">
        <f>(1+'Rescale to Fit GDP Proj'!T161)/(1+'Rescale to Fit GDP Proj'!$D$161)-1</f>
        <v>0.47801873735776002</v>
      </c>
      <c r="V44">
        <f>(1+'Rescale to Fit GDP Proj'!U161)/(1+'Rescale to Fit GDP Proj'!$D$161)-1</f>
        <v>0.50906467123921018</v>
      </c>
      <c r="W44">
        <f>(1+'Rescale to Fit GDP Proj'!V161)/(1+'Rescale to Fit GDP Proj'!$D$161)-1</f>
        <v>0.54146774131042008</v>
      </c>
      <c r="X44">
        <f>(1+'Rescale to Fit GDP Proj'!W161)/(1+'Rescale to Fit GDP Proj'!$D$161)-1</f>
        <v>0.5741213231916924</v>
      </c>
      <c r="Y44">
        <f>(1+'Rescale to Fit GDP Proj'!X161)/(1+'Rescale to Fit GDP Proj'!$D$161)-1</f>
        <v>0.60641951030215946</v>
      </c>
      <c r="Z44">
        <f>(1+'Rescale to Fit GDP Proj'!Y161)/(1+'Rescale to Fit GDP Proj'!$D$161)-1</f>
        <v>0.63777230231916504</v>
      </c>
      <c r="AA44">
        <f>(1+'Rescale to Fit GDP Proj'!Z161)/(1+'Rescale to Fit GDP Proj'!$D$161)-1</f>
        <v>0.66786400675915591</v>
      </c>
      <c r="AB44">
        <f>(1+'Rescale to Fit GDP Proj'!AA161)/(1+'Rescale to Fit GDP Proj'!$D$161)-1</f>
        <v>0.6981779643309447</v>
      </c>
      <c r="AC44">
        <f>(1+'Rescale to Fit GDP Proj'!AB161)/(1+'Rescale to Fit GDP Proj'!$D$161)-1</f>
        <v>0.72752156720449968</v>
      </c>
      <c r="AD44">
        <f>(1+'Rescale to Fit GDP Proj'!AC161)/(1+'Rescale to Fit GDP Proj'!$D$161)-1</f>
        <v>0.75803493249676834</v>
      </c>
    </row>
    <row r="45" spans="1:30" x14ac:dyDescent="0.25">
      <c r="A45" t="s">
        <v>565</v>
      </c>
      <c r="B45" t="s">
        <v>565</v>
      </c>
      <c r="C45">
        <v>1225877338485.574</v>
      </c>
      <c r="D45">
        <f>(1+'Rescale to Fit GDP Proj'!C162)/(1+'Rescale to Fit GDP Proj'!$D$162)-1</f>
        <v>-3.020739539350592E-2</v>
      </c>
      <c r="E45">
        <f>(1+'Rescale to Fit GDP Proj'!D162)/(1+'Rescale to Fit GDP Proj'!$D$162)-1</f>
        <v>0</v>
      </c>
      <c r="F45">
        <f>(1+'Rescale to Fit GDP Proj'!E162)/(1+'Rescale to Fit GDP Proj'!$D$162)-1</f>
        <v>5.0298947777078107E-2</v>
      </c>
      <c r="G45">
        <f>(1+'Rescale to Fit GDP Proj'!F162)/(1+'Rescale to Fit GDP Proj'!$D$162)-1</f>
        <v>8.4715420845991041E-2</v>
      </c>
      <c r="H45">
        <f>(1+'Rescale to Fit GDP Proj'!G162)/(1+'Rescale to Fit GDP Proj'!$D$162)-1</f>
        <v>0.10881346155888472</v>
      </c>
      <c r="I45">
        <f>(1+'Rescale to Fit GDP Proj'!H162)/(1+'Rescale to Fit GDP Proj'!$D$162)-1</f>
        <v>0.13806247064682231</v>
      </c>
      <c r="J45">
        <f>(1+'Rescale to Fit GDP Proj'!I162)/(1+'Rescale to Fit GDP Proj'!$D$162)-1</f>
        <v>0.17187664520475288</v>
      </c>
      <c r="K45">
        <f>(1+'Rescale to Fit GDP Proj'!J162)/(1+'Rescale to Fit GDP Proj'!$D$162)-1</f>
        <v>0.20548268909319622</v>
      </c>
      <c r="L45">
        <f>(1+'Rescale to Fit GDP Proj'!K162)/(1+'Rescale to Fit GDP Proj'!$D$162)-1</f>
        <v>0.2441544911262683</v>
      </c>
      <c r="M45">
        <f>(1+'Rescale to Fit GDP Proj'!L162)/(1+'Rescale to Fit GDP Proj'!$D$162)-1</f>
        <v>0.28662392833653905</v>
      </c>
      <c r="N45">
        <f>(1+'Rescale to Fit GDP Proj'!M162)/(1+'Rescale to Fit GDP Proj'!$D$162)-1</f>
        <v>0.33248070777286642</v>
      </c>
      <c r="O45">
        <f>(1+'Rescale to Fit GDP Proj'!N162)/(1+'Rescale to Fit GDP Proj'!$D$162)-1</f>
        <v>0.3817560959432782</v>
      </c>
      <c r="P45">
        <f>(1+'Rescale to Fit GDP Proj'!O162)/(1+'Rescale to Fit GDP Proj'!$D$162)-1</f>
        <v>0.42334457334592801</v>
      </c>
      <c r="Q45">
        <f>(1+'Rescale to Fit GDP Proj'!P162)/(1+'Rescale to Fit GDP Proj'!$D$162)-1</f>
        <v>0.46509265219240969</v>
      </c>
      <c r="R45">
        <f>(1+'Rescale to Fit GDP Proj'!Q162)/(1+'Rescale to Fit GDP Proj'!$D$162)-1</f>
        <v>0.50747169816573923</v>
      </c>
      <c r="S45">
        <f>(1+'Rescale to Fit GDP Proj'!R162)/(1+'Rescale to Fit GDP Proj'!$D$162)-1</f>
        <v>0.54949842979771435</v>
      </c>
      <c r="T45">
        <f>(1+'Rescale to Fit GDP Proj'!S162)/(1+'Rescale to Fit GDP Proj'!$D$162)-1</f>
        <v>0.59212822881917737</v>
      </c>
      <c r="U45">
        <f>(1+'Rescale to Fit GDP Proj'!T162)/(1+'Rescale to Fit GDP Proj'!$D$162)-1</f>
        <v>0.63390411542498759</v>
      </c>
      <c r="V45">
        <f>(1+'Rescale to Fit GDP Proj'!U162)/(1+'Rescale to Fit GDP Proj'!$D$162)-1</f>
        <v>0.6771734192312131</v>
      </c>
      <c r="W45">
        <f>(1+'Rescale to Fit GDP Proj'!V162)/(1+'Rescale to Fit GDP Proj'!$D$162)-1</f>
        <v>0.72257644866340276</v>
      </c>
      <c r="X45">
        <f>(1+'Rescale to Fit GDP Proj'!W162)/(1+'Rescale to Fit GDP Proj'!$D$162)-1</f>
        <v>0.76858128017849525</v>
      </c>
      <c r="Y45">
        <f>(1+'Rescale to Fit GDP Proj'!X162)/(1+'Rescale to Fit GDP Proj'!$D$162)-1</f>
        <v>0.814331535332669</v>
      </c>
      <c r="Z45">
        <f>(1+'Rescale to Fit GDP Proj'!Y162)/(1+'Rescale to Fit GDP Proj'!$D$162)-1</f>
        <v>0.85897546888747955</v>
      </c>
      <c r="AA45">
        <f>(1+'Rescale to Fit GDP Proj'!Z162)/(1+'Rescale to Fit GDP Proj'!$D$162)-1</f>
        <v>0.90203759581252907</v>
      </c>
      <c r="AB45">
        <f>(1+'Rescale to Fit GDP Proj'!AA162)/(1+'Rescale to Fit GDP Proj'!$D$162)-1</f>
        <v>0.94562185327094284</v>
      </c>
      <c r="AC45">
        <f>(1+'Rescale to Fit GDP Proj'!AB162)/(1+'Rescale to Fit GDP Proj'!$D$162)-1</f>
        <v>0.98800734474997731</v>
      </c>
      <c r="AD45">
        <f>(1+'Rescale to Fit GDP Proj'!AC162)/(1+'Rescale to Fit GDP Proj'!$D$162)-1</f>
        <v>1.0322777163339079</v>
      </c>
    </row>
    <row r="46" spans="1:30" x14ac:dyDescent="0.25">
      <c r="A46" t="s">
        <v>568</v>
      </c>
      <c r="B46" t="s">
        <v>568</v>
      </c>
      <c r="C46">
        <v>3098472043763.2632</v>
      </c>
      <c r="D46">
        <f>(1+'Rescale to Fit GDP Proj'!C163)/(1+'Rescale to Fit GDP Proj'!$D$163)-1</f>
        <v>-1.797198179951609E-2</v>
      </c>
      <c r="E46">
        <f>(1+'Rescale to Fit GDP Proj'!D163)/(1+'Rescale to Fit GDP Proj'!$D$163)-1</f>
        <v>0</v>
      </c>
      <c r="F46">
        <f>(1+'Rescale to Fit GDP Proj'!E163)/(1+'Rescale to Fit GDP Proj'!$D$163)-1</f>
        <v>2.9552660117199148E-2</v>
      </c>
      <c r="G46">
        <f>(1+'Rescale to Fit GDP Proj'!F163)/(1+'Rescale to Fit GDP Proj'!$D$163)-1</f>
        <v>4.9374304321867735E-2</v>
      </c>
      <c r="H46">
        <f>(1+'Rescale to Fit GDP Proj'!G163)/(1+'Rescale to Fit GDP Proj'!$D$163)-1</f>
        <v>6.3071574555562782E-2</v>
      </c>
      <c r="I46">
        <f>(1+'Rescale to Fit GDP Proj'!H163)/(1+'Rescale to Fit GDP Proj'!$D$163)-1</f>
        <v>7.9547615112918635E-2</v>
      </c>
      <c r="J46">
        <f>(1+'Rescale to Fit GDP Proj'!I163)/(1+'Rescale to Fit GDP Proj'!$D$163)-1</f>
        <v>9.8393310607926443E-2</v>
      </c>
      <c r="K46">
        <f>(1+'Rescale to Fit GDP Proj'!J163)/(1+'Rescale to Fit GDP Proj'!$D$163)-1</f>
        <v>0.11690009858406913</v>
      </c>
      <c r="L46">
        <f>(1+'Rescale to Fit GDP Proj'!K163)/(1+'Rescale to Fit GDP Proj'!$D$163)-1</f>
        <v>0.13795171460555244</v>
      </c>
      <c r="M46">
        <f>(1+'Rescale to Fit GDP Proj'!L163)/(1+'Rescale to Fit GDP Proj'!$D$163)-1</f>
        <v>0.1607742404680621</v>
      </c>
      <c r="N46">
        <f>(1+'Rescale to Fit GDP Proj'!M163)/(1+'Rescale to Fit GDP Proj'!$D$163)-1</f>
        <v>0.1850815766418179</v>
      </c>
      <c r="O46">
        <f>(1+'Rescale to Fit GDP Proj'!N163)/(1+'Rescale to Fit GDP Proj'!$D$163)-1</f>
        <v>0.21083026138623273</v>
      </c>
      <c r="P46">
        <f>(1+'Rescale to Fit GDP Proj'!O163)/(1+'Rescale to Fit GDP Proj'!$D$163)-1</f>
        <v>0.23224252477391305</v>
      </c>
      <c r="Q46">
        <f>(1+'Rescale to Fit GDP Proj'!P163)/(1+'Rescale to Fit GDP Proj'!$D$163)-1</f>
        <v>0.25347791843881717</v>
      </c>
      <c r="R46">
        <f>(1+'Rescale to Fit GDP Proj'!Q163)/(1+'Rescale to Fit GDP Proj'!$D$163)-1</f>
        <v>0.27478090298277702</v>
      </c>
      <c r="S46">
        <f>(1+'Rescale to Fit GDP Proj'!R163)/(1+'Rescale to Fit GDP Proj'!$D$163)-1</f>
        <v>0.29566182528537999</v>
      </c>
      <c r="T46">
        <f>(1+'Rescale to Fit GDP Proj'!S163)/(1+'Rescale to Fit GDP Proj'!$D$163)-1</f>
        <v>0.31660543262200846</v>
      </c>
      <c r="U46">
        <f>(1+'Rescale to Fit GDP Proj'!T163)/(1+'Rescale to Fit GDP Proj'!$D$163)-1</f>
        <v>0.33690285806902787</v>
      </c>
      <c r="V46">
        <f>(1+'Rescale to Fit GDP Proj'!U163)/(1+'Rescale to Fit GDP Proj'!$D$163)-1</f>
        <v>0.35770417694797607</v>
      </c>
      <c r="W46">
        <f>(1+'Rescale to Fit GDP Proj'!V163)/(1+'Rescale to Fit GDP Proj'!$D$163)-1</f>
        <v>0.37929900217934032</v>
      </c>
      <c r="X46">
        <f>(1+'Rescale to Fit GDP Proj'!W163)/(1+'Rescale to Fit GDP Proj'!$D$163)-1</f>
        <v>0.40094218063716647</v>
      </c>
      <c r="Y46">
        <f>(1+'Rescale to Fit GDP Proj'!X163)/(1+'Rescale to Fit GDP Proj'!$D$163)-1</f>
        <v>0.42223466746635463</v>
      </c>
      <c r="Z46">
        <f>(1+'Rescale to Fit GDP Proj'!Y163)/(1+'Rescale to Fit GDP Proj'!$D$163)-1</f>
        <v>0.4427961650690253</v>
      </c>
      <c r="AA46">
        <f>(1+'Rescale to Fit GDP Proj'!Z163)/(1+'Rescale to Fit GDP Proj'!$D$163)-1</f>
        <v>0.46243268289669581</v>
      </c>
      <c r="AB46">
        <f>(1+'Rescale to Fit GDP Proj'!AA163)/(1+'Rescale to Fit GDP Proj'!$D$163)-1</f>
        <v>0.48212170369138696</v>
      </c>
      <c r="AC46">
        <f>(1+'Rescale to Fit GDP Proj'!AB163)/(1+'Rescale to Fit GDP Proj'!$D$163)-1</f>
        <v>0.50109227166652381</v>
      </c>
      <c r="AD46">
        <f>(1+'Rescale to Fit GDP Proj'!AC163)/(1+'Rescale to Fit GDP Proj'!$D$163)-1</f>
        <v>0.52073221591973717</v>
      </c>
    </row>
    <row r="47" spans="1:30" x14ac:dyDescent="0.25">
      <c r="A47" t="s">
        <v>607</v>
      </c>
      <c r="B47" t="s">
        <v>607</v>
      </c>
      <c r="C47">
        <v>4379252970413.0161</v>
      </c>
      <c r="D47">
        <f>(1+'Rescale to Fit GDP Proj'!C164)/(1+'Rescale to Fit GDP Proj'!$D$164)-1</f>
        <v>-1.708873863452598E-2</v>
      </c>
      <c r="E47">
        <f>(1+'Rescale to Fit GDP Proj'!D164)/(1+'Rescale to Fit GDP Proj'!$D$164)-1</f>
        <v>0</v>
      </c>
      <c r="F47">
        <f>(1+'Rescale to Fit GDP Proj'!E164)/(1+'Rescale to Fit GDP Proj'!$D$164)-1</f>
        <v>2.8075027111339246E-2</v>
      </c>
      <c r="G47">
        <f>(1+'Rescale to Fit GDP Proj'!F164)/(1+'Rescale to Fit GDP Proj'!$D$164)-1</f>
        <v>4.6878563135175799E-2</v>
      </c>
      <c r="H47">
        <f>(1+'Rescale to Fit GDP Proj'!G164)/(1+'Rescale to Fit GDP Proj'!$D$164)-1</f>
        <v>5.9860022273220848E-2</v>
      </c>
      <c r="I47">
        <f>(1+'Rescale to Fit GDP Proj'!H164)/(1+'Rescale to Fit GDP Proj'!$D$164)-1</f>
        <v>7.5464975197885753E-2</v>
      </c>
      <c r="J47">
        <f>(1+'Rescale to Fit GDP Proj'!I164)/(1+'Rescale to Fit GDP Proj'!$D$164)-1</f>
        <v>9.3300678687634475E-2</v>
      </c>
      <c r="K47">
        <f>(1+'Rescale to Fit GDP Proj'!J164)/(1+'Rescale to Fit GDP Proj'!$D$164)-1</f>
        <v>0.11080061197771762</v>
      </c>
      <c r="L47">
        <f>(1+'Rescale to Fit GDP Proj'!K164)/(1+'Rescale to Fit GDP Proj'!$D$164)-1</f>
        <v>0.13069043076272546</v>
      </c>
      <c r="M47">
        <f>(1+'Rescale to Fit GDP Proj'!L164)/(1+'Rescale to Fit GDP Proj'!$D$164)-1</f>
        <v>0.15223348105563139</v>
      </c>
      <c r="N47">
        <f>(1+'Rescale to Fit GDP Proj'!M164)/(1+'Rescale to Fit GDP Proj'!$D$164)-1</f>
        <v>0.17515554403595113</v>
      </c>
      <c r="O47">
        <f>(1+'Rescale to Fit GDP Proj'!N164)/(1+'Rescale to Fit GDP Proj'!$D$164)-1</f>
        <v>0.19941191145754167</v>
      </c>
      <c r="P47">
        <f>(1+'Rescale to Fit GDP Proj'!O164)/(1+'Rescale to Fit GDP Proj'!$D$164)-1</f>
        <v>0.21956173620886132</v>
      </c>
      <c r="Q47">
        <f>(1+'Rescale to Fit GDP Proj'!P164)/(1+'Rescale to Fit GDP Proj'!$D$164)-1</f>
        <v>0.23952775701569129</v>
      </c>
      <c r="R47">
        <f>(1+'Rescale to Fit GDP Proj'!Q164)/(1+'Rescale to Fit GDP Proj'!$D$164)-1</f>
        <v>0.25954036214261866</v>
      </c>
      <c r="S47">
        <f>(1+'Rescale to Fit GDP Proj'!R164)/(1+'Rescale to Fit GDP Proj'!$D$164)-1</f>
        <v>0.27914008014787406</v>
      </c>
      <c r="T47">
        <f>(1+'Rescale to Fit GDP Proj'!S164)/(1+'Rescale to Fit GDP Proj'!$D$164)-1</f>
        <v>0.29878279608819858</v>
      </c>
      <c r="U47">
        <f>(1+'Rescale to Fit GDP Proj'!T164)/(1+'Rescale to Fit GDP Proj'!$D$164)-1</f>
        <v>0.3178043260061052</v>
      </c>
      <c r="V47">
        <f>(1+'Rescale to Fit GDP Proj'!U164)/(1+'Rescale to Fit GDP Proj'!$D$164)-1</f>
        <v>0.33728327651314394</v>
      </c>
      <c r="W47">
        <f>(1+'Rescale to Fit GDP Proj'!V164)/(1+'Rescale to Fit GDP Proj'!$D$164)-1</f>
        <v>0.35748979806244185</v>
      </c>
      <c r="X47">
        <f>(1+'Rescale to Fit GDP Proj'!W164)/(1+'Rescale to Fit GDP Proj'!$D$164)-1</f>
        <v>0.37772571080676709</v>
      </c>
      <c r="Y47">
        <f>(1+'Rescale to Fit GDP Proj'!X164)/(1+'Rescale to Fit GDP Proj'!$D$164)-1</f>
        <v>0.3976183563485931</v>
      </c>
      <c r="Z47">
        <f>(1+'Rescale to Fit GDP Proj'!Y164)/(1+'Rescale to Fit GDP Proj'!$D$164)-1</f>
        <v>0.41681369083440534</v>
      </c>
      <c r="AA47">
        <f>(1+'Rescale to Fit GDP Proj'!Z164)/(1+'Rescale to Fit GDP Proj'!$D$164)-1</f>
        <v>0.4351324413090194</v>
      </c>
      <c r="AB47">
        <f>(1+'Rescale to Fit GDP Proj'!AA164)/(1+'Rescale to Fit GDP Proj'!$D$164)-1</f>
        <v>0.45348783993351938</v>
      </c>
      <c r="AC47">
        <f>(1+'Rescale to Fit GDP Proj'!AB164)/(1+'Rescale to Fit GDP Proj'!$D$164)-1</f>
        <v>0.47116170255210754</v>
      </c>
      <c r="AD47">
        <f>(1+'Rescale to Fit GDP Proj'!AC164)/(1+'Rescale to Fit GDP Proj'!$D$164)-1</f>
        <v>0.48944762517819118</v>
      </c>
    </row>
    <row r="48" spans="1:30" x14ac:dyDescent="0.25">
      <c r="A48" t="s">
        <v>623</v>
      </c>
      <c r="B48" t="s">
        <v>1273</v>
      </c>
      <c r="C48">
        <v>2698521138338.4482</v>
      </c>
      <c r="D48">
        <f>(1+'Rescale to Fit GDP Proj'!C165)/(1+'Rescale to Fit GDP Proj'!$D$165)-1</f>
        <v>-1.9991537751303468E-2</v>
      </c>
      <c r="E48">
        <f>(1+'Rescale to Fit GDP Proj'!D165)/(1+'Rescale to Fit GDP Proj'!$D$165)-1</f>
        <v>0</v>
      </c>
      <c r="F48">
        <f>(1+'Rescale to Fit GDP Proj'!E165)/(1+'Rescale to Fit GDP Proj'!$D$165)-1</f>
        <v>3.2941309791925999E-2</v>
      </c>
      <c r="G48">
        <f>(1+'Rescale to Fit GDP Proj'!F165)/(1+'Rescale to Fit GDP Proj'!$D$165)-1</f>
        <v>5.5108520112288062E-2</v>
      </c>
      <c r="H48">
        <f>(1+'Rescale to Fit GDP Proj'!G165)/(1+'Rescale to Fit GDP Proj'!$D$165)-1</f>
        <v>7.0459814948061972E-2</v>
      </c>
      <c r="I48">
        <f>(1+'Rescale to Fit GDP Proj'!H165)/(1+'Rescale to Fit GDP Proj'!$D$165)-1</f>
        <v>8.8952714020369639E-2</v>
      </c>
      <c r="J48">
        <f>(1+'Rescale to Fit GDP Proj'!I165)/(1+'Rescale to Fit GDP Proj'!$D$165)-1</f>
        <v>0.11014235864835742</v>
      </c>
      <c r="K48">
        <f>(1+'Rescale to Fit GDP Proj'!J165)/(1+'Rescale to Fit GDP Proj'!$D$165)-1</f>
        <v>0.13099188188123168</v>
      </c>
      <c r="L48">
        <f>(1+'Rescale to Fit GDP Proj'!K165)/(1+'Rescale to Fit GDP Proj'!$D$165)-1</f>
        <v>0.15475343821197685</v>
      </c>
      <c r="M48">
        <f>(1+'Rescale to Fit GDP Proj'!L165)/(1+'Rescale to Fit GDP Proj'!$D$165)-1</f>
        <v>0.18056851502666782</v>
      </c>
      <c r="N48">
        <f>(1+'Rescale to Fit GDP Proj'!M165)/(1+'Rescale to Fit GDP Proj'!$D$165)-1</f>
        <v>0.20812508040265532</v>
      </c>
      <c r="O48">
        <f>(1+'Rescale to Fit GDP Proj'!N165)/(1+'Rescale to Fit GDP Proj'!$D$165)-1</f>
        <v>0.23738431680929351</v>
      </c>
      <c r="P48">
        <f>(1+'Rescale to Fit GDP Proj'!O165)/(1+'Rescale to Fit GDP Proj'!$D$165)-1</f>
        <v>0.26177523794879054</v>
      </c>
      <c r="Q48">
        <f>(1+'Rescale to Fit GDP Proj'!P165)/(1+'Rescale to Fit GDP Proj'!$D$165)-1</f>
        <v>0.28601288230446076</v>
      </c>
      <c r="R48">
        <f>(1+'Rescale to Fit GDP Proj'!Q165)/(1+'Rescale to Fit GDP Proj'!$D$165)-1</f>
        <v>0.31037490637076126</v>
      </c>
      <c r="S48">
        <f>(1+'Rescale to Fit GDP Proj'!R165)/(1+'Rescale to Fit GDP Proj'!$D$165)-1</f>
        <v>0.33430001843106272</v>
      </c>
      <c r="T48">
        <f>(1+'Rescale to Fit GDP Proj'!S165)/(1+'Rescale to Fit GDP Proj'!$D$165)-1</f>
        <v>0.35834129917900337</v>
      </c>
      <c r="U48">
        <f>(1+'Rescale to Fit GDP Proj'!T165)/(1+'Rescale to Fit GDP Proj'!$D$165)-1</f>
        <v>0.3816833226637959</v>
      </c>
      <c r="V48">
        <f>(1+'Rescale to Fit GDP Proj'!U165)/(1+'Rescale to Fit GDP Proj'!$D$165)-1</f>
        <v>0.40564646789184722</v>
      </c>
      <c r="W48">
        <f>(1+'Rescale to Fit GDP Proj'!V165)/(1+'Rescale to Fit GDP Proj'!$D$165)-1</f>
        <v>0.43056743714994883</v>
      </c>
      <c r="X48">
        <f>(1+'Rescale to Fit GDP Proj'!W165)/(1+'Rescale to Fit GDP Proj'!$D$165)-1</f>
        <v>0.45558904642054343</v>
      </c>
      <c r="Y48">
        <f>(1+'Rescale to Fit GDP Proj'!X165)/(1+'Rescale to Fit GDP Proj'!$D$165)-1</f>
        <v>0.48024882875074137</v>
      </c>
      <c r="Z48">
        <f>(1+'Rescale to Fit GDP Proj'!Y165)/(1+'Rescale to Fit GDP Proj'!$D$165)-1</f>
        <v>0.50410289896920335</v>
      </c>
      <c r="AA48">
        <f>(1+'Rescale to Fit GDP Proj'!Z165)/(1+'Rescale to Fit GDP Proj'!$D$165)-1</f>
        <v>0.52692109619146321</v>
      </c>
      <c r="AB48">
        <f>(1+'Rescale to Fit GDP Proj'!AA165)/(1+'Rescale to Fit GDP Proj'!$D$165)-1</f>
        <v>0.54983552907007671</v>
      </c>
      <c r="AC48">
        <f>(1+'Rescale to Fit GDP Proj'!AB165)/(1+'Rescale to Fit GDP Proj'!$D$165)-1</f>
        <v>0.57194744445029966</v>
      </c>
      <c r="AD48">
        <f>(1+'Rescale to Fit GDP Proj'!AC165)/(1+'Rescale to Fit GDP Proj'!$D$165)-1</f>
        <v>0.59487275186565136</v>
      </c>
    </row>
    <row r="49" spans="1:30" x14ac:dyDescent="0.25">
      <c r="A49" t="s">
        <v>610</v>
      </c>
      <c r="B49" t="s">
        <v>1273</v>
      </c>
      <c r="C49">
        <v>1000356800873.198</v>
      </c>
      <c r="D49">
        <f>(1+'Rescale to Fit GDP Proj'!C166)/(1+'Rescale to Fit GDP Proj'!$D$166)-1</f>
        <v>-2.1335411116414349E-2</v>
      </c>
      <c r="E49">
        <f>(1+'Rescale to Fit GDP Proj'!D166)/(1+'Rescale to Fit GDP Proj'!$D$166)-1</f>
        <v>0</v>
      </c>
      <c r="F49">
        <f>(1+'Rescale to Fit GDP Proj'!E166)/(1+'Rescale to Fit GDP Proj'!$D$166)-1</f>
        <v>3.5203968930490159E-2</v>
      </c>
      <c r="G49">
        <f>(1+'Rescale to Fit GDP Proj'!F166)/(1+'Rescale to Fit GDP Proj'!$D$166)-1</f>
        <v>5.894568405998557E-2</v>
      </c>
      <c r="H49">
        <f>(1+'Rescale to Fit GDP Proj'!G166)/(1+'Rescale to Fit GDP Proj'!$D$166)-1</f>
        <v>7.5411085859712124E-2</v>
      </c>
      <c r="I49">
        <f>(1+'Rescale to Fit GDP Proj'!H166)/(1+'Rescale to Fit GDP Proj'!$D$166)-1</f>
        <v>9.5265629340831603E-2</v>
      </c>
      <c r="J49">
        <f>(1+'Rescale to Fit GDP Proj'!I166)/(1+'Rescale to Fit GDP Proj'!$D$166)-1</f>
        <v>0.11804201860059926</v>
      </c>
      <c r="K49">
        <f>(1+'Rescale to Fit GDP Proj'!J166)/(1+'Rescale to Fit GDP Proj'!$D$166)-1</f>
        <v>0.14048219909630033</v>
      </c>
      <c r="L49">
        <f>(1+'Rescale to Fit GDP Proj'!K166)/(1+'Rescale to Fit GDP Proj'!$D$166)-1</f>
        <v>0.16608896149685815</v>
      </c>
      <c r="M49">
        <f>(1+'Rescale to Fit GDP Proj'!L166)/(1+'Rescale to Fit GDP Proj'!$D$166)-1</f>
        <v>0.19394803104818958</v>
      </c>
      <c r="N49">
        <f>(1+'Rescale to Fit GDP Proj'!M166)/(1+'Rescale to Fit GDP Proj'!$D$166)-1</f>
        <v>0.22373114336183386</v>
      </c>
      <c r="O49">
        <f>(1+'Rescale to Fit GDP Proj'!N166)/(1+'Rescale to Fit GDP Proj'!$D$166)-1</f>
        <v>0.25540404602553601</v>
      </c>
      <c r="P49">
        <f>(1+'Rescale to Fit GDP Proj'!O166)/(1+'Rescale to Fit GDP Proj'!$D$166)-1</f>
        <v>0.28184991759299427</v>
      </c>
      <c r="Q49">
        <f>(1+'Rescale to Fit GDP Proj'!P166)/(1+'Rescale to Fit GDP Proj'!$D$166)-1</f>
        <v>0.30816449221371056</v>
      </c>
      <c r="R49">
        <f>(1+'Rescale to Fit GDP Proj'!Q166)/(1+'Rescale to Fit GDP Proj'!$D$166)-1</f>
        <v>0.33464834537898547</v>
      </c>
      <c r="S49">
        <f>(1+'Rescale to Fit GDP Proj'!R166)/(1+'Rescale to Fit GDP Proj'!$D$166)-1</f>
        <v>0.36069044709888964</v>
      </c>
      <c r="T49">
        <f>(1+'Rescale to Fit GDP Proj'!S166)/(1+'Rescale to Fit GDP Proj'!$D$166)-1</f>
        <v>0.38689122643610485</v>
      </c>
      <c r="U49">
        <f>(1+'Rescale to Fit GDP Proj'!T166)/(1+'Rescale to Fit GDP Proj'!$D$166)-1</f>
        <v>0.41236086388221183</v>
      </c>
      <c r="V49">
        <f>(1+'Rescale to Fit GDP Proj'!U166)/(1+'Rescale to Fit GDP Proj'!$D$166)-1</f>
        <v>0.43853857946344887</v>
      </c>
      <c r="W49">
        <f>(1+'Rescale to Fit GDP Proj'!V166)/(1+'Rescale to Fit GDP Proj'!$D$166)-1</f>
        <v>0.46579451560403107</v>
      </c>
      <c r="X49">
        <f>(1+'Rescale to Fit GDP Proj'!W166)/(1+'Rescale to Fit GDP Proj'!$D$166)-1</f>
        <v>0.49319326630625127</v>
      </c>
      <c r="Y49">
        <f>(1+'Rescale to Fit GDP Proj'!X166)/(1+'Rescale to Fit GDP Proj'!$D$166)-1</f>
        <v>0.52022769825116666</v>
      </c>
      <c r="Z49">
        <f>(1+'Rescale to Fit GDP Proj'!Y166)/(1+'Rescale to Fit GDP Proj'!$D$166)-1</f>
        <v>0.54640875511521791</v>
      </c>
      <c r="AA49">
        <f>(1+'Rescale to Fit GDP Proj'!Z166)/(1+'Rescale to Fit GDP Proj'!$D$166)-1</f>
        <v>0.57148017017437214</v>
      </c>
      <c r="AB49">
        <f>(1+'Rescale to Fit GDP Proj'!AA166)/(1+'Rescale to Fit GDP Proj'!$D$166)-1</f>
        <v>0.59668316722631598</v>
      </c>
      <c r="AC49">
        <f>(1+'Rescale to Fit GDP Proj'!AB166)/(1+'Rescale to Fit GDP Proj'!$D$166)-1</f>
        <v>0.62102819439935941</v>
      </c>
      <c r="AD49">
        <f>(1+'Rescale to Fit GDP Proj'!AC166)/(1+'Rescale to Fit GDP Proj'!$D$166)-1</f>
        <v>0.64629314656283521</v>
      </c>
    </row>
    <row r="50" spans="1:30" x14ac:dyDescent="0.25">
      <c r="A50" t="s">
        <v>942</v>
      </c>
      <c r="B50" t="s">
        <v>942</v>
      </c>
      <c r="C50">
        <v>3990883915128.9888</v>
      </c>
      <c r="D50">
        <f>(1+'Rescale to Fit GDP Proj'!C167)/(1+'Rescale to Fit GDP Proj'!$D$167)-1</f>
        <v>-4.613511394891967E-3</v>
      </c>
      <c r="E50">
        <f>(1+'Rescale to Fit GDP Proj'!D167)/(1+'Rescale to Fit GDP Proj'!$D$167)-1</f>
        <v>0</v>
      </c>
      <c r="F50">
        <f>(1+'Rescale to Fit GDP Proj'!E167)/(1+'Rescale to Fit GDP Proj'!$D$167)-1</f>
        <v>7.4845267345102773E-3</v>
      </c>
      <c r="G50">
        <f>(1+'Rescale to Fit GDP Proj'!F167)/(1+'Rescale to Fit GDP Proj'!$D$167)-1</f>
        <v>1.2396966758553285E-2</v>
      </c>
      <c r="H50">
        <f>(1+'Rescale to Fit GDP Proj'!G167)/(1+'Rescale to Fit GDP Proj'!$D$167)-1</f>
        <v>1.5743708487523156E-2</v>
      </c>
      <c r="I50">
        <f>(1+'Rescale to Fit GDP Proj'!H167)/(1+'Rescale to Fit GDP Proj'!$D$167)-1</f>
        <v>1.9730671921522225E-2</v>
      </c>
      <c r="J50">
        <f>(1+'Rescale to Fit GDP Proj'!I167)/(1+'Rescale to Fit GDP Proj'!$D$167)-1</f>
        <v>2.4239084104126007E-2</v>
      </c>
      <c r="K50">
        <f>(1+'Rescale to Fit GDP Proj'!J167)/(1+'Rescale to Fit GDP Proj'!$D$167)-1</f>
        <v>2.8609696360316406E-2</v>
      </c>
      <c r="L50">
        <f>(1+'Rescale to Fit GDP Proj'!K167)/(1+'Rescale to Fit GDP Proj'!$D$167)-1</f>
        <v>3.3519786778279492E-2</v>
      </c>
      <c r="M50">
        <f>(1+'Rescale to Fit GDP Proj'!L167)/(1+'Rescale to Fit GDP Proj'!$D$167)-1</f>
        <v>3.8769389448776392E-2</v>
      </c>
      <c r="N50">
        <f>(1+'Rescale to Fit GDP Proj'!M167)/(1+'Rescale to Fit GDP Proj'!$D$167)-1</f>
        <v>4.4278436909607866E-2</v>
      </c>
      <c r="O50">
        <f>(1+'Rescale to Fit GDP Proj'!N167)/(1+'Rescale to Fit GDP Proj'!$D$167)-1</f>
        <v>5.0024771087616493E-2</v>
      </c>
      <c r="P50">
        <f>(1+'Rescale to Fit GDP Proj'!O167)/(1+'Rescale to Fit GDP Proj'!$D$167)-1</f>
        <v>5.4727464000009496E-2</v>
      </c>
      <c r="Q50">
        <f>(1+'Rescale to Fit GDP Proj'!P167)/(1+'Rescale to Fit GDP Proj'!$D$167)-1</f>
        <v>5.9330794365703543E-2</v>
      </c>
      <c r="R50">
        <f>(1+'Rescale to Fit GDP Proj'!Q167)/(1+'Rescale to Fit GDP Proj'!$D$167)-1</f>
        <v>6.3890356378758062E-2</v>
      </c>
      <c r="S50">
        <f>(1+'Rescale to Fit GDP Proj'!R167)/(1+'Rescale to Fit GDP Proj'!$D$167)-1</f>
        <v>6.8303812018237764E-2</v>
      </c>
      <c r="T50">
        <f>(1+'Rescale to Fit GDP Proj'!S167)/(1+'Rescale to Fit GDP Proj'!$D$167)-1</f>
        <v>7.2677243902346866E-2</v>
      </c>
      <c r="U50">
        <f>(1+'Rescale to Fit GDP Proj'!T167)/(1+'Rescale to Fit GDP Proj'!$D$167)-1</f>
        <v>7.6865393101001267E-2</v>
      </c>
      <c r="V50">
        <f>(1+'Rescale to Fit GDP Proj'!U167)/(1+'Rescale to Fit GDP Proj'!$D$167)-1</f>
        <v>8.1108854005420339E-2</v>
      </c>
      <c r="W50">
        <f>(1+'Rescale to Fit GDP Proj'!V167)/(1+'Rescale to Fit GDP Proj'!$D$167)-1</f>
        <v>8.5463789520157984E-2</v>
      </c>
      <c r="X50">
        <f>(1+'Rescale to Fit GDP Proj'!W167)/(1+'Rescale to Fit GDP Proj'!$D$167)-1</f>
        <v>8.9777447655592368E-2</v>
      </c>
      <c r="Y50">
        <f>(1+'Rescale to Fit GDP Proj'!X167)/(1+'Rescale to Fit GDP Proj'!$D$167)-1</f>
        <v>9.3972252461353767E-2</v>
      </c>
      <c r="Z50">
        <f>(1+'Rescale to Fit GDP Proj'!Y167)/(1+'Rescale to Fit GDP Proj'!$D$167)-1</f>
        <v>9.7977760010547366E-2</v>
      </c>
      <c r="AA50">
        <f>(1+'Rescale to Fit GDP Proj'!Z167)/(1+'Rescale to Fit GDP Proj'!$D$167)-1</f>
        <v>0.10176236715846221</v>
      </c>
      <c r="AB50">
        <f>(1+'Rescale to Fit GDP Proj'!AA167)/(1+'Rescale to Fit GDP Proj'!$D$167)-1</f>
        <v>0.10551904482094954</v>
      </c>
      <c r="AC50">
        <f>(1+'Rescale to Fit GDP Proj'!AB167)/(1+'Rescale to Fit GDP Proj'!$D$167)-1</f>
        <v>0.10910273503160406</v>
      </c>
      <c r="AD50">
        <f>(1+'Rescale to Fit GDP Proj'!AC167)/(1+'Rescale to Fit GDP Proj'!$D$167)-1</f>
        <v>0.11277786246768362</v>
      </c>
    </row>
    <row r="51" spans="1:30" x14ac:dyDescent="0.25">
      <c r="A51" t="s">
        <v>700</v>
      </c>
      <c r="B51" t="s">
        <v>700</v>
      </c>
      <c r="C51">
        <v>364421577263.3382</v>
      </c>
      <c r="D51">
        <f>(1+'Rescale to Fit GDP Proj'!C168)/(1+'Rescale to Fit GDP Proj'!$D$168)-1</f>
        <v>-4.3057107053697807E-3</v>
      </c>
      <c r="E51">
        <f>(1+'Rescale to Fit GDP Proj'!D168)/(1+'Rescale to Fit GDP Proj'!$D$168)-1</f>
        <v>0</v>
      </c>
      <c r="F51">
        <f>(1+'Rescale to Fit GDP Proj'!E168)/(1+'Rescale to Fit GDP Proj'!$D$168)-1</f>
        <v>6.9830205206109497E-3</v>
      </c>
      <c r="G51">
        <f>(1+'Rescale to Fit GDP Proj'!F168)/(1+'Rescale to Fit GDP Proj'!$D$168)-1</f>
        <v>1.1564017424021467E-2</v>
      </c>
      <c r="H51">
        <f>(1+'Rescale to Fit GDP Proj'!G168)/(1+'Rescale to Fit GDP Proj'!$D$168)-1</f>
        <v>1.4683939235559995E-2</v>
      </c>
      <c r="I51">
        <f>(1+'Rescale to Fit GDP Proj'!H168)/(1+'Rescale to Fit GDP Proj'!$D$168)-1</f>
        <v>1.8399872212299107E-2</v>
      </c>
      <c r="J51">
        <f>(1+'Rescale to Fit GDP Proj'!I168)/(1+'Rescale to Fit GDP Proj'!$D$168)-1</f>
        <v>2.2600705461309101E-2</v>
      </c>
      <c r="K51">
        <f>(1+'Rescale to Fit GDP Proj'!J168)/(1+'Rescale to Fit GDP Proj'!$D$168)-1</f>
        <v>2.6671938829623709E-2</v>
      </c>
      <c r="L51">
        <f>(1+'Rescale to Fit GDP Proj'!K168)/(1+'Rescale to Fit GDP Proj'!$D$168)-1</f>
        <v>3.1244394902001149E-2</v>
      </c>
      <c r="M51">
        <f>(1+'Rescale to Fit GDP Proj'!L168)/(1+'Rescale to Fit GDP Proj'!$D$168)-1</f>
        <v>3.6131461008140686E-2</v>
      </c>
      <c r="N51">
        <f>(1+'Rescale to Fit GDP Proj'!M168)/(1+'Rescale to Fit GDP Proj'!$D$168)-1</f>
        <v>4.1258318025595653E-2</v>
      </c>
      <c r="O51">
        <f>(1+'Rescale to Fit GDP Proj'!N168)/(1+'Rescale to Fit GDP Proj'!$D$168)-1</f>
        <v>4.6604109651815273E-2</v>
      </c>
      <c r="P51">
        <f>(1+'Rescale to Fit GDP Proj'!O168)/(1+'Rescale to Fit GDP Proj'!$D$168)-1</f>
        <v>5.0977401750271323E-2</v>
      </c>
      <c r="Q51">
        <f>(1+'Rescale to Fit GDP Proj'!P168)/(1+'Rescale to Fit GDP Proj'!$D$168)-1</f>
        <v>5.5257012219751767E-2</v>
      </c>
      <c r="R51">
        <f>(1+'Rescale to Fit GDP Proj'!Q168)/(1+'Rescale to Fit GDP Proj'!$D$168)-1</f>
        <v>5.9494697994356249E-2</v>
      </c>
      <c r="S51">
        <f>(1+'Rescale to Fit GDP Proj'!R168)/(1+'Rescale to Fit GDP Proj'!$D$168)-1</f>
        <v>6.3595413642718146E-2</v>
      </c>
      <c r="T51">
        <f>(1+'Rescale to Fit GDP Proj'!S168)/(1+'Rescale to Fit GDP Proj'!$D$168)-1</f>
        <v>6.7657816779978619E-2</v>
      </c>
      <c r="U51">
        <f>(1+'Rescale to Fit GDP Proj'!T168)/(1+'Rescale to Fit GDP Proj'!$D$168)-1</f>
        <v>7.1547051332714773E-2</v>
      </c>
      <c r="V51">
        <f>(1+'Rescale to Fit GDP Proj'!U168)/(1+'Rescale to Fit GDP Proj'!$D$168)-1</f>
        <v>7.5486622993815811E-2</v>
      </c>
      <c r="W51">
        <f>(1+'Rescale to Fit GDP Proj'!V168)/(1+'Rescale to Fit GDP Proj'!$D$168)-1</f>
        <v>7.9528622831362972E-2</v>
      </c>
      <c r="X51">
        <f>(1+'Rescale to Fit GDP Proj'!W168)/(1+'Rescale to Fit GDP Proj'!$D$168)-1</f>
        <v>8.3531235074247867E-2</v>
      </c>
      <c r="Y51">
        <f>(1+'Rescale to Fit GDP Proj'!X168)/(1+'Rescale to Fit GDP Proj'!$D$168)-1</f>
        <v>8.7422531814672633E-2</v>
      </c>
      <c r="Z51">
        <f>(1+'Rescale to Fit GDP Proj'!Y168)/(1+'Rescale to Fit GDP Proj'!$D$168)-1</f>
        <v>9.113727290455409E-2</v>
      </c>
      <c r="AA51">
        <f>(1+'Rescale to Fit GDP Proj'!Z168)/(1+'Rescale to Fit GDP Proj'!$D$168)-1</f>
        <v>9.4646291159454776E-2</v>
      </c>
      <c r="AB51">
        <f>(1+'Rescale to Fit GDP Proj'!AA168)/(1+'Rescale to Fit GDP Proj'!$D$168)-1</f>
        <v>9.812861200513634E-2</v>
      </c>
      <c r="AC51">
        <f>(1+'Rescale to Fit GDP Proj'!AB168)/(1+'Rescale to Fit GDP Proj'!$D$168)-1</f>
        <v>0.1014498225900542</v>
      </c>
      <c r="AD51">
        <f>(1+'Rescale to Fit GDP Proj'!AC168)/(1+'Rescale to Fit GDP Proj'!$D$168)-1</f>
        <v>0.10485503586892553</v>
      </c>
    </row>
    <row r="52" spans="1:30" x14ac:dyDescent="0.25">
      <c r="A52" t="s">
        <v>755</v>
      </c>
      <c r="B52" t="s">
        <v>755</v>
      </c>
      <c r="C52">
        <v>2692830233728.542</v>
      </c>
      <c r="D52">
        <f>(1+'Rescale to Fit GDP Proj'!C169)/(1+'Rescale to Fit GDP Proj'!$D$169)-1</f>
        <v>-2.4723087093899143E-2</v>
      </c>
      <c r="E52">
        <f>(1+'Rescale to Fit GDP Proj'!D169)/(1+'Rescale to Fit GDP Proj'!$D$169)-1</f>
        <v>0</v>
      </c>
      <c r="F52">
        <f>(1+'Rescale to Fit GDP Proj'!E169)/(1+'Rescale to Fit GDP Proj'!$D$169)-1</f>
        <v>4.0935419275007767E-2</v>
      </c>
      <c r="G52">
        <f>(1+'Rescale to Fit GDP Proj'!F169)/(1+'Rescale to Fit GDP Proj'!$D$169)-1</f>
        <v>6.8695297808263112E-2</v>
      </c>
      <c r="H52">
        <f>(1+'Rescale to Fit GDP Proj'!G169)/(1+'Rescale to Fit GDP Proj'!$D$169)-1</f>
        <v>8.8017657435268681E-2</v>
      </c>
      <c r="I52">
        <f>(1+'Rescale to Fit GDP Proj'!H169)/(1+'Rescale to Fit GDP Proj'!$D$169)-1</f>
        <v>0.11137529708789473</v>
      </c>
      <c r="J52">
        <f>(1+'Rescale to Fit GDP Proj'!I169)/(1+'Rescale to Fit GDP Proj'!$D$169)-1</f>
        <v>0.13824938729047798</v>
      </c>
      <c r="K52">
        <f>(1+'Rescale to Fit GDP Proj'!J169)/(1+'Rescale to Fit GDP Proj'!$D$169)-1</f>
        <v>0.1648145976508355</v>
      </c>
      <c r="L52">
        <f>(1+'Rescale to Fit GDP Proj'!K169)/(1+'Rescale to Fit GDP Proj'!$D$169)-1</f>
        <v>0.19522558910996501</v>
      </c>
      <c r="M52">
        <f>(1+'Rescale to Fit GDP Proj'!L169)/(1+'Rescale to Fit GDP Proj'!$D$169)-1</f>
        <v>0.22842974314107578</v>
      </c>
      <c r="N52">
        <f>(1+'Rescale to Fit GDP Proj'!M169)/(1+'Rescale to Fit GDP Proj'!$D$169)-1</f>
        <v>0.26406193947466838</v>
      </c>
      <c r="O52">
        <f>(1+'Rescale to Fit GDP Proj'!N169)/(1+'Rescale to Fit GDP Proj'!$D$169)-1</f>
        <v>0.30210520796605111</v>
      </c>
      <c r="P52">
        <f>(1+'Rescale to Fit GDP Proj'!O169)/(1+'Rescale to Fit GDP Proj'!$D$169)-1</f>
        <v>0.33400060776977503</v>
      </c>
      <c r="Q52">
        <f>(1+'Rescale to Fit GDP Proj'!P169)/(1+'Rescale to Fit GDP Proj'!$D$169)-1</f>
        <v>0.36584425583939484</v>
      </c>
      <c r="R52">
        <f>(1+'Rescale to Fit GDP Proj'!Q169)/(1+'Rescale to Fit GDP Proj'!$D$169)-1</f>
        <v>0.39799770808436974</v>
      </c>
      <c r="S52">
        <f>(1+'Rescale to Fit GDP Proj'!R169)/(1+'Rescale to Fit GDP Proj'!$D$169)-1</f>
        <v>0.4297169830603329</v>
      </c>
      <c r="T52">
        <f>(1+'Rescale to Fit GDP Proj'!S169)/(1+'Rescale to Fit GDP Proj'!$D$169)-1</f>
        <v>0.46172896503510819</v>
      </c>
      <c r="U52">
        <f>(1+'Rescale to Fit GDP Proj'!T169)/(1+'Rescale to Fit GDP Proj'!$D$169)-1</f>
        <v>0.4929433533576455</v>
      </c>
      <c r="V52">
        <f>(1+'Rescale to Fit GDP Proj'!U169)/(1+'Rescale to Fit GDP Proj'!$D$169)-1</f>
        <v>0.52511972085362224</v>
      </c>
      <c r="W52">
        <f>(1+'Rescale to Fit GDP Proj'!V169)/(1+'Rescale to Fit GDP Proj'!$D$169)-1</f>
        <v>0.55872063865995858</v>
      </c>
      <c r="X52">
        <f>(1+'Rescale to Fit GDP Proj'!W169)/(1+'Rescale to Fit GDP Proj'!$D$169)-1</f>
        <v>0.59259987154002358</v>
      </c>
      <c r="Y52">
        <f>(1+'Rescale to Fit GDP Proj'!X169)/(1+'Rescale to Fit GDP Proj'!$D$169)-1</f>
        <v>0.62612847897681756</v>
      </c>
      <c r="Z52">
        <f>(1+'Rescale to Fit GDP Proj'!Y169)/(1+'Rescale to Fit GDP Proj'!$D$169)-1</f>
        <v>0.65869272316271532</v>
      </c>
      <c r="AA52">
        <f>(1+'Rescale to Fit GDP Proj'!Z169)/(1+'Rescale to Fit GDP Proj'!$D$169)-1</f>
        <v>0.68996273892746074</v>
      </c>
      <c r="AB52">
        <f>(1+'Rescale to Fit GDP Proj'!AA169)/(1+'Rescale to Fit GDP Proj'!$D$169)-1</f>
        <v>0.72147851648592898</v>
      </c>
      <c r="AC52">
        <f>(1+'Rescale to Fit GDP Proj'!AB169)/(1+'Rescale to Fit GDP Proj'!$D$169)-1</f>
        <v>0.75199965556752879</v>
      </c>
      <c r="AD52">
        <f>(1+'Rescale to Fit GDP Proj'!AC169)/(1+'Rescale to Fit GDP Proj'!$D$169)-1</f>
        <v>0.78375154269741576</v>
      </c>
    </row>
    <row r="53" spans="1:30" x14ac:dyDescent="0.25">
      <c r="A53" t="s">
        <v>840</v>
      </c>
      <c r="B53" t="s">
        <v>1274</v>
      </c>
      <c r="C53">
        <v>426204353430.62958</v>
      </c>
      <c r="D53">
        <f>(1+'Rescale to Fit GDP Proj'!C170)/(1+'Rescale to Fit GDP Proj'!$D$170)-1</f>
        <v>-1.9733714583534456E-2</v>
      </c>
      <c r="E53">
        <f>(1+'Rescale to Fit GDP Proj'!D170)/(1+'Rescale to Fit GDP Proj'!$D$170)-1</f>
        <v>0</v>
      </c>
      <c r="F53">
        <f>(1+'Rescale to Fit GDP Proj'!E170)/(1+'Rescale to Fit GDP Proj'!$D$170)-1</f>
        <v>3.2507926128919173E-2</v>
      </c>
      <c r="G53">
        <f>(1+'Rescale to Fit GDP Proj'!F170)/(1+'Rescale to Fit GDP Proj'!$D$170)-1</f>
        <v>5.4374321212282473E-2</v>
      </c>
      <c r="H53">
        <f>(1+'Rescale to Fit GDP Proj'!G170)/(1+'Rescale to Fit GDP Proj'!$D$170)-1</f>
        <v>6.9513109097784298E-2</v>
      </c>
      <c r="I53">
        <f>(1+'Rescale to Fit GDP Proj'!H170)/(1+'Rescale to Fit GDP Proj'!$D$170)-1</f>
        <v>8.7746571417980812E-2</v>
      </c>
      <c r="J53">
        <f>(1+'Rescale to Fit GDP Proj'!I170)/(1+'Rescale to Fit GDP Proj'!$D$170)-1</f>
        <v>0.10863427883456533</v>
      </c>
      <c r="K53">
        <f>(1+'Rescale to Fit GDP Proj'!J170)/(1+'Rescale to Fit GDP Proj'!$D$170)-1</f>
        <v>0.12918155026972289</v>
      </c>
      <c r="L53">
        <f>(1+'Rescale to Fit GDP Proj'!K170)/(1+'Rescale to Fit GDP Proj'!$D$170)-1</f>
        <v>0.15259296019747937</v>
      </c>
      <c r="M53">
        <f>(1+'Rescale to Fit GDP Proj'!L170)/(1+'Rescale to Fit GDP Proj'!$D$170)-1</f>
        <v>0.17802074464208473</v>
      </c>
      <c r="N53">
        <f>(1+'Rescale to Fit GDP Proj'!M170)/(1+'Rescale to Fit GDP Proj'!$D$170)-1</f>
        <v>0.20515608223618864</v>
      </c>
      <c r="O53">
        <f>(1+'Rescale to Fit GDP Proj'!N170)/(1+'Rescale to Fit GDP Proj'!$D$170)-1</f>
        <v>0.23395941789260144</v>
      </c>
      <c r="P53">
        <f>(1+'Rescale to Fit GDP Proj'!O170)/(1+'Rescale to Fit GDP Proj'!$D$170)-1</f>
        <v>0.25796282398431347</v>
      </c>
      <c r="Q53">
        <f>(1+'Rescale to Fit GDP Proj'!P170)/(1+'Rescale to Fit GDP Proj'!$D$170)-1</f>
        <v>0.28180932235672174</v>
      </c>
      <c r="R53">
        <f>(1+'Rescale to Fit GDP Proj'!Q170)/(1+'Rescale to Fit GDP Proj'!$D$170)-1</f>
        <v>0.30577224995111152</v>
      </c>
      <c r="S53">
        <f>(1+'Rescale to Fit GDP Proj'!R170)/(1+'Rescale to Fit GDP Proj'!$D$170)-1</f>
        <v>0.32929966687080281</v>
      </c>
      <c r="T53">
        <f>(1+'Rescale to Fit GDP Proj'!S170)/(1+'Rescale to Fit GDP Proj'!$D$170)-1</f>
        <v>0.35293574434377573</v>
      </c>
      <c r="U53">
        <f>(1+'Rescale to Fit GDP Proj'!T170)/(1+'Rescale to Fit GDP Proj'!$D$170)-1</f>
        <v>0.37587900653722617</v>
      </c>
      <c r="V53">
        <f>(1+'Rescale to Fit GDP Proj'!U170)/(1+'Rescale to Fit GDP Proj'!$D$170)-1</f>
        <v>0.3994275445324893</v>
      </c>
      <c r="W53">
        <f>(1+'Rescale to Fit GDP Proj'!V170)/(1+'Rescale to Fit GDP Proj'!$D$170)-1</f>
        <v>0.42391184172871421</v>
      </c>
      <c r="X53">
        <f>(1+'Rescale to Fit GDP Proj'!W170)/(1+'Rescale to Fit GDP Proj'!$D$170)-1</f>
        <v>0.44848938137389505</v>
      </c>
      <c r="Y53">
        <f>(1+'Rescale to Fit GDP Proj'!X170)/(1+'Rescale to Fit GDP Proj'!$D$170)-1</f>
        <v>0.472706037601067</v>
      </c>
      <c r="Z53">
        <f>(1+'Rescale to Fit GDP Proj'!Y170)/(1+'Rescale to Fit GDP Proj'!$D$170)-1</f>
        <v>0.49612632582049887</v>
      </c>
      <c r="AA53">
        <f>(1+'Rescale to Fit GDP Proj'!Z170)/(1+'Rescale to Fit GDP Proj'!$D$170)-1</f>
        <v>0.51852490378928451</v>
      </c>
      <c r="AB53">
        <f>(1+'Rescale to Fit GDP Proj'!AA170)/(1+'Rescale to Fit GDP Proj'!$D$170)-1</f>
        <v>0.54101352540817338</v>
      </c>
      <c r="AC53">
        <f>(1+'Rescale to Fit GDP Proj'!AB170)/(1+'Rescale to Fit GDP Proj'!$D$170)-1</f>
        <v>0.56271032125004394</v>
      </c>
      <c r="AD53">
        <f>(1+'Rescale to Fit GDP Proj'!AC170)/(1+'Rescale to Fit GDP Proj'!$D$170)-1</f>
        <v>0.58520107587575243</v>
      </c>
    </row>
    <row r="54" spans="1:30" x14ac:dyDescent="0.25">
      <c r="A54" t="s">
        <v>904</v>
      </c>
      <c r="B54" t="s">
        <v>1274</v>
      </c>
      <c r="C54">
        <v>584169638076.21948</v>
      </c>
      <c r="D54">
        <f>(1+'Rescale to Fit GDP Proj'!C171)/(1+'Rescale to Fit GDP Proj'!$D$171)-1</f>
        <v>-1.8915958709668335E-2</v>
      </c>
      <c r="E54">
        <f>(1+'Rescale to Fit GDP Proj'!D171)/(1+'Rescale to Fit GDP Proj'!$D$171)-1</f>
        <v>0</v>
      </c>
      <c r="F54">
        <f>(1+'Rescale to Fit GDP Proj'!E171)/(1+'Rescale to Fit GDP Proj'!$D$171)-1</f>
        <v>3.1134839675232007E-2</v>
      </c>
      <c r="G54">
        <f>(1+'Rescale to Fit GDP Proj'!F171)/(1+'Rescale to Fit GDP Proj'!$D$171)-1</f>
        <v>5.2049779862004542E-2</v>
      </c>
      <c r="H54">
        <f>(1+'Rescale to Fit GDP Proj'!G171)/(1+'Rescale to Fit GDP Proj'!$D$171)-1</f>
        <v>6.6517161667842828E-2</v>
      </c>
      <c r="I54">
        <f>(1+'Rescale to Fit GDP Proj'!H171)/(1+'Rescale to Fit GDP Proj'!$D$171)-1</f>
        <v>8.3931550992314641E-2</v>
      </c>
      <c r="J54">
        <f>(1+'Rescale to Fit GDP Proj'!I171)/(1+'Rescale to Fit GDP Proj'!$D$171)-1</f>
        <v>0.10386682823542293</v>
      </c>
      <c r="K54">
        <f>(1+'Rescale to Fit GDP Proj'!J171)/(1+'Rescale to Fit GDP Proj'!$D$171)-1</f>
        <v>0.12346158638949833</v>
      </c>
      <c r="L54">
        <f>(1+'Rescale to Fit GDP Proj'!K171)/(1+'Rescale to Fit GDP Proj'!$D$171)-1</f>
        <v>0.14577054988751081</v>
      </c>
      <c r="M54">
        <f>(1+'Rescale to Fit GDP Proj'!L171)/(1+'Rescale to Fit GDP Proj'!$D$171)-1</f>
        <v>0.16998014817994389</v>
      </c>
      <c r="N54">
        <f>(1+'Rescale to Fit GDP Proj'!M171)/(1+'Rescale to Fit GDP Proj'!$D$171)-1</f>
        <v>0.19579193996291755</v>
      </c>
      <c r="O54">
        <f>(1+'Rescale to Fit GDP Proj'!N171)/(1+'Rescale to Fit GDP Proj'!$D$171)-1</f>
        <v>0.22316431487971089</v>
      </c>
      <c r="P54">
        <f>(1+'Rescale to Fit GDP Proj'!O171)/(1+'Rescale to Fit GDP Proj'!$D$171)-1</f>
        <v>0.24595273238128645</v>
      </c>
      <c r="Q54">
        <f>(1+'Rescale to Fit GDP Proj'!P171)/(1+'Rescale to Fit GDP Proj'!$D$171)-1</f>
        <v>0.26857393791408657</v>
      </c>
      <c r="R54">
        <f>(1+'Rescale to Fit GDP Proj'!Q171)/(1+'Rescale to Fit GDP Proj'!$D$171)-1</f>
        <v>0.29128772780243417</v>
      </c>
      <c r="S54">
        <f>(1+'Rescale to Fit GDP Proj'!R171)/(1+'Rescale to Fit GDP Proj'!$D$171)-1</f>
        <v>0.31357142286509232</v>
      </c>
      <c r="T54">
        <f>(1+'Rescale to Fit GDP Proj'!S171)/(1+'Rescale to Fit GDP Proj'!$D$171)-1</f>
        <v>0.33594129852351928</v>
      </c>
      <c r="U54">
        <f>(1+'Rescale to Fit GDP Proj'!T171)/(1+'Rescale to Fit GDP Proj'!$D$171)-1</f>
        <v>0.35763945028508215</v>
      </c>
      <c r="V54">
        <f>(1+'Rescale to Fit GDP Proj'!U171)/(1+'Rescale to Fit GDP Proj'!$D$171)-1</f>
        <v>0.3798943439659408</v>
      </c>
      <c r="W54">
        <f>(1+'Rescale to Fit GDP Proj'!V171)/(1+'Rescale to Fit GDP Proj'!$D$171)-1</f>
        <v>0.40301714428265889</v>
      </c>
      <c r="X54">
        <f>(1+'Rescale to Fit GDP Proj'!W171)/(1+'Rescale to Fit GDP Proj'!$D$171)-1</f>
        <v>0.42621114418688011</v>
      </c>
      <c r="Y54">
        <f>(1+'Rescale to Fit GDP Proj'!X171)/(1+'Rescale to Fit GDP Proj'!$D$171)-1</f>
        <v>0.44904819698942089</v>
      </c>
      <c r="Z54">
        <f>(1+'Rescale to Fit GDP Proj'!Y171)/(1+'Rescale to Fit GDP Proj'!$D$171)-1</f>
        <v>0.47111891024726327</v>
      </c>
      <c r="AA54">
        <f>(1+'Rescale to Fit GDP Proj'!Z171)/(1+'Rescale to Fit GDP Proj'!$D$171)-1</f>
        <v>0.49221283195150578</v>
      </c>
      <c r="AB54">
        <f>(1+'Rescale to Fit GDP Proj'!AA171)/(1+'Rescale to Fit GDP Proj'!$D$171)-1</f>
        <v>0.51337835758486738</v>
      </c>
      <c r="AC54">
        <f>(1+'Rescale to Fit GDP Proj'!AB171)/(1+'Rescale to Fit GDP Proj'!$D$171)-1</f>
        <v>0.53378605660058542</v>
      </c>
      <c r="AD54">
        <f>(1+'Rescale to Fit GDP Proj'!AC171)/(1+'Rescale to Fit GDP Proj'!$D$171)-1</f>
        <v>0.55492813611062553</v>
      </c>
    </row>
    <row r="55" spans="1:30" x14ac:dyDescent="0.25">
      <c r="A55" t="s">
        <v>937</v>
      </c>
      <c r="B55" t="s">
        <v>937</v>
      </c>
      <c r="C55">
        <v>20371420645.6782</v>
      </c>
      <c r="D55">
        <f>(1+'Rescale to Fit GDP Proj'!C172)/(1+'Rescale to Fit GDP Proj'!$D$172)-1</f>
        <v>-1.6203905248585171E-2</v>
      </c>
      <c r="E55">
        <f>(1+'Rescale to Fit GDP Proj'!D172)/(1+'Rescale to Fit GDP Proj'!$D$172)-1</f>
        <v>0</v>
      </c>
      <c r="F55">
        <f>(1+'Rescale to Fit GDP Proj'!E172)/(1+'Rescale to Fit GDP Proj'!$D$172)-1</f>
        <v>2.6597394105479344E-2</v>
      </c>
      <c r="G55">
        <f>(1+'Rescale to Fit GDP Proj'!F172)/(1+'Rescale to Fit GDP Proj'!$D$172)-1</f>
        <v>4.4385666787494449E-2</v>
      </c>
      <c r="H55">
        <f>(1+'Rescale to Fit GDP Proj'!G172)/(1+'Rescale to Fit GDP Proj'!$D$172)-1</f>
        <v>5.6654605890103182E-2</v>
      </c>
      <c r="I55">
        <f>(1+'Rescale to Fit GDP Proj'!H172)/(1+'Rescale to Fit GDP Proj'!$D$172)-1</f>
        <v>7.1393534201808384E-2</v>
      </c>
      <c r="J55">
        <f>(1+'Rescale to Fit GDP Proj'!I172)/(1+'Rescale to Fit GDP Proj'!$D$172)-1</f>
        <v>8.8226548713074893E-2</v>
      </c>
      <c r="K55">
        <f>(1+'Rescale to Fit GDP Proj'!J172)/(1+'Rescale to Fit GDP Proj'!$D$172)-1</f>
        <v>0.10472848843838722</v>
      </c>
      <c r="L55">
        <f>(1+'Rescale to Fit GDP Proj'!K172)/(1+'Rescale to Fit GDP Proj'!$D$172)-1</f>
        <v>0.12346847062522115</v>
      </c>
      <c r="M55">
        <f>(1+'Rescale to Fit GDP Proj'!L172)/(1+'Rescale to Fit GDP Proj'!$D$172)-1</f>
        <v>0.14374731823159914</v>
      </c>
      <c r="N55">
        <f>(1+'Rescale to Fit GDP Proj'!M172)/(1+'Rescale to Fit GDP Proj'!$D$172)-1</f>
        <v>0.16530302185902346</v>
      </c>
      <c r="O55">
        <f>(1+'Rescale to Fit GDP Proj'!N172)/(1+'Rescale to Fit GDP Proj'!$D$172)-1</f>
        <v>0.18809007606665817</v>
      </c>
      <c r="P55">
        <f>(1+'Rescale to Fit GDP Proj'!O172)/(1+'Rescale to Fit GDP Proj'!$D$172)-1</f>
        <v>0.20699919041858461</v>
      </c>
      <c r="Q55">
        <f>(1+'Rescale to Fit GDP Proj'!P172)/(1+'Rescale to Fit GDP Proj'!$D$172)-1</f>
        <v>0.22571952525674122</v>
      </c>
      <c r="R55">
        <f>(1+'Rescale to Fit GDP Proj'!Q172)/(1+'Rescale to Fit GDP Proj'!$D$172)-1</f>
        <v>0.24446763030582441</v>
      </c>
      <c r="S55">
        <f>(1+'Rescale to Fit GDP Proj'!R172)/(1+'Rescale to Fit GDP Proj'!$D$172)-1</f>
        <v>0.26281358187455783</v>
      </c>
      <c r="T55">
        <f>(1+'Rescale to Fit GDP Proj'!S172)/(1+'Rescale to Fit GDP Proj'!$D$172)-1</f>
        <v>0.28118495328783943</v>
      </c>
      <c r="U55">
        <f>(1+'Rescale to Fit GDP Proj'!T172)/(1+'Rescale to Fit GDP Proj'!$D$172)-1</f>
        <v>0.29896118289010776</v>
      </c>
      <c r="V55">
        <f>(1+'Rescale to Fit GDP Proj'!U172)/(1+'Rescale to Fit GDP Proj'!$D$172)-1</f>
        <v>0.31715105738415272</v>
      </c>
      <c r="W55">
        <f>(1+'Rescale to Fit GDP Proj'!V172)/(1+'Rescale to Fit GDP Proj'!$D$172)-1</f>
        <v>0.3360058879381187</v>
      </c>
      <c r="X55">
        <f>(1+'Rescale to Fit GDP Proj'!W172)/(1+'Rescale to Fit GDP Proj'!$D$172)-1</f>
        <v>0.3548733506324997</v>
      </c>
      <c r="Y55">
        <f>(1+'Rescale to Fit GDP Proj'!X172)/(1+'Rescale to Fit GDP Proj'!$D$172)-1</f>
        <v>0.37340642147229408</v>
      </c>
      <c r="Z55">
        <f>(1+'Rescale to Fit GDP Proj'!Y172)/(1+'Rescale to Fit GDP Proj'!$D$172)-1</f>
        <v>0.39127644260151584</v>
      </c>
      <c r="AA55">
        <f>(1+'Rescale to Fit GDP Proj'!Z172)/(1+'Rescale to Fit GDP Proj'!$D$172)-1</f>
        <v>0.4083182415727169</v>
      </c>
      <c r="AB55">
        <f>(1+'Rescale to Fit GDP Proj'!AA172)/(1+'Rescale to Fit GDP Proj'!$D$172)-1</f>
        <v>0.42538266219278342</v>
      </c>
      <c r="AC55">
        <f>(1+'Rescale to Fit GDP Proj'!AB172)/(1+'Rescale to Fit GDP Proj'!$D$172)-1</f>
        <v>0.4418025599344646</v>
      </c>
      <c r="AD55">
        <f>(1+'Rescale to Fit GDP Proj'!AC172)/(1+'Rescale to Fit GDP Proj'!$D$172)-1</f>
        <v>0.45878035016906082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61"/>
  <sheetViews>
    <sheetView workbookViewId="0"/>
  </sheetViews>
  <sheetFormatPr defaultRowHeight="15" x14ac:dyDescent="0.25"/>
  <cols>
    <col min="1" max="1" width="82" customWidth="1"/>
  </cols>
  <sheetData>
    <row r="1" spans="1:29" x14ac:dyDescent="0.25">
      <c r="A1" s="1" t="s">
        <v>1275</v>
      </c>
    </row>
    <row r="3" spans="1:29" x14ac:dyDescent="0.25">
      <c r="A3" t="s">
        <v>1276</v>
      </c>
    </row>
    <row r="4" spans="1:29" x14ac:dyDescent="0.25">
      <c r="A4" t="s">
        <v>1277</v>
      </c>
      <c r="B4">
        <f>MAX(D7:AC7)</f>
        <v>0</v>
      </c>
      <c r="C4" s="1" t="str">
        <f>IF(B4&lt;0.000000001,"PASS","FAIL")</f>
        <v>PASS</v>
      </c>
    </row>
    <row r="5" spans="1:29" x14ac:dyDescent="0.25">
      <c r="A5" t="s">
        <v>1224</v>
      </c>
      <c r="D5" s="1">
        <v>2025</v>
      </c>
      <c r="E5" s="1">
        <v>2026</v>
      </c>
      <c r="F5" s="1">
        <v>2027</v>
      </c>
      <c r="G5" s="1">
        <v>2028</v>
      </c>
      <c r="H5" s="1">
        <v>2029</v>
      </c>
      <c r="I5" s="1">
        <v>2030</v>
      </c>
      <c r="J5" s="1">
        <v>2031</v>
      </c>
      <c r="K5" s="1">
        <v>2032</v>
      </c>
      <c r="L5" s="1">
        <v>2033</v>
      </c>
      <c r="M5" s="1">
        <v>2034</v>
      </c>
      <c r="N5" s="1">
        <v>2035</v>
      </c>
      <c r="O5" s="1">
        <v>2036</v>
      </c>
      <c r="P5" s="1">
        <v>2037</v>
      </c>
      <c r="Q5" s="1">
        <v>2038</v>
      </c>
      <c r="R5" s="1">
        <v>2039</v>
      </c>
      <c r="S5" s="1">
        <v>2040</v>
      </c>
      <c r="T5" s="1">
        <v>2041</v>
      </c>
      <c r="U5" s="1">
        <v>2042</v>
      </c>
      <c r="V5" s="1">
        <v>2043</v>
      </c>
      <c r="W5" s="1">
        <v>2044</v>
      </c>
      <c r="X5" s="1">
        <v>2045</v>
      </c>
      <c r="Y5" s="1">
        <v>2046</v>
      </c>
      <c r="Z5" s="1">
        <v>2047</v>
      </c>
      <c r="AA5" s="1">
        <v>2048</v>
      </c>
      <c r="AB5" s="1">
        <v>2049</v>
      </c>
      <c r="AC5" s="1">
        <v>2050</v>
      </c>
    </row>
    <row r="6" spans="1:29" x14ac:dyDescent="0.25">
      <c r="A6" t="s">
        <v>1278</v>
      </c>
      <c r="D6">
        <f>SUM('Rescale to Fit GDP Proj'!D9:D60)/'Rescale to Fit GDP Proj'!D4-1</f>
        <v>0</v>
      </c>
      <c r="E6">
        <f>SUM('Rescale to Fit GDP Proj'!E9:E60)/'Rescale to Fit GDP Proj'!E4-1</f>
        <v>0</v>
      </c>
      <c r="F6">
        <f>SUM('Rescale to Fit GDP Proj'!F9:F60)/'Rescale to Fit GDP Proj'!F4-1</f>
        <v>0</v>
      </c>
      <c r="G6">
        <f>SUM('Rescale to Fit GDP Proj'!G9:G60)/'Rescale to Fit GDP Proj'!G4-1</f>
        <v>0</v>
      </c>
      <c r="H6">
        <f>SUM('Rescale to Fit GDP Proj'!H9:H60)/'Rescale to Fit GDP Proj'!H4-1</f>
        <v>0</v>
      </c>
      <c r="I6">
        <f>SUM('Rescale to Fit GDP Proj'!I9:I60)/'Rescale to Fit GDP Proj'!I4-1</f>
        <v>0</v>
      </c>
      <c r="J6">
        <f>SUM('Rescale to Fit GDP Proj'!J9:J60)/'Rescale to Fit GDP Proj'!J4-1</f>
        <v>0</v>
      </c>
      <c r="K6">
        <f>SUM('Rescale to Fit GDP Proj'!K9:K60)/'Rescale to Fit GDP Proj'!K4-1</f>
        <v>0</v>
      </c>
      <c r="L6">
        <f>SUM('Rescale to Fit GDP Proj'!L9:L60)/'Rescale to Fit GDP Proj'!L4-1</f>
        <v>0</v>
      </c>
      <c r="M6">
        <f>SUM('Rescale to Fit GDP Proj'!M9:M60)/'Rescale to Fit GDP Proj'!M4-1</f>
        <v>0</v>
      </c>
      <c r="N6">
        <f>SUM('Rescale to Fit GDP Proj'!N9:N60)/'Rescale to Fit GDP Proj'!N4-1</f>
        <v>0</v>
      </c>
      <c r="O6">
        <f>SUM('Rescale to Fit GDP Proj'!O9:O60)/'Rescale to Fit GDP Proj'!O4-1</f>
        <v>0</v>
      </c>
      <c r="P6">
        <f>SUM('Rescale to Fit GDP Proj'!P9:P60)/'Rescale to Fit GDP Proj'!P4-1</f>
        <v>0</v>
      </c>
      <c r="Q6">
        <f>SUM('Rescale to Fit GDP Proj'!Q9:Q60)/'Rescale to Fit GDP Proj'!Q4-1</f>
        <v>0</v>
      </c>
      <c r="R6">
        <f>SUM('Rescale to Fit GDP Proj'!R9:R60)/'Rescale to Fit GDP Proj'!R4-1</f>
        <v>0</v>
      </c>
      <c r="S6">
        <f>SUM('Rescale to Fit GDP Proj'!S9:S60)/'Rescale to Fit GDP Proj'!S4-1</f>
        <v>0</v>
      </c>
      <c r="T6">
        <f>SUM('Rescale to Fit GDP Proj'!T9:T60)/'Rescale to Fit GDP Proj'!T4-1</f>
        <v>0</v>
      </c>
      <c r="U6">
        <f>SUM('Rescale to Fit GDP Proj'!U9:U60)/'Rescale to Fit GDP Proj'!U4-1</f>
        <v>0</v>
      </c>
      <c r="V6">
        <f>SUM('Rescale to Fit GDP Proj'!V9:V60)/'Rescale to Fit GDP Proj'!V4-1</f>
        <v>0</v>
      </c>
      <c r="W6">
        <f>SUM('Rescale to Fit GDP Proj'!W9:W60)/'Rescale to Fit GDP Proj'!W4-1</f>
        <v>0</v>
      </c>
      <c r="X6">
        <f>SUM('Rescale to Fit GDP Proj'!X9:X60)/'Rescale to Fit GDP Proj'!X4-1</f>
        <v>0</v>
      </c>
      <c r="Y6">
        <f>SUM('Rescale to Fit GDP Proj'!Y9:Y60)/'Rescale to Fit GDP Proj'!Y4-1</f>
        <v>0</v>
      </c>
      <c r="Z6">
        <f>SUM('Rescale to Fit GDP Proj'!Z9:Z60)/'Rescale to Fit GDP Proj'!Z4-1</f>
        <v>0</v>
      </c>
      <c r="AA6">
        <f>SUM('Rescale to Fit GDP Proj'!AA9:AA60)/'Rescale to Fit GDP Proj'!AA4-1</f>
        <v>0</v>
      </c>
      <c r="AB6">
        <f>SUM('Rescale to Fit GDP Proj'!AB9:AB60)/'Rescale to Fit GDP Proj'!AB4-1</f>
        <v>0</v>
      </c>
      <c r="AC6">
        <f>SUM('Rescale to Fit GDP Proj'!AC9:AC60)/'Rescale to Fit GDP Proj'!AC4-1</f>
        <v>0</v>
      </c>
    </row>
    <row r="7" spans="1:29" x14ac:dyDescent="0.25">
      <c r="A7" t="s">
        <v>1279</v>
      </c>
      <c r="D7">
        <f t="shared" ref="D7:AC7" si="0">ABS(D6)</f>
        <v>0</v>
      </c>
      <c r="E7">
        <f t="shared" si="0"/>
        <v>0</v>
      </c>
      <c r="F7">
        <f t="shared" si="0"/>
        <v>0</v>
      </c>
      <c r="G7">
        <f t="shared" si="0"/>
        <v>0</v>
      </c>
      <c r="H7">
        <f t="shared" si="0"/>
        <v>0</v>
      </c>
      <c r="I7">
        <f t="shared" si="0"/>
        <v>0</v>
      </c>
      <c r="J7">
        <f t="shared" si="0"/>
        <v>0</v>
      </c>
      <c r="K7">
        <f t="shared" si="0"/>
        <v>0</v>
      </c>
      <c r="L7">
        <f t="shared" si="0"/>
        <v>0</v>
      </c>
      <c r="M7">
        <f t="shared" si="0"/>
        <v>0</v>
      </c>
      <c r="N7">
        <f t="shared" si="0"/>
        <v>0</v>
      </c>
      <c r="O7">
        <f t="shared" si="0"/>
        <v>0</v>
      </c>
      <c r="P7">
        <f t="shared" si="0"/>
        <v>0</v>
      </c>
      <c r="Q7">
        <f t="shared" si="0"/>
        <v>0</v>
      </c>
      <c r="R7">
        <f t="shared" si="0"/>
        <v>0</v>
      </c>
      <c r="S7">
        <f t="shared" si="0"/>
        <v>0</v>
      </c>
      <c r="T7">
        <f t="shared" si="0"/>
        <v>0</v>
      </c>
      <c r="U7">
        <f t="shared" si="0"/>
        <v>0</v>
      </c>
      <c r="V7">
        <f t="shared" si="0"/>
        <v>0</v>
      </c>
      <c r="W7">
        <f t="shared" si="0"/>
        <v>0</v>
      </c>
      <c r="X7">
        <f t="shared" si="0"/>
        <v>0</v>
      </c>
      <c r="Y7">
        <f t="shared" si="0"/>
        <v>0</v>
      </c>
      <c r="Z7">
        <f t="shared" si="0"/>
        <v>0</v>
      </c>
      <c r="AA7">
        <f t="shared" si="0"/>
        <v>0</v>
      </c>
      <c r="AB7">
        <f t="shared" si="0"/>
        <v>0</v>
      </c>
      <c r="AC7">
        <f t="shared" si="0"/>
        <v>0</v>
      </c>
    </row>
    <row r="9" spans="1:29" x14ac:dyDescent="0.25">
      <c r="A9" t="s">
        <v>1280</v>
      </c>
      <c r="B9">
        <f>MIN('Rescale to Fit GDP Proj'!D5:AC5)</f>
        <v>0.63998010176521547</v>
      </c>
      <c r="C9">
        <f>MAX('Rescale to Fit GDP Proj'!D5:AC5)</f>
        <v>1.4776330058599594</v>
      </c>
    </row>
    <row r="11" spans="1:29" x14ac:dyDescent="0.25">
      <c r="A11" t="s">
        <v>1281</v>
      </c>
    </row>
    <row r="12" spans="1:29" x14ac:dyDescent="0.25">
      <c r="B12">
        <f>SUMPRODUCT(--(COUNTIF('BLS Table 2.11'!$L$1:$L$426,'Rescale to Fit GDP Proj'!B65:B116)+COUNTIF('AEO 2026 Table 23 '!$B$1:$B$47,"*,"&amp;'Rescale to Fit GDP Proj'!B65:B116&amp;",*")=0))</f>
        <v>0</v>
      </c>
      <c r="C12" s="1" t="str">
        <f>IF(B12=0,"PASS","FAIL")</f>
        <v>PASS</v>
      </c>
    </row>
    <row r="14" spans="1:29" x14ac:dyDescent="0.25">
      <c r="A14" t="s">
        <v>1282</v>
      </c>
      <c r="B14">
        <f>MIN(B20:B61)</f>
        <v>20371420645.6782</v>
      </c>
      <c r="C14" s="1" t="str">
        <f>IF(B14&gt;0,"PASS","FAIL")</f>
        <v>PASS</v>
      </c>
    </row>
    <row r="16" spans="1:29" x14ac:dyDescent="0.25">
      <c r="A16" t="s">
        <v>1283</v>
      </c>
      <c r="B16">
        <f>SUMPRODUCT('Collapse 52 to 42'!$C$4:$C$55,(1+'Collapse 52 to 42'!AD$4:AD$55))</f>
        <v>56677880348232.789</v>
      </c>
      <c r="C16">
        <f>SUM(C20:C61)</f>
        <v>56677880348232.781</v>
      </c>
      <c r="D16">
        <f>C16/B16-1</f>
        <v>0</v>
      </c>
      <c r="E16" s="1" t="str">
        <f>IF(ABS(D16)&lt;0.000000001,"PASS","FAIL")</f>
        <v>PASS</v>
      </c>
    </row>
    <row r="19" spans="1:3" x14ac:dyDescent="0.25">
      <c r="A19" t="s">
        <v>1284</v>
      </c>
      <c r="B19" s="1" t="s">
        <v>1285</v>
      </c>
      <c r="C19" s="1" t="s">
        <v>1286</v>
      </c>
    </row>
    <row r="20" spans="1:3" x14ac:dyDescent="0.25">
      <c r="A20" t="s">
        <v>1269</v>
      </c>
      <c r="B20">
        <f>SUMIFS('Collapse 52 to 42'!$C$4:$C$55,'Collapse 52 to 42'!$B$4:$B$55,$A20)</f>
        <v>420883940607.0318</v>
      </c>
      <c r="C20">
        <f>B20*(1+BPCiObIC!AB2)</f>
        <v>580375157229.22644</v>
      </c>
    </row>
    <row r="21" spans="1:3" x14ac:dyDescent="0.25">
      <c r="A21" t="s">
        <v>90</v>
      </c>
      <c r="B21">
        <f>SUMIFS('Collapse 52 to 42'!$C$4:$C$55,'Collapse 52 to 42'!$B$4:$B$55,$A21)</f>
        <v>36080561800.383492</v>
      </c>
      <c r="C21">
        <f>B21*(1+BPCiObIC!AB3)</f>
        <v>46489551938.786163</v>
      </c>
    </row>
    <row r="22" spans="1:3" x14ac:dyDescent="0.25">
      <c r="A22" t="s">
        <v>85</v>
      </c>
      <c r="B22">
        <f>SUMIFS('Collapse 52 to 42'!$C$4:$C$55,'Collapse 52 to 42'!$B$4:$B$55,$A22)</f>
        <v>357515802116.60559</v>
      </c>
      <c r="C22">
        <f>B22*(1+BPCiObIC!AB4)</f>
        <v>460656614589.07971</v>
      </c>
    </row>
    <row r="23" spans="1:3" x14ac:dyDescent="0.25">
      <c r="A23" t="s">
        <v>1270</v>
      </c>
      <c r="B23">
        <f>SUMIFS('Collapse 52 to 42'!$C$4:$C$55,'Collapse 52 to 42'!$B$4:$B$55,$A23)</f>
        <v>72159188068.205963</v>
      </c>
      <c r="C23">
        <f>B23*(1+BPCiObIC!AB5)</f>
        <v>106169271747.26926</v>
      </c>
    </row>
    <row r="24" spans="1:3" x14ac:dyDescent="0.25">
      <c r="A24" t="s">
        <v>99</v>
      </c>
      <c r="B24">
        <f>SUMIFS('Collapse 52 to 42'!$C$4:$C$55,'Collapse 52 to 42'!$B$4:$B$55,$A24)</f>
        <v>80551132386.60321</v>
      </c>
      <c r="C24">
        <f>B24*(1+BPCiObIC!AB6)</f>
        <v>72453082930.631256</v>
      </c>
    </row>
    <row r="25" spans="1:3" x14ac:dyDescent="0.25">
      <c r="A25" t="s">
        <v>182</v>
      </c>
      <c r="B25">
        <f>SUMIFS('Collapse 52 to 42'!$C$4:$C$55,'Collapse 52 to 42'!$B$4:$B$55,$A25)</f>
        <v>864061015129.02612</v>
      </c>
      <c r="C25">
        <f>B25*(1+BPCiObIC!AB7)</f>
        <v>1049295995684.7972</v>
      </c>
    </row>
    <row r="26" spans="1:3" x14ac:dyDescent="0.25">
      <c r="A26" t="s">
        <v>209</v>
      </c>
      <c r="B26">
        <f>SUMIFS('Collapse 52 to 42'!$C$4:$C$55,'Collapse 52 to 42'!$B$4:$B$55,$A26)</f>
        <v>44592296622.693802</v>
      </c>
      <c r="C26">
        <f>B26*(1+BPCiObIC!AB8)</f>
        <v>42902114976.296478</v>
      </c>
    </row>
    <row r="27" spans="1:3" x14ac:dyDescent="0.25">
      <c r="A27" t="s">
        <v>218</v>
      </c>
      <c r="B27">
        <f>SUMIFS('Collapse 52 to 42'!$C$4:$C$55,'Collapse 52 to 42'!$B$4:$B$55,$A27)</f>
        <v>153785480903.70059</v>
      </c>
      <c r="C27">
        <f>B27*(1+BPCiObIC!AB9)</f>
        <v>160355936379.64383</v>
      </c>
    </row>
    <row r="28" spans="1:3" x14ac:dyDescent="0.25">
      <c r="A28" t="s">
        <v>227</v>
      </c>
      <c r="B28">
        <f>SUMIFS('Collapse 52 to 42'!$C$4:$C$55,'Collapse 52 to 42'!$B$4:$B$55,$A28)</f>
        <v>210840272904.8045</v>
      </c>
      <c r="C28">
        <f>B28*(1+BPCiObIC!AB10)</f>
        <v>215150269862.04077</v>
      </c>
    </row>
    <row r="29" spans="1:3" x14ac:dyDescent="0.25">
      <c r="A29" t="s">
        <v>236</v>
      </c>
      <c r="B29">
        <f>SUMIFS('Collapse 52 to 42'!$C$4:$C$55,'Collapse 52 to 42'!$B$4:$B$55,$A29)</f>
        <v>458557707738.28271</v>
      </c>
      <c r="C29">
        <f>B29*(1+BPCiObIC!AB11)</f>
        <v>427366218339.81287</v>
      </c>
    </row>
    <row r="30" spans="1:3" x14ac:dyDescent="0.25">
      <c r="A30" t="s">
        <v>241</v>
      </c>
      <c r="B30">
        <f>SUMIFS('Collapse 52 to 42'!$C$4:$C$55,'Collapse 52 to 42'!$B$4:$B$55,$A30)</f>
        <v>519597061113.8208</v>
      </c>
      <c r="C30">
        <f>B30*(1+BPCiObIC!AB12)</f>
        <v>680061803512.59949</v>
      </c>
    </row>
    <row r="31" spans="1:3" x14ac:dyDescent="0.25">
      <c r="A31" t="s">
        <v>246</v>
      </c>
      <c r="B31">
        <f>SUMIFS('Collapse 52 to 42'!$C$4:$C$55,'Collapse 52 to 42'!$B$4:$B$55,$A31)</f>
        <v>249373768307.0527</v>
      </c>
      <c r="C31">
        <f>B31*(1+BPCiObIC!AB13)</f>
        <v>412036436100.72272</v>
      </c>
    </row>
    <row r="32" spans="1:3" x14ac:dyDescent="0.25">
      <c r="A32" t="s">
        <v>249</v>
      </c>
      <c r="B32">
        <f>SUMIFS('Collapse 52 to 42'!$C$4:$C$55,'Collapse 52 to 42'!$B$4:$B$55,$A32)</f>
        <v>222256893442.4335</v>
      </c>
      <c r="C32">
        <f>B32*(1+BPCiObIC!AB14)</f>
        <v>284960419818.38678</v>
      </c>
    </row>
    <row r="33" spans="1:3" x14ac:dyDescent="0.25">
      <c r="A33" t="s">
        <v>1222</v>
      </c>
      <c r="B33">
        <f>SUMIFS('Collapse 52 to 42'!$C$4:$C$55,'Collapse 52 to 42'!$B$4:$B$55,$A33)</f>
        <v>24513522394.23056</v>
      </c>
      <c r="C33">
        <f>B33*(1+BPCiObIC!AB15)</f>
        <v>29610129176.812767</v>
      </c>
    </row>
    <row r="34" spans="1:3" x14ac:dyDescent="0.25">
      <c r="A34" t="s">
        <v>256</v>
      </c>
      <c r="B34">
        <f>SUMIFS('Collapse 52 to 42'!$C$4:$C$55,'Collapse 52 to 42'!$B$4:$B$55,$A34)</f>
        <v>103978052507.9938</v>
      </c>
      <c r="C34">
        <f>B34*(1+BPCiObIC!AB16)</f>
        <v>111847990445.76131</v>
      </c>
    </row>
    <row r="35" spans="1:3" x14ac:dyDescent="0.25">
      <c r="A35" t="s">
        <v>261</v>
      </c>
      <c r="B35">
        <f>SUMIFS('Collapse 52 to 42'!$C$4:$C$55,'Collapse 52 to 42'!$B$4:$B$55,$A35)</f>
        <v>154327388570.57581</v>
      </c>
      <c r="C35">
        <f>B35*(1+BPCiObIC!AB17)</f>
        <v>200315164560.27664</v>
      </c>
    </row>
    <row r="36" spans="1:3" x14ac:dyDescent="0.25">
      <c r="A36" t="s">
        <v>266</v>
      </c>
      <c r="B36">
        <f>SUMIFS('Collapse 52 to 42'!$C$4:$C$55,'Collapse 52 to 42'!$B$4:$B$55,$A36)</f>
        <v>82639139008.882721</v>
      </c>
      <c r="C36">
        <f>B36*(1+BPCiObIC!AB18)</f>
        <v>100764760528.88731</v>
      </c>
    </row>
    <row r="37" spans="1:3" x14ac:dyDescent="0.25">
      <c r="A37" t="s">
        <v>273</v>
      </c>
      <c r="B37">
        <f>SUMIFS('Collapse 52 to 42'!$C$4:$C$55,'Collapse 52 to 42'!$B$4:$B$55,$A37)</f>
        <v>345751201637.1969</v>
      </c>
      <c r="C37">
        <f>B37*(1+BPCiObIC!AB19)</f>
        <v>426557892424.53796</v>
      </c>
    </row>
    <row r="38" spans="1:3" x14ac:dyDescent="0.25">
      <c r="A38" t="s">
        <v>299</v>
      </c>
      <c r="B38">
        <f>SUMIFS('Collapse 52 to 42'!$C$4:$C$55,'Collapse 52 to 42'!$B$4:$B$55,$A38)</f>
        <v>282203302739.22058</v>
      </c>
      <c r="C38">
        <f>B38*(1+BPCiObIC!AB20)</f>
        <v>486373653647.46948</v>
      </c>
    </row>
    <row r="39" spans="1:3" x14ac:dyDescent="0.25">
      <c r="A39" t="s">
        <v>314</v>
      </c>
      <c r="B39">
        <f>SUMIFS('Collapse 52 to 42'!$C$4:$C$55,'Collapse 52 to 42'!$B$4:$B$55,$A39)</f>
        <v>142388223091.9173</v>
      </c>
      <c r="C39">
        <f>B39*(1+BPCiObIC!AB21)</f>
        <v>161298121607.78818</v>
      </c>
    </row>
    <row r="40" spans="1:3" x14ac:dyDescent="0.25">
      <c r="A40" t="s">
        <v>288</v>
      </c>
      <c r="B40">
        <f>SUMIFS('Collapse 52 to 42'!$C$4:$C$55,'Collapse 52 to 42'!$B$4:$B$55,$A40)</f>
        <v>327424312722.42059</v>
      </c>
      <c r="C40">
        <f>B40*(1+BPCiObIC!AB22)</f>
        <v>384378786473.19629</v>
      </c>
    </row>
    <row r="41" spans="1:3" x14ac:dyDescent="0.25">
      <c r="A41" t="s">
        <v>327</v>
      </c>
      <c r="B41">
        <f>SUMIFS('Collapse 52 to 42'!$C$4:$C$55,'Collapse 52 to 42'!$B$4:$B$55,$A41)</f>
        <v>529753012600.35999</v>
      </c>
      <c r="C41">
        <f>B41*(1+BPCiObIC!AB23)</f>
        <v>757952766197.01355</v>
      </c>
    </row>
    <row r="42" spans="1:3" x14ac:dyDescent="0.25">
      <c r="A42" t="s">
        <v>1271</v>
      </c>
      <c r="B42">
        <f>SUMIFS('Collapse 52 to 42'!$C$4:$C$55,'Collapse 52 to 42'!$B$4:$B$55,$A42)</f>
        <v>261506683369.93347</v>
      </c>
      <c r="C42">
        <f>B42*(1+BPCiObIC!AB24)</f>
        <v>370344443351.31818</v>
      </c>
    </row>
    <row r="43" spans="1:3" x14ac:dyDescent="0.25">
      <c r="A43" t="s">
        <v>344</v>
      </c>
      <c r="B43">
        <f>SUMIFS('Collapse 52 to 42'!$C$4:$C$55,'Collapse 52 to 42'!$B$4:$B$55,$A43)</f>
        <v>233974953498.13708</v>
      </c>
      <c r="C43">
        <f>B43*(1+BPCiObIC!AB25)</f>
        <v>303313358202.11249</v>
      </c>
    </row>
    <row r="44" spans="1:3" x14ac:dyDescent="0.25">
      <c r="A44" t="s">
        <v>106</v>
      </c>
      <c r="B44">
        <f>SUMIFS('Collapse 52 to 42'!$C$4:$C$55,'Collapse 52 to 42'!$B$4:$B$55,$A44)</f>
        <v>374824957803.27667</v>
      </c>
      <c r="C44">
        <f>B44*(1+BPCiObIC!AB26)</f>
        <v>570008388662.19897</v>
      </c>
    </row>
    <row r="45" spans="1:3" x14ac:dyDescent="0.25">
      <c r="A45" t="s">
        <v>127</v>
      </c>
      <c r="B45">
        <f>SUMIFS('Collapse 52 to 42'!$C$4:$C$55,'Collapse 52 to 42'!$B$4:$B$55,$A45)</f>
        <v>141533346329.68079</v>
      </c>
      <c r="C45">
        <f>B45*(1+BPCiObIC!AB27)</f>
        <v>179122879646.69376</v>
      </c>
    </row>
    <row r="46" spans="1:3" x14ac:dyDescent="0.25">
      <c r="A46" t="s">
        <v>130</v>
      </c>
      <c r="B46">
        <f>SUMIFS('Collapse 52 to 42'!$C$4:$C$55,'Collapse 52 to 42'!$B$4:$B$55,$A46)</f>
        <v>148153947606.04691</v>
      </c>
      <c r="C46">
        <f>B46*(1+BPCiObIC!AB28)</f>
        <v>202593431633.15695</v>
      </c>
    </row>
    <row r="47" spans="1:3" x14ac:dyDescent="0.25">
      <c r="A47" t="s">
        <v>133</v>
      </c>
      <c r="B47">
        <f>SUMIFS('Collapse 52 to 42'!$C$4:$C$55,'Collapse 52 to 42'!$B$4:$B$55,$A47)</f>
        <v>1947898928660.4839</v>
      </c>
      <c r="C47">
        <f>B47*(1+BPCiObIC!AB29)</f>
        <v>2413358669177.5244</v>
      </c>
    </row>
    <row r="48" spans="1:3" x14ac:dyDescent="0.25">
      <c r="A48" t="s">
        <v>359</v>
      </c>
      <c r="B48">
        <f>SUMIFS('Collapse 52 to 42'!$C$4:$C$55,'Collapse 52 to 42'!$B$4:$B$55,$A48)</f>
        <v>4490312903975.1533</v>
      </c>
      <c r="C48">
        <f>B48*(1+BPCiObIC!AB30)</f>
        <v>7617338124755.2676</v>
      </c>
    </row>
    <row r="49" spans="1:3" x14ac:dyDescent="0.25">
      <c r="A49" t="s">
        <v>1272</v>
      </c>
      <c r="B49">
        <f>SUMIFS('Collapse 52 to 42'!$C$4:$C$55,'Collapse 52 to 42'!$B$4:$B$55,$A49)</f>
        <v>1305112880007.4714</v>
      </c>
      <c r="C49">
        <f>B49*(1+BPCiObIC!AB31)</f>
        <v>2073773164426.2388</v>
      </c>
    </row>
    <row r="50" spans="1:3" x14ac:dyDescent="0.25">
      <c r="A50" t="s">
        <v>871</v>
      </c>
      <c r="B50">
        <f>SUMIFS('Collapse 52 to 42'!$C$4:$C$55,'Collapse 52 to 42'!$B$4:$B$55,$A50)</f>
        <v>1305098588935.2571</v>
      </c>
      <c r="C50">
        <f>B50*(1+BPCiObIC!AB32)</f>
        <v>2112184293755.1606</v>
      </c>
    </row>
    <row r="51" spans="1:3" x14ac:dyDescent="0.25">
      <c r="A51" t="s">
        <v>531</v>
      </c>
      <c r="B51">
        <f>SUMIFS('Collapse 52 to 42'!$C$4:$C$55,'Collapse 52 to 42'!$B$4:$B$55,$A51)</f>
        <v>824889293699.42139</v>
      </c>
      <c r="C51">
        <f>B51*(1+BPCiObIC!AB33)</f>
        <v>1769397187583.7578</v>
      </c>
    </row>
    <row r="52" spans="1:3" x14ac:dyDescent="0.25">
      <c r="A52" t="s">
        <v>562</v>
      </c>
      <c r="B52">
        <f>SUMIFS('Collapse 52 to 42'!$C$4:$C$55,'Collapse 52 to 42'!$B$4:$B$55,$A52)</f>
        <v>530045948100.26971</v>
      </c>
      <c r="C52">
        <f>B52*(1+BPCiObIC!AB34)</f>
        <v>931839292588.64319</v>
      </c>
    </row>
    <row r="53" spans="1:3" x14ac:dyDescent="0.25">
      <c r="A53" t="s">
        <v>565</v>
      </c>
      <c r="B53">
        <f>SUMIFS('Collapse 52 to 42'!$C$4:$C$55,'Collapse 52 to 42'!$B$4:$B$55,$A53)</f>
        <v>1225877338485.574</v>
      </c>
      <c r="C53">
        <f>B53*(1+BPCiObIC!AB35)</f>
        <v>2491323197962.9512</v>
      </c>
    </row>
    <row r="54" spans="1:3" x14ac:dyDescent="0.25">
      <c r="A54" t="s">
        <v>568</v>
      </c>
      <c r="B54">
        <f>SUMIFS('Collapse 52 to 42'!$C$4:$C$55,'Collapse 52 to 42'!$B$4:$B$55,$A54)</f>
        <v>3098472043763.2632</v>
      </c>
      <c r="C54">
        <f>B54*(1+BPCiObIC!AB36)</f>
        <v>4711946257077.4639</v>
      </c>
    </row>
    <row r="55" spans="1:3" x14ac:dyDescent="0.25">
      <c r="A55" t="s">
        <v>607</v>
      </c>
      <c r="B55">
        <f>SUMIFS('Collapse 52 to 42'!$C$4:$C$55,'Collapse 52 to 42'!$B$4:$B$55,$A55)</f>
        <v>4379252970413.0161</v>
      </c>
      <c r="C55">
        <f>B55*(1+BPCiObIC!AB37)</f>
        <v>6522667936836.2061</v>
      </c>
    </row>
    <row r="56" spans="1:3" x14ac:dyDescent="0.25">
      <c r="A56" t="s">
        <v>1273</v>
      </c>
      <c r="B56">
        <f>SUMIFS('Collapse 52 to 42'!$C$4:$C$55,'Collapse 52 to 42'!$B$4:$B$55,$A56)</f>
        <v>3698877939211.6465</v>
      </c>
      <c r="C56">
        <f>B56*(1+BPCiObIC!AB38)</f>
        <v>5950678379264.54</v>
      </c>
    </row>
    <row r="57" spans="1:3" x14ac:dyDescent="0.25">
      <c r="A57" t="s">
        <v>942</v>
      </c>
      <c r="B57">
        <f>SUMIFS('Collapse 52 to 42'!$C$4:$C$55,'Collapse 52 to 42'!$B$4:$B$55,$A57)</f>
        <v>3990883915128.9888</v>
      </c>
      <c r="C57">
        <f>B57*(1+BPCiObIC!AB39)</f>
        <v>4440967272433.8965</v>
      </c>
    </row>
    <row r="58" spans="1:3" x14ac:dyDescent="0.25">
      <c r="A58" t="s">
        <v>700</v>
      </c>
      <c r="B58">
        <f>SUMIFS('Collapse 52 to 42'!$C$4:$C$55,'Collapse 52 to 42'!$B$4:$B$55,$A58)</f>
        <v>364421577263.3382</v>
      </c>
      <c r="C58">
        <f>B58*(1+BPCiObIC!AB40)</f>
        <v>402633014818.69592</v>
      </c>
    </row>
    <row r="59" spans="1:3" x14ac:dyDescent="0.25">
      <c r="A59" t="s">
        <v>755</v>
      </c>
      <c r="B59">
        <f>SUMIFS('Collapse 52 to 42'!$C$4:$C$55,'Collapse 52 to 42'!$B$4:$B$55,$A59)</f>
        <v>2692830233728.542</v>
      </c>
      <c r="C59">
        <f>B59*(1+BPCiObIC!AB41)</f>
        <v>4803340083635.5293</v>
      </c>
    </row>
    <row r="60" spans="1:3" x14ac:dyDescent="0.25">
      <c r="A60" t="s">
        <v>1274</v>
      </c>
      <c r="B60">
        <f>SUMIFS('Collapse 52 to 42'!$C$4:$C$55,'Collapse 52 to 42'!$B$4:$B$55,$A60)</f>
        <v>1010373991506.8491</v>
      </c>
      <c r="C60">
        <f>B60*(1+BPCiObIC!AB42)</f>
        <v>1583961406107.4382</v>
      </c>
    </row>
    <row r="61" spans="1:3" x14ac:dyDescent="0.25">
      <c r="A61" t="s">
        <v>937</v>
      </c>
      <c r="B61">
        <f>SUMIFS('Collapse 52 to 42'!$C$4:$C$55,'Collapse 52 to 42'!$B$4:$B$55,$A61)</f>
        <v>20371420645.6782</v>
      </c>
      <c r="C61">
        <f>B61*(1+BPCiObIC!AB43)</f>
        <v>29717428142.94368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sheetPr>
  <dimension ref="A1:AB43"/>
  <sheetViews>
    <sheetView workbookViewId="0">
      <pane xSplit="1" ySplit="1" topLeftCell="B2" activePane="bottomRight" state="frozen"/>
      <selection pane="topRight"/>
      <selection pane="bottomLeft"/>
      <selection pane="bottomRight"/>
    </sheetView>
  </sheetViews>
  <sheetFormatPr defaultRowHeight="15" x14ac:dyDescent="0.25"/>
  <sheetData>
    <row r="1" spans="1:28" x14ac:dyDescent="0.25">
      <c r="A1" t="s">
        <v>1287</v>
      </c>
      <c r="B1" s="1" t="s">
        <v>1242</v>
      </c>
      <c r="C1" s="1" t="s">
        <v>1243</v>
      </c>
      <c r="D1" s="1" t="s">
        <v>1244</v>
      </c>
      <c r="E1" s="1" t="s">
        <v>1245</v>
      </c>
      <c r="F1" s="1" t="s">
        <v>1246</v>
      </c>
      <c r="G1" s="1" t="s">
        <v>1247</v>
      </c>
      <c r="H1" s="1" t="s">
        <v>1248</v>
      </c>
      <c r="I1" s="1" t="s">
        <v>1249</v>
      </c>
      <c r="J1" s="1" t="s">
        <v>1250</v>
      </c>
      <c r="K1" s="1" t="s">
        <v>1251</v>
      </c>
      <c r="L1" s="1" t="s">
        <v>1252</v>
      </c>
      <c r="M1" s="1" t="s">
        <v>1253</v>
      </c>
      <c r="N1" s="1" t="s">
        <v>1254</v>
      </c>
      <c r="O1" s="1" t="s">
        <v>1255</v>
      </c>
      <c r="P1" s="1" t="s">
        <v>1256</v>
      </c>
      <c r="Q1" s="1" t="s">
        <v>1257</v>
      </c>
      <c r="R1" s="1" t="s">
        <v>1258</v>
      </c>
      <c r="S1" s="1" t="s">
        <v>1259</v>
      </c>
      <c r="T1" s="1" t="s">
        <v>1260</v>
      </c>
      <c r="U1" s="1" t="s">
        <v>1261</v>
      </c>
      <c r="V1" s="1" t="s">
        <v>1262</v>
      </c>
      <c r="W1" s="1" t="s">
        <v>1263</v>
      </c>
      <c r="X1" s="1" t="s">
        <v>1264</v>
      </c>
      <c r="Y1" s="1" t="s">
        <v>1265</v>
      </c>
      <c r="Z1" s="1" t="s">
        <v>1266</v>
      </c>
      <c r="AA1" s="1" t="s">
        <v>1267</v>
      </c>
      <c r="AB1" s="1" t="s">
        <v>1268</v>
      </c>
    </row>
    <row r="2" spans="1:28" x14ac:dyDescent="0.25">
      <c r="A2" t="s">
        <v>1269</v>
      </c>
      <c r="B2">
        <f>SUMPRODUCT(--('Collapse 52 to 42'!$B$4:$B$55=$A2),'Collapse 52 to 42'!$C$4:$C$55,'Collapse 52 to 42'!D$4:D$55)/SUMIFS('Collapse 52 to 42'!$C$4:$C$55,'Collapse 52 to 42'!$B$4:$B$55,$A2)</f>
        <v>0.10225469791404214</v>
      </c>
      <c r="C2">
        <f>SUMPRODUCT(--('Collapse 52 to 42'!$B$4:$B$55=$A2),'Collapse 52 to 42'!$C$4:$C$55,'Collapse 52 to 42'!E$4:E$55)/SUMIFS('Collapse 52 to 42'!$C$4:$C$55,'Collapse 52 to 42'!$B$4:$B$55,$A2)</f>
        <v>0</v>
      </c>
      <c r="D2">
        <f>SUMPRODUCT(--('Collapse 52 to 42'!$B$4:$B$55=$A2),'Collapse 52 to 42'!$C$4:$C$55,'Collapse 52 to 42'!F$4:F$55)/SUMIFS('Collapse 52 to 42'!$C$4:$C$55,'Collapse 52 to 42'!$B$4:$B$55,$A2)</f>
        <v>3.7494535868876451E-3</v>
      </c>
      <c r="E2">
        <f>SUMPRODUCT(--('Collapse 52 to 42'!$B$4:$B$55=$A2),'Collapse 52 to 42'!$C$4:$C$55,'Collapse 52 to 42'!G$4:G$55)/SUMIFS('Collapse 52 to 42'!$C$4:$C$55,'Collapse 52 to 42'!$B$4:$B$55,$A2)</f>
        <v>1.7950778195323477E-2</v>
      </c>
      <c r="F2">
        <f>SUMPRODUCT(--('Collapse 52 to 42'!$B$4:$B$55=$A2),'Collapse 52 to 42'!$C$4:$C$55,'Collapse 52 to 42'!H$4:H$55)/SUMIFS('Collapse 52 to 42'!$C$4:$C$55,'Collapse 52 to 42'!$B$4:$B$55,$A2)</f>
        <v>3.7695801606365521E-2</v>
      </c>
      <c r="G2">
        <f>SUMPRODUCT(--('Collapse 52 to 42'!$B$4:$B$55=$A2),'Collapse 52 to 42'!$C$4:$C$55,'Collapse 52 to 42'!I$4:I$55)/SUMIFS('Collapse 52 to 42'!$C$4:$C$55,'Collapse 52 to 42'!$B$4:$B$55,$A2)</f>
        <v>5.1330564201404617E-2</v>
      </c>
      <c r="H2">
        <f>SUMPRODUCT(--('Collapse 52 to 42'!$B$4:$B$55=$A2),'Collapse 52 to 42'!$C$4:$C$55,'Collapse 52 to 42'!J$4:J$55)/SUMIFS('Collapse 52 to 42'!$C$4:$C$55,'Collapse 52 to 42'!$B$4:$B$55,$A2)</f>
        <v>6.4855818210597119E-2</v>
      </c>
      <c r="I2">
        <f>SUMPRODUCT(--('Collapse 52 to 42'!$B$4:$B$55=$A2),'Collapse 52 to 42'!$C$4:$C$55,'Collapse 52 to 42'!K$4:K$55)/SUMIFS('Collapse 52 to 42'!$C$4:$C$55,'Collapse 52 to 42'!$B$4:$B$55,$A2)</f>
        <v>7.814843935116414E-2</v>
      </c>
      <c r="J2">
        <f>SUMPRODUCT(--('Collapse 52 to 42'!$B$4:$B$55=$A2),'Collapse 52 to 42'!$C$4:$C$55,'Collapse 52 to 42'!L$4:L$55)/SUMIFS('Collapse 52 to 42'!$C$4:$C$55,'Collapse 52 to 42'!$B$4:$B$55,$A2)</f>
        <v>9.1783145456627566E-2</v>
      </c>
      <c r="K2">
        <f>SUMPRODUCT(--('Collapse 52 to 42'!$B$4:$B$55=$A2),'Collapse 52 to 42'!$C$4:$C$55,'Collapse 52 to 42'!M$4:M$55)/SUMIFS('Collapse 52 to 42'!$C$4:$C$55,'Collapse 52 to 42'!$B$4:$B$55,$A2)</f>
        <v>9.9778029160668469E-2</v>
      </c>
      <c r="L2">
        <f>SUMPRODUCT(--('Collapse 52 to 42'!$B$4:$B$55=$A2),'Collapse 52 to 42'!$C$4:$C$55,'Collapse 52 to 42'!N$4:N$55)/SUMIFS('Collapse 52 to 42'!$C$4:$C$55,'Collapse 52 to 42'!$B$4:$B$55,$A2)</f>
        <v>0.11449588324441833</v>
      </c>
      <c r="M2">
        <f>SUMPRODUCT(--('Collapse 52 to 42'!$B$4:$B$55=$A2),'Collapse 52 to 42'!$C$4:$C$55,'Collapse 52 to 42'!O$4:O$55)/SUMIFS('Collapse 52 to 42'!$C$4:$C$55,'Collapse 52 to 42'!$B$4:$B$55,$A2)</f>
        <v>0.13068730152432001</v>
      </c>
      <c r="N2">
        <f>SUMPRODUCT(--('Collapse 52 to 42'!$B$4:$B$55=$A2),'Collapse 52 to 42'!$C$4:$C$55,'Collapse 52 to 42'!P$4:P$55)/SUMIFS('Collapse 52 to 42'!$C$4:$C$55,'Collapse 52 to 42'!$B$4:$B$55,$A2)</f>
        <v>0.14664955849266512</v>
      </c>
      <c r="O2">
        <f>SUMPRODUCT(--('Collapse 52 to 42'!$B$4:$B$55=$A2),'Collapse 52 to 42'!$C$4:$C$55,'Collapse 52 to 42'!Q$4:Q$55)/SUMIFS('Collapse 52 to 42'!$C$4:$C$55,'Collapse 52 to 42'!$B$4:$B$55,$A2)</f>
        <v>0.16216352947679274</v>
      </c>
      <c r="P2">
        <f>SUMPRODUCT(--('Collapse 52 to 42'!$B$4:$B$55=$A2),'Collapse 52 to 42'!$C$4:$C$55,'Collapse 52 to 42'!R$4:R$55)/SUMIFS('Collapse 52 to 42'!$C$4:$C$55,'Collapse 52 to 42'!$B$4:$B$55,$A2)</f>
        <v>0.17851796249490351</v>
      </c>
      <c r="Q2">
        <f>SUMPRODUCT(--('Collapse 52 to 42'!$B$4:$B$55=$A2),'Collapse 52 to 42'!$C$4:$C$55,'Collapse 52 to 42'!S$4:S$55)/SUMIFS('Collapse 52 to 42'!$C$4:$C$55,'Collapse 52 to 42'!$B$4:$B$55,$A2)</f>
        <v>0.19533470207308423</v>
      </c>
      <c r="R2">
        <f>SUMPRODUCT(--('Collapse 52 to 42'!$B$4:$B$55=$A2),'Collapse 52 to 42'!$C$4:$C$55,'Collapse 52 to 42'!T$4:T$55)/SUMIFS('Collapse 52 to 42'!$C$4:$C$55,'Collapse 52 to 42'!$B$4:$B$55,$A2)</f>
        <v>0.20972945043086902</v>
      </c>
      <c r="S2">
        <f>SUMPRODUCT(--('Collapse 52 to 42'!$B$4:$B$55=$A2),'Collapse 52 to 42'!$C$4:$C$55,'Collapse 52 to 42'!U$4:U$55)/SUMIFS('Collapse 52 to 42'!$C$4:$C$55,'Collapse 52 to 42'!$B$4:$B$55,$A2)</f>
        <v>0.22339148093736658</v>
      </c>
      <c r="T2">
        <f>SUMPRODUCT(--('Collapse 52 to 42'!$B$4:$B$55=$A2),'Collapse 52 to 42'!$C$4:$C$55,'Collapse 52 to 42'!V$4:V$55)/SUMIFS('Collapse 52 to 42'!$C$4:$C$55,'Collapse 52 to 42'!$B$4:$B$55,$A2)</f>
        <v>0.23852955656518626</v>
      </c>
      <c r="U2">
        <f>SUMPRODUCT(--('Collapse 52 to 42'!$B$4:$B$55=$A2),'Collapse 52 to 42'!$C$4:$C$55,'Collapse 52 to 42'!W$4:W$55)/SUMIFS('Collapse 52 to 42'!$C$4:$C$55,'Collapse 52 to 42'!$B$4:$B$55,$A2)</f>
        <v>0.25293359848301039</v>
      </c>
      <c r="V2">
        <f>SUMPRODUCT(--('Collapse 52 to 42'!$B$4:$B$55=$A2),'Collapse 52 to 42'!$C$4:$C$55,'Collapse 52 to 42'!X$4:X$55)/SUMIFS('Collapse 52 to 42'!$C$4:$C$55,'Collapse 52 to 42'!$B$4:$B$55,$A2)</f>
        <v>0.26852534819043067</v>
      </c>
      <c r="W2">
        <f>SUMPRODUCT(--('Collapse 52 to 42'!$B$4:$B$55=$A2),'Collapse 52 to 42'!$C$4:$C$55,'Collapse 52 to 42'!Y$4:Y$55)/SUMIFS('Collapse 52 to 42'!$C$4:$C$55,'Collapse 52 to 42'!$B$4:$B$55,$A2)</f>
        <v>0.28608755266576896</v>
      </c>
      <c r="X2">
        <f>SUMPRODUCT(--('Collapse 52 to 42'!$B$4:$B$55=$A2),'Collapse 52 to 42'!$C$4:$C$55,'Collapse 52 to 42'!Z$4:Z$55)/SUMIFS('Collapse 52 to 42'!$C$4:$C$55,'Collapse 52 to 42'!$B$4:$B$55,$A2)</f>
        <v>0.30444934917833621</v>
      </c>
      <c r="Y2">
        <f>SUMPRODUCT(--('Collapse 52 to 42'!$B$4:$B$55=$A2),'Collapse 52 to 42'!$C$4:$C$55,'Collapse 52 to 42'!AA$4:AA$55)/SUMIFS('Collapse 52 to 42'!$C$4:$C$55,'Collapse 52 to 42'!$B$4:$B$55,$A2)</f>
        <v>0.32292085928556802</v>
      </c>
      <c r="Z2">
        <f>SUMPRODUCT(--('Collapse 52 to 42'!$B$4:$B$55=$A2),'Collapse 52 to 42'!$C$4:$C$55,'Collapse 52 to 42'!AB$4:AB$55)/SUMIFS('Collapse 52 to 42'!$C$4:$C$55,'Collapse 52 to 42'!$B$4:$B$55,$A2)</f>
        <v>0.34164263152022606</v>
      </c>
      <c r="AA2">
        <f>SUMPRODUCT(--('Collapse 52 to 42'!$B$4:$B$55=$A2),'Collapse 52 to 42'!$C$4:$C$55,'Collapse 52 to 42'!AC$4:AC$55)/SUMIFS('Collapse 52 to 42'!$C$4:$C$55,'Collapse 52 to 42'!$B$4:$B$55,$A2)</f>
        <v>0.36020399642681306</v>
      </c>
      <c r="AB2">
        <f>SUMPRODUCT(--('Collapse 52 to 42'!$B$4:$B$55=$A2),'Collapse 52 to 42'!$C$4:$C$55,'Collapse 52 to 42'!AD$4:AD$55)/SUMIFS('Collapse 52 to 42'!$C$4:$C$55,'Collapse 52 to 42'!$B$4:$B$55,$A2)</f>
        <v>0.37894345978647692</v>
      </c>
    </row>
    <row r="3" spans="1:28" x14ac:dyDescent="0.25">
      <c r="A3" t="s">
        <v>90</v>
      </c>
      <c r="B3">
        <f>SUMPRODUCT(--('Collapse 52 to 42'!$B$4:$B$55=$A3),'Collapse 52 to 42'!$C$4:$C$55,'Collapse 52 to 42'!D$4:D$55)/SUMIFS('Collapse 52 to 42'!$C$4:$C$55,'Collapse 52 to 42'!$B$4:$B$55,$A3)</f>
        <v>-6.647676758580523E-2</v>
      </c>
      <c r="C3">
        <f>SUMPRODUCT(--('Collapse 52 to 42'!$B$4:$B$55=$A3),'Collapse 52 to 42'!$C$4:$C$55,'Collapse 52 to 42'!E$4:E$55)/SUMIFS('Collapse 52 to 42'!$C$4:$C$55,'Collapse 52 to 42'!$B$4:$B$55,$A3)</f>
        <v>0</v>
      </c>
      <c r="D3">
        <f>SUMPRODUCT(--('Collapse 52 to 42'!$B$4:$B$55=$A3),'Collapse 52 to 42'!$C$4:$C$55,'Collapse 52 to 42'!F$4:F$55)/SUMIFS('Collapse 52 to 42'!$C$4:$C$55,'Collapse 52 to 42'!$B$4:$B$55,$A3)</f>
        <v>9.1485608285695852E-2</v>
      </c>
      <c r="E3">
        <f>SUMPRODUCT(--('Collapse 52 to 42'!$B$4:$B$55=$A3),'Collapse 52 to 42'!$C$4:$C$55,'Collapse 52 to 42'!G$4:G$55)/SUMIFS('Collapse 52 to 42'!$C$4:$C$55,'Collapse 52 to 42'!$B$4:$B$55,$A3)</f>
        <v>8.373672546315114E-2</v>
      </c>
      <c r="F3">
        <f>SUMPRODUCT(--('Collapse 52 to 42'!$B$4:$B$55=$A3),'Collapse 52 to 42'!$C$4:$C$55,'Collapse 52 to 42'!H$4:H$55)/SUMIFS('Collapse 52 to 42'!$C$4:$C$55,'Collapse 52 to 42'!$B$4:$B$55,$A3)</f>
        <v>8.9756742893838171E-2</v>
      </c>
      <c r="G3">
        <f>SUMPRODUCT(--('Collapse 52 to 42'!$B$4:$B$55=$A3),'Collapse 52 to 42'!$C$4:$C$55,'Collapse 52 to 42'!I$4:I$55)/SUMIFS('Collapse 52 to 42'!$C$4:$C$55,'Collapse 52 to 42'!$B$4:$B$55,$A3)</f>
        <v>9.6242070961838122E-2</v>
      </c>
      <c r="H3">
        <f>SUMPRODUCT(--('Collapse 52 to 42'!$B$4:$B$55=$A3),'Collapse 52 to 42'!$C$4:$C$55,'Collapse 52 to 42'!J$4:J$55)/SUMIFS('Collapse 52 to 42'!$C$4:$C$55,'Collapse 52 to 42'!$B$4:$B$55,$A3)</f>
        <v>0.1198915471385129</v>
      </c>
      <c r="I3">
        <f>SUMPRODUCT(--('Collapse 52 to 42'!$B$4:$B$55=$A3),'Collapse 52 to 42'!$C$4:$C$55,'Collapse 52 to 42'!K$4:K$55)/SUMIFS('Collapse 52 to 42'!$C$4:$C$55,'Collapse 52 to 42'!$B$4:$B$55,$A3)</f>
        <v>0.13793223955567435</v>
      </c>
      <c r="J3">
        <f>SUMPRODUCT(--('Collapse 52 to 42'!$B$4:$B$55=$A3),'Collapse 52 to 42'!$C$4:$C$55,'Collapse 52 to 42'!L$4:L$55)/SUMIFS('Collapse 52 to 42'!$C$4:$C$55,'Collapse 52 to 42'!$B$4:$B$55,$A3)</f>
        <v>0.15481814412480466</v>
      </c>
      <c r="K3">
        <f>SUMPRODUCT(--('Collapse 52 to 42'!$B$4:$B$55=$A3),'Collapse 52 to 42'!$C$4:$C$55,'Collapse 52 to 42'!M$4:M$55)/SUMIFS('Collapse 52 to 42'!$C$4:$C$55,'Collapse 52 to 42'!$B$4:$B$55,$A3)</f>
        <v>0.167368694261534</v>
      </c>
      <c r="L3">
        <f>SUMPRODUCT(--('Collapse 52 to 42'!$B$4:$B$55=$A3),'Collapse 52 to 42'!$C$4:$C$55,'Collapse 52 to 42'!N$4:N$55)/SUMIFS('Collapse 52 to 42'!$C$4:$C$55,'Collapse 52 to 42'!$B$4:$B$55,$A3)</f>
        <v>0.18293696710998031</v>
      </c>
      <c r="M3">
        <f>SUMPRODUCT(--('Collapse 52 to 42'!$B$4:$B$55=$A3),'Collapse 52 to 42'!$C$4:$C$55,'Collapse 52 to 42'!O$4:O$55)/SUMIFS('Collapse 52 to 42'!$C$4:$C$55,'Collapse 52 to 42'!$B$4:$B$55,$A3)</f>
        <v>0.18723768533846297</v>
      </c>
      <c r="N3">
        <f>SUMPRODUCT(--('Collapse 52 to 42'!$B$4:$B$55=$A3),'Collapse 52 to 42'!$C$4:$C$55,'Collapse 52 to 42'!P$4:P$55)/SUMIFS('Collapse 52 to 42'!$C$4:$C$55,'Collapse 52 to 42'!$B$4:$B$55,$A3)</f>
        <v>0.19241702946010153</v>
      </c>
      <c r="O3">
        <f>SUMPRODUCT(--('Collapse 52 to 42'!$B$4:$B$55=$A3),'Collapse 52 to 42'!$C$4:$C$55,'Collapse 52 to 42'!Q$4:Q$55)/SUMIFS('Collapse 52 to 42'!$C$4:$C$55,'Collapse 52 to 42'!$B$4:$B$55,$A3)</f>
        <v>0.19901829939282112</v>
      </c>
      <c r="P3">
        <f>SUMPRODUCT(--('Collapse 52 to 42'!$B$4:$B$55=$A3),'Collapse 52 to 42'!$C$4:$C$55,'Collapse 52 to 42'!R$4:R$55)/SUMIFS('Collapse 52 to 42'!$C$4:$C$55,'Collapse 52 to 42'!$B$4:$B$55,$A3)</f>
        <v>0.2050990265500261</v>
      </c>
      <c r="Q3">
        <f>SUMPRODUCT(--('Collapse 52 to 42'!$B$4:$B$55=$A3),'Collapse 52 to 42'!$C$4:$C$55,'Collapse 52 to 42'!S$4:S$55)/SUMIFS('Collapse 52 to 42'!$C$4:$C$55,'Collapse 52 to 42'!$B$4:$B$55,$A3)</f>
        <v>0.2129207307116463</v>
      </c>
      <c r="R3">
        <f>SUMPRODUCT(--('Collapse 52 to 42'!$B$4:$B$55=$A3),'Collapse 52 to 42'!$C$4:$C$55,'Collapse 52 to 42'!T$4:T$55)/SUMIFS('Collapse 52 to 42'!$C$4:$C$55,'Collapse 52 to 42'!$B$4:$B$55,$A3)</f>
        <v>0.22724195613849352</v>
      </c>
      <c r="S3">
        <f>SUMPRODUCT(--('Collapse 52 to 42'!$B$4:$B$55=$A3),'Collapse 52 to 42'!$C$4:$C$55,'Collapse 52 to 42'!U$4:U$55)/SUMIFS('Collapse 52 to 42'!$C$4:$C$55,'Collapse 52 to 42'!$B$4:$B$55,$A3)</f>
        <v>0.24459355429585039</v>
      </c>
      <c r="T3">
        <f>SUMPRODUCT(--('Collapse 52 to 42'!$B$4:$B$55=$A3),'Collapse 52 to 42'!$C$4:$C$55,'Collapse 52 to 42'!V$4:V$55)/SUMIFS('Collapse 52 to 42'!$C$4:$C$55,'Collapse 52 to 42'!$B$4:$B$55,$A3)</f>
        <v>0.25438788664027578</v>
      </c>
      <c r="U3">
        <f>SUMPRODUCT(--('Collapse 52 to 42'!$B$4:$B$55=$A3),'Collapse 52 to 42'!$C$4:$C$55,'Collapse 52 to 42'!W$4:W$55)/SUMIFS('Collapse 52 to 42'!$C$4:$C$55,'Collapse 52 to 42'!$B$4:$B$55,$A3)</f>
        <v>0.26518195468411387</v>
      </c>
      <c r="V3">
        <f>SUMPRODUCT(--('Collapse 52 to 42'!$B$4:$B$55=$A3),'Collapse 52 to 42'!$C$4:$C$55,'Collapse 52 to 42'!X$4:X$55)/SUMIFS('Collapse 52 to 42'!$C$4:$C$55,'Collapse 52 to 42'!$B$4:$B$55,$A3)</f>
        <v>0.27160294826249332</v>
      </c>
      <c r="W3">
        <f>SUMPRODUCT(--('Collapse 52 to 42'!$B$4:$B$55=$A3),'Collapse 52 to 42'!$C$4:$C$55,'Collapse 52 to 42'!Y$4:Y$55)/SUMIFS('Collapse 52 to 42'!$C$4:$C$55,'Collapse 52 to 42'!$B$4:$B$55,$A3)</f>
        <v>0.27622071193150588</v>
      </c>
      <c r="X3">
        <f>SUMPRODUCT(--('Collapse 52 to 42'!$B$4:$B$55=$A3),'Collapse 52 to 42'!$C$4:$C$55,'Collapse 52 to 42'!Z$4:Z$55)/SUMIFS('Collapse 52 to 42'!$C$4:$C$55,'Collapse 52 to 42'!$B$4:$B$55,$A3)</f>
        <v>0.28098357734470514</v>
      </c>
      <c r="Y3">
        <f>SUMPRODUCT(--('Collapse 52 to 42'!$B$4:$B$55=$A3),'Collapse 52 to 42'!$C$4:$C$55,'Collapse 52 to 42'!AA$4:AA$55)/SUMIFS('Collapse 52 to 42'!$C$4:$C$55,'Collapse 52 to 42'!$B$4:$B$55,$A3)</f>
        <v>0.28805270207377798</v>
      </c>
      <c r="Z3">
        <f>SUMPRODUCT(--('Collapse 52 to 42'!$B$4:$B$55=$A3),'Collapse 52 to 42'!$C$4:$C$55,'Collapse 52 to 42'!AB$4:AB$55)/SUMIFS('Collapse 52 to 42'!$C$4:$C$55,'Collapse 52 to 42'!$B$4:$B$55,$A3)</f>
        <v>0.29084432702728469</v>
      </c>
      <c r="AA3">
        <f>SUMPRODUCT(--('Collapse 52 to 42'!$B$4:$B$55=$A3),'Collapse 52 to 42'!$C$4:$C$55,'Collapse 52 to 42'!AC$4:AC$55)/SUMIFS('Collapse 52 to 42'!$C$4:$C$55,'Collapse 52 to 42'!$B$4:$B$55,$A3)</f>
        <v>0.29086500005729721</v>
      </c>
      <c r="AB3">
        <f>SUMPRODUCT(--('Collapse 52 to 42'!$B$4:$B$55=$A3),'Collapse 52 to 42'!$C$4:$C$55,'Collapse 52 to 42'!AD$4:AD$55)/SUMIFS('Collapse 52 to 42'!$C$4:$C$55,'Collapse 52 to 42'!$B$4:$B$55,$A3)</f>
        <v>0.28849301726482635</v>
      </c>
    </row>
    <row r="4" spans="1:28" x14ac:dyDescent="0.25">
      <c r="A4" t="s">
        <v>85</v>
      </c>
      <c r="B4">
        <f>SUMPRODUCT(--('Collapse 52 to 42'!$B$4:$B$55=$A4),'Collapse 52 to 42'!$C$4:$C$55,'Collapse 52 to 42'!D$4:D$55)/SUMIFS('Collapse 52 to 42'!$C$4:$C$55,'Collapse 52 to 42'!$B$4:$B$55,$A4)</f>
        <v>-6.647676758580523E-2</v>
      </c>
      <c r="C4">
        <f>SUMPRODUCT(--('Collapse 52 to 42'!$B$4:$B$55=$A4),'Collapse 52 to 42'!$C$4:$C$55,'Collapse 52 to 42'!E$4:E$55)/SUMIFS('Collapse 52 to 42'!$C$4:$C$55,'Collapse 52 to 42'!$B$4:$B$55,$A4)</f>
        <v>0</v>
      </c>
      <c r="D4">
        <f>SUMPRODUCT(--('Collapse 52 to 42'!$B$4:$B$55=$A4),'Collapse 52 to 42'!$C$4:$C$55,'Collapse 52 to 42'!F$4:F$55)/SUMIFS('Collapse 52 to 42'!$C$4:$C$55,'Collapse 52 to 42'!$B$4:$B$55,$A4)</f>
        <v>9.1485608285695852E-2</v>
      </c>
      <c r="E4">
        <f>SUMPRODUCT(--('Collapse 52 to 42'!$B$4:$B$55=$A4),'Collapse 52 to 42'!$C$4:$C$55,'Collapse 52 to 42'!G$4:G$55)/SUMIFS('Collapse 52 to 42'!$C$4:$C$55,'Collapse 52 to 42'!$B$4:$B$55,$A4)</f>
        <v>8.373672546315114E-2</v>
      </c>
      <c r="F4">
        <f>SUMPRODUCT(--('Collapse 52 to 42'!$B$4:$B$55=$A4),'Collapse 52 to 42'!$C$4:$C$55,'Collapse 52 to 42'!H$4:H$55)/SUMIFS('Collapse 52 to 42'!$C$4:$C$55,'Collapse 52 to 42'!$B$4:$B$55,$A4)</f>
        <v>8.9756742893838171E-2</v>
      </c>
      <c r="G4">
        <f>SUMPRODUCT(--('Collapse 52 to 42'!$B$4:$B$55=$A4),'Collapse 52 to 42'!$C$4:$C$55,'Collapse 52 to 42'!I$4:I$55)/SUMIFS('Collapse 52 to 42'!$C$4:$C$55,'Collapse 52 to 42'!$B$4:$B$55,$A4)</f>
        <v>9.6242070961838108E-2</v>
      </c>
      <c r="H4">
        <f>SUMPRODUCT(--('Collapse 52 to 42'!$B$4:$B$55=$A4),'Collapse 52 to 42'!$C$4:$C$55,'Collapse 52 to 42'!J$4:J$55)/SUMIFS('Collapse 52 to 42'!$C$4:$C$55,'Collapse 52 to 42'!$B$4:$B$55,$A4)</f>
        <v>0.11989154713851291</v>
      </c>
      <c r="I4">
        <f>SUMPRODUCT(--('Collapse 52 to 42'!$B$4:$B$55=$A4),'Collapse 52 to 42'!$C$4:$C$55,'Collapse 52 to 42'!K$4:K$55)/SUMIFS('Collapse 52 to 42'!$C$4:$C$55,'Collapse 52 to 42'!$B$4:$B$55,$A4)</f>
        <v>0.13793223955567435</v>
      </c>
      <c r="J4">
        <f>SUMPRODUCT(--('Collapse 52 to 42'!$B$4:$B$55=$A4),'Collapse 52 to 42'!$C$4:$C$55,'Collapse 52 to 42'!L$4:L$55)/SUMIFS('Collapse 52 to 42'!$C$4:$C$55,'Collapse 52 to 42'!$B$4:$B$55,$A4)</f>
        <v>0.15481814412480466</v>
      </c>
      <c r="K4">
        <f>SUMPRODUCT(--('Collapse 52 to 42'!$B$4:$B$55=$A4),'Collapse 52 to 42'!$C$4:$C$55,'Collapse 52 to 42'!M$4:M$55)/SUMIFS('Collapse 52 to 42'!$C$4:$C$55,'Collapse 52 to 42'!$B$4:$B$55,$A4)</f>
        <v>0.167368694261534</v>
      </c>
      <c r="L4">
        <f>SUMPRODUCT(--('Collapse 52 to 42'!$B$4:$B$55=$A4),'Collapse 52 to 42'!$C$4:$C$55,'Collapse 52 to 42'!N$4:N$55)/SUMIFS('Collapse 52 to 42'!$C$4:$C$55,'Collapse 52 to 42'!$B$4:$B$55,$A4)</f>
        <v>0.18293696710998031</v>
      </c>
      <c r="M4">
        <f>SUMPRODUCT(--('Collapse 52 to 42'!$B$4:$B$55=$A4),'Collapse 52 to 42'!$C$4:$C$55,'Collapse 52 to 42'!O$4:O$55)/SUMIFS('Collapse 52 to 42'!$C$4:$C$55,'Collapse 52 to 42'!$B$4:$B$55,$A4)</f>
        <v>0.18723768533846297</v>
      </c>
      <c r="N4">
        <f>SUMPRODUCT(--('Collapse 52 to 42'!$B$4:$B$55=$A4),'Collapse 52 to 42'!$C$4:$C$55,'Collapse 52 to 42'!P$4:P$55)/SUMIFS('Collapse 52 to 42'!$C$4:$C$55,'Collapse 52 to 42'!$B$4:$B$55,$A4)</f>
        <v>0.19241702946010153</v>
      </c>
      <c r="O4">
        <f>SUMPRODUCT(--('Collapse 52 to 42'!$B$4:$B$55=$A4),'Collapse 52 to 42'!$C$4:$C$55,'Collapse 52 to 42'!Q$4:Q$55)/SUMIFS('Collapse 52 to 42'!$C$4:$C$55,'Collapse 52 to 42'!$B$4:$B$55,$A4)</f>
        <v>0.19901829939282112</v>
      </c>
      <c r="P4">
        <f>SUMPRODUCT(--('Collapse 52 to 42'!$B$4:$B$55=$A4),'Collapse 52 to 42'!$C$4:$C$55,'Collapse 52 to 42'!R$4:R$55)/SUMIFS('Collapse 52 to 42'!$C$4:$C$55,'Collapse 52 to 42'!$B$4:$B$55,$A4)</f>
        <v>0.2050990265500261</v>
      </c>
      <c r="Q4">
        <f>SUMPRODUCT(--('Collapse 52 to 42'!$B$4:$B$55=$A4),'Collapse 52 to 42'!$C$4:$C$55,'Collapse 52 to 42'!S$4:S$55)/SUMIFS('Collapse 52 to 42'!$C$4:$C$55,'Collapse 52 to 42'!$B$4:$B$55,$A4)</f>
        <v>0.2129207307116463</v>
      </c>
      <c r="R4">
        <f>SUMPRODUCT(--('Collapse 52 to 42'!$B$4:$B$55=$A4),'Collapse 52 to 42'!$C$4:$C$55,'Collapse 52 to 42'!T$4:T$55)/SUMIFS('Collapse 52 to 42'!$C$4:$C$55,'Collapse 52 to 42'!$B$4:$B$55,$A4)</f>
        <v>0.22724195613849349</v>
      </c>
      <c r="S4">
        <f>SUMPRODUCT(--('Collapse 52 to 42'!$B$4:$B$55=$A4),'Collapse 52 to 42'!$C$4:$C$55,'Collapse 52 to 42'!U$4:U$55)/SUMIFS('Collapse 52 to 42'!$C$4:$C$55,'Collapse 52 to 42'!$B$4:$B$55,$A4)</f>
        <v>0.24459355429585039</v>
      </c>
      <c r="T4">
        <f>SUMPRODUCT(--('Collapse 52 to 42'!$B$4:$B$55=$A4),'Collapse 52 to 42'!$C$4:$C$55,'Collapse 52 to 42'!V$4:V$55)/SUMIFS('Collapse 52 to 42'!$C$4:$C$55,'Collapse 52 to 42'!$B$4:$B$55,$A4)</f>
        <v>0.25438788664027578</v>
      </c>
      <c r="U4">
        <f>SUMPRODUCT(--('Collapse 52 to 42'!$B$4:$B$55=$A4),'Collapse 52 to 42'!$C$4:$C$55,'Collapse 52 to 42'!W$4:W$55)/SUMIFS('Collapse 52 to 42'!$C$4:$C$55,'Collapse 52 to 42'!$B$4:$B$55,$A4)</f>
        <v>0.26518195468411387</v>
      </c>
      <c r="V4">
        <f>SUMPRODUCT(--('Collapse 52 to 42'!$B$4:$B$55=$A4),'Collapse 52 to 42'!$C$4:$C$55,'Collapse 52 to 42'!X$4:X$55)/SUMIFS('Collapse 52 to 42'!$C$4:$C$55,'Collapse 52 to 42'!$B$4:$B$55,$A4)</f>
        <v>0.27160294826249332</v>
      </c>
      <c r="W4">
        <f>SUMPRODUCT(--('Collapse 52 to 42'!$B$4:$B$55=$A4),'Collapse 52 to 42'!$C$4:$C$55,'Collapse 52 to 42'!Y$4:Y$55)/SUMIFS('Collapse 52 to 42'!$C$4:$C$55,'Collapse 52 to 42'!$B$4:$B$55,$A4)</f>
        <v>0.27622071193150588</v>
      </c>
      <c r="X4">
        <f>SUMPRODUCT(--('Collapse 52 to 42'!$B$4:$B$55=$A4),'Collapse 52 to 42'!$C$4:$C$55,'Collapse 52 to 42'!Z$4:Z$55)/SUMIFS('Collapse 52 to 42'!$C$4:$C$55,'Collapse 52 to 42'!$B$4:$B$55,$A4)</f>
        <v>0.28098357734470514</v>
      </c>
      <c r="Y4">
        <f>SUMPRODUCT(--('Collapse 52 to 42'!$B$4:$B$55=$A4),'Collapse 52 to 42'!$C$4:$C$55,'Collapse 52 to 42'!AA$4:AA$55)/SUMIFS('Collapse 52 to 42'!$C$4:$C$55,'Collapse 52 to 42'!$B$4:$B$55,$A4)</f>
        <v>0.28805270207377798</v>
      </c>
      <c r="Z4">
        <f>SUMPRODUCT(--('Collapse 52 to 42'!$B$4:$B$55=$A4),'Collapse 52 to 42'!$C$4:$C$55,'Collapse 52 to 42'!AB$4:AB$55)/SUMIFS('Collapse 52 to 42'!$C$4:$C$55,'Collapse 52 to 42'!$B$4:$B$55,$A4)</f>
        <v>0.29084432702728469</v>
      </c>
      <c r="AA4">
        <f>SUMPRODUCT(--('Collapse 52 to 42'!$B$4:$B$55=$A4),'Collapse 52 to 42'!$C$4:$C$55,'Collapse 52 to 42'!AC$4:AC$55)/SUMIFS('Collapse 52 to 42'!$C$4:$C$55,'Collapse 52 to 42'!$B$4:$B$55,$A4)</f>
        <v>0.29086500005729721</v>
      </c>
      <c r="AB4">
        <f>SUMPRODUCT(--('Collapse 52 to 42'!$B$4:$B$55=$A4),'Collapse 52 to 42'!$C$4:$C$55,'Collapse 52 to 42'!AD$4:AD$55)/SUMIFS('Collapse 52 to 42'!$C$4:$C$55,'Collapse 52 to 42'!$B$4:$B$55,$A4)</f>
        <v>0.28849301726482635</v>
      </c>
    </row>
    <row r="5" spans="1:28" x14ac:dyDescent="0.25">
      <c r="A5" t="s">
        <v>1270</v>
      </c>
      <c r="B5">
        <f>SUMPRODUCT(--('Collapse 52 to 42'!$B$4:$B$55=$A5),'Collapse 52 to 42'!$C$4:$C$55,'Collapse 52 to 42'!D$4:D$55)/SUMIFS('Collapse 52 to 42'!$C$4:$C$55,'Collapse 52 to 42'!$B$4:$B$55,$A5)</f>
        <v>-4.8244909238061837E-2</v>
      </c>
      <c r="C5">
        <f>SUMPRODUCT(--('Collapse 52 to 42'!$B$4:$B$55=$A5),'Collapse 52 to 42'!$C$4:$C$55,'Collapse 52 to 42'!E$4:E$55)/SUMIFS('Collapse 52 to 42'!$C$4:$C$55,'Collapse 52 to 42'!$B$4:$B$55,$A5)</f>
        <v>0</v>
      </c>
      <c r="D5">
        <f>SUMPRODUCT(--('Collapse 52 to 42'!$B$4:$B$55=$A5),'Collapse 52 to 42'!$C$4:$C$55,'Collapse 52 to 42'!F$4:F$55)/SUMIFS('Collapse 52 to 42'!$C$4:$C$55,'Collapse 52 to 42'!$B$4:$B$55,$A5)</f>
        <v>6.9109412251390279E-2</v>
      </c>
      <c r="E5">
        <f>SUMPRODUCT(--('Collapse 52 to 42'!$B$4:$B$55=$A5),'Collapse 52 to 42'!$C$4:$C$55,'Collapse 52 to 42'!G$4:G$55)/SUMIFS('Collapse 52 to 42'!$C$4:$C$55,'Collapse 52 to 42'!$B$4:$B$55,$A5)</f>
        <v>7.5586818861134913E-2</v>
      </c>
      <c r="F5">
        <f>SUMPRODUCT(--('Collapse 52 to 42'!$B$4:$B$55=$A5),'Collapse 52 to 42'!$C$4:$C$55,'Collapse 52 to 42'!H$4:H$55)/SUMIFS('Collapse 52 to 42'!$C$4:$C$55,'Collapse 52 to 42'!$B$4:$B$55,$A5)</f>
        <v>8.6684251200406834E-2</v>
      </c>
      <c r="G5">
        <f>SUMPRODUCT(--('Collapse 52 to 42'!$B$4:$B$55=$A5),'Collapse 52 to 42'!$C$4:$C$55,'Collapse 52 to 42'!I$4:I$55)/SUMIFS('Collapse 52 to 42'!$C$4:$C$55,'Collapse 52 to 42'!$B$4:$B$55,$A5)</f>
        <v>9.9631223332786456E-2</v>
      </c>
      <c r="H5">
        <f>SUMPRODUCT(--('Collapse 52 to 42'!$B$4:$B$55=$A5),'Collapse 52 to 42'!$C$4:$C$55,'Collapse 52 to 42'!J$4:J$55)/SUMIFS('Collapse 52 to 42'!$C$4:$C$55,'Collapse 52 to 42'!$B$4:$B$55,$A5)</f>
        <v>0.1238757445199879</v>
      </c>
      <c r="I5">
        <f>SUMPRODUCT(--('Collapse 52 to 42'!$B$4:$B$55=$A5),'Collapse 52 to 42'!$C$4:$C$55,'Collapse 52 to 42'!K$4:K$55)/SUMIFS('Collapse 52 to 42'!$C$4:$C$55,'Collapse 52 to 42'!$B$4:$B$55,$A5)</f>
        <v>0.14473985431163455</v>
      </c>
      <c r="J5">
        <f>SUMPRODUCT(--('Collapse 52 to 42'!$B$4:$B$55=$A5),'Collapse 52 to 42'!$C$4:$C$55,'Collapse 52 to 42'!L$4:L$55)/SUMIFS('Collapse 52 to 42'!$C$4:$C$55,'Collapse 52 to 42'!$B$4:$B$55,$A5)</f>
        <v>0.16642934514070037</v>
      </c>
      <c r="K5">
        <f>SUMPRODUCT(--('Collapse 52 to 42'!$B$4:$B$55=$A5),'Collapse 52 to 42'!$C$4:$C$55,'Collapse 52 to 42'!M$4:M$55)/SUMIFS('Collapse 52 to 42'!$C$4:$C$55,'Collapse 52 to 42'!$B$4:$B$55,$A5)</f>
        <v>0.18668630648482207</v>
      </c>
      <c r="L5">
        <f>SUMPRODUCT(--('Collapse 52 to 42'!$B$4:$B$55=$A5),'Collapse 52 to 42'!$C$4:$C$55,'Collapse 52 to 42'!N$4:N$55)/SUMIFS('Collapse 52 to 42'!$C$4:$C$55,'Collapse 52 to 42'!$B$4:$B$55,$A5)</f>
        <v>0.20961586801372556</v>
      </c>
      <c r="M5">
        <f>SUMPRODUCT(--('Collapse 52 to 42'!$B$4:$B$55=$A5),'Collapse 52 to 42'!$C$4:$C$55,'Collapse 52 to 42'!O$4:O$55)/SUMIFS('Collapse 52 to 42'!$C$4:$C$55,'Collapse 52 to 42'!$B$4:$B$55,$A5)</f>
        <v>0.22694545698614652</v>
      </c>
      <c r="N5">
        <f>SUMPRODUCT(--('Collapse 52 to 42'!$B$4:$B$55=$A5),'Collapse 52 to 42'!$C$4:$C$55,'Collapse 52 to 42'!P$4:P$55)/SUMIFS('Collapse 52 to 42'!$C$4:$C$55,'Collapse 52 to 42'!$B$4:$B$55,$A5)</f>
        <v>0.24236229170623075</v>
      </c>
      <c r="O5">
        <f>SUMPRODUCT(--('Collapse 52 to 42'!$B$4:$B$55=$A5),'Collapse 52 to 42'!$C$4:$C$55,'Collapse 52 to 42'!Q$4:Q$55)/SUMIFS('Collapse 52 to 42'!$C$4:$C$55,'Collapse 52 to 42'!$B$4:$B$55,$A5)</f>
        <v>0.25856310017110234</v>
      </c>
      <c r="P5">
        <f>SUMPRODUCT(--('Collapse 52 to 42'!$B$4:$B$55=$A5),'Collapse 52 to 42'!$C$4:$C$55,'Collapse 52 to 42'!R$4:R$55)/SUMIFS('Collapse 52 to 42'!$C$4:$C$55,'Collapse 52 to 42'!$B$4:$B$55,$A5)</f>
        <v>0.27456540649586375</v>
      </c>
      <c r="Q5">
        <f>SUMPRODUCT(--('Collapse 52 to 42'!$B$4:$B$55=$A5),'Collapse 52 to 42'!$C$4:$C$55,'Collapse 52 to 42'!S$4:S$55)/SUMIFS('Collapse 52 to 42'!$C$4:$C$55,'Collapse 52 to 42'!$B$4:$B$55,$A5)</f>
        <v>0.29138857834115078</v>
      </c>
      <c r="R5">
        <f>SUMPRODUCT(--('Collapse 52 to 42'!$B$4:$B$55=$A5),'Collapse 52 to 42'!$C$4:$C$55,'Collapse 52 to 42'!T$4:T$55)/SUMIFS('Collapse 52 to 42'!$C$4:$C$55,'Collapse 52 to 42'!$B$4:$B$55,$A5)</f>
        <v>0.3120672634337715</v>
      </c>
      <c r="S5">
        <f>SUMPRODUCT(--('Collapse 52 to 42'!$B$4:$B$55=$A5),'Collapse 52 to 42'!$C$4:$C$55,'Collapse 52 to 42'!U$4:U$55)/SUMIFS('Collapse 52 to 42'!$C$4:$C$55,'Collapse 52 to 42'!$B$4:$B$55,$A5)</f>
        <v>0.33417340857928113</v>
      </c>
      <c r="T5">
        <f>SUMPRODUCT(--('Collapse 52 to 42'!$B$4:$B$55=$A5),'Collapse 52 to 42'!$C$4:$C$55,'Collapse 52 to 42'!V$4:V$55)/SUMIFS('Collapse 52 to 42'!$C$4:$C$55,'Collapse 52 to 42'!$B$4:$B$55,$A5)</f>
        <v>0.35226488373197468</v>
      </c>
      <c r="U5">
        <f>SUMPRODUCT(--('Collapse 52 to 42'!$B$4:$B$55=$A5),'Collapse 52 to 42'!$C$4:$C$55,'Collapse 52 to 42'!W$4:W$55)/SUMIFS('Collapse 52 to 42'!$C$4:$C$55,'Collapse 52 to 42'!$B$4:$B$55,$A5)</f>
        <v>0.37146789675681047</v>
      </c>
      <c r="V5">
        <f>SUMPRODUCT(--('Collapse 52 to 42'!$B$4:$B$55=$A5),'Collapse 52 to 42'!$C$4:$C$55,'Collapse 52 to 42'!X$4:X$55)/SUMIFS('Collapse 52 to 42'!$C$4:$C$55,'Collapse 52 to 42'!$B$4:$B$55,$A5)</f>
        <v>0.38823180740310209</v>
      </c>
      <c r="W5">
        <f>SUMPRODUCT(--('Collapse 52 to 42'!$B$4:$B$55=$A5),'Collapse 52 to 42'!$C$4:$C$55,'Collapse 52 to 42'!Y$4:Y$55)/SUMIFS('Collapse 52 to 42'!$C$4:$C$55,'Collapse 52 to 42'!$B$4:$B$55,$A5)</f>
        <v>0.40380087965480393</v>
      </c>
      <c r="X5">
        <f>SUMPRODUCT(--('Collapse 52 to 42'!$B$4:$B$55=$A5),'Collapse 52 to 42'!$C$4:$C$55,'Collapse 52 to 42'!Z$4:Z$55)/SUMIFS('Collapse 52 to 42'!$C$4:$C$55,'Collapse 52 to 42'!$B$4:$B$55,$A5)</f>
        <v>0.41906699879607229</v>
      </c>
      <c r="Y5">
        <f>SUMPRODUCT(--('Collapse 52 to 42'!$B$4:$B$55=$A5),'Collapse 52 to 42'!$C$4:$C$55,'Collapse 52 to 42'!AA$4:AA$55)/SUMIFS('Collapse 52 to 42'!$C$4:$C$55,'Collapse 52 to 42'!$B$4:$B$55,$A5)</f>
        <v>0.43515516412074606</v>
      </c>
      <c r="Z5">
        <f>SUMPRODUCT(--('Collapse 52 to 42'!$B$4:$B$55=$A5),'Collapse 52 to 42'!$C$4:$C$55,'Collapse 52 to 42'!AB$4:AB$55)/SUMIFS('Collapse 52 to 42'!$C$4:$C$55,'Collapse 52 to 42'!$B$4:$B$55,$A5)</f>
        <v>0.44885002331501628</v>
      </c>
      <c r="AA5">
        <f>SUMPRODUCT(--('Collapse 52 to 42'!$B$4:$B$55=$A5),'Collapse 52 to 42'!$C$4:$C$55,'Collapse 52 to 42'!AC$4:AC$55)/SUMIFS('Collapse 52 to 42'!$C$4:$C$55,'Collapse 52 to 42'!$B$4:$B$55,$A5)</f>
        <v>0.46054790002716128</v>
      </c>
      <c r="AB5">
        <f>SUMPRODUCT(--('Collapse 52 to 42'!$B$4:$B$55=$A5),'Collapse 52 to 42'!$C$4:$C$55,'Collapse 52 to 42'!AD$4:AD$55)/SUMIFS('Collapse 52 to 42'!$C$4:$C$55,'Collapse 52 to 42'!$B$4:$B$55,$A5)</f>
        <v>0.47132021007382241</v>
      </c>
    </row>
    <row r="6" spans="1:28" x14ac:dyDescent="0.25">
      <c r="A6" t="s">
        <v>99</v>
      </c>
      <c r="B6">
        <f>SUMPRODUCT(--('Collapse 52 to 42'!$B$4:$B$55=$A6),'Collapse 52 to 42'!$C$4:$C$55,'Collapse 52 to 42'!D$4:D$55)/SUMIFS('Collapse 52 to 42'!$C$4:$C$55,'Collapse 52 to 42'!$B$4:$B$55,$A6)</f>
        <v>4.5962501038956383E-3</v>
      </c>
      <c r="C6">
        <f>SUMPRODUCT(--('Collapse 52 to 42'!$B$4:$B$55=$A6),'Collapse 52 to 42'!$C$4:$C$55,'Collapse 52 to 42'!E$4:E$55)/SUMIFS('Collapse 52 to 42'!$C$4:$C$55,'Collapse 52 to 42'!$B$4:$B$55,$A6)</f>
        <v>0</v>
      </c>
      <c r="D6">
        <f>SUMPRODUCT(--('Collapse 52 to 42'!$B$4:$B$55=$A6),'Collapse 52 to 42'!$C$4:$C$55,'Collapse 52 to 42'!F$4:F$55)/SUMIFS('Collapse 52 to 42'!$C$4:$C$55,'Collapse 52 to 42'!$B$4:$B$55,$A6)</f>
        <v>-7.3881650292998424E-3</v>
      </c>
      <c r="E6">
        <f>SUMPRODUCT(--('Collapse 52 to 42'!$B$4:$B$55=$A6),'Collapse 52 to 42'!$C$4:$C$55,'Collapse 52 to 42'!G$4:G$55)/SUMIFS('Collapse 52 to 42'!$C$4:$C$55,'Collapse 52 to 42'!$B$4:$B$55,$A6)</f>
        <v>-1.2165773642319189E-2</v>
      </c>
      <c r="F6">
        <f>SUMPRODUCT(--('Collapse 52 to 42'!$B$4:$B$55=$A6),'Collapse 52 to 42'!$C$4:$C$55,'Collapse 52 to 42'!H$4:H$55)/SUMIFS('Collapse 52 to 42'!$C$4:$C$55,'Collapse 52 to 42'!$B$4:$B$55,$A6)</f>
        <v>-1.5389273657706481E-2</v>
      </c>
      <c r="G6">
        <f>SUMPRODUCT(--('Collapse 52 to 42'!$B$4:$B$55=$A6),'Collapse 52 to 42'!$C$4:$C$55,'Collapse 52 to 42'!I$4:I$55)/SUMIFS('Collapse 52 to 42'!$C$4:$C$55,'Collapse 52 to 42'!$B$4:$B$55,$A6)</f>
        <v>-1.9204276957744182E-2</v>
      </c>
      <c r="H6">
        <f>SUMPRODUCT(--('Collapse 52 to 42'!$B$4:$B$55=$A6),'Collapse 52 to 42'!$C$4:$C$55,'Collapse 52 to 42'!J$4:J$55)/SUMIFS('Collapse 52 to 42'!$C$4:$C$55,'Collapse 52 to 42'!$B$4:$B$55,$A6)</f>
        <v>-2.34847221369332E-2</v>
      </c>
      <c r="I6">
        <f>SUMPRODUCT(--('Collapse 52 to 42'!$B$4:$B$55=$A6),'Collapse 52 to 42'!$C$4:$C$55,'Collapse 52 to 42'!K$4:K$55)/SUMIFS('Collapse 52 to 42'!$C$4:$C$55,'Collapse 52 to 42'!$B$4:$B$55,$A6)</f>
        <v>-2.7598039522504728E-2</v>
      </c>
      <c r="J6">
        <f>SUMPRODUCT(--('Collapse 52 to 42'!$B$4:$B$55=$A6),'Collapse 52 to 42'!$C$4:$C$55,'Collapse 52 to 42'!L$4:L$55)/SUMIFS('Collapse 52 to 42'!$C$4:$C$55,'Collapse 52 to 42'!$B$4:$B$55,$A6)</f>
        <v>-3.2180059149072293E-2</v>
      </c>
      <c r="K6">
        <f>SUMPRODUCT(--('Collapse 52 to 42'!$B$4:$B$55=$A6),'Collapse 52 to 42'!$C$4:$C$55,'Collapse 52 to 42'!M$4:M$55)/SUMIFS('Collapse 52 to 42'!$C$4:$C$55,'Collapse 52 to 42'!$B$4:$B$55,$A6)</f>
        <v>-3.7032658636999449E-2</v>
      </c>
      <c r="L6">
        <f>SUMPRODUCT(--('Collapse 52 to 42'!$B$4:$B$55=$A6),'Collapse 52 to 42'!$C$4:$C$55,'Collapse 52 to 42'!N$4:N$55)/SUMIFS('Collapse 52 to 42'!$C$4:$C$55,'Collapse 52 to 42'!$B$4:$B$55,$A6)</f>
        <v>-4.2073942737476111E-2</v>
      </c>
      <c r="M6">
        <f>SUMPRODUCT(--('Collapse 52 to 42'!$B$4:$B$55=$A6),'Collapse 52 to 42'!$C$4:$C$55,'Collapse 52 to 42'!O$4:O$55)/SUMIFS('Collapse 52 to 42'!$C$4:$C$55,'Collapse 52 to 42'!$B$4:$B$55,$A6)</f>
        <v>-4.7277241932879965E-2</v>
      </c>
      <c r="N6">
        <f>SUMPRODUCT(--('Collapse 52 to 42'!$B$4:$B$55=$A6),'Collapse 52 to 42'!$C$4:$C$55,'Collapse 52 to 42'!P$4:P$55)/SUMIFS('Collapse 52 to 42'!$C$4:$C$55,'Collapse 52 to 42'!$B$4:$B$55,$A6)</f>
        <v>-5.1489217649405172E-2</v>
      </c>
      <c r="O6">
        <f>SUMPRODUCT(--('Collapse 52 to 42'!$B$4:$B$55=$A6),'Collapse 52 to 42'!$C$4:$C$55,'Collapse 52 to 42'!Q$4:Q$55)/SUMIFS('Collapse 52 to 42'!$C$4:$C$55,'Collapse 52 to 42'!$B$4:$B$55,$A6)</f>
        <v>-5.5575669677652706E-2</v>
      </c>
      <c r="P6">
        <f>SUMPRODUCT(--('Collapse 52 to 42'!$B$4:$B$55=$A6),'Collapse 52 to 42'!$C$4:$C$55,'Collapse 52 to 42'!R$4:R$55)/SUMIFS('Collapse 52 to 42'!$C$4:$C$55,'Collapse 52 to 42'!$B$4:$B$55,$A6)</f>
        <v>-5.9588316533222156E-2</v>
      </c>
      <c r="Q6">
        <f>SUMPRODUCT(--('Collapse 52 to 42'!$B$4:$B$55=$A6),'Collapse 52 to 42'!$C$4:$C$55,'Collapse 52 to 42'!S$4:S$55)/SUMIFS('Collapse 52 to 42'!$C$4:$C$55,'Collapse 52 to 42'!$B$4:$B$55,$A6)</f>
        <v>-6.3439304426314846E-2</v>
      </c>
      <c r="R6">
        <f>SUMPRODUCT(--('Collapse 52 to 42'!$B$4:$B$55=$A6),'Collapse 52 to 42'!$C$4:$C$55,'Collapse 52 to 42'!T$4:T$55)/SUMIFS('Collapse 52 to 42'!$C$4:$C$55,'Collapse 52 to 42'!$B$4:$B$55,$A6)</f>
        <v>-6.7224041900287856E-2</v>
      </c>
      <c r="S6">
        <f>SUMPRODUCT(--('Collapse 52 to 42'!$B$4:$B$55=$A6),'Collapse 52 to 42'!$C$4:$C$55,'Collapse 52 to 42'!U$4:U$55)/SUMIFS('Collapse 52 to 42'!$C$4:$C$55,'Collapse 52 to 42'!$B$4:$B$55,$A6)</f>
        <v>-7.0819073106903052E-2</v>
      </c>
      <c r="T6">
        <f>SUMPRODUCT(--('Collapse 52 to 42'!$B$4:$B$55=$A6),'Collapse 52 to 42'!$C$4:$C$55,'Collapse 52 to 42'!V$4:V$55)/SUMIFS('Collapse 52 to 42'!$C$4:$C$55,'Collapse 52 to 42'!$B$4:$B$55,$A6)</f>
        <v>-7.4433432340238914E-2</v>
      </c>
      <c r="U6">
        <f>SUMPRODUCT(--('Collapse 52 to 42'!$B$4:$B$55=$A6),'Collapse 52 to 42'!$C$4:$C$55,'Collapse 52 to 42'!W$4:W$55)/SUMIFS('Collapse 52 to 42'!$C$4:$C$55,'Collapse 52 to 42'!$B$4:$B$55,$A6)</f>
        <v>-7.8113808486966474E-2</v>
      </c>
      <c r="V6">
        <f>SUMPRODUCT(--('Collapse 52 to 42'!$B$4:$B$55=$A6),'Collapse 52 to 42'!$C$4:$C$55,'Collapse 52 to 42'!X$4:X$55)/SUMIFS('Collapse 52 to 42'!$C$4:$C$55,'Collapse 52 to 42'!$B$4:$B$55,$A6)</f>
        <v>-8.1730237435511222E-2</v>
      </c>
      <c r="W6">
        <f>SUMPRODUCT(--('Collapse 52 to 42'!$B$4:$B$55=$A6),'Collapse 52 to 42'!$C$4:$C$55,'Collapse 52 to 42'!Y$4:Y$55)/SUMIFS('Collapse 52 to 42'!$C$4:$C$55,'Collapse 52 to 42'!$B$4:$B$55,$A6)</f>
        <v>-8.5219361950299111E-2</v>
      </c>
      <c r="X6">
        <f>SUMPRODUCT(--('Collapse 52 to 42'!$B$4:$B$55=$A6),'Collapse 52 to 42'!$C$4:$C$55,'Collapse 52 to 42'!Z$4:Z$55)/SUMIFS('Collapse 52 to 42'!$C$4:$C$55,'Collapse 52 to 42'!$B$4:$B$55,$A6)</f>
        <v>-8.8525648234568988E-2</v>
      </c>
      <c r="Y6">
        <f>SUMPRODUCT(--('Collapse 52 to 42'!$B$4:$B$55=$A6),'Collapse 52 to 42'!$C$4:$C$55,'Collapse 52 to 42'!AA$4:AA$55)/SUMIFS('Collapse 52 to 42'!$C$4:$C$55,'Collapse 52 to 42'!$B$4:$B$55,$A6)</f>
        <v>-9.1626949511774969E-2</v>
      </c>
      <c r="Z6">
        <f>SUMPRODUCT(--('Collapse 52 to 42'!$B$4:$B$55=$A6),'Collapse 52 to 42'!$C$4:$C$55,'Collapse 52 to 42'!AB$4:AB$55)/SUMIFS('Collapse 52 to 42'!$C$4:$C$55,'Collapse 52 to 42'!$B$4:$B$55,$A6)</f>
        <v>-9.4684351074521556E-2</v>
      </c>
      <c r="AA6">
        <f>SUMPRODUCT(--('Collapse 52 to 42'!$B$4:$B$55=$A6),'Collapse 52 to 42'!$C$4:$C$55,'Collapse 52 to 42'!AC$4:AC$55)/SUMIFS('Collapse 52 to 42'!$C$4:$C$55,'Collapse 52 to 42'!$B$4:$B$55,$A6)</f>
        <v>-9.7581271080166454E-2</v>
      </c>
      <c r="AB6">
        <f>SUMPRODUCT(--('Collapse 52 to 42'!$B$4:$B$55=$A6),'Collapse 52 to 42'!$C$4:$C$55,'Collapse 52 to 42'!AD$4:AD$55)/SUMIFS('Collapse 52 to 42'!$C$4:$C$55,'Collapse 52 to 42'!$B$4:$B$55,$A6)</f>
        <v>-0.10053303058615681</v>
      </c>
    </row>
    <row r="7" spans="1:28" x14ac:dyDescent="0.25">
      <c r="A7" t="s">
        <v>182</v>
      </c>
      <c r="B7">
        <f>SUMPRODUCT(--('Collapse 52 to 42'!$B$4:$B$55=$A7),'Collapse 52 to 42'!$C$4:$C$55,'Collapse 52 to 42'!D$4:D$55)/SUMIFS('Collapse 52 to 42'!$C$4:$C$55,'Collapse 52 to 42'!$B$4:$B$55,$A7)</f>
        <v>6.126679706272764E-2</v>
      </c>
      <c r="C7">
        <f>SUMPRODUCT(--('Collapse 52 to 42'!$B$4:$B$55=$A7),'Collapse 52 to 42'!$C$4:$C$55,'Collapse 52 to 42'!E$4:E$55)/SUMIFS('Collapse 52 to 42'!$C$4:$C$55,'Collapse 52 to 42'!$B$4:$B$55,$A7)</f>
        <v>0</v>
      </c>
      <c r="D7">
        <f>SUMPRODUCT(--('Collapse 52 to 42'!$B$4:$B$55=$A7),'Collapse 52 to 42'!$C$4:$C$55,'Collapse 52 to 42'!F$4:F$55)/SUMIFS('Collapse 52 to 42'!$C$4:$C$55,'Collapse 52 to 42'!$B$4:$B$55,$A7)</f>
        <v>2.3084925389895705E-3</v>
      </c>
      <c r="E7">
        <f>SUMPRODUCT(--('Collapse 52 to 42'!$B$4:$B$55=$A7),'Collapse 52 to 42'!$C$4:$C$55,'Collapse 52 to 42'!G$4:G$55)/SUMIFS('Collapse 52 to 42'!$C$4:$C$55,'Collapse 52 to 42'!$B$4:$B$55,$A7)</f>
        <v>1.0995353603676426E-2</v>
      </c>
      <c r="F7">
        <f>SUMPRODUCT(--('Collapse 52 to 42'!$B$4:$B$55=$A7),'Collapse 52 to 42'!$C$4:$C$55,'Collapse 52 to 42'!H$4:H$55)/SUMIFS('Collapse 52 to 42'!$C$4:$C$55,'Collapse 52 to 42'!$B$4:$B$55,$A7)</f>
        <v>1.9989072622382142E-2</v>
      </c>
      <c r="G7">
        <f>SUMPRODUCT(--('Collapse 52 to 42'!$B$4:$B$55=$A7),'Collapse 52 to 42'!$C$4:$C$55,'Collapse 52 to 42'!I$4:I$55)/SUMIFS('Collapse 52 to 42'!$C$4:$C$55,'Collapse 52 to 42'!$B$4:$B$55,$A7)</f>
        <v>2.6356987879609495E-2</v>
      </c>
      <c r="H7">
        <f>SUMPRODUCT(--('Collapse 52 to 42'!$B$4:$B$55=$A7),'Collapse 52 to 42'!$C$4:$C$55,'Collapse 52 to 42'!J$4:J$55)/SUMIFS('Collapse 52 to 42'!$C$4:$C$55,'Collapse 52 to 42'!$B$4:$B$55,$A7)</f>
        <v>3.487520214531159E-2</v>
      </c>
      <c r="I7">
        <f>SUMPRODUCT(--('Collapse 52 to 42'!$B$4:$B$55=$A7),'Collapse 52 to 42'!$C$4:$C$55,'Collapse 52 to 42'!K$4:K$55)/SUMIFS('Collapse 52 to 42'!$C$4:$C$55,'Collapse 52 to 42'!$B$4:$B$55,$A7)</f>
        <v>4.4038408410193013E-2</v>
      </c>
      <c r="J7">
        <f>SUMPRODUCT(--('Collapse 52 to 42'!$B$4:$B$55=$A7),'Collapse 52 to 42'!$C$4:$C$55,'Collapse 52 to 42'!L$4:L$55)/SUMIFS('Collapse 52 to 42'!$C$4:$C$55,'Collapse 52 to 42'!$B$4:$B$55,$A7)</f>
        <v>5.2977872872682415E-2</v>
      </c>
      <c r="K7">
        <f>SUMPRODUCT(--('Collapse 52 to 42'!$B$4:$B$55=$A7),'Collapse 52 to 42'!$C$4:$C$55,'Collapse 52 to 42'!M$4:M$55)/SUMIFS('Collapse 52 to 42'!$C$4:$C$55,'Collapse 52 to 42'!$B$4:$B$55,$A7)</f>
        <v>6.206563055198755E-2</v>
      </c>
      <c r="L7">
        <f>SUMPRODUCT(--('Collapse 52 to 42'!$B$4:$B$55=$A7),'Collapse 52 to 42'!$C$4:$C$55,'Collapse 52 to 42'!N$4:N$55)/SUMIFS('Collapse 52 to 42'!$C$4:$C$55,'Collapse 52 to 42'!$B$4:$B$55,$A7)</f>
        <v>7.142498044839507E-2</v>
      </c>
      <c r="M7">
        <f>SUMPRODUCT(--('Collapse 52 to 42'!$B$4:$B$55=$A7),'Collapse 52 to 42'!$C$4:$C$55,'Collapse 52 to 42'!O$4:O$55)/SUMIFS('Collapse 52 to 42'!$C$4:$C$55,'Collapse 52 to 42'!$B$4:$B$55,$A7)</f>
        <v>8.0360393580912959E-2</v>
      </c>
      <c r="N7">
        <f>SUMPRODUCT(--('Collapse 52 to 42'!$B$4:$B$55=$A7),'Collapse 52 to 42'!$C$4:$C$55,'Collapse 52 to 42'!P$4:P$55)/SUMIFS('Collapse 52 to 42'!$C$4:$C$55,'Collapse 52 to 42'!$B$4:$B$55,$A7)</f>
        <v>9.0247050839689313E-2</v>
      </c>
      <c r="O7">
        <f>SUMPRODUCT(--('Collapse 52 to 42'!$B$4:$B$55=$A7),'Collapse 52 to 42'!$C$4:$C$55,'Collapse 52 to 42'!Q$4:Q$55)/SUMIFS('Collapse 52 to 42'!$C$4:$C$55,'Collapse 52 to 42'!$B$4:$B$55,$A7)</f>
        <v>9.9967513246331796E-2</v>
      </c>
      <c r="P7">
        <f>SUMPRODUCT(--('Collapse 52 to 42'!$B$4:$B$55=$A7),'Collapse 52 to 42'!$C$4:$C$55,'Collapse 52 to 42'!R$4:R$55)/SUMIFS('Collapse 52 to 42'!$C$4:$C$55,'Collapse 52 to 42'!$B$4:$B$55,$A7)</f>
        <v>0.10991074372624787</v>
      </c>
      <c r="Q7">
        <f>SUMPRODUCT(--('Collapse 52 to 42'!$B$4:$B$55=$A7),'Collapse 52 to 42'!$C$4:$C$55,'Collapse 52 to 42'!S$4:S$55)/SUMIFS('Collapse 52 to 42'!$C$4:$C$55,'Collapse 52 to 42'!$B$4:$B$55,$A7)</f>
        <v>0.11980303076955034</v>
      </c>
      <c r="R7">
        <f>SUMPRODUCT(--('Collapse 52 to 42'!$B$4:$B$55=$A7),'Collapse 52 to 42'!$C$4:$C$55,'Collapse 52 to 42'!T$4:T$55)/SUMIFS('Collapse 52 to 42'!$C$4:$C$55,'Collapse 52 to 42'!$B$4:$B$55,$A7)</f>
        <v>0.12901002179962484</v>
      </c>
      <c r="S7">
        <f>SUMPRODUCT(--('Collapse 52 to 42'!$B$4:$B$55=$A7),'Collapse 52 to 42'!$C$4:$C$55,'Collapse 52 to 42'!U$4:U$55)/SUMIFS('Collapse 52 to 42'!$C$4:$C$55,'Collapse 52 to 42'!$B$4:$B$55,$A7)</f>
        <v>0.13821358164621311</v>
      </c>
      <c r="T7">
        <f>SUMPRODUCT(--('Collapse 52 to 42'!$B$4:$B$55=$A7),'Collapse 52 to 42'!$C$4:$C$55,'Collapse 52 to 42'!V$4:V$55)/SUMIFS('Collapse 52 to 42'!$C$4:$C$55,'Collapse 52 to 42'!$B$4:$B$55,$A7)</f>
        <v>0.14739568089958754</v>
      </c>
      <c r="U7">
        <f>SUMPRODUCT(--('Collapse 52 to 42'!$B$4:$B$55=$A7),'Collapse 52 to 42'!$C$4:$C$55,'Collapse 52 to 42'!W$4:W$55)/SUMIFS('Collapse 52 to 42'!$C$4:$C$55,'Collapse 52 to 42'!$B$4:$B$55,$A7)</f>
        <v>0.15613587346053448</v>
      </c>
      <c r="V7">
        <f>SUMPRODUCT(--('Collapse 52 to 42'!$B$4:$B$55=$A7),'Collapse 52 to 42'!$C$4:$C$55,'Collapse 52 to 42'!X$4:X$55)/SUMIFS('Collapse 52 to 42'!$C$4:$C$55,'Collapse 52 to 42'!$B$4:$B$55,$A7)</f>
        <v>0.16491210170936332</v>
      </c>
      <c r="W7">
        <f>SUMPRODUCT(--('Collapse 52 to 42'!$B$4:$B$55=$A7),'Collapse 52 to 42'!$C$4:$C$55,'Collapse 52 to 42'!Y$4:Y$55)/SUMIFS('Collapse 52 to 42'!$C$4:$C$55,'Collapse 52 to 42'!$B$4:$B$55,$A7)</f>
        <v>0.17300649486904573</v>
      </c>
      <c r="X7">
        <f>SUMPRODUCT(--('Collapse 52 to 42'!$B$4:$B$55=$A7),'Collapse 52 to 42'!$C$4:$C$55,'Collapse 52 to 42'!Z$4:Z$55)/SUMIFS('Collapse 52 to 42'!$C$4:$C$55,'Collapse 52 to 42'!$B$4:$B$55,$A7)</f>
        <v>0.18141160234659481</v>
      </c>
      <c r="Y7">
        <f>SUMPRODUCT(--('Collapse 52 to 42'!$B$4:$B$55=$A7),'Collapse 52 to 42'!$C$4:$C$55,'Collapse 52 to 42'!AA$4:AA$55)/SUMIFS('Collapse 52 to 42'!$C$4:$C$55,'Collapse 52 to 42'!$B$4:$B$55,$A7)</f>
        <v>0.18964763454028691</v>
      </c>
      <c r="Z7">
        <f>SUMPRODUCT(--('Collapse 52 to 42'!$B$4:$B$55=$A7),'Collapse 52 to 42'!$C$4:$C$55,'Collapse 52 to 42'!AB$4:AB$55)/SUMIFS('Collapse 52 to 42'!$C$4:$C$55,'Collapse 52 to 42'!$B$4:$B$55,$A7)</f>
        <v>0.19787983240020204</v>
      </c>
      <c r="AA7">
        <f>SUMPRODUCT(--('Collapse 52 to 42'!$B$4:$B$55=$A7),'Collapse 52 to 42'!$C$4:$C$55,'Collapse 52 to 42'!AC$4:AC$55)/SUMIFS('Collapse 52 to 42'!$C$4:$C$55,'Collapse 52 to 42'!$B$4:$B$55,$A7)</f>
        <v>0.20646942960196268</v>
      </c>
      <c r="AB7">
        <f>SUMPRODUCT(--('Collapse 52 to 42'!$B$4:$B$55=$A7),'Collapse 52 to 42'!$C$4:$C$55,'Collapse 52 to 42'!AD$4:AD$55)/SUMIFS('Collapse 52 to 42'!$C$4:$C$55,'Collapse 52 to 42'!$B$4:$B$55,$A7)</f>
        <v>0.21437719942510181</v>
      </c>
    </row>
    <row r="8" spans="1:28" x14ac:dyDescent="0.25">
      <c r="A8" t="s">
        <v>209</v>
      </c>
      <c r="B8">
        <f>SUMPRODUCT(--('Collapse 52 to 42'!$B$4:$B$55=$A8),'Collapse 52 to 42'!$C$4:$C$55,'Collapse 52 to 42'!D$4:D$55)/SUMIFS('Collapse 52 to 42'!$C$4:$C$55,'Collapse 52 to 42'!$B$4:$B$55,$A8)</f>
        <v>0.12773929013810315</v>
      </c>
      <c r="C8">
        <f>SUMPRODUCT(--('Collapse 52 to 42'!$B$4:$B$55=$A8),'Collapse 52 to 42'!$C$4:$C$55,'Collapse 52 to 42'!E$4:E$55)/SUMIFS('Collapse 52 to 42'!$C$4:$C$55,'Collapse 52 to 42'!$B$4:$B$55,$A8)</f>
        <v>0</v>
      </c>
      <c r="D8">
        <f>SUMPRODUCT(--('Collapse 52 to 42'!$B$4:$B$55=$A8),'Collapse 52 to 42'!$C$4:$C$55,'Collapse 52 to 42'!F$4:F$55)/SUMIFS('Collapse 52 to 42'!$C$4:$C$55,'Collapse 52 to 42'!$B$4:$B$55,$A8)</f>
        <v>1.2654387821285473E-2</v>
      </c>
      <c r="E8">
        <f>SUMPRODUCT(--('Collapse 52 to 42'!$B$4:$B$55=$A8),'Collapse 52 to 42'!$C$4:$C$55,'Collapse 52 to 42'!G$4:G$55)/SUMIFS('Collapse 52 to 42'!$C$4:$C$55,'Collapse 52 to 42'!$B$4:$B$55,$A8)</f>
        <v>2.656392830224541E-2</v>
      </c>
      <c r="F8">
        <f>SUMPRODUCT(--('Collapse 52 to 42'!$B$4:$B$55=$A8),'Collapse 52 to 42'!$C$4:$C$55,'Collapse 52 to 42'!H$4:H$55)/SUMIFS('Collapse 52 to 42'!$C$4:$C$55,'Collapse 52 to 42'!$B$4:$B$55,$A8)</f>
        <v>-3.1846538151567567E-3</v>
      </c>
      <c r="G8">
        <f>SUMPRODUCT(--('Collapse 52 to 42'!$B$4:$B$55=$A8),'Collapse 52 to 42'!$C$4:$C$55,'Collapse 52 to 42'!I$4:I$55)/SUMIFS('Collapse 52 to 42'!$C$4:$C$55,'Collapse 52 to 42'!$B$4:$B$55,$A8)</f>
        <v>-4.0904008192040209E-2</v>
      </c>
      <c r="H8">
        <f>SUMPRODUCT(--('Collapse 52 to 42'!$B$4:$B$55=$A8),'Collapse 52 to 42'!$C$4:$C$55,'Collapse 52 to 42'!J$4:J$55)/SUMIFS('Collapse 52 to 42'!$C$4:$C$55,'Collapse 52 to 42'!$B$4:$B$55,$A8)</f>
        <v>-5.7900733457865949E-2</v>
      </c>
      <c r="I8">
        <f>SUMPRODUCT(--('Collapse 52 to 42'!$B$4:$B$55=$A8),'Collapse 52 to 42'!$C$4:$C$55,'Collapse 52 to 42'!K$4:K$55)/SUMIFS('Collapse 52 to 42'!$C$4:$C$55,'Collapse 52 to 42'!$B$4:$B$55,$A8)</f>
        <v>-6.3132765890207887E-2</v>
      </c>
      <c r="J8">
        <f>SUMPRODUCT(--('Collapse 52 to 42'!$B$4:$B$55=$A8),'Collapse 52 to 42'!$C$4:$C$55,'Collapse 52 to 42'!L$4:L$55)/SUMIFS('Collapse 52 to 42'!$C$4:$C$55,'Collapse 52 to 42'!$B$4:$B$55,$A8)</f>
        <v>-6.5806679938972934E-2</v>
      </c>
      <c r="K8">
        <f>SUMPRODUCT(--('Collapse 52 to 42'!$B$4:$B$55=$A8),'Collapse 52 to 42'!$C$4:$C$55,'Collapse 52 to 42'!M$4:M$55)/SUMIFS('Collapse 52 to 42'!$C$4:$C$55,'Collapse 52 to 42'!$B$4:$B$55,$A8)</f>
        <v>-6.3367428723638874E-2</v>
      </c>
      <c r="L8">
        <f>SUMPRODUCT(--('Collapse 52 to 42'!$B$4:$B$55=$A8),'Collapse 52 to 42'!$C$4:$C$55,'Collapse 52 to 42'!N$4:N$55)/SUMIFS('Collapse 52 to 42'!$C$4:$C$55,'Collapse 52 to 42'!$B$4:$B$55,$A8)</f>
        <v>-5.6641366013443613E-2</v>
      </c>
      <c r="M8">
        <f>SUMPRODUCT(--('Collapse 52 to 42'!$B$4:$B$55=$A8),'Collapse 52 to 42'!$C$4:$C$55,'Collapse 52 to 42'!O$4:O$55)/SUMIFS('Collapse 52 to 42'!$C$4:$C$55,'Collapse 52 to 42'!$B$4:$B$55,$A8)</f>
        <v>-5.2575873377628042E-2</v>
      </c>
      <c r="N8">
        <f>SUMPRODUCT(--('Collapse 52 to 42'!$B$4:$B$55=$A8),'Collapse 52 to 42'!$C$4:$C$55,'Collapse 52 to 42'!P$4:P$55)/SUMIFS('Collapse 52 to 42'!$C$4:$C$55,'Collapse 52 to 42'!$B$4:$B$55,$A8)</f>
        <v>-5.3057433864993626E-2</v>
      </c>
      <c r="O8">
        <f>SUMPRODUCT(--('Collapse 52 to 42'!$B$4:$B$55=$A8),'Collapse 52 to 42'!$C$4:$C$55,'Collapse 52 to 42'!Q$4:Q$55)/SUMIFS('Collapse 52 to 42'!$C$4:$C$55,'Collapse 52 to 42'!$B$4:$B$55,$A8)</f>
        <v>-5.1832177168391842E-2</v>
      </c>
      <c r="P8">
        <f>SUMPRODUCT(--('Collapse 52 to 42'!$B$4:$B$55=$A8),'Collapse 52 to 42'!$C$4:$C$55,'Collapse 52 to 42'!R$4:R$55)/SUMIFS('Collapse 52 to 42'!$C$4:$C$55,'Collapse 52 to 42'!$B$4:$B$55,$A8)</f>
        <v>-4.994804893859961E-2</v>
      </c>
      <c r="Q8">
        <f>SUMPRODUCT(--('Collapse 52 to 42'!$B$4:$B$55=$A8),'Collapse 52 to 42'!$C$4:$C$55,'Collapse 52 to 42'!S$4:S$55)/SUMIFS('Collapse 52 to 42'!$C$4:$C$55,'Collapse 52 to 42'!$B$4:$B$55,$A8)</f>
        <v>-4.9046238577635022E-2</v>
      </c>
      <c r="R8">
        <f>SUMPRODUCT(--('Collapse 52 to 42'!$B$4:$B$55=$A8),'Collapse 52 to 42'!$C$4:$C$55,'Collapse 52 to 42'!T$4:T$55)/SUMIFS('Collapse 52 to 42'!$C$4:$C$55,'Collapse 52 to 42'!$B$4:$B$55,$A8)</f>
        <v>-4.5359991249629528E-2</v>
      </c>
      <c r="S8">
        <f>SUMPRODUCT(--('Collapse 52 to 42'!$B$4:$B$55=$A8),'Collapse 52 to 42'!$C$4:$C$55,'Collapse 52 to 42'!U$4:U$55)/SUMIFS('Collapse 52 to 42'!$C$4:$C$55,'Collapse 52 to 42'!$B$4:$B$55,$A8)</f>
        <v>-4.1915044614435515E-2</v>
      </c>
      <c r="T8">
        <f>SUMPRODUCT(--('Collapse 52 to 42'!$B$4:$B$55=$A8),'Collapse 52 to 42'!$C$4:$C$55,'Collapse 52 to 42'!V$4:V$55)/SUMIFS('Collapse 52 to 42'!$C$4:$C$55,'Collapse 52 to 42'!$B$4:$B$55,$A8)</f>
        <v>-3.9636620711862247E-2</v>
      </c>
      <c r="U8">
        <f>SUMPRODUCT(--('Collapse 52 to 42'!$B$4:$B$55=$A8),'Collapse 52 to 42'!$C$4:$C$55,'Collapse 52 to 42'!W$4:W$55)/SUMIFS('Collapse 52 to 42'!$C$4:$C$55,'Collapse 52 to 42'!$B$4:$B$55,$A8)</f>
        <v>-3.7474811541958086E-2</v>
      </c>
      <c r="V8">
        <f>SUMPRODUCT(--('Collapse 52 to 42'!$B$4:$B$55=$A8),'Collapse 52 to 42'!$C$4:$C$55,'Collapse 52 to 42'!X$4:X$55)/SUMIFS('Collapse 52 to 42'!$C$4:$C$55,'Collapse 52 to 42'!$B$4:$B$55,$A8)</f>
        <v>-3.4596949690316348E-2</v>
      </c>
      <c r="W8">
        <f>SUMPRODUCT(--('Collapse 52 to 42'!$B$4:$B$55=$A8),'Collapse 52 to 42'!$C$4:$C$55,'Collapse 52 to 42'!Y$4:Y$55)/SUMIFS('Collapse 52 to 42'!$C$4:$C$55,'Collapse 52 to 42'!$B$4:$B$55,$A8)</f>
        <v>-3.0983275153946947E-2</v>
      </c>
      <c r="X8">
        <f>SUMPRODUCT(--('Collapse 52 to 42'!$B$4:$B$55=$A8),'Collapse 52 to 42'!$C$4:$C$55,'Collapse 52 to 42'!Z$4:Z$55)/SUMIFS('Collapse 52 to 42'!$C$4:$C$55,'Collapse 52 to 42'!$B$4:$B$55,$A8)</f>
        <v>-2.9221324490135373E-2</v>
      </c>
      <c r="Y8">
        <f>SUMPRODUCT(--('Collapse 52 to 42'!$B$4:$B$55=$A8),'Collapse 52 to 42'!$C$4:$C$55,'Collapse 52 to 42'!AA$4:AA$55)/SUMIFS('Collapse 52 to 42'!$C$4:$C$55,'Collapse 52 to 42'!$B$4:$B$55,$A8)</f>
        <v>-3.10220784758799E-2</v>
      </c>
      <c r="Z8">
        <f>SUMPRODUCT(--('Collapse 52 to 42'!$B$4:$B$55=$A8),'Collapse 52 to 42'!$C$4:$C$55,'Collapse 52 to 42'!AB$4:AB$55)/SUMIFS('Collapse 52 to 42'!$C$4:$C$55,'Collapse 52 to 42'!$B$4:$B$55,$A8)</f>
        <v>-3.5712127130194671E-2</v>
      </c>
      <c r="AA8">
        <f>SUMPRODUCT(--('Collapse 52 to 42'!$B$4:$B$55=$A8),'Collapse 52 to 42'!$C$4:$C$55,'Collapse 52 to 42'!AC$4:AC$55)/SUMIFS('Collapse 52 to 42'!$C$4:$C$55,'Collapse 52 to 42'!$B$4:$B$55,$A8)</f>
        <v>-3.6963747561355231E-2</v>
      </c>
      <c r="AB8">
        <f>SUMPRODUCT(--('Collapse 52 to 42'!$B$4:$B$55=$A8),'Collapse 52 to 42'!$C$4:$C$55,'Collapse 52 to 42'!AD$4:AD$55)/SUMIFS('Collapse 52 to 42'!$C$4:$C$55,'Collapse 52 to 42'!$B$4:$B$55,$A8)</f>
        <v>-3.7902996131783939E-2</v>
      </c>
    </row>
    <row r="9" spans="1:28" x14ac:dyDescent="0.25">
      <c r="A9" t="s">
        <v>218</v>
      </c>
      <c r="B9">
        <f>SUMPRODUCT(--('Collapse 52 to 42'!$B$4:$B$55=$A9),'Collapse 52 to 42'!$C$4:$C$55,'Collapse 52 to 42'!D$4:D$55)/SUMIFS('Collapse 52 to 42'!$C$4:$C$55,'Collapse 52 to 42'!$B$4:$B$55,$A9)</f>
        <v>-0.17113395108248386</v>
      </c>
      <c r="C9">
        <f>SUMPRODUCT(--('Collapse 52 to 42'!$B$4:$B$55=$A9),'Collapse 52 to 42'!$C$4:$C$55,'Collapse 52 to 42'!E$4:E$55)/SUMIFS('Collapse 52 to 42'!$C$4:$C$55,'Collapse 52 to 42'!$B$4:$B$55,$A9)</f>
        <v>0</v>
      </c>
      <c r="D9">
        <f>SUMPRODUCT(--('Collapse 52 to 42'!$B$4:$B$55=$A9),'Collapse 52 to 42'!$C$4:$C$55,'Collapse 52 to 42'!F$4:F$55)/SUMIFS('Collapse 52 to 42'!$C$4:$C$55,'Collapse 52 to 42'!$B$4:$B$55,$A9)</f>
        <v>-0.16081253587386868</v>
      </c>
      <c r="E9">
        <f>SUMPRODUCT(--('Collapse 52 to 42'!$B$4:$B$55=$A9),'Collapse 52 to 42'!$C$4:$C$55,'Collapse 52 to 42'!G$4:G$55)/SUMIFS('Collapse 52 to 42'!$C$4:$C$55,'Collapse 52 to 42'!$B$4:$B$55,$A9)</f>
        <v>-0.21110208820555221</v>
      </c>
      <c r="F9">
        <f>SUMPRODUCT(--('Collapse 52 to 42'!$B$4:$B$55=$A9),'Collapse 52 to 42'!$C$4:$C$55,'Collapse 52 to 42'!H$4:H$55)/SUMIFS('Collapse 52 to 42'!$C$4:$C$55,'Collapse 52 to 42'!$B$4:$B$55,$A9)</f>
        <v>-0.17277935856440274</v>
      </c>
      <c r="G9">
        <f>SUMPRODUCT(--('Collapse 52 to 42'!$B$4:$B$55=$A9),'Collapse 52 to 42'!$C$4:$C$55,'Collapse 52 to 42'!I$4:I$55)/SUMIFS('Collapse 52 to 42'!$C$4:$C$55,'Collapse 52 to 42'!$B$4:$B$55,$A9)</f>
        <v>-0.10791282557023085</v>
      </c>
      <c r="H9">
        <f>SUMPRODUCT(--('Collapse 52 to 42'!$B$4:$B$55=$A9),'Collapse 52 to 42'!$C$4:$C$55,'Collapse 52 to 42'!J$4:J$55)/SUMIFS('Collapse 52 to 42'!$C$4:$C$55,'Collapse 52 to 42'!$B$4:$B$55,$A9)</f>
        <v>-9.8226112414843136E-2</v>
      </c>
      <c r="I9">
        <f>SUMPRODUCT(--('Collapse 52 to 42'!$B$4:$B$55=$A9),'Collapse 52 to 42'!$C$4:$C$55,'Collapse 52 to 42'!K$4:K$55)/SUMIFS('Collapse 52 to 42'!$C$4:$C$55,'Collapse 52 to 42'!$B$4:$B$55,$A9)</f>
        <v>-0.12113916396949544</v>
      </c>
      <c r="J9">
        <f>SUMPRODUCT(--('Collapse 52 to 42'!$B$4:$B$55=$A9),'Collapse 52 to 42'!$C$4:$C$55,'Collapse 52 to 42'!L$4:L$55)/SUMIFS('Collapse 52 to 42'!$C$4:$C$55,'Collapse 52 to 42'!$B$4:$B$55,$A9)</f>
        <v>-0.12384603282958184</v>
      </c>
      <c r="K9">
        <f>SUMPRODUCT(--('Collapse 52 to 42'!$B$4:$B$55=$A9),'Collapse 52 to 42'!$C$4:$C$55,'Collapse 52 to 42'!M$4:M$55)/SUMIFS('Collapse 52 to 42'!$C$4:$C$55,'Collapse 52 to 42'!$B$4:$B$55,$A9)</f>
        <v>-0.10382756123525072</v>
      </c>
      <c r="L9">
        <f>SUMPRODUCT(--('Collapse 52 to 42'!$B$4:$B$55=$A9),'Collapse 52 to 42'!$C$4:$C$55,'Collapse 52 to 42'!N$4:N$55)/SUMIFS('Collapse 52 to 42'!$C$4:$C$55,'Collapse 52 to 42'!$B$4:$B$55,$A9)</f>
        <v>-6.8890293853700602E-2</v>
      </c>
      <c r="M9">
        <f>SUMPRODUCT(--('Collapse 52 to 42'!$B$4:$B$55=$A9),'Collapse 52 to 42'!$C$4:$C$55,'Collapse 52 to 42'!O$4:O$55)/SUMIFS('Collapse 52 to 42'!$C$4:$C$55,'Collapse 52 to 42'!$B$4:$B$55,$A9)</f>
        <v>-4.1683706745566873E-2</v>
      </c>
      <c r="N9">
        <f>SUMPRODUCT(--('Collapse 52 to 42'!$B$4:$B$55=$A9),'Collapse 52 to 42'!$C$4:$C$55,'Collapse 52 to 42'!P$4:P$55)/SUMIFS('Collapse 52 to 42'!$C$4:$C$55,'Collapse 52 to 42'!$B$4:$B$55,$A9)</f>
        <v>-1.3668519918610733E-2</v>
      </c>
      <c r="O9">
        <f>SUMPRODUCT(--('Collapse 52 to 42'!$B$4:$B$55=$A9),'Collapse 52 to 42'!$C$4:$C$55,'Collapse 52 to 42'!Q$4:Q$55)/SUMIFS('Collapse 52 to 42'!$C$4:$C$55,'Collapse 52 to 42'!$B$4:$B$55,$A9)</f>
        <v>7.1044515831448773E-3</v>
      </c>
      <c r="P9">
        <f>SUMPRODUCT(--('Collapse 52 to 42'!$B$4:$B$55=$A9),'Collapse 52 to 42'!$C$4:$C$55,'Collapse 52 to 42'!R$4:R$55)/SUMIFS('Collapse 52 to 42'!$C$4:$C$55,'Collapse 52 to 42'!$B$4:$B$55,$A9)</f>
        <v>2.9549421428501255E-2</v>
      </c>
      <c r="Q9">
        <f>SUMPRODUCT(--('Collapse 52 to 42'!$B$4:$B$55=$A9),'Collapse 52 to 42'!$C$4:$C$55,'Collapse 52 to 42'!S$4:S$55)/SUMIFS('Collapse 52 to 42'!$C$4:$C$55,'Collapse 52 to 42'!$B$4:$B$55,$A9)</f>
        <v>4.6038560472327461E-2</v>
      </c>
      <c r="R9">
        <f>SUMPRODUCT(--('Collapse 52 to 42'!$B$4:$B$55=$A9),'Collapse 52 to 42'!$C$4:$C$55,'Collapse 52 to 42'!T$4:T$55)/SUMIFS('Collapse 52 to 42'!$C$4:$C$55,'Collapse 52 to 42'!$B$4:$B$55,$A9)</f>
        <v>5.1455507289206004E-2</v>
      </c>
      <c r="S9">
        <f>SUMPRODUCT(--('Collapse 52 to 42'!$B$4:$B$55=$A9),'Collapse 52 to 42'!$C$4:$C$55,'Collapse 52 to 42'!U$4:U$55)/SUMIFS('Collapse 52 to 42'!$C$4:$C$55,'Collapse 52 to 42'!$B$4:$B$55,$A9)</f>
        <v>3.2515266919608488E-2</v>
      </c>
      <c r="T9">
        <f>SUMPRODUCT(--('Collapse 52 to 42'!$B$4:$B$55=$A9),'Collapse 52 to 42'!$C$4:$C$55,'Collapse 52 to 42'!V$4:V$55)/SUMIFS('Collapse 52 to 42'!$C$4:$C$55,'Collapse 52 to 42'!$B$4:$B$55,$A9)</f>
        <v>2.1551687033930067E-2</v>
      </c>
      <c r="U9">
        <f>SUMPRODUCT(--('Collapse 52 to 42'!$B$4:$B$55=$A9),'Collapse 52 to 42'!$C$4:$C$55,'Collapse 52 to 42'!W$4:W$55)/SUMIFS('Collapse 52 to 42'!$C$4:$C$55,'Collapse 52 to 42'!$B$4:$B$55,$A9)</f>
        <v>1.2053485147245357E-3</v>
      </c>
      <c r="V9">
        <f>SUMPRODUCT(--('Collapse 52 to 42'!$B$4:$B$55=$A9),'Collapse 52 to 42'!$C$4:$C$55,'Collapse 52 to 42'!X$4:X$55)/SUMIFS('Collapse 52 to 42'!$C$4:$C$55,'Collapse 52 to 42'!$B$4:$B$55,$A9)</f>
        <v>-1.2188267208899206E-2</v>
      </c>
      <c r="W9">
        <f>SUMPRODUCT(--('Collapse 52 to 42'!$B$4:$B$55=$A9),'Collapse 52 to 42'!$C$4:$C$55,'Collapse 52 to 42'!Y$4:Y$55)/SUMIFS('Collapse 52 to 42'!$C$4:$C$55,'Collapse 52 to 42'!$B$4:$B$55,$A9)</f>
        <v>-5.9435671668744972E-3</v>
      </c>
      <c r="X9">
        <f>SUMPRODUCT(--('Collapse 52 to 42'!$B$4:$B$55=$A9),'Collapse 52 to 42'!$C$4:$C$55,'Collapse 52 to 42'!Z$4:Z$55)/SUMIFS('Collapse 52 to 42'!$C$4:$C$55,'Collapse 52 to 42'!$B$4:$B$55,$A9)</f>
        <v>2.4232470401397421E-5</v>
      </c>
      <c r="Y9">
        <f>SUMPRODUCT(--('Collapse 52 to 42'!$B$4:$B$55=$A9),'Collapse 52 to 42'!$C$4:$C$55,'Collapse 52 to 42'!AA$4:AA$55)/SUMIFS('Collapse 52 to 42'!$C$4:$C$55,'Collapse 52 to 42'!$B$4:$B$55,$A9)</f>
        <v>9.0170479514344315E-3</v>
      </c>
      <c r="Z9">
        <f>SUMPRODUCT(--('Collapse 52 to 42'!$B$4:$B$55=$A9),'Collapse 52 to 42'!$C$4:$C$55,'Collapse 52 to 42'!AB$4:AB$55)/SUMIFS('Collapse 52 to 42'!$C$4:$C$55,'Collapse 52 to 42'!$B$4:$B$55,$A9)</f>
        <v>1.7165736233576867E-2</v>
      </c>
      <c r="AA9">
        <f>SUMPRODUCT(--('Collapse 52 to 42'!$B$4:$B$55=$A9),'Collapse 52 to 42'!$C$4:$C$55,'Collapse 52 to 42'!AC$4:AC$55)/SUMIFS('Collapse 52 to 42'!$C$4:$C$55,'Collapse 52 to 42'!$B$4:$B$55,$A9)</f>
        <v>3.1138791849042228E-2</v>
      </c>
      <c r="AB9">
        <f>SUMPRODUCT(--('Collapse 52 to 42'!$B$4:$B$55=$A9),'Collapse 52 to 42'!$C$4:$C$55,'Collapse 52 to 42'!AD$4:AD$55)/SUMIFS('Collapse 52 to 42'!$C$4:$C$55,'Collapse 52 to 42'!$B$4:$B$55,$A9)</f>
        <v>4.2724810153291548E-2</v>
      </c>
    </row>
    <row r="10" spans="1:28" x14ac:dyDescent="0.25">
      <c r="A10" t="s">
        <v>227</v>
      </c>
      <c r="B10">
        <f>SUMPRODUCT(--('Collapse 52 to 42'!$B$4:$B$55=$A10),'Collapse 52 to 42'!$C$4:$C$55,'Collapse 52 to 42'!D$4:D$55)/SUMIFS('Collapse 52 to 42'!$C$4:$C$55,'Collapse 52 to 42'!$B$4:$B$55,$A10)</f>
        <v>5.2695474596345271E-2</v>
      </c>
      <c r="C10">
        <f>SUMPRODUCT(--('Collapse 52 to 42'!$B$4:$B$55=$A10),'Collapse 52 to 42'!$C$4:$C$55,'Collapse 52 to 42'!E$4:E$55)/SUMIFS('Collapse 52 to 42'!$C$4:$C$55,'Collapse 52 to 42'!$B$4:$B$55,$A10)</f>
        <v>0</v>
      </c>
      <c r="D10">
        <f>SUMPRODUCT(--('Collapse 52 to 42'!$B$4:$B$55=$A10),'Collapse 52 to 42'!$C$4:$C$55,'Collapse 52 to 42'!F$4:F$55)/SUMIFS('Collapse 52 to 42'!$C$4:$C$55,'Collapse 52 to 42'!$B$4:$B$55,$A10)</f>
        <v>-9.0657834221724576E-3</v>
      </c>
      <c r="E10">
        <f>SUMPRODUCT(--('Collapse 52 to 42'!$B$4:$B$55=$A10),'Collapse 52 to 42'!$C$4:$C$55,'Collapse 52 to 42'!G$4:G$55)/SUMIFS('Collapse 52 to 42'!$C$4:$C$55,'Collapse 52 to 42'!$B$4:$B$55,$A10)</f>
        <v>-7.7988883022116484E-3</v>
      </c>
      <c r="F10">
        <f>SUMPRODUCT(--('Collapse 52 to 42'!$B$4:$B$55=$A10),'Collapse 52 to 42'!$C$4:$C$55,'Collapse 52 to 42'!H$4:H$55)/SUMIFS('Collapse 52 to 42'!$C$4:$C$55,'Collapse 52 to 42'!$B$4:$B$55,$A10)</f>
        <v>-1.4935445660420377E-2</v>
      </c>
      <c r="G10">
        <f>SUMPRODUCT(--('Collapse 52 to 42'!$B$4:$B$55=$A10),'Collapse 52 to 42'!$C$4:$C$55,'Collapse 52 to 42'!I$4:I$55)/SUMIFS('Collapse 52 to 42'!$C$4:$C$55,'Collapse 52 to 42'!$B$4:$B$55,$A10)</f>
        <v>-2.1217432312968021E-2</v>
      </c>
      <c r="H10">
        <f>SUMPRODUCT(--('Collapse 52 to 42'!$B$4:$B$55=$A10),'Collapse 52 to 42'!$C$4:$C$55,'Collapse 52 to 42'!J$4:J$55)/SUMIFS('Collapse 52 to 42'!$C$4:$C$55,'Collapse 52 to 42'!$B$4:$B$55,$A10)</f>
        <v>-2.7350321713763063E-2</v>
      </c>
      <c r="I10">
        <f>SUMPRODUCT(--('Collapse 52 to 42'!$B$4:$B$55=$A10),'Collapse 52 to 42'!$C$4:$C$55,'Collapse 52 to 42'!K$4:K$55)/SUMIFS('Collapse 52 to 42'!$C$4:$C$55,'Collapse 52 to 42'!$B$4:$B$55,$A10)</f>
        <v>-2.9678817528389412E-2</v>
      </c>
      <c r="J10">
        <f>SUMPRODUCT(--('Collapse 52 to 42'!$B$4:$B$55=$A10),'Collapse 52 to 42'!$C$4:$C$55,'Collapse 52 to 42'!L$4:L$55)/SUMIFS('Collapse 52 to 42'!$C$4:$C$55,'Collapse 52 to 42'!$B$4:$B$55,$A10)</f>
        <v>-3.260892800906412E-2</v>
      </c>
      <c r="K10">
        <f>SUMPRODUCT(--('Collapse 52 to 42'!$B$4:$B$55=$A10),'Collapse 52 to 42'!$C$4:$C$55,'Collapse 52 to 42'!M$4:M$55)/SUMIFS('Collapse 52 to 42'!$C$4:$C$55,'Collapse 52 to 42'!$B$4:$B$55,$A10)</f>
        <v>-3.657406040137301E-2</v>
      </c>
      <c r="L10">
        <f>SUMPRODUCT(--('Collapse 52 to 42'!$B$4:$B$55=$A10),'Collapse 52 to 42'!$C$4:$C$55,'Collapse 52 to 42'!N$4:N$55)/SUMIFS('Collapse 52 to 42'!$C$4:$C$55,'Collapse 52 to 42'!$B$4:$B$55,$A10)</f>
        <v>-3.986222810758544E-2</v>
      </c>
      <c r="M10">
        <f>SUMPRODUCT(--('Collapse 52 to 42'!$B$4:$B$55=$A10),'Collapse 52 to 42'!$C$4:$C$55,'Collapse 52 to 42'!O$4:O$55)/SUMIFS('Collapse 52 to 42'!$C$4:$C$55,'Collapse 52 to 42'!$B$4:$B$55,$A10)</f>
        <v>-4.3166565956551994E-2</v>
      </c>
      <c r="N10">
        <f>SUMPRODUCT(--('Collapse 52 to 42'!$B$4:$B$55=$A10),'Collapse 52 to 42'!$C$4:$C$55,'Collapse 52 to 42'!P$4:P$55)/SUMIFS('Collapse 52 to 42'!$C$4:$C$55,'Collapse 52 to 42'!$B$4:$B$55,$A10)</f>
        <v>-4.621834135002556E-2</v>
      </c>
      <c r="O10">
        <f>SUMPRODUCT(--('Collapse 52 to 42'!$B$4:$B$55=$A10),'Collapse 52 to 42'!$C$4:$C$55,'Collapse 52 to 42'!Q$4:Q$55)/SUMIFS('Collapse 52 to 42'!$C$4:$C$55,'Collapse 52 to 42'!$B$4:$B$55,$A10)</f>
        <v>-4.9206081081401565E-2</v>
      </c>
      <c r="P10">
        <f>SUMPRODUCT(--('Collapse 52 to 42'!$B$4:$B$55=$A10),'Collapse 52 to 42'!$C$4:$C$55,'Collapse 52 to 42'!R$4:R$55)/SUMIFS('Collapse 52 to 42'!$C$4:$C$55,'Collapse 52 to 42'!$B$4:$B$55,$A10)</f>
        <v>-4.8952887942921408E-2</v>
      </c>
      <c r="Q10">
        <f>SUMPRODUCT(--('Collapse 52 to 42'!$B$4:$B$55=$A10),'Collapse 52 to 42'!$C$4:$C$55,'Collapse 52 to 42'!S$4:S$55)/SUMIFS('Collapse 52 to 42'!$C$4:$C$55,'Collapse 52 to 42'!$B$4:$B$55,$A10)</f>
        <v>-4.5766506780467897E-2</v>
      </c>
      <c r="R10">
        <f>SUMPRODUCT(--('Collapse 52 to 42'!$B$4:$B$55=$A10),'Collapse 52 to 42'!$C$4:$C$55,'Collapse 52 to 42'!T$4:T$55)/SUMIFS('Collapse 52 to 42'!$C$4:$C$55,'Collapse 52 to 42'!$B$4:$B$55,$A10)</f>
        <v>-4.0522738132286573E-2</v>
      </c>
      <c r="S10">
        <f>SUMPRODUCT(--('Collapse 52 to 42'!$B$4:$B$55=$A10),'Collapse 52 to 42'!$C$4:$C$55,'Collapse 52 to 42'!U$4:U$55)/SUMIFS('Collapse 52 to 42'!$C$4:$C$55,'Collapse 52 to 42'!$B$4:$B$55,$A10)</f>
        <v>-3.6523899764993151E-2</v>
      </c>
      <c r="T10">
        <f>SUMPRODUCT(--('Collapse 52 to 42'!$B$4:$B$55=$A10),'Collapse 52 to 42'!$C$4:$C$55,'Collapse 52 to 42'!V$4:V$55)/SUMIFS('Collapse 52 to 42'!$C$4:$C$55,'Collapse 52 to 42'!$B$4:$B$55,$A10)</f>
        <v>-3.1291976576225067E-2</v>
      </c>
      <c r="U10">
        <f>SUMPRODUCT(--('Collapse 52 to 42'!$B$4:$B$55=$A10),'Collapse 52 to 42'!$C$4:$C$55,'Collapse 52 to 42'!W$4:W$55)/SUMIFS('Collapse 52 to 42'!$C$4:$C$55,'Collapse 52 to 42'!$B$4:$B$55,$A10)</f>
        <v>-2.5665127288044154E-2</v>
      </c>
      <c r="V10">
        <f>SUMPRODUCT(--('Collapse 52 to 42'!$B$4:$B$55=$A10),'Collapse 52 to 42'!$C$4:$C$55,'Collapse 52 to 42'!X$4:X$55)/SUMIFS('Collapse 52 to 42'!$C$4:$C$55,'Collapse 52 to 42'!$B$4:$B$55,$A10)</f>
        <v>-1.9805096005788836E-2</v>
      </c>
      <c r="W10">
        <f>SUMPRODUCT(--('Collapse 52 to 42'!$B$4:$B$55=$A10),'Collapse 52 to 42'!$C$4:$C$55,'Collapse 52 to 42'!Y$4:Y$55)/SUMIFS('Collapse 52 to 42'!$C$4:$C$55,'Collapse 52 to 42'!$B$4:$B$55,$A10)</f>
        <v>-1.3263116219245032E-2</v>
      </c>
      <c r="X10">
        <f>SUMPRODUCT(--('Collapse 52 to 42'!$B$4:$B$55=$A10),'Collapse 52 to 42'!$C$4:$C$55,'Collapse 52 to 42'!Z$4:Z$55)/SUMIFS('Collapse 52 to 42'!$C$4:$C$55,'Collapse 52 to 42'!$B$4:$B$55,$A10)</f>
        <v>-7.5379894505419598E-3</v>
      </c>
      <c r="Y10">
        <f>SUMPRODUCT(--('Collapse 52 to 42'!$B$4:$B$55=$A10),'Collapse 52 to 42'!$C$4:$C$55,'Collapse 52 to 42'!AA$4:AA$55)/SUMIFS('Collapse 52 to 42'!$C$4:$C$55,'Collapse 52 to 42'!$B$4:$B$55,$A10)</f>
        <v>-6.0005455550105058E-4</v>
      </c>
      <c r="Z10">
        <f>SUMPRODUCT(--('Collapse 52 to 42'!$B$4:$B$55=$A10),'Collapse 52 to 42'!$C$4:$C$55,'Collapse 52 to 42'!AB$4:AB$55)/SUMIFS('Collapse 52 to 42'!$C$4:$C$55,'Collapse 52 to 42'!$B$4:$B$55,$A10)</f>
        <v>6.2948990568643115E-3</v>
      </c>
      <c r="AA10">
        <f>SUMPRODUCT(--('Collapse 52 to 42'!$B$4:$B$55=$A10),'Collapse 52 to 42'!$C$4:$C$55,'Collapse 52 to 42'!AC$4:AC$55)/SUMIFS('Collapse 52 to 42'!$C$4:$C$55,'Collapse 52 to 42'!$B$4:$B$55,$A10)</f>
        <v>1.4218169424894624E-2</v>
      </c>
      <c r="AB10">
        <f>SUMPRODUCT(--('Collapse 52 to 42'!$B$4:$B$55=$A10),'Collapse 52 to 42'!$C$4:$C$55,'Collapse 52 to 42'!AD$4:AD$55)/SUMIFS('Collapse 52 to 42'!$C$4:$C$55,'Collapse 52 to 42'!$B$4:$B$55,$A10)</f>
        <v>2.0442000467255413E-2</v>
      </c>
    </row>
    <row r="11" spans="1:28" x14ac:dyDescent="0.25">
      <c r="A11" t="s">
        <v>236</v>
      </c>
      <c r="B11">
        <f>SUMPRODUCT(--('Collapse 52 to 42'!$B$4:$B$55=$A11),'Collapse 52 to 42'!$C$4:$C$55,'Collapse 52 to 42'!D$4:D$55)/SUMIFS('Collapse 52 to 42'!$C$4:$C$55,'Collapse 52 to 42'!$B$4:$B$55,$A11)</f>
        <v>-9.2710385570315967E-4</v>
      </c>
      <c r="C11">
        <f>SUMPRODUCT(--('Collapse 52 to 42'!$B$4:$B$55=$A11),'Collapse 52 to 42'!$C$4:$C$55,'Collapse 52 to 42'!E$4:E$55)/SUMIFS('Collapse 52 to 42'!$C$4:$C$55,'Collapse 52 to 42'!$B$4:$B$55,$A11)</f>
        <v>0</v>
      </c>
      <c r="D11">
        <f>SUMPRODUCT(--('Collapse 52 to 42'!$B$4:$B$55=$A11),'Collapse 52 to 42'!$C$4:$C$55,'Collapse 52 to 42'!F$4:F$55)/SUMIFS('Collapse 52 to 42'!$C$4:$C$55,'Collapse 52 to 42'!$B$4:$B$55,$A11)</f>
        <v>3.8698790057807297E-3</v>
      </c>
      <c r="E11">
        <f>SUMPRODUCT(--('Collapse 52 to 42'!$B$4:$B$55=$A11),'Collapse 52 to 42'!$C$4:$C$55,'Collapse 52 to 42'!G$4:G$55)/SUMIFS('Collapse 52 to 42'!$C$4:$C$55,'Collapse 52 to 42'!$B$4:$B$55,$A11)</f>
        <v>1.9724882425629087E-3</v>
      </c>
      <c r="F11">
        <f>SUMPRODUCT(--('Collapse 52 to 42'!$B$4:$B$55=$A11),'Collapse 52 to 42'!$C$4:$C$55,'Collapse 52 to 42'!H$4:H$55)/SUMIFS('Collapse 52 to 42'!$C$4:$C$55,'Collapse 52 to 42'!$B$4:$B$55,$A11)</f>
        <v>-1.4919552674143022E-3</v>
      </c>
      <c r="G11">
        <f>SUMPRODUCT(--('Collapse 52 to 42'!$B$4:$B$55=$A11),'Collapse 52 to 42'!$C$4:$C$55,'Collapse 52 to 42'!I$4:I$55)/SUMIFS('Collapse 52 to 42'!$C$4:$C$55,'Collapse 52 to 42'!$B$4:$B$55,$A11)</f>
        <v>-1.0717677893703479E-2</v>
      </c>
      <c r="H11">
        <f>SUMPRODUCT(--('Collapse 52 to 42'!$B$4:$B$55=$A11),'Collapse 52 to 42'!$C$4:$C$55,'Collapse 52 to 42'!J$4:J$55)/SUMIFS('Collapse 52 to 42'!$C$4:$C$55,'Collapse 52 to 42'!$B$4:$B$55,$A11)</f>
        <v>-1.6176200526605067E-2</v>
      </c>
      <c r="I11">
        <f>SUMPRODUCT(--('Collapse 52 to 42'!$B$4:$B$55=$A11),'Collapse 52 to 42'!$C$4:$C$55,'Collapse 52 to 42'!K$4:K$55)/SUMIFS('Collapse 52 to 42'!$C$4:$C$55,'Collapse 52 to 42'!$B$4:$B$55,$A11)</f>
        <v>-2.2685781882262224E-2</v>
      </c>
      <c r="J11">
        <f>SUMPRODUCT(--('Collapse 52 to 42'!$B$4:$B$55=$A11),'Collapse 52 to 42'!$C$4:$C$55,'Collapse 52 to 42'!L$4:L$55)/SUMIFS('Collapse 52 to 42'!$C$4:$C$55,'Collapse 52 to 42'!$B$4:$B$55,$A11)</f>
        <v>-2.5230686026642024E-2</v>
      </c>
      <c r="K11">
        <f>SUMPRODUCT(--('Collapse 52 to 42'!$B$4:$B$55=$A11),'Collapse 52 to 42'!$C$4:$C$55,'Collapse 52 to 42'!M$4:M$55)/SUMIFS('Collapse 52 to 42'!$C$4:$C$55,'Collapse 52 to 42'!$B$4:$B$55,$A11)</f>
        <v>-2.7226579129528306E-2</v>
      </c>
      <c r="L11">
        <f>SUMPRODUCT(--('Collapse 52 to 42'!$B$4:$B$55=$A11),'Collapse 52 to 42'!$C$4:$C$55,'Collapse 52 to 42'!N$4:N$55)/SUMIFS('Collapse 52 to 42'!$C$4:$C$55,'Collapse 52 to 42'!$B$4:$B$55,$A11)</f>
        <v>-2.6506803500335407E-2</v>
      </c>
      <c r="M11">
        <f>SUMPRODUCT(--('Collapse 52 to 42'!$B$4:$B$55=$A11),'Collapse 52 to 42'!$C$4:$C$55,'Collapse 52 to 42'!O$4:O$55)/SUMIFS('Collapse 52 to 42'!$C$4:$C$55,'Collapse 52 to 42'!$B$4:$B$55,$A11)</f>
        <v>-2.507639186056343E-2</v>
      </c>
      <c r="N11">
        <f>SUMPRODUCT(--('Collapse 52 to 42'!$B$4:$B$55=$A11),'Collapse 52 to 42'!$C$4:$C$55,'Collapse 52 to 42'!P$4:P$55)/SUMIFS('Collapse 52 to 42'!$C$4:$C$55,'Collapse 52 to 42'!$B$4:$B$55,$A11)</f>
        <v>-2.8554152952967593E-2</v>
      </c>
      <c r="O11">
        <f>SUMPRODUCT(--('Collapse 52 to 42'!$B$4:$B$55=$A11),'Collapse 52 to 42'!$C$4:$C$55,'Collapse 52 to 42'!Q$4:Q$55)/SUMIFS('Collapse 52 to 42'!$C$4:$C$55,'Collapse 52 to 42'!$B$4:$B$55,$A11)</f>
        <v>-3.6213689153176465E-2</v>
      </c>
      <c r="P11">
        <f>SUMPRODUCT(--('Collapse 52 to 42'!$B$4:$B$55=$A11),'Collapse 52 to 42'!$C$4:$C$55,'Collapse 52 to 42'!R$4:R$55)/SUMIFS('Collapse 52 to 42'!$C$4:$C$55,'Collapse 52 to 42'!$B$4:$B$55,$A11)</f>
        <v>-4.3602620857874141E-2</v>
      </c>
      <c r="Q11">
        <f>SUMPRODUCT(--('Collapse 52 to 42'!$B$4:$B$55=$A11),'Collapse 52 to 42'!$C$4:$C$55,'Collapse 52 to 42'!S$4:S$55)/SUMIFS('Collapse 52 to 42'!$C$4:$C$55,'Collapse 52 to 42'!$B$4:$B$55,$A11)</f>
        <v>-4.7418440678604019E-2</v>
      </c>
      <c r="R11">
        <f>SUMPRODUCT(--('Collapse 52 to 42'!$B$4:$B$55=$A11),'Collapse 52 to 42'!$C$4:$C$55,'Collapse 52 to 42'!T$4:T$55)/SUMIFS('Collapse 52 to 42'!$C$4:$C$55,'Collapse 52 to 42'!$B$4:$B$55,$A11)</f>
        <v>-4.8848063463033047E-2</v>
      </c>
      <c r="S11">
        <f>SUMPRODUCT(--('Collapse 52 to 42'!$B$4:$B$55=$A11),'Collapse 52 to 42'!$C$4:$C$55,'Collapse 52 to 42'!U$4:U$55)/SUMIFS('Collapse 52 to 42'!$C$4:$C$55,'Collapse 52 to 42'!$B$4:$B$55,$A11)</f>
        <v>-4.7439007725434967E-2</v>
      </c>
      <c r="T11">
        <f>SUMPRODUCT(--('Collapse 52 to 42'!$B$4:$B$55=$A11),'Collapse 52 to 42'!$C$4:$C$55,'Collapse 52 to 42'!V$4:V$55)/SUMIFS('Collapse 52 to 42'!$C$4:$C$55,'Collapse 52 to 42'!$B$4:$B$55,$A11)</f>
        <v>-4.9100228626288045E-2</v>
      </c>
      <c r="U11">
        <f>SUMPRODUCT(--('Collapse 52 to 42'!$B$4:$B$55=$A11),'Collapse 52 to 42'!$C$4:$C$55,'Collapse 52 to 42'!W$4:W$55)/SUMIFS('Collapse 52 to 42'!$C$4:$C$55,'Collapse 52 to 42'!$B$4:$B$55,$A11)</f>
        <v>-5.4060724028889617E-2</v>
      </c>
      <c r="V11">
        <f>SUMPRODUCT(--('Collapse 52 to 42'!$B$4:$B$55=$A11),'Collapse 52 to 42'!$C$4:$C$55,'Collapse 52 to 42'!X$4:X$55)/SUMIFS('Collapse 52 to 42'!$C$4:$C$55,'Collapse 52 to 42'!$B$4:$B$55,$A11)</f>
        <v>-5.9500177278131616E-2</v>
      </c>
      <c r="W11">
        <f>SUMPRODUCT(--('Collapse 52 to 42'!$B$4:$B$55=$A11),'Collapse 52 to 42'!$C$4:$C$55,'Collapse 52 to 42'!Y$4:Y$55)/SUMIFS('Collapse 52 to 42'!$C$4:$C$55,'Collapse 52 to 42'!$B$4:$B$55,$A11)</f>
        <v>-6.4385496444962276E-2</v>
      </c>
      <c r="X11">
        <f>SUMPRODUCT(--('Collapse 52 to 42'!$B$4:$B$55=$A11),'Collapse 52 to 42'!$C$4:$C$55,'Collapse 52 to 42'!Z$4:Z$55)/SUMIFS('Collapse 52 to 42'!$C$4:$C$55,'Collapse 52 to 42'!$B$4:$B$55,$A11)</f>
        <v>-6.3737429186644379E-2</v>
      </c>
      <c r="Y11">
        <f>SUMPRODUCT(--('Collapse 52 to 42'!$B$4:$B$55=$A11),'Collapse 52 to 42'!$C$4:$C$55,'Collapse 52 to 42'!AA$4:AA$55)/SUMIFS('Collapse 52 to 42'!$C$4:$C$55,'Collapse 52 to 42'!$B$4:$B$55,$A11)</f>
        <v>-6.205233217800421E-2</v>
      </c>
      <c r="Z11">
        <f>SUMPRODUCT(--('Collapse 52 to 42'!$B$4:$B$55=$A11),'Collapse 52 to 42'!$C$4:$C$55,'Collapse 52 to 42'!AB$4:AB$55)/SUMIFS('Collapse 52 to 42'!$C$4:$C$55,'Collapse 52 to 42'!$B$4:$B$55,$A11)</f>
        <v>-6.5486042606828776E-2</v>
      </c>
      <c r="AA11">
        <f>SUMPRODUCT(--('Collapse 52 to 42'!$B$4:$B$55=$A11),'Collapse 52 to 42'!$C$4:$C$55,'Collapse 52 to 42'!AC$4:AC$55)/SUMIFS('Collapse 52 to 42'!$C$4:$C$55,'Collapse 52 to 42'!$B$4:$B$55,$A11)</f>
        <v>-6.7601633856529175E-2</v>
      </c>
      <c r="AB11">
        <f>SUMPRODUCT(--('Collapse 52 to 42'!$B$4:$B$55=$A11),'Collapse 52 to 42'!$C$4:$C$55,'Collapse 52 to 42'!AD$4:AD$55)/SUMIFS('Collapse 52 to 42'!$C$4:$C$55,'Collapse 52 to 42'!$B$4:$B$55,$A11)</f>
        <v>-6.8020859473312045E-2</v>
      </c>
    </row>
    <row r="12" spans="1:28" x14ac:dyDescent="0.25">
      <c r="A12" t="s">
        <v>241</v>
      </c>
      <c r="B12">
        <f>SUMPRODUCT(--('Collapse 52 to 42'!$B$4:$B$55=$A12),'Collapse 52 to 42'!$C$4:$C$55,'Collapse 52 to 42'!D$4:D$55)/SUMIFS('Collapse 52 to 42'!$C$4:$C$55,'Collapse 52 to 42'!$B$4:$B$55,$A12)</f>
        <v>-6.6883514247917608E-2</v>
      </c>
      <c r="C12">
        <f>SUMPRODUCT(--('Collapse 52 to 42'!$B$4:$B$55=$A12),'Collapse 52 to 42'!$C$4:$C$55,'Collapse 52 to 42'!E$4:E$55)/SUMIFS('Collapse 52 to 42'!$C$4:$C$55,'Collapse 52 to 42'!$B$4:$B$55,$A12)</f>
        <v>0</v>
      </c>
      <c r="D12">
        <f>SUMPRODUCT(--('Collapse 52 to 42'!$B$4:$B$55=$A12),'Collapse 52 to 42'!$C$4:$C$55,'Collapse 52 to 42'!F$4:F$55)/SUMIFS('Collapse 52 to 42'!$C$4:$C$55,'Collapse 52 to 42'!$B$4:$B$55,$A12)</f>
        <v>-1.3322752034657603E-2</v>
      </c>
      <c r="E12">
        <f>SUMPRODUCT(--('Collapse 52 to 42'!$B$4:$B$55=$A12),'Collapse 52 to 42'!$C$4:$C$55,'Collapse 52 to 42'!G$4:G$55)/SUMIFS('Collapse 52 to 42'!$C$4:$C$55,'Collapse 52 to 42'!$B$4:$B$55,$A12)</f>
        <v>-2.4823846072699607E-2</v>
      </c>
      <c r="F12">
        <f>SUMPRODUCT(--('Collapse 52 to 42'!$B$4:$B$55=$A12),'Collapse 52 to 42'!$C$4:$C$55,'Collapse 52 to 42'!H$4:H$55)/SUMIFS('Collapse 52 to 42'!$C$4:$C$55,'Collapse 52 to 42'!$B$4:$B$55,$A12)</f>
        <v>-2.8708445139642658E-2</v>
      </c>
      <c r="G12">
        <f>SUMPRODUCT(--('Collapse 52 to 42'!$B$4:$B$55=$A12),'Collapse 52 to 42'!$C$4:$C$55,'Collapse 52 to 42'!I$4:I$55)/SUMIFS('Collapse 52 to 42'!$C$4:$C$55,'Collapse 52 to 42'!$B$4:$B$55,$A12)</f>
        <v>-3.6924408234113582E-2</v>
      </c>
      <c r="H12">
        <f>SUMPRODUCT(--('Collapse 52 to 42'!$B$4:$B$55=$A12),'Collapse 52 to 42'!$C$4:$C$55,'Collapse 52 to 42'!J$4:J$55)/SUMIFS('Collapse 52 to 42'!$C$4:$C$55,'Collapse 52 to 42'!$B$4:$B$55,$A12)</f>
        <v>-3.726814996579008E-2</v>
      </c>
      <c r="I12">
        <f>SUMPRODUCT(--('Collapse 52 to 42'!$B$4:$B$55=$A12),'Collapse 52 to 42'!$C$4:$C$55,'Collapse 52 to 42'!K$4:K$55)/SUMIFS('Collapse 52 to 42'!$C$4:$C$55,'Collapse 52 to 42'!$B$4:$B$55,$A12)</f>
        <v>-3.2829674476822168E-2</v>
      </c>
      <c r="J12">
        <f>SUMPRODUCT(--('Collapse 52 to 42'!$B$4:$B$55=$A12),'Collapse 52 to 42'!$C$4:$C$55,'Collapse 52 to 42'!L$4:L$55)/SUMIFS('Collapse 52 to 42'!$C$4:$C$55,'Collapse 52 to 42'!$B$4:$B$55,$A12)</f>
        <v>-2.7151110253003985E-2</v>
      </c>
      <c r="K12">
        <f>SUMPRODUCT(--('Collapse 52 to 42'!$B$4:$B$55=$A12),'Collapse 52 to 42'!$C$4:$C$55,'Collapse 52 to 42'!M$4:M$55)/SUMIFS('Collapse 52 to 42'!$C$4:$C$55,'Collapse 52 to 42'!$B$4:$B$55,$A12)</f>
        <v>-1.6487948020957433E-2</v>
      </c>
      <c r="L12">
        <f>SUMPRODUCT(--('Collapse 52 to 42'!$B$4:$B$55=$A12),'Collapse 52 to 42'!$C$4:$C$55,'Collapse 52 to 42'!N$4:N$55)/SUMIFS('Collapse 52 to 42'!$C$4:$C$55,'Collapse 52 to 42'!$B$4:$B$55,$A12)</f>
        <v>-5.7209151263178937E-3</v>
      </c>
      <c r="M12">
        <f>SUMPRODUCT(--('Collapse 52 to 42'!$B$4:$B$55=$A12),'Collapse 52 to 42'!$C$4:$C$55,'Collapse 52 to 42'!O$4:O$55)/SUMIFS('Collapse 52 to 42'!$C$4:$C$55,'Collapse 52 to 42'!$B$4:$B$55,$A12)</f>
        <v>5.8600893682325692E-3</v>
      </c>
      <c r="N12">
        <f>SUMPRODUCT(--('Collapse 52 to 42'!$B$4:$B$55=$A12),'Collapse 52 to 42'!$C$4:$C$55,'Collapse 52 to 42'!P$4:P$55)/SUMIFS('Collapse 52 to 42'!$C$4:$C$55,'Collapse 52 to 42'!$B$4:$B$55,$A12)</f>
        <v>1.7901387744241326E-2</v>
      </c>
      <c r="O12">
        <f>SUMPRODUCT(--('Collapse 52 to 42'!$B$4:$B$55=$A12),'Collapse 52 to 42'!$C$4:$C$55,'Collapse 52 to 42'!Q$4:Q$55)/SUMIFS('Collapse 52 to 42'!$C$4:$C$55,'Collapse 52 to 42'!$B$4:$B$55,$A12)</f>
        <v>3.1184608267487368E-2</v>
      </c>
      <c r="P12">
        <f>SUMPRODUCT(--('Collapse 52 to 42'!$B$4:$B$55=$A12),'Collapse 52 to 42'!$C$4:$C$55,'Collapse 52 to 42'!R$4:R$55)/SUMIFS('Collapse 52 to 42'!$C$4:$C$55,'Collapse 52 to 42'!$B$4:$B$55,$A12)</f>
        <v>4.4594882652775558E-2</v>
      </c>
      <c r="Q12">
        <f>SUMPRODUCT(--('Collapse 52 to 42'!$B$4:$B$55=$A12),'Collapse 52 to 42'!$C$4:$C$55,'Collapse 52 to 42'!S$4:S$55)/SUMIFS('Collapse 52 to 42'!$C$4:$C$55,'Collapse 52 to 42'!$B$4:$B$55,$A12)</f>
        <v>6.0270197187774377E-2</v>
      </c>
      <c r="R12">
        <f>SUMPRODUCT(--('Collapse 52 to 42'!$B$4:$B$55=$A12),'Collapse 52 to 42'!$C$4:$C$55,'Collapse 52 to 42'!T$4:T$55)/SUMIFS('Collapse 52 to 42'!$C$4:$C$55,'Collapse 52 to 42'!$B$4:$B$55,$A12)</f>
        <v>7.6967785755187368E-2</v>
      </c>
      <c r="S12">
        <f>SUMPRODUCT(--('Collapse 52 to 42'!$B$4:$B$55=$A12),'Collapse 52 to 42'!$C$4:$C$55,'Collapse 52 to 42'!U$4:U$55)/SUMIFS('Collapse 52 to 42'!$C$4:$C$55,'Collapse 52 to 42'!$B$4:$B$55,$A12)</f>
        <v>9.5663344707379139E-2</v>
      </c>
      <c r="T12">
        <f>SUMPRODUCT(--('Collapse 52 to 42'!$B$4:$B$55=$A12),'Collapse 52 to 42'!$C$4:$C$55,'Collapse 52 to 42'!V$4:V$55)/SUMIFS('Collapse 52 to 42'!$C$4:$C$55,'Collapse 52 to 42'!$B$4:$B$55,$A12)</f>
        <v>0.11724046451511727</v>
      </c>
      <c r="U12">
        <f>SUMPRODUCT(--('Collapse 52 to 42'!$B$4:$B$55=$A12),'Collapse 52 to 42'!$C$4:$C$55,'Collapse 52 to 42'!W$4:W$55)/SUMIFS('Collapse 52 to 42'!$C$4:$C$55,'Collapse 52 to 42'!$B$4:$B$55,$A12)</f>
        <v>0.13804124385854477</v>
      </c>
      <c r="V12">
        <f>SUMPRODUCT(--('Collapse 52 to 42'!$B$4:$B$55=$A12),'Collapse 52 to 42'!$C$4:$C$55,'Collapse 52 to 42'!X$4:X$55)/SUMIFS('Collapse 52 to 42'!$C$4:$C$55,'Collapse 52 to 42'!$B$4:$B$55,$A12)</f>
        <v>0.15960102937561893</v>
      </c>
      <c r="W12">
        <f>SUMPRODUCT(--('Collapse 52 to 42'!$B$4:$B$55=$A12),'Collapse 52 to 42'!$C$4:$C$55,'Collapse 52 to 42'!Y$4:Y$55)/SUMIFS('Collapse 52 to 42'!$C$4:$C$55,'Collapse 52 to 42'!$B$4:$B$55,$A12)</f>
        <v>0.18317872652353229</v>
      </c>
      <c r="X12">
        <f>SUMPRODUCT(--('Collapse 52 to 42'!$B$4:$B$55=$A12),'Collapse 52 to 42'!$C$4:$C$55,'Collapse 52 to 42'!Z$4:Z$55)/SUMIFS('Collapse 52 to 42'!$C$4:$C$55,'Collapse 52 to 42'!$B$4:$B$55,$A12)</f>
        <v>0.20872606390940729</v>
      </c>
      <c r="Y12">
        <f>SUMPRODUCT(--('Collapse 52 to 42'!$B$4:$B$55=$A12),'Collapse 52 to 42'!$C$4:$C$55,'Collapse 52 to 42'!AA$4:AA$55)/SUMIFS('Collapse 52 to 42'!$C$4:$C$55,'Collapse 52 to 42'!$B$4:$B$55,$A12)</f>
        <v>0.2354290722424166</v>
      </c>
      <c r="Z12">
        <f>SUMPRODUCT(--('Collapse 52 to 42'!$B$4:$B$55=$A12),'Collapse 52 to 42'!$C$4:$C$55,'Collapse 52 to 42'!AB$4:AB$55)/SUMIFS('Collapse 52 to 42'!$C$4:$C$55,'Collapse 52 to 42'!$B$4:$B$55,$A12)</f>
        <v>0.25965035024699712</v>
      </c>
      <c r="AA12">
        <f>SUMPRODUCT(--('Collapse 52 to 42'!$B$4:$B$55=$A12),'Collapse 52 to 42'!$C$4:$C$55,'Collapse 52 to 42'!AC$4:AC$55)/SUMIFS('Collapse 52 to 42'!$C$4:$C$55,'Collapse 52 to 42'!$B$4:$B$55,$A12)</f>
        <v>0.28288930829287606</v>
      </c>
      <c r="AB12">
        <f>SUMPRODUCT(--('Collapse 52 to 42'!$B$4:$B$55=$A12),'Collapse 52 to 42'!$C$4:$C$55,'Collapse 52 to 42'!AD$4:AD$55)/SUMIFS('Collapse 52 to 42'!$C$4:$C$55,'Collapse 52 to 42'!$B$4:$B$55,$A12)</f>
        <v>0.30882534642286585</v>
      </c>
    </row>
    <row r="13" spans="1:28" x14ac:dyDescent="0.25">
      <c r="A13" t="s">
        <v>246</v>
      </c>
      <c r="B13">
        <f>SUMPRODUCT(--('Collapse 52 to 42'!$B$4:$B$55=$A13),'Collapse 52 to 42'!$C$4:$C$55,'Collapse 52 to 42'!D$4:D$55)/SUMIFS('Collapse 52 to 42'!$C$4:$C$55,'Collapse 52 to 42'!$B$4:$B$55,$A13)</f>
        <v>-2.1489137681160675E-2</v>
      </c>
      <c r="C13">
        <f>SUMPRODUCT(--('Collapse 52 to 42'!$B$4:$B$55=$A13),'Collapse 52 to 42'!$C$4:$C$55,'Collapse 52 to 42'!E$4:E$55)/SUMIFS('Collapse 52 to 42'!$C$4:$C$55,'Collapse 52 to 42'!$B$4:$B$55,$A13)</f>
        <v>0</v>
      </c>
      <c r="D13">
        <f>SUMPRODUCT(--('Collapse 52 to 42'!$B$4:$B$55=$A13),'Collapse 52 to 42'!$C$4:$C$55,'Collapse 52 to 42'!F$4:F$55)/SUMIFS('Collapse 52 to 42'!$C$4:$C$55,'Collapse 52 to 42'!$B$4:$B$55,$A13)</f>
        <v>3.5463192140638977E-2</v>
      </c>
      <c r="E13">
        <f>SUMPRODUCT(--('Collapse 52 to 42'!$B$4:$B$55=$A13),'Collapse 52 to 42'!$C$4:$C$55,'Collapse 52 to 42'!G$4:G$55)/SUMIFS('Collapse 52 to 42'!$C$4:$C$55,'Collapse 52 to 42'!$B$4:$B$55,$A13)</f>
        <v>5.9385717458738448E-2</v>
      </c>
      <c r="F13">
        <f>SUMPRODUCT(--('Collapse 52 to 42'!$B$4:$B$55=$A13),'Collapse 52 to 42'!$C$4:$C$55,'Collapse 52 to 42'!H$4:H$55)/SUMIFS('Collapse 52 to 42'!$C$4:$C$55,'Collapse 52 to 42'!$B$4:$B$55,$A13)</f>
        <v>7.5979254076496305E-2</v>
      </c>
      <c r="G13">
        <f>SUMPRODUCT(--('Collapse 52 to 42'!$B$4:$B$55=$A13),'Collapse 52 to 42'!$C$4:$C$55,'Collapse 52 to 42'!I$4:I$55)/SUMIFS('Collapse 52 to 42'!$C$4:$C$55,'Collapse 52 to 42'!$B$4:$B$55,$A13)</f>
        <v>9.5990562725905892E-2</v>
      </c>
      <c r="H13">
        <f>SUMPRODUCT(--('Collapse 52 to 42'!$B$4:$B$55=$A13),'Collapse 52 to 42'!$C$4:$C$55,'Collapse 52 to 42'!J$4:J$55)/SUMIFS('Collapse 52 to 42'!$C$4:$C$55,'Collapse 52 to 42'!$B$4:$B$55,$A13)</f>
        <v>0.11894985136279401</v>
      </c>
      <c r="I13">
        <f>SUMPRODUCT(--('Collapse 52 to 42'!$B$4:$B$55=$A13),'Collapse 52 to 42'!$C$4:$C$55,'Collapse 52 to 42'!K$4:K$55)/SUMIFS('Collapse 52 to 42'!$C$4:$C$55,'Collapse 52 to 42'!$B$4:$B$55,$A13)</f>
        <v>0.14157362460152156</v>
      </c>
      <c r="J13">
        <f>SUMPRODUCT(--('Collapse 52 to 42'!$B$4:$B$55=$A13),'Collapse 52 to 42'!$C$4:$C$55,'Collapse 52 to 42'!L$4:L$55)/SUMIFS('Collapse 52 to 42'!$C$4:$C$55,'Collapse 52 to 42'!$B$4:$B$55,$A13)</f>
        <v>0.16739362727051255</v>
      </c>
      <c r="K13">
        <f>SUMPRODUCT(--('Collapse 52 to 42'!$B$4:$B$55=$A13),'Collapse 52 to 42'!$C$4:$C$55,'Collapse 52 to 42'!M$4:M$55)/SUMIFS('Collapse 52 to 42'!$C$4:$C$55,'Collapse 52 to 42'!$B$4:$B$55,$A13)</f>
        <v>0.19548923544947172</v>
      </c>
      <c r="L13">
        <f>SUMPRODUCT(--('Collapse 52 to 42'!$B$4:$B$55=$A13),'Collapse 52 to 42'!$C$4:$C$55,'Collapse 52 to 42'!N$4:N$55)/SUMIFS('Collapse 52 to 42'!$C$4:$C$55,'Collapse 52 to 42'!$B$4:$B$55,$A13)</f>
        <v>0.22553038321973107</v>
      </c>
      <c r="M13">
        <f>SUMPRODUCT(--('Collapse 52 to 42'!$B$4:$B$55=$A13),'Collapse 52 to 42'!$C$4:$C$55,'Collapse 52 to 42'!O$4:O$55)/SUMIFS('Collapse 52 to 42'!$C$4:$C$55,'Collapse 52 to 42'!$B$4:$B$55,$A13)</f>
        <v>0.25748341947059972</v>
      </c>
      <c r="N13">
        <f>SUMPRODUCT(--('Collapse 52 to 42'!$B$4:$B$55=$A13),'Collapse 52 to 42'!$C$4:$C$55,'Collapse 52 to 42'!P$4:P$55)/SUMIFS('Collapse 52 to 42'!$C$4:$C$55,'Collapse 52 to 42'!$B$4:$B$55,$A13)</f>
        <v>0.28416815014707231</v>
      </c>
      <c r="O13">
        <f>SUMPRODUCT(--('Collapse 52 to 42'!$B$4:$B$55=$A13),'Collapse 52 to 42'!$C$4:$C$55,'Collapse 52 to 42'!Q$4:Q$55)/SUMIFS('Collapse 52 to 42'!$C$4:$C$55,'Collapse 52 to 42'!$B$4:$B$55,$A13)</f>
        <v>0.31072443170890951</v>
      </c>
      <c r="P13">
        <f>SUMPRODUCT(--('Collapse 52 to 42'!$B$4:$B$55=$A13),'Collapse 52 to 42'!$C$4:$C$55,'Collapse 52 to 42'!R$4:R$55)/SUMIFS('Collapse 52 to 42'!$C$4:$C$55,'Collapse 52 to 42'!$B$4:$B$55,$A13)</f>
        <v>0.33745550553096382</v>
      </c>
      <c r="Q13">
        <f>SUMPRODUCT(--('Collapse 52 to 42'!$B$4:$B$55=$A13),'Collapse 52 to 42'!$C$4:$C$55,'Collapse 52 to 42'!S$4:S$55)/SUMIFS('Collapse 52 to 42'!$C$4:$C$55,'Collapse 52 to 42'!$B$4:$B$55,$A13)</f>
        <v>0.36374454493734487</v>
      </c>
      <c r="R13">
        <f>SUMPRODUCT(--('Collapse 52 to 42'!$B$4:$B$55=$A13),'Collapse 52 to 42'!$C$4:$C$55,'Collapse 52 to 42'!T$4:T$55)/SUMIFS('Collapse 52 to 42'!$C$4:$C$55,'Collapse 52 to 42'!$B$4:$B$55,$A13)</f>
        <v>0.39019749403184756</v>
      </c>
      <c r="S13">
        <f>SUMPRODUCT(--('Collapse 52 to 42'!$B$4:$B$55=$A13),'Collapse 52 to 42'!$C$4:$C$55,'Collapse 52 to 42'!U$4:U$55)/SUMIFS('Collapse 52 to 42'!$C$4:$C$55,'Collapse 52 to 42'!$B$4:$B$55,$A13)</f>
        <v>0.41591584149655447</v>
      </c>
      <c r="T13">
        <f>SUMPRODUCT(--('Collapse 52 to 42'!$B$4:$B$55=$A13),'Collapse 52 to 42'!$C$4:$C$55,'Collapse 52 to 42'!V$4:V$55)/SUMIFS('Collapse 52 to 42'!$C$4:$C$55,'Collapse 52 to 42'!$B$4:$B$55,$A13)</f>
        <v>0.44235269148632694</v>
      </c>
      <c r="U13">
        <f>SUMPRODUCT(--('Collapse 52 to 42'!$B$4:$B$55=$A13),'Collapse 52 to 42'!$C$4:$C$55,'Collapse 52 to 42'!W$4:W$55)/SUMIFS('Collapse 52 to 42'!$C$4:$C$55,'Collapse 52 to 42'!$B$4:$B$55,$A13)</f>
        <v>0.46988212373539184</v>
      </c>
      <c r="V13">
        <f>SUMPRODUCT(--('Collapse 52 to 42'!$B$4:$B$55=$A13),'Collapse 52 to 42'!$C$4:$C$55,'Collapse 52 to 42'!X$4:X$55)/SUMIFS('Collapse 52 to 42'!$C$4:$C$55,'Collapse 52 to 42'!$B$4:$B$55,$A13)</f>
        <v>0.49755959270973987</v>
      </c>
      <c r="W13">
        <f>SUMPRODUCT(--('Collapse 52 to 42'!$B$4:$B$55=$A13),'Collapse 52 to 42'!$C$4:$C$55,'Collapse 52 to 42'!Y$4:Y$55)/SUMIFS('Collapse 52 to 42'!$C$4:$C$55,'Collapse 52 to 42'!$B$4:$B$55,$A13)</f>
        <v>0.52487272669435092</v>
      </c>
      <c r="X13">
        <f>SUMPRODUCT(--('Collapse 52 to 42'!$B$4:$B$55=$A13),'Collapse 52 to 42'!$C$4:$C$55,'Collapse 52 to 42'!Z$4:Z$55)/SUMIFS('Collapse 52 to 42'!$C$4:$C$55,'Collapse 52 to 42'!$B$4:$B$55,$A13)</f>
        <v>0.55132715166220136</v>
      </c>
      <c r="Y13">
        <f>SUMPRODUCT(--('Collapse 52 to 42'!$B$4:$B$55=$A13),'Collapse 52 to 42'!$C$4:$C$55,'Collapse 52 to 42'!AA$4:AA$55)/SUMIFS('Collapse 52 to 42'!$C$4:$C$55,'Collapse 52 to 42'!$B$4:$B$55,$A13)</f>
        <v>0.57666350672691569</v>
      </c>
      <c r="Z13">
        <f>SUMPRODUCT(--('Collapse 52 to 42'!$B$4:$B$55=$A13),'Collapse 52 to 42'!$C$4:$C$55,'Collapse 52 to 42'!AB$4:AB$55)/SUMIFS('Collapse 52 to 42'!$C$4:$C$55,'Collapse 52 to 42'!$B$4:$B$55,$A13)</f>
        <v>0.60213582632143314</v>
      </c>
      <c r="AA13">
        <f>SUMPRODUCT(--('Collapse 52 to 42'!$B$4:$B$55=$A13),'Collapse 52 to 42'!$C$4:$C$55,'Collapse 52 to 42'!AC$4:AC$55)/SUMIFS('Collapse 52 to 42'!$C$4:$C$55,'Collapse 52 to 42'!$B$4:$B$55,$A13)</f>
        <v>0.62674386750153466</v>
      </c>
      <c r="AB13">
        <f>SUMPRODUCT(--('Collapse 52 to 42'!$B$4:$B$55=$A13),'Collapse 52 to 42'!$C$4:$C$55,'Collapse 52 to 42'!AD$4:AD$55)/SUMIFS('Collapse 52 to 42'!$C$4:$C$55,'Collapse 52 to 42'!$B$4:$B$55,$A13)</f>
        <v>0.65228459632283475</v>
      </c>
    </row>
    <row r="14" spans="1:28" x14ac:dyDescent="0.25">
      <c r="A14" t="s">
        <v>249</v>
      </c>
      <c r="B14">
        <f>SUMPRODUCT(--('Collapse 52 to 42'!$B$4:$B$55=$A14),'Collapse 52 to 42'!$C$4:$C$55,'Collapse 52 to 42'!D$4:D$55)/SUMIFS('Collapse 52 to 42'!$C$4:$C$55,'Collapse 52 to 42'!$B$4:$B$55,$A14)</f>
        <v>-1.7415537408357884E-2</v>
      </c>
      <c r="C14">
        <f>SUMPRODUCT(--('Collapse 52 to 42'!$B$4:$B$55=$A14),'Collapse 52 to 42'!$C$4:$C$55,'Collapse 52 to 42'!E$4:E$55)/SUMIFS('Collapse 52 to 42'!$C$4:$C$55,'Collapse 52 to 42'!$B$4:$B$55,$A14)</f>
        <v>0</v>
      </c>
      <c r="D14">
        <f>SUMPRODUCT(--('Collapse 52 to 42'!$B$4:$B$55=$A14),'Collapse 52 to 42'!$C$4:$C$55,'Collapse 52 to 42'!F$4:F$55)/SUMIFS('Collapse 52 to 42'!$C$4:$C$55,'Collapse 52 to 42'!$B$4:$B$55,$A14)</f>
        <v>-5.8729664651617783E-3</v>
      </c>
      <c r="E14">
        <f>SUMPRODUCT(--('Collapse 52 to 42'!$B$4:$B$55=$A14),'Collapse 52 to 42'!$C$4:$C$55,'Collapse 52 to 42'!G$4:G$55)/SUMIFS('Collapse 52 to 42'!$C$4:$C$55,'Collapse 52 to 42'!$B$4:$B$55,$A14)</f>
        <v>1.6590145500608111E-2</v>
      </c>
      <c r="F14">
        <f>SUMPRODUCT(--('Collapse 52 to 42'!$B$4:$B$55=$A14),'Collapse 52 to 42'!$C$4:$C$55,'Collapse 52 to 42'!H$4:H$55)/SUMIFS('Collapse 52 to 42'!$C$4:$C$55,'Collapse 52 to 42'!$B$4:$B$55,$A14)</f>
        <v>2.8868919693506134E-2</v>
      </c>
      <c r="G14">
        <f>SUMPRODUCT(--('Collapse 52 to 42'!$B$4:$B$55=$A14),'Collapse 52 to 42'!$C$4:$C$55,'Collapse 52 to 42'!I$4:I$55)/SUMIFS('Collapse 52 to 42'!$C$4:$C$55,'Collapse 52 to 42'!$B$4:$B$55,$A14)</f>
        <v>3.3334373165817333E-2</v>
      </c>
      <c r="H14">
        <f>SUMPRODUCT(--('Collapse 52 to 42'!$B$4:$B$55=$A14),'Collapse 52 to 42'!$C$4:$C$55,'Collapse 52 to 42'!J$4:J$55)/SUMIFS('Collapse 52 to 42'!$C$4:$C$55,'Collapse 52 to 42'!$B$4:$B$55,$A14)</f>
        <v>4.4223992245098653E-2</v>
      </c>
      <c r="I14">
        <f>SUMPRODUCT(--('Collapse 52 to 42'!$B$4:$B$55=$A14),'Collapse 52 to 42'!$C$4:$C$55,'Collapse 52 to 42'!K$4:K$55)/SUMIFS('Collapse 52 to 42'!$C$4:$C$55,'Collapse 52 to 42'!$B$4:$B$55,$A14)</f>
        <v>5.6670750056900365E-2</v>
      </c>
      <c r="J14">
        <f>SUMPRODUCT(--('Collapse 52 to 42'!$B$4:$B$55=$A14),'Collapse 52 to 42'!$C$4:$C$55,'Collapse 52 to 42'!L$4:L$55)/SUMIFS('Collapse 52 to 42'!$C$4:$C$55,'Collapse 52 to 42'!$B$4:$B$55,$A14)</f>
        <v>6.4308669038993349E-2</v>
      </c>
      <c r="K14">
        <f>SUMPRODUCT(--('Collapse 52 to 42'!$B$4:$B$55=$A14),'Collapse 52 to 42'!$C$4:$C$55,'Collapse 52 to 42'!M$4:M$55)/SUMIFS('Collapse 52 to 42'!$C$4:$C$55,'Collapse 52 to 42'!$B$4:$B$55,$A14)</f>
        <v>7.1420248603816461E-2</v>
      </c>
      <c r="L14">
        <f>SUMPRODUCT(--('Collapse 52 to 42'!$B$4:$B$55=$A14),'Collapse 52 to 42'!$C$4:$C$55,'Collapse 52 to 42'!N$4:N$55)/SUMIFS('Collapse 52 to 42'!$C$4:$C$55,'Collapse 52 to 42'!$B$4:$B$55,$A14)</f>
        <v>7.6182908135094429E-2</v>
      </c>
      <c r="M14">
        <f>SUMPRODUCT(--('Collapse 52 to 42'!$B$4:$B$55=$A14),'Collapse 52 to 42'!$C$4:$C$55,'Collapse 52 to 42'!O$4:O$55)/SUMIFS('Collapse 52 to 42'!$C$4:$C$55,'Collapse 52 to 42'!$B$4:$B$55,$A14)</f>
        <v>8.4578285153710908E-2</v>
      </c>
      <c r="N14">
        <f>SUMPRODUCT(--('Collapse 52 to 42'!$B$4:$B$55=$A14),'Collapse 52 to 42'!$C$4:$C$55,'Collapse 52 to 42'!P$4:P$55)/SUMIFS('Collapse 52 to 42'!$C$4:$C$55,'Collapse 52 to 42'!$B$4:$B$55,$A14)</f>
        <v>9.711952565276194E-2</v>
      </c>
      <c r="O14">
        <f>SUMPRODUCT(--('Collapse 52 to 42'!$B$4:$B$55=$A14),'Collapse 52 to 42'!$C$4:$C$55,'Collapse 52 to 42'!Q$4:Q$55)/SUMIFS('Collapse 52 to 42'!$C$4:$C$55,'Collapse 52 to 42'!$B$4:$B$55,$A14)</f>
        <v>0.11199994035887362</v>
      </c>
      <c r="P14">
        <f>SUMPRODUCT(--('Collapse 52 to 42'!$B$4:$B$55=$A14),'Collapse 52 to 42'!$C$4:$C$55,'Collapse 52 to 42'!R$4:R$55)/SUMIFS('Collapse 52 to 42'!$C$4:$C$55,'Collapse 52 to 42'!$B$4:$B$55,$A14)</f>
        <v>0.12530054085773679</v>
      </c>
      <c r="Q14">
        <f>SUMPRODUCT(--('Collapse 52 to 42'!$B$4:$B$55=$A14),'Collapse 52 to 42'!$C$4:$C$55,'Collapse 52 to 42'!S$4:S$55)/SUMIFS('Collapse 52 to 42'!$C$4:$C$55,'Collapse 52 to 42'!$B$4:$B$55,$A14)</f>
        <v>0.13638999102879512</v>
      </c>
      <c r="R14">
        <f>SUMPRODUCT(--('Collapse 52 to 42'!$B$4:$B$55=$A14),'Collapse 52 to 42'!$C$4:$C$55,'Collapse 52 to 42'!T$4:T$55)/SUMIFS('Collapse 52 to 42'!$C$4:$C$55,'Collapse 52 to 42'!$B$4:$B$55,$A14)</f>
        <v>0.14973416546031948</v>
      </c>
      <c r="S14">
        <f>SUMPRODUCT(--('Collapse 52 to 42'!$B$4:$B$55=$A14),'Collapse 52 to 42'!$C$4:$C$55,'Collapse 52 to 42'!U$4:U$55)/SUMIFS('Collapse 52 to 42'!$C$4:$C$55,'Collapse 52 to 42'!$B$4:$B$55,$A14)</f>
        <v>0.16321786810378769</v>
      </c>
      <c r="T14">
        <f>SUMPRODUCT(--('Collapse 52 to 42'!$B$4:$B$55=$A14),'Collapse 52 to 42'!$C$4:$C$55,'Collapse 52 to 42'!V$4:V$55)/SUMIFS('Collapse 52 to 42'!$C$4:$C$55,'Collapse 52 to 42'!$B$4:$B$55,$A14)</f>
        <v>0.17770320199777001</v>
      </c>
      <c r="U14">
        <f>SUMPRODUCT(--('Collapse 52 to 42'!$B$4:$B$55=$A14),'Collapse 52 to 42'!$C$4:$C$55,'Collapse 52 to 42'!W$4:W$55)/SUMIFS('Collapse 52 to 42'!$C$4:$C$55,'Collapse 52 to 42'!$B$4:$B$55,$A14)</f>
        <v>0.19121458723099827</v>
      </c>
      <c r="V14">
        <f>SUMPRODUCT(--('Collapse 52 to 42'!$B$4:$B$55=$A14),'Collapse 52 to 42'!$C$4:$C$55,'Collapse 52 to 42'!X$4:X$55)/SUMIFS('Collapse 52 to 42'!$C$4:$C$55,'Collapse 52 to 42'!$B$4:$B$55,$A14)</f>
        <v>0.20501858326882469</v>
      </c>
      <c r="W14">
        <f>SUMPRODUCT(--('Collapse 52 to 42'!$B$4:$B$55=$A14),'Collapse 52 to 42'!$C$4:$C$55,'Collapse 52 to 42'!Y$4:Y$55)/SUMIFS('Collapse 52 to 42'!$C$4:$C$55,'Collapse 52 to 42'!$B$4:$B$55,$A14)</f>
        <v>0.22013597056878842</v>
      </c>
      <c r="X14">
        <f>SUMPRODUCT(--('Collapse 52 to 42'!$B$4:$B$55=$A14),'Collapse 52 to 42'!$C$4:$C$55,'Collapse 52 to 42'!Z$4:Z$55)/SUMIFS('Collapse 52 to 42'!$C$4:$C$55,'Collapse 52 to 42'!$B$4:$B$55,$A14)</f>
        <v>0.23323963688346194</v>
      </c>
      <c r="Y14">
        <f>SUMPRODUCT(--('Collapse 52 to 42'!$B$4:$B$55=$A14),'Collapse 52 to 42'!$C$4:$C$55,'Collapse 52 to 42'!AA$4:AA$55)/SUMIFS('Collapse 52 to 42'!$C$4:$C$55,'Collapse 52 to 42'!$B$4:$B$55,$A14)</f>
        <v>0.24531123590735948</v>
      </c>
      <c r="Z14">
        <f>SUMPRODUCT(--('Collapse 52 to 42'!$B$4:$B$55=$A14),'Collapse 52 to 42'!$C$4:$C$55,'Collapse 52 to 42'!AB$4:AB$55)/SUMIFS('Collapse 52 to 42'!$C$4:$C$55,'Collapse 52 to 42'!$B$4:$B$55,$A14)</f>
        <v>0.25499853652948801</v>
      </c>
      <c r="AA14">
        <f>SUMPRODUCT(--('Collapse 52 to 42'!$B$4:$B$55=$A14),'Collapse 52 to 42'!$C$4:$C$55,'Collapse 52 to 42'!AC$4:AC$55)/SUMIFS('Collapse 52 to 42'!$C$4:$C$55,'Collapse 52 to 42'!$B$4:$B$55,$A14)</f>
        <v>0.26857601383007679</v>
      </c>
      <c r="AB14">
        <f>SUMPRODUCT(--('Collapse 52 to 42'!$B$4:$B$55=$A14),'Collapse 52 to 42'!$C$4:$C$55,'Collapse 52 to 42'!AD$4:AD$55)/SUMIFS('Collapse 52 to 42'!$C$4:$C$55,'Collapse 52 to 42'!$B$4:$B$55,$A14)</f>
        <v>0.28212185190194794</v>
      </c>
    </row>
    <row r="15" spans="1:28" x14ac:dyDescent="0.25">
      <c r="A15" t="s">
        <v>1222</v>
      </c>
      <c r="B15">
        <f>SUMPRODUCT(--('Collapse 52 to 42'!$B$4:$B$55=$A15),'Collapse 52 to 42'!$C$4:$C$55,'Collapse 52 to 42'!D$4:D$55)/SUMIFS('Collapse 52 to 42'!$C$4:$C$55,'Collapse 52 to 42'!$B$4:$B$55,$A15)</f>
        <v>6.2622921689357005E-3</v>
      </c>
      <c r="C15">
        <f>SUMPRODUCT(--('Collapse 52 to 42'!$B$4:$B$55=$A15),'Collapse 52 to 42'!$C$4:$C$55,'Collapse 52 to 42'!E$4:E$55)/SUMIFS('Collapse 52 to 42'!$C$4:$C$55,'Collapse 52 to 42'!$B$4:$B$55,$A15)</f>
        <v>0</v>
      </c>
      <c r="D15">
        <f>SUMPRODUCT(--('Collapse 52 to 42'!$B$4:$B$55=$A15),'Collapse 52 to 42'!$C$4:$C$55,'Collapse 52 to 42'!F$4:F$55)/SUMIFS('Collapse 52 to 42'!$C$4:$C$55,'Collapse 52 to 42'!$B$4:$B$55,$A15)</f>
        <v>6.072025366654632E-4</v>
      </c>
      <c r="E15">
        <f>SUMPRODUCT(--('Collapse 52 to 42'!$B$4:$B$55=$A15),'Collapse 52 to 42'!$C$4:$C$55,'Collapse 52 to 42'!G$4:G$55)/SUMIFS('Collapse 52 to 42'!$C$4:$C$55,'Collapse 52 to 42'!$B$4:$B$55,$A15)</f>
        <v>3.0709136943967157E-3</v>
      </c>
      <c r="F15">
        <f>SUMPRODUCT(--('Collapse 52 to 42'!$B$4:$B$55=$A15),'Collapse 52 to 42'!$C$4:$C$55,'Collapse 52 to 42'!H$4:H$55)/SUMIFS('Collapse 52 to 42'!$C$4:$C$55,'Collapse 52 to 42'!$B$4:$B$55,$A15)</f>
        <v>1.9029494825688609E-3</v>
      </c>
      <c r="G15">
        <f>SUMPRODUCT(--('Collapse 52 to 42'!$B$4:$B$55=$A15),'Collapse 52 to 42'!$C$4:$C$55,'Collapse 52 to 42'!I$4:I$55)/SUMIFS('Collapse 52 to 42'!$C$4:$C$55,'Collapse 52 to 42'!$B$4:$B$55,$A15)</f>
        <v>3.3770481006278885E-4</v>
      </c>
      <c r="H15">
        <f>SUMPRODUCT(--('Collapse 52 to 42'!$B$4:$B$55=$A15),'Collapse 52 to 42'!$C$4:$C$55,'Collapse 52 to 42'!J$4:J$55)/SUMIFS('Collapse 52 to 42'!$C$4:$C$55,'Collapse 52 to 42'!$B$4:$B$55,$A15)</f>
        <v>7.6669640445436993E-4</v>
      </c>
      <c r="I15">
        <f>SUMPRODUCT(--('Collapse 52 to 42'!$B$4:$B$55=$A15),'Collapse 52 to 42'!$C$4:$C$55,'Collapse 52 to 42'!K$4:K$55)/SUMIFS('Collapse 52 to 42'!$C$4:$C$55,'Collapse 52 to 42'!$B$4:$B$55,$A15)</f>
        <v>2.4714513013150974E-3</v>
      </c>
      <c r="J15">
        <f>SUMPRODUCT(--('Collapse 52 to 42'!$B$4:$B$55=$A15),'Collapse 52 to 42'!$C$4:$C$55,'Collapse 52 to 42'!L$4:L$55)/SUMIFS('Collapse 52 to 42'!$C$4:$C$55,'Collapse 52 to 42'!$B$4:$B$55,$A15)</f>
        <v>6.5433297459720494E-3</v>
      </c>
      <c r="K15">
        <f>SUMPRODUCT(--('Collapse 52 to 42'!$B$4:$B$55=$A15),'Collapse 52 to 42'!$C$4:$C$55,'Collapse 52 to 42'!M$4:M$55)/SUMIFS('Collapse 52 to 42'!$C$4:$C$55,'Collapse 52 to 42'!$B$4:$B$55,$A15)</f>
        <v>1.3218335752792632E-2</v>
      </c>
      <c r="L15">
        <f>SUMPRODUCT(--('Collapse 52 to 42'!$B$4:$B$55=$A15),'Collapse 52 to 42'!$C$4:$C$55,'Collapse 52 to 42'!N$4:N$55)/SUMIFS('Collapse 52 to 42'!$C$4:$C$55,'Collapse 52 to 42'!$B$4:$B$55,$A15)</f>
        <v>2.1637172654082049E-2</v>
      </c>
      <c r="M15">
        <f>SUMPRODUCT(--('Collapse 52 to 42'!$B$4:$B$55=$A15),'Collapse 52 to 42'!$C$4:$C$55,'Collapse 52 to 42'!O$4:O$55)/SUMIFS('Collapse 52 to 42'!$C$4:$C$55,'Collapse 52 to 42'!$B$4:$B$55,$A15)</f>
        <v>3.2229488783687366E-2</v>
      </c>
      <c r="N15">
        <f>SUMPRODUCT(--('Collapse 52 to 42'!$B$4:$B$55=$A15),'Collapse 52 to 42'!$C$4:$C$55,'Collapse 52 to 42'!P$4:P$55)/SUMIFS('Collapse 52 to 42'!$C$4:$C$55,'Collapse 52 to 42'!$B$4:$B$55,$A15)</f>
        <v>4.2788639570785048E-2</v>
      </c>
      <c r="O15">
        <f>SUMPRODUCT(--('Collapse 52 to 42'!$B$4:$B$55=$A15),'Collapse 52 to 42'!$C$4:$C$55,'Collapse 52 to 42'!Q$4:Q$55)/SUMIFS('Collapse 52 to 42'!$C$4:$C$55,'Collapse 52 to 42'!$B$4:$B$55,$A15)</f>
        <v>5.289112188643319E-2</v>
      </c>
      <c r="P15">
        <f>SUMPRODUCT(--('Collapse 52 to 42'!$B$4:$B$55=$A15),'Collapse 52 to 42'!$C$4:$C$55,'Collapse 52 to 42'!R$4:R$55)/SUMIFS('Collapse 52 to 42'!$C$4:$C$55,'Collapse 52 to 42'!$B$4:$B$55,$A15)</f>
        <v>6.3545359164709936E-2</v>
      </c>
      <c r="Q15">
        <f>SUMPRODUCT(--('Collapse 52 to 42'!$B$4:$B$55=$A15),'Collapse 52 to 42'!$C$4:$C$55,'Collapse 52 to 42'!S$4:S$55)/SUMIFS('Collapse 52 to 42'!$C$4:$C$55,'Collapse 52 to 42'!$B$4:$B$55,$A15)</f>
        <v>7.4103337202779729E-2</v>
      </c>
      <c r="R15">
        <f>SUMPRODUCT(--('Collapse 52 to 42'!$B$4:$B$55=$A15),'Collapse 52 to 42'!$C$4:$C$55,'Collapse 52 to 42'!T$4:T$55)/SUMIFS('Collapse 52 to 42'!$C$4:$C$55,'Collapse 52 to 42'!$B$4:$B$55,$A15)</f>
        <v>8.4918288007834075E-2</v>
      </c>
      <c r="S15">
        <f>SUMPRODUCT(--('Collapse 52 to 42'!$B$4:$B$55=$A15),'Collapse 52 to 42'!$C$4:$C$55,'Collapse 52 to 42'!U$4:U$55)/SUMIFS('Collapse 52 to 42'!$C$4:$C$55,'Collapse 52 to 42'!$B$4:$B$55,$A15)</f>
        <v>9.6307463646891023E-2</v>
      </c>
      <c r="T15">
        <f>SUMPRODUCT(--('Collapse 52 to 42'!$B$4:$B$55=$A15),'Collapse 52 to 42'!$C$4:$C$55,'Collapse 52 to 42'!V$4:V$55)/SUMIFS('Collapse 52 to 42'!$C$4:$C$55,'Collapse 52 to 42'!$B$4:$B$55,$A15)</f>
        <v>0.10811873511605574</v>
      </c>
      <c r="U15">
        <f>SUMPRODUCT(--('Collapse 52 to 42'!$B$4:$B$55=$A15),'Collapse 52 to 42'!$C$4:$C$55,'Collapse 52 to 42'!W$4:W$55)/SUMIFS('Collapse 52 to 42'!$C$4:$C$55,'Collapse 52 to 42'!$B$4:$B$55,$A15)</f>
        <v>0.12035655886163421</v>
      </c>
      <c r="V15">
        <f>SUMPRODUCT(--('Collapse 52 to 42'!$B$4:$B$55=$A15),'Collapse 52 to 42'!$C$4:$C$55,'Collapse 52 to 42'!X$4:X$55)/SUMIFS('Collapse 52 to 42'!$C$4:$C$55,'Collapse 52 to 42'!$B$4:$B$55,$A15)</f>
        <v>0.13243925136580703</v>
      </c>
      <c r="W15">
        <f>SUMPRODUCT(--('Collapse 52 to 42'!$B$4:$B$55=$A15),'Collapse 52 to 42'!$C$4:$C$55,'Collapse 52 to 42'!Y$4:Y$55)/SUMIFS('Collapse 52 to 42'!$C$4:$C$55,'Collapse 52 to 42'!$B$4:$B$55,$A15)</f>
        <v>0.14491805158163018</v>
      </c>
      <c r="X15">
        <f>SUMPRODUCT(--('Collapse 52 to 42'!$B$4:$B$55=$A15),'Collapse 52 to 42'!$C$4:$C$55,'Collapse 52 to 42'!Z$4:Z$55)/SUMIFS('Collapse 52 to 42'!$C$4:$C$55,'Collapse 52 to 42'!$B$4:$B$55,$A15)</f>
        <v>0.15759476492339553</v>
      </c>
      <c r="Y15">
        <f>SUMPRODUCT(--('Collapse 52 to 42'!$B$4:$B$55=$A15),'Collapse 52 to 42'!$C$4:$C$55,'Collapse 52 to 42'!AA$4:AA$55)/SUMIFS('Collapse 52 to 42'!$C$4:$C$55,'Collapse 52 to 42'!$B$4:$B$55,$A15)</f>
        <v>0.17029188409824569</v>
      </c>
      <c r="Z15">
        <f>SUMPRODUCT(--('Collapse 52 to 42'!$B$4:$B$55=$A15),'Collapse 52 to 42'!$C$4:$C$55,'Collapse 52 to 42'!AB$4:AB$55)/SUMIFS('Collapse 52 to 42'!$C$4:$C$55,'Collapse 52 to 42'!$B$4:$B$55,$A15)</f>
        <v>0.18313325140352268</v>
      </c>
      <c r="AA15">
        <f>SUMPRODUCT(--('Collapse 52 to 42'!$B$4:$B$55=$A15),'Collapse 52 to 42'!$C$4:$C$55,'Collapse 52 to 42'!AC$4:AC$55)/SUMIFS('Collapse 52 to 42'!$C$4:$C$55,'Collapse 52 to 42'!$B$4:$B$55,$A15)</f>
        <v>0.19550012445212728</v>
      </c>
      <c r="AB15">
        <f>SUMPRODUCT(--('Collapse 52 to 42'!$B$4:$B$55=$A15),'Collapse 52 to 42'!$C$4:$C$55,'Collapse 52 to 42'!AD$4:AD$55)/SUMIFS('Collapse 52 to 42'!$C$4:$C$55,'Collapse 52 to 42'!$B$4:$B$55,$A15)</f>
        <v>0.20791001393507336</v>
      </c>
    </row>
    <row r="16" spans="1:28" x14ac:dyDescent="0.25">
      <c r="A16" t="s">
        <v>256</v>
      </c>
      <c r="B16">
        <f>SUMPRODUCT(--('Collapse 52 to 42'!$B$4:$B$55=$A16),'Collapse 52 to 42'!$C$4:$C$55,'Collapse 52 to 42'!D$4:D$55)/SUMIFS('Collapse 52 to 42'!$C$4:$C$55,'Collapse 52 to 42'!$B$4:$B$55,$A16)</f>
        <v>-3.3564091347025875E-3</v>
      </c>
      <c r="C16">
        <f>SUMPRODUCT(--('Collapse 52 to 42'!$B$4:$B$55=$A16),'Collapse 52 to 42'!$C$4:$C$55,'Collapse 52 to 42'!E$4:E$55)/SUMIFS('Collapse 52 to 42'!$C$4:$C$55,'Collapse 52 to 42'!$B$4:$B$55,$A16)</f>
        <v>0</v>
      </c>
      <c r="D16">
        <f>SUMPRODUCT(--('Collapse 52 to 42'!$B$4:$B$55=$A16),'Collapse 52 to 42'!$C$4:$C$55,'Collapse 52 to 42'!F$4:F$55)/SUMIFS('Collapse 52 to 42'!$C$4:$C$55,'Collapse 52 to 42'!$B$4:$B$55,$A16)</f>
        <v>-1.6100321389836081E-2</v>
      </c>
      <c r="E16">
        <f>SUMPRODUCT(--('Collapse 52 to 42'!$B$4:$B$55=$A16),'Collapse 52 to 42'!$C$4:$C$55,'Collapse 52 to 42'!G$4:G$55)/SUMIFS('Collapse 52 to 42'!$C$4:$C$55,'Collapse 52 to 42'!$B$4:$B$55,$A16)</f>
        <v>-3.3146050157885076E-2</v>
      </c>
      <c r="F16">
        <f>SUMPRODUCT(--('Collapse 52 to 42'!$B$4:$B$55=$A16),'Collapse 52 to 42'!$C$4:$C$55,'Collapse 52 to 42'!H$4:H$55)/SUMIFS('Collapse 52 to 42'!$C$4:$C$55,'Collapse 52 to 42'!$B$4:$B$55,$A16)</f>
        <v>-3.611055743106184E-2</v>
      </c>
      <c r="G16">
        <f>SUMPRODUCT(--('Collapse 52 to 42'!$B$4:$B$55=$A16),'Collapse 52 to 42'!$C$4:$C$55,'Collapse 52 to 42'!I$4:I$55)/SUMIFS('Collapse 52 to 42'!$C$4:$C$55,'Collapse 52 to 42'!$B$4:$B$55,$A16)</f>
        <v>-3.882659175590375E-2</v>
      </c>
      <c r="H16">
        <f>SUMPRODUCT(--('Collapse 52 to 42'!$B$4:$B$55=$A16),'Collapse 52 to 42'!$C$4:$C$55,'Collapse 52 to 42'!J$4:J$55)/SUMIFS('Collapse 52 to 42'!$C$4:$C$55,'Collapse 52 to 42'!$B$4:$B$55,$A16)</f>
        <v>-3.5990070949303399E-2</v>
      </c>
      <c r="I16">
        <f>SUMPRODUCT(--('Collapse 52 to 42'!$B$4:$B$55=$A16),'Collapse 52 to 42'!$C$4:$C$55,'Collapse 52 to 42'!K$4:K$55)/SUMIFS('Collapse 52 to 42'!$C$4:$C$55,'Collapse 52 to 42'!$B$4:$B$55,$A16)</f>
        <v>-2.878047271209605E-2</v>
      </c>
      <c r="J16">
        <f>SUMPRODUCT(--('Collapse 52 to 42'!$B$4:$B$55=$A16),'Collapse 52 to 42'!$C$4:$C$55,'Collapse 52 to 42'!L$4:L$55)/SUMIFS('Collapse 52 to 42'!$C$4:$C$55,'Collapse 52 to 42'!$B$4:$B$55,$A16)</f>
        <v>-2.2169158661990873E-2</v>
      </c>
      <c r="K16">
        <f>SUMPRODUCT(--('Collapse 52 to 42'!$B$4:$B$55=$A16),'Collapse 52 to 42'!$C$4:$C$55,'Collapse 52 to 42'!M$4:M$55)/SUMIFS('Collapse 52 to 42'!$C$4:$C$55,'Collapse 52 to 42'!$B$4:$B$55,$A16)</f>
        <v>-1.2989376360001192E-2</v>
      </c>
      <c r="L16">
        <f>SUMPRODUCT(--('Collapse 52 to 42'!$B$4:$B$55=$A16),'Collapse 52 to 42'!$C$4:$C$55,'Collapse 52 to 42'!N$4:N$55)/SUMIFS('Collapse 52 to 42'!$C$4:$C$55,'Collapse 52 to 42'!$B$4:$B$55,$A16)</f>
        <v>-3.2549491631006511E-3</v>
      </c>
      <c r="M16">
        <f>SUMPRODUCT(--('Collapse 52 to 42'!$B$4:$B$55=$A16),'Collapse 52 to 42'!$C$4:$C$55,'Collapse 52 to 42'!O$4:O$55)/SUMIFS('Collapse 52 to 42'!$C$4:$C$55,'Collapse 52 to 42'!$B$4:$B$55,$A16)</f>
        <v>6.2778744596128089E-3</v>
      </c>
      <c r="N16">
        <f>SUMPRODUCT(--('Collapse 52 to 42'!$B$4:$B$55=$A16),'Collapse 52 to 42'!$C$4:$C$55,'Collapse 52 to 42'!P$4:P$55)/SUMIFS('Collapse 52 to 42'!$C$4:$C$55,'Collapse 52 to 42'!$B$4:$B$55,$A16)</f>
        <v>1.6267002468346892E-2</v>
      </c>
      <c r="O16">
        <f>SUMPRODUCT(--('Collapse 52 to 42'!$B$4:$B$55=$A16),'Collapse 52 to 42'!$C$4:$C$55,'Collapse 52 to 42'!Q$4:Q$55)/SUMIFS('Collapse 52 to 42'!$C$4:$C$55,'Collapse 52 to 42'!$B$4:$B$55,$A16)</f>
        <v>2.5300170022886093E-2</v>
      </c>
      <c r="P16">
        <f>SUMPRODUCT(--('Collapse 52 to 42'!$B$4:$B$55=$A16),'Collapse 52 to 42'!$C$4:$C$55,'Collapse 52 to 42'!R$4:R$55)/SUMIFS('Collapse 52 to 42'!$C$4:$C$55,'Collapse 52 to 42'!$B$4:$B$55,$A16)</f>
        <v>3.4933867335202207E-2</v>
      </c>
      <c r="Q16">
        <f>SUMPRODUCT(--('Collapse 52 to 42'!$B$4:$B$55=$A16),'Collapse 52 to 42'!$C$4:$C$55,'Collapse 52 to 42'!S$4:S$55)/SUMIFS('Collapse 52 to 42'!$C$4:$C$55,'Collapse 52 to 42'!$B$4:$B$55,$A16)</f>
        <v>4.4217974647241753E-2</v>
      </c>
      <c r="R16">
        <f>SUMPRODUCT(--('Collapse 52 to 42'!$B$4:$B$55=$A16),'Collapse 52 to 42'!$C$4:$C$55,'Collapse 52 to 42'!T$4:T$55)/SUMIFS('Collapse 52 to 42'!$C$4:$C$55,'Collapse 52 to 42'!$B$4:$B$55,$A16)</f>
        <v>4.9407897769410569E-2</v>
      </c>
      <c r="S16">
        <f>SUMPRODUCT(--('Collapse 52 to 42'!$B$4:$B$55=$A16),'Collapse 52 to 42'!$C$4:$C$55,'Collapse 52 to 42'!U$4:U$55)/SUMIFS('Collapse 52 to 42'!$C$4:$C$55,'Collapse 52 to 42'!$B$4:$B$55,$A16)</f>
        <v>5.110881246778054E-2</v>
      </c>
      <c r="T16">
        <f>SUMPRODUCT(--('Collapse 52 to 42'!$B$4:$B$55=$A16),'Collapse 52 to 42'!$C$4:$C$55,'Collapse 52 to 42'!V$4:V$55)/SUMIFS('Collapse 52 to 42'!$C$4:$C$55,'Collapse 52 to 42'!$B$4:$B$55,$A16)</f>
        <v>5.0732087566681454E-2</v>
      </c>
      <c r="U16">
        <f>SUMPRODUCT(--('Collapse 52 to 42'!$B$4:$B$55=$A16),'Collapse 52 to 42'!$C$4:$C$55,'Collapse 52 to 42'!W$4:W$55)/SUMIFS('Collapse 52 to 42'!$C$4:$C$55,'Collapse 52 to 42'!$B$4:$B$55,$A16)</f>
        <v>4.598918787587003E-2</v>
      </c>
      <c r="V16">
        <f>SUMPRODUCT(--('Collapse 52 to 42'!$B$4:$B$55=$A16),'Collapse 52 to 42'!$C$4:$C$55,'Collapse 52 to 42'!X$4:X$55)/SUMIFS('Collapse 52 to 42'!$C$4:$C$55,'Collapse 52 to 42'!$B$4:$B$55,$A16)</f>
        <v>3.9386977789635846E-2</v>
      </c>
      <c r="W16">
        <f>SUMPRODUCT(--('Collapse 52 to 42'!$B$4:$B$55=$A16),'Collapse 52 to 42'!$C$4:$C$55,'Collapse 52 to 42'!Y$4:Y$55)/SUMIFS('Collapse 52 to 42'!$C$4:$C$55,'Collapse 52 to 42'!$B$4:$B$55,$A16)</f>
        <v>4.0806676243122508E-2</v>
      </c>
      <c r="X16">
        <f>SUMPRODUCT(--('Collapse 52 to 42'!$B$4:$B$55=$A16),'Collapse 52 to 42'!$C$4:$C$55,'Collapse 52 to 42'!Z$4:Z$55)/SUMIFS('Collapse 52 to 42'!$C$4:$C$55,'Collapse 52 to 42'!$B$4:$B$55,$A16)</f>
        <v>4.7341939562224315E-2</v>
      </c>
      <c r="Y16">
        <f>SUMPRODUCT(--('Collapse 52 to 42'!$B$4:$B$55=$A16),'Collapse 52 to 42'!$C$4:$C$55,'Collapse 52 to 42'!AA$4:AA$55)/SUMIFS('Collapse 52 to 42'!$C$4:$C$55,'Collapse 52 to 42'!$B$4:$B$55,$A16)</f>
        <v>5.4126759898262877E-2</v>
      </c>
      <c r="Z16">
        <f>SUMPRODUCT(--('Collapse 52 to 42'!$B$4:$B$55=$A16),'Collapse 52 to 42'!$C$4:$C$55,'Collapse 52 to 42'!AB$4:AB$55)/SUMIFS('Collapse 52 to 42'!$C$4:$C$55,'Collapse 52 to 42'!$B$4:$B$55,$A16)</f>
        <v>6.1085130767932545E-2</v>
      </c>
      <c r="AA16">
        <f>SUMPRODUCT(--('Collapse 52 to 42'!$B$4:$B$55=$A16),'Collapse 52 to 42'!$C$4:$C$55,'Collapse 52 to 42'!AC$4:AC$55)/SUMIFS('Collapse 52 to 42'!$C$4:$C$55,'Collapse 52 to 42'!$B$4:$B$55,$A16)</f>
        <v>6.7835570642595489E-2</v>
      </c>
      <c r="AB16">
        <f>SUMPRODUCT(--('Collapse 52 to 42'!$B$4:$B$55=$A16),'Collapse 52 to 42'!$C$4:$C$55,'Collapse 52 to 42'!AD$4:AD$55)/SUMIFS('Collapse 52 to 42'!$C$4:$C$55,'Collapse 52 to 42'!$B$4:$B$55,$A16)</f>
        <v>7.5688452975809062E-2</v>
      </c>
    </row>
    <row r="17" spans="1:28" x14ac:dyDescent="0.25">
      <c r="A17" t="s">
        <v>261</v>
      </c>
      <c r="B17">
        <f>SUMPRODUCT(--('Collapse 52 to 42'!$B$4:$B$55=$A17),'Collapse 52 to 42'!$C$4:$C$55,'Collapse 52 to 42'!D$4:D$55)/SUMIFS('Collapse 52 to 42'!$C$4:$C$55,'Collapse 52 to 42'!$B$4:$B$55,$A17)</f>
        <v>1.4526829628286553E-2</v>
      </c>
      <c r="C17">
        <f>SUMPRODUCT(--('Collapse 52 to 42'!$B$4:$B$55=$A17),'Collapse 52 to 42'!$C$4:$C$55,'Collapse 52 to 42'!E$4:E$55)/SUMIFS('Collapse 52 to 42'!$C$4:$C$55,'Collapse 52 to 42'!$B$4:$B$55,$A17)</f>
        <v>0</v>
      </c>
      <c r="D17">
        <f>SUMPRODUCT(--('Collapse 52 to 42'!$B$4:$B$55=$A17),'Collapse 52 to 42'!$C$4:$C$55,'Collapse 52 to 42'!F$4:F$55)/SUMIFS('Collapse 52 to 42'!$C$4:$C$55,'Collapse 52 to 42'!$B$4:$B$55,$A17)</f>
        <v>2.0563609513499115E-2</v>
      </c>
      <c r="E17">
        <f>SUMPRODUCT(--('Collapse 52 to 42'!$B$4:$B$55=$A17),'Collapse 52 to 42'!$C$4:$C$55,'Collapse 52 to 42'!G$4:G$55)/SUMIFS('Collapse 52 to 42'!$C$4:$C$55,'Collapse 52 to 42'!$B$4:$B$55,$A17)</f>
        <v>5.2228170314032596E-2</v>
      </c>
      <c r="F17">
        <f>SUMPRODUCT(--('Collapse 52 to 42'!$B$4:$B$55=$A17),'Collapse 52 to 42'!$C$4:$C$55,'Collapse 52 to 42'!H$4:H$55)/SUMIFS('Collapse 52 to 42'!$C$4:$C$55,'Collapse 52 to 42'!$B$4:$B$55,$A17)</f>
        <v>5.0663220139332443E-2</v>
      </c>
      <c r="G17">
        <f>SUMPRODUCT(--('Collapse 52 to 42'!$B$4:$B$55=$A17),'Collapse 52 to 42'!$C$4:$C$55,'Collapse 52 to 42'!I$4:I$55)/SUMIFS('Collapse 52 to 42'!$C$4:$C$55,'Collapse 52 to 42'!$B$4:$B$55,$A17)</f>
        <v>5.8661498527584628E-2</v>
      </c>
      <c r="H17">
        <f>SUMPRODUCT(--('Collapse 52 to 42'!$B$4:$B$55=$A17),'Collapse 52 to 42'!$C$4:$C$55,'Collapse 52 to 42'!J$4:J$55)/SUMIFS('Collapse 52 to 42'!$C$4:$C$55,'Collapse 52 to 42'!$B$4:$B$55,$A17)</f>
        <v>7.8603119460530335E-2</v>
      </c>
      <c r="I17">
        <f>SUMPRODUCT(--('Collapse 52 to 42'!$B$4:$B$55=$A17),'Collapse 52 to 42'!$C$4:$C$55,'Collapse 52 to 42'!K$4:K$55)/SUMIFS('Collapse 52 to 42'!$C$4:$C$55,'Collapse 52 to 42'!$B$4:$B$55,$A17)</f>
        <v>9.4428842831478788E-2</v>
      </c>
      <c r="J17">
        <f>SUMPRODUCT(--('Collapse 52 to 42'!$B$4:$B$55=$A17),'Collapse 52 to 42'!$C$4:$C$55,'Collapse 52 to 42'!L$4:L$55)/SUMIFS('Collapse 52 to 42'!$C$4:$C$55,'Collapse 52 to 42'!$B$4:$B$55,$A17)</f>
        <v>0.11450068099015655</v>
      </c>
      <c r="K17">
        <f>SUMPRODUCT(--('Collapse 52 to 42'!$B$4:$B$55=$A17),'Collapse 52 to 42'!$C$4:$C$55,'Collapse 52 to 42'!M$4:M$55)/SUMIFS('Collapse 52 to 42'!$C$4:$C$55,'Collapse 52 to 42'!$B$4:$B$55,$A17)</f>
        <v>0.13161188599834328</v>
      </c>
      <c r="L17">
        <f>SUMPRODUCT(--('Collapse 52 to 42'!$B$4:$B$55=$A17),'Collapse 52 to 42'!$C$4:$C$55,'Collapse 52 to 42'!N$4:N$55)/SUMIFS('Collapse 52 to 42'!$C$4:$C$55,'Collapse 52 to 42'!$B$4:$B$55,$A17)</f>
        <v>0.13955440626117066</v>
      </c>
      <c r="M17">
        <f>SUMPRODUCT(--('Collapse 52 to 42'!$B$4:$B$55=$A17),'Collapse 52 to 42'!$C$4:$C$55,'Collapse 52 to 42'!O$4:O$55)/SUMIFS('Collapse 52 to 42'!$C$4:$C$55,'Collapse 52 to 42'!$B$4:$B$55,$A17)</f>
        <v>0.15264082251936806</v>
      </c>
      <c r="N17">
        <f>SUMPRODUCT(--('Collapse 52 to 42'!$B$4:$B$55=$A17),'Collapse 52 to 42'!$C$4:$C$55,'Collapse 52 to 42'!P$4:P$55)/SUMIFS('Collapse 52 to 42'!$C$4:$C$55,'Collapse 52 to 42'!$B$4:$B$55,$A17)</f>
        <v>0.15924452245815846</v>
      </c>
      <c r="O17">
        <f>SUMPRODUCT(--('Collapse 52 to 42'!$B$4:$B$55=$A17),'Collapse 52 to 42'!$C$4:$C$55,'Collapse 52 to 42'!Q$4:Q$55)/SUMIFS('Collapse 52 to 42'!$C$4:$C$55,'Collapse 52 to 42'!$B$4:$B$55,$A17)</f>
        <v>0.168461397278169</v>
      </c>
      <c r="P17">
        <f>SUMPRODUCT(--('Collapse 52 to 42'!$B$4:$B$55=$A17),'Collapse 52 to 42'!$C$4:$C$55,'Collapse 52 to 42'!R$4:R$55)/SUMIFS('Collapse 52 to 42'!$C$4:$C$55,'Collapse 52 to 42'!$B$4:$B$55,$A17)</f>
        <v>0.17474317746651291</v>
      </c>
      <c r="Q17">
        <f>SUMPRODUCT(--('Collapse 52 to 42'!$B$4:$B$55=$A17),'Collapse 52 to 42'!$C$4:$C$55,'Collapse 52 to 42'!S$4:S$55)/SUMIFS('Collapse 52 to 42'!$C$4:$C$55,'Collapse 52 to 42'!$B$4:$B$55,$A17)</f>
        <v>0.1795393989625893</v>
      </c>
      <c r="R17">
        <f>SUMPRODUCT(--('Collapse 52 to 42'!$B$4:$B$55=$A17),'Collapse 52 to 42'!$C$4:$C$55,'Collapse 52 to 42'!T$4:T$55)/SUMIFS('Collapse 52 to 42'!$C$4:$C$55,'Collapse 52 to 42'!$B$4:$B$55,$A17)</f>
        <v>0.19050498441174435</v>
      </c>
      <c r="S17">
        <f>SUMPRODUCT(--('Collapse 52 to 42'!$B$4:$B$55=$A17),'Collapse 52 to 42'!$C$4:$C$55,'Collapse 52 to 42'!U$4:U$55)/SUMIFS('Collapse 52 to 42'!$C$4:$C$55,'Collapse 52 to 42'!$B$4:$B$55,$A17)</f>
        <v>0.20295072864666874</v>
      </c>
      <c r="T17">
        <f>SUMPRODUCT(--('Collapse 52 to 42'!$B$4:$B$55=$A17),'Collapse 52 to 42'!$C$4:$C$55,'Collapse 52 to 42'!V$4:V$55)/SUMIFS('Collapse 52 to 42'!$C$4:$C$55,'Collapse 52 to 42'!$B$4:$B$55,$A17)</f>
        <v>0.2145848447276173</v>
      </c>
      <c r="U17">
        <f>SUMPRODUCT(--('Collapse 52 to 42'!$B$4:$B$55=$A17),'Collapse 52 to 42'!$C$4:$C$55,'Collapse 52 to 42'!W$4:W$55)/SUMIFS('Collapse 52 to 42'!$C$4:$C$55,'Collapse 52 to 42'!$B$4:$B$55,$A17)</f>
        <v>0.22365291822810573</v>
      </c>
      <c r="V17">
        <f>SUMPRODUCT(--('Collapse 52 to 42'!$B$4:$B$55=$A17),'Collapse 52 to 42'!$C$4:$C$55,'Collapse 52 to 42'!X$4:X$55)/SUMIFS('Collapse 52 to 42'!$C$4:$C$55,'Collapse 52 to 42'!$B$4:$B$55,$A17)</f>
        <v>0.2323363769598521</v>
      </c>
      <c r="W17">
        <f>SUMPRODUCT(--('Collapse 52 to 42'!$B$4:$B$55=$A17),'Collapse 52 to 42'!$C$4:$C$55,'Collapse 52 to 42'!Y$4:Y$55)/SUMIFS('Collapse 52 to 42'!$C$4:$C$55,'Collapse 52 to 42'!$B$4:$B$55,$A17)</f>
        <v>0.24698066624256754</v>
      </c>
      <c r="X17">
        <f>SUMPRODUCT(--('Collapse 52 to 42'!$B$4:$B$55=$A17),'Collapse 52 to 42'!$C$4:$C$55,'Collapse 52 to 42'!Z$4:Z$55)/SUMIFS('Collapse 52 to 42'!$C$4:$C$55,'Collapse 52 to 42'!$B$4:$B$55,$A17)</f>
        <v>0.2575492767473937</v>
      </c>
      <c r="Y17">
        <f>SUMPRODUCT(--('Collapse 52 to 42'!$B$4:$B$55=$A17),'Collapse 52 to 42'!$C$4:$C$55,'Collapse 52 to 42'!AA$4:AA$55)/SUMIFS('Collapse 52 to 42'!$C$4:$C$55,'Collapse 52 to 42'!$B$4:$B$55,$A17)</f>
        <v>0.27161759937993168</v>
      </c>
      <c r="Z17">
        <f>SUMPRODUCT(--('Collapse 52 to 42'!$B$4:$B$55=$A17),'Collapse 52 to 42'!$C$4:$C$55,'Collapse 52 to 42'!AB$4:AB$55)/SUMIFS('Collapse 52 to 42'!$C$4:$C$55,'Collapse 52 to 42'!$B$4:$B$55,$A17)</f>
        <v>0.28279447078093622</v>
      </c>
      <c r="AA17">
        <f>SUMPRODUCT(--('Collapse 52 to 42'!$B$4:$B$55=$A17),'Collapse 52 to 42'!$C$4:$C$55,'Collapse 52 to 42'!AC$4:AC$55)/SUMIFS('Collapse 52 to 42'!$C$4:$C$55,'Collapse 52 to 42'!$B$4:$B$55,$A17)</f>
        <v>0.28799456320582939</v>
      </c>
      <c r="AB17">
        <f>SUMPRODUCT(--('Collapse 52 to 42'!$B$4:$B$55=$A17),'Collapse 52 to 42'!$C$4:$C$55,'Collapse 52 to 42'!AD$4:AD$55)/SUMIFS('Collapse 52 to 42'!$C$4:$C$55,'Collapse 52 to 42'!$B$4:$B$55,$A17)</f>
        <v>0.29798842846789997</v>
      </c>
    </row>
    <row r="18" spans="1:28" x14ac:dyDescent="0.25">
      <c r="A18" t="s">
        <v>266</v>
      </c>
      <c r="B18">
        <f>SUMPRODUCT(--('Collapse 52 to 42'!$B$4:$B$55=$A18),'Collapse 52 to 42'!$C$4:$C$55,'Collapse 52 to 42'!D$4:D$55)/SUMIFS('Collapse 52 to 42'!$C$4:$C$55,'Collapse 52 to 42'!$B$4:$B$55,$A18)</f>
        <v>-2.7415583099843488E-4</v>
      </c>
      <c r="C18">
        <f>SUMPRODUCT(--('Collapse 52 to 42'!$B$4:$B$55=$A18),'Collapse 52 to 42'!$C$4:$C$55,'Collapse 52 to 42'!E$4:E$55)/SUMIFS('Collapse 52 to 42'!$C$4:$C$55,'Collapse 52 to 42'!$B$4:$B$55,$A18)</f>
        <v>0</v>
      </c>
      <c r="D18">
        <f>SUMPRODUCT(--('Collapse 52 to 42'!$B$4:$B$55=$A18),'Collapse 52 to 42'!$C$4:$C$55,'Collapse 52 to 42'!F$4:F$55)/SUMIFS('Collapse 52 to 42'!$C$4:$C$55,'Collapse 52 to 42'!$B$4:$B$55,$A18)</f>
        <v>-4.7853998918001572E-4</v>
      </c>
      <c r="E18">
        <f>SUMPRODUCT(--('Collapse 52 to 42'!$B$4:$B$55=$A18),'Collapse 52 to 42'!$C$4:$C$55,'Collapse 52 to 42'!G$4:G$55)/SUMIFS('Collapse 52 to 42'!$C$4:$C$55,'Collapse 52 to 42'!$B$4:$B$55,$A18)</f>
        <v>5.9915763648581422E-3</v>
      </c>
      <c r="F18">
        <f>SUMPRODUCT(--('Collapse 52 to 42'!$B$4:$B$55=$A18),'Collapse 52 to 42'!$C$4:$C$55,'Collapse 52 to 42'!H$4:H$55)/SUMIFS('Collapse 52 to 42'!$C$4:$C$55,'Collapse 52 to 42'!$B$4:$B$55,$A18)</f>
        <v>1.1429205798839437E-2</v>
      </c>
      <c r="G18">
        <f>SUMPRODUCT(--('Collapse 52 to 42'!$B$4:$B$55=$A18),'Collapse 52 to 42'!$C$4:$C$55,'Collapse 52 to 42'!I$4:I$55)/SUMIFS('Collapse 52 to 42'!$C$4:$C$55,'Collapse 52 to 42'!$B$4:$B$55,$A18)</f>
        <v>1.5239114232235897E-2</v>
      </c>
      <c r="H18">
        <f>SUMPRODUCT(--('Collapse 52 to 42'!$B$4:$B$55=$A18),'Collapse 52 to 42'!$C$4:$C$55,'Collapse 52 to 42'!J$4:J$55)/SUMIFS('Collapse 52 to 42'!$C$4:$C$55,'Collapse 52 to 42'!$B$4:$B$55,$A18)</f>
        <v>2.0028608499080613E-2</v>
      </c>
      <c r="I18">
        <f>SUMPRODUCT(--('Collapse 52 to 42'!$B$4:$B$55=$A18),'Collapse 52 to 42'!$C$4:$C$55,'Collapse 52 to 42'!K$4:K$55)/SUMIFS('Collapse 52 to 42'!$C$4:$C$55,'Collapse 52 to 42'!$B$4:$B$55,$A18)</f>
        <v>2.5211708686958767E-2</v>
      </c>
      <c r="J18">
        <f>SUMPRODUCT(--('Collapse 52 to 42'!$B$4:$B$55=$A18),'Collapse 52 to 42'!$C$4:$C$55,'Collapse 52 to 42'!L$4:L$55)/SUMIFS('Collapse 52 to 42'!$C$4:$C$55,'Collapse 52 to 42'!$B$4:$B$55,$A18)</f>
        <v>3.1631935301196012E-2</v>
      </c>
      <c r="K18">
        <f>SUMPRODUCT(--('Collapse 52 to 42'!$B$4:$B$55=$A18),'Collapse 52 to 42'!$C$4:$C$55,'Collapse 52 to 42'!M$4:M$55)/SUMIFS('Collapse 52 to 42'!$C$4:$C$55,'Collapse 52 to 42'!$B$4:$B$55,$A18)</f>
        <v>3.9536597399643769E-2</v>
      </c>
      <c r="L18">
        <f>SUMPRODUCT(--('Collapse 52 to 42'!$B$4:$B$55=$A18),'Collapse 52 to 42'!$C$4:$C$55,'Collapse 52 to 42'!N$4:N$55)/SUMIFS('Collapse 52 to 42'!$C$4:$C$55,'Collapse 52 to 42'!$B$4:$B$55,$A18)</f>
        <v>4.8607821791947226E-2</v>
      </c>
      <c r="M18">
        <f>SUMPRODUCT(--('Collapse 52 to 42'!$B$4:$B$55=$A18),'Collapse 52 to 42'!$C$4:$C$55,'Collapse 52 to 42'!O$4:O$55)/SUMIFS('Collapse 52 to 42'!$C$4:$C$55,'Collapse 52 to 42'!$B$4:$B$55,$A18)</f>
        <v>5.9176011336610879E-2</v>
      </c>
      <c r="N18">
        <f>SUMPRODUCT(--('Collapse 52 to 42'!$B$4:$B$55=$A18),'Collapse 52 to 42'!$C$4:$C$55,'Collapse 52 to 42'!P$4:P$55)/SUMIFS('Collapse 52 to 42'!$C$4:$C$55,'Collapse 52 to 42'!$B$4:$B$55,$A18)</f>
        <v>7.0293507520433396E-2</v>
      </c>
      <c r="O18">
        <f>SUMPRODUCT(--('Collapse 52 to 42'!$B$4:$B$55=$A18),'Collapse 52 to 42'!$C$4:$C$55,'Collapse 52 to 42'!Q$4:Q$55)/SUMIFS('Collapse 52 to 42'!$C$4:$C$55,'Collapse 52 to 42'!$B$4:$B$55,$A18)</f>
        <v>8.1353497546359455E-2</v>
      </c>
      <c r="P18">
        <f>SUMPRODUCT(--('Collapse 52 to 42'!$B$4:$B$55=$A18),'Collapse 52 to 42'!$C$4:$C$55,'Collapse 52 to 42'!R$4:R$55)/SUMIFS('Collapse 52 to 42'!$C$4:$C$55,'Collapse 52 to 42'!$B$4:$B$55,$A18)</f>
        <v>9.247310695601163E-2</v>
      </c>
      <c r="Q18">
        <f>SUMPRODUCT(--('Collapse 52 to 42'!$B$4:$B$55=$A18),'Collapse 52 to 42'!$C$4:$C$55,'Collapse 52 to 42'!S$4:S$55)/SUMIFS('Collapse 52 to 42'!$C$4:$C$55,'Collapse 52 to 42'!$B$4:$B$55,$A18)</f>
        <v>0.10351261630160313</v>
      </c>
      <c r="R18">
        <f>SUMPRODUCT(--('Collapse 52 to 42'!$B$4:$B$55=$A18),'Collapse 52 to 42'!$C$4:$C$55,'Collapse 52 to 42'!T$4:T$55)/SUMIFS('Collapse 52 to 42'!$C$4:$C$55,'Collapse 52 to 42'!$B$4:$B$55,$A18)</f>
        <v>0.11464059056349842</v>
      </c>
      <c r="S18">
        <f>SUMPRODUCT(--('Collapse 52 to 42'!$B$4:$B$55=$A18),'Collapse 52 to 42'!$C$4:$C$55,'Collapse 52 to 42'!U$4:U$55)/SUMIFS('Collapse 52 to 42'!$C$4:$C$55,'Collapse 52 to 42'!$B$4:$B$55,$A18)</f>
        <v>0.12597379427390742</v>
      </c>
      <c r="T18">
        <f>SUMPRODUCT(--('Collapse 52 to 42'!$B$4:$B$55=$A18),'Collapse 52 to 42'!$C$4:$C$55,'Collapse 52 to 42'!V$4:V$55)/SUMIFS('Collapse 52 to 42'!$C$4:$C$55,'Collapse 52 to 42'!$B$4:$B$55,$A18)</f>
        <v>0.13738905278227009</v>
      </c>
      <c r="U18">
        <f>SUMPRODUCT(--('Collapse 52 to 42'!$B$4:$B$55=$A18),'Collapse 52 to 42'!$C$4:$C$55,'Collapse 52 to 42'!W$4:W$55)/SUMIFS('Collapse 52 to 42'!$C$4:$C$55,'Collapse 52 to 42'!$B$4:$B$55,$A18)</f>
        <v>0.14879702946662676</v>
      </c>
      <c r="V18">
        <f>SUMPRODUCT(--('Collapse 52 to 42'!$B$4:$B$55=$A18),'Collapse 52 to 42'!$C$4:$C$55,'Collapse 52 to 42'!X$4:X$55)/SUMIFS('Collapse 52 to 42'!$C$4:$C$55,'Collapse 52 to 42'!$B$4:$B$55,$A18)</f>
        <v>0.16003050652808004</v>
      </c>
      <c r="W18">
        <f>SUMPRODUCT(--('Collapse 52 to 42'!$B$4:$B$55=$A18),'Collapse 52 to 42'!$C$4:$C$55,'Collapse 52 to 42'!Y$4:Y$55)/SUMIFS('Collapse 52 to 42'!$C$4:$C$55,'Collapse 52 to 42'!$B$4:$B$55,$A18)</f>
        <v>0.17106563973518218</v>
      </c>
      <c r="X18">
        <f>SUMPRODUCT(--('Collapse 52 to 42'!$B$4:$B$55=$A18),'Collapse 52 to 42'!$C$4:$C$55,'Collapse 52 to 42'!Z$4:Z$55)/SUMIFS('Collapse 52 to 42'!$C$4:$C$55,'Collapse 52 to 42'!$B$4:$B$55,$A18)</f>
        <v>0.18180792386779898</v>
      </c>
      <c r="Y18">
        <f>SUMPRODUCT(--('Collapse 52 to 42'!$B$4:$B$55=$A18),'Collapse 52 to 42'!$C$4:$C$55,'Collapse 52 to 42'!AA$4:AA$55)/SUMIFS('Collapse 52 to 42'!$C$4:$C$55,'Collapse 52 to 42'!$B$4:$B$55,$A18)</f>
        <v>0.19208552725063677</v>
      </c>
      <c r="Z18">
        <f>SUMPRODUCT(--('Collapse 52 to 42'!$B$4:$B$55=$A18),'Collapse 52 to 42'!$C$4:$C$55,'Collapse 52 to 42'!AB$4:AB$55)/SUMIFS('Collapse 52 to 42'!$C$4:$C$55,'Collapse 52 to 42'!$B$4:$B$55,$A18)</f>
        <v>0.20175592160657696</v>
      </c>
      <c r="AA18">
        <f>SUMPRODUCT(--('Collapse 52 to 42'!$B$4:$B$55=$A18),'Collapse 52 to 42'!$C$4:$C$55,'Collapse 52 to 42'!AC$4:AC$55)/SUMIFS('Collapse 52 to 42'!$C$4:$C$55,'Collapse 52 to 42'!$B$4:$B$55,$A18)</f>
        <v>0.21075584223733679</v>
      </c>
      <c r="AB18">
        <f>SUMPRODUCT(--('Collapse 52 to 42'!$B$4:$B$55=$A18),'Collapse 52 to 42'!$C$4:$C$55,'Collapse 52 to 42'!AD$4:AD$55)/SUMIFS('Collapse 52 to 42'!$C$4:$C$55,'Collapse 52 to 42'!$B$4:$B$55,$A18)</f>
        <v>0.2193345881550908</v>
      </c>
    </row>
    <row r="19" spans="1:28" x14ac:dyDescent="0.25">
      <c r="A19" t="s">
        <v>273</v>
      </c>
      <c r="B19">
        <f>SUMPRODUCT(--('Collapse 52 to 42'!$B$4:$B$55=$A19),'Collapse 52 to 42'!$C$4:$C$55,'Collapse 52 to 42'!D$4:D$55)/SUMIFS('Collapse 52 to 42'!$C$4:$C$55,'Collapse 52 to 42'!$B$4:$B$55,$A19)</f>
        <v>-2.5184411281869434E-2</v>
      </c>
      <c r="C19">
        <f>SUMPRODUCT(--('Collapse 52 to 42'!$B$4:$B$55=$A19),'Collapse 52 to 42'!$C$4:$C$55,'Collapse 52 to 42'!E$4:E$55)/SUMIFS('Collapse 52 to 42'!$C$4:$C$55,'Collapse 52 to 42'!$B$4:$B$55,$A19)</f>
        <v>0</v>
      </c>
      <c r="D19">
        <f>SUMPRODUCT(--('Collapse 52 to 42'!$B$4:$B$55=$A19),'Collapse 52 to 42'!$C$4:$C$55,'Collapse 52 to 42'!F$4:F$55)/SUMIFS('Collapse 52 to 42'!$C$4:$C$55,'Collapse 52 to 42'!$B$4:$B$55,$A19)</f>
        <v>2.1302773500079919E-2</v>
      </c>
      <c r="E19">
        <f>SUMPRODUCT(--('Collapse 52 to 42'!$B$4:$B$55=$A19),'Collapse 52 to 42'!$C$4:$C$55,'Collapse 52 to 42'!G$4:G$55)/SUMIFS('Collapse 52 to 42'!$C$4:$C$55,'Collapse 52 to 42'!$B$4:$B$55,$A19)</f>
        <v>3.9069346637664371E-2</v>
      </c>
      <c r="F19">
        <f>SUMPRODUCT(--('Collapse 52 to 42'!$B$4:$B$55=$A19),'Collapse 52 to 42'!$C$4:$C$55,'Collapse 52 to 42'!H$4:H$55)/SUMIFS('Collapse 52 to 42'!$C$4:$C$55,'Collapse 52 to 42'!$B$4:$B$55,$A19)</f>
        <v>3.0028686183286798E-2</v>
      </c>
      <c r="G19">
        <f>SUMPRODUCT(--('Collapse 52 to 42'!$B$4:$B$55=$A19),'Collapse 52 to 42'!$C$4:$C$55,'Collapse 52 to 42'!I$4:I$55)/SUMIFS('Collapse 52 to 42'!$C$4:$C$55,'Collapse 52 to 42'!$B$4:$B$55,$A19)</f>
        <v>2.6186195268342871E-2</v>
      </c>
      <c r="H19">
        <f>SUMPRODUCT(--('Collapse 52 to 42'!$B$4:$B$55=$A19),'Collapse 52 to 42'!$C$4:$C$55,'Collapse 52 to 42'!J$4:J$55)/SUMIFS('Collapse 52 to 42'!$C$4:$C$55,'Collapse 52 to 42'!$B$4:$B$55,$A19)</f>
        <v>2.5972460337102765E-2</v>
      </c>
      <c r="I19">
        <f>SUMPRODUCT(--('Collapse 52 to 42'!$B$4:$B$55=$A19),'Collapse 52 to 42'!$C$4:$C$55,'Collapse 52 to 42'!K$4:K$55)/SUMIFS('Collapse 52 to 42'!$C$4:$C$55,'Collapse 52 to 42'!$B$4:$B$55,$A19)</f>
        <v>2.7249551932587934E-2</v>
      </c>
      <c r="J19">
        <f>SUMPRODUCT(--('Collapse 52 to 42'!$B$4:$B$55=$A19),'Collapse 52 to 42'!$C$4:$C$55,'Collapse 52 to 42'!L$4:L$55)/SUMIFS('Collapse 52 to 42'!$C$4:$C$55,'Collapse 52 to 42'!$B$4:$B$55,$A19)</f>
        <v>3.7020234092398185E-2</v>
      </c>
      <c r="K19">
        <f>SUMPRODUCT(--('Collapse 52 to 42'!$B$4:$B$55=$A19),'Collapse 52 to 42'!$C$4:$C$55,'Collapse 52 to 42'!M$4:M$55)/SUMIFS('Collapse 52 to 42'!$C$4:$C$55,'Collapse 52 to 42'!$B$4:$B$55,$A19)</f>
        <v>4.4536429303661196E-2</v>
      </c>
      <c r="L19">
        <f>SUMPRODUCT(--('Collapse 52 to 42'!$B$4:$B$55=$A19),'Collapse 52 to 42'!$C$4:$C$55,'Collapse 52 to 42'!N$4:N$55)/SUMIFS('Collapse 52 to 42'!$C$4:$C$55,'Collapse 52 to 42'!$B$4:$B$55,$A19)</f>
        <v>5.7568104130743862E-2</v>
      </c>
      <c r="M19">
        <f>SUMPRODUCT(--('Collapse 52 to 42'!$B$4:$B$55=$A19),'Collapse 52 to 42'!$C$4:$C$55,'Collapse 52 to 42'!O$4:O$55)/SUMIFS('Collapse 52 to 42'!$C$4:$C$55,'Collapse 52 to 42'!$B$4:$B$55,$A19)</f>
        <v>7.0058310685966907E-2</v>
      </c>
      <c r="N19">
        <f>SUMPRODUCT(--('Collapse 52 to 42'!$B$4:$B$55=$A19),'Collapse 52 to 42'!$C$4:$C$55,'Collapse 52 to 42'!P$4:P$55)/SUMIFS('Collapse 52 to 42'!$C$4:$C$55,'Collapse 52 to 42'!$B$4:$B$55,$A19)</f>
        <v>7.8524653793325738E-2</v>
      </c>
      <c r="O19">
        <f>SUMPRODUCT(--('Collapse 52 to 42'!$B$4:$B$55=$A19),'Collapse 52 to 42'!$C$4:$C$55,'Collapse 52 to 42'!Q$4:Q$55)/SUMIFS('Collapse 52 to 42'!$C$4:$C$55,'Collapse 52 to 42'!$B$4:$B$55,$A19)</f>
        <v>8.8045109928002852E-2</v>
      </c>
      <c r="P19">
        <f>SUMPRODUCT(--('Collapse 52 to 42'!$B$4:$B$55=$A19),'Collapse 52 to 42'!$C$4:$C$55,'Collapse 52 to 42'!R$4:R$55)/SUMIFS('Collapse 52 to 42'!$C$4:$C$55,'Collapse 52 to 42'!$B$4:$B$55,$A19)</f>
        <v>9.9390910398549734E-2</v>
      </c>
      <c r="Q19">
        <f>SUMPRODUCT(--('Collapse 52 to 42'!$B$4:$B$55=$A19),'Collapse 52 to 42'!$C$4:$C$55,'Collapse 52 to 42'!S$4:S$55)/SUMIFS('Collapse 52 to 42'!$C$4:$C$55,'Collapse 52 to 42'!$B$4:$B$55,$A19)</f>
        <v>0.10722146339490646</v>
      </c>
      <c r="R19">
        <f>SUMPRODUCT(--('Collapse 52 to 42'!$B$4:$B$55=$A19),'Collapse 52 to 42'!$C$4:$C$55,'Collapse 52 to 42'!T$4:T$55)/SUMIFS('Collapse 52 to 42'!$C$4:$C$55,'Collapse 52 to 42'!$B$4:$B$55,$A19)</f>
        <v>0.11817756463796057</v>
      </c>
      <c r="S19">
        <f>SUMPRODUCT(--('Collapse 52 to 42'!$B$4:$B$55=$A19),'Collapse 52 to 42'!$C$4:$C$55,'Collapse 52 to 42'!U$4:U$55)/SUMIFS('Collapse 52 to 42'!$C$4:$C$55,'Collapse 52 to 42'!$B$4:$B$55,$A19)</f>
        <v>0.12828463396166345</v>
      </c>
      <c r="T19">
        <f>SUMPRODUCT(--('Collapse 52 to 42'!$B$4:$B$55=$A19),'Collapse 52 to 42'!$C$4:$C$55,'Collapse 52 to 42'!V$4:V$55)/SUMIFS('Collapse 52 to 42'!$C$4:$C$55,'Collapse 52 to 42'!$B$4:$B$55,$A19)</f>
        <v>0.13952764892829439</v>
      </c>
      <c r="U19">
        <f>SUMPRODUCT(--('Collapse 52 to 42'!$B$4:$B$55=$A19),'Collapse 52 to 42'!$C$4:$C$55,'Collapse 52 to 42'!W$4:W$55)/SUMIFS('Collapse 52 to 42'!$C$4:$C$55,'Collapse 52 to 42'!$B$4:$B$55,$A19)</f>
        <v>0.15106662787390324</v>
      </c>
      <c r="V19">
        <f>SUMPRODUCT(--('Collapse 52 to 42'!$B$4:$B$55=$A19),'Collapse 52 to 42'!$C$4:$C$55,'Collapse 52 to 42'!X$4:X$55)/SUMIFS('Collapse 52 to 42'!$C$4:$C$55,'Collapse 52 to 42'!$B$4:$B$55,$A19)</f>
        <v>0.16742332399140514</v>
      </c>
      <c r="W19">
        <f>SUMPRODUCT(--('Collapse 52 to 42'!$B$4:$B$55=$A19),'Collapse 52 to 42'!$C$4:$C$55,'Collapse 52 to 42'!Y$4:Y$55)/SUMIFS('Collapse 52 to 42'!$C$4:$C$55,'Collapse 52 to 42'!$B$4:$B$55,$A19)</f>
        <v>0.18328861831404231</v>
      </c>
      <c r="X19">
        <f>SUMPRODUCT(--('Collapse 52 to 42'!$B$4:$B$55=$A19),'Collapse 52 to 42'!$C$4:$C$55,'Collapse 52 to 42'!Z$4:Z$55)/SUMIFS('Collapse 52 to 42'!$C$4:$C$55,'Collapse 52 to 42'!$B$4:$B$55,$A19)</f>
        <v>0.1973032901123799</v>
      </c>
      <c r="Y19">
        <f>SUMPRODUCT(--('Collapse 52 to 42'!$B$4:$B$55=$A19),'Collapse 52 to 42'!$C$4:$C$55,'Collapse 52 to 42'!AA$4:AA$55)/SUMIFS('Collapse 52 to 42'!$C$4:$C$55,'Collapse 52 to 42'!$B$4:$B$55,$A19)</f>
        <v>0.20466663656575812</v>
      </c>
      <c r="Z19">
        <f>SUMPRODUCT(--('Collapse 52 to 42'!$B$4:$B$55=$A19),'Collapse 52 to 42'!$C$4:$C$55,'Collapse 52 to 42'!AB$4:AB$55)/SUMIFS('Collapse 52 to 42'!$C$4:$C$55,'Collapse 52 to 42'!$B$4:$B$55,$A19)</f>
        <v>0.20892203893732519</v>
      </c>
      <c r="AA19">
        <f>SUMPRODUCT(--('Collapse 52 to 42'!$B$4:$B$55=$A19),'Collapse 52 to 42'!$C$4:$C$55,'Collapse 52 to 42'!AC$4:AC$55)/SUMIFS('Collapse 52 to 42'!$C$4:$C$55,'Collapse 52 to 42'!$B$4:$B$55,$A19)</f>
        <v>0.22191662963383599</v>
      </c>
      <c r="AB19">
        <f>SUMPRODUCT(--('Collapse 52 to 42'!$B$4:$B$55=$A19),'Collapse 52 to 42'!$C$4:$C$55,'Collapse 52 to 42'!AD$4:AD$55)/SUMIFS('Collapse 52 to 42'!$C$4:$C$55,'Collapse 52 to 42'!$B$4:$B$55,$A19)</f>
        <v>0.2337134054913077</v>
      </c>
    </row>
    <row r="20" spans="1:28" x14ac:dyDescent="0.25">
      <c r="A20" t="s">
        <v>299</v>
      </c>
      <c r="B20">
        <f>SUMPRODUCT(--('Collapse 52 to 42'!$B$4:$B$55=$A20),'Collapse 52 to 42'!$C$4:$C$55,'Collapse 52 to 42'!D$4:D$55)/SUMIFS('Collapse 52 to 42'!$C$4:$C$55,'Collapse 52 to 42'!$B$4:$B$55,$A20)</f>
        <v>7.0086543609783281E-2</v>
      </c>
      <c r="C20">
        <f>SUMPRODUCT(--('Collapse 52 to 42'!$B$4:$B$55=$A20),'Collapse 52 to 42'!$C$4:$C$55,'Collapse 52 to 42'!E$4:E$55)/SUMIFS('Collapse 52 to 42'!$C$4:$C$55,'Collapse 52 to 42'!$B$4:$B$55,$A20)</f>
        <v>0</v>
      </c>
      <c r="D20">
        <f>SUMPRODUCT(--('Collapse 52 to 42'!$B$4:$B$55=$A20),'Collapse 52 to 42'!$C$4:$C$55,'Collapse 52 to 42'!F$4:F$55)/SUMIFS('Collapse 52 to 42'!$C$4:$C$55,'Collapse 52 to 42'!$B$4:$B$55,$A20)</f>
        <v>1.0492355573263001E-2</v>
      </c>
      <c r="E20">
        <f>SUMPRODUCT(--('Collapse 52 to 42'!$B$4:$B$55=$A20),'Collapse 52 to 42'!$C$4:$C$55,'Collapse 52 to 42'!G$4:G$55)/SUMIFS('Collapse 52 to 42'!$C$4:$C$55,'Collapse 52 to 42'!$B$4:$B$55,$A20)</f>
        <v>4.8356484395529531E-2</v>
      </c>
      <c r="F20">
        <f>SUMPRODUCT(--('Collapse 52 to 42'!$B$4:$B$55=$A20),'Collapse 52 to 42'!$C$4:$C$55,'Collapse 52 to 42'!H$4:H$55)/SUMIFS('Collapse 52 to 42'!$C$4:$C$55,'Collapse 52 to 42'!$B$4:$B$55,$A20)</f>
        <v>7.3467057953184201E-2</v>
      </c>
      <c r="G20">
        <f>SUMPRODUCT(--('Collapse 52 to 42'!$B$4:$B$55=$A20),'Collapse 52 to 42'!$C$4:$C$55,'Collapse 52 to 42'!I$4:I$55)/SUMIFS('Collapse 52 to 42'!$C$4:$C$55,'Collapse 52 to 42'!$B$4:$B$55,$A20)</f>
        <v>0.10079407466659118</v>
      </c>
      <c r="H20">
        <f>SUMPRODUCT(--('Collapse 52 to 42'!$B$4:$B$55=$A20),'Collapse 52 to 42'!$C$4:$C$55,'Collapse 52 to 42'!J$4:J$55)/SUMIFS('Collapse 52 to 42'!$C$4:$C$55,'Collapse 52 to 42'!$B$4:$B$55,$A20)</f>
        <v>0.12330206200222316</v>
      </c>
      <c r="I20">
        <f>SUMPRODUCT(--('Collapse 52 to 42'!$B$4:$B$55=$A20),'Collapse 52 to 42'!$C$4:$C$55,'Collapse 52 to 42'!K$4:K$55)/SUMIFS('Collapse 52 to 42'!$C$4:$C$55,'Collapse 52 to 42'!$B$4:$B$55,$A20)</f>
        <v>0.14133544878732107</v>
      </c>
      <c r="J20">
        <f>SUMPRODUCT(--('Collapse 52 to 42'!$B$4:$B$55=$A20),'Collapse 52 to 42'!$C$4:$C$55,'Collapse 52 to 42'!L$4:L$55)/SUMIFS('Collapse 52 to 42'!$C$4:$C$55,'Collapse 52 to 42'!$B$4:$B$55,$A20)</f>
        <v>0.16324674473355349</v>
      </c>
      <c r="K20">
        <f>SUMPRODUCT(--('Collapse 52 to 42'!$B$4:$B$55=$A20),'Collapse 52 to 42'!$C$4:$C$55,'Collapse 52 to 42'!M$4:M$55)/SUMIFS('Collapse 52 to 42'!$C$4:$C$55,'Collapse 52 to 42'!$B$4:$B$55,$A20)</f>
        <v>0.17933420227257146</v>
      </c>
      <c r="L20">
        <f>SUMPRODUCT(--('Collapse 52 to 42'!$B$4:$B$55=$A20),'Collapse 52 to 42'!$C$4:$C$55,'Collapse 52 to 42'!N$4:N$55)/SUMIFS('Collapse 52 to 42'!$C$4:$C$55,'Collapse 52 to 42'!$B$4:$B$55,$A20)</f>
        <v>0.20014681087249686</v>
      </c>
      <c r="M20">
        <f>SUMPRODUCT(--('Collapse 52 to 42'!$B$4:$B$55=$A20),'Collapse 52 to 42'!$C$4:$C$55,'Collapse 52 to 42'!O$4:O$55)/SUMIFS('Collapse 52 to 42'!$C$4:$C$55,'Collapse 52 to 42'!$B$4:$B$55,$A20)</f>
        <v>0.22472258954933699</v>
      </c>
      <c r="N20">
        <f>SUMPRODUCT(--('Collapse 52 to 42'!$B$4:$B$55=$A20),'Collapse 52 to 42'!$C$4:$C$55,'Collapse 52 to 42'!P$4:P$55)/SUMIFS('Collapse 52 to 42'!$C$4:$C$55,'Collapse 52 to 42'!$B$4:$B$55,$A20)</f>
        <v>0.24906050489501519</v>
      </c>
      <c r="O20">
        <f>SUMPRODUCT(--('Collapse 52 to 42'!$B$4:$B$55=$A20),'Collapse 52 to 42'!$C$4:$C$55,'Collapse 52 to 42'!Q$4:Q$55)/SUMIFS('Collapse 52 to 42'!$C$4:$C$55,'Collapse 52 to 42'!$B$4:$B$55,$A20)</f>
        <v>0.27530471937896595</v>
      </c>
      <c r="P20">
        <f>SUMPRODUCT(--('Collapse 52 to 42'!$B$4:$B$55=$A20),'Collapse 52 to 42'!$C$4:$C$55,'Collapse 52 to 42'!R$4:R$55)/SUMIFS('Collapse 52 to 42'!$C$4:$C$55,'Collapse 52 to 42'!$B$4:$B$55,$A20)</f>
        <v>0.30152755996640734</v>
      </c>
      <c r="Q20">
        <f>SUMPRODUCT(--('Collapse 52 to 42'!$B$4:$B$55=$A20),'Collapse 52 to 42'!$C$4:$C$55,'Collapse 52 to 42'!S$4:S$55)/SUMIFS('Collapse 52 to 42'!$C$4:$C$55,'Collapse 52 to 42'!$B$4:$B$55,$A20)</f>
        <v>0.32992921748058834</v>
      </c>
      <c r="R20">
        <f>SUMPRODUCT(--('Collapse 52 to 42'!$B$4:$B$55=$A20),'Collapse 52 to 42'!$C$4:$C$55,'Collapse 52 to 42'!T$4:T$55)/SUMIFS('Collapse 52 to 42'!$C$4:$C$55,'Collapse 52 to 42'!$B$4:$B$55,$A20)</f>
        <v>0.35949234649014694</v>
      </c>
      <c r="S20">
        <f>SUMPRODUCT(--('Collapse 52 to 42'!$B$4:$B$55=$A20),'Collapse 52 to 42'!$C$4:$C$55,'Collapse 52 to 42'!U$4:U$55)/SUMIFS('Collapse 52 to 42'!$C$4:$C$55,'Collapse 52 to 42'!$B$4:$B$55,$A20)</f>
        <v>0.38856268668492921</v>
      </c>
      <c r="T20">
        <f>SUMPRODUCT(--('Collapse 52 to 42'!$B$4:$B$55=$A20),'Collapse 52 to 42'!$C$4:$C$55,'Collapse 52 to 42'!V$4:V$55)/SUMIFS('Collapse 52 to 42'!$C$4:$C$55,'Collapse 52 to 42'!$B$4:$B$55,$A20)</f>
        <v>0.41988546446511843</v>
      </c>
      <c r="U20">
        <f>SUMPRODUCT(--('Collapse 52 to 42'!$B$4:$B$55=$A20),'Collapse 52 to 42'!$C$4:$C$55,'Collapse 52 to 42'!W$4:W$55)/SUMIFS('Collapse 52 to 42'!$C$4:$C$55,'Collapse 52 to 42'!$B$4:$B$55,$A20)</f>
        <v>0.4529534917849416</v>
      </c>
      <c r="V20">
        <f>SUMPRODUCT(--('Collapse 52 to 42'!$B$4:$B$55=$A20),'Collapse 52 to 42'!$C$4:$C$55,'Collapse 52 to 42'!X$4:X$55)/SUMIFS('Collapse 52 to 42'!$C$4:$C$55,'Collapse 52 to 42'!$B$4:$B$55,$A20)</f>
        <v>0.48951884693604009</v>
      </c>
      <c r="W20">
        <f>SUMPRODUCT(--('Collapse 52 to 42'!$B$4:$B$55=$A20),'Collapse 52 to 42'!$C$4:$C$55,'Collapse 52 to 42'!Y$4:Y$55)/SUMIFS('Collapse 52 to 42'!$C$4:$C$55,'Collapse 52 to 42'!$B$4:$B$55,$A20)</f>
        <v>0.5281465046486884</v>
      </c>
      <c r="X20">
        <f>SUMPRODUCT(--('Collapse 52 to 42'!$B$4:$B$55=$A20),'Collapse 52 to 42'!$C$4:$C$55,'Collapse 52 to 42'!Z$4:Z$55)/SUMIFS('Collapse 52 to 42'!$C$4:$C$55,'Collapse 52 to 42'!$B$4:$B$55,$A20)</f>
        <v>0.56879667917400689</v>
      </c>
      <c r="Y20">
        <f>SUMPRODUCT(--('Collapse 52 to 42'!$B$4:$B$55=$A20),'Collapse 52 to 42'!$C$4:$C$55,'Collapse 52 to 42'!AA$4:AA$55)/SUMIFS('Collapse 52 to 42'!$C$4:$C$55,'Collapse 52 to 42'!$B$4:$B$55,$A20)</f>
        <v>0.60799282319564574</v>
      </c>
      <c r="Z20">
        <f>SUMPRODUCT(--('Collapse 52 to 42'!$B$4:$B$55=$A20),'Collapse 52 to 42'!$C$4:$C$55,'Collapse 52 to 42'!AB$4:AB$55)/SUMIFS('Collapse 52 to 42'!$C$4:$C$55,'Collapse 52 to 42'!$B$4:$B$55,$A20)</f>
        <v>0.64739068777339526</v>
      </c>
      <c r="AA20">
        <f>SUMPRODUCT(--('Collapse 52 to 42'!$B$4:$B$55=$A20),'Collapse 52 to 42'!$C$4:$C$55,'Collapse 52 to 42'!AC$4:AC$55)/SUMIFS('Collapse 52 to 42'!$C$4:$C$55,'Collapse 52 to 42'!$B$4:$B$55,$A20)</f>
        <v>0.6875859210150983</v>
      </c>
      <c r="AB20">
        <f>SUMPRODUCT(--('Collapse 52 to 42'!$B$4:$B$55=$A20),'Collapse 52 to 42'!$C$4:$C$55,'Collapse 52 to 42'!AD$4:AD$55)/SUMIFS('Collapse 52 to 42'!$C$4:$C$55,'Collapse 52 to 42'!$B$4:$B$55,$A20)</f>
        <v>0.72348675202047286</v>
      </c>
    </row>
    <row r="21" spans="1:28" x14ac:dyDescent="0.25">
      <c r="A21" t="s">
        <v>314</v>
      </c>
      <c r="B21">
        <f>SUMPRODUCT(--('Collapse 52 to 42'!$B$4:$B$55=$A21),'Collapse 52 to 42'!$C$4:$C$55,'Collapse 52 to 42'!D$4:D$55)/SUMIFS('Collapse 52 to 42'!$C$4:$C$55,'Collapse 52 to 42'!$B$4:$B$55,$A21)</f>
        <v>-9.4928378918165413E-3</v>
      </c>
      <c r="C21">
        <f>SUMPRODUCT(--('Collapse 52 to 42'!$B$4:$B$55=$A21),'Collapse 52 to 42'!$C$4:$C$55,'Collapse 52 to 42'!E$4:E$55)/SUMIFS('Collapse 52 to 42'!$C$4:$C$55,'Collapse 52 to 42'!$B$4:$B$55,$A21)</f>
        <v>0</v>
      </c>
      <c r="D21">
        <f>SUMPRODUCT(--('Collapse 52 to 42'!$B$4:$B$55=$A21),'Collapse 52 to 42'!$C$4:$C$55,'Collapse 52 to 42'!F$4:F$55)/SUMIFS('Collapse 52 to 42'!$C$4:$C$55,'Collapse 52 to 42'!$B$4:$B$55,$A21)</f>
        <v>-1.3180751806413871E-2</v>
      </c>
      <c r="E21">
        <f>SUMPRODUCT(--('Collapse 52 to 42'!$B$4:$B$55=$A21),'Collapse 52 to 42'!$C$4:$C$55,'Collapse 52 to 42'!G$4:G$55)/SUMIFS('Collapse 52 to 42'!$C$4:$C$55,'Collapse 52 to 42'!$B$4:$B$55,$A21)</f>
        <v>-1.860418843505407E-2</v>
      </c>
      <c r="F21">
        <f>SUMPRODUCT(--('Collapse 52 to 42'!$B$4:$B$55=$A21),'Collapse 52 to 42'!$C$4:$C$55,'Collapse 52 to 42'!H$4:H$55)/SUMIFS('Collapse 52 to 42'!$C$4:$C$55,'Collapse 52 to 42'!$B$4:$B$55,$A21)</f>
        <v>-3.3972805562477504E-2</v>
      </c>
      <c r="G21">
        <f>SUMPRODUCT(--('Collapse 52 to 42'!$B$4:$B$55=$A21),'Collapse 52 to 42'!$C$4:$C$55,'Collapse 52 to 42'!I$4:I$55)/SUMIFS('Collapse 52 to 42'!$C$4:$C$55,'Collapse 52 to 42'!$B$4:$B$55,$A21)</f>
        <v>-3.754328673434959E-2</v>
      </c>
      <c r="H21">
        <f>SUMPRODUCT(--('Collapse 52 to 42'!$B$4:$B$55=$A21),'Collapse 52 to 42'!$C$4:$C$55,'Collapse 52 to 42'!J$4:J$55)/SUMIFS('Collapse 52 to 42'!$C$4:$C$55,'Collapse 52 to 42'!$B$4:$B$55,$A21)</f>
        <v>-2.0187434052389763E-2</v>
      </c>
      <c r="I21">
        <f>SUMPRODUCT(--('Collapse 52 to 42'!$B$4:$B$55=$A21),'Collapse 52 to 42'!$C$4:$C$55,'Collapse 52 to 42'!K$4:K$55)/SUMIFS('Collapse 52 to 42'!$C$4:$C$55,'Collapse 52 to 42'!$B$4:$B$55,$A21)</f>
        <v>-4.3878695290446856E-3</v>
      </c>
      <c r="J21">
        <f>SUMPRODUCT(--('Collapse 52 to 42'!$B$4:$B$55=$A21),'Collapse 52 to 42'!$C$4:$C$55,'Collapse 52 to 42'!L$4:L$55)/SUMIFS('Collapse 52 to 42'!$C$4:$C$55,'Collapse 52 to 42'!$B$4:$B$55,$A21)</f>
        <v>1.2348333545946888E-2</v>
      </c>
      <c r="K21">
        <f>SUMPRODUCT(--('Collapse 52 to 42'!$B$4:$B$55=$A21),'Collapse 52 to 42'!$C$4:$C$55,'Collapse 52 to 42'!M$4:M$55)/SUMIFS('Collapse 52 to 42'!$C$4:$C$55,'Collapse 52 to 42'!$B$4:$B$55,$A21)</f>
        <v>1.7885407401801334E-2</v>
      </c>
      <c r="L21">
        <f>SUMPRODUCT(--('Collapse 52 to 42'!$B$4:$B$55=$A21),'Collapse 52 to 42'!$C$4:$C$55,'Collapse 52 to 42'!N$4:N$55)/SUMIFS('Collapse 52 to 42'!$C$4:$C$55,'Collapse 52 to 42'!$B$4:$B$55,$A21)</f>
        <v>2.2393938820397974E-2</v>
      </c>
      <c r="M21">
        <f>SUMPRODUCT(--('Collapse 52 to 42'!$B$4:$B$55=$A21),'Collapse 52 to 42'!$C$4:$C$55,'Collapse 52 to 42'!O$4:O$55)/SUMIFS('Collapse 52 to 42'!$C$4:$C$55,'Collapse 52 to 42'!$B$4:$B$55,$A21)</f>
        <v>3.3349994434793473E-2</v>
      </c>
      <c r="N21">
        <f>SUMPRODUCT(--('Collapse 52 to 42'!$B$4:$B$55=$A21),'Collapse 52 to 42'!$C$4:$C$55,'Collapse 52 to 42'!P$4:P$55)/SUMIFS('Collapse 52 to 42'!$C$4:$C$55,'Collapse 52 to 42'!$B$4:$B$55,$A21)</f>
        <v>4.1173540935577124E-2</v>
      </c>
      <c r="O21">
        <f>SUMPRODUCT(--('Collapse 52 to 42'!$B$4:$B$55=$A21),'Collapse 52 to 42'!$C$4:$C$55,'Collapse 52 to 42'!Q$4:Q$55)/SUMIFS('Collapse 52 to 42'!$C$4:$C$55,'Collapse 52 to 42'!$B$4:$B$55,$A21)</f>
        <v>4.8407176411951358E-2</v>
      </c>
      <c r="P21">
        <f>SUMPRODUCT(--('Collapse 52 to 42'!$B$4:$B$55=$A21),'Collapse 52 to 42'!$C$4:$C$55,'Collapse 52 to 42'!R$4:R$55)/SUMIFS('Collapse 52 to 42'!$C$4:$C$55,'Collapse 52 to 42'!$B$4:$B$55,$A21)</f>
        <v>5.3669307857990844E-2</v>
      </c>
      <c r="Q21">
        <f>SUMPRODUCT(--('Collapse 52 to 42'!$B$4:$B$55=$A21),'Collapse 52 to 42'!$C$4:$C$55,'Collapse 52 to 42'!S$4:S$55)/SUMIFS('Collapse 52 to 42'!$C$4:$C$55,'Collapse 52 to 42'!$B$4:$B$55,$A21)</f>
        <v>5.868024211263756E-2</v>
      </c>
      <c r="R21">
        <f>SUMPRODUCT(--('Collapse 52 to 42'!$B$4:$B$55=$A21),'Collapse 52 to 42'!$C$4:$C$55,'Collapse 52 to 42'!T$4:T$55)/SUMIFS('Collapse 52 to 42'!$C$4:$C$55,'Collapse 52 to 42'!$B$4:$B$55,$A21)</f>
        <v>6.5652291336230073E-2</v>
      </c>
      <c r="S21">
        <f>SUMPRODUCT(--('Collapse 52 to 42'!$B$4:$B$55=$A21),'Collapse 52 to 42'!$C$4:$C$55,'Collapse 52 to 42'!U$4:U$55)/SUMIFS('Collapse 52 to 42'!$C$4:$C$55,'Collapse 52 to 42'!$B$4:$B$55,$A21)</f>
        <v>7.168454048746109E-2</v>
      </c>
      <c r="T21">
        <f>SUMPRODUCT(--('Collapse 52 to 42'!$B$4:$B$55=$A21),'Collapse 52 to 42'!$C$4:$C$55,'Collapse 52 to 42'!V$4:V$55)/SUMIFS('Collapse 52 to 42'!$C$4:$C$55,'Collapse 52 to 42'!$B$4:$B$55,$A21)</f>
        <v>7.873810453527641E-2</v>
      </c>
      <c r="U21">
        <f>SUMPRODUCT(--('Collapse 52 to 42'!$B$4:$B$55=$A21),'Collapse 52 to 42'!$C$4:$C$55,'Collapse 52 to 42'!W$4:W$55)/SUMIFS('Collapse 52 to 42'!$C$4:$C$55,'Collapse 52 to 42'!$B$4:$B$55,$A21)</f>
        <v>8.4754748961264781E-2</v>
      </c>
      <c r="V21">
        <f>SUMPRODUCT(--('Collapse 52 to 42'!$B$4:$B$55=$A21),'Collapse 52 to 42'!$C$4:$C$55,'Collapse 52 to 42'!X$4:X$55)/SUMIFS('Collapse 52 to 42'!$C$4:$C$55,'Collapse 52 to 42'!$B$4:$B$55,$A21)</f>
        <v>9.054624915533882E-2</v>
      </c>
      <c r="W21">
        <f>SUMPRODUCT(--('Collapse 52 to 42'!$B$4:$B$55=$A21),'Collapse 52 to 42'!$C$4:$C$55,'Collapse 52 to 42'!Y$4:Y$55)/SUMIFS('Collapse 52 to 42'!$C$4:$C$55,'Collapse 52 to 42'!$B$4:$B$55,$A21)</f>
        <v>9.7416199857002672E-2</v>
      </c>
      <c r="X21">
        <f>SUMPRODUCT(--('Collapse 52 to 42'!$B$4:$B$55=$A21),'Collapse 52 to 42'!$C$4:$C$55,'Collapse 52 to 42'!Z$4:Z$55)/SUMIFS('Collapse 52 to 42'!$C$4:$C$55,'Collapse 52 to 42'!$B$4:$B$55,$A21)</f>
        <v>0.10615516721693008</v>
      </c>
      <c r="Y21">
        <f>SUMPRODUCT(--('Collapse 52 to 42'!$B$4:$B$55=$A21),'Collapse 52 to 42'!$C$4:$C$55,'Collapse 52 to 42'!AA$4:AA$55)/SUMIFS('Collapse 52 to 42'!$C$4:$C$55,'Collapse 52 to 42'!$B$4:$B$55,$A21)</f>
        <v>0.11481713379558145</v>
      </c>
      <c r="Z21">
        <f>SUMPRODUCT(--('Collapse 52 to 42'!$B$4:$B$55=$A21),'Collapse 52 to 42'!$C$4:$C$55,'Collapse 52 to 42'!AB$4:AB$55)/SUMIFS('Collapse 52 to 42'!$C$4:$C$55,'Collapse 52 to 42'!$B$4:$B$55,$A21)</f>
        <v>0.1223704632610958</v>
      </c>
      <c r="AA21">
        <f>SUMPRODUCT(--('Collapse 52 to 42'!$B$4:$B$55=$A21),'Collapse 52 to 42'!$C$4:$C$55,'Collapse 52 to 42'!AC$4:AC$55)/SUMIFS('Collapse 52 to 42'!$C$4:$C$55,'Collapse 52 to 42'!$B$4:$B$55,$A21)</f>
        <v>0.1285117679704828</v>
      </c>
      <c r="AB21">
        <f>SUMPRODUCT(--('Collapse 52 to 42'!$B$4:$B$55=$A21),'Collapse 52 to 42'!$C$4:$C$55,'Collapse 52 to 42'!AD$4:AD$55)/SUMIFS('Collapse 52 to 42'!$C$4:$C$55,'Collapse 52 to 42'!$B$4:$B$55,$A21)</f>
        <v>0.13280521454126015</v>
      </c>
    </row>
    <row r="22" spans="1:28" x14ac:dyDescent="0.25">
      <c r="A22" t="s">
        <v>288</v>
      </c>
      <c r="B22">
        <f>SUMPRODUCT(--('Collapse 52 to 42'!$B$4:$B$55=$A22),'Collapse 52 to 42'!$C$4:$C$55,'Collapse 52 to 42'!D$4:D$55)/SUMIFS('Collapse 52 to 42'!$C$4:$C$55,'Collapse 52 to 42'!$B$4:$B$55,$A22)</f>
        <v>-2.3758244651829852E-2</v>
      </c>
      <c r="C22">
        <f>SUMPRODUCT(--('Collapse 52 to 42'!$B$4:$B$55=$A22),'Collapse 52 to 42'!$C$4:$C$55,'Collapse 52 to 42'!E$4:E$55)/SUMIFS('Collapse 52 to 42'!$C$4:$C$55,'Collapse 52 to 42'!$B$4:$B$55,$A22)</f>
        <v>0</v>
      </c>
      <c r="D22">
        <f>SUMPRODUCT(--('Collapse 52 to 42'!$B$4:$B$55=$A22),'Collapse 52 to 42'!$C$4:$C$55,'Collapse 52 to 42'!F$4:F$55)/SUMIFS('Collapse 52 to 42'!$C$4:$C$55,'Collapse 52 to 42'!$B$4:$B$55,$A22)</f>
        <v>-2.0461753244390035E-2</v>
      </c>
      <c r="E22">
        <f>SUMPRODUCT(--('Collapse 52 to 42'!$B$4:$B$55=$A22),'Collapse 52 to 42'!$C$4:$C$55,'Collapse 52 to 42'!G$4:G$55)/SUMIFS('Collapse 52 to 42'!$C$4:$C$55,'Collapse 52 to 42'!$B$4:$B$55,$A22)</f>
        <v>3.1545271848745227E-3</v>
      </c>
      <c r="F22">
        <f>SUMPRODUCT(--('Collapse 52 to 42'!$B$4:$B$55=$A22),'Collapse 52 to 42'!$C$4:$C$55,'Collapse 52 to 42'!H$4:H$55)/SUMIFS('Collapse 52 to 42'!$C$4:$C$55,'Collapse 52 to 42'!$B$4:$B$55,$A22)</f>
        <v>2.2043316450130579E-2</v>
      </c>
      <c r="G22">
        <f>SUMPRODUCT(--('Collapse 52 to 42'!$B$4:$B$55=$A22),'Collapse 52 to 42'!$C$4:$C$55,'Collapse 52 to 42'!I$4:I$55)/SUMIFS('Collapse 52 to 42'!$C$4:$C$55,'Collapse 52 to 42'!$B$4:$B$55,$A22)</f>
        <v>4.1923427834520632E-2</v>
      </c>
      <c r="H22">
        <f>SUMPRODUCT(--('Collapse 52 to 42'!$B$4:$B$55=$A22),'Collapse 52 to 42'!$C$4:$C$55,'Collapse 52 to 42'!J$4:J$55)/SUMIFS('Collapse 52 to 42'!$C$4:$C$55,'Collapse 52 to 42'!$B$4:$B$55,$A22)</f>
        <v>5.5349021969828278E-2</v>
      </c>
      <c r="I22">
        <f>SUMPRODUCT(--('Collapse 52 to 42'!$B$4:$B$55=$A22),'Collapse 52 to 42'!$C$4:$C$55,'Collapse 52 to 42'!K$4:K$55)/SUMIFS('Collapse 52 to 42'!$C$4:$C$55,'Collapse 52 to 42'!$B$4:$B$55,$A22)</f>
        <v>7.5940038788572473E-2</v>
      </c>
      <c r="J22">
        <f>SUMPRODUCT(--('Collapse 52 to 42'!$B$4:$B$55=$A22),'Collapse 52 to 42'!$C$4:$C$55,'Collapse 52 to 42'!L$4:L$55)/SUMIFS('Collapse 52 to 42'!$C$4:$C$55,'Collapse 52 to 42'!$B$4:$B$55,$A22)</f>
        <v>9.3414217604199212E-2</v>
      </c>
      <c r="K22">
        <f>SUMPRODUCT(--('Collapse 52 to 42'!$B$4:$B$55=$A22),'Collapse 52 to 42'!$C$4:$C$55,'Collapse 52 to 42'!M$4:M$55)/SUMIFS('Collapse 52 to 42'!$C$4:$C$55,'Collapse 52 to 42'!$B$4:$B$55,$A22)</f>
        <v>9.4543504077065466E-2</v>
      </c>
      <c r="L22">
        <f>SUMPRODUCT(--('Collapse 52 to 42'!$B$4:$B$55=$A22),'Collapse 52 to 42'!$C$4:$C$55,'Collapse 52 to 42'!N$4:N$55)/SUMIFS('Collapse 52 to 42'!$C$4:$C$55,'Collapse 52 to 42'!$B$4:$B$55,$A22)</f>
        <v>0.10305915602898663</v>
      </c>
      <c r="M22">
        <f>SUMPRODUCT(--('Collapse 52 to 42'!$B$4:$B$55=$A22),'Collapse 52 to 42'!$C$4:$C$55,'Collapse 52 to 42'!O$4:O$55)/SUMIFS('Collapse 52 to 42'!$C$4:$C$55,'Collapse 52 to 42'!$B$4:$B$55,$A22)</f>
        <v>0.11742389053842972</v>
      </c>
      <c r="N22">
        <f>SUMPRODUCT(--('Collapse 52 to 42'!$B$4:$B$55=$A22),'Collapse 52 to 42'!$C$4:$C$55,'Collapse 52 to 42'!P$4:P$55)/SUMIFS('Collapse 52 to 42'!$C$4:$C$55,'Collapse 52 to 42'!$B$4:$B$55,$A22)</f>
        <v>0.12775064116652568</v>
      </c>
      <c r="O22">
        <f>SUMPRODUCT(--('Collapse 52 to 42'!$B$4:$B$55=$A22),'Collapse 52 to 42'!$C$4:$C$55,'Collapse 52 to 42'!Q$4:Q$55)/SUMIFS('Collapse 52 to 42'!$C$4:$C$55,'Collapse 52 to 42'!$B$4:$B$55,$A22)</f>
        <v>0.13466822922530874</v>
      </c>
      <c r="P22">
        <f>SUMPRODUCT(--('Collapse 52 to 42'!$B$4:$B$55=$A22),'Collapse 52 to 42'!$C$4:$C$55,'Collapse 52 to 42'!R$4:R$55)/SUMIFS('Collapse 52 to 42'!$C$4:$C$55,'Collapse 52 to 42'!$B$4:$B$55,$A22)</f>
        <v>0.13744126523484046</v>
      </c>
      <c r="Q22">
        <f>SUMPRODUCT(--('Collapse 52 to 42'!$B$4:$B$55=$A22),'Collapse 52 to 42'!$C$4:$C$55,'Collapse 52 to 42'!S$4:S$55)/SUMIFS('Collapse 52 to 42'!$C$4:$C$55,'Collapse 52 to 42'!$B$4:$B$55,$A22)</f>
        <v>0.13779416766709818</v>
      </c>
      <c r="R22">
        <f>SUMPRODUCT(--('Collapse 52 to 42'!$B$4:$B$55=$A22),'Collapse 52 to 42'!$C$4:$C$55,'Collapse 52 to 42'!T$4:T$55)/SUMIFS('Collapse 52 to 42'!$C$4:$C$55,'Collapse 52 to 42'!$B$4:$B$55,$A22)</f>
        <v>0.14273610552525384</v>
      </c>
      <c r="S22">
        <f>SUMPRODUCT(--('Collapse 52 to 42'!$B$4:$B$55=$A22),'Collapse 52 to 42'!$C$4:$C$55,'Collapse 52 to 42'!U$4:U$55)/SUMIFS('Collapse 52 to 42'!$C$4:$C$55,'Collapse 52 to 42'!$B$4:$B$55,$A22)</f>
        <v>0.14710529885653889</v>
      </c>
      <c r="T22">
        <f>SUMPRODUCT(--('Collapse 52 to 42'!$B$4:$B$55=$A22),'Collapse 52 to 42'!$C$4:$C$55,'Collapse 52 to 42'!V$4:V$55)/SUMIFS('Collapse 52 to 42'!$C$4:$C$55,'Collapse 52 to 42'!$B$4:$B$55,$A22)</f>
        <v>0.15124205754956255</v>
      </c>
      <c r="U22">
        <f>SUMPRODUCT(--('Collapse 52 to 42'!$B$4:$B$55=$A22),'Collapse 52 to 42'!$C$4:$C$55,'Collapse 52 to 42'!W$4:W$55)/SUMIFS('Collapse 52 to 42'!$C$4:$C$55,'Collapse 52 to 42'!$B$4:$B$55,$A22)</f>
        <v>0.15337856734001964</v>
      </c>
      <c r="V22">
        <f>SUMPRODUCT(--('Collapse 52 to 42'!$B$4:$B$55=$A22),'Collapse 52 to 42'!$C$4:$C$55,'Collapse 52 to 42'!X$4:X$55)/SUMIFS('Collapse 52 to 42'!$C$4:$C$55,'Collapse 52 to 42'!$B$4:$B$55,$A22)</f>
        <v>0.155078596767392</v>
      </c>
      <c r="W22">
        <f>SUMPRODUCT(--('Collapse 52 to 42'!$B$4:$B$55=$A22),'Collapse 52 to 42'!$C$4:$C$55,'Collapse 52 to 42'!Y$4:Y$55)/SUMIFS('Collapse 52 to 42'!$C$4:$C$55,'Collapse 52 to 42'!$B$4:$B$55,$A22)</f>
        <v>0.15871059560012468</v>
      </c>
      <c r="X22">
        <f>SUMPRODUCT(--('Collapse 52 to 42'!$B$4:$B$55=$A22),'Collapse 52 to 42'!$C$4:$C$55,'Collapse 52 to 42'!Z$4:Z$55)/SUMIFS('Collapse 52 to 42'!$C$4:$C$55,'Collapse 52 to 42'!$B$4:$B$55,$A22)</f>
        <v>0.16415709021302871</v>
      </c>
      <c r="Y22">
        <f>SUMPRODUCT(--('Collapse 52 to 42'!$B$4:$B$55=$A22),'Collapse 52 to 42'!$C$4:$C$55,'Collapse 52 to 42'!AA$4:AA$55)/SUMIFS('Collapse 52 to 42'!$C$4:$C$55,'Collapse 52 to 42'!$B$4:$B$55,$A22)</f>
        <v>0.17035798105359401</v>
      </c>
      <c r="Z22">
        <f>SUMPRODUCT(--('Collapse 52 to 42'!$B$4:$B$55=$A22),'Collapse 52 to 42'!$C$4:$C$55,'Collapse 52 to 42'!AB$4:AB$55)/SUMIFS('Collapse 52 to 42'!$C$4:$C$55,'Collapse 52 to 42'!$B$4:$B$55,$A22)</f>
        <v>0.17377413766054683</v>
      </c>
      <c r="AA22">
        <f>SUMPRODUCT(--('Collapse 52 to 42'!$B$4:$B$55=$A22),'Collapse 52 to 42'!$C$4:$C$55,'Collapse 52 to 42'!AC$4:AC$55)/SUMIFS('Collapse 52 to 42'!$C$4:$C$55,'Collapse 52 to 42'!$B$4:$B$55,$A22)</f>
        <v>0.17471457856533479</v>
      </c>
      <c r="AB22">
        <f>SUMPRODUCT(--('Collapse 52 to 42'!$B$4:$B$55=$A22),'Collapse 52 to 42'!$C$4:$C$55,'Collapse 52 to 42'!AD$4:AD$55)/SUMIFS('Collapse 52 to 42'!$C$4:$C$55,'Collapse 52 to 42'!$B$4:$B$55,$A22)</f>
        <v>0.17394699030508409</v>
      </c>
    </row>
    <row r="23" spans="1:28" x14ac:dyDescent="0.25">
      <c r="A23" t="s">
        <v>327</v>
      </c>
      <c r="B23">
        <f>SUMPRODUCT(--('Collapse 52 to 42'!$B$4:$B$55=$A23),'Collapse 52 to 42'!$C$4:$C$55,'Collapse 52 to 42'!D$4:D$55)/SUMIFS('Collapse 52 to 42'!$C$4:$C$55,'Collapse 52 to 42'!$B$4:$B$55,$A23)</f>
        <v>6.5181459965410804E-2</v>
      </c>
      <c r="C23">
        <f>SUMPRODUCT(--('Collapse 52 to 42'!$B$4:$B$55=$A23),'Collapse 52 to 42'!$C$4:$C$55,'Collapse 52 to 42'!E$4:E$55)/SUMIFS('Collapse 52 to 42'!$C$4:$C$55,'Collapse 52 to 42'!$B$4:$B$55,$A23)</f>
        <v>0</v>
      </c>
      <c r="D23">
        <f>SUMPRODUCT(--('Collapse 52 to 42'!$B$4:$B$55=$A23),'Collapse 52 to 42'!$C$4:$C$55,'Collapse 52 to 42'!F$4:F$55)/SUMIFS('Collapse 52 to 42'!$C$4:$C$55,'Collapse 52 to 42'!$B$4:$B$55,$A23)</f>
        <v>2.9380888594976451E-3</v>
      </c>
      <c r="E23">
        <f>SUMPRODUCT(--('Collapse 52 to 42'!$B$4:$B$55=$A23),'Collapse 52 to 42'!$C$4:$C$55,'Collapse 52 to 42'!G$4:G$55)/SUMIFS('Collapse 52 to 42'!$C$4:$C$55,'Collapse 52 to 42'!$B$4:$B$55,$A23)</f>
        <v>6.6463475843657749E-2</v>
      </c>
      <c r="F23">
        <f>SUMPRODUCT(--('Collapse 52 to 42'!$B$4:$B$55=$A23),'Collapse 52 to 42'!$C$4:$C$55,'Collapse 52 to 42'!H$4:H$55)/SUMIFS('Collapse 52 to 42'!$C$4:$C$55,'Collapse 52 to 42'!$B$4:$B$55,$A23)</f>
        <v>8.7371025981234807E-2</v>
      </c>
      <c r="G23">
        <f>SUMPRODUCT(--('Collapse 52 to 42'!$B$4:$B$55=$A23),'Collapse 52 to 42'!$C$4:$C$55,'Collapse 52 to 42'!I$4:I$55)/SUMIFS('Collapse 52 to 42'!$C$4:$C$55,'Collapse 52 to 42'!$B$4:$B$55,$A23)</f>
        <v>0.10469546128258833</v>
      </c>
      <c r="H23">
        <f>SUMPRODUCT(--('Collapse 52 to 42'!$B$4:$B$55=$A23),'Collapse 52 to 42'!$C$4:$C$55,'Collapse 52 to 42'!J$4:J$55)/SUMIFS('Collapse 52 to 42'!$C$4:$C$55,'Collapse 52 to 42'!$B$4:$B$55,$A23)</f>
        <v>0.12307917001619506</v>
      </c>
      <c r="I23">
        <f>SUMPRODUCT(--('Collapse 52 to 42'!$B$4:$B$55=$A23),'Collapse 52 to 42'!$C$4:$C$55,'Collapse 52 to 42'!K$4:K$55)/SUMIFS('Collapse 52 to 42'!$C$4:$C$55,'Collapse 52 to 42'!$B$4:$B$55,$A23)</f>
        <v>0.1306062439077218</v>
      </c>
      <c r="J23">
        <f>SUMPRODUCT(--('Collapse 52 to 42'!$B$4:$B$55=$A23),'Collapse 52 to 42'!$C$4:$C$55,'Collapse 52 to 42'!L$4:L$55)/SUMIFS('Collapse 52 to 42'!$C$4:$C$55,'Collapse 52 to 42'!$B$4:$B$55,$A23)</f>
        <v>0.14856395385993859</v>
      </c>
      <c r="K23">
        <f>SUMPRODUCT(--('Collapse 52 to 42'!$B$4:$B$55=$A23),'Collapse 52 to 42'!$C$4:$C$55,'Collapse 52 to 42'!M$4:M$55)/SUMIFS('Collapse 52 to 42'!$C$4:$C$55,'Collapse 52 to 42'!$B$4:$B$55,$A23)</f>
        <v>0.15650472550153771</v>
      </c>
      <c r="L23">
        <f>SUMPRODUCT(--('Collapse 52 to 42'!$B$4:$B$55=$A23),'Collapse 52 to 42'!$C$4:$C$55,'Collapse 52 to 42'!N$4:N$55)/SUMIFS('Collapse 52 to 42'!$C$4:$C$55,'Collapse 52 to 42'!$B$4:$B$55,$A23)</f>
        <v>0.15980566784832995</v>
      </c>
      <c r="M23">
        <f>SUMPRODUCT(--('Collapse 52 to 42'!$B$4:$B$55=$A23),'Collapse 52 to 42'!$C$4:$C$55,'Collapse 52 to 42'!O$4:O$55)/SUMIFS('Collapse 52 to 42'!$C$4:$C$55,'Collapse 52 to 42'!$B$4:$B$55,$A23)</f>
        <v>0.16426672015935817</v>
      </c>
      <c r="N23">
        <f>SUMPRODUCT(--('Collapse 52 to 42'!$B$4:$B$55=$A23),'Collapse 52 to 42'!$C$4:$C$55,'Collapse 52 to 42'!P$4:P$55)/SUMIFS('Collapse 52 to 42'!$C$4:$C$55,'Collapse 52 to 42'!$B$4:$B$55,$A23)</f>
        <v>0.17623195028172467</v>
      </c>
      <c r="O23">
        <f>SUMPRODUCT(--('Collapse 52 to 42'!$B$4:$B$55=$A23),'Collapse 52 to 42'!$C$4:$C$55,'Collapse 52 to 42'!Q$4:Q$55)/SUMIFS('Collapse 52 to 42'!$C$4:$C$55,'Collapse 52 to 42'!$B$4:$B$55,$A23)</f>
        <v>0.20042972600385456</v>
      </c>
      <c r="P23">
        <f>SUMPRODUCT(--('Collapse 52 to 42'!$B$4:$B$55=$A23),'Collapse 52 to 42'!$C$4:$C$55,'Collapse 52 to 42'!R$4:R$55)/SUMIFS('Collapse 52 to 42'!$C$4:$C$55,'Collapse 52 to 42'!$B$4:$B$55,$A23)</f>
        <v>0.22287783715106491</v>
      </c>
      <c r="Q23">
        <f>SUMPRODUCT(--('Collapse 52 to 42'!$B$4:$B$55=$A23),'Collapse 52 to 42'!$C$4:$C$55,'Collapse 52 to 42'!S$4:S$55)/SUMIFS('Collapse 52 to 42'!$C$4:$C$55,'Collapse 52 to 42'!$B$4:$B$55,$A23)</f>
        <v>0.24575925486996519</v>
      </c>
      <c r="R23">
        <f>SUMPRODUCT(--('Collapse 52 to 42'!$B$4:$B$55=$A23),'Collapse 52 to 42'!$C$4:$C$55,'Collapse 52 to 42'!T$4:T$55)/SUMIFS('Collapse 52 to 42'!$C$4:$C$55,'Collapse 52 to 42'!$B$4:$B$55,$A23)</f>
        <v>0.26695884226564043</v>
      </c>
      <c r="S23">
        <f>SUMPRODUCT(--('Collapse 52 to 42'!$B$4:$B$55=$A23),'Collapse 52 to 42'!$C$4:$C$55,'Collapse 52 to 42'!U$4:U$55)/SUMIFS('Collapse 52 to 42'!$C$4:$C$55,'Collapse 52 to 42'!$B$4:$B$55,$A23)</f>
        <v>0.28566174530304522</v>
      </c>
      <c r="T23">
        <f>SUMPRODUCT(--('Collapse 52 to 42'!$B$4:$B$55=$A23),'Collapse 52 to 42'!$C$4:$C$55,'Collapse 52 to 42'!V$4:V$55)/SUMIFS('Collapse 52 to 42'!$C$4:$C$55,'Collapse 52 to 42'!$B$4:$B$55,$A23)</f>
        <v>0.30448667596782819</v>
      </c>
      <c r="U23">
        <f>SUMPRODUCT(--('Collapse 52 to 42'!$B$4:$B$55=$A23),'Collapse 52 to 42'!$C$4:$C$55,'Collapse 52 to 42'!W$4:W$55)/SUMIFS('Collapse 52 to 42'!$C$4:$C$55,'Collapse 52 to 42'!$B$4:$B$55,$A23)</f>
        <v>0.32107139827848119</v>
      </c>
      <c r="V23">
        <f>SUMPRODUCT(--('Collapse 52 to 42'!$B$4:$B$55=$A23),'Collapse 52 to 42'!$C$4:$C$55,'Collapse 52 to 42'!X$4:X$55)/SUMIFS('Collapse 52 to 42'!$C$4:$C$55,'Collapse 52 to 42'!$B$4:$B$55,$A23)</f>
        <v>0.3381083027092846</v>
      </c>
      <c r="W23">
        <f>SUMPRODUCT(--('Collapse 52 to 42'!$B$4:$B$55=$A23),'Collapse 52 to 42'!$C$4:$C$55,'Collapse 52 to 42'!Y$4:Y$55)/SUMIFS('Collapse 52 to 42'!$C$4:$C$55,'Collapse 52 to 42'!$B$4:$B$55,$A23)</f>
        <v>0.35598965448348352</v>
      </c>
      <c r="X23">
        <f>SUMPRODUCT(--('Collapse 52 to 42'!$B$4:$B$55=$A23),'Collapse 52 to 42'!$C$4:$C$55,'Collapse 52 to 42'!Z$4:Z$55)/SUMIFS('Collapse 52 to 42'!$C$4:$C$55,'Collapse 52 to 42'!$B$4:$B$55,$A23)</f>
        <v>0.37296993027360337</v>
      </c>
      <c r="Y23">
        <f>SUMPRODUCT(--('Collapse 52 to 42'!$B$4:$B$55=$A23),'Collapse 52 to 42'!$C$4:$C$55,'Collapse 52 to 42'!AA$4:AA$55)/SUMIFS('Collapse 52 to 42'!$C$4:$C$55,'Collapse 52 to 42'!$B$4:$B$55,$A23)</f>
        <v>0.38852777386310677</v>
      </c>
      <c r="Z23">
        <f>SUMPRODUCT(--('Collapse 52 to 42'!$B$4:$B$55=$A23),'Collapse 52 to 42'!$C$4:$C$55,'Collapse 52 to 42'!AB$4:AB$55)/SUMIFS('Collapse 52 to 42'!$C$4:$C$55,'Collapse 52 to 42'!$B$4:$B$55,$A23)</f>
        <v>0.40444232241954747</v>
      </c>
      <c r="AA23">
        <f>SUMPRODUCT(--('Collapse 52 to 42'!$B$4:$B$55=$A23),'Collapse 52 to 42'!$C$4:$C$55,'Collapse 52 to 42'!AC$4:AC$55)/SUMIFS('Collapse 52 to 42'!$C$4:$C$55,'Collapse 52 to 42'!$B$4:$B$55,$A23)</f>
        <v>0.41898912000217647</v>
      </c>
      <c r="AB23">
        <f>SUMPRODUCT(--('Collapse 52 to 42'!$B$4:$B$55=$A23),'Collapse 52 to 42'!$C$4:$C$55,'Collapse 52 to 42'!AD$4:AD$55)/SUMIFS('Collapse 52 to 42'!$C$4:$C$55,'Collapse 52 to 42'!$B$4:$B$55,$A23)</f>
        <v>0.43076631594128378</v>
      </c>
    </row>
    <row r="24" spans="1:28" x14ac:dyDescent="0.25">
      <c r="A24" t="s">
        <v>1271</v>
      </c>
      <c r="B24">
        <f>SUMPRODUCT(--('Collapse 52 to 42'!$B$4:$B$55=$A24),'Collapse 52 to 42'!$C$4:$C$55,'Collapse 52 to 42'!D$4:D$55)/SUMIFS('Collapse 52 to 42'!$C$4:$C$55,'Collapse 52 to 42'!$B$4:$B$55,$A24)</f>
        <v>5.5555441024732533E-2</v>
      </c>
      <c r="C24">
        <f>SUMPRODUCT(--('Collapse 52 to 42'!$B$4:$B$55=$A24),'Collapse 52 to 42'!$C$4:$C$55,'Collapse 52 to 42'!E$4:E$55)/SUMIFS('Collapse 52 to 42'!$C$4:$C$55,'Collapse 52 to 42'!$B$4:$B$55,$A24)</f>
        <v>0</v>
      </c>
      <c r="D24">
        <f>SUMPRODUCT(--('Collapse 52 to 42'!$B$4:$B$55=$A24),'Collapse 52 to 42'!$C$4:$C$55,'Collapse 52 to 42'!F$4:F$55)/SUMIFS('Collapse 52 to 42'!$C$4:$C$55,'Collapse 52 to 42'!$B$4:$B$55,$A24)</f>
        <v>4.9738572026528484E-3</v>
      </c>
      <c r="E24">
        <f>SUMPRODUCT(--('Collapse 52 to 42'!$B$4:$B$55=$A24),'Collapse 52 to 42'!$C$4:$C$55,'Collapse 52 to 42'!G$4:G$55)/SUMIFS('Collapse 52 to 42'!$C$4:$C$55,'Collapse 52 to 42'!$B$4:$B$55,$A24)</f>
        <v>6.2147046283935629E-2</v>
      </c>
      <c r="F24">
        <f>SUMPRODUCT(--('Collapse 52 to 42'!$B$4:$B$55=$A24),'Collapse 52 to 42'!$C$4:$C$55,'Collapse 52 to 42'!H$4:H$55)/SUMIFS('Collapse 52 to 42'!$C$4:$C$55,'Collapse 52 to 42'!$B$4:$B$55,$A24)</f>
        <v>8.1534190443072641E-2</v>
      </c>
      <c r="G24">
        <f>SUMPRODUCT(--('Collapse 52 to 42'!$B$4:$B$55=$A24),'Collapse 52 to 42'!$C$4:$C$55,'Collapse 52 to 42'!I$4:I$55)/SUMIFS('Collapse 52 to 42'!$C$4:$C$55,'Collapse 52 to 42'!$B$4:$B$55,$A24)</f>
        <v>9.8002813926606813E-2</v>
      </c>
      <c r="H24">
        <f>SUMPRODUCT(--('Collapse 52 to 42'!$B$4:$B$55=$A24),'Collapse 52 to 42'!$C$4:$C$55,'Collapse 52 to 42'!J$4:J$55)/SUMIFS('Collapse 52 to 42'!$C$4:$C$55,'Collapse 52 to 42'!$B$4:$B$55,$A24)</f>
        <v>0.11557882492569822</v>
      </c>
      <c r="I24">
        <f>SUMPRODUCT(--('Collapse 52 to 42'!$B$4:$B$55=$A24),'Collapse 52 to 42'!$C$4:$C$55,'Collapse 52 to 42'!K$4:K$55)/SUMIFS('Collapse 52 to 42'!$C$4:$C$55,'Collapse 52 to 42'!$B$4:$B$55,$A24)</f>
        <v>0.12362089325431255</v>
      </c>
      <c r="J24">
        <f>SUMPRODUCT(--('Collapse 52 to 42'!$B$4:$B$55=$A24),'Collapse 52 to 42'!$C$4:$C$55,'Collapse 52 to 42'!L$4:L$55)/SUMIFS('Collapse 52 to 42'!$C$4:$C$55,'Collapse 52 to 42'!$B$4:$B$55,$A24)</f>
        <v>0.14097926967173377</v>
      </c>
      <c r="K24">
        <f>SUMPRODUCT(--('Collapse 52 to 42'!$B$4:$B$55=$A24),'Collapse 52 to 42'!$C$4:$C$55,'Collapse 52 to 42'!M$4:M$55)/SUMIFS('Collapse 52 to 42'!$C$4:$C$55,'Collapse 52 to 42'!$B$4:$B$55,$A24)</f>
        <v>0.14970100282528051</v>
      </c>
      <c r="L24">
        <f>SUMPRODUCT(--('Collapse 52 to 42'!$B$4:$B$55=$A24),'Collapse 52 to 42'!$C$4:$C$55,'Collapse 52 to 42'!N$4:N$55)/SUMIFS('Collapse 52 to 42'!$C$4:$C$55,'Collapse 52 to 42'!$B$4:$B$55,$A24)</f>
        <v>0.15446586018018374</v>
      </c>
      <c r="M24">
        <f>SUMPRODUCT(--('Collapse 52 to 42'!$B$4:$B$55=$A24),'Collapse 52 to 42'!$C$4:$C$55,'Collapse 52 to 42'!O$4:O$55)/SUMIFS('Collapse 52 to 42'!$C$4:$C$55,'Collapse 52 to 42'!$B$4:$B$55,$A24)</f>
        <v>0.16034270194301148</v>
      </c>
      <c r="N24">
        <f>SUMPRODUCT(--('Collapse 52 to 42'!$B$4:$B$55=$A24),'Collapse 52 to 42'!$C$4:$C$55,'Collapse 52 to 42'!P$4:P$55)/SUMIFS('Collapse 52 to 42'!$C$4:$C$55,'Collapse 52 to 42'!$B$4:$B$55,$A24)</f>
        <v>0.17244017974662706</v>
      </c>
      <c r="O24">
        <f>SUMPRODUCT(--('Collapse 52 to 42'!$B$4:$B$55=$A24),'Collapse 52 to 42'!$C$4:$C$55,'Collapse 52 to 42'!Q$4:Q$55)/SUMIFS('Collapse 52 to 42'!$C$4:$C$55,'Collapse 52 to 42'!$B$4:$B$55,$A24)</f>
        <v>0.19521643936384789</v>
      </c>
      <c r="P24">
        <f>SUMPRODUCT(--('Collapse 52 to 42'!$B$4:$B$55=$A24),'Collapse 52 to 42'!$C$4:$C$55,'Collapse 52 to 42'!R$4:R$55)/SUMIFS('Collapse 52 to 42'!$C$4:$C$55,'Collapse 52 to 42'!$B$4:$B$55,$A24)</f>
        <v>0.21645750304741063</v>
      </c>
      <c r="Q24">
        <f>SUMPRODUCT(--('Collapse 52 to 42'!$B$4:$B$55=$A24),'Collapse 52 to 42'!$C$4:$C$55,'Collapse 52 to 42'!S$4:S$55)/SUMIFS('Collapse 52 to 42'!$C$4:$C$55,'Collapse 52 to 42'!$B$4:$B$55,$A24)</f>
        <v>0.23803674775186101</v>
      </c>
      <c r="R24">
        <f>SUMPRODUCT(--('Collapse 52 to 42'!$B$4:$B$55=$A24),'Collapse 52 to 42'!$C$4:$C$55,'Collapse 52 to 42'!T$4:T$55)/SUMIFS('Collapse 52 to 42'!$C$4:$C$55,'Collapse 52 to 42'!$B$4:$B$55,$A24)</f>
        <v>0.25814044049857315</v>
      </c>
      <c r="S24">
        <f>SUMPRODUCT(--('Collapse 52 to 42'!$B$4:$B$55=$A24),'Collapse 52 to 42'!$C$4:$C$55,'Collapse 52 to 42'!U$4:U$55)/SUMIFS('Collapse 52 to 42'!$C$4:$C$55,'Collapse 52 to 42'!$B$4:$B$55,$A24)</f>
        <v>0.27600340048158956</v>
      </c>
      <c r="T24">
        <f>SUMPRODUCT(--('Collapse 52 to 42'!$B$4:$B$55=$A24),'Collapse 52 to 42'!$C$4:$C$55,'Collapse 52 to 42'!V$4:V$55)/SUMIFS('Collapse 52 to 42'!$C$4:$C$55,'Collapse 52 to 42'!$B$4:$B$55,$A24)</f>
        <v>0.29400219162013913</v>
      </c>
      <c r="U24">
        <f>SUMPRODUCT(--('Collapse 52 to 42'!$B$4:$B$55=$A24),'Collapse 52 to 42'!$C$4:$C$55,'Collapse 52 to 42'!W$4:W$55)/SUMIFS('Collapse 52 to 42'!$C$4:$C$55,'Collapse 52 to 42'!$B$4:$B$55,$A24)</f>
        <v>0.31009087837607602</v>
      </c>
      <c r="V24">
        <f>SUMPRODUCT(--('Collapse 52 to 42'!$B$4:$B$55=$A24),'Collapse 52 to 42'!$C$4:$C$55,'Collapse 52 to 42'!X$4:X$55)/SUMIFS('Collapse 52 to 42'!$C$4:$C$55,'Collapse 52 to 42'!$B$4:$B$55,$A24)</f>
        <v>0.32657003615245106</v>
      </c>
      <c r="W24">
        <f>SUMPRODUCT(--('Collapse 52 to 42'!$B$4:$B$55=$A24),'Collapse 52 to 42'!$C$4:$C$55,'Collapse 52 to 42'!Y$4:Y$55)/SUMIFS('Collapse 52 to 42'!$C$4:$C$55,'Collapse 52 to 42'!$B$4:$B$55,$A24)</f>
        <v>0.34375411464561867</v>
      </c>
      <c r="X24">
        <f>SUMPRODUCT(--('Collapse 52 to 42'!$B$4:$B$55=$A24),'Collapse 52 to 42'!$C$4:$C$55,'Collapse 52 to 42'!Z$4:Z$55)/SUMIFS('Collapse 52 to 42'!$C$4:$C$55,'Collapse 52 to 42'!$B$4:$B$55,$A24)</f>
        <v>0.36008919529032019</v>
      </c>
      <c r="Y24">
        <f>SUMPRODUCT(--('Collapse 52 to 42'!$B$4:$B$55=$A24),'Collapse 52 to 42'!$C$4:$C$55,'Collapse 52 to 42'!AA$4:AA$55)/SUMIFS('Collapse 52 to 42'!$C$4:$C$55,'Collapse 52 to 42'!$B$4:$B$55,$A24)</f>
        <v>0.37510621742359707</v>
      </c>
      <c r="Z24">
        <f>SUMPRODUCT(--('Collapse 52 to 42'!$B$4:$B$55=$A24),'Collapse 52 to 42'!$C$4:$C$55,'Collapse 52 to 42'!AB$4:AB$55)/SUMIFS('Collapse 52 to 42'!$C$4:$C$55,'Collapse 52 to 42'!$B$4:$B$55,$A24)</f>
        <v>0.39043244992692877</v>
      </c>
      <c r="AA24">
        <f>SUMPRODUCT(--('Collapse 52 to 42'!$B$4:$B$55=$A24),'Collapse 52 to 42'!$C$4:$C$55,'Collapse 52 to 42'!AC$4:AC$55)/SUMIFS('Collapse 52 to 42'!$C$4:$C$55,'Collapse 52 to 42'!$B$4:$B$55,$A24)</f>
        <v>0.40450458393141003</v>
      </c>
      <c r="AB24">
        <f>SUMPRODUCT(--('Collapse 52 to 42'!$B$4:$B$55=$A24),'Collapse 52 to 42'!$C$4:$C$55,'Collapse 52 to 42'!AD$4:AD$55)/SUMIFS('Collapse 52 to 42'!$C$4:$C$55,'Collapse 52 to 42'!$B$4:$B$55,$A24)</f>
        <v>0.41619494606728769</v>
      </c>
    </row>
    <row r="25" spans="1:28" x14ac:dyDescent="0.25">
      <c r="A25" t="s">
        <v>344</v>
      </c>
      <c r="B25">
        <f>SUMPRODUCT(--('Collapse 52 to 42'!$B$4:$B$55=$A25),'Collapse 52 to 42'!$C$4:$C$55,'Collapse 52 to 42'!D$4:D$55)/SUMIFS('Collapse 52 to 42'!$C$4:$C$55,'Collapse 52 to 42'!$B$4:$B$55,$A25)</f>
        <v>1.6593135937573944E-2</v>
      </c>
      <c r="C25">
        <f>SUMPRODUCT(--('Collapse 52 to 42'!$B$4:$B$55=$A25),'Collapse 52 to 42'!$C$4:$C$55,'Collapse 52 to 42'!E$4:E$55)/SUMIFS('Collapse 52 to 42'!$C$4:$C$55,'Collapse 52 to 42'!$B$4:$B$55,$A25)</f>
        <v>0</v>
      </c>
      <c r="D25">
        <f>SUMPRODUCT(--('Collapse 52 to 42'!$B$4:$B$55=$A25),'Collapse 52 to 42'!$C$4:$C$55,'Collapse 52 to 42'!F$4:F$55)/SUMIFS('Collapse 52 to 42'!$C$4:$C$55,'Collapse 52 to 42'!$B$4:$B$55,$A25)</f>
        <v>5.599945901687553E-3</v>
      </c>
      <c r="E25">
        <f>SUMPRODUCT(--('Collapse 52 to 42'!$B$4:$B$55=$A25),'Collapse 52 to 42'!$C$4:$C$55,'Collapse 52 to 42'!G$4:G$55)/SUMIFS('Collapse 52 to 42'!$C$4:$C$55,'Collapse 52 to 42'!$B$4:$B$55,$A25)</f>
        <v>3.1501294255283918E-2</v>
      </c>
      <c r="F25">
        <f>SUMPRODUCT(--('Collapse 52 to 42'!$B$4:$B$55=$A25),'Collapse 52 to 42'!$C$4:$C$55,'Collapse 52 to 42'!H$4:H$55)/SUMIFS('Collapse 52 to 42'!$C$4:$C$55,'Collapse 52 to 42'!$B$4:$B$55,$A25)</f>
        <v>4.3213074069837543E-2</v>
      </c>
      <c r="G25">
        <f>SUMPRODUCT(--('Collapse 52 to 42'!$B$4:$B$55=$A25),'Collapse 52 to 42'!$C$4:$C$55,'Collapse 52 to 42'!I$4:I$55)/SUMIFS('Collapse 52 to 42'!$C$4:$C$55,'Collapse 52 to 42'!$B$4:$B$55,$A25)</f>
        <v>5.9713802389971038E-2</v>
      </c>
      <c r="H25">
        <f>SUMPRODUCT(--('Collapse 52 to 42'!$B$4:$B$55=$A25),'Collapse 52 to 42'!$C$4:$C$55,'Collapse 52 to 42'!J$4:J$55)/SUMIFS('Collapse 52 to 42'!$C$4:$C$55,'Collapse 52 to 42'!$B$4:$B$55,$A25)</f>
        <v>8.5015386926218683E-2</v>
      </c>
      <c r="I25">
        <f>SUMPRODUCT(--('Collapse 52 to 42'!$B$4:$B$55=$A25),'Collapse 52 to 42'!$C$4:$C$55,'Collapse 52 to 42'!K$4:K$55)/SUMIFS('Collapse 52 to 42'!$C$4:$C$55,'Collapse 52 to 42'!$B$4:$B$55,$A25)</f>
        <v>0.11253935497977352</v>
      </c>
      <c r="J25">
        <f>SUMPRODUCT(--('Collapse 52 to 42'!$B$4:$B$55=$A25),'Collapse 52 to 42'!$C$4:$C$55,'Collapse 52 to 42'!L$4:L$55)/SUMIFS('Collapse 52 to 42'!$C$4:$C$55,'Collapse 52 to 42'!$B$4:$B$55,$A25)</f>
        <v>0.12446350009577101</v>
      </c>
      <c r="K25">
        <f>SUMPRODUCT(--('Collapse 52 to 42'!$B$4:$B$55=$A25),'Collapse 52 to 42'!$C$4:$C$55,'Collapse 52 to 42'!M$4:M$55)/SUMIFS('Collapse 52 to 42'!$C$4:$C$55,'Collapse 52 to 42'!$B$4:$B$55,$A25)</f>
        <v>0.1292443248006907</v>
      </c>
      <c r="L25">
        <f>SUMPRODUCT(--('Collapse 52 to 42'!$B$4:$B$55=$A25),'Collapse 52 to 42'!$C$4:$C$55,'Collapse 52 to 42'!N$4:N$55)/SUMIFS('Collapse 52 to 42'!$C$4:$C$55,'Collapse 52 to 42'!$B$4:$B$55,$A25)</f>
        <v>0.13126773178796336</v>
      </c>
      <c r="M25">
        <f>SUMPRODUCT(--('Collapse 52 to 42'!$B$4:$B$55=$A25),'Collapse 52 to 42'!$C$4:$C$55,'Collapse 52 to 42'!O$4:O$55)/SUMIFS('Collapse 52 to 42'!$C$4:$C$55,'Collapse 52 to 42'!$B$4:$B$55,$A25)</f>
        <v>0.1400815290069457</v>
      </c>
      <c r="N25">
        <f>SUMPRODUCT(--('Collapse 52 to 42'!$B$4:$B$55=$A25),'Collapse 52 to 42'!$C$4:$C$55,'Collapse 52 to 42'!P$4:P$55)/SUMIFS('Collapse 52 to 42'!$C$4:$C$55,'Collapse 52 to 42'!$B$4:$B$55,$A25)</f>
        <v>0.14985405279660544</v>
      </c>
      <c r="O25">
        <f>SUMPRODUCT(--('Collapse 52 to 42'!$B$4:$B$55=$A25),'Collapse 52 to 42'!$C$4:$C$55,'Collapse 52 to 42'!Q$4:Q$55)/SUMIFS('Collapse 52 to 42'!$C$4:$C$55,'Collapse 52 to 42'!$B$4:$B$55,$A25)</f>
        <v>0.16107958057904681</v>
      </c>
      <c r="P25">
        <f>SUMPRODUCT(--('Collapse 52 to 42'!$B$4:$B$55=$A25),'Collapse 52 to 42'!$C$4:$C$55,'Collapse 52 to 42'!R$4:R$55)/SUMIFS('Collapse 52 to 42'!$C$4:$C$55,'Collapse 52 to 42'!$B$4:$B$55,$A25)</f>
        <v>0.17452233515978177</v>
      </c>
      <c r="Q25">
        <f>SUMPRODUCT(--('Collapse 52 to 42'!$B$4:$B$55=$A25),'Collapse 52 to 42'!$C$4:$C$55,'Collapse 52 to 42'!S$4:S$55)/SUMIFS('Collapse 52 to 42'!$C$4:$C$55,'Collapse 52 to 42'!$B$4:$B$55,$A25)</f>
        <v>0.18033408542210405</v>
      </c>
      <c r="R25">
        <f>SUMPRODUCT(--('Collapse 52 to 42'!$B$4:$B$55=$A25),'Collapse 52 to 42'!$C$4:$C$55,'Collapse 52 to 42'!T$4:T$55)/SUMIFS('Collapse 52 to 42'!$C$4:$C$55,'Collapse 52 to 42'!$B$4:$B$55,$A25)</f>
        <v>0.19307367117587845</v>
      </c>
      <c r="S25">
        <f>SUMPRODUCT(--('Collapse 52 to 42'!$B$4:$B$55=$A25),'Collapse 52 to 42'!$C$4:$C$55,'Collapse 52 to 42'!U$4:U$55)/SUMIFS('Collapse 52 to 42'!$C$4:$C$55,'Collapse 52 to 42'!$B$4:$B$55,$A25)</f>
        <v>0.20630165923486565</v>
      </c>
      <c r="T25">
        <f>SUMPRODUCT(--('Collapse 52 to 42'!$B$4:$B$55=$A25),'Collapse 52 to 42'!$C$4:$C$55,'Collapse 52 to 42'!V$4:V$55)/SUMIFS('Collapse 52 to 42'!$C$4:$C$55,'Collapse 52 to 42'!$B$4:$B$55,$A25)</f>
        <v>0.2175444531690427</v>
      </c>
      <c r="U25">
        <f>SUMPRODUCT(--('Collapse 52 to 42'!$B$4:$B$55=$A25),'Collapse 52 to 42'!$C$4:$C$55,'Collapse 52 to 42'!W$4:W$55)/SUMIFS('Collapse 52 to 42'!$C$4:$C$55,'Collapse 52 to 42'!$B$4:$B$55,$A25)</f>
        <v>0.22810427706590741</v>
      </c>
      <c r="V25">
        <f>SUMPRODUCT(--('Collapse 52 to 42'!$B$4:$B$55=$A25),'Collapse 52 to 42'!$C$4:$C$55,'Collapse 52 to 42'!X$4:X$55)/SUMIFS('Collapse 52 to 42'!$C$4:$C$55,'Collapse 52 to 42'!$B$4:$B$55,$A25)</f>
        <v>0.23974369551613361</v>
      </c>
      <c r="W25">
        <f>SUMPRODUCT(--('Collapse 52 to 42'!$B$4:$B$55=$A25),'Collapse 52 to 42'!$C$4:$C$55,'Collapse 52 to 42'!Y$4:Y$55)/SUMIFS('Collapse 52 to 42'!$C$4:$C$55,'Collapse 52 to 42'!$B$4:$B$55,$A25)</f>
        <v>0.25471555997990292</v>
      </c>
      <c r="X25">
        <f>SUMPRODUCT(--('Collapse 52 to 42'!$B$4:$B$55=$A25),'Collapse 52 to 42'!$C$4:$C$55,'Collapse 52 to 42'!Z$4:Z$55)/SUMIFS('Collapse 52 to 42'!$C$4:$C$55,'Collapse 52 to 42'!$B$4:$B$55,$A25)</f>
        <v>0.26498087519057711</v>
      </c>
      <c r="Y25">
        <f>SUMPRODUCT(--('Collapse 52 to 42'!$B$4:$B$55=$A25),'Collapse 52 to 42'!$C$4:$C$55,'Collapse 52 to 42'!AA$4:AA$55)/SUMIFS('Collapse 52 to 42'!$C$4:$C$55,'Collapse 52 to 42'!$B$4:$B$55,$A25)</f>
        <v>0.27435047126088952</v>
      </c>
      <c r="Z25">
        <f>SUMPRODUCT(--('Collapse 52 to 42'!$B$4:$B$55=$A25),'Collapse 52 to 42'!$C$4:$C$55,'Collapse 52 to 42'!AB$4:AB$55)/SUMIFS('Collapse 52 to 42'!$C$4:$C$55,'Collapse 52 to 42'!$B$4:$B$55,$A25)</f>
        <v>0.27836108979167085</v>
      </c>
      <c r="AA25">
        <f>SUMPRODUCT(--('Collapse 52 to 42'!$B$4:$B$55=$A25),'Collapse 52 to 42'!$C$4:$C$55,'Collapse 52 to 42'!AC$4:AC$55)/SUMIFS('Collapse 52 to 42'!$C$4:$C$55,'Collapse 52 to 42'!$B$4:$B$55,$A25)</f>
        <v>0.29299227128372984</v>
      </c>
      <c r="AB25">
        <f>SUMPRODUCT(--('Collapse 52 to 42'!$B$4:$B$55=$A25),'Collapse 52 to 42'!$C$4:$C$55,'Collapse 52 to 42'!AD$4:AD$55)/SUMIFS('Collapse 52 to 42'!$C$4:$C$55,'Collapse 52 to 42'!$B$4:$B$55,$A25)</f>
        <v>0.29634968900432956</v>
      </c>
    </row>
    <row r="26" spans="1:28" x14ac:dyDescent="0.25">
      <c r="A26" t="s">
        <v>106</v>
      </c>
      <c r="B26">
        <f>SUMPRODUCT(--('Collapse 52 to 42'!$B$4:$B$55=$A26),'Collapse 52 to 42'!$C$4:$C$55,'Collapse 52 to 42'!D$4:D$55)/SUMIFS('Collapse 52 to 42'!$C$4:$C$55,'Collapse 52 to 42'!$B$4:$B$55,$A26)</f>
        <v>-1.797198179951609E-2</v>
      </c>
      <c r="C26">
        <f>SUMPRODUCT(--('Collapse 52 to 42'!$B$4:$B$55=$A26),'Collapse 52 to 42'!$C$4:$C$55,'Collapse 52 to 42'!E$4:E$55)/SUMIFS('Collapse 52 to 42'!$C$4:$C$55,'Collapse 52 to 42'!$B$4:$B$55,$A26)</f>
        <v>0</v>
      </c>
      <c r="D26">
        <f>SUMPRODUCT(--('Collapse 52 to 42'!$B$4:$B$55=$A26),'Collapse 52 to 42'!$C$4:$C$55,'Collapse 52 to 42'!F$4:F$55)/SUMIFS('Collapse 52 to 42'!$C$4:$C$55,'Collapse 52 to 42'!$B$4:$B$55,$A26)</f>
        <v>2.9552660117199148E-2</v>
      </c>
      <c r="E26">
        <f>SUMPRODUCT(--('Collapse 52 to 42'!$B$4:$B$55=$A26),'Collapse 52 to 42'!$C$4:$C$55,'Collapse 52 to 42'!G$4:G$55)/SUMIFS('Collapse 52 to 42'!$C$4:$C$55,'Collapse 52 to 42'!$B$4:$B$55,$A26)</f>
        <v>4.9374304321867735E-2</v>
      </c>
      <c r="F26">
        <f>SUMPRODUCT(--('Collapse 52 to 42'!$B$4:$B$55=$A26),'Collapse 52 to 42'!$C$4:$C$55,'Collapse 52 to 42'!H$4:H$55)/SUMIFS('Collapse 52 to 42'!$C$4:$C$55,'Collapse 52 to 42'!$B$4:$B$55,$A26)</f>
        <v>6.3071574555562782E-2</v>
      </c>
      <c r="G26">
        <f>SUMPRODUCT(--('Collapse 52 to 42'!$B$4:$B$55=$A26),'Collapse 52 to 42'!$C$4:$C$55,'Collapse 52 to 42'!I$4:I$55)/SUMIFS('Collapse 52 to 42'!$C$4:$C$55,'Collapse 52 to 42'!$B$4:$B$55,$A26)</f>
        <v>7.9547615112918635E-2</v>
      </c>
      <c r="H26">
        <f>SUMPRODUCT(--('Collapse 52 to 42'!$B$4:$B$55=$A26),'Collapse 52 to 42'!$C$4:$C$55,'Collapse 52 to 42'!J$4:J$55)/SUMIFS('Collapse 52 to 42'!$C$4:$C$55,'Collapse 52 to 42'!$B$4:$B$55,$A26)</f>
        <v>9.8393310607926443E-2</v>
      </c>
      <c r="I26">
        <f>SUMPRODUCT(--('Collapse 52 to 42'!$B$4:$B$55=$A26),'Collapse 52 to 42'!$C$4:$C$55,'Collapse 52 to 42'!K$4:K$55)/SUMIFS('Collapse 52 to 42'!$C$4:$C$55,'Collapse 52 to 42'!$B$4:$B$55,$A26)</f>
        <v>0.11690009858406913</v>
      </c>
      <c r="J26">
        <f>SUMPRODUCT(--('Collapse 52 to 42'!$B$4:$B$55=$A26),'Collapse 52 to 42'!$C$4:$C$55,'Collapse 52 to 42'!L$4:L$55)/SUMIFS('Collapse 52 to 42'!$C$4:$C$55,'Collapse 52 to 42'!$B$4:$B$55,$A26)</f>
        <v>0.13795171460555244</v>
      </c>
      <c r="K26">
        <f>SUMPRODUCT(--('Collapse 52 to 42'!$B$4:$B$55=$A26),'Collapse 52 to 42'!$C$4:$C$55,'Collapse 52 to 42'!M$4:M$55)/SUMIFS('Collapse 52 to 42'!$C$4:$C$55,'Collapse 52 to 42'!$B$4:$B$55,$A26)</f>
        <v>0.1607742404680621</v>
      </c>
      <c r="L26">
        <f>SUMPRODUCT(--('Collapse 52 to 42'!$B$4:$B$55=$A26),'Collapse 52 to 42'!$C$4:$C$55,'Collapse 52 to 42'!N$4:N$55)/SUMIFS('Collapse 52 to 42'!$C$4:$C$55,'Collapse 52 to 42'!$B$4:$B$55,$A26)</f>
        <v>0.18508157664181793</v>
      </c>
      <c r="M26">
        <f>SUMPRODUCT(--('Collapse 52 to 42'!$B$4:$B$55=$A26),'Collapse 52 to 42'!$C$4:$C$55,'Collapse 52 to 42'!O$4:O$55)/SUMIFS('Collapse 52 to 42'!$C$4:$C$55,'Collapse 52 to 42'!$B$4:$B$55,$A26)</f>
        <v>0.21083026138623273</v>
      </c>
      <c r="N26">
        <f>SUMPRODUCT(--('Collapse 52 to 42'!$B$4:$B$55=$A26),'Collapse 52 to 42'!$C$4:$C$55,'Collapse 52 to 42'!P$4:P$55)/SUMIFS('Collapse 52 to 42'!$C$4:$C$55,'Collapse 52 to 42'!$B$4:$B$55,$A26)</f>
        <v>0.23224252477391305</v>
      </c>
      <c r="O26">
        <f>SUMPRODUCT(--('Collapse 52 to 42'!$B$4:$B$55=$A26),'Collapse 52 to 42'!$C$4:$C$55,'Collapse 52 to 42'!Q$4:Q$55)/SUMIFS('Collapse 52 to 42'!$C$4:$C$55,'Collapse 52 to 42'!$B$4:$B$55,$A26)</f>
        <v>0.25347791843881717</v>
      </c>
      <c r="P26">
        <f>SUMPRODUCT(--('Collapse 52 to 42'!$B$4:$B$55=$A26),'Collapse 52 to 42'!$C$4:$C$55,'Collapse 52 to 42'!R$4:R$55)/SUMIFS('Collapse 52 to 42'!$C$4:$C$55,'Collapse 52 to 42'!$B$4:$B$55,$A26)</f>
        <v>0.27478090298277702</v>
      </c>
      <c r="Q26">
        <f>SUMPRODUCT(--('Collapse 52 to 42'!$B$4:$B$55=$A26),'Collapse 52 to 42'!$C$4:$C$55,'Collapse 52 to 42'!S$4:S$55)/SUMIFS('Collapse 52 to 42'!$C$4:$C$55,'Collapse 52 to 42'!$B$4:$B$55,$A26)</f>
        <v>0.29566182528537999</v>
      </c>
      <c r="R26">
        <f>SUMPRODUCT(--('Collapse 52 to 42'!$B$4:$B$55=$A26),'Collapse 52 to 42'!$C$4:$C$55,'Collapse 52 to 42'!T$4:T$55)/SUMIFS('Collapse 52 to 42'!$C$4:$C$55,'Collapse 52 to 42'!$B$4:$B$55,$A26)</f>
        <v>0.31660543262200846</v>
      </c>
      <c r="S26">
        <f>SUMPRODUCT(--('Collapse 52 to 42'!$B$4:$B$55=$A26),'Collapse 52 to 42'!$C$4:$C$55,'Collapse 52 to 42'!U$4:U$55)/SUMIFS('Collapse 52 to 42'!$C$4:$C$55,'Collapse 52 to 42'!$B$4:$B$55,$A26)</f>
        <v>0.33690285806902787</v>
      </c>
      <c r="T26">
        <f>SUMPRODUCT(--('Collapse 52 to 42'!$B$4:$B$55=$A26),'Collapse 52 to 42'!$C$4:$C$55,'Collapse 52 to 42'!V$4:V$55)/SUMIFS('Collapse 52 to 42'!$C$4:$C$55,'Collapse 52 to 42'!$B$4:$B$55,$A26)</f>
        <v>0.35770417694797607</v>
      </c>
      <c r="U26">
        <f>SUMPRODUCT(--('Collapse 52 to 42'!$B$4:$B$55=$A26),'Collapse 52 to 42'!$C$4:$C$55,'Collapse 52 to 42'!W$4:W$55)/SUMIFS('Collapse 52 to 42'!$C$4:$C$55,'Collapse 52 to 42'!$B$4:$B$55,$A26)</f>
        <v>0.37929900217934026</v>
      </c>
      <c r="V26">
        <f>SUMPRODUCT(--('Collapse 52 to 42'!$B$4:$B$55=$A26),'Collapse 52 to 42'!$C$4:$C$55,'Collapse 52 to 42'!X$4:X$55)/SUMIFS('Collapse 52 to 42'!$C$4:$C$55,'Collapse 52 to 42'!$B$4:$B$55,$A26)</f>
        <v>0.40094218063716652</v>
      </c>
      <c r="W26">
        <f>SUMPRODUCT(--('Collapse 52 to 42'!$B$4:$B$55=$A26),'Collapse 52 to 42'!$C$4:$C$55,'Collapse 52 to 42'!Y$4:Y$55)/SUMIFS('Collapse 52 to 42'!$C$4:$C$55,'Collapse 52 to 42'!$B$4:$B$55,$A26)</f>
        <v>0.42223466746635463</v>
      </c>
      <c r="X26">
        <f>SUMPRODUCT(--('Collapse 52 to 42'!$B$4:$B$55=$A26),'Collapse 52 to 42'!$C$4:$C$55,'Collapse 52 to 42'!Z$4:Z$55)/SUMIFS('Collapse 52 to 42'!$C$4:$C$55,'Collapse 52 to 42'!$B$4:$B$55,$A26)</f>
        <v>0.4427961650690253</v>
      </c>
      <c r="Y26">
        <f>SUMPRODUCT(--('Collapse 52 to 42'!$B$4:$B$55=$A26),'Collapse 52 to 42'!$C$4:$C$55,'Collapse 52 to 42'!AA$4:AA$55)/SUMIFS('Collapse 52 to 42'!$C$4:$C$55,'Collapse 52 to 42'!$B$4:$B$55,$A26)</f>
        <v>0.46243268289669576</v>
      </c>
      <c r="Z26">
        <f>SUMPRODUCT(--('Collapse 52 to 42'!$B$4:$B$55=$A26),'Collapse 52 to 42'!$C$4:$C$55,'Collapse 52 to 42'!AB$4:AB$55)/SUMIFS('Collapse 52 to 42'!$C$4:$C$55,'Collapse 52 to 42'!$B$4:$B$55,$A26)</f>
        <v>0.48212170369138696</v>
      </c>
      <c r="AA26">
        <f>SUMPRODUCT(--('Collapse 52 to 42'!$B$4:$B$55=$A26),'Collapse 52 to 42'!$C$4:$C$55,'Collapse 52 to 42'!AC$4:AC$55)/SUMIFS('Collapse 52 to 42'!$C$4:$C$55,'Collapse 52 to 42'!$B$4:$B$55,$A26)</f>
        <v>0.50109227166652381</v>
      </c>
      <c r="AB26">
        <f>SUMPRODUCT(--('Collapse 52 to 42'!$B$4:$B$55=$A26),'Collapse 52 to 42'!$C$4:$C$55,'Collapse 52 to 42'!AD$4:AD$55)/SUMIFS('Collapse 52 to 42'!$C$4:$C$55,'Collapse 52 to 42'!$B$4:$B$55,$A26)</f>
        <v>0.52073221591973717</v>
      </c>
    </row>
    <row r="27" spans="1:28" x14ac:dyDescent="0.25">
      <c r="A27" t="s">
        <v>127</v>
      </c>
      <c r="B27">
        <f>SUMPRODUCT(--('Collapse 52 to 42'!$B$4:$B$55=$A27),'Collapse 52 to 42'!$C$4:$C$55,'Collapse 52 to 42'!D$4:D$55)/SUMIFS('Collapse 52 to 42'!$C$4:$C$55,'Collapse 52 to 42'!$B$4:$B$55,$A27)</f>
        <v>-1.0139715580545272E-2</v>
      </c>
      <c r="C27">
        <f>SUMPRODUCT(--('Collapse 52 to 42'!$B$4:$B$55=$A27),'Collapse 52 to 42'!$C$4:$C$55,'Collapse 52 to 42'!E$4:E$55)/SUMIFS('Collapse 52 to 42'!$C$4:$C$55,'Collapse 52 to 42'!$B$4:$B$55,$A27)</f>
        <v>0</v>
      </c>
      <c r="D27">
        <f>SUMPRODUCT(--('Collapse 52 to 42'!$B$4:$B$55=$A27),'Collapse 52 to 42'!$C$4:$C$55,'Collapse 52 to 42'!F$4:F$55)/SUMIFS('Collapse 52 to 42'!$C$4:$C$55,'Collapse 52 to 42'!$B$4:$B$55,$A27)</f>
        <v>1.6541556065600149E-2</v>
      </c>
      <c r="E27">
        <f>SUMPRODUCT(--('Collapse 52 to 42'!$B$4:$B$55=$A27),'Collapse 52 to 42'!$C$4:$C$55,'Collapse 52 to 42'!G$4:G$55)/SUMIFS('Collapse 52 to 42'!$C$4:$C$55,'Collapse 52 to 42'!$B$4:$B$55,$A27)</f>
        <v>2.7496143618858326E-2</v>
      </c>
      <c r="F27">
        <f>SUMPRODUCT(--('Collapse 52 to 42'!$B$4:$B$55=$A27),'Collapse 52 to 42'!$C$4:$C$55,'Collapse 52 to 42'!H$4:H$55)/SUMIFS('Collapse 52 to 42'!$C$4:$C$55,'Collapse 52 to 42'!$B$4:$B$55,$A27)</f>
        <v>3.5003094621594677E-2</v>
      </c>
      <c r="G27">
        <f>SUMPRODUCT(--('Collapse 52 to 42'!$B$4:$B$55=$A27),'Collapse 52 to 42'!$C$4:$C$55,'Collapse 52 to 42'!I$4:I$55)/SUMIFS('Collapse 52 to 42'!$C$4:$C$55,'Collapse 52 to 42'!$B$4:$B$55,$A27)</f>
        <v>4.3981759810302501E-2</v>
      </c>
      <c r="H27">
        <f>SUMPRODUCT(--('Collapse 52 to 42'!$B$4:$B$55=$A27),'Collapse 52 to 42'!$C$4:$C$55,'Collapse 52 to 42'!J$4:J$55)/SUMIFS('Collapse 52 to 42'!$C$4:$C$55,'Collapse 52 to 42'!$B$4:$B$55,$A27)</f>
        <v>5.4182767157135769E-2</v>
      </c>
      <c r="I27">
        <f>SUMPRODUCT(--('Collapse 52 to 42'!$B$4:$B$55=$A27),'Collapse 52 to 42'!$C$4:$C$55,'Collapse 52 to 42'!K$4:K$55)/SUMIFS('Collapse 52 to 42'!$C$4:$C$55,'Collapse 52 to 42'!$B$4:$B$55,$A27)</f>
        <v>6.4124655124299768E-2</v>
      </c>
      <c r="J27">
        <f>SUMPRODUCT(--('Collapse 52 to 42'!$B$4:$B$55=$A27),'Collapse 52 to 42'!$C$4:$C$55,'Collapse 52 to 42'!L$4:L$55)/SUMIFS('Collapse 52 to 42'!$C$4:$C$55,'Collapse 52 to 42'!$B$4:$B$55,$A27)</f>
        <v>7.5351129735890199E-2</v>
      </c>
      <c r="K27">
        <f>SUMPRODUCT(--('Collapse 52 to 42'!$B$4:$B$55=$A27),'Collapse 52 to 42'!$C$4:$C$55,'Collapse 52 to 42'!M$4:M$55)/SUMIFS('Collapse 52 to 42'!$C$4:$C$55,'Collapse 52 to 42'!$B$4:$B$55,$A27)</f>
        <v>8.7422871909885735E-2</v>
      </c>
      <c r="L27">
        <f>SUMPRODUCT(--('Collapse 52 to 42'!$B$4:$B$55=$A27),'Collapse 52 to 42'!$C$4:$C$55,'Collapse 52 to 42'!N$4:N$55)/SUMIFS('Collapse 52 to 42'!$C$4:$C$55,'Collapse 52 to 42'!$B$4:$B$55,$A27)</f>
        <v>0.10016869396927652</v>
      </c>
      <c r="M27">
        <f>SUMPRODUCT(--('Collapse 52 to 42'!$B$4:$B$55=$A27),'Collapse 52 to 42'!$C$4:$C$55,'Collapse 52 to 42'!O$4:O$55)/SUMIFS('Collapse 52 to 42'!$C$4:$C$55,'Collapse 52 to 42'!$B$4:$B$55,$A27)</f>
        <v>0.11354837833307352</v>
      </c>
      <c r="N27">
        <f>SUMPRODUCT(--('Collapse 52 to 42'!$B$4:$B$55=$A27),'Collapse 52 to 42'!$C$4:$C$55,'Collapse 52 to 42'!P$4:P$55)/SUMIFS('Collapse 52 to 42'!$C$4:$C$55,'Collapse 52 to 42'!$B$4:$B$55,$A27)</f>
        <v>0.12457057567793604</v>
      </c>
      <c r="O27">
        <f>SUMPRODUCT(--('Collapse 52 to 42'!$B$4:$B$55=$A27),'Collapse 52 to 42'!$C$4:$C$55,'Collapse 52 to 42'!Q$4:Q$55)/SUMIFS('Collapse 52 to 42'!$C$4:$C$55,'Collapse 52 to 42'!$B$4:$B$55,$A27)</f>
        <v>0.13541809974673291</v>
      </c>
      <c r="P27">
        <f>SUMPRODUCT(--('Collapse 52 to 42'!$B$4:$B$55=$A27),'Collapse 52 to 42'!$C$4:$C$55,'Collapse 52 to 42'!R$4:R$55)/SUMIFS('Collapse 52 to 42'!$C$4:$C$55,'Collapse 52 to 42'!$B$4:$B$55,$A27)</f>
        <v>0.14621898518872967</v>
      </c>
      <c r="Q27">
        <f>SUMPRODUCT(--('Collapse 52 to 42'!$B$4:$B$55=$A27),'Collapse 52 to 42'!$C$4:$C$55,'Collapse 52 to 42'!S$4:S$55)/SUMIFS('Collapse 52 to 42'!$C$4:$C$55,'Collapse 52 to 42'!$B$4:$B$55,$A27)</f>
        <v>0.15672798800197874</v>
      </c>
      <c r="R27">
        <f>SUMPRODUCT(--('Collapse 52 to 42'!$B$4:$B$55=$A27),'Collapse 52 to 42'!$C$4:$C$55,'Collapse 52 to 42'!T$4:T$55)/SUMIFS('Collapse 52 to 42'!$C$4:$C$55,'Collapse 52 to 42'!$B$4:$B$55,$A27)</f>
        <v>0.16719374989333602</v>
      </c>
      <c r="S27">
        <f>SUMPRODUCT(--('Collapse 52 to 42'!$B$4:$B$55=$A27),'Collapse 52 to 42'!$C$4:$C$55,'Collapse 52 to 42'!U$4:U$55)/SUMIFS('Collapse 52 to 42'!$C$4:$C$55,'Collapse 52 to 42'!$B$4:$B$55,$A27)</f>
        <v>0.17726557202886162</v>
      </c>
      <c r="T27">
        <f>SUMPRODUCT(--('Collapse 52 to 42'!$B$4:$B$55=$A27),'Collapse 52 to 42'!$C$4:$C$55,'Collapse 52 to 42'!V$4:V$55)/SUMIFS('Collapse 52 to 42'!$C$4:$C$55,'Collapse 52 to 42'!$B$4:$B$55,$A27)</f>
        <v>0.1875184371899592</v>
      </c>
      <c r="U27">
        <f>SUMPRODUCT(--('Collapse 52 to 42'!$B$4:$B$55=$A27),'Collapse 52 to 42'!$C$4:$C$55,'Collapse 52 to 42'!W$4:W$55)/SUMIFS('Collapse 52 to 42'!$C$4:$C$55,'Collapse 52 to 42'!$B$4:$B$55,$A27)</f>
        <v>0.19809062045501635</v>
      </c>
      <c r="V27">
        <f>SUMPRODUCT(--('Collapse 52 to 42'!$B$4:$B$55=$A27),'Collapse 52 to 42'!$C$4:$C$55,'Collapse 52 to 42'!X$4:X$55)/SUMIFS('Collapse 52 to 42'!$C$4:$C$55,'Collapse 52 to 42'!$B$4:$B$55,$A27)</f>
        <v>0.20861343869235616</v>
      </c>
      <c r="W27">
        <f>SUMPRODUCT(--('Collapse 52 to 42'!$B$4:$B$55=$A27),'Collapse 52 to 42'!$C$4:$C$55,'Collapse 52 to 42'!Y$4:Y$55)/SUMIFS('Collapse 52 to 42'!$C$4:$C$55,'Collapse 52 to 42'!$B$4:$B$55,$A27)</f>
        <v>0.21889533872015554</v>
      </c>
      <c r="X27">
        <f>SUMPRODUCT(--('Collapse 52 to 42'!$B$4:$B$55=$A27),'Collapse 52 to 42'!$C$4:$C$55,'Collapse 52 to 42'!Z$4:Z$55)/SUMIFS('Collapse 52 to 42'!$C$4:$C$55,'Collapse 52 to 42'!$B$4:$B$55,$A27)</f>
        <v>0.22875880766140688</v>
      </c>
      <c r="Y27">
        <f>SUMPRODUCT(--('Collapse 52 to 42'!$B$4:$B$55=$A27),'Collapse 52 to 42'!$C$4:$C$55,'Collapse 52 to 42'!AA$4:AA$55)/SUMIFS('Collapse 52 to 42'!$C$4:$C$55,'Collapse 52 to 42'!$B$4:$B$55,$A27)</f>
        <v>0.23811945584974126</v>
      </c>
      <c r="Z27">
        <f>SUMPRODUCT(--('Collapse 52 to 42'!$B$4:$B$55=$A27),'Collapse 52 to 42'!$C$4:$C$55,'Collapse 52 to 42'!AB$4:AB$55)/SUMIFS('Collapse 52 to 42'!$C$4:$C$55,'Collapse 52 to 42'!$B$4:$B$55,$A27)</f>
        <v>0.2474496474824619</v>
      </c>
      <c r="AA27">
        <f>SUMPRODUCT(--('Collapse 52 to 42'!$B$4:$B$55=$A27),'Collapse 52 to 42'!$C$4:$C$55,'Collapse 52 to 42'!AC$4:AC$55)/SUMIFS('Collapse 52 to 42'!$C$4:$C$55,'Collapse 52 to 42'!$B$4:$B$55,$A27)</f>
        <v>0.25638680214358778</v>
      </c>
      <c r="AB27">
        <f>SUMPRODUCT(--('Collapse 52 to 42'!$B$4:$B$55=$A27),'Collapse 52 to 42'!$C$4:$C$55,'Collapse 52 to 42'!AD$4:AD$55)/SUMIFS('Collapse 52 to 42'!$C$4:$C$55,'Collapse 52 to 42'!$B$4:$B$55,$A27)</f>
        <v>0.26558782288276972</v>
      </c>
    </row>
    <row r="28" spans="1:28" x14ac:dyDescent="0.25">
      <c r="A28" t="s">
        <v>130</v>
      </c>
      <c r="B28">
        <f>SUMPRODUCT(--('Collapse 52 to 42'!$B$4:$B$55=$A28),'Collapse 52 to 42'!$C$4:$C$55,'Collapse 52 to 42'!D$4:D$55)/SUMIFS('Collapse 52 to 42'!$C$4:$C$55,'Collapse 52 to 42'!$B$4:$B$55,$A28)</f>
        <v>-1.3448963000757486E-2</v>
      </c>
      <c r="C28">
        <f>SUMPRODUCT(--('Collapse 52 to 42'!$B$4:$B$55=$A28),'Collapse 52 to 42'!$C$4:$C$55,'Collapse 52 to 42'!E$4:E$55)/SUMIFS('Collapse 52 to 42'!$C$4:$C$55,'Collapse 52 to 42'!$B$4:$B$55,$A28)</f>
        <v>0</v>
      </c>
      <c r="D28">
        <f>SUMPRODUCT(--('Collapse 52 to 42'!$B$4:$B$55=$A28),'Collapse 52 to 42'!$C$4:$C$55,'Collapse 52 to 42'!F$4:F$55)/SUMIFS('Collapse 52 to 42'!$C$4:$C$55,'Collapse 52 to 42'!$B$4:$B$55,$A28)</f>
        <v>2.2013734744338986E-2</v>
      </c>
      <c r="E28">
        <f>SUMPRODUCT(--('Collapse 52 to 42'!$B$4:$B$55=$A28),'Collapse 52 to 42'!$C$4:$C$55,'Collapse 52 to 42'!G$4:G$55)/SUMIFS('Collapse 52 to 42'!$C$4:$C$55,'Collapse 52 to 42'!$B$4:$B$55,$A28)</f>
        <v>3.6670731565748182E-2</v>
      </c>
      <c r="F28">
        <f>SUMPRODUCT(--('Collapse 52 to 42'!$B$4:$B$55=$A28),'Collapse 52 to 42'!$C$4:$C$55,'Collapse 52 to 42'!H$4:H$55)/SUMIFS('Collapse 52 to 42'!$C$4:$C$55,'Collapse 52 to 42'!$B$4:$B$55,$A28)</f>
        <v>4.6750291830217838E-2</v>
      </c>
      <c r="G28">
        <f>SUMPRODUCT(--('Collapse 52 to 42'!$B$4:$B$55=$A28),'Collapse 52 to 42'!$C$4:$C$55,'Collapse 52 to 42'!I$4:I$55)/SUMIFS('Collapse 52 to 42'!$C$4:$C$55,'Collapse 52 to 42'!$B$4:$B$55,$A28)</f>
        <v>5.8834844735424552E-2</v>
      </c>
      <c r="H28">
        <f>SUMPRODUCT(--('Collapse 52 to 42'!$B$4:$B$55=$A28),'Collapse 52 to 42'!$C$4:$C$55,'Collapse 52 to 42'!J$4:J$55)/SUMIFS('Collapse 52 to 42'!$C$4:$C$55,'Collapse 52 to 42'!$B$4:$B$55,$A28)</f>
        <v>7.2603633659309441E-2</v>
      </c>
      <c r="I28">
        <f>SUMPRODUCT(--('Collapse 52 to 42'!$B$4:$B$55=$A28),'Collapse 52 to 42'!$C$4:$C$55,'Collapse 52 to 42'!K$4:K$55)/SUMIFS('Collapse 52 to 42'!$C$4:$C$55,'Collapse 52 to 42'!$B$4:$B$55,$A28)</f>
        <v>8.6065633594750057E-2</v>
      </c>
      <c r="J28">
        <f>SUMPRODUCT(--('Collapse 52 to 42'!$B$4:$B$55=$A28),'Collapse 52 to 42'!$C$4:$C$55,'Collapse 52 to 42'!L$4:L$55)/SUMIFS('Collapse 52 to 42'!$C$4:$C$55,'Collapse 52 to 42'!$B$4:$B$55,$A28)</f>
        <v>0.10131403557188823</v>
      </c>
      <c r="K28">
        <f>SUMPRODUCT(--('Collapse 52 to 42'!$B$4:$B$55=$A28),'Collapse 52 to 42'!$C$4:$C$55,'Collapse 52 to 42'!M$4:M$55)/SUMIFS('Collapse 52 to 42'!$C$4:$C$55,'Collapse 52 to 42'!$B$4:$B$55,$A28)</f>
        <v>0.11776715300705254</v>
      </c>
      <c r="L28">
        <f>SUMPRODUCT(--('Collapse 52 to 42'!$B$4:$B$55=$A28),'Collapse 52 to 42'!$C$4:$C$55,'Collapse 52 to 42'!N$4:N$55)/SUMIFS('Collapse 52 to 42'!$C$4:$C$55,'Collapse 52 to 42'!$B$4:$B$55,$A28)</f>
        <v>0.13520280125449347</v>
      </c>
      <c r="M28">
        <f>SUMPRODUCT(--('Collapse 52 to 42'!$B$4:$B$55=$A28),'Collapse 52 to 42'!$C$4:$C$55,'Collapse 52 to 42'!O$4:O$55)/SUMIFS('Collapse 52 to 42'!$C$4:$C$55,'Collapse 52 to 42'!$B$4:$B$55,$A28)</f>
        <v>0.15357568840678093</v>
      </c>
      <c r="N28">
        <f>SUMPRODUCT(--('Collapse 52 to 42'!$B$4:$B$55=$A28),'Collapse 52 to 42'!$C$4:$C$55,'Collapse 52 to 42'!P$4:P$55)/SUMIFS('Collapse 52 to 42'!$C$4:$C$55,'Collapse 52 to 42'!$B$4:$B$55,$A28)</f>
        <v>0.16877145293968421</v>
      </c>
      <c r="O28">
        <f>SUMPRODUCT(--('Collapse 52 to 42'!$B$4:$B$55=$A28),'Collapse 52 to 42'!$C$4:$C$55,'Collapse 52 to 42'!Q$4:Q$55)/SUMIFS('Collapse 52 to 42'!$C$4:$C$55,'Collapse 52 to 42'!$B$4:$B$55,$A28)</f>
        <v>0.18377489376523681</v>
      </c>
      <c r="P28">
        <f>SUMPRODUCT(--('Collapse 52 to 42'!$B$4:$B$55=$A28),'Collapse 52 to 42'!$C$4:$C$55,'Collapse 52 to 42'!R$4:R$55)/SUMIFS('Collapse 52 to 42'!$C$4:$C$55,'Collapse 52 to 42'!$B$4:$B$55,$A28)</f>
        <v>0.19876104253448945</v>
      </c>
      <c r="Q28">
        <f>SUMPRODUCT(--('Collapse 52 to 42'!$B$4:$B$55=$A28),'Collapse 52 to 42'!$C$4:$C$55,'Collapse 52 to 42'!S$4:S$55)/SUMIFS('Collapse 52 to 42'!$C$4:$C$55,'Collapse 52 to 42'!$B$4:$B$55,$A28)</f>
        <v>0.21338765986766983</v>
      </c>
      <c r="R28">
        <f>SUMPRODUCT(--('Collapse 52 to 42'!$B$4:$B$55=$A28),'Collapse 52 to 42'!$C$4:$C$55,'Collapse 52 to 42'!T$4:T$55)/SUMIFS('Collapse 52 to 42'!$C$4:$C$55,'Collapse 52 to 42'!$B$4:$B$55,$A28)</f>
        <v>0.22799787287434548</v>
      </c>
      <c r="S28">
        <f>SUMPRODUCT(--('Collapse 52 to 42'!$B$4:$B$55=$A28),'Collapse 52 to 42'!$C$4:$C$55,'Collapse 52 to 42'!U$4:U$55)/SUMIFS('Collapse 52 to 42'!$C$4:$C$55,'Collapse 52 to 42'!$B$4:$B$55,$A28)</f>
        <v>0.2420998523011515</v>
      </c>
      <c r="T28">
        <f>SUMPRODUCT(--('Collapse 52 to 42'!$B$4:$B$55=$A28),'Collapse 52 to 42'!$C$4:$C$55,'Collapse 52 to 42'!V$4:V$55)/SUMIFS('Collapse 52 to 42'!$C$4:$C$55,'Collapse 52 to 42'!$B$4:$B$55,$A28)</f>
        <v>0.25649594651429042</v>
      </c>
      <c r="U28">
        <f>SUMPRODUCT(--('Collapse 52 to 42'!$B$4:$B$55=$A28),'Collapse 52 to 42'!$C$4:$C$55,'Collapse 52 to 42'!W$4:W$55)/SUMIFS('Collapse 52 to 42'!$C$4:$C$55,'Collapse 52 to 42'!$B$4:$B$55,$A28)</f>
        <v>0.2713827954533985</v>
      </c>
      <c r="V28">
        <f>SUMPRODUCT(--('Collapse 52 to 42'!$B$4:$B$55=$A28),'Collapse 52 to 42'!$C$4:$C$55,'Collapse 52 to 42'!X$4:X$55)/SUMIFS('Collapse 52 to 42'!$C$4:$C$55,'Collapse 52 to 42'!$B$4:$B$55,$A28)</f>
        <v>0.28624338704102059</v>
      </c>
      <c r="W28">
        <f>SUMPRODUCT(--('Collapse 52 to 42'!$B$4:$B$55=$A28),'Collapse 52 to 42'!$C$4:$C$55,'Collapse 52 to 42'!Y$4:Y$55)/SUMIFS('Collapse 52 to 42'!$C$4:$C$55,'Collapse 52 to 42'!$B$4:$B$55,$A28)</f>
        <v>0.30080556991721141</v>
      </c>
      <c r="X28">
        <f>SUMPRODUCT(--('Collapse 52 to 42'!$B$4:$B$55=$A28),'Collapse 52 to 42'!$C$4:$C$55,'Collapse 52 to 42'!Z$4:Z$55)/SUMIFS('Collapse 52 to 42'!$C$4:$C$55,'Collapse 52 to 42'!$B$4:$B$55,$A28)</f>
        <v>0.31481411463710351</v>
      </c>
      <c r="Y28">
        <f>SUMPRODUCT(--('Collapse 52 to 42'!$B$4:$B$55=$A28),'Collapse 52 to 42'!$C$4:$C$55,'Collapse 52 to 42'!AA$4:AA$55)/SUMIFS('Collapse 52 to 42'!$C$4:$C$55,'Collapse 52 to 42'!$B$4:$B$55,$A28)</f>
        <v>0.32814383395444935</v>
      </c>
      <c r="Z28">
        <f>SUMPRODUCT(--('Collapse 52 to 42'!$B$4:$B$55=$A28),'Collapse 52 to 42'!$C$4:$C$55,'Collapse 52 to 42'!AB$4:AB$55)/SUMIFS('Collapse 52 to 42'!$C$4:$C$55,'Collapse 52 to 42'!$B$4:$B$55,$A28)</f>
        <v>0.34146341282603054</v>
      </c>
      <c r="AA28">
        <f>SUMPRODUCT(--('Collapse 52 to 42'!$B$4:$B$55=$A28),'Collapse 52 to 42'!$C$4:$C$55,'Collapse 52 to 42'!AC$4:AC$55)/SUMIFS('Collapse 52 to 42'!$C$4:$C$55,'Collapse 52 to 42'!$B$4:$B$55,$A28)</f>
        <v>0.354253468916363</v>
      </c>
      <c r="AB28">
        <f>SUMPRODUCT(--('Collapse 52 to 42'!$B$4:$B$55=$A28),'Collapse 52 to 42'!$C$4:$C$55,'Collapse 52 to 42'!AD$4:AD$55)/SUMIFS('Collapse 52 to 42'!$C$4:$C$55,'Collapse 52 to 42'!$B$4:$B$55,$A28)</f>
        <v>0.36745213277656941</v>
      </c>
    </row>
    <row r="29" spans="1:28" x14ac:dyDescent="0.25">
      <c r="A29" t="s">
        <v>133</v>
      </c>
      <c r="B29">
        <f>SUMPRODUCT(--('Collapse 52 to 42'!$B$4:$B$55=$A29),'Collapse 52 to 42'!$C$4:$C$55,'Collapse 52 to 42'!D$4:D$55)/SUMIFS('Collapse 52 to 42'!$C$4:$C$55,'Collapse 52 to 42'!$B$4:$B$55,$A29)</f>
        <v>-5.6309915621738482E-2</v>
      </c>
      <c r="C29">
        <f>SUMPRODUCT(--('Collapse 52 to 42'!$B$4:$B$55=$A29),'Collapse 52 to 42'!$C$4:$C$55,'Collapse 52 to 42'!E$4:E$55)/SUMIFS('Collapse 52 to 42'!$C$4:$C$55,'Collapse 52 to 42'!$B$4:$B$55,$A29)</f>
        <v>0</v>
      </c>
      <c r="D29">
        <f>SUMPRODUCT(--('Collapse 52 to 42'!$B$4:$B$55=$A29),'Collapse 52 to 42'!$C$4:$C$55,'Collapse 52 to 42'!F$4:F$55)/SUMIFS('Collapse 52 to 42'!$C$4:$C$55,'Collapse 52 to 42'!$B$4:$B$55,$A29)</f>
        <v>-3.5622398453959425E-3</v>
      </c>
      <c r="E29">
        <f>SUMPRODUCT(--('Collapse 52 to 42'!$B$4:$B$55=$A29),'Collapse 52 to 42'!$C$4:$C$55,'Collapse 52 to 42'!G$4:G$55)/SUMIFS('Collapse 52 to 42'!$C$4:$C$55,'Collapse 52 to 42'!$B$4:$B$55,$A29)</f>
        <v>2.4166684907789282E-3</v>
      </c>
      <c r="F29">
        <f>SUMPRODUCT(--('Collapse 52 to 42'!$B$4:$B$55=$A29),'Collapse 52 to 42'!$C$4:$C$55,'Collapse 52 to 42'!H$4:H$55)/SUMIFS('Collapse 52 to 42'!$C$4:$C$55,'Collapse 52 to 42'!$B$4:$B$55,$A29)</f>
        <v>8.6684574799287262E-3</v>
      </c>
      <c r="G29">
        <f>SUMPRODUCT(--('Collapse 52 to 42'!$B$4:$B$55=$A29),'Collapse 52 to 42'!$C$4:$C$55,'Collapse 52 to 42'!I$4:I$55)/SUMIFS('Collapse 52 to 42'!$C$4:$C$55,'Collapse 52 to 42'!$B$4:$B$55,$A29)</f>
        <v>2.5305381618640821E-2</v>
      </c>
      <c r="H29">
        <f>SUMPRODUCT(--('Collapse 52 to 42'!$B$4:$B$55=$A29),'Collapse 52 to 42'!$C$4:$C$55,'Collapse 52 to 42'!J$4:J$55)/SUMIFS('Collapse 52 to 42'!$C$4:$C$55,'Collapse 52 to 42'!$B$4:$B$55,$A29)</f>
        <v>4.249686144610032E-2</v>
      </c>
      <c r="I29">
        <f>SUMPRODUCT(--('Collapse 52 to 42'!$B$4:$B$55=$A29),'Collapse 52 to 42'!$C$4:$C$55,'Collapse 52 to 42'!K$4:K$55)/SUMIFS('Collapse 52 to 42'!$C$4:$C$55,'Collapse 52 to 42'!$B$4:$B$55,$A29)</f>
        <v>5.8412846618510095E-2</v>
      </c>
      <c r="J29">
        <f>SUMPRODUCT(--('Collapse 52 to 42'!$B$4:$B$55=$A29),'Collapse 52 to 42'!$C$4:$C$55,'Collapse 52 to 42'!L$4:L$55)/SUMIFS('Collapse 52 to 42'!$C$4:$C$55,'Collapse 52 to 42'!$B$4:$B$55,$A29)</f>
        <v>7.43815208003622E-2</v>
      </c>
      <c r="K29">
        <f>SUMPRODUCT(--('Collapse 52 to 42'!$B$4:$B$55=$A29),'Collapse 52 to 42'!$C$4:$C$55,'Collapse 52 to 42'!M$4:M$55)/SUMIFS('Collapse 52 to 42'!$C$4:$C$55,'Collapse 52 to 42'!$B$4:$B$55,$A29)</f>
        <v>8.7819353434775538E-2</v>
      </c>
      <c r="L29">
        <f>SUMPRODUCT(--('Collapse 52 to 42'!$B$4:$B$55=$A29),'Collapse 52 to 42'!$C$4:$C$55,'Collapse 52 to 42'!N$4:N$55)/SUMIFS('Collapse 52 to 42'!$C$4:$C$55,'Collapse 52 to 42'!$B$4:$B$55,$A29)</f>
        <v>9.6451352247537203E-2</v>
      </c>
      <c r="M29">
        <f>SUMPRODUCT(--('Collapse 52 to 42'!$B$4:$B$55=$A29),'Collapse 52 to 42'!$C$4:$C$55,'Collapse 52 to 42'!O$4:O$55)/SUMIFS('Collapse 52 to 42'!$C$4:$C$55,'Collapse 52 to 42'!$B$4:$B$55,$A29)</f>
        <v>0.10843299503614801</v>
      </c>
      <c r="N29">
        <f>SUMPRODUCT(--('Collapse 52 to 42'!$B$4:$B$55=$A29),'Collapse 52 to 42'!$C$4:$C$55,'Collapse 52 to 42'!P$4:P$55)/SUMIFS('Collapse 52 to 42'!$C$4:$C$55,'Collapse 52 to 42'!$B$4:$B$55,$A29)</f>
        <v>0.11891623271460339</v>
      </c>
      <c r="O29">
        <f>SUMPRODUCT(--('Collapse 52 to 42'!$B$4:$B$55=$A29),'Collapse 52 to 42'!$C$4:$C$55,'Collapse 52 to 42'!Q$4:Q$55)/SUMIFS('Collapse 52 to 42'!$C$4:$C$55,'Collapse 52 to 42'!$B$4:$B$55,$A29)</f>
        <v>0.12788483494062808</v>
      </c>
      <c r="P29">
        <f>SUMPRODUCT(--('Collapse 52 to 42'!$B$4:$B$55=$A29),'Collapse 52 to 42'!$C$4:$C$55,'Collapse 52 to 42'!R$4:R$55)/SUMIFS('Collapse 52 to 42'!$C$4:$C$55,'Collapse 52 to 42'!$B$4:$B$55,$A29)</f>
        <v>0.13554516154305896</v>
      </c>
      <c r="Q29">
        <f>SUMPRODUCT(--('Collapse 52 to 42'!$B$4:$B$55=$A29),'Collapse 52 to 42'!$C$4:$C$55,'Collapse 52 to 42'!S$4:S$55)/SUMIFS('Collapse 52 to 42'!$C$4:$C$55,'Collapse 52 to 42'!$B$4:$B$55,$A29)</f>
        <v>0.14216281637492423</v>
      </c>
      <c r="R29">
        <f>SUMPRODUCT(--('Collapse 52 to 42'!$B$4:$B$55=$A29),'Collapse 52 to 42'!$C$4:$C$55,'Collapse 52 to 42'!T$4:T$55)/SUMIFS('Collapse 52 to 42'!$C$4:$C$55,'Collapse 52 to 42'!$B$4:$B$55,$A29)</f>
        <v>0.14628688805403667</v>
      </c>
      <c r="S29">
        <f>SUMPRODUCT(--('Collapse 52 to 42'!$B$4:$B$55=$A29),'Collapse 52 to 42'!$C$4:$C$55,'Collapse 52 to 42'!U$4:U$55)/SUMIFS('Collapse 52 to 42'!$C$4:$C$55,'Collapse 52 to 42'!$B$4:$B$55,$A29)</f>
        <v>0.14900881863006421</v>
      </c>
      <c r="T29">
        <f>SUMPRODUCT(--('Collapse 52 to 42'!$B$4:$B$55=$A29),'Collapse 52 to 42'!$C$4:$C$55,'Collapse 52 to 42'!V$4:V$55)/SUMIFS('Collapse 52 to 42'!$C$4:$C$55,'Collapse 52 to 42'!$B$4:$B$55,$A29)</f>
        <v>0.15578510115099034</v>
      </c>
      <c r="U29">
        <f>SUMPRODUCT(--('Collapse 52 to 42'!$B$4:$B$55=$A29),'Collapse 52 to 42'!$C$4:$C$55,'Collapse 52 to 42'!W$4:W$55)/SUMIFS('Collapse 52 to 42'!$C$4:$C$55,'Collapse 52 to 42'!$B$4:$B$55,$A29)</f>
        <v>0.16071230361203928</v>
      </c>
      <c r="V29">
        <f>SUMPRODUCT(--('Collapse 52 to 42'!$B$4:$B$55=$A29),'Collapse 52 to 42'!$C$4:$C$55,'Collapse 52 to 42'!X$4:X$55)/SUMIFS('Collapse 52 to 42'!$C$4:$C$55,'Collapse 52 to 42'!$B$4:$B$55,$A29)</f>
        <v>0.16662285194727589</v>
      </c>
      <c r="W29">
        <f>SUMPRODUCT(--('Collapse 52 to 42'!$B$4:$B$55=$A29),'Collapse 52 to 42'!$C$4:$C$55,'Collapse 52 to 42'!Y$4:Y$55)/SUMIFS('Collapse 52 to 42'!$C$4:$C$55,'Collapse 52 to 42'!$B$4:$B$55,$A29)</f>
        <v>0.17797246372443154</v>
      </c>
      <c r="X29">
        <f>SUMPRODUCT(--('Collapse 52 to 42'!$B$4:$B$55=$A29),'Collapse 52 to 42'!$C$4:$C$55,'Collapse 52 to 42'!Z$4:Z$55)/SUMIFS('Collapse 52 to 42'!$C$4:$C$55,'Collapse 52 to 42'!$B$4:$B$55,$A29)</f>
        <v>0.189862080210351</v>
      </c>
      <c r="Y29">
        <f>SUMPRODUCT(--('Collapse 52 to 42'!$B$4:$B$55=$A29),'Collapse 52 to 42'!$C$4:$C$55,'Collapse 52 to 42'!AA$4:AA$55)/SUMIFS('Collapse 52 to 42'!$C$4:$C$55,'Collapse 52 to 42'!$B$4:$B$55,$A29)</f>
        <v>0.20078434144259627</v>
      </c>
      <c r="Z29">
        <f>SUMPRODUCT(--('Collapse 52 to 42'!$B$4:$B$55=$A29),'Collapse 52 to 42'!$C$4:$C$55,'Collapse 52 to 42'!AB$4:AB$55)/SUMIFS('Collapse 52 to 42'!$C$4:$C$55,'Collapse 52 to 42'!$B$4:$B$55,$A29)</f>
        <v>0.21184276332593921</v>
      </c>
      <c r="AA29">
        <f>SUMPRODUCT(--('Collapse 52 to 42'!$B$4:$B$55=$A29),'Collapse 52 to 42'!$C$4:$C$55,'Collapse 52 to 42'!AC$4:AC$55)/SUMIFS('Collapse 52 to 42'!$C$4:$C$55,'Collapse 52 to 42'!$B$4:$B$55,$A29)</f>
        <v>0.22444372466784435</v>
      </c>
      <c r="AB29">
        <f>SUMPRODUCT(--('Collapse 52 to 42'!$B$4:$B$55=$A29),'Collapse 52 to 42'!$C$4:$C$55,'Collapse 52 to 42'!AD$4:AD$55)/SUMIFS('Collapse 52 to 42'!$C$4:$C$55,'Collapse 52 to 42'!$B$4:$B$55,$A29)</f>
        <v>0.23895477001834189</v>
      </c>
    </row>
    <row r="30" spans="1:28" x14ac:dyDescent="0.25">
      <c r="A30" t="s">
        <v>359</v>
      </c>
      <c r="B30">
        <f>SUMPRODUCT(--('Collapse 52 to 42'!$B$4:$B$55=$A30),'Collapse 52 to 42'!$C$4:$C$55,'Collapse 52 to 42'!D$4:D$55)/SUMIFS('Collapse 52 to 42'!$C$4:$C$55,'Collapse 52 to 42'!$B$4:$B$55,$A30)</f>
        <v>-2.2603253458020833E-2</v>
      </c>
      <c r="C30">
        <f>SUMPRODUCT(--('Collapse 52 to 42'!$B$4:$B$55=$A30),'Collapse 52 to 42'!$C$4:$C$55,'Collapse 52 to 42'!E$4:E$55)/SUMIFS('Collapse 52 to 42'!$C$4:$C$55,'Collapse 52 to 42'!$B$4:$B$55,$A30)</f>
        <v>0</v>
      </c>
      <c r="D30">
        <f>SUMPRODUCT(--('Collapse 52 to 42'!$B$4:$B$55=$A30),'Collapse 52 to 42'!$C$4:$C$55,'Collapse 52 to 42'!F$4:F$55)/SUMIFS('Collapse 52 to 42'!$C$4:$C$55,'Collapse 52 to 42'!$B$4:$B$55,$A30)</f>
        <v>3.7344319811697613E-2</v>
      </c>
      <c r="E30">
        <f>SUMPRODUCT(--('Collapse 52 to 42'!$B$4:$B$55=$A30),'Collapse 52 to 42'!$C$4:$C$55,'Collapse 52 to 42'!G$4:G$55)/SUMIFS('Collapse 52 to 42'!$C$4:$C$55,'Collapse 52 to 42'!$B$4:$B$55,$A30)</f>
        <v>6.2581569187405428E-2</v>
      </c>
      <c r="F30">
        <f>SUMPRODUCT(--('Collapse 52 to 42'!$B$4:$B$55=$A30),'Collapse 52 to 42'!$C$4:$C$55,'Collapse 52 to 42'!H$4:H$55)/SUMIFS('Collapse 52 to 42'!$C$4:$C$55,'Collapse 52 to 42'!$B$4:$B$55,$A30)</f>
        <v>8.0108014890041934E-2</v>
      </c>
      <c r="G30">
        <f>SUMPRODUCT(--('Collapse 52 to 42'!$B$4:$B$55=$A30),'Collapse 52 to 42'!$C$4:$C$55,'Collapse 52 to 42'!I$4:I$55)/SUMIFS('Collapse 52 to 42'!$C$4:$C$55,'Collapse 52 to 42'!$B$4:$B$55,$A30)</f>
        <v>0.10126167441519129</v>
      </c>
      <c r="H30">
        <f>SUMPRODUCT(--('Collapse 52 to 42'!$B$4:$B$55=$A30),'Collapse 52 to 42'!$C$4:$C$55,'Collapse 52 to 42'!J$4:J$55)/SUMIFS('Collapse 52 to 42'!$C$4:$C$55,'Collapse 52 to 42'!$B$4:$B$55,$A30)</f>
        <v>0.12555510608646414</v>
      </c>
      <c r="I30">
        <f>SUMPRODUCT(--('Collapse 52 to 42'!$B$4:$B$55=$A30),'Collapse 52 to 42'!$C$4:$C$55,'Collapse 52 to 42'!K$4:K$55)/SUMIFS('Collapse 52 to 42'!$C$4:$C$55,'Collapse 52 to 42'!$B$4:$B$55,$A30)</f>
        <v>0.14951958042922242</v>
      </c>
      <c r="J30">
        <f>SUMPRODUCT(--('Collapse 52 to 42'!$B$4:$B$55=$A30),'Collapse 52 to 42'!$C$4:$C$55,'Collapse 52 to 42'!L$4:L$55)/SUMIFS('Collapse 52 to 42'!$C$4:$C$55,'Collapse 52 to 42'!$B$4:$B$55,$A30)</f>
        <v>0.17689844657484377</v>
      </c>
      <c r="K30">
        <f>SUMPRODUCT(--('Collapse 52 to 42'!$B$4:$B$55=$A30),'Collapse 52 to 42'!$C$4:$C$55,'Collapse 52 to 42'!M$4:M$55)/SUMIFS('Collapse 52 to 42'!$C$4:$C$55,'Collapse 52 to 42'!$B$4:$B$55,$A30)</f>
        <v>0.20672525862414148</v>
      </c>
      <c r="L30">
        <f>SUMPRODUCT(--('Collapse 52 to 42'!$B$4:$B$55=$A30),'Collapse 52 to 42'!$C$4:$C$55,'Collapse 52 to 42'!N$4:N$55)/SUMIFS('Collapse 52 to 42'!$C$4:$C$55,'Collapse 52 to 42'!$B$4:$B$55,$A30)</f>
        <v>0.23865724853943826</v>
      </c>
      <c r="M30">
        <f>SUMPRODUCT(--('Collapse 52 to 42'!$B$4:$B$55=$A30),'Collapse 52 to 42'!$C$4:$C$55,'Collapse 52 to 42'!O$4:O$55)/SUMIFS('Collapse 52 to 42'!$C$4:$C$55,'Collapse 52 to 42'!$B$4:$B$55,$A30)</f>
        <v>0.27266562710940523</v>
      </c>
      <c r="N30">
        <f>SUMPRODUCT(--('Collapse 52 to 42'!$B$4:$B$55=$A30),'Collapse 52 to 42'!$C$4:$C$55,'Collapse 52 to 42'!P$4:P$55)/SUMIFS('Collapse 52 to 42'!$C$4:$C$55,'Collapse 52 to 42'!$B$4:$B$55,$A30)</f>
        <v>0.30110510372831589</v>
      </c>
      <c r="O30">
        <f>SUMPRODUCT(--('Collapse 52 to 42'!$B$4:$B$55=$A30),'Collapse 52 to 42'!$C$4:$C$55,'Collapse 52 to 42'!Q$4:Q$55)/SUMIFS('Collapse 52 to 42'!$C$4:$C$55,'Collapse 52 to 42'!$B$4:$B$55,$A30)</f>
        <v>0.32943888123166087</v>
      </c>
      <c r="P30">
        <f>SUMPRODUCT(--('Collapse 52 to 42'!$B$4:$B$55=$A30),'Collapse 52 to 42'!$C$4:$C$55,'Collapse 52 to 42'!R$4:R$55)/SUMIFS('Collapse 52 to 42'!$C$4:$C$55,'Collapse 52 to 42'!$B$4:$B$55,$A30)</f>
        <v>0.35798980176743678</v>
      </c>
      <c r="Q30">
        <f>SUMPRODUCT(--('Collapse 52 to 42'!$B$4:$B$55=$A30),'Collapse 52 to 42'!$C$4:$C$55,'Collapse 52 to 42'!S$4:S$55)/SUMIFS('Collapse 52 to 42'!$C$4:$C$55,'Collapse 52 to 42'!$B$4:$B$55,$A30)</f>
        <v>0.38609836269419517</v>
      </c>
      <c r="R30">
        <f>SUMPRODUCT(--('Collapse 52 to 42'!$B$4:$B$55=$A30),'Collapse 52 to 42'!$C$4:$C$55,'Collapse 52 to 42'!T$4:T$55)/SUMIFS('Collapse 52 to 42'!$C$4:$C$55,'Collapse 52 to 42'!$B$4:$B$55,$A30)</f>
        <v>0.41441109930897224</v>
      </c>
      <c r="S30">
        <f>SUMPRODUCT(--('Collapse 52 to 42'!$B$4:$B$55=$A30),'Collapse 52 to 42'!$C$4:$C$55,'Collapse 52 to 42'!U$4:U$55)/SUMIFS('Collapse 52 to 42'!$C$4:$C$55,'Collapse 52 to 42'!$B$4:$B$55,$A30)</f>
        <v>0.44196537138868286</v>
      </c>
      <c r="T30">
        <f>SUMPRODUCT(--('Collapse 52 to 42'!$B$4:$B$55=$A30),'Collapse 52 to 42'!$C$4:$C$55,'Collapse 52 to 42'!V$4:V$55)/SUMIFS('Collapse 52 to 42'!$C$4:$C$55,'Collapse 52 to 42'!$B$4:$B$55,$A30)</f>
        <v>0.47031672674744684</v>
      </c>
      <c r="U30">
        <f>SUMPRODUCT(--('Collapse 52 to 42'!$B$4:$B$55=$A30),'Collapse 52 to 42'!$C$4:$C$55,'Collapse 52 to 42'!W$4:W$55)/SUMIFS('Collapse 52 to 42'!$C$4:$C$55,'Collapse 52 to 42'!$B$4:$B$55,$A30)</f>
        <v>0.49986849089608376</v>
      </c>
      <c r="V30">
        <f>SUMPRODUCT(--('Collapse 52 to 42'!$B$4:$B$55=$A30),'Collapse 52 to 42'!$C$4:$C$55,'Collapse 52 to 42'!X$4:X$55)/SUMIFS('Collapse 52 to 42'!$C$4:$C$55,'Collapse 52 to 42'!$B$4:$B$55,$A30)</f>
        <v>0.52960868334904809</v>
      </c>
      <c r="W30">
        <f>SUMPRODUCT(--('Collapse 52 to 42'!$B$4:$B$55=$A30),'Collapse 52 to 42'!$C$4:$C$55,'Collapse 52 to 42'!Y$4:Y$55)/SUMIFS('Collapse 52 to 42'!$C$4:$C$55,'Collapse 52 to 42'!$B$4:$B$55,$A30)</f>
        <v>0.55898616006142743</v>
      </c>
      <c r="X30">
        <f>SUMPRODUCT(--('Collapse 52 to 42'!$B$4:$B$55=$A30),'Collapse 52 to 42'!$C$4:$C$55,'Collapse 52 to 42'!Z$4:Z$55)/SUMIFS('Collapse 52 to 42'!$C$4:$C$55,'Collapse 52 to 42'!$B$4:$B$55,$A30)</f>
        <v>0.58746706060706488</v>
      </c>
      <c r="Y30">
        <f>SUMPRODUCT(--('Collapse 52 to 42'!$B$4:$B$55=$A30),'Collapse 52 to 42'!$C$4:$C$55,'Collapse 52 to 42'!AA$4:AA$55)/SUMIFS('Collapse 52 to 42'!$C$4:$C$55,'Collapse 52 to 42'!$B$4:$B$55,$A30)</f>
        <v>0.61476891801475952</v>
      </c>
      <c r="Z30">
        <f>SUMPRODUCT(--('Collapse 52 to 42'!$B$4:$B$55=$A30),'Collapse 52 to 42'!$C$4:$C$55,'Collapse 52 to 42'!AB$4:AB$55)/SUMIFS('Collapse 52 to 42'!$C$4:$C$55,'Collapse 52 to 42'!$B$4:$B$55,$A30)</f>
        <v>0.64224068469112705</v>
      </c>
      <c r="AA30">
        <f>SUMPRODUCT(--('Collapse 52 to 42'!$B$4:$B$55=$A30),'Collapse 52 to 42'!$C$4:$C$55,'Collapse 52 to 42'!AC$4:AC$55)/SUMIFS('Collapse 52 to 42'!$C$4:$C$55,'Collapse 52 to 42'!$B$4:$B$55,$A30)</f>
        <v>0.66880271381055145</v>
      </c>
      <c r="AB30">
        <f>SUMPRODUCT(--('Collapse 52 to 42'!$B$4:$B$55=$A30),'Collapse 52 to 42'!$C$4:$C$55,'Collapse 52 to 42'!AD$4:AD$55)/SUMIFS('Collapse 52 to 42'!$C$4:$C$55,'Collapse 52 to 42'!$B$4:$B$55,$A30)</f>
        <v>0.6963936116816809</v>
      </c>
    </row>
    <row r="31" spans="1:28" x14ac:dyDescent="0.25">
      <c r="A31" t="s">
        <v>1272</v>
      </c>
      <c r="B31">
        <f>SUMPRODUCT(--('Collapse 52 to 42'!$B$4:$B$55=$A31),'Collapse 52 to 42'!$C$4:$C$55,'Collapse 52 to 42'!D$4:D$55)/SUMIFS('Collapse 52 to 42'!$C$4:$C$55,'Collapse 52 to 42'!$B$4:$B$55,$A31)</f>
        <v>-1.9720599154319354E-2</v>
      </c>
      <c r="C31">
        <f>SUMPRODUCT(--('Collapse 52 to 42'!$B$4:$B$55=$A31),'Collapse 52 to 42'!$C$4:$C$55,'Collapse 52 to 42'!E$4:E$55)/SUMIFS('Collapse 52 to 42'!$C$4:$C$55,'Collapse 52 to 42'!$B$4:$B$55,$A31)</f>
        <v>0</v>
      </c>
      <c r="D31">
        <f>SUMPRODUCT(--('Collapse 52 to 42'!$B$4:$B$55=$A31),'Collapse 52 to 42'!$C$4:$C$55,'Collapse 52 to 42'!F$4:F$55)/SUMIFS('Collapse 52 to 42'!$C$4:$C$55,'Collapse 52 to 42'!$B$4:$B$55,$A31)</f>
        <v>3.2501563320289549E-2</v>
      </c>
      <c r="E31">
        <f>SUMPRODUCT(--('Collapse 52 to 42'!$B$4:$B$55=$A31),'Collapse 52 to 42'!$C$4:$C$55,'Collapse 52 to 42'!G$4:G$55)/SUMIFS('Collapse 52 to 42'!$C$4:$C$55,'Collapse 52 to 42'!$B$4:$B$55,$A31)</f>
        <v>5.438038662728259E-2</v>
      </c>
      <c r="F31">
        <f>SUMPRODUCT(--('Collapse 52 to 42'!$B$4:$B$55=$A31),'Collapse 52 to 42'!$C$4:$C$55,'Collapse 52 to 42'!H$4:H$55)/SUMIFS('Collapse 52 to 42'!$C$4:$C$55,'Collapse 52 to 42'!$B$4:$B$55,$A31)</f>
        <v>6.9535653592236263E-2</v>
      </c>
      <c r="G31">
        <f>SUMPRODUCT(--('Collapse 52 to 42'!$B$4:$B$55=$A31),'Collapse 52 to 42'!$C$4:$C$55,'Collapse 52 to 42'!I$4:I$55)/SUMIFS('Collapse 52 to 42'!$C$4:$C$55,'Collapse 52 to 42'!$B$4:$B$55,$A31)</f>
        <v>8.7795575539136098E-2</v>
      </c>
      <c r="H31">
        <f>SUMPRODUCT(--('Collapse 52 to 42'!$B$4:$B$55=$A31),'Collapse 52 to 42'!$C$4:$C$55,'Collapse 52 to 42'!J$4:J$55)/SUMIFS('Collapse 52 to 42'!$C$4:$C$55,'Collapse 52 to 42'!$B$4:$B$55,$A31)</f>
        <v>0.10872269262132328</v>
      </c>
      <c r="I31">
        <f>SUMPRODUCT(--('Collapse 52 to 42'!$B$4:$B$55=$A31),'Collapse 52 to 42'!$C$4:$C$55,'Collapse 52 to 42'!K$4:K$55)/SUMIFS('Collapse 52 to 42'!$C$4:$C$55,'Collapse 52 to 42'!$B$4:$B$55,$A31)</f>
        <v>0.12931895957019146</v>
      </c>
      <c r="J31">
        <f>SUMPRODUCT(--('Collapse 52 to 42'!$B$4:$B$55=$A31),'Collapse 52 to 42'!$C$4:$C$55,'Collapse 52 to 42'!L$4:L$55)/SUMIFS('Collapse 52 to 42'!$C$4:$C$55,'Collapse 52 to 42'!$B$4:$B$55,$A31)</f>
        <v>0.15279765865057726</v>
      </c>
      <c r="K31">
        <f>SUMPRODUCT(--('Collapse 52 to 42'!$B$4:$B$55=$A31),'Collapse 52 to 42'!$C$4:$C$55,'Collapse 52 to 42'!M$4:M$55)/SUMIFS('Collapse 52 to 42'!$C$4:$C$55,'Collapse 52 to 42'!$B$4:$B$55,$A31)</f>
        <v>0.17831267134739498</v>
      </c>
      <c r="L31">
        <f>SUMPRODUCT(--('Collapse 52 to 42'!$B$4:$B$55=$A31),'Collapse 52 to 42'!$C$4:$C$55,'Collapse 52 to 42'!N$4:N$55)/SUMIFS('Collapse 52 to 42'!$C$4:$C$55,'Collapse 52 to 42'!$B$4:$B$55,$A31)</f>
        <v>0.20555744472518145</v>
      </c>
      <c r="M31">
        <f>SUMPRODUCT(--('Collapse 52 to 42'!$B$4:$B$55=$A31),'Collapse 52 to 42'!$C$4:$C$55,'Collapse 52 to 42'!O$4:O$55)/SUMIFS('Collapse 52 to 42'!$C$4:$C$55,'Collapse 52 to 42'!$B$4:$B$55,$A31)</f>
        <v>0.23449541235267435</v>
      </c>
      <c r="N31">
        <f>SUMPRODUCT(--('Collapse 52 to 42'!$B$4:$B$55=$A31),'Collapse 52 to 42'!$C$4:$C$55,'Collapse 52 to 42'!P$4:P$55)/SUMIFS('Collapse 52 to 42'!$C$4:$C$55,'Collapse 52 to 42'!$B$4:$B$55,$A31)</f>
        <v>0.25862730123182881</v>
      </c>
      <c r="O31">
        <f>SUMPRODUCT(--('Collapse 52 to 42'!$B$4:$B$55=$A31),'Collapse 52 to 42'!$C$4:$C$55,'Collapse 52 to 42'!Q$4:Q$55)/SUMIFS('Collapse 52 to 42'!$C$4:$C$55,'Collapse 52 to 42'!$B$4:$B$55,$A31)</f>
        <v>0.28261494772862522</v>
      </c>
      <c r="P31">
        <f>SUMPRODUCT(--('Collapse 52 to 42'!$B$4:$B$55=$A31),'Collapse 52 to 42'!$C$4:$C$55,'Collapse 52 to 42'!R$4:R$55)/SUMIFS('Collapse 52 to 42'!$C$4:$C$55,'Collapse 52 to 42'!$B$4:$B$55,$A31)</f>
        <v>0.3067331679489444</v>
      </c>
      <c r="Q31">
        <f>SUMPRODUCT(--('Collapse 52 to 42'!$B$4:$B$55=$A31),'Collapse 52 to 42'!$C$4:$C$55,'Collapse 52 to 42'!S$4:S$55)/SUMIFS('Collapse 52 to 42'!$C$4:$C$55,'Collapse 52 to 42'!$B$4:$B$55,$A31)</f>
        <v>0.33042629849775956</v>
      </c>
      <c r="R31">
        <f>SUMPRODUCT(--('Collapse 52 to 42'!$B$4:$B$55=$A31),'Collapse 52 to 42'!$C$4:$C$55,'Collapse 52 to 42'!T$4:T$55)/SUMIFS('Collapse 52 to 42'!$C$4:$C$55,'Collapse 52 to 42'!$B$4:$B$55,$A31)</f>
        <v>0.35424188910858345</v>
      </c>
      <c r="S31">
        <f>SUMPRODUCT(--('Collapse 52 to 42'!$B$4:$B$55=$A31),'Collapse 52 to 42'!$C$4:$C$55,'Collapse 52 to 42'!U$4:U$55)/SUMIFS('Collapse 52 to 42'!$C$4:$C$55,'Collapse 52 to 42'!$B$4:$B$55,$A31)</f>
        <v>0.37737207868143557</v>
      </c>
      <c r="T31">
        <f>SUMPRODUCT(--('Collapse 52 to 42'!$B$4:$B$55=$A31),'Collapse 52 to 42'!$C$4:$C$55,'Collapse 52 to 42'!V$4:V$55)/SUMIFS('Collapse 52 to 42'!$C$4:$C$55,'Collapse 52 to 42'!$B$4:$B$55,$A31)</f>
        <v>0.4011250757366101</v>
      </c>
      <c r="U31">
        <f>SUMPRODUCT(--('Collapse 52 to 42'!$B$4:$B$55=$A31),'Collapse 52 to 42'!$C$4:$C$55,'Collapse 52 to 42'!W$4:W$55)/SUMIFS('Collapse 52 to 42'!$C$4:$C$55,'Collapse 52 to 42'!$B$4:$B$55,$A31)</f>
        <v>0.42583535930773603</v>
      </c>
      <c r="V31">
        <f>SUMPRODUCT(--('Collapse 52 to 42'!$B$4:$B$55=$A31),'Collapse 52 to 42'!$C$4:$C$55,'Collapse 52 to 42'!X$4:X$55)/SUMIFS('Collapse 52 to 42'!$C$4:$C$55,'Collapse 52 to 42'!$B$4:$B$55,$A31)</f>
        <v>0.45065368270887024</v>
      </c>
      <c r="W31">
        <f>SUMPRODUCT(--('Collapse 52 to 42'!$B$4:$B$55=$A31),'Collapse 52 to 42'!$C$4:$C$55,'Collapse 52 to 42'!Y$4:Y$55)/SUMIFS('Collapse 52 to 42'!$C$4:$C$55,'Collapse 52 to 42'!$B$4:$B$55,$A31)</f>
        <v>0.47512132578853239</v>
      </c>
      <c r="X31">
        <f>SUMPRODUCT(--('Collapse 52 to 42'!$B$4:$B$55=$A31),'Collapse 52 to 42'!$C$4:$C$55,'Collapse 52 to 42'!Z$4:Z$55)/SUMIFS('Collapse 52 to 42'!$C$4:$C$55,'Collapse 52 to 42'!$B$4:$B$55,$A31)</f>
        <v>0.49879739785590632</v>
      </c>
      <c r="Y31">
        <f>SUMPRODUCT(--('Collapse 52 to 42'!$B$4:$B$55=$A31),'Collapse 52 to 42'!$C$4:$C$55,'Collapse 52 to 42'!AA$4:AA$55)/SUMIFS('Collapse 52 to 42'!$C$4:$C$55,'Collapse 52 to 42'!$B$4:$B$55,$A31)</f>
        <v>0.52145263710408873</v>
      </c>
      <c r="Z31">
        <f>SUMPRODUCT(--('Collapse 52 to 42'!$B$4:$B$55=$A31),'Collapse 52 to 42'!$C$4:$C$55,'Collapse 52 to 42'!AB$4:AB$55)/SUMIFS('Collapse 52 to 42'!$C$4:$C$55,'Collapse 52 to 42'!$B$4:$B$55,$A31)</f>
        <v>0.54421047747654849</v>
      </c>
      <c r="AA31">
        <f>SUMPRODUCT(--('Collapse 52 to 42'!$B$4:$B$55=$A31),'Collapse 52 to 42'!$C$4:$C$55,'Collapse 52 to 42'!AC$4:AC$55)/SUMIFS('Collapse 52 to 42'!$C$4:$C$55,'Collapse 52 to 42'!$B$4:$B$55,$A31)</f>
        <v>0.56617813966441033</v>
      </c>
      <c r="AB31">
        <f>SUMPRODUCT(--('Collapse 52 to 42'!$B$4:$B$55=$A31),'Collapse 52 to 42'!$C$4:$C$55,'Collapse 52 to 42'!AD$4:AD$55)/SUMIFS('Collapse 52 to 42'!$C$4:$C$55,'Collapse 52 to 42'!$B$4:$B$55,$A31)</f>
        <v>0.5889607682167437</v>
      </c>
    </row>
    <row r="32" spans="1:28" x14ac:dyDescent="0.25">
      <c r="A32" t="s">
        <v>871</v>
      </c>
      <c r="B32">
        <f>SUMPRODUCT(--('Collapse 52 to 42'!$B$4:$B$55=$A32),'Collapse 52 to 42'!$C$4:$C$55,'Collapse 52 to 42'!D$4:D$55)/SUMIFS('Collapse 52 to 42'!$C$4:$C$55,'Collapse 52 to 42'!$B$4:$B$55,$A32)</f>
        <v>-2.0612212722658563E-2</v>
      </c>
      <c r="C32">
        <f>SUMPRODUCT(--('Collapse 52 to 42'!$B$4:$B$55=$A32),'Collapse 52 to 42'!$C$4:$C$55,'Collapse 52 to 42'!E$4:E$55)/SUMIFS('Collapse 52 to 42'!$C$4:$C$55,'Collapse 52 to 42'!$B$4:$B$55,$A32)</f>
        <v>0</v>
      </c>
      <c r="D32">
        <f>SUMPRODUCT(--('Collapse 52 to 42'!$B$4:$B$55=$A32),'Collapse 52 to 42'!$C$4:$C$55,'Collapse 52 to 42'!F$4:F$55)/SUMIFS('Collapse 52 to 42'!$C$4:$C$55,'Collapse 52 to 42'!$B$4:$B$55,$A32)</f>
        <v>3.3985559134779075E-2</v>
      </c>
      <c r="E32">
        <f>SUMPRODUCT(--('Collapse 52 to 42'!$B$4:$B$55=$A32),'Collapse 52 to 42'!$C$4:$C$55,'Collapse 52 to 42'!G$4:G$55)/SUMIFS('Collapse 52 to 42'!$C$4:$C$55,'Collapse 52 to 42'!$B$4:$B$55,$A32)</f>
        <v>5.6878596916005504E-2</v>
      </c>
      <c r="F32">
        <f>SUMPRODUCT(--('Collapse 52 to 42'!$B$4:$B$55=$A32),'Collapse 52 to 42'!$C$4:$C$55,'Collapse 52 to 42'!H$4:H$55)/SUMIFS('Collapse 52 to 42'!$C$4:$C$55,'Collapse 52 to 42'!$B$4:$B$55,$A32)</f>
        <v>7.2743102497595968E-2</v>
      </c>
      <c r="G32">
        <f>SUMPRODUCT(--('Collapse 52 to 42'!$B$4:$B$55=$A32),'Collapse 52 to 42'!$C$4:$C$55,'Collapse 52 to 42'!I$4:I$55)/SUMIFS('Collapse 52 to 42'!$C$4:$C$55,'Collapse 52 to 42'!$B$4:$B$55,$A32)</f>
        <v>9.1862927710237852E-2</v>
      </c>
      <c r="H32">
        <f>SUMPRODUCT(--('Collapse 52 to 42'!$B$4:$B$55=$A32),'Collapse 52 to 42'!$C$4:$C$55,'Collapse 52 to 42'!J$4:J$55)/SUMIFS('Collapse 52 to 42'!$C$4:$C$55,'Collapse 52 to 42'!$B$4:$B$55,$A32)</f>
        <v>0.11378271463332501</v>
      </c>
      <c r="I32">
        <f>SUMPRODUCT(--('Collapse 52 to 42'!$B$4:$B$55=$A32),'Collapse 52 to 42'!$C$4:$C$55,'Collapse 52 to 42'!K$4:K$55)/SUMIFS('Collapse 52 to 42'!$C$4:$C$55,'Collapse 52 to 42'!$B$4:$B$55,$A32)</f>
        <v>0.13536371062534713</v>
      </c>
      <c r="J32">
        <f>SUMPRODUCT(--('Collapse 52 to 42'!$B$4:$B$55=$A32),'Collapse 52 to 42'!$C$4:$C$55,'Collapse 52 to 42'!L$4:L$55)/SUMIFS('Collapse 52 to 42'!$C$4:$C$55,'Collapse 52 to 42'!$B$4:$B$55,$A32)</f>
        <v>0.15997327691312702</v>
      </c>
      <c r="K32">
        <f>SUMPRODUCT(--('Collapse 52 to 42'!$B$4:$B$55=$A32),'Collapse 52 to 42'!$C$4:$C$55,'Collapse 52 to 42'!M$4:M$55)/SUMIFS('Collapse 52 to 42'!$C$4:$C$55,'Collapse 52 to 42'!$B$4:$B$55,$A32)</f>
        <v>0.18672709057520187</v>
      </c>
      <c r="L32">
        <f>SUMPRODUCT(--('Collapse 52 to 42'!$B$4:$B$55=$A32),'Collapse 52 to 42'!$C$4:$C$55,'Collapse 52 to 42'!N$4:N$55)/SUMIFS('Collapse 52 to 42'!$C$4:$C$55,'Collapse 52 to 42'!$B$4:$B$55,$A32)</f>
        <v>0.21530551636306663</v>
      </c>
      <c r="M32">
        <f>SUMPRODUCT(--('Collapse 52 to 42'!$B$4:$B$55=$A32),'Collapse 52 to 42'!$C$4:$C$55,'Collapse 52 to 42'!O$4:O$55)/SUMIFS('Collapse 52 to 42'!$C$4:$C$55,'Collapse 52 to 42'!$B$4:$B$55,$A32)</f>
        <v>0.24567169292814572</v>
      </c>
      <c r="N32">
        <f>SUMPRODUCT(--('Collapse 52 to 42'!$B$4:$B$55=$A32),'Collapse 52 to 42'!$C$4:$C$55,'Collapse 52 to 42'!P$4:P$55)/SUMIFS('Collapse 52 to 42'!$C$4:$C$55,'Collapse 52 to 42'!$B$4:$B$55,$A32)</f>
        <v>0.2710043501298014</v>
      </c>
      <c r="O32">
        <f>SUMPRODUCT(--('Collapse 52 to 42'!$B$4:$B$55=$A32),'Collapse 52 to 42'!$C$4:$C$55,'Collapse 52 to 42'!Q$4:Q$55)/SUMIFS('Collapse 52 to 42'!$C$4:$C$55,'Collapse 52 to 42'!$B$4:$B$55,$A32)</f>
        <v>0.29619323848538581</v>
      </c>
      <c r="P32">
        <f>SUMPRODUCT(--('Collapse 52 to 42'!$B$4:$B$55=$A32),'Collapse 52 to 42'!$C$4:$C$55,'Collapse 52 to 42'!R$4:R$55)/SUMIFS('Collapse 52 to 42'!$C$4:$C$55,'Collapse 52 to 42'!$B$4:$B$55,$A32)</f>
        <v>0.32152651459431447</v>
      </c>
      <c r="Q32">
        <f>SUMPRODUCT(--('Collapse 52 to 42'!$B$4:$B$55=$A32),'Collapse 52 to 42'!$C$4:$C$55,'Collapse 52 to 42'!S$4:S$55)/SUMIFS('Collapse 52 to 42'!$C$4:$C$55,'Collapse 52 to 42'!$B$4:$B$55,$A32)</f>
        <v>0.346420122796816</v>
      </c>
      <c r="R32">
        <f>SUMPRODUCT(--('Collapse 52 to 42'!$B$4:$B$55=$A32),'Collapse 52 to 42'!$C$4:$C$55,'Collapse 52 to 42'!T$4:T$55)/SUMIFS('Collapse 52 to 42'!$C$4:$C$55,'Collapse 52 to 42'!$B$4:$B$55,$A32)</f>
        <v>0.37144882078222441</v>
      </c>
      <c r="S32">
        <f>SUMPRODUCT(--('Collapse 52 to 42'!$B$4:$B$55=$A32),'Collapse 52 to 42'!$C$4:$C$55,'Collapse 52 to 42'!U$4:U$55)/SUMIFS('Collapse 52 to 42'!$C$4:$C$55,'Collapse 52 to 42'!$B$4:$B$55,$A32)</f>
        <v>0.39576317604020939</v>
      </c>
      <c r="T32">
        <f>SUMPRODUCT(--('Collapse 52 to 42'!$B$4:$B$55=$A32),'Collapse 52 to 42'!$C$4:$C$55,'Collapse 52 to 42'!V$4:V$55)/SUMIFS('Collapse 52 to 42'!$C$4:$C$55,'Collapse 52 to 42'!$B$4:$B$55,$A32)</f>
        <v>0.42073789423938868</v>
      </c>
      <c r="U32">
        <f>SUMPRODUCT(--('Collapse 52 to 42'!$B$4:$B$55=$A32),'Collapse 52 to 42'!$C$4:$C$55,'Collapse 52 to 42'!W$4:W$55)/SUMIFS('Collapse 52 to 42'!$C$4:$C$55,'Collapse 52 to 42'!$B$4:$B$55,$A32)</f>
        <v>0.44672490606684084</v>
      </c>
      <c r="V32">
        <f>SUMPRODUCT(--('Collapse 52 to 42'!$B$4:$B$55=$A32),'Collapse 52 to 42'!$C$4:$C$55,'Collapse 52 to 42'!X$4:X$55)/SUMIFS('Collapse 52 to 42'!$C$4:$C$55,'Collapse 52 to 42'!$B$4:$B$55,$A32)</f>
        <v>0.47283127173715539</v>
      </c>
      <c r="W32">
        <f>SUMPRODUCT(--('Collapse 52 to 42'!$B$4:$B$55=$A32),'Collapse 52 to 42'!$C$4:$C$55,'Collapse 52 to 42'!Y$4:Y$55)/SUMIFS('Collapse 52 to 42'!$C$4:$C$55,'Collapse 52 to 42'!$B$4:$B$55,$A32)</f>
        <v>0.49857414465639271</v>
      </c>
      <c r="X32">
        <f>SUMPRODUCT(--('Collapse 52 to 42'!$B$4:$B$55=$A32),'Collapse 52 to 42'!$C$4:$C$55,'Collapse 52 to 42'!Z$4:Z$55)/SUMIFS('Collapse 52 to 42'!$C$4:$C$55,'Collapse 52 to 42'!$B$4:$B$55,$A32)</f>
        <v>0.52348906818889174</v>
      </c>
      <c r="Y32">
        <f>SUMPRODUCT(--('Collapse 52 to 42'!$B$4:$B$55=$A32),'Collapse 52 to 42'!$C$4:$C$55,'Collapse 52 to 42'!AA$4:AA$55)/SUMIFS('Collapse 52 to 42'!$C$4:$C$55,'Collapse 52 to 42'!$B$4:$B$55,$A32)</f>
        <v>0.54733403265292568</v>
      </c>
      <c r="Z32">
        <f>SUMPRODUCT(--('Collapse 52 to 42'!$B$4:$B$55=$A32),'Collapse 52 to 42'!$C$4:$C$55,'Collapse 52 to 42'!AB$4:AB$55)/SUMIFS('Collapse 52 to 42'!$C$4:$C$55,'Collapse 52 to 42'!$B$4:$B$55,$A32)</f>
        <v>0.57129090680293904</v>
      </c>
      <c r="AA32">
        <f>SUMPRODUCT(--('Collapse 52 to 42'!$B$4:$B$55=$A32),'Collapse 52 to 42'!$C$4:$C$55,'Collapse 52 to 42'!AC$4:AC$55)/SUMIFS('Collapse 52 to 42'!$C$4:$C$55,'Collapse 52 to 42'!$B$4:$B$55,$A32)</f>
        <v>0.59441958983502441</v>
      </c>
      <c r="AB32">
        <f>SUMPRODUCT(--('Collapse 52 to 42'!$B$4:$B$55=$A32),'Collapse 52 to 42'!$C$4:$C$55,'Collapse 52 to 42'!AD$4:AD$55)/SUMIFS('Collapse 52 to 42'!$C$4:$C$55,'Collapse 52 to 42'!$B$4:$B$55,$A32)</f>
        <v>0.61840975973956946</v>
      </c>
    </row>
    <row r="33" spans="1:28" x14ac:dyDescent="0.25">
      <c r="A33" t="s">
        <v>531</v>
      </c>
      <c r="B33">
        <f>SUMPRODUCT(--('Collapse 52 to 42'!$B$4:$B$55=$A33),'Collapse 52 to 42'!$C$4:$C$55,'Collapse 52 to 42'!D$4:D$55)/SUMIFS('Collapse 52 to 42'!$C$4:$C$55,'Collapse 52 to 42'!$B$4:$B$55,$A33)</f>
        <v>-3.2467949242039662E-2</v>
      </c>
      <c r="C33">
        <f>SUMPRODUCT(--('Collapse 52 to 42'!$B$4:$B$55=$A33),'Collapse 52 to 42'!$C$4:$C$55,'Collapse 52 to 42'!E$4:E$55)/SUMIFS('Collapse 52 to 42'!$C$4:$C$55,'Collapse 52 to 42'!$B$4:$B$55,$A33)</f>
        <v>0</v>
      </c>
      <c r="D33">
        <f>SUMPRODUCT(--('Collapse 52 to 42'!$B$4:$B$55=$A33),'Collapse 52 to 42'!$C$4:$C$55,'Collapse 52 to 42'!F$4:F$55)/SUMIFS('Collapse 52 to 42'!$C$4:$C$55,'Collapse 52 to 42'!$B$4:$B$55,$A33)</f>
        <v>5.4189355476437662E-2</v>
      </c>
      <c r="E33">
        <f>SUMPRODUCT(--('Collapse 52 to 42'!$B$4:$B$55=$A33),'Collapse 52 to 42'!$C$4:$C$55,'Collapse 52 to 42'!G$4:G$55)/SUMIFS('Collapse 52 to 42'!$C$4:$C$55,'Collapse 52 to 42'!$B$4:$B$55,$A33)</f>
        <v>9.1405137086779442E-2</v>
      </c>
      <c r="F33">
        <f>SUMPRODUCT(--('Collapse 52 to 42'!$B$4:$B$55=$A33),'Collapse 52 to 42'!$C$4:$C$55,'Collapse 52 to 42'!H$4:H$55)/SUMIFS('Collapse 52 to 42'!$C$4:$C$55,'Collapse 52 to 42'!$B$4:$B$55,$A33)</f>
        <v>0.11752717158325998</v>
      </c>
      <c r="G33">
        <f>SUMPRODUCT(--('Collapse 52 to 42'!$B$4:$B$55=$A33),'Collapse 52 to 42'!$C$4:$C$55,'Collapse 52 to 42'!I$4:I$55)/SUMIFS('Collapse 52 to 42'!$C$4:$C$55,'Collapse 52 to 42'!$B$4:$B$55,$A33)</f>
        <v>0.14928610030388634</v>
      </c>
      <c r="H33">
        <f>SUMPRODUCT(--('Collapse 52 to 42'!$B$4:$B$55=$A33),'Collapse 52 to 42'!$C$4:$C$55,'Collapse 52 to 42'!J$4:J$55)/SUMIFS('Collapse 52 to 42'!$C$4:$C$55,'Collapse 52 to 42'!$B$4:$B$55,$A33)</f>
        <v>0.1860749262368144</v>
      </c>
      <c r="I33">
        <f>SUMPRODUCT(--('Collapse 52 to 42'!$B$4:$B$55=$A33),'Collapse 52 to 42'!$C$4:$C$55,'Collapse 52 to 42'!K$4:K$55)/SUMIFS('Collapse 52 to 42'!$C$4:$C$55,'Collapse 52 to 42'!$B$4:$B$55,$A33)</f>
        <v>0.22271891165763291</v>
      </c>
      <c r="J33">
        <f>SUMPRODUCT(--('Collapse 52 to 42'!$B$4:$B$55=$A33),'Collapse 52 to 42'!$C$4:$C$55,'Collapse 52 to 42'!L$4:L$55)/SUMIFS('Collapse 52 to 42'!$C$4:$C$55,'Collapse 52 to 42'!$B$4:$B$55,$A33)</f>
        <v>0.2649775157062717</v>
      </c>
      <c r="K33">
        <f>SUMPRODUCT(--('Collapse 52 to 42'!$B$4:$B$55=$A33),'Collapse 52 to 42'!$C$4:$C$55,'Collapse 52 to 42'!M$4:M$55)/SUMIFS('Collapse 52 to 42'!$C$4:$C$55,'Collapse 52 to 42'!$B$4:$B$55,$A33)</f>
        <v>0.31149755641945975</v>
      </c>
      <c r="L33">
        <f>SUMPRODUCT(--('Collapse 52 to 42'!$B$4:$B$55=$A33),'Collapse 52 to 42'!$C$4:$C$55,'Collapse 52 to 42'!N$4:N$55)/SUMIFS('Collapse 52 to 42'!$C$4:$C$55,'Collapse 52 to 42'!$B$4:$B$55,$A33)</f>
        <v>0.36185625497193774</v>
      </c>
      <c r="M33">
        <f>SUMPRODUCT(--('Collapse 52 to 42'!$B$4:$B$55=$A33),'Collapse 52 to 42'!$C$4:$C$55,'Collapse 52 to 42'!O$4:O$55)/SUMIFS('Collapse 52 to 42'!$C$4:$C$55,'Collapse 52 to 42'!$B$4:$B$55,$A33)</f>
        <v>0.41611321785119504</v>
      </c>
      <c r="N33">
        <f>SUMPRODUCT(--('Collapse 52 to 42'!$B$4:$B$55=$A33),'Collapse 52 to 42'!$C$4:$C$55,'Collapse 52 to 42'!P$4:P$55)/SUMIFS('Collapse 52 to 42'!$C$4:$C$55,'Collapse 52 to 42'!$B$4:$B$55,$A33)</f>
        <v>0.46203245805941795</v>
      </c>
      <c r="O33">
        <f>SUMPRODUCT(--('Collapse 52 to 42'!$B$4:$B$55=$A33),'Collapse 52 to 42'!$C$4:$C$55,'Collapse 52 to 42'!Q$4:Q$55)/SUMIFS('Collapse 52 to 42'!$C$4:$C$55,'Collapse 52 to 42'!$B$4:$B$55,$A33)</f>
        <v>0.5082320931270583</v>
      </c>
      <c r="P33">
        <f>SUMPRODUCT(--('Collapse 52 to 42'!$B$4:$B$55=$A33),'Collapse 52 to 42'!$C$4:$C$55,'Collapse 52 to 42'!R$4:R$55)/SUMIFS('Collapse 52 to 42'!$C$4:$C$55,'Collapse 52 to 42'!$B$4:$B$55,$A33)</f>
        <v>0.55523333670650188</v>
      </c>
      <c r="Q33">
        <f>SUMPRODUCT(--('Collapse 52 to 42'!$B$4:$B$55=$A33),'Collapse 52 to 42'!$C$4:$C$55,'Collapse 52 to 42'!S$4:S$55)/SUMIFS('Collapse 52 to 42'!$C$4:$C$55,'Collapse 52 to 42'!$B$4:$B$55,$A33)</f>
        <v>0.60194518931976737</v>
      </c>
      <c r="R33">
        <f>SUMPRODUCT(--('Collapse 52 to 42'!$B$4:$B$55=$A33),'Collapse 52 to 42'!$C$4:$C$55,'Collapse 52 to 42'!T$4:T$55)/SUMIFS('Collapse 52 to 42'!$C$4:$C$55,'Collapse 52 to 42'!$B$4:$B$55,$A33)</f>
        <v>0.64942673878834145</v>
      </c>
      <c r="S33">
        <f>SUMPRODUCT(--('Collapse 52 to 42'!$B$4:$B$55=$A33),'Collapse 52 to 42'!$C$4:$C$55,'Collapse 52 to 42'!U$4:U$55)/SUMIFS('Collapse 52 to 42'!$C$4:$C$55,'Collapse 52 to 42'!$B$4:$B$55,$A33)</f>
        <v>0.69605355365659904</v>
      </c>
      <c r="T33">
        <f>SUMPRODUCT(--('Collapse 52 to 42'!$B$4:$B$55=$A33),'Collapse 52 to 42'!$C$4:$C$55,'Collapse 52 to 42'!V$4:V$55)/SUMIFS('Collapse 52 to 42'!$C$4:$C$55,'Collapse 52 to 42'!$B$4:$B$55,$A33)</f>
        <v>0.74444270301929871</v>
      </c>
      <c r="U33">
        <f>SUMPRODUCT(--('Collapse 52 to 42'!$B$4:$B$55=$A33),'Collapse 52 to 42'!$C$4:$C$55,'Collapse 52 to 42'!W$4:W$55)/SUMIFS('Collapse 52 to 42'!$C$4:$C$55,'Collapse 52 to 42'!$B$4:$B$55,$A33)</f>
        <v>0.79531937038781142</v>
      </c>
      <c r="V33">
        <f>SUMPRODUCT(--('Collapse 52 to 42'!$B$4:$B$55=$A33),'Collapse 52 to 42'!$C$4:$C$55,'Collapse 52 to 42'!X$4:X$55)/SUMIFS('Collapse 52 to 42'!$C$4:$C$55,'Collapse 52 to 42'!$B$4:$B$55,$A33)</f>
        <v>0.84697548555008373</v>
      </c>
      <c r="W33">
        <f>SUMPRODUCT(--('Collapse 52 to 42'!$B$4:$B$55=$A33),'Collapse 52 to 42'!$C$4:$C$55,'Collapse 52 to 42'!Y$4:Y$55)/SUMIFS('Collapse 52 to 42'!$C$4:$C$55,'Collapse 52 to 42'!$B$4:$B$55,$A33)</f>
        <v>0.89844910571507652</v>
      </c>
      <c r="X33">
        <f>SUMPRODUCT(--('Collapse 52 to 42'!$B$4:$B$55=$A33),'Collapse 52 to 42'!$C$4:$C$55,'Collapse 52 to 42'!Z$4:Z$55)/SUMIFS('Collapse 52 to 42'!$C$4:$C$55,'Collapse 52 to 42'!$B$4:$B$55,$A33)</f>
        <v>0.9487759673034506</v>
      </c>
      <c r="Y33">
        <f>SUMPRODUCT(--('Collapse 52 to 42'!$B$4:$B$55=$A33),'Collapse 52 to 42'!$C$4:$C$55,'Collapse 52 to 42'!AA$4:AA$55)/SUMIFS('Collapse 52 to 42'!$C$4:$C$55,'Collapse 52 to 42'!$B$4:$B$55,$A33)</f>
        <v>0.99740983607910128</v>
      </c>
      <c r="Z33">
        <f>SUMPRODUCT(--('Collapse 52 to 42'!$B$4:$B$55=$A33),'Collapse 52 to 42'!$C$4:$C$55,'Collapse 52 to 42'!AB$4:AB$55)/SUMIFS('Collapse 52 to 42'!$C$4:$C$55,'Collapse 52 to 42'!$B$4:$B$55,$A33)</f>
        <v>1.0467195887460985</v>
      </c>
      <c r="AA33">
        <f>SUMPRODUCT(--('Collapse 52 to 42'!$B$4:$B$55=$A33),'Collapse 52 to 42'!$C$4:$C$55,'Collapse 52 to 42'!AC$4:AC$55)/SUMIFS('Collapse 52 to 42'!$C$4:$C$55,'Collapse 52 to 42'!$B$4:$B$55,$A33)</f>
        <v>1.0947561841823936</v>
      </c>
      <c r="AB33">
        <f>SUMPRODUCT(--('Collapse 52 to 42'!$B$4:$B$55=$A33),'Collapse 52 to 42'!$C$4:$C$55,'Collapse 52 to 42'!AD$4:AD$55)/SUMIFS('Collapse 52 to 42'!$C$4:$C$55,'Collapse 52 to 42'!$B$4:$B$55,$A33)</f>
        <v>1.145011701689636</v>
      </c>
    </row>
    <row r="34" spans="1:28" x14ac:dyDescent="0.25">
      <c r="A34" t="s">
        <v>562</v>
      </c>
      <c r="B34">
        <f>SUMPRODUCT(--('Collapse 52 to 42'!$B$4:$B$55=$A34),'Collapse 52 to 42'!$C$4:$C$55,'Collapse 52 to 42'!D$4:D$55)/SUMIFS('Collapse 52 to 42'!$C$4:$C$55,'Collapse 52 to 42'!$B$4:$B$55,$A34)</f>
        <v>-2.4110515617596917E-2</v>
      </c>
      <c r="C34">
        <f>SUMPRODUCT(--('Collapse 52 to 42'!$B$4:$B$55=$A34),'Collapse 52 to 42'!$C$4:$C$55,'Collapse 52 to 42'!E$4:E$55)/SUMIFS('Collapse 52 to 42'!$C$4:$C$55,'Collapse 52 to 42'!$B$4:$B$55,$A34)</f>
        <v>0</v>
      </c>
      <c r="D34">
        <f>SUMPRODUCT(--('Collapse 52 to 42'!$B$4:$B$55=$A34),'Collapse 52 to 42'!$C$4:$C$55,'Collapse 52 to 42'!F$4:F$55)/SUMIFS('Collapse 52 to 42'!$C$4:$C$55,'Collapse 52 to 42'!$B$4:$B$55,$A34)</f>
        <v>3.9896091158218905E-2</v>
      </c>
      <c r="E34">
        <f>SUMPRODUCT(--('Collapse 52 to 42'!$B$4:$B$55=$A34),'Collapse 52 to 42'!$C$4:$C$55,'Collapse 52 to 42'!G$4:G$55)/SUMIFS('Collapse 52 to 42'!$C$4:$C$55,'Collapse 52 to 42'!$B$4:$B$55,$A34)</f>
        <v>6.6924148121000337E-2</v>
      </c>
      <c r="F34">
        <f>SUMPRODUCT(--('Collapse 52 to 42'!$B$4:$B$55=$A34),'Collapse 52 to 42'!$C$4:$C$55,'Collapse 52 to 42'!H$4:H$55)/SUMIFS('Collapse 52 to 42'!$C$4:$C$55,'Collapse 52 to 42'!$B$4:$B$55,$A34)</f>
        <v>8.5724713587391976E-2</v>
      </c>
      <c r="G34">
        <f>SUMPRODUCT(--('Collapse 52 to 42'!$B$4:$B$55=$A34),'Collapse 52 to 42'!$C$4:$C$55,'Collapse 52 to 42'!I$4:I$55)/SUMIFS('Collapse 52 to 42'!$C$4:$C$55,'Collapse 52 to 42'!$B$4:$B$55,$A34)</f>
        <v>0.10844134014247753</v>
      </c>
      <c r="H34">
        <f>SUMPRODUCT(--('Collapse 52 to 42'!$B$4:$B$55=$A34),'Collapse 52 to 42'!$C$4:$C$55,'Collapse 52 to 42'!J$4:J$55)/SUMIFS('Collapse 52 to 42'!$C$4:$C$55,'Collapse 52 to 42'!$B$4:$B$55,$A34)</f>
        <v>0.13456396721816713</v>
      </c>
      <c r="I34">
        <f>SUMPRODUCT(--('Collapse 52 to 42'!$B$4:$B$55=$A34),'Collapse 52 to 42'!$C$4:$C$55,'Collapse 52 to 42'!K$4:K$55)/SUMIFS('Collapse 52 to 42'!$C$4:$C$55,'Collapse 52 to 42'!$B$4:$B$55,$A34)</f>
        <v>0.16037087234792091</v>
      </c>
      <c r="J34">
        <f>SUMPRODUCT(--('Collapse 52 to 42'!$B$4:$B$55=$A34),'Collapse 52 to 42'!$C$4:$C$55,'Collapse 52 to 42'!L$4:L$55)/SUMIFS('Collapse 52 to 42'!$C$4:$C$55,'Collapse 52 to 42'!$B$4:$B$55,$A34)</f>
        <v>0.18989667398900067</v>
      </c>
      <c r="K34">
        <f>SUMPRODUCT(--('Collapse 52 to 42'!$B$4:$B$55=$A34),'Collapse 52 to 42'!$C$4:$C$55,'Collapse 52 to 42'!M$4:M$55)/SUMIFS('Collapse 52 to 42'!$C$4:$C$55,'Collapse 52 to 42'!$B$4:$B$55,$A34)</f>
        <v>0.22211351044244923</v>
      </c>
      <c r="L34">
        <f>SUMPRODUCT(--('Collapse 52 to 42'!$B$4:$B$55=$A34),'Collapse 52 to 42'!$C$4:$C$55,'Collapse 52 to 42'!N$4:N$55)/SUMIFS('Collapse 52 to 42'!$C$4:$C$55,'Collapse 52 to 42'!$B$4:$B$55,$A34)</f>
        <v>0.25666246571899531</v>
      </c>
      <c r="M34">
        <f>SUMPRODUCT(--('Collapse 52 to 42'!$B$4:$B$55=$A34),'Collapse 52 to 42'!$C$4:$C$55,'Collapse 52 to 42'!O$4:O$55)/SUMIFS('Collapse 52 to 42'!$C$4:$C$55,'Collapse 52 to 42'!$B$4:$B$55,$A34)</f>
        <v>0.29352279542279458</v>
      </c>
      <c r="N34">
        <f>SUMPRODUCT(--('Collapse 52 to 42'!$B$4:$B$55=$A34),'Collapse 52 to 42'!$C$4:$C$55,'Collapse 52 to 42'!P$4:P$55)/SUMIFS('Collapse 52 to 42'!$C$4:$C$55,'Collapse 52 to 42'!$B$4:$B$55,$A34)</f>
        <v>0.32440349750278696</v>
      </c>
      <c r="O34">
        <f>SUMPRODUCT(--('Collapse 52 to 42'!$B$4:$B$55=$A34),'Collapse 52 to 42'!$C$4:$C$55,'Collapse 52 to 42'!Q$4:Q$55)/SUMIFS('Collapse 52 to 42'!$C$4:$C$55,'Collapse 52 to 42'!$B$4:$B$55,$A34)</f>
        <v>0.35521537848525853</v>
      </c>
      <c r="P34">
        <f>SUMPRODUCT(--('Collapse 52 to 42'!$B$4:$B$55=$A34),'Collapse 52 to 42'!$C$4:$C$55,'Collapse 52 to 42'!R$4:R$55)/SUMIFS('Collapse 52 to 42'!$C$4:$C$55,'Collapse 52 to 42'!$B$4:$B$55,$A34)</f>
        <v>0.38630860955048063</v>
      </c>
      <c r="Q34">
        <f>SUMPRODUCT(--('Collapse 52 to 42'!$B$4:$B$55=$A34),'Collapse 52 to 42'!$C$4:$C$55,'Collapse 52 to 42'!S$4:S$55)/SUMIFS('Collapse 52 to 42'!$C$4:$C$55,'Collapse 52 to 42'!$B$4:$B$55,$A34)</f>
        <v>0.41696406814671705</v>
      </c>
      <c r="R34">
        <f>SUMPRODUCT(--('Collapse 52 to 42'!$B$4:$B$55=$A34),'Collapse 52 to 42'!$C$4:$C$55,'Collapse 52 to 42'!T$4:T$55)/SUMIFS('Collapse 52 to 42'!$C$4:$C$55,'Collapse 52 to 42'!$B$4:$B$55,$A34)</f>
        <v>0.44788498974848956</v>
      </c>
      <c r="S34">
        <f>SUMPRODUCT(--('Collapse 52 to 42'!$B$4:$B$55=$A34),'Collapse 52 to 42'!$C$4:$C$55,'Collapse 52 to 42'!U$4:U$55)/SUMIFS('Collapse 52 to 42'!$C$4:$C$55,'Collapse 52 to 42'!$B$4:$B$55,$A34)</f>
        <v>0.47801873735776002</v>
      </c>
      <c r="T34">
        <f>SUMPRODUCT(--('Collapse 52 to 42'!$B$4:$B$55=$A34),'Collapse 52 to 42'!$C$4:$C$55,'Collapse 52 to 42'!V$4:V$55)/SUMIFS('Collapse 52 to 42'!$C$4:$C$55,'Collapse 52 to 42'!$B$4:$B$55,$A34)</f>
        <v>0.50906467123921018</v>
      </c>
      <c r="U34">
        <f>SUMPRODUCT(--('Collapse 52 to 42'!$B$4:$B$55=$A34),'Collapse 52 to 42'!$C$4:$C$55,'Collapse 52 to 42'!W$4:W$55)/SUMIFS('Collapse 52 to 42'!$C$4:$C$55,'Collapse 52 to 42'!$B$4:$B$55,$A34)</f>
        <v>0.54146774131042008</v>
      </c>
      <c r="V34">
        <f>SUMPRODUCT(--('Collapse 52 to 42'!$B$4:$B$55=$A34),'Collapse 52 to 42'!$C$4:$C$55,'Collapse 52 to 42'!X$4:X$55)/SUMIFS('Collapse 52 to 42'!$C$4:$C$55,'Collapse 52 to 42'!$B$4:$B$55,$A34)</f>
        <v>0.5741213231916924</v>
      </c>
      <c r="W34">
        <f>SUMPRODUCT(--('Collapse 52 to 42'!$B$4:$B$55=$A34),'Collapse 52 to 42'!$C$4:$C$55,'Collapse 52 to 42'!Y$4:Y$55)/SUMIFS('Collapse 52 to 42'!$C$4:$C$55,'Collapse 52 to 42'!$B$4:$B$55,$A34)</f>
        <v>0.60641951030215946</v>
      </c>
      <c r="X34">
        <f>SUMPRODUCT(--('Collapse 52 to 42'!$B$4:$B$55=$A34),'Collapse 52 to 42'!$C$4:$C$55,'Collapse 52 to 42'!Z$4:Z$55)/SUMIFS('Collapse 52 to 42'!$C$4:$C$55,'Collapse 52 to 42'!$B$4:$B$55,$A34)</f>
        <v>0.63777230231916504</v>
      </c>
      <c r="Y34">
        <f>SUMPRODUCT(--('Collapse 52 to 42'!$B$4:$B$55=$A34),'Collapse 52 to 42'!$C$4:$C$55,'Collapse 52 to 42'!AA$4:AA$55)/SUMIFS('Collapse 52 to 42'!$C$4:$C$55,'Collapse 52 to 42'!$B$4:$B$55,$A34)</f>
        <v>0.66786400675915591</v>
      </c>
      <c r="Z34">
        <f>SUMPRODUCT(--('Collapse 52 to 42'!$B$4:$B$55=$A34),'Collapse 52 to 42'!$C$4:$C$55,'Collapse 52 to 42'!AB$4:AB$55)/SUMIFS('Collapse 52 to 42'!$C$4:$C$55,'Collapse 52 to 42'!$B$4:$B$55,$A34)</f>
        <v>0.6981779643309447</v>
      </c>
      <c r="AA34">
        <f>SUMPRODUCT(--('Collapse 52 to 42'!$B$4:$B$55=$A34),'Collapse 52 to 42'!$C$4:$C$55,'Collapse 52 to 42'!AC$4:AC$55)/SUMIFS('Collapse 52 to 42'!$C$4:$C$55,'Collapse 52 to 42'!$B$4:$B$55,$A34)</f>
        <v>0.72752156720449968</v>
      </c>
      <c r="AB34">
        <f>SUMPRODUCT(--('Collapse 52 to 42'!$B$4:$B$55=$A34),'Collapse 52 to 42'!$C$4:$C$55,'Collapse 52 to 42'!AD$4:AD$55)/SUMIFS('Collapse 52 to 42'!$C$4:$C$55,'Collapse 52 to 42'!$B$4:$B$55,$A34)</f>
        <v>0.75803493249676834</v>
      </c>
    </row>
    <row r="35" spans="1:28" x14ac:dyDescent="0.25">
      <c r="A35" t="s">
        <v>565</v>
      </c>
      <c r="B35">
        <f>SUMPRODUCT(--('Collapse 52 to 42'!$B$4:$B$55=$A35),'Collapse 52 to 42'!$C$4:$C$55,'Collapse 52 to 42'!D$4:D$55)/SUMIFS('Collapse 52 to 42'!$C$4:$C$55,'Collapse 52 to 42'!$B$4:$B$55,$A35)</f>
        <v>-3.020739539350592E-2</v>
      </c>
      <c r="C35">
        <f>SUMPRODUCT(--('Collapse 52 to 42'!$B$4:$B$55=$A35),'Collapse 52 to 42'!$C$4:$C$55,'Collapse 52 to 42'!E$4:E$55)/SUMIFS('Collapse 52 to 42'!$C$4:$C$55,'Collapse 52 to 42'!$B$4:$B$55,$A35)</f>
        <v>0</v>
      </c>
      <c r="D35">
        <f>SUMPRODUCT(--('Collapse 52 to 42'!$B$4:$B$55=$A35),'Collapse 52 to 42'!$C$4:$C$55,'Collapse 52 to 42'!F$4:F$55)/SUMIFS('Collapse 52 to 42'!$C$4:$C$55,'Collapse 52 to 42'!$B$4:$B$55,$A35)</f>
        <v>5.0298947777078107E-2</v>
      </c>
      <c r="E35">
        <f>SUMPRODUCT(--('Collapse 52 to 42'!$B$4:$B$55=$A35),'Collapse 52 to 42'!$C$4:$C$55,'Collapse 52 to 42'!G$4:G$55)/SUMIFS('Collapse 52 to 42'!$C$4:$C$55,'Collapse 52 to 42'!$B$4:$B$55,$A35)</f>
        <v>8.4715420845991041E-2</v>
      </c>
      <c r="F35">
        <f>SUMPRODUCT(--('Collapse 52 to 42'!$B$4:$B$55=$A35),'Collapse 52 to 42'!$C$4:$C$55,'Collapse 52 to 42'!H$4:H$55)/SUMIFS('Collapse 52 to 42'!$C$4:$C$55,'Collapse 52 to 42'!$B$4:$B$55,$A35)</f>
        <v>0.10881346155888472</v>
      </c>
      <c r="G35">
        <f>SUMPRODUCT(--('Collapse 52 to 42'!$B$4:$B$55=$A35),'Collapse 52 to 42'!$C$4:$C$55,'Collapse 52 to 42'!I$4:I$55)/SUMIFS('Collapse 52 to 42'!$C$4:$C$55,'Collapse 52 to 42'!$B$4:$B$55,$A35)</f>
        <v>0.13806247064682231</v>
      </c>
      <c r="H35">
        <f>SUMPRODUCT(--('Collapse 52 to 42'!$B$4:$B$55=$A35),'Collapse 52 to 42'!$C$4:$C$55,'Collapse 52 to 42'!J$4:J$55)/SUMIFS('Collapse 52 to 42'!$C$4:$C$55,'Collapse 52 to 42'!$B$4:$B$55,$A35)</f>
        <v>0.17187664520475288</v>
      </c>
      <c r="I35">
        <f>SUMPRODUCT(--('Collapse 52 to 42'!$B$4:$B$55=$A35),'Collapse 52 to 42'!$C$4:$C$55,'Collapse 52 to 42'!K$4:K$55)/SUMIFS('Collapse 52 to 42'!$C$4:$C$55,'Collapse 52 to 42'!$B$4:$B$55,$A35)</f>
        <v>0.20548268909319622</v>
      </c>
      <c r="J35">
        <f>SUMPRODUCT(--('Collapse 52 to 42'!$B$4:$B$55=$A35),'Collapse 52 to 42'!$C$4:$C$55,'Collapse 52 to 42'!L$4:L$55)/SUMIFS('Collapse 52 to 42'!$C$4:$C$55,'Collapse 52 to 42'!$B$4:$B$55,$A35)</f>
        <v>0.24415449112626833</v>
      </c>
      <c r="K35">
        <f>SUMPRODUCT(--('Collapse 52 to 42'!$B$4:$B$55=$A35),'Collapse 52 to 42'!$C$4:$C$55,'Collapse 52 to 42'!M$4:M$55)/SUMIFS('Collapse 52 to 42'!$C$4:$C$55,'Collapse 52 to 42'!$B$4:$B$55,$A35)</f>
        <v>0.28662392833653905</v>
      </c>
      <c r="L35">
        <f>SUMPRODUCT(--('Collapse 52 to 42'!$B$4:$B$55=$A35),'Collapse 52 to 42'!$C$4:$C$55,'Collapse 52 to 42'!N$4:N$55)/SUMIFS('Collapse 52 to 42'!$C$4:$C$55,'Collapse 52 to 42'!$B$4:$B$55,$A35)</f>
        <v>0.33248070777286642</v>
      </c>
      <c r="M35">
        <f>SUMPRODUCT(--('Collapse 52 to 42'!$B$4:$B$55=$A35),'Collapse 52 to 42'!$C$4:$C$55,'Collapse 52 to 42'!O$4:O$55)/SUMIFS('Collapse 52 to 42'!$C$4:$C$55,'Collapse 52 to 42'!$B$4:$B$55,$A35)</f>
        <v>0.3817560959432782</v>
      </c>
      <c r="N35">
        <f>SUMPRODUCT(--('Collapse 52 to 42'!$B$4:$B$55=$A35),'Collapse 52 to 42'!$C$4:$C$55,'Collapse 52 to 42'!P$4:P$55)/SUMIFS('Collapse 52 to 42'!$C$4:$C$55,'Collapse 52 to 42'!$B$4:$B$55,$A35)</f>
        <v>0.42334457334592801</v>
      </c>
      <c r="O35">
        <f>SUMPRODUCT(--('Collapse 52 to 42'!$B$4:$B$55=$A35),'Collapse 52 to 42'!$C$4:$C$55,'Collapse 52 to 42'!Q$4:Q$55)/SUMIFS('Collapse 52 to 42'!$C$4:$C$55,'Collapse 52 to 42'!$B$4:$B$55,$A35)</f>
        <v>0.46509265219240975</v>
      </c>
      <c r="P35">
        <f>SUMPRODUCT(--('Collapse 52 to 42'!$B$4:$B$55=$A35),'Collapse 52 to 42'!$C$4:$C$55,'Collapse 52 to 42'!R$4:R$55)/SUMIFS('Collapse 52 to 42'!$C$4:$C$55,'Collapse 52 to 42'!$B$4:$B$55,$A35)</f>
        <v>0.50747169816573923</v>
      </c>
      <c r="Q35">
        <f>SUMPRODUCT(--('Collapse 52 to 42'!$B$4:$B$55=$A35),'Collapse 52 to 42'!$C$4:$C$55,'Collapse 52 to 42'!S$4:S$55)/SUMIFS('Collapse 52 to 42'!$C$4:$C$55,'Collapse 52 to 42'!$B$4:$B$55,$A35)</f>
        <v>0.54949842979771435</v>
      </c>
      <c r="R35">
        <f>SUMPRODUCT(--('Collapse 52 to 42'!$B$4:$B$55=$A35),'Collapse 52 to 42'!$C$4:$C$55,'Collapse 52 to 42'!T$4:T$55)/SUMIFS('Collapse 52 to 42'!$C$4:$C$55,'Collapse 52 to 42'!$B$4:$B$55,$A35)</f>
        <v>0.59212822881917737</v>
      </c>
      <c r="S35">
        <f>SUMPRODUCT(--('Collapse 52 to 42'!$B$4:$B$55=$A35),'Collapse 52 to 42'!$C$4:$C$55,'Collapse 52 to 42'!U$4:U$55)/SUMIFS('Collapse 52 to 42'!$C$4:$C$55,'Collapse 52 to 42'!$B$4:$B$55,$A35)</f>
        <v>0.63390411542498759</v>
      </c>
      <c r="T35">
        <f>SUMPRODUCT(--('Collapse 52 to 42'!$B$4:$B$55=$A35),'Collapse 52 to 42'!$C$4:$C$55,'Collapse 52 to 42'!V$4:V$55)/SUMIFS('Collapse 52 to 42'!$C$4:$C$55,'Collapse 52 to 42'!$B$4:$B$55,$A35)</f>
        <v>0.6771734192312131</v>
      </c>
      <c r="U35">
        <f>SUMPRODUCT(--('Collapse 52 to 42'!$B$4:$B$55=$A35),'Collapse 52 to 42'!$C$4:$C$55,'Collapse 52 to 42'!W$4:W$55)/SUMIFS('Collapse 52 to 42'!$C$4:$C$55,'Collapse 52 to 42'!$B$4:$B$55,$A35)</f>
        <v>0.72257644866340276</v>
      </c>
      <c r="V35">
        <f>SUMPRODUCT(--('Collapse 52 to 42'!$B$4:$B$55=$A35),'Collapse 52 to 42'!$C$4:$C$55,'Collapse 52 to 42'!X$4:X$55)/SUMIFS('Collapse 52 to 42'!$C$4:$C$55,'Collapse 52 to 42'!$B$4:$B$55,$A35)</f>
        <v>0.76858128017849525</v>
      </c>
      <c r="W35">
        <f>SUMPRODUCT(--('Collapse 52 to 42'!$B$4:$B$55=$A35),'Collapse 52 to 42'!$C$4:$C$55,'Collapse 52 to 42'!Y$4:Y$55)/SUMIFS('Collapse 52 to 42'!$C$4:$C$55,'Collapse 52 to 42'!$B$4:$B$55,$A35)</f>
        <v>0.814331535332669</v>
      </c>
      <c r="X35">
        <f>SUMPRODUCT(--('Collapse 52 to 42'!$B$4:$B$55=$A35),'Collapse 52 to 42'!$C$4:$C$55,'Collapse 52 to 42'!Z$4:Z$55)/SUMIFS('Collapse 52 to 42'!$C$4:$C$55,'Collapse 52 to 42'!$B$4:$B$55,$A35)</f>
        <v>0.85897546888747955</v>
      </c>
      <c r="Y35">
        <f>SUMPRODUCT(--('Collapse 52 to 42'!$B$4:$B$55=$A35),'Collapse 52 to 42'!$C$4:$C$55,'Collapse 52 to 42'!AA$4:AA$55)/SUMIFS('Collapse 52 to 42'!$C$4:$C$55,'Collapse 52 to 42'!$B$4:$B$55,$A35)</f>
        <v>0.90203759581252907</v>
      </c>
      <c r="Z35">
        <f>SUMPRODUCT(--('Collapse 52 to 42'!$B$4:$B$55=$A35),'Collapse 52 to 42'!$C$4:$C$55,'Collapse 52 to 42'!AB$4:AB$55)/SUMIFS('Collapse 52 to 42'!$C$4:$C$55,'Collapse 52 to 42'!$B$4:$B$55,$A35)</f>
        <v>0.94562185327094284</v>
      </c>
      <c r="AA35">
        <f>SUMPRODUCT(--('Collapse 52 to 42'!$B$4:$B$55=$A35),'Collapse 52 to 42'!$C$4:$C$55,'Collapse 52 to 42'!AC$4:AC$55)/SUMIFS('Collapse 52 to 42'!$C$4:$C$55,'Collapse 52 to 42'!$B$4:$B$55,$A35)</f>
        <v>0.9880073447499772</v>
      </c>
      <c r="AB35">
        <f>SUMPRODUCT(--('Collapse 52 to 42'!$B$4:$B$55=$A35),'Collapse 52 to 42'!$C$4:$C$55,'Collapse 52 to 42'!AD$4:AD$55)/SUMIFS('Collapse 52 to 42'!$C$4:$C$55,'Collapse 52 to 42'!$B$4:$B$55,$A35)</f>
        <v>1.0322777163339079</v>
      </c>
    </row>
    <row r="36" spans="1:28" x14ac:dyDescent="0.25">
      <c r="A36" t="s">
        <v>568</v>
      </c>
      <c r="B36">
        <f>SUMPRODUCT(--('Collapse 52 to 42'!$B$4:$B$55=$A36),'Collapse 52 to 42'!$C$4:$C$55,'Collapse 52 to 42'!D$4:D$55)/SUMIFS('Collapse 52 to 42'!$C$4:$C$55,'Collapse 52 to 42'!$B$4:$B$55,$A36)</f>
        <v>-1.797198179951609E-2</v>
      </c>
      <c r="C36">
        <f>SUMPRODUCT(--('Collapse 52 to 42'!$B$4:$B$55=$A36),'Collapse 52 to 42'!$C$4:$C$55,'Collapse 52 to 42'!E$4:E$55)/SUMIFS('Collapse 52 to 42'!$C$4:$C$55,'Collapse 52 to 42'!$B$4:$B$55,$A36)</f>
        <v>0</v>
      </c>
      <c r="D36">
        <f>SUMPRODUCT(--('Collapse 52 to 42'!$B$4:$B$55=$A36),'Collapse 52 to 42'!$C$4:$C$55,'Collapse 52 to 42'!F$4:F$55)/SUMIFS('Collapse 52 to 42'!$C$4:$C$55,'Collapse 52 to 42'!$B$4:$B$55,$A36)</f>
        <v>2.9552660117199151E-2</v>
      </c>
      <c r="E36">
        <f>SUMPRODUCT(--('Collapse 52 to 42'!$B$4:$B$55=$A36),'Collapse 52 to 42'!$C$4:$C$55,'Collapse 52 to 42'!G$4:G$55)/SUMIFS('Collapse 52 to 42'!$C$4:$C$55,'Collapse 52 to 42'!$B$4:$B$55,$A36)</f>
        <v>4.9374304321867735E-2</v>
      </c>
      <c r="F36">
        <f>SUMPRODUCT(--('Collapse 52 to 42'!$B$4:$B$55=$A36),'Collapse 52 to 42'!$C$4:$C$55,'Collapse 52 to 42'!H$4:H$55)/SUMIFS('Collapse 52 to 42'!$C$4:$C$55,'Collapse 52 to 42'!$B$4:$B$55,$A36)</f>
        <v>6.3071574555562782E-2</v>
      </c>
      <c r="G36">
        <f>SUMPRODUCT(--('Collapse 52 to 42'!$B$4:$B$55=$A36),'Collapse 52 to 42'!$C$4:$C$55,'Collapse 52 to 42'!I$4:I$55)/SUMIFS('Collapse 52 to 42'!$C$4:$C$55,'Collapse 52 to 42'!$B$4:$B$55,$A36)</f>
        <v>7.9547615112918635E-2</v>
      </c>
      <c r="H36">
        <f>SUMPRODUCT(--('Collapse 52 to 42'!$B$4:$B$55=$A36),'Collapse 52 to 42'!$C$4:$C$55,'Collapse 52 to 42'!J$4:J$55)/SUMIFS('Collapse 52 to 42'!$C$4:$C$55,'Collapse 52 to 42'!$B$4:$B$55,$A36)</f>
        <v>9.8393310607926443E-2</v>
      </c>
      <c r="I36">
        <f>SUMPRODUCT(--('Collapse 52 to 42'!$B$4:$B$55=$A36),'Collapse 52 to 42'!$C$4:$C$55,'Collapse 52 to 42'!K$4:K$55)/SUMIFS('Collapse 52 to 42'!$C$4:$C$55,'Collapse 52 to 42'!$B$4:$B$55,$A36)</f>
        <v>0.11690009858406913</v>
      </c>
      <c r="J36">
        <f>SUMPRODUCT(--('Collapse 52 to 42'!$B$4:$B$55=$A36),'Collapse 52 to 42'!$C$4:$C$55,'Collapse 52 to 42'!L$4:L$55)/SUMIFS('Collapse 52 to 42'!$C$4:$C$55,'Collapse 52 to 42'!$B$4:$B$55,$A36)</f>
        <v>0.13795171460555244</v>
      </c>
      <c r="K36">
        <f>SUMPRODUCT(--('Collapse 52 to 42'!$B$4:$B$55=$A36),'Collapse 52 to 42'!$C$4:$C$55,'Collapse 52 to 42'!M$4:M$55)/SUMIFS('Collapse 52 to 42'!$C$4:$C$55,'Collapse 52 to 42'!$B$4:$B$55,$A36)</f>
        <v>0.1607742404680621</v>
      </c>
      <c r="L36">
        <f>SUMPRODUCT(--('Collapse 52 to 42'!$B$4:$B$55=$A36),'Collapse 52 to 42'!$C$4:$C$55,'Collapse 52 to 42'!N$4:N$55)/SUMIFS('Collapse 52 to 42'!$C$4:$C$55,'Collapse 52 to 42'!$B$4:$B$55,$A36)</f>
        <v>0.1850815766418179</v>
      </c>
      <c r="M36">
        <f>SUMPRODUCT(--('Collapse 52 to 42'!$B$4:$B$55=$A36),'Collapse 52 to 42'!$C$4:$C$55,'Collapse 52 to 42'!O$4:O$55)/SUMIFS('Collapse 52 to 42'!$C$4:$C$55,'Collapse 52 to 42'!$B$4:$B$55,$A36)</f>
        <v>0.21083026138623276</v>
      </c>
      <c r="N36">
        <f>SUMPRODUCT(--('Collapse 52 to 42'!$B$4:$B$55=$A36),'Collapse 52 to 42'!$C$4:$C$55,'Collapse 52 to 42'!P$4:P$55)/SUMIFS('Collapse 52 to 42'!$C$4:$C$55,'Collapse 52 to 42'!$B$4:$B$55,$A36)</f>
        <v>0.23224252477391305</v>
      </c>
      <c r="O36">
        <f>SUMPRODUCT(--('Collapse 52 to 42'!$B$4:$B$55=$A36),'Collapse 52 to 42'!$C$4:$C$55,'Collapse 52 to 42'!Q$4:Q$55)/SUMIFS('Collapse 52 to 42'!$C$4:$C$55,'Collapse 52 to 42'!$B$4:$B$55,$A36)</f>
        <v>0.25347791843881717</v>
      </c>
      <c r="P36">
        <f>SUMPRODUCT(--('Collapse 52 to 42'!$B$4:$B$55=$A36),'Collapse 52 to 42'!$C$4:$C$55,'Collapse 52 to 42'!R$4:R$55)/SUMIFS('Collapse 52 to 42'!$C$4:$C$55,'Collapse 52 to 42'!$B$4:$B$55,$A36)</f>
        <v>0.27478090298277702</v>
      </c>
      <c r="Q36">
        <f>SUMPRODUCT(--('Collapse 52 to 42'!$B$4:$B$55=$A36),'Collapse 52 to 42'!$C$4:$C$55,'Collapse 52 to 42'!S$4:S$55)/SUMIFS('Collapse 52 to 42'!$C$4:$C$55,'Collapse 52 to 42'!$B$4:$B$55,$A36)</f>
        <v>0.29566182528537999</v>
      </c>
      <c r="R36">
        <f>SUMPRODUCT(--('Collapse 52 to 42'!$B$4:$B$55=$A36),'Collapse 52 to 42'!$C$4:$C$55,'Collapse 52 to 42'!T$4:T$55)/SUMIFS('Collapse 52 to 42'!$C$4:$C$55,'Collapse 52 to 42'!$B$4:$B$55,$A36)</f>
        <v>0.31660543262200846</v>
      </c>
      <c r="S36">
        <f>SUMPRODUCT(--('Collapse 52 to 42'!$B$4:$B$55=$A36),'Collapse 52 to 42'!$C$4:$C$55,'Collapse 52 to 42'!U$4:U$55)/SUMIFS('Collapse 52 to 42'!$C$4:$C$55,'Collapse 52 to 42'!$B$4:$B$55,$A36)</f>
        <v>0.33690285806902787</v>
      </c>
      <c r="T36">
        <f>SUMPRODUCT(--('Collapse 52 to 42'!$B$4:$B$55=$A36),'Collapse 52 to 42'!$C$4:$C$55,'Collapse 52 to 42'!V$4:V$55)/SUMIFS('Collapse 52 to 42'!$C$4:$C$55,'Collapse 52 to 42'!$B$4:$B$55,$A36)</f>
        <v>0.35770417694797607</v>
      </c>
      <c r="U36">
        <f>SUMPRODUCT(--('Collapse 52 to 42'!$B$4:$B$55=$A36),'Collapse 52 to 42'!$C$4:$C$55,'Collapse 52 to 42'!W$4:W$55)/SUMIFS('Collapse 52 to 42'!$C$4:$C$55,'Collapse 52 to 42'!$B$4:$B$55,$A36)</f>
        <v>0.37929900217934032</v>
      </c>
      <c r="V36">
        <f>SUMPRODUCT(--('Collapse 52 to 42'!$B$4:$B$55=$A36),'Collapse 52 to 42'!$C$4:$C$55,'Collapse 52 to 42'!X$4:X$55)/SUMIFS('Collapse 52 to 42'!$C$4:$C$55,'Collapse 52 to 42'!$B$4:$B$55,$A36)</f>
        <v>0.40094218063716652</v>
      </c>
      <c r="W36">
        <f>SUMPRODUCT(--('Collapse 52 to 42'!$B$4:$B$55=$A36),'Collapse 52 to 42'!$C$4:$C$55,'Collapse 52 to 42'!Y$4:Y$55)/SUMIFS('Collapse 52 to 42'!$C$4:$C$55,'Collapse 52 to 42'!$B$4:$B$55,$A36)</f>
        <v>0.42223466746635469</v>
      </c>
      <c r="X36">
        <f>SUMPRODUCT(--('Collapse 52 to 42'!$B$4:$B$55=$A36),'Collapse 52 to 42'!$C$4:$C$55,'Collapse 52 to 42'!Z$4:Z$55)/SUMIFS('Collapse 52 to 42'!$C$4:$C$55,'Collapse 52 to 42'!$B$4:$B$55,$A36)</f>
        <v>0.4427961650690253</v>
      </c>
      <c r="Y36">
        <f>SUMPRODUCT(--('Collapse 52 to 42'!$B$4:$B$55=$A36),'Collapse 52 to 42'!$C$4:$C$55,'Collapse 52 to 42'!AA$4:AA$55)/SUMIFS('Collapse 52 to 42'!$C$4:$C$55,'Collapse 52 to 42'!$B$4:$B$55,$A36)</f>
        <v>0.46243268289669581</v>
      </c>
      <c r="Z36">
        <f>SUMPRODUCT(--('Collapse 52 to 42'!$B$4:$B$55=$A36),'Collapse 52 to 42'!$C$4:$C$55,'Collapse 52 to 42'!AB$4:AB$55)/SUMIFS('Collapse 52 to 42'!$C$4:$C$55,'Collapse 52 to 42'!$B$4:$B$55,$A36)</f>
        <v>0.48212170369138696</v>
      </c>
      <c r="AA36">
        <f>SUMPRODUCT(--('Collapse 52 to 42'!$B$4:$B$55=$A36),'Collapse 52 to 42'!$C$4:$C$55,'Collapse 52 to 42'!AC$4:AC$55)/SUMIFS('Collapse 52 to 42'!$C$4:$C$55,'Collapse 52 to 42'!$B$4:$B$55,$A36)</f>
        <v>0.50109227166652381</v>
      </c>
      <c r="AB36">
        <f>SUMPRODUCT(--('Collapse 52 to 42'!$B$4:$B$55=$A36),'Collapse 52 to 42'!$C$4:$C$55,'Collapse 52 to 42'!AD$4:AD$55)/SUMIFS('Collapse 52 to 42'!$C$4:$C$55,'Collapse 52 to 42'!$B$4:$B$55,$A36)</f>
        <v>0.52073221591973717</v>
      </c>
    </row>
    <row r="37" spans="1:28" x14ac:dyDescent="0.25">
      <c r="A37" t="s">
        <v>607</v>
      </c>
      <c r="B37">
        <f>SUMPRODUCT(--('Collapse 52 to 42'!$B$4:$B$55=$A37),'Collapse 52 to 42'!$C$4:$C$55,'Collapse 52 to 42'!D$4:D$55)/SUMIFS('Collapse 52 to 42'!$C$4:$C$55,'Collapse 52 to 42'!$B$4:$B$55,$A37)</f>
        <v>-1.708873863452598E-2</v>
      </c>
      <c r="C37">
        <f>SUMPRODUCT(--('Collapse 52 to 42'!$B$4:$B$55=$A37),'Collapse 52 to 42'!$C$4:$C$55,'Collapse 52 to 42'!E$4:E$55)/SUMIFS('Collapse 52 to 42'!$C$4:$C$55,'Collapse 52 to 42'!$B$4:$B$55,$A37)</f>
        <v>0</v>
      </c>
      <c r="D37">
        <f>SUMPRODUCT(--('Collapse 52 to 42'!$B$4:$B$55=$A37),'Collapse 52 to 42'!$C$4:$C$55,'Collapse 52 to 42'!F$4:F$55)/SUMIFS('Collapse 52 to 42'!$C$4:$C$55,'Collapse 52 to 42'!$B$4:$B$55,$A37)</f>
        <v>2.8075027111339246E-2</v>
      </c>
      <c r="E37">
        <f>SUMPRODUCT(--('Collapse 52 to 42'!$B$4:$B$55=$A37),'Collapse 52 to 42'!$C$4:$C$55,'Collapse 52 to 42'!G$4:G$55)/SUMIFS('Collapse 52 to 42'!$C$4:$C$55,'Collapse 52 to 42'!$B$4:$B$55,$A37)</f>
        <v>4.6878563135175799E-2</v>
      </c>
      <c r="F37">
        <f>SUMPRODUCT(--('Collapse 52 to 42'!$B$4:$B$55=$A37),'Collapse 52 to 42'!$C$4:$C$55,'Collapse 52 to 42'!H$4:H$55)/SUMIFS('Collapse 52 to 42'!$C$4:$C$55,'Collapse 52 to 42'!$B$4:$B$55,$A37)</f>
        <v>5.9860022273220848E-2</v>
      </c>
      <c r="G37">
        <f>SUMPRODUCT(--('Collapse 52 to 42'!$B$4:$B$55=$A37),'Collapse 52 to 42'!$C$4:$C$55,'Collapse 52 to 42'!I$4:I$55)/SUMIFS('Collapse 52 to 42'!$C$4:$C$55,'Collapse 52 to 42'!$B$4:$B$55,$A37)</f>
        <v>7.5464975197885753E-2</v>
      </c>
      <c r="H37">
        <f>SUMPRODUCT(--('Collapse 52 to 42'!$B$4:$B$55=$A37),'Collapse 52 to 42'!$C$4:$C$55,'Collapse 52 to 42'!J$4:J$55)/SUMIFS('Collapse 52 to 42'!$C$4:$C$55,'Collapse 52 to 42'!$B$4:$B$55,$A37)</f>
        <v>9.3300678687634475E-2</v>
      </c>
      <c r="I37">
        <f>SUMPRODUCT(--('Collapse 52 to 42'!$B$4:$B$55=$A37),'Collapse 52 to 42'!$C$4:$C$55,'Collapse 52 to 42'!K$4:K$55)/SUMIFS('Collapse 52 to 42'!$C$4:$C$55,'Collapse 52 to 42'!$B$4:$B$55,$A37)</f>
        <v>0.11080061197771762</v>
      </c>
      <c r="J37">
        <f>SUMPRODUCT(--('Collapse 52 to 42'!$B$4:$B$55=$A37),'Collapse 52 to 42'!$C$4:$C$55,'Collapse 52 to 42'!L$4:L$55)/SUMIFS('Collapse 52 to 42'!$C$4:$C$55,'Collapse 52 to 42'!$B$4:$B$55,$A37)</f>
        <v>0.13069043076272546</v>
      </c>
      <c r="K37">
        <f>SUMPRODUCT(--('Collapse 52 to 42'!$B$4:$B$55=$A37),'Collapse 52 to 42'!$C$4:$C$55,'Collapse 52 to 42'!M$4:M$55)/SUMIFS('Collapse 52 to 42'!$C$4:$C$55,'Collapse 52 to 42'!$B$4:$B$55,$A37)</f>
        <v>0.15223348105563139</v>
      </c>
      <c r="L37">
        <f>SUMPRODUCT(--('Collapse 52 to 42'!$B$4:$B$55=$A37),'Collapse 52 to 42'!$C$4:$C$55,'Collapse 52 to 42'!N$4:N$55)/SUMIFS('Collapse 52 to 42'!$C$4:$C$55,'Collapse 52 to 42'!$B$4:$B$55,$A37)</f>
        <v>0.17515554403595113</v>
      </c>
      <c r="M37">
        <f>SUMPRODUCT(--('Collapse 52 to 42'!$B$4:$B$55=$A37),'Collapse 52 to 42'!$C$4:$C$55,'Collapse 52 to 42'!O$4:O$55)/SUMIFS('Collapse 52 to 42'!$C$4:$C$55,'Collapse 52 to 42'!$B$4:$B$55,$A37)</f>
        <v>0.19941191145754167</v>
      </c>
      <c r="N37">
        <f>SUMPRODUCT(--('Collapse 52 to 42'!$B$4:$B$55=$A37),'Collapse 52 to 42'!$C$4:$C$55,'Collapse 52 to 42'!P$4:P$55)/SUMIFS('Collapse 52 to 42'!$C$4:$C$55,'Collapse 52 to 42'!$B$4:$B$55,$A37)</f>
        <v>0.21956173620886132</v>
      </c>
      <c r="O37">
        <f>SUMPRODUCT(--('Collapse 52 to 42'!$B$4:$B$55=$A37),'Collapse 52 to 42'!$C$4:$C$55,'Collapse 52 to 42'!Q$4:Q$55)/SUMIFS('Collapse 52 to 42'!$C$4:$C$55,'Collapse 52 to 42'!$B$4:$B$55,$A37)</f>
        <v>0.23952775701569129</v>
      </c>
      <c r="P37">
        <f>SUMPRODUCT(--('Collapse 52 to 42'!$B$4:$B$55=$A37),'Collapse 52 to 42'!$C$4:$C$55,'Collapse 52 to 42'!R$4:R$55)/SUMIFS('Collapse 52 to 42'!$C$4:$C$55,'Collapse 52 to 42'!$B$4:$B$55,$A37)</f>
        <v>0.25954036214261866</v>
      </c>
      <c r="Q37">
        <f>SUMPRODUCT(--('Collapse 52 to 42'!$B$4:$B$55=$A37),'Collapse 52 to 42'!$C$4:$C$55,'Collapse 52 to 42'!S$4:S$55)/SUMIFS('Collapse 52 to 42'!$C$4:$C$55,'Collapse 52 to 42'!$B$4:$B$55,$A37)</f>
        <v>0.27914008014787406</v>
      </c>
      <c r="R37">
        <f>SUMPRODUCT(--('Collapse 52 to 42'!$B$4:$B$55=$A37),'Collapse 52 to 42'!$C$4:$C$55,'Collapse 52 to 42'!T$4:T$55)/SUMIFS('Collapse 52 to 42'!$C$4:$C$55,'Collapse 52 to 42'!$B$4:$B$55,$A37)</f>
        <v>0.29878279608819858</v>
      </c>
      <c r="S37">
        <f>SUMPRODUCT(--('Collapse 52 to 42'!$B$4:$B$55=$A37),'Collapse 52 to 42'!$C$4:$C$55,'Collapse 52 to 42'!U$4:U$55)/SUMIFS('Collapse 52 to 42'!$C$4:$C$55,'Collapse 52 to 42'!$B$4:$B$55,$A37)</f>
        <v>0.3178043260061052</v>
      </c>
      <c r="T37">
        <f>SUMPRODUCT(--('Collapse 52 to 42'!$B$4:$B$55=$A37),'Collapse 52 to 42'!$C$4:$C$55,'Collapse 52 to 42'!V$4:V$55)/SUMIFS('Collapse 52 to 42'!$C$4:$C$55,'Collapse 52 to 42'!$B$4:$B$55,$A37)</f>
        <v>0.33728327651314394</v>
      </c>
      <c r="U37">
        <f>SUMPRODUCT(--('Collapse 52 to 42'!$B$4:$B$55=$A37),'Collapse 52 to 42'!$C$4:$C$55,'Collapse 52 to 42'!W$4:W$55)/SUMIFS('Collapse 52 to 42'!$C$4:$C$55,'Collapse 52 to 42'!$B$4:$B$55,$A37)</f>
        <v>0.35748979806244185</v>
      </c>
      <c r="V37">
        <f>SUMPRODUCT(--('Collapse 52 to 42'!$B$4:$B$55=$A37),'Collapse 52 to 42'!$C$4:$C$55,'Collapse 52 to 42'!X$4:X$55)/SUMIFS('Collapse 52 to 42'!$C$4:$C$55,'Collapse 52 to 42'!$B$4:$B$55,$A37)</f>
        <v>0.37772571080676709</v>
      </c>
      <c r="W37">
        <f>SUMPRODUCT(--('Collapse 52 to 42'!$B$4:$B$55=$A37),'Collapse 52 to 42'!$C$4:$C$55,'Collapse 52 to 42'!Y$4:Y$55)/SUMIFS('Collapse 52 to 42'!$C$4:$C$55,'Collapse 52 to 42'!$B$4:$B$55,$A37)</f>
        <v>0.3976183563485931</v>
      </c>
      <c r="X37">
        <f>SUMPRODUCT(--('Collapse 52 to 42'!$B$4:$B$55=$A37),'Collapse 52 to 42'!$C$4:$C$55,'Collapse 52 to 42'!Z$4:Z$55)/SUMIFS('Collapse 52 to 42'!$C$4:$C$55,'Collapse 52 to 42'!$B$4:$B$55,$A37)</f>
        <v>0.41681369083440534</v>
      </c>
      <c r="Y37">
        <f>SUMPRODUCT(--('Collapse 52 to 42'!$B$4:$B$55=$A37),'Collapse 52 to 42'!$C$4:$C$55,'Collapse 52 to 42'!AA$4:AA$55)/SUMIFS('Collapse 52 to 42'!$C$4:$C$55,'Collapse 52 to 42'!$B$4:$B$55,$A37)</f>
        <v>0.4351324413090194</v>
      </c>
      <c r="Z37">
        <f>SUMPRODUCT(--('Collapse 52 to 42'!$B$4:$B$55=$A37),'Collapse 52 to 42'!$C$4:$C$55,'Collapse 52 to 42'!AB$4:AB$55)/SUMIFS('Collapse 52 to 42'!$C$4:$C$55,'Collapse 52 to 42'!$B$4:$B$55,$A37)</f>
        <v>0.45348783993351938</v>
      </c>
      <c r="AA37">
        <f>SUMPRODUCT(--('Collapse 52 to 42'!$B$4:$B$55=$A37),'Collapse 52 to 42'!$C$4:$C$55,'Collapse 52 to 42'!AC$4:AC$55)/SUMIFS('Collapse 52 to 42'!$C$4:$C$55,'Collapse 52 to 42'!$B$4:$B$55,$A37)</f>
        <v>0.47116170255210754</v>
      </c>
      <c r="AB37">
        <f>SUMPRODUCT(--('Collapse 52 to 42'!$B$4:$B$55=$A37),'Collapse 52 to 42'!$C$4:$C$55,'Collapse 52 to 42'!AD$4:AD$55)/SUMIFS('Collapse 52 to 42'!$C$4:$C$55,'Collapse 52 to 42'!$B$4:$B$55,$A37)</f>
        <v>0.48944762517819118</v>
      </c>
    </row>
    <row r="38" spans="1:28" x14ac:dyDescent="0.25">
      <c r="A38" t="s">
        <v>1273</v>
      </c>
      <c r="B38">
        <f>SUMPRODUCT(--('Collapse 52 to 42'!$B$4:$B$55=$A38),'Collapse 52 to 42'!$C$4:$C$55,'Collapse 52 to 42'!D$4:D$55)/SUMIFS('Collapse 52 to 42'!$C$4:$C$55,'Collapse 52 to 42'!$B$4:$B$55,$A38)</f>
        <v>-2.0354986581568882E-2</v>
      </c>
      <c r="C38">
        <f>SUMPRODUCT(--('Collapse 52 to 42'!$B$4:$B$55=$A38),'Collapse 52 to 42'!$C$4:$C$55,'Collapse 52 to 42'!E$4:E$55)/SUMIFS('Collapse 52 to 42'!$C$4:$C$55,'Collapse 52 to 42'!$B$4:$B$55,$A38)</f>
        <v>0</v>
      </c>
      <c r="D38">
        <f>SUMPRODUCT(--('Collapse 52 to 42'!$B$4:$B$55=$A38),'Collapse 52 to 42'!$C$4:$C$55,'Collapse 52 to 42'!F$4:F$55)/SUMIFS('Collapse 52 to 42'!$C$4:$C$55,'Collapse 52 to 42'!$B$4:$B$55,$A38)</f>
        <v>3.3553243057775524E-2</v>
      </c>
      <c r="E38">
        <f>SUMPRODUCT(--('Collapse 52 to 42'!$B$4:$B$55=$A38),'Collapse 52 to 42'!$C$4:$C$55,'Collapse 52 to 42'!G$4:G$55)/SUMIFS('Collapse 52 to 42'!$C$4:$C$55,'Collapse 52 to 42'!$B$4:$B$55,$A38)</f>
        <v>5.6146276187029671E-2</v>
      </c>
      <c r="F38">
        <f>SUMPRODUCT(--('Collapse 52 to 42'!$B$4:$B$55=$A38),'Collapse 52 to 42'!$C$4:$C$55,'Collapse 52 to 42'!H$4:H$55)/SUMIFS('Collapse 52 to 42'!$C$4:$C$55,'Collapse 52 to 42'!$B$4:$B$55,$A38)</f>
        <v>7.1798879824176945E-2</v>
      </c>
      <c r="G38">
        <f>SUMPRODUCT(--('Collapse 52 to 42'!$B$4:$B$55=$A38),'Collapse 52 to 42'!$C$4:$C$55,'Collapse 52 to 42'!I$4:I$55)/SUMIFS('Collapse 52 to 42'!$C$4:$C$55,'Collapse 52 to 42'!$B$4:$B$55,$A38)</f>
        <v>9.0660033882756536E-2</v>
      </c>
      <c r="H38">
        <f>SUMPRODUCT(--('Collapse 52 to 42'!$B$4:$B$55=$A38),'Collapse 52 to 42'!$C$4:$C$55,'Collapse 52 to 42'!J$4:J$55)/SUMIFS('Collapse 52 to 42'!$C$4:$C$55,'Collapse 52 to 42'!$B$4:$B$55,$A38)</f>
        <v>0.11227881156399352</v>
      </c>
      <c r="I38">
        <f>SUMPRODUCT(--('Collapse 52 to 42'!$B$4:$B$55=$A38),'Collapse 52 to 42'!$C$4:$C$55,'Collapse 52 to 42'!K$4:K$55)/SUMIFS('Collapse 52 to 42'!$C$4:$C$55,'Collapse 52 to 42'!$B$4:$B$55,$A38)</f>
        <v>0.13355852601617205</v>
      </c>
      <c r="J38">
        <f>SUMPRODUCT(--('Collapse 52 to 42'!$B$4:$B$55=$A38),'Collapse 52 to 42'!$C$4:$C$55,'Collapse 52 to 42'!L$4:L$55)/SUMIFS('Collapse 52 to 42'!$C$4:$C$55,'Collapse 52 to 42'!$B$4:$B$55,$A38)</f>
        <v>0.15781911596502654</v>
      </c>
      <c r="K38">
        <f>SUMPRODUCT(--('Collapse 52 to 42'!$B$4:$B$55=$A38),'Collapse 52 to 42'!$C$4:$C$55,'Collapse 52 to 42'!M$4:M$55)/SUMIFS('Collapse 52 to 42'!$C$4:$C$55,'Collapse 52 to 42'!$B$4:$B$55,$A38)</f>
        <v>0.18418698799725031</v>
      </c>
      <c r="L38">
        <f>SUMPRODUCT(--('Collapse 52 to 42'!$B$4:$B$55=$A38),'Collapse 52 to 42'!$C$4:$C$55,'Collapse 52 to 42'!N$4:N$55)/SUMIFS('Collapse 52 to 42'!$C$4:$C$55,'Collapse 52 to 42'!$B$4:$B$55,$A38)</f>
        <v>0.21234572014060701</v>
      </c>
      <c r="M38">
        <f>SUMPRODUCT(--('Collapse 52 to 42'!$B$4:$B$55=$A38),'Collapse 52 to 42'!$C$4:$C$55,'Collapse 52 to 42'!O$4:O$55)/SUMIFS('Collapse 52 to 42'!$C$4:$C$55,'Collapse 52 to 42'!$B$4:$B$55,$A38)</f>
        <v>0.24225772949487231</v>
      </c>
      <c r="N38">
        <f>SUMPRODUCT(--('Collapse 52 to 42'!$B$4:$B$55=$A38),'Collapse 52 to 42'!$C$4:$C$55,'Collapse 52 to 42'!P$4:P$55)/SUMIFS('Collapse 52 to 42'!$C$4:$C$55,'Collapse 52 to 42'!$B$4:$B$55,$A38)</f>
        <v>0.26720440934548439</v>
      </c>
      <c r="O38">
        <f>SUMPRODUCT(--('Collapse 52 to 42'!$B$4:$B$55=$A38),'Collapse 52 to 42'!$C$4:$C$55,'Collapse 52 to 42'!Q$4:Q$55)/SUMIFS('Collapse 52 to 42'!$C$4:$C$55,'Collapse 52 to 42'!$B$4:$B$55,$A38)</f>
        <v>0.292003756831056</v>
      </c>
      <c r="P38">
        <f>SUMPRODUCT(--('Collapse 52 to 42'!$B$4:$B$55=$A38),'Collapse 52 to 42'!$C$4:$C$55,'Collapse 52 to 42'!R$4:R$55)/SUMIFS('Collapse 52 to 42'!$C$4:$C$55,'Collapse 52 to 42'!$B$4:$B$55,$A38)</f>
        <v>0.31693962685938415</v>
      </c>
      <c r="Q38">
        <f>SUMPRODUCT(--('Collapse 52 to 42'!$B$4:$B$55=$A38),'Collapse 52 to 42'!$C$4:$C$55,'Collapse 52 to 42'!S$4:S$55)/SUMIFS('Collapse 52 to 42'!$C$4:$C$55,'Collapse 52 to 42'!$B$4:$B$55,$A38)</f>
        <v>0.34143727606153385</v>
      </c>
      <c r="R38">
        <f>SUMPRODUCT(--('Collapse 52 to 42'!$B$4:$B$55=$A38),'Collapse 52 to 42'!$C$4:$C$55,'Collapse 52 to 42'!T$4:T$55)/SUMIFS('Collapse 52 to 42'!$C$4:$C$55,'Collapse 52 to 42'!$B$4:$B$55,$A38)</f>
        <v>0.36606259043690398</v>
      </c>
      <c r="S38">
        <f>SUMPRODUCT(--('Collapse 52 to 42'!$B$4:$B$55=$A38),'Collapse 52 to 42'!$C$4:$C$55,'Collapse 52 to 42'!U$4:U$55)/SUMIFS('Collapse 52 to 42'!$C$4:$C$55,'Collapse 52 to 42'!$B$4:$B$55,$A38)</f>
        <v>0.38998002439233437</v>
      </c>
      <c r="T38">
        <f>SUMPRODUCT(--('Collapse 52 to 42'!$B$4:$B$55=$A38),'Collapse 52 to 42'!$C$4:$C$55,'Collapse 52 to 42'!V$4:V$55)/SUMIFS('Collapse 52 to 42'!$C$4:$C$55,'Collapse 52 to 42'!$B$4:$B$55,$A38)</f>
        <v>0.41454209733582514</v>
      </c>
      <c r="U38">
        <f>SUMPRODUCT(--('Collapse 52 to 42'!$B$4:$B$55=$A38),'Collapse 52 to 42'!$C$4:$C$55,'Collapse 52 to 42'!W$4:W$55)/SUMIFS('Collapse 52 to 42'!$C$4:$C$55,'Collapse 52 to 42'!$B$4:$B$55,$A38)</f>
        <v>0.44009455539650161</v>
      </c>
      <c r="V38">
        <f>SUMPRODUCT(--('Collapse 52 to 42'!$B$4:$B$55=$A38),'Collapse 52 to 42'!$C$4:$C$55,'Collapse 52 to 42'!X$4:X$55)/SUMIFS('Collapse 52 to 42'!$C$4:$C$55,'Collapse 52 to 42'!$B$4:$B$55,$A38)</f>
        <v>0.4657590595224671</v>
      </c>
      <c r="W38">
        <f>SUMPRODUCT(--('Collapse 52 to 42'!$B$4:$B$55=$A38),'Collapse 52 to 42'!$C$4:$C$55,'Collapse 52 to 42'!Y$4:Y$55)/SUMIFS('Collapse 52 to 42'!$C$4:$C$55,'Collapse 52 to 42'!$B$4:$B$55,$A38)</f>
        <v>0.49106106279934481</v>
      </c>
      <c r="X38">
        <f>SUMPRODUCT(--('Collapse 52 to 42'!$B$4:$B$55=$A38),'Collapse 52 to 42'!$C$4:$C$55,'Collapse 52 to 42'!Z$4:Z$55)/SUMIFS('Collapse 52 to 42'!$C$4:$C$55,'Collapse 52 to 42'!$B$4:$B$55,$A38)</f>
        <v>0.51554446357553607</v>
      </c>
      <c r="Y38">
        <f>SUMPRODUCT(--('Collapse 52 to 42'!$B$4:$B$55=$A38),'Collapse 52 to 42'!$C$4:$C$55,'Collapse 52 to 42'!AA$4:AA$55)/SUMIFS('Collapse 52 to 42'!$C$4:$C$55,'Collapse 52 to 42'!$B$4:$B$55,$A38)</f>
        <v>0.53897204067570192</v>
      </c>
      <c r="Z38">
        <f>SUMPRODUCT(--('Collapse 52 to 42'!$B$4:$B$55=$A38),'Collapse 52 to 42'!$C$4:$C$55,'Collapse 52 to 42'!AB$4:AB$55)/SUMIFS('Collapse 52 to 42'!$C$4:$C$55,'Collapse 52 to 42'!$B$4:$B$55,$A38)</f>
        <v>0.56250541280363642</v>
      </c>
      <c r="AA38">
        <f>SUMPRODUCT(--('Collapse 52 to 42'!$B$4:$B$55=$A38),'Collapse 52 to 42'!$C$4:$C$55,'Collapse 52 to 42'!AC$4:AC$55)/SUMIFS('Collapse 52 to 42'!$C$4:$C$55,'Collapse 52 to 42'!$B$4:$B$55,$A38)</f>
        <v>0.58522127040789895</v>
      </c>
      <c r="AB38">
        <f>SUMPRODUCT(--('Collapse 52 to 42'!$B$4:$B$55=$A38),'Collapse 52 to 42'!$C$4:$C$55,'Collapse 52 to 42'!AD$4:AD$55)/SUMIFS('Collapse 52 to 42'!$C$4:$C$55,'Collapse 52 to 42'!$B$4:$B$55,$A38)</f>
        <v>0.608779331748597</v>
      </c>
    </row>
    <row r="39" spans="1:28" x14ac:dyDescent="0.25">
      <c r="A39" t="s">
        <v>942</v>
      </c>
      <c r="B39">
        <f>SUMPRODUCT(--('Collapse 52 to 42'!$B$4:$B$55=$A39),'Collapse 52 to 42'!$C$4:$C$55,'Collapse 52 to 42'!D$4:D$55)/SUMIFS('Collapse 52 to 42'!$C$4:$C$55,'Collapse 52 to 42'!$B$4:$B$55,$A39)</f>
        <v>-4.613511394891967E-3</v>
      </c>
      <c r="C39">
        <f>SUMPRODUCT(--('Collapse 52 to 42'!$B$4:$B$55=$A39),'Collapse 52 to 42'!$C$4:$C$55,'Collapse 52 to 42'!E$4:E$55)/SUMIFS('Collapse 52 to 42'!$C$4:$C$55,'Collapse 52 to 42'!$B$4:$B$55,$A39)</f>
        <v>0</v>
      </c>
      <c r="D39">
        <f>SUMPRODUCT(--('Collapse 52 to 42'!$B$4:$B$55=$A39),'Collapse 52 to 42'!$C$4:$C$55,'Collapse 52 to 42'!F$4:F$55)/SUMIFS('Collapse 52 to 42'!$C$4:$C$55,'Collapse 52 to 42'!$B$4:$B$55,$A39)</f>
        <v>7.4845267345102773E-3</v>
      </c>
      <c r="E39">
        <f>SUMPRODUCT(--('Collapse 52 to 42'!$B$4:$B$55=$A39),'Collapse 52 to 42'!$C$4:$C$55,'Collapse 52 to 42'!G$4:G$55)/SUMIFS('Collapse 52 to 42'!$C$4:$C$55,'Collapse 52 to 42'!$B$4:$B$55,$A39)</f>
        <v>1.2396966758553285E-2</v>
      </c>
      <c r="F39">
        <f>SUMPRODUCT(--('Collapse 52 to 42'!$B$4:$B$55=$A39),'Collapse 52 to 42'!$C$4:$C$55,'Collapse 52 to 42'!H$4:H$55)/SUMIFS('Collapse 52 to 42'!$C$4:$C$55,'Collapse 52 to 42'!$B$4:$B$55,$A39)</f>
        <v>1.5743708487523156E-2</v>
      </c>
      <c r="G39">
        <f>SUMPRODUCT(--('Collapse 52 to 42'!$B$4:$B$55=$A39),'Collapse 52 to 42'!$C$4:$C$55,'Collapse 52 to 42'!I$4:I$55)/SUMIFS('Collapse 52 to 42'!$C$4:$C$55,'Collapse 52 to 42'!$B$4:$B$55,$A39)</f>
        <v>1.9730671921522225E-2</v>
      </c>
      <c r="H39">
        <f>SUMPRODUCT(--('Collapse 52 to 42'!$B$4:$B$55=$A39),'Collapse 52 to 42'!$C$4:$C$55,'Collapse 52 to 42'!J$4:J$55)/SUMIFS('Collapse 52 to 42'!$C$4:$C$55,'Collapse 52 to 42'!$B$4:$B$55,$A39)</f>
        <v>2.4239084104126007E-2</v>
      </c>
      <c r="I39">
        <f>SUMPRODUCT(--('Collapse 52 to 42'!$B$4:$B$55=$A39),'Collapse 52 to 42'!$C$4:$C$55,'Collapse 52 to 42'!K$4:K$55)/SUMIFS('Collapse 52 to 42'!$C$4:$C$55,'Collapse 52 to 42'!$B$4:$B$55,$A39)</f>
        <v>2.8609696360316406E-2</v>
      </c>
      <c r="J39">
        <f>SUMPRODUCT(--('Collapse 52 to 42'!$B$4:$B$55=$A39),'Collapse 52 to 42'!$C$4:$C$55,'Collapse 52 to 42'!L$4:L$55)/SUMIFS('Collapse 52 to 42'!$C$4:$C$55,'Collapse 52 to 42'!$B$4:$B$55,$A39)</f>
        <v>3.3519786778279492E-2</v>
      </c>
      <c r="K39">
        <f>SUMPRODUCT(--('Collapse 52 to 42'!$B$4:$B$55=$A39),'Collapse 52 to 42'!$C$4:$C$55,'Collapse 52 to 42'!M$4:M$55)/SUMIFS('Collapse 52 to 42'!$C$4:$C$55,'Collapse 52 to 42'!$B$4:$B$55,$A39)</f>
        <v>3.8769389448776392E-2</v>
      </c>
      <c r="L39">
        <f>SUMPRODUCT(--('Collapse 52 to 42'!$B$4:$B$55=$A39),'Collapse 52 to 42'!$C$4:$C$55,'Collapse 52 to 42'!N$4:N$55)/SUMIFS('Collapse 52 to 42'!$C$4:$C$55,'Collapse 52 to 42'!$B$4:$B$55,$A39)</f>
        <v>4.4278436909607866E-2</v>
      </c>
      <c r="M39">
        <f>SUMPRODUCT(--('Collapse 52 to 42'!$B$4:$B$55=$A39),'Collapse 52 to 42'!$C$4:$C$55,'Collapse 52 to 42'!O$4:O$55)/SUMIFS('Collapse 52 to 42'!$C$4:$C$55,'Collapse 52 to 42'!$B$4:$B$55,$A39)</f>
        <v>5.0024771087616493E-2</v>
      </c>
      <c r="N39">
        <f>SUMPRODUCT(--('Collapse 52 to 42'!$B$4:$B$55=$A39),'Collapse 52 to 42'!$C$4:$C$55,'Collapse 52 to 42'!P$4:P$55)/SUMIFS('Collapse 52 to 42'!$C$4:$C$55,'Collapse 52 to 42'!$B$4:$B$55,$A39)</f>
        <v>5.4727464000009496E-2</v>
      </c>
      <c r="O39">
        <f>SUMPRODUCT(--('Collapse 52 to 42'!$B$4:$B$55=$A39),'Collapse 52 to 42'!$C$4:$C$55,'Collapse 52 to 42'!Q$4:Q$55)/SUMIFS('Collapse 52 to 42'!$C$4:$C$55,'Collapse 52 to 42'!$B$4:$B$55,$A39)</f>
        <v>5.9330794365703543E-2</v>
      </c>
      <c r="P39">
        <f>SUMPRODUCT(--('Collapse 52 to 42'!$B$4:$B$55=$A39),'Collapse 52 to 42'!$C$4:$C$55,'Collapse 52 to 42'!R$4:R$55)/SUMIFS('Collapse 52 to 42'!$C$4:$C$55,'Collapse 52 to 42'!$B$4:$B$55,$A39)</f>
        <v>6.3890356378758062E-2</v>
      </c>
      <c r="Q39">
        <f>SUMPRODUCT(--('Collapse 52 to 42'!$B$4:$B$55=$A39),'Collapse 52 to 42'!$C$4:$C$55,'Collapse 52 to 42'!S$4:S$55)/SUMIFS('Collapse 52 to 42'!$C$4:$C$55,'Collapse 52 to 42'!$B$4:$B$55,$A39)</f>
        <v>6.8303812018237764E-2</v>
      </c>
      <c r="R39">
        <f>SUMPRODUCT(--('Collapse 52 to 42'!$B$4:$B$55=$A39),'Collapse 52 to 42'!$C$4:$C$55,'Collapse 52 to 42'!T$4:T$55)/SUMIFS('Collapse 52 to 42'!$C$4:$C$55,'Collapse 52 to 42'!$B$4:$B$55,$A39)</f>
        <v>7.2677243902346866E-2</v>
      </c>
      <c r="S39">
        <f>SUMPRODUCT(--('Collapse 52 to 42'!$B$4:$B$55=$A39),'Collapse 52 to 42'!$C$4:$C$55,'Collapse 52 to 42'!U$4:U$55)/SUMIFS('Collapse 52 to 42'!$C$4:$C$55,'Collapse 52 to 42'!$B$4:$B$55,$A39)</f>
        <v>7.6865393101001267E-2</v>
      </c>
      <c r="T39">
        <f>SUMPRODUCT(--('Collapse 52 to 42'!$B$4:$B$55=$A39),'Collapse 52 to 42'!$C$4:$C$55,'Collapse 52 to 42'!V$4:V$55)/SUMIFS('Collapse 52 to 42'!$C$4:$C$55,'Collapse 52 to 42'!$B$4:$B$55,$A39)</f>
        <v>8.1108854005420339E-2</v>
      </c>
      <c r="U39">
        <f>SUMPRODUCT(--('Collapse 52 to 42'!$B$4:$B$55=$A39),'Collapse 52 to 42'!$C$4:$C$55,'Collapse 52 to 42'!W$4:W$55)/SUMIFS('Collapse 52 to 42'!$C$4:$C$55,'Collapse 52 to 42'!$B$4:$B$55,$A39)</f>
        <v>8.5463789520157984E-2</v>
      </c>
      <c r="V39">
        <f>SUMPRODUCT(--('Collapse 52 to 42'!$B$4:$B$55=$A39),'Collapse 52 to 42'!$C$4:$C$55,'Collapse 52 to 42'!X$4:X$55)/SUMIFS('Collapse 52 to 42'!$C$4:$C$55,'Collapse 52 to 42'!$B$4:$B$55,$A39)</f>
        <v>8.9777447655592368E-2</v>
      </c>
      <c r="W39">
        <f>SUMPRODUCT(--('Collapse 52 to 42'!$B$4:$B$55=$A39),'Collapse 52 to 42'!$C$4:$C$55,'Collapse 52 to 42'!Y$4:Y$55)/SUMIFS('Collapse 52 to 42'!$C$4:$C$55,'Collapse 52 to 42'!$B$4:$B$55,$A39)</f>
        <v>9.3972252461353767E-2</v>
      </c>
      <c r="X39">
        <f>SUMPRODUCT(--('Collapse 52 to 42'!$B$4:$B$55=$A39),'Collapse 52 to 42'!$C$4:$C$55,'Collapse 52 to 42'!Z$4:Z$55)/SUMIFS('Collapse 52 to 42'!$C$4:$C$55,'Collapse 52 to 42'!$B$4:$B$55,$A39)</f>
        <v>9.7977760010547366E-2</v>
      </c>
      <c r="Y39">
        <f>SUMPRODUCT(--('Collapse 52 to 42'!$B$4:$B$55=$A39),'Collapse 52 to 42'!$C$4:$C$55,'Collapse 52 to 42'!AA$4:AA$55)/SUMIFS('Collapse 52 to 42'!$C$4:$C$55,'Collapse 52 to 42'!$B$4:$B$55,$A39)</f>
        <v>0.10176236715846221</v>
      </c>
      <c r="Z39">
        <f>SUMPRODUCT(--('Collapse 52 to 42'!$B$4:$B$55=$A39),'Collapse 52 to 42'!$C$4:$C$55,'Collapse 52 to 42'!AB$4:AB$55)/SUMIFS('Collapse 52 to 42'!$C$4:$C$55,'Collapse 52 to 42'!$B$4:$B$55,$A39)</f>
        <v>0.10551904482094954</v>
      </c>
      <c r="AA39">
        <f>SUMPRODUCT(--('Collapse 52 to 42'!$B$4:$B$55=$A39),'Collapse 52 to 42'!$C$4:$C$55,'Collapse 52 to 42'!AC$4:AC$55)/SUMIFS('Collapse 52 to 42'!$C$4:$C$55,'Collapse 52 to 42'!$B$4:$B$55,$A39)</f>
        <v>0.10910273503160406</v>
      </c>
      <c r="AB39">
        <f>SUMPRODUCT(--('Collapse 52 to 42'!$B$4:$B$55=$A39),'Collapse 52 to 42'!$C$4:$C$55,'Collapse 52 to 42'!AD$4:AD$55)/SUMIFS('Collapse 52 to 42'!$C$4:$C$55,'Collapse 52 to 42'!$B$4:$B$55,$A39)</f>
        <v>0.11277786246768362</v>
      </c>
    </row>
    <row r="40" spans="1:28" x14ac:dyDescent="0.25">
      <c r="A40" t="s">
        <v>700</v>
      </c>
      <c r="B40">
        <f>SUMPRODUCT(--('Collapse 52 to 42'!$B$4:$B$55=$A40),'Collapse 52 to 42'!$C$4:$C$55,'Collapse 52 to 42'!D$4:D$55)/SUMIFS('Collapse 52 to 42'!$C$4:$C$55,'Collapse 52 to 42'!$B$4:$B$55,$A40)</f>
        <v>-4.3057107053697807E-3</v>
      </c>
      <c r="C40">
        <f>SUMPRODUCT(--('Collapse 52 to 42'!$B$4:$B$55=$A40),'Collapse 52 to 42'!$C$4:$C$55,'Collapse 52 to 42'!E$4:E$55)/SUMIFS('Collapse 52 to 42'!$C$4:$C$55,'Collapse 52 to 42'!$B$4:$B$55,$A40)</f>
        <v>0</v>
      </c>
      <c r="D40">
        <f>SUMPRODUCT(--('Collapse 52 to 42'!$B$4:$B$55=$A40),'Collapse 52 to 42'!$C$4:$C$55,'Collapse 52 to 42'!F$4:F$55)/SUMIFS('Collapse 52 to 42'!$C$4:$C$55,'Collapse 52 to 42'!$B$4:$B$55,$A40)</f>
        <v>6.9830205206109506E-3</v>
      </c>
      <c r="E40">
        <f>SUMPRODUCT(--('Collapse 52 to 42'!$B$4:$B$55=$A40),'Collapse 52 to 42'!$C$4:$C$55,'Collapse 52 to 42'!G$4:G$55)/SUMIFS('Collapse 52 to 42'!$C$4:$C$55,'Collapse 52 to 42'!$B$4:$B$55,$A40)</f>
        <v>1.1564017424021467E-2</v>
      </c>
      <c r="F40">
        <f>SUMPRODUCT(--('Collapse 52 to 42'!$B$4:$B$55=$A40),'Collapse 52 to 42'!$C$4:$C$55,'Collapse 52 to 42'!H$4:H$55)/SUMIFS('Collapse 52 to 42'!$C$4:$C$55,'Collapse 52 to 42'!$B$4:$B$55,$A40)</f>
        <v>1.4683939235559995E-2</v>
      </c>
      <c r="G40">
        <f>SUMPRODUCT(--('Collapse 52 to 42'!$B$4:$B$55=$A40),'Collapse 52 to 42'!$C$4:$C$55,'Collapse 52 to 42'!I$4:I$55)/SUMIFS('Collapse 52 to 42'!$C$4:$C$55,'Collapse 52 to 42'!$B$4:$B$55,$A40)</f>
        <v>1.8399872212299107E-2</v>
      </c>
      <c r="H40">
        <f>SUMPRODUCT(--('Collapse 52 to 42'!$B$4:$B$55=$A40),'Collapse 52 to 42'!$C$4:$C$55,'Collapse 52 to 42'!J$4:J$55)/SUMIFS('Collapse 52 to 42'!$C$4:$C$55,'Collapse 52 to 42'!$B$4:$B$55,$A40)</f>
        <v>2.2600705461309101E-2</v>
      </c>
      <c r="I40">
        <f>SUMPRODUCT(--('Collapse 52 to 42'!$B$4:$B$55=$A40),'Collapse 52 to 42'!$C$4:$C$55,'Collapse 52 to 42'!K$4:K$55)/SUMIFS('Collapse 52 to 42'!$C$4:$C$55,'Collapse 52 to 42'!$B$4:$B$55,$A40)</f>
        <v>2.6671938829623713E-2</v>
      </c>
      <c r="J40">
        <f>SUMPRODUCT(--('Collapse 52 to 42'!$B$4:$B$55=$A40),'Collapse 52 to 42'!$C$4:$C$55,'Collapse 52 to 42'!L$4:L$55)/SUMIFS('Collapse 52 to 42'!$C$4:$C$55,'Collapse 52 to 42'!$B$4:$B$55,$A40)</f>
        <v>3.1244394902001146E-2</v>
      </c>
      <c r="K40">
        <f>SUMPRODUCT(--('Collapse 52 to 42'!$B$4:$B$55=$A40),'Collapse 52 to 42'!$C$4:$C$55,'Collapse 52 to 42'!M$4:M$55)/SUMIFS('Collapse 52 to 42'!$C$4:$C$55,'Collapse 52 to 42'!$B$4:$B$55,$A40)</f>
        <v>3.6131461008140686E-2</v>
      </c>
      <c r="L40">
        <f>SUMPRODUCT(--('Collapse 52 to 42'!$B$4:$B$55=$A40),'Collapse 52 to 42'!$C$4:$C$55,'Collapse 52 to 42'!N$4:N$55)/SUMIFS('Collapse 52 to 42'!$C$4:$C$55,'Collapse 52 to 42'!$B$4:$B$55,$A40)</f>
        <v>4.1258318025595653E-2</v>
      </c>
      <c r="M40">
        <f>SUMPRODUCT(--('Collapse 52 to 42'!$B$4:$B$55=$A40),'Collapse 52 to 42'!$C$4:$C$55,'Collapse 52 to 42'!O$4:O$55)/SUMIFS('Collapse 52 to 42'!$C$4:$C$55,'Collapse 52 to 42'!$B$4:$B$55,$A40)</f>
        <v>4.6604109651815273E-2</v>
      </c>
      <c r="N40">
        <f>SUMPRODUCT(--('Collapse 52 to 42'!$B$4:$B$55=$A40),'Collapse 52 to 42'!$C$4:$C$55,'Collapse 52 to 42'!P$4:P$55)/SUMIFS('Collapse 52 to 42'!$C$4:$C$55,'Collapse 52 to 42'!$B$4:$B$55,$A40)</f>
        <v>5.0977401750271316E-2</v>
      </c>
      <c r="O40">
        <f>SUMPRODUCT(--('Collapse 52 to 42'!$B$4:$B$55=$A40),'Collapse 52 to 42'!$C$4:$C$55,'Collapse 52 to 42'!Q$4:Q$55)/SUMIFS('Collapse 52 to 42'!$C$4:$C$55,'Collapse 52 to 42'!$B$4:$B$55,$A40)</f>
        <v>5.5257012219751767E-2</v>
      </c>
      <c r="P40">
        <f>SUMPRODUCT(--('Collapse 52 to 42'!$B$4:$B$55=$A40),'Collapse 52 to 42'!$C$4:$C$55,'Collapse 52 to 42'!R$4:R$55)/SUMIFS('Collapse 52 to 42'!$C$4:$C$55,'Collapse 52 to 42'!$B$4:$B$55,$A40)</f>
        <v>5.9494697994356249E-2</v>
      </c>
      <c r="Q40">
        <f>SUMPRODUCT(--('Collapse 52 to 42'!$B$4:$B$55=$A40),'Collapse 52 to 42'!$C$4:$C$55,'Collapse 52 to 42'!S$4:S$55)/SUMIFS('Collapse 52 to 42'!$C$4:$C$55,'Collapse 52 to 42'!$B$4:$B$55,$A40)</f>
        <v>6.3595413642718146E-2</v>
      </c>
      <c r="R40">
        <f>SUMPRODUCT(--('Collapse 52 to 42'!$B$4:$B$55=$A40),'Collapse 52 to 42'!$C$4:$C$55,'Collapse 52 to 42'!T$4:T$55)/SUMIFS('Collapse 52 to 42'!$C$4:$C$55,'Collapse 52 to 42'!$B$4:$B$55,$A40)</f>
        <v>6.7657816779978619E-2</v>
      </c>
      <c r="S40">
        <f>SUMPRODUCT(--('Collapse 52 to 42'!$B$4:$B$55=$A40),'Collapse 52 to 42'!$C$4:$C$55,'Collapse 52 to 42'!U$4:U$55)/SUMIFS('Collapse 52 to 42'!$C$4:$C$55,'Collapse 52 to 42'!$B$4:$B$55,$A40)</f>
        <v>7.1547051332714773E-2</v>
      </c>
      <c r="T40">
        <f>SUMPRODUCT(--('Collapse 52 to 42'!$B$4:$B$55=$A40),'Collapse 52 to 42'!$C$4:$C$55,'Collapse 52 to 42'!V$4:V$55)/SUMIFS('Collapse 52 to 42'!$C$4:$C$55,'Collapse 52 to 42'!$B$4:$B$55,$A40)</f>
        <v>7.5486622993815811E-2</v>
      </c>
      <c r="U40">
        <f>SUMPRODUCT(--('Collapse 52 to 42'!$B$4:$B$55=$A40),'Collapse 52 to 42'!$C$4:$C$55,'Collapse 52 to 42'!W$4:W$55)/SUMIFS('Collapse 52 to 42'!$C$4:$C$55,'Collapse 52 to 42'!$B$4:$B$55,$A40)</f>
        <v>7.9528622831362972E-2</v>
      </c>
      <c r="V40">
        <f>SUMPRODUCT(--('Collapse 52 to 42'!$B$4:$B$55=$A40),'Collapse 52 to 42'!$C$4:$C$55,'Collapse 52 to 42'!X$4:X$55)/SUMIFS('Collapse 52 to 42'!$C$4:$C$55,'Collapse 52 to 42'!$B$4:$B$55,$A40)</f>
        <v>8.3531235074247867E-2</v>
      </c>
      <c r="W40">
        <f>SUMPRODUCT(--('Collapse 52 to 42'!$B$4:$B$55=$A40),'Collapse 52 to 42'!$C$4:$C$55,'Collapse 52 to 42'!Y$4:Y$55)/SUMIFS('Collapse 52 to 42'!$C$4:$C$55,'Collapse 52 to 42'!$B$4:$B$55,$A40)</f>
        <v>8.7422531814672633E-2</v>
      </c>
      <c r="X40">
        <f>SUMPRODUCT(--('Collapse 52 to 42'!$B$4:$B$55=$A40),'Collapse 52 to 42'!$C$4:$C$55,'Collapse 52 to 42'!Z$4:Z$55)/SUMIFS('Collapse 52 to 42'!$C$4:$C$55,'Collapse 52 to 42'!$B$4:$B$55,$A40)</f>
        <v>9.113727290455409E-2</v>
      </c>
      <c r="Y40">
        <f>SUMPRODUCT(--('Collapse 52 to 42'!$B$4:$B$55=$A40),'Collapse 52 to 42'!$C$4:$C$55,'Collapse 52 to 42'!AA$4:AA$55)/SUMIFS('Collapse 52 to 42'!$C$4:$C$55,'Collapse 52 to 42'!$B$4:$B$55,$A40)</f>
        <v>9.4646291159454776E-2</v>
      </c>
      <c r="Z40">
        <f>SUMPRODUCT(--('Collapse 52 to 42'!$B$4:$B$55=$A40),'Collapse 52 to 42'!$C$4:$C$55,'Collapse 52 to 42'!AB$4:AB$55)/SUMIFS('Collapse 52 to 42'!$C$4:$C$55,'Collapse 52 to 42'!$B$4:$B$55,$A40)</f>
        <v>9.812861200513634E-2</v>
      </c>
      <c r="AA40">
        <f>SUMPRODUCT(--('Collapse 52 to 42'!$B$4:$B$55=$A40),'Collapse 52 to 42'!$C$4:$C$55,'Collapse 52 to 42'!AC$4:AC$55)/SUMIFS('Collapse 52 to 42'!$C$4:$C$55,'Collapse 52 to 42'!$B$4:$B$55,$A40)</f>
        <v>0.1014498225900542</v>
      </c>
      <c r="AB40">
        <f>SUMPRODUCT(--('Collapse 52 to 42'!$B$4:$B$55=$A40),'Collapse 52 to 42'!$C$4:$C$55,'Collapse 52 to 42'!AD$4:AD$55)/SUMIFS('Collapse 52 to 42'!$C$4:$C$55,'Collapse 52 to 42'!$B$4:$B$55,$A40)</f>
        <v>0.10485503586892553</v>
      </c>
    </row>
    <row r="41" spans="1:28" x14ac:dyDescent="0.25">
      <c r="A41" t="s">
        <v>755</v>
      </c>
      <c r="B41">
        <f>SUMPRODUCT(--('Collapse 52 to 42'!$B$4:$B$55=$A41),'Collapse 52 to 42'!$C$4:$C$55,'Collapse 52 to 42'!D$4:D$55)/SUMIFS('Collapse 52 to 42'!$C$4:$C$55,'Collapse 52 to 42'!$B$4:$B$55,$A41)</f>
        <v>-2.4723087093899143E-2</v>
      </c>
      <c r="C41">
        <f>SUMPRODUCT(--('Collapse 52 to 42'!$B$4:$B$55=$A41),'Collapse 52 to 42'!$C$4:$C$55,'Collapse 52 to 42'!E$4:E$55)/SUMIFS('Collapse 52 to 42'!$C$4:$C$55,'Collapse 52 to 42'!$B$4:$B$55,$A41)</f>
        <v>0</v>
      </c>
      <c r="D41">
        <f>SUMPRODUCT(--('Collapse 52 to 42'!$B$4:$B$55=$A41),'Collapse 52 to 42'!$C$4:$C$55,'Collapse 52 to 42'!F$4:F$55)/SUMIFS('Collapse 52 to 42'!$C$4:$C$55,'Collapse 52 to 42'!$B$4:$B$55,$A41)</f>
        <v>4.0935419275007767E-2</v>
      </c>
      <c r="E41">
        <f>SUMPRODUCT(--('Collapse 52 to 42'!$B$4:$B$55=$A41),'Collapse 52 to 42'!$C$4:$C$55,'Collapse 52 to 42'!G$4:G$55)/SUMIFS('Collapse 52 to 42'!$C$4:$C$55,'Collapse 52 to 42'!$B$4:$B$55,$A41)</f>
        <v>6.8695297808263112E-2</v>
      </c>
      <c r="F41">
        <f>SUMPRODUCT(--('Collapse 52 to 42'!$B$4:$B$55=$A41),'Collapse 52 to 42'!$C$4:$C$55,'Collapse 52 to 42'!H$4:H$55)/SUMIFS('Collapse 52 to 42'!$C$4:$C$55,'Collapse 52 to 42'!$B$4:$B$55,$A41)</f>
        <v>8.8017657435268681E-2</v>
      </c>
      <c r="G41">
        <f>SUMPRODUCT(--('Collapse 52 to 42'!$B$4:$B$55=$A41),'Collapse 52 to 42'!$C$4:$C$55,'Collapse 52 to 42'!I$4:I$55)/SUMIFS('Collapse 52 to 42'!$C$4:$C$55,'Collapse 52 to 42'!$B$4:$B$55,$A41)</f>
        <v>0.11137529708789473</v>
      </c>
      <c r="H41">
        <f>SUMPRODUCT(--('Collapse 52 to 42'!$B$4:$B$55=$A41),'Collapse 52 to 42'!$C$4:$C$55,'Collapse 52 to 42'!J$4:J$55)/SUMIFS('Collapse 52 to 42'!$C$4:$C$55,'Collapse 52 to 42'!$B$4:$B$55,$A41)</f>
        <v>0.13824938729047798</v>
      </c>
      <c r="I41">
        <f>SUMPRODUCT(--('Collapse 52 to 42'!$B$4:$B$55=$A41),'Collapse 52 to 42'!$C$4:$C$55,'Collapse 52 to 42'!K$4:K$55)/SUMIFS('Collapse 52 to 42'!$C$4:$C$55,'Collapse 52 to 42'!$B$4:$B$55,$A41)</f>
        <v>0.1648145976508355</v>
      </c>
      <c r="J41">
        <f>SUMPRODUCT(--('Collapse 52 to 42'!$B$4:$B$55=$A41),'Collapse 52 to 42'!$C$4:$C$55,'Collapse 52 to 42'!L$4:L$55)/SUMIFS('Collapse 52 to 42'!$C$4:$C$55,'Collapse 52 to 42'!$B$4:$B$55,$A41)</f>
        <v>0.19522558910996501</v>
      </c>
      <c r="K41">
        <f>SUMPRODUCT(--('Collapse 52 to 42'!$B$4:$B$55=$A41),'Collapse 52 to 42'!$C$4:$C$55,'Collapse 52 to 42'!M$4:M$55)/SUMIFS('Collapse 52 to 42'!$C$4:$C$55,'Collapse 52 to 42'!$B$4:$B$55,$A41)</f>
        <v>0.22842974314107578</v>
      </c>
      <c r="L41">
        <f>SUMPRODUCT(--('Collapse 52 to 42'!$B$4:$B$55=$A41),'Collapse 52 to 42'!$C$4:$C$55,'Collapse 52 to 42'!N$4:N$55)/SUMIFS('Collapse 52 to 42'!$C$4:$C$55,'Collapse 52 to 42'!$B$4:$B$55,$A41)</f>
        <v>0.26406193947466838</v>
      </c>
      <c r="M41">
        <f>SUMPRODUCT(--('Collapse 52 to 42'!$B$4:$B$55=$A41),'Collapse 52 to 42'!$C$4:$C$55,'Collapse 52 to 42'!O$4:O$55)/SUMIFS('Collapse 52 to 42'!$C$4:$C$55,'Collapse 52 to 42'!$B$4:$B$55,$A41)</f>
        <v>0.30210520796605111</v>
      </c>
      <c r="N41">
        <f>SUMPRODUCT(--('Collapse 52 to 42'!$B$4:$B$55=$A41),'Collapse 52 to 42'!$C$4:$C$55,'Collapse 52 to 42'!P$4:P$55)/SUMIFS('Collapse 52 to 42'!$C$4:$C$55,'Collapse 52 to 42'!$B$4:$B$55,$A41)</f>
        <v>0.33400060776977503</v>
      </c>
      <c r="O41">
        <f>SUMPRODUCT(--('Collapse 52 to 42'!$B$4:$B$55=$A41),'Collapse 52 to 42'!$C$4:$C$55,'Collapse 52 to 42'!Q$4:Q$55)/SUMIFS('Collapse 52 to 42'!$C$4:$C$55,'Collapse 52 to 42'!$B$4:$B$55,$A41)</f>
        <v>0.36584425583939484</v>
      </c>
      <c r="P41">
        <f>SUMPRODUCT(--('Collapse 52 to 42'!$B$4:$B$55=$A41),'Collapse 52 to 42'!$C$4:$C$55,'Collapse 52 to 42'!R$4:R$55)/SUMIFS('Collapse 52 to 42'!$C$4:$C$55,'Collapse 52 to 42'!$B$4:$B$55,$A41)</f>
        <v>0.39799770808436974</v>
      </c>
      <c r="Q41">
        <f>SUMPRODUCT(--('Collapse 52 to 42'!$B$4:$B$55=$A41),'Collapse 52 to 42'!$C$4:$C$55,'Collapse 52 to 42'!S$4:S$55)/SUMIFS('Collapse 52 to 42'!$C$4:$C$55,'Collapse 52 to 42'!$B$4:$B$55,$A41)</f>
        <v>0.4297169830603329</v>
      </c>
      <c r="R41">
        <f>SUMPRODUCT(--('Collapse 52 to 42'!$B$4:$B$55=$A41),'Collapse 52 to 42'!$C$4:$C$55,'Collapse 52 to 42'!T$4:T$55)/SUMIFS('Collapse 52 to 42'!$C$4:$C$55,'Collapse 52 to 42'!$B$4:$B$55,$A41)</f>
        <v>0.46172896503510824</v>
      </c>
      <c r="S41">
        <f>SUMPRODUCT(--('Collapse 52 to 42'!$B$4:$B$55=$A41),'Collapse 52 to 42'!$C$4:$C$55,'Collapse 52 to 42'!U$4:U$55)/SUMIFS('Collapse 52 to 42'!$C$4:$C$55,'Collapse 52 to 42'!$B$4:$B$55,$A41)</f>
        <v>0.4929433533576455</v>
      </c>
      <c r="T41">
        <f>SUMPRODUCT(--('Collapse 52 to 42'!$B$4:$B$55=$A41),'Collapse 52 to 42'!$C$4:$C$55,'Collapse 52 to 42'!V$4:V$55)/SUMIFS('Collapse 52 to 42'!$C$4:$C$55,'Collapse 52 to 42'!$B$4:$B$55,$A41)</f>
        <v>0.52511972085362224</v>
      </c>
      <c r="U41">
        <f>SUMPRODUCT(--('Collapse 52 to 42'!$B$4:$B$55=$A41),'Collapse 52 to 42'!$C$4:$C$55,'Collapse 52 to 42'!W$4:W$55)/SUMIFS('Collapse 52 to 42'!$C$4:$C$55,'Collapse 52 to 42'!$B$4:$B$55,$A41)</f>
        <v>0.55872063865995858</v>
      </c>
      <c r="V41">
        <f>SUMPRODUCT(--('Collapse 52 to 42'!$B$4:$B$55=$A41),'Collapse 52 to 42'!$C$4:$C$55,'Collapse 52 to 42'!X$4:X$55)/SUMIFS('Collapse 52 to 42'!$C$4:$C$55,'Collapse 52 to 42'!$B$4:$B$55,$A41)</f>
        <v>0.59259987154002358</v>
      </c>
      <c r="W41">
        <f>SUMPRODUCT(--('Collapse 52 to 42'!$B$4:$B$55=$A41),'Collapse 52 to 42'!$C$4:$C$55,'Collapse 52 to 42'!Y$4:Y$55)/SUMIFS('Collapse 52 to 42'!$C$4:$C$55,'Collapse 52 to 42'!$B$4:$B$55,$A41)</f>
        <v>0.62612847897681756</v>
      </c>
      <c r="X41">
        <f>SUMPRODUCT(--('Collapse 52 to 42'!$B$4:$B$55=$A41),'Collapse 52 to 42'!$C$4:$C$55,'Collapse 52 to 42'!Z$4:Z$55)/SUMIFS('Collapse 52 to 42'!$C$4:$C$55,'Collapse 52 to 42'!$B$4:$B$55,$A41)</f>
        <v>0.65869272316271532</v>
      </c>
      <c r="Y41">
        <f>SUMPRODUCT(--('Collapse 52 to 42'!$B$4:$B$55=$A41),'Collapse 52 to 42'!$C$4:$C$55,'Collapse 52 to 42'!AA$4:AA$55)/SUMIFS('Collapse 52 to 42'!$C$4:$C$55,'Collapse 52 to 42'!$B$4:$B$55,$A41)</f>
        <v>0.68996273892746074</v>
      </c>
      <c r="Z41">
        <f>SUMPRODUCT(--('Collapse 52 to 42'!$B$4:$B$55=$A41),'Collapse 52 to 42'!$C$4:$C$55,'Collapse 52 to 42'!AB$4:AB$55)/SUMIFS('Collapse 52 to 42'!$C$4:$C$55,'Collapse 52 to 42'!$B$4:$B$55,$A41)</f>
        <v>0.72147851648592898</v>
      </c>
      <c r="AA41">
        <f>SUMPRODUCT(--('Collapse 52 to 42'!$B$4:$B$55=$A41),'Collapse 52 to 42'!$C$4:$C$55,'Collapse 52 to 42'!AC$4:AC$55)/SUMIFS('Collapse 52 to 42'!$C$4:$C$55,'Collapse 52 to 42'!$B$4:$B$55,$A41)</f>
        <v>0.75199965556752879</v>
      </c>
      <c r="AB41">
        <f>SUMPRODUCT(--('Collapse 52 to 42'!$B$4:$B$55=$A41),'Collapse 52 to 42'!$C$4:$C$55,'Collapse 52 to 42'!AD$4:AD$55)/SUMIFS('Collapse 52 to 42'!$C$4:$C$55,'Collapse 52 to 42'!$B$4:$B$55,$A41)</f>
        <v>0.78375154269741576</v>
      </c>
    </row>
    <row r="42" spans="1:28" x14ac:dyDescent="0.25">
      <c r="A42" t="s">
        <v>1274</v>
      </c>
      <c r="B42">
        <f>SUMPRODUCT(--('Collapse 52 to 42'!$B$4:$B$55=$A42),'Collapse 52 to 42'!$C$4:$C$55,'Collapse 52 to 42'!D$4:D$55)/SUMIFS('Collapse 52 to 42'!$C$4:$C$55,'Collapse 52 to 42'!$B$4:$B$55,$A42)</f>
        <v>-1.9260911288035299E-2</v>
      </c>
      <c r="C42">
        <f>SUMPRODUCT(--('Collapse 52 to 42'!$B$4:$B$55=$A42),'Collapse 52 to 42'!$C$4:$C$55,'Collapse 52 to 42'!E$4:E$55)/SUMIFS('Collapse 52 to 42'!$C$4:$C$55,'Collapse 52 to 42'!$B$4:$B$55,$A42)</f>
        <v>0</v>
      </c>
      <c r="D42">
        <f>SUMPRODUCT(--('Collapse 52 to 42'!$B$4:$B$55=$A42),'Collapse 52 to 42'!$C$4:$C$55,'Collapse 52 to 42'!F$4:F$55)/SUMIFS('Collapse 52 to 42'!$C$4:$C$55,'Collapse 52 to 42'!$B$4:$B$55,$A42)</f>
        <v>3.1714046413645093E-2</v>
      </c>
      <c r="E42">
        <f>SUMPRODUCT(--('Collapse 52 to 42'!$B$4:$B$55=$A42),'Collapse 52 to 42'!$C$4:$C$55,'Collapse 52 to 42'!G$4:G$55)/SUMIFS('Collapse 52 to 42'!$C$4:$C$55,'Collapse 52 to 42'!$B$4:$B$55,$A42)</f>
        <v>5.3030337211605764E-2</v>
      </c>
      <c r="F42">
        <f>SUMPRODUCT(--('Collapse 52 to 42'!$B$4:$B$55=$A42),'Collapse 52 to 42'!$C$4:$C$55,'Collapse 52 to 42'!H$4:H$55)/SUMIFS('Collapse 52 to 42'!$C$4:$C$55,'Collapse 52 to 42'!$B$4:$B$55,$A42)</f>
        <v>6.7780937109435543E-2</v>
      </c>
      <c r="G42">
        <f>SUMPRODUCT(--('Collapse 52 to 42'!$B$4:$B$55=$A42),'Collapse 52 to 42'!$C$4:$C$55,'Collapse 52 to 42'!I$4:I$55)/SUMIFS('Collapse 52 to 42'!$C$4:$C$55,'Collapse 52 to 42'!$B$4:$B$55,$A42)</f>
        <v>8.5540834611562144E-2</v>
      </c>
      <c r="H42">
        <f>SUMPRODUCT(--('Collapse 52 to 42'!$B$4:$B$55=$A42),'Collapse 52 to 42'!$C$4:$C$55,'Collapse 52 to 42'!J$4:J$55)/SUMIFS('Collapse 52 to 42'!$C$4:$C$55,'Collapse 52 to 42'!$B$4:$B$55,$A42)</f>
        <v>0.10587787386525908</v>
      </c>
      <c r="I42">
        <f>SUMPRODUCT(--('Collapse 52 to 42'!$B$4:$B$55=$A42),'Collapse 52 to 42'!$C$4:$C$55,'Collapse 52 to 42'!K$4:K$55)/SUMIFS('Collapse 52 to 42'!$C$4:$C$55,'Collapse 52 to 42'!$B$4:$B$55,$A42)</f>
        <v>0.12587442908706409</v>
      </c>
      <c r="J42">
        <f>SUMPRODUCT(--('Collapse 52 to 42'!$B$4:$B$55=$A42),'Collapse 52 to 42'!$C$4:$C$55,'Collapse 52 to 42'!L$4:L$55)/SUMIFS('Collapse 52 to 42'!$C$4:$C$55,'Collapse 52 to 42'!$B$4:$B$55,$A42)</f>
        <v>0.14864843569953776</v>
      </c>
      <c r="K42">
        <f>SUMPRODUCT(--('Collapse 52 to 42'!$B$4:$B$55=$A42),'Collapse 52 to 42'!$C$4:$C$55,'Collapse 52 to 42'!M$4:M$55)/SUMIFS('Collapse 52 to 42'!$C$4:$C$55,'Collapse 52 to 42'!$B$4:$B$55,$A42)</f>
        <v>0.17337189939795822</v>
      </c>
      <c r="L42">
        <f>SUMPRODUCT(--('Collapse 52 to 42'!$B$4:$B$55=$A42),'Collapse 52 to 42'!$C$4:$C$55,'Collapse 52 to 42'!N$4:N$55)/SUMIFS('Collapse 52 to 42'!$C$4:$C$55,'Collapse 52 to 42'!$B$4:$B$55,$A42)</f>
        <v>0.1997420002738127</v>
      </c>
      <c r="M42">
        <f>SUMPRODUCT(--('Collapse 52 to 42'!$B$4:$B$55=$A42),'Collapse 52 to 42'!$C$4:$C$55,'Collapse 52 to 42'!O$4:O$55)/SUMIFS('Collapse 52 to 42'!$C$4:$C$55,'Collapse 52 to 42'!$B$4:$B$55,$A42)</f>
        <v>0.22771799494125358</v>
      </c>
      <c r="N42">
        <f>SUMPRODUCT(--('Collapse 52 to 42'!$B$4:$B$55=$A42),'Collapse 52 to 42'!$C$4:$C$55,'Collapse 52 to 42'!P$4:P$55)/SUMIFS('Collapse 52 to 42'!$C$4:$C$55,'Collapse 52 to 42'!$B$4:$B$55,$A42)</f>
        <v>0.25101892902662643</v>
      </c>
      <c r="O42">
        <f>SUMPRODUCT(--('Collapse 52 to 42'!$B$4:$B$55=$A42),'Collapse 52 to 42'!$C$4:$C$55,'Collapse 52 to 42'!Q$4:Q$55)/SUMIFS('Collapse 52 to 42'!$C$4:$C$55,'Collapse 52 to 42'!$B$4:$B$55,$A42)</f>
        <v>0.27415699776736552</v>
      </c>
      <c r="P42">
        <f>SUMPRODUCT(--('Collapse 52 to 42'!$B$4:$B$55=$A42),'Collapse 52 to 42'!$C$4:$C$55,'Collapse 52 to 42'!R$4:R$55)/SUMIFS('Collapse 52 to 42'!$C$4:$C$55,'Collapse 52 to 42'!$B$4:$B$55,$A42)</f>
        <v>0.29739770930336518</v>
      </c>
      <c r="Q42">
        <f>SUMPRODUCT(--('Collapse 52 to 42'!$B$4:$B$55=$A42),'Collapse 52 to 42'!$C$4:$C$55,'Collapse 52 to 42'!S$4:S$55)/SUMIFS('Collapse 52 to 42'!$C$4:$C$55,'Collapse 52 to 42'!$B$4:$B$55,$A42)</f>
        <v>0.32020604145523995</v>
      </c>
      <c r="R42">
        <f>SUMPRODUCT(--('Collapse 52 to 42'!$B$4:$B$55=$A42),'Collapse 52 to 42'!$C$4:$C$55,'Collapse 52 to 42'!T$4:T$55)/SUMIFS('Collapse 52 to 42'!$C$4:$C$55,'Collapse 52 to 42'!$B$4:$B$55,$A42)</f>
        <v>0.34311003688537284</v>
      </c>
      <c r="S42">
        <f>SUMPRODUCT(--('Collapse 52 to 42'!$B$4:$B$55=$A42),'Collapse 52 to 42'!$C$4:$C$55,'Collapse 52 to 42'!U$4:U$55)/SUMIFS('Collapse 52 to 42'!$C$4:$C$55,'Collapse 52 to 42'!$B$4:$B$55,$A42)</f>
        <v>0.36533341147633669</v>
      </c>
      <c r="T42">
        <f>SUMPRODUCT(--('Collapse 52 to 42'!$B$4:$B$55=$A42),'Collapse 52 to 42'!$C$4:$C$55,'Collapse 52 to 42'!V$4:V$55)/SUMIFS('Collapse 52 to 42'!$C$4:$C$55,'Collapse 52 to 42'!$B$4:$B$55,$A42)</f>
        <v>0.38813400095224215</v>
      </c>
      <c r="U42">
        <f>SUMPRODUCT(--('Collapse 52 to 42'!$B$4:$B$55=$A42),'Collapse 52 to 42'!$C$4:$C$55,'Collapse 52 to 42'!W$4:W$55)/SUMIFS('Collapse 52 to 42'!$C$4:$C$55,'Collapse 52 to 42'!$B$4:$B$55,$A42)</f>
        <v>0.41183111919688176</v>
      </c>
      <c r="V42">
        <f>SUMPRODUCT(--('Collapse 52 to 42'!$B$4:$B$55=$A42),'Collapse 52 to 42'!$C$4:$C$55,'Collapse 52 to 42'!X$4:X$55)/SUMIFS('Collapse 52 to 42'!$C$4:$C$55,'Collapse 52 to 42'!$B$4:$B$55,$A42)</f>
        <v>0.43560873533202149</v>
      </c>
      <c r="W42">
        <f>SUMPRODUCT(--('Collapse 52 to 42'!$B$4:$B$55=$A42),'Collapse 52 to 42'!$C$4:$C$55,'Collapse 52 to 42'!Y$4:Y$55)/SUMIFS('Collapse 52 to 42'!$C$4:$C$55,'Collapse 52 to 42'!$B$4:$B$55,$A42)</f>
        <v>0.4590277439158158</v>
      </c>
      <c r="X42">
        <f>SUMPRODUCT(--('Collapse 52 to 42'!$B$4:$B$55=$A42),'Collapse 52 to 42'!$C$4:$C$55,'Collapse 52 to 42'!Z$4:Z$55)/SUMIFS('Collapse 52 to 42'!$C$4:$C$55,'Collapse 52 to 42'!$B$4:$B$55,$A42)</f>
        <v>0.48166774609909119</v>
      </c>
      <c r="Y42">
        <f>SUMPRODUCT(--('Collapse 52 to 42'!$B$4:$B$55=$A42),'Collapse 52 to 42'!$C$4:$C$55,'Collapse 52 to 42'!AA$4:AA$55)/SUMIFS('Collapse 52 to 42'!$C$4:$C$55,'Collapse 52 to 42'!$B$4:$B$55,$A42)</f>
        <v>0.50331200875069859</v>
      </c>
      <c r="Z42">
        <f>SUMPRODUCT(--('Collapse 52 to 42'!$B$4:$B$55=$A42),'Collapse 52 to 42'!$C$4:$C$55,'Collapse 52 to 42'!AB$4:AB$55)/SUMIFS('Collapse 52 to 42'!$C$4:$C$55,'Collapse 52 to 42'!$B$4:$B$55,$A42)</f>
        <v>0.52503565372776717</v>
      </c>
      <c r="AA42">
        <f>SUMPRODUCT(--('Collapse 52 to 42'!$B$4:$B$55=$A42),'Collapse 52 to 42'!$C$4:$C$55,'Collapse 52 to 42'!AC$4:AC$55)/SUMIFS('Collapse 52 to 42'!$C$4:$C$55,'Collapse 52 to 42'!$B$4:$B$55,$A42)</f>
        <v>0.54598713027924739</v>
      </c>
      <c r="AB42">
        <f>SUMPRODUCT(--('Collapse 52 to 42'!$B$4:$B$55=$A42),'Collapse 52 to 42'!$C$4:$C$55,'Collapse 52 to 42'!AD$4:AD$55)/SUMIFS('Collapse 52 to 42'!$C$4:$C$55,'Collapse 52 to 42'!$B$4:$B$55,$A42)</f>
        <v>0.56769811913423629</v>
      </c>
    </row>
    <row r="43" spans="1:28" x14ac:dyDescent="0.25">
      <c r="A43" t="s">
        <v>937</v>
      </c>
      <c r="B43">
        <f>SUMPRODUCT(--('Collapse 52 to 42'!$B$4:$B$55=$A43),'Collapse 52 to 42'!$C$4:$C$55,'Collapse 52 to 42'!D$4:D$55)/SUMIFS('Collapse 52 to 42'!$C$4:$C$55,'Collapse 52 to 42'!$B$4:$B$55,$A43)</f>
        <v>-1.6203905248585171E-2</v>
      </c>
      <c r="C43">
        <f>SUMPRODUCT(--('Collapse 52 to 42'!$B$4:$B$55=$A43),'Collapse 52 to 42'!$C$4:$C$55,'Collapse 52 to 42'!E$4:E$55)/SUMIFS('Collapse 52 to 42'!$C$4:$C$55,'Collapse 52 to 42'!$B$4:$B$55,$A43)</f>
        <v>0</v>
      </c>
      <c r="D43">
        <f>SUMPRODUCT(--('Collapse 52 to 42'!$B$4:$B$55=$A43),'Collapse 52 to 42'!$C$4:$C$55,'Collapse 52 to 42'!F$4:F$55)/SUMIFS('Collapse 52 to 42'!$C$4:$C$55,'Collapse 52 to 42'!$B$4:$B$55,$A43)</f>
        <v>2.6597394105479344E-2</v>
      </c>
      <c r="E43">
        <f>SUMPRODUCT(--('Collapse 52 to 42'!$B$4:$B$55=$A43),'Collapse 52 to 42'!$C$4:$C$55,'Collapse 52 to 42'!G$4:G$55)/SUMIFS('Collapse 52 to 42'!$C$4:$C$55,'Collapse 52 to 42'!$B$4:$B$55,$A43)</f>
        <v>4.4385666787494449E-2</v>
      </c>
      <c r="F43">
        <f>SUMPRODUCT(--('Collapse 52 to 42'!$B$4:$B$55=$A43),'Collapse 52 to 42'!$C$4:$C$55,'Collapse 52 to 42'!H$4:H$55)/SUMIFS('Collapse 52 to 42'!$C$4:$C$55,'Collapse 52 to 42'!$B$4:$B$55,$A43)</f>
        <v>5.6654605890103175E-2</v>
      </c>
      <c r="G43">
        <f>SUMPRODUCT(--('Collapse 52 to 42'!$B$4:$B$55=$A43),'Collapse 52 to 42'!$C$4:$C$55,'Collapse 52 to 42'!I$4:I$55)/SUMIFS('Collapse 52 to 42'!$C$4:$C$55,'Collapse 52 to 42'!$B$4:$B$55,$A43)</f>
        <v>7.1393534201808384E-2</v>
      </c>
      <c r="H43">
        <f>SUMPRODUCT(--('Collapse 52 to 42'!$B$4:$B$55=$A43),'Collapse 52 to 42'!$C$4:$C$55,'Collapse 52 to 42'!J$4:J$55)/SUMIFS('Collapse 52 to 42'!$C$4:$C$55,'Collapse 52 to 42'!$B$4:$B$55,$A43)</f>
        <v>8.8226548713074893E-2</v>
      </c>
      <c r="I43">
        <f>SUMPRODUCT(--('Collapse 52 to 42'!$B$4:$B$55=$A43),'Collapse 52 to 42'!$C$4:$C$55,'Collapse 52 to 42'!K$4:K$55)/SUMIFS('Collapse 52 to 42'!$C$4:$C$55,'Collapse 52 to 42'!$B$4:$B$55,$A43)</f>
        <v>0.10472848843838722</v>
      </c>
      <c r="J43">
        <f>SUMPRODUCT(--('Collapse 52 to 42'!$B$4:$B$55=$A43),'Collapse 52 to 42'!$C$4:$C$55,'Collapse 52 to 42'!L$4:L$55)/SUMIFS('Collapse 52 to 42'!$C$4:$C$55,'Collapse 52 to 42'!$B$4:$B$55,$A43)</f>
        <v>0.12346847062522115</v>
      </c>
      <c r="K43">
        <f>SUMPRODUCT(--('Collapse 52 to 42'!$B$4:$B$55=$A43),'Collapse 52 to 42'!$C$4:$C$55,'Collapse 52 to 42'!M$4:M$55)/SUMIFS('Collapse 52 to 42'!$C$4:$C$55,'Collapse 52 to 42'!$B$4:$B$55,$A43)</f>
        <v>0.14374731823159914</v>
      </c>
      <c r="L43">
        <f>SUMPRODUCT(--('Collapse 52 to 42'!$B$4:$B$55=$A43),'Collapse 52 to 42'!$C$4:$C$55,'Collapse 52 to 42'!N$4:N$55)/SUMIFS('Collapse 52 to 42'!$C$4:$C$55,'Collapse 52 to 42'!$B$4:$B$55,$A43)</f>
        <v>0.16530302185902346</v>
      </c>
      <c r="M43">
        <f>SUMPRODUCT(--('Collapse 52 to 42'!$B$4:$B$55=$A43),'Collapse 52 to 42'!$C$4:$C$55,'Collapse 52 to 42'!O$4:O$55)/SUMIFS('Collapse 52 to 42'!$C$4:$C$55,'Collapse 52 to 42'!$B$4:$B$55,$A43)</f>
        <v>0.18809007606665817</v>
      </c>
      <c r="N43">
        <f>SUMPRODUCT(--('Collapse 52 to 42'!$B$4:$B$55=$A43),'Collapse 52 to 42'!$C$4:$C$55,'Collapse 52 to 42'!P$4:P$55)/SUMIFS('Collapse 52 to 42'!$C$4:$C$55,'Collapse 52 to 42'!$B$4:$B$55,$A43)</f>
        <v>0.20699919041858461</v>
      </c>
      <c r="O43">
        <f>SUMPRODUCT(--('Collapse 52 to 42'!$B$4:$B$55=$A43),'Collapse 52 to 42'!$C$4:$C$55,'Collapse 52 to 42'!Q$4:Q$55)/SUMIFS('Collapse 52 to 42'!$C$4:$C$55,'Collapse 52 to 42'!$B$4:$B$55,$A43)</f>
        <v>0.22571952525674122</v>
      </c>
      <c r="P43">
        <f>SUMPRODUCT(--('Collapse 52 to 42'!$B$4:$B$55=$A43),'Collapse 52 to 42'!$C$4:$C$55,'Collapse 52 to 42'!R$4:R$55)/SUMIFS('Collapse 52 to 42'!$C$4:$C$55,'Collapse 52 to 42'!$B$4:$B$55,$A43)</f>
        <v>0.24446763030582441</v>
      </c>
      <c r="Q43">
        <f>SUMPRODUCT(--('Collapse 52 to 42'!$B$4:$B$55=$A43),'Collapse 52 to 42'!$C$4:$C$55,'Collapse 52 to 42'!S$4:S$55)/SUMIFS('Collapse 52 to 42'!$C$4:$C$55,'Collapse 52 to 42'!$B$4:$B$55,$A43)</f>
        <v>0.26281358187455783</v>
      </c>
      <c r="R43">
        <f>SUMPRODUCT(--('Collapse 52 to 42'!$B$4:$B$55=$A43),'Collapse 52 to 42'!$C$4:$C$55,'Collapse 52 to 42'!T$4:T$55)/SUMIFS('Collapse 52 to 42'!$C$4:$C$55,'Collapse 52 to 42'!$B$4:$B$55,$A43)</f>
        <v>0.28118495328783943</v>
      </c>
      <c r="S43">
        <f>SUMPRODUCT(--('Collapse 52 to 42'!$B$4:$B$55=$A43),'Collapse 52 to 42'!$C$4:$C$55,'Collapse 52 to 42'!U$4:U$55)/SUMIFS('Collapse 52 to 42'!$C$4:$C$55,'Collapse 52 to 42'!$B$4:$B$55,$A43)</f>
        <v>0.29896118289010776</v>
      </c>
      <c r="T43">
        <f>SUMPRODUCT(--('Collapse 52 to 42'!$B$4:$B$55=$A43),'Collapse 52 to 42'!$C$4:$C$55,'Collapse 52 to 42'!V$4:V$55)/SUMIFS('Collapse 52 to 42'!$C$4:$C$55,'Collapse 52 to 42'!$B$4:$B$55,$A43)</f>
        <v>0.31715105738415272</v>
      </c>
      <c r="U43">
        <f>SUMPRODUCT(--('Collapse 52 to 42'!$B$4:$B$55=$A43),'Collapse 52 to 42'!$C$4:$C$55,'Collapse 52 to 42'!W$4:W$55)/SUMIFS('Collapse 52 to 42'!$C$4:$C$55,'Collapse 52 to 42'!$B$4:$B$55,$A43)</f>
        <v>0.3360058879381187</v>
      </c>
      <c r="V43">
        <f>SUMPRODUCT(--('Collapse 52 to 42'!$B$4:$B$55=$A43),'Collapse 52 to 42'!$C$4:$C$55,'Collapse 52 to 42'!X$4:X$55)/SUMIFS('Collapse 52 to 42'!$C$4:$C$55,'Collapse 52 to 42'!$B$4:$B$55,$A43)</f>
        <v>0.3548733506324997</v>
      </c>
      <c r="W43">
        <f>SUMPRODUCT(--('Collapse 52 to 42'!$B$4:$B$55=$A43),'Collapse 52 to 42'!$C$4:$C$55,'Collapse 52 to 42'!Y$4:Y$55)/SUMIFS('Collapse 52 to 42'!$C$4:$C$55,'Collapse 52 to 42'!$B$4:$B$55,$A43)</f>
        <v>0.37340642147229408</v>
      </c>
      <c r="X43">
        <f>SUMPRODUCT(--('Collapse 52 to 42'!$B$4:$B$55=$A43),'Collapse 52 to 42'!$C$4:$C$55,'Collapse 52 to 42'!Z$4:Z$55)/SUMIFS('Collapse 52 to 42'!$C$4:$C$55,'Collapse 52 to 42'!$B$4:$B$55,$A43)</f>
        <v>0.39127644260151584</v>
      </c>
      <c r="Y43">
        <f>SUMPRODUCT(--('Collapse 52 to 42'!$B$4:$B$55=$A43),'Collapse 52 to 42'!$C$4:$C$55,'Collapse 52 to 42'!AA$4:AA$55)/SUMIFS('Collapse 52 to 42'!$C$4:$C$55,'Collapse 52 to 42'!$B$4:$B$55,$A43)</f>
        <v>0.4083182415727169</v>
      </c>
      <c r="Z43">
        <f>SUMPRODUCT(--('Collapse 52 to 42'!$B$4:$B$55=$A43),'Collapse 52 to 42'!$C$4:$C$55,'Collapse 52 to 42'!AB$4:AB$55)/SUMIFS('Collapse 52 to 42'!$C$4:$C$55,'Collapse 52 to 42'!$B$4:$B$55,$A43)</f>
        <v>0.42538266219278342</v>
      </c>
      <c r="AA43">
        <f>SUMPRODUCT(--('Collapse 52 to 42'!$B$4:$B$55=$A43),'Collapse 52 to 42'!$C$4:$C$55,'Collapse 52 to 42'!AC$4:AC$55)/SUMIFS('Collapse 52 to 42'!$C$4:$C$55,'Collapse 52 to 42'!$B$4:$B$55,$A43)</f>
        <v>0.4418025599344646</v>
      </c>
      <c r="AB43">
        <f>SUMPRODUCT(--('Collapse 52 to 42'!$B$4:$B$55=$A43),'Collapse 52 to 42'!$C$4:$C$55,'Collapse 52 to 42'!AD$4:AD$55)/SUMIFS('Collapse 52 to 42'!$C$4:$C$55,'Collapse 52 to 42'!$B$4:$B$55,$A43)</f>
        <v>0.45878035016906082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sheetPr>
  <dimension ref="A1:AF43"/>
  <sheetViews>
    <sheetView workbookViewId="0">
      <pane xSplit="1" ySplit="1" topLeftCell="B2" activePane="bottomRight" state="frozen"/>
      <selection pane="topRight"/>
      <selection pane="bottomLeft"/>
      <selection pane="bottomRight"/>
    </sheetView>
  </sheetViews>
  <sheetFormatPr defaultRowHeight="15" x14ac:dyDescent="0.25"/>
  <sheetData>
    <row r="1" spans="1:32" x14ac:dyDescent="0.25">
      <c r="A1" t="s">
        <v>1287</v>
      </c>
      <c r="B1" s="1" t="s">
        <v>1288</v>
      </c>
      <c r="C1" s="1" t="s">
        <v>1289</v>
      </c>
      <c r="D1" s="1" t="s">
        <v>1290</v>
      </c>
      <c r="E1" s="1" t="s">
        <v>1291</v>
      </c>
      <c r="F1" s="1" t="s">
        <v>1242</v>
      </c>
      <c r="G1" s="1" t="s">
        <v>1243</v>
      </c>
      <c r="H1" s="1" t="s">
        <v>1244</v>
      </c>
      <c r="I1" s="1" t="s">
        <v>1245</v>
      </c>
      <c r="J1" s="1" t="s">
        <v>1246</v>
      </c>
      <c r="K1" s="1" t="s">
        <v>1247</v>
      </c>
      <c r="L1" s="1" t="s">
        <v>1248</v>
      </c>
      <c r="M1" s="1" t="s">
        <v>1249</v>
      </c>
      <c r="N1" s="1" t="s">
        <v>1250</v>
      </c>
      <c r="O1" s="1" t="s">
        <v>1251</v>
      </c>
      <c r="P1" s="1" t="s">
        <v>1252</v>
      </c>
      <c r="Q1" s="1" t="s">
        <v>1253</v>
      </c>
      <c r="R1" s="1" t="s">
        <v>1254</v>
      </c>
      <c r="S1" s="1" t="s">
        <v>1255</v>
      </c>
      <c r="T1" s="1" t="s">
        <v>1256</v>
      </c>
      <c r="U1" s="1" t="s">
        <v>1257</v>
      </c>
      <c r="V1" s="1" t="s">
        <v>1258</v>
      </c>
      <c r="W1" s="1" t="s">
        <v>1259</v>
      </c>
      <c r="X1" s="1" t="s">
        <v>1260</v>
      </c>
      <c r="Y1" s="1" t="s">
        <v>1261</v>
      </c>
      <c r="Z1" s="1" t="s">
        <v>1262</v>
      </c>
      <c r="AA1" s="1" t="s">
        <v>1263</v>
      </c>
      <c r="AB1" s="1" t="s">
        <v>1264</v>
      </c>
      <c r="AC1" s="1" t="s">
        <v>1265</v>
      </c>
      <c r="AD1" s="1" t="s">
        <v>1266</v>
      </c>
      <c r="AE1" s="1" t="s">
        <v>1267</v>
      </c>
      <c r="AF1" s="1" t="s">
        <v>1268</v>
      </c>
    </row>
    <row r="2" spans="1:32" x14ac:dyDescent="0.25">
      <c r="A2" t="s">
        <v>1269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25">
      <c r="A3" t="s">
        <v>90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25">
      <c r="A4" t="s">
        <v>85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25">
      <c r="A5" t="s">
        <v>1270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25">
      <c r="A6" t="s">
        <v>99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A7" t="s">
        <v>182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25">
      <c r="A8" t="s">
        <v>209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x14ac:dyDescent="0.25">
      <c r="A9" t="s">
        <v>218</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A10" t="s">
        <v>227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25">
      <c r="A11" t="s">
        <v>236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A12" t="s">
        <v>241</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25">
      <c r="A13" t="s">
        <v>246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2" x14ac:dyDescent="0.25">
      <c r="A14" t="s">
        <v>249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25">
      <c r="A15" t="s">
        <v>1222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25">
      <c r="A16" t="s">
        <v>256</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25">
      <c r="A17" t="s">
        <v>261</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25">
      <c r="A18" t="s">
        <v>266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x14ac:dyDescent="0.25">
      <c r="A19" t="s">
        <v>273</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x14ac:dyDescent="0.25">
      <c r="A20" t="s">
        <v>299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x14ac:dyDescent="0.25">
      <c r="A21" t="s">
        <v>314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x14ac:dyDescent="0.25">
      <c r="A22" t="s">
        <v>288</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x14ac:dyDescent="0.25">
      <c r="A23" t="s">
        <v>327</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x14ac:dyDescent="0.25">
      <c r="A24" t="s">
        <v>1271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x14ac:dyDescent="0.25">
      <c r="A25" t="s">
        <v>344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x14ac:dyDescent="0.25">
      <c r="A26" t="s">
        <v>106</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1:32" x14ac:dyDescent="0.25">
      <c r="A27" t="s">
        <v>127</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8" spans="1:32" x14ac:dyDescent="0.25">
      <c r="A28" t="s">
        <v>130</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row>
    <row r="29" spans="1:32" x14ac:dyDescent="0.25">
      <c r="A29" t="s">
        <v>133</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row>
    <row r="30" spans="1:32" x14ac:dyDescent="0.25">
      <c r="A30" t="s">
        <v>359</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x14ac:dyDescent="0.25">
      <c r="A31" t="s">
        <v>1272</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row>
    <row r="32" spans="1:32" x14ac:dyDescent="0.25">
      <c r="A32" t="s">
        <v>871</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1:32" x14ac:dyDescent="0.25">
      <c r="A33" t="s">
        <v>531</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1:32" x14ac:dyDescent="0.25">
      <c r="A34" t="s">
        <v>562</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1:32" x14ac:dyDescent="0.25">
      <c r="A35" t="s">
        <v>565</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1:32" x14ac:dyDescent="0.25">
      <c r="A36" t="s">
        <v>568</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1:32" x14ac:dyDescent="0.25">
      <c r="A37" t="s">
        <v>607</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1:32" x14ac:dyDescent="0.25">
      <c r="A38" t="s">
        <v>1273</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1:32" x14ac:dyDescent="0.25">
      <c r="A39" t="s">
        <v>942</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1:32" x14ac:dyDescent="0.25">
      <c r="A40" t="s">
        <v>700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1" spans="1:32" x14ac:dyDescent="0.25">
      <c r="A41" t="s">
        <v>755</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row>
    <row r="42" spans="1:32" x14ac:dyDescent="0.25">
      <c r="A42" t="s">
        <v>1274</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row>
    <row r="43" spans="1:32" x14ac:dyDescent="0.25">
      <c r="A43" t="s">
        <v>937</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BLS Table 2.11</vt:lpstr>
      <vt:lpstr>AEO25 Table 23</vt:lpstr>
      <vt:lpstr>AEO 2026 Table 23 </vt:lpstr>
      <vt:lpstr>Data from BVAbIC</vt:lpstr>
      <vt:lpstr>GDP Forecast</vt:lpstr>
      <vt:lpstr>Growth Rates</vt:lpstr>
      <vt:lpstr>Rescale to Fit GDP Proj</vt:lpstr>
      <vt:lpstr>Collapse 52 to 42</vt:lpstr>
      <vt:lpstr>Checks</vt:lpstr>
      <vt:lpstr>BPCiObIC</vt:lpstr>
      <vt:lpstr>BPCiDCSbIC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Robbie Orvis</cp:lastModifiedBy>
  <dcterms:created xsi:type="dcterms:W3CDTF">2026-07-21T19:30:14Z</dcterms:created>
  <dcterms:modified xsi:type="dcterms:W3CDTF">2026-07-21T20:44:58Z</dcterms:modified>
</cp:coreProperties>
</file>